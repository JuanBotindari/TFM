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11-2025\"/>
    </mc:Choice>
  </mc:AlternateContent>
  <xr:revisionPtr revIDLastSave="0" documentId="13_ncr:1_{357458EC-4B1B-4551-856A-34AEDEE6A8B8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Configuracion" sheetId="1" r:id="rId1"/>
    <sheet name="Noviembre 25" sheetId="2" r:id="rId2"/>
    <sheet name="Calculo IVA" sheetId="3" r:id="rId3"/>
    <sheet name="Ventas 11" sheetId="4" r:id="rId4"/>
    <sheet name="Compras 11" sheetId="5" r:id="rId5"/>
    <sheet name="arcasss" sheetId="6" state="hidden" r:id="rId6"/>
    <sheet name="Hoja7" sheetId="7" state="hidden" r:id="rId7"/>
  </sheets>
  <definedNames>
    <definedName name="_xlnm._FilterDatabase" localSheetId="5" hidden="1">arcasss!$A$9:$AE$162</definedName>
    <definedName name="_xlnm._FilterDatabase" localSheetId="4" hidden="1">'Compras 11'!$A$1:$X$148</definedName>
    <definedName name="_xlnm._FilterDatabase" localSheetId="0" hidden="1">Configuracion!$A$3:$C$540</definedName>
    <definedName name="_xlnm._FilterDatabase" localSheetId="6" hidden="1">Hoja7!$A$2:$Y$248</definedName>
    <definedName name="_xlnm._FilterDatabase" localSheetId="3" hidden="1">'Ventas 11'!$A$11:$T$432</definedName>
    <definedName name="_xlnm.Print_Area" localSheetId="1">'Noviembre 25'!$A$1:$N$22</definedName>
    <definedName name="partner_id" localSheetId="0">Configuracion!$B$332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4" l="1"/>
  <c r="M432" i="4"/>
  <c r="I432" i="4"/>
  <c r="J432" i="4"/>
  <c r="K432" i="4"/>
  <c r="L432" i="4"/>
  <c r="N432" i="4"/>
  <c r="O432" i="4"/>
  <c r="P432" i="4"/>
  <c r="Q432" i="4"/>
  <c r="R432" i="4"/>
  <c r="S432" i="4"/>
  <c r="H432" i="4"/>
  <c r="N148" i="5"/>
  <c r="L156" i="5"/>
  <c r="L155" i="5"/>
  <c r="M155" i="5"/>
  <c r="N155" i="5"/>
  <c r="J147" i="5"/>
  <c r="I148" i="5"/>
  <c r="K148" i="5"/>
  <c r="O148" i="5"/>
  <c r="P148" i="5"/>
  <c r="Q148" i="5"/>
  <c r="R148" i="5"/>
  <c r="S148" i="5"/>
  <c r="T148" i="5"/>
  <c r="L148" i="5"/>
  <c r="M148" i="5"/>
  <c r="U143" i="5"/>
  <c r="U144" i="5"/>
  <c r="U145" i="5"/>
  <c r="U146" i="5"/>
  <c r="U138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7" i="5"/>
  <c r="U139" i="5"/>
  <c r="U140" i="5"/>
  <c r="U141" i="5"/>
  <c r="U142" i="5"/>
  <c r="U2" i="5"/>
  <c r="N135" i="5"/>
  <c r="J135" i="5" s="1"/>
  <c r="N136" i="5"/>
  <c r="H9" i="4"/>
  <c r="AA140" i="6"/>
  <c r="AA119" i="6"/>
  <c r="AA90" i="6"/>
  <c r="I6" i="6"/>
  <c r="D9" i="4"/>
  <c r="E8" i="4"/>
  <c r="G8" i="4" s="1"/>
  <c r="E7" i="4"/>
  <c r="G7" i="4" s="1"/>
  <c r="E6" i="4"/>
  <c r="G6" i="4" s="1"/>
  <c r="E5" i="4"/>
  <c r="G5" i="4" s="1"/>
  <c r="E4" i="4"/>
  <c r="C41" i="3"/>
  <c r="D16" i="3"/>
  <c r="B7" i="3"/>
  <c r="C7" i="3" s="1"/>
  <c r="D7" i="3" s="1"/>
  <c r="B6" i="3"/>
  <c r="C6" i="3" s="1"/>
  <c r="H105" i="2"/>
  <c r="G104" i="2"/>
  <c r="F104" i="2"/>
  <c r="E104" i="2"/>
  <c r="F103" i="2"/>
  <c r="G103" i="2" s="1"/>
  <c r="E103" i="2"/>
  <c r="G102" i="2"/>
  <c r="F102" i="2"/>
  <c r="E102" i="2"/>
  <c r="F101" i="2"/>
  <c r="G101" i="2" s="1"/>
  <c r="E101" i="2"/>
  <c r="F100" i="2"/>
  <c r="E100" i="2"/>
  <c r="F95" i="2"/>
  <c r="G94" i="2"/>
  <c r="I94" i="2" s="1"/>
  <c r="E94" i="2"/>
  <c r="G93" i="2"/>
  <c r="I93" i="2" s="1"/>
  <c r="E93" i="2"/>
  <c r="G92" i="2"/>
  <c r="I92" i="2" s="1"/>
  <c r="E92" i="2"/>
  <c r="I91" i="2"/>
  <c r="G91" i="2"/>
  <c r="E91" i="2"/>
  <c r="G90" i="2"/>
  <c r="I90" i="2" s="1"/>
  <c r="E90" i="2"/>
  <c r="G89" i="2"/>
  <c r="I89" i="2" s="1"/>
  <c r="E89" i="2"/>
  <c r="I88" i="2"/>
  <c r="G88" i="2"/>
  <c r="E88" i="2"/>
  <c r="G87" i="2"/>
  <c r="I87" i="2" s="1"/>
  <c r="E87" i="2"/>
  <c r="G86" i="2"/>
  <c r="E86" i="2"/>
  <c r="I78" i="2"/>
  <c r="H78" i="2"/>
  <c r="G78" i="2"/>
  <c r="C35" i="3" s="1"/>
  <c r="F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O16" i="2"/>
  <c r="G16" i="2"/>
  <c r="E16" i="2"/>
  <c r="P15" i="2"/>
  <c r="O15" i="2"/>
  <c r="G15" i="2"/>
  <c r="E15" i="2"/>
  <c r="P14" i="2"/>
  <c r="G14" i="2"/>
  <c r="O14" i="2" s="1"/>
  <c r="E14" i="2"/>
  <c r="P13" i="2"/>
  <c r="O13" i="2"/>
  <c r="G13" i="2"/>
  <c r="E13" i="2"/>
  <c r="P12" i="2"/>
  <c r="O12" i="2"/>
  <c r="G12" i="2"/>
  <c r="E12" i="2"/>
  <c r="P11" i="2"/>
  <c r="G11" i="2"/>
  <c r="O11" i="2" s="1"/>
  <c r="E11" i="2"/>
  <c r="P10" i="2"/>
  <c r="O10" i="2"/>
  <c r="G10" i="2"/>
  <c r="E10" i="2"/>
  <c r="P9" i="2"/>
  <c r="O9" i="2"/>
  <c r="G9" i="2"/>
  <c r="E9" i="2"/>
  <c r="P8" i="2"/>
  <c r="G8" i="2"/>
  <c r="G18" i="2" s="1"/>
  <c r="G19" i="2" s="1"/>
  <c r="E8" i="2"/>
  <c r="L157" i="5" l="1"/>
  <c r="C13" i="3"/>
  <c r="C16" i="3" s="1"/>
  <c r="J136" i="5"/>
  <c r="J148" i="5" s="1"/>
  <c r="U135" i="5"/>
  <c r="O8" i="2"/>
  <c r="O18" i="2" s="1"/>
  <c r="F105" i="2"/>
  <c r="G95" i="2"/>
  <c r="G100" i="2"/>
  <c r="G9" i="4"/>
  <c r="G4" i="4"/>
  <c r="C43" i="3"/>
  <c r="G105" i="2"/>
  <c r="C8" i="3"/>
  <c r="C55" i="3"/>
  <c r="C59" i="3" s="1"/>
  <c r="I86" i="2"/>
  <c r="I95" i="2" s="1"/>
  <c r="D6" i="3"/>
  <c r="D8" i="3" s="1"/>
  <c r="B8" i="3"/>
  <c r="B13" i="3" l="1"/>
  <c r="B16" i="3" s="1"/>
  <c r="U136" i="5"/>
  <c r="U148" i="5" s="1"/>
  <c r="C47" i="3"/>
  <c r="C51" i="3" s="1"/>
  <c r="C62" i="3" s="1"/>
</calcChain>
</file>

<file path=xl/sharedStrings.xml><?xml version="1.0" encoding="utf-8"?>
<sst xmlns="http://schemas.openxmlformats.org/spreadsheetml/2006/main" count="7823" uniqueCount="1799">
  <si>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</si>
  <si>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</si>
  <si>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</si>
  <si>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</si>
  <si>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</si>
  <si>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</si>
  <si>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</si>
  <si>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</si>
  <si>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</si>
  <si>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</si>
  <si>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</si>
  <si>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</si>
  <si>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</si>
  <si>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</si>
  <si>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</si>
  <si>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</si>
  <si>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</si>
  <si>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</si>
  <si>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</si>
  <si>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</si>
  <si>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</si>
  <si>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</si>
  <si>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</si>
  <si>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</si>
  <si>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</si>
  <si>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</si>
  <si>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</si>
  <si>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</si>
  <si>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</si>
  <si>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</si>
  <si>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</si>
  <si>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</si>
  <si>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</si>
  <si>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</si>
  <si>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</si>
  <si>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</si>
  <si>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</si>
  <si>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</si>
  <si>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</si>
  <si>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</si>
  <si>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</si>
  <si>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</si>
  <si>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</si>
  <si>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</si>
  <si>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</si>
  <si>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</si>
  <si>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</si>
  <si>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</si>
  <si>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</si>
  <si>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</si>
  <si>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</si>
  <si>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</si>
  <si>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</si>
  <si>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</si>
  <si>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</si>
  <si>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</si>
  <si>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</si>
  <si>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</si>
  <si>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</si>
  <si>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</si>
  <si>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</si>
  <si>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</si>
  <si>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</si>
  <si>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</si>
  <si>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</si>
  <si>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</si>
  <si>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</si>
  <si>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</si>
  <si>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</si>
  <si>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</si>
  <si>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</si>
  <si>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</si>
  <si>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</si>
  <si>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</si>
  <si>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</si>
  <si>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</si>
  <si>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</si>
  <si>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</si>
  <si>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</si>
  <si>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</si>
  <si>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</si>
  <si>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</si>
  <si>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</si>
  <si>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</si>
  <si>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</si>
  <si>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</si>
  <si>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</si>
  <si>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</si>
  <si>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</si>
  <si>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</si>
  <si>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</si>
  <si>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</si>
  <si>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</si>
  <si>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</si>
  <si>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</si>
  <si>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</si>
  <si>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</si>
  <si>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</si>
  <si>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</si>
  <si>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</si>
  <si>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</si>
  <si>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</si>
  <si>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</si>
  <si>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</si>
  <si>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</si>
  <si>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</si>
  <si>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</si>
  <si>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</si>
  <si>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</si>
  <si>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</si>
  <si>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</si>
  <si>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</si>
  <si>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</si>
  <si>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</si>
  <si>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</si>
  <si>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</si>
  <si>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</si>
  <si>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</si>
  <si>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</si>
  <si>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</si>
  <si>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</si>
  <si>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</si>
  <si>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</si>
  <si>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</si>
  <si>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</si>
  <si>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</si>
  <si>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</si>
  <si>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</si>
  <si>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</si>
  <si>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</si>
  <si>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</si>
  <si>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</si>
  <si>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</si>
  <si>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</si>
  <si>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</si>
  <si>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</si>
  <si>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</si>
  <si>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</si>
  <si>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</si>
  <si>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</si>
  <si>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</si>
  <si>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</si>
  <si>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</si>
  <si>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</si>
  <si>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</si>
  <si>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</si>
  <si>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</si>
  <si>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</si>
  <si>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</si>
  <si>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</si>
  <si>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</si>
  <si>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</si>
  <si>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</si>
  <si>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</si>
  <si>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</si>
  <si>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</si>
  <si>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</si>
  <si>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</si>
  <si>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</si>
  <si>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</si>
  <si>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</si>
  <si>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</si>
  <si>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</si>
  <si>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</si>
  <si>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</si>
  <si>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</si>
  <si>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</si>
  <si>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</si>
  <si>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</si>
  <si>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</si>
  <si>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</si>
  <si>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</si>
  <si>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</si>
  <si>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</si>
  <si>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</si>
  <si>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</si>
  <si>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</si>
  <si>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</si>
  <si>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</si>
  <si>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</si>
  <si>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</si>
  <si>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</si>
  <si>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</si>
  <si>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</si>
  <si>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</si>
  <si>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</si>
  <si>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</si>
  <si>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</si>
  <si>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</si>
  <si>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</si>
  <si>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</si>
  <si>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</si>
  <si>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</si>
  <si>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</si>
  <si>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</si>
  <si>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</si>
  <si>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</si>
  <si>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</si>
  <si>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</si>
  <si>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</si>
  <si>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</si>
  <si>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</si>
  <si>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</si>
  <si>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</si>
  <si>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</si>
  <si>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</si>
  <si>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</si>
  <si>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</si>
  <si>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</si>
  <si>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</si>
  <si>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</si>
  <si>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</si>
  <si>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</si>
  <si>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</si>
  <si>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</si>
  <si>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</si>
  <si>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</si>
  <si>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</si>
  <si>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</si>
  <si>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</si>
  <si>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</si>
  <si>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</si>
  <si>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</si>
  <si>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</si>
  <si>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</si>
  <si>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</si>
  <si>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</si>
  <si>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</si>
  <si>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</si>
  <si>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</si>
  <si>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</si>
  <si>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</si>
  <si>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</si>
  <si>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</si>
  <si>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</si>
  <si>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</si>
  <si>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</si>
  <si>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</si>
  <si>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</si>
  <si>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</si>
  <si>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</si>
  <si>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</si>
  <si>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</si>
  <si>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</si>
  <si>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</si>
  <si>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</si>
  <si>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</si>
  <si>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</si>
  <si>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</si>
  <si>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</si>
  <si>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</si>
  <si>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</si>
  <si>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</si>
  <si>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</si>
  <si>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</si>
  <si>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</si>
  <si>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</si>
  <si>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</si>
  <si>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</si>
  <si>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</si>
  <si>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</si>
  <si>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</si>
  <si>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</si>
  <si>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</si>
  <si>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</si>
  <si>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</si>
  <si>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</si>
  <si>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</si>
  <si>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</si>
  <si>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</si>
  <si>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</si>
  <si>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</si>
  <si>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</si>
  <si>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</si>
  <si>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</si>
  <si>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</si>
  <si>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</si>
  <si>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</si>
  <si>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</si>
  <si>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</si>
  <si>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</si>
  <si>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</si>
  <si>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</si>
  <si>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</si>
  <si>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</si>
  <si>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</si>
  <si>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</si>
  <si>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</si>
  <si>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</si>
  <si>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</si>
  <si>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</si>
  <si>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</si>
  <si>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</si>
  <si>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</si>
  <si>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</si>
  <si>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</si>
  <si>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</si>
  <si>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</si>
  <si>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</si>
  <si>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</si>
  <si>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</si>
  <si>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</si>
  <si>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</si>
  <si>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</si>
  <si>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</si>
  <si>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</si>
  <si>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</si>
  <si>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</si>
  <si>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</si>
  <si>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</si>
  <si>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</si>
  <si>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</si>
  <si>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</si>
  <si>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</si>
  <si>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</si>
  <si>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</si>
  <si>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</si>
  <si>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</si>
  <si>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</si>
  <si>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</si>
  <si>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</si>
  <si>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</si>
  <si>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</si>
  <si>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</si>
  <si>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</si>
  <si>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</si>
  <si>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</si>
  <si>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</si>
  <si>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</si>
  <si>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</si>
  <si>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</si>
  <si>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</si>
  <si>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</si>
  <si>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</si>
  <si>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</si>
  <si>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</si>
  <si>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</si>
  <si>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</si>
  <si>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</si>
  <si>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</si>
  <si>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</si>
  <si>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</si>
  <si>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</si>
  <si>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</si>
  <si>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</si>
  <si>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</si>
  <si>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</si>
  <si>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</si>
  <si>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</si>
  <si>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</si>
  <si>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</si>
  <si>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</si>
  <si>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</si>
  <si>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</si>
  <si>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</si>
  <si>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</si>
  <si>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</si>
  <si>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</si>
  <si>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</si>
  <si>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</si>
  <si>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</si>
  <si>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</si>
  <si>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</si>
  <si>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</si>
  <si>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</si>
  <si>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</si>
  <si>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</si>
  <si>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</si>
  <si>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</si>
  <si>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</si>
  <si>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</si>
  <si>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</si>
  <si>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</si>
  <si>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</si>
  <si>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</si>
  <si>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</si>
  <si>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</si>
  <si>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</si>
  <si>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</si>
  <si>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</si>
  <si>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</si>
  <si>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</si>
  <si>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</si>
  <si>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</si>
  <si>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</si>
  <si>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</si>
  <si>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</si>
  <si>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</si>
  <si>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</si>
  <si>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</si>
  <si>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</si>
  <si>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</si>
  <si>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</si>
  <si>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</si>
  <si>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</si>
  <si>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</si>
  <si>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</si>
  <si>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</si>
  <si>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</si>
  <si>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</si>
  <si>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</si>
  <si>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</si>
  <si>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</si>
  <si>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</si>
  <si>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</si>
  <si>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</si>
  <si>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</si>
  <si>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</si>
  <si>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</si>
  <si>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</si>
  <si>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</si>
  <si>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</si>
  <si>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</si>
  <si>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</si>
  <si>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</si>
  <si>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</si>
  <si>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</si>
  <si>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</si>
  <si>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</si>
  <si>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</si>
  <si>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</si>
  <si>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</si>
  <si>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</si>
  <si>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</si>
  <si>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</si>
  <si>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</si>
  <si>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</si>
  <si>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</si>
  <si>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</si>
  <si>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</si>
  <si>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</si>
  <si>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</si>
  <si>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</si>
  <si>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</si>
  <si>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</si>
  <si>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</si>
  <si>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</si>
  <si>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</si>
  <si>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</si>
  <si>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</si>
  <si>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</si>
  <si>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</si>
  <si>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</si>
  <si>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</si>
  <si>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</si>
  <si>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</si>
  <si>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</si>
  <si>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</si>
  <si>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</si>
  <si>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</si>
  <si>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</si>
  <si>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</si>
  <si>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</si>
  <si>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</si>
  <si>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</si>
  <si>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</si>
  <si>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</si>
  <si>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</si>
  <si>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</si>
  <si>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</si>
  <si>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</si>
  <si>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</si>
  <si>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</si>
  <si>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</si>
  <si>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</si>
  <si>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</si>
  <si>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</si>
  <si>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</si>
  <si>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</si>
  <si>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</si>
  <si>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</si>
  <si>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</si>
  <si>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</si>
  <si>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</si>
  <si>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</si>
  <si>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</si>
  <si>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</si>
  <si>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</si>
  <si>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</si>
  <si>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</si>
  <si>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</si>
  <si>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</si>
  <si>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</si>
  <si>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</si>
  <si>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</si>
  <si>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</si>
  <si>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</si>
  <si>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</si>
  <si>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</si>
  <si>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</si>
  <si>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</si>
  <si>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</si>
  <si>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</si>
  <si>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</si>
  <si>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</si>
  <si>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</si>
  <si>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</si>
  <si>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</si>
  <si>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</si>
  <si>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</si>
  <si>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</si>
  <si>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</si>
  <si>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</si>
  <si>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</si>
  <si>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</si>
  <si>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</si>
  <si>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</si>
  <si>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</si>
  <si>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</si>
  <si>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</si>
  <si>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</si>
  <si>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</si>
  <si>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</si>
  <si>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</si>
  <si>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</si>
  <si>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</si>
  <si>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</si>
  <si>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</si>
  <si>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</si>
  <si>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</si>
  <si>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</si>
  <si>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</si>
  <si>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</si>
  <si>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</si>
  <si>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</si>
  <si>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</si>
  <si>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</si>
  <si>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</si>
  <si>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</si>
  <si>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</si>
  <si>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</si>
  <si>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</si>
  <si>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</si>
  <si>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</si>
  <si>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</si>
  <si>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</si>
  <si>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</si>
  <si>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</si>
  <si>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</si>
  <si>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</si>
  <si>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</si>
  <si>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</si>
  <si>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</si>
  <si>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</si>
  <si>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</si>
  <si>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</si>
  <si>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</si>
  <si>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</si>
  <si>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</si>
  <si>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</si>
  <si>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</si>
  <si>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</si>
  <si>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</si>
  <si>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</si>
  <si>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</si>
  <si>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</si>
  <si>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</si>
  <si>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</si>
  <si>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</si>
  <si>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</si>
  <si>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</si>
  <si>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</si>
  <si>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</si>
  <si>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</si>
  <si>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</si>
  <si>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</si>
  <si>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</si>
  <si>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</si>
  <si>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</si>
  <si>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</si>
  <si>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</si>
  <si>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</si>
  <si>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</si>
  <si>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</si>
  <si>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</si>
  <si>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</si>
  <si>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</si>
  <si>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</si>
  <si>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</si>
  <si>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</si>
  <si>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</si>
  <si>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</si>
  <si>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</si>
  <si>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</si>
  <si>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</si>
  <si>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</si>
  <si>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</si>
  <si>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</si>
  <si>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</si>
  <si>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</si>
  <si>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</si>
  <si>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</si>
  <si>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</si>
  <si>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</si>
  <si>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</si>
  <si>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</si>
  <si>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</si>
  <si>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</si>
  <si>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</si>
  <si>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</si>
  <si>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</si>
  <si>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</si>
  <si>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</si>
  <si>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</si>
  <si>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</si>
  <si>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</si>
  <si>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</si>
  <si>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</si>
  <si>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</si>
  <si>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</si>
  <si>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</si>
  <si>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</si>
  <si>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</si>
  <si>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</si>
  <si>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</si>
  <si>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</si>
  <si>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</si>
  <si>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</si>
  <si>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</si>
  <si>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</si>
  <si>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</si>
  <si>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0000-2025-096416</t>
  </si>
  <si>
    <t>0000-2025-104354</t>
  </si>
  <si>
    <t>0000-2025-104356</t>
  </si>
  <si>
    <t>0000-2025-104358</t>
  </si>
  <si>
    <t>0001-2025-00001837</t>
  </si>
  <si>
    <t>1-11122</t>
  </si>
  <si>
    <t>0001-2025-202795</t>
  </si>
  <si>
    <t>0001-00145571</t>
  </si>
  <si>
    <t>0000-2025-099171</t>
  </si>
  <si>
    <t>0000-2025-105194</t>
  </si>
  <si>
    <t>0000-2025-177083</t>
  </si>
  <si>
    <t>0001-2025-203275</t>
  </si>
  <si>
    <t>1001-45722</t>
  </si>
  <si>
    <t>0001-00026806</t>
  </si>
  <si>
    <t>0001-00026233</t>
  </si>
  <si>
    <t>0001-0008311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</si>
  <si>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</si>
  <si>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</si>
  <si>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</si>
  <si>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</si>
  <si>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</si>
  <si>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</si>
  <si>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</si>
  <si>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</si>
  <si>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</si>
  <si>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</si>
  <si>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</si>
  <si>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</si>
  <si>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</si>
  <si>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</si>
  <si>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</si>
  <si>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</si>
  <si>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</si>
  <si>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</si>
  <si>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</si>
  <si>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</si>
  <si>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</si>
  <si>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</si>
  <si>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</si>
  <si>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</si>
  <si>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</si>
  <si>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</si>
  <si>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</si>
  <si>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</si>
  <si>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</si>
  <si>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</si>
  <si>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</si>
  <si>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</si>
  <si>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</si>
  <si>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</si>
  <si>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</si>
  <si>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</si>
  <si>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</si>
  <si>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</si>
  <si>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</si>
  <si>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</si>
  <si>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ND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</si>
  <si>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</si>
  <si>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</si>
  <si>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</si>
  <si>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</si>
  <si>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</si>
  <si>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</si>
  <si>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</si>
  <si>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</si>
  <si>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</si>
  <si>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</si>
  <si>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</si>
  <si>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</si>
  <si>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</si>
  <si>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</si>
  <si>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</si>
  <si>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</si>
  <si>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</si>
  <si>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</si>
  <si>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01/10/2025</t>
  </si>
  <si>
    <t>GIGAGLIA, MARIA LUCILA</t>
  </si>
  <si>
    <t>25315045</t>
  </si>
  <si>
    <t>Buenos Aires</t>
  </si>
  <si>
    <t>BECCAR</t>
  </si>
  <si>
    <t>CF</t>
  </si>
  <si>
    <t>MAIZTEGUI ANDRÉS</t>
  </si>
  <si>
    <t>20002428</t>
  </si>
  <si>
    <t>Ciudad de Buenos Aires</t>
  </si>
  <si>
    <t>RECOLETA</t>
  </si>
  <si>
    <t>AYELEN LUCIA ROLDAN</t>
  </si>
  <si>
    <t>27337476398</t>
  </si>
  <si>
    <t>SIN IDENTIFICAR</t>
  </si>
  <si>
    <t>CECILIA DEL PILAR TELLO MARTEL</t>
  </si>
  <si>
    <t>27951120370</t>
  </si>
  <si>
    <t xml:space="preserve">. CONSUMIDOR FINAL ANÓNIMO </t>
  </si>
  <si>
    <t>111</t>
  </si>
  <si>
    <t>02/10/2025</t>
  </si>
  <si>
    <t>03/10/2025</t>
  </si>
  <si>
    <t>06/10/2025</t>
  </si>
  <si>
    <t>07/10/2025</t>
  </si>
  <si>
    <t>PINO, ANA PAULA</t>
  </si>
  <si>
    <t>20008996</t>
  </si>
  <si>
    <t>FLORIDA</t>
  </si>
  <si>
    <t>SCHELGEL, LUIS ALBERTO</t>
  </si>
  <si>
    <t>ALVAREZ MARTA OLGA</t>
  </si>
  <si>
    <t>9955440</t>
  </si>
  <si>
    <t>RAMOS MEJIA</t>
  </si>
  <si>
    <t>BAUAB, CAROLINA</t>
  </si>
  <si>
    <t>SILVIA MONICA ROJAS</t>
  </si>
  <si>
    <t>27141958807</t>
  </si>
  <si>
    <t>BALVANERA</t>
  </si>
  <si>
    <t>AGOSTINO MIRIAM</t>
  </si>
  <si>
    <t>17275405</t>
  </si>
  <si>
    <t>CONEN SILVIA ADELA</t>
  </si>
  <si>
    <t>334529</t>
  </si>
  <si>
    <t>PILAR</t>
  </si>
  <si>
    <t>DESALVO MIGUEL ANGEL</t>
  </si>
  <si>
    <t>24448662</t>
  </si>
  <si>
    <t>08/10/2025</t>
  </si>
  <si>
    <t>DANELLI, RAQUEL</t>
  </si>
  <si>
    <t>ITUZAINGO</t>
  </si>
  <si>
    <t>09/10/2025</t>
  </si>
  <si>
    <t>13/10/2025</t>
  </si>
  <si>
    <t>ALEJANDRO CARLOS MIHANOVICH</t>
  </si>
  <si>
    <t>20041007266</t>
  </si>
  <si>
    <t>BALMAYOR ISABEL</t>
  </si>
  <si>
    <t>3203937</t>
  </si>
  <si>
    <t>FLORESTA</t>
  </si>
  <si>
    <t>RIVERO DE BARBA MARÍA EMILIA</t>
  </si>
  <si>
    <t>6091102</t>
  </si>
  <si>
    <t>ALCIDES BENITO CASELLA</t>
  </si>
  <si>
    <t>20041052415</t>
  </si>
  <si>
    <t>ERICK SAMIR FERNANDEZ RODRIGUEZ</t>
  </si>
  <si>
    <t>20940555516</t>
  </si>
  <si>
    <t>YOANA ELIZABETH CARDENAS</t>
  </si>
  <si>
    <t>27340248231</t>
  </si>
  <si>
    <t xml:space="preserve"> DORFMAN SANDRA</t>
  </si>
  <si>
    <t>SILVINA ALEJANDRA PEZZANO DE LUCA</t>
  </si>
  <si>
    <t>27205676800</t>
  </si>
  <si>
    <t>14/10/2025</t>
  </si>
  <si>
    <t>15/10/2025</t>
  </si>
  <si>
    <t>16/10/2025</t>
  </si>
  <si>
    <t>EDUARDO PENJASOFF</t>
  </si>
  <si>
    <t>20043010973</t>
  </si>
  <si>
    <t>MO</t>
  </si>
  <si>
    <t>17/10/2025</t>
  </si>
  <si>
    <t>20/10/2025</t>
  </si>
  <si>
    <t>21/10/2025</t>
  </si>
  <si>
    <t>22/10/2025</t>
  </si>
  <si>
    <t>PABLO ROBERTO LAFARGUE</t>
  </si>
  <si>
    <t>20124382867</t>
  </si>
  <si>
    <t>SALLES ANA MARIA</t>
  </si>
  <si>
    <t>17814995</t>
  </si>
  <si>
    <t>DANIEL MANUEL MEDINA</t>
  </si>
  <si>
    <t>20102581874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</si>
  <si>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</si>
  <si>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</si>
  <si>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</si>
  <si>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</si>
  <si>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</si>
  <si>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</si>
  <si>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</si>
  <si>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01/11/2025</t>
  </si>
  <si>
    <t>OBRA SOCIAL UNION PERSONAL DE LA UNION DEL PERSONAL CIVIL DE LA NACION</t>
  </si>
  <si>
    <t>30683032227</t>
  </si>
  <si>
    <t>RI</t>
  </si>
  <si>
    <t>FCA 0007-00002768</t>
  </si>
  <si>
    <t>03/11/2025</t>
  </si>
  <si>
    <t>FCB 0005-00014802</t>
  </si>
  <si>
    <t>FCB 0005-00014780</t>
  </si>
  <si>
    <t>FCB 0005-00014781</t>
  </si>
  <si>
    <t>FCB 0005-00014782</t>
  </si>
  <si>
    <t>FCB 0005-00014783</t>
  </si>
  <si>
    <t>FCB 0005-00014784</t>
  </si>
  <si>
    <t>FCB 0007-00006539</t>
  </si>
  <si>
    <t>FCB 0007-00006540</t>
  </si>
  <si>
    <t>FCB 0005-00014785</t>
  </si>
  <si>
    <t>FCB 0005-00014786</t>
  </si>
  <si>
    <t>FCB 0005-00014787</t>
  </si>
  <si>
    <t>FCB 0005-00014788</t>
  </si>
  <si>
    <t>FCB 0005-00014789</t>
  </si>
  <si>
    <t>FCB 0005-00014790</t>
  </si>
  <si>
    <t>FCB 0005-00014791</t>
  </si>
  <si>
    <t>FCB 0005-00014792</t>
  </si>
  <si>
    <t>FCB 0005-00014793</t>
  </si>
  <si>
    <t>JOSE ALFREDO RICCI</t>
  </si>
  <si>
    <t>20044265614</t>
  </si>
  <si>
    <t>FCB 0005-00014794</t>
  </si>
  <si>
    <t>FCB 0005-00014795</t>
  </si>
  <si>
    <t>ROSALINO OLMEDO</t>
  </si>
  <si>
    <t>20317844841</t>
  </si>
  <si>
    <t>FCB 0007-00006541</t>
  </si>
  <si>
    <t>FCB 0005-00014796</t>
  </si>
  <si>
    <t>FCB 0005-00014797</t>
  </si>
  <si>
    <t>ALEJANDRO GUSTAVO DELGADO</t>
  </si>
  <si>
    <t>20115286979</t>
  </si>
  <si>
    <t>FCB 0005-00014798</t>
  </si>
  <si>
    <t>FCB 0005-00014799</t>
  </si>
  <si>
    <t>FCB 0005-00014800</t>
  </si>
  <si>
    <t>FCB 0005-00014801</t>
  </si>
  <si>
    <t>04/11/2025</t>
  </si>
  <si>
    <t>FCB 0005-00014809</t>
  </si>
  <si>
    <t>FCB 0005-00014803</t>
  </si>
  <si>
    <t>FCB 0005-00014804</t>
  </si>
  <si>
    <t>FCB 0005-00014805</t>
  </si>
  <si>
    <t>FCB 0005-00014806</t>
  </si>
  <si>
    <t>FCB 0005-00014807</t>
  </si>
  <si>
    <t>FCB 0005-00014808</t>
  </si>
  <si>
    <t>05/11/2025</t>
  </si>
  <si>
    <t>FCB 0005-00014826</t>
  </si>
  <si>
    <t>FCB 0007-00006542</t>
  </si>
  <si>
    <t>FCB 0005-00014810</t>
  </si>
  <si>
    <t>FCB 0007-00006543</t>
  </si>
  <si>
    <t>FCB 0007-00006544</t>
  </si>
  <si>
    <t>FCB 0007-00006545</t>
  </si>
  <si>
    <t>FCB 0007-00006546</t>
  </si>
  <si>
    <t>FCB 0007-00006547</t>
  </si>
  <si>
    <t>FCB 0005-00014811</t>
  </si>
  <si>
    <t>FCB 0005-00014812</t>
  </si>
  <si>
    <t>FCB 0005-00014813</t>
  </si>
  <si>
    <t>FCB 0007-00006548</t>
  </si>
  <si>
    <t xml:space="preserve"> BENEIT MORA YAZMIN</t>
  </si>
  <si>
    <t>27460270915</t>
  </si>
  <si>
    <t>FCB 0007-00006549</t>
  </si>
  <si>
    <t>FCB 0007-00006550</t>
  </si>
  <si>
    <t>FCB 0007-00006551</t>
  </si>
  <si>
    <t>FCB 0005-00014814</t>
  </si>
  <si>
    <t>DAVID GUILLERMO GERARDUZZI</t>
  </si>
  <si>
    <t>20249957322</t>
  </si>
  <si>
    <t>Santa Fe</t>
  </si>
  <si>
    <t>SANTA FE</t>
  </si>
  <si>
    <t>FCB 0007-00006552</t>
  </si>
  <si>
    <t>BIANCHI TERESA GERMANA</t>
  </si>
  <si>
    <t>2719694</t>
  </si>
  <si>
    <t>FCB 0007-00006553</t>
  </si>
  <si>
    <t>FCB 0005-00014815</t>
  </si>
  <si>
    <t>FCB 0007-00006554</t>
  </si>
  <si>
    <t>FCB 0007-00006555</t>
  </si>
  <si>
    <t>FCB 0005-00014816</t>
  </si>
  <si>
    <t>SOSA MARIA GRACIELA</t>
  </si>
  <si>
    <t>2551284</t>
  </si>
  <si>
    <t>GENERAL RODRIGUEZ</t>
  </si>
  <si>
    <t>FCB 0007-00006556</t>
  </si>
  <si>
    <t>FCB 0007-00006557</t>
  </si>
  <si>
    <t>CLAVIJO ROQUE</t>
  </si>
  <si>
    <t>94433546</t>
  </si>
  <si>
    <t>FCB 0007-00006558</t>
  </si>
  <si>
    <t>FCB 0005-00014817</t>
  </si>
  <si>
    <t>FCB 0005-00014818</t>
  </si>
  <si>
    <t>CHINA NORMA NANCY</t>
  </si>
  <si>
    <t>21584499</t>
  </si>
  <si>
    <t>FCB 0007-00006559</t>
  </si>
  <si>
    <t>FCB 0007-00006560</t>
  </si>
  <si>
    <t xml:space="preserve"> ROMERO ADRIANA DEL CARMEN</t>
  </si>
  <si>
    <t>27244220709</t>
  </si>
  <si>
    <t>FCB 0007-00006561</t>
  </si>
  <si>
    <t>MARCELO ALEJANDRO ESCALANTE</t>
  </si>
  <si>
    <t>20186499019</t>
  </si>
  <si>
    <t>FCB 0007-00006562</t>
  </si>
  <si>
    <t>FCB 0005-00014819</t>
  </si>
  <si>
    <t>FCB 0005-00014820</t>
  </si>
  <si>
    <t>FCB 0005-00014821</t>
  </si>
  <si>
    <t>FCB 0005-00014822</t>
  </si>
  <si>
    <t>FCB 0005-00014823</t>
  </si>
  <si>
    <t>DIEGO SEBASTIAN OSCAR VILLAGRAN</t>
  </si>
  <si>
    <t>20274216752</t>
  </si>
  <si>
    <t>FCB 0005-00014824</t>
  </si>
  <si>
    <t>FCB 0005-00014825</t>
  </si>
  <si>
    <t>06/11/2025</t>
  </si>
  <si>
    <t xml:space="preserve"> SANTA CRUZ ELISA</t>
  </si>
  <si>
    <t>16145627</t>
  </si>
  <si>
    <t>BANFIELD</t>
  </si>
  <si>
    <t>FCB 0007-00006563</t>
  </si>
  <si>
    <t>GERMAN DARIO RAMOS</t>
  </si>
  <si>
    <t>20258280416</t>
  </si>
  <si>
    <t>FCA 0007-00002769</t>
  </si>
  <si>
    <t>CORIGLIANO, LORENA ELISA</t>
  </si>
  <si>
    <t>25864351</t>
  </si>
  <si>
    <t>SARANDI</t>
  </si>
  <si>
    <t>FCB 0007-00006564</t>
  </si>
  <si>
    <t>GONZALEZ NATALIA JUDITH</t>
  </si>
  <si>
    <t>23767069</t>
  </si>
  <si>
    <t>RETIRO</t>
  </si>
  <si>
    <t>FCB 0007-00006565</t>
  </si>
  <si>
    <t>BALDANTONI JORGE RUBEN</t>
  </si>
  <si>
    <t>17486158</t>
  </si>
  <si>
    <t>FCB 0007-00006566</t>
  </si>
  <si>
    <t>MARCELLI DE SACRISTAN ELBA JOSEFINA</t>
  </si>
  <si>
    <t>0533257</t>
  </si>
  <si>
    <t>FCB 0007-00006567</t>
  </si>
  <si>
    <t>CONSTANZO DE DEL CASTILLO NORMA</t>
  </si>
  <si>
    <t>026282</t>
  </si>
  <si>
    <t>FCB 0007-00006568</t>
  </si>
  <si>
    <t>MATSUO, MARGARITA NOEMI</t>
  </si>
  <si>
    <t>5607654</t>
  </si>
  <si>
    <t>VILLA ELISA</t>
  </si>
  <si>
    <t>FCB 0007-00006569</t>
  </si>
  <si>
    <t>FCB 0005-00014827</t>
  </si>
  <si>
    <t>FCB 0005-00014828</t>
  </si>
  <si>
    <t>FCB 0005-00014829</t>
  </si>
  <si>
    <t>ALEX ENRIQUE BRIONES CORTEZ</t>
  </si>
  <si>
    <t>20947113489</t>
  </si>
  <si>
    <t>FCB 0007-00006570</t>
  </si>
  <si>
    <t>FCB 0005-00014830</t>
  </si>
  <si>
    <t>FCB 0005-00014831</t>
  </si>
  <si>
    <t>FCB 0005-00014832</t>
  </si>
  <si>
    <t>FCB 0005-00014833</t>
  </si>
  <si>
    <t>FCB 0005-00014834</t>
  </si>
  <si>
    <t>FCB 0005-00014835</t>
  </si>
  <si>
    <t>FCB 0005-00014836</t>
  </si>
  <si>
    <t>FCB 0005-00014837</t>
  </si>
  <si>
    <t>FCB 0005-00014838</t>
  </si>
  <si>
    <t>FCB 0005-00014839</t>
  </si>
  <si>
    <t>FCB 0005-00014840</t>
  </si>
  <si>
    <t>FCB 0005-00014841</t>
  </si>
  <si>
    <t>FCB 0005-00014842</t>
  </si>
  <si>
    <t>FCB 0005-00014843</t>
  </si>
  <si>
    <t>07/11/2025</t>
  </si>
  <si>
    <t>FCB 0005-00014844</t>
  </si>
  <si>
    <t>FCB 0005-00014845</t>
  </si>
  <si>
    <t>GLADYS FLORES LANDEON</t>
  </si>
  <si>
    <t>27190389737</t>
  </si>
  <si>
    <t>FCB 0005-00014846</t>
  </si>
  <si>
    <t>FCB 0005-00014847</t>
  </si>
  <si>
    <t>CESAR GASTON FERNANDEZ</t>
  </si>
  <si>
    <t>20316940057</t>
  </si>
  <si>
    <t>FCB 0005-00014848</t>
  </si>
  <si>
    <t>FCB 0005-00014849</t>
  </si>
  <si>
    <t>FCB 0005-00014850</t>
  </si>
  <si>
    <t>FCB 0005-00014851</t>
  </si>
  <si>
    <t xml:space="preserve"> FIORE MARIA ROSA</t>
  </si>
  <si>
    <t>20127926116</t>
  </si>
  <si>
    <t>FCB 0007-00006571</t>
  </si>
  <si>
    <t>FCB 0005-00014852</t>
  </si>
  <si>
    <t>FCB 0007-00006572</t>
  </si>
  <si>
    <t>ENRIQUE LUIS SAGGESE</t>
  </si>
  <si>
    <t>4186965</t>
  </si>
  <si>
    <t>FCB 0007-00006573</t>
  </si>
  <si>
    <t>10/11/2025</t>
  </si>
  <si>
    <t>VALENTINA DEL BARRIO</t>
  </si>
  <si>
    <t>27473795790</t>
  </si>
  <si>
    <t>FCB 0007-00006574</t>
  </si>
  <si>
    <t>FCB 0005-00014853</t>
  </si>
  <si>
    <t>FCB 0005-00014854</t>
  </si>
  <si>
    <t>FCB 0005-00014855</t>
  </si>
  <si>
    <t>FCB 0005-00014856</t>
  </si>
  <si>
    <t>NCB 0005-00000177</t>
  </si>
  <si>
    <t>FCB 0005-00014857</t>
  </si>
  <si>
    <t>FCB 0005-00014858</t>
  </si>
  <si>
    <t>FCB 0005-00014859</t>
  </si>
  <si>
    <t>FCB 0005-00014860</t>
  </si>
  <si>
    <t>FCB 0007-00006575</t>
  </si>
  <si>
    <t>FCB 0007-00006576</t>
  </si>
  <si>
    <t>FCB 0007-00006577</t>
  </si>
  <si>
    <t>FCB 0007-00006578</t>
  </si>
  <si>
    <t>FCB 0007-00006579</t>
  </si>
  <si>
    <t>FCB 0007-00006580</t>
  </si>
  <si>
    <t>FCB 0005-00014861</t>
  </si>
  <si>
    <t>FCB 0007-00006581</t>
  </si>
  <si>
    <t>FCB 0007-00006582</t>
  </si>
  <si>
    <t>GABRIELA VANINA GALLO</t>
  </si>
  <si>
    <t>26542077</t>
  </si>
  <si>
    <t>FCB 0007-00006583</t>
  </si>
  <si>
    <t>ARANA, MARCELLA OFELIA</t>
  </si>
  <si>
    <t>10138957</t>
  </si>
  <si>
    <t>FCB 0007-00006584</t>
  </si>
  <si>
    <t>MINERVINI, MARIA DEL CARMEN LILIANA</t>
  </si>
  <si>
    <t>12791306</t>
  </si>
  <si>
    <t>FCB 0007-00006585</t>
  </si>
  <si>
    <t>MONTI, MARIA PAULA</t>
  </si>
  <si>
    <t>24699538</t>
  </si>
  <si>
    <t>MAR DEL PLATA</t>
  </si>
  <si>
    <t>FCB 0007-00006586</t>
  </si>
  <si>
    <t>FCB 0005-00014862</t>
  </si>
  <si>
    <t>FCB 0005-00014863</t>
  </si>
  <si>
    <t>FCB 0005-00014864</t>
  </si>
  <si>
    <t>FCB 0005-00014865</t>
  </si>
  <si>
    <t>MARIA ESTHER RUDINO</t>
  </si>
  <si>
    <t>27038655901</t>
  </si>
  <si>
    <t>FCB 0005-00014866</t>
  </si>
  <si>
    <t>FCB 0005-00014867</t>
  </si>
  <si>
    <t>11/11/2025</t>
  </si>
  <si>
    <t>FCB 0005-00014868</t>
  </si>
  <si>
    <t>FCB 0005-00014869</t>
  </si>
  <si>
    <t>FCB 0005-00014870</t>
  </si>
  <si>
    <t>FCB 0005-00014871</t>
  </si>
  <si>
    <t>FCB 0007-00006587</t>
  </si>
  <si>
    <t>FERNANDO MIGUEL MANZIONI</t>
  </si>
  <si>
    <t>20234731360</t>
  </si>
  <si>
    <t>FCB 0005-00014872</t>
  </si>
  <si>
    <t>PAULA ANDREA PIAGGIO</t>
  </si>
  <si>
    <t>27182477368</t>
  </si>
  <si>
    <t>FCA 0007-00002770</t>
  </si>
  <si>
    <t>AMPARO SALUD S.R.L.</t>
  </si>
  <si>
    <t>30715186655</t>
  </si>
  <si>
    <t>FCA 0007-00002771</t>
  </si>
  <si>
    <t>FCB 0005-00014873</t>
  </si>
  <si>
    <t>HC HOMECARE INTERNACION DOMICILIARIA S.A.</t>
  </si>
  <si>
    <t>30710538014</t>
  </si>
  <si>
    <t>VILLA MARTELLI</t>
  </si>
  <si>
    <t>FCA 0007-00002772</t>
  </si>
  <si>
    <t>OBRA SOCIAL DE LOS TRABAJADORES DE LA INDUSTRIA DEL GAS</t>
  </si>
  <si>
    <t>30658137642</t>
  </si>
  <si>
    <t>EX</t>
  </si>
  <si>
    <t>FCB 0007-00006588</t>
  </si>
  <si>
    <t>Obra Social Del Personal De La Industria Del Plastico</t>
  </si>
  <si>
    <t>30571766287</t>
  </si>
  <si>
    <t>FCB 0007-00006589</t>
  </si>
  <si>
    <t>FCB 0007-00006590</t>
  </si>
  <si>
    <t>FCA 0007-00002773</t>
  </si>
  <si>
    <t>NCA 0007-00000213</t>
  </si>
  <si>
    <t>FCB 0005-00014874</t>
  </si>
  <si>
    <t>FCB 0005-00014875</t>
  </si>
  <si>
    <t>OBRA SOCIAL DEL PERSONAL DE LAS TELECOMUNICACIONES DE LA REPUBLICA ARGENTINA</t>
  </si>
  <si>
    <t>30608716390</t>
  </si>
  <si>
    <t>FCA 0007-00002774</t>
  </si>
  <si>
    <t>FCA 0007-00002776</t>
  </si>
  <si>
    <t>FCA 0007-00002777</t>
  </si>
  <si>
    <t>FCA 0007-00002778</t>
  </si>
  <si>
    <t xml:space="preserve"> SAN PEDRO ADRIANA BEATRIZ</t>
  </si>
  <si>
    <t>27220011009</t>
  </si>
  <si>
    <t>FCB 0007-00006591</t>
  </si>
  <si>
    <t>FCA 0007-00002779</t>
  </si>
  <si>
    <t>FCA 0007-00002780</t>
  </si>
  <si>
    <t>FCB 0005-00014876</t>
  </si>
  <si>
    <t>FCB 0005-00014877</t>
  </si>
  <si>
    <t>FCB 0005-00014878</t>
  </si>
  <si>
    <t>DELIA CATALINA CABRERA VERA</t>
  </si>
  <si>
    <t>23947883194</t>
  </si>
  <si>
    <t>FCB 0007-00006592</t>
  </si>
  <si>
    <t>ALEJANDRO AUGUSTO BALDASSARRE LABARRIERE</t>
  </si>
  <si>
    <t>23136532979</t>
  </si>
  <si>
    <t>FCA 0005-00000188</t>
  </si>
  <si>
    <t>INSTITUTO PROVINCIAL DEL SEGURO DE SALUD I PRO S S</t>
  </si>
  <si>
    <t>30999077508</t>
  </si>
  <si>
    <t>Rio Negro</t>
  </si>
  <si>
    <t>VIEDMA</t>
  </si>
  <si>
    <t>NCB 0007-00000229</t>
  </si>
  <si>
    <t>FCB 0005-00014879</t>
  </si>
  <si>
    <t>FCB 0005-00014880</t>
  </si>
  <si>
    <t>12/11/2025</t>
  </si>
  <si>
    <t>FCB 0005-00014881</t>
  </si>
  <si>
    <t>FCB 0005-00014882</t>
  </si>
  <si>
    <t>FCB 0005-00014883</t>
  </si>
  <si>
    <t>FCB 0005-00014884</t>
  </si>
  <si>
    <t>FCA 0007-00002781</t>
  </si>
  <si>
    <t>FCB 0005-00014885</t>
  </si>
  <si>
    <t>FCA 0007-00002782</t>
  </si>
  <si>
    <t>FCB 0005-00014886</t>
  </si>
  <si>
    <t>FCA 0007-00002783</t>
  </si>
  <si>
    <t>FCA 0007-00002784</t>
  </si>
  <si>
    <t>FCA 0007-00002785</t>
  </si>
  <si>
    <t>FCA 0007-00002786</t>
  </si>
  <si>
    <t>FCA 0007-00002787</t>
  </si>
  <si>
    <t>FCA 0007-00002788</t>
  </si>
  <si>
    <t>FCA 0007-00002789</t>
  </si>
  <si>
    <t>FCA 0007-00002790</t>
  </si>
  <si>
    <t>FCA 0007-00002791</t>
  </si>
  <si>
    <t>FCA 0007-00002792</t>
  </si>
  <si>
    <t>FCA 0007-00002793</t>
  </si>
  <si>
    <t>FCB 0007-00006593</t>
  </si>
  <si>
    <t>FCB 0007-00006594</t>
  </si>
  <si>
    <t>FCB 0007-00006595</t>
  </si>
  <si>
    <t>FCA 0007-00002794</t>
  </si>
  <si>
    <t>FCB 0005-00014887</t>
  </si>
  <si>
    <t>VICTOR  DAVID VILLALON</t>
  </si>
  <si>
    <t>20211565633</t>
  </si>
  <si>
    <t>CLAYPOLE</t>
  </si>
  <si>
    <t>FCB 0005-00014888</t>
  </si>
  <si>
    <t>FCB 0005-00014889</t>
  </si>
  <si>
    <t>FCB 0005-00014890</t>
  </si>
  <si>
    <t>FCB 0005-00014891</t>
  </si>
  <si>
    <t>FCB 0005-00014892</t>
  </si>
  <si>
    <t>30522428163</t>
  </si>
  <si>
    <t>NCA 0006-00000101</t>
  </si>
  <si>
    <t>FCB 0005-00014893</t>
  </si>
  <si>
    <t xml:space="preserve"> SALAZAR RODRIGUEZ YOHANDER JESUS</t>
  </si>
  <si>
    <t>20958933771</t>
  </si>
  <si>
    <t>FCB 0005-00014894</t>
  </si>
  <si>
    <t>FCB 0005-00014895</t>
  </si>
  <si>
    <t>FCB 0005-00014896</t>
  </si>
  <si>
    <t>13/11/2025</t>
  </si>
  <si>
    <t>FCB 0005-00014897</t>
  </si>
  <si>
    <t>FCB 0005-00014898</t>
  </si>
  <si>
    <t>FCB 0005-00014899</t>
  </si>
  <si>
    <t>FCA 0007-00002795</t>
  </si>
  <si>
    <t>NCA 0007-00000214</t>
  </si>
  <si>
    <t>FCB 0005-00014900</t>
  </si>
  <si>
    <t>FCB 0005-00014901</t>
  </si>
  <si>
    <t>FCB 0005-00014902</t>
  </si>
  <si>
    <t>CARLA MARTINA OLGUIN</t>
  </si>
  <si>
    <t>27432385332</t>
  </si>
  <si>
    <t>FCB 0007-00006596</t>
  </si>
  <si>
    <t>FCB 0007-00006597</t>
  </si>
  <si>
    <t>FCB 0005-00014903</t>
  </si>
  <si>
    <t>FCB 0005-00014904</t>
  </si>
  <si>
    <t>FCB 0005-00014905</t>
  </si>
  <si>
    <t>FCB 0005-00014906</t>
  </si>
  <si>
    <t>FCB 0005-00014907</t>
  </si>
  <si>
    <t>FCB 0005-00014908</t>
  </si>
  <si>
    <t>LUZ VIANEY RAMOS MARTINEZ</t>
  </si>
  <si>
    <t>27937925862</t>
  </si>
  <si>
    <t>FCB 0005-00014909</t>
  </si>
  <si>
    <t>FCB 0005-00014910</t>
  </si>
  <si>
    <t>FCB 0005-00014911</t>
  </si>
  <si>
    <t>FCB 0005-00014912</t>
  </si>
  <si>
    <t>NCB 0005-00000178</t>
  </si>
  <si>
    <t>FCB 0005-00014913</t>
  </si>
  <si>
    <t>FCB 0005-00014914</t>
  </si>
  <si>
    <t>14/11/2025</t>
  </si>
  <si>
    <t>FCB 0005-00014915</t>
  </si>
  <si>
    <t>FCB 0005-00014916</t>
  </si>
  <si>
    <t>FCB 0005-00014917</t>
  </si>
  <si>
    <t>ARIEL FERNANDO CAMIÑO GARCIA</t>
  </si>
  <si>
    <t>20168927070</t>
  </si>
  <si>
    <t>FCB 0007-00006598</t>
  </si>
  <si>
    <t>FCB 0007-00006599</t>
  </si>
  <si>
    <t>FCB 0005-00014918</t>
  </si>
  <si>
    <t>FCB 0005-00014919</t>
  </si>
  <si>
    <t>NCB 0007-00000230</t>
  </si>
  <si>
    <t>FCB 0005-00014920</t>
  </si>
  <si>
    <t>FCB 0005-00014921</t>
  </si>
  <si>
    <t>FCB 0005-00014922</t>
  </si>
  <si>
    <t>FCB 0005-00014923</t>
  </si>
  <si>
    <t>LOGIN DOOR S.A</t>
  </si>
  <si>
    <t>30711244383</t>
  </si>
  <si>
    <t>FCA 0007-00002796</t>
  </si>
  <si>
    <t>FCA 0007-00002797</t>
  </si>
  <si>
    <t>HECTOR RAUL CHOCOBAR</t>
  </si>
  <si>
    <t>20202914870</t>
  </si>
  <si>
    <t>FCB 0007-00006600</t>
  </si>
  <si>
    <t>FCB 0005-00014924</t>
  </si>
  <si>
    <t>30590354798</t>
  </si>
  <si>
    <t>SUNCHALES</t>
  </si>
  <si>
    <t>FCB 0007-00006601</t>
  </si>
  <si>
    <t>FCB 0005-00014925</t>
  </si>
  <si>
    <t>OBRA SOCIAL DEL SINDICATO DE MECANICOS Y AFINES DEL TRANSPORTE AUTOMOTOR</t>
  </si>
  <si>
    <t>30590412631</t>
  </si>
  <si>
    <t>FCA 0007-00002798</t>
  </si>
  <si>
    <t>FCB 0005-00014926</t>
  </si>
  <si>
    <t>FCB 0007-00006602</t>
  </si>
  <si>
    <t>FCB 0007-00006603</t>
  </si>
  <si>
    <t>FCB 0005-00014927</t>
  </si>
  <si>
    <t>FCB 0005-00014928</t>
  </si>
  <si>
    <t>FCA 0007-00002799</t>
  </si>
  <si>
    <t>FCA 0007-00002800</t>
  </si>
  <si>
    <t>FCB 0005-00014929</t>
  </si>
  <si>
    <t>17/11/2025</t>
  </si>
  <si>
    <t>FCB 0007-00006604</t>
  </si>
  <si>
    <t>FCB 0005-00014930</t>
  </si>
  <si>
    <t>FCB 0005-00014931</t>
  </si>
  <si>
    <t>FCB 0005-00014932</t>
  </si>
  <si>
    <t>FCB 0005-00014933</t>
  </si>
  <si>
    <t>DYLAN HORACIO GUTIERREZ MONTANO</t>
  </si>
  <si>
    <t>20962883258</t>
  </si>
  <si>
    <t>FCB 0005-00014934</t>
  </si>
  <si>
    <t>FCB 0005-00014935</t>
  </si>
  <si>
    <t>FCB 0005-00014936</t>
  </si>
  <si>
    <t>FCA 0007-00002801</t>
  </si>
  <si>
    <t>FCB 0005-00014937</t>
  </si>
  <si>
    <t>FCB 0005-00014938</t>
  </si>
  <si>
    <t>FCB 0005-00014939</t>
  </si>
  <si>
    <t>FCB 0005-00014940</t>
  </si>
  <si>
    <t>FCB 0005-00014941</t>
  </si>
  <si>
    <t>FCB 0005-00014942</t>
  </si>
  <si>
    <t>FCB 0005-00014943</t>
  </si>
  <si>
    <t>FCB 0005-00014944</t>
  </si>
  <si>
    <t>FCB 0005-00014945</t>
  </si>
  <si>
    <t>FCB 0005-00014946</t>
  </si>
  <si>
    <t>ZOILA ROSARIO MORENO</t>
  </si>
  <si>
    <t>27059431906</t>
  </si>
  <si>
    <t>FCB 0005-00014947</t>
  </si>
  <si>
    <t>30707612971</t>
  </si>
  <si>
    <t>FCA 0007-00002802</t>
  </si>
  <si>
    <t>18/11/2025</t>
  </si>
  <si>
    <t>FCB 0007-00006605</t>
  </si>
  <si>
    <t>FCB 0007-00006606</t>
  </si>
  <si>
    <t>FCB 0005-00014948</t>
  </si>
  <si>
    <t>FCB 0005-00014949</t>
  </si>
  <si>
    <t>FCB 0007-00006607</t>
  </si>
  <si>
    <t>FCB 0007-00006608</t>
  </si>
  <si>
    <t>FCB 0007-00006609</t>
  </si>
  <si>
    <t>FCB 0007-00006610</t>
  </si>
  <si>
    <t>FCB 0007-00006611</t>
  </si>
  <si>
    <t>SILVIA MARTA KALCHGRUBER</t>
  </si>
  <si>
    <t>23062767634</t>
  </si>
  <si>
    <t>FCB 0005-00014950</t>
  </si>
  <si>
    <t>SC PILAR S.A.</t>
  </si>
  <si>
    <t>30712529721</t>
  </si>
  <si>
    <t>FCA 0007-00002803</t>
  </si>
  <si>
    <t>FCB 0005-00014951</t>
  </si>
  <si>
    <t>RSC S.A.</t>
  </si>
  <si>
    <t>30712136754</t>
  </si>
  <si>
    <t>FCA 0007-00002804</t>
  </si>
  <si>
    <t>30587842358</t>
  </si>
  <si>
    <t>FCA 0007-00002805</t>
  </si>
  <si>
    <t>FCB 0005-00014952</t>
  </si>
  <si>
    <t>FCB 0005-00014953</t>
  </si>
  <si>
    <t>EGESAC SOCIEDAD ANONIM</t>
  </si>
  <si>
    <t>30606274161</t>
  </si>
  <si>
    <t>FCA 0007-00002806</t>
  </si>
  <si>
    <t>FCB 0005-00014954</t>
  </si>
  <si>
    <t>FCB 0005-00014955</t>
  </si>
  <si>
    <t>19/11/2025</t>
  </si>
  <si>
    <t>FCB 0005-00014956</t>
  </si>
  <si>
    <t>FCB 0005-00014957</t>
  </si>
  <si>
    <t>FCB 0005-00014958</t>
  </si>
  <si>
    <t>FCA 0007-00002807</t>
  </si>
  <si>
    <t>FCB 0005-00014959</t>
  </si>
  <si>
    <t>FCB 0005-00014971</t>
  </si>
  <si>
    <t>FCA 0007-00002808</t>
  </si>
  <si>
    <t>FCB 0005-00014960</t>
  </si>
  <si>
    <t>FCB 0005-00014961</t>
  </si>
  <si>
    <t>MEDICUS SOCIEDAD ANONIMA DE ASISTENCIA MEDICA Y CIENTIFICA</t>
  </si>
  <si>
    <t>30546771314</t>
  </si>
  <si>
    <t>FCA 0007-00002809</t>
  </si>
  <si>
    <t>FCB 0005-00014962</t>
  </si>
  <si>
    <t>FCA 0007-00002810</t>
  </si>
  <si>
    <t>FCA 0007-00002811</t>
  </si>
  <si>
    <t>FCA 0007-00002812</t>
  </si>
  <si>
    <t>FCB 0005-00014963</t>
  </si>
  <si>
    <t>FCB 0005-00014964</t>
  </si>
  <si>
    <t>FCB 0005-00014965</t>
  </si>
  <si>
    <t>FCB 0005-00014966</t>
  </si>
  <si>
    <t>FCB 0005-00014967</t>
  </si>
  <si>
    <t>FCB 0005-00014968</t>
  </si>
  <si>
    <t>FCB 0007-00006612</t>
  </si>
  <si>
    <t>FCB 0005-00014969</t>
  </si>
  <si>
    <t>FCB 0005-00014970</t>
  </si>
  <si>
    <t>OBRA SOCIAL DEL PERSONAL DEL ORGANISMO DE CONTROL EXTERNO</t>
  </si>
  <si>
    <t>30657314974</t>
  </si>
  <si>
    <t>FCB 0007-00006613</t>
  </si>
  <si>
    <t>20/11/2025</t>
  </si>
  <si>
    <t>FCA 0006-00000646</t>
  </si>
  <si>
    <t>Galeno A.R.T. S.A.</t>
  </si>
  <si>
    <t>30685228501</t>
  </si>
  <si>
    <t>FCB 0007-00006614</t>
  </si>
  <si>
    <t>FCA 0007-00002813</t>
  </si>
  <si>
    <t>FCB 0005-00014972</t>
  </si>
  <si>
    <t>FCA 0007-00002814</t>
  </si>
  <si>
    <t>FCB 0005-00014973</t>
  </si>
  <si>
    <t>JULIO CESAR ALDREY</t>
  </si>
  <si>
    <t>20045476333</t>
  </si>
  <si>
    <t>FCB 0007-00006615</t>
  </si>
  <si>
    <t xml:space="preserve"> CALLE SEGUNDO MARIA DEL CARMEN</t>
  </si>
  <si>
    <t>27941648989</t>
  </si>
  <si>
    <t>FCB 0007-00006616</t>
  </si>
  <si>
    <t>MGR IMPLANTES S.A.</t>
  </si>
  <si>
    <t>30709016012</t>
  </si>
  <si>
    <t>FCA 0007-00002815</t>
  </si>
  <si>
    <t>FCB 0005-00014974</t>
  </si>
  <si>
    <t>FCB 0007-00006617</t>
  </si>
  <si>
    <t>FCB 0007-00006618</t>
  </si>
  <si>
    <t>FCB 0007-00006619</t>
  </si>
  <si>
    <t>NAJUS ANIBAL RUBEN</t>
  </si>
  <si>
    <t>FCB 0007-00006620</t>
  </si>
  <si>
    <t>FCB 0007-00006621</t>
  </si>
  <si>
    <t>FCB 0005-00014975</t>
  </si>
  <si>
    <t>FCB 0005-00014976</t>
  </si>
  <si>
    <t>FCB 0005-00014977</t>
  </si>
  <si>
    <t>FCB 0005-00014978</t>
  </si>
  <si>
    <t>FCB 0005-00014979</t>
  </si>
  <si>
    <t>FCB 0005-00014980</t>
  </si>
  <si>
    <t>FCB 0005-00014981</t>
  </si>
  <si>
    <t>GABRIELA TERESA FOLGUEIRAS</t>
  </si>
  <si>
    <t>27167647419</t>
  </si>
  <si>
    <t>FCB 0005-00014982</t>
  </si>
  <si>
    <t>FCB 0007-00006622</t>
  </si>
  <si>
    <t>25/11/2025</t>
  </si>
  <si>
    <t>FCB 0005-00014983</t>
  </si>
  <si>
    <t>FCB 0005-00014984</t>
  </si>
  <si>
    <t>FCB 0005-00014985</t>
  </si>
  <si>
    <t>FCB 0005-00014986</t>
  </si>
  <si>
    <t>FCB 0005-00014987</t>
  </si>
  <si>
    <t>FCB 0005-00014988</t>
  </si>
  <si>
    <t>FCB 0005-00014989</t>
  </si>
  <si>
    <t>FCB 0007-00006623</t>
  </si>
  <si>
    <t>FCB 0005-00014990</t>
  </si>
  <si>
    <t>FCB 0007-00006624</t>
  </si>
  <si>
    <t>FCB 0007-00006625</t>
  </si>
  <si>
    <t>FCB 0007-00006626</t>
  </si>
  <si>
    <t>FCB 0005-00014991</t>
  </si>
  <si>
    <t>CARLOS GABRIEL CANEPA</t>
  </si>
  <si>
    <t>20183944356</t>
  </si>
  <si>
    <t>FCB 0007-00006627</t>
  </si>
  <si>
    <t>FCB 0007-00006628</t>
  </si>
  <si>
    <t>FCB 0007-00006629</t>
  </si>
  <si>
    <t>FCB 0007-00006630</t>
  </si>
  <si>
    <t>FCA 0007-00002816</t>
  </si>
  <si>
    <t>FCB 0007-00006631</t>
  </si>
  <si>
    <t>FCB 0007-00006632</t>
  </si>
  <si>
    <t>FCB 0005-00014992</t>
  </si>
  <si>
    <t>FCB 0005-00014993</t>
  </si>
  <si>
    <t>MARTA ALICIA RIOS</t>
  </si>
  <si>
    <t>27104199181</t>
  </si>
  <si>
    <t>FCB 0007-00006633</t>
  </si>
  <si>
    <t>FCB 0005-00014994</t>
  </si>
  <si>
    <t>FCB 0007-00006634</t>
  </si>
  <si>
    <t>FCA 0006-00000647</t>
  </si>
  <si>
    <t>26/11/2025</t>
  </si>
  <si>
    <t>FCB 0005-00014995</t>
  </si>
  <si>
    <t>FCB 0005-00014996</t>
  </si>
  <si>
    <t>FCB 0005-00014997</t>
  </si>
  <si>
    <t>FCB 0005-00014998</t>
  </si>
  <si>
    <t>FCB 0005-00014999</t>
  </si>
  <si>
    <t>FCB 0005-00015000</t>
  </si>
  <si>
    <t>FCB 0005-00015001</t>
  </si>
  <si>
    <t>FCA 0007-00002817</t>
  </si>
  <si>
    <t>Fecha Emision</t>
  </si>
  <si>
    <t>Fecha Contable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</si>
  <si>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</si>
  <si>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</si>
  <si>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</si>
  <si>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</si>
  <si>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</si>
  <si>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</si>
  <si>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</si>
  <si>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</si>
  <si>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</si>
  <si>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</si>
  <si>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</si>
  <si>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</si>
  <si>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</si>
  <si>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</si>
  <si>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Cod Fa</t>
  </si>
  <si>
    <t>IVA S/ EXTRACTOS</t>
  </si>
  <si>
    <t>Banco Credicoop</t>
  </si>
  <si>
    <t>Banco Patagonia</t>
  </si>
  <si>
    <t>FCA 00001-00143079</t>
  </si>
  <si>
    <t>CONTABILIUM SA</t>
  </si>
  <si>
    <t>30714864269</t>
  </si>
  <si>
    <t>Servicios</t>
  </si>
  <si>
    <t>FCA 00500-01805067</t>
  </si>
  <si>
    <t>30654118767</t>
  </si>
  <si>
    <t>Bienes</t>
  </si>
  <si>
    <t>FCA 00006-00023963</t>
  </si>
  <si>
    <t>33715594949</t>
  </si>
  <si>
    <t>FCC 00001-00000006</t>
  </si>
  <si>
    <t>PAULA CIVALE</t>
  </si>
  <si>
    <t>27380284052</t>
  </si>
  <si>
    <t>FCA 00004-00041612</t>
  </si>
  <si>
    <t>EMILIANO RUBEN LEDESMA</t>
  </si>
  <si>
    <t>20289111329</t>
  </si>
  <si>
    <t>FCC 00001-00000196</t>
  </si>
  <si>
    <t>PAMELA RITA CANCINO</t>
  </si>
  <si>
    <t>27338342840</t>
  </si>
  <si>
    <t>FCA 00002-00000254</t>
  </si>
  <si>
    <t>30605344352</t>
  </si>
  <si>
    <t>FCA 00001-01071638</t>
  </si>
  <si>
    <t>VERISURE ARGENTINA MONITOREO DE ALARMAS SA</t>
  </si>
  <si>
    <t>33716307749</t>
  </si>
  <si>
    <t>Sin comprobante</t>
  </si>
  <si>
    <t>NCA 00004-00002097</t>
  </si>
  <si>
    <t>EBOX S.A.</t>
  </si>
  <si>
    <t>30714749206</t>
  </si>
  <si>
    <t>FCC 00004-00000080</t>
  </si>
  <si>
    <t>JUAN CARLOS BOTINDARI</t>
  </si>
  <si>
    <t>20086277523</t>
  </si>
  <si>
    <t>NCA 00006-00002618</t>
  </si>
  <si>
    <t>30710177658</t>
  </si>
  <si>
    <t>FCA 00005-00001705</t>
  </si>
  <si>
    <t>MARISOL PRADO</t>
  </si>
  <si>
    <t>27265302225</t>
  </si>
  <si>
    <t>FCA 00003-00055382</t>
  </si>
  <si>
    <t>EXPRESO TROLE S R L</t>
  </si>
  <si>
    <t>30577744579</t>
  </si>
  <si>
    <t>FCA 00120-00006008</t>
  </si>
  <si>
    <t>30587197215</t>
  </si>
  <si>
    <t>NDA 00007-00000013</t>
  </si>
  <si>
    <t>30712187316</t>
  </si>
  <si>
    <t>FCA 02031-00233913</t>
  </si>
  <si>
    <t>DEHEZA SOCIEDAD ANONIMA INDUSTRIAL COMERCIAL FINANCIERA INMOBILIARIA</t>
  </si>
  <si>
    <t>30516186670</t>
  </si>
  <si>
    <t>FCA 00005-00006609</t>
  </si>
  <si>
    <t>BIODINAMICA ASISTENCIA S.R.L.</t>
  </si>
  <si>
    <t>30715833243</t>
  </si>
  <si>
    <t>FCC 00001-00000007</t>
  </si>
  <si>
    <t>ANA CECILIA OPORTO ZELAYA</t>
  </si>
  <si>
    <t>27955236861</t>
  </si>
  <si>
    <t>FCA 00007-00000057</t>
  </si>
  <si>
    <t>ALEJANDRA MABEL SOUSA ALDERETE</t>
  </si>
  <si>
    <t>27325223273</t>
  </si>
  <si>
    <t>FCA 00004-00000138</t>
  </si>
  <si>
    <t>EDUARDO FRANCISCO NARDOMARINO</t>
  </si>
  <si>
    <t>20174004146</t>
  </si>
  <si>
    <t>FCA 00008-00001884</t>
  </si>
  <si>
    <t>30708973501</t>
  </si>
  <si>
    <t>FCA 00006-00023998</t>
  </si>
  <si>
    <t>FCA 00101-00009480</t>
  </si>
  <si>
    <t>BALANZE S.A.</t>
  </si>
  <si>
    <t>33711430879</t>
  </si>
  <si>
    <t>FCC 00002-00000140</t>
  </si>
  <si>
    <t>GABRIELA ROCIO RIVERO</t>
  </si>
  <si>
    <t>27315710508</t>
  </si>
  <si>
    <t>Misiones</t>
  </si>
  <si>
    <t>FCA 00700-02826739</t>
  </si>
  <si>
    <t>30715804812</t>
  </si>
  <si>
    <t>FCA 00004-00016201</t>
  </si>
  <si>
    <t>TRINIDAD INSUMOS S.R.L.</t>
  </si>
  <si>
    <t>30712305513</t>
  </si>
  <si>
    <t>FCA 00002-00001649</t>
  </si>
  <si>
    <t>MARTIN EZEQUIEL DI FEO</t>
  </si>
  <si>
    <t>20272865869</t>
  </si>
  <si>
    <t>FCA 00003-00057712</t>
  </si>
  <si>
    <t>LIPROT S.R.L.</t>
  </si>
  <si>
    <t>30711454388</t>
  </si>
  <si>
    <t>FCC 00002-00000384</t>
  </si>
  <si>
    <t>MARIA GUADALUPE BLASCO</t>
  </si>
  <si>
    <t>27265832178</t>
  </si>
  <si>
    <t>08/11/2025</t>
  </si>
  <si>
    <t>FCA 05015-01054172</t>
  </si>
  <si>
    <t>30574876474</t>
  </si>
  <si>
    <t>FCA 02049-00000771</t>
  </si>
  <si>
    <t>09/11/2025</t>
  </si>
  <si>
    <t>FCA 02168-00025353</t>
  </si>
  <si>
    <t>30548083156</t>
  </si>
  <si>
    <t>FCA 03101-00407272</t>
  </si>
  <si>
    <t>30678814357</t>
  </si>
  <si>
    <t>FCA 02399-00085991</t>
  </si>
  <si>
    <t>30708574836</t>
  </si>
  <si>
    <t>FCA 00011-00000142</t>
  </si>
  <si>
    <t>DIMITRI CARLOS DANIEL LOPEZ</t>
  </si>
  <si>
    <t>20327047354</t>
  </si>
  <si>
    <t>FCA 00008-00016555</t>
  </si>
  <si>
    <t>FCA 00006-00097918</t>
  </si>
  <si>
    <t>30711553564</t>
  </si>
  <si>
    <t>FCA 00006-00097911</t>
  </si>
  <si>
    <t>FCC 00002-00000706</t>
  </si>
  <si>
    <t>DANIEL JORGE CAMPA</t>
  </si>
  <si>
    <t>20247881957</t>
  </si>
  <si>
    <t>FCA 00005-00175673</t>
  </si>
  <si>
    <t>SILVESTRIN FABRIS SOC RESP LTDA</t>
  </si>
  <si>
    <t>30598960093</t>
  </si>
  <si>
    <t>FCA 09334-00000067</t>
  </si>
  <si>
    <t>DIA ARGENTINA S A</t>
  </si>
  <si>
    <t>30685849751</t>
  </si>
  <si>
    <t>FCA 02434-00080459</t>
  </si>
  <si>
    <t>NCA 00006-00014300</t>
  </si>
  <si>
    <t>FCA 01054-00000391</t>
  </si>
  <si>
    <t>FCA 00002-00007991</t>
  </si>
  <si>
    <t>DISEÑOS JERY S R L</t>
  </si>
  <si>
    <t>30694549817</t>
  </si>
  <si>
    <t>FCA 00009-00001686</t>
  </si>
  <si>
    <t>SERGIO ALEJANDRO IALLONARDO</t>
  </si>
  <si>
    <t>20242126158</t>
  </si>
  <si>
    <t>FCA 00006-00002160</t>
  </si>
  <si>
    <t>30716815710</t>
  </si>
  <si>
    <t>FCA 00002-00010010</t>
  </si>
  <si>
    <t>33708218699</t>
  </si>
  <si>
    <t>Locaciones</t>
  </si>
  <si>
    <t>FCA 00002-00001667</t>
  </si>
  <si>
    <t>FCA 00005-00001096</t>
  </si>
  <si>
    <t>BM MEDICINE SRL</t>
  </si>
  <si>
    <t>30712155945</t>
  </si>
  <si>
    <t>FCA 02434-00080482</t>
  </si>
  <si>
    <t>FCA 00032-00173281</t>
  </si>
  <si>
    <t>30708847247</t>
  </si>
  <si>
    <t>FCA 00002-00005595</t>
  </si>
  <si>
    <t>CIEN POR CIENTO FOLLETOS SRL</t>
  </si>
  <si>
    <t>30718329805</t>
  </si>
  <si>
    <t>FCA 00008-00016593</t>
  </si>
  <si>
    <t>FCA 00006-00001672</t>
  </si>
  <si>
    <t>HUGO GABRIEL VENTO</t>
  </si>
  <si>
    <t>20247225243</t>
  </si>
  <si>
    <t>FCA 00017-00003517</t>
  </si>
  <si>
    <t>RELIEF CENTER S.R.L.</t>
  </si>
  <si>
    <t>30711764921</t>
  </si>
  <si>
    <t>FCC 00003-00000015</t>
  </si>
  <si>
    <t>LUIS ALBERTO OVIEDO</t>
  </si>
  <si>
    <t>20310489930</t>
  </si>
  <si>
    <t>FCA 00002-00006005</t>
  </si>
  <si>
    <t>LEONARDO JAVIER VIDAL</t>
  </si>
  <si>
    <t>24253769951</t>
  </si>
  <si>
    <t>FCA 00002-00000289</t>
  </si>
  <si>
    <t>SCHEJTER LILA ELISA</t>
  </si>
  <si>
    <t>27144282383</t>
  </si>
  <si>
    <t>FCC 00001-00000020</t>
  </si>
  <si>
    <t>SOFIA MIGOYA MORIONDO</t>
  </si>
  <si>
    <t>27443612713</t>
  </si>
  <si>
    <t>FCA 00006-00098089</t>
  </si>
  <si>
    <t>FCA 00002-00001673</t>
  </si>
  <si>
    <t>FCA 00104-11245066</t>
  </si>
  <si>
    <t>FCC 00001-00000087</t>
  </si>
  <si>
    <t>ANDREA MARIEL DRUETTA</t>
  </si>
  <si>
    <t>23281233084</t>
  </si>
  <si>
    <t>FCC 00001-00000031</t>
  </si>
  <si>
    <t>MARIA INES MIGOYA MORIONDO</t>
  </si>
  <si>
    <t>27443612705</t>
  </si>
  <si>
    <t>FCA 01054-00000393</t>
  </si>
  <si>
    <t>FCA 00006-00002163</t>
  </si>
  <si>
    <t>FCA 00004-00016244</t>
  </si>
  <si>
    <t>15/11/2025</t>
  </si>
  <si>
    <t>FCA 00104-12280276</t>
  </si>
  <si>
    <t>FCA 00126-00254459</t>
  </si>
  <si>
    <t>COORDINACION ECOLOGICA AREA METROPOLITANA SOCIEDAD DEL ESTADO</t>
  </si>
  <si>
    <t>30577207190</t>
  </si>
  <si>
    <t>FCA 00050-04739926</t>
  </si>
  <si>
    <t>30714112836</t>
  </si>
  <si>
    <t>16/11/2025</t>
  </si>
  <si>
    <t>FCA 05015-01069226</t>
  </si>
  <si>
    <t>FCA 00711-07857310</t>
  </si>
  <si>
    <t>30677237119</t>
  </si>
  <si>
    <t>FCA 01054-00000396</t>
  </si>
  <si>
    <t>FCA 00006-00098186</t>
  </si>
  <si>
    <t>FCA 00006-00098164</t>
  </si>
  <si>
    <t>FCA 00004-00000141</t>
  </si>
  <si>
    <t>FCA 00003-03596545</t>
  </si>
  <si>
    <t>LINKEDSTORE ARGENTINA S.R.L.</t>
  </si>
  <si>
    <t>30712019359</t>
  </si>
  <si>
    <t>FCA 01055-00000937</t>
  </si>
  <si>
    <t>FCA 00003-00010027</t>
  </si>
  <si>
    <t>FCA 00031-00079625</t>
  </si>
  <si>
    <t>GIFEL S.R.L.</t>
  </si>
  <si>
    <t>30715209833</t>
  </si>
  <si>
    <t>FCA 00007-00036827</t>
  </si>
  <si>
    <t>KASAMI S.A.</t>
  </si>
  <si>
    <t>30716661519</t>
  </si>
  <si>
    <t>FCA 00017-00003525</t>
  </si>
  <si>
    <t>FCA 00004-00000142</t>
  </si>
  <si>
    <t>FCA 00002-00005665</t>
  </si>
  <si>
    <t>FCA 00005-00000068</t>
  </si>
  <si>
    <t>JUN MA</t>
  </si>
  <si>
    <t>20929183143</t>
  </si>
  <si>
    <t>FCA 00010-00014484</t>
  </si>
  <si>
    <t>GNC MONTE GRANDE S.R.L.</t>
  </si>
  <si>
    <t>30709208221</t>
  </si>
  <si>
    <t>FCA 01054-00000398</t>
  </si>
  <si>
    <t>FCA 00002-00001686</t>
  </si>
  <si>
    <t>FCA 00001-00009484</t>
  </si>
  <si>
    <t>30715141201</t>
  </si>
  <si>
    <t>02/11/2025</t>
  </si>
  <si>
    <t>FCA 03051-00999290</t>
  </si>
  <si>
    <t>FCA 01001-00000604</t>
  </si>
  <si>
    <t>RAKE S.A.</t>
  </si>
  <si>
    <t>30707370552</t>
  </si>
  <si>
    <t>FCA 00005-00001105</t>
  </si>
  <si>
    <t>FCA 00002-00001687</t>
  </si>
  <si>
    <t>FCA 01054-00000404</t>
  </si>
  <si>
    <t>FCA 00031-00079735</t>
  </si>
  <si>
    <t>FCA 00004-00000143</t>
  </si>
  <si>
    <t>FCA 00005-03432773</t>
  </si>
  <si>
    <t>30702652975</t>
  </si>
  <si>
    <t>FCA 00004-00000179</t>
  </si>
  <si>
    <t>20317488476</t>
  </si>
  <si>
    <t>Bienes de uso</t>
  </si>
  <si>
    <t>21/11/2025</t>
  </si>
  <si>
    <t>FCA 02168-00025475</t>
  </si>
  <si>
    <t>FCA 00006-00001679</t>
  </si>
  <si>
    <t>22/11/2025</t>
  </si>
  <si>
    <t>FCA 00008-00016657</t>
  </si>
  <si>
    <t>23/11/2025</t>
  </si>
  <si>
    <t>FCA 05015-01071690</t>
  </si>
  <si>
    <t>24/11/2025</t>
  </si>
  <si>
    <t>FCA 00008-00016674</t>
  </si>
  <si>
    <t>FCA 00700-02858327</t>
  </si>
  <si>
    <t>FCA 02399-00086090</t>
  </si>
  <si>
    <t>FCA 00006-00001684</t>
  </si>
  <si>
    <t>FCA 00011-00082065</t>
  </si>
  <si>
    <t>BIGBOX S.A.</t>
  </si>
  <si>
    <t>30711091552</t>
  </si>
  <si>
    <t>FCA 00010-00000001</t>
  </si>
  <si>
    <t>FCA 00024-00004197</t>
  </si>
  <si>
    <t>LOGISTICA PATRICIOS  SA</t>
  </si>
  <si>
    <t>30709879258</t>
  </si>
  <si>
    <t>FCB 01054-00129304</t>
  </si>
  <si>
    <t>FCA 02399-00086058</t>
  </si>
  <si>
    <t>FCA 00629-06582507</t>
  </si>
  <si>
    <t>30663498513</t>
  </si>
  <si>
    <t>FCA 00711-07793985</t>
  </si>
  <si>
    <t>FCA 00007-00023053</t>
  </si>
  <si>
    <t>REHAVITA S.A.</t>
  </si>
  <si>
    <t>30709214078</t>
  </si>
  <si>
    <t>27/11/2025</t>
  </si>
  <si>
    <t>FCA 00020-00000089</t>
  </si>
  <si>
    <t>COMPAÑIA DE PAPELES S.A.</t>
  </si>
  <si>
    <t>30707597956</t>
  </si>
  <si>
    <t>FCA 00017-00003552</t>
  </si>
  <si>
    <t>FCA 00002-00000053</t>
  </si>
  <si>
    <t>27243660535</t>
  </si>
  <si>
    <t>FCC 00002-00000751</t>
  </si>
  <si>
    <t>FCC 00009-00000197</t>
  </si>
  <si>
    <t>HECTOR RUBEN CORRAO</t>
  </si>
  <si>
    <t>20233248283</t>
  </si>
  <si>
    <t>FCA 00210-00003912</t>
  </si>
  <si>
    <t>ED GAR SOCIEDAD ANONIMA</t>
  </si>
  <si>
    <t>30592097482</t>
  </si>
  <si>
    <t>28/11/2025</t>
  </si>
  <si>
    <t>FCC 00002-00000017</t>
  </si>
  <si>
    <t>MARIA FLORENCIA BOCCACCI</t>
  </si>
  <si>
    <t>27344304551</t>
  </si>
  <si>
    <t>FCC 00001-00000002</t>
  </si>
  <si>
    <t>WALTER QUIMEY GALTIERI</t>
  </si>
  <si>
    <t>20421434450</t>
  </si>
  <si>
    <t>FCA 00002-00001697</t>
  </si>
  <si>
    <t>FCA 00006-00002177</t>
  </si>
  <si>
    <t>FCA 00064-00005568</t>
  </si>
  <si>
    <t>D ARC LIBERTADOR SOCIEDAD ANONIMA</t>
  </si>
  <si>
    <t>30597228984</t>
  </si>
  <si>
    <t>NCA 00007-00000007</t>
  </si>
  <si>
    <t>FCC 00002-00000016</t>
  </si>
  <si>
    <t>FCA 03950-05597068</t>
  </si>
  <si>
    <t>30639453738</t>
  </si>
  <si>
    <t>FCA 00006-00000946</t>
  </si>
  <si>
    <t>TECNIPRAX S.R.L.</t>
  </si>
  <si>
    <t>30708960736</t>
  </si>
  <si>
    <t>FCA 00004-00041808</t>
  </si>
  <si>
    <t>FCA 00006-00059851</t>
  </si>
  <si>
    <t>29/11/2025</t>
  </si>
  <si>
    <t>FCA 00011-00082421</t>
  </si>
  <si>
    <t>FCA 00002-00474231</t>
  </si>
  <si>
    <t>MERCADOLIBRE S.R.L.</t>
  </si>
  <si>
    <t>30703088534</t>
  </si>
  <si>
    <t>NCA 00066-00007469</t>
  </si>
  <si>
    <t>30/11/2025</t>
  </si>
  <si>
    <t>FCA 00050-04777596</t>
  </si>
  <si>
    <t>FCA 05009-01726652</t>
  </si>
  <si>
    <t>FCA 00126-00283594</t>
  </si>
  <si>
    <t>FCA 05015-00108735</t>
  </si>
  <si>
    <t>TOTALES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</si>
  <si>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</si>
  <si>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</si>
  <si>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</si>
  <si>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</si>
  <si>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</si>
  <si>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</si>
  <si>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</si>
  <si>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</si>
  <si>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</si>
  <si>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</si>
  <si>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</si>
  <si>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</si>
  <si>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</si>
  <si>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</si>
  <si>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</si>
  <si>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</si>
  <si>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</si>
  <si>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</si>
  <si>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</si>
  <si>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</si>
  <si>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</si>
  <si>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</si>
  <si>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</si>
  <si>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</si>
  <si>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</si>
  <si>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</si>
  <si>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</si>
  <si>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</si>
  <si>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</si>
  <si>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</si>
  <si>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</si>
  <si>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</si>
  <si>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</si>
  <si>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</si>
  <si>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</si>
  <si>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</si>
  <si>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</si>
  <si>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</si>
  <si>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</si>
  <si>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AUTOPISTAS DE BUENOS AIRES (AUBASA) SA S. A.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</si>
  <si>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</si>
  <si>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</si>
  <si>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</si>
  <si>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</si>
  <si>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</si>
  <si>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</si>
  <si>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TELEFONICA MOVILES ARGENTINA SOCIEDAD ANONIMA</t>
  </si>
  <si>
    <t>FARMACIA DE MEDRANO 533 SOCIEDAD EN COMANDITA SIMPLE</t>
  </si>
  <si>
    <t>INDUSTRIAS FERNANDEZ GARRIDO SA</t>
  </si>
  <si>
    <t>SOUSA ALDERETE ALEJANDRA MABEL</t>
  </si>
  <si>
    <t>EXPRESO LANCIONI S.A.</t>
  </si>
  <si>
    <t>CAMPA DANIEL JORGE</t>
  </si>
  <si>
    <t>04/10/2025</t>
  </si>
  <si>
    <t>RIVERO GABRIELA ROCIO</t>
  </si>
  <si>
    <t>COLTEX S R L</t>
  </si>
  <si>
    <t>GRUPO MAXIMUS S.R.L.</t>
  </si>
  <si>
    <t>CIVALE PAULA</t>
  </si>
  <si>
    <t>MIGOYA MORIONDO SOFIA</t>
  </si>
  <si>
    <t>GARCIA HORACIO FERNANDO</t>
  </si>
  <si>
    <t>OUTLANDISH S R L</t>
  </si>
  <si>
    <t>CORREDORES VIALES SOCIEDAD ANONIMA</t>
  </si>
  <si>
    <t>46 SPEED S.A.</t>
  </si>
  <si>
    <t>MIGOYA MORIONDO MARIA INES</t>
  </si>
  <si>
    <t>MENDIZABAL RAUL EUGENIO</t>
  </si>
  <si>
    <t>ESPERANZA MIGUEL ANGEL</t>
  </si>
  <si>
    <t>IZQUIERDO MONICA BEATRIZ</t>
  </si>
  <si>
    <t>ORTOPEDIA CASA ESCALADA S.R.L.</t>
  </si>
  <si>
    <t>BIODINAMICA ASISTENCIA S. R. L.</t>
  </si>
  <si>
    <t>TARGET MEDICAL S.A.</t>
  </si>
  <si>
    <t>GALTIERI WALTER QUIMEY</t>
  </si>
  <si>
    <t>AUTOPISTAS URBANAS S. A.</t>
  </si>
  <si>
    <t>MEDICAL FOAM S.R.L.</t>
  </si>
  <si>
    <t>OVIEDO LUIS ALBERTO</t>
  </si>
  <si>
    <t>BOCCACCI MARIA FLORENCIA</t>
  </si>
  <si>
    <t>STEINER FLAVIA ADRIANA</t>
  </si>
  <si>
    <t>QBIKE</t>
  </si>
  <si>
    <t>NSS SA</t>
  </si>
  <si>
    <t>LIBRERIA PELUFFO SRL</t>
  </si>
  <si>
    <t>GOU TURISMO EJECUTIVO S.R.L.</t>
  </si>
  <si>
    <t>ROMANO MATIAS EZEQUIEL</t>
  </si>
  <si>
    <t>MANGGINI PABLO Y MANGGINI ULISES SOC. DE HECHO.</t>
  </si>
  <si>
    <t>REHAB S.R.L.</t>
  </si>
  <si>
    <t>USD</t>
  </si>
  <si>
    <t>TELECOM ARGENTINA SOCIEDAD ANONIMA</t>
  </si>
  <si>
    <t>AQUINO WILSON GUSTAVO UBALDO</t>
  </si>
  <si>
    <t>POSNET SOCIEDAD DE RESPONSABILIDAD LIMITADA</t>
  </si>
  <si>
    <t>IMPIERI, PIÑEIRO, RIZZO Y ASOC S.A.</t>
  </si>
  <si>
    <t>GRUPO GAUSS S.R.L.</t>
  </si>
  <si>
    <t>DI SALVI OLGA ESTELA</t>
  </si>
  <si>
    <t>CUIT EMISOR</t>
  </si>
  <si>
    <t>IALLONARDO SERGIO ALEJANDRO</t>
  </si>
  <si>
    <t>LEDESMA EMILIANO RUBEN</t>
  </si>
  <si>
    <t>LOPEZ DIMITRI CARLOS DANIEL</t>
  </si>
  <si>
    <t>VIDAL LEONARDO JAVIER</t>
  </si>
  <si>
    <t>OPORTO ZELAYA ANA CECILIA</t>
  </si>
  <si>
    <t>6 - Factura B</t>
  </si>
  <si>
    <t>ASIAL S.R.L.</t>
  </si>
  <si>
    <t>2 - Nota de Débito A</t>
  </si>
  <si>
    <t>FCA 00002-00005668</t>
  </si>
  <si>
    <t>FCB 0005-00015018</t>
  </si>
  <si>
    <t>FCA 0007-00002818</t>
  </si>
  <si>
    <t>FCB 0005-00015002</t>
  </si>
  <si>
    <t>FCB 0005-00015003</t>
  </si>
  <si>
    <t>FCB 0005-00015004</t>
  </si>
  <si>
    <t>FCB 0005-00015005</t>
  </si>
  <si>
    <t>FCB 0005-00015006</t>
  </si>
  <si>
    <t>FCB 0005-00015007</t>
  </si>
  <si>
    <t>FCB 0005-00015008</t>
  </si>
  <si>
    <t>FCB 0007-00006635</t>
  </si>
  <si>
    <t>FCB 0005-00015009</t>
  </si>
  <si>
    <t>FCB 0005-00015010</t>
  </si>
  <si>
    <t>FCB 0005-00015011</t>
  </si>
  <si>
    <t>JONATHAN ISMAEL VALLEJOS</t>
  </si>
  <si>
    <t>20406443362</t>
  </si>
  <si>
    <t>FCB 0007-00006636</t>
  </si>
  <si>
    <t>FCB 0005-00015012</t>
  </si>
  <si>
    <t>FCB 0005-00015013</t>
  </si>
  <si>
    <t>FCB 0005-00015014</t>
  </si>
  <si>
    <t>NCA 0006-00000102</t>
  </si>
  <si>
    <t>NCA 0007-00000215</t>
  </si>
  <si>
    <t>NCA 0007-00000216</t>
  </si>
  <si>
    <t>DROGUERIA BIOS SA</t>
  </si>
  <si>
    <t>30715196030</t>
  </si>
  <si>
    <t>FCA 0007-00002819</t>
  </si>
  <si>
    <t>FCA 0007-00002820</t>
  </si>
  <si>
    <t>NCA 0006-00000103</t>
  </si>
  <si>
    <t>NCA 0006-00000104</t>
  </si>
  <si>
    <t>FCB 0005-00015015</t>
  </si>
  <si>
    <t>FCB 0005-00015016</t>
  </si>
  <si>
    <t>FCB 0005-00015017</t>
  </si>
  <si>
    <t>FCB 0005-00015019</t>
  </si>
  <si>
    <t>FCB 0005-00015020</t>
  </si>
  <si>
    <t>FCB 0005-00015021</t>
  </si>
  <si>
    <t>FCB 0005-00015022</t>
  </si>
  <si>
    <t>GABRIELA GLORIA EDITH MEDRANO</t>
  </si>
  <si>
    <t>27183236321</t>
  </si>
  <si>
    <t>FCB 0005-00015023</t>
  </si>
  <si>
    <t>FCB 0005-00015024</t>
  </si>
  <si>
    <t>FCB 0005-00015025</t>
  </si>
  <si>
    <t>FCB 0005-00015026</t>
  </si>
  <si>
    <t>FCB 0005-00015027</t>
  </si>
  <si>
    <t>FCB 0005-00015028</t>
  </si>
  <si>
    <t>FCB 0005-00015029</t>
  </si>
  <si>
    <t>ARTUR SHAVRIN</t>
  </si>
  <si>
    <t>20938831565</t>
  </si>
  <si>
    <t>FCB 0007-00006637</t>
  </si>
  <si>
    <t>FCB 0005-00015030</t>
  </si>
  <si>
    <t>FCB 0005-00015031</t>
  </si>
  <si>
    <t>FCA 0006-00000648</t>
  </si>
  <si>
    <t xml:space="preserve">COMPR. </t>
  </si>
  <si>
    <t>FCA 002229-000960993</t>
  </si>
  <si>
    <t>FCA 00001-0001071938</t>
  </si>
  <si>
    <t>FCA 05015-0001087035</t>
  </si>
  <si>
    <t>30/11/2026</t>
  </si>
  <si>
    <t>FCA 00006-0021152979</t>
  </si>
  <si>
    <t>30/11/2027</t>
  </si>
  <si>
    <t>FCA 00006-0000024272</t>
  </si>
  <si>
    <t>IVA 21</t>
  </si>
  <si>
    <t>IVA 27</t>
  </si>
  <si>
    <t>IVA 10,5</t>
  </si>
  <si>
    <t>TOTAL NETO</t>
  </si>
  <si>
    <t>TOTAL IVA</t>
  </si>
  <si>
    <t>FCA 0007-00002775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</si>
</sst>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70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charset val="1"/>
    </font>
    <font>
      <b/>
      <sz val="11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theme="1"/>
      <name val="Calibri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B7DEE8"/>
      </patternFill>
    </fill>
    <fill>
      <patternFill patternType="solid">
        <fgColor rgb="FFFFEB9C"/>
        <bgColor rgb="FFFFDBB6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6" tint="0.79979857783745845"/>
        <bgColor rgb="FFDCE6F2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rgb="FF4F81BD"/>
        <bgColor rgb="FF1F7AC1"/>
      </patternFill>
    </fill>
    <fill>
      <patternFill patternType="solid">
        <fgColor rgb="FFBBE33D"/>
        <bgColor rgb="FF81D41A"/>
      </patternFill>
    </fill>
    <fill>
      <patternFill patternType="solid">
        <fgColor theme="3" tint="0.79979857783745845"/>
        <bgColor rgb="FFB7DEE8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CE6F2"/>
      </patternFill>
    </fill>
    <fill>
      <patternFill patternType="solid">
        <fgColor theme="3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171" fontId="66" fillId="0" borderId="0" applyBorder="0" applyProtection="0"/>
    <xf numFmtId="173" fontId="66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68" fillId="0" borderId="37" applyNumberFormat="0" applyFill="0" applyAlignment="0" applyProtection="0"/>
  </cellStyleXfs>
  <cellXfs count="34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2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3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4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0" fillId="0" borderId="7" xfId="0" applyNumberForma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4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5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6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7" borderId="3" xfId="0" applyFont="1" applyFill="1" applyBorder="1"/>
    <xf numFmtId="0" fontId="57" fillId="17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7" borderId="3" xfId="0" applyNumberFormat="1" applyFont="1" applyFill="1" applyBorder="1" applyAlignment="1">
      <alignment horizontal="right" vertical="center"/>
    </xf>
    <xf numFmtId="0" fontId="59" fillId="18" borderId="3" xfId="0" applyFont="1" applyFill="1" applyBorder="1"/>
    <xf numFmtId="0" fontId="59" fillId="18" borderId="3" xfId="0" applyFont="1" applyFill="1" applyBorder="1" applyAlignment="1">
      <alignment wrapText="1"/>
    </xf>
    <xf numFmtId="0" fontId="59" fillId="18" borderId="7" xfId="0" applyFont="1" applyFill="1" applyBorder="1" applyAlignment="1">
      <alignment wrapText="1"/>
    </xf>
    <xf numFmtId="170" fontId="55" fillId="15" borderId="3" xfId="0" applyNumberFormat="1" applyFont="1" applyFill="1" applyBorder="1"/>
    <xf numFmtId="0" fontId="55" fillId="15" borderId="3" xfId="0" applyFont="1" applyFill="1" applyBorder="1"/>
    <xf numFmtId="0" fontId="0" fillId="15" borderId="3" xfId="0" applyFill="1" applyBorder="1"/>
    <xf numFmtId="0" fontId="26" fillId="15" borderId="3" xfId="0" applyFont="1" applyFill="1" applyBorder="1"/>
    <xf numFmtId="0" fontId="0" fillId="19" borderId="0" xfId="0" applyFill="1"/>
    <xf numFmtId="0" fontId="0" fillId="14" borderId="0" xfId="0" applyFill="1"/>
    <xf numFmtId="0" fontId="0" fillId="15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1" fontId="0" fillId="15" borderId="3" xfId="0" applyNumberFormat="1" applyFill="1" applyBorder="1"/>
    <xf numFmtId="2" fontId="0" fillId="15" borderId="3" xfId="0" applyNumberFormat="1" applyFill="1" applyBorder="1"/>
    <xf numFmtId="1" fontId="0" fillId="0" borderId="3" xfId="0" applyNumberFormat="1" applyBorder="1"/>
    <xf numFmtId="2" fontId="26" fillId="15" borderId="3" xfId="0" applyNumberFormat="1" applyFont="1" applyFill="1" applyBorder="1"/>
    <xf numFmtId="0" fontId="0" fillId="20" borderId="3" xfId="0" applyFill="1" applyBorder="1"/>
    <xf numFmtId="2" fontId="0" fillId="0" borderId="3" xfId="0" applyNumberFormat="1" applyBorder="1"/>
    <xf numFmtId="0" fontId="0" fillId="12" borderId="3" xfId="0" applyFill="1" applyBorder="1"/>
    <xf numFmtId="1" fontId="0" fillId="12" borderId="3" xfId="0" applyNumberFormat="1" applyFill="1" applyBorder="1"/>
    <xf numFmtId="2" fontId="0" fillId="12" borderId="3" xfId="0" applyNumberFormat="1" applyFill="1" applyBorder="1"/>
    <xf numFmtId="1" fontId="26" fillId="15" borderId="3" xfId="0" applyNumberFormat="1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1" borderId="3" xfId="0" applyNumberFormat="1" applyFont="1" applyFill="1" applyBorder="1"/>
    <xf numFmtId="0" fontId="61" fillId="21" borderId="3" xfId="0" applyFont="1" applyFill="1" applyBorder="1"/>
    <xf numFmtId="1" fontId="62" fillId="21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62" fillId="0" borderId="3" xfId="0" applyNumberFormat="1" applyFont="1" applyBorder="1"/>
    <xf numFmtId="0" fontId="0" fillId="22" borderId="3" xfId="0" applyFill="1" applyBorder="1"/>
    <xf numFmtId="0" fontId="0" fillId="21" borderId="3" xfId="0" applyFill="1" applyBorder="1"/>
    <xf numFmtId="0" fontId="26" fillId="21" borderId="3" xfId="0" applyFont="1" applyFill="1" applyBorder="1" applyAlignment="1">
      <alignment horizontal="left"/>
    </xf>
    <xf numFmtId="0" fontId="26" fillId="22" borderId="3" xfId="0" applyFont="1" applyFill="1" applyBorder="1"/>
    <xf numFmtId="1" fontId="61" fillId="15" borderId="3" xfId="0" applyNumberFormat="1" applyFont="1" applyFill="1" applyBorder="1"/>
    <xf numFmtId="0" fontId="61" fillId="15" borderId="3" xfId="0" applyFont="1" applyFill="1" applyBorder="1"/>
    <xf numFmtId="1" fontId="62" fillId="15" borderId="3" xfId="0" applyNumberFormat="1" applyFont="1" applyFill="1" applyBorder="1" applyAlignment="1">
      <alignment horizontal="left"/>
    </xf>
    <xf numFmtId="0" fontId="26" fillId="15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62" fillId="0" borderId="3" xfId="0" applyNumberFormat="1" applyFont="1" applyBorder="1"/>
    <xf numFmtId="14" fontId="0" fillId="21" borderId="3" xfId="0" applyNumberFormat="1" applyFill="1" applyBorder="1"/>
    <xf numFmtId="0" fontId="0" fillId="22" borderId="0" xfId="0" applyFill="1"/>
    <xf numFmtId="0" fontId="0" fillId="21" borderId="0" xfId="0" applyFill="1"/>
    <xf numFmtId="0" fontId="62" fillId="0" borderId="3" xfId="0" applyFont="1" applyBorder="1"/>
    <xf numFmtId="14" fontId="63" fillId="22" borderId="3" xfId="0" applyNumberFormat="1" applyFont="1" applyFill="1" applyBorder="1"/>
    <xf numFmtId="14" fontId="63" fillId="21" borderId="3" xfId="0" applyNumberFormat="1" applyFont="1" applyFill="1" applyBorder="1"/>
    <xf numFmtId="0" fontId="63" fillId="21" borderId="3" xfId="0" applyFont="1" applyFill="1" applyBorder="1"/>
    <xf numFmtId="0" fontId="64" fillId="21" borderId="3" xfId="0" applyFont="1" applyFill="1" applyBorder="1" applyAlignment="1">
      <alignment horizontal="left"/>
    </xf>
    <xf numFmtId="0" fontId="63" fillId="22" borderId="3" xfId="0" applyFont="1" applyFill="1" applyBorder="1"/>
    <xf numFmtId="0" fontId="64" fillId="22" borderId="3" xfId="0" applyFont="1" applyFill="1" applyBorder="1"/>
    <xf numFmtId="0" fontId="63" fillId="0" borderId="3" xfId="0" applyFont="1" applyBorder="1"/>
    <xf numFmtId="0" fontId="65" fillId="22" borderId="3" xfId="0" applyFont="1" applyFill="1" applyBorder="1"/>
    <xf numFmtId="14" fontId="0" fillId="15" borderId="3" xfId="0" applyNumberFormat="1" applyFill="1" applyBorder="1"/>
    <xf numFmtId="174" fontId="0" fillId="21" borderId="3" xfId="0" applyNumberFormat="1" applyFill="1" applyBorder="1" applyAlignment="1">
      <alignment horizontal="left"/>
    </xf>
    <xf numFmtId="0" fontId="63" fillId="21" borderId="3" xfId="0" applyFont="1" applyFill="1" applyBorder="1" applyAlignment="1">
      <alignment wrapText="1"/>
    </xf>
    <xf numFmtId="1" fontId="62" fillId="0" borderId="3" xfId="0" applyNumberFormat="1" applyFont="1" applyBorder="1" applyAlignment="1">
      <alignment horizontal="left"/>
    </xf>
    <xf numFmtId="0" fontId="61" fillId="22" borderId="3" xfId="0" applyFont="1" applyFill="1" applyBorder="1"/>
    <xf numFmtId="14" fontId="0" fillId="21" borderId="3" xfId="0" applyNumberFormat="1" applyFill="1" applyBorder="1" applyAlignment="1">
      <alignment horizontal="left"/>
    </xf>
    <xf numFmtId="14" fontId="0" fillId="22" borderId="3" xfId="0" applyNumberFormat="1" applyFill="1" applyBorder="1"/>
    <xf numFmtId="14" fontId="63" fillId="22" borderId="3" xfId="0" applyNumberFormat="1" applyFont="1" applyFill="1" applyBorder="1" applyAlignment="1">
      <alignment horizontal="left"/>
    </xf>
    <xf numFmtId="14" fontId="63" fillId="21" borderId="3" xfId="0" applyNumberFormat="1" applyFont="1" applyFill="1" applyBorder="1" applyAlignment="1">
      <alignment horizontal="left"/>
    </xf>
    <xf numFmtId="0" fontId="63" fillId="21" borderId="3" xfId="0" applyFont="1" applyFill="1" applyBorder="1" applyAlignment="1">
      <alignment horizontal="left"/>
    </xf>
    <xf numFmtId="0" fontId="63" fillId="21" borderId="3" xfId="0" applyFont="1" applyFill="1" applyBorder="1" applyAlignment="1">
      <alignment horizontal="right"/>
    </xf>
    <xf numFmtId="0" fontId="63" fillId="22" borderId="3" xfId="0" applyFont="1" applyFill="1" applyBorder="1" applyAlignment="1">
      <alignment horizontal="right"/>
    </xf>
    <xf numFmtId="0" fontId="64" fillId="22" borderId="3" xfId="0" applyFont="1" applyFill="1" applyBorder="1" applyAlignment="1">
      <alignment horizontal="right"/>
    </xf>
    <xf numFmtId="0" fontId="65" fillId="22" borderId="3" xfId="0" applyFont="1" applyFill="1" applyBorder="1" applyAlignment="1">
      <alignment horizontal="left"/>
    </xf>
    <xf numFmtId="0" fontId="26" fillId="22" borderId="3" xfId="0" applyFon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1" fontId="61" fillId="23" borderId="3" xfId="0" applyNumberFormat="1" applyFont="1" applyFill="1" applyBorder="1"/>
    <xf numFmtId="0" fontId="61" fillId="23" borderId="3" xfId="0" applyFont="1" applyFill="1" applyBorder="1"/>
    <xf numFmtId="1" fontId="62" fillId="23" borderId="3" xfId="0" applyNumberFormat="1" applyFont="1" applyFill="1" applyBorder="1" applyAlignment="1">
      <alignment horizontal="left"/>
    </xf>
    <xf numFmtId="0" fontId="0" fillId="23" borderId="0" xfId="0" applyFill="1"/>
    <xf numFmtId="2" fontId="61" fillId="22" borderId="3" xfId="0" applyNumberFormat="1" applyFont="1" applyFill="1" applyBorder="1"/>
    <xf numFmtId="4" fontId="12" fillId="24" borderId="3" xfId="0" applyNumberFormat="1" applyFont="1" applyFill="1" applyBorder="1" applyAlignment="1">
      <alignment horizontal="center"/>
    </xf>
    <xf numFmtId="4" fontId="12" fillId="25" borderId="3" xfId="0" applyNumberFormat="1" applyFont="1" applyFill="1" applyBorder="1" applyAlignment="1">
      <alignment horizontal="center"/>
    </xf>
    <xf numFmtId="171" fontId="66" fillId="0" borderId="3" xfId="1" applyBorder="1"/>
    <xf numFmtId="171" fontId="66" fillId="0" borderId="10" xfId="1" applyBorder="1"/>
    <xf numFmtId="171" fontId="66" fillId="0" borderId="3" xfId="1" applyBorder="1" applyProtection="1"/>
    <xf numFmtId="171" fontId="66" fillId="0" borderId="0" xfId="1"/>
    <xf numFmtId="171" fontId="66" fillId="26" borderId="3" xfId="1" applyFill="1" applyBorder="1"/>
    <xf numFmtId="0" fontId="0" fillId="0" borderId="10" xfId="0" applyBorder="1"/>
    <xf numFmtId="0" fontId="0" fillId="0" borderId="27" xfId="0" applyBorder="1"/>
    <xf numFmtId="0" fontId="0" fillId="0" borderId="14" xfId="0" applyBorder="1"/>
    <xf numFmtId="0" fontId="0" fillId="0" borderId="3" xfId="0" applyBorder="1" applyAlignment="1">
      <alignment horizontal="left"/>
    </xf>
    <xf numFmtId="170" fontId="23" fillId="9" borderId="8" xfId="0" applyNumberFormat="1" applyFont="1" applyFill="1" applyBorder="1" applyAlignment="1">
      <alignment horizontal="center"/>
    </xf>
    <xf numFmtId="167" fontId="22" fillId="9" borderId="8" xfId="9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56" fillId="17" borderId="3" xfId="0" applyFont="1" applyFill="1" applyBorder="1" applyAlignment="1">
      <alignment horizontal="center"/>
    </xf>
    <xf numFmtId="0" fontId="0" fillId="0" borderId="3" xfId="0" applyFill="1" applyBorder="1"/>
    <xf numFmtId="171" fontId="69" fillId="0" borderId="21" xfId="1" applyFont="1" applyBorder="1" applyAlignment="1">
      <alignment horizontal="center"/>
    </xf>
    <xf numFmtId="171" fontId="69" fillId="0" borderId="38" xfId="1" applyFont="1" applyBorder="1" applyAlignment="1">
      <alignment horizontal="center"/>
    </xf>
    <xf numFmtId="171" fontId="69" fillId="0" borderId="27" xfId="1" applyFont="1" applyBorder="1" applyAlignment="1">
      <alignment horizontal="center"/>
    </xf>
    <xf numFmtId="0" fontId="0" fillId="0" borderId="10" xfId="0" applyFill="1" applyBorder="1"/>
    <xf numFmtId="171" fontId="68" fillId="0" borderId="37" xfId="15" applyNumberFormat="1"/>
    <xf numFmtId="171" fontId="66" fillId="0" borderId="3" xfId="1" applyFill="1" applyBorder="1"/>
  </cellXfs>
  <cellStyles count="16">
    <cellStyle name="Error 1" xfId="3" xr:uid="{00000000-0005-0000-0000-000001000000}"/>
    <cellStyle name="Error 2" xfId="4" xr:uid="{00000000-0005-0000-0000-000002000000}"/>
    <cellStyle name="Excel Built-in Bad" xfId="14" xr:uid="{00000000-0005-0000-0000-000003000000}"/>
    <cellStyle name="Excel Built-in Good" xfId="13" xr:uid="{00000000-0005-0000-0000-000004000000}"/>
    <cellStyle name="Excel Built-in Good 1" xfId="11" xr:uid="{00000000-0005-0000-0000-000005000000}"/>
    <cellStyle name="Excel Built-in Neutral" xfId="12" xr:uid="{00000000-0005-0000-0000-000006000000}"/>
    <cellStyle name="Millares" xfId="1" builtinId="3"/>
    <cellStyle name="Moneda" xfId="2" builtinId="4"/>
    <cellStyle name="No completar" xfId="5" xr:uid="{00000000-0005-0000-0000-000009000000}"/>
    <cellStyle name="No completar 2" xfId="6" xr:uid="{00000000-0005-0000-0000-00000A000000}"/>
    <cellStyle name="Normal" xfId="0" builtinId="0"/>
    <cellStyle name="Normal 2" xfId="7" xr:uid="{00000000-0005-0000-0000-00000C000000}"/>
    <cellStyle name="Normal 3" xfId="8" xr:uid="{00000000-0005-0000-0000-00000D000000}"/>
    <cellStyle name="Normal 3_Compras-Ventas 2011_Compras y Ventas 2014" xfId="9" xr:uid="{00000000-0005-0000-0000-00000E000000}"/>
    <cellStyle name="Normal 3_Compras-Ventas 2011_Compras y Ventas 2014_Compras-Ventas 2018" xfId="10" xr:uid="{00000000-0005-0000-0000-00000F000000}"/>
    <cellStyle name="Total" xfId="15" builtinId="25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DDD9C3"/>
      <rgbColor rgb="FFFF00FF"/>
      <rgbColor rgb="FF00FFFF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CE6F2"/>
      <rgbColor rgb="FF660066"/>
      <rgbColor rgb="FF948A54"/>
      <rgbColor rgb="FF0070C0"/>
      <rgbColor rgb="FFC6D9F1"/>
      <rgbColor rgb="FF000080"/>
      <rgbColor rgb="FFFF00FF"/>
      <rgbColor rgb="FFD9D9D9"/>
      <rgbColor rgb="FF00FFFF"/>
      <rgbColor rgb="FF800080"/>
      <rgbColor rgb="FF800000"/>
      <rgbColor rgb="FF5EB91E"/>
      <rgbColor rgb="FF0000FF"/>
      <rgbColor rgb="FF00CCFF"/>
      <rgbColor rgb="FFB7DEE8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BBE33D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95" zoomScaleNormal="9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s="7" customFormat="1" x14ac:dyDescent="0.25">
      <c r="A3" s="4" t="s">
        <v>0</v>
      </c>
      <c r="B3" s="5" t="s">
        <v>2</v>
      </c>
      <c r="C3" s="6" t="s">
        <v>4</v>
      </c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1"/>
  <sheetViews>
    <sheetView topLeftCell="A43" zoomScale="95" zoomScaleNormal="95" workbookViewId="0">
      <selection activeCell="H66" sqref="H66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5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333" t="s">
        <v>596</v>
      </c>
      <c r="B1" s="333"/>
      <c r="C1" s="333"/>
      <c r="D1" s="333"/>
      <c r="E1" s="333"/>
      <c r="F1" s="333"/>
      <c r="G1" s="333"/>
      <c r="H1" s="333"/>
      <c r="I1" s="333"/>
      <c r="J1" s="334">
        <v>45962</v>
      </c>
      <c r="K1" s="334"/>
      <c r="L1" s="334"/>
      <c r="M1" s="334"/>
      <c r="N1" s="334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335" t="s">
        <v>597</v>
      </c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326" t="s">
        <v>598</v>
      </c>
      <c r="B6" s="326"/>
      <c r="C6" s="326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325" t="s">
        <v>611</v>
      </c>
      <c r="B18" s="325"/>
      <c r="C18" s="325"/>
      <c r="D18" s="325"/>
      <c r="E18" s="325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612</v>
      </c>
      <c r="G19" s="330">
        <f>G18+H18+I18</f>
        <v>0</v>
      </c>
      <c r="H19" s="330"/>
      <c r="I19" s="330"/>
    </row>
    <row r="20" spans="1:16" x14ac:dyDescent="0.25">
      <c r="K20" t="s">
        <v>613</v>
      </c>
    </row>
    <row r="21" spans="1:16" ht="15.75" x14ac:dyDescent="0.25">
      <c r="A21" s="326" t="s">
        <v>614</v>
      </c>
      <c r="B21" s="326"/>
      <c r="C21" s="326"/>
      <c r="F21" s="69"/>
      <c r="G21" s="70"/>
      <c r="H21" s="70"/>
      <c r="I21" s="70"/>
    </row>
    <row r="22" spans="1:16" x14ac:dyDescent="0.25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331" t="s">
        <v>611</v>
      </c>
      <c r="B42" s="331"/>
      <c r="C42" s="331"/>
      <c r="D42" s="331"/>
      <c r="E42" s="331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326" t="s">
        <v>616</v>
      </c>
      <c r="B44" s="326"/>
      <c r="C44" s="326"/>
      <c r="D44" s="84"/>
      <c r="E44" s="85"/>
      <c r="F44" s="86"/>
      <c r="G44" s="70"/>
      <c r="H44" s="70"/>
      <c r="I44" s="70"/>
    </row>
    <row r="45" spans="1:15" x14ac:dyDescent="0.25">
      <c r="A45" s="87" t="s">
        <v>599</v>
      </c>
      <c r="B45" s="332" t="s">
        <v>617</v>
      </c>
      <c r="C45" s="332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 x14ac:dyDescent="0.25">
      <c r="A46" s="92">
        <v>45964</v>
      </c>
      <c r="B46" s="327" t="s">
        <v>621</v>
      </c>
      <c r="C46" s="327"/>
      <c r="D46" s="20">
        <v>30522428163</v>
      </c>
      <c r="E46" s="20" t="str">
        <f>VLOOKUP(D46,Configuracion!$A$4:$C$590,2,FALSE())</f>
        <v>GALENO ARGENTINA SA</v>
      </c>
      <c r="F46" s="93">
        <v>258825.79</v>
      </c>
      <c r="G46" s="315">
        <v>2764710.74</v>
      </c>
      <c r="H46" s="93">
        <v>13165289.26</v>
      </c>
      <c r="I46" s="95">
        <v>131652.89000000001</v>
      </c>
      <c r="J46" s="96"/>
      <c r="K46" s="96"/>
      <c r="L46" s="97"/>
      <c r="M46" s="98"/>
      <c r="N46" s="98"/>
    </row>
    <row r="47" spans="1:15" ht="15.75" x14ac:dyDescent="0.25">
      <c r="A47" s="92">
        <v>45986</v>
      </c>
      <c r="B47" s="327" t="s">
        <v>622</v>
      </c>
      <c r="C47" s="327"/>
      <c r="D47" s="14">
        <v>30522428163</v>
      </c>
      <c r="E47" s="20" t="str">
        <f>VLOOKUP(D47,Configuracion!$A$4:$C$590,2,FALSE())</f>
        <v>GALENO ARGENTINA SA</v>
      </c>
      <c r="F47" s="93">
        <v>597286.55000000005</v>
      </c>
      <c r="G47" s="315">
        <v>6354868.1900000004</v>
      </c>
      <c r="H47" s="93">
        <v>298643.40999999997</v>
      </c>
      <c r="I47" s="95">
        <v>302612.77</v>
      </c>
      <c r="J47" s="96"/>
      <c r="K47" s="96"/>
      <c r="L47" s="97"/>
      <c r="M47" s="98"/>
      <c r="N47" s="98"/>
    </row>
    <row r="48" spans="1:15" ht="15.75" x14ac:dyDescent="0.25">
      <c r="A48" s="92">
        <v>45986</v>
      </c>
      <c r="B48" s="327" t="s">
        <v>623</v>
      </c>
      <c r="C48" s="327"/>
      <c r="D48" s="14">
        <v>30522428163</v>
      </c>
      <c r="E48" s="20" t="str">
        <f>VLOOKUP(D48,Configuracion!$A$4:$C$590,2,FALSE())</f>
        <v>GALENO ARGENTINA SA</v>
      </c>
      <c r="F48" s="93">
        <v>581321.62</v>
      </c>
      <c r="G48" s="314">
        <v>6159811.8799999999</v>
      </c>
      <c r="H48" s="93">
        <v>29067301.109999999</v>
      </c>
      <c r="I48" s="95">
        <v>293324.38</v>
      </c>
      <c r="J48" s="96"/>
      <c r="K48" s="96"/>
      <c r="L48" s="97"/>
      <c r="M48" s="98"/>
      <c r="N48" s="98"/>
    </row>
    <row r="49" spans="1:14" ht="15.75" x14ac:dyDescent="0.25">
      <c r="A49" s="92">
        <v>45986</v>
      </c>
      <c r="B49" s="327" t="s">
        <v>624</v>
      </c>
      <c r="C49" s="327"/>
      <c r="D49" s="14">
        <v>30522428163</v>
      </c>
      <c r="E49" s="20" t="str">
        <f>VLOOKUP(D49,Configuracion!$A$4:$C$590,2,FALSE())</f>
        <v>GALENO ARGENTINA SA</v>
      </c>
      <c r="F49" s="93">
        <v>68041.69</v>
      </c>
      <c r="G49" s="315">
        <v>714563.01</v>
      </c>
      <c r="H49" s="93">
        <v>34026.81</v>
      </c>
      <c r="I49" s="95">
        <v>34026.81</v>
      </c>
      <c r="J49" s="96"/>
      <c r="K49" s="96"/>
      <c r="L49" s="97"/>
      <c r="M49" s="98"/>
      <c r="N49" s="98"/>
    </row>
    <row r="50" spans="1:14" ht="15.75" x14ac:dyDescent="0.25">
      <c r="A50" s="92">
        <v>45964</v>
      </c>
      <c r="B50" s="327" t="s">
        <v>625</v>
      </c>
      <c r="C50" s="327"/>
      <c r="D50" s="14">
        <v>30710538014</v>
      </c>
      <c r="E50" s="20" t="str">
        <f>VLOOKUP(D50,Configuracion!$A$4:$C$590,2,FALSE())</f>
        <v>HC HOMECARE INT DOM SA</v>
      </c>
      <c r="F50" s="93">
        <v>7191.44</v>
      </c>
      <c r="G50" s="315"/>
      <c r="H50" s="93">
        <v>14935.98</v>
      </c>
      <c r="I50" s="95"/>
      <c r="J50" s="96"/>
      <c r="K50" s="96"/>
      <c r="L50" s="97"/>
      <c r="M50" s="98"/>
      <c r="N50" s="98"/>
    </row>
    <row r="51" spans="1:14" ht="15.75" x14ac:dyDescent="0.25">
      <c r="A51" s="92">
        <v>45964</v>
      </c>
      <c r="B51" s="327" t="s">
        <v>625</v>
      </c>
      <c r="C51" s="327"/>
      <c r="D51" s="14">
        <v>30710538014</v>
      </c>
      <c r="E51" s="20" t="str">
        <f>VLOOKUP(D51,Configuracion!$A$4:$C$590,2,FALSE())</f>
        <v>HC HOMECARE INT DOM SA</v>
      </c>
      <c r="F51" s="93"/>
      <c r="G51" s="315"/>
      <c r="H51" s="93">
        <v>10668.55</v>
      </c>
      <c r="I51" s="95"/>
      <c r="J51" s="96"/>
      <c r="K51" s="96"/>
      <c r="L51" s="97"/>
      <c r="M51" s="98"/>
      <c r="N51" s="98"/>
    </row>
    <row r="52" spans="1:14" ht="15.75" x14ac:dyDescent="0.25">
      <c r="A52" s="92">
        <v>45974</v>
      </c>
      <c r="B52" s="327" t="s">
        <v>626</v>
      </c>
      <c r="C52" s="327"/>
      <c r="D52" s="20">
        <v>30608716390</v>
      </c>
      <c r="E52" s="20" t="str">
        <f>VLOOKUP(D52,Configuracion!$A$4:$C$590,2,FALSE())</f>
        <v>OSTEL</v>
      </c>
      <c r="F52" s="93">
        <v>4493.1499999999996</v>
      </c>
      <c r="G52" s="315"/>
      <c r="H52" s="93"/>
      <c r="I52" s="95"/>
      <c r="J52" s="96"/>
      <c r="K52" s="96"/>
      <c r="L52" s="97"/>
      <c r="M52" s="98"/>
      <c r="N52" s="98"/>
    </row>
    <row r="53" spans="1:14" ht="15.75" x14ac:dyDescent="0.25">
      <c r="A53" s="92">
        <v>45981</v>
      </c>
      <c r="B53" s="327">
        <v>250300005278</v>
      </c>
      <c r="C53" s="327"/>
      <c r="D53" s="20">
        <v>30999077508</v>
      </c>
      <c r="E53" s="20" t="str">
        <f>VLOOKUP(D53,Configuracion!$A$4:$C$590,2,FALSE())</f>
        <v>IPROSS</v>
      </c>
      <c r="F53" s="93"/>
      <c r="G53" s="315"/>
      <c r="H53" s="94">
        <v>719325</v>
      </c>
      <c r="I53" s="95"/>
      <c r="J53" s="96"/>
      <c r="K53" s="96"/>
      <c r="L53" s="97"/>
      <c r="M53" s="98"/>
      <c r="N53" s="98"/>
    </row>
    <row r="54" spans="1:14" ht="15.75" x14ac:dyDescent="0.25">
      <c r="A54" s="92">
        <v>45986</v>
      </c>
      <c r="B54" s="327" t="s">
        <v>627</v>
      </c>
      <c r="C54" s="327"/>
      <c r="D54" s="20">
        <v>30590354798</v>
      </c>
      <c r="E54" s="20" t="str">
        <f>VLOOKUP(D54,Configuracion!$A$4:$C$590,2,FALSE())</f>
        <v>ASOCIACION MUTUAL SANCOR SALUD</v>
      </c>
      <c r="F54" s="93">
        <v>43126.03</v>
      </c>
      <c r="G54" s="315"/>
      <c r="H54" s="93"/>
      <c r="I54" s="95"/>
      <c r="J54" s="96"/>
      <c r="K54" s="96"/>
      <c r="L54" s="97"/>
      <c r="M54" s="98"/>
      <c r="N54" s="98"/>
    </row>
    <row r="55" spans="1:14" ht="15.75" x14ac:dyDescent="0.25">
      <c r="A55" s="92">
        <v>45986</v>
      </c>
      <c r="B55" s="327" t="s">
        <v>628</v>
      </c>
      <c r="C55" s="327"/>
      <c r="D55" s="20">
        <v>30590354798</v>
      </c>
      <c r="E55" s="20" t="str">
        <f>VLOOKUP(D55,Configuracion!$A$4:$C$590,2,FALSE())</f>
        <v>ASOCIACION MUTUAL SANCOR SALUD</v>
      </c>
      <c r="F55" s="93"/>
      <c r="G55" s="315"/>
      <c r="H55" s="93">
        <v>59507.53</v>
      </c>
      <c r="I55" s="95"/>
      <c r="J55" s="96"/>
      <c r="K55" s="96"/>
      <c r="L55" s="97"/>
      <c r="M55" s="98"/>
      <c r="N55" s="98"/>
    </row>
    <row r="56" spans="1:14" ht="15.75" x14ac:dyDescent="0.25">
      <c r="A56" s="92">
        <v>45967</v>
      </c>
      <c r="B56" s="327" t="s">
        <v>629</v>
      </c>
      <c r="C56" s="327"/>
      <c r="D56" s="14">
        <v>30522428163</v>
      </c>
      <c r="E56" s="20" t="str">
        <f>VLOOKUP(D56,Configuracion!$A$4:$C$590,2,FALSE())</f>
        <v>GALENO ARGENTINA SA</v>
      </c>
      <c r="F56" s="93">
        <v>71457.509999999995</v>
      </c>
      <c r="G56" s="315">
        <v>770646.17</v>
      </c>
      <c r="H56" s="93">
        <v>35728.76</v>
      </c>
      <c r="I56" s="95">
        <v>36697.440000000002</v>
      </c>
      <c r="J56" s="96"/>
      <c r="K56" s="96"/>
      <c r="L56" s="97"/>
      <c r="M56" s="98"/>
      <c r="N56" s="98"/>
    </row>
    <row r="57" spans="1:14" ht="15.75" x14ac:dyDescent="0.25">
      <c r="A57" s="92">
        <v>45988</v>
      </c>
      <c r="B57" s="327" t="s">
        <v>630</v>
      </c>
      <c r="C57" s="327"/>
      <c r="D57" s="20">
        <v>30522428163</v>
      </c>
      <c r="E57" s="20" t="str">
        <f>VLOOKUP(D57,Configuracion!$A$4:$C$590,2,FALSE())</f>
        <v>GALENO ARGENTINA SA</v>
      </c>
      <c r="F57" s="93">
        <v>49338.84</v>
      </c>
      <c r="G57" s="315">
        <v>518057.85</v>
      </c>
      <c r="H57" s="93">
        <v>24669.42</v>
      </c>
      <c r="I57" s="95">
        <v>24669.42</v>
      </c>
      <c r="J57" s="96"/>
      <c r="K57" s="96"/>
      <c r="L57" s="97"/>
      <c r="M57" s="98"/>
      <c r="N57" s="98"/>
    </row>
    <row r="58" spans="1:14" ht="15.75" x14ac:dyDescent="0.25">
      <c r="A58" s="92">
        <v>45973</v>
      </c>
      <c r="B58" s="327" t="s">
        <v>631</v>
      </c>
      <c r="C58" s="327"/>
      <c r="D58" s="20">
        <v>30500053522</v>
      </c>
      <c r="E58" s="20" t="str">
        <f>VLOOKUP(D58,Configuracion!$A$4:$C$590,2,FALSE())</f>
        <v>OBRA SOCIAL DE LA ACTIVIDAD DE SEGUROS, REASEGUROS, CAPITALIZACION Y AHORRO Y PRESTAMO  PARA LA VIVIENDA</v>
      </c>
      <c r="F58" s="93">
        <v>1139.83</v>
      </c>
      <c r="G58" s="315"/>
      <c r="H58" s="93">
        <v>2809.92</v>
      </c>
      <c r="I58" s="95"/>
      <c r="J58" s="96"/>
      <c r="K58" s="96"/>
      <c r="L58" s="97"/>
      <c r="M58" s="98"/>
      <c r="N58" s="98"/>
    </row>
    <row r="59" spans="1:14" ht="15.75" x14ac:dyDescent="0.25">
      <c r="A59" s="92">
        <v>45988</v>
      </c>
      <c r="B59" s="327" t="s">
        <v>632</v>
      </c>
      <c r="C59" s="327"/>
      <c r="D59" s="20">
        <v>30590354798</v>
      </c>
      <c r="E59" s="20" t="str">
        <f>VLOOKUP(D59,Configuracion!$A$4:$C$590,2,FALSE())</f>
        <v>ASOCIACION MUTUAL SANCOR SALUD</v>
      </c>
      <c r="F59" s="93">
        <v>2277.85</v>
      </c>
      <c r="G59" s="315"/>
      <c r="H59" s="93"/>
      <c r="I59" s="95"/>
      <c r="J59" s="96"/>
      <c r="K59" s="96"/>
      <c r="L59" s="97"/>
      <c r="M59" s="98"/>
      <c r="N59" s="98"/>
    </row>
    <row r="60" spans="1:14" ht="15.75" x14ac:dyDescent="0.25">
      <c r="A60" s="92">
        <v>45988</v>
      </c>
      <c r="B60" s="327" t="s">
        <v>633</v>
      </c>
      <c r="C60" s="327"/>
      <c r="D60" s="20">
        <v>30590354798</v>
      </c>
      <c r="E60" s="20" t="str">
        <f>VLOOKUP(D60,Configuracion!$A$4:$C$590,2,FALSE())</f>
        <v>ASOCIACION MUTUAL SANCOR SALUD</v>
      </c>
      <c r="F60" s="93"/>
      <c r="G60" s="315"/>
      <c r="H60" s="93">
        <v>2847.31</v>
      </c>
      <c r="I60" s="95"/>
      <c r="J60" s="96"/>
      <c r="K60" s="96"/>
      <c r="L60" s="97"/>
      <c r="M60" s="98"/>
      <c r="N60" s="98"/>
    </row>
    <row r="61" spans="1:14" ht="15.75" x14ac:dyDescent="0.25">
      <c r="A61" s="92">
        <v>45986</v>
      </c>
      <c r="B61" s="327" t="s">
        <v>634</v>
      </c>
      <c r="C61" s="327"/>
      <c r="D61" s="20">
        <v>30712136754</v>
      </c>
      <c r="E61" s="20" t="str">
        <f>VLOOKUP(D61,Configuracion!$A$4:$C$590,2,FALSE())</f>
        <v>RSC SA</v>
      </c>
      <c r="F61" s="93">
        <v>2389.1</v>
      </c>
      <c r="G61" s="315"/>
      <c r="H61" s="93">
        <v>12020.92</v>
      </c>
      <c r="I61" s="95"/>
      <c r="J61" s="96"/>
      <c r="K61" s="96"/>
      <c r="L61" s="97"/>
      <c r="M61" s="98"/>
      <c r="N61" s="98"/>
    </row>
    <row r="62" spans="1:14" ht="15.75" x14ac:dyDescent="0.25">
      <c r="A62" s="92">
        <v>45986</v>
      </c>
      <c r="B62" s="327" t="s">
        <v>635</v>
      </c>
      <c r="C62" s="327"/>
      <c r="D62" s="20">
        <v>30606274161</v>
      </c>
      <c r="E62" s="20" t="str">
        <f>VLOOKUP(D62,Configuracion!$A$4:$C$590,2,FALSE())</f>
        <v>EGESAC SA</v>
      </c>
      <c r="F62" s="93">
        <v>18679.78</v>
      </c>
      <c r="G62" s="315"/>
      <c r="H62" s="93">
        <v>40529.61</v>
      </c>
      <c r="I62" s="95"/>
      <c r="J62" s="96"/>
      <c r="K62" s="96"/>
      <c r="L62" s="97"/>
      <c r="M62" s="98"/>
      <c r="N62" s="98"/>
    </row>
    <row r="63" spans="1:14" ht="15.75" x14ac:dyDescent="0.25">
      <c r="A63" s="92">
        <v>45987</v>
      </c>
      <c r="B63" s="327" t="s">
        <v>636</v>
      </c>
      <c r="C63" s="327"/>
      <c r="D63" s="20">
        <v>30712529721</v>
      </c>
      <c r="E63" s="20" t="str">
        <f>VLOOKUP(D63,Configuracion!$A$4:$C$590,2,FALSE())</f>
        <v>SC PILAR SA</v>
      </c>
      <c r="F63" s="93"/>
      <c r="G63" s="315"/>
      <c r="H63" s="93">
        <v>4616.05</v>
      </c>
      <c r="I63" s="95"/>
      <c r="J63" s="96"/>
      <c r="K63" s="96"/>
      <c r="L63" s="97"/>
      <c r="M63" s="98"/>
      <c r="N63" s="98"/>
    </row>
    <row r="64" spans="1:14" ht="15.75" x14ac:dyDescent="0.25">
      <c r="A64" s="92"/>
      <c r="B64" s="327"/>
      <c r="C64" s="327"/>
      <c r="D64" s="20"/>
      <c r="E64" s="20" t="e">
        <f>VLOOKUP(D64,Configuracion!$A$4:$C$590,2,FALSE())</f>
        <v>#N/A</v>
      </c>
      <c r="F64" s="93"/>
      <c r="G64" s="315"/>
      <c r="H64" s="93"/>
      <c r="I64" s="95"/>
      <c r="J64" s="96"/>
      <c r="K64" s="96"/>
      <c r="L64" s="97"/>
      <c r="M64" s="98"/>
      <c r="N64" s="98"/>
    </row>
    <row r="65" spans="1:14" ht="15.75" x14ac:dyDescent="0.25">
      <c r="A65" s="92"/>
      <c r="B65" s="327"/>
      <c r="C65" s="327"/>
      <c r="D65" s="20"/>
      <c r="E65" s="20" t="e">
        <f>VLOOKUP(D65,Configuracion!$A$4:$C$590,2,FALSE())</f>
        <v>#N/A</v>
      </c>
      <c r="F65" s="93"/>
      <c r="G65" s="315"/>
      <c r="H65" s="93"/>
      <c r="I65" s="95"/>
      <c r="J65" s="96"/>
      <c r="K65" s="96"/>
      <c r="L65" s="97"/>
      <c r="M65" s="98"/>
      <c r="N65" s="98"/>
    </row>
    <row r="66" spans="1:14" ht="15.75" x14ac:dyDescent="0.25">
      <c r="A66" s="92"/>
      <c r="B66" s="327"/>
      <c r="C66" s="327"/>
      <c r="D66" s="20"/>
      <c r="E66" s="20" t="e">
        <f>VLOOKUP(D66,Configuracion!$A$4:$C$590,2,FALSE())</f>
        <v>#N/A</v>
      </c>
      <c r="F66" s="93"/>
      <c r="G66" s="315"/>
      <c r="H66" s="93"/>
      <c r="I66" s="95"/>
      <c r="J66" s="96"/>
      <c r="K66" s="96"/>
      <c r="L66" s="97"/>
      <c r="M66" s="98"/>
      <c r="N66" s="98"/>
    </row>
    <row r="67" spans="1:14" ht="15.75" x14ac:dyDescent="0.25">
      <c r="A67" s="92"/>
      <c r="B67" s="327"/>
      <c r="C67" s="327"/>
      <c r="D67" s="20"/>
      <c r="E67" s="20" t="e">
        <f>VLOOKUP(D67,Configuracion!$A$4:$C$590,2,FALSE())</f>
        <v>#N/A</v>
      </c>
      <c r="F67" s="93"/>
      <c r="G67" s="315"/>
      <c r="H67" s="93"/>
      <c r="I67" s="95"/>
      <c r="J67" s="96"/>
      <c r="K67" s="96"/>
      <c r="L67" s="97"/>
      <c r="M67" s="98"/>
      <c r="N67" s="98"/>
    </row>
    <row r="68" spans="1:14" ht="15.75" x14ac:dyDescent="0.25">
      <c r="A68" s="92"/>
      <c r="B68" s="327"/>
      <c r="C68" s="327"/>
      <c r="D68" s="20"/>
      <c r="E68" s="20" t="e">
        <f>VLOOKUP(D68,Configuracion!$A$4:$C$590,2,FALSE())</f>
        <v>#N/A</v>
      </c>
      <c r="F68" s="93"/>
      <c r="G68" s="315"/>
      <c r="H68" s="93"/>
      <c r="I68" s="95"/>
      <c r="J68" s="96"/>
      <c r="K68" s="96"/>
      <c r="L68" s="97"/>
      <c r="M68" s="98"/>
      <c r="N68" s="98"/>
    </row>
    <row r="69" spans="1:14" ht="15.75" x14ac:dyDescent="0.25">
      <c r="A69" s="92"/>
      <c r="B69" s="327"/>
      <c r="C69" s="327"/>
      <c r="D69" s="20"/>
      <c r="E69" s="20" t="e">
        <f>VLOOKUP(D69,Configuracion!$A$4:$C$590,2,FALSE())</f>
        <v>#N/A</v>
      </c>
      <c r="F69" s="93"/>
      <c r="G69" s="315"/>
      <c r="H69" s="93"/>
      <c r="I69" s="95"/>
      <c r="J69" s="96"/>
      <c r="K69" s="96"/>
      <c r="L69" s="97"/>
      <c r="M69" s="98"/>
      <c r="N69" s="98"/>
    </row>
    <row r="70" spans="1:14" x14ac:dyDescent="0.25">
      <c r="A70" s="92"/>
      <c r="B70" s="327"/>
      <c r="C70" s="327"/>
      <c r="D70" s="20"/>
      <c r="E70" s="20" t="e">
        <f>VLOOKUP(D70,Configuracion!$A$4:$C$590,2,FALSE())</f>
        <v>#N/A</v>
      </c>
      <c r="F70" s="93"/>
      <c r="G70" s="315"/>
      <c r="H70" s="93"/>
      <c r="I70" s="95"/>
      <c r="J70" s="99"/>
      <c r="K70" s="44"/>
      <c r="L70" s="44"/>
    </row>
    <row r="71" spans="1:14" x14ac:dyDescent="0.25">
      <c r="A71" s="92"/>
      <c r="B71" s="327"/>
      <c r="C71" s="327"/>
      <c r="D71" s="20"/>
      <c r="E71" s="20" t="e">
        <f>VLOOKUP(D71,Configuracion!$A$4:$C$590,2,FALSE())</f>
        <v>#N/A</v>
      </c>
      <c r="F71" s="93"/>
      <c r="G71" s="315"/>
      <c r="H71" s="93"/>
      <c r="I71" s="95"/>
      <c r="J71" s="99"/>
      <c r="K71" s="44"/>
      <c r="L71" s="44"/>
    </row>
    <row r="72" spans="1:14" x14ac:dyDescent="0.25">
      <c r="A72" s="92"/>
      <c r="B72" s="327"/>
      <c r="C72" s="327"/>
      <c r="D72" s="20"/>
      <c r="E72" s="20" t="e">
        <f>VLOOKUP(D72,Configuracion!$A$4:$C$590,2,FALSE())</f>
        <v>#N/A</v>
      </c>
      <c r="F72" s="93"/>
      <c r="G72" s="315"/>
      <c r="H72" s="93"/>
      <c r="I72" s="95"/>
      <c r="J72" s="99"/>
      <c r="K72" s="44"/>
      <c r="L72" s="44"/>
    </row>
    <row r="73" spans="1:14" x14ac:dyDescent="0.25">
      <c r="A73" s="92"/>
      <c r="B73" s="327"/>
      <c r="C73" s="327"/>
      <c r="D73" s="20"/>
      <c r="E73" s="20" t="e">
        <f>VLOOKUP(D73,Configuracion!$A$4:$C$590,2,FALSE())</f>
        <v>#N/A</v>
      </c>
      <c r="F73" s="93"/>
      <c r="G73" s="315"/>
      <c r="H73" s="93"/>
      <c r="I73" s="95"/>
      <c r="J73" s="99"/>
      <c r="K73" s="44"/>
      <c r="L73" s="44"/>
    </row>
    <row r="74" spans="1:14" x14ac:dyDescent="0.25">
      <c r="A74" s="92"/>
      <c r="B74" s="327"/>
      <c r="C74" s="327"/>
      <c r="D74" s="20"/>
      <c r="E74" s="20" t="e">
        <f>VLOOKUP(D74,Configuracion!$A$4:$C$590,2,FALSE())</f>
        <v>#N/A</v>
      </c>
      <c r="F74" s="93"/>
      <c r="G74" s="315"/>
      <c r="H74" s="93"/>
      <c r="I74" s="95"/>
      <c r="J74" s="99"/>
      <c r="K74" s="44"/>
      <c r="L74" s="44"/>
    </row>
    <row r="75" spans="1:14" x14ac:dyDescent="0.25">
      <c r="A75" s="92"/>
      <c r="B75" s="327"/>
      <c r="C75" s="327"/>
      <c r="D75" s="20"/>
      <c r="E75" s="20" t="e">
        <f>VLOOKUP(D75,Configuracion!$A$4:$C$590,2,FALSE())</f>
        <v>#N/A</v>
      </c>
      <c r="F75" s="93"/>
      <c r="G75" s="315"/>
      <c r="H75" s="93"/>
      <c r="I75" s="95"/>
      <c r="J75" s="99"/>
      <c r="K75" s="44"/>
      <c r="L75" s="44"/>
    </row>
    <row r="76" spans="1:14" x14ac:dyDescent="0.25">
      <c r="A76" s="92"/>
      <c r="B76" s="327"/>
      <c r="C76" s="327"/>
      <c r="D76" s="20"/>
      <c r="E76" s="20" t="e">
        <f>VLOOKUP(D76,Configuracion!$A$4:$C$590,2,FALSE())</f>
        <v>#N/A</v>
      </c>
      <c r="F76" s="93"/>
      <c r="G76" s="315"/>
      <c r="H76" s="93"/>
      <c r="I76" s="95"/>
      <c r="J76" s="99"/>
      <c r="K76" s="44"/>
      <c r="L76" s="44"/>
    </row>
    <row r="77" spans="1:14" x14ac:dyDescent="0.25">
      <c r="A77" s="92"/>
      <c r="B77" s="327"/>
      <c r="C77" s="327"/>
      <c r="D77" s="20"/>
      <c r="E77" s="20" t="e">
        <f>VLOOKUP(D77,Configuracion!$A$4:$C$590,2,FALSE())</f>
        <v>#N/A</v>
      </c>
      <c r="F77" s="93"/>
      <c r="G77" s="315"/>
      <c r="H77" s="93"/>
      <c r="I77" s="95"/>
      <c r="J77" s="99"/>
      <c r="K77" s="44"/>
      <c r="L77" s="44"/>
    </row>
    <row r="78" spans="1:14" x14ac:dyDescent="0.25">
      <c r="A78" s="328" t="s">
        <v>611</v>
      </c>
      <c r="B78" s="328"/>
      <c r="C78" s="328"/>
      <c r="D78" s="328"/>
      <c r="E78" s="328"/>
      <c r="F78" s="100">
        <f>SUM(F46:F77)</f>
        <v>1705569.1800000002</v>
      </c>
      <c r="G78" s="100">
        <f>SUM(G46:G77)</f>
        <v>17282657.84</v>
      </c>
      <c r="H78" s="100">
        <f>SUM(H46:H77)</f>
        <v>43492919.640000001</v>
      </c>
      <c r="I78" s="100">
        <f>SUM(I46:I77)</f>
        <v>822983.71000000008</v>
      </c>
      <c r="J78" s="99"/>
      <c r="K78" s="44"/>
      <c r="L78" s="44"/>
    </row>
    <row r="79" spans="1:14" x14ac:dyDescent="0.25">
      <c r="A79" s="80"/>
      <c r="B79" s="80"/>
      <c r="D79" s="81"/>
      <c r="E79" s="82"/>
      <c r="F79" s="83"/>
      <c r="G79" s="70"/>
      <c r="H79" s="70"/>
      <c r="I79" s="70"/>
      <c r="J79" s="99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9"/>
      <c r="K80" s="44"/>
      <c r="L80" s="44"/>
    </row>
    <row r="81" spans="1:12" x14ac:dyDescent="0.25">
      <c r="J81" s="99"/>
      <c r="K81" s="44"/>
      <c r="L81" s="44"/>
    </row>
    <row r="82" spans="1:12" ht="15.75" x14ac:dyDescent="0.25">
      <c r="A82" s="329" t="s">
        <v>637</v>
      </c>
      <c r="B82" s="329"/>
      <c r="C82" s="329"/>
      <c r="D82" s="329"/>
      <c r="E82" s="329"/>
      <c r="F82" s="329"/>
      <c r="G82" s="329"/>
      <c r="H82" s="329"/>
      <c r="I82" s="329"/>
      <c r="J82" s="99"/>
      <c r="K82" s="44"/>
      <c r="L82" s="44"/>
    </row>
    <row r="83" spans="1:12" ht="15.75" x14ac:dyDescent="0.25">
      <c r="A83" s="101"/>
      <c r="B83" s="96"/>
      <c r="C83" s="96"/>
      <c r="D83" s="102"/>
      <c r="E83" s="96"/>
      <c r="F83" s="96"/>
      <c r="G83" s="96"/>
      <c r="H83" s="96"/>
      <c r="I83" s="96"/>
      <c r="J83" s="99"/>
      <c r="K83" s="44"/>
      <c r="L83" s="44"/>
    </row>
    <row r="84" spans="1:12" ht="15.75" x14ac:dyDescent="0.25">
      <c r="A84" s="326" t="s">
        <v>638</v>
      </c>
      <c r="B84" s="326"/>
      <c r="C84" s="326"/>
      <c r="D84" s="102"/>
      <c r="E84" s="96"/>
      <c r="F84" s="96"/>
      <c r="G84" s="96"/>
      <c r="H84" s="96"/>
      <c r="I84" s="96"/>
      <c r="J84" s="99"/>
      <c r="K84" s="44"/>
      <c r="L84" s="44"/>
    </row>
    <row r="85" spans="1:12" x14ac:dyDescent="0.25">
      <c r="A85" s="103" t="s">
        <v>599</v>
      </c>
      <c r="B85" s="56" t="s">
        <v>600</v>
      </c>
      <c r="C85" s="56" t="s">
        <v>639</v>
      </c>
      <c r="D85" s="104" t="s">
        <v>0</v>
      </c>
      <c r="E85" s="56" t="s">
        <v>2</v>
      </c>
      <c r="F85" s="56" t="s">
        <v>602</v>
      </c>
      <c r="G85" s="56" t="s">
        <v>612</v>
      </c>
      <c r="H85" s="56" t="s">
        <v>640</v>
      </c>
      <c r="I85" s="56" t="s">
        <v>611</v>
      </c>
      <c r="J85" s="99"/>
      <c r="K85" s="44"/>
      <c r="L85" s="44"/>
    </row>
    <row r="86" spans="1:12" x14ac:dyDescent="0.25">
      <c r="A86" s="105"/>
      <c r="B86" s="106"/>
      <c r="C86" s="107"/>
      <c r="D86" s="20"/>
      <c r="E86" s="20" t="e">
        <f>VLOOKUP(D86,Configuracion!$A$4:$C$590,2,FALSE())</f>
        <v>#N/A</v>
      </c>
      <c r="F86" s="108"/>
      <c r="G86" s="109">
        <f t="shared" ref="G86:G94" si="3">F86*0.21</f>
        <v>0</v>
      </c>
      <c r="H86" s="110"/>
      <c r="I86" s="111">
        <f t="shared" ref="I86:I94" si="4">SUM(F86:H86)</f>
        <v>0</v>
      </c>
    </row>
    <row r="87" spans="1:12" x14ac:dyDescent="0.25">
      <c r="A87" s="105"/>
      <c r="B87" s="106"/>
      <c r="C87" s="107"/>
      <c r="D87" s="20"/>
      <c r="E87" s="20" t="e">
        <f>VLOOKUP(D87,Configuracion!$A$4:$C$590,2,FALSE())</f>
        <v>#N/A</v>
      </c>
      <c r="F87" s="108"/>
      <c r="G87" s="109">
        <f t="shared" si="3"/>
        <v>0</v>
      </c>
      <c r="H87" s="110"/>
      <c r="I87" s="111">
        <f t="shared" si="4"/>
        <v>0</v>
      </c>
    </row>
    <row r="88" spans="1:12" ht="15" customHeight="1" x14ac:dyDescent="0.25">
      <c r="A88" s="105"/>
      <c r="B88" s="106"/>
      <c r="C88" s="107"/>
      <c r="D88" s="20"/>
      <c r="E88" s="20" t="e">
        <f>VLOOKUP(D88,Configuracion!$A$4:$C$590,2,FALSE())</f>
        <v>#N/A</v>
      </c>
      <c r="F88" s="108"/>
      <c r="G88" s="109">
        <f t="shared" si="3"/>
        <v>0</v>
      </c>
      <c r="H88" s="110"/>
      <c r="I88" s="111">
        <f t="shared" si="4"/>
        <v>0</v>
      </c>
    </row>
    <row r="89" spans="1:12" x14ac:dyDescent="0.25">
      <c r="A89" s="105"/>
      <c r="B89" s="106"/>
      <c r="C89" s="107"/>
      <c r="D89" s="20"/>
      <c r="E89" s="20" t="e">
        <f>VLOOKUP(D89,Configuracion!$A$4:$C$590,2,FALSE())</f>
        <v>#N/A</v>
      </c>
      <c r="F89" s="108"/>
      <c r="G89" s="109">
        <f t="shared" si="3"/>
        <v>0</v>
      </c>
      <c r="H89" s="110"/>
      <c r="I89" s="111">
        <f t="shared" si="4"/>
        <v>0</v>
      </c>
    </row>
    <row r="90" spans="1:12" x14ac:dyDescent="0.25">
      <c r="A90" s="105"/>
      <c r="B90" s="106"/>
      <c r="C90" s="107"/>
      <c r="D90" s="20"/>
      <c r="E90" s="20" t="e">
        <f>VLOOKUP(D90,Configuracion!$A$4:$C$590,2,FALSE())</f>
        <v>#N/A</v>
      </c>
      <c r="F90" s="108"/>
      <c r="G90" s="109">
        <f t="shared" si="3"/>
        <v>0</v>
      </c>
      <c r="H90" s="110"/>
      <c r="I90" s="111">
        <f t="shared" si="4"/>
        <v>0</v>
      </c>
    </row>
    <row r="91" spans="1:12" x14ac:dyDescent="0.25">
      <c r="A91" s="105"/>
      <c r="B91" s="106"/>
      <c r="C91" s="107"/>
      <c r="D91" s="20"/>
      <c r="E91" s="20" t="e">
        <f>VLOOKUP(D91,Configuracion!$A$4:$C$590,2,FALSE())</f>
        <v>#N/A</v>
      </c>
      <c r="F91" s="108"/>
      <c r="G91" s="109">
        <f t="shared" si="3"/>
        <v>0</v>
      </c>
      <c r="H91" s="110"/>
      <c r="I91" s="111">
        <f t="shared" si="4"/>
        <v>0</v>
      </c>
    </row>
    <row r="92" spans="1:12" x14ac:dyDescent="0.25">
      <c r="A92" s="105"/>
      <c r="B92" s="106"/>
      <c r="C92" s="107"/>
      <c r="D92" s="20"/>
      <c r="E92" s="20" t="e">
        <f>VLOOKUP(D92,Configuracion!$A$4:$C$590,2,FALSE())</f>
        <v>#N/A</v>
      </c>
      <c r="F92" s="108"/>
      <c r="G92" s="109">
        <f t="shared" si="3"/>
        <v>0</v>
      </c>
      <c r="H92" s="110"/>
      <c r="I92" s="111">
        <f t="shared" si="4"/>
        <v>0</v>
      </c>
    </row>
    <row r="93" spans="1:12" x14ac:dyDescent="0.25">
      <c r="A93" s="105"/>
      <c r="B93" s="106"/>
      <c r="C93" s="107"/>
      <c r="D93" s="20"/>
      <c r="E93" s="20" t="e">
        <f>VLOOKUP(D93,Configuracion!$A$4:$C$590,2,FALSE())</f>
        <v>#N/A</v>
      </c>
      <c r="F93" s="108"/>
      <c r="G93" s="109">
        <f t="shared" si="3"/>
        <v>0</v>
      </c>
      <c r="H93" s="110"/>
      <c r="I93" s="111">
        <f t="shared" si="4"/>
        <v>0</v>
      </c>
    </row>
    <row r="94" spans="1:12" x14ac:dyDescent="0.25">
      <c r="A94" s="105"/>
      <c r="B94" s="106"/>
      <c r="C94" s="107"/>
      <c r="D94" s="20"/>
      <c r="E94" s="20" t="e">
        <f>VLOOKUP(D94,Configuracion!$A$4:$C$590,2,FALSE())</f>
        <v>#N/A</v>
      </c>
      <c r="F94" s="108"/>
      <c r="G94" s="109">
        <f t="shared" si="3"/>
        <v>0</v>
      </c>
      <c r="H94" s="110"/>
      <c r="I94" s="111">
        <f t="shared" si="4"/>
        <v>0</v>
      </c>
    </row>
    <row r="95" spans="1:12" x14ac:dyDescent="0.25">
      <c r="A95" s="325" t="s">
        <v>611</v>
      </c>
      <c r="B95" s="325"/>
      <c r="C95" s="325"/>
      <c r="D95" s="325"/>
      <c r="E95" s="325"/>
      <c r="F95" s="112">
        <f>SUM(F86:F94)</f>
        <v>0</v>
      </c>
      <c r="G95" s="112">
        <f>SUM(G86:G94)</f>
        <v>0</v>
      </c>
      <c r="H95" s="112"/>
      <c r="I95" s="112">
        <f>SUM(I86:I94)</f>
        <v>0</v>
      </c>
    </row>
    <row r="96" spans="1:12" x14ac:dyDescent="0.25">
      <c r="C96" s="113"/>
      <c r="D96" s="114"/>
      <c r="E96" s="113"/>
      <c r="F96" s="115"/>
      <c r="G96" s="115"/>
      <c r="H96" s="115"/>
      <c r="I96" s="44"/>
    </row>
    <row r="98" spans="1:8" ht="15" customHeight="1" x14ac:dyDescent="0.25">
      <c r="A98" s="326" t="s">
        <v>641</v>
      </c>
      <c r="B98" s="326"/>
      <c r="C98" s="326"/>
      <c r="D98" s="102"/>
      <c r="E98" s="96"/>
      <c r="F98" s="96"/>
      <c r="G98" s="96"/>
      <c r="H98" s="96"/>
    </row>
    <row r="99" spans="1:8" ht="15" customHeight="1" x14ac:dyDescent="0.25">
      <c r="A99" s="103" t="s">
        <v>599</v>
      </c>
      <c r="B99" s="56" t="s">
        <v>600</v>
      </c>
      <c r="C99" s="56" t="s">
        <v>639</v>
      </c>
      <c r="D99" s="104" t="s">
        <v>0</v>
      </c>
      <c r="E99" s="56" t="s">
        <v>2</v>
      </c>
      <c r="F99" s="56" t="s">
        <v>602</v>
      </c>
      <c r="G99" s="56" t="s">
        <v>612</v>
      </c>
      <c r="H99" s="56" t="s">
        <v>611</v>
      </c>
    </row>
    <row r="100" spans="1:8" ht="15" customHeight="1" x14ac:dyDescent="0.25">
      <c r="A100" s="105"/>
      <c r="B100" s="76"/>
      <c r="C100" s="107"/>
      <c r="D100" s="20"/>
      <c r="E100" s="20" t="e">
        <f>VLOOKUP(D100,Configuracion!$A$4:$C$590,2,FALSE())</f>
        <v>#N/A</v>
      </c>
      <c r="F100" s="109">
        <f>H100/1.21</f>
        <v>0</v>
      </c>
      <c r="G100" s="109">
        <f>F100*0.21</f>
        <v>0</v>
      </c>
      <c r="H100" s="116"/>
    </row>
    <row r="101" spans="1:8" ht="15" customHeight="1" x14ac:dyDescent="0.25">
      <c r="A101" s="105"/>
      <c r="B101" s="76"/>
      <c r="C101" s="107"/>
      <c r="D101" s="20"/>
      <c r="E101" s="20" t="e">
        <f>VLOOKUP(D101,Configuracion!$A$4:$C$590,2,FALSE())</f>
        <v>#N/A</v>
      </c>
      <c r="F101" s="109">
        <f>H101/1.21</f>
        <v>0</v>
      </c>
      <c r="G101" s="109">
        <f>F101*0.21</f>
        <v>0</v>
      </c>
      <c r="H101" s="116"/>
    </row>
    <row r="102" spans="1:8" ht="15" customHeight="1" x14ac:dyDescent="0.25">
      <c r="A102" s="105"/>
      <c r="B102" s="76"/>
      <c r="C102" s="107"/>
      <c r="D102" s="20"/>
      <c r="E102" s="20" t="e">
        <f>VLOOKUP(D102,Configuracion!$A$4:$C$590,2,FALSE())</f>
        <v>#N/A</v>
      </c>
      <c r="F102" s="109">
        <f>H102/1.21</f>
        <v>0</v>
      </c>
      <c r="G102" s="109">
        <f>F102*0.21</f>
        <v>0</v>
      </c>
      <c r="H102" s="116"/>
    </row>
    <row r="103" spans="1:8" ht="15" customHeight="1" x14ac:dyDescent="0.25">
      <c r="A103" s="105"/>
      <c r="B103" s="76"/>
      <c r="C103" s="107"/>
      <c r="D103" s="20"/>
      <c r="E103" s="20" t="e">
        <f>VLOOKUP(D103,Configuracion!$A$4:$C$590,2,FALSE())</f>
        <v>#N/A</v>
      </c>
      <c r="F103" s="109">
        <f>H103/1.21</f>
        <v>0</v>
      </c>
      <c r="G103" s="109">
        <f>F103*0.21</f>
        <v>0</v>
      </c>
      <c r="H103" s="116"/>
    </row>
    <row r="104" spans="1:8" x14ac:dyDescent="0.25">
      <c r="A104" s="117"/>
      <c r="B104" s="118"/>
      <c r="C104" s="119"/>
      <c r="D104" s="120"/>
      <c r="E104" s="20" t="e">
        <f>VLOOKUP(D104,Configuracion!$A$4:$C$590,2,FALSE())</f>
        <v>#N/A</v>
      </c>
      <c r="F104" s="109">
        <f>H104/1.21</f>
        <v>0</v>
      </c>
      <c r="G104" s="109">
        <f>F104*0.21</f>
        <v>0</v>
      </c>
      <c r="H104" s="116"/>
    </row>
    <row r="105" spans="1:8" ht="15" customHeight="1" x14ac:dyDescent="0.25">
      <c r="A105" s="325" t="s">
        <v>611</v>
      </c>
      <c r="B105" s="325"/>
      <c r="C105" s="325"/>
      <c r="D105" s="325"/>
      <c r="E105" s="325"/>
      <c r="F105" s="112">
        <f>SUM(F100:F104)</f>
        <v>0</v>
      </c>
      <c r="G105" s="112">
        <f>SUM(G100:G104)</f>
        <v>0</v>
      </c>
      <c r="H105" s="112">
        <f>SUM(H100:H104)</f>
        <v>0</v>
      </c>
    </row>
    <row r="113" spans="1:6" ht="15" customHeight="1" x14ac:dyDescent="0.25">
      <c r="F113" s="121"/>
    </row>
    <row r="115" spans="1:6" ht="15" customHeight="1" x14ac:dyDescent="0.25">
      <c r="F115" s="122"/>
    </row>
    <row r="120" spans="1:6" ht="15" customHeight="1" x14ac:dyDescent="0.25">
      <c r="F120" s="123"/>
    </row>
    <row r="121" spans="1:6" ht="15" customHeight="1" x14ac:dyDescent="0.25">
      <c r="A121" s="124"/>
      <c r="B121" s="122"/>
      <c r="C121" s="122"/>
      <c r="D121" s="122"/>
      <c r="E121" s="122"/>
    </row>
  </sheetData>
  <mergeCells count="48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95:E95"/>
    <mergeCell ref="A98:C98"/>
    <mergeCell ref="A105:E105"/>
    <mergeCell ref="B76:C76"/>
    <mergeCell ref="B77:C77"/>
    <mergeCell ref="A78:E78"/>
    <mergeCell ref="A82:I82"/>
    <mergeCell ref="A84:C84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opLeftCell="A43" zoomScale="95" zoomScaleNormal="95" workbookViewId="0">
      <selection activeCell="G23" sqref="G23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5"/>
      <c r="B1" s="336" t="s">
        <v>642</v>
      </c>
      <c r="C1" s="336"/>
      <c r="D1" s="336"/>
      <c r="E1" s="126"/>
    </row>
    <row r="2" spans="1:8" ht="18" x14ac:dyDescent="0.25">
      <c r="A2" s="127" t="s">
        <v>643</v>
      </c>
      <c r="B2" s="126"/>
      <c r="C2" s="125"/>
      <c r="D2" s="128">
        <v>45962</v>
      </c>
      <c r="E2" s="129"/>
    </row>
    <row r="3" spans="1:8" ht="18" x14ac:dyDescent="0.25">
      <c r="A3" s="125"/>
      <c r="B3" s="130"/>
      <c r="C3" s="125"/>
      <c r="D3" s="125"/>
      <c r="E3" s="131"/>
    </row>
    <row r="4" spans="1:8" x14ac:dyDescent="0.25">
      <c r="A4" s="132"/>
      <c r="B4" s="133" t="s">
        <v>644</v>
      </c>
      <c r="C4" s="134"/>
      <c r="D4" s="135"/>
      <c r="E4" s="136"/>
    </row>
    <row r="5" spans="1:8" x14ac:dyDescent="0.25">
      <c r="A5" s="137"/>
      <c r="B5" s="138" t="s">
        <v>645</v>
      </c>
      <c r="C5" s="138" t="s">
        <v>646</v>
      </c>
      <c r="D5" s="139" t="s">
        <v>647</v>
      </c>
      <c r="E5" s="136"/>
    </row>
    <row r="6" spans="1:8" x14ac:dyDescent="0.25">
      <c r="A6" s="140" t="s">
        <v>648</v>
      </c>
      <c r="B6" s="141">
        <f>+'Ventas 11'!D4+'Ventas 11'!D5</f>
        <v>29668384.700000003</v>
      </c>
      <c r="C6" s="142">
        <f>+B6*0.21</f>
        <v>6230360.7870000005</v>
      </c>
      <c r="D6" s="142">
        <f>+B6+C6</f>
        <v>35898745.487000003</v>
      </c>
      <c r="E6" s="143"/>
    </row>
    <row r="7" spans="1:8" x14ac:dyDescent="0.25">
      <c r="A7" s="140" t="s">
        <v>649</v>
      </c>
      <c r="B7" s="141">
        <f>+'Ventas 11'!D6+'Ventas 11'!D7+'Ventas 11'!D8</f>
        <v>19371242.780000016</v>
      </c>
      <c r="C7" s="142">
        <f>+B7*0.21</f>
        <v>4067960.9838000033</v>
      </c>
      <c r="D7" s="142">
        <f>+B7+C7</f>
        <v>23439203.763800018</v>
      </c>
      <c r="E7" s="7"/>
    </row>
    <row r="8" spans="1:8" x14ac:dyDescent="0.25">
      <c r="A8" s="144"/>
      <c r="B8" s="145">
        <f>SUM(B6:B7)</f>
        <v>49039627.480000019</v>
      </c>
      <c r="C8" s="146">
        <f>SUM(C6:C7)</f>
        <v>10298321.770800004</v>
      </c>
      <c r="D8" s="147">
        <f>SUM(D6:D7)</f>
        <v>59337949.250800021</v>
      </c>
      <c r="E8" s="148"/>
      <c r="G8" s="149"/>
      <c r="H8" s="150"/>
    </row>
    <row r="9" spans="1:8" x14ac:dyDescent="0.25">
      <c r="A9" s="144"/>
      <c r="B9" s="151"/>
      <c r="C9" s="151"/>
      <c r="D9" s="151"/>
      <c r="E9" s="7"/>
    </row>
    <row r="10" spans="1:8" x14ac:dyDescent="0.25">
      <c r="A10" s="144"/>
      <c r="B10" s="152"/>
      <c r="C10" s="152"/>
      <c r="D10" s="91"/>
      <c r="E10" s="7"/>
    </row>
    <row r="11" spans="1:8" x14ac:dyDescent="0.25">
      <c r="A11" s="153"/>
      <c r="B11" s="154" t="s">
        <v>650</v>
      </c>
      <c r="C11" s="135"/>
      <c r="D11" s="135"/>
      <c r="E11" s="7"/>
    </row>
    <row r="12" spans="1:8" x14ac:dyDescent="0.25">
      <c r="A12" s="153"/>
      <c r="B12" s="138" t="s">
        <v>645</v>
      </c>
      <c r="C12" s="138" t="s">
        <v>612</v>
      </c>
      <c r="D12" s="139" t="s">
        <v>647</v>
      </c>
      <c r="E12" s="7"/>
    </row>
    <row r="13" spans="1:8" x14ac:dyDescent="0.25">
      <c r="A13" s="155" t="s">
        <v>651</v>
      </c>
      <c r="B13" s="156">
        <f>+'Compras 11'!I148+'Compras 11'!J148+'Compras 11'!K148</f>
        <v>36735776.833333336</v>
      </c>
      <c r="C13" s="156">
        <f>+'Compras 11'!N148</f>
        <v>7503645.2000000048</v>
      </c>
      <c r="D13" s="157">
        <v>58925893.959999979</v>
      </c>
      <c r="E13" s="158"/>
      <c r="G13" s="159"/>
    </row>
    <row r="14" spans="1:8" x14ac:dyDescent="0.25">
      <c r="A14" s="155"/>
      <c r="B14" s="160"/>
      <c r="C14" s="160"/>
      <c r="D14" s="160"/>
      <c r="E14" s="158"/>
    </row>
    <row r="15" spans="1:8" x14ac:dyDescent="0.25">
      <c r="A15" s="155"/>
      <c r="B15" s="161"/>
      <c r="C15" s="162"/>
      <c r="D15" s="161"/>
      <c r="E15" s="158"/>
    </row>
    <row r="16" spans="1:8" x14ac:dyDescent="0.25">
      <c r="A16" s="144"/>
      <c r="B16" s="163">
        <f>SUM(B13:B15)</f>
        <v>36735776.833333336</v>
      </c>
      <c r="C16" s="164">
        <f>SUM(C13:C15)</f>
        <v>7503645.2000000048</v>
      </c>
      <c r="D16" s="165">
        <f>SUM(D13:D15)</f>
        <v>58925893.959999979</v>
      </c>
      <c r="E16" s="7"/>
    </row>
    <row r="17" spans="1:5" x14ac:dyDescent="0.25">
      <c r="A17" s="144"/>
      <c r="B17" s="166"/>
      <c r="C17" s="166"/>
      <c r="D17" s="166"/>
      <c r="E17" s="7"/>
    </row>
    <row r="18" spans="1:5" x14ac:dyDescent="0.25">
      <c r="A18" s="144"/>
      <c r="C18" s="167"/>
      <c r="D18" s="167"/>
      <c r="E18" s="168"/>
    </row>
    <row r="19" spans="1:5" x14ac:dyDescent="0.25">
      <c r="A19" s="154" t="s">
        <v>652</v>
      </c>
      <c r="B19" s="169" t="s">
        <v>653</v>
      </c>
      <c r="C19" s="169" t="s">
        <v>654</v>
      </c>
      <c r="D19" s="169" t="s">
        <v>655</v>
      </c>
      <c r="E19" s="169" t="s">
        <v>656</v>
      </c>
    </row>
    <row r="20" spans="1:5" x14ac:dyDescent="0.25">
      <c r="A20" s="170" t="s">
        <v>657</v>
      </c>
      <c r="B20" s="171"/>
      <c r="C20" s="172"/>
      <c r="D20" s="173"/>
      <c r="E20" s="174"/>
    </row>
    <row r="21" spans="1:5" x14ac:dyDescent="0.25">
      <c r="A21" s="170"/>
      <c r="B21" s="175"/>
      <c r="C21" s="176"/>
      <c r="D21" s="173"/>
      <c r="E21" s="177"/>
    </row>
    <row r="22" spans="1:5" x14ac:dyDescent="0.25">
      <c r="A22" s="170"/>
      <c r="B22" s="175"/>
      <c r="C22" s="176"/>
      <c r="D22" s="173"/>
      <c r="E22" s="177"/>
    </row>
    <row r="23" spans="1:5" x14ac:dyDescent="0.25">
      <c r="A23" s="170"/>
      <c r="B23" s="175"/>
      <c r="C23" s="176"/>
      <c r="D23" s="173"/>
      <c r="E23" s="177"/>
    </row>
    <row r="24" spans="1:5" x14ac:dyDescent="0.25">
      <c r="A24" s="170"/>
      <c r="B24" s="175"/>
      <c r="C24" s="172"/>
      <c r="D24" s="173"/>
      <c r="E24" s="174"/>
    </row>
    <row r="25" spans="1:5" x14ac:dyDescent="0.25">
      <c r="A25" s="170"/>
      <c r="B25" s="175"/>
      <c r="C25" s="172"/>
      <c r="D25" s="173"/>
      <c r="E25" s="174"/>
    </row>
    <row r="26" spans="1:5" x14ac:dyDescent="0.25">
      <c r="A26" s="170"/>
      <c r="B26" s="175"/>
      <c r="C26" s="172"/>
      <c r="D26" s="173"/>
      <c r="E26" s="174"/>
    </row>
    <row r="27" spans="1:5" x14ac:dyDescent="0.25">
      <c r="A27" s="170"/>
      <c r="B27" s="175"/>
      <c r="C27" s="172"/>
      <c r="D27" s="173"/>
      <c r="E27" s="174"/>
    </row>
    <row r="28" spans="1:5" x14ac:dyDescent="0.25">
      <c r="A28" s="170"/>
      <c r="B28" s="175"/>
      <c r="C28" s="172"/>
      <c r="D28" s="173"/>
      <c r="E28" s="174"/>
    </row>
    <row r="29" spans="1:5" x14ac:dyDescent="0.25">
      <c r="A29" s="170"/>
      <c r="B29" s="175"/>
      <c r="C29" s="172"/>
      <c r="D29" s="173"/>
      <c r="E29" s="174"/>
    </row>
    <row r="30" spans="1:5" x14ac:dyDescent="0.25">
      <c r="A30" s="170"/>
      <c r="B30" s="175"/>
      <c r="C30" s="172"/>
      <c r="D30" s="173"/>
      <c r="E30" s="174"/>
    </row>
    <row r="31" spans="1:5" x14ac:dyDescent="0.25">
      <c r="A31" s="170"/>
      <c r="B31" s="175"/>
      <c r="C31" s="172"/>
      <c r="D31" s="173"/>
      <c r="E31" s="174"/>
    </row>
    <row r="32" spans="1:5" x14ac:dyDescent="0.25">
      <c r="A32" s="170"/>
      <c r="B32" s="175"/>
      <c r="C32" s="172"/>
      <c r="D32" s="173"/>
      <c r="E32" s="174"/>
    </row>
    <row r="33" spans="1:6" x14ac:dyDescent="0.25">
      <c r="A33" s="170"/>
      <c r="B33" s="175"/>
      <c r="C33" s="172"/>
      <c r="D33" s="173"/>
      <c r="E33" s="174"/>
    </row>
    <row r="34" spans="1:6" x14ac:dyDescent="0.25">
      <c r="A34" s="170"/>
      <c r="B34" s="175"/>
      <c r="C34" s="178"/>
      <c r="D34" s="179"/>
      <c r="E34" s="174"/>
      <c r="F34" t="s">
        <v>613</v>
      </c>
    </row>
    <row r="35" spans="1:6" x14ac:dyDescent="0.25">
      <c r="B35" s="7"/>
      <c r="C35" s="180">
        <f>+'Noviembre 25'!G78</f>
        <v>17282657.84</v>
      </c>
      <c r="D35" s="7"/>
      <c r="E35" s="181"/>
    </row>
    <row r="36" spans="1:6" x14ac:dyDescent="0.25">
      <c r="B36" s="7"/>
      <c r="C36" s="91"/>
      <c r="D36" s="7"/>
    </row>
    <row r="37" spans="1:6" x14ac:dyDescent="0.25">
      <c r="A37" s="182" t="s">
        <v>658</v>
      </c>
      <c r="B37" s="183" t="s">
        <v>653</v>
      </c>
      <c r="C37" s="184" t="s">
        <v>654</v>
      </c>
      <c r="D37" s="183" t="s">
        <v>655</v>
      </c>
      <c r="E37" s="183" t="s">
        <v>656</v>
      </c>
    </row>
    <row r="38" spans="1:6" x14ac:dyDescent="0.25">
      <c r="A38" s="185"/>
      <c r="B38" s="186"/>
      <c r="C38" s="187"/>
      <c r="D38" s="178"/>
      <c r="E38" s="174"/>
    </row>
    <row r="39" spans="1:6" x14ac:dyDescent="0.25">
      <c r="A39" s="170"/>
      <c r="B39" s="188"/>
      <c r="C39" s="178"/>
      <c r="D39" s="178"/>
      <c r="E39" s="174"/>
    </row>
    <row r="40" spans="1:6" x14ac:dyDescent="0.25">
      <c r="A40" s="189"/>
      <c r="B40" s="190"/>
      <c r="C40" s="191"/>
      <c r="D40" s="192"/>
      <c r="E40" s="193"/>
    </row>
    <row r="41" spans="1:6" x14ac:dyDescent="0.25">
      <c r="B41" s="152"/>
      <c r="C41" s="194">
        <f>SUM(C38:C40)</f>
        <v>0</v>
      </c>
      <c r="D41" s="7"/>
      <c r="E41" s="181"/>
    </row>
    <row r="42" spans="1:6" x14ac:dyDescent="0.25">
      <c r="C42" s="91"/>
      <c r="E42" s="7"/>
    </row>
    <row r="43" spans="1:6" x14ac:dyDescent="0.25">
      <c r="A43" s="195" t="s">
        <v>659</v>
      </c>
      <c r="B43" s="196"/>
      <c r="C43" s="161">
        <f>+C41+C35</f>
        <v>17282657.84</v>
      </c>
      <c r="E43" s="7"/>
    </row>
    <row r="44" spans="1:6" x14ac:dyDescent="0.25">
      <c r="A44" s="197"/>
      <c r="B44" s="197"/>
      <c r="C44" s="91"/>
      <c r="E44" s="7"/>
    </row>
    <row r="45" spans="1:6" x14ac:dyDescent="0.25">
      <c r="A45" s="197"/>
      <c r="B45" s="197"/>
      <c r="C45" s="91"/>
      <c r="E45" s="7"/>
    </row>
    <row r="46" spans="1:6" x14ac:dyDescent="0.25">
      <c r="C46" s="198" t="s">
        <v>660</v>
      </c>
      <c r="E46" s="7"/>
    </row>
    <row r="47" spans="1:6" x14ac:dyDescent="0.25">
      <c r="A47" s="199" t="s">
        <v>661</v>
      </c>
      <c r="B47" s="200"/>
      <c r="C47" s="201">
        <f>+C8-C16</f>
        <v>2794676.5707999989</v>
      </c>
      <c r="D47" s="150"/>
      <c r="E47" s="7"/>
    </row>
    <row r="48" spans="1:6" x14ac:dyDescent="0.25">
      <c r="A48" s="202"/>
      <c r="B48" s="197"/>
      <c r="C48" s="203"/>
      <c r="D48" s="150"/>
      <c r="E48" s="7"/>
    </row>
    <row r="49" spans="1:5" x14ac:dyDescent="0.25">
      <c r="A49" s="204" t="s">
        <v>662</v>
      </c>
      <c r="B49" s="196"/>
      <c r="C49" s="205"/>
      <c r="D49" s="206" t="s">
        <v>663</v>
      </c>
      <c r="E49" s="7"/>
    </row>
    <row r="50" spans="1:5" x14ac:dyDescent="0.25">
      <c r="A50" s="202"/>
      <c r="B50" s="197"/>
      <c r="C50" s="203"/>
      <c r="D50" s="150"/>
      <c r="E50" s="7"/>
    </row>
    <row r="51" spans="1:5" x14ac:dyDescent="0.25">
      <c r="A51" s="207" t="s">
        <v>664</v>
      </c>
      <c r="B51" s="208"/>
      <c r="C51" s="209">
        <f>+C47-C49</f>
        <v>2794676.5707999989</v>
      </c>
      <c r="D51" s="210"/>
      <c r="E51" s="211"/>
    </row>
    <row r="52" spans="1:5" x14ac:dyDescent="0.25">
      <c r="A52" s="212"/>
      <c r="B52" s="212"/>
      <c r="C52" s="213"/>
      <c r="D52" s="210"/>
      <c r="E52" s="211"/>
    </row>
    <row r="53" spans="1:5" x14ac:dyDescent="0.25">
      <c r="A53" s="212"/>
      <c r="B53" s="212"/>
      <c r="C53" s="213"/>
      <c r="D53" s="210"/>
      <c r="E53" s="211"/>
    </row>
    <row r="54" spans="1:5" x14ac:dyDescent="0.25">
      <c r="A54" s="212"/>
      <c r="B54" s="212"/>
      <c r="C54" s="213"/>
      <c r="D54" s="210"/>
      <c r="E54" s="211"/>
    </row>
    <row r="55" spans="1:5" x14ac:dyDescent="0.25">
      <c r="A55" s="214" t="s">
        <v>665</v>
      </c>
      <c r="B55" s="215"/>
      <c r="C55" s="216">
        <f>+C41+C35</f>
        <v>17282657.84</v>
      </c>
      <c r="D55" s="150"/>
      <c r="E55" s="7"/>
    </row>
    <row r="56" spans="1:5" x14ac:dyDescent="0.25">
      <c r="A56" s="202"/>
      <c r="B56" s="197"/>
      <c r="C56" s="203"/>
      <c r="D56" s="150"/>
      <c r="E56" s="7"/>
    </row>
    <row r="57" spans="1:5" x14ac:dyDescent="0.25">
      <c r="A57" s="217" t="s">
        <v>666</v>
      </c>
      <c r="B57" s="218"/>
      <c r="C57" s="219"/>
      <c r="D57" s="7"/>
    </row>
    <row r="58" spans="1:5" x14ac:dyDescent="0.25">
      <c r="A58" s="220"/>
      <c r="B58" s="221"/>
      <c r="C58" s="203"/>
      <c r="D58" s="150"/>
      <c r="E58" s="7"/>
    </row>
    <row r="59" spans="1:5" x14ac:dyDescent="0.25">
      <c r="A59" s="207" t="s">
        <v>667</v>
      </c>
      <c r="B59" s="208"/>
      <c r="C59" s="222">
        <f>+C55+C57</f>
        <v>17282657.84</v>
      </c>
      <c r="D59" s="150"/>
      <c r="E59" s="7"/>
    </row>
    <row r="60" spans="1:5" x14ac:dyDescent="0.25">
      <c r="A60" s="223"/>
      <c r="B60" s="144"/>
      <c r="C60" s="152"/>
      <c r="D60" s="150"/>
      <c r="E60" s="7"/>
    </row>
    <row r="61" spans="1:5" x14ac:dyDescent="0.25">
      <c r="A61" s="132"/>
      <c r="B61" s="144"/>
      <c r="C61" s="91"/>
      <c r="D61" s="150"/>
      <c r="E61" s="7"/>
    </row>
    <row r="62" spans="1:5" ht="18" x14ac:dyDescent="0.25">
      <c r="A62" s="224" t="s">
        <v>668</v>
      </c>
      <c r="B62" s="225"/>
      <c r="C62" s="226">
        <f>+C51-C59</f>
        <v>-14487981.269200001</v>
      </c>
      <c r="D62" s="227"/>
      <c r="E62" s="228"/>
    </row>
    <row r="63" spans="1:5" ht="18" x14ac:dyDescent="0.25">
      <c r="A63" s="229" t="s">
        <v>669</v>
      </c>
    </row>
    <row r="66" spans="3:3" x14ac:dyDescent="0.25">
      <c r="C66" s="230"/>
    </row>
    <row r="67" spans="3:3" x14ac:dyDescent="0.25">
      <c r="C67" s="230"/>
    </row>
    <row r="68" spans="3:3" x14ac:dyDescent="0.25">
      <c r="C68" s="230"/>
    </row>
    <row r="69" spans="3:3" x14ac:dyDescent="0.25">
      <c r="C69" s="230"/>
    </row>
    <row r="70" spans="3:3" x14ac:dyDescent="0.25">
      <c r="C70" s="230"/>
    </row>
    <row r="71" spans="3:3" x14ac:dyDescent="0.25">
      <c r="C71" s="230"/>
    </row>
    <row r="72" spans="3:3" x14ac:dyDescent="0.25">
      <c r="C72" s="230"/>
    </row>
    <row r="73" spans="3:3" x14ac:dyDescent="0.25">
      <c r="C73" s="231"/>
    </row>
    <row r="74" spans="3:3" x14ac:dyDescent="0.25">
      <c r="C74" s="232"/>
    </row>
    <row r="75" spans="3:3" x14ac:dyDescent="0.25">
      <c r="C75" s="232"/>
    </row>
    <row r="76" spans="3:3" x14ac:dyDescent="0.25">
      <c r="C76" s="232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33"/>
  <sheetViews>
    <sheetView tabSelected="1" topLeftCell="B1" zoomScale="95" zoomScaleNormal="95" workbookViewId="0">
      <selection activeCell="H420" sqref="H420:H427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24.7109375" style="319" bestFit="1" customWidth="1"/>
    <col min="9" max="9" width="19.42578125" style="319" bestFit="1" customWidth="1"/>
    <col min="10" max="11" width="8.85546875" style="319" bestFit="1" customWidth="1"/>
    <col min="12" max="12" width="9.85546875" style="319" bestFit="1" customWidth="1"/>
    <col min="13" max="13" width="16.140625" style="319" bestFit="1" customWidth="1"/>
    <col min="14" max="14" width="9.85546875" style="319" bestFit="1" customWidth="1"/>
    <col min="15" max="15" width="8.28515625" style="319" bestFit="1" customWidth="1"/>
    <col min="16" max="16" width="18.140625" style="319" bestFit="1" customWidth="1"/>
    <col min="17" max="17" width="19.42578125" style="319" bestFit="1" customWidth="1"/>
    <col min="18" max="18" width="16.140625" style="319" bestFit="1" customWidth="1"/>
    <col min="19" max="19" width="18.42578125" style="319" bestFit="1" customWidth="1"/>
    <col min="20" max="20" width="15.140625" customWidth="1"/>
  </cols>
  <sheetData>
    <row r="2" spans="1:20" ht="15.75" x14ac:dyDescent="0.25">
      <c r="C2" s="337" t="s">
        <v>670</v>
      </c>
      <c r="D2" s="337"/>
      <c r="E2" s="337"/>
      <c r="F2" s="337"/>
      <c r="G2" s="337"/>
    </row>
    <row r="3" spans="1:20" x14ac:dyDescent="0.25">
      <c r="C3" s="233"/>
      <c r="D3" s="234" t="s">
        <v>671</v>
      </c>
      <c r="E3" s="234" t="s">
        <v>612</v>
      </c>
      <c r="F3" s="234" t="s">
        <v>672</v>
      </c>
      <c r="G3" s="234" t="s">
        <v>673</v>
      </c>
    </row>
    <row r="4" spans="1:20" x14ac:dyDescent="0.25">
      <c r="C4" s="235" t="s">
        <v>598</v>
      </c>
      <c r="D4" s="236">
        <v>33129235.850000001</v>
      </c>
      <c r="E4" s="236">
        <f>+D4*0.21</f>
        <v>6957139.5285</v>
      </c>
      <c r="F4" s="236"/>
      <c r="G4" s="236">
        <f>SUBTOTAL(9,D4:F4)</f>
        <v>40086375.3785</v>
      </c>
    </row>
    <row r="5" spans="1:20" x14ac:dyDescent="0.25">
      <c r="C5" s="235" t="s">
        <v>674</v>
      </c>
      <c r="D5" s="236">
        <v>-3460851.1500000004</v>
      </c>
      <c r="E5" s="236">
        <f>+D5*0.21</f>
        <v>-726778.7415</v>
      </c>
      <c r="F5" s="236"/>
      <c r="G5" s="236">
        <f>SUBTOTAL(9,D5:F5)</f>
        <v>-4187629.8915000004</v>
      </c>
    </row>
    <row r="6" spans="1:20" x14ac:dyDescent="0.25">
      <c r="C6" s="237" t="s">
        <v>675</v>
      </c>
      <c r="D6" s="236">
        <v>27411738.650000017</v>
      </c>
      <c r="E6" s="236">
        <f>+D6*0.21</f>
        <v>5756465.1165000033</v>
      </c>
      <c r="F6" s="236"/>
      <c r="G6" s="236">
        <f>SUBTOTAL(9,D6:F6)</f>
        <v>33168203.766500019</v>
      </c>
    </row>
    <row r="7" spans="1:20" x14ac:dyDescent="0.25">
      <c r="C7" s="237" t="s">
        <v>676</v>
      </c>
      <c r="D7" s="236">
        <v>-8040495.8700000001</v>
      </c>
      <c r="E7" s="236">
        <f>+D7*0.21</f>
        <v>-1688504.1327</v>
      </c>
      <c r="F7" s="236"/>
      <c r="G7" s="236">
        <f>SUBTOTAL(9,D7:F7)</f>
        <v>-9729000.002700001</v>
      </c>
    </row>
    <row r="8" spans="1:20" x14ac:dyDescent="0.25">
      <c r="C8" s="237" t="s">
        <v>677</v>
      </c>
      <c r="D8" s="236"/>
      <c r="E8" s="236">
        <f>+D8*0.21</f>
        <v>0</v>
      </c>
      <c r="F8" s="236"/>
      <c r="G8" s="236">
        <f>SUBTOTAL(9,D8:F8)</f>
        <v>0</v>
      </c>
    </row>
    <row r="9" spans="1:20" x14ac:dyDescent="0.25">
      <c r="C9" s="238"/>
      <c r="D9" s="239">
        <f>SUBTOTAL(9,D4:D8)</f>
        <v>49039627.480000027</v>
      </c>
      <c r="E9" s="239">
        <f>SUBTOTAL(9,E4:E8)</f>
        <v>10298321.770800004</v>
      </c>
      <c r="F9" s="239">
        <v>0</v>
      </c>
      <c r="G9" s="239">
        <f>+E9+D9</f>
        <v>59337949.250800028</v>
      </c>
      <c r="H9" s="319">
        <f>+SUBTOTAL(109,H12:H431)</f>
        <v>49039627.509999849</v>
      </c>
    </row>
    <row r="11" spans="1:20" x14ac:dyDescent="0.25">
      <c r="A11" s="240" t="s">
        <v>656</v>
      </c>
      <c r="B11" s="240" t="s">
        <v>678</v>
      </c>
      <c r="C11" s="240" t="s">
        <v>679</v>
      </c>
      <c r="D11" s="240" t="s">
        <v>680</v>
      </c>
      <c r="E11" s="240" t="s">
        <v>681</v>
      </c>
      <c r="F11" s="240" t="s">
        <v>682</v>
      </c>
      <c r="G11" s="240" t="s">
        <v>683</v>
      </c>
      <c r="H11" s="316" t="s">
        <v>684</v>
      </c>
      <c r="I11" s="316" t="s">
        <v>685</v>
      </c>
      <c r="J11" s="316" t="s">
        <v>686</v>
      </c>
      <c r="K11" s="316" t="s">
        <v>687</v>
      </c>
      <c r="L11" s="316" t="s">
        <v>688</v>
      </c>
      <c r="M11" s="316" t="s">
        <v>689</v>
      </c>
      <c r="N11" s="316" t="s">
        <v>690</v>
      </c>
      <c r="O11" s="316" t="s">
        <v>619</v>
      </c>
      <c r="P11" s="316" t="s">
        <v>691</v>
      </c>
      <c r="Q11" s="316" t="s">
        <v>692</v>
      </c>
      <c r="R11" s="316" t="s">
        <v>693</v>
      </c>
      <c r="S11" s="316" t="s">
        <v>694</v>
      </c>
      <c r="T11" s="240" t="s">
        <v>695</v>
      </c>
    </row>
    <row r="12" spans="1:20" ht="15" customHeight="1" x14ac:dyDescent="0.25">
      <c r="A12" s="238" t="s">
        <v>998</v>
      </c>
      <c r="B12" s="238" t="s">
        <v>1047</v>
      </c>
      <c r="C12" s="238" t="s">
        <v>1048</v>
      </c>
      <c r="D12" s="238" t="s">
        <v>704</v>
      </c>
      <c r="E12" s="238" t="s">
        <v>708</v>
      </c>
      <c r="F12" s="238" t="s">
        <v>782</v>
      </c>
      <c r="G12" s="338" t="s">
        <v>1049</v>
      </c>
      <c r="H12" s="344">
        <v>57851.24</v>
      </c>
      <c r="I12" s="316">
        <v>0</v>
      </c>
      <c r="J12" s="316">
        <v>0</v>
      </c>
      <c r="K12" s="316">
        <v>0</v>
      </c>
      <c r="L12" s="316">
        <v>0</v>
      </c>
      <c r="M12" s="316">
        <v>12148.76</v>
      </c>
      <c r="N12" s="316">
        <v>0</v>
      </c>
      <c r="O12" s="316">
        <v>0</v>
      </c>
      <c r="P12" s="316">
        <v>0</v>
      </c>
      <c r="Q12" s="316">
        <v>0</v>
      </c>
      <c r="R12" s="316">
        <v>12148.76</v>
      </c>
      <c r="S12" s="316">
        <v>70000</v>
      </c>
    </row>
    <row r="13" spans="1:20" ht="15" customHeight="1" x14ac:dyDescent="0.25">
      <c r="A13" s="238" t="s">
        <v>1249</v>
      </c>
      <c r="B13" s="238" t="s">
        <v>206</v>
      </c>
      <c r="C13" s="238" t="s">
        <v>1090</v>
      </c>
      <c r="D13" s="238" t="s">
        <v>704</v>
      </c>
      <c r="E13" s="238" t="s">
        <v>708</v>
      </c>
      <c r="F13" s="238" t="s">
        <v>782</v>
      </c>
      <c r="G13" s="338" t="s">
        <v>1250</v>
      </c>
      <c r="H13" s="344">
        <v>4395454.55</v>
      </c>
      <c r="I13" s="316">
        <v>0</v>
      </c>
      <c r="J13" s="316">
        <v>0</v>
      </c>
      <c r="K13" s="316">
        <v>0</v>
      </c>
      <c r="L13" s="316">
        <v>0</v>
      </c>
      <c r="M13" s="316">
        <v>923045.45</v>
      </c>
      <c r="N13" s="316">
        <v>0</v>
      </c>
      <c r="O13" s="316">
        <v>0</v>
      </c>
      <c r="P13" s="316">
        <v>0</v>
      </c>
      <c r="Q13" s="316">
        <v>0</v>
      </c>
      <c r="R13" s="316">
        <v>923045.45</v>
      </c>
      <c r="S13" s="316">
        <v>5318500</v>
      </c>
    </row>
    <row r="14" spans="1:20" ht="15" customHeight="1" x14ac:dyDescent="0.25">
      <c r="A14" s="238" t="s">
        <v>1285</v>
      </c>
      <c r="B14" s="238" t="s">
        <v>206</v>
      </c>
      <c r="C14" s="238" t="s">
        <v>1090</v>
      </c>
      <c r="D14" s="238" t="s">
        <v>704</v>
      </c>
      <c r="E14" s="238" t="s">
        <v>708</v>
      </c>
      <c r="F14" s="238" t="s">
        <v>782</v>
      </c>
      <c r="G14" s="338" t="s">
        <v>1315</v>
      </c>
      <c r="H14" s="344">
        <v>6012396.6900000004</v>
      </c>
      <c r="I14" s="316">
        <v>0</v>
      </c>
      <c r="J14" s="316">
        <v>0</v>
      </c>
      <c r="K14" s="316">
        <v>0</v>
      </c>
      <c r="L14" s="316">
        <v>0</v>
      </c>
      <c r="M14" s="316">
        <v>1262603.31</v>
      </c>
      <c r="N14" s="316">
        <v>0</v>
      </c>
      <c r="O14" s="316">
        <v>0</v>
      </c>
      <c r="P14" s="316">
        <v>0</v>
      </c>
      <c r="Q14" s="316">
        <v>0</v>
      </c>
      <c r="R14" s="316">
        <v>1262603.31</v>
      </c>
      <c r="S14" s="316">
        <v>7275000</v>
      </c>
    </row>
    <row r="15" spans="1:20" ht="15" customHeight="1" x14ac:dyDescent="0.25">
      <c r="A15" s="238" t="s">
        <v>1603</v>
      </c>
      <c r="B15" s="238" t="s">
        <v>206</v>
      </c>
      <c r="C15" s="238" t="s">
        <v>1090</v>
      </c>
      <c r="D15" s="238" t="s">
        <v>704</v>
      </c>
      <c r="E15" s="238" t="s">
        <v>708</v>
      </c>
      <c r="F15" s="238" t="s">
        <v>782</v>
      </c>
      <c r="G15" s="338" t="s">
        <v>1784</v>
      </c>
      <c r="H15" s="344">
        <v>6472561.9800000004</v>
      </c>
      <c r="I15" s="316">
        <v>0</v>
      </c>
      <c r="J15" s="316">
        <v>0</v>
      </c>
      <c r="K15" s="316">
        <v>0</v>
      </c>
      <c r="L15" s="316">
        <v>0</v>
      </c>
      <c r="M15" s="316">
        <v>1359238.02</v>
      </c>
      <c r="N15" s="316">
        <v>0</v>
      </c>
      <c r="O15" s="316">
        <v>0</v>
      </c>
      <c r="P15" s="316">
        <v>0</v>
      </c>
      <c r="Q15" s="316">
        <v>0</v>
      </c>
      <c r="R15" s="316">
        <v>1359238.02</v>
      </c>
      <c r="S15" s="316">
        <v>7831800</v>
      </c>
    </row>
    <row r="16" spans="1:20" ht="15" customHeight="1" x14ac:dyDescent="0.25">
      <c r="A16" s="238" t="s">
        <v>779</v>
      </c>
      <c r="B16" s="238" t="s">
        <v>780</v>
      </c>
      <c r="C16" s="238" t="s">
        <v>781</v>
      </c>
      <c r="D16" s="238" t="s">
        <v>704</v>
      </c>
      <c r="E16" s="238" t="s">
        <v>708</v>
      </c>
      <c r="F16" s="238" t="s">
        <v>782</v>
      </c>
      <c r="G16" s="338" t="s">
        <v>783</v>
      </c>
      <c r="H16" s="316">
        <v>2681410.31</v>
      </c>
      <c r="I16" s="316">
        <v>0</v>
      </c>
      <c r="J16" s="316">
        <v>0</v>
      </c>
      <c r="K16" s="316">
        <v>0</v>
      </c>
      <c r="L16" s="316">
        <v>0</v>
      </c>
      <c r="M16" s="316">
        <v>563096.16</v>
      </c>
      <c r="N16" s="316">
        <v>0</v>
      </c>
      <c r="O16" s="316">
        <v>0</v>
      </c>
      <c r="P16" s="316">
        <v>0</v>
      </c>
      <c r="Q16" s="316">
        <v>0</v>
      </c>
      <c r="R16" s="316">
        <v>563096.16</v>
      </c>
      <c r="S16" s="316">
        <v>3244506.47</v>
      </c>
    </row>
    <row r="17" spans="1:19" ht="15" customHeight="1" x14ac:dyDescent="0.25">
      <c r="A17" s="238" t="s">
        <v>885</v>
      </c>
      <c r="B17" s="238" t="s">
        <v>890</v>
      </c>
      <c r="C17" s="238" t="s">
        <v>891</v>
      </c>
      <c r="D17" s="238" t="s">
        <v>704</v>
      </c>
      <c r="E17" s="238" t="s">
        <v>708</v>
      </c>
      <c r="F17" s="238" t="s">
        <v>782</v>
      </c>
      <c r="G17" s="338" t="s">
        <v>892</v>
      </c>
      <c r="H17" s="316">
        <v>28925.62</v>
      </c>
      <c r="I17" s="316">
        <v>0</v>
      </c>
      <c r="J17" s="316">
        <v>0</v>
      </c>
      <c r="K17" s="316">
        <v>0</v>
      </c>
      <c r="L17" s="316">
        <v>0</v>
      </c>
      <c r="M17" s="316">
        <v>6074.38</v>
      </c>
      <c r="N17" s="316">
        <v>0</v>
      </c>
      <c r="O17" s="316">
        <v>0</v>
      </c>
      <c r="P17" s="316">
        <v>0</v>
      </c>
      <c r="Q17" s="316">
        <v>0</v>
      </c>
      <c r="R17" s="316">
        <v>6074.38</v>
      </c>
      <c r="S17" s="316">
        <v>35000</v>
      </c>
    </row>
    <row r="18" spans="1:19" ht="15" customHeight="1" x14ac:dyDescent="0.25">
      <c r="A18" s="238" t="s">
        <v>998</v>
      </c>
      <c r="B18" s="238" t="s">
        <v>1007</v>
      </c>
      <c r="C18" s="238" t="s">
        <v>1008</v>
      </c>
      <c r="D18" s="238" t="s">
        <v>704</v>
      </c>
      <c r="E18" s="238" t="s">
        <v>708</v>
      </c>
      <c r="F18" s="238" t="s">
        <v>782</v>
      </c>
      <c r="G18" s="338" t="s">
        <v>1009</v>
      </c>
      <c r="H18" s="316">
        <v>29752.07</v>
      </c>
      <c r="I18" s="316">
        <v>0</v>
      </c>
      <c r="J18" s="316">
        <v>0</v>
      </c>
      <c r="K18" s="316">
        <v>0</v>
      </c>
      <c r="L18" s="316">
        <v>0</v>
      </c>
      <c r="M18" s="316">
        <v>6247.93</v>
      </c>
      <c r="N18" s="316">
        <v>0</v>
      </c>
      <c r="O18" s="316">
        <v>0</v>
      </c>
      <c r="P18" s="316">
        <v>0</v>
      </c>
      <c r="Q18" s="316">
        <v>0</v>
      </c>
      <c r="R18" s="316">
        <v>6247.93</v>
      </c>
      <c r="S18" s="316">
        <v>36000</v>
      </c>
    </row>
    <row r="19" spans="1:19" ht="15" customHeight="1" x14ac:dyDescent="0.25">
      <c r="A19" s="238" t="s">
        <v>998</v>
      </c>
      <c r="B19" s="238" t="s">
        <v>1010</v>
      </c>
      <c r="C19" s="238" t="s">
        <v>1011</v>
      </c>
      <c r="D19" s="238" t="s">
        <v>704</v>
      </c>
      <c r="E19" s="238" t="s">
        <v>708</v>
      </c>
      <c r="F19" s="238" t="s">
        <v>782</v>
      </c>
      <c r="G19" s="338" t="s">
        <v>1012</v>
      </c>
      <c r="H19" s="316">
        <v>419890.91</v>
      </c>
      <c r="I19" s="316">
        <v>0</v>
      </c>
      <c r="J19" s="316">
        <v>0</v>
      </c>
      <c r="K19" s="316">
        <v>0</v>
      </c>
      <c r="L19" s="316">
        <v>0</v>
      </c>
      <c r="M19" s="316">
        <v>88177.09</v>
      </c>
      <c r="N19" s="316">
        <v>0</v>
      </c>
      <c r="O19" s="316">
        <v>0</v>
      </c>
      <c r="P19" s="316">
        <v>0</v>
      </c>
      <c r="Q19" s="316">
        <v>0</v>
      </c>
      <c r="R19" s="316">
        <v>88177.09</v>
      </c>
      <c r="S19" s="316">
        <v>508068</v>
      </c>
    </row>
    <row r="20" spans="1:19" ht="15" customHeight="1" x14ac:dyDescent="0.25">
      <c r="A20" s="238" t="s">
        <v>998</v>
      </c>
      <c r="B20" s="238" t="s">
        <v>1014</v>
      </c>
      <c r="C20" s="238" t="s">
        <v>1015</v>
      </c>
      <c r="D20" s="238" t="s">
        <v>699</v>
      </c>
      <c r="E20" s="238" t="s">
        <v>1016</v>
      </c>
      <c r="F20" s="238" t="s">
        <v>782</v>
      </c>
      <c r="G20" s="338" t="s">
        <v>1017</v>
      </c>
      <c r="H20" s="316">
        <v>443114.05</v>
      </c>
      <c r="I20" s="316">
        <v>0</v>
      </c>
      <c r="J20" s="316">
        <v>0</v>
      </c>
      <c r="K20" s="316">
        <v>0</v>
      </c>
      <c r="L20" s="316">
        <v>0</v>
      </c>
      <c r="M20" s="316">
        <v>93053.95</v>
      </c>
      <c r="N20" s="316">
        <v>0</v>
      </c>
      <c r="O20" s="316">
        <v>0</v>
      </c>
      <c r="P20" s="316">
        <v>0</v>
      </c>
      <c r="Q20" s="316">
        <v>0</v>
      </c>
      <c r="R20" s="316">
        <v>93053.95</v>
      </c>
      <c r="S20" s="316">
        <v>536168</v>
      </c>
    </row>
    <row r="21" spans="1:19" ht="15" customHeight="1" x14ac:dyDescent="0.25">
      <c r="A21" s="238" t="s">
        <v>998</v>
      </c>
      <c r="B21" s="238" t="s">
        <v>1007</v>
      </c>
      <c r="C21" s="238" t="s">
        <v>1008</v>
      </c>
      <c r="D21" s="238" t="s">
        <v>704</v>
      </c>
      <c r="E21" s="238" t="s">
        <v>708</v>
      </c>
      <c r="F21" s="238" t="s">
        <v>782</v>
      </c>
      <c r="G21" s="338" t="s">
        <v>1026</v>
      </c>
      <c r="H21" s="316">
        <v>33884.300000000003</v>
      </c>
      <c r="I21" s="316">
        <v>0</v>
      </c>
      <c r="J21" s="316">
        <v>0</v>
      </c>
      <c r="K21" s="316">
        <v>0</v>
      </c>
      <c r="L21" s="316">
        <v>0</v>
      </c>
      <c r="M21" s="316">
        <v>7115.7</v>
      </c>
      <c r="N21" s="316">
        <v>0</v>
      </c>
      <c r="O21" s="316">
        <v>0</v>
      </c>
      <c r="P21" s="316">
        <v>0</v>
      </c>
      <c r="Q21" s="316">
        <v>0</v>
      </c>
      <c r="R21" s="316">
        <v>7115.7</v>
      </c>
      <c r="S21" s="316">
        <v>41000</v>
      </c>
    </row>
    <row r="22" spans="1:19" ht="15" customHeight="1" x14ac:dyDescent="0.25">
      <c r="A22" s="238" t="s">
        <v>998</v>
      </c>
      <c r="B22" s="238" t="s">
        <v>1030</v>
      </c>
      <c r="C22" s="238" t="s">
        <v>1031</v>
      </c>
      <c r="D22" s="238" t="s">
        <v>704</v>
      </c>
      <c r="E22" s="238" t="s">
        <v>708</v>
      </c>
      <c r="F22" s="238" t="s">
        <v>782</v>
      </c>
      <c r="G22" s="338" t="s">
        <v>1032</v>
      </c>
      <c r="H22" s="316">
        <v>102500</v>
      </c>
      <c r="I22" s="316">
        <v>0</v>
      </c>
      <c r="J22" s="316">
        <v>0</v>
      </c>
      <c r="K22" s="316">
        <v>0</v>
      </c>
      <c r="L22" s="316">
        <v>0</v>
      </c>
      <c r="M22" s="316">
        <v>21525</v>
      </c>
      <c r="N22" s="316">
        <v>0</v>
      </c>
      <c r="O22" s="316">
        <v>0</v>
      </c>
      <c r="P22" s="316">
        <v>0</v>
      </c>
      <c r="Q22" s="316">
        <v>0</v>
      </c>
      <c r="R22" s="316">
        <v>21525</v>
      </c>
      <c r="S22" s="316">
        <v>124025</v>
      </c>
    </row>
    <row r="23" spans="1:19" ht="15" customHeight="1" x14ac:dyDescent="0.25">
      <c r="A23" s="238" t="s">
        <v>998</v>
      </c>
      <c r="B23" s="238" t="s">
        <v>1030</v>
      </c>
      <c r="C23" s="324">
        <v>30608716390</v>
      </c>
      <c r="D23" s="238" t="s">
        <v>704</v>
      </c>
      <c r="E23" s="238"/>
      <c r="F23" s="238" t="s">
        <v>782</v>
      </c>
      <c r="G23" s="338" t="s">
        <v>1798</v>
      </c>
      <c r="H23" s="316">
        <v>20500</v>
      </c>
      <c r="I23" s="316"/>
      <c r="J23" s="316"/>
      <c r="K23" s="316"/>
      <c r="L23" s="316"/>
      <c r="M23" s="316">
        <v>4305</v>
      </c>
      <c r="N23" s="316"/>
      <c r="O23" s="316"/>
      <c r="P23" s="316"/>
      <c r="Q23" s="316"/>
      <c r="R23" s="316">
        <v>4305</v>
      </c>
      <c r="S23" s="316">
        <v>24805</v>
      </c>
    </row>
    <row r="24" spans="1:19" ht="15" customHeight="1" x14ac:dyDescent="0.25">
      <c r="A24" s="238" t="s">
        <v>998</v>
      </c>
      <c r="B24" s="238" t="s">
        <v>1030</v>
      </c>
      <c r="C24" s="238" t="s">
        <v>1031</v>
      </c>
      <c r="D24" s="238" t="s">
        <v>704</v>
      </c>
      <c r="E24" s="238" t="s">
        <v>708</v>
      </c>
      <c r="F24" s="238" t="s">
        <v>782</v>
      </c>
      <c r="G24" s="338" t="s">
        <v>1033</v>
      </c>
      <c r="H24" s="316">
        <v>20500</v>
      </c>
      <c r="I24" s="316">
        <v>0</v>
      </c>
      <c r="J24" s="316">
        <v>0</v>
      </c>
      <c r="K24" s="316">
        <v>0</v>
      </c>
      <c r="L24" s="316">
        <v>0</v>
      </c>
      <c r="M24" s="316">
        <v>4305</v>
      </c>
      <c r="N24" s="316">
        <v>0</v>
      </c>
      <c r="O24" s="316">
        <v>0</v>
      </c>
      <c r="P24" s="316">
        <v>0</v>
      </c>
      <c r="Q24" s="316">
        <v>0</v>
      </c>
      <c r="R24" s="316">
        <v>4305</v>
      </c>
      <c r="S24" s="316">
        <v>24805</v>
      </c>
    </row>
    <row r="25" spans="1:19" ht="15" customHeight="1" x14ac:dyDescent="0.25">
      <c r="A25" s="238" t="s">
        <v>998</v>
      </c>
      <c r="B25" s="238" t="s">
        <v>1030</v>
      </c>
      <c r="C25" s="238" t="s">
        <v>1031</v>
      </c>
      <c r="D25" s="238" t="s">
        <v>704</v>
      </c>
      <c r="E25" s="238" t="s">
        <v>708</v>
      </c>
      <c r="F25" s="238" t="s">
        <v>782</v>
      </c>
      <c r="G25" s="338" t="s">
        <v>1034</v>
      </c>
      <c r="H25" s="316">
        <v>147917.35999999999</v>
      </c>
      <c r="I25" s="316">
        <v>0</v>
      </c>
      <c r="J25" s="316">
        <v>0</v>
      </c>
      <c r="K25" s="316">
        <v>0</v>
      </c>
      <c r="L25" s="316">
        <v>0</v>
      </c>
      <c r="M25" s="316">
        <v>31062.639999999999</v>
      </c>
      <c r="N25" s="316">
        <v>0</v>
      </c>
      <c r="O25" s="316">
        <v>0</v>
      </c>
      <c r="P25" s="316">
        <v>0</v>
      </c>
      <c r="Q25" s="316">
        <v>0</v>
      </c>
      <c r="R25" s="316">
        <v>31062.639999999999</v>
      </c>
      <c r="S25" s="316">
        <v>178980</v>
      </c>
    </row>
    <row r="26" spans="1:19" ht="15" customHeight="1" x14ac:dyDescent="0.25">
      <c r="A26" s="238" t="s">
        <v>998</v>
      </c>
      <c r="B26" s="238" t="s">
        <v>1030</v>
      </c>
      <c r="C26" s="238" t="s">
        <v>1031</v>
      </c>
      <c r="D26" s="238" t="s">
        <v>704</v>
      </c>
      <c r="E26" s="238" t="s">
        <v>708</v>
      </c>
      <c r="F26" s="238" t="s">
        <v>782</v>
      </c>
      <c r="G26" s="338" t="s">
        <v>1035</v>
      </c>
      <c r="H26" s="316">
        <v>102500</v>
      </c>
      <c r="I26" s="316">
        <v>0</v>
      </c>
      <c r="J26" s="316">
        <v>0</v>
      </c>
      <c r="K26" s="316">
        <v>0</v>
      </c>
      <c r="L26" s="316">
        <v>0</v>
      </c>
      <c r="M26" s="316">
        <v>21525</v>
      </c>
      <c r="N26" s="316">
        <v>0</v>
      </c>
      <c r="O26" s="316">
        <v>0</v>
      </c>
      <c r="P26" s="316">
        <v>0</v>
      </c>
      <c r="Q26" s="316">
        <v>0</v>
      </c>
      <c r="R26" s="316">
        <v>21525</v>
      </c>
      <c r="S26" s="316">
        <v>124025</v>
      </c>
    </row>
    <row r="27" spans="1:19" ht="15" customHeight="1" x14ac:dyDescent="0.25">
      <c r="A27" s="238" t="s">
        <v>998</v>
      </c>
      <c r="B27" s="238" t="s">
        <v>1030</v>
      </c>
      <c r="C27" s="238" t="s">
        <v>1031</v>
      </c>
      <c r="D27" s="238" t="s">
        <v>704</v>
      </c>
      <c r="E27" s="238" t="s">
        <v>708</v>
      </c>
      <c r="F27" s="238" t="s">
        <v>782</v>
      </c>
      <c r="G27" s="338" t="s">
        <v>1039</v>
      </c>
      <c r="H27" s="316">
        <v>59166.94</v>
      </c>
      <c r="I27" s="316">
        <v>0</v>
      </c>
      <c r="J27" s="316">
        <v>0</v>
      </c>
      <c r="K27" s="316">
        <v>0</v>
      </c>
      <c r="L27" s="316">
        <v>0</v>
      </c>
      <c r="M27" s="316">
        <v>12425.06</v>
      </c>
      <c r="N27" s="316">
        <v>0</v>
      </c>
      <c r="O27" s="316">
        <v>0</v>
      </c>
      <c r="P27" s="316">
        <v>0</v>
      </c>
      <c r="Q27" s="316">
        <v>0</v>
      </c>
      <c r="R27" s="316">
        <v>12425.06</v>
      </c>
      <c r="S27" s="316">
        <v>71592</v>
      </c>
    </row>
    <row r="28" spans="1:19" ht="15" customHeight="1" x14ac:dyDescent="0.25">
      <c r="A28" s="238" t="s">
        <v>998</v>
      </c>
      <c r="B28" s="238" t="s">
        <v>1030</v>
      </c>
      <c r="C28" s="238" t="s">
        <v>1031</v>
      </c>
      <c r="D28" s="238" t="s">
        <v>704</v>
      </c>
      <c r="E28" s="238" t="s">
        <v>708</v>
      </c>
      <c r="F28" s="238" t="s">
        <v>782</v>
      </c>
      <c r="G28" s="338" t="s">
        <v>1040</v>
      </c>
      <c r="H28" s="316">
        <v>41000</v>
      </c>
      <c r="I28" s="316">
        <v>0</v>
      </c>
      <c r="J28" s="316">
        <v>0</v>
      </c>
      <c r="K28" s="316">
        <v>0</v>
      </c>
      <c r="L28" s="316">
        <v>0</v>
      </c>
      <c r="M28" s="316">
        <v>8610</v>
      </c>
      <c r="N28" s="316">
        <v>0</v>
      </c>
      <c r="O28" s="316">
        <v>0</v>
      </c>
      <c r="P28" s="316">
        <v>0</v>
      </c>
      <c r="Q28" s="316">
        <v>0</v>
      </c>
      <c r="R28" s="316">
        <v>8610</v>
      </c>
      <c r="S28" s="316">
        <v>49610</v>
      </c>
    </row>
    <row r="29" spans="1:19" ht="15" customHeight="1" x14ac:dyDescent="0.25">
      <c r="A29" s="238" t="s">
        <v>1057</v>
      </c>
      <c r="B29" s="238" t="s">
        <v>1030</v>
      </c>
      <c r="C29" s="238" t="s">
        <v>1031</v>
      </c>
      <c r="D29" s="238" t="s">
        <v>704</v>
      </c>
      <c r="E29" s="238" t="s">
        <v>708</v>
      </c>
      <c r="F29" s="238" t="s">
        <v>782</v>
      </c>
      <c r="G29" s="338" t="s">
        <v>1062</v>
      </c>
      <c r="H29" s="316">
        <v>137013.22</v>
      </c>
      <c r="I29" s="316">
        <v>0</v>
      </c>
      <c r="J29" s="316">
        <v>0</v>
      </c>
      <c r="K29" s="316">
        <v>0</v>
      </c>
      <c r="L29" s="316">
        <v>0</v>
      </c>
      <c r="M29" s="316">
        <v>28772.78</v>
      </c>
      <c r="N29" s="316">
        <v>0</v>
      </c>
      <c r="O29" s="316">
        <v>0</v>
      </c>
      <c r="P29" s="316">
        <v>0</v>
      </c>
      <c r="Q29" s="316">
        <v>0</v>
      </c>
      <c r="R29" s="316">
        <v>28772.78</v>
      </c>
      <c r="S29" s="316">
        <v>165786</v>
      </c>
    </row>
    <row r="30" spans="1:19" ht="15" customHeight="1" x14ac:dyDescent="0.25">
      <c r="A30" s="238" t="s">
        <v>1057</v>
      </c>
      <c r="B30" s="238" t="s">
        <v>1030</v>
      </c>
      <c r="C30" s="238" t="s">
        <v>1031</v>
      </c>
      <c r="D30" s="238" t="s">
        <v>704</v>
      </c>
      <c r="E30" s="238" t="s">
        <v>708</v>
      </c>
      <c r="F30" s="238" t="s">
        <v>782</v>
      </c>
      <c r="G30" s="338" t="s">
        <v>1064</v>
      </c>
      <c r="H30" s="316">
        <v>123305.79</v>
      </c>
      <c r="I30" s="316">
        <v>0</v>
      </c>
      <c r="J30" s="316">
        <v>0</v>
      </c>
      <c r="K30" s="316">
        <v>0</v>
      </c>
      <c r="L30" s="316">
        <v>0</v>
      </c>
      <c r="M30" s="316">
        <v>25894.21</v>
      </c>
      <c r="N30" s="316">
        <v>0</v>
      </c>
      <c r="O30" s="316">
        <v>0</v>
      </c>
      <c r="P30" s="316">
        <v>0</v>
      </c>
      <c r="Q30" s="316">
        <v>0</v>
      </c>
      <c r="R30" s="316">
        <v>25894.21</v>
      </c>
      <c r="S30" s="316">
        <v>149200</v>
      </c>
    </row>
    <row r="31" spans="1:19" ht="15" customHeight="1" x14ac:dyDescent="0.25">
      <c r="A31" s="238" t="s">
        <v>1057</v>
      </c>
      <c r="B31" s="238" t="s">
        <v>1030</v>
      </c>
      <c r="C31" s="238" t="s">
        <v>1031</v>
      </c>
      <c r="D31" s="238" t="s">
        <v>704</v>
      </c>
      <c r="E31" s="238" t="s">
        <v>708</v>
      </c>
      <c r="F31" s="238" t="s">
        <v>782</v>
      </c>
      <c r="G31" s="338" t="s">
        <v>1066</v>
      </c>
      <c r="H31" s="316">
        <v>87380.17</v>
      </c>
      <c r="I31" s="316">
        <v>0</v>
      </c>
      <c r="J31" s="316">
        <v>0</v>
      </c>
      <c r="K31" s="316">
        <v>0</v>
      </c>
      <c r="L31" s="316">
        <v>0</v>
      </c>
      <c r="M31" s="316">
        <v>18349.830000000002</v>
      </c>
      <c r="N31" s="316">
        <v>0</v>
      </c>
      <c r="O31" s="316">
        <v>0</v>
      </c>
      <c r="P31" s="316">
        <v>0</v>
      </c>
      <c r="Q31" s="316">
        <v>0</v>
      </c>
      <c r="R31" s="316">
        <v>18349.830000000002</v>
      </c>
      <c r="S31" s="316">
        <v>105730</v>
      </c>
    </row>
    <row r="32" spans="1:19" ht="15" customHeight="1" x14ac:dyDescent="0.25">
      <c r="A32" s="238" t="s">
        <v>1057</v>
      </c>
      <c r="B32" s="238" t="s">
        <v>1030</v>
      </c>
      <c r="C32" s="238" t="s">
        <v>1031</v>
      </c>
      <c r="D32" s="238" t="s">
        <v>704</v>
      </c>
      <c r="E32" s="238" t="s">
        <v>708</v>
      </c>
      <c r="F32" s="238" t="s">
        <v>782</v>
      </c>
      <c r="G32" s="338" t="s">
        <v>1067</v>
      </c>
      <c r="H32" s="316">
        <v>41000</v>
      </c>
      <c r="I32" s="316">
        <v>0</v>
      </c>
      <c r="J32" s="316">
        <v>0</v>
      </c>
      <c r="K32" s="316">
        <v>0</v>
      </c>
      <c r="L32" s="316">
        <v>0</v>
      </c>
      <c r="M32" s="316">
        <v>8610</v>
      </c>
      <c r="N32" s="316">
        <v>0</v>
      </c>
      <c r="O32" s="316">
        <v>0</v>
      </c>
      <c r="P32" s="316">
        <v>0</v>
      </c>
      <c r="Q32" s="316">
        <v>0</v>
      </c>
      <c r="R32" s="316">
        <v>8610</v>
      </c>
      <c r="S32" s="316">
        <v>49610</v>
      </c>
    </row>
    <row r="33" spans="1:19" ht="15" customHeight="1" x14ac:dyDescent="0.25">
      <c r="A33" s="238" t="s">
        <v>1057</v>
      </c>
      <c r="B33" s="238" t="s">
        <v>1030</v>
      </c>
      <c r="C33" s="238" t="s">
        <v>1031</v>
      </c>
      <c r="D33" s="238" t="s">
        <v>704</v>
      </c>
      <c r="E33" s="238" t="s">
        <v>708</v>
      </c>
      <c r="F33" s="238" t="s">
        <v>782</v>
      </c>
      <c r="G33" s="338" t="s">
        <v>1068</v>
      </c>
      <c r="H33" s="316">
        <v>41000</v>
      </c>
      <c r="I33" s="316">
        <v>0</v>
      </c>
      <c r="J33" s="316">
        <v>0</v>
      </c>
      <c r="K33" s="316">
        <v>0</v>
      </c>
      <c r="L33" s="316">
        <v>0</v>
      </c>
      <c r="M33" s="316">
        <v>8610</v>
      </c>
      <c r="N33" s="316">
        <v>0</v>
      </c>
      <c r="O33" s="316">
        <v>0</v>
      </c>
      <c r="P33" s="316">
        <v>0</v>
      </c>
      <c r="Q33" s="316">
        <v>0</v>
      </c>
      <c r="R33" s="316">
        <v>8610</v>
      </c>
      <c r="S33" s="316">
        <v>49610</v>
      </c>
    </row>
    <row r="34" spans="1:19" ht="15" customHeight="1" x14ac:dyDescent="0.25">
      <c r="A34" s="238" t="s">
        <v>1057</v>
      </c>
      <c r="B34" s="238" t="s">
        <v>1030</v>
      </c>
      <c r="C34" s="238" t="s">
        <v>1031</v>
      </c>
      <c r="D34" s="238" t="s">
        <v>704</v>
      </c>
      <c r="E34" s="238" t="s">
        <v>708</v>
      </c>
      <c r="F34" s="238" t="s">
        <v>782</v>
      </c>
      <c r="G34" s="338" t="s">
        <v>1069</v>
      </c>
      <c r="H34" s="316">
        <v>41000</v>
      </c>
      <c r="I34" s="316">
        <v>0</v>
      </c>
      <c r="J34" s="316">
        <v>0</v>
      </c>
      <c r="K34" s="316">
        <v>0</v>
      </c>
      <c r="L34" s="316">
        <v>0</v>
      </c>
      <c r="M34" s="316">
        <v>8610</v>
      </c>
      <c r="N34" s="316">
        <v>0</v>
      </c>
      <c r="O34" s="316">
        <v>0</v>
      </c>
      <c r="P34" s="316">
        <v>0</v>
      </c>
      <c r="Q34" s="316">
        <v>0</v>
      </c>
      <c r="R34" s="316">
        <v>8610</v>
      </c>
      <c r="S34" s="316">
        <v>49610</v>
      </c>
    </row>
    <row r="35" spans="1:19" ht="15" customHeight="1" x14ac:dyDescent="0.25">
      <c r="A35" s="238" t="s">
        <v>1057</v>
      </c>
      <c r="B35" s="238" t="s">
        <v>1030</v>
      </c>
      <c r="C35" s="238" t="s">
        <v>1031</v>
      </c>
      <c r="D35" s="238" t="s">
        <v>704</v>
      </c>
      <c r="E35" s="238" t="s">
        <v>708</v>
      </c>
      <c r="F35" s="238" t="s">
        <v>782</v>
      </c>
      <c r="G35" s="338" t="s">
        <v>1070</v>
      </c>
      <c r="H35" s="316">
        <v>41000</v>
      </c>
      <c r="I35" s="316">
        <v>0</v>
      </c>
      <c r="J35" s="316">
        <v>0</v>
      </c>
      <c r="K35" s="316">
        <v>0</v>
      </c>
      <c r="L35" s="316">
        <v>0</v>
      </c>
      <c r="M35" s="316">
        <v>8610</v>
      </c>
      <c r="N35" s="316">
        <v>0</v>
      </c>
      <c r="O35" s="316">
        <v>0</v>
      </c>
      <c r="P35" s="316">
        <v>0</v>
      </c>
      <c r="Q35" s="316">
        <v>0</v>
      </c>
      <c r="R35" s="316">
        <v>8610</v>
      </c>
      <c r="S35" s="316">
        <v>49610</v>
      </c>
    </row>
    <row r="36" spans="1:19" ht="15" customHeight="1" x14ac:dyDescent="0.25">
      <c r="A36" s="238" t="s">
        <v>1057</v>
      </c>
      <c r="B36" s="238" t="s">
        <v>1030</v>
      </c>
      <c r="C36" s="238" t="s">
        <v>1031</v>
      </c>
      <c r="D36" s="238" t="s">
        <v>704</v>
      </c>
      <c r="E36" s="238" t="s">
        <v>708</v>
      </c>
      <c r="F36" s="238" t="s">
        <v>782</v>
      </c>
      <c r="G36" s="338" t="s">
        <v>1071</v>
      </c>
      <c r="H36" s="316">
        <v>34952.07</v>
      </c>
      <c r="I36" s="316">
        <v>0</v>
      </c>
      <c r="J36" s="316">
        <v>0</v>
      </c>
      <c r="K36" s="316">
        <v>0</v>
      </c>
      <c r="L36" s="316">
        <v>0</v>
      </c>
      <c r="M36" s="316">
        <v>7339.93</v>
      </c>
      <c r="N36" s="316">
        <v>0</v>
      </c>
      <c r="O36" s="316">
        <v>0</v>
      </c>
      <c r="P36" s="316">
        <v>0</v>
      </c>
      <c r="Q36" s="316">
        <v>0</v>
      </c>
      <c r="R36" s="316">
        <v>7339.93</v>
      </c>
      <c r="S36" s="316">
        <v>42292</v>
      </c>
    </row>
    <row r="37" spans="1:19" ht="15" customHeight="1" x14ac:dyDescent="0.25">
      <c r="A37" s="238" t="s">
        <v>1057</v>
      </c>
      <c r="B37" s="238" t="s">
        <v>1030</v>
      </c>
      <c r="C37" s="238" t="s">
        <v>1031</v>
      </c>
      <c r="D37" s="238" t="s">
        <v>704</v>
      </c>
      <c r="E37" s="238" t="s">
        <v>708</v>
      </c>
      <c r="F37" s="238" t="s">
        <v>782</v>
      </c>
      <c r="G37" s="338" t="s">
        <v>1072</v>
      </c>
      <c r="H37" s="316">
        <v>20500</v>
      </c>
      <c r="I37" s="316">
        <v>0</v>
      </c>
      <c r="J37" s="316">
        <v>0</v>
      </c>
      <c r="K37" s="316">
        <v>0</v>
      </c>
      <c r="L37" s="316">
        <v>0</v>
      </c>
      <c r="M37" s="316">
        <v>4305</v>
      </c>
      <c r="N37" s="316">
        <v>0</v>
      </c>
      <c r="O37" s="316">
        <v>0</v>
      </c>
      <c r="P37" s="316">
        <v>0</v>
      </c>
      <c r="Q37" s="316">
        <v>0</v>
      </c>
      <c r="R37" s="316">
        <v>4305</v>
      </c>
      <c r="S37" s="316">
        <v>24805</v>
      </c>
    </row>
    <row r="38" spans="1:19" ht="15" customHeight="1" x14ac:dyDescent="0.25">
      <c r="A38" s="238" t="s">
        <v>1057</v>
      </c>
      <c r="B38" s="238" t="s">
        <v>1030</v>
      </c>
      <c r="C38" s="238" t="s">
        <v>1031</v>
      </c>
      <c r="D38" s="238" t="s">
        <v>704</v>
      </c>
      <c r="E38" s="238" t="s">
        <v>708</v>
      </c>
      <c r="F38" s="238" t="s">
        <v>782</v>
      </c>
      <c r="G38" s="338" t="s">
        <v>1073</v>
      </c>
      <c r="H38" s="316">
        <v>20500</v>
      </c>
      <c r="I38" s="316">
        <v>0</v>
      </c>
      <c r="J38" s="316">
        <v>0</v>
      </c>
      <c r="K38" s="316">
        <v>0</v>
      </c>
      <c r="L38" s="316">
        <v>0</v>
      </c>
      <c r="M38" s="316">
        <v>4305</v>
      </c>
      <c r="N38" s="316">
        <v>0</v>
      </c>
      <c r="O38" s="316">
        <v>0</v>
      </c>
      <c r="P38" s="316">
        <v>0</v>
      </c>
      <c r="Q38" s="316">
        <v>0</v>
      </c>
      <c r="R38" s="316">
        <v>4305</v>
      </c>
      <c r="S38" s="316">
        <v>24805</v>
      </c>
    </row>
    <row r="39" spans="1:19" ht="15" customHeight="1" x14ac:dyDescent="0.25">
      <c r="A39" s="238" t="s">
        <v>1057</v>
      </c>
      <c r="B39" s="238" t="s">
        <v>1030</v>
      </c>
      <c r="C39" s="238" t="s">
        <v>1031</v>
      </c>
      <c r="D39" s="238" t="s">
        <v>704</v>
      </c>
      <c r="E39" s="238" t="s">
        <v>708</v>
      </c>
      <c r="F39" s="238" t="s">
        <v>782</v>
      </c>
      <c r="G39" s="338" t="s">
        <v>1074</v>
      </c>
      <c r="H39" s="316">
        <v>20500</v>
      </c>
      <c r="I39" s="316">
        <v>0</v>
      </c>
      <c r="J39" s="316">
        <v>0</v>
      </c>
      <c r="K39" s="316">
        <v>0</v>
      </c>
      <c r="L39" s="316">
        <v>0</v>
      </c>
      <c r="M39" s="316">
        <v>4305</v>
      </c>
      <c r="N39" s="316">
        <v>0</v>
      </c>
      <c r="O39" s="316">
        <v>0</v>
      </c>
      <c r="P39" s="316">
        <v>0</v>
      </c>
      <c r="Q39" s="316">
        <v>0</v>
      </c>
      <c r="R39" s="316">
        <v>4305</v>
      </c>
      <c r="S39" s="316">
        <v>24805</v>
      </c>
    </row>
    <row r="40" spans="1:19" ht="15" customHeight="1" x14ac:dyDescent="0.25">
      <c r="A40" s="238" t="s">
        <v>1057</v>
      </c>
      <c r="B40" s="238" t="s">
        <v>1030</v>
      </c>
      <c r="C40" s="238" t="s">
        <v>1031</v>
      </c>
      <c r="D40" s="238" t="s">
        <v>704</v>
      </c>
      <c r="E40" s="238" t="s">
        <v>708</v>
      </c>
      <c r="F40" s="238" t="s">
        <v>782</v>
      </c>
      <c r="G40" s="338" t="s">
        <v>1075</v>
      </c>
      <c r="H40" s="316">
        <v>20500</v>
      </c>
      <c r="I40" s="316">
        <v>0</v>
      </c>
      <c r="J40" s="316">
        <v>0</v>
      </c>
      <c r="K40" s="316">
        <v>0</v>
      </c>
      <c r="L40" s="316">
        <v>0</v>
      </c>
      <c r="M40" s="316">
        <v>4305</v>
      </c>
      <c r="N40" s="316">
        <v>0</v>
      </c>
      <c r="O40" s="316">
        <v>0</v>
      </c>
      <c r="P40" s="316">
        <v>0</v>
      </c>
      <c r="Q40" s="316">
        <v>0</v>
      </c>
      <c r="R40" s="316">
        <v>4305</v>
      </c>
      <c r="S40" s="316">
        <v>24805</v>
      </c>
    </row>
    <row r="41" spans="1:19" ht="15" customHeight="1" x14ac:dyDescent="0.25">
      <c r="A41" s="238" t="s">
        <v>1057</v>
      </c>
      <c r="B41" s="238" t="s">
        <v>1030</v>
      </c>
      <c r="C41" s="238" t="s">
        <v>1031</v>
      </c>
      <c r="D41" s="238" t="s">
        <v>704</v>
      </c>
      <c r="E41" s="238" t="s">
        <v>708</v>
      </c>
      <c r="F41" s="238" t="s">
        <v>782</v>
      </c>
      <c r="G41" s="338" t="s">
        <v>1076</v>
      </c>
      <c r="H41" s="316">
        <v>24661.16</v>
      </c>
      <c r="I41" s="316">
        <v>0</v>
      </c>
      <c r="J41" s="316">
        <v>0</v>
      </c>
      <c r="K41" s="316">
        <v>0</v>
      </c>
      <c r="L41" s="316">
        <v>0</v>
      </c>
      <c r="M41" s="316">
        <v>5178.84</v>
      </c>
      <c r="N41" s="316">
        <v>0</v>
      </c>
      <c r="O41" s="316">
        <v>0</v>
      </c>
      <c r="P41" s="316">
        <v>0</v>
      </c>
      <c r="Q41" s="316">
        <v>0</v>
      </c>
      <c r="R41" s="316">
        <v>5178.84</v>
      </c>
      <c r="S41" s="316">
        <v>29840</v>
      </c>
    </row>
    <row r="42" spans="1:19" ht="15" customHeight="1" x14ac:dyDescent="0.25">
      <c r="A42" s="238" t="s">
        <v>1057</v>
      </c>
      <c r="B42" s="238" t="s">
        <v>1030</v>
      </c>
      <c r="C42" s="238" t="s">
        <v>1031</v>
      </c>
      <c r="D42" s="238" t="s">
        <v>704</v>
      </c>
      <c r="E42" s="238" t="s">
        <v>708</v>
      </c>
      <c r="F42" s="238" t="s">
        <v>782</v>
      </c>
      <c r="G42" s="338" t="s">
        <v>1080</v>
      </c>
      <c r="H42" s="316">
        <v>20500</v>
      </c>
      <c r="I42" s="316">
        <v>0</v>
      </c>
      <c r="J42" s="316">
        <v>0</v>
      </c>
      <c r="K42" s="316">
        <v>0</v>
      </c>
      <c r="L42" s="316">
        <v>0</v>
      </c>
      <c r="M42" s="316">
        <v>4305</v>
      </c>
      <c r="N42" s="316">
        <v>0</v>
      </c>
      <c r="O42" s="316">
        <v>0</v>
      </c>
      <c r="P42" s="316">
        <v>0</v>
      </c>
      <c r="Q42" s="316">
        <v>0</v>
      </c>
      <c r="R42" s="316">
        <v>4305</v>
      </c>
      <c r="S42" s="316">
        <v>24805</v>
      </c>
    </row>
    <row r="43" spans="1:19" ht="15" customHeight="1" x14ac:dyDescent="0.25">
      <c r="A43" s="238" t="s">
        <v>1098</v>
      </c>
      <c r="B43" s="238" t="s">
        <v>1030</v>
      </c>
      <c r="C43" s="238" t="s">
        <v>1031</v>
      </c>
      <c r="D43" s="238" t="s">
        <v>704</v>
      </c>
      <c r="E43" s="238" t="s">
        <v>708</v>
      </c>
      <c r="F43" s="238" t="s">
        <v>782</v>
      </c>
      <c r="G43" s="338" t="s">
        <v>1102</v>
      </c>
      <c r="H43" s="316">
        <v>20500</v>
      </c>
      <c r="I43" s="316">
        <v>0</v>
      </c>
      <c r="J43" s="316">
        <v>0</v>
      </c>
      <c r="K43" s="316">
        <v>0</v>
      </c>
      <c r="L43" s="316">
        <v>0</v>
      </c>
      <c r="M43" s="316">
        <v>4305</v>
      </c>
      <c r="N43" s="316">
        <v>0</v>
      </c>
      <c r="O43" s="316">
        <v>0</v>
      </c>
      <c r="P43" s="316">
        <v>0</v>
      </c>
      <c r="Q43" s="316">
        <v>0</v>
      </c>
      <c r="R43" s="316">
        <v>4305</v>
      </c>
      <c r="S43" s="316">
        <v>24805</v>
      </c>
    </row>
    <row r="44" spans="1:19" ht="15" customHeight="1" x14ac:dyDescent="0.25">
      <c r="A44" s="238" t="s">
        <v>1126</v>
      </c>
      <c r="B44" s="238" t="s">
        <v>1141</v>
      </c>
      <c r="C44" s="238" t="s">
        <v>1142</v>
      </c>
      <c r="D44" s="238" t="s">
        <v>704</v>
      </c>
      <c r="E44" s="238" t="s">
        <v>708</v>
      </c>
      <c r="F44" s="238" t="s">
        <v>782</v>
      </c>
      <c r="G44" s="338" t="s">
        <v>1143</v>
      </c>
      <c r="H44" s="316">
        <v>81818.179999999993</v>
      </c>
      <c r="I44" s="316">
        <v>0</v>
      </c>
      <c r="J44" s="316">
        <v>0</v>
      </c>
      <c r="K44" s="316">
        <v>0</v>
      </c>
      <c r="L44" s="316">
        <v>0</v>
      </c>
      <c r="M44" s="316">
        <v>17181.82</v>
      </c>
      <c r="N44" s="316">
        <v>0</v>
      </c>
      <c r="O44" s="316">
        <v>0</v>
      </c>
      <c r="P44" s="316">
        <v>0</v>
      </c>
      <c r="Q44" s="316">
        <v>0</v>
      </c>
      <c r="R44" s="316">
        <v>17181.82</v>
      </c>
      <c r="S44" s="316">
        <v>99000</v>
      </c>
    </row>
    <row r="45" spans="1:19" ht="15" customHeight="1" x14ac:dyDescent="0.25">
      <c r="A45" s="238" t="s">
        <v>1126</v>
      </c>
      <c r="B45" s="238" t="s">
        <v>1141</v>
      </c>
      <c r="C45" s="238" t="s">
        <v>1142</v>
      </c>
      <c r="D45" s="238" t="s">
        <v>704</v>
      </c>
      <c r="E45" s="238" t="s">
        <v>708</v>
      </c>
      <c r="F45" s="238" t="s">
        <v>782</v>
      </c>
      <c r="G45" s="338" t="s">
        <v>1144</v>
      </c>
      <c r="H45" s="316">
        <v>79718.34</v>
      </c>
      <c r="I45" s="316">
        <v>0</v>
      </c>
      <c r="J45" s="316">
        <v>0</v>
      </c>
      <c r="K45" s="316">
        <v>0</v>
      </c>
      <c r="L45" s="316">
        <v>0</v>
      </c>
      <c r="M45" s="316">
        <v>16740.849999999999</v>
      </c>
      <c r="N45" s="316">
        <v>0</v>
      </c>
      <c r="O45" s="316">
        <v>0</v>
      </c>
      <c r="P45" s="316">
        <v>0</v>
      </c>
      <c r="Q45" s="316">
        <v>0</v>
      </c>
      <c r="R45" s="316">
        <v>16740.849999999999</v>
      </c>
      <c r="S45" s="316">
        <v>96459.19</v>
      </c>
    </row>
    <row r="46" spans="1:19" ht="15" customHeight="1" x14ac:dyDescent="0.25">
      <c r="A46" s="238" t="s">
        <v>1126</v>
      </c>
      <c r="B46" s="238" t="s">
        <v>1153</v>
      </c>
      <c r="C46" s="238" t="s">
        <v>1154</v>
      </c>
      <c r="D46" s="238" t="s">
        <v>704</v>
      </c>
      <c r="E46" s="238" t="s">
        <v>708</v>
      </c>
      <c r="F46" s="238" t="s">
        <v>782</v>
      </c>
      <c r="G46" s="338" t="s">
        <v>1155</v>
      </c>
      <c r="H46" s="316">
        <v>795735.54</v>
      </c>
      <c r="I46" s="316">
        <v>0</v>
      </c>
      <c r="J46" s="316">
        <v>0</v>
      </c>
      <c r="K46" s="316">
        <v>0</v>
      </c>
      <c r="L46" s="316">
        <v>0</v>
      </c>
      <c r="M46" s="316">
        <v>167104.46</v>
      </c>
      <c r="N46" s="316">
        <v>0</v>
      </c>
      <c r="O46" s="316">
        <v>0</v>
      </c>
      <c r="P46" s="316">
        <v>0</v>
      </c>
      <c r="Q46" s="316">
        <v>0</v>
      </c>
      <c r="R46" s="316">
        <v>167104.46</v>
      </c>
      <c r="S46" s="316">
        <v>962840</v>
      </c>
    </row>
    <row r="47" spans="1:19" ht="15" customHeight="1" x14ac:dyDescent="0.25">
      <c r="A47" s="238" t="s">
        <v>1126</v>
      </c>
      <c r="B47" s="238" t="s">
        <v>206</v>
      </c>
      <c r="C47" s="238" t="s">
        <v>1090</v>
      </c>
      <c r="D47" s="238" t="s">
        <v>704</v>
      </c>
      <c r="E47" s="238" t="s">
        <v>708</v>
      </c>
      <c r="F47" s="238" t="s">
        <v>782</v>
      </c>
      <c r="G47" s="338" t="s">
        <v>1161</v>
      </c>
      <c r="H47" s="316">
        <v>2422975.21</v>
      </c>
      <c r="I47" s="316">
        <v>0</v>
      </c>
      <c r="J47" s="316">
        <v>0</v>
      </c>
      <c r="K47" s="316">
        <v>0</v>
      </c>
      <c r="L47" s="316">
        <v>0</v>
      </c>
      <c r="M47" s="316">
        <v>508824.79</v>
      </c>
      <c r="N47" s="316">
        <v>0</v>
      </c>
      <c r="O47" s="316">
        <v>0</v>
      </c>
      <c r="P47" s="316">
        <v>0</v>
      </c>
      <c r="Q47" s="316">
        <v>0</v>
      </c>
      <c r="R47" s="316">
        <v>508824.79</v>
      </c>
      <c r="S47" s="316">
        <v>2931800</v>
      </c>
    </row>
    <row r="48" spans="1:19" ht="15" customHeight="1" x14ac:dyDescent="0.25">
      <c r="A48" s="238" t="s">
        <v>1126</v>
      </c>
      <c r="B48" s="238" t="s">
        <v>206</v>
      </c>
      <c r="C48" s="238" t="s">
        <v>1090</v>
      </c>
      <c r="D48" s="238" t="s">
        <v>704</v>
      </c>
      <c r="E48" s="238" t="s">
        <v>708</v>
      </c>
      <c r="F48" s="238" t="s">
        <v>782</v>
      </c>
      <c r="G48" s="338" t="s">
        <v>1162</v>
      </c>
      <c r="H48" s="316">
        <v>2396694.21</v>
      </c>
      <c r="I48" s="316">
        <v>0</v>
      </c>
      <c r="J48" s="316">
        <v>0</v>
      </c>
      <c r="K48" s="316">
        <v>0</v>
      </c>
      <c r="L48" s="316">
        <v>0</v>
      </c>
      <c r="M48" s="316">
        <v>503305.79</v>
      </c>
      <c r="N48" s="316">
        <v>0</v>
      </c>
      <c r="O48" s="316">
        <v>0</v>
      </c>
      <c r="P48" s="316">
        <v>0</v>
      </c>
      <c r="Q48" s="316">
        <v>0</v>
      </c>
      <c r="R48" s="316">
        <v>503305.79</v>
      </c>
      <c r="S48" s="316">
        <v>2900000</v>
      </c>
    </row>
    <row r="49" spans="1:19" ht="15" customHeight="1" x14ac:dyDescent="0.25">
      <c r="A49" s="238" t="s">
        <v>1164</v>
      </c>
      <c r="B49" s="238" t="s">
        <v>206</v>
      </c>
      <c r="C49" s="238" t="s">
        <v>1090</v>
      </c>
      <c r="D49" s="238" t="s">
        <v>704</v>
      </c>
      <c r="E49" s="238" t="s">
        <v>708</v>
      </c>
      <c r="F49" s="238" t="s">
        <v>782</v>
      </c>
      <c r="G49" s="338" t="s">
        <v>1175</v>
      </c>
      <c r="H49" s="316">
        <v>355192.56</v>
      </c>
      <c r="I49" s="316">
        <v>0</v>
      </c>
      <c r="J49" s="316">
        <v>0</v>
      </c>
      <c r="K49" s="316">
        <v>0</v>
      </c>
      <c r="L49" s="316">
        <v>0</v>
      </c>
      <c r="M49" s="316">
        <v>74590.44</v>
      </c>
      <c r="N49" s="316">
        <v>0</v>
      </c>
      <c r="O49" s="316">
        <v>0</v>
      </c>
      <c r="P49" s="316">
        <v>0</v>
      </c>
      <c r="Q49" s="316">
        <v>0</v>
      </c>
      <c r="R49" s="316">
        <v>74590.44</v>
      </c>
      <c r="S49" s="316">
        <v>429783</v>
      </c>
    </row>
    <row r="50" spans="1:19" ht="15" customHeight="1" x14ac:dyDescent="0.25">
      <c r="A50" s="238" t="s">
        <v>1164</v>
      </c>
      <c r="B50" s="238" t="s">
        <v>92</v>
      </c>
      <c r="C50" s="238" t="s">
        <v>1189</v>
      </c>
      <c r="D50" s="238" t="s">
        <v>704</v>
      </c>
      <c r="E50" s="238" t="s">
        <v>708</v>
      </c>
      <c r="F50" s="238" t="s">
        <v>782</v>
      </c>
      <c r="G50" s="338" t="s">
        <v>1190</v>
      </c>
      <c r="H50" s="316">
        <v>78201.88</v>
      </c>
      <c r="I50" s="316">
        <v>0</v>
      </c>
      <c r="J50" s="316">
        <v>0</v>
      </c>
      <c r="K50" s="316">
        <v>0</v>
      </c>
      <c r="L50" s="316">
        <v>0</v>
      </c>
      <c r="M50" s="316">
        <v>16422.400000000001</v>
      </c>
      <c r="N50" s="316">
        <v>0</v>
      </c>
      <c r="O50" s="316">
        <v>0</v>
      </c>
      <c r="P50" s="316">
        <v>0</v>
      </c>
      <c r="Q50" s="316">
        <v>0</v>
      </c>
      <c r="R50" s="316">
        <v>16422.400000000001</v>
      </c>
      <c r="S50" s="316">
        <v>94624.28</v>
      </c>
    </row>
    <row r="51" spans="1:19" ht="15" customHeight="1" x14ac:dyDescent="0.25">
      <c r="A51" s="238" t="s">
        <v>1191</v>
      </c>
      <c r="B51" s="238" t="s">
        <v>1204</v>
      </c>
      <c r="C51" s="238" t="s">
        <v>1205</v>
      </c>
      <c r="D51" s="238" t="s">
        <v>699</v>
      </c>
      <c r="E51" s="238" t="s">
        <v>732</v>
      </c>
      <c r="F51" s="238" t="s">
        <v>782</v>
      </c>
      <c r="G51" s="338" t="s">
        <v>1206</v>
      </c>
      <c r="H51" s="316">
        <v>62923.58</v>
      </c>
      <c r="I51" s="316">
        <v>0</v>
      </c>
      <c r="J51" s="316">
        <v>0</v>
      </c>
      <c r="K51" s="316">
        <v>0</v>
      </c>
      <c r="L51" s="316">
        <v>0</v>
      </c>
      <c r="M51" s="316">
        <v>13213.95</v>
      </c>
      <c r="N51" s="316">
        <v>0</v>
      </c>
      <c r="O51" s="316">
        <v>0</v>
      </c>
      <c r="P51" s="316">
        <v>0</v>
      </c>
      <c r="Q51" s="316">
        <v>0</v>
      </c>
      <c r="R51" s="316">
        <v>13213.95</v>
      </c>
      <c r="S51" s="316">
        <v>76137.53</v>
      </c>
    </row>
    <row r="52" spans="1:19" ht="15" customHeight="1" x14ac:dyDescent="0.25">
      <c r="A52" s="238" t="s">
        <v>1191</v>
      </c>
      <c r="B52" s="238" t="s">
        <v>1208</v>
      </c>
      <c r="C52" s="238" t="s">
        <v>1209</v>
      </c>
      <c r="D52" s="238" t="s">
        <v>704</v>
      </c>
      <c r="E52" s="238" t="s">
        <v>708</v>
      </c>
      <c r="F52" s="238" t="s">
        <v>782</v>
      </c>
      <c r="G52" s="338" t="s">
        <v>1210</v>
      </c>
      <c r="H52" s="316">
        <v>68354.64</v>
      </c>
      <c r="I52" s="316">
        <v>0</v>
      </c>
      <c r="J52" s="316">
        <v>0</v>
      </c>
      <c r="K52" s="316">
        <v>0</v>
      </c>
      <c r="L52" s="316">
        <v>0</v>
      </c>
      <c r="M52" s="316">
        <v>14354.48</v>
      </c>
      <c r="N52" s="316">
        <v>0</v>
      </c>
      <c r="O52" s="316">
        <v>0</v>
      </c>
      <c r="P52" s="316">
        <v>0</v>
      </c>
      <c r="Q52" s="316">
        <v>0</v>
      </c>
      <c r="R52" s="316">
        <v>14354.48</v>
      </c>
      <c r="S52" s="316">
        <v>82709.119999999995</v>
      </c>
    </row>
    <row r="53" spans="1:19" ht="15" customHeight="1" x14ac:dyDescent="0.25">
      <c r="A53" s="238" t="s">
        <v>1191</v>
      </c>
      <c r="B53" s="238" t="s">
        <v>593</v>
      </c>
      <c r="C53" s="238" t="s">
        <v>1211</v>
      </c>
      <c r="D53" s="238" t="s">
        <v>704</v>
      </c>
      <c r="E53" s="238" t="s">
        <v>708</v>
      </c>
      <c r="F53" s="238" t="s">
        <v>782</v>
      </c>
      <c r="G53" s="338" t="s">
        <v>1212</v>
      </c>
      <c r="H53" s="316">
        <v>61113.22</v>
      </c>
      <c r="I53" s="316">
        <v>0</v>
      </c>
      <c r="J53" s="316">
        <v>0</v>
      </c>
      <c r="K53" s="316">
        <v>0</v>
      </c>
      <c r="L53" s="316">
        <v>0</v>
      </c>
      <c r="M53" s="316">
        <v>12833.78</v>
      </c>
      <c r="N53" s="316">
        <v>0</v>
      </c>
      <c r="O53" s="316">
        <v>0</v>
      </c>
      <c r="P53" s="316">
        <v>0</v>
      </c>
      <c r="Q53" s="316">
        <v>0</v>
      </c>
      <c r="R53" s="316">
        <v>12833.78</v>
      </c>
      <c r="S53" s="316">
        <v>73947</v>
      </c>
    </row>
    <row r="54" spans="1:19" ht="15" customHeight="1" x14ac:dyDescent="0.25">
      <c r="A54" s="238" t="s">
        <v>1191</v>
      </c>
      <c r="B54" s="238" t="s">
        <v>1215</v>
      </c>
      <c r="C54" s="238" t="s">
        <v>1216</v>
      </c>
      <c r="D54" s="238" t="s">
        <v>704</v>
      </c>
      <c r="E54" s="238" t="s">
        <v>708</v>
      </c>
      <c r="F54" s="238" t="s">
        <v>782</v>
      </c>
      <c r="G54" s="338" t="s">
        <v>1217</v>
      </c>
      <c r="H54" s="316">
        <v>369166.27</v>
      </c>
      <c r="I54" s="316">
        <v>0</v>
      </c>
      <c r="J54" s="316">
        <v>0</v>
      </c>
      <c r="K54" s="316">
        <v>0</v>
      </c>
      <c r="L54" s="316">
        <v>0</v>
      </c>
      <c r="M54" s="316">
        <v>77524.92</v>
      </c>
      <c r="N54" s="316">
        <v>0</v>
      </c>
      <c r="O54" s="316">
        <v>0</v>
      </c>
      <c r="P54" s="316">
        <v>0</v>
      </c>
      <c r="Q54" s="316">
        <v>0</v>
      </c>
      <c r="R54" s="316">
        <v>77524.92</v>
      </c>
      <c r="S54" s="316">
        <v>446691.19</v>
      </c>
    </row>
    <row r="55" spans="1:19" ht="15" customHeight="1" x14ac:dyDescent="0.25">
      <c r="A55" s="238" t="s">
        <v>1220</v>
      </c>
      <c r="B55" s="238" t="s">
        <v>1030</v>
      </c>
      <c r="C55" s="238" t="s">
        <v>1031</v>
      </c>
      <c r="D55" s="238" t="s">
        <v>704</v>
      </c>
      <c r="E55" s="238" t="s">
        <v>708</v>
      </c>
      <c r="F55" s="238" t="s">
        <v>782</v>
      </c>
      <c r="G55" s="338" t="s">
        <v>1224</v>
      </c>
      <c r="H55" s="316">
        <v>68506.61</v>
      </c>
      <c r="I55" s="316">
        <v>0</v>
      </c>
      <c r="J55" s="316">
        <v>0</v>
      </c>
      <c r="K55" s="316">
        <v>0</v>
      </c>
      <c r="L55" s="316">
        <v>0</v>
      </c>
      <c r="M55" s="316">
        <v>14386.39</v>
      </c>
      <c r="N55" s="316">
        <v>0</v>
      </c>
      <c r="O55" s="316">
        <v>0</v>
      </c>
      <c r="P55" s="316">
        <v>0</v>
      </c>
      <c r="Q55" s="316">
        <v>0</v>
      </c>
      <c r="R55" s="316">
        <v>14386.39</v>
      </c>
      <c r="S55" s="316">
        <v>82893</v>
      </c>
    </row>
    <row r="56" spans="1:19" ht="15" customHeight="1" x14ac:dyDescent="0.25">
      <c r="A56" s="238" t="s">
        <v>1220</v>
      </c>
      <c r="B56" s="238" t="s">
        <v>1030</v>
      </c>
      <c r="C56" s="238" t="s">
        <v>1031</v>
      </c>
      <c r="D56" s="238" t="s">
        <v>704</v>
      </c>
      <c r="E56" s="238" t="s">
        <v>708</v>
      </c>
      <c r="F56" s="238" t="s">
        <v>782</v>
      </c>
      <c r="G56" s="338" t="s">
        <v>1227</v>
      </c>
      <c r="H56" s="316">
        <v>39444.629999999997</v>
      </c>
      <c r="I56" s="316">
        <v>0</v>
      </c>
      <c r="J56" s="316">
        <v>0</v>
      </c>
      <c r="K56" s="316">
        <v>0</v>
      </c>
      <c r="L56" s="316">
        <v>0</v>
      </c>
      <c r="M56" s="316">
        <v>8283.3700000000008</v>
      </c>
      <c r="N56" s="316">
        <v>0</v>
      </c>
      <c r="O56" s="316">
        <v>0</v>
      </c>
      <c r="P56" s="316">
        <v>0</v>
      </c>
      <c r="Q56" s="316">
        <v>0</v>
      </c>
      <c r="R56" s="316">
        <v>8283.3700000000008</v>
      </c>
      <c r="S56" s="316">
        <v>47728</v>
      </c>
    </row>
    <row r="57" spans="1:19" ht="15" customHeight="1" x14ac:dyDescent="0.25">
      <c r="A57" s="238" t="s">
        <v>1220</v>
      </c>
      <c r="B57" s="238" t="s">
        <v>1230</v>
      </c>
      <c r="C57" s="238" t="s">
        <v>1231</v>
      </c>
      <c r="D57" s="238" t="s">
        <v>704</v>
      </c>
      <c r="E57" s="238" t="s">
        <v>708</v>
      </c>
      <c r="F57" s="238" t="s">
        <v>782</v>
      </c>
      <c r="G57" s="338" t="s">
        <v>1232</v>
      </c>
      <c r="H57" s="316">
        <v>235537.19</v>
      </c>
      <c r="I57" s="316">
        <v>0</v>
      </c>
      <c r="J57" s="316">
        <v>0</v>
      </c>
      <c r="K57" s="316">
        <v>0</v>
      </c>
      <c r="L57" s="316">
        <v>0</v>
      </c>
      <c r="M57" s="316">
        <v>49462.81</v>
      </c>
      <c r="N57" s="316">
        <v>0</v>
      </c>
      <c r="O57" s="316">
        <v>0</v>
      </c>
      <c r="P57" s="316">
        <v>0</v>
      </c>
      <c r="Q57" s="316">
        <v>0</v>
      </c>
      <c r="R57" s="316">
        <v>49462.81</v>
      </c>
      <c r="S57" s="316">
        <v>285000</v>
      </c>
    </row>
    <row r="58" spans="1:19" ht="15" customHeight="1" x14ac:dyDescent="0.25">
      <c r="A58" s="238" t="s">
        <v>1220</v>
      </c>
      <c r="B58" s="238" t="s">
        <v>1230</v>
      </c>
      <c r="C58" s="238" t="s">
        <v>1231</v>
      </c>
      <c r="D58" s="238" t="s">
        <v>704</v>
      </c>
      <c r="E58" s="238" t="s">
        <v>708</v>
      </c>
      <c r="F58" s="238" t="s">
        <v>782</v>
      </c>
      <c r="G58" s="338" t="s">
        <v>1234</v>
      </c>
      <c r="H58" s="316">
        <v>198347.11</v>
      </c>
      <c r="I58" s="316">
        <v>0</v>
      </c>
      <c r="J58" s="316">
        <v>0</v>
      </c>
      <c r="K58" s="316">
        <v>0</v>
      </c>
      <c r="L58" s="316">
        <v>0</v>
      </c>
      <c r="M58" s="316">
        <v>41652.89</v>
      </c>
      <c r="N58" s="316">
        <v>0</v>
      </c>
      <c r="O58" s="316">
        <v>0</v>
      </c>
      <c r="P58" s="316">
        <v>0</v>
      </c>
      <c r="Q58" s="316">
        <v>0</v>
      </c>
      <c r="R58" s="316">
        <v>41652.89</v>
      </c>
      <c r="S58" s="316">
        <v>240000</v>
      </c>
    </row>
    <row r="59" spans="1:19" ht="15" customHeight="1" x14ac:dyDescent="0.25">
      <c r="A59" s="238" t="s">
        <v>1220</v>
      </c>
      <c r="B59" s="238" t="s">
        <v>1230</v>
      </c>
      <c r="C59" s="238" t="s">
        <v>1231</v>
      </c>
      <c r="D59" s="238" t="s">
        <v>704</v>
      </c>
      <c r="E59" s="238" t="s">
        <v>708</v>
      </c>
      <c r="F59" s="238" t="s">
        <v>782</v>
      </c>
      <c r="G59" s="338" t="s">
        <v>1235</v>
      </c>
      <c r="H59" s="316">
        <v>49586.78</v>
      </c>
      <c r="I59" s="316">
        <v>0</v>
      </c>
      <c r="J59" s="316">
        <v>0</v>
      </c>
      <c r="K59" s="316">
        <v>0</v>
      </c>
      <c r="L59" s="316">
        <v>0</v>
      </c>
      <c r="M59" s="316">
        <v>10413.219999999999</v>
      </c>
      <c r="N59" s="316">
        <v>0</v>
      </c>
      <c r="O59" s="316">
        <v>0</v>
      </c>
      <c r="P59" s="316">
        <v>0</v>
      </c>
      <c r="Q59" s="316">
        <v>0</v>
      </c>
      <c r="R59" s="316">
        <v>10413.219999999999</v>
      </c>
      <c r="S59" s="316">
        <v>60000</v>
      </c>
    </row>
    <row r="60" spans="1:19" ht="15" customHeight="1" x14ac:dyDescent="0.25">
      <c r="A60" s="238" t="s">
        <v>1220</v>
      </c>
      <c r="B60" s="238" t="s">
        <v>1230</v>
      </c>
      <c r="C60" s="238" t="s">
        <v>1231</v>
      </c>
      <c r="D60" s="238" t="s">
        <v>704</v>
      </c>
      <c r="E60" s="238" t="s">
        <v>708</v>
      </c>
      <c r="F60" s="238" t="s">
        <v>782</v>
      </c>
      <c r="G60" s="338" t="s">
        <v>1236</v>
      </c>
      <c r="H60" s="316">
        <v>49586.78</v>
      </c>
      <c r="I60" s="316">
        <v>0</v>
      </c>
      <c r="J60" s="316">
        <v>0</v>
      </c>
      <c r="K60" s="316">
        <v>0</v>
      </c>
      <c r="L60" s="316">
        <v>0</v>
      </c>
      <c r="M60" s="316">
        <v>10413.219999999999</v>
      </c>
      <c r="N60" s="316">
        <v>0</v>
      </c>
      <c r="O60" s="316">
        <v>0</v>
      </c>
      <c r="P60" s="316">
        <v>0</v>
      </c>
      <c r="Q60" s="316">
        <v>0</v>
      </c>
      <c r="R60" s="316">
        <v>10413.219999999999</v>
      </c>
      <c r="S60" s="316">
        <v>60000</v>
      </c>
    </row>
    <row r="61" spans="1:19" ht="15" customHeight="1" x14ac:dyDescent="0.25">
      <c r="A61" s="238" t="s">
        <v>1249</v>
      </c>
      <c r="B61" s="238" t="s">
        <v>1230</v>
      </c>
      <c r="C61" s="238" t="s">
        <v>1231</v>
      </c>
      <c r="D61" s="238" t="s">
        <v>704</v>
      </c>
      <c r="E61" s="238" t="s">
        <v>708</v>
      </c>
      <c r="F61" s="238" t="s">
        <v>782</v>
      </c>
      <c r="G61" s="338" t="s">
        <v>1254</v>
      </c>
      <c r="H61" s="316">
        <v>399173.55</v>
      </c>
      <c r="I61" s="316">
        <v>0</v>
      </c>
      <c r="J61" s="316">
        <v>0</v>
      </c>
      <c r="K61" s="316">
        <v>0</v>
      </c>
      <c r="L61" s="316">
        <v>0</v>
      </c>
      <c r="M61" s="316">
        <v>83826.45</v>
      </c>
      <c r="N61" s="316">
        <v>0</v>
      </c>
      <c r="O61" s="316">
        <v>0</v>
      </c>
      <c r="P61" s="316">
        <v>0</v>
      </c>
      <c r="Q61" s="316">
        <v>0</v>
      </c>
      <c r="R61" s="316">
        <v>83826.45</v>
      </c>
      <c r="S61" s="316">
        <v>483000</v>
      </c>
    </row>
    <row r="62" spans="1:19" ht="15" customHeight="1" x14ac:dyDescent="0.25">
      <c r="A62" s="238" t="s">
        <v>1249</v>
      </c>
      <c r="B62" s="238" t="s">
        <v>780</v>
      </c>
      <c r="C62" s="238" t="s">
        <v>781</v>
      </c>
      <c r="D62" s="238" t="s">
        <v>704</v>
      </c>
      <c r="E62" s="238" t="s">
        <v>708</v>
      </c>
      <c r="F62" s="238" t="s">
        <v>782</v>
      </c>
      <c r="G62" s="338" t="s">
        <v>1256</v>
      </c>
      <c r="H62" s="316">
        <v>107438.02</v>
      </c>
      <c r="I62" s="316">
        <v>0</v>
      </c>
      <c r="J62" s="316">
        <v>0</v>
      </c>
      <c r="K62" s="316">
        <v>0</v>
      </c>
      <c r="L62" s="316">
        <v>0</v>
      </c>
      <c r="M62" s="316">
        <v>22561.98</v>
      </c>
      <c r="N62" s="316">
        <v>0</v>
      </c>
      <c r="O62" s="316">
        <v>0</v>
      </c>
      <c r="P62" s="316">
        <v>0</v>
      </c>
      <c r="Q62" s="316">
        <v>0</v>
      </c>
      <c r="R62" s="316">
        <v>22561.98</v>
      </c>
      <c r="S62" s="316">
        <v>130000</v>
      </c>
    </row>
    <row r="63" spans="1:19" ht="15" customHeight="1" x14ac:dyDescent="0.25">
      <c r="A63" s="238" t="s">
        <v>1249</v>
      </c>
      <c r="B63" s="238" t="s">
        <v>1264</v>
      </c>
      <c r="C63" s="238" t="s">
        <v>1265</v>
      </c>
      <c r="D63" s="238" t="s">
        <v>704</v>
      </c>
      <c r="E63" s="238" t="s">
        <v>708</v>
      </c>
      <c r="F63" s="238" t="s">
        <v>782</v>
      </c>
      <c r="G63" s="338" t="s">
        <v>1266</v>
      </c>
      <c r="H63" s="316">
        <v>438231.9</v>
      </c>
      <c r="I63" s="316">
        <v>0</v>
      </c>
      <c r="J63" s="316">
        <v>0</v>
      </c>
      <c r="K63" s="316">
        <v>0</v>
      </c>
      <c r="L63" s="316">
        <v>0</v>
      </c>
      <c r="M63" s="316">
        <v>92028.7</v>
      </c>
      <c r="N63" s="316">
        <v>0</v>
      </c>
      <c r="O63" s="316">
        <v>0</v>
      </c>
      <c r="P63" s="316">
        <v>0</v>
      </c>
      <c r="Q63" s="316">
        <v>0</v>
      </c>
      <c r="R63" s="316">
        <v>92028.7</v>
      </c>
      <c r="S63" s="316">
        <v>530260.6</v>
      </c>
    </row>
    <row r="64" spans="1:19" ht="15" customHeight="1" x14ac:dyDescent="0.25">
      <c r="A64" s="238" t="s">
        <v>1285</v>
      </c>
      <c r="B64" s="238" t="s">
        <v>890</v>
      </c>
      <c r="C64" s="238" t="s">
        <v>891</v>
      </c>
      <c r="D64" s="238" t="s">
        <v>704</v>
      </c>
      <c r="E64" s="238" t="s">
        <v>708</v>
      </c>
      <c r="F64" s="238" t="s">
        <v>782</v>
      </c>
      <c r="G64" s="338" t="s">
        <v>1305</v>
      </c>
      <c r="H64" s="316">
        <v>28925.62</v>
      </c>
      <c r="I64" s="316">
        <v>0</v>
      </c>
      <c r="J64" s="316">
        <v>0</v>
      </c>
      <c r="K64" s="316">
        <v>0</v>
      </c>
      <c r="L64" s="316">
        <v>0</v>
      </c>
      <c r="M64" s="316">
        <v>6074.38</v>
      </c>
      <c r="N64" s="316">
        <v>0</v>
      </c>
      <c r="O64" s="316">
        <v>0</v>
      </c>
      <c r="P64" s="316">
        <v>0</v>
      </c>
      <c r="Q64" s="316">
        <v>0</v>
      </c>
      <c r="R64" s="316">
        <v>6074.38</v>
      </c>
      <c r="S64" s="316">
        <v>35000</v>
      </c>
    </row>
    <row r="65" spans="1:19" ht="15" customHeight="1" x14ac:dyDescent="0.25">
      <c r="A65" s="238" t="s">
        <v>1316</v>
      </c>
      <c r="B65" s="238" t="s">
        <v>1230</v>
      </c>
      <c r="C65" s="238" t="s">
        <v>1231</v>
      </c>
      <c r="D65" s="238" t="s">
        <v>704</v>
      </c>
      <c r="E65" s="238" t="s">
        <v>708</v>
      </c>
      <c r="F65" s="238" t="s">
        <v>782</v>
      </c>
      <c r="G65" s="338" t="s">
        <v>1324</v>
      </c>
      <c r="H65" s="316">
        <v>355371.9</v>
      </c>
      <c r="I65" s="316">
        <v>0</v>
      </c>
      <c r="J65" s="316">
        <v>0</v>
      </c>
      <c r="K65" s="316">
        <v>0</v>
      </c>
      <c r="L65" s="316">
        <v>0</v>
      </c>
      <c r="M65" s="316">
        <v>74628.100000000006</v>
      </c>
      <c r="N65" s="316">
        <v>0</v>
      </c>
      <c r="O65" s="316">
        <v>0</v>
      </c>
      <c r="P65" s="316">
        <v>0</v>
      </c>
      <c r="Q65" s="316">
        <v>0</v>
      </c>
      <c r="R65" s="316">
        <v>74628.100000000006</v>
      </c>
      <c r="S65" s="316">
        <v>430000</v>
      </c>
    </row>
    <row r="66" spans="1:19" ht="15" customHeight="1" x14ac:dyDescent="0.25">
      <c r="A66" s="238" t="s">
        <v>1589</v>
      </c>
      <c r="B66" s="238" t="s">
        <v>206</v>
      </c>
      <c r="C66" s="238" t="s">
        <v>1090</v>
      </c>
      <c r="D66" s="238" t="s">
        <v>704</v>
      </c>
      <c r="E66" s="238" t="s">
        <v>708</v>
      </c>
      <c r="F66" s="238" t="s">
        <v>782</v>
      </c>
      <c r="G66" s="338" t="s">
        <v>1736</v>
      </c>
      <c r="H66" s="316">
        <v>2466942.15</v>
      </c>
      <c r="I66" s="316">
        <v>0</v>
      </c>
      <c r="J66" s="316">
        <v>0</v>
      </c>
      <c r="K66" s="316">
        <v>0</v>
      </c>
      <c r="L66" s="316">
        <v>0</v>
      </c>
      <c r="M66" s="316">
        <v>518057.85</v>
      </c>
      <c r="N66" s="316">
        <v>0</v>
      </c>
      <c r="O66" s="316">
        <v>0</v>
      </c>
      <c r="P66" s="316">
        <v>0</v>
      </c>
      <c r="Q66" s="316">
        <v>0</v>
      </c>
      <c r="R66" s="316">
        <v>518057.85</v>
      </c>
      <c r="S66" s="316">
        <v>2985000</v>
      </c>
    </row>
    <row r="67" spans="1:19" ht="15" customHeight="1" x14ac:dyDescent="0.25">
      <c r="A67" s="238" t="s">
        <v>1589</v>
      </c>
      <c r="B67" s="238" t="s">
        <v>1757</v>
      </c>
      <c r="C67" s="238" t="s">
        <v>1758</v>
      </c>
      <c r="D67" s="238" t="s">
        <v>704</v>
      </c>
      <c r="E67" s="238" t="s">
        <v>708</v>
      </c>
      <c r="F67" s="238" t="s">
        <v>782</v>
      </c>
      <c r="G67" s="338" t="s">
        <v>1759</v>
      </c>
      <c r="H67" s="316">
        <v>78305.789999999994</v>
      </c>
      <c r="I67" s="316">
        <v>0</v>
      </c>
      <c r="J67" s="316">
        <v>0</v>
      </c>
      <c r="K67" s="316">
        <v>0</v>
      </c>
      <c r="L67" s="316">
        <v>0</v>
      </c>
      <c r="M67" s="316">
        <v>16444.21</v>
      </c>
      <c r="N67" s="316">
        <v>0</v>
      </c>
      <c r="O67" s="316">
        <v>0</v>
      </c>
      <c r="P67" s="316">
        <v>0</v>
      </c>
      <c r="Q67" s="316">
        <v>0</v>
      </c>
      <c r="R67" s="316">
        <v>16444.21</v>
      </c>
      <c r="S67" s="316">
        <v>94750</v>
      </c>
    </row>
    <row r="68" spans="1:19" ht="15" customHeight="1" x14ac:dyDescent="0.25">
      <c r="A68" s="238" t="s">
        <v>1589</v>
      </c>
      <c r="B68" s="238" t="s">
        <v>1757</v>
      </c>
      <c r="C68" s="238" t="s">
        <v>1758</v>
      </c>
      <c r="D68" s="238" t="s">
        <v>704</v>
      </c>
      <c r="E68" s="238" t="s">
        <v>708</v>
      </c>
      <c r="F68" s="238" t="s">
        <v>782</v>
      </c>
      <c r="G68" s="338" t="s">
        <v>1760</v>
      </c>
      <c r="H68" s="316">
        <v>78305.789999999994</v>
      </c>
      <c r="I68" s="316">
        <v>0</v>
      </c>
      <c r="J68" s="316">
        <v>0</v>
      </c>
      <c r="K68" s="316">
        <v>0</v>
      </c>
      <c r="L68" s="316">
        <v>0</v>
      </c>
      <c r="M68" s="316">
        <v>16444.21</v>
      </c>
      <c r="N68" s="316">
        <v>0</v>
      </c>
      <c r="O68" s="316">
        <v>0</v>
      </c>
      <c r="P68" s="316">
        <v>0</v>
      </c>
      <c r="Q68" s="316">
        <v>0</v>
      </c>
      <c r="R68" s="316">
        <v>16444.21</v>
      </c>
      <c r="S68" s="316">
        <v>94750</v>
      </c>
    </row>
    <row r="69" spans="1:19" ht="15" customHeight="1" x14ac:dyDescent="0.25">
      <c r="A69" s="238" t="s">
        <v>784</v>
      </c>
      <c r="B69" s="238" t="s">
        <v>711</v>
      </c>
      <c r="C69" s="238" t="s">
        <v>712</v>
      </c>
      <c r="D69" s="238" t="s">
        <v>704</v>
      </c>
      <c r="E69" s="238" t="s">
        <v>708</v>
      </c>
      <c r="F69" s="238" t="s">
        <v>701</v>
      </c>
      <c r="G69" s="238" t="s">
        <v>786</v>
      </c>
      <c r="H69" s="316">
        <v>14876.03</v>
      </c>
      <c r="I69" s="316">
        <v>0</v>
      </c>
      <c r="J69" s="316">
        <v>0</v>
      </c>
      <c r="K69" s="316">
        <v>0</v>
      </c>
      <c r="L69" s="316">
        <v>0</v>
      </c>
      <c r="M69" s="316">
        <v>3123.97</v>
      </c>
      <c r="N69" s="316">
        <v>0</v>
      </c>
      <c r="O69" s="316">
        <v>0</v>
      </c>
      <c r="P69" s="316">
        <v>0</v>
      </c>
      <c r="Q69" s="316">
        <v>0</v>
      </c>
      <c r="R69" s="316">
        <v>3123.97</v>
      </c>
      <c r="S69" s="316">
        <v>18000</v>
      </c>
    </row>
    <row r="70" spans="1:19" ht="15" customHeight="1" x14ac:dyDescent="0.25">
      <c r="A70" s="238" t="s">
        <v>784</v>
      </c>
      <c r="B70" s="238" t="s">
        <v>711</v>
      </c>
      <c r="C70" s="238" t="s">
        <v>712</v>
      </c>
      <c r="D70" s="238" t="s">
        <v>704</v>
      </c>
      <c r="E70" s="238" t="s">
        <v>708</v>
      </c>
      <c r="F70" s="238" t="s">
        <v>701</v>
      </c>
      <c r="G70" s="238" t="s">
        <v>787</v>
      </c>
      <c r="H70" s="316">
        <v>26446.28</v>
      </c>
      <c r="I70" s="316">
        <v>0</v>
      </c>
      <c r="J70" s="316">
        <v>0</v>
      </c>
      <c r="K70" s="316">
        <v>0</v>
      </c>
      <c r="L70" s="316">
        <v>0</v>
      </c>
      <c r="M70" s="316">
        <v>5553.72</v>
      </c>
      <c r="N70" s="316">
        <v>0</v>
      </c>
      <c r="O70" s="316">
        <v>0</v>
      </c>
      <c r="P70" s="316">
        <v>0</v>
      </c>
      <c r="Q70" s="316">
        <v>0</v>
      </c>
      <c r="R70" s="316">
        <v>5553.72</v>
      </c>
      <c r="S70" s="316">
        <v>32000</v>
      </c>
    </row>
    <row r="71" spans="1:19" ht="15" customHeight="1" x14ac:dyDescent="0.25">
      <c r="A71" s="238" t="s">
        <v>784</v>
      </c>
      <c r="B71" s="238" t="s">
        <v>711</v>
      </c>
      <c r="C71" s="238" t="s">
        <v>712</v>
      </c>
      <c r="D71" s="238" t="s">
        <v>704</v>
      </c>
      <c r="E71" s="238" t="s">
        <v>708</v>
      </c>
      <c r="F71" s="238" t="s">
        <v>701</v>
      </c>
      <c r="G71" s="238" t="s">
        <v>788</v>
      </c>
      <c r="H71" s="316">
        <v>37024.79</v>
      </c>
      <c r="I71" s="316">
        <v>0</v>
      </c>
      <c r="J71" s="316">
        <v>0</v>
      </c>
      <c r="K71" s="316">
        <v>0</v>
      </c>
      <c r="L71" s="316">
        <v>0</v>
      </c>
      <c r="M71" s="316">
        <v>7775.21</v>
      </c>
      <c r="N71" s="316">
        <v>0</v>
      </c>
      <c r="O71" s="316">
        <v>0</v>
      </c>
      <c r="P71" s="316">
        <v>0</v>
      </c>
      <c r="Q71" s="316">
        <v>0</v>
      </c>
      <c r="R71" s="316">
        <v>7775.21</v>
      </c>
      <c r="S71" s="316">
        <v>44800</v>
      </c>
    </row>
    <row r="72" spans="1:19" ht="15" customHeight="1" x14ac:dyDescent="0.25">
      <c r="A72" s="238" t="s">
        <v>784</v>
      </c>
      <c r="B72" s="238" t="s">
        <v>711</v>
      </c>
      <c r="C72" s="238" t="s">
        <v>712</v>
      </c>
      <c r="D72" s="238" t="s">
        <v>704</v>
      </c>
      <c r="E72" s="238" t="s">
        <v>708</v>
      </c>
      <c r="F72" s="238" t="s">
        <v>701</v>
      </c>
      <c r="G72" s="238" t="s">
        <v>789</v>
      </c>
      <c r="H72" s="316">
        <v>11570.25</v>
      </c>
      <c r="I72" s="316">
        <v>0</v>
      </c>
      <c r="J72" s="316">
        <v>0</v>
      </c>
      <c r="K72" s="316">
        <v>0</v>
      </c>
      <c r="L72" s="316">
        <v>0</v>
      </c>
      <c r="M72" s="316">
        <v>2429.75</v>
      </c>
      <c r="N72" s="316">
        <v>0</v>
      </c>
      <c r="O72" s="316">
        <v>0</v>
      </c>
      <c r="P72" s="316">
        <v>0</v>
      </c>
      <c r="Q72" s="316">
        <v>0</v>
      </c>
      <c r="R72" s="316">
        <v>2429.75</v>
      </c>
      <c r="S72" s="316">
        <v>14000</v>
      </c>
    </row>
    <row r="73" spans="1:19" ht="15" customHeight="1" x14ac:dyDescent="0.25">
      <c r="A73" s="238" t="s">
        <v>784</v>
      </c>
      <c r="B73" s="238" t="s">
        <v>711</v>
      </c>
      <c r="C73" s="238" t="s">
        <v>712</v>
      </c>
      <c r="D73" s="238" t="s">
        <v>704</v>
      </c>
      <c r="E73" s="238" t="s">
        <v>708</v>
      </c>
      <c r="F73" s="238" t="s">
        <v>701</v>
      </c>
      <c r="G73" s="238" t="s">
        <v>790</v>
      </c>
      <c r="H73" s="316">
        <v>19173.55</v>
      </c>
      <c r="I73" s="316">
        <v>0</v>
      </c>
      <c r="J73" s="316">
        <v>0</v>
      </c>
      <c r="K73" s="316">
        <v>0</v>
      </c>
      <c r="L73" s="316">
        <v>0</v>
      </c>
      <c r="M73" s="316">
        <v>4026.45</v>
      </c>
      <c r="N73" s="316">
        <v>0</v>
      </c>
      <c r="O73" s="316">
        <v>0</v>
      </c>
      <c r="P73" s="316">
        <v>0</v>
      </c>
      <c r="Q73" s="316">
        <v>0</v>
      </c>
      <c r="R73" s="316">
        <v>4026.45</v>
      </c>
      <c r="S73" s="316">
        <v>23200</v>
      </c>
    </row>
    <row r="74" spans="1:19" ht="15" customHeight="1" x14ac:dyDescent="0.25">
      <c r="A74" s="238" t="s">
        <v>784</v>
      </c>
      <c r="B74" s="238" t="s">
        <v>711</v>
      </c>
      <c r="C74" s="238" t="s">
        <v>712</v>
      </c>
      <c r="D74" s="238" t="s">
        <v>704</v>
      </c>
      <c r="E74" s="238" t="s">
        <v>708</v>
      </c>
      <c r="F74" s="238" t="s">
        <v>701</v>
      </c>
      <c r="G74" s="238" t="s">
        <v>793</v>
      </c>
      <c r="H74" s="316">
        <v>120661.16</v>
      </c>
      <c r="I74" s="316">
        <v>0</v>
      </c>
      <c r="J74" s="316">
        <v>0</v>
      </c>
      <c r="K74" s="316">
        <v>0</v>
      </c>
      <c r="L74" s="316">
        <v>0</v>
      </c>
      <c r="M74" s="316">
        <v>25338.84</v>
      </c>
      <c r="N74" s="316">
        <v>0</v>
      </c>
      <c r="O74" s="316">
        <v>0</v>
      </c>
      <c r="P74" s="316">
        <v>0</v>
      </c>
      <c r="Q74" s="316">
        <v>0</v>
      </c>
      <c r="R74" s="316">
        <v>25338.84</v>
      </c>
      <c r="S74" s="316">
        <v>146000</v>
      </c>
    </row>
    <row r="75" spans="1:19" ht="15" customHeight="1" x14ac:dyDescent="0.25">
      <c r="A75" s="238" t="s">
        <v>784</v>
      </c>
      <c r="B75" s="238" t="s">
        <v>711</v>
      </c>
      <c r="C75" s="238" t="s">
        <v>712</v>
      </c>
      <c r="D75" s="238" t="s">
        <v>704</v>
      </c>
      <c r="E75" s="238" t="s">
        <v>708</v>
      </c>
      <c r="F75" s="238" t="s">
        <v>701</v>
      </c>
      <c r="G75" s="238" t="s">
        <v>794</v>
      </c>
      <c r="H75" s="316">
        <v>20661.16</v>
      </c>
      <c r="I75" s="316">
        <v>0</v>
      </c>
      <c r="J75" s="316">
        <v>0</v>
      </c>
      <c r="K75" s="316">
        <v>0</v>
      </c>
      <c r="L75" s="316">
        <v>0</v>
      </c>
      <c r="M75" s="316">
        <v>4338.84</v>
      </c>
      <c r="N75" s="316">
        <v>0</v>
      </c>
      <c r="O75" s="316">
        <v>0</v>
      </c>
      <c r="P75" s="316">
        <v>0</v>
      </c>
      <c r="Q75" s="316">
        <v>0</v>
      </c>
      <c r="R75" s="316">
        <v>4338.84</v>
      </c>
      <c r="S75" s="316">
        <v>25000</v>
      </c>
    </row>
    <row r="76" spans="1:19" ht="15" customHeight="1" x14ac:dyDescent="0.25">
      <c r="A76" s="238" t="s">
        <v>784</v>
      </c>
      <c r="B76" s="238" t="s">
        <v>711</v>
      </c>
      <c r="C76" s="238" t="s">
        <v>712</v>
      </c>
      <c r="D76" s="238" t="s">
        <v>704</v>
      </c>
      <c r="E76" s="238" t="s">
        <v>708</v>
      </c>
      <c r="F76" s="238" t="s">
        <v>701</v>
      </c>
      <c r="G76" s="238" t="s">
        <v>795</v>
      </c>
      <c r="H76" s="316">
        <v>29586.78</v>
      </c>
      <c r="I76" s="316">
        <v>0</v>
      </c>
      <c r="J76" s="316">
        <v>0</v>
      </c>
      <c r="K76" s="316">
        <v>0</v>
      </c>
      <c r="L76" s="316">
        <v>0</v>
      </c>
      <c r="M76" s="316">
        <v>6213.22</v>
      </c>
      <c r="N76" s="316">
        <v>0</v>
      </c>
      <c r="O76" s="316">
        <v>0</v>
      </c>
      <c r="P76" s="316">
        <v>0</v>
      </c>
      <c r="Q76" s="316">
        <v>0</v>
      </c>
      <c r="R76" s="316">
        <v>6213.22</v>
      </c>
      <c r="S76" s="316">
        <v>35800</v>
      </c>
    </row>
    <row r="77" spans="1:19" ht="15" customHeight="1" x14ac:dyDescent="0.25">
      <c r="A77" s="238" t="s">
        <v>784</v>
      </c>
      <c r="B77" s="238" t="s">
        <v>711</v>
      </c>
      <c r="C77" s="238" t="s">
        <v>712</v>
      </c>
      <c r="D77" s="238" t="s">
        <v>704</v>
      </c>
      <c r="E77" s="238" t="s">
        <v>708</v>
      </c>
      <c r="F77" s="238" t="s">
        <v>701</v>
      </c>
      <c r="G77" s="238" t="s">
        <v>796</v>
      </c>
      <c r="H77" s="316">
        <v>24793.39</v>
      </c>
      <c r="I77" s="316">
        <v>0</v>
      </c>
      <c r="J77" s="316">
        <v>0</v>
      </c>
      <c r="K77" s="316">
        <v>0</v>
      </c>
      <c r="L77" s="316">
        <v>0</v>
      </c>
      <c r="M77" s="316">
        <v>5206.6099999999997</v>
      </c>
      <c r="N77" s="316">
        <v>0</v>
      </c>
      <c r="O77" s="316">
        <v>0</v>
      </c>
      <c r="P77" s="316">
        <v>0</v>
      </c>
      <c r="Q77" s="316">
        <v>0</v>
      </c>
      <c r="R77" s="316">
        <v>5206.6099999999997</v>
      </c>
      <c r="S77" s="316">
        <v>30000</v>
      </c>
    </row>
    <row r="78" spans="1:19" ht="15" customHeight="1" x14ac:dyDescent="0.25">
      <c r="A78" s="238" t="s">
        <v>784</v>
      </c>
      <c r="B78" s="238" t="s">
        <v>711</v>
      </c>
      <c r="C78" s="238" t="s">
        <v>712</v>
      </c>
      <c r="D78" s="238" t="s">
        <v>704</v>
      </c>
      <c r="E78" s="238" t="s">
        <v>708</v>
      </c>
      <c r="F78" s="238" t="s">
        <v>701</v>
      </c>
      <c r="G78" s="238" t="s">
        <v>797</v>
      </c>
      <c r="H78" s="316">
        <v>16859.5</v>
      </c>
      <c r="I78" s="316">
        <v>0</v>
      </c>
      <c r="J78" s="316">
        <v>0</v>
      </c>
      <c r="K78" s="316">
        <v>0</v>
      </c>
      <c r="L78" s="316">
        <v>0</v>
      </c>
      <c r="M78" s="316">
        <v>3540.5</v>
      </c>
      <c r="N78" s="316">
        <v>0</v>
      </c>
      <c r="O78" s="316">
        <v>0</v>
      </c>
      <c r="P78" s="316">
        <v>0</v>
      </c>
      <c r="Q78" s="316">
        <v>0</v>
      </c>
      <c r="R78" s="316">
        <v>3540.5</v>
      </c>
      <c r="S78" s="316">
        <v>20400</v>
      </c>
    </row>
    <row r="79" spans="1:19" ht="15" customHeight="1" x14ac:dyDescent="0.25">
      <c r="A79" s="238" t="s">
        <v>784</v>
      </c>
      <c r="B79" s="238" t="s">
        <v>711</v>
      </c>
      <c r="C79" s="238" t="s">
        <v>712</v>
      </c>
      <c r="D79" s="238" t="s">
        <v>704</v>
      </c>
      <c r="E79" s="238" t="s">
        <v>708</v>
      </c>
      <c r="F79" s="238" t="s">
        <v>701</v>
      </c>
      <c r="G79" s="238" t="s">
        <v>798</v>
      </c>
      <c r="H79" s="316">
        <v>24793.39</v>
      </c>
      <c r="I79" s="316">
        <v>0</v>
      </c>
      <c r="J79" s="316">
        <v>0</v>
      </c>
      <c r="K79" s="316">
        <v>0</v>
      </c>
      <c r="L79" s="316">
        <v>0</v>
      </c>
      <c r="M79" s="316">
        <v>5206.6099999999997</v>
      </c>
      <c r="N79" s="316">
        <v>0</v>
      </c>
      <c r="O79" s="316">
        <v>0</v>
      </c>
      <c r="P79" s="316">
        <v>0</v>
      </c>
      <c r="Q79" s="316">
        <v>0</v>
      </c>
      <c r="R79" s="316">
        <v>5206.6099999999997</v>
      </c>
      <c r="S79" s="316">
        <v>30000</v>
      </c>
    </row>
    <row r="80" spans="1:19" ht="15" customHeight="1" x14ac:dyDescent="0.25">
      <c r="A80" s="238" t="s">
        <v>784</v>
      </c>
      <c r="B80" s="238" t="s">
        <v>711</v>
      </c>
      <c r="C80" s="238" t="s">
        <v>712</v>
      </c>
      <c r="D80" s="238" t="s">
        <v>704</v>
      </c>
      <c r="E80" s="238" t="s">
        <v>708</v>
      </c>
      <c r="F80" s="238" t="s">
        <v>701</v>
      </c>
      <c r="G80" s="238" t="s">
        <v>799</v>
      </c>
      <c r="H80" s="316">
        <v>37190.080000000002</v>
      </c>
      <c r="I80" s="316">
        <v>0</v>
      </c>
      <c r="J80" s="316">
        <v>0</v>
      </c>
      <c r="K80" s="316">
        <v>0</v>
      </c>
      <c r="L80" s="316">
        <v>0</v>
      </c>
      <c r="M80" s="316">
        <v>7809.92</v>
      </c>
      <c r="N80" s="316">
        <v>0</v>
      </c>
      <c r="O80" s="316">
        <v>0</v>
      </c>
      <c r="P80" s="316">
        <v>0</v>
      </c>
      <c r="Q80" s="316">
        <v>0</v>
      </c>
      <c r="R80" s="316">
        <v>7809.92</v>
      </c>
      <c r="S80" s="316">
        <v>45000</v>
      </c>
    </row>
    <row r="81" spans="1:19" ht="15" customHeight="1" x14ac:dyDescent="0.25">
      <c r="A81" s="238" t="s">
        <v>784</v>
      </c>
      <c r="B81" s="238" t="s">
        <v>711</v>
      </c>
      <c r="C81" s="238" t="s">
        <v>712</v>
      </c>
      <c r="D81" s="238" t="s">
        <v>704</v>
      </c>
      <c r="E81" s="238" t="s">
        <v>708</v>
      </c>
      <c r="F81" s="238" t="s">
        <v>701</v>
      </c>
      <c r="G81" s="238" t="s">
        <v>800</v>
      </c>
      <c r="H81" s="316">
        <v>37190.080000000002</v>
      </c>
      <c r="I81" s="316">
        <v>0</v>
      </c>
      <c r="J81" s="316">
        <v>0</v>
      </c>
      <c r="K81" s="316">
        <v>0</v>
      </c>
      <c r="L81" s="316">
        <v>0</v>
      </c>
      <c r="M81" s="316">
        <v>7809.92</v>
      </c>
      <c r="N81" s="316">
        <v>0</v>
      </c>
      <c r="O81" s="316">
        <v>0</v>
      </c>
      <c r="P81" s="316">
        <v>0</v>
      </c>
      <c r="Q81" s="316">
        <v>0</v>
      </c>
      <c r="R81" s="316">
        <v>7809.92</v>
      </c>
      <c r="S81" s="316">
        <v>45000</v>
      </c>
    </row>
    <row r="82" spans="1:19" ht="15" customHeight="1" x14ac:dyDescent="0.25">
      <c r="A82" s="238" t="s">
        <v>784</v>
      </c>
      <c r="B82" s="238" t="s">
        <v>711</v>
      </c>
      <c r="C82" s="238" t="s">
        <v>712</v>
      </c>
      <c r="D82" s="238" t="s">
        <v>704</v>
      </c>
      <c r="E82" s="238" t="s">
        <v>708</v>
      </c>
      <c r="F82" s="238" t="s">
        <v>701</v>
      </c>
      <c r="G82" s="238" t="s">
        <v>801</v>
      </c>
      <c r="H82" s="316">
        <v>30495.87</v>
      </c>
      <c r="I82" s="316">
        <v>0</v>
      </c>
      <c r="J82" s="316">
        <v>0</v>
      </c>
      <c r="K82" s="316">
        <v>0</v>
      </c>
      <c r="L82" s="316">
        <v>0</v>
      </c>
      <c r="M82" s="316">
        <v>6404.13</v>
      </c>
      <c r="N82" s="316">
        <v>0</v>
      </c>
      <c r="O82" s="316">
        <v>0</v>
      </c>
      <c r="P82" s="316">
        <v>0</v>
      </c>
      <c r="Q82" s="316">
        <v>0</v>
      </c>
      <c r="R82" s="316">
        <v>6404.13</v>
      </c>
      <c r="S82" s="316">
        <v>36900</v>
      </c>
    </row>
    <row r="83" spans="1:19" ht="15" customHeight="1" x14ac:dyDescent="0.25">
      <c r="A83" s="238" t="s">
        <v>784</v>
      </c>
      <c r="B83" s="238" t="s">
        <v>802</v>
      </c>
      <c r="C83" s="238" t="s">
        <v>803</v>
      </c>
      <c r="D83" s="238" t="s">
        <v>704</v>
      </c>
      <c r="E83" s="238" t="s">
        <v>708</v>
      </c>
      <c r="F83" s="238" t="s">
        <v>701</v>
      </c>
      <c r="G83" s="238" t="s">
        <v>804</v>
      </c>
      <c r="H83" s="316">
        <v>80661.16</v>
      </c>
      <c r="I83" s="316">
        <v>0</v>
      </c>
      <c r="J83" s="316">
        <v>0</v>
      </c>
      <c r="K83" s="316">
        <v>0</v>
      </c>
      <c r="L83" s="316">
        <v>0</v>
      </c>
      <c r="M83" s="316">
        <v>16938.84</v>
      </c>
      <c r="N83" s="316">
        <v>0</v>
      </c>
      <c r="O83" s="316">
        <v>0</v>
      </c>
      <c r="P83" s="316">
        <v>0</v>
      </c>
      <c r="Q83" s="316">
        <v>0</v>
      </c>
      <c r="R83" s="316">
        <v>16938.84</v>
      </c>
      <c r="S83" s="316">
        <v>97600</v>
      </c>
    </row>
    <row r="84" spans="1:19" ht="15" customHeight="1" x14ac:dyDescent="0.25">
      <c r="A84" s="238" t="s">
        <v>784</v>
      </c>
      <c r="B84" s="238" t="s">
        <v>711</v>
      </c>
      <c r="C84" s="238" t="s">
        <v>712</v>
      </c>
      <c r="D84" s="238" t="s">
        <v>704</v>
      </c>
      <c r="E84" s="238" t="s">
        <v>708</v>
      </c>
      <c r="F84" s="238" t="s">
        <v>701</v>
      </c>
      <c r="G84" s="238" t="s">
        <v>805</v>
      </c>
      <c r="H84" s="316">
        <v>33884.300000000003</v>
      </c>
      <c r="I84" s="316">
        <v>0</v>
      </c>
      <c r="J84" s="316">
        <v>0</v>
      </c>
      <c r="K84" s="316">
        <v>0</v>
      </c>
      <c r="L84" s="316">
        <v>0</v>
      </c>
      <c r="M84" s="316">
        <v>7115.7</v>
      </c>
      <c r="N84" s="316">
        <v>0</v>
      </c>
      <c r="O84" s="316">
        <v>0</v>
      </c>
      <c r="P84" s="316">
        <v>0</v>
      </c>
      <c r="Q84" s="316">
        <v>0</v>
      </c>
      <c r="R84" s="316">
        <v>7115.7</v>
      </c>
      <c r="S84" s="316">
        <v>41000</v>
      </c>
    </row>
    <row r="85" spans="1:19" ht="15" customHeight="1" x14ac:dyDescent="0.25">
      <c r="A85" s="238" t="s">
        <v>784</v>
      </c>
      <c r="B85" s="238" t="s">
        <v>711</v>
      </c>
      <c r="C85" s="238" t="s">
        <v>712</v>
      </c>
      <c r="D85" s="238" t="s">
        <v>704</v>
      </c>
      <c r="E85" s="238" t="s">
        <v>708</v>
      </c>
      <c r="F85" s="238" t="s">
        <v>701</v>
      </c>
      <c r="G85" s="238" t="s">
        <v>809</v>
      </c>
      <c r="H85" s="316">
        <v>29752.07</v>
      </c>
      <c r="I85" s="316">
        <v>0</v>
      </c>
      <c r="J85" s="316">
        <v>0</v>
      </c>
      <c r="K85" s="316">
        <v>0</v>
      </c>
      <c r="L85" s="316">
        <v>0</v>
      </c>
      <c r="M85" s="316">
        <v>6247.93</v>
      </c>
      <c r="N85" s="316">
        <v>0</v>
      </c>
      <c r="O85" s="316">
        <v>0</v>
      </c>
      <c r="P85" s="316">
        <v>0</v>
      </c>
      <c r="Q85" s="316">
        <v>0</v>
      </c>
      <c r="R85" s="316">
        <v>6247.93</v>
      </c>
      <c r="S85" s="316">
        <v>36000</v>
      </c>
    </row>
    <row r="86" spans="1:19" ht="15" customHeight="1" x14ac:dyDescent="0.25">
      <c r="A86" s="238" t="s">
        <v>784</v>
      </c>
      <c r="B86" s="238" t="s">
        <v>711</v>
      </c>
      <c r="C86" s="238" t="s">
        <v>712</v>
      </c>
      <c r="D86" s="238" t="s">
        <v>704</v>
      </c>
      <c r="E86" s="238" t="s">
        <v>708</v>
      </c>
      <c r="F86" s="238" t="s">
        <v>701</v>
      </c>
      <c r="G86" s="238" t="s">
        <v>810</v>
      </c>
      <c r="H86" s="316">
        <v>28925.62</v>
      </c>
      <c r="I86" s="316">
        <v>0</v>
      </c>
      <c r="J86" s="316">
        <v>0</v>
      </c>
      <c r="K86" s="316">
        <v>0</v>
      </c>
      <c r="L86" s="316">
        <v>0</v>
      </c>
      <c r="M86" s="316">
        <v>6074.38</v>
      </c>
      <c r="N86" s="316">
        <v>0</v>
      </c>
      <c r="O86" s="316">
        <v>0</v>
      </c>
      <c r="P86" s="316">
        <v>0</v>
      </c>
      <c r="Q86" s="316">
        <v>0</v>
      </c>
      <c r="R86" s="316">
        <v>6074.38</v>
      </c>
      <c r="S86" s="316">
        <v>35000</v>
      </c>
    </row>
    <row r="87" spans="1:19" ht="15" customHeight="1" x14ac:dyDescent="0.25">
      <c r="A87" s="238" t="s">
        <v>784</v>
      </c>
      <c r="B87" s="238" t="s">
        <v>811</v>
      </c>
      <c r="C87" s="238" t="s">
        <v>812</v>
      </c>
      <c r="D87" s="238" t="s">
        <v>704</v>
      </c>
      <c r="E87" s="238" t="s">
        <v>708</v>
      </c>
      <c r="F87" s="238" t="s">
        <v>701</v>
      </c>
      <c r="G87" s="238" t="s">
        <v>813</v>
      </c>
      <c r="H87" s="316">
        <v>24545.45</v>
      </c>
      <c r="I87" s="316">
        <v>0</v>
      </c>
      <c r="J87" s="316">
        <v>0</v>
      </c>
      <c r="K87" s="316">
        <v>0</v>
      </c>
      <c r="L87" s="316">
        <v>0</v>
      </c>
      <c r="M87" s="316">
        <v>5154.55</v>
      </c>
      <c r="N87" s="316">
        <v>0</v>
      </c>
      <c r="O87" s="316">
        <v>0</v>
      </c>
      <c r="P87" s="316">
        <v>0</v>
      </c>
      <c r="Q87" s="316">
        <v>0</v>
      </c>
      <c r="R87" s="316">
        <v>5154.55</v>
      </c>
      <c r="S87" s="316">
        <v>29700</v>
      </c>
    </row>
    <row r="88" spans="1:19" ht="15" customHeight="1" x14ac:dyDescent="0.25">
      <c r="A88" s="238" t="s">
        <v>784</v>
      </c>
      <c r="B88" s="238" t="s">
        <v>711</v>
      </c>
      <c r="C88" s="238" t="s">
        <v>712</v>
      </c>
      <c r="D88" s="238" t="s">
        <v>704</v>
      </c>
      <c r="E88" s="238" t="s">
        <v>708</v>
      </c>
      <c r="F88" s="238" t="s">
        <v>701</v>
      </c>
      <c r="G88" s="238" t="s">
        <v>814</v>
      </c>
      <c r="H88" s="316">
        <v>20661.16</v>
      </c>
      <c r="I88" s="316">
        <v>0</v>
      </c>
      <c r="J88" s="316">
        <v>0</v>
      </c>
      <c r="K88" s="316">
        <v>0</v>
      </c>
      <c r="L88" s="316">
        <v>0</v>
      </c>
      <c r="M88" s="316">
        <v>4338.84</v>
      </c>
      <c r="N88" s="316">
        <v>0</v>
      </c>
      <c r="O88" s="316">
        <v>0</v>
      </c>
      <c r="P88" s="316">
        <v>0</v>
      </c>
      <c r="Q88" s="316">
        <v>0</v>
      </c>
      <c r="R88" s="316">
        <v>4338.84</v>
      </c>
      <c r="S88" s="316">
        <v>25000</v>
      </c>
    </row>
    <row r="89" spans="1:19" ht="15" customHeight="1" x14ac:dyDescent="0.25">
      <c r="A89" s="238" t="s">
        <v>784</v>
      </c>
      <c r="B89" s="238" t="s">
        <v>711</v>
      </c>
      <c r="C89" s="238" t="s">
        <v>712</v>
      </c>
      <c r="D89" s="238" t="s">
        <v>704</v>
      </c>
      <c r="E89" s="238" t="s">
        <v>708</v>
      </c>
      <c r="F89" s="238" t="s">
        <v>701</v>
      </c>
      <c r="G89" s="238" t="s">
        <v>815</v>
      </c>
      <c r="H89" s="316">
        <v>35123.97</v>
      </c>
      <c r="I89" s="316">
        <v>0</v>
      </c>
      <c r="J89" s="316">
        <v>0</v>
      </c>
      <c r="K89" s="316">
        <v>0</v>
      </c>
      <c r="L89" s="316">
        <v>0</v>
      </c>
      <c r="M89" s="316">
        <v>7376.03</v>
      </c>
      <c r="N89" s="316">
        <v>0</v>
      </c>
      <c r="O89" s="316">
        <v>0</v>
      </c>
      <c r="P89" s="316">
        <v>0</v>
      </c>
      <c r="Q89" s="316">
        <v>0</v>
      </c>
      <c r="R89" s="316">
        <v>7376.03</v>
      </c>
      <c r="S89" s="316">
        <v>42500</v>
      </c>
    </row>
    <row r="90" spans="1:19" ht="15" customHeight="1" x14ac:dyDescent="0.25">
      <c r="A90" s="238" t="s">
        <v>784</v>
      </c>
      <c r="B90" s="238" t="s">
        <v>711</v>
      </c>
      <c r="C90" s="238" t="s">
        <v>712</v>
      </c>
      <c r="D90" s="238" t="s">
        <v>704</v>
      </c>
      <c r="E90" s="238" t="s">
        <v>708</v>
      </c>
      <c r="F90" s="238" t="s">
        <v>701</v>
      </c>
      <c r="G90" s="238" t="s">
        <v>816</v>
      </c>
      <c r="H90" s="316">
        <v>9917.36</v>
      </c>
      <c r="I90" s="316">
        <v>0</v>
      </c>
      <c r="J90" s="316">
        <v>0</v>
      </c>
      <c r="K90" s="316">
        <v>0</v>
      </c>
      <c r="L90" s="316">
        <v>0</v>
      </c>
      <c r="M90" s="316">
        <v>2082.64</v>
      </c>
      <c r="N90" s="316">
        <v>0</v>
      </c>
      <c r="O90" s="316">
        <v>0</v>
      </c>
      <c r="P90" s="316">
        <v>0</v>
      </c>
      <c r="Q90" s="316">
        <v>0</v>
      </c>
      <c r="R90" s="316">
        <v>2082.64</v>
      </c>
      <c r="S90" s="316">
        <v>12000</v>
      </c>
    </row>
    <row r="91" spans="1:19" ht="15" customHeight="1" x14ac:dyDescent="0.25">
      <c r="A91" s="238" t="s">
        <v>784</v>
      </c>
      <c r="B91" s="238" t="s">
        <v>711</v>
      </c>
      <c r="C91" s="238" t="s">
        <v>712</v>
      </c>
      <c r="D91" s="238" t="s">
        <v>704</v>
      </c>
      <c r="E91" s="238" t="s">
        <v>708</v>
      </c>
      <c r="F91" s="238" t="s">
        <v>701</v>
      </c>
      <c r="G91" s="238" t="s">
        <v>785</v>
      </c>
      <c r="H91" s="316">
        <v>37190.080000000002</v>
      </c>
      <c r="I91" s="316">
        <v>0</v>
      </c>
      <c r="J91" s="316">
        <v>0</v>
      </c>
      <c r="K91" s="316">
        <v>0</v>
      </c>
      <c r="L91" s="316">
        <v>0</v>
      </c>
      <c r="M91" s="316">
        <v>7809.92</v>
      </c>
      <c r="N91" s="316">
        <v>0</v>
      </c>
      <c r="O91" s="316">
        <v>0</v>
      </c>
      <c r="P91" s="316">
        <v>0</v>
      </c>
      <c r="Q91" s="316">
        <v>0</v>
      </c>
      <c r="R91" s="316">
        <v>7809.92</v>
      </c>
      <c r="S91" s="316">
        <v>45000</v>
      </c>
    </row>
    <row r="92" spans="1:19" ht="15" customHeight="1" x14ac:dyDescent="0.25">
      <c r="A92" s="238" t="s">
        <v>817</v>
      </c>
      <c r="B92" s="238" t="s">
        <v>711</v>
      </c>
      <c r="C92" s="238" t="s">
        <v>712</v>
      </c>
      <c r="D92" s="238" t="s">
        <v>704</v>
      </c>
      <c r="E92" s="238" t="s">
        <v>708</v>
      </c>
      <c r="F92" s="238" t="s">
        <v>701</v>
      </c>
      <c r="G92" s="238" t="s">
        <v>819</v>
      </c>
      <c r="H92" s="316">
        <v>25619.83</v>
      </c>
      <c r="I92" s="316">
        <v>0</v>
      </c>
      <c r="J92" s="316">
        <v>0</v>
      </c>
      <c r="K92" s="316">
        <v>0</v>
      </c>
      <c r="L92" s="316">
        <v>0</v>
      </c>
      <c r="M92" s="316">
        <v>5380.17</v>
      </c>
      <c r="N92" s="316">
        <v>0</v>
      </c>
      <c r="O92" s="316">
        <v>0</v>
      </c>
      <c r="P92" s="316">
        <v>0</v>
      </c>
      <c r="Q92" s="316">
        <v>0</v>
      </c>
      <c r="R92" s="316">
        <v>5380.17</v>
      </c>
      <c r="S92" s="316">
        <v>31000</v>
      </c>
    </row>
    <row r="93" spans="1:19" ht="15" customHeight="1" x14ac:dyDescent="0.25">
      <c r="A93" s="238" t="s">
        <v>817</v>
      </c>
      <c r="B93" s="238" t="s">
        <v>711</v>
      </c>
      <c r="C93" s="238" t="s">
        <v>712</v>
      </c>
      <c r="D93" s="238" t="s">
        <v>704</v>
      </c>
      <c r="E93" s="238" t="s">
        <v>708</v>
      </c>
      <c r="F93" s="238" t="s">
        <v>701</v>
      </c>
      <c r="G93" s="238" t="s">
        <v>820</v>
      </c>
      <c r="H93" s="316">
        <v>33884.300000000003</v>
      </c>
      <c r="I93" s="316">
        <v>0</v>
      </c>
      <c r="J93" s="316">
        <v>0</v>
      </c>
      <c r="K93" s="316">
        <v>0</v>
      </c>
      <c r="L93" s="316">
        <v>0</v>
      </c>
      <c r="M93" s="316">
        <v>7115.7</v>
      </c>
      <c r="N93" s="316">
        <v>0</v>
      </c>
      <c r="O93" s="316">
        <v>0</v>
      </c>
      <c r="P93" s="316">
        <v>0</v>
      </c>
      <c r="Q93" s="316">
        <v>0</v>
      </c>
      <c r="R93" s="316">
        <v>7115.7</v>
      </c>
      <c r="S93" s="316">
        <v>41000</v>
      </c>
    </row>
    <row r="94" spans="1:19" ht="15" customHeight="1" x14ac:dyDescent="0.25">
      <c r="A94" s="238" t="s">
        <v>817</v>
      </c>
      <c r="B94" s="238" t="s">
        <v>711</v>
      </c>
      <c r="C94" s="238" t="s">
        <v>712</v>
      </c>
      <c r="D94" s="238" t="s">
        <v>704</v>
      </c>
      <c r="E94" s="238" t="s">
        <v>708</v>
      </c>
      <c r="F94" s="238" t="s">
        <v>701</v>
      </c>
      <c r="G94" s="238" t="s">
        <v>821</v>
      </c>
      <c r="H94" s="316">
        <v>20661.16</v>
      </c>
      <c r="I94" s="316">
        <v>0</v>
      </c>
      <c r="J94" s="316">
        <v>0</v>
      </c>
      <c r="K94" s="316">
        <v>0</v>
      </c>
      <c r="L94" s="316">
        <v>0</v>
      </c>
      <c r="M94" s="316">
        <v>4338.84</v>
      </c>
      <c r="N94" s="316">
        <v>0</v>
      </c>
      <c r="O94" s="316">
        <v>0</v>
      </c>
      <c r="P94" s="316">
        <v>0</v>
      </c>
      <c r="Q94" s="316">
        <v>0</v>
      </c>
      <c r="R94" s="316">
        <v>4338.84</v>
      </c>
      <c r="S94" s="316">
        <v>25000</v>
      </c>
    </row>
    <row r="95" spans="1:19" ht="15" customHeight="1" x14ac:dyDescent="0.25">
      <c r="A95" s="238" t="s">
        <v>817</v>
      </c>
      <c r="B95" s="238" t="s">
        <v>711</v>
      </c>
      <c r="C95" s="238" t="s">
        <v>712</v>
      </c>
      <c r="D95" s="238" t="s">
        <v>704</v>
      </c>
      <c r="E95" s="238" t="s">
        <v>708</v>
      </c>
      <c r="F95" s="238" t="s">
        <v>701</v>
      </c>
      <c r="G95" s="238" t="s">
        <v>822</v>
      </c>
      <c r="H95" s="316">
        <v>4628.1000000000004</v>
      </c>
      <c r="I95" s="316">
        <v>0</v>
      </c>
      <c r="J95" s="316">
        <v>0</v>
      </c>
      <c r="K95" s="316">
        <v>0</v>
      </c>
      <c r="L95" s="316">
        <v>0</v>
      </c>
      <c r="M95" s="316">
        <v>971.9</v>
      </c>
      <c r="N95" s="316">
        <v>0</v>
      </c>
      <c r="O95" s="316">
        <v>0</v>
      </c>
      <c r="P95" s="316">
        <v>0</v>
      </c>
      <c r="Q95" s="316">
        <v>0</v>
      </c>
      <c r="R95" s="316">
        <v>971.9</v>
      </c>
      <c r="S95" s="316">
        <v>5600</v>
      </c>
    </row>
    <row r="96" spans="1:19" ht="15" customHeight="1" x14ac:dyDescent="0.25">
      <c r="A96" s="238" t="s">
        <v>817</v>
      </c>
      <c r="B96" s="238" t="s">
        <v>711</v>
      </c>
      <c r="C96" s="238" t="s">
        <v>712</v>
      </c>
      <c r="D96" s="238" t="s">
        <v>704</v>
      </c>
      <c r="E96" s="238" t="s">
        <v>708</v>
      </c>
      <c r="F96" s="238" t="s">
        <v>701</v>
      </c>
      <c r="G96" s="238" t="s">
        <v>823</v>
      </c>
      <c r="H96" s="316">
        <v>28925.62</v>
      </c>
      <c r="I96" s="316">
        <v>0</v>
      </c>
      <c r="J96" s="316">
        <v>0</v>
      </c>
      <c r="K96" s="316">
        <v>0</v>
      </c>
      <c r="L96" s="316">
        <v>0</v>
      </c>
      <c r="M96" s="316">
        <v>6074.38</v>
      </c>
      <c r="N96" s="316">
        <v>0</v>
      </c>
      <c r="O96" s="316">
        <v>0</v>
      </c>
      <c r="P96" s="316">
        <v>0</v>
      </c>
      <c r="Q96" s="316">
        <v>0</v>
      </c>
      <c r="R96" s="316">
        <v>6074.38</v>
      </c>
      <c r="S96" s="316">
        <v>35000</v>
      </c>
    </row>
    <row r="97" spans="1:19" ht="15" customHeight="1" x14ac:dyDescent="0.25">
      <c r="A97" s="238" t="s">
        <v>817</v>
      </c>
      <c r="B97" s="238" t="s">
        <v>711</v>
      </c>
      <c r="C97" s="238" t="s">
        <v>712</v>
      </c>
      <c r="D97" s="238" t="s">
        <v>704</v>
      </c>
      <c r="E97" s="238" t="s">
        <v>708</v>
      </c>
      <c r="F97" s="238" t="s">
        <v>701</v>
      </c>
      <c r="G97" s="238" t="s">
        <v>824</v>
      </c>
      <c r="H97" s="316">
        <v>14049.59</v>
      </c>
      <c r="I97" s="316">
        <v>0</v>
      </c>
      <c r="J97" s="316">
        <v>0</v>
      </c>
      <c r="K97" s="316">
        <v>0</v>
      </c>
      <c r="L97" s="316">
        <v>0</v>
      </c>
      <c r="M97" s="316">
        <v>2950.41</v>
      </c>
      <c r="N97" s="316">
        <v>0</v>
      </c>
      <c r="O97" s="316">
        <v>0</v>
      </c>
      <c r="P97" s="316">
        <v>0</v>
      </c>
      <c r="Q97" s="316">
        <v>0</v>
      </c>
      <c r="R97" s="316">
        <v>2950.41</v>
      </c>
      <c r="S97" s="316">
        <v>17000</v>
      </c>
    </row>
    <row r="98" spans="1:19" ht="15" customHeight="1" x14ac:dyDescent="0.25">
      <c r="A98" s="238" t="s">
        <v>817</v>
      </c>
      <c r="B98" s="238" t="s">
        <v>711</v>
      </c>
      <c r="C98" s="238" t="s">
        <v>712</v>
      </c>
      <c r="D98" s="238" t="s">
        <v>704</v>
      </c>
      <c r="E98" s="238" t="s">
        <v>708</v>
      </c>
      <c r="F98" s="238" t="s">
        <v>701</v>
      </c>
      <c r="G98" s="238" t="s">
        <v>818</v>
      </c>
      <c r="H98" s="316">
        <v>18595.04</v>
      </c>
      <c r="I98" s="316">
        <v>0</v>
      </c>
      <c r="J98" s="316">
        <v>0</v>
      </c>
      <c r="K98" s="316">
        <v>0</v>
      </c>
      <c r="L98" s="316">
        <v>0</v>
      </c>
      <c r="M98" s="316">
        <v>3904.96</v>
      </c>
      <c r="N98" s="316">
        <v>0</v>
      </c>
      <c r="O98" s="316">
        <v>0</v>
      </c>
      <c r="P98" s="316">
        <v>0</v>
      </c>
      <c r="Q98" s="316">
        <v>0</v>
      </c>
      <c r="R98" s="316">
        <v>3904.96</v>
      </c>
      <c r="S98" s="316">
        <v>22500</v>
      </c>
    </row>
    <row r="99" spans="1:19" ht="15" customHeight="1" x14ac:dyDescent="0.25">
      <c r="A99" s="238" t="s">
        <v>825</v>
      </c>
      <c r="B99" s="238" t="s">
        <v>711</v>
      </c>
      <c r="C99" s="238" t="s">
        <v>712</v>
      </c>
      <c r="D99" s="238" t="s">
        <v>704</v>
      </c>
      <c r="E99" s="238" t="s">
        <v>708</v>
      </c>
      <c r="F99" s="238" t="s">
        <v>701</v>
      </c>
      <c r="G99" s="238" t="s">
        <v>828</v>
      </c>
      <c r="H99" s="316">
        <v>23966.94</v>
      </c>
      <c r="I99" s="316">
        <v>0</v>
      </c>
      <c r="J99" s="316">
        <v>0</v>
      </c>
      <c r="K99" s="316">
        <v>0</v>
      </c>
      <c r="L99" s="316">
        <v>0</v>
      </c>
      <c r="M99" s="316">
        <v>5033.0600000000004</v>
      </c>
      <c r="N99" s="316">
        <v>0</v>
      </c>
      <c r="O99" s="316">
        <v>0</v>
      </c>
      <c r="P99" s="316">
        <v>0</v>
      </c>
      <c r="Q99" s="316">
        <v>0</v>
      </c>
      <c r="R99" s="316">
        <v>5033.0600000000004</v>
      </c>
      <c r="S99" s="316">
        <v>29000</v>
      </c>
    </row>
    <row r="100" spans="1:19" ht="15" customHeight="1" x14ac:dyDescent="0.25">
      <c r="A100" s="238" t="s">
        <v>825</v>
      </c>
      <c r="B100" s="238" t="s">
        <v>711</v>
      </c>
      <c r="C100" s="238" t="s">
        <v>712</v>
      </c>
      <c r="D100" s="238" t="s">
        <v>704</v>
      </c>
      <c r="E100" s="238" t="s">
        <v>708</v>
      </c>
      <c r="F100" s="238" t="s">
        <v>701</v>
      </c>
      <c r="G100" s="238" t="s">
        <v>834</v>
      </c>
      <c r="H100" s="316">
        <v>24793.39</v>
      </c>
      <c r="I100" s="316">
        <v>0</v>
      </c>
      <c r="J100" s="316">
        <v>0</v>
      </c>
      <c r="K100" s="316">
        <v>0</v>
      </c>
      <c r="L100" s="316">
        <v>0</v>
      </c>
      <c r="M100" s="316">
        <v>5206.6099999999997</v>
      </c>
      <c r="N100" s="316">
        <v>0</v>
      </c>
      <c r="O100" s="316">
        <v>0</v>
      </c>
      <c r="P100" s="316">
        <v>0</v>
      </c>
      <c r="Q100" s="316">
        <v>0</v>
      </c>
      <c r="R100" s="316">
        <v>5206.6099999999997</v>
      </c>
      <c r="S100" s="316">
        <v>30000</v>
      </c>
    </row>
    <row r="101" spans="1:19" ht="15" customHeight="1" x14ac:dyDescent="0.25">
      <c r="A101" s="238" t="s">
        <v>825</v>
      </c>
      <c r="B101" s="238" t="s">
        <v>711</v>
      </c>
      <c r="C101" s="238" t="s">
        <v>712</v>
      </c>
      <c r="D101" s="238" t="s">
        <v>704</v>
      </c>
      <c r="E101" s="238" t="s">
        <v>708</v>
      </c>
      <c r="F101" s="238" t="s">
        <v>701</v>
      </c>
      <c r="G101" s="238" t="s">
        <v>835</v>
      </c>
      <c r="H101" s="316">
        <v>38842.980000000003</v>
      </c>
      <c r="I101" s="316">
        <v>0</v>
      </c>
      <c r="J101" s="316">
        <v>0</v>
      </c>
      <c r="K101" s="316">
        <v>0</v>
      </c>
      <c r="L101" s="316">
        <v>0</v>
      </c>
      <c r="M101" s="316">
        <v>8157.02</v>
      </c>
      <c r="N101" s="316">
        <v>0</v>
      </c>
      <c r="O101" s="316">
        <v>0</v>
      </c>
      <c r="P101" s="316">
        <v>0</v>
      </c>
      <c r="Q101" s="316">
        <v>0</v>
      </c>
      <c r="R101" s="316">
        <v>8157.02</v>
      </c>
      <c r="S101" s="316">
        <v>47000</v>
      </c>
    </row>
    <row r="102" spans="1:19" ht="15" customHeight="1" x14ac:dyDescent="0.25">
      <c r="A102" s="238" t="s">
        <v>825</v>
      </c>
      <c r="B102" s="238" t="s">
        <v>711</v>
      </c>
      <c r="C102" s="238" t="s">
        <v>712</v>
      </c>
      <c r="D102" s="238" t="s">
        <v>704</v>
      </c>
      <c r="E102" s="238" t="s">
        <v>708</v>
      </c>
      <c r="F102" s="238" t="s">
        <v>701</v>
      </c>
      <c r="G102" s="238" t="s">
        <v>836</v>
      </c>
      <c r="H102" s="316">
        <v>16528.93</v>
      </c>
      <c r="I102" s="316">
        <v>0</v>
      </c>
      <c r="J102" s="316">
        <v>0</v>
      </c>
      <c r="K102" s="316">
        <v>0</v>
      </c>
      <c r="L102" s="316">
        <v>0</v>
      </c>
      <c r="M102" s="316">
        <v>3471.07</v>
      </c>
      <c r="N102" s="316">
        <v>0</v>
      </c>
      <c r="O102" s="316">
        <v>0</v>
      </c>
      <c r="P102" s="316">
        <v>0</v>
      </c>
      <c r="Q102" s="316">
        <v>0</v>
      </c>
      <c r="R102" s="316">
        <v>3471.07</v>
      </c>
      <c r="S102" s="316">
        <v>20000</v>
      </c>
    </row>
    <row r="103" spans="1:19" ht="15" customHeight="1" x14ac:dyDescent="0.25">
      <c r="A103" s="238" t="s">
        <v>825</v>
      </c>
      <c r="B103" s="238" t="s">
        <v>711</v>
      </c>
      <c r="C103" s="238" t="s">
        <v>712</v>
      </c>
      <c r="D103" s="238" t="s">
        <v>704</v>
      </c>
      <c r="E103" s="238" t="s">
        <v>708</v>
      </c>
      <c r="F103" s="238" t="s">
        <v>701</v>
      </c>
      <c r="G103" s="238" t="s">
        <v>843</v>
      </c>
      <c r="H103" s="316">
        <v>19173.55</v>
      </c>
      <c r="I103" s="316">
        <v>0</v>
      </c>
      <c r="J103" s="316">
        <v>0</v>
      </c>
      <c r="K103" s="316">
        <v>0</v>
      </c>
      <c r="L103" s="316">
        <v>0</v>
      </c>
      <c r="M103" s="316">
        <v>4026.45</v>
      </c>
      <c r="N103" s="316">
        <v>0</v>
      </c>
      <c r="O103" s="316">
        <v>0</v>
      </c>
      <c r="P103" s="316">
        <v>0</v>
      </c>
      <c r="Q103" s="316">
        <v>0</v>
      </c>
      <c r="R103" s="316">
        <v>4026.45</v>
      </c>
      <c r="S103" s="316">
        <v>23200</v>
      </c>
    </row>
    <row r="104" spans="1:19" ht="15" customHeight="1" x14ac:dyDescent="0.25">
      <c r="A104" s="238" t="s">
        <v>825</v>
      </c>
      <c r="B104" s="238" t="s">
        <v>711</v>
      </c>
      <c r="C104" s="238" t="s">
        <v>712</v>
      </c>
      <c r="D104" s="238" t="s">
        <v>704</v>
      </c>
      <c r="E104" s="238" t="s">
        <v>708</v>
      </c>
      <c r="F104" s="238" t="s">
        <v>701</v>
      </c>
      <c r="G104" s="238" t="s">
        <v>852</v>
      </c>
      <c r="H104" s="316">
        <v>37190.080000000002</v>
      </c>
      <c r="I104" s="316">
        <v>0</v>
      </c>
      <c r="J104" s="316">
        <v>0</v>
      </c>
      <c r="K104" s="316">
        <v>0</v>
      </c>
      <c r="L104" s="316">
        <v>0</v>
      </c>
      <c r="M104" s="316">
        <v>7809.92</v>
      </c>
      <c r="N104" s="316">
        <v>0</v>
      </c>
      <c r="O104" s="316">
        <v>0</v>
      </c>
      <c r="P104" s="316">
        <v>0</v>
      </c>
      <c r="Q104" s="316">
        <v>0</v>
      </c>
      <c r="R104" s="316">
        <v>7809.92</v>
      </c>
      <c r="S104" s="316">
        <v>45000</v>
      </c>
    </row>
    <row r="105" spans="1:19" ht="15" customHeight="1" x14ac:dyDescent="0.25">
      <c r="A105" s="238" t="s">
        <v>825</v>
      </c>
      <c r="B105" s="238" t="s">
        <v>711</v>
      </c>
      <c r="C105" s="238" t="s">
        <v>712</v>
      </c>
      <c r="D105" s="238" t="s">
        <v>704</v>
      </c>
      <c r="E105" s="238" t="s">
        <v>708</v>
      </c>
      <c r="F105" s="238" t="s">
        <v>701</v>
      </c>
      <c r="G105" s="238" t="s">
        <v>855</v>
      </c>
      <c r="H105" s="316">
        <v>16859.5</v>
      </c>
      <c r="I105" s="316">
        <v>0</v>
      </c>
      <c r="J105" s="316">
        <v>0</v>
      </c>
      <c r="K105" s="316">
        <v>0</v>
      </c>
      <c r="L105" s="316">
        <v>0</v>
      </c>
      <c r="M105" s="316">
        <v>3540.5</v>
      </c>
      <c r="N105" s="316">
        <v>0</v>
      </c>
      <c r="O105" s="316">
        <v>0</v>
      </c>
      <c r="P105" s="316">
        <v>0</v>
      </c>
      <c r="Q105" s="316">
        <v>0</v>
      </c>
      <c r="R105" s="316">
        <v>3540.5</v>
      </c>
      <c r="S105" s="316">
        <v>20400</v>
      </c>
    </row>
    <row r="106" spans="1:19" ht="15" customHeight="1" x14ac:dyDescent="0.25">
      <c r="A106" s="238" t="s">
        <v>825</v>
      </c>
      <c r="B106" s="238" t="s">
        <v>711</v>
      </c>
      <c r="C106" s="238" t="s">
        <v>712</v>
      </c>
      <c r="D106" s="238" t="s">
        <v>704</v>
      </c>
      <c r="E106" s="238" t="s">
        <v>708</v>
      </c>
      <c r="F106" s="238" t="s">
        <v>701</v>
      </c>
      <c r="G106" s="238" t="s">
        <v>864</v>
      </c>
      <c r="H106" s="316">
        <v>14462.81</v>
      </c>
      <c r="I106" s="316">
        <v>0</v>
      </c>
      <c r="J106" s="316">
        <v>0</v>
      </c>
      <c r="K106" s="316">
        <v>0</v>
      </c>
      <c r="L106" s="316">
        <v>0</v>
      </c>
      <c r="M106" s="316">
        <v>3037.19</v>
      </c>
      <c r="N106" s="316">
        <v>0</v>
      </c>
      <c r="O106" s="316">
        <v>0</v>
      </c>
      <c r="P106" s="316">
        <v>0</v>
      </c>
      <c r="Q106" s="316">
        <v>0</v>
      </c>
      <c r="R106" s="316">
        <v>3037.19</v>
      </c>
      <c r="S106" s="316">
        <v>17500</v>
      </c>
    </row>
    <row r="107" spans="1:19" ht="15" customHeight="1" x14ac:dyDescent="0.25">
      <c r="A107" s="238" t="s">
        <v>825</v>
      </c>
      <c r="B107" s="238" t="s">
        <v>711</v>
      </c>
      <c r="C107" s="238" t="s">
        <v>712</v>
      </c>
      <c r="D107" s="238" t="s">
        <v>704</v>
      </c>
      <c r="E107" s="238" t="s">
        <v>708</v>
      </c>
      <c r="F107" s="238" t="s">
        <v>701</v>
      </c>
      <c r="G107" s="238" t="s">
        <v>865</v>
      </c>
      <c r="H107" s="316">
        <v>4710.74</v>
      </c>
      <c r="I107" s="316">
        <v>0</v>
      </c>
      <c r="J107" s="316">
        <v>0</v>
      </c>
      <c r="K107" s="316">
        <v>0</v>
      </c>
      <c r="L107" s="316">
        <v>0</v>
      </c>
      <c r="M107" s="316">
        <v>989.26</v>
      </c>
      <c r="N107" s="316">
        <v>0</v>
      </c>
      <c r="O107" s="316">
        <v>0</v>
      </c>
      <c r="P107" s="316">
        <v>0</v>
      </c>
      <c r="Q107" s="316">
        <v>0</v>
      </c>
      <c r="R107" s="316">
        <v>989.26</v>
      </c>
      <c r="S107" s="316">
        <v>5700</v>
      </c>
    </row>
    <row r="108" spans="1:19" ht="15" customHeight="1" x14ac:dyDescent="0.25">
      <c r="A108" s="238" t="s">
        <v>825</v>
      </c>
      <c r="B108" s="238" t="s">
        <v>711</v>
      </c>
      <c r="C108" s="238" t="s">
        <v>712</v>
      </c>
      <c r="D108" s="238" t="s">
        <v>704</v>
      </c>
      <c r="E108" s="238" t="s">
        <v>708</v>
      </c>
      <c r="F108" s="238" t="s">
        <v>701</v>
      </c>
      <c r="G108" s="238" t="s">
        <v>876</v>
      </c>
      <c r="H108" s="316">
        <v>36363.64</v>
      </c>
      <c r="I108" s="316">
        <v>0</v>
      </c>
      <c r="J108" s="316">
        <v>0</v>
      </c>
      <c r="K108" s="316">
        <v>0</v>
      </c>
      <c r="L108" s="316">
        <v>0</v>
      </c>
      <c r="M108" s="316">
        <v>7636.36</v>
      </c>
      <c r="N108" s="316">
        <v>0</v>
      </c>
      <c r="O108" s="316">
        <v>0</v>
      </c>
      <c r="P108" s="316">
        <v>0</v>
      </c>
      <c r="Q108" s="316">
        <v>0</v>
      </c>
      <c r="R108" s="316">
        <v>7636.36</v>
      </c>
      <c r="S108" s="316">
        <v>44000</v>
      </c>
    </row>
    <row r="109" spans="1:19" ht="15" customHeight="1" x14ac:dyDescent="0.25">
      <c r="A109" s="238" t="s">
        <v>825</v>
      </c>
      <c r="B109" s="238" t="s">
        <v>711</v>
      </c>
      <c r="C109" s="238" t="s">
        <v>712</v>
      </c>
      <c r="D109" s="238" t="s">
        <v>704</v>
      </c>
      <c r="E109" s="238" t="s">
        <v>708</v>
      </c>
      <c r="F109" s="238" t="s">
        <v>701</v>
      </c>
      <c r="G109" s="238" t="s">
        <v>877</v>
      </c>
      <c r="H109" s="316">
        <v>36363.64</v>
      </c>
      <c r="I109" s="316">
        <v>0</v>
      </c>
      <c r="J109" s="316">
        <v>0</v>
      </c>
      <c r="K109" s="316">
        <v>0</v>
      </c>
      <c r="L109" s="316">
        <v>0</v>
      </c>
      <c r="M109" s="316">
        <v>7636.36</v>
      </c>
      <c r="N109" s="316">
        <v>0</v>
      </c>
      <c r="O109" s="316">
        <v>0</v>
      </c>
      <c r="P109" s="316">
        <v>0</v>
      </c>
      <c r="Q109" s="316">
        <v>0</v>
      </c>
      <c r="R109" s="316">
        <v>7636.36</v>
      </c>
      <c r="S109" s="316">
        <v>44000</v>
      </c>
    </row>
    <row r="110" spans="1:19" ht="15" customHeight="1" x14ac:dyDescent="0.25">
      <c r="A110" s="238" t="s">
        <v>825</v>
      </c>
      <c r="B110" s="238" t="s">
        <v>711</v>
      </c>
      <c r="C110" s="238" t="s">
        <v>712</v>
      </c>
      <c r="D110" s="238" t="s">
        <v>704</v>
      </c>
      <c r="E110" s="238" t="s">
        <v>708</v>
      </c>
      <c r="F110" s="238" t="s">
        <v>701</v>
      </c>
      <c r="G110" s="238" t="s">
        <v>878</v>
      </c>
      <c r="H110" s="316">
        <v>115702.48</v>
      </c>
      <c r="I110" s="316">
        <v>0</v>
      </c>
      <c r="J110" s="316">
        <v>0</v>
      </c>
      <c r="K110" s="316">
        <v>0</v>
      </c>
      <c r="L110" s="316">
        <v>0</v>
      </c>
      <c r="M110" s="316">
        <v>24297.52</v>
      </c>
      <c r="N110" s="316">
        <v>0</v>
      </c>
      <c r="O110" s="316">
        <v>0</v>
      </c>
      <c r="P110" s="316">
        <v>0</v>
      </c>
      <c r="Q110" s="316">
        <v>0</v>
      </c>
      <c r="R110" s="316">
        <v>24297.52</v>
      </c>
      <c r="S110" s="316">
        <v>140000</v>
      </c>
    </row>
    <row r="111" spans="1:19" ht="15" customHeight="1" x14ac:dyDescent="0.25">
      <c r="A111" s="238" t="s">
        <v>825</v>
      </c>
      <c r="B111" s="238" t="s">
        <v>711</v>
      </c>
      <c r="C111" s="238" t="s">
        <v>712</v>
      </c>
      <c r="D111" s="238" t="s">
        <v>704</v>
      </c>
      <c r="E111" s="238" t="s">
        <v>708</v>
      </c>
      <c r="F111" s="238" t="s">
        <v>701</v>
      </c>
      <c r="G111" s="238" t="s">
        <v>879</v>
      </c>
      <c r="H111" s="316">
        <v>6611.57</v>
      </c>
      <c r="I111" s="316">
        <v>0</v>
      </c>
      <c r="J111" s="316">
        <v>0</v>
      </c>
      <c r="K111" s="316">
        <v>0</v>
      </c>
      <c r="L111" s="316">
        <v>0</v>
      </c>
      <c r="M111" s="316">
        <v>1388.43</v>
      </c>
      <c r="N111" s="316">
        <v>0</v>
      </c>
      <c r="O111" s="316">
        <v>0</v>
      </c>
      <c r="P111" s="316">
        <v>0</v>
      </c>
      <c r="Q111" s="316">
        <v>0</v>
      </c>
      <c r="R111" s="316">
        <v>1388.43</v>
      </c>
      <c r="S111" s="316">
        <v>8000</v>
      </c>
    </row>
    <row r="112" spans="1:19" ht="15" customHeight="1" x14ac:dyDescent="0.25">
      <c r="A112" s="238" t="s">
        <v>825</v>
      </c>
      <c r="B112" s="238" t="s">
        <v>711</v>
      </c>
      <c r="C112" s="238" t="s">
        <v>712</v>
      </c>
      <c r="D112" s="238" t="s">
        <v>704</v>
      </c>
      <c r="E112" s="238" t="s">
        <v>708</v>
      </c>
      <c r="F112" s="238" t="s">
        <v>701</v>
      </c>
      <c r="G112" s="238" t="s">
        <v>880</v>
      </c>
      <c r="H112" s="316">
        <v>19008.259999999998</v>
      </c>
      <c r="I112" s="316">
        <v>0</v>
      </c>
      <c r="J112" s="316">
        <v>0</v>
      </c>
      <c r="K112" s="316">
        <v>0</v>
      </c>
      <c r="L112" s="316">
        <v>0</v>
      </c>
      <c r="M112" s="316">
        <v>3991.74</v>
      </c>
      <c r="N112" s="316">
        <v>0</v>
      </c>
      <c r="O112" s="316">
        <v>0</v>
      </c>
      <c r="P112" s="316">
        <v>0</v>
      </c>
      <c r="Q112" s="316">
        <v>0</v>
      </c>
      <c r="R112" s="316">
        <v>3991.74</v>
      </c>
      <c r="S112" s="316">
        <v>23000</v>
      </c>
    </row>
    <row r="113" spans="1:19" ht="15" customHeight="1" x14ac:dyDescent="0.25">
      <c r="A113" s="238" t="s">
        <v>825</v>
      </c>
      <c r="B113" s="238" t="s">
        <v>881</v>
      </c>
      <c r="C113" s="238" t="s">
        <v>882</v>
      </c>
      <c r="D113" s="238" t="s">
        <v>704</v>
      </c>
      <c r="E113" s="238" t="s">
        <v>708</v>
      </c>
      <c r="F113" s="238" t="s">
        <v>701</v>
      </c>
      <c r="G113" s="238" t="s">
        <v>883</v>
      </c>
      <c r="H113" s="316">
        <v>24545.45</v>
      </c>
      <c r="I113" s="316">
        <v>0</v>
      </c>
      <c r="J113" s="316">
        <v>0</v>
      </c>
      <c r="K113" s="316">
        <v>0</v>
      </c>
      <c r="L113" s="316">
        <v>0</v>
      </c>
      <c r="M113" s="316">
        <v>5154.55</v>
      </c>
      <c r="N113" s="316">
        <v>0</v>
      </c>
      <c r="O113" s="316">
        <v>0</v>
      </c>
      <c r="P113" s="316">
        <v>0</v>
      </c>
      <c r="Q113" s="316">
        <v>0</v>
      </c>
      <c r="R113" s="316">
        <v>5154.55</v>
      </c>
      <c r="S113" s="316">
        <v>29700</v>
      </c>
    </row>
    <row r="114" spans="1:19" ht="15" customHeight="1" x14ac:dyDescent="0.25">
      <c r="A114" s="238" t="s">
        <v>825</v>
      </c>
      <c r="B114" s="238" t="s">
        <v>711</v>
      </c>
      <c r="C114" s="238" t="s">
        <v>712</v>
      </c>
      <c r="D114" s="238" t="s">
        <v>704</v>
      </c>
      <c r="E114" s="238" t="s">
        <v>708</v>
      </c>
      <c r="F114" s="238" t="s">
        <v>701</v>
      </c>
      <c r="G114" s="238" t="s">
        <v>884</v>
      </c>
      <c r="H114" s="316">
        <v>26115.7</v>
      </c>
      <c r="I114" s="316">
        <v>0</v>
      </c>
      <c r="J114" s="316">
        <v>0</v>
      </c>
      <c r="K114" s="316">
        <v>0</v>
      </c>
      <c r="L114" s="316">
        <v>0</v>
      </c>
      <c r="M114" s="316">
        <v>5484.3</v>
      </c>
      <c r="N114" s="316">
        <v>0</v>
      </c>
      <c r="O114" s="316">
        <v>0</v>
      </c>
      <c r="P114" s="316">
        <v>0</v>
      </c>
      <c r="Q114" s="316">
        <v>0</v>
      </c>
      <c r="R114" s="316">
        <v>5484.3</v>
      </c>
      <c r="S114" s="316">
        <v>31600</v>
      </c>
    </row>
    <row r="115" spans="1:19" ht="15" customHeight="1" x14ac:dyDescent="0.25">
      <c r="A115" s="238" t="s">
        <v>825</v>
      </c>
      <c r="B115" s="238" t="s">
        <v>711</v>
      </c>
      <c r="C115" s="238" t="s">
        <v>712</v>
      </c>
      <c r="D115" s="238" t="s">
        <v>704</v>
      </c>
      <c r="E115" s="238" t="s">
        <v>708</v>
      </c>
      <c r="F115" s="238" t="s">
        <v>701</v>
      </c>
      <c r="G115" s="238" t="s">
        <v>826</v>
      </c>
      <c r="H115" s="316">
        <v>37190.080000000002</v>
      </c>
      <c r="I115" s="316">
        <v>0</v>
      </c>
      <c r="J115" s="316">
        <v>0</v>
      </c>
      <c r="K115" s="316">
        <v>0</v>
      </c>
      <c r="L115" s="316">
        <v>0</v>
      </c>
      <c r="M115" s="316">
        <v>7809.92</v>
      </c>
      <c r="N115" s="316">
        <v>0</v>
      </c>
      <c r="O115" s="316">
        <v>0</v>
      </c>
      <c r="P115" s="316">
        <v>0</v>
      </c>
      <c r="Q115" s="316">
        <v>0</v>
      </c>
      <c r="R115" s="316">
        <v>7809.92</v>
      </c>
      <c r="S115" s="316">
        <v>45000</v>
      </c>
    </row>
    <row r="116" spans="1:19" ht="15" customHeight="1" x14ac:dyDescent="0.25">
      <c r="A116" s="238" t="s">
        <v>885</v>
      </c>
      <c r="B116" s="238" t="s">
        <v>711</v>
      </c>
      <c r="C116" s="238" t="s">
        <v>712</v>
      </c>
      <c r="D116" s="238" t="s">
        <v>704</v>
      </c>
      <c r="E116" s="238" t="s">
        <v>708</v>
      </c>
      <c r="F116" s="238" t="s">
        <v>701</v>
      </c>
      <c r="G116" s="238" t="s">
        <v>914</v>
      </c>
      <c r="H116" s="316">
        <v>18595.04</v>
      </c>
      <c r="I116" s="316">
        <v>0</v>
      </c>
      <c r="J116" s="316">
        <v>0</v>
      </c>
      <c r="K116" s="316">
        <v>0</v>
      </c>
      <c r="L116" s="316">
        <v>0</v>
      </c>
      <c r="M116" s="316">
        <v>3904.96</v>
      </c>
      <c r="N116" s="316">
        <v>0</v>
      </c>
      <c r="O116" s="316">
        <v>0</v>
      </c>
      <c r="P116" s="316">
        <v>0</v>
      </c>
      <c r="Q116" s="316">
        <v>0</v>
      </c>
      <c r="R116" s="316">
        <v>3904.96</v>
      </c>
      <c r="S116" s="316">
        <v>22500</v>
      </c>
    </row>
    <row r="117" spans="1:19" ht="15" customHeight="1" x14ac:dyDescent="0.25">
      <c r="A117" s="238" t="s">
        <v>885</v>
      </c>
      <c r="B117" s="238" t="s">
        <v>711</v>
      </c>
      <c r="C117" s="238" t="s">
        <v>712</v>
      </c>
      <c r="D117" s="238" t="s">
        <v>704</v>
      </c>
      <c r="E117" s="238" t="s">
        <v>708</v>
      </c>
      <c r="F117" s="238" t="s">
        <v>701</v>
      </c>
      <c r="G117" s="238" t="s">
        <v>915</v>
      </c>
      <c r="H117" s="316">
        <v>18595.04</v>
      </c>
      <c r="I117" s="316">
        <v>0</v>
      </c>
      <c r="J117" s="316">
        <v>0</v>
      </c>
      <c r="K117" s="316">
        <v>0</v>
      </c>
      <c r="L117" s="316">
        <v>0</v>
      </c>
      <c r="M117" s="316">
        <v>3904.96</v>
      </c>
      <c r="N117" s="316">
        <v>0</v>
      </c>
      <c r="O117" s="316">
        <v>0</v>
      </c>
      <c r="P117" s="316">
        <v>0</v>
      </c>
      <c r="Q117" s="316">
        <v>0</v>
      </c>
      <c r="R117" s="316">
        <v>3904.96</v>
      </c>
      <c r="S117" s="316">
        <v>22500</v>
      </c>
    </row>
    <row r="118" spans="1:19" ht="15" customHeight="1" x14ac:dyDescent="0.25">
      <c r="A118" s="238" t="s">
        <v>885</v>
      </c>
      <c r="B118" s="238" t="s">
        <v>711</v>
      </c>
      <c r="C118" s="238" t="s">
        <v>712</v>
      </c>
      <c r="D118" s="238" t="s">
        <v>704</v>
      </c>
      <c r="E118" s="238" t="s">
        <v>708</v>
      </c>
      <c r="F118" s="238" t="s">
        <v>701</v>
      </c>
      <c r="G118" s="238" t="s">
        <v>916</v>
      </c>
      <c r="H118" s="316">
        <v>18595.04</v>
      </c>
      <c r="I118" s="316">
        <v>0</v>
      </c>
      <c r="J118" s="316">
        <v>0</v>
      </c>
      <c r="K118" s="316">
        <v>0</v>
      </c>
      <c r="L118" s="316">
        <v>0</v>
      </c>
      <c r="M118" s="316">
        <v>3904.96</v>
      </c>
      <c r="N118" s="316">
        <v>0</v>
      </c>
      <c r="O118" s="316">
        <v>0</v>
      </c>
      <c r="P118" s="316">
        <v>0</v>
      </c>
      <c r="Q118" s="316">
        <v>0</v>
      </c>
      <c r="R118" s="316">
        <v>3904.96</v>
      </c>
      <c r="S118" s="316">
        <v>22500</v>
      </c>
    </row>
    <row r="119" spans="1:19" ht="15" customHeight="1" x14ac:dyDescent="0.25">
      <c r="A119" s="238" t="s">
        <v>885</v>
      </c>
      <c r="B119" s="238" t="s">
        <v>711</v>
      </c>
      <c r="C119" s="238" t="s">
        <v>712</v>
      </c>
      <c r="D119" s="238" t="s">
        <v>704</v>
      </c>
      <c r="E119" s="238" t="s">
        <v>708</v>
      </c>
      <c r="F119" s="238" t="s">
        <v>701</v>
      </c>
      <c r="G119" s="238" t="s">
        <v>920</v>
      </c>
      <c r="H119" s="316">
        <v>18595.04</v>
      </c>
      <c r="I119" s="316">
        <v>0</v>
      </c>
      <c r="J119" s="316">
        <v>0</v>
      </c>
      <c r="K119" s="316">
        <v>0</v>
      </c>
      <c r="L119" s="316">
        <v>0</v>
      </c>
      <c r="M119" s="316">
        <v>3904.96</v>
      </c>
      <c r="N119" s="316">
        <v>0</v>
      </c>
      <c r="O119" s="316">
        <v>0</v>
      </c>
      <c r="P119" s="316">
        <v>0</v>
      </c>
      <c r="Q119" s="316">
        <v>0</v>
      </c>
      <c r="R119" s="316">
        <v>3904.96</v>
      </c>
      <c r="S119" s="316">
        <v>22500</v>
      </c>
    </row>
    <row r="120" spans="1:19" ht="15" customHeight="1" x14ac:dyDescent="0.25">
      <c r="A120" s="238" t="s">
        <v>885</v>
      </c>
      <c r="B120" s="238" t="s">
        <v>711</v>
      </c>
      <c r="C120" s="238" t="s">
        <v>712</v>
      </c>
      <c r="D120" s="238" t="s">
        <v>704</v>
      </c>
      <c r="E120" s="238" t="s">
        <v>708</v>
      </c>
      <c r="F120" s="238" t="s">
        <v>701</v>
      </c>
      <c r="G120" s="238" t="s">
        <v>921</v>
      </c>
      <c r="H120" s="316">
        <v>18595.04</v>
      </c>
      <c r="I120" s="316">
        <v>0</v>
      </c>
      <c r="J120" s="316">
        <v>0</v>
      </c>
      <c r="K120" s="316">
        <v>0</v>
      </c>
      <c r="L120" s="316">
        <v>0</v>
      </c>
      <c r="M120" s="316">
        <v>3904.96</v>
      </c>
      <c r="N120" s="316">
        <v>0</v>
      </c>
      <c r="O120" s="316">
        <v>0</v>
      </c>
      <c r="P120" s="316">
        <v>0</v>
      </c>
      <c r="Q120" s="316">
        <v>0</v>
      </c>
      <c r="R120" s="316">
        <v>3904.96</v>
      </c>
      <c r="S120" s="316">
        <v>22500</v>
      </c>
    </row>
    <row r="121" spans="1:19" ht="15" customHeight="1" x14ac:dyDescent="0.25">
      <c r="A121" s="238" t="s">
        <v>885</v>
      </c>
      <c r="B121" s="238" t="s">
        <v>711</v>
      </c>
      <c r="C121" s="238" t="s">
        <v>712</v>
      </c>
      <c r="D121" s="238" t="s">
        <v>704</v>
      </c>
      <c r="E121" s="238" t="s">
        <v>708</v>
      </c>
      <c r="F121" s="238" t="s">
        <v>701</v>
      </c>
      <c r="G121" s="238" t="s">
        <v>922</v>
      </c>
      <c r="H121" s="316">
        <v>28925.62</v>
      </c>
      <c r="I121" s="316">
        <v>0</v>
      </c>
      <c r="J121" s="316">
        <v>0</v>
      </c>
      <c r="K121" s="316">
        <v>0</v>
      </c>
      <c r="L121" s="316">
        <v>0</v>
      </c>
      <c r="M121" s="316">
        <v>6074.38</v>
      </c>
      <c r="N121" s="316">
        <v>0</v>
      </c>
      <c r="O121" s="316">
        <v>0</v>
      </c>
      <c r="P121" s="316">
        <v>0</v>
      </c>
      <c r="Q121" s="316">
        <v>0</v>
      </c>
      <c r="R121" s="316">
        <v>6074.38</v>
      </c>
      <c r="S121" s="316">
        <v>35000</v>
      </c>
    </row>
    <row r="122" spans="1:19" ht="15" customHeight="1" x14ac:dyDescent="0.25">
      <c r="A122" s="238" t="s">
        <v>885</v>
      </c>
      <c r="B122" s="238" t="s">
        <v>711</v>
      </c>
      <c r="C122" s="238" t="s">
        <v>712</v>
      </c>
      <c r="D122" s="238" t="s">
        <v>704</v>
      </c>
      <c r="E122" s="238" t="s">
        <v>708</v>
      </c>
      <c r="F122" s="238" t="s">
        <v>701</v>
      </c>
      <c r="G122" s="238" t="s">
        <v>923</v>
      </c>
      <c r="H122" s="316">
        <v>37190.080000000002</v>
      </c>
      <c r="I122" s="316">
        <v>0</v>
      </c>
      <c r="J122" s="316">
        <v>0</v>
      </c>
      <c r="K122" s="316">
        <v>0</v>
      </c>
      <c r="L122" s="316">
        <v>0</v>
      </c>
      <c r="M122" s="316">
        <v>7809.92</v>
      </c>
      <c r="N122" s="316">
        <v>0</v>
      </c>
      <c r="O122" s="316">
        <v>0</v>
      </c>
      <c r="P122" s="316">
        <v>0</v>
      </c>
      <c r="Q122" s="316">
        <v>0</v>
      </c>
      <c r="R122" s="316">
        <v>7809.92</v>
      </c>
      <c r="S122" s="316">
        <v>45000</v>
      </c>
    </row>
    <row r="123" spans="1:19" ht="15" customHeight="1" x14ac:dyDescent="0.25">
      <c r="A123" s="238" t="s">
        <v>885</v>
      </c>
      <c r="B123" s="238" t="s">
        <v>711</v>
      </c>
      <c r="C123" s="238" t="s">
        <v>712</v>
      </c>
      <c r="D123" s="238" t="s">
        <v>704</v>
      </c>
      <c r="E123" s="238" t="s">
        <v>708</v>
      </c>
      <c r="F123" s="238" t="s">
        <v>701</v>
      </c>
      <c r="G123" s="238" t="s">
        <v>924</v>
      </c>
      <c r="H123" s="316">
        <v>20413.22</v>
      </c>
      <c r="I123" s="316">
        <v>0</v>
      </c>
      <c r="J123" s="316">
        <v>0</v>
      </c>
      <c r="K123" s="316">
        <v>0</v>
      </c>
      <c r="L123" s="316">
        <v>0</v>
      </c>
      <c r="M123" s="316">
        <v>4286.78</v>
      </c>
      <c r="N123" s="316">
        <v>0</v>
      </c>
      <c r="O123" s="316">
        <v>0</v>
      </c>
      <c r="P123" s="316">
        <v>0</v>
      </c>
      <c r="Q123" s="316">
        <v>0</v>
      </c>
      <c r="R123" s="316">
        <v>4286.78</v>
      </c>
      <c r="S123" s="316">
        <v>24700</v>
      </c>
    </row>
    <row r="124" spans="1:19" ht="15" customHeight="1" x14ac:dyDescent="0.25">
      <c r="A124" s="238" t="s">
        <v>885</v>
      </c>
      <c r="B124" s="238" t="s">
        <v>711</v>
      </c>
      <c r="C124" s="238" t="s">
        <v>712</v>
      </c>
      <c r="D124" s="238" t="s">
        <v>704</v>
      </c>
      <c r="E124" s="238" t="s">
        <v>708</v>
      </c>
      <c r="F124" s="238" t="s">
        <v>701</v>
      </c>
      <c r="G124" s="238" t="s">
        <v>925</v>
      </c>
      <c r="H124" s="316">
        <v>25619.83</v>
      </c>
      <c r="I124" s="316">
        <v>0</v>
      </c>
      <c r="J124" s="316">
        <v>0</v>
      </c>
      <c r="K124" s="316">
        <v>0</v>
      </c>
      <c r="L124" s="316">
        <v>0</v>
      </c>
      <c r="M124" s="316">
        <v>5380.17</v>
      </c>
      <c r="N124" s="316">
        <v>0</v>
      </c>
      <c r="O124" s="316">
        <v>0</v>
      </c>
      <c r="P124" s="316">
        <v>0</v>
      </c>
      <c r="Q124" s="316">
        <v>0</v>
      </c>
      <c r="R124" s="316">
        <v>5380.17</v>
      </c>
      <c r="S124" s="316">
        <v>31000</v>
      </c>
    </row>
    <row r="125" spans="1:19" ht="15" customHeight="1" x14ac:dyDescent="0.25">
      <c r="A125" s="238" t="s">
        <v>885</v>
      </c>
      <c r="B125" s="238" t="s">
        <v>711</v>
      </c>
      <c r="C125" s="238" t="s">
        <v>712</v>
      </c>
      <c r="D125" s="238" t="s">
        <v>704</v>
      </c>
      <c r="E125" s="238" t="s">
        <v>708</v>
      </c>
      <c r="F125" s="238" t="s">
        <v>701</v>
      </c>
      <c r="G125" s="238" t="s">
        <v>926</v>
      </c>
      <c r="H125" s="316">
        <v>20661.16</v>
      </c>
      <c r="I125" s="316">
        <v>0</v>
      </c>
      <c r="J125" s="316">
        <v>0</v>
      </c>
      <c r="K125" s="316">
        <v>0</v>
      </c>
      <c r="L125" s="316">
        <v>0</v>
      </c>
      <c r="M125" s="316">
        <v>4338.84</v>
      </c>
      <c r="N125" s="316">
        <v>0</v>
      </c>
      <c r="O125" s="316">
        <v>0</v>
      </c>
      <c r="P125" s="316">
        <v>0</v>
      </c>
      <c r="Q125" s="316">
        <v>0</v>
      </c>
      <c r="R125" s="316">
        <v>4338.84</v>
      </c>
      <c r="S125" s="316">
        <v>25000</v>
      </c>
    </row>
    <row r="126" spans="1:19" ht="15" customHeight="1" x14ac:dyDescent="0.25">
      <c r="A126" s="238" t="s">
        <v>885</v>
      </c>
      <c r="B126" s="238" t="s">
        <v>711</v>
      </c>
      <c r="C126" s="238" t="s">
        <v>712</v>
      </c>
      <c r="D126" s="238" t="s">
        <v>704</v>
      </c>
      <c r="E126" s="238" t="s">
        <v>708</v>
      </c>
      <c r="F126" s="238" t="s">
        <v>701</v>
      </c>
      <c r="G126" s="238" t="s">
        <v>927</v>
      </c>
      <c r="H126" s="316">
        <v>37190.080000000002</v>
      </c>
      <c r="I126" s="316">
        <v>0</v>
      </c>
      <c r="J126" s="316">
        <v>0</v>
      </c>
      <c r="K126" s="316">
        <v>0</v>
      </c>
      <c r="L126" s="316">
        <v>0</v>
      </c>
      <c r="M126" s="316">
        <v>7809.92</v>
      </c>
      <c r="N126" s="316">
        <v>0</v>
      </c>
      <c r="O126" s="316">
        <v>0</v>
      </c>
      <c r="P126" s="316">
        <v>0</v>
      </c>
      <c r="Q126" s="316">
        <v>0</v>
      </c>
      <c r="R126" s="316">
        <v>7809.92</v>
      </c>
      <c r="S126" s="316">
        <v>45000</v>
      </c>
    </row>
    <row r="127" spans="1:19" ht="15" customHeight="1" x14ac:dyDescent="0.25">
      <c r="A127" s="238" t="s">
        <v>885</v>
      </c>
      <c r="B127" s="238" t="s">
        <v>711</v>
      </c>
      <c r="C127" s="238" t="s">
        <v>712</v>
      </c>
      <c r="D127" s="238" t="s">
        <v>704</v>
      </c>
      <c r="E127" s="238" t="s">
        <v>708</v>
      </c>
      <c r="F127" s="238" t="s">
        <v>701</v>
      </c>
      <c r="G127" s="238" t="s">
        <v>928</v>
      </c>
      <c r="H127" s="316">
        <v>26446.28</v>
      </c>
      <c r="I127" s="316">
        <v>0</v>
      </c>
      <c r="J127" s="316">
        <v>0</v>
      </c>
      <c r="K127" s="316">
        <v>0</v>
      </c>
      <c r="L127" s="316">
        <v>0</v>
      </c>
      <c r="M127" s="316">
        <v>5553.72</v>
      </c>
      <c r="N127" s="316">
        <v>0</v>
      </c>
      <c r="O127" s="316">
        <v>0</v>
      </c>
      <c r="P127" s="316">
        <v>0</v>
      </c>
      <c r="Q127" s="316">
        <v>0</v>
      </c>
      <c r="R127" s="316">
        <v>5553.72</v>
      </c>
      <c r="S127" s="316">
        <v>32000</v>
      </c>
    </row>
    <row r="128" spans="1:19" ht="15" customHeight="1" x14ac:dyDescent="0.25">
      <c r="A128" s="238" t="s">
        <v>885</v>
      </c>
      <c r="B128" s="238" t="s">
        <v>711</v>
      </c>
      <c r="C128" s="238" t="s">
        <v>712</v>
      </c>
      <c r="D128" s="238" t="s">
        <v>704</v>
      </c>
      <c r="E128" s="238" t="s">
        <v>708</v>
      </c>
      <c r="F128" s="238" t="s">
        <v>701</v>
      </c>
      <c r="G128" s="238" t="s">
        <v>929</v>
      </c>
      <c r="H128" s="316">
        <v>19008.259999999998</v>
      </c>
      <c r="I128" s="316">
        <v>0</v>
      </c>
      <c r="J128" s="316">
        <v>0</v>
      </c>
      <c r="K128" s="316">
        <v>0</v>
      </c>
      <c r="L128" s="316">
        <v>0</v>
      </c>
      <c r="M128" s="316">
        <v>3991.74</v>
      </c>
      <c r="N128" s="316">
        <v>0</v>
      </c>
      <c r="O128" s="316">
        <v>0</v>
      </c>
      <c r="P128" s="316">
        <v>0</v>
      </c>
      <c r="Q128" s="316">
        <v>0</v>
      </c>
      <c r="R128" s="316">
        <v>3991.74</v>
      </c>
      <c r="S128" s="316">
        <v>23000</v>
      </c>
    </row>
    <row r="129" spans="1:19" ht="15" customHeight="1" x14ac:dyDescent="0.25">
      <c r="A129" s="238" t="s">
        <v>885</v>
      </c>
      <c r="B129" s="238" t="s">
        <v>711</v>
      </c>
      <c r="C129" s="238" t="s">
        <v>712</v>
      </c>
      <c r="D129" s="238" t="s">
        <v>704</v>
      </c>
      <c r="E129" s="238" t="s">
        <v>708</v>
      </c>
      <c r="F129" s="238" t="s">
        <v>701</v>
      </c>
      <c r="G129" s="238" t="s">
        <v>930</v>
      </c>
      <c r="H129" s="316">
        <v>44628.1</v>
      </c>
      <c r="I129" s="316">
        <v>0</v>
      </c>
      <c r="J129" s="316">
        <v>0</v>
      </c>
      <c r="K129" s="316">
        <v>0</v>
      </c>
      <c r="L129" s="316">
        <v>0</v>
      </c>
      <c r="M129" s="316">
        <v>9371.9</v>
      </c>
      <c r="N129" s="316">
        <v>0</v>
      </c>
      <c r="O129" s="316">
        <v>0</v>
      </c>
      <c r="P129" s="316">
        <v>0</v>
      </c>
      <c r="Q129" s="316">
        <v>0</v>
      </c>
      <c r="R129" s="316">
        <v>9371.9</v>
      </c>
      <c r="S129" s="316">
        <v>54000</v>
      </c>
    </row>
    <row r="130" spans="1:19" ht="15" customHeight="1" x14ac:dyDescent="0.25">
      <c r="A130" s="238" t="s">
        <v>885</v>
      </c>
      <c r="B130" s="238" t="s">
        <v>711</v>
      </c>
      <c r="C130" s="238" t="s">
        <v>712</v>
      </c>
      <c r="D130" s="238" t="s">
        <v>704</v>
      </c>
      <c r="E130" s="238" t="s">
        <v>708</v>
      </c>
      <c r="F130" s="238" t="s">
        <v>701</v>
      </c>
      <c r="G130" s="238" t="s">
        <v>931</v>
      </c>
      <c r="H130" s="316">
        <v>39669.42</v>
      </c>
      <c r="I130" s="316">
        <v>0</v>
      </c>
      <c r="J130" s="316">
        <v>0</v>
      </c>
      <c r="K130" s="316">
        <v>0</v>
      </c>
      <c r="L130" s="316">
        <v>0</v>
      </c>
      <c r="M130" s="316">
        <v>8330.58</v>
      </c>
      <c r="N130" s="316">
        <v>0</v>
      </c>
      <c r="O130" s="316">
        <v>0</v>
      </c>
      <c r="P130" s="316">
        <v>0</v>
      </c>
      <c r="Q130" s="316">
        <v>0</v>
      </c>
      <c r="R130" s="316">
        <v>8330.58</v>
      </c>
      <c r="S130" s="316">
        <v>48000</v>
      </c>
    </row>
    <row r="131" spans="1:19" ht="15" customHeight="1" x14ac:dyDescent="0.25">
      <c r="A131" s="238" t="s">
        <v>885</v>
      </c>
      <c r="B131" s="238" t="s">
        <v>711</v>
      </c>
      <c r="C131" s="238" t="s">
        <v>712</v>
      </c>
      <c r="D131" s="238" t="s">
        <v>704</v>
      </c>
      <c r="E131" s="238" t="s">
        <v>708</v>
      </c>
      <c r="F131" s="238" t="s">
        <v>701</v>
      </c>
      <c r="G131" s="238" t="s">
        <v>932</v>
      </c>
      <c r="H131" s="316">
        <v>3471.07</v>
      </c>
      <c r="I131" s="316">
        <v>0</v>
      </c>
      <c r="J131" s="316">
        <v>0</v>
      </c>
      <c r="K131" s="316">
        <v>0</v>
      </c>
      <c r="L131" s="316">
        <v>0</v>
      </c>
      <c r="M131" s="316">
        <v>728.93</v>
      </c>
      <c r="N131" s="316">
        <v>0</v>
      </c>
      <c r="O131" s="316">
        <v>0</v>
      </c>
      <c r="P131" s="316">
        <v>0</v>
      </c>
      <c r="Q131" s="316">
        <v>0</v>
      </c>
      <c r="R131" s="316">
        <v>728.93</v>
      </c>
      <c r="S131" s="316">
        <v>4200</v>
      </c>
    </row>
    <row r="132" spans="1:19" ht="15" customHeight="1" x14ac:dyDescent="0.25">
      <c r="A132" s="238" t="s">
        <v>885</v>
      </c>
      <c r="B132" s="238" t="s">
        <v>711</v>
      </c>
      <c r="C132" s="238" t="s">
        <v>712</v>
      </c>
      <c r="D132" s="238" t="s">
        <v>704</v>
      </c>
      <c r="E132" s="238" t="s">
        <v>708</v>
      </c>
      <c r="F132" s="238" t="s">
        <v>701</v>
      </c>
      <c r="G132" s="238" t="s">
        <v>933</v>
      </c>
      <c r="H132" s="316">
        <v>12396.69</v>
      </c>
      <c r="I132" s="316">
        <v>0</v>
      </c>
      <c r="J132" s="316">
        <v>0</v>
      </c>
      <c r="K132" s="316">
        <v>0</v>
      </c>
      <c r="L132" s="316">
        <v>0</v>
      </c>
      <c r="M132" s="316">
        <v>2603.31</v>
      </c>
      <c r="N132" s="316">
        <v>0</v>
      </c>
      <c r="O132" s="316">
        <v>0</v>
      </c>
      <c r="P132" s="316">
        <v>0</v>
      </c>
      <c r="Q132" s="316">
        <v>0</v>
      </c>
      <c r="R132" s="316">
        <v>2603.31</v>
      </c>
      <c r="S132" s="316">
        <v>15000</v>
      </c>
    </row>
    <row r="133" spans="1:19" ht="15" customHeight="1" x14ac:dyDescent="0.25">
      <c r="A133" s="238" t="s">
        <v>934</v>
      </c>
      <c r="B133" s="238" t="s">
        <v>711</v>
      </c>
      <c r="C133" s="238" t="s">
        <v>712</v>
      </c>
      <c r="D133" s="238" t="s">
        <v>704</v>
      </c>
      <c r="E133" s="238" t="s">
        <v>708</v>
      </c>
      <c r="F133" s="238" t="s">
        <v>701</v>
      </c>
      <c r="G133" s="238" t="s">
        <v>935</v>
      </c>
      <c r="H133" s="316">
        <v>23966.94</v>
      </c>
      <c r="I133" s="316">
        <v>0</v>
      </c>
      <c r="J133" s="316">
        <v>0</v>
      </c>
      <c r="K133" s="316">
        <v>0</v>
      </c>
      <c r="L133" s="316">
        <v>0</v>
      </c>
      <c r="M133" s="316">
        <v>5033.0600000000004</v>
      </c>
      <c r="N133" s="316">
        <v>0</v>
      </c>
      <c r="O133" s="316">
        <v>0</v>
      </c>
      <c r="P133" s="316">
        <v>0</v>
      </c>
      <c r="Q133" s="316">
        <v>0</v>
      </c>
      <c r="R133" s="316">
        <v>5033.0600000000004</v>
      </c>
      <c r="S133" s="316">
        <v>29000</v>
      </c>
    </row>
    <row r="134" spans="1:19" ht="15" customHeight="1" x14ac:dyDescent="0.25">
      <c r="A134" s="238" t="s">
        <v>934</v>
      </c>
      <c r="B134" s="238" t="s">
        <v>711</v>
      </c>
      <c r="C134" s="238" t="s">
        <v>712</v>
      </c>
      <c r="D134" s="238" t="s">
        <v>704</v>
      </c>
      <c r="E134" s="238" t="s">
        <v>708</v>
      </c>
      <c r="F134" s="238" t="s">
        <v>701</v>
      </c>
      <c r="G134" s="238" t="s">
        <v>936</v>
      </c>
      <c r="H134" s="316">
        <v>14462.81</v>
      </c>
      <c r="I134" s="316">
        <v>0</v>
      </c>
      <c r="J134" s="316">
        <v>0</v>
      </c>
      <c r="K134" s="316">
        <v>0</v>
      </c>
      <c r="L134" s="316">
        <v>0</v>
      </c>
      <c r="M134" s="316">
        <v>3037.19</v>
      </c>
      <c r="N134" s="316">
        <v>0</v>
      </c>
      <c r="O134" s="316">
        <v>0</v>
      </c>
      <c r="P134" s="316">
        <v>0</v>
      </c>
      <c r="Q134" s="316">
        <v>0</v>
      </c>
      <c r="R134" s="316">
        <v>3037.19</v>
      </c>
      <c r="S134" s="316">
        <v>17500</v>
      </c>
    </row>
    <row r="135" spans="1:19" ht="15" customHeight="1" x14ac:dyDescent="0.25">
      <c r="A135" s="238" t="s">
        <v>934</v>
      </c>
      <c r="B135" s="238" t="s">
        <v>937</v>
      </c>
      <c r="C135" s="238" t="s">
        <v>938</v>
      </c>
      <c r="D135" s="238" t="s">
        <v>704</v>
      </c>
      <c r="E135" s="238" t="s">
        <v>708</v>
      </c>
      <c r="F135" s="238" t="s">
        <v>701</v>
      </c>
      <c r="G135" s="238" t="s">
        <v>939</v>
      </c>
      <c r="H135" s="316">
        <v>95206.61</v>
      </c>
      <c r="I135" s="316">
        <v>0</v>
      </c>
      <c r="J135" s="316">
        <v>0</v>
      </c>
      <c r="K135" s="316">
        <v>0</v>
      </c>
      <c r="L135" s="316">
        <v>0</v>
      </c>
      <c r="M135" s="316">
        <v>19993.39</v>
      </c>
      <c r="N135" s="316">
        <v>0</v>
      </c>
      <c r="O135" s="316">
        <v>0</v>
      </c>
      <c r="P135" s="316">
        <v>0</v>
      </c>
      <c r="Q135" s="316">
        <v>0</v>
      </c>
      <c r="R135" s="316">
        <v>19993.39</v>
      </c>
      <c r="S135" s="316">
        <v>115200</v>
      </c>
    </row>
    <row r="136" spans="1:19" ht="15" customHeight="1" x14ac:dyDescent="0.25">
      <c r="A136" s="238" t="s">
        <v>934</v>
      </c>
      <c r="B136" s="238" t="s">
        <v>711</v>
      </c>
      <c r="C136" s="238" t="s">
        <v>712</v>
      </c>
      <c r="D136" s="238" t="s">
        <v>704</v>
      </c>
      <c r="E136" s="238" t="s">
        <v>708</v>
      </c>
      <c r="F136" s="238" t="s">
        <v>701</v>
      </c>
      <c r="G136" s="238" t="s">
        <v>940</v>
      </c>
      <c r="H136" s="316">
        <v>26033.06</v>
      </c>
      <c r="I136" s="316">
        <v>0</v>
      </c>
      <c r="J136" s="316">
        <v>0</v>
      </c>
      <c r="K136" s="316">
        <v>0</v>
      </c>
      <c r="L136" s="316">
        <v>0</v>
      </c>
      <c r="M136" s="316">
        <v>5466.94</v>
      </c>
      <c r="N136" s="316">
        <v>0</v>
      </c>
      <c r="O136" s="316">
        <v>0</v>
      </c>
      <c r="P136" s="316">
        <v>0</v>
      </c>
      <c r="Q136" s="316">
        <v>0</v>
      </c>
      <c r="R136" s="316">
        <v>5466.94</v>
      </c>
      <c r="S136" s="316">
        <v>31500</v>
      </c>
    </row>
    <row r="137" spans="1:19" ht="15" customHeight="1" x14ac:dyDescent="0.25">
      <c r="A137" s="238" t="s">
        <v>934</v>
      </c>
      <c r="B137" s="238" t="s">
        <v>941</v>
      </c>
      <c r="C137" s="238" t="s">
        <v>942</v>
      </c>
      <c r="D137" s="238" t="s">
        <v>704</v>
      </c>
      <c r="E137" s="238" t="s">
        <v>708</v>
      </c>
      <c r="F137" s="238" t="s">
        <v>701</v>
      </c>
      <c r="G137" s="238" t="s">
        <v>943</v>
      </c>
      <c r="H137" s="316">
        <v>163636.35999999999</v>
      </c>
      <c r="I137" s="316">
        <v>0</v>
      </c>
      <c r="J137" s="316">
        <v>0</v>
      </c>
      <c r="K137" s="316">
        <v>0</v>
      </c>
      <c r="L137" s="316">
        <v>0</v>
      </c>
      <c r="M137" s="316">
        <v>34363.64</v>
      </c>
      <c r="N137" s="316">
        <v>0</v>
      </c>
      <c r="O137" s="316">
        <v>0</v>
      </c>
      <c r="P137" s="316">
        <v>0</v>
      </c>
      <c r="Q137" s="316">
        <v>0</v>
      </c>
      <c r="R137" s="316">
        <v>34363.64</v>
      </c>
      <c r="S137" s="316">
        <v>198000</v>
      </c>
    </row>
    <row r="138" spans="1:19" ht="15" customHeight="1" x14ac:dyDescent="0.25">
      <c r="A138" s="238" t="s">
        <v>934</v>
      </c>
      <c r="B138" s="238" t="s">
        <v>711</v>
      </c>
      <c r="C138" s="238" t="s">
        <v>712</v>
      </c>
      <c r="D138" s="238" t="s">
        <v>704</v>
      </c>
      <c r="E138" s="238" t="s">
        <v>708</v>
      </c>
      <c r="F138" s="238" t="s">
        <v>701</v>
      </c>
      <c r="G138" s="238" t="s">
        <v>944</v>
      </c>
      <c r="H138" s="316">
        <v>10743.8</v>
      </c>
      <c r="I138" s="316">
        <v>0</v>
      </c>
      <c r="J138" s="316">
        <v>0</v>
      </c>
      <c r="K138" s="316">
        <v>0</v>
      </c>
      <c r="L138" s="316">
        <v>0</v>
      </c>
      <c r="M138" s="316">
        <v>2256.1999999999998</v>
      </c>
      <c r="N138" s="316">
        <v>0</v>
      </c>
      <c r="O138" s="316">
        <v>0</v>
      </c>
      <c r="P138" s="316">
        <v>0</v>
      </c>
      <c r="Q138" s="316">
        <v>0</v>
      </c>
      <c r="R138" s="316">
        <v>2256.1999999999998</v>
      </c>
      <c r="S138" s="316">
        <v>13000</v>
      </c>
    </row>
    <row r="139" spans="1:19" ht="15" customHeight="1" x14ac:dyDescent="0.25">
      <c r="A139" s="238" t="s">
        <v>934</v>
      </c>
      <c r="B139" s="238" t="s">
        <v>711</v>
      </c>
      <c r="C139" s="238" t="s">
        <v>712</v>
      </c>
      <c r="D139" s="238" t="s">
        <v>704</v>
      </c>
      <c r="E139" s="238" t="s">
        <v>708</v>
      </c>
      <c r="F139" s="238" t="s">
        <v>701</v>
      </c>
      <c r="G139" s="238" t="s">
        <v>945</v>
      </c>
      <c r="H139" s="316">
        <v>18595.04</v>
      </c>
      <c r="I139" s="316">
        <v>0</v>
      </c>
      <c r="J139" s="316">
        <v>0</v>
      </c>
      <c r="K139" s="316">
        <v>0</v>
      </c>
      <c r="L139" s="316">
        <v>0</v>
      </c>
      <c r="M139" s="316">
        <v>3904.96</v>
      </c>
      <c r="N139" s="316">
        <v>0</v>
      </c>
      <c r="O139" s="316">
        <v>0</v>
      </c>
      <c r="P139" s="316">
        <v>0</v>
      </c>
      <c r="Q139" s="316">
        <v>0</v>
      </c>
      <c r="R139" s="316">
        <v>3904.96</v>
      </c>
      <c r="S139" s="316">
        <v>22500</v>
      </c>
    </row>
    <row r="140" spans="1:19" ht="15" customHeight="1" x14ac:dyDescent="0.25">
      <c r="A140" s="238" t="s">
        <v>934</v>
      </c>
      <c r="B140" s="238" t="s">
        <v>711</v>
      </c>
      <c r="C140" s="238" t="s">
        <v>712</v>
      </c>
      <c r="D140" s="238" t="s">
        <v>704</v>
      </c>
      <c r="E140" s="238" t="s">
        <v>708</v>
      </c>
      <c r="F140" s="238" t="s">
        <v>701</v>
      </c>
      <c r="G140" s="238" t="s">
        <v>946</v>
      </c>
      <c r="H140" s="316">
        <v>16528.93</v>
      </c>
      <c r="I140" s="316">
        <v>0</v>
      </c>
      <c r="J140" s="316">
        <v>0</v>
      </c>
      <c r="K140" s="316">
        <v>0</v>
      </c>
      <c r="L140" s="316">
        <v>0</v>
      </c>
      <c r="M140" s="316">
        <v>3471.07</v>
      </c>
      <c r="N140" s="316">
        <v>0</v>
      </c>
      <c r="O140" s="316">
        <v>0</v>
      </c>
      <c r="P140" s="316">
        <v>0</v>
      </c>
      <c r="Q140" s="316">
        <v>0</v>
      </c>
      <c r="R140" s="316">
        <v>3471.07</v>
      </c>
      <c r="S140" s="316">
        <v>20000</v>
      </c>
    </row>
    <row r="141" spans="1:19" ht="15" customHeight="1" x14ac:dyDescent="0.25">
      <c r="A141" s="238" t="s">
        <v>934</v>
      </c>
      <c r="B141" s="238" t="s">
        <v>711</v>
      </c>
      <c r="C141" s="238" t="s">
        <v>712</v>
      </c>
      <c r="D141" s="238" t="s">
        <v>704</v>
      </c>
      <c r="E141" s="238" t="s">
        <v>708</v>
      </c>
      <c r="F141" s="238" t="s">
        <v>701</v>
      </c>
      <c r="G141" s="238" t="s">
        <v>950</v>
      </c>
      <c r="H141" s="316">
        <v>80991.740000000005</v>
      </c>
      <c r="I141" s="316">
        <v>0</v>
      </c>
      <c r="J141" s="316">
        <v>0</v>
      </c>
      <c r="K141" s="316">
        <v>0</v>
      </c>
      <c r="L141" s="316">
        <v>0</v>
      </c>
      <c r="M141" s="316">
        <v>17008.259999999998</v>
      </c>
      <c r="N141" s="316">
        <v>0</v>
      </c>
      <c r="O141" s="316">
        <v>0</v>
      </c>
      <c r="P141" s="316">
        <v>0</v>
      </c>
      <c r="Q141" s="316">
        <v>0</v>
      </c>
      <c r="R141" s="316">
        <v>17008.259999999998</v>
      </c>
      <c r="S141" s="316">
        <v>98000</v>
      </c>
    </row>
    <row r="142" spans="1:19" ht="15" customHeight="1" x14ac:dyDescent="0.25">
      <c r="A142" s="238" t="s">
        <v>955</v>
      </c>
      <c r="B142" s="238" t="s">
        <v>711</v>
      </c>
      <c r="C142" s="238" t="s">
        <v>712</v>
      </c>
      <c r="D142" s="238" t="s">
        <v>704</v>
      </c>
      <c r="E142" s="238" t="s">
        <v>708</v>
      </c>
      <c r="F142" s="238" t="s">
        <v>701</v>
      </c>
      <c r="G142" s="238" t="s">
        <v>959</v>
      </c>
      <c r="H142" s="316">
        <v>11322.31</v>
      </c>
      <c r="I142" s="316">
        <v>0</v>
      </c>
      <c r="J142" s="316">
        <v>0</v>
      </c>
      <c r="K142" s="316">
        <v>0</v>
      </c>
      <c r="L142" s="316">
        <v>0</v>
      </c>
      <c r="M142" s="316">
        <v>2377.69</v>
      </c>
      <c r="N142" s="316">
        <v>0</v>
      </c>
      <c r="O142" s="316">
        <v>0</v>
      </c>
      <c r="P142" s="316">
        <v>0</v>
      </c>
      <c r="Q142" s="316">
        <v>0</v>
      </c>
      <c r="R142" s="316">
        <v>2377.69</v>
      </c>
      <c r="S142" s="316">
        <v>13700</v>
      </c>
    </row>
    <row r="143" spans="1:19" ht="15" customHeight="1" x14ac:dyDescent="0.25">
      <c r="A143" s="238" t="s">
        <v>955</v>
      </c>
      <c r="B143" s="238" t="s">
        <v>711</v>
      </c>
      <c r="C143" s="238" t="s">
        <v>712</v>
      </c>
      <c r="D143" s="238" t="s">
        <v>704</v>
      </c>
      <c r="E143" s="238" t="s">
        <v>708</v>
      </c>
      <c r="F143" s="238" t="s">
        <v>701</v>
      </c>
      <c r="G143" s="238" t="s">
        <v>960</v>
      </c>
      <c r="H143" s="316">
        <v>16694.21</v>
      </c>
      <c r="I143" s="316">
        <v>0</v>
      </c>
      <c r="J143" s="316">
        <v>0</v>
      </c>
      <c r="K143" s="316">
        <v>0</v>
      </c>
      <c r="L143" s="316">
        <v>0</v>
      </c>
      <c r="M143" s="316">
        <v>3505.79</v>
      </c>
      <c r="N143" s="316">
        <v>0</v>
      </c>
      <c r="O143" s="316">
        <v>0</v>
      </c>
      <c r="P143" s="316">
        <v>0</v>
      </c>
      <c r="Q143" s="316">
        <v>0</v>
      </c>
      <c r="R143" s="316">
        <v>3505.79</v>
      </c>
      <c r="S143" s="316">
        <v>20200</v>
      </c>
    </row>
    <row r="144" spans="1:19" ht="15" customHeight="1" x14ac:dyDescent="0.25">
      <c r="A144" s="238" t="s">
        <v>955</v>
      </c>
      <c r="B144" s="238" t="s">
        <v>711</v>
      </c>
      <c r="C144" s="238" t="s">
        <v>712</v>
      </c>
      <c r="D144" s="238" t="s">
        <v>704</v>
      </c>
      <c r="E144" s="238" t="s">
        <v>708</v>
      </c>
      <c r="F144" s="238" t="s">
        <v>701</v>
      </c>
      <c r="G144" s="238" t="s">
        <v>961</v>
      </c>
      <c r="H144" s="316">
        <v>37190.080000000002</v>
      </c>
      <c r="I144" s="316">
        <v>0</v>
      </c>
      <c r="J144" s="316">
        <v>0</v>
      </c>
      <c r="K144" s="316">
        <v>0</v>
      </c>
      <c r="L144" s="316">
        <v>0</v>
      </c>
      <c r="M144" s="316">
        <v>7809.92</v>
      </c>
      <c r="N144" s="316">
        <v>0</v>
      </c>
      <c r="O144" s="316">
        <v>0</v>
      </c>
      <c r="P144" s="316">
        <v>0</v>
      </c>
      <c r="Q144" s="316">
        <v>0</v>
      </c>
      <c r="R144" s="316">
        <v>7809.92</v>
      </c>
      <c r="S144" s="316">
        <v>45000</v>
      </c>
    </row>
    <row r="145" spans="1:19" ht="15" customHeight="1" x14ac:dyDescent="0.25">
      <c r="A145" s="238" t="s">
        <v>955</v>
      </c>
      <c r="B145" s="238" t="s">
        <v>711</v>
      </c>
      <c r="C145" s="238" t="s">
        <v>712</v>
      </c>
      <c r="D145" s="238" t="s">
        <v>704</v>
      </c>
      <c r="E145" s="238" t="s">
        <v>708</v>
      </c>
      <c r="F145" s="238" t="s">
        <v>701</v>
      </c>
      <c r="G145" s="238" t="s">
        <v>962</v>
      </c>
      <c r="H145" s="316">
        <v>33057.85</v>
      </c>
      <c r="I145" s="316">
        <v>0</v>
      </c>
      <c r="J145" s="316">
        <v>0</v>
      </c>
      <c r="K145" s="316">
        <v>0</v>
      </c>
      <c r="L145" s="316">
        <v>0</v>
      </c>
      <c r="M145" s="316">
        <v>6942.15</v>
      </c>
      <c r="N145" s="316">
        <v>0</v>
      </c>
      <c r="O145" s="316">
        <v>0</v>
      </c>
      <c r="P145" s="316">
        <v>0</v>
      </c>
      <c r="Q145" s="316">
        <v>0</v>
      </c>
      <c r="R145" s="316">
        <v>6942.15</v>
      </c>
      <c r="S145" s="316">
        <v>40000</v>
      </c>
    </row>
    <row r="146" spans="1:19" ht="15" customHeight="1" x14ac:dyDescent="0.25">
      <c r="A146" s="238" t="s">
        <v>955</v>
      </c>
      <c r="B146" s="238" t="s">
        <v>711</v>
      </c>
      <c r="C146" s="238" t="s">
        <v>712</v>
      </c>
      <c r="D146" s="238" t="s">
        <v>704</v>
      </c>
      <c r="E146" s="238" t="s">
        <v>708</v>
      </c>
      <c r="F146" s="238" t="s">
        <v>701</v>
      </c>
      <c r="G146" s="238" t="s">
        <v>964</v>
      </c>
      <c r="H146" s="316">
        <v>19008.259999999998</v>
      </c>
      <c r="I146" s="316">
        <v>0</v>
      </c>
      <c r="J146" s="316">
        <v>0</v>
      </c>
      <c r="K146" s="316">
        <v>0</v>
      </c>
      <c r="L146" s="316">
        <v>0</v>
      </c>
      <c r="M146" s="316">
        <v>3991.74</v>
      </c>
      <c r="N146" s="316">
        <v>0</v>
      </c>
      <c r="O146" s="316">
        <v>0</v>
      </c>
      <c r="P146" s="316">
        <v>0</v>
      </c>
      <c r="Q146" s="316">
        <v>0</v>
      </c>
      <c r="R146" s="316">
        <v>3991.74</v>
      </c>
      <c r="S146" s="316">
        <v>23000</v>
      </c>
    </row>
    <row r="147" spans="1:19" ht="15" customHeight="1" x14ac:dyDescent="0.25">
      <c r="A147" s="238" t="s">
        <v>955</v>
      </c>
      <c r="B147" s="238" t="s">
        <v>711</v>
      </c>
      <c r="C147" s="238" t="s">
        <v>712</v>
      </c>
      <c r="D147" s="238" t="s">
        <v>704</v>
      </c>
      <c r="E147" s="238" t="s">
        <v>708</v>
      </c>
      <c r="F147" s="238" t="s">
        <v>701</v>
      </c>
      <c r="G147" s="238" t="s">
        <v>965</v>
      </c>
      <c r="H147" s="316">
        <v>18595.04</v>
      </c>
      <c r="I147" s="316">
        <v>0</v>
      </c>
      <c r="J147" s="316">
        <v>0</v>
      </c>
      <c r="K147" s="316">
        <v>0</v>
      </c>
      <c r="L147" s="316">
        <v>0</v>
      </c>
      <c r="M147" s="316">
        <v>3904.96</v>
      </c>
      <c r="N147" s="316">
        <v>0</v>
      </c>
      <c r="O147" s="316">
        <v>0</v>
      </c>
      <c r="P147" s="316">
        <v>0</v>
      </c>
      <c r="Q147" s="316">
        <v>0</v>
      </c>
      <c r="R147" s="316">
        <v>3904.96</v>
      </c>
      <c r="S147" s="316">
        <v>22500</v>
      </c>
    </row>
    <row r="148" spans="1:19" ht="15" customHeight="1" x14ac:dyDescent="0.25">
      <c r="A148" s="238" t="s">
        <v>955</v>
      </c>
      <c r="B148" s="238" t="s">
        <v>711</v>
      </c>
      <c r="C148" s="238" t="s">
        <v>712</v>
      </c>
      <c r="D148" s="238" t="s">
        <v>704</v>
      </c>
      <c r="E148" s="238" t="s">
        <v>708</v>
      </c>
      <c r="F148" s="238" t="s">
        <v>701</v>
      </c>
      <c r="G148" s="238" t="s">
        <v>966</v>
      </c>
      <c r="H148" s="316">
        <v>23057.85</v>
      </c>
      <c r="I148" s="316">
        <v>0</v>
      </c>
      <c r="J148" s="316">
        <v>0</v>
      </c>
      <c r="K148" s="316">
        <v>0</v>
      </c>
      <c r="L148" s="316">
        <v>0</v>
      </c>
      <c r="M148" s="316">
        <v>4842.1499999999996</v>
      </c>
      <c r="N148" s="316">
        <v>0</v>
      </c>
      <c r="O148" s="316">
        <v>0</v>
      </c>
      <c r="P148" s="316">
        <v>0</v>
      </c>
      <c r="Q148" s="316">
        <v>0</v>
      </c>
      <c r="R148" s="316">
        <v>4842.1499999999996</v>
      </c>
      <c r="S148" s="316">
        <v>27900</v>
      </c>
    </row>
    <row r="149" spans="1:19" ht="15" customHeight="1" x14ac:dyDescent="0.25">
      <c r="A149" s="238" t="s">
        <v>955</v>
      </c>
      <c r="B149" s="238" t="s">
        <v>711</v>
      </c>
      <c r="C149" s="238" t="s">
        <v>712</v>
      </c>
      <c r="D149" s="238" t="s">
        <v>704</v>
      </c>
      <c r="E149" s="238" t="s">
        <v>708</v>
      </c>
      <c r="F149" s="238" t="s">
        <v>701</v>
      </c>
      <c r="G149" s="238" t="s">
        <v>967</v>
      </c>
      <c r="H149" s="316">
        <v>17355.37</v>
      </c>
      <c r="I149" s="316">
        <v>0</v>
      </c>
      <c r="J149" s="316">
        <v>0</v>
      </c>
      <c r="K149" s="316">
        <v>0</v>
      </c>
      <c r="L149" s="316">
        <v>0</v>
      </c>
      <c r="M149" s="316">
        <v>3644.63</v>
      </c>
      <c r="N149" s="316">
        <v>0</v>
      </c>
      <c r="O149" s="316">
        <v>0</v>
      </c>
      <c r="P149" s="316">
        <v>0</v>
      </c>
      <c r="Q149" s="316">
        <v>0</v>
      </c>
      <c r="R149" s="316">
        <v>3644.63</v>
      </c>
      <c r="S149" s="316">
        <v>21000</v>
      </c>
    </row>
    <row r="150" spans="1:19" ht="15" customHeight="1" x14ac:dyDescent="0.25">
      <c r="A150" s="238" t="s">
        <v>955</v>
      </c>
      <c r="B150" s="238" t="s">
        <v>711</v>
      </c>
      <c r="C150" s="238" t="s">
        <v>712</v>
      </c>
      <c r="D150" s="238" t="s">
        <v>704</v>
      </c>
      <c r="E150" s="238" t="s">
        <v>708</v>
      </c>
      <c r="F150" s="238" t="s">
        <v>701</v>
      </c>
      <c r="G150" s="238" t="s">
        <v>974</v>
      </c>
      <c r="H150" s="316">
        <v>13223.14</v>
      </c>
      <c r="I150" s="316">
        <v>0</v>
      </c>
      <c r="J150" s="316">
        <v>0</v>
      </c>
      <c r="K150" s="316">
        <v>0</v>
      </c>
      <c r="L150" s="316">
        <v>0</v>
      </c>
      <c r="M150" s="316">
        <v>2776.86</v>
      </c>
      <c r="N150" s="316">
        <v>0</v>
      </c>
      <c r="O150" s="316">
        <v>0</v>
      </c>
      <c r="P150" s="316">
        <v>0</v>
      </c>
      <c r="Q150" s="316">
        <v>0</v>
      </c>
      <c r="R150" s="316">
        <v>2776.86</v>
      </c>
      <c r="S150" s="316">
        <v>16000</v>
      </c>
    </row>
    <row r="151" spans="1:19" ht="15" customHeight="1" x14ac:dyDescent="0.25">
      <c r="A151" s="238" t="s">
        <v>955</v>
      </c>
      <c r="B151" s="238" t="s">
        <v>711</v>
      </c>
      <c r="C151" s="238" t="s">
        <v>712</v>
      </c>
      <c r="D151" s="238" t="s">
        <v>704</v>
      </c>
      <c r="E151" s="238" t="s">
        <v>708</v>
      </c>
      <c r="F151" s="238" t="s">
        <v>701</v>
      </c>
      <c r="G151" s="238" t="s">
        <v>990</v>
      </c>
      <c r="H151" s="316">
        <v>2314.0500000000002</v>
      </c>
      <c r="I151" s="316">
        <v>0</v>
      </c>
      <c r="J151" s="316">
        <v>0</v>
      </c>
      <c r="K151" s="316">
        <v>0</v>
      </c>
      <c r="L151" s="316">
        <v>0</v>
      </c>
      <c r="M151" s="316">
        <v>485.95</v>
      </c>
      <c r="N151" s="316">
        <v>0</v>
      </c>
      <c r="O151" s="316">
        <v>0</v>
      </c>
      <c r="P151" s="316">
        <v>0</v>
      </c>
      <c r="Q151" s="316">
        <v>0</v>
      </c>
      <c r="R151" s="316">
        <v>485.95</v>
      </c>
      <c r="S151" s="316">
        <v>2800</v>
      </c>
    </row>
    <row r="152" spans="1:19" ht="15" customHeight="1" x14ac:dyDescent="0.25">
      <c r="A152" s="238" t="s">
        <v>955</v>
      </c>
      <c r="B152" s="238" t="s">
        <v>711</v>
      </c>
      <c r="C152" s="238" t="s">
        <v>712</v>
      </c>
      <c r="D152" s="238" t="s">
        <v>704</v>
      </c>
      <c r="E152" s="238" t="s">
        <v>708</v>
      </c>
      <c r="F152" s="238" t="s">
        <v>701</v>
      </c>
      <c r="G152" s="238" t="s">
        <v>991</v>
      </c>
      <c r="H152" s="316">
        <v>57851.24</v>
      </c>
      <c r="I152" s="316">
        <v>0</v>
      </c>
      <c r="J152" s="316">
        <v>0</v>
      </c>
      <c r="K152" s="316">
        <v>0</v>
      </c>
      <c r="L152" s="316">
        <v>0</v>
      </c>
      <c r="M152" s="316">
        <v>12148.76</v>
      </c>
      <c r="N152" s="316">
        <v>0</v>
      </c>
      <c r="O152" s="316">
        <v>0</v>
      </c>
      <c r="P152" s="316">
        <v>0</v>
      </c>
      <c r="Q152" s="316">
        <v>0</v>
      </c>
      <c r="R152" s="316">
        <v>12148.76</v>
      </c>
      <c r="S152" s="316">
        <v>70000</v>
      </c>
    </row>
    <row r="153" spans="1:19" ht="15" customHeight="1" x14ac:dyDescent="0.25">
      <c r="A153" s="238" t="s">
        <v>955</v>
      </c>
      <c r="B153" s="238" t="s">
        <v>711</v>
      </c>
      <c r="C153" s="238" t="s">
        <v>712</v>
      </c>
      <c r="D153" s="238" t="s">
        <v>704</v>
      </c>
      <c r="E153" s="238" t="s">
        <v>708</v>
      </c>
      <c r="F153" s="238" t="s">
        <v>701</v>
      </c>
      <c r="G153" s="238" t="s">
        <v>992</v>
      </c>
      <c r="H153" s="316">
        <v>37190.080000000002</v>
      </c>
      <c r="I153" s="316">
        <v>0</v>
      </c>
      <c r="J153" s="316">
        <v>0</v>
      </c>
      <c r="K153" s="316">
        <v>0</v>
      </c>
      <c r="L153" s="316">
        <v>0</v>
      </c>
      <c r="M153" s="316">
        <v>7809.92</v>
      </c>
      <c r="N153" s="316">
        <v>0</v>
      </c>
      <c r="O153" s="316">
        <v>0</v>
      </c>
      <c r="P153" s="316">
        <v>0</v>
      </c>
      <c r="Q153" s="316">
        <v>0</v>
      </c>
      <c r="R153" s="316">
        <v>7809.92</v>
      </c>
      <c r="S153" s="316">
        <v>45000</v>
      </c>
    </row>
    <row r="154" spans="1:19" ht="15" customHeight="1" x14ac:dyDescent="0.25">
      <c r="A154" s="238" t="s">
        <v>955</v>
      </c>
      <c r="B154" s="238" t="s">
        <v>711</v>
      </c>
      <c r="C154" s="238" t="s">
        <v>712</v>
      </c>
      <c r="D154" s="238" t="s">
        <v>704</v>
      </c>
      <c r="E154" s="238" t="s">
        <v>708</v>
      </c>
      <c r="F154" s="238" t="s">
        <v>701</v>
      </c>
      <c r="G154" s="238" t="s">
        <v>993</v>
      </c>
      <c r="H154" s="316">
        <v>18595.04</v>
      </c>
      <c r="I154" s="316">
        <v>0</v>
      </c>
      <c r="J154" s="316">
        <v>0</v>
      </c>
      <c r="K154" s="316">
        <v>0</v>
      </c>
      <c r="L154" s="316">
        <v>0</v>
      </c>
      <c r="M154" s="316">
        <v>3904.96</v>
      </c>
      <c r="N154" s="316">
        <v>0</v>
      </c>
      <c r="O154" s="316">
        <v>0</v>
      </c>
      <c r="P154" s="316">
        <v>0</v>
      </c>
      <c r="Q154" s="316">
        <v>0</v>
      </c>
      <c r="R154" s="316">
        <v>3904.96</v>
      </c>
      <c r="S154" s="316">
        <v>22500</v>
      </c>
    </row>
    <row r="155" spans="1:19" ht="15" customHeight="1" x14ac:dyDescent="0.25">
      <c r="A155" s="238" t="s">
        <v>955</v>
      </c>
      <c r="B155" s="238" t="s">
        <v>994</v>
      </c>
      <c r="C155" s="238" t="s">
        <v>995</v>
      </c>
      <c r="D155" s="238" t="s">
        <v>704</v>
      </c>
      <c r="E155" s="238" t="s">
        <v>708</v>
      </c>
      <c r="F155" s="238" t="s">
        <v>701</v>
      </c>
      <c r="G155" s="238" t="s">
        <v>996</v>
      </c>
      <c r="H155" s="316">
        <v>46280.99</v>
      </c>
      <c r="I155" s="316">
        <v>0</v>
      </c>
      <c r="J155" s="316">
        <v>0</v>
      </c>
      <c r="K155" s="316">
        <v>0</v>
      </c>
      <c r="L155" s="316">
        <v>0</v>
      </c>
      <c r="M155" s="316">
        <v>9719.01</v>
      </c>
      <c r="N155" s="316">
        <v>0</v>
      </c>
      <c r="O155" s="316">
        <v>0</v>
      </c>
      <c r="P155" s="316">
        <v>0</v>
      </c>
      <c r="Q155" s="316">
        <v>0</v>
      </c>
      <c r="R155" s="316">
        <v>9719.01</v>
      </c>
      <c r="S155" s="316">
        <v>56000</v>
      </c>
    </row>
    <row r="156" spans="1:19" ht="15" customHeight="1" x14ac:dyDescent="0.25">
      <c r="A156" s="238" t="s">
        <v>955</v>
      </c>
      <c r="B156" s="238" t="s">
        <v>711</v>
      </c>
      <c r="C156" s="238" t="s">
        <v>712</v>
      </c>
      <c r="D156" s="238" t="s">
        <v>704</v>
      </c>
      <c r="E156" s="238" t="s">
        <v>708</v>
      </c>
      <c r="F156" s="238" t="s">
        <v>701</v>
      </c>
      <c r="G156" s="238" t="s">
        <v>997</v>
      </c>
      <c r="H156" s="316">
        <v>37190.080000000002</v>
      </c>
      <c r="I156" s="316">
        <v>0</v>
      </c>
      <c r="J156" s="316">
        <v>0</v>
      </c>
      <c r="K156" s="316">
        <v>0</v>
      </c>
      <c r="L156" s="316">
        <v>0</v>
      </c>
      <c r="M156" s="316">
        <v>7809.92</v>
      </c>
      <c r="N156" s="316">
        <v>0</v>
      </c>
      <c r="O156" s="316">
        <v>0</v>
      </c>
      <c r="P156" s="316">
        <v>0</v>
      </c>
      <c r="Q156" s="316">
        <v>0</v>
      </c>
      <c r="R156" s="316">
        <v>7809.92</v>
      </c>
      <c r="S156" s="316">
        <v>45000</v>
      </c>
    </row>
    <row r="157" spans="1:19" ht="15" customHeight="1" x14ac:dyDescent="0.25">
      <c r="A157" s="238" t="s">
        <v>998</v>
      </c>
      <c r="B157" s="238" t="s">
        <v>711</v>
      </c>
      <c r="C157" s="238" t="s">
        <v>712</v>
      </c>
      <c r="D157" s="238" t="s">
        <v>704</v>
      </c>
      <c r="E157" s="238" t="s">
        <v>708</v>
      </c>
      <c r="F157" s="238" t="s">
        <v>701</v>
      </c>
      <c r="G157" s="238" t="s">
        <v>999</v>
      </c>
      <c r="H157" s="316">
        <v>57851.24</v>
      </c>
      <c r="I157" s="316">
        <v>0</v>
      </c>
      <c r="J157" s="316">
        <v>0</v>
      </c>
      <c r="K157" s="316">
        <v>0</v>
      </c>
      <c r="L157" s="316">
        <v>0</v>
      </c>
      <c r="M157" s="316">
        <v>12148.76</v>
      </c>
      <c r="N157" s="316">
        <v>0</v>
      </c>
      <c r="O157" s="316">
        <v>0</v>
      </c>
      <c r="P157" s="316">
        <v>0</v>
      </c>
      <c r="Q157" s="316">
        <v>0</v>
      </c>
      <c r="R157" s="316">
        <v>12148.76</v>
      </c>
      <c r="S157" s="316">
        <v>70000</v>
      </c>
    </row>
    <row r="158" spans="1:19" ht="15" customHeight="1" x14ac:dyDescent="0.25">
      <c r="A158" s="238" t="s">
        <v>998</v>
      </c>
      <c r="B158" s="238" t="s">
        <v>711</v>
      </c>
      <c r="C158" s="238" t="s">
        <v>712</v>
      </c>
      <c r="D158" s="238" t="s">
        <v>704</v>
      </c>
      <c r="E158" s="238" t="s">
        <v>708</v>
      </c>
      <c r="F158" s="238" t="s">
        <v>701</v>
      </c>
      <c r="G158" s="238" t="s">
        <v>1000</v>
      </c>
      <c r="H158" s="316">
        <v>7438.02</v>
      </c>
      <c r="I158" s="316">
        <v>0</v>
      </c>
      <c r="J158" s="316">
        <v>0</v>
      </c>
      <c r="K158" s="316">
        <v>0</v>
      </c>
      <c r="L158" s="316">
        <v>0</v>
      </c>
      <c r="M158" s="316">
        <v>1561.98</v>
      </c>
      <c r="N158" s="316">
        <v>0</v>
      </c>
      <c r="O158" s="316">
        <v>0</v>
      </c>
      <c r="P158" s="316">
        <v>0</v>
      </c>
      <c r="Q158" s="316">
        <v>0</v>
      </c>
      <c r="R158" s="316">
        <v>1561.98</v>
      </c>
      <c r="S158" s="316">
        <v>9000</v>
      </c>
    </row>
    <row r="159" spans="1:19" ht="15" customHeight="1" x14ac:dyDescent="0.25">
      <c r="A159" s="238" t="s">
        <v>998</v>
      </c>
      <c r="B159" s="238" t="s">
        <v>711</v>
      </c>
      <c r="C159" s="238" t="s">
        <v>712</v>
      </c>
      <c r="D159" s="238" t="s">
        <v>704</v>
      </c>
      <c r="E159" s="238" t="s">
        <v>708</v>
      </c>
      <c r="F159" s="238" t="s">
        <v>701</v>
      </c>
      <c r="G159" s="238" t="s">
        <v>1001</v>
      </c>
      <c r="H159" s="316">
        <v>28925.62</v>
      </c>
      <c r="I159" s="316">
        <v>0</v>
      </c>
      <c r="J159" s="316">
        <v>0</v>
      </c>
      <c r="K159" s="316">
        <v>0</v>
      </c>
      <c r="L159" s="316">
        <v>0</v>
      </c>
      <c r="M159" s="316">
        <v>6074.38</v>
      </c>
      <c r="N159" s="316">
        <v>0</v>
      </c>
      <c r="O159" s="316">
        <v>0</v>
      </c>
      <c r="P159" s="316">
        <v>0</v>
      </c>
      <c r="Q159" s="316">
        <v>0</v>
      </c>
      <c r="R159" s="316">
        <v>6074.38</v>
      </c>
      <c r="S159" s="316">
        <v>35000</v>
      </c>
    </row>
    <row r="160" spans="1:19" ht="15" customHeight="1" x14ac:dyDescent="0.25">
      <c r="A160" s="238" t="s">
        <v>998</v>
      </c>
      <c r="B160" s="238" t="s">
        <v>711</v>
      </c>
      <c r="C160" s="238" t="s">
        <v>712</v>
      </c>
      <c r="D160" s="238" t="s">
        <v>704</v>
      </c>
      <c r="E160" s="238" t="s">
        <v>708</v>
      </c>
      <c r="F160" s="238" t="s">
        <v>701</v>
      </c>
      <c r="G160" s="238" t="s">
        <v>1002</v>
      </c>
      <c r="H160" s="316">
        <v>16528.93</v>
      </c>
      <c r="I160" s="316">
        <v>0</v>
      </c>
      <c r="J160" s="316">
        <v>0</v>
      </c>
      <c r="K160" s="316">
        <v>0</v>
      </c>
      <c r="L160" s="316">
        <v>0</v>
      </c>
      <c r="M160" s="316">
        <v>3471.07</v>
      </c>
      <c r="N160" s="316">
        <v>0</v>
      </c>
      <c r="O160" s="316">
        <v>0</v>
      </c>
      <c r="P160" s="316">
        <v>0</v>
      </c>
      <c r="Q160" s="316">
        <v>0</v>
      </c>
      <c r="R160" s="316">
        <v>3471.07</v>
      </c>
      <c r="S160" s="316">
        <v>20000</v>
      </c>
    </row>
    <row r="161" spans="1:19" ht="15" customHeight="1" x14ac:dyDescent="0.25">
      <c r="A161" s="238" t="s">
        <v>998</v>
      </c>
      <c r="B161" s="238" t="s">
        <v>1004</v>
      </c>
      <c r="C161" s="238" t="s">
        <v>1005</v>
      </c>
      <c r="D161" s="238" t="s">
        <v>704</v>
      </c>
      <c r="E161" s="238" t="s">
        <v>708</v>
      </c>
      <c r="F161" s="238" t="s">
        <v>701</v>
      </c>
      <c r="G161" s="238" t="s">
        <v>1006</v>
      </c>
      <c r="H161" s="316">
        <v>57851.24</v>
      </c>
      <c r="I161" s="316">
        <v>0</v>
      </c>
      <c r="J161" s="316">
        <v>0</v>
      </c>
      <c r="K161" s="316">
        <v>0</v>
      </c>
      <c r="L161" s="316">
        <v>0</v>
      </c>
      <c r="M161" s="316">
        <v>12148.76</v>
      </c>
      <c r="N161" s="316">
        <v>0</v>
      </c>
      <c r="O161" s="316">
        <v>0</v>
      </c>
      <c r="P161" s="316">
        <v>0</v>
      </c>
      <c r="Q161" s="316">
        <v>0</v>
      </c>
      <c r="R161" s="316">
        <v>12148.76</v>
      </c>
      <c r="S161" s="316">
        <v>70000</v>
      </c>
    </row>
    <row r="162" spans="1:19" ht="15" customHeight="1" x14ac:dyDescent="0.25">
      <c r="A162" s="238" t="s">
        <v>998</v>
      </c>
      <c r="B162" s="238" t="s">
        <v>711</v>
      </c>
      <c r="C162" s="238" t="s">
        <v>712</v>
      </c>
      <c r="D162" s="238" t="s">
        <v>704</v>
      </c>
      <c r="E162" s="238" t="s">
        <v>708</v>
      </c>
      <c r="F162" s="238" t="s">
        <v>701</v>
      </c>
      <c r="G162" s="238" t="s">
        <v>1013</v>
      </c>
      <c r="H162" s="316">
        <v>46280.99</v>
      </c>
      <c r="I162" s="316">
        <v>0</v>
      </c>
      <c r="J162" s="316">
        <v>0</v>
      </c>
      <c r="K162" s="316">
        <v>0</v>
      </c>
      <c r="L162" s="316">
        <v>0</v>
      </c>
      <c r="M162" s="316">
        <v>9719.01</v>
      </c>
      <c r="N162" s="316">
        <v>0</v>
      </c>
      <c r="O162" s="316">
        <v>0</v>
      </c>
      <c r="P162" s="316">
        <v>0</v>
      </c>
      <c r="Q162" s="316">
        <v>0</v>
      </c>
      <c r="R162" s="316">
        <v>9719.01</v>
      </c>
      <c r="S162" s="316">
        <v>56000</v>
      </c>
    </row>
    <row r="163" spans="1:19" ht="15" customHeight="1" x14ac:dyDescent="0.25">
      <c r="A163" s="238" t="s">
        <v>998</v>
      </c>
      <c r="B163" s="238" t="s">
        <v>711</v>
      </c>
      <c r="C163" s="238" t="s">
        <v>712</v>
      </c>
      <c r="D163" s="238" t="s">
        <v>704</v>
      </c>
      <c r="E163" s="238" t="s">
        <v>708</v>
      </c>
      <c r="F163" s="238" t="s">
        <v>701</v>
      </c>
      <c r="G163" s="238" t="s">
        <v>1028</v>
      </c>
      <c r="H163" s="316">
        <v>58677.69</v>
      </c>
      <c r="I163" s="316">
        <v>0</v>
      </c>
      <c r="J163" s="316">
        <v>0</v>
      </c>
      <c r="K163" s="316">
        <v>0</v>
      </c>
      <c r="L163" s="316">
        <v>0</v>
      </c>
      <c r="M163" s="316">
        <v>12322.31</v>
      </c>
      <c r="N163" s="316">
        <v>0</v>
      </c>
      <c r="O163" s="316">
        <v>0</v>
      </c>
      <c r="P163" s="316">
        <v>0</v>
      </c>
      <c r="Q163" s="316">
        <v>0</v>
      </c>
      <c r="R163" s="316">
        <v>12322.31</v>
      </c>
      <c r="S163" s="316">
        <v>71000</v>
      </c>
    </row>
    <row r="164" spans="1:19" ht="15" customHeight="1" x14ac:dyDescent="0.25">
      <c r="A164" s="238" t="s">
        <v>998</v>
      </c>
      <c r="B164" s="238" t="s">
        <v>711</v>
      </c>
      <c r="C164" s="238" t="s">
        <v>712</v>
      </c>
      <c r="D164" s="238" t="s">
        <v>704</v>
      </c>
      <c r="E164" s="238" t="s">
        <v>708</v>
      </c>
      <c r="F164" s="238" t="s">
        <v>701</v>
      </c>
      <c r="G164" s="238" t="s">
        <v>1029</v>
      </c>
      <c r="H164" s="316">
        <v>15289.26</v>
      </c>
      <c r="I164" s="316">
        <v>0</v>
      </c>
      <c r="J164" s="316">
        <v>0</v>
      </c>
      <c r="K164" s="316">
        <v>0</v>
      </c>
      <c r="L164" s="316">
        <v>0</v>
      </c>
      <c r="M164" s="316">
        <v>3210.74</v>
      </c>
      <c r="N164" s="316">
        <v>0</v>
      </c>
      <c r="O164" s="316">
        <v>0</v>
      </c>
      <c r="P164" s="316">
        <v>0</v>
      </c>
      <c r="Q164" s="316">
        <v>0</v>
      </c>
      <c r="R164" s="316">
        <v>3210.74</v>
      </c>
      <c r="S164" s="316">
        <v>18500</v>
      </c>
    </row>
    <row r="165" spans="1:19" ht="15" customHeight="1" x14ac:dyDescent="0.25">
      <c r="A165" s="238" t="s">
        <v>998</v>
      </c>
      <c r="B165" s="238" t="s">
        <v>711</v>
      </c>
      <c r="C165" s="238" t="s">
        <v>712</v>
      </c>
      <c r="D165" s="238" t="s">
        <v>704</v>
      </c>
      <c r="E165" s="238" t="s">
        <v>708</v>
      </c>
      <c r="F165" s="238" t="s">
        <v>701</v>
      </c>
      <c r="G165" s="238" t="s">
        <v>1041</v>
      </c>
      <c r="H165" s="316">
        <v>41322.31</v>
      </c>
      <c r="I165" s="316">
        <v>0</v>
      </c>
      <c r="J165" s="316">
        <v>0</v>
      </c>
      <c r="K165" s="316">
        <v>0</v>
      </c>
      <c r="L165" s="316">
        <v>0</v>
      </c>
      <c r="M165" s="316">
        <v>8677.69</v>
      </c>
      <c r="N165" s="316">
        <v>0</v>
      </c>
      <c r="O165" s="316">
        <v>0</v>
      </c>
      <c r="P165" s="316">
        <v>0</v>
      </c>
      <c r="Q165" s="316">
        <v>0</v>
      </c>
      <c r="R165" s="316">
        <v>8677.69</v>
      </c>
      <c r="S165" s="316">
        <v>50000</v>
      </c>
    </row>
    <row r="166" spans="1:19" ht="15" customHeight="1" x14ac:dyDescent="0.25">
      <c r="A166" s="238" t="s">
        <v>998</v>
      </c>
      <c r="B166" s="238" t="s">
        <v>711</v>
      </c>
      <c r="C166" s="238" t="s">
        <v>712</v>
      </c>
      <c r="D166" s="238" t="s">
        <v>704</v>
      </c>
      <c r="E166" s="238" t="s">
        <v>708</v>
      </c>
      <c r="F166" s="238" t="s">
        <v>701</v>
      </c>
      <c r="G166" s="238" t="s">
        <v>1042</v>
      </c>
      <c r="H166" s="316">
        <v>41322.31</v>
      </c>
      <c r="I166" s="316">
        <v>0</v>
      </c>
      <c r="J166" s="316">
        <v>0</v>
      </c>
      <c r="K166" s="316">
        <v>0</v>
      </c>
      <c r="L166" s="316">
        <v>0</v>
      </c>
      <c r="M166" s="316">
        <v>8677.69</v>
      </c>
      <c r="N166" s="316">
        <v>0</v>
      </c>
      <c r="O166" s="316">
        <v>0</v>
      </c>
      <c r="P166" s="316">
        <v>0</v>
      </c>
      <c r="Q166" s="316">
        <v>0</v>
      </c>
      <c r="R166" s="316">
        <v>8677.69</v>
      </c>
      <c r="S166" s="316">
        <v>50000</v>
      </c>
    </row>
    <row r="167" spans="1:19" ht="15" customHeight="1" x14ac:dyDescent="0.25">
      <c r="A167" s="238" t="s">
        <v>998</v>
      </c>
      <c r="B167" s="238" t="s">
        <v>711</v>
      </c>
      <c r="C167" s="238" t="s">
        <v>712</v>
      </c>
      <c r="D167" s="238" t="s">
        <v>704</v>
      </c>
      <c r="E167" s="238" t="s">
        <v>708</v>
      </c>
      <c r="F167" s="238" t="s">
        <v>701</v>
      </c>
      <c r="G167" s="238" t="s">
        <v>1043</v>
      </c>
      <c r="H167" s="316">
        <v>82644.63</v>
      </c>
      <c r="I167" s="316">
        <v>0</v>
      </c>
      <c r="J167" s="316">
        <v>0</v>
      </c>
      <c r="K167" s="316">
        <v>0</v>
      </c>
      <c r="L167" s="316">
        <v>0</v>
      </c>
      <c r="M167" s="316">
        <v>17355.37</v>
      </c>
      <c r="N167" s="316">
        <v>0</v>
      </c>
      <c r="O167" s="316">
        <v>0</v>
      </c>
      <c r="P167" s="316">
        <v>0</v>
      </c>
      <c r="Q167" s="316">
        <v>0</v>
      </c>
      <c r="R167" s="316">
        <v>17355.37</v>
      </c>
      <c r="S167" s="316">
        <v>100000</v>
      </c>
    </row>
    <row r="168" spans="1:19" ht="15" customHeight="1" x14ac:dyDescent="0.25">
      <c r="A168" s="238" t="s">
        <v>998</v>
      </c>
      <c r="B168" s="238" t="s">
        <v>711</v>
      </c>
      <c r="C168" s="238" t="s">
        <v>712</v>
      </c>
      <c r="D168" s="238" t="s">
        <v>704</v>
      </c>
      <c r="E168" s="238" t="s">
        <v>708</v>
      </c>
      <c r="F168" s="238" t="s">
        <v>701</v>
      </c>
      <c r="G168" s="238" t="s">
        <v>1055</v>
      </c>
      <c r="H168" s="316">
        <v>18595.04</v>
      </c>
      <c r="I168" s="316">
        <v>0</v>
      </c>
      <c r="J168" s="316">
        <v>0</v>
      </c>
      <c r="K168" s="316">
        <v>0</v>
      </c>
      <c r="L168" s="316">
        <v>0</v>
      </c>
      <c r="M168" s="316">
        <v>3904.96</v>
      </c>
      <c r="N168" s="316">
        <v>0</v>
      </c>
      <c r="O168" s="316">
        <v>0</v>
      </c>
      <c r="P168" s="316">
        <v>0</v>
      </c>
      <c r="Q168" s="316">
        <v>0</v>
      </c>
      <c r="R168" s="316">
        <v>3904.96</v>
      </c>
      <c r="S168" s="316">
        <v>22500</v>
      </c>
    </row>
    <row r="169" spans="1:19" ht="15" customHeight="1" x14ac:dyDescent="0.25">
      <c r="A169" s="238" t="s">
        <v>998</v>
      </c>
      <c r="B169" s="238" t="s">
        <v>711</v>
      </c>
      <c r="C169" s="238" t="s">
        <v>712</v>
      </c>
      <c r="D169" s="238" t="s">
        <v>704</v>
      </c>
      <c r="E169" s="238" t="s">
        <v>708</v>
      </c>
      <c r="F169" s="238" t="s">
        <v>701</v>
      </c>
      <c r="G169" s="238" t="s">
        <v>1056</v>
      </c>
      <c r="H169" s="316">
        <v>14049.59</v>
      </c>
      <c r="I169" s="316">
        <v>0</v>
      </c>
      <c r="J169" s="316">
        <v>0</v>
      </c>
      <c r="K169" s="316">
        <v>0</v>
      </c>
      <c r="L169" s="316">
        <v>0</v>
      </c>
      <c r="M169" s="316">
        <v>2950.41</v>
      </c>
      <c r="N169" s="316">
        <v>0</v>
      </c>
      <c r="O169" s="316">
        <v>0</v>
      </c>
      <c r="P169" s="316">
        <v>0</v>
      </c>
      <c r="Q169" s="316">
        <v>0</v>
      </c>
      <c r="R169" s="316">
        <v>2950.41</v>
      </c>
      <c r="S169" s="316">
        <v>17000</v>
      </c>
    </row>
    <row r="170" spans="1:19" ht="15" customHeight="1" x14ac:dyDescent="0.25">
      <c r="A170" s="238" t="s">
        <v>1057</v>
      </c>
      <c r="B170" s="238" t="s">
        <v>711</v>
      </c>
      <c r="C170" s="238" t="s">
        <v>712</v>
      </c>
      <c r="D170" s="238" t="s">
        <v>704</v>
      </c>
      <c r="E170" s="238" t="s">
        <v>708</v>
      </c>
      <c r="F170" s="238" t="s">
        <v>701</v>
      </c>
      <c r="G170" s="238" t="s">
        <v>1058</v>
      </c>
      <c r="H170" s="316">
        <v>41322.31</v>
      </c>
      <c r="I170" s="316">
        <v>0</v>
      </c>
      <c r="J170" s="316">
        <v>0</v>
      </c>
      <c r="K170" s="316">
        <v>0</v>
      </c>
      <c r="L170" s="316">
        <v>0</v>
      </c>
      <c r="M170" s="316">
        <v>8677.69</v>
      </c>
      <c r="N170" s="316">
        <v>0</v>
      </c>
      <c r="O170" s="316">
        <v>0</v>
      </c>
      <c r="P170" s="316">
        <v>0</v>
      </c>
      <c r="Q170" s="316">
        <v>0</v>
      </c>
      <c r="R170" s="316">
        <v>8677.69</v>
      </c>
      <c r="S170" s="316">
        <v>50000</v>
      </c>
    </row>
    <row r="171" spans="1:19" ht="15" customHeight="1" x14ac:dyDescent="0.25">
      <c r="A171" s="238" t="s">
        <v>1057</v>
      </c>
      <c r="B171" s="238" t="s">
        <v>711</v>
      </c>
      <c r="C171" s="238" t="s">
        <v>712</v>
      </c>
      <c r="D171" s="238" t="s">
        <v>704</v>
      </c>
      <c r="E171" s="238" t="s">
        <v>708</v>
      </c>
      <c r="F171" s="238" t="s">
        <v>701</v>
      </c>
      <c r="G171" s="238" t="s">
        <v>1059</v>
      </c>
      <c r="H171" s="316">
        <v>40743.800000000003</v>
      </c>
      <c r="I171" s="316">
        <v>0</v>
      </c>
      <c r="J171" s="316">
        <v>0</v>
      </c>
      <c r="K171" s="316">
        <v>0</v>
      </c>
      <c r="L171" s="316">
        <v>0</v>
      </c>
      <c r="M171" s="316">
        <v>8556.2000000000007</v>
      </c>
      <c r="N171" s="316">
        <v>0</v>
      </c>
      <c r="O171" s="316">
        <v>0</v>
      </c>
      <c r="P171" s="316">
        <v>0</v>
      </c>
      <c r="Q171" s="316">
        <v>0</v>
      </c>
      <c r="R171" s="316">
        <v>8556.2000000000007</v>
      </c>
      <c r="S171" s="316">
        <v>49300</v>
      </c>
    </row>
    <row r="172" spans="1:19" ht="15" customHeight="1" x14ac:dyDescent="0.25">
      <c r="A172" s="238" t="s">
        <v>1057</v>
      </c>
      <c r="B172" s="238" t="s">
        <v>711</v>
      </c>
      <c r="C172" s="238" t="s">
        <v>712</v>
      </c>
      <c r="D172" s="238" t="s">
        <v>704</v>
      </c>
      <c r="E172" s="238" t="s">
        <v>708</v>
      </c>
      <c r="F172" s="238" t="s">
        <v>701</v>
      </c>
      <c r="G172" s="238" t="s">
        <v>1060</v>
      </c>
      <c r="H172" s="316">
        <v>41322.31</v>
      </c>
      <c r="I172" s="316">
        <v>0</v>
      </c>
      <c r="J172" s="316">
        <v>0</v>
      </c>
      <c r="K172" s="316">
        <v>0</v>
      </c>
      <c r="L172" s="316">
        <v>0</v>
      </c>
      <c r="M172" s="316">
        <v>8677.69</v>
      </c>
      <c r="N172" s="316">
        <v>0</v>
      </c>
      <c r="O172" s="316">
        <v>0</v>
      </c>
      <c r="P172" s="316">
        <v>0</v>
      </c>
      <c r="Q172" s="316">
        <v>0</v>
      </c>
      <c r="R172" s="316">
        <v>8677.69</v>
      </c>
      <c r="S172" s="316">
        <v>50000</v>
      </c>
    </row>
    <row r="173" spans="1:19" ht="15" customHeight="1" x14ac:dyDescent="0.25">
      <c r="A173" s="238" t="s">
        <v>1057</v>
      </c>
      <c r="B173" s="238" t="s">
        <v>711</v>
      </c>
      <c r="C173" s="238" t="s">
        <v>712</v>
      </c>
      <c r="D173" s="238" t="s">
        <v>704</v>
      </c>
      <c r="E173" s="238" t="s">
        <v>708</v>
      </c>
      <c r="F173" s="238" t="s">
        <v>701</v>
      </c>
      <c r="G173" s="238" t="s">
        <v>1061</v>
      </c>
      <c r="H173" s="316">
        <v>18595.04</v>
      </c>
      <c r="I173" s="316">
        <v>0</v>
      </c>
      <c r="J173" s="316">
        <v>0</v>
      </c>
      <c r="K173" s="316">
        <v>0</v>
      </c>
      <c r="L173" s="316">
        <v>0</v>
      </c>
      <c r="M173" s="316">
        <v>3904.96</v>
      </c>
      <c r="N173" s="316">
        <v>0</v>
      </c>
      <c r="O173" s="316">
        <v>0</v>
      </c>
      <c r="P173" s="316">
        <v>0</v>
      </c>
      <c r="Q173" s="316">
        <v>0</v>
      </c>
      <c r="R173" s="316">
        <v>3904.96</v>
      </c>
      <c r="S173" s="316">
        <v>22500</v>
      </c>
    </row>
    <row r="174" spans="1:19" ht="15" customHeight="1" x14ac:dyDescent="0.25">
      <c r="A174" s="238" t="s">
        <v>1057</v>
      </c>
      <c r="B174" s="238" t="s">
        <v>711</v>
      </c>
      <c r="C174" s="238" t="s">
        <v>712</v>
      </c>
      <c r="D174" s="238" t="s">
        <v>704</v>
      </c>
      <c r="E174" s="238" t="s">
        <v>708</v>
      </c>
      <c r="F174" s="238" t="s">
        <v>701</v>
      </c>
      <c r="G174" s="238" t="s">
        <v>1063</v>
      </c>
      <c r="H174" s="316">
        <v>49586.78</v>
      </c>
      <c r="I174" s="316">
        <v>0</v>
      </c>
      <c r="J174" s="316">
        <v>0</v>
      </c>
      <c r="K174" s="316">
        <v>0</v>
      </c>
      <c r="L174" s="316">
        <v>0</v>
      </c>
      <c r="M174" s="316">
        <v>10413.219999999999</v>
      </c>
      <c r="N174" s="316">
        <v>0</v>
      </c>
      <c r="O174" s="316">
        <v>0</v>
      </c>
      <c r="P174" s="316">
        <v>0</v>
      </c>
      <c r="Q174" s="316">
        <v>0</v>
      </c>
      <c r="R174" s="316">
        <v>10413.219999999999</v>
      </c>
      <c r="S174" s="316">
        <v>60000</v>
      </c>
    </row>
    <row r="175" spans="1:19" ht="15" customHeight="1" x14ac:dyDescent="0.25">
      <c r="A175" s="238" t="s">
        <v>1057</v>
      </c>
      <c r="B175" s="238" t="s">
        <v>711</v>
      </c>
      <c r="C175" s="238" t="s">
        <v>712</v>
      </c>
      <c r="D175" s="238" t="s">
        <v>704</v>
      </c>
      <c r="E175" s="238" t="s">
        <v>708</v>
      </c>
      <c r="F175" s="238" t="s">
        <v>701</v>
      </c>
      <c r="G175" s="238" t="s">
        <v>1065</v>
      </c>
      <c r="H175" s="316">
        <v>29752.07</v>
      </c>
      <c r="I175" s="316">
        <v>0</v>
      </c>
      <c r="J175" s="316">
        <v>0</v>
      </c>
      <c r="K175" s="316">
        <v>0</v>
      </c>
      <c r="L175" s="316">
        <v>0</v>
      </c>
      <c r="M175" s="316">
        <v>6247.93</v>
      </c>
      <c r="N175" s="316">
        <v>0</v>
      </c>
      <c r="O175" s="316">
        <v>0</v>
      </c>
      <c r="P175" s="316">
        <v>0</v>
      </c>
      <c r="Q175" s="316">
        <v>0</v>
      </c>
      <c r="R175" s="316">
        <v>6247.93</v>
      </c>
      <c r="S175" s="316">
        <v>36000</v>
      </c>
    </row>
    <row r="176" spans="1:19" ht="15" customHeight="1" x14ac:dyDescent="0.25">
      <c r="A176" s="238" t="s">
        <v>1057</v>
      </c>
      <c r="B176" s="238" t="s">
        <v>711</v>
      </c>
      <c r="C176" s="238" t="s">
        <v>712</v>
      </c>
      <c r="D176" s="238" t="s">
        <v>704</v>
      </c>
      <c r="E176" s="238" t="s">
        <v>708</v>
      </c>
      <c r="F176" s="238" t="s">
        <v>701</v>
      </c>
      <c r="G176" s="238" t="s">
        <v>1081</v>
      </c>
      <c r="H176" s="316">
        <v>61983.47</v>
      </c>
      <c r="I176" s="316">
        <v>0</v>
      </c>
      <c r="J176" s="316">
        <v>0</v>
      </c>
      <c r="K176" s="316">
        <v>0</v>
      </c>
      <c r="L176" s="316">
        <v>0</v>
      </c>
      <c r="M176" s="316">
        <v>13016.53</v>
      </c>
      <c r="N176" s="316">
        <v>0</v>
      </c>
      <c r="O176" s="316">
        <v>0</v>
      </c>
      <c r="P176" s="316">
        <v>0</v>
      </c>
      <c r="Q176" s="316">
        <v>0</v>
      </c>
      <c r="R176" s="316">
        <v>13016.53</v>
      </c>
      <c r="S176" s="316">
        <v>75000</v>
      </c>
    </row>
    <row r="177" spans="1:19" ht="15" customHeight="1" x14ac:dyDescent="0.25">
      <c r="A177" s="238" t="s">
        <v>1057</v>
      </c>
      <c r="B177" s="238" t="s">
        <v>1082</v>
      </c>
      <c r="C177" s="238" t="s">
        <v>1083</v>
      </c>
      <c r="D177" s="238" t="s">
        <v>699</v>
      </c>
      <c r="E177" s="238" t="s">
        <v>1084</v>
      </c>
      <c r="F177" s="238" t="s">
        <v>701</v>
      </c>
      <c r="G177" s="238" t="s">
        <v>1085</v>
      </c>
      <c r="H177" s="316">
        <v>24793.39</v>
      </c>
      <c r="I177" s="316">
        <v>0</v>
      </c>
      <c r="J177" s="316">
        <v>0</v>
      </c>
      <c r="K177" s="316">
        <v>0</v>
      </c>
      <c r="L177" s="316">
        <v>0</v>
      </c>
      <c r="M177" s="316">
        <v>5206.6099999999997</v>
      </c>
      <c r="N177" s="316">
        <v>0</v>
      </c>
      <c r="O177" s="316">
        <v>0</v>
      </c>
      <c r="P177" s="316">
        <v>0</v>
      </c>
      <c r="Q177" s="316">
        <v>0</v>
      </c>
      <c r="R177" s="316">
        <v>5206.6099999999997</v>
      </c>
      <c r="S177" s="316">
        <v>30000</v>
      </c>
    </row>
    <row r="178" spans="1:19" ht="15" customHeight="1" x14ac:dyDescent="0.25">
      <c r="A178" s="238" t="s">
        <v>1057</v>
      </c>
      <c r="B178" s="238" t="s">
        <v>711</v>
      </c>
      <c r="C178" s="238" t="s">
        <v>712</v>
      </c>
      <c r="D178" s="238" t="s">
        <v>704</v>
      </c>
      <c r="E178" s="238" t="s">
        <v>708</v>
      </c>
      <c r="F178" s="238" t="s">
        <v>701</v>
      </c>
      <c r="G178" s="238" t="s">
        <v>1086</v>
      </c>
      <c r="H178" s="316">
        <v>29504.13</v>
      </c>
      <c r="I178" s="316">
        <v>0</v>
      </c>
      <c r="J178" s="316">
        <v>0</v>
      </c>
      <c r="K178" s="316">
        <v>0</v>
      </c>
      <c r="L178" s="316">
        <v>0</v>
      </c>
      <c r="M178" s="316">
        <v>6195.87</v>
      </c>
      <c r="N178" s="316">
        <v>0</v>
      </c>
      <c r="O178" s="316">
        <v>0</v>
      </c>
      <c r="P178" s="316">
        <v>0</v>
      </c>
      <c r="Q178" s="316">
        <v>0</v>
      </c>
      <c r="R178" s="316">
        <v>6195.87</v>
      </c>
      <c r="S178" s="316">
        <v>35700</v>
      </c>
    </row>
    <row r="179" spans="1:19" ht="15" customHeight="1" x14ac:dyDescent="0.25">
      <c r="A179" s="238" t="s">
        <v>1057</v>
      </c>
      <c r="B179" s="238" t="s">
        <v>711</v>
      </c>
      <c r="C179" s="238" t="s">
        <v>712</v>
      </c>
      <c r="D179" s="238" t="s">
        <v>704</v>
      </c>
      <c r="E179" s="238" t="s">
        <v>708</v>
      </c>
      <c r="F179" s="238" t="s">
        <v>701</v>
      </c>
      <c r="G179" s="238" t="s">
        <v>1087</v>
      </c>
      <c r="H179" s="316">
        <v>16859.5</v>
      </c>
      <c r="I179" s="316">
        <v>0</v>
      </c>
      <c r="J179" s="316">
        <v>0</v>
      </c>
      <c r="K179" s="316">
        <v>0</v>
      </c>
      <c r="L179" s="316">
        <v>0</v>
      </c>
      <c r="M179" s="316">
        <v>3540.5</v>
      </c>
      <c r="N179" s="316">
        <v>0</v>
      </c>
      <c r="O179" s="316">
        <v>0</v>
      </c>
      <c r="P179" s="316">
        <v>0</v>
      </c>
      <c r="Q179" s="316">
        <v>0</v>
      </c>
      <c r="R179" s="316">
        <v>3540.5</v>
      </c>
      <c r="S179" s="316">
        <v>20400</v>
      </c>
    </row>
    <row r="180" spans="1:19" ht="15" customHeight="1" x14ac:dyDescent="0.25">
      <c r="A180" s="238" t="s">
        <v>1057</v>
      </c>
      <c r="B180" s="238" t="s">
        <v>711</v>
      </c>
      <c r="C180" s="238" t="s">
        <v>712</v>
      </c>
      <c r="D180" s="238" t="s">
        <v>704</v>
      </c>
      <c r="E180" s="238" t="s">
        <v>708</v>
      </c>
      <c r="F180" s="238" t="s">
        <v>701</v>
      </c>
      <c r="G180" s="238" t="s">
        <v>1088</v>
      </c>
      <c r="H180" s="316">
        <v>24793.39</v>
      </c>
      <c r="I180" s="316">
        <v>0</v>
      </c>
      <c r="J180" s="316">
        <v>0</v>
      </c>
      <c r="K180" s="316">
        <v>0</v>
      </c>
      <c r="L180" s="316">
        <v>0</v>
      </c>
      <c r="M180" s="316">
        <v>5206.6099999999997</v>
      </c>
      <c r="N180" s="316">
        <v>0</v>
      </c>
      <c r="O180" s="316">
        <v>0</v>
      </c>
      <c r="P180" s="316">
        <v>0</v>
      </c>
      <c r="Q180" s="316">
        <v>0</v>
      </c>
      <c r="R180" s="316">
        <v>5206.6099999999997</v>
      </c>
      <c r="S180" s="316">
        <v>30000</v>
      </c>
    </row>
    <row r="181" spans="1:19" ht="15" customHeight="1" x14ac:dyDescent="0.25">
      <c r="A181" s="238" t="s">
        <v>1057</v>
      </c>
      <c r="B181" s="238" t="s">
        <v>711</v>
      </c>
      <c r="C181" s="238" t="s">
        <v>712</v>
      </c>
      <c r="D181" s="238" t="s">
        <v>704</v>
      </c>
      <c r="E181" s="238" t="s">
        <v>708</v>
      </c>
      <c r="F181" s="238" t="s">
        <v>701</v>
      </c>
      <c r="G181" s="238" t="s">
        <v>1089</v>
      </c>
      <c r="H181" s="316">
        <v>28925.62</v>
      </c>
      <c r="I181" s="316">
        <v>0</v>
      </c>
      <c r="J181" s="316">
        <v>0</v>
      </c>
      <c r="K181" s="316">
        <v>0</v>
      </c>
      <c r="L181" s="316">
        <v>0</v>
      </c>
      <c r="M181" s="316">
        <v>6074.38</v>
      </c>
      <c r="N181" s="316">
        <v>0</v>
      </c>
      <c r="O181" s="316">
        <v>0</v>
      </c>
      <c r="P181" s="316">
        <v>0</v>
      </c>
      <c r="Q181" s="316">
        <v>0</v>
      </c>
      <c r="R181" s="316">
        <v>6074.38</v>
      </c>
      <c r="S181" s="316">
        <v>35000</v>
      </c>
    </row>
    <row r="182" spans="1:19" ht="15" customHeight="1" x14ac:dyDescent="0.25">
      <c r="A182" s="238" t="s">
        <v>1057</v>
      </c>
      <c r="B182" s="238" t="s">
        <v>711</v>
      </c>
      <c r="C182" s="238" t="s">
        <v>712</v>
      </c>
      <c r="D182" s="238" t="s">
        <v>704</v>
      </c>
      <c r="E182" s="238" t="s">
        <v>708</v>
      </c>
      <c r="F182" s="238" t="s">
        <v>701</v>
      </c>
      <c r="G182" s="238" t="s">
        <v>1092</v>
      </c>
      <c r="H182" s="316">
        <v>16528.93</v>
      </c>
      <c r="I182" s="316">
        <v>0</v>
      </c>
      <c r="J182" s="316">
        <v>0</v>
      </c>
      <c r="K182" s="316">
        <v>0</v>
      </c>
      <c r="L182" s="316">
        <v>0</v>
      </c>
      <c r="M182" s="316">
        <v>3471.07</v>
      </c>
      <c r="N182" s="316">
        <v>0</v>
      </c>
      <c r="O182" s="316">
        <v>0</v>
      </c>
      <c r="P182" s="316">
        <v>0</v>
      </c>
      <c r="Q182" s="316">
        <v>0</v>
      </c>
      <c r="R182" s="316">
        <v>3471.07</v>
      </c>
      <c r="S182" s="316">
        <v>20000</v>
      </c>
    </row>
    <row r="183" spans="1:19" ht="15" customHeight="1" x14ac:dyDescent="0.25">
      <c r="A183" s="238" t="s">
        <v>1057</v>
      </c>
      <c r="B183" s="238" t="s">
        <v>1093</v>
      </c>
      <c r="C183" s="238" t="s">
        <v>1094</v>
      </c>
      <c r="D183" s="238" t="s">
        <v>699</v>
      </c>
      <c r="E183" s="238" t="s">
        <v>1084</v>
      </c>
      <c r="F183" s="238" t="s">
        <v>701</v>
      </c>
      <c r="G183" s="238" t="s">
        <v>1095</v>
      </c>
      <c r="H183" s="316">
        <v>35702.480000000003</v>
      </c>
      <c r="I183" s="316">
        <v>0</v>
      </c>
      <c r="J183" s="316">
        <v>0</v>
      </c>
      <c r="K183" s="316">
        <v>0</v>
      </c>
      <c r="L183" s="316">
        <v>0</v>
      </c>
      <c r="M183" s="316">
        <v>7497.52</v>
      </c>
      <c r="N183" s="316">
        <v>0</v>
      </c>
      <c r="O183" s="316">
        <v>0</v>
      </c>
      <c r="P183" s="316">
        <v>0</v>
      </c>
      <c r="Q183" s="316">
        <v>0</v>
      </c>
      <c r="R183" s="316">
        <v>7497.52</v>
      </c>
      <c r="S183" s="316">
        <v>43200</v>
      </c>
    </row>
    <row r="184" spans="1:19" ht="15" customHeight="1" x14ac:dyDescent="0.25">
      <c r="A184" s="238" t="s">
        <v>1057</v>
      </c>
      <c r="B184" s="238" t="s">
        <v>711</v>
      </c>
      <c r="C184" s="238" t="s">
        <v>712</v>
      </c>
      <c r="D184" s="238" t="s">
        <v>704</v>
      </c>
      <c r="E184" s="238" t="s">
        <v>708</v>
      </c>
      <c r="F184" s="238" t="s">
        <v>701</v>
      </c>
      <c r="G184" s="238" t="s">
        <v>1096</v>
      </c>
      <c r="H184" s="316">
        <v>19173.55</v>
      </c>
      <c r="I184" s="316">
        <v>0</v>
      </c>
      <c r="J184" s="316">
        <v>0</v>
      </c>
      <c r="K184" s="316">
        <v>0</v>
      </c>
      <c r="L184" s="316">
        <v>0</v>
      </c>
      <c r="M184" s="316">
        <v>4026.45</v>
      </c>
      <c r="N184" s="316">
        <v>0</v>
      </c>
      <c r="O184" s="316">
        <v>0</v>
      </c>
      <c r="P184" s="316">
        <v>0</v>
      </c>
      <c r="Q184" s="316">
        <v>0</v>
      </c>
      <c r="R184" s="316">
        <v>4026.45</v>
      </c>
      <c r="S184" s="316">
        <v>23200</v>
      </c>
    </row>
    <row r="185" spans="1:19" ht="15" customHeight="1" x14ac:dyDescent="0.25">
      <c r="A185" s="238" t="s">
        <v>1057</v>
      </c>
      <c r="B185" s="238" t="s">
        <v>711</v>
      </c>
      <c r="C185" s="238" t="s">
        <v>712</v>
      </c>
      <c r="D185" s="238" t="s">
        <v>704</v>
      </c>
      <c r="E185" s="238" t="s">
        <v>708</v>
      </c>
      <c r="F185" s="238" t="s">
        <v>701</v>
      </c>
      <c r="G185" s="238" t="s">
        <v>1097</v>
      </c>
      <c r="H185" s="316">
        <v>20661.16</v>
      </c>
      <c r="I185" s="316">
        <v>0</v>
      </c>
      <c r="J185" s="316">
        <v>0</v>
      </c>
      <c r="K185" s="316">
        <v>0</v>
      </c>
      <c r="L185" s="316">
        <v>0</v>
      </c>
      <c r="M185" s="316">
        <v>4338.84</v>
      </c>
      <c r="N185" s="316">
        <v>0</v>
      </c>
      <c r="O185" s="316">
        <v>0</v>
      </c>
      <c r="P185" s="316">
        <v>0</v>
      </c>
      <c r="Q185" s="316">
        <v>0</v>
      </c>
      <c r="R185" s="316">
        <v>4338.84</v>
      </c>
      <c r="S185" s="316">
        <v>25000</v>
      </c>
    </row>
    <row r="186" spans="1:19" ht="15" customHeight="1" x14ac:dyDescent="0.25">
      <c r="A186" s="238" t="s">
        <v>1098</v>
      </c>
      <c r="B186" s="238" t="s">
        <v>711</v>
      </c>
      <c r="C186" s="238" t="s">
        <v>712</v>
      </c>
      <c r="D186" s="238" t="s">
        <v>704</v>
      </c>
      <c r="E186" s="238" t="s">
        <v>708</v>
      </c>
      <c r="F186" s="238" t="s">
        <v>701</v>
      </c>
      <c r="G186" s="238" t="s">
        <v>1099</v>
      </c>
      <c r="H186" s="316">
        <v>91735.54</v>
      </c>
      <c r="I186" s="316">
        <v>0</v>
      </c>
      <c r="J186" s="316">
        <v>0</v>
      </c>
      <c r="K186" s="316">
        <v>0</v>
      </c>
      <c r="L186" s="316">
        <v>0</v>
      </c>
      <c r="M186" s="316">
        <v>19264.46</v>
      </c>
      <c r="N186" s="316">
        <v>0</v>
      </c>
      <c r="O186" s="316">
        <v>0</v>
      </c>
      <c r="P186" s="316">
        <v>0</v>
      </c>
      <c r="Q186" s="316">
        <v>0</v>
      </c>
      <c r="R186" s="316">
        <v>19264.46</v>
      </c>
      <c r="S186" s="316">
        <v>111000</v>
      </c>
    </row>
    <row r="187" spans="1:19" ht="15" customHeight="1" x14ac:dyDescent="0.25">
      <c r="A187" s="238" t="s">
        <v>1098</v>
      </c>
      <c r="B187" s="238" t="s">
        <v>711</v>
      </c>
      <c r="C187" s="238" t="s">
        <v>712</v>
      </c>
      <c r="D187" s="238" t="s">
        <v>704</v>
      </c>
      <c r="E187" s="238" t="s">
        <v>708</v>
      </c>
      <c r="F187" s="238" t="s">
        <v>701</v>
      </c>
      <c r="G187" s="238" t="s">
        <v>1100</v>
      </c>
      <c r="H187" s="316">
        <v>82644.63</v>
      </c>
      <c r="I187" s="316">
        <v>0</v>
      </c>
      <c r="J187" s="316">
        <v>0</v>
      </c>
      <c r="K187" s="316">
        <v>0</v>
      </c>
      <c r="L187" s="316">
        <v>0</v>
      </c>
      <c r="M187" s="316">
        <v>17355.37</v>
      </c>
      <c r="N187" s="316">
        <v>0</v>
      </c>
      <c r="O187" s="316">
        <v>0</v>
      </c>
      <c r="P187" s="316">
        <v>0</v>
      </c>
      <c r="Q187" s="316">
        <v>0</v>
      </c>
      <c r="R187" s="316">
        <v>17355.37</v>
      </c>
      <c r="S187" s="316">
        <v>100000</v>
      </c>
    </row>
    <row r="188" spans="1:19" ht="15" customHeight="1" x14ac:dyDescent="0.25">
      <c r="A188" s="238" t="s">
        <v>1098</v>
      </c>
      <c r="B188" s="238" t="s">
        <v>711</v>
      </c>
      <c r="C188" s="238" t="s">
        <v>712</v>
      </c>
      <c r="D188" s="238" t="s">
        <v>704</v>
      </c>
      <c r="E188" s="238" t="s">
        <v>708</v>
      </c>
      <c r="F188" s="238" t="s">
        <v>701</v>
      </c>
      <c r="G188" s="238" t="s">
        <v>1101</v>
      </c>
      <c r="H188" s="316">
        <v>27049.59</v>
      </c>
      <c r="I188" s="316">
        <v>0</v>
      </c>
      <c r="J188" s="316">
        <v>0</v>
      </c>
      <c r="K188" s="316">
        <v>0</v>
      </c>
      <c r="L188" s="316">
        <v>0</v>
      </c>
      <c r="M188" s="316">
        <v>5680.41</v>
      </c>
      <c r="N188" s="316">
        <v>0</v>
      </c>
      <c r="O188" s="316">
        <v>0</v>
      </c>
      <c r="P188" s="316">
        <v>0</v>
      </c>
      <c r="Q188" s="316">
        <v>0</v>
      </c>
      <c r="R188" s="316">
        <v>5680.41</v>
      </c>
      <c r="S188" s="316">
        <v>32730</v>
      </c>
    </row>
    <row r="189" spans="1:19" ht="15" customHeight="1" x14ac:dyDescent="0.25">
      <c r="A189" s="238" t="s">
        <v>1098</v>
      </c>
      <c r="B189" s="238" t="s">
        <v>711</v>
      </c>
      <c r="C189" s="238" t="s">
        <v>712</v>
      </c>
      <c r="D189" s="238" t="s">
        <v>704</v>
      </c>
      <c r="E189" s="238" t="s">
        <v>708</v>
      </c>
      <c r="F189" s="238" t="s">
        <v>701</v>
      </c>
      <c r="G189" s="238" t="s">
        <v>1104</v>
      </c>
      <c r="H189" s="316">
        <v>4710.74</v>
      </c>
      <c r="I189" s="316">
        <v>0</v>
      </c>
      <c r="J189" s="316">
        <v>0</v>
      </c>
      <c r="K189" s="316">
        <v>0</v>
      </c>
      <c r="L189" s="316">
        <v>0</v>
      </c>
      <c r="M189" s="316">
        <v>989.26</v>
      </c>
      <c r="N189" s="316">
        <v>0</v>
      </c>
      <c r="O189" s="316">
        <v>0</v>
      </c>
      <c r="P189" s="316">
        <v>0</v>
      </c>
      <c r="Q189" s="316">
        <v>0</v>
      </c>
      <c r="R189" s="316">
        <v>989.26</v>
      </c>
      <c r="S189" s="316">
        <v>5700</v>
      </c>
    </row>
    <row r="190" spans="1:19" ht="15" customHeight="1" x14ac:dyDescent="0.25">
      <c r="A190" s="238" t="s">
        <v>1098</v>
      </c>
      <c r="B190" s="238" t="s">
        <v>711</v>
      </c>
      <c r="C190" s="238" t="s">
        <v>712</v>
      </c>
      <c r="D190" s="238" t="s">
        <v>704</v>
      </c>
      <c r="E190" s="238" t="s">
        <v>708</v>
      </c>
      <c r="F190" s="238" t="s">
        <v>701</v>
      </c>
      <c r="G190" s="238" t="s">
        <v>1105</v>
      </c>
      <c r="H190" s="316">
        <v>28925.62</v>
      </c>
      <c r="I190" s="316">
        <v>0</v>
      </c>
      <c r="J190" s="316">
        <v>0</v>
      </c>
      <c r="K190" s="316">
        <v>0</v>
      </c>
      <c r="L190" s="316">
        <v>0</v>
      </c>
      <c r="M190" s="316">
        <v>6074.38</v>
      </c>
      <c r="N190" s="316">
        <v>0</v>
      </c>
      <c r="O190" s="316">
        <v>0</v>
      </c>
      <c r="P190" s="316">
        <v>0</v>
      </c>
      <c r="Q190" s="316">
        <v>0</v>
      </c>
      <c r="R190" s="316">
        <v>6074.38</v>
      </c>
      <c r="S190" s="316">
        <v>35000</v>
      </c>
    </row>
    <row r="191" spans="1:19" ht="15" customHeight="1" x14ac:dyDescent="0.25">
      <c r="A191" s="238" t="s">
        <v>1098</v>
      </c>
      <c r="B191" s="238" t="s">
        <v>711</v>
      </c>
      <c r="C191" s="238" t="s">
        <v>712</v>
      </c>
      <c r="D191" s="238" t="s">
        <v>704</v>
      </c>
      <c r="E191" s="238" t="s">
        <v>708</v>
      </c>
      <c r="F191" s="238" t="s">
        <v>701</v>
      </c>
      <c r="G191" s="238" t="s">
        <v>1106</v>
      </c>
      <c r="H191" s="316">
        <v>22314.05</v>
      </c>
      <c r="I191" s="316">
        <v>0</v>
      </c>
      <c r="J191" s="316">
        <v>0</v>
      </c>
      <c r="K191" s="316">
        <v>0</v>
      </c>
      <c r="L191" s="316">
        <v>0</v>
      </c>
      <c r="M191" s="316">
        <v>4685.95</v>
      </c>
      <c r="N191" s="316">
        <v>0</v>
      </c>
      <c r="O191" s="316">
        <v>0</v>
      </c>
      <c r="P191" s="316">
        <v>0</v>
      </c>
      <c r="Q191" s="316">
        <v>0</v>
      </c>
      <c r="R191" s="316">
        <v>4685.95</v>
      </c>
      <c r="S191" s="316">
        <v>27000</v>
      </c>
    </row>
    <row r="192" spans="1:19" ht="15" customHeight="1" x14ac:dyDescent="0.25">
      <c r="A192" s="238" t="s">
        <v>1098</v>
      </c>
      <c r="B192" s="238" t="s">
        <v>711</v>
      </c>
      <c r="C192" s="238" t="s">
        <v>712</v>
      </c>
      <c r="D192" s="238" t="s">
        <v>704</v>
      </c>
      <c r="E192" s="238" t="s">
        <v>708</v>
      </c>
      <c r="F192" s="238" t="s">
        <v>701</v>
      </c>
      <c r="G192" s="238" t="s">
        <v>1111</v>
      </c>
      <c r="H192" s="316">
        <v>47933.88</v>
      </c>
      <c r="I192" s="316">
        <v>0</v>
      </c>
      <c r="J192" s="316">
        <v>0</v>
      </c>
      <c r="K192" s="316">
        <v>0</v>
      </c>
      <c r="L192" s="316">
        <v>0</v>
      </c>
      <c r="M192" s="316">
        <v>10066.120000000001</v>
      </c>
      <c r="N192" s="316">
        <v>0</v>
      </c>
      <c r="O192" s="316">
        <v>0</v>
      </c>
      <c r="P192" s="316">
        <v>0</v>
      </c>
      <c r="Q192" s="316">
        <v>0</v>
      </c>
      <c r="R192" s="316">
        <v>10066.120000000001</v>
      </c>
      <c r="S192" s="316">
        <v>58000</v>
      </c>
    </row>
    <row r="193" spans="1:19" ht="15" customHeight="1" x14ac:dyDescent="0.25">
      <c r="A193" s="238" t="s">
        <v>1098</v>
      </c>
      <c r="B193" s="238" t="s">
        <v>711</v>
      </c>
      <c r="C193" s="238" t="s">
        <v>712</v>
      </c>
      <c r="D193" s="238" t="s">
        <v>704</v>
      </c>
      <c r="E193" s="238" t="s">
        <v>708</v>
      </c>
      <c r="F193" s="238" t="s">
        <v>701</v>
      </c>
      <c r="G193" s="238" t="s">
        <v>1112</v>
      </c>
      <c r="H193" s="316">
        <v>15702.48</v>
      </c>
      <c r="I193" s="316">
        <v>0</v>
      </c>
      <c r="J193" s="316">
        <v>0</v>
      </c>
      <c r="K193" s="316">
        <v>0</v>
      </c>
      <c r="L193" s="316">
        <v>0</v>
      </c>
      <c r="M193" s="316">
        <v>3297.52</v>
      </c>
      <c r="N193" s="316">
        <v>0</v>
      </c>
      <c r="O193" s="316">
        <v>0</v>
      </c>
      <c r="P193" s="316">
        <v>0</v>
      </c>
      <c r="Q193" s="316">
        <v>0</v>
      </c>
      <c r="R193" s="316">
        <v>3297.52</v>
      </c>
      <c r="S193" s="316">
        <v>19000</v>
      </c>
    </row>
    <row r="194" spans="1:19" ht="15" customHeight="1" x14ac:dyDescent="0.25">
      <c r="A194" s="238" t="s">
        <v>1098</v>
      </c>
      <c r="B194" s="238" t="s">
        <v>711</v>
      </c>
      <c r="C194" s="238" t="s">
        <v>712</v>
      </c>
      <c r="D194" s="238" t="s">
        <v>704</v>
      </c>
      <c r="E194" s="238" t="s">
        <v>708</v>
      </c>
      <c r="F194" s="238" t="s">
        <v>701</v>
      </c>
      <c r="G194" s="238" t="s">
        <v>1113</v>
      </c>
      <c r="H194" s="316">
        <v>37190.080000000002</v>
      </c>
      <c r="I194" s="316">
        <v>0</v>
      </c>
      <c r="J194" s="316">
        <v>0</v>
      </c>
      <c r="K194" s="316">
        <v>0</v>
      </c>
      <c r="L194" s="316">
        <v>0</v>
      </c>
      <c r="M194" s="316">
        <v>7809.92</v>
      </c>
      <c r="N194" s="316">
        <v>0</v>
      </c>
      <c r="O194" s="316">
        <v>0</v>
      </c>
      <c r="P194" s="316">
        <v>0</v>
      </c>
      <c r="Q194" s="316">
        <v>0</v>
      </c>
      <c r="R194" s="316">
        <v>7809.92</v>
      </c>
      <c r="S194" s="316">
        <v>45000</v>
      </c>
    </row>
    <row r="195" spans="1:19" ht="15" customHeight="1" x14ac:dyDescent="0.25">
      <c r="A195" s="238" t="s">
        <v>1098</v>
      </c>
      <c r="B195" s="238" t="s">
        <v>711</v>
      </c>
      <c r="C195" s="238" t="s">
        <v>712</v>
      </c>
      <c r="D195" s="238" t="s">
        <v>704</v>
      </c>
      <c r="E195" s="238" t="s">
        <v>708</v>
      </c>
      <c r="F195" s="238" t="s">
        <v>701</v>
      </c>
      <c r="G195" s="238" t="s">
        <v>1114</v>
      </c>
      <c r="H195" s="316">
        <v>10743.8</v>
      </c>
      <c r="I195" s="316">
        <v>0</v>
      </c>
      <c r="J195" s="316">
        <v>0</v>
      </c>
      <c r="K195" s="316">
        <v>0</v>
      </c>
      <c r="L195" s="316">
        <v>0</v>
      </c>
      <c r="M195" s="316">
        <v>2256.1999999999998</v>
      </c>
      <c r="N195" s="316">
        <v>0</v>
      </c>
      <c r="O195" s="316">
        <v>0</v>
      </c>
      <c r="P195" s="316">
        <v>0</v>
      </c>
      <c r="Q195" s="316">
        <v>0</v>
      </c>
      <c r="R195" s="316">
        <v>2256.1999999999998</v>
      </c>
      <c r="S195" s="316">
        <v>13000</v>
      </c>
    </row>
    <row r="196" spans="1:19" ht="15" customHeight="1" x14ac:dyDescent="0.25">
      <c r="A196" s="238" t="s">
        <v>1098</v>
      </c>
      <c r="B196" s="238" t="s">
        <v>711</v>
      </c>
      <c r="C196" s="238" t="s">
        <v>712</v>
      </c>
      <c r="D196" s="238" t="s">
        <v>704</v>
      </c>
      <c r="E196" s="238" t="s">
        <v>708</v>
      </c>
      <c r="F196" s="238" t="s">
        <v>701</v>
      </c>
      <c r="G196" s="238" t="s">
        <v>1115</v>
      </c>
      <c r="H196" s="316">
        <v>37190.080000000002</v>
      </c>
      <c r="I196" s="316">
        <v>0</v>
      </c>
      <c r="J196" s="316">
        <v>0</v>
      </c>
      <c r="K196" s="316">
        <v>0</v>
      </c>
      <c r="L196" s="316">
        <v>0</v>
      </c>
      <c r="M196" s="316">
        <v>7809.92</v>
      </c>
      <c r="N196" s="316">
        <v>0</v>
      </c>
      <c r="O196" s="316">
        <v>0</v>
      </c>
      <c r="P196" s="316">
        <v>0</v>
      </c>
      <c r="Q196" s="316">
        <v>0</v>
      </c>
      <c r="R196" s="316">
        <v>7809.92</v>
      </c>
      <c r="S196" s="316">
        <v>45000</v>
      </c>
    </row>
    <row r="197" spans="1:19" ht="15" customHeight="1" x14ac:dyDescent="0.25">
      <c r="A197" s="238" t="s">
        <v>1098</v>
      </c>
      <c r="B197" s="238" t="s">
        <v>711</v>
      </c>
      <c r="C197" s="238" t="s">
        <v>712</v>
      </c>
      <c r="D197" s="238" t="s">
        <v>704</v>
      </c>
      <c r="E197" s="238" t="s">
        <v>708</v>
      </c>
      <c r="F197" s="238" t="s">
        <v>701</v>
      </c>
      <c r="G197" s="238" t="s">
        <v>1116</v>
      </c>
      <c r="H197" s="316">
        <v>26628.1</v>
      </c>
      <c r="I197" s="316">
        <v>0</v>
      </c>
      <c r="J197" s="316">
        <v>0</v>
      </c>
      <c r="K197" s="316">
        <v>0</v>
      </c>
      <c r="L197" s="316">
        <v>0</v>
      </c>
      <c r="M197" s="316">
        <v>5591.9</v>
      </c>
      <c r="N197" s="316">
        <v>0</v>
      </c>
      <c r="O197" s="316">
        <v>0</v>
      </c>
      <c r="P197" s="316">
        <v>0</v>
      </c>
      <c r="Q197" s="316">
        <v>0</v>
      </c>
      <c r="R197" s="316">
        <v>5591.9</v>
      </c>
      <c r="S197" s="316">
        <v>32220</v>
      </c>
    </row>
    <row r="198" spans="1:19" ht="15" customHeight="1" x14ac:dyDescent="0.25">
      <c r="A198" s="238" t="s">
        <v>1098</v>
      </c>
      <c r="B198" s="238" t="s">
        <v>1117</v>
      </c>
      <c r="C198" s="238" t="s">
        <v>1118</v>
      </c>
      <c r="D198" s="238" t="s">
        <v>704</v>
      </c>
      <c r="E198" s="238" t="s">
        <v>708</v>
      </c>
      <c r="F198" s="238" t="s">
        <v>701</v>
      </c>
      <c r="G198" s="238" t="s">
        <v>1119</v>
      </c>
      <c r="H198" s="316">
        <v>34710.74</v>
      </c>
      <c r="I198" s="316">
        <v>0</v>
      </c>
      <c r="J198" s="316">
        <v>0</v>
      </c>
      <c r="K198" s="316">
        <v>0</v>
      </c>
      <c r="L198" s="316">
        <v>0</v>
      </c>
      <c r="M198" s="316">
        <v>7289.26</v>
      </c>
      <c r="N198" s="316">
        <v>0</v>
      </c>
      <c r="O198" s="316">
        <v>0</v>
      </c>
      <c r="P198" s="316">
        <v>0</v>
      </c>
      <c r="Q198" s="316">
        <v>0</v>
      </c>
      <c r="R198" s="316">
        <v>7289.26</v>
      </c>
      <c r="S198" s="316">
        <v>42000</v>
      </c>
    </row>
    <row r="199" spans="1:19" ht="15" customHeight="1" x14ac:dyDescent="0.25">
      <c r="A199" s="238" t="s">
        <v>1098</v>
      </c>
      <c r="B199" s="238" t="s">
        <v>711</v>
      </c>
      <c r="C199" s="238" t="s">
        <v>712</v>
      </c>
      <c r="D199" s="238" t="s">
        <v>704</v>
      </c>
      <c r="E199" s="238" t="s">
        <v>708</v>
      </c>
      <c r="F199" s="238" t="s">
        <v>701</v>
      </c>
      <c r="G199" s="238" t="s">
        <v>1120</v>
      </c>
      <c r="H199" s="316">
        <v>18595.04</v>
      </c>
      <c r="I199" s="316">
        <v>0</v>
      </c>
      <c r="J199" s="316">
        <v>0</v>
      </c>
      <c r="K199" s="316">
        <v>0</v>
      </c>
      <c r="L199" s="316">
        <v>0</v>
      </c>
      <c r="M199" s="316">
        <v>3904.96</v>
      </c>
      <c r="N199" s="316">
        <v>0</v>
      </c>
      <c r="O199" s="316">
        <v>0</v>
      </c>
      <c r="P199" s="316">
        <v>0</v>
      </c>
      <c r="Q199" s="316">
        <v>0</v>
      </c>
      <c r="R199" s="316">
        <v>3904.96</v>
      </c>
      <c r="S199" s="316">
        <v>22500</v>
      </c>
    </row>
    <row r="200" spans="1:19" ht="15" customHeight="1" x14ac:dyDescent="0.25">
      <c r="A200" s="238" t="s">
        <v>1098</v>
      </c>
      <c r="B200" s="238" t="s">
        <v>711</v>
      </c>
      <c r="C200" s="238" t="s">
        <v>712</v>
      </c>
      <c r="D200" s="238" t="s">
        <v>704</v>
      </c>
      <c r="E200" s="238" t="s">
        <v>708</v>
      </c>
      <c r="F200" s="238" t="s">
        <v>701</v>
      </c>
      <c r="G200" s="238" t="s">
        <v>1121</v>
      </c>
      <c r="H200" s="316">
        <v>37190.080000000002</v>
      </c>
      <c r="I200" s="316">
        <v>0</v>
      </c>
      <c r="J200" s="316">
        <v>0</v>
      </c>
      <c r="K200" s="316">
        <v>0</v>
      </c>
      <c r="L200" s="316">
        <v>0</v>
      </c>
      <c r="M200" s="316">
        <v>7809.92</v>
      </c>
      <c r="N200" s="316">
        <v>0</v>
      </c>
      <c r="O200" s="316">
        <v>0</v>
      </c>
      <c r="P200" s="316">
        <v>0</v>
      </c>
      <c r="Q200" s="316">
        <v>0</v>
      </c>
      <c r="R200" s="316">
        <v>7809.92</v>
      </c>
      <c r="S200" s="316">
        <v>45000</v>
      </c>
    </row>
    <row r="201" spans="1:19" ht="15" customHeight="1" x14ac:dyDescent="0.25">
      <c r="A201" s="238" t="s">
        <v>1098</v>
      </c>
      <c r="B201" s="238" t="s">
        <v>711</v>
      </c>
      <c r="C201" s="238" t="s">
        <v>712</v>
      </c>
      <c r="D201" s="238" t="s">
        <v>704</v>
      </c>
      <c r="E201" s="238" t="s">
        <v>708</v>
      </c>
      <c r="F201" s="238" t="s">
        <v>701</v>
      </c>
      <c r="G201" s="238" t="s">
        <v>1122</v>
      </c>
      <c r="H201" s="316">
        <v>24793.39</v>
      </c>
      <c r="I201" s="316">
        <v>0</v>
      </c>
      <c r="J201" s="316">
        <v>0</v>
      </c>
      <c r="K201" s="316">
        <v>0</v>
      </c>
      <c r="L201" s="316">
        <v>0</v>
      </c>
      <c r="M201" s="316">
        <v>5206.6099999999997</v>
      </c>
      <c r="N201" s="316">
        <v>0</v>
      </c>
      <c r="O201" s="316">
        <v>0</v>
      </c>
      <c r="P201" s="316">
        <v>0</v>
      </c>
      <c r="Q201" s="316">
        <v>0</v>
      </c>
      <c r="R201" s="316">
        <v>5206.6099999999997</v>
      </c>
      <c r="S201" s="316">
        <v>30000</v>
      </c>
    </row>
    <row r="202" spans="1:19" ht="15" customHeight="1" x14ac:dyDescent="0.25">
      <c r="A202" s="238" t="s">
        <v>1098</v>
      </c>
      <c r="B202" s="238" t="s">
        <v>711</v>
      </c>
      <c r="C202" s="238" t="s">
        <v>712</v>
      </c>
      <c r="D202" s="238" t="s">
        <v>704</v>
      </c>
      <c r="E202" s="238" t="s">
        <v>708</v>
      </c>
      <c r="F202" s="238" t="s">
        <v>701</v>
      </c>
      <c r="G202" s="238" t="s">
        <v>1124</v>
      </c>
      <c r="H202" s="316">
        <v>42975.21</v>
      </c>
      <c r="I202" s="316">
        <v>0</v>
      </c>
      <c r="J202" s="316">
        <v>0</v>
      </c>
      <c r="K202" s="316">
        <v>0</v>
      </c>
      <c r="L202" s="316">
        <v>0</v>
      </c>
      <c r="M202" s="316">
        <v>9024.7900000000009</v>
      </c>
      <c r="N202" s="316">
        <v>0</v>
      </c>
      <c r="O202" s="316">
        <v>0</v>
      </c>
      <c r="P202" s="316">
        <v>0</v>
      </c>
      <c r="Q202" s="316">
        <v>0</v>
      </c>
      <c r="R202" s="316">
        <v>9024.7900000000009</v>
      </c>
      <c r="S202" s="316">
        <v>52000</v>
      </c>
    </row>
    <row r="203" spans="1:19" ht="15" customHeight="1" x14ac:dyDescent="0.25">
      <c r="A203" s="238" t="s">
        <v>1098</v>
      </c>
      <c r="B203" s="238" t="s">
        <v>711</v>
      </c>
      <c r="C203" s="238" t="s">
        <v>712</v>
      </c>
      <c r="D203" s="238" t="s">
        <v>704</v>
      </c>
      <c r="E203" s="238" t="s">
        <v>708</v>
      </c>
      <c r="F203" s="238" t="s">
        <v>701</v>
      </c>
      <c r="G203" s="238" t="s">
        <v>1125</v>
      </c>
      <c r="H203" s="316">
        <v>5785.12</v>
      </c>
      <c r="I203" s="316">
        <v>0</v>
      </c>
      <c r="J203" s="316">
        <v>0</v>
      </c>
      <c r="K203" s="316">
        <v>0</v>
      </c>
      <c r="L203" s="316">
        <v>0</v>
      </c>
      <c r="M203" s="316">
        <v>1214.8800000000001</v>
      </c>
      <c r="N203" s="316">
        <v>0</v>
      </c>
      <c r="O203" s="316">
        <v>0</v>
      </c>
      <c r="P203" s="316">
        <v>0</v>
      </c>
      <c r="Q203" s="316">
        <v>0</v>
      </c>
      <c r="R203" s="316">
        <v>1214.8800000000001</v>
      </c>
      <c r="S203" s="316">
        <v>7000</v>
      </c>
    </row>
    <row r="204" spans="1:19" ht="15" customHeight="1" x14ac:dyDescent="0.25">
      <c r="A204" s="238" t="s">
        <v>1126</v>
      </c>
      <c r="B204" s="238" t="s">
        <v>711</v>
      </c>
      <c r="C204" s="238" t="s">
        <v>712</v>
      </c>
      <c r="D204" s="238" t="s">
        <v>704</v>
      </c>
      <c r="E204" s="238" t="s">
        <v>708</v>
      </c>
      <c r="F204" s="238" t="s">
        <v>701</v>
      </c>
      <c r="G204" s="238" t="s">
        <v>1127</v>
      </c>
      <c r="H204" s="316">
        <v>57851.24</v>
      </c>
      <c r="I204" s="316">
        <v>0</v>
      </c>
      <c r="J204" s="316">
        <v>0</v>
      </c>
      <c r="K204" s="316">
        <v>0</v>
      </c>
      <c r="L204" s="316">
        <v>0</v>
      </c>
      <c r="M204" s="316">
        <v>12148.76</v>
      </c>
      <c r="N204" s="316">
        <v>0</v>
      </c>
      <c r="O204" s="316">
        <v>0</v>
      </c>
      <c r="P204" s="316">
        <v>0</v>
      </c>
      <c r="Q204" s="316">
        <v>0</v>
      </c>
      <c r="R204" s="316">
        <v>12148.76</v>
      </c>
      <c r="S204" s="316">
        <v>70000</v>
      </c>
    </row>
    <row r="205" spans="1:19" ht="15" customHeight="1" x14ac:dyDescent="0.25">
      <c r="A205" s="238" t="s">
        <v>1126</v>
      </c>
      <c r="B205" s="238" t="s">
        <v>711</v>
      </c>
      <c r="C205" s="238" t="s">
        <v>712</v>
      </c>
      <c r="D205" s="238" t="s">
        <v>704</v>
      </c>
      <c r="E205" s="238" t="s">
        <v>708</v>
      </c>
      <c r="F205" s="238" t="s">
        <v>701</v>
      </c>
      <c r="G205" s="238" t="s">
        <v>1128</v>
      </c>
      <c r="H205" s="316">
        <v>15289.26</v>
      </c>
      <c r="I205" s="316">
        <v>0</v>
      </c>
      <c r="J205" s="316">
        <v>0</v>
      </c>
      <c r="K205" s="316">
        <v>0</v>
      </c>
      <c r="L205" s="316">
        <v>0</v>
      </c>
      <c r="M205" s="316">
        <v>3210.74</v>
      </c>
      <c r="N205" s="316">
        <v>0</v>
      </c>
      <c r="O205" s="316">
        <v>0</v>
      </c>
      <c r="P205" s="316">
        <v>0</v>
      </c>
      <c r="Q205" s="316">
        <v>0</v>
      </c>
      <c r="R205" s="316">
        <v>3210.74</v>
      </c>
      <c r="S205" s="316">
        <v>18500</v>
      </c>
    </row>
    <row r="206" spans="1:19" ht="15" customHeight="1" x14ac:dyDescent="0.25">
      <c r="A206" s="238" t="s">
        <v>1126</v>
      </c>
      <c r="B206" s="238" t="s">
        <v>711</v>
      </c>
      <c r="C206" s="238" t="s">
        <v>712</v>
      </c>
      <c r="D206" s="238" t="s">
        <v>704</v>
      </c>
      <c r="E206" s="238" t="s">
        <v>708</v>
      </c>
      <c r="F206" s="238" t="s">
        <v>701</v>
      </c>
      <c r="G206" s="238" t="s">
        <v>1129</v>
      </c>
      <c r="H206" s="316">
        <v>31818.18</v>
      </c>
      <c r="I206" s="316">
        <v>0</v>
      </c>
      <c r="J206" s="316">
        <v>0</v>
      </c>
      <c r="K206" s="316">
        <v>0</v>
      </c>
      <c r="L206" s="316">
        <v>0</v>
      </c>
      <c r="M206" s="316">
        <v>6681.82</v>
      </c>
      <c r="N206" s="316">
        <v>0</v>
      </c>
      <c r="O206" s="316">
        <v>0</v>
      </c>
      <c r="P206" s="316">
        <v>0</v>
      </c>
      <c r="Q206" s="316">
        <v>0</v>
      </c>
      <c r="R206" s="316">
        <v>6681.82</v>
      </c>
      <c r="S206" s="316">
        <v>38500</v>
      </c>
    </row>
    <row r="207" spans="1:19" ht="15" customHeight="1" x14ac:dyDescent="0.25">
      <c r="A207" s="238" t="s">
        <v>1126</v>
      </c>
      <c r="B207" s="238" t="s">
        <v>711</v>
      </c>
      <c r="C207" s="238" t="s">
        <v>712</v>
      </c>
      <c r="D207" s="238" t="s">
        <v>704</v>
      </c>
      <c r="E207" s="238" t="s">
        <v>708</v>
      </c>
      <c r="F207" s="238" t="s">
        <v>701</v>
      </c>
      <c r="G207" s="238" t="s">
        <v>1134</v>
      </c>
      <c r="H207" s="316">
        <v>20661.16</v>
      </c>
      <c r="I207" s="316">
        <v>0</v>
      </c>
      <c r="J207" s="316">
        <v>0</v>
      </c>
      <c r="K207" s="316">
        <v>0</v>
      </c>
      <c r="L207" s="316">
        <v>0</v>
      </c>
      <c r="M207" s="316">
        <v>4338.84</v>
      </c>
      <c r="N207" s="316">
        <v>0</v>
      </c>
      <c r="O207" s="316">
        <v>0</v>
      </c>
      <c r="P207" s="316">
        <v>0</v>
      </c>
      <c r="Q207" s="316">
        <v>0</v>
      </c>
      <c r="R207" s="316">
        <v>4338.84</v>
      </c>
      <c r="S207" s="316">
        <v>25000</v>
      </c>
    </row>
    <row r="208" spans="1:19" ht="15" customHeight="1" x14ac:dyDescent="0.25">
      <c r="A208" s="238" t="s">
        <v>1126</v>
      </c>
      <c r="B208" s="238" t="s">
        <v>711</v>
      </c>
      <c r="C208" s="238" t="s">
        <v>712</v>
      </c>
      <c r="D208" s="238" t="s">
        <v>704</v>
      </c>
      <c r="E208" s="238" t="s">
        <v>708</v>
      </c>
      <c r="F208" s="238" t="s">
        <v>701</v>
      </c>
      <c r="G208" s="238" t="s">
        <v>1135</v>
      </c>
      <c r="H208" s="316">
        <v>18595.04</v>
      </c>
      <c r="I208" s="316">
        <v>0</v>
      </c>
      <c r="J208" s="316">
        <v>0</v>
      </c>
      <c r="K208" s="316">
        <v>0</v>
      </c>
      <c r="L208" s="316">
        <v>0</v>
      </c>
      <c r="M208" s="316">
        <v>3904.96</v>
      </c>
      <c r="N208" s="316">
        <v>0</v>
      </c>
      <c r="O208" s="316">
        <v>0</v>
      </c>
      <c r="P208" s="316">
        <v>0</v>
      </c>
      <c r="Q208" s="316">
        <v>0</v>
      </c>
      <c r="R208" s="316">
        <v>3904.96</v>
      </c>
      <c r="S208" s="316">
        <v>22500</v>
      </c>
    </row>
    <row r="209" spans="1:19" ht="15" customHeight="1" x14ac:dyDescent="0.25">
      <c r="A209" s="238" t="s">
        <v>1126</v>
      </c>
      <c r="B209" s="238" t="s">
        <v>711</v>
      </c>
      <c r="C209" s="238" t="s">
        <v>712</v>
      </c>
      <c r="D209" s="238" t="s">
        <v>704</v>
      </c>
      <c r="E209" s="238" t="s">
        <v>708</v>
      </c>
      <c r="F209" s="238" t="s">
        <v>701</v>
      </c>
      <c r="G209" s="238" t="s">
        <v>1137</v>
      </c>
      <c r="H209" s="316">
        <v>24793.39</v>
      </c>
      <c r="I209" s="316">
        <v>0</v>
      </c>
      <c r="J209" s="316">
        <v>0</v>
      </c>
      <c r="K209" s="316">
        <v>0</v>
      </c>
      <c r="L209" s="316">
        <v>0</v>
      </c>
      <c r="M209" s="316">
        <v>5206.6099999999997</v>
      </c>
      <c r="N209" s="316">
        <v>0</v>
      </c>
      <c r="O209" s="316">
        <v>0</v>
      </c>
      <c r="P209" s="316">
        <v>0</v>
      </c>
      <c r="Q209" s="316">
        <v>0</v>
      </c>
      <c r="R209" s="316">
        <v>5206.6099999999997</v>
      </c>
      <c r="S209" s="316">
        <v>30000</v>
      </c>
    </row>
    <row r="210" spans="1:19" ht="15" customHeight="1" x14ac:dyDescent="0.25">
      <c r="A210" s="238" t="s">
        <v>1126</v>
      </c>
      <c r="B210" s="238" t="s">
        <v>711</v>
      </c>
      <c r="C210" s="238" t="s">
        <v>712</v>
      </c>
      <c r="D210" s="238" t="s">
        <v>704</v>
      </c>
      <c r="E210" s="238" t="s">
        <v>708</v>
      </c>
      <c r="F210" s="238" t="s">
        <v>701</v>
      </c>
      <c r="G210" s="238" t="s">
        <v>1138</v>
      </c>
      <c r="H210" s="316">
        <v>24793.39</v>
      </c>
      <c r="I210" s="316">
        <v>0</v>
      </c>
      <c r="J210" s="316">
        <v>0</v>
      </c>
      <c r="K210" s="316">
        <v>0</v>
      </c>
      <c r="L210" s="316">
        <v>0</v>
      </c>
      <c r="M210" s="316">
        <v>5206.6099999999997</v>
      </c>
      <c r="N210" s="316">
        <v>0</v>
      </c>
      <c r="O210" s="316">
        <v>0</v>
      </c>
      <c r="P210" s="316">
        <v>0</v>
      </c>
      <c r="Q210" s="316">
        <v>0</v>
      </c>
      <c r="R210" s="316">
        <v>5206.6099999999997</v>
      </c>
      <c r="S210" s="316">
        <v>30000</v>
      </c>
    </row>
    <row r="211" spans="1:19" ht="15" customHeight="1" x14ac:dyDescent="0.25">
      <c r="A211" s="238" t="s">
        <v>1126</v>
      </c>
      <c r="B211" s="238" t="s">
        <v>711</v>
      </c>
      <c r="C211" s="238" t="s">
        <v>712</v>
      </c>
      <c r="D211" s="238" t="s">
        <v>704</v>
      </c>
      <c r="E211" s="238" t="s">
        <v>708</v>
      </c>
      <c r="F211" s="238" t="s">
        <v>701</v>
      </c>
      <c r="G211" s="238" t="s">
        <v>1139</v>
      </c>
      <c r="H211" s="316">
        <v>60330.58</v>
      </c>
      <c r="I211" s="316">
        <v>0</v>
      </c>
      <c r="J211" s="316">
        <v>0</v>
      </c>
      <c r="K211" s="316">
        <v>0</v>
      </c>
      <c r="L211" s="316">
        <v>0</v>
      </c>
      <c r="M211" s="316">
        <v>12669.42</v>
      </c>
      <c r="N211" s="316">
        <v>0</v>
      </c>
      <c r="O211" s="316">
        <v>0</v>
      </c>
      <c r="P211" s="316">
        <v>0</v>
      </c>
      <c r="Q211" s="316">
        <v>0</v>
      </c>
      <c r="R211" s="316">
        <v>12669.42</v>
      </c>
      <c r="S211" s="316">
        <v>73000</v>
      </c>
    </row>
    <row r="212" spans="1:19" ht="15" customHeight="1" x14ac:dyDescent="0.25">
      <c r="A212" s="238" t="s">
        <v>1126</v>
      </c>
      <c r="B212" s="238" t="s">
        <v>711</v>
      </c>
      <c r="C212" s="238" t="s">
        <v>712</v>
      </c>
      <c r="D212" s="238" t="s">
        <v>704</v>
      </c>
      <c r="E212" s="238" t="s">
        <v>708</v>
      </c>
      <c r="F212" s="238" t="s">
        <v>701</v>
      </c>
      <c r="G212" s="238" t="s">
        <v>1140</v>
      </c>
      <c r="H212" s="316">
        <v>42975.21</v>
      </c>
      <c r="I212" s="316">
        <v>0</v>
      </c>
      <c r="J212" s="316">
        <v>0</v>
      </c>
      <c r="K212" s="316">
        <v>0</v>
      </c>
      <c r="L212" s="316">
        <v>0</v>
      </c>
      <c r="M212" s="316">
        <v>9024.7900000000009</v>
      </c>
      <c r="N212" s="316">
        <v>0</v>
      </c>
      <c r="O212" s="316">
        <v>0</v>
      </c>
      <c r="P212" s="316">
        <v>0</v>
      </c>
      <c r="Q212" s="316">
        <v>0</v>
      </c>
      <c r="R212" s="316">
        <v>9024.7900000000009</v>
      </c>
      <c r="S212" s="316">
        <v>52000</v>
      </c>
    </row>
    <row r="213" spans="1:19" ht="15" customHeight="1" x14ac:dyDescent="0.25">
      <c r="A213" s="238" t="s">
        <v>1126</v>
      </c>
      <c r="B213" s="238" t="s">
        <v>711</v>
      </c>
      <c r="C213" s="238" t="s">
        <v>712</v>
      </c>
      <c r="D213" s="238" t="s">
        <v>704</v>
      </c>
      <c r="E213" s="238" t="s">
        <v>708</v>
      </c>
      <c r="F213" s="238" t="s">
        <v>701</v>
      </c>
      <c r="G213" s="238" t="s">
        <v>1148</v>
      </c>
      <c r="H213" s="316">
        <v>16528.93</v>
      </c>
      <c r="I213" s="316">
        <v>0</v>
      </c>
      <c r="J213" s="316">
        <v>0</v>
      </c>
      <c r="K213" s="316">
        <v>0</v>
      </c>
      <c r="L213" s="316">
        <v>0</v>
      </c>
      <c r="M213" s="316">
        <v>3471.07</v>
      </c>
      <c r="N213" s="316">
        <v>0</v>
      </c>
      <c r="O213" s="316">
        <v>0</v>
      </c>
      <c r="P213" s="316">
        <v>0</v>
      </c>
      <c r="Q213" s="316">
        <v>0</v>
      </c>
      <c r="R213" s="316">
        <v>3471.07</v>
      </c>
      <c r="S213" s="316">
        <v>20000</v>
      </c>
    </row>
    <row r="214" spans="1:19" ht="15" customHeight="1" x14ac:dyDescent="0.25">
      <c r="A214" s="238" t="s">
        <v>1126</v>
      </c>
      <c r="B214" s="238" t="s">
        <v>711</v>
      </c>
      <c r="C214" s="238" t="s">
        <v>712</v>
      </c>
      <c r="D214" s="238" t="s">
        <v>704</v>
      </c>
      <c r="E214" s="238" t="s">
        <v>708</v>
      </c>
      <c r="F214" s="238" t="s">
        <v>701</v>
      </c>
      <c r="G214" s="238" t="s">
        <v>1152</v>
      </c>
      <c r="H214" s="316">
        <v>18595.04</v>
      </c>
      <c r="I214" s="316">
        <v>0</v>
      </c>
      <c r="J214" s="316">
        <v>0</v>
      </c>
      <c r="K214" s="316">
        <v>0</v>
      </c>
      <c r="L214" s="316">
        <v>0</v>
      </c>
      <c r="M214" s="316">
        <v>3904.96</v>
      </c>
      <c r="N214" s="316">
        <v>0</v>
      </c>
      <c r="O214" s="316">
        <v>0</v>
      </c>
      <c r="P214" s="316">
        <v>0</v>
      </c>
      <c r="Q214" s="316">
        <v>0</v>
      </c>
      <c r="R214" s="316">
        <v>3904.96</v>
      </c>
      <c r="S214" s="316">
        <v>22500</v>
      </c>
    </row>
    <row r="215" spans="1:19" ht="15" customHeight="1" x14ac:dyDescent="0.25">
      <c r="A215" s="238" t="s">
        <v>1126</v>
      </c>
      <c r="B215" s="238" t="s">
        <v>711</v>
      </c>
      <c r="C215" s="238" t="s">
        <v>712</v>
      </c>
      <c r="D215" s="238" t="s">
        <v>704</v>
      </c>
      <c r="E215" s="238" t="s">
        <v>708</v>
      </c>
      <c r="F215" s="238" t="s">
        <v>701</v>
      </c>
      <c r="G215" s="238" t="s">
        <v>1156</v>
      </c>
      <c r="H215" s="316">
        <v>10000</v>
      </c>
      <c r="I215" s="316">
        <v>0</v>
      </c>
      <c r="J215" s="316">
        <v>0</v>
      </c>
      <c r="K215" s="316">
        <v>0</v>
      </c>
      <c r="L215" s="316">
        <v>0</v>
      </c>
      <c r="M215" s="316">
        <v>2100</v>
      </c>
      <c r="N215" s="316">
        <v>0</v>
      </c>
      <c r="O215" s="316">
        <v>0</v>
      </c>
      <c r="P215" s="316">
        <v>0</v>
      </c>
      <c r="Q215" s="316">
        <v>0</v>
      </c>
      <c r="R215" s="316">
        <v>2100</v>
      </c>
      <c r="S215" s="316">
        <v>12100</v>
      </c>
    </row>
    <row r="216" spans="1:19" ht="15" customHeight="1" x14ac:dyDescent="0.25">
      <c r="A216" s="238" t="s">
        <v>1126</v>
      </c>
      <c r="B216" s="238" t="s">
        <v>711</v>
      </c>
      <c r="C216" s="238" t="s">
        <v>712</v>
      </c>
      <c r="D216" s="238" t="s">
        <v>704</v>
      </c>
      <c r="E216" s="238" t="s">
        <v>708</v>
      </c>
      <c r="F216" s="238" t="s">
        <v>701</v>
      </c>
      <c r="G216" s="238" t="s">
        <v>1159</v>
      </c>
      <c r="H216" s="316">
        <v>19173.55</v>
      </c>
      <c r="I216" s="316">
        <v>0</v>
      </c>
      <c r="J216" s="316">
        <v>0</v>
      </c>
      <c r="K216" s="316">
        <v>0</v>
      </c>
      <c r="L216" s="316">
        <v>0</v>
      </c>
      <c r="M216" s="316">
        <v>4026.45</v>
      </c>
      <c r="N216" s="316">
        <v>0</v>
      </c>
      <c r="O216" s="316">
        <v>0</v>
      </c>
      <c r="P216" s="316">
        <v>0</v>
      </c>
      <c r="Q216" s="316">
        <v>0</v>
      </c>
      <c r="R216" s="316">
        <v>4026.45</v>
      </c>
      <c r="S216" s="316">
        <v>23200</v>
      </c>
    </row>
    <row r="217" spans="1:19" ht="15" customHeight="1" x14ac:dyDescent="0.25">
      <c r="A217" s="238" t="s">
        <v>1126</v>
      </c>
      <c r="B217" s="238" t="s">
        <v>711</v>
      </c>
      <c r="C217" s="238" t="s">
        <v>712</v>
      </c>
      <c r="D217" s="238" t="s">
        <v>704</v>
      </c>
      <c r="E217" s="238" t="s">
        <v>708</v>
      </c>
      <c r="F217" s="238" t="s">
        <v>701</v>
      </c>
      <c r="G217" s="238" t="s">
        <v>1160</v>
      </c>
      <c r="H217" s="316">
        <v>61983.47</v>
      </c>
      <c r="I217" s="316">
        <v>0</v>
      </c>
      <c r="J217" s="316">
        <v>0</v>
      </c>
      <c r="K217" s="316">
        <v>0</v>
      </c>
      <c r="L217" s="316">
        <v>0</v>
      </c>
      <c r="M217" s="316">
        <v>13016.53</v>
      </c>
      <c r="N217" s="316">
        <v>0</v>
      </c>
      <c r="O217" s="316">
        <v>0</v>
      </c>
      <c r="P217" s="316">
        <v>0</v>
      </c>
      <c r="Q217" s="316">
        <v>0</v>
      </c>
      <c r="R217" s="316">
        <v>13016.53</v>
      </c>
      <c r="S217" s="316">
        <v>75000</v>
      </c>
    </row>
    <row r="218" spans="1:19" ht="15" customHeight="1" x14ac:dyDescent="0.25">
      <c r="A218" s="238" t="s">
        <v>1126</v>
      </c>
      <c r="B218" s="238" t="s">
        <v>711</v>
      </c>
      <c r="C218" s="238" t="s">
        <v>712</v>
      </c>
      <c r="D218" s="238" t="s">
        <v>704</v>
      </c>
      <c r="E218" s="238" t="s">
        <v>708</v>
      </c>
      <c r="F218" s="238" t="s">
        <v>701</v>
      </c>
      <c r="G218" s="238" t="s">
        <v>1163</v>
      </c>
      <c r="H218" s="316">
        <v>27272.73</v>
      </c>
      <c r="I218" s="316">
        <v>0</v>
      </c>
      <c r="J218" s="316">
        <v>0</v>
      </c>
      <c r="K218" s="316">
        <v>0</v>
      </c>
      <c r="L218" s="316">
        <v>0</v>
      </c>
      <c r="M218" s="316">
        <v>5727.27</v>
      </c>
      <c r="N218" s="316">
        <v>0</v>
      </c>
      <c r="O218" s="316">
        <v>0</v>
      </c>
      <c r="P218" s="316">
        <v>0</v>
      </c>
      <c r="Q218" s="316">
        <v>0</v>
      </c>
      <c r="R218" s="316">
        <v>5727.27</v>
      </c>
      <c r="S218" s="316">
        <v>33000</v>
      </c>
    </row>
    <row r="219" spans="1:19" ht="15" customHeight="1" x14ac:dyDescent="0.25">
      <c r="A219" s="238" t="s">
        <v>1164</v>
      </c>
      <c r="B219" s="238" t="s">
        <v>711</v>
      </c>
      <c r="C219" s="238" t="s">
        <v>712</v>
      </c>
      <c r="D219" s="238" t="s">
        <v>704</v>
      </c>
      <c r="E219" s="238" t="s">
        <v>708</v>
      </c>
      <c r="F219" s="238" t="s">
        <v>701</v>
      </c>
      <c r="G219" s="238" t="s">
        <v>1166</v>
      </c>
      <c r="H219" s="316">
        <v>7438.02</v>
      </c>
      <c r="I219" s="316">
        <v>0</v>
      </c>
      <c r="J219" s="316">
        <v>0</v>
      </c>
      <c r="K219" s="316">
        <v>0</v>
      </c>
      <c r="L219" s="316">
        <v>0</v>
      </c>
      <c r="M219" s="316">
        <v>1561.98</v>
      </c>
      <c r="N219" s="316">
        <v>0</v>
      </c>
      <c r="O219" s="316">
        <v>0</v>
      </c>
      <c r="P219" s="316">
        <v>0</v>
      </c>
      <c r="Q219" s="316">
        <v>0</v>
      </c>
      <c r="R219" s="316">
        <v>1561.98</v>
      </c>
      <c r="S219" s="316">
        <v>9000</v>
      </c>
    </row>
    <row r="220" spans="1:19" ht="15" customHeight="1" x14ac:dyDescent="0.25">
      <c r="A220" s="238" t="s">
        <v>1164</v>
      </c>
      <c r="B220" s="238" t="s">
        <v>711</v>
      </c>
      <c r="C220" s="238" t="s">
        <v>712</v>
      </c>
      <c r="D220" s="238" t="s">
        <v>704</v>
      </c>
      <c r="E220" s="238" t="s">
        <v>708</v>
      </c>
      <c r="F220" s="238" t="s">
        <v>701</v>
      </c>
      <c r="G220" s="238" t="s">
        <v>1167</v>
      </c>
      <c r="H220" s="316">
        <v>30578.51</v>
      </c>
      <c r="I220" s="316">
        <v>0</v>
      </c>
      <c r="J220" s="316">
        <v>0</v>
      </c>
      <c r="K220" s="316">
        <v>0</v>
      </c>
      <c r="L220" s="316">
        <v>0</v>
      </c>
      <c r="M220" s="316">
        <v>6421.49</v>
      </c>
      <c r="N220" s="316">
        <v>0</v>
      </c>
      <c r="O220" s="316">
        <v>0</v>
      </c>
      <c r="P220" s="316">
        <v>0</v>
      </c>
      <c r="Q220" s="316">
        <v>0</v>
      </c>
      <c r="R220" s="316">
        <v>6421.49</v>
      </c>
      <c r="S220" s="316">
        <v>37000</v>
      </c>
    </row>
    <row r="221" spans="1:19" ht="15" customHeight="1" x14ac:dyDescent="0.25">
      <c r="A221" s="238" t="s">
        <v>1164</v>
      </c>
      <c r="B221" s="238" t="s">
        <v>711</v>
      </c>
      <c r="C221" s="238" t="s">
        <v>712</v>
      </c>
      <c r="D221" s="238" t="s">
        <v>704</v>
      </c>
      <c r="E221" s="238" t="s">
        <v>708</v>
      </c>
      <c r="F221" s="238" t="s">
        <v>701</v>
      </c>
      <c r="G221" s="238" t="s">
        <v>1168</v>
      </c>
      <c r="H221" s="316">
        <v>28925.62</v>
      </c>
      <c r="I221" s="316">
        <v>0</v>
      </c>
      <c r="J221" s="316">
        <v>0</v>
      </c>
      <c r="K221" s="316">
        <v>0</v>
      </c>
      <c r="L221" s="316">
        <v>0</v>
      </c>
      <c r="M221" s="316">
        <v>6074.38</v>
      </c>
      <c r="N221" s="316">
        <v>0</v>
      </c>
      <c r="O221" s="316">
        <v>0</v>
      </c>
      <c r="P221" s="316">
        <v>0</v>
      </c>
      <c r="Q221" s="316">
        <v>0</v>
      </c>
      <c r="R221" s="316">
        <v>6074.38</v>
      </c>
      <c r="S221" s="316">
        <v>35000</v>
      </c>
    </row>
    <row r="222" spans="1:19" ht="15" customHeight="1" x14ac:dyDescent="0.25">
      <c r="A222" s="238" t="s">
        <v>1164</v>
      </c>
      <c r="B222" s="238" t="s">
        <v>711</v>
      </c>
      <c r="C222" s="238" t="s">
        <v>712</v>
      </c>
      <c r="D222" s="238" t="s">
        <v>704</v>
      </c>
      <c r="E222" s="238" t="s">
        <v>708</v>
      </c>
      <c r="F222" s="238" t="s">
        <v>701</v>
      </c>
      <c r="G222" s="238" t="s">
        <v>1169</v>
      </c>
      <c r="H222" s="316">
        <v>18595.04</v>
      </c>
      <c r="I222" s="316">
        <v>0</v>
      </c>
      <c r="J222" s="316">
        <v>0</v>
      </c>
      <c r="K222" s="316">
        <v>0</v>
      </c>
      <c r="L222" s="316">
        <v>0</v>
      </c>
      <c r="M222" s="316">
        <v>3904.96</v>
      </c>
      <c r="N222" s="316">
        <v>0</v>
      </c>
      <c r="O222" s="316">
        <v>0</v>
      </c>
      <c r="P222" s="316">
        <v>0</v>
      </c>
      <c r="Q222" s="316">
        <v>0</v>
      </c>
      <c r="R222" s="316">
        <v>3904.96</v>
      </c>
      <c r="S222" s="316">
        <v>22500</v>
      </c>
    </row>
    <row r="223" spans="1:19" ht="15" customHeight="1" x14ac:dyDescent="0.25">
      <c r="A223" s="238" t="s">
        <v>1164</v>
      </c>
      <c r="B223" s="238" t="s">
        <v>1170</v>
      </c>
      <c r="C223" s="238" t="s">
        <v>1171</v>
      </c>
      <c r="D223" s="238" t="s">
        <v>704</v>
      </c>
      <c r="E223" s="238" t="s">
        <v>708</v>
      </c>
      <c r="F223" s="238" t="s">
        <v>701</v>
      </c>
      <c r="G223" s="238" t="s">
        <v>1172</v>
      </c>
      <c r="H223" s="316">
        <v>30578.51</v>
      </c>
      <c r="I223" s="316">
        <v>0</v>
      </c>
      <c r="J223" s="316">
        <v>0</v>
      </c>
      <c r="K223" s="316">
        <v>0</v>
      </c>
      <c r="L223" s="316">
        <v>0</v>
      </c>
      <c r="M223" s="316">
        <v>6421.49</v>
      </c>
      <c r="N223" s="316">
        <v>0</v>
      </c>
      <c r="O223" s="316">
        <v>0</v>
      </c>
      <c r="P223" s="316">
        <v>0</v>
      </c>
      <c r="Q223" s="316">
        <v>0</v>
      </c>
      <c r="R223" s="316">
        <v>6421.49</v>
      </c>
      <c r="S223" s="316">
        <v>37000</v>
      </c>
    </row>
    <row r="224" spans="1:19" ht="15" customHeight="1" x14ac:dyDescent="0.25">
      <c r="A224" s="238" t="s">
        <v>1164</v>
      </c>
      <c r="B224" s="238" t="s">
        <v>711</v>
      </c>
      <c r="C224" s="238" t="s">
        <v>712</v>
      </c>
      <c r="D224" s="238" t="s">
        <v>704</v>
      </c>
      <c r="E224" s="238" t="s">
        <v>708</v>
      </c>
      <c r="F224" s="238" t="s">
        <v>701</v>
      </c>
      <c r="G224" s="238" t="s">
        <v>1173</v>
      </c>
      <c r="H224" s="316">
        <v>17933.88</v>
      </c>
      <c r="I224" s="316">
        <v>0</v>
      </c>
      <c r="J224" s="316">
        <v>0</v>
      </c>
      <c r="K224" s="316">
        <v>0</v>
      </c>
      <c r="L224" s="316">
        <v>0</v>
      </c>
      <c r="M224" s="316">
        <v>3766.12</v>
      </c>
      <c r="N224" s="316">
        <v>0</v>
      </c>
      <c r="O224" s="316">
        <v>0</v>
      </c>
      <c r="P224" s="316">
        <v>0</v>
      </c>
      <c r="Q224" s="316">
        <v>0</v>
      </c>
      <c r="R224" s="316">
        <v>3766.12</v>
      </c>
      <c r="S224" s="316">
        <v>21700</v>
      </c>
    </row>
    <row r="225" spans="1:19" ht="15" customHeight="1" x14ac:dyDescent="0.25">
      <c r="A225" s="238" t="s">
        <v>1164</v>
      </c>
      <c r="B225" s="238" t="s">
        <v>711</v>
      </c>
      <c r="C225" s="238" t="s">
        <v>712</v>
      </c>
      <c r="D225" s="238" t="s">
        <v>704</v>
      </c>
      <c r="E225" s="238" t="s">
        <v>708</v>
      </c>
      <c r="F225" s="238" t="s">
        <v>701</v>
      </c>
      <c r="G225" s="238" t="s">
        <v>1174</v>
      </c>
      <c r="H225" s="316">
        <v>16859.5</v>
      </c>
      <c r="I225" s="316">
        <v>0</v>
      </c>
      <c r="J225" s="316">
        <v>0</v>
      </c>
      <c r="K225" s="316">
        <v>0</v>
      </c>
      <c r="L225" s="316">
        <v>0</v>
      </c>
      <c r="M225" s="316">
        <v>3540.5</v>
      </c>
      <c r="N225" s="316">
        <v>0</v>
      </c>
      <c r="O225" s="316">
        <v>0</v>
      </c>
      <c r="P225" s="316">
        <v>0</v>
      </c>
      <c r="Q225" s="316">
        <v>0</v>
      </c>
      <c r="R225" s="316">
        <v>3540.5</v>
      </c>
      <c r="S225" s="316">
        <v>20400</v>
      </c>
    </row>
    <row r="226" spans="1:19" ht="15" customHeight="1" x14ac:dyDescent="0.25">
      <c r="A226" s="238" t="s">
        <v>1164</v>
      </c>
      <c r="B226" s="238" t="s">
        <v>711</v>
      </c>
      <c r="C226" s="238" t="s">
        <v>712</v>
      </c>
      <c r="D226" s="238" t="s">
        <v>704</v>
      </c>
      <c r="E226" s="238" t="s">
        <v>708</v>
      </c>
      <c r="F226" s="238" t="s">
        <v>701</v>
      </c>
      <c r="G226" s="238" t="s">
        <v>1176</v>
      </c>
      <c r="H226" s="316">
        <v>18595.04</v>
      </c>
      <c r="I226" s="316">
        <v>0</v>
      </c>
      <c r="J226" s="316">
        <v>0</v>
      </c>
      <c r="K226" s="316">
        <v>0</v>
      </c>
      <c r="L226" s="316">
        <v>0</v>
      </c>
      <c r="M226" s="316">
        <v>3904.96</v>
      </c>
      <c r="N226" s="316">
        <v>0</v>
      </c>
      <c r="O226" s="316">
        <v>0</v>
      </c>
      <c r="P226" s="316">
        <v>0</v>
      </c>
      <c r="Q226" s="316">
        <v>0</v>
      </c>
      <c r="R226" s="316">
        <v>3904.96</v>
      </c>
      <c r="S226" s="316">
        <v>22500</v>
      </c>
    </row>
    <row r="227" spans="1:19" ht="15" customHeight="1" x14ac:dyDescent="0.25">
      <c r="A227" s="238" t="s">
        <v>1164</v>
      </c>
      <c r="B227" s="238" t="s">
        <v>711</v>
      </c>
      <c r="C227" s="238" t="s">
        <v>712</v>
      </c>
      <c r="D227" s="238" t="s">
        <v>704</v>
      </c>
      <c r="E227" s="238" t="s">
        <v>708</v>
      </c>
      <c r="F227" s="238" t="s">
        <v>701</v>
      </c>
      <c r="G227" s="238" t="s">
        <v>1177</v>
      </c>
      <c r="H227" s="316">
        <v>32231.4</v>
      </c>
      <c r="I227" s="316">
        <v>0</v>
      </c>
      <c r="J227" s="316">
        <v>0</v>
      </c>
      <c r="K227" s="316">
        <v>0</v>
      </c>
      <c r="L227" s="316">
        <v>0</v>
      </c>
      <c r="M227" s="316">
        <v>6768.6</v>
      </c>
      <c r="N227" s="316">
        <v>0</v>
      </c>
      <c r="O227" s="316">
        <v>0</v>
      </c>
      <c r="P227" s="316">
        <v>0</v>
      </c>
      <c r="Q227" s="316">
        <v>0</v>
      </c>
      <c r="R227" s="316">
        <v>6768.6</v>
      </c>
      <c r="S227" s="316">
        <v>39000</v>
      </c>
    </row>
    <row r="228" spans="1:19" ht="15" customHeight="1" x14ac:dyDescent="0.25">
      <c r="A228" s="238" t="s">
        <v>1164</v>
      </c>
      <c r="B228" s="238" t="s">
        <v>711</v>
      </c>
      <c r="C228" s="238" t="s">
        <v>712</v>
      </c>
      <c r="D228" s="238" t="s">
        <v>704</v>
      </c>
      <c r="E228" s="238" t="s">
        <v>708</v>
      </c>
      <c r="F228" s="238" t="s">
        <v>701</v>
      </c>
      <c r="G228" s="238" t="s">
        <v>1178</v>
      </c>
      <c r="H228" s="316">
        <v>53553.72</v>
      </c>
      <c r="I228" s="316">
        <v>0</v>
      </c>
      <c r="J228" s="316">
        <v>0</v>
      </c>
      <c r="K228" s="316">
        <v>0</v>
      </c>
      <c r="L228" s="316">
        <v>0</v>
      </c>
      <c r="M228" s="316">
        <v>11246.28</v>
      </c>
      <c r="N228" s="316">
        <v>0</v>
      </c>
      <c r="O228" s="316">
        <v>0</v>
      </c>
      <c r="P228" s="316">
        <v>0</v>
      </c>
      <c r="Q228" s="316">
        <v>0</v>
      </c>
      <c r="R228" s="316">
        <v>11246.28</v>
      </c>
      <c r="S228" s="316">
        <v>64800</v>
      </c>
    </row>
    <row r="229" spans="1:19" ht="15" customHeight="1" x14ac:dyDescent="0.25">
      <c r="A229" s="238" t="s">
        <v>1164</v>
      </c>
      <c r="B229" s="238" t="s">
        <v>711</v>
      </c>
      <c r="C229" s="238" t="s">
        <v>712</v>
      </c>
      <c r="D229" s="238" t="s">
        <v>704</v>
      </c>
      <c r="E229" s="238" t="s">
        <v>708</v>
      </c>
      <c r="F229" s="238" t="s">
        <v>701</v>
      </c>
      <c r="G229" s="238" t="s">
        <v>1179</v>
      </c>
      <c r="H229" s="316">
        <v>53553.72</v>
      </c>
      <c r="I229" s="316">
        <v>0</v>
      </c>
      <c r="J229" s="316">
        <v>0</v>
      </c>
      <c r="K229" s="316">
        <v>0</v>
      </c>
      <c r="L229" s="316">
        <v>0</v>
      </c>
      <c r="M229" s="316">
        <v>11246.28</v>
      </c>
      <c r="N229" s="316">
        <v>0</v>
      </c>
      <c r="O229" s="316">
        <v>0</v>
      </c>
      <c r="P229" s="316">
        <v>0</v>
      </c>
      <c r="Q229" s="316">
        <v>0</v>
      </c>
      <c r="R229" s="316">
        <v>11246.28</v>
      </c>
      <c r="S229" s="316">
        <v>64800</v>
      </c>
    </row>
    <row r="230" spans="1:19" ht="15" customHeight="1" x14ac:dyDescent="0.25">
      <c r="A230" s="238" t="s">
        <v>1164</v>
      </c>
      <c r="B230" s="238" t="s">
        <v>711</v>
      </c>
      <c r="C230" s="238" t="s">
        <v>712</v>
      </c>
      <c r="D230" s="238" t="s">
        <v>704</v>
      </c>
      <c r="E230" s="238" t="s">
        <v>708</v>
      </c>
      <c r="F230" s="238" t="s">
        <v>701</v>
      </c>
      <c r="G230" s="238" t="s">
        <v>1180</v>
      </c>
      <c r="H230" s="316">
        <v>24793.39</v>
      </c>
      <c r="I230" s="316">
        <v>0</v>
      </c>
      <c r="J230" s="316">
        <v>0</v>
      </c>
      <c r="K230" s="316">
        <v>0</v>
      </c>
      <c r="L230" s="316">
        <v>0</v>
      </c>
      <c r="M230" s="316">
        <v>5206.6099999999997</v>
      </c>
      <c r="N230" s="316">
        <v>0</v>
      </c>
      <c r="O230" s="316">
        <v>0</v>
      </c>
      <c r="P230" s="316">
        <v>0</v>
      </c>
      <c r="Q230" s="316">
        <v>0</v>
      </c>
      <c r="R230" s="316">
        <v>5206.6099999999997</v>
      </c>
      <c r="S230" s="316">
        <v>30000</v>
      </c>
    </row>
    <row r="231" spans="1:19" ht="15" customHeight="1" x14ac:dyDescent="0.25">
      <c r="A231" s="238" t="s">
        <v>1164</v>
      </c>
      <c r="B231" s="238" t="s">
        <v>711</v>
      </c>
      <c r="C231" s="238" t="s">
        <v>712</v>
      </c>
      <c r="D231" s="238" t="s">
        <v>704</v>
      </c>
      <c r="E231" s="238" t="s">
        <v>708</v>
      </c>
      <c r="F231" s="238" t="s">
        <v>701</v>
      </c>
      <c r="G231" s="238" t="s">
        <v>1181</v>
      </c>
      <c r="H231" s="316">
        <v>12396.69</v>
      </c>
      <c r="I231" s="316">
        <v>0</v>
      </c>
      <c r="J231" s="316">
        <v>0</v>
      </c>
      <c r="K231" s="316">
        <v>0</v>
      </c>
      <c r="L231" s="316">
        <v>0</v>
      </c>
      <c r="M231" s="316">
        <v>2603.31</v>
      </c>
      <c r="N231" s="316">
        <v>0</v>
      </c>
      <c r="O231" s="316">
        <v>0</v>
      </c>
      <c r="P231" s="316">
        <v>0</v>
      </c>
      <c r="Q231" s="316">
        <v>0</v>
      </c>
      <c r="R231" s="316">
        <v>2603.31</v>
      </c>
      <c r="S231" s="316">
        <v>15000</v>
      </c>
    </row>
    <row r="232" spans="1:19" ht="15" customHeight="1" x14ac:dyDescent="0.25">
      <c r="A232" s="238" t="s">
        <v>1164</v>
      </c>
      <c r="B232" s="238" t="s">
        <v>711</v>
      </c>
      <c r="C232" s="238" t="s">
        <v>712</v>
      </c>
      <c r="D232" s="238" t="s">
        <v>704</v>
      </c>
      <c r="E232" s="238" t="s">
        <v>708</v>
      </c>
      <c r="F232" s="238" t="s">
        <v>701</v>
      </c>
      <c r="G232" s="238" t="s">
        <v>1182</v>
      </c>
      <c r="H232" s="316">
        <v>22314.05</v>
      </c>
      <c r="I232" s="316">
        <v>0</v>
      </c>
      <c r="J232" s="316">
        <v>0</v>
      </c>
      <c r="K232" s="316">
        <v>0</v>
      </c>
      <c r="L232" s="316">
        <v>0</v>
      </c>
      <c r="M232" s="316">
        <v>4685.95</v>
      </c>
      <c r="N232" s="316">
        <v>0</v>
      </c>
      <c r="O232" s="316">
        <v>0</v>
      </c>
      <c r="P232" s="316">
        <v>0</v>
      </c>
      <c r="Q232" s="316">
        <v>0</v>
      </c>
      <c r="R232" s="316">
        <v>4685.95</v>
      </c>
      <c r="S232" s="316">
        <v>27000</v>
      </c>
    </row>
    <row r="233" spans="1:19" ht="15" customHeight="1" x14ac:dyDescent="0.25">
      <c r="A233" s="238" t="s">
        <v>1164</v>
      </c>
      <c r="B233" s="238" t="s">
        <v>711</v>
      </c>
      <c r="C233" s="238" t="s">
        <v>712</v>
      </c>
      <c r="D233" s="238" t="s">
        <v>704</v>
      </c>
      <c r="E233" s="238" t="s">
        <v>708</v>
      </c>
      <c r="F233" s="238" t="s">
        <v>701</v>
      </c>
      <c r="G233" s="238" t="s">
        <v>1183</v>
      </c>
      <c r="H233" s="316">
        <v>16528.93</v>
      </c>
      <c r="I233" s="316">
        <v>0</v>
      </c>
      <c r="J233" s="316">
        <v>0</v>
      </c>
      <c r="K233" s="316">
        <v>0</v>
      </c>
      <c r="L233" s="316">
        <v>0</v>
      </c>
      <c r="M233" s="316">
        <v>3471.07</v>
      </c>
      <c r="N233" s="316">
        <v>0</v>
      </c>
      <c r="O233" s="316">
        <v>0</v>
      </c>
      <c r="P233" s="316">
        <v>0</v>
      </c>
      <c r="Q233" s="316">
        <v>0</v>
      </c>
      <c r="R233" s="316">
        <v>3471.07</v>
      </c>
      <c r="S233" s="316">
        <v>20000</v>
      </c>
    </row>
    <row r="234" spans="1:19" ht="15" customHeight="1" x14ac:dyDescent="0.25">
      <c r="A234" s="238" t="s">
        <v>1164</v>
      </c>
      <c r="B234" s="238" t="s">
        <v>711</v>
      </c>
      <c r="C234" s="238" t="s">
        <v>712</v>
      </c>
      <c r="D234" s="238" t="s">
        <v>704</v>
      </c>
      <c r="E234" s="238" t="s">
        <v>708</v>
      </c>
      <c r="F234" s="238" t="s">
        <v>701</v>
      </c>
      <c r="G234" s="238" t="s">
        <v>1184</v>
      </c>
      <c r="H234" s="316">
        <v>39669.42</v>
      </c>
      <c r="I234" s="316">
        <v>0</v>
      </c>
      <c r="J234" s="316">
        <v>0</v>
      </c>
      <c r="K234" s="316">
        <v>0</v>
      </c>
      <c r="L234" s="316">
        <v>0</v>
      </c>
      <c r="M234" s="316">
        <v>8330.58</v>
      </c>
      <c r="N234" s="316">
        <v>0</v>
      </c>
      <c r="O234" s="316">
        <v>0</v>
      </c>
      <c r="P234" s="316">
        <v>0</v>
      </c>
      <c r="Q234" s="316">
        <v>0</v>
      </c>
      <c r="R234" s="316">
        <v>8330.58</v>
      </c>
      <c r="S234" s="316">
        <v>48000</v>
      </c>
    </row>
    <row r="235" spans="1:19" ht="15" customHeight="1" x14ac:dyDescent="0.25">
      <c r="A235" s="238" t="s">
        <v>1164</v>
      </c>
      <c r="B235" s="238" t="s">
        <v>711</v>
      </c>
      <c r="C235" s="238" t="s">
        <v>712</v>
      </c>
      <c r="D235" s="238" t="s">
        <v>704</v>
      </c>
      <c r="E235" s="238" t="s">
        <v>708</v>
      </c>
      <c r="F235" s="238" t="s">
        <v>701</v>
      </c>
      <c r="G235" s="238" t="s">
        <v>1185</v>
      </c>
      <c r="H235" s="316">
        <v>23966.94</v>
      </c>
      <c r="I235" s="316">
        <v>0</v>
      </c>
      <c r="J235" s="316">
        <v>0</v>
      </c>
      <c r="K235" s="316">
        <v>0</v>
      </c>
      <c r="L235" s="316">
        <v>0</v>
      </c>
      <c r="M235" s="316">
        <v>5033.0600000000004</v>
      </c>
      <c r="N235" s="316">
        <v>0</v>
      </c>
      <c r="O235" s="316">
        <v>0</v>
      </c>
      <c r="P235" s="316">
        <v>0</v>
      </c>
      <c r="Q235" s="316">
        <v>0</v>
      </c>
      <c r="R235" s="316">
        <v>5033.0600000000004</v>
      </c>
      <c r="S235" s="316">
        <v>29000</v>
      </c>
    </row>
    <row r="236" spans="1:19" ht="15" customHeight="1" x14ac:dyDescent="0.25">
      <c r="A236" s="238" t="s">
        <v>1164</v>
      </c>
      <c r="B236" s="238" t="s">
        <v>1186</v>
      </c>
      <c r="C236" s="238" t="s">
        <v>1187</v>
      </c>
      <c r="D236" s="238" t="s">
        <v>704</v>
      </c>
      <c r="E236" s="238" t="s">
        <v>708</v>
      </c>
      <c r="F236" s="238" t="s">
        <v>701</v>
      </c>
      <c r="G236" s="238" t="s">
        <v>1188</v>
      </c>
      <c r="H236" s="316">
        <v>47933.88</v>
      </c>
      <c r="I236" s="316">
        <v>0</v>
      </c>
      <c r="J236" s="316">
        <v>0</v>
      </c>
      <c r="K236" s="316">
        <v>0</v>
      </c>
      <c r="L236" s="316">
        <v>0</v>
      </c>
      <c r="M236" s="316">
        <v>10066.120000000001</v>
      </c>
      <c r="N236" s="316">
        <v>0</v>
      </c>
      <c r="O236" s="316">
        <v>0</v>
      </c>
      <c r="P236" s="316">
        <v>0</v>
      </c>
      <c r="Q236" s="316">
        <v>0</v>
      </c>
      <c r="R236" s="316">
        <v>10066.120000000001</v>
      </c>
      <c r="S236" s="316">
        <v>58000</v>
      </c>
    </row>
    <row r="237" spans="1:19" ht="15" customHeight="1" x14ac:dyDescent="0.25">
      <c r="A237" s="238" t="s">
        <v>1191</v>
      </c>
      <c r="B237" s="238" t="s">
        <v>711</v>
      </c>
      <c r="C237" s="238" t="s">
        <v>712</v>
      </c>
      <c r="D237" s="238" t="s">
        <v>704</v>
      </c>
      <c r="E237" s="238" t="s">
        <v>708</v>
      </c>
      <c r="F237" s="238" t="s">
        <v>701</v>
      </c>
      <c r="G237" s="238" t="s">
        <v>1194</v>
      </c>
      <c r="H237" s="316">
        <v>16859.5</v>
      </c>
      <c r="I237" s="316">
        <v>0</v>
      </c>
      <c r="J237" s="316">
        <v>0</v>
      </c>
      <c r="K237" s="316">
        <v>0</v>
      </c>
      <c r="L237" s="316">
        <v>0</v>
      </c>
      <c r="M237" s="316">
        <v>3540.5</v>
      </c>
      <c r="N237" s="316">
        <v>0</v>
      </c>
      <c r="O237" s="316">
        <v>0</v>
      </c>
      <c r="P237" s="316">
        <v>0</v>
      </c>
      <c r="Q237" s="316">
        <v>0</v>
      </c>
      <c r="R237" s="316">
        <v>3540.5</v>
      </c>
      <c r="S237" s="316">
        <v>20400</v>
      </c>
    </row>
    <row r="238" spans="1:19" ht="15" customHeight="1" x14ac:dyDescent="0.25">
      <c r="A238" s="238" t="s">
        <v>1191</v>
      </c>
      <c r="B238" s="238" t="s">
        <v>711</v>
      </c>
      <c r="C238" s="238" t="s">
        <v>712</v>
      </c>
      <c r="D238" s="238" t="s">
        <v>704</v>
      </c>
      <c r="E238" s="238" t="s">
        <v>708</v>
      </c>
      <c r="F238" s="238" t="s">
        <v>701</v>
      </c>
      <c r="G238" s="238" t="s">
        <v>1195</v>
      </c>
      <c r="H238" s="316">
        <v>18595.04</v>
      </c>
      <c r="I238" s="316">
        <v>0</v>
      </c>
      <c r="J238" s="316">
        <v>0</v>
      </c>
      <c r="K238" s="316">
        <v>0</v>
      </c>
      <c r="L238" s="316">
        <v>0</v>
      </c>
      <c r="M238" s="316">
        <v>3904.96</v>
      </c>
      <c r="N238" s="316">
        <v>0</v>
      </c>
      <c r="O238" s="316">
        <v>0</v>
      </c>
      <c r="P238" s="316">
        <v>0</v>
      </c>
      <c r="Q238" s="316">
        <v>0</v>
      </c>
      <c r="R238" s="316">
        <v>3904.96</v>
      </c>
      <c r="S238" s="316">
        <v>22500</v>
      </c>
    </row>
    <row r="239" spans="1:19" ht="15" customHeight="1" x14ac:dyDescent="0.25">
      <c r="A239" s="238" t="s">
        <v>1191</v>
      </c>
      <c r="B239" s="238" t="s">
        <v>1201</v>
      </c>
      <c r="C239" s="238" t="s">
        <v>1202</v>
      </c>
      <c r="D239" s="238" t="s">
        <v>704</v>
      </c>
      <c r="E239" s="238" t="s">
        <v>708</v>
      </c>
      <c r="F239" s="238" t="s">
        <v>701</v>
      </c>
      <c r="G239" s="238" t="s">
        <v>1203</v>
      </c>
      <c r="H239" s="316">
        <v>43801.65</v>
      </c>
      <c r="I239" s="316">
        <v>0</v>
      </c>
      <c r="J239" s="316">
        <v>0</v>
      </c>
      <c r="K239" s="316">
        <v>0</v>
      </c>
      <c r="L239" s="316">
        <v>0</v>
      </c>
      <c r="M239" s="316">
        <v>9198.35</v>
      </c>
      <c r="N239" s="316">
        <v>0</v>
      </c>
      <c r="O239" s="316">
        <v>0</v>
      </c>
      <c r="P239" s="316">
        <v>0</v>
      </c>
      <c r="Q239" s="316">
        <v>0</v>
      </c>
      <c r="R239" s="316">
        <v>9198.35</v>
      </c>
      <c r="S239" s="316">
        <v>53000</v>
      </c>
    </row>
    <row r="240" spans="1:19" ht="15" customHeight="1" x14ac:dyDescent="0.25">
      <c r="A240" s="238" t="s">
        <v>1191</v>
      </c>
      <c r="B240" s="238" t="s">
        <v>711</v>
      </c>
      <c r="C240" s="238" t="s">
        <v>712</v>
      </c>
      <c r="D240" s="238" t="s">
        <v>704</v>
      </c>
      <c r="E240" s="238" t="s">
        <v>708</v>
      </c>
      <c r="F240" s="238" t="s">
        <v>701</v>
      </c>
      <c r="G240" s="238" t="s">
        <v>1207</v>
      </c>
      <c r="H240" s="316">
        <v>24793.39</v>
      </c>
      <c r="I240" s="316">
        <v>0</v>
      </c>
      <c r="J240" s="316">
        <v>0</v>
      </c>
      <c r="K240" s="316">
        <v>0</v>
      </c>
      <c r="L240" s="316">
        <v>0</v>
      </c>
      <c r="M240" s="316">
        <v>5206.6099999999997</v>
      </c>
      <c r="N240" s="316">
        <v>0</v>
      </c>
      <c r="O240" s="316">
        <v>0</v>
      </c>
      <c r="P240" s="316">
        <v>0</v>
      </c>
      <c r="Q240" s="316">
        <v>0</v>
      </c>
      <c r="R240" s="316">
        <v>5206.6099999999997</v>
      </c>
      <c r="S240" s="316">
        <v>30000</v>
      </c>
    </row>
    <row r="241" spans="1:19" ht="15" customHeight="1" x14ac:dyDescent="0.25">
      <c r="A241" s="238" t="s">
        <v>1191</v>
      </c>
      <c r="B241" s="238" t="s">
        <v>711</v>
      </c>
      <c r="C241" s="238" t="s">
        <v>712</v>
      </c>
      <c r="D241" s="238" t="s">
        <v>704</v>
      </c>
      <c r="E241" s="238" t="s">
        <v>708</v>
      </c>
      <c r="F241" s="238" t="s">
        <v>701</v>
      </c>
      <c r="G241" s="238" t="s">
        <v>1213</v>
      </c>
      <c r="H241" s="316">
        <v>28925.62</v>
      </c>
      <c r="I241" s="316">
        <v>0</v>
      </c>
      <c r="J241" s="316">
        <v>0</v>
      </c>
      <c r="K241" s="316">
        <v>0</v>
      </c>
      <c r="L241" s="316">
        <v>0</v>
      </c>
      <c r="M241" s="316">
        <v>6074.38</v>
      </c>
      <c r="N241" s="316">
        <v>0</v>
      </c>
      <c r="O241" s="316">
        <v>0</v>
      </c>
      <c r="P241" s="316">
        <v>0</v>
      </c>
      <c r="Q241" s="316">
        <v>0</v>
      </c>
      <c r="R241" s="316">
        <v>6074.38</v>
      </c>
      <c r="S241" s="316">
        <v>35000</v>
      </c>
    </row>
    <row r="242" spans="1:19" ht="15" customHeight="1" x14ac:dyDescent="0.25">
      <c r="A242" s="238" t="s">
        <v>1191</v>
      </c>
      <c r="B242" s="238" t="s">
        <v>711</v>
      </c>
      <c r="C242" s="238" t="s">
        <v>712</v>
      </c>
      <c r="D242" s="238" t="s">
        <v>704</v>
      </c>
      <c r="E242" s="238" t="s">
        <v>708</v>
      </c>
      <c r="F242" s="238" t="s">
        <v>701</v>
      </c>
      <c r="G242" s="238" t="s">
        <v>1214</v>
      </c>
      <c r="H242" s="316">
        <v>16528.93</v>
      </c>
      <c r="I242" s="316">
        <v>0</v>
      </c>
      <c r="J242" s="316">
        <v>0</v>
      </c>
      <c r="K242" s="316">
        <v>0</v>
      </c>
      <c r="L242" s="316">
        <v>0</v>
      </c>
      <c r="M242" s="316">
        <v>3471.07</v>
      </c>
      <c r="N242" s="316">
        <v>0</v>
      </c>
      <c r="O242" s="316">
        <v>0</v>
      </c>
      <c r="P242" s="316">
        <v>0</v>
      </c>
      <c r="Q242" s="316">
        <v>0</v>
      </c>
      <c r="R242" s="316">
        <v>3471.07</v>
      </c>
      <c r="S242" s="316">
        <v>20000</v>
      </c>
    </row>
    <row r="243" spans="1:19" ht="15" customHeight="1" x14ac:dyDescent="0.25">
      <c r="A243" s="238" t="s">
        <v>1191</v>
      </c>
      <c r="B243" s="238" t="s">
        <v>711</v>
      </c>
      <c r="C243" s="238" t="s">
        <v>712</v>
      </c>
      <c r="D243" s="238" t="s">
        <v>704</v>
      </c>
      <c r="E243" s="238" t="s">
        <v>708</v>
      </c>
      <c r="F243" s="238" t="s">
        <v>701</v>
      </c>
      <c r="G243" s="238" t="s">
        <v>1218</v>
      </c>
      <c r="H243" s="316">
        <v>47933.88</v>
      </c>
      <c r="I243" s="316">
        <v>0</v>
      </c>
      <c r="J243" s="316">
        <v>0</v>
      </c>
      <c r="K243" s="316">
        <v>0</v>
      </c>
      <c r="L243" s="316">
        <v>0</v>
      </c>
      <c r="M243" s="316">
        <v>10066.120000000001</v>
      </c>
      <c r="N243" s="316">
        <v>0</v>
      </c>
      <c r="O243" s="316">
        <v>0</v>
      </c>
      <c r="P243" s="316">
        <v>0</v>
      </c>
      <c r="Q243" s="316">
        <v>0</v>
      </c>
      <c r="R243" s="316">
        <v>10066.120000000001</v>
      </c>
      <c r="S243" s="316">
        <v>58000</v>
      </c>
    </row>
    <row r="244" spans="1:19" ht="15" customHeight="1" x14ac:dyDescent="0.25">
      <c r="A244" s="238" t="s">
        <v>1191</v>
      </c>
      <c r="B244" s="238" t="s">
        <v>711</v>
      </c>
      <c r="C244" s="238" t="s">
        <v>712</v>
      </c>
      <c r="D244" s="238" t="s">
        <v>704</v>
      </c>
      <c r="E244" s="238" t="s">
        <v>708</v>
      </c>
      <c r="F244" s="238" t="s">
        <v>701</v>
      </c>
      <c r="G244" s="238" t="s">
        <v>1219</v>
      </c>
      <c r="H244" s="316">
        <v>27520.66</v>
      </c>
      <c r="I244" s="316">
        <v>0</v>
      </c>
      <c r="J244" s="316">
        <v>0</v>
      </c>
      <c r="K244" s="316">
        <v>0</v>
      </c>
      <c r="L244" s="316">
        <v>0</v>
      </c>
      <c r="M244" s="316">
        <v>5779.34</v>
      </c>
      <c r="N244" s="316">
        <v>0</v>
      </c>
      <c r="O244" s="316">
        <v>0</v>
      </c>
      <c r="P244" s="316">
        <v>0</v>
      </c>
      <c r="Q244" s="316">
        <v>0</v>
      </c>
      <c r="R244" s="316">
        <v>5779.34</v>
      </c>
      <c r="S244" s="316">
        <v>33300</v>
      </c>
    </row>
    <row r="245" spans="1:19" ht="15" customHeight="1" x14ac:dyDescent="0.25">
      <c r="A245" s="238" t="s">
        <v>1220</v>
      </c>
      <c r="B245" s="238" t="s">
        <v>711</v>
      </c>
      <c r="C245" s="238" t="s">
        <v>712</v>
      </c>
      <c r="D245" s="238" t="s">
        <v>704</v>
      </c>
      <c r="E245" s="238" t="s">
        <v>708</v>
      </c>
      <c r="F245" s="238" t="s">
        <v>701</v>
      </c>
      <c r="G245" s="238" t="s">
        <v>1221</v>
      </c>
      <c r="H245" s="316">
        <v>30247.93</v>
      </c>
      <c r="I245" s="316">
        <v>0</v>
      </c>
      <c r="J245" s="316">
        <v>0</v>
      </c>
      <c r="K245" s="316">
        <v>0</v>
      </c>
      <c r="L245" s="316">
        <v>0</v>
      </c>
      <c r="M245" s="316">
        <v>6352.07</v>
      </c>
      <c r="N245" s="316">
        <v>0</v>
      </c>
      <c r="O245" s="316">
        <v>0</v>
      </c>
      <c r="P245" s="316">
        <v>0</v>
      </c>
      <c r="Q245" s="316">
        <v>0</v>
      </c>
      <c r="R245" s="316">
        <v>6352.07</v>
      </c>
      <c r="S245" s="316">
        <v>36600</v>
      </c>
    </row>
    <row r="246" spans="1:19" ht="15" customHeight="1" x14ac:dyDescent="0.25">
      <c r="A246" s="238" t="s">
        <v>1220</v>
      </c>
      <c r="B246" s="238" t="s">
        <v>711</v>
      </c>
      <c r="C246" s="238" t="s">
        <v>712</v>
      </c>
      <c r="D246" s="238" t="s">
        <v>704</v>
      </c>
      <c r="E246" s="238" t="s">
        <v>708</v>
      </c>
      <c r="F246" s="238" t="s">
        <v>701</v>
      </c>
      <c r="G246" s="238" t="s">
        <v>1222</v>
      </c>
      <c r="H246" s="316">
        <v>28925.62</v>
      </c>
      <c r="I246" s="316">
        <v>0</v>
      </c>
      <c r="J246" s="316">
        <v>0</v>
      </c>
      <c r="K246" s="316">
        <v>0</v>
      </c>
      <c r="L246" s="316">
        <v>0</v>
      </c>
      <c r="M246" s="316">
        <v>6074.38</v>
      </c>
      <c r="N246" s="316">
        <v>0</v>
      </c>
      <c r="O246" s="316">
        <v>0</v>
      </c>
      <c r="P246" s="316">
        <v>0</v>
      </c>
      <c r="Q246" s="316">
        <v>0</v>
      </c>
      <c r="R246" s="316">
        <v>6074.38</v>
      </c>
      <c r="S246" s="316">
        <v>35000</v>
      </c>
    </row>
    <row r="247" spans="1:19" ht="15" customHeight="1" x14ac:dyDescent="0.25">
      <c r="A247" s="238" t="s">
        <v>1220</v>
      </c>
      <c r="B247" s="238" t="s">
        <v>711</v>
      </c>
      <c r="C247" s="238" t="s">
        <v>712</v>
      </c>
      <c r="D247" s="238" t="s">
        <v>704</v>
      </c>
      <c r="E247" s="238" t="s">
        <v>708</v>
      </c>
      <c r="F247" s="238" t="s">
        <v>701</v>
      </c>
      <c r="G247" s="238" t="s">
        <v>1223</v>
      </c>
      <c r="H247" s="316">
        <v>24793.39</v>
      </c>
      <c r="I247" s="316">
        <v>0</v>
      </c>
      <c r="J247" s="316">
        <v>0</v>
      </c>
      <c r="K247" s="316">
        <v>0</v>
      </c>
      <c r="L247" s="316">
        <v>0</v>
      </c>
      <c r="M247" s="316">
        <v>5206.6099999999997</v>
      </c>
      <c r="N247" s="316">
        <v>0</v>
      </c>
      <c r="O247" s="316">
        <v>0</v>
      </c>
      <c r="P247" s="316">
        <v>0</v>
      </c>
      <c r="Q247" s="316">
        <v>0</v>
      </c>
      <c r="R247" s="316">
        <v>5206.6099999999997</v>
      </c>
      <c r="S247" s="316">
        <v>30000</v>
      </c>
    </row>
    <row r="248" spans="1:19" ht="15" customHeight="1" x14ac:dyDescent="0.25">
      <c r="A248" s="238" t="s">
        <v>1220</v>
      </c>
      <c r="B248" s="238" t="s">
        <v>711</v>
      </c>
      <c r="C248" s="238" t="s">
        <v>712</v>
      </c>
      <c r="D248" s="238" t="s">
        <v>704</v>
      </c>
      <c r="E248" s="238" t="s">
        <v>708</v>
      </c>
      <c r="F248" s="238" t="s">
        <v>701</v>
      </c>
      <c r="G248" s="238" t="s">
        <v>1225</v>
      </c>
      <c r="H248" s="316">
        <v>2066.12</v>
      </c>
      <c r="I248" s="316">
        <v>0</v>
      </c>
      <c r="J248" s="316">
        <v>0</v>
      </c>
      <c r="K248" s="316">
        <v>0</v>
      </c>
      <c r="L248" s="316">
        <v>0</v>
      </c>
      <c r="M248" s="316">
        <v>433.88</v>
      </c>
      <c r="N248" s="316">
        <v>0</v>
      </c>
      <c r="O248" s="316">
        <v>0</v>
      </c>
      <c r="P248" s="316">
        <v>0</v>
      </c>
      <c r="Q248" s="316">
        <v>0</v>
      </c>
      <c r="R248" s="316">
        <v>433.88</v>
      </c>
      <c r="S248" s="316">
        <v>2500</v>
      </c>
    </row>
    <row r="249" spans="1:19" ht="15" customHeight="1" x14ac:dyDescent="0.25">
      <c r="A249" s="238" t="s">
        <v>1220</v>
      </c>
      <c r="B249" s="238" t="s">
        <v>711</v>
      </c>
      <c r="C249" s="238" t="s">
        <v>712</v>
      </c>
      <c r="D249" s="238" t="s">
        <v>704</v>
      </c>
      <c r="E249" s="238" t="s">
        <v>708</v>
      </c>
      <c r="F249" s="238" t="s">
        <v>701</v>
      </c>
      <c r="G249" s="238" t="s">
        <v>1228</v>
      </c>
      <c r="H249" s="316">
        <v>19008.259999999998</v>
      </c>
      <c r="I249" s="316">
        <v>0</v>
      </c>
      <c r="J249" s="316">
        <v>0</v>
      </c>
      <c r="K249" s="316">
        <v>0</v>
      </c>
      <c r="L249" s="316">
        <v>0</v>
      </c>
      <c r="M249" s="316">
        <v>3991.74</v>
      </c>
      <c r="N249" s="316">
        <v>0</v>
      </c>
      <c r="O249" s="316">
        <v>0</v>
      </c>
      <c r="P249" s="316">
        <v>0</v>
      </c>
      <c r="Q249" s="316">
        <v>0</v>
      </c>
      <c r="R249" s="316">
        <v>3991.74</v>
      </c>
      <c r="S249" s="316">
        <v>23000</v>
      </c>
    </row>
    <row r="250" spans="1:19" ht="15" customHeight="1" x14ac:dyDescent="0.25">
      <c r="A250" s="238" t="s">
        <v>1220</v>
      </c>
      <c r="B250" s="238" t="s">
        <v>711</v>
      </c>
      <c r="C250" s="238" t="s">
        <v>712</v>
      </c>
      <c r="D250" s="238" t="s">
        <v>704</v>
      </c>
      <c r="E250" s="238" t="s">
        <v>708</v>
      </c>
      <c r="F250" s="238" t="s">
        <v>701</v>
      </c>
      <c r="G250" s="238" t="s">
        <v>1229</v>
      </c>
      <c r="H250" s="316">
        <v>16528.93</v>
      </c>
      <c r="I250" s="316">
        <v>0</v>
      </c>
      <c r="J250" s="316">
        <v>0</v>
      </c>
      <c r="K250" s="316">
        <v>0</v>
      </c>
      <c r="L250" s="316">
        <v>0</v>
      </c>
      <c r="M250" s="316">
        <v>3471.07</v>
      </c>
      <c r="N250" s="316">
        <v>0</v>
      </c>
      <c r="O250" s="316">
        <v>0</v>
      </c>
      <c r="P250" s="316">
        <v>0</v>
      </c>
      <c r="Q250" s="316">
        <v>0</v>
      </c>
      <c r="R250" s="316">
        <v>3471.07</v>
      </c>
      <c r="S250" s="316">
        <v>20000</v>
      </c>
    </row>
    <row r="251" spans="1:19" ht="15" customHeight="1" x14ac:dyDescent="0.25">
      <c r="A251" s="238" t="s">
        <v>1220</v>
      </c>
      <c r="B251" s="238" t="s">
        <v>711</v>
      </c>
      <c r="C251" s="238" t="s">
        <v>712</v>
      </c>
      <c r="D251" s="238" t="s">
        <v>704</v>
      </c>
      <c r="E251" s="238" t="s">
        <v>708</v>
      </c>
      <c r="F251" s="238" t="s">
        <v>701</v>
      </c>
      <c r="G251" s="238" t="s">
        <v>1233</v>
      </c>
      <c r="H251" s="316">
        <v>40165.29</v>
      </c>
      <c r="I251" s="316">
        <v>0</v>
      </c>
      <c r="J251" s="316">
        <v>0</v>
      </c>
      <c r="K251" s="316">
        <v>0</v>
      </c>
      <c r="L251" s="316">
        <v>0</v>
      </c>
      <c r="M251" s="316">
        <v>8434.7099999999991</v>
      </c>
      <c r="N251" s="316">
        <v>0</v>
      </c>
      <c r="O251" s="316">
        <v>0</v>
      </c>
      <c r="P251" s="316">
        <v>0</v>
      </c>
      <c r="Q251" s="316">
        <v>0</v>
      </c>
      <c r="R251" s="316">
        <v>8434.7099999999991</v>
      </c>
      <c r="S251" s="316">
        <v>48600</v>
      </c>
    </row>
    <row r="252" spans="1:19" ht="15" customHeight="1" x14ac:dyDescent="0.25">
      <c r="A252" s="238" t="s">
        <v>1220</v>
      </c>
      <c r="B252" s="238" t="s">
        <v>711</v>
      </c>
      <c r="C252" s="238" t="s">
        <v>712</v>
      </c>
      <c r="D252" s="238" t="s">
        <v>704</v>
      </c>
      <c r="E252" s="238" t="s">
        <v>708</v>
      </c>
      <c r="F252" s="238" t="s">
        <v>701</v>
      </c>
      <c r="G252" s="238" t="s">
        <v>1237</v>
      </c>
      <c r="H252" s="316">
        <v>37190.080000000002</v>
      </c>
      <c r="I252" s="316">
        <v>0</v>
      </c>
      <c r="J252" s="316">
        <v>0</v>
      </c>
      <c r="K252" s="316">
        <v>0</v>
      </c>
      <c r="L252" s="316">
        <v>0</v>
      </c>
      <c r="M252" s="316">
        <v>7809.92</v>
      </c>
      <c r="N252" s="316">
        <v>0</v>
      </c>
      <c r="O252" s="316">
        <v>0</v>
      </c>
      <c r="P252" s="316">
        <v>0</v>
      </c>
      <c r="Q252" s="316">
        <v>0</v>
      </c>
      <c r="R252" s="316">
        <v>7809.92</v>
      </c>
      <c r="S252" s="316">
        <v>45000</v>
      </c>
    </row>
    <row r="253" spans="1:19" ht="15" customHeight="1" x14ac:dyDescent="0.25">
      <c r="A253" s="238" t="s">
        <v>1220</v>
      </c>
      <c r="B253" s="238" t="s">
        <v>711</v>
      </c>
      <c r="C253" s="238" t="s">
        <v>712</v>
      </c>
      <c r="D253" s="238" t="s">
        <v>704</v>
      </c>
      <c r="E253" s="238" t="s">
        <v>708</v>
      </c>
      <c r="F253" s="238" t="s">
        <v>701</v>
      </c>
      <c r="G253" s="238" t="s">
        <v>1238</v>
      </c>
      <c r="H253" s="316">
        <v>15702.48</v>
      </c>
      <c r="I253" s="316">
        <v>0</v>
      </c>
      <c r="J253" s="316">
        <v>0</v>
      </c>
      <c r="K253" s="316">
        <v>0</v>
      </c>
      <c r="L253" s="316">
        <v>0</v>
      </c>
      <c r="M253" s="316">
        <v>3297.52</v>
      </c>
      <c r="N253" s="316">
        <v>0</v>
      </c>
      <c r="O253" s="316">
        <v>0</v>
      </c>
      <c r="P253" s="316">
        <v>0</v>
      </c>
      <c r="Q253" s="316">
        <v>0</v>
      </c>
      <c r="R253" s="316">
        <v>3297.52</v>
      </c>
      <c r="S253" s="316">
        <v>19000</v>
      </c>
    </row>
    <row r="254" spans="1:19" ht="15" customHeight="1" x14ac:dyDescent="0.25">
      <c r="A254" s="238" t="s">
        <v>1220</v>
      </c>
      <c r="B254" s="238" t="s">
        <v>711</v>
      </c>
      <c r="C254" s="238" t="s">
        <v>712</v>
      </c>
      <c r="D254" s="238" t="s">
        <v>704</v>
      </c>
      <c r="E254" s="238" t="s">
        <v>708</v>
      </c>
      <c r="F254" s="238" t="s">
        <v>701</v>
      </c>
      <c r="G254" s="238" t="s">
        <v>1239</v>
      </c>
      <c r="H254" s="316">
        <v>18181.82</v>
      </c>
      <c r="I254" s="316">
        <v>0</v>
      </c>
      <c r="J254" s="316">
        <v>0</v>
      </c>
      <c r="K254" s="316">
        <v>0</v>
      </c>
      <c r="L254" s="316">
        <v>0</v>
      </c>
      <c r="M254" s="316">
        <v>3818.18</v>
      </c>
      <c r="N254" s="316">
        <v>0</v>
      </c>
      <c r="O254" s="316">
        <v>0</v>
      </c>
      <c r="P254" s="316">
        <v>0</v>
      </c>
      <c r="Q254" s="316">
        <v>0</v>
      </c>
      <c r="R254" s="316">
        <v>3818.18</v>
      </c>
      <c r="S254" s="316">
        <v>22000</v>
      </c>
    </row>
    <row r="255" spans="1:19" ht="15" customHeight="1" x14ac:dyDescent="0.25">
      <c r="A255" s="238" t="s">
        <v>1220</v>
      </c>
      <c r="B255" s="238" t="s">
        <v>711</v>
      </c>
      <c r="C255" s="238" t="s">
        <v>712</v>
      </c>
      <c r="D255" s="238" t="s">
        <v>704</v>
      </c>
      <c r="E255" s="238" t="s">
        <v>708</v>
      </c>
      <c r="F255" s="238" t="s">
        <v>701</v>
      </c>
      <c r="G255" s="238" t="s">
        <v>1240</v>
      </c>
      <c r="H255" s="316">
        <v>16859.5</v>
      </c>
      <c r="I255" s="316">
        <v>0</v>
      </c>
      <c r="J255" s="316">
        <v>0</v>
      </c>
      <c r="K255" s="316">
        <v>0</v>
      </c>
      <c r="L255" s="316">
        <v>0</v>
      </c>
      <c r="M255" s="316">
        <v>3540.5</v>
      </c>
      <c r="N255" s="316">
        <v>0</v>
      </c>
      <c r="O255" s="316">
        <v>0</v>
      </c>
      <c r="P255" s="316">
        <v>0</v>
      </c>
      <c r="Q255" s="316">
        <v>0</v>
      </c>
      <c r="R255" s="316">
        <v>3540.5</v>
      </c>
      <c r="S255" s="316">
        <v>20400</v>
      </c>
    </row>
    <row r="256" spans="1:19" ht="15" customHeight="1" x14ac:dyDescent="0.25">
      <c r="A256" s="238" t="s">
        <v>1220</v>
      </c>
      <c r="B256" s="238" t="s">
        <v>711</v>
      </c>
      <c r="C256" s="238" t="s">
        <v>712</v>
      </c>
      <c r="D256" s="238" t="s">
        <v>704</v>
      </c>
      <c r="E256" s="238" t="s">
        <v>708</v>
      </c>
      <c r="F256" s="238" t="s">
        <v>701</v>
      </c>
      <c r="G256" s="238" t="s">
        <v>1241</v>
      </c>
      <c r="H256" s="316">
        <v>18595.04</v>
      </c>
      <c r="I256" s="316">
        <v>0</v>
      </c>
      <c r="J256" s="316">
        <v>0</v>
      </c>
      <c r="K256" s="316">
        <v>0</v>
      </c>
      <c r="L256" s="316">
        <v>0</v>
      </c>
      <c r="M256" s="316">
        <v>3904.96</v>
      </c>
      <c r="N256" s="316">
        <v>0</v>
      </c>
      <c r="O256" s="316">
        <v>0</v>
      </c>
      <c r="P256" s="316">
        <v>0</v>
      </c>
      <c r="Q256" s="316">
        <v>0</v>
      </c>
      <c r="R256" s="316">
        <v>3904.96</v>
      </c>
      <c r="S256" s="316">
        <v>22500</v>
      </c>
    </row>
    <row r="257" spans="1:19" ht="15" customHeight="1" x14ac:dyDescent="0.25">
      <c r="A257" s="238" t="s">
        <v>1220</v>
      </c>
      <c r="B257" s="238" t="s">
        <v>711</v>
      </c>
      <c r="C257" s="238" t="s">
        <v>712</v>
      </c>
      <c r="D257" s="238" t="s">
        <v>704</v>
      </c>
      <c r="E257" s="238" t="s">
        <v>708</v>
      </c>
      <c r="F257" s="238" t="s">
        <v>701</v>
      </c>
      <c r="G257" s="238" t="s">
        <v>1242</v>
      </c>
      <c r="H257" s="316">
        <v>18595.04</v>
      </c>
      <c r="I257" s="316">
        <v>0</v>
      </c>
      <c r="J257" s="316">
        <v>0</v>
      </c>
      <c r="K257" s="316">
        <v>0</v>
      </c>
      <c r="L257" s="316">
        <v>0</v>
      </c>
      <c r="M257" s="316">
        <v>3904.96</v>
      </c>
      <c r="N257" s="316">
        <v>0</v>
      </c>
      <c r="O257" s="316">
        <v>0</v>
      </c>
      <c r="P257" s="316">
        <v>0</v>
      </c>
      <c r="Q257" s="316">
        <v>0</v>
      </c>
      <c r="R257" s="316">
        <v>3904.96</v>
      </c>
      <c r="S257" s="316">
        <v>22500</v>
      </c>
    </row>
    <row r="258" spans="1:19" ht="15" customHeight="1" x14ac:dyDescent="0.25">
      <c r="A258" s="238" t="s">
        <v>1220</v>
      </c>
      <c r="B258" s="238" t="s">
        <v>711</v>
      </c>
      <c r="C258" s="238" t="s">
        <v>712</v>
      </c>
      <c r="D258" s="238" t="s">
        <v>704</v>
      </c>
      <c r="E258" s="238" t="s">
        <v>708</v>
      </c>
      <c r="F258" s="238" t="s">
        <v>701</v>
      </c>
      <c r="G258" s="238" t="s">
        <v>1244</v>
      </c>
      <c r="H258" s="316">
        <v>29752.07</v>
      </c>
      <c r="I258" s="316">
        <v>0</v>
      </c>
      <c r="J258" s="316">
        <v>0</v>
      </c>
      <c r="K258" s="316">
        <v>0</v>
      </c>
      <c r="L258" s="316">
        <v>0</v>
      </c>
      <c r="M258" s="316">
        <v>6247.93</v>
      </c>
      <c r="N258" s="316">
        <v>0</v>
      </c>
      <c r="O258" s="316">
        <v>0</v>
      </c>
      <c r="P258" s="316">
        <v>0</v>
      </c>
      <c r="Q258" s="316">
        <v>0</v>
      </c>
      <c r="R258" s="316">
        <v>6247.93</v>
      </c>
      <c r="S258" s="316">
        <v>36000</v>
      </c>
    </row>
    <row r="259" spans="1:19" ht="15" customHeight="1" x14ac:dyDescent="0.25">
      <c r="A259" s="238" t="s">
        <v>1220</v>
      </c>
      <c r="B259" s="238" t="s">
        <v>711</v>
      </c>
      <c r="C259" s="238" t="s">
        <v>712</v>
      </c>
      <c r="D259" s="238" t="s">
        <v>704</v>
      </c>
      <c r="E259" s="238" t="s">
        <v>708</v>
      </c>
      <c r="F259" s="238" t="s">
        <v>701</v>
      </c>
      <c r="G259" s="238" t="s">
        <v>1245</v>
      </c>
      <c r="H259" s="316">
        <v>61157.02</v>
      </c>
      <c r="I259" s="316">
        <v>0</v>
      </c>
      <c r="J259" s="316">
        <v>0</v>
      </c>
      <c r="K259" s="316">
        <v>0</v>
      </c>
      <c r="L259" s="316">
        <v>0</v>
      </c>
      <c r="M259" s="316">
        <v>12842.98</v>
      </c>
      <c r="N259" s="316">
        <v>0</v>
      </c>
      <c r="O259" s="316">
        <v>0</v>
      </c>
      <c r="P259" s="316">
        <v>0</v>
      </c>
      <c r="Q259" s="316">
        <v>0</v>
      </c>
      <c r="R259" s="316">
        <v>12842.98</v>
      </c>
      <c r="S259" s="316">
        <v>74000</v>
      </c>
    </row>
    <row r="260" spans="1:19" ht="15" customHeight="1" x14ac:dyDescent="0.25">
      <c r="A260" s="238" t="s">
        <v>1220</v>
      </c>
      <c r="B260" s="238" t="s">
        <v>711</v>
      </c>
      <c r="C260" s="238" t="s">
        <v>712</v>
      </c>
      <c r="D260" s="238" t="s">
        <v>704</v>
      </c>
      <c r="E260" s="238" t="s">
        <v>708</v>
      </c>
      <c r="F260" s="238" t="s">
        <v>701</v>
      </c>
      <c r="G260" s="238" t="s">
        <v>1226</v>
      </c>
      <c r="H260" s="316">
        <v>19008.259999999998</v>
      </c>
      <c r="I260" s="316">
        <v>0</v>
      </c>
      <c r="J260" s="316">
        <v>0</v>
      </c>
      <c r="K260" s="316">
        <v>0</v>
      </c>
      <c r="L260" s="316">
        <v>0</v>
      </c>
      <c r="M260" s="316">
        <v>3991.74</v>
      </c>
      <c r="N260" s="316">
        <v>0</v>
      </c>
      <c r="O260" s="316">
        <v>0</v>
      </c>
      <c r="P260" s="316">
        <v>0</v>
      </c>
      <c r="Q260" s="316">
        <v>0</v>
      </c>
      <c r="R260" s="316">
        <v>3991.74</v>
      </c>
      <c r="S260" s="316">
        <v>23000</v>
      </c>
    </row>
    <row r="261" spans="1:19" ht="15" customHeight="1" x14ac:dyDescent="0.25">
      <c r="A261" s="238" t="s">
        <v>1249</v>
      </c>
      <c r="B261" s="238" t="s">
        <v>711</v>
      </c>
      <c r="C261" s="238" t="s">
        <v>712</v>
      </c>
      <c r="D261" s="238" t="s">
        <v>704</v>
      </c>
      <c r="E261" s="238" t="s">
        <v>708</v>
      </c>
      <c r="F261" s="238" t="s">
        <v>701</v>
      </c>
      <c r="G261" s="238" t="s">
        <v>1255</v>
      </c>
      <c r="H261" s="316">
        <v>19834.71</v>
      </c>
      <c r="I261" s="316">
        <v>0</v>
      </c>
      <c r="J261" s="316">
        <v>0</v>
      </c>
      <c r="K261" s="316">
        <v>0</v>
      </c>
      <c r="L261" s="316">
        <v>0</v>
      </c>
      <c r="M261" s="316">
        <v>4165.29</v>
      </c>
      <c r="N261" s="316">
        <v>0</v>
      </c>
      <c r="O261" s="316">
        <v>0</v>
      </c>
      <c r="P261" s="316">
        <v>0</v>
      </c>
      <c r="Q261" s="316">
        <v>0</v>
      </c>
      <c r="R261" s="316">
        <v>4165.29</v>
      </c>
      <c r="S261" s="316">
        <v>24000</v>
      </c>
    </row>
    <row r="262" spans="1:19" ht="15" customHeight="1" x14ac:dyDescent="0.25">
      <c r="A262" s="238" t="s">
        <v>1249</v>
      </c>
      <c r="B262" s="238" t="s">
        <v>711</v>
      </c>
      <c r="C262" s="238" t="s">
        <v>712</v>
      </c>
      <c r="D262" s="238" t="s">
        <v>704</v>
      </c>
      <c r="E262" s="238" t="s">
        <v>708</v>
      </c>
      <c r="F262" s="238" t="s">
        <v>701</v>
      </c>
      <c r="G262" s="238" t="s">
        <v>1257</v>
      </c>
      <c r="H262" s="316">
        <v>111570.25</v>
      </c>
      <c r="I262" s="316">
        <v>0</v>
      </c>
      <c r="J262" s="316">
        <v>0</v>
      </c>
      <c r="K262" s="316">
        <v>0</v>
      </c>
      <c r="L262" s="316">
        <v>0</v>
      </c>
      <c r="M262" s="316">
        <v>23429.75</v>
      </c>
      <c r="N262" s="316">
        <v>0</v>
      </c>
      <c r="O262" s="316">
        <v>0</v>
      </c>
      <c r="P262" s="316">
        <v>0</v>
      </c>
      <c r="Q262" s="316">
        <v>0</v>
      </c>
      <c r="R262" s="316">
        <v>23429.75</v>
      </c>
      <c r="S262" s="316">
        <v>135000</v>
      </c>
    </row>
    <row r="263" spans="1:19" ht="15" customHeight="1" x14ac:dyDescent="0.25">
      <c r="A263" s="238" t="s">
        <v>1249</v>
      </c>
      <c r="B263" s="238" t="s">
        <v>711</v>
      </c>
      <c r="C263" s="238" t="s">
        <v>712</v>
      </c>
      <c r="D263" s="238" t="s">
        <v>704</v>
      </c>
      <c r="E263" s="238" t="s">
        <v>708</v>
      </c>
      <c r="F263" s="238" t="s">
        <v>701</v>
      </c>
      <c r="G263" s="238" t="s">
        <v>1267</v>
      </c>
      <c r="H263" s="316">
        <v>63223.14</v>
      </c>
      <c r="I263" s="316">
        <v>0</v>
      </c>
      <c r="J263" s="316">
        <v>0</v>
      </c>
      <c r="K263" s="316">
        <v>0</v>
      </c>
      <c r="L263" s="316">
        <v>0</v>
      </c>
      <c r="M263" s="316">
        <v>13276.86</v>
      </c>
      <c r="N263" s="316">
        <v>0</v>
      </c>
      <c r="O263" s="316">
        <v>0</v>
      </c>
      <c r="P263" s="316">
        <v>0</v>
      </c>
      <c r="Q263" s="316">
        <v>0</v>
      </c>
      <c r="R263" s="316">
        <v>13276.86</v>
      </c>
      <c r="S263" s="316">
        <v>76500</v>
      </c>
    </row>
    <row r="264" spans="1:19" ht="15" customHeight="1" x14ac:dyDescent="0.25">
      <c r="A264" s="238" t="s">
        <v>1249</v>
      </c>
      <c r="B264" s="238" t="s">
        <v>711</v>
      </c>
      <c r="C264" s="238" t="s">
        <v>712</v>
      </c>
      <c r="D264" s="238" t="s">
        <v>704</v>
      </c>
      <c r="E264" s="238" t="s">
        <v>708</v>
      </c>
      <c r="F264" s="238" t="s">
        <v>701</v>
      </c>
      <c r="G264" s="238" t="s">
        <v>1274</v>
      </c>
      <c r="H264" s="316">
        <v>31404.959999999999</v>
      </c>
      <c r="I264" s="316">
        <v>0</v>
      </c>
      <c r="J264" s="316">
        <v>0</v>
      </c>
      <c r="K264" s="316">
        <v>0</v>
      </c>
      <c r="L264" s="316">
        <v>0</v>
      </c>
      <c r="M264" s="316">
        <v>6595.04</v>
      </c>
      <c r="N264" s="316">
        <v>0</v>
      </c>
      <c r="O264" s="316">
        <v>0</v>
      </c>
      <c r="P264" s="316">
        <v>0</v>
      </c>
      <c r="Q264" s="316">
        <v>0</v>
      </c>
      <c r="R264" s="316">
        <v>6595.04</v>
      </c>
      <c r="S264" s="316">
        <v>38000</v>
      </c>
    </row>
    <row r="265" spans="1:19" ht="15" customHeight="1" x14ac:dyDescent="0.25">
      <c r="A265" s="238" t="s">
        <v>1249</v>
      </c>
      <c r="B265" s="238" t="s">
        <v>711</v>
      </c>
      <c r="C265" s="238" t="s">
        <v>712</v>
      </c>
      <c r="D265" s="238" t="s">
        <v>704</v>
      </c>
      <c r="E265" s="238" t="s">
        <v>708</v>
      </c>
      <c r="F265" s="238" t="s">
        <v>701</v>
      </c>
      <c r="G265" s="238" t="s">
        <v>1275</v>
      </c>
      <c r="H265" s="316">
        <v>24545.45</v>
      </c>
      <c r="I265" s="316">
        <v>0</v>
      </c>
      <c r="J265" s="316">
        <v>0</v>
      </c>
      <c r="K265" s="316">
        <v>0</v>
      </c>
      <c r="L265" s="316">
        <v>0</v>
      </c>
      <c r="M265" s="316">
        <v>5154.55</v>
      </c>
      <c r="N265" s="316">
        <v>0</v>
      </c>
      <c r="O265" s="316">
        <v>0</v>
      </c>
      <c r="P265" s="316">
        <v>0</v>
      </c>
      <c r="Q265" s="316">
        <v>0</v>
      </c>
      <c r="R265" s="316">
        <v>5154.55</v>
      </c>
      <c r="S265" s="316">
        <v>29700</v>
      </c>
    </row>
    <row r="266" spans="1:19" ht="15" customHeight="1" x14ac:dyDescent="0.25">
      <c r="A266" s="238" t="s">
        <v>1249</v>
      </c>
      <c r="B266" s="238" t="s">
        <v>711</v>
      </c>
      <c r="C266" s="238" t="s">
        <v>712</v>
      </c>
      <c r="D266" s="238" t="s">
        <v>704</v>
      </c>
      <c r="E266" s="238" t="s">
        <v>708</v>
      </c>
      <c r="F266" s="238" t="s">
        <v>701</v>
      </c>
      <c r="G266" s="238" t="s">
        <v>1276</v>
      </c>
      <c r="H266" s="316">
        <v>35123.97</v>
      </c>
      <c r="I266" s="316">
        <v>0</v>
      </c>
      <c r="J266" s="316">
        <v>0</v>
      </c>
      <c r="K266" s="316">
        <v>0</v>
      </c>
      <c r="L266" s="316">
        <v>0</v>
      </c>
      <c r="M266" s="316">
        <v>7376.03</v>
      </c>
      <c r="N266" s="316">
        <v>0</v>
      </c>
      <c r="O266" s="316">
        <v>0</v>
      </c>
      <c r="P266" s="316">
        <v>0</v>
      </c>
      <c r="Q266" s="316">
        <v>0</v>
      </c>
      <c r="R266" s="316">
        <v>7376.03</v>
      </c>
      <c r="S266" s="316">
        <v>42500</v>
      </c>
    </row>
    <row r="267" spans="1:19" ht="15" customHeight="1" x14ac:dyDescent="0.25">
      <c r="A267" s="238" t="s">
        <v>1249</v>
      </c>
      <c r="B267" s="238" t="s">
        <v>711</v>
      </c>
      <c r="C267" s="238" t="s">
        <v>712</v>
      </c>
      <c r="D267" s="238" t="s">
        <v>704</v>
      </c>
      <c r="E267" s="238" t="s">
        <v>708</v>
      </c>
      <c r="F267" s="238" t="s">
        <v>701</v>
      </c>
      <c r="G267" s="238" t="s">
        <v>1277</v>
      </c>
      <c r="H267" s="316">
        <v>28099.17</v>
      </c>
      <c r="I267" s="316">
        <v>0</v>
      </c>
      <c r="J267" s="316">
        <v>0</v>
      </c>
      <c r="K267" s="316">
        <v>0</v>
      </c>
      <c r="L267" s="316">
        <v>0</v>
      </c>
      <c r="M267" s="316">
        <v>5900.83</v>
      </c>
      <c r="N267" s="316">
        <v>0</v>
      </c>
      <c r="O267" s="316">
        <v>0</v>
      </c>
      <c r="P267" s="316">
        <v>0</v>
      </c>
      <c r="Q267" s="316">
        <v>0</v>
      </c>
      <c r="R267" s="316">
        <v>5900.83</v>
      </c>
      <c r="S267" s="316">
        <v>34000</v>
      </c>
    </row>
    <row r="268" spans="1:19" ht="15" customHeight="1" x14ac:dyDescent="0.25">
      <c r="A268" s="238" t="s">
        <v>1249</v>
      </c>
      <c r="B268" s="238" t="s">
        <v>711</v>
      </c>
      <c r="C268" s="238" t="s">
        <v>712</v>
      </c>
      <c r="D268" s="238" t="s">
        <v>704</v>
      </c>
      <c r="E268" s="238" t="s">
        <v>708</v>
      </c>
      <c r="F268" s="238" t="s">
        <v>701</v>
      </c>
      <c r="G268" s="238" t="s">
        <v>1278</v>
      </c>
      <c r="H268" s="316">
        <v>9917.36</v>
      </c>
      <c r="I268" s="316">
        <v>0</v>
      </c>
      <c r="J268" s="316">
        <v>0</v>
      </c>
      <c r="K268" s="316">
        <v>0</v>
      </c>
      <c r="L268" s="316">
        <v>0</v>
      </c>
      <c r="M268" s="316">
        <v>2082.64</v>
      </c>
      <c r="N268" s="316">
        <v>0</v>
      </c>
      <c r="O268" s="316">
        <v>0</v>
      </c>
      <c r="P268" s="316">
        <v>0</v>
      </c>
      <c r="Q268" s="316">
        <v>0</v>
      </c>
      <c r="R268" s="316">
        <v>2082.64</v>
      </c>
      <c r="S268" s="316">
        <v>12000</v>
      </c>
    </row>
    <row r="269" spans="1:19" ht="15" customHeight="1" x14ac:dyDescent="0.25">
      <c r="A269" s="238" t="s">
        <v>1249</v>
      </c>
      <c r="B269" s="238" t="s">
        <v>711</v>
      </c>
      <c r="C269" s="238" t="s">
        <v>712</v>
      </c>
      <c r="D269" s="238" t="s">
        <v>704</v>
      </c>
      <c r="E269" s="238" t="s">
        <v>708</v>
      </c>
      <c r="F269" s="238" t="s">
        <v>701</v>
      </c>
      <c r="G269" s="238" t="s">
        <v>1279</v>
      </c>
      <c r="H269" s="316">
        <v>7438.02</v>
      </c>
      <c r="I269" s="316">
        <v>0</v>
      </c>
      <c r="J269" s="316">
        <v>0</v>
      </c>
      <c r="K269" s="316">
        <v>0</v>
      </c>
      <c r="L269" s="316">
        <v>0</v>
      </c>
      <c r="M269" s="316">
        <v>1561.98</v>
      </c>
      <c r="N269" s="316">
        <v>0</v>
      </c>
      <c r="O269" s="316">
        <v>0</v>
      </c>
      <c r="P269" s="316">
        <v>0</v>
      </c>
      <c r="Q269" s="316">
        <v>0</v>
      </c>
      <c r="R269" s="316">
        <v>1561.98</v>
      </c>
      <c r="S269" s="316">
        <v>9000</v>
      </c>
    </row>
    <row r="270" spans="1:19" ht="15" customHeight="1" x14ac:dyDescent="0.25">
      <c r="A270" s="238" t="s">
        <v>1249</v>
      </c>
      <c r="B270" s="238" t="s">
        <v>711</v>
      </c>
      <c r="C270" s="238" t="s">
        <v>712</v>
      </c>
      <c r="D270" s="238" t="s">
        <v>704</v>
      </c>
      <c r="E270" s="238" t="s">
        <v>708</v>
      </c>
      <c r="F270" s="238" t="s">
        <v>701</v>
      </c>
      <c r="G270" s="238" t="s">
        <v>1280</v>
      </c>
      <c r="H270" s="316">
        <v>57851.24</v>
      </c>
      <c r="I270" s="316">
        <v>0</v>
      </c>
      <c r="J270" s="316">
        <v>0</v>
      </c>
      <c r="K270" s="316">
        <v>0</v>
      </c>
      <c r="L270" s="316">
        <v>0</v>
      </c>
      <c r="M270" s="316">
        <v>12148.76</v>
      </c>
      <c r="N270" s="316">
        <v>0</v>
      </c>
      <c r="O270" s="316">
        <v>0</v>
      </c>
      <c r="P270" s="316">
        <v>0</v>
      </c>
      <c r="Q270" s="316">
        <v>0</v>
      </c>
      <c r="R270" s="316">
        <v>12148.76</v>
      </c>
      <c r="S270" s="316">
        <v>70000</v>
      </c>
    </row>
    <row r="271" spans="1:19" ht="15" customHeight="1" x14ac:dyDescent="0.25">
      <c r="A271" s="238" t="s">
        <v>1249</v>
      </c>
      <c r="B271" s="238" t="s">
        <v>1281</v>
      </c>
      <c r="C271" s="238" t="s">
        <v>1282</v>
      </c>
      <c r="D271" s="238" t="s">
        <v>704</v>
      </c>
      <c r="E271" s="238" t="s">
        <v>708</v>
      </c>
      <c r="F271" s="238" t="s">
        <v>701</v>
      </c>
      <c r="G271" s="238" t="s">
        <v>1283</v>
      </c>
      <c r="H271" s="316">
        <v>47933.88</v>
      </c>
      <c r="I271" s="316">
        <v>0</v>
      </c>
      <c r="J271" s="316">
        <v>0</v>
      </c>
      <c r="K271" s="316">
        <v>0</v>
      </c>
      <c r="L271" s="316">
        <v>0</v>
      </c>
      <c r="M271" s="316">
        <v>10066.120000000001</v>
      </c>
      <c r="N271" s="316">
        <v>0</v>
      </c>
      <c r="O271" s="316">
        <v>0</v>
      </c>
      <c r="P271" s="316">
        <v>0</v>
      </c>
      <c r="Q271" s="316">
        <v>0</v>
      </c>
      <c r="R271" s="316">
        <v>10066.120000000001</v>
      </c>
      <c r="S271" s="316">
        <v>58000</v>
      </c>
    </row>
    <row r="272" spans="1:19" ht="15" customHeight="1" x14ac:dyDescent="0.25">
      <c r="A272" s="238" t="s">
        <v>1285</v>
      </c>
      <c r="B272" s="238" t="s">
        <v>711</v>
      </c>
      <c r="C272" s="238" t="s">
        <v>712</v>
      </c>
      <c r="D272" s="238" t="s">
        <v>704</v>
      </c>
      <c r="E272" s="238" t="s">
        <v>708</v>
      </c>
      <c r="F272" s="238" t="s">
        <v>701</v>
      </c>
      <c r="G272" s="238" t="s">
        <v>1286</v>
      </c>
      <c r="H272" s="316">
        <v>5785.12</v>
      </c>
      <c r="I272" s="316">
        <v>0</v>
      </c>
      <c r="J272" s="316">
        <v>0</v>
      </c>
      <c r="K272" s="316">
        <v>0</v>
      </c>
      <c r="L272" s="316">
        <v>0</v>
      </c>
      <c r="M272" s="316">
        <v>1214.8800000000001</v>
      </c>
      <c r="N272" s="316">
        <v>0</v>
      </c>
      <c r="O272" s="316">
        <v>0</v>
      </c>
      <c r="P272" s="316">
        <v>0</v>
      </c>
      <c r="Q272" s="316">
        <v>0</v>
      </c>
      <c r="R272" s="316">
        <v>1214.8800000000001</v>
      </c>
      <c r="S272" s="316">
        <v>7000</v>
      </c>
    </row>
    <row r="273" spans="1:19" ht="15" customHeight="1" x14ac:dyDescent="0.25">
      <c r="A273" s="238" t="s">
        <v>1285</v>
      </c>
      <c r="B273" s="238" t="s">
        <v>711</v>
      </c>
      <c r="C273" s="238" t="s">
        <v>712</v>
      </c>
      <c r="D273" s="238" t="s">
        <v>704</v>
      </c>
      <c r="E273" s="238" t="s">
        <v>708</v>
      </c>
      <c r="F273" s="238" t="s">
        <v>701</v>
      </c>
      <c r="G273" s="238" t="s">
        <v>1287</v>
      </c>
      <c r="H273" s="316">
        <v>28925.62</v>
      </c>
      <c r="I273" s="316">
        <v>0</v>
      </c>
      <c r="J273" s="316">
        <v>0</v>
      </c>
      <c r="K273" s="316">
        <v>0</v>
      </c>
      <c r="L273" s="316">
        <v>0</v>
      </c>
      <c r="M273" s="316">
        <v>6074.38</v>
      </c>
      <c r="N273" s="316">
        <v>0</v>
      </c>
      <c r="O273" s="316">
        <v>0</v>
      </c>
      <c r="P273" s="316">
        <v>0</v>
      </c>
      <c r="Q273" s="316">
        <v>0</v>
      </c>
      <c r="R273" s="316">
        <v>6074.38</v>
      </c>
      <c r="S273" s="316">
        <v>35000</v>
      </c>
    </row>
    <row r="274" spans="1:19" ht="15" customHeight="1" x14ac:dyDescent="0.25">
      <c r="A274" s="238" t="s">
        <v>1285</v>
      </c>
      <c r="B274" s="238" t="s">
        <v>711</v>
      </c>
      <c r="C274" s="238" t="s">
        <v>712</v>
      </c>
      <c r="D274" s="238" t="s">
        <v>704</v>
      </c>
      <c r="E274" s="238" t="s">
        <v>708</v>
      </c>
      <c r="F274" s="238" t="s">
        <v>701</v>
      </c>
      <c r="G274" s="238" t="s">
        <v>1288</v>
      </c>
      <c r="H274" s="316">
        <v>6942.15</v>
      </c>
      <c r="I274" s="316">
        <v>0</v>
      </c>
      <c r="J274" s="316">
        <v>0</v>
      </c>
      <c r="K274" s="316">
        <v>0</v>
      </c>
      <c r="L274" s="316">
        <v>0</v>
      </c>
      <c r="M274" s="316">
        <v>1457.85</v>
      </c>
      <c r="N274" s="316">
        <v>0</v>
      </c>
      <c r="O274" s="316">
        <v>0</v>
      </c>
      <c r="P274" s="316">
        <v>0</v>
      </c>
      <c r="Q274" s="316">
        <v>0</v>
      </c>
      <c r="R274" s="316">
        <v>1457.85</v>
      </c>
      <c r="S274" s="316">
        <v>8400</v>
      </c>
    </row>
    <row r="275" spans="1:19" ht="15" customHeight="1" x14ac:dyDescent="0.25">
      <c r="A275" s="238" t="s">
        <v>1285</v>
      </c>
      <c r="B275" s="238" t="s">
        <v>711</v>
      </c>
      <c r="C275" s="238" t="s">
        <v>712</v>
      </c>
      <c r="D275" s="238" t="s">
        <v>704</v>
      </c>
      <c r="E275" s="238" t="s">
        <v>708</v>
      </c>
      <c r="F275" s="238" t="s">
        <v>701</v>
      </c>
      <c r="G275" s="238" t="s">
        <v>1289</v>
      </c>
      <c r="H275" s="316">
        <v>61983.47</v>
      </c>
      <c r="I275" s="316">
        <v>0</v>
      </c>
      <c r="J275" s="316">
        <v>0</v>
      </c>
      <c r="K275" s="316">
        <v>0</v>
      </c>
      <c r="L275" s="316">
        <v>0</v>
      </c>
      <c r="M275" s="316">
        <v>13016.53</v>
      </c>
      <c r="N275" s="316">
        <v>0</v>
      </c>
      <c r="O275" s="316">
        <v>0</v>
      </c>
      <c r="P275" s="316">
        <v>0</v>
      </c>
      <c r="Q275" s="316">
        <v>0</v>
      </c>
      <c r="R275" s="316">
        <v>13016.53</v>
      </c>
      <c r="S275" s="316">
        <v>75000</v>
      </c>
    </row>
    <row r="276" spans="1:19" ht="15" customHeight="1" x14ac:dyDescent="0.25">
      <c r="A276" s="238" t="s">
        <v>1285</v>
      </c>
      <c r="B276" s="238" t="s">
        <v>711</v>
      </c>
      <c r="C276" s="238" t="s">
        <v>712</v>
      </c>
      <c r="D276" s="238" t="s">
        <v>704</v>
      </c>
      <c r="E276" s="238" t="s">
        <v>708</v>
      </c>
      <c r="F276" s="238" t="s">
        <v>701</v>
      </c>
      <c r="G276" s="238" t="s">
        <v>1290</v>
      </c>
      <c r="H276" s="316">
        <v>115702.48</v>
      </c>
      <c r="I276" s="316">
        <v>0</v>
      </c>
      <c r="J276" s="316">
        <v>0</v>
      </c>
      <c r="K276" s="316">
        <v>0</v>
      </c>
      <c r="L276" s="316">
        <v>0</v>
      </c>
      <c r="M276" s="316">
        <v>24297.52</v>
      </c>
      <c r="N276" s="316">
        <v>0</v>
      </c>
      <c r="O276" s="316">
        <v>0</v>
      </c>
      <c r="P276" s="316">
        <v>0</v>
      </c>
      <c r="Q276" s="316">
        <v>0</v>
      </c>
      <c r="R276" s="316">
        <v>24297.52</v>
      </c>
      <c r="S276" s="316">
        <v>140000</v>
      </c>
    </row>
    <row r="277" spans="1:19" ht="15" customHeight="1" x14ac:dyDescent="0.25">
      <c r="A277" s="238" t="s">
        <v>1285</v>
      </c>
      <c r="B277" s="238" t="s">
        <v>711</v>
      </c>
      <c r="C277" s="238" t="s">
        <v>712</v>
      </c>
      <c r="D277" s="238" t="s">
        <v>704</v>
      </c>
      <c r="E277" s="238" t="s">
        <v>708</v>
      </c>
      <c r="F277" s="238" t="s">
        <v>701</v>
      </c>
      <c r="G277" s="238" t="s">
        <v>1291</v>
      </c>
      <c r="H277" s="316">
        <v>28925.62</v>
      </c>
      <c r="I277" s="316">
        <v>0</v>
      </c>
      <c r="J277" s="316">
        <v>0</v>
      </c>
      <c r="K277" s="316">
        <v>0</v>
      </c>
      <c r="L277" s="316">
        <v>0</v>
      </c>
      <c r="M277" s="316">
        <v>6074.38</v>
      </c>
      <c r="N277" s="316">
        <v>0</v>
      </c>
      <c r="O277" s="316">
        <v>0</v>
      </c>
      <c r="P277" s="316">
        <v>0</v>
      </c>
      <c r="Q277" s="316">
        <v>0</v>
      </c>
      <c r="R277" s="316">
        <v>6074.38</v>
      </c>
      <c r="S277" s="316">
        <v>35000</v>
      </c>
    </row>
    <row r="278" spans="1:19" ht="15" customHeight="1" x14ac:dyDescent="0.25">
      <c r="A278" s="238" t="s">
        <v>1285</v>
      </c>
      <c r="B278" s="238" t="s">
        <v>711</v>
      </c>
      <c r="C278" s="238" t="s">
        <v>712</v>
      </c>
      <c r="D278" s="238" t="s">
        <v>704</v>
      </c>
      <c r="E278" s="238" t="s">
        <v>708</v>
      </c>
      <c r="F278" s="238" t="s">
        <v>701</v>
      </c>
      <c r="G278" s="238" t="s">
        <v>1292</v>
      </c>
      <c r="H278" s="316">
        <v>7438.02</v>
      </c>
      <c r="I278" s="316">
        <v>0</v>
      </c>
      <c r="J278" s="316">
        <v>0</v>
      </c>
      <c r="K278" s="316">
        <v>0</v>
      </c>
      <c r="L278" s="316">
        <v>0</v>
      </c>
      <c r="M278" s="316">
        <v>1561.98</v>
      </c>
      <c r="N278" s="316">
        <v>0</v>
      </c>
      <c r="O278" s="316">
        <v>0</v>
      </c>
      <c r="P278" s="316">
        <v>0</v>
      </c>
      <c r="Q278" s="316">
        <v>0</v>
      </c>
      <c r="R278" s="316">
        <v>1561.98</v>
      </c>
      <c r="S278" s="316">
        <v>9000</v>
      </c>
    </row>
    <row r="279" spans="1:19" ht="15" customHeight="1" x14ac:dyDescent="0.25">
      <c r="A279" s="238" t="s">
        <v>1285</v>
      </c>
      <c r="B279" s="238" t="s">
        <v>711</v>
      </c>
      <c r="C279" s="238" t="s">
        <v>712</v>
      </c>
      <c r="D279" s="238" t="s">
        <v>704</v>
      </c>
      <c r="E279" s="238" t="s">
        <v>708</v>
      </c>
      <c r="F279" s="238" t="s">
        <v>701</v>
      </c>
      <c r="G279" s="238" t="s">
        <v>1294</v>
      </c>
      <c r="H279" s="316">
        <v>16528.93</v>
      </c>
      <c r="I279" s="316">
        <v>0</v>
      </c>
      <c r="J279" s="316">
        <v>0</v>
      </c>
      <c r="K279" s="316">
        <v>0</v>
      </c>
      <c r="L279" s="316">
        <v>0</v>
      </c>
      <c r="M279" s="316">
        <v>3471.07</v>
      </c>
      <c r="N279" s="316">
        <v>0</v>
      </c>
      <c r="O279" s="316">
        <v>0</v>
      </c>
      <c r="P279" s="316">
        <v>0</v>
      </c>
      <c r="Q279" s="316">
        <v>0</v>
      </c>
      <c r="R279" s="316">
        <v>3471.07</v>
      </c>
      <c r="S279" s="316">
        <v>20000</v>
      </c>
    </row>
    <row r="280" spans="1:19" ht="15" customHeight="1" x14ac:dyDescent="0.25">
      <c r="A280" s="238" t="s">
        <v>1285</v>
      </c>
      <c r="B280" s="238" t="s">
        <v>711</v>
      </c>
      <c r="C280" s="238" t="s">
        <v>712</v>
      </c>
      <c r="D280" s="238" t="s">
        <v>704</v>
      </c>
      <c r="E280" s="238" t="s">
        <v>708</v>
      </c>
      <c r="F280" s="238" t="s">
        <v>701</v>
      </c>
      <c r="G280" s="238" t="s">
        <v>1298</v>
      </c>
      <c r="H280" s="316">
        <v>12396.69</v>
      </c>
      <c r="I280" s="316">
        <v>0</v>
      </c>
      <c r="J280" s="316">
        <v>0</v>
      </c>
      <c r="K280" s="316">
        <v>0</v>
      </c>
      <c r="L280" s="316">
        <v>0</v>
      </c>
      <c r="M280" s="316">
        <v>2603.31</v>
      </c>
      <c r="N280" s="316">
        <v>0</v>
      </c>
      <c r="O280" s="316">
        <v>0</v>
      </c>
      <c r="P280" s="316">
        <v>0</v>
      </c>
      <c r="Q280" s="316">
        <v>0</v>
      </c>
      <c r="R280" s="316">
        <v>2603.31</v>
      </c>
      <c r="S280" s="316">
        <v>15000</v>
      </c>
    </row>
    <row r="281" spans="1:19" ht="15" customHeight="1" x14ac:dyDescent="0.25">
      <c r="A281" s="238" t="s">
        <v>1285</v>
      </c>
      <c r="B281" s="238" t="s">
        <v>711</v>
      </c>
      <c r="C281" s="238" t="s">
        <v>712</v>
      </c>
      <c r="D281" s="238" t="s">
        <v>704</v>
      </c>
      <c r="E281" s="238" t="s">
        <v>708</v>
      </c>
      <c r="F281" s="238" t="s">
        <v>701</v>
      </c>
      <c r="G281" s="238" t="s">
        <v>1308</v>
      </c>
      <c r="H281" s="316">
        <v>28925.62</v>
      </c>
      <c r="I281" s="316">
        <v>0</v>
      </c>
      <c r="J281" s="316">
        <v>0</v>
      </c>
      <c r="K281" s="316">
        <v>0</v>
      </c>
      <c r="L281" s="316">
        <v>0</v>
      </c>
      <c r="M281" s="316">
        <v>6074.38</v>
      </c>
      <c r="N281" s="316">
        <v>0</v>
      </c>
      <c r="O281" s="316">
        <v>0</v>
      </c>
      <c r="P281" s="316">
        <v>0</v>
      </c>
      <c r="Q281" s="316">
        <v>0</v>
      </c>
      <c r="R281" s="316">
        <v>6074.38</v>
      </c>
      <c r="S281" s="316">
        <v>35000</v>
      </c>
    </row>
    <row r="282" spans="1:19" ht="15" customHeight="1" x14ac:dyDescent="0.25">
      <c r="A282" s="238" t="s">
        <v>1285</v>
      </c>
      <c r="B282" s="238" t="s">
        <v>711</v>
      </c>
      <c r="C282" s="238" t="s">
        <v>712</v>
      </c>
      <c r="D282" s="238" t="s">
        <v>704</v>
      </c>
      <c r="E282" s="238" t="s">
        <v>708</v>
      </c>
      <c r="F282" s="238" t="s">
        <v>701</v>
      </c>
      <c r="G282" s="238" t="s">
        <v>1309</v>
      </c>
      <c r="H282" s="316">
        <v>32644.63</v>
      </c>
      <c r="I282" s="316">
        <v>0</v>
      </c>
      <c r="J282" s="316">
        <v>0</v>
      </c>
      <c r="K282" s="316">
        <v>0</v>
      </c>
      <c r="L282" s="316">
        <v>0</v>
      </c>
      <c r="M282" s="316">
        <v>6855.37</v>
      </c>
      <c r="N282" s="316">
        <v>0</v>
      </c>
      <c r="O282" s="316">
        <v>0</v>
      </c>
      <c r="P282" s="316">
        <v>0</v>
      </c>
      <c r="Q282" s="316">
        <v>0</v>
      </c>
      <c r="R282" s="316">
        <v>6855.37</v>
      </c>
      <c r="S282" s="316">
        <v>39500</v>
      </c>
    </row>
    <row r="283" spans="1:19" ht="15" customHeight="1" x14ac:dyDescent="0.25">
      <c r="A283" s="238" t="s">
        <v>1285</v>
      </c>
      <c r="B283" s="238" t="s">
        <v>711</v>
      </c>
      <c r="C283" s="238" t="s">
        <v>712</v>
      </c>
      <c r="D283" s="238" t="s">
        <v>704</v>
      </c>
      <c r="E283" s="238" t="s">
        <v>708</v>
      </c>
      <c r="F283" s="238" t="s">
        <v>701</v>
      </c>
      <c r="G283" s="238" t="s">
        <v>1313</v>
      </c>
      <c r="H283" s="316">
        <v>41322.31</v>
      </c>
      <c r="I283" s="316">
        <v>0</v>
      </c>
      <c r="J283" s="316">
        <v>0</v>
      </c>
      <c r="K283" s="316">
        <v>0</v>
      </c>
      <c r="L283" s="316">
        <v>0</v>
      </c>
      <c r="M283" s="316">
        <v>8677.69</v>
      </c>
      <c r="N283" s="316">
        <v>0</v>
      </c>
      <c r="O283" s="316">
        <v>0</v>
      </c>
      <c r="P283" s="316">
        <v>0</v>
      </c>
      <c r="Q283" s="316">
        <v>0</v>
      </c>
      <c r="R283" s="316">
        <v>8677.69</v>
      </c>
      <c r="S283" s="316">
        <v>50000</v>
      </c>
    </row>
    <row r="284" spans="1:19" ht="15" customHeight="1" x14ac:dyDescent="0.25">
      <c r="A284" s="238" t="s">
        <v>1316</v>
      </c>
      <c r="B284" s="238" t="s">
        <v>711</v>
      </c>
      <c r="C284" s="238" t="s">
        <v>712</v>
      </c>
      <c r="D284" s="238" t="s">
        <v>704</v>
      </c>
      <c r="E284" s="238" t="s">
        <v>708</v>
      </c>
      <c r="F284" s="238" t="s">
        <v>701</v>
      </c>
      <c r="G284" s="238" t="s">
        <v>1317</v>
      </c>
      <c r="H284" s="316">
        <v>18595.04</v>
      </c>
      <c r="I284" s="316">
        <v>0</v>
      </c>
      <c r="J284" s="316">
        <v>0</v>
      </c>
      <c r="K284" s="316">
        <v>0</v>
      </c>
      <c r="L284" s="316">
        <v>0</v>
      </c>
      <c r="M284" s="316">
        <v>3904.96</v>
      </c>
      <c r="N284" s="316">
        <v>0</v>
      </c>
      <c r="O284" s="316">
        <v>0</v>
      </c>
      <c r="P284" s="316">
        <v>0</v>
      </c>
      <c r="Q284" s="316">
        <v>0</v>
      </c>
      <c r="R284" s="316">
        <v>3904.96</v>
      </c>
      <c r="S284" s="316">
        <v>22500</v>
      </c>
    </row>
    <row r="285" spans="1:19" ht="15" customHeight="1" x14ac:dyDescent="0.25">
      <c r="A285" s="238" t="s">
        <v>1316</v>
      </c>
      <c r="B285" s="238" t="s">
        <v>711</v>
      </c>
      <c r="C285" s="238" t="s">
        <v>712</v>
      </c>
      <c r="D285" s="238" t="s">
        <v>704</v>
      </c>
      <c r="E285" s="238" t="s">
        <v>708</v>
      </c>
      <c r="F285" s="238" t="s">
        <v>701</v>
      </c>
      <c r="G285" s="238" t="s">
        <v>1318</v>
      </c>
      <c r="H285" s="316">
        <v>24958.68</v>
      </c>
      <c r="I285" s="316">
        <v>0</v>
      </c>
      <c r="J285" s="316">
        <v>0</v>
      </c>
      <c r="K285" s="316">
        <v>0</v>
      </c>
      <c r="L285" s="316">
        <v>0</v>
      </c>
      <c r="M285" s="316">
        <v>5241.32</v>
      </c>
      <c r="N285" s="316">
        <v>0</v>
      </c>
      <c r="O285" s="316">
        <v>0</v>
      </c>
      <c r="P285" s="316">
        <v>0</v>
      </c>
      <c r="Q285" s="316">
        <v>0</v>
      </c>
      <c r="R285" s="316">
        <v>5241.32</v>
      </c>
      <c r="S285" s="316">
        <v>30200</v>
      </c>
    </row>
    <row r="286" spans="1:19" ht="15" customHeight="1" x14ac:dyDescent="0.25">
      <c r="A286" s="238" t="s">
        <v>1316</v>
      </c>
      <c r="B286" s="238" t="s">
        <v>711</v>
      </c>
      <c r="C286" s="238" t="s">
        <v>712</v>
      </c>
      <c r="D286" s="238" t="s">
        <v>704</v>
      </c>
      <c r="E286" s="238" t="s">
        <v>708</v>
      </c>
      <c r="F286" s="238" t="s">
        <v>701</v>
      </c>
      <c r="G286" s="238" t="s">
        <v>1319</v>
      </c>
      <c r="H286" s="316">
        <v>18181.82</v>
      </c>
      <c r="I286" s="316">
        <v>0</v>
      </c>
      <c r="J286" s="316">
        <v>0</v>
      </c>
      <c r="K286" s="316">
        <v>0</v>
      </c>
      <c r="L286" s="316">
        <v>0</v>
      </c>
      <c r="M286" s="316">
        <v>3818.18</v>
      </c>
      <c r="N286" s="316">
        <v>0</v>
      </c>
      <c r="O286" s="316">
        <v>0</v>
      </c>
      <c r="P286" s="316">
        <v>0</v>
      </c>
      <c r="Q286" s="316">
        <v>0</v>
      </c>
      <c r="R286" s="316">
        <v>3818.18</v>
      </c>
      <c r="S286" s="316">
        <v>22000</v>
      </c>
    </row>
    <row r="287" spans="1:19" ht="15" customHeight="1" x14ac:dyDescent="0.25">
      <c r="A287" s="238" t="s">
        <v>1316</v>
      </c>
      <c r="B287" s="238" t="s">
        <v>711</v>
      </c>
      <c r="C287" s="238" t="s">
        <v>712</v>
      </c>
      <c r="D287" s="238" t="s">
        <v>704</v>
      </c>
      <c r="E287" s="238" t="s">
        <v>708</v>
      </c>
      <c r="F287" s="238" t="s">
        <v>701</v>
      </c>
      <c r="G287" s="238" t="s">
        <v>1320</v>
      </c>
      <c r="H287" s="316">
        <v>37190.080000000002</v>
      </c>
      <c r="I287" s="316">
        <v>0</v>
      </c>
      <c r="J287" s="316">
        <v>0</v>
      </c>
      <c r="K287" s="316">
        <v>0</v>
      </c>
      <c r="L287" s="316">
        <v>0</v>
      </c>
      <c r="M287" s="316">
        <v>7809.92</v>
      </c>
      <c r="N287" s="316">
        <v>0</v>
      </c>
      <c r="O287" s="316">
        <v>0</v>
      </c>
      <c r="P287" s="316">
        <v>0</v>
      </c>
      <c r="Q287" s="316">
        <v>0</v>
      </c>
      <c r="R287" s="316">
        <v>7809.92</v>
      </c>
      <c r="S287" s="316">
        <v>45000</v>
      </c>
    </row>
    <row r="288" spans="1:19" ht="15" customHeight="1" x14ac:dyDescent="0.25">
      <c r="A288" s="238" t="s">
        <v>1316</v>
      </c>
      <c r="B288" s="238" t="s">
        <v>711</v>
      </c>
      <c r="C288" s="238" t="s">
        <v>712</v>
      </c>
      <c r="D288" s="238" t="s">
        <v>704</v>
      </c>
      <c r="E288" s="238" t="s">
        <v>708</v>
      </c>
      <c r="F288" s="238" t="s">
        <v>701</v>
      </c>
      <c r="G288" s="238" t="s">
        <v>1321</v>
      </c>
      <c r="H288" s="316">
        <v>10330.58</v>
      </c>
      <c r="I288" s="316">
        <v>0</v>
      </c>
      <c r="J288" s="316">
        <v>0</v>
      </c>
      <c r="K288" s="316">
        <v>0</v>
      </c>
      <c r="L288" s="316">
        <v>0</v>
      </c>
      <c r="M288" s="316">
        <v>2169.42</v>
      </c>
      <c r="N288" s="316">
        <v>0</v>
      </c>
      <c r="O288" s="316">
        <v>0</v>
      </c>
      <c r="P288" s="316">
        <v>0</v>
      </c>
      <c r="Q288" s="316">
        <v>0</v>
      </c>
      <c r="R288" s="316">
        <v>2169.42</v>
      </c>
      <c r="S288" s="316">
        <v>12500</v>
      </c>
    </row>
    <row r="289" spans="1:19" ht="15" customHeight="1" x14ac:dyDescent="0.25">
      <c r="A289" s="238" t="s">
        <v>1316</v>
      </c>
      <c r="B289" s="238" t="s">
        <v>711</v>
      </c>
      <c r="C289" s="238" t="s">
        <v>712</v>
      </c>
      <c r="D289" s="238" t="s">
        <v>704</v>
      </c>
      <c r="E289" s="238" t="s">
        <v>708</v>
      </c>
      <c r="F289" s="238" t="s">
        <v>701</v>
      </c>
      <c r="G289" s="238" t="s">
        <v>1322</v>
      </c>
      <c r="H289" s="316">
        <v>39586.78</v>
      </c>
      <c r="I289" s="316">
        <v>0</v>
      </c>
      <c r="J289" s="316">
        <v>0</v>
      </c>
      <c r="K289" s="316">
        <v>0</v>
      </c>
      <c r="L289" s="316">
        <v>0</v>
      </c>
      <c r="M289" s="316">
        <v>8313.2199999999993</v>
      </c>
      <c r="N289" s="316">
        <v>0</v>
      </c>
      <c r="O289" s="316">
        <v>0</v>
      </c>
      <c r="P289" s="316">
        <v>0</v>
      </c>
      <c r="Q289" s="316">
        <v>0</v>
      </c>
      <c r="R289" s="316">
        <v>8313.2199999999993</v>
      </c>
      <c r="S289" s="316">
        <v>47900</v>
      </c>
    </row>
    <row r="290" spans="1:19" ht="15" customHeight="1" x14ac:dyDescent="0.25">
      <c r="A290" s="238" t="s">
        <v>1316</v>
      </c>
      <c r="B290" s="238" t="s">
        <v>711</v>
      </c>
      <c r="C290" s="238" t="s">
        <v>712</v>
      </c>
      <c r="D290" s="238" t="s">
        <v>704</v>
      </c>
      <c r="E290" s="238" t="s">
        <v>708</v>
      </c>
      <c r="F290" s="238" t="s">
        <v>701</v>
      </c>
      <c r="G290" s="238" t="s">
        <v>1323</v>
      </c>
      <c r="H290" s="316">
        <v>26446.28</v>
      </c>
      <c r="I290" s="316">
        <v>0</v>
      </c>
      <c r="J290" s="316">
        <v>0</v>
      </c>
      <c r="K290" s="316">
        <v>0</v>
      </c>
      <c r="L290" s="316">
        <v>0</v>
      </c>
      <c r="M290" s="316">
        <v>5553.72</v>
      </c>
      <c r="N290" s="316">
        <v>0</v>
      </c>
      <c r="O290" s="316">
        <v>0</v>
      </c>
      <c r="P290" s="316">
        <v>0</v>
      </c>
      <c r="Q290" s="316">
        <v>0</v>
      </c>
      <c r="R290" s="316">
        <v>5553.72</v>
      </c>
      <c r="S290" s="316">
        <v>32000</v>
      </c>
    </row>
    <row r="291" spans="1:19" ht="15" customHeight="1" x14ac:dyDescent="0.25">
      <c r="A291" s="238" t="s">
        <v>1589</v>
      </c>
      <c r="B291" s="238" t="s">
        <v>711</v>
      </c>
      <c r="C291" s="238" t="s">
        <v>712</v>
      </c>
      <c r="D291" s="238" t="s">
        <v>704</v>
      </c>
      <c r="E291" s="238" t="s">
        <v>708</v>
      </c>
      <c r="F291" s="238" t="s">
        <v>701</v>
      </c>
      <c r="G291" s="238" t="s">
        <v>1737</v>
      </c>
      <c r="H291" s="316">
        <v>41322.31</v>
      </c>
      <c r="I291" s="316">
        <v>0</v>
      </c>
      <c r="J291" s="316">
        <v>0</v>
      </c>
      <c r="K291" s="316">
        <v>0</v>
      </c>
      <c r="L291" s="316">
        <v>0</v>
      </c>
      <c r="M291" s="316">
        <v>8677.69</v>
      </c>
      <c r="N291" s="316">
        <v>0</v>
      </c>
      <c r="O291" s="316">
        <v>0</v>
      </c>
      <c r="P291" s="316">
        <v>0</v>
      </c>
      <c r="Q291" s="316">
        <v>0</v>
      </c>
      <c r="R291" s="316">
        <v>8677.69</v>
      </c>
      <c r="S291" s="316">
        <v>50000</v>
      </c>
    </row>
    <row r="292" spans="1:19" ht="15" customHeight="1" x14ac:dyDescent="0.25">
      <c r="A292" s="238" t="s">
        <v>1589</v>
      </c>
      <c r="B292" s="238" t="s">
        <v>711</v>
      </c>
      <c r="C292" s="238" t="s">
        <v>712</v>
      </c>
      <c r="D292" s="238" t="s">
        <v>704</v>
      </c>
      <c r="E292" s="238" t="s">
        <v>708</v>
      </c>
      <c r="F292" s="238" t="s">
        <v>701</v>
      </c>
      <c r="G292" s="238" t="s">
        <v>1738</v>
      </c>
      <c r="H292" s="316">
        <v>123966.94</v>
      </c>
      <c r="I292" s="316">
        <v>0</v>
      </c>
      <c r="J292" s="316">
        <v>0</v>
      </c>
      <c r="K292" s="316">
        <v>0</v>
      </c>
      <c r="L292" s="316">
        <v>0</v>
      </c>
      <c r="M292" s="316">
        <v>26033.06</v>
      </c>
      <c r="N292" s="316">
        <v>0</v>
      </c>
      <c r="O292" s="316">
        <v>0</v>
      </c>
      <c r="P292" s="316">
        <v>0</v>
      </c>
      <c r="Q292" s="316">
        <v>0</v>
      </c>
      <c r="R292" s="316">
        <v>26033.06</v>
      </c>
      <c r="S292" s="316">
        <v>150000</v>
      </c>
    </row>
    <row r="293" spans="1:19" ht="15" customHeight="1" x14ac:dyDescent="0.25">
      <c r="A293" s="238" t="s">
        <v>1589</v>
      </c>
      <c r="B293" s="238" t="s">
        <v>711</v>
      </c>
      <c r="C293" s="238" t="s">
        <v>712</v>
      </c>
      <c r="D293" s="238" t="s">
        <v>704</v>
      </c>
      <c r="E293" s="238" t="s">
        <v>708</v>
      </c>
      <c r="F293" s="238" t="s">
        <v>701</v>
      </c>
      <c r="G293" s="238" t="s">
        <v>1739</v>
      </c>
      <c r="H293" s="316">
        <v>15289.26</v>
      </c>
      <c r="I293" s="316">
        <v>0</v>
      </c>
      <c r="J293" s="316">
        <v>0</v>
      </c>
      <c r="K293" s="316">
        <v>0</v>
      </c>
      <c r="L293" s="316">
        <v>0</v>
      </c>
      <c r="M293" s="316">
        <v>3210.74</v>
      </c>
      <c r="N293" s="316">
        <v>0</v>
      </c>
      <c r="O293" s="316">
        <v>0</v>
      </c>
      <c r="P293" s="316">
        <v>0</v>
      </c>
      <c r="Q293" s="316">
        <v>0</v>
      </c>
      <c r="R293" s="316">
        <v>3210.74</v>
      </c>
      <c r="S293" s="316">
        <v>18500</v>
      </c>
    </row>
    <row r="294" spans="1:19" ht="15" customHeight="1" x14ac:dyDescent="0.25">
      <c r="A294" s="238" t="s">
        <v>1589</v>
      </c>
      <c r="B294" s="238" t="s">
        <v>711</v>
      </c>
      <c r="C294" s="238" t="s">
        <v>712</v>
      </c>
      <c r="D294" s="238" t="s">
        <v>704</v>
      </c>
      <c r="E294" s="238" t="s">
        <v>708</v>
      </c>
      <c r="F294" s="238" t="s">
        <v>701</v>
      </c>
      <c r="G294" s="238" t="s">
        <v>1740</v>
      </c>
      <c r="H294" s="316">
        <v>152892.56</v>
      </c>
      <c r="I294" s="316">
        <v>0</v>
      </c>
      <c r="J294" s="316">
        <v>0</v>
      </c>
      <c r="K294" s="316">
        <v>0</v>
      </c>
      <c r="L294" s="316">
        <v>0</v>
      </c>
      <c r="M294" s="316">
        <v>32107.439999999999</v>
      </c>
      <c r="N294" s="316">
        <v>0</v>
      </c>
      <c r="O294" s="316">
        <v>0</v>
      </c>
      <c r="P294" s="316">
        <v>0</v>
      </c>
      <c r="Q294" s="316">
        <v>0</v>
      </c>
      <c r="R294" s="316">
        <v>32107.439999999999</v>
      </c>
      <c r="S294" s="316">
        <v>185000</v>
      </c>
    </row>
    <row r="295" spans="1:19" ht="15" customHeight="1" x14ac:dyDescent="0.25">
      <c r="A295" s="238" t="s">
        <v>1589</v>
      </c>
      <c r="B295" s="238" t="s">
        <v>711</v>
      </c>
      <c r="C295" s="238" t="s">
        <v>712</v>
      </c>
      <c r="D295" s="238" t="s">
        <v>704</v>
      </c>
      <c r="E295" s="238" t="s">
        <v>708</v>
      </c>
      <c r="F295" s="238" t="s">
        <v>701</v>
      </c>
      <c r="G295" s="238" t="s">
        <v>1741</v>
      </c>
      <c r="H295" s="316">
        <v>18595.04</v>
      </c>
      <c r="I295" s="316">
        <v>0</v>
      </c>
      <c r="J295" s="316">
        <v>0</v>
      </c>
      <c r="K295" s="316">
        <v>0</v>
      </c>
      <c r="L295" s="316">
        <v>0</v>
      </c>
      <c r="M295" s="316">
        <v>3904.96</v>
      </c>
      <c r="N295" s="316">
        <v>0</v>
      </c>
      <c r="O295" s="316">
        <v>0</v>
      </c>
      <c r="P295" s="316">
        <v>0</v>
      </c>
      <c r="Q295" s="316">
        <v>0</v>
      </c>
      <c r="R295" s="316">
        <v>3904.96</v>
      </c>
      <c r="S295" s="316">
        <v>22500</v>
      </c>
    </row>
    <row r="296" spans="1:19" ht="15" customHeight="1" x14ac:dyDescent="0.25">
      <c r="A296" s="238" t="s">
        <v>1589</v>
      </c>
      <c r="B296" s="238" t="s">
        <v>711</v>
      </c>
      <c r="C296" s="238" t="s">
        <v>712</v>
      </c>
      <c r="D296" s="238" t="s">
        <v>704</v>
      </c>
      <c r="E296" s="238" t="s">
        <v>708</v>
      </c>
      <c r="F296" s="238" t="s">
        <v>701</v>
      </c>
      <c r="G296" s="238" t="s">
        <v>1742</v>
      </c>
      <c r="H296" s="316">
        <v>6198.35</v>
      </c>
      <c r="I296" s="316">
        <v>0</v>
      </c>
      <c r="J296" s="316">
        <v>0</v>
      </c>
      <c r="K296" s="316">
        <v>0</v>
      </c>
      <c r="L296" s="316">
        <v>0</v>
      </c>
      <c r="M296" s="316">
        <v>1301.6500000000001</v>
      </c>
      <c r="N296" s="316">
        <v>0</v>
      </c>
      <c r="O296" s="316">
        <v>0</v>
      </c>
      <c r="P296" s="316">
        <v>0</v>
      </c>
      <c r="Q296" s="316">
        <v>0</v>
      </c>
      <c r="R296" s="316">
        <v>1301.6500000000001</v>
      </c>
      <c r="S296" s="316">
        <v>7500</v>
      </c>
    </row>
    <row r="297" spans="1:19" ht="15" customHeight="1" x14ac:dyDescent="0.25">
      <c r="A297" s="238" t="s">
        <v>1589</v>
      </c>
      <c r="B297" s="238" t="s">
        <v>711</v>
      </c>
      <c r="C297" s="238" t="s">
        <v>712</v>
      </c>
      <c r="D297" s="238" t="s">
        <v>704</v>
      </c>
      <c r="E297" s="238" t="s">
        <v>708</v>
      </c>
      <c r="F297" s="238" t="s">
        <v>701</v>
      </c>
      <c r="G297" s="238" t="s">
        <v>1743</v>
      </c>
      <c r="H297" s="316">
        <v>10330.58</v>
      </c>
      <c r="I297" s="316">
        <v>0</v>
      </c>
      <c r="J297" s="316">
        <v>0</v>
      </c>
      <c r="K297" s="316">
        <v>0</v>
      </c>
      <c r="L297" s="316">
        <v>0</v>
      </c>
      <c r="M297" s="316">
        <v>2169.42</v>
      </c>
      <c r="N297" s="316">
        <v>0</v>
      </c>
      <c r="O297" s="316">
        <v>0</v>
      </c>
      <c r="P297" s="316">
        <v>0</v>
      </c>
      <c r="Q297" s="316">
        <v>0</v>
      </c>
      <c r="R297" s="316">
        <v>2169.42</v>
      </c>
      <c r="S297" s="316">
        <v>12500</v>
      </c>
    </row>
    <row r="298" spans="1:19" ht="15" customHeight="1" x14ac:dyDescent="0.25">
      <c r="A298" s="238" t="s">
        <v>1589</v>
      </c>
      <c r="B298" s="238" t="s">
        <v>711</v>
      </c>
      <c r="C298" s="238" t="s">
        <v>712</v>
      </c>
      <c r="D298" s="238" t="s">
        <v>704</v>
      </c>
      <c r="E298" s="238" t="s">
        <v>708</v>
      </c>
      <c r="F298" s="238" t="s">
        <v>701</v>
      </c>
      <c r="G298" s="238" t="s">
        <v>1745</v>
      </c>
      <c r="H298" s="316">
        <v>18595.04</v>
      </c>
      <c r="I298" s="316">
        <v>0</v>
      </c>
      <c r="J298" s="316">
        <v>0</v>
      </c>
      <c r="K298" s="316">
        <v>0</v>
      </c>
      <c r="L298" s="316">
        <v>0</v>
      </c>
      <c r="M298" s="316">
        <v>3904.96</v>
      </c>
      <c r="N298" s="316">
        <v>0</v>
      </c>
      <c r="O298" s="316">
        <v>0</v>
      </c>
      <c r="P298" s="316">
        <v>0</v>
      </c>
      <c r="Q298" s="316">
        <v>0</v>
      </c>
      <c r="R298" s="316">
        <v>3904.96</v>
      </c>
      <c r="S298" s="316">
        <v>22500</v>
      </c>
    </row>
    <row r="299" spans="1:19" ht="15" customHeight="1" x14ac:dyDescent="0.25">
      <c r="A299" s="238" t="s">
        <v>1589</v>
      </c>
      <c r="B299" s="238" t="s">
        <v>711</v>
      </c>
      <c r="C299" s="238" t="s">
        <v>712</v>
      </c>
      <c r="D299" s="238" t="s">
        <v>704</v>
      </c>
      <c r="E299" s="238" t="s">
        <v>708</v>
      </c>
      <c r="F299" s="238" t="s">
        <v>701</v>
      </c>
      <c r="G299" s="238" t="s">
        <v>1746</v>
      </c>
      <c r="H299" s="316">
        <v>41322.31</v>
      </c>
      <c r="I299" s="316">
        <v>0</v>
      </c>
      <c r="J299" s="316">
        <v>0</v>
      </c>
      <c r="K299" s="316">
        <v>0</v>
      </c>
      <c r="L299" s="316">
        <v>0</v>
      </c>
      <c r="M299" s="316">
        <v>8677.69</v>
      </c>
      <c r="N299" s="316">
        <v>0</v>
      </c>
      <c r="O299" s="316">
        <v>0</v>
      </c>
      <c r="P299" s="316">
        <v>0</v>
      </c>
      <c r="Q299" s="316">
        <v>0</v>
      </c>
      <c r="R299" s="316">
        <v>8677.69</v>
      </c>
      <c r="S299" s="316">
        <v>50000</v>
      </c>
    </row>
    <row r="300" spans="1:19" ht="15" customHeight="1" x14ac:dyDescent="0.25">
      <c r="A300" s="238" t="s">
        <v>1589</v>
      </c>
      <c r="B300" s="238" t="s">
        <v>711</v>
      </c>
      <c r="C300" s="238" t="s">
        <v>712</v>
      </c>
      <c r="D300" s="238" t="s">
        <v>704</v>
      </c>
      <c r="E300" s="238" t="s">
        <v>708</v>
      </c>
      <c r="F300" s="238" t="s">
        <v>701</v>
      </c>
      <c r="G300" s="238" t="s">
        <v>1747</v>
      </c>
      <c r="H300" s="316">
        <v>4958.68</v>
      </c>
      <c r="I300" s="316">
        <v>0</v>
      </c>
      <c r="J300" s="316">
        <v>0</v>
      </c>
      <c r="K300" s="316">
        <v>0</v>
      </c>
      <c r="L300" s="316">
        <v>0</v>
      </c>
      <c r="M300" s="316">
        <v>1041.32</v>
      </c>
      <c r="N300" s="316">
        <v>0</v>
      </c>
      <c r="O300" s="316">
        <v>0</v>
      </c>
      <c r="P300" s="316">
        <v>0</v>
      </c>
      <c r="Q300" s="316">
        <v>0</v>
      </c>
      <c r="R300" s="316">
        <v>1041.32</v>
      </c>
      <c r="S300" s="316">
        <v>6000</v>
      </c>
    </row>
    <row r="301" spans="1:19" ht="15" customHeight="1" x14ac:dyDescent="0.25">
      <c r="A301" s="238" t="s">
        <v>1589</v>
      </c>
      <c r="B301" s="238" t="s">
        <v>711</v>
      </c>
      <c r="C301" s="238" t="s">
        <v>712</v>
      </c>
      <c r="D301" s="238" t="s">
        <v>704</v>
      </c>
      <c r="E301" s="238" t="s">
        <v>708</v>
      </c>
      <c r="F301" s="238" t="s">
        <v>701</v>
      </c>
      <c r="G301" s="238" t="s">
        <v>1751</v>
      </c>
      <c r="H301" s="316">
        <v>22314.05</v>
      </c>
      <c r="I301" s="316">
        <v>0</v>
      </c>
      <c r="J301" s="316">
        <v>0</v>
      </c>
      <c r="K301" s="316">
        <v>0</v>
      </c>
      <c r="L301" s="316">
        <v>0</v>
      </c>
      <c r="M301" s="316">
        <v>4685.95</v>
      </c>
      <c r="N301" s="316">
        <v>0</v>
      </c>
      <c r="O301" s="316">
        <v>0</v>
      </c>
      <c r="P301" s="316">
        <v>0</v>
      </c>
      <c r="Q301" s="316">
        <v>0</v>
      </c>
      <c r="R301" s="316">
        <v>4685.95</v>
      </c>
      <c r="S301" s="316">
        <v>27000</v>
      </c>
    </row>
    <row r="302" spans="1:19" ht="15" customHeight="1" x14ac:dyDescent="0.25">
      <c r="A302" s="238" t="s">
        <v>1589</v>
      </c>
      <c r="B302" s="238" t="s">
        <v>711</v>
      </c>
      <c r="C302" s="238" t="s">
        <v>712</v>
      </c>
      <c r="D302" s="238" t="s">
        <v>704</v>
      </c>
      <c r="E302" s="238" t="s">
        <v>708</v>
      </c>
      <c r="F302" s="238" t="s">
        <v>701</v>
      </c>
      <c r="G302" s="238" t="s">
        <v>1752</v>
      </c>
      <c r="H302" s="316">
        <v>17355.37</v>
      </c>
      <c r="I302" s="316">
        <v>0</v>
      </c>
      <c r="J302" s="316">
        <v>0</v>
      </c>
      <c r="K302" s="316">
        <v>0</v>
      </c>
      <c r="L302" s="316">
        <v>0</v>
      </c>
      <c r="M302" s="316">
        <v>3644.63</v>
      </c>
      <c r="N302" s="316">
        <v>0</v>
      </c>
      <c r="O302" s="316">
        <v>0</v>
      </c>
      <c r="P302" s="316">
        <v>0</v>
      </c>
      <c r="Q302" s="316">
        <v>0</v>
      </c>
      <c r="R302" s="316">
        <v>3644.63</v>
      </c>
      <c r="S302" s="316">
        <v>21000</v>
      </c>
    </row>
    <row r="303" spans="1:19" ht="15" customHeight="1" x14ac:dyDescent="0.25">
      <c r="A303" s="238" t="s">
        <v>1589</v>
      </c>
      <c r="B303" s="238" t="s">
        <v>711</v>
      </c>
      <c r="C303" s="238" t="s">
        <v>712</v>
      </c>
      <c r="D303" s="238" t="s">
        <v>704</v>
      </c>
      <c r="E303" s="238" t="s">
        <v>708</v>
      </c>
      <c r="F303" s="238" t="s">
        <v>701</v>
      </c>
      <c r="G303" s="238" t="s">
        <v>1753</v>
      </c>
      <c r="H303" s="316">
        <v>6198.35</v>
      </c>
      <c r="I303" s="316">
        <v>0</v>
      </c>
      <c r="J303" s="316">
        <v>0</v>
      </c>
      <c r="K303" s="316">
        <v>0</v>
      </c>
      <c r="L303" s="316">
        <v>0</v>
      </c>
      <c r="M303" s="316">
        <v>1301.6500000000001</v>
      </c>
      <c r="N303" s="316">
        <v>0</v>
      </c>
      <c r="O303" s="316">
        <v>0</v>
      </c>
      <c r="P303" s="316">
        <v>0</v>
      </c>
      <c r="Q303" s="316">
        <v>0</v>
      </c>
      <c r="R303" s="316">
        <v>1301.6500000000001</v>
      </c>
      <c r="S303" s="316">
        <v>7500</v>
      </c>
    </row>
    <row r="304" spans="1:19" ht="15" customHeight="1" x14ac:dyDescent="0.25">
      <c r="A304" s="238" t="s">
        <v>1589</v>
      </c>
      <c r="B304" s="238" t="s">
        <v>711</v>
      </c>
      <c r="C304" s="238" t="s">
        <v>712</v>
      </c>
      <c r="D304" s="238" t="s">
        <v>704</v>
      </c>
      <c r="E304" s="238" t="s">
        <v>708</v>
      </c>
      <c r="F304" s="238" t="s">
        <v>701</v>
      </c>
      <c r="G304" s="238" t="s">
        <v>1763</v>
      </c>
      <c r="H304" s="316">
        <v>51239.67</v>
      </c>
      <c r="I304" s="316">
        <v>0</v>
      </c>
      <c r="J304" s="316">
        <v>0</v>
      </c>
      <c r="K304" s="316">
        <v>0</v>
      </c>
      <c r="L304" s="316">
        <v>0</v>
      </c>
      <c r="M304" s="316">
        <v>10760.33</v>
      </c>
      <c r="N304" s="316">
        <v>0</v>
      </c>
      <c r="O304" s="316">
        <v>0</v>
      </c>
      <c r="P304" s="316">
        <v>0</v>
      </c>
      <c r="Q304" s="316">
        <v>0</v>
      </c>
      <c r="R304" s="316">
        <v>10760.33</v>
      </c>
      <c r="S304" s="316">
        <v>62000</v>
      </c>
    </row>
    <row r="305" spans="1:19" ht="15" customHeight="1" x14ac:dyDescent="0.25">
      <c r="A305" s="238" t="s">
        <v>1589</v>
      </c>
      <c r="B305" s="238" t="s">
        <v>711</v>
      </c>
      <c r="C305" s="238" t="s">
        <v>712</v>
      </c>
      <c r="D305" s="238" t="s">
        <v>704</v>
      </c>
      <c r="E305" s="238" t="s">
        <v>708</v>
      </c>
      <c r="F305" s="238" t="s">
        <v>701</v>
      </c>
      <c r="G305" s="238" t="s">
        <v>1764</v>
      </c>
      <c r="H305" s="316">
        <v>28099.17</v>
      </c>
      <c r="I305" s="316">
        <v>0</v>
      </c>
      <c r="J305" s="316">
        <v>0</v>
      </c>
      <c r="K305" s="316">
        <v>0</v>
      </c>
      <c r="L305" s="316">
        <v>0</v>
      </c>
      <c r="M305" s="316">
        <v>5900.83</v>
      </c>
      <c r="N305" s="316">
        <v>0</v>
      </c>
      <c r="O305" s="316">
        <v>0</v>
      </c>
      <c r="P305" s="316">
        <v>0</v>
      </c>
      <c r="Q305" s="316">
        <v>0</v>
      </c>
      <c r="R305" s="316">
        <v>5900.83</v>
      </c>
      <c r="S305" s="316">
        <v>34000</v>
      </c>
    </row>
    <row r="306" spans="1:19" ht="15" customHeight="1" x14ac:dyDescent="0.25">
      <c r="A306" s="238" t="s">
        <v>1589</v>
      </c>
      <c r="B306" s="238" t="s">
        <v>711</v>
      </c>
      <c r="C306" s="238" t="s">
        <v>712</v>
      </c>
      <c r="D306" s="238" t="s">
        <v>704</v>
      </c>
      <c r="E306" s="238" t="s">
        <v>708</v>
      </c>
      <c r="F306" s="238" t="s">
        <v>701</v>
      </c>
      <c r="G306" s="238" t="s">
        <v>1765</v>
      </c>
      <c r="H306" s="316">
        <v>18595.04</v>
      </c>
      <c r="I306" s="316">
        <v>0</v>
      </c>
      <c r="J306" s="316">
        <v>0</v>
      </c>
      <c r="K306" s="316">
        <v>0</v>
      </c>
      <c r="L306" s="316">
        <v>0</v>
      </c>
      <c r="M306" s="316">
        <v>3904.96</v>
      </c>
      <c r="N306" s="316">
        <v>0</v>
      </c>
      <c r="O306" s="316">
        <v>0</v>
      </c>
      <c r="P306" s="316">
        <v>0</v>
      </c>
      <c r="Q306" s="316">
        <v>0</v>
      </c>
      <c r="R306" s="316">
        <v>3904.96</v>
      </c>
      <c r="S306" s="316">
        <v>22500</v>
      </c>
    </row>
    <row r="307" spans="1:19" ht="15" customHeight="1" x14ac:dyDescent="0.25">
      <c r="A307" s="238" t="s">
        <v>1589</v>
      </c>
      <c r="B307" s="238" t="s">
        <v>711</v>
      </c>
      <c r="C307" s="238" t="s">
        <v>712</v>
      </c>
      <c r="D307" s="238" t="s">
        <v>704</v>
      </c>
      <c r="E307" s="238" t="s">
        <v>708</v>
      </c>
      <c r="F307" s="238" t="s">
        <v>701</v>
      </c>
      <c r="G307" s="238" t="s">
        <v>1735</v>
      </c>
      <c r="H307" s="316">
        <v>57851.24</v>
      </c>
      <c r="I307" s="316">
        <v>0</v>
      </c>
      <c r="J307" s="316">
        <v>0</v>
      </c>
      <c r="K307" s="316">
        <v>0</v>
      </c>
      <c r="L307" s="316">
        <v>0</v>
      </c>
      <c r="M307" s="316">
        <v>12148.76</v>
      </c>
      <c r="N307" s="316">
        <v>0</v>
      </c>
      <c r="O307" s="316">
        <v>0</v>
      </c>
      <c r="P307" s="316">
        <v>0</v>
      </c>
      <c r="Q307" s="316">
        <v>0</v>
      </c>
      <c r="R307" s="316">
        <v>12148.76</v>
      </c>
      <c r="S307" s="316">
        <v>70000</v>
      </c>
    </row>
    <row r="308" spans="1:19" ht="15" customHeight="1" x14ac:dyDescent="0.25">
      <c r="A308" s="238" t="s">
        <v>1603</v>
      </c>
      <c r="B308" s="238" t="s">
        <v>711</v>
      </c>
      <c r="C308" s="238" t="s">
        <v>712</v>
      </c>
      <c r="D308" s="238" t="s">
        <v>704</v>
      </c>
      <c r="E308" s="238" t="s">
        <v>708</v>
      </c>
      <c r="F308" s="238" t="s">
        <v>701</v>
      </c>
      <c r="G308" s="238" t="s">
        <v>1766</v>
      </c>
      <c r="H308" s="316">
        <v>12396.69</v>
      </c>
      <c r="I308" s="316">
        <v>0</v>
      </c>
      <c r="J308" s="316">
        <v>0</v>
      </c>
      <c r="K308" s="316">
        <v>0</v>
      </c>
      <c r="L308" s="316">
        <v>0</v>
      </c>
      <c r="M308" s="316">
        <v>2603.31</v>
      </c>
      <c r="N308" s="316">
        <v>0</v>
      </c>
      <c r="O308" s="316">
        <v>0</v>
      </c>
      <c r="P308" s="316">
        <v>0</v>
      </c>
      <c r="Q308" s="316">
        <v>0</v>
      </c>
      <c r="R308" s="316">
        <v>2603.31</v>
      </c>
      <c r="S308" s="316">
        <v>15000</v>
      </c>
    </row>
    <row r="309" spans="1:19" ht="15" customHeight="1" x14ac:dyDescent="0.25">
      <c r="A309" s="238" t="s">
        <v>1603</v>
      </c>
      <c r="B309" s="238" t="s">
        <v>711</v>
      </c>
      <c r="C309" s="238" t="s">
        <v>712</v>
      </c>
      <c r="D309" s="238" t="s">
        <v>704</v>
      </c>
      <c r="E309" s="238" t="s">
        <v>708</v>
      </c>
      <c r="F309" s="238" t="s">
        <v>701</v>
      </c>
      <c r="G309" s="238" t="s">
        <v>1767</v>
      </c>
      <c r="H309" s="316">
        <v>28925.62</v>
      </c>
      <c r="I309" s="316">
        <v>0</v>
      </c>
      <c r="J309" s="316">
        <v>0</v>
      </c>
      <c r="K309" s="316">
        <v>0</v>
      </c>
      <c r="L309" s="316">
        <v>0</v>
      </c>
      <c r="M309" s="316">
        <v>6074.38</v>
      </c>
      <c r="N309" s="316">
        <v>0</v>
      </c>
      <c r="O309" s="316">
        <v>0</v>
      </c>
      <c r="P309" s="316">
        <v>0</v>
      </c>
      <c r="Q309" s="316">
        <v>0</v>
      </c>
      <c r="R309" s="316">
        <v>6074.38</v>
      </c>
      <c r="S309" s="316">
        <v>35000</v>
      </c>
    </row>
    <row r="310" spans="1:19" ht="15" customHeight="1" x14ac:dyDescent="0.25">
      <c r="A310" s="238" t="s">
        <v>1603</v>
      </c>
      <c r="B310" s="238" t="s">
        <v>711</v>
      </c>
      <c r="C310" s="238" t="s">
        <v>712</v>
      </c>
      <c r="D310" s="238" t="s">
        <v>704</v>
      </c>
      <c r="E310" s="238" t="s">
        <v>708</v>
      </c>
      <c r="F310" s="238" t="s">
        <v>701</v>
      </c>
      <c r="G310" s="238" t="s">
        <v>1768</v>
      </c>
      <c r="H310" s="316">
        <v>24793.39</v>
      </c>
      <c r="I310" s="316">
        <v>0</v>
      </c>
      <c r="J310" s="316">
        <v>0</v>
      </c>
      <c r="K310" s="316">
        <v>0</v>
      </c>
      <c r="L310" s="316">
        <v>0</v>
      </c>
      <c r="M310" s="316">
        <v>5206.6099999999997</v>
      </c>
      <c r="N310" s="316">
        <v>0</v>
      </c>
      <c r="O310" s="316">
        <v>0</v>
      </c>
      <c r="P310" s="316">
        <v>0</v>
      </c>
      <c r="Q310" s="316">
        <v>0</v>
      </c>
      <c r="R310" s="316">
        <v>5206.6099999999997</v>
      </c>
      <c r="S310" s="316">
        <v>30000</v>
      </c>
    </row>
    <row r="311" spans="1:19" ht="15" customHeight="1" x14ac:dyDescent="0.25">
      <c r="A311" s="238" t="s">
        <v>1603</v>
      </c>
      <c r="B311" s="238" t="s">
        <v>711</v>
      </c>
      <c r="C311" s="238" t="s">
        <v>712</v>
      </c>
      <c r="D311" s="238" t="s">
        <v>704</v>
      </c>
      <c r="E311" s="238" t="s">
        <v>708</v>
      </c>
      <c r="F311" s="238" t="s">
        <v>701</v>
      </c>
      <c r="G311" s="238" t="s">
        <v>1769</v>
      </c>
      <c r="H311" s="316">
        <v>10330.58</v>
      </c>
      <c r="I311" s="316">
        <v>0</v>
      </c>
      <c r="J311" s="316">
        <v>0</v>
      </c>
      <c r="K311" s="316">
        <v>0</v>
      </c>
      <c r="L311" s="316">
        <v>0</v>
      </c>
      <c r="M311" s="316">
        <v>2169.42</v>
      </c>
      <c r="N311" s="316">
        <v>0</v>
      </c>
      <c r="O311" s="316">
        <v>0</v>
      </c>
      <c r="P311" s="316">
        <v>0</v>
      </c>
      <c r="Q311" s="316">
        <v>0</v>
      </c>
      <c r="R311" s="316">
        <v>2169.42</v>
      </c>
      <c r="S311" s="316">
        <v>12500</v>
      </c>
    </row>
    <row r="312" spans="1:19" ht="15" customHeight="1" x14ac:dyDescent="0.25">
      <c r="A312" s="238" t="s">
        <v>1603</v>
      </c>
      <c r="B312" s="238" t="s">
        <v>1770</v>
      </c>
      <c r="C312" s="238" t="s">
        <v>1771</v>
      </c>
      <c r="D312" s="238" t="s">
        <v>704</v>
      </c>
      <c r="E312" s="238" t="s">
        <v>708</v>
      </c>
      <c r="F312" s="238" t="s">
        <v>701</v>
      </c>
      <c r="G312" s="238" t="s">
        <v>1772</v>
      </c>
      <c r="H312" s="316">
        <v>47107.44</v>
      </c>
      <c r="I312" s="316">
        <v>0</v>
      </c>
      <c r="J312" s="316">
        <v>0</v>
      </c>
      <c r="K312" s="316">
        <v>0</v>
      </c>
      <c r="L312" s="316">
        <v>0</v>
      </c>
      <c r="M312" s="316">
        <v>9892.56</v>
      </c>
      <c r="N312" s="316">
        <v>0</v>
      </c>
      <c r="O312" s="316">
        <v>0</v>
      </c>
      <c r="P312" s="316">
        <v>0</v>
      </c>
      <c r="Q312" s="316">
        <v>0</v>
      </c>
      <c r="R312" s="316">
        <v>9892.56</v>
      </c>
      <c r="S312" s="316">
        <v>57000</v>
      </c>
    </row>
    <row r="313" spans="1:19" ht="15" customHeight="1" x14ac:dyDescent="0.25">
      <c r="A313" s="238" t="s">
        <v>1603</v>
      </c>
      <c r="B313" s="238" t="s">
        <v>711</v>
      </c>
      <c r="C313" s="238" t="s">
        <v>712</v>
      </c>
      <c r="D313" s="238" t="s">
        <v>704</v>
      </c>
      <c r="E313" s="238" t="s">
        <v>708</v>
      </c>
      <c r="F313" s="238" t="s">
        <v>701</v>
      </c>
      <c r="G313" s="238" t="s">
        <v>1773</v>
      </c>
      <c r="H313" s="316">
        <v>28925.62</v>
      </c>
      <c r="I313" s="316">
        <v>0</v>
      </c>
      <c r="J313" s="316">
        <v>0</v>
      </c>
      <c r="K313" s="316">
        <v>0</v>
      </c>
      <c r="L313" s="316">
        <v>0</v>
      </c>
      <c r="M313" s="316">
        <v>6074.38</v>
      </c>
      <c r="N313" s="316">
        <v>0</v>
      </c>
      <c r="O313" s="316">
        <v>0</v>
      </c>
      <c r="P313" s="316">
        <v>0</v>
      </c>
      <c r="Q313" s="316">
        <v>0</v>
      </c>
      <c r="R313" s="316">
        <v>6074.38</v>
      </c>
      <c r="S313" s="316">
        <v>35000</v>
      </c>
    </row>
    <row r="314" spans="1:19" ht="15" customHeight="1" x14ac:dyDescent="0.25">
      <c r="A314" s="238" t="s">
        <v>1603</v>
      </c>
      <c r="B314" s="238" t="s">
        <v>711</v>
      </c>
      <c r="C314" s="238" t="s">
        <v>712</v>
      </c>
      <c r="D314" s="238" t="s">
        <v>704</v>
      </c>
      <c r="E314" s="238" t="s">
        <v>708</v>
      </c>
      <c r="F314" s="238" t="s">
        <v>701</v>
      </c>
      <c r="G314" s="238" t="s">
        <v>1774</v>
      </c>
      <c r="H314" s="316">
        <v>33884.300000000003</v>
      </c>
      <c r="I314" s="316">
        <v>0</v>
      </c>
      <c r="J314" s="316">
        <v>0</v>
      </c>
      <c r="K314" s="316">
        <v>0</v>
      </c>
      <c r="L314" s="316">
        <v>0</v>
      </c>
      <c r="M314" s="316">
        <v>7115.7</v>
      </c>
      <c r="N314" s="316">
        <v>0</v>
      </c>
      <c r="O314" s="316">
        <v>0</v>
      </c>
      <c r="P314" s="316">
        <v>0</v>
      </c>
      <c r="Q314" s="316">
        <v>0</v>
      </c>
      <c r="R314" s="316">
        <v>7115.7</v>
      </c>
      <c r="S314" s="316">
        <v>41000</v>
      </c>
    </row>
    <row r="315" spans="1:19" ht="15" customHeight="1" x14ac:dyDescent="0.25">
      <c r="A315" s="238" t="s">
        <v>1603</v>
      </c>
      <c r="B315" s="238" t="s">
        <v>711</v>
      </c>
      <c r="C315" s="238" t="s">
        <v>712</v>
      </c>
      <c r="D315" s="238" t="s">
        <v>704</v>
      </c>
      <c r="E315" s="238" t="s">
        <v>708</v>
      </c>
      <c r="F315" s="238" t="s">
        <v>701</v>
      </c>
      <c r="G315" s="238" t="s">
        <v>1775</v>
      </c>
      <c r="H315" s="316">
        <v>28925.62</v>
      </c>
      <c r="I315" s="316">
        <v>0</v>
      </c>
      <c r="J315" s="316">
        <v>0</v>
      </c>
      <c r="K315" s="316">
        <v>0</v>
      </c>
      <c r="L315" s="316">
        <v>0</v>
      </c>
      <c r="M315" s="316">
        <v>6074.38</v>
      </c>
      <c r="N315" s="316">
        <v>0</v>
      </c>
      <c r="O315" s="316">
        <v>0</v>
      </c>
      <c r="P315" s="316">
        <v>0</v>
      </c>
      <c r="Q315" s="316">
        <v>0</v>
      </c>
      <c r="R315" s="316">
        <v>6074.38</v>
      </c>
      <c r="S315" s="316">
        <v>35000</v>
      </c>
    </row>
    <row r="316" spans="1:19" ht="15" customHeight="1" x14ac:dyDescent="0.25">
      <c r="A316" s="238" t="s">
        <v>1603</v>
      </c>
      <c r="B316" s="238" t="s">
        <v>711</v>
      </c>
      <c r="C316" s="238" t="s">
        <v>712</v>
      </c>
      <c r="D316" s="238" t="s">
        <v>704</v>
      </c>
      <c r="E316" s="238" t="s">
        <v>708</v>
      </c>
      <c r="F316" s="238" t="s">
        <v>701</v>
      </c>
      <c r="G316" s="238" t="s">
        <v>1776</v>
      </c>
      <c r="H316" s="316">
        <v>18595.04</v>
      </c>
      <c r="I316" s="316">
        <v>0</v>
      </c>
      <c r="J316" s="316">
        <v>0</v>
      </c>
      <c r="K316" s="316">
        <v>0</v>
      </c>
      <c r="L316" s="316">
        <v>0</v>
      </c>
      <c r="M316" s="316">
        <v>3904.96</v>
      </c>
      <c r="N316" s="316">
        <v>0</v>
      </c>
      <c r="O316" s="316">
        <v>0</v>
      </c>
      <c r="P316" s="316">
        <v>0</v>
      </c>
      <c r="Q316" s="316">
        <v>0</v>
      </c>
      <c r="R316" s="316">
        <v>3904.96</v>
      </c>
      <c r="S316" s="316">
        <v>22500</v>
      </c>
    </row>
    <row r="317" spans="1:19" ht="15" customHeight="1" x14ac:dyDescent="0.25">
      <c r="A317" s="238" t="s">
        <v>1603</v>
      </c>
      <c r="B317" s="238" t="s">
        <v>711</v>
      </c>
      <c r="C317" s="238" t="s">
        <v>712</v>
      </c>
      <c r="D317" s="238" t="s">
        <v>704</v>
      </c>
      <c r="E317" s="238" t="s">
        <v>708</v>
      </c>
      <c r="F317" s="238" t="s">
        <v>701</v>
      </c>
      <c r="G317" s="238" t="s">
        <v>1777</v>
      </c>
      <c r="H317" s="316">
        <v>64462.81</v>
      </c>
      <c r="I317" s="316">
        <v>0</v>
      </c>
      <c r="J317" s="316">
        <v>0</v>
      </c>
      <c r="K317" s="316">
        <v>0</v>
      </c>
      <c r="L317" s="316">
        <v>0</v>
      </c>
      <c r="M317" s="316">
        <v>13537.19</v>
      </c>
      <c r="N317" s="316">
        <v>0</v>
      </c>
      <c r="O317" s="316">
        <v>0</v>
      </c>
      <c r="P317" s="316">
        <v>0</v>
      </c>
      <c r="Q317" s="316">
        <v>0</v>
      </c>
      <c r="R317" s="316">
        <v>13537.19</v>
      </c>
      <c r="S317" s="316">
        <v>78000</v>
      </c>
    </row>
    <row r="318" spans="1:19" ht="15" customHeight="1" x14ac:dyDescent="0.25">
      <c r="A318" s="238" t="s">
        <v>1603</v>
      </c>
      <c r="B318" s="238" t="s">
        <v>711</v>
      </c>
      <c r="C318" s="238" t="s">
        <v>712</v>
      </c>
      <c r="D318" s="238" t="s">
        <v>704</v>
      </c>
      <c r="E318" s="238" t="s">
        <v>708</v>
      </c>
      <c r="F318" s="238" t="s">
        <v>701</v>
      </c>
      <c r="G318" s="238" t="s">
        <v>1778</v>
      </c>
      <c r="H318" s="316">
        <v>27438.02</v>
      </c>
      <c r="I318" s="316">
        <v>0</v>
      </c>
      <c r="J318" s="316">
        <v>0</v>
      </c>
      <c r="K318" s="316">
        <v>0</v>
      </c>
      <c r="L318" s="316">
        <v>0</v>
      </c>
      <c r="M318" s="316">
        <v>5761.98</v>
      </c>
      <c r="N318" s="316">
        <v>0</v>
      </c>
      <c r="O318" s="316">
        <v>0</v>
      </c>
      <c r="P318" s="316">
        <v>0</v>
      </c>
      <c r="Q318" s="316">
        <v>0</v>
      </c>
      <c r="R318" s="316">
        <v>5761.98</v>
      </c>
      <c r="S318" s="316">
        <v>33200</v>
      </c>
    </row>
    <row r="319" spans="1:19" ht="15" customHeight="1" x14ac:dyDescent="0.25">
      <c r="A319" s="238" t="s">
        <v>1603</v>
      </c>
      <c r="B319" s="238" t="s">
        <v>711</v>
      </c>
      <c r="C319" s="238" t="s">
        <v>712</v>
      </c>
      <c r="D319" s="238" t="s">
        <v>704</v>
      </c>
      <c r="E319" s="238" t="s">
        <v>708</v>
      </c>
      <c r="F319" s="238" t="s">
        <v>701</v>
      </c>
      <c r="G319" s="238" t="s">
        <v>1782</v>
      </c>
      <c r="H319" s="316">
        <v>18595.04</v>
      </c>
      <c r="I319" s="316">
        <v>0</v>
      </c>
      <c r="J319" s="316">
        <v>0</v>
      </c>
      <c r="K319" s="316">
        <v>0</v>
      </c>
      <c r="L319" s="316">
        <v>0</v>
      </c>
      <c r="M319" s="316">
        <v>3904.96</v>
      </c>
      <c r="N319" s="316">
        <v>0</v>
      </c>
      <c r="O319" s="316">
        <v>0</v>
      </c>
      <c r="P319" s="316">
        <v>0</v>
      </c>
      <c r="Q319" s="316">
        <v>0</v>
      </c>
      <c r="R319" s="316">
        <v>3904.96</v>
      </c>
      <c r="S319" s="316">
        <v>22500</v>
      </c>
    </row>
    <row r="320" spans="1:19" ht="15" customHeight="1" x14ac:dyDescent="0.25">
      <c r="A320" s="238" t="s">
        <v>1603</v>
      </c>
      <c r="B320" s="238" t="s">
        <v>711</v>
      </c>
      <c r="C320" s="238" t="s">
        <v>712</v>
      </c>
      <c r="D320" s="238" t="s">
        <v>704</v>
      </c>
      <c r="E320" s="238" t="s">
        <v>708</v>
      </c>
      <c r="F320" s="238" t="s">
        <v>701</v>
      </c>
      <c r="G320" s="238" t="s">
        <v>1783</v>
      </c>
      <c r="H320" s="316">
        <v>33884.300000000003</v>
      </c>
      <c r="I320" s="316">
        <v>0</v>
      </c>
      <c r="J320" s="316">
        <v>0</v>
      </c>
      <c r="K320" s="316">
        <v>0</v>
      </c>
      <c r="L320" s="316">
        <v>0</v>
      </c>
      <c r="M320" s="316">
        <v>7115.7</v>
      </c>
      <c r="N320" s="316">
        <v>0</v>
      </c>
      <c r="O320" s="316">
        <v>0</v>
      </c>
      <c r="P320" s="316">
        <v>0</v>
      </c>
      <c r="Q320" s="316">
        <v>0</v>
      </c>
      <c r="R320" s="316">
        <v>7115.7</v>
      </c>
      <c r="S320" s="316">
        <v>41000</v>
      </c>
    </row>
    <row r="321" spans="1:19" ht="15" customHeight="1" x14ac:dyDescent="0.25">
      <c r="A321" s="238" t="s">
        <v>784</v>
      </c>
      <c r="B321" s="238" t="s">
        <v>766</v>
      </c>
      <c r="C321" s="238" t="s">
        <v>767</v>
      </c>
      <c r="D321" s="238" t="s">
        <v>704</v>
      </c>
      <c r="E321" s="238" t="s">
        <v>708</v>
      </c>
      <c r="F321" s="238" t="s">
        <v>701</v>
      </c>
      <c r="G321" s="238" t="s">
        <v>791</v>
      </c>
      <c r="H321" s="316">
        <v>39669.42</v>
      </c>
      <c r="I321" s="316">
        <v>0</v>
      </c>
      <c r="J321" s="316">
        <v>0</v>
      </c>
      <c r="K321" s="316">
        <v>0</v>
      </c>
      <c r="L321" s="316">
        <v>0</v>
      </c>
      <c r="M321" s="316">
        <v>8330.58</v>
      </c>
      <c r="N321" s="316">
        <v>0</v>
      </c>
      <c r="O321" s="316">
        <v>0</v>
      </c>
      <c r="P321" s="316">
        <v>0</v>
      </c>
      <c r="Q321" s="316">
        <v>0</v>
      </c>
      <c r="R321" s="316">
        <v>8330.58</v>
      </c>
      <c r="S321" s="316">
        <v>48000</v>
      </c>
    </row>
    <row r="322" spans="1:19" ht="15" customHeight="1" x14ac:dyDescent="0.25">
      <c r="A322" s="238" t="s">
        <v>784</v>
      </c>
      <c r="B322" s="238" t="s">
        <v>766</v>
      </c>
      <c r="C322" s="238" t="s">
        <v>767</v>
      </c>
      <c r="D322" s="238" t="s">
        <v>704</v>
      </c>
      <c r="E322" s="238" t="s">
        <v>708</v>
      </c>
      <c r="F322" s="238" t="s">
        <v>701</v>
      </c>
      <c r="G322" s="238" t="s">
        <v>792</v>
      </c>
      <c r="H322" s="316">
        <v>12396.69</v>
      </c>
      <c r="I322" s="316">
        <v>0</v>
      </c>
      <c r="J322" s="316">
        <v>0</v>
      </c>
      <c r="K322" s="316">
        <v>0</v>
      </c>
      <c r="L322" s="316">
        <v>0</v>
      </c>
      <c r="M322" s="316">
        <v>2603.31</v>
      </c>
      <c r="N322" s="316">
        <v>0</v>
      </c>
      <c r="O322" s="316">
        <v>0</v>
      </c>
      <c r="P322" s="316">
        <v>0</v>
      </c>
      <c r="Q322" s="316">
        <v>0</v>
      </c>
      <c r="R322" s="316">
        <v>2603.31</v>
      </c>
      <c r="S322" s="316">
        <v>15000</v>
      </c>
    </row>
    <row r="323" spans="1:19" ht="15" customHeight="1" x14ac:dyDescent="0.25">
      <c r="A323" s="238" t="s">
        <v>784</v>
      </c>
      <c r="B323" s="238" t="s">
        <v>806</v>
      </c>
      <c r="C323" s="238" t="s">
        <v>807</v>
      </c>
      <c r="D323" s="238" t="s">
        <v>704</v>
      </c>
      <c r="E323" s="238" t="s">
        <v>708</v>
      </c>
      <c r="F323" s="238" t="s">
        <v>701</v>
      </c>
      <c r="G323" s="238" t="s">
        <v>808</v>
      </c>
      <c r="H323" s="316">
        <v>18181.82</v>
      </c>
      <c r="I323" s="316">
        <v>0</v>
      </c>
      <c r="J323" s="316">
        <v>0</v>
      </c>
      <c r="K323" s="316">
        <v>0</v>
      </c>
      <c r="L323" s="316">
        <v>0</v>
      </c>
      <c r="M323" s="316">
        <v>3818.18</v>
      </c>
      <c r="N323" s="316">
        <v>0</v>
      </c>
      <c r="O323" s="316">
        <v>0</v>
      </c>
      <c r="P323" s="316">
        <v>0</v>
      </c>
      <c r="Q323" s="316">
        <v>0</v>
      </c>
      <c r="R323" s="316">
        <v>3818.18</v>
      </c>
      <c r="S323" s="316">
        <v>22000</v>
      </c>
    </row>
    <row r="324" spans="1:19" ht="15" customHeight="1" x14ac:dyDescent="0.25">
      <c r="A324" s="238" t="s">
        <v>825</v>
      </c>
      <c r="B324" s="238" t="s">
        <v>721</v>
      </c>
      <c r="C324" s="238" t="s">
        <v>722</v>
      </c>
      <c r="D324" s="238" t="s">
        <v>699</v>
      </c>
      <c r="E324" s="238" t="s">
        <v>723</v>
      </c>
      <c r="F324" s="238" t="s">
        <v>701</v>
      </c>
      <c r="G324" s="238" t="s">
        <v>827</v>
      </c>
      <c r="H324" s="316">
        <v>8603.31</v>
      </c>
      <c r="I324" s="316">
        <v>0</v>
      </c>
      <c r="J324" s="316">
        <v>0</v>
      </c>
      <c r="K324" s="316">
        <v>0</v>
      </c>
      <c r="L324" s="316">
        <v>0</v>
      </c>
      <c r="M324" s="316">
        <v>1806.69</v>
      </c>
      <c r="N324" s="316">
        <v>0</v>
      </c>
      <c r="O324" s="316">
        <v>0</v>
      </c>
      <c r="P324" s="316">
        <v>0</v>
      </c>
      <c r="Q324" s="316">
        <v>0</v>
      </c>
      <c r="R324" s="316">
        <v>1806.69</v>
      </c>
      <c r="S324" s="316">
        <v>10410</v>
      </c>
    </row>
    <row r="325" spans="1:19" ht="15" customHeight="1" x14ac:dyDescent="0.25">
      <c r="A325" s="238" t="s">
        <v>825</v>
      </c>
      <c r="B325" s="238" t="s">
        <v>724</v>
      </c>
      <c r="C325" s="238"/>
      <c r="D325" s="238" t="s">
        <v>699</v>
      </c>
      <c r="E325" s="238" t="s">
        <v>708</v>
      </c>
      <c r="F325" s="238" t="s">
        <v>701</v>
      </c>
      <c r="G325" s="238" t="s">
        <v>829</v>
      </c>
      <c r="H325" s="316">
        <v>58677.69</v>
      </c>
      <c r="I325" s="316">
        <v>0</v>
      </c>
      <c r="J325" s="316">
        <v>0</v>
      </c>
      <c r="K325" s="316">
        <v>0</v>
      </c>
      <c r="L325" s="316">
        <v>0</v>
      </c>
      <c r="M325" s="316">
        <v>12322.31</v>
      </c>
      <c r="N325" s="316">
        <v>0</v>
      </c>
      <c r="O325" s="316">
        <v>0</v>
      </c>
      <c r="P325" s="316">
        <v>0</v>
      </c>
      <c r="Q325" s="316">
        <v>0</v>
      </c>
      <c r="R325" s="316">
        <v>12322.31</v>
      </c>
      <c r="S325" s="316">
        <v>71000</v>
      </c>
    </row>
    <row r="326" spans="1:19" ht="15" customHeight="1" x14ac:dyDescent="0.25">
      <c r="A326" s="238" t="s">
        <v>825</v>
      </c>
      <c r="B326" s="238" t="s">
        <v>720</v>
      </c>
      <c r="C326" s="238"/>
      <c r="D326" s="238" t="s">
        <v>699</v>
      </c>
      <c r="E326" s="238" t="s">
        <v>708</v>
      </c>
      <c r="F326" s="238" t="s">
        <v>701</v>
      </c>
      <c r="G326" s="238" t="s">
        <v>830</v>
      </c>
      <c r="H326" s="316">
        <v>39669.42</v>
      </c>
      <c r="I326" s="316">
        <v>0</v>
      </c>
      <c r="J326" s="316">
        <v>0</v>
      </c>
      <c r="K326" s="316">
        <v>0</v>
      </c>
      <c r="L326" s="316">
        <v>0</v>
      </c>
      <c r="M326" s="316">
        <v>8330.58</v>
      </c>
      <c r="N326" s="316">
        <v>0</v>
      </c>
      <c r="O326" s="316">
        <v>0</v>
      </c>
      <c r="P326" s="316">
        <v>0</v>
      </c>
      <c r="Q326" s="316">
        <v>0</v>
      </c>
      <c r="R326" s="316">
        <v>8330.58</v>
      </c>
      <c r="S326" s="316">
        <v>48000</v>
      </c>
    </row>
    <row r="327" spans="1:19" ht="15" customHeight="1" x14ac:dyDescent="0.25">
      <c r="A327" s="238" t="s">
        <v>825</v>
      </c>
      <c r="B327" s="238" t="s">
        <v>725</v>
      </c>
      <c r="C327" s="238" t="s">
        <v>726</v>
      </c>
      <c r="D327" s="238" t="s">
        <v>704</v>
      </c>
      <c r="E327" s="238" t="s">
        <v>727</v>
      </c>
      <c r="F327" s="238" t="s">
        <v>701</v>
      </c>
      <c r="G327" s="238" t="s">
        <v>831</v>
      </c>
      <c r="H327" s="316">
        <v>36363.64</v>
      </c>
      <c r="I327" s="316">
        <v>0</v>
      </c>
      <c r="J327" s="316">
        <v>0</v>
      </c>
      <c r="K327" s="316">
        <v>0</v>
      </c>
      <c r="L327" s="316">
        <v>0</v>
      </c>
      <c r="M327" s="316">
        <v>7636.36</v>
      </c>
      <c r="N327" s="316">
        <v>0</v>
      </c>
      <c r="O327" s="316">
        <v>0</v>
      </c>
      <c r="P327" s="316">
        <v>0</v>
      </c>
      <c r="Q327" s="316">
        <v>0</v>
      </c>
      <c r="R327" s="316">
        <v>7636.36</v>
      </c>
      <c r="S327" s="316">
        <v>44000</v>
      </c>
    </row>
    <row r="328" spans="1:19" ht="15" customHeight="1" x14ac:dyDescent="0.25">
      <c r="A328" s="238" t="s">
        <v>825</v>
      </c>
      <c r="B328" s="238" t="s">
        <v>728</v>
      </c>
      <c r="C328" s="238" t="s">
        <v>729</v>
      </c>
      <c r="D328" s="238" t="s">
        <v>699</v>
      </c>
      <c r="E328" s="238" t="s">
        <v>708</v>
      </c>
      <c r="F328" s="238" t="s">
        <v>701</v>
      </c>
      <c r="G328" s="238" t="s">
        <v>832</v>
      </c>
      <c r="H328" s="316">
        <v>52066.12</v>
      </c>
      <c r="I328" s="316">
        <v>0</v>
      </c>
      <c r="J328" s="316">
        <v>0</v>
      </c>
      <c r="K328" s="316">
        <v>0</v>
      </c>
      <c r="L328" s="316">
        <v>0</v>
      </c>
      <c r="M328" s="316">
        <v>10933.88</v>
      </c>
      <c r="N328" s="316">
        <v>0</v>
      </c>
      <c r="O328" s="316">
        <v>0</v>
      </c>
      <c r="P328" s="316">
        <v>0</v>
      </c>
      <c r="Q328" s="316">
        <v>0</v>
      </c>
      <c r="R328" s="316">
        <v>10933.88</v>
      </c>
      <c r="S328" s="316">
        <v>63000</v>
      </c>
    </row>
    <row r="329" spans="1:19" ht="15" customHeight="1" x14ac:dyDescent="0.25">
      <c r="A329" s="238" t="s">
        <v>825</v>
      </c>
      <c r="B329" s="238" t="s">
        <v>730</v>
      </c>
      <c r="C329" s="238" t="s">
        <v>731</v>
      </c>
      <c r="D329" s="238" t="s">
        <v>704</v>
      </c>
      <c r="E329" s="238" t="s">
        <v>708</v>
      </c>
      <c r="F329" s="238" t="s">
        <v>701</v>
      </c>
      <c r="G329" s="238" t="s">
        <v>833</v>
      </c>
      <c r="H329" s="316">
        <v>37190.080000000002</v>
      </c>
      <c r="I329" s="316">
        <v>0</v>
      </c>
      <c r="J329" s="316">
        <v>0</v>
      </c>
      <c r="K329" s="316">
        <v>0</v>
      </c>
      <c r="L329" s="316">
        <v>0</v>
      </c>
      <c r="M329" s="316">
        <v>7809.92</v>
      </c>
      <c r="N329" s="316">
        <v>0</v>
      </c>
      <c r="O329" s="316">
        <v>0</v>
      </c>
      <c r="P329" s="316">
        <v>0</v>
      </c>
      <c r="Q329" s="316">
        <v>0</v>
      </c>
      <c r="R329" s="316">
        <v>7809.92</v>
      </c>
      <c r="S329" s="316">
        <v>45000</v>
      </c>
    </row>
    <row r="330" spans="1:19" ht="15" customHeight="1" x14ac:dyDescent="0.25">
      <c r="A330" s="238" t="s">
        <v>825</v>
      </c>
      <c r="B330" s="238" t="s">
        <v>709</v>
      </c>
      <c r="C330" s="238" t="s">
        <v>710</v>
      </c>
      <c r="D330" s="238" t="s">
        <v>704</v>
      </c>
      <c r="E330" s="238" t="s">
        <v>708</v>
      </c>
      <c r="F330" s="238" t="s">
        <v>701</v>
      </c>
      <c r="G330" s="238" t="s">
        <v>837</v>
      </c>
      <c r="H330" s="316">
        <v>28925.62</v>
      </c>
      <c r="I330" s="316">
        <v>0</v>
      </c>
      <c r="J330" s="316">
        <v>0</v>
      </c>
      <c r="K330" s="316">
        <v>0</v>
      </c>
      <c r="L330" s="316">
        <v>0</v>
      </c>
      <c r="M330" s="316">
        <v>6074.38</v>
      </c>
      <c r="N330" s="316">
        <v>0</v>
      </c>
      <c r="O330" s="316">
        <v>0</v>
      </c>
      <c r="P330" s="316">
        <v>0</v>
      </c>
      <c r="Q330" s="316">
        <v>0</v>
      </c>
      <c r="R330" s="316">
        <v>6074.38</v>
      </c>
      <c r="S330" s="316">
        <v>35000</v>
      </c>
    </row>
    <row r="331" spans="1:19" ht="15" customHeight="1" x14ac:dyDescent="0.25">
      <c r="A331" s="238" t="s">
        <v>825</v>
      </c>
      <c r="B331" s="238" t="s">
        <v>838</v>
      </c>
      <c r="C331" s="238" t="s">
        <v>839</v>
      </c>
      <c r="D331" s="238" t="s">
        <v>704</v>
      </c>
      <c r="E331" s="238" t="s">
        <v>708</v>
      </c>
      <c r="F331" s="238" t="s">
        <v>701</v>
      </c>
      <c r="G331" s="238" t="s">
        <v>840</v>
      </c>
      <c r="H331" s="316">
        <v>28925.62</v>
      </c>
      <c r="I331" s="316">
        <v>0</v>
      </c>
      <c r="J331" s="316">
        <v>0</v>
      </c>
      <c r="K331" s="316">
        <v>0</v>
      </c>
      <c r="L331" s="316">
        <v>0</v>
      </c>
      <c r="M331" s="316">
        <v>6074.38</v>
      </c>
      <c r="N331" s="316">
        <v>0</v>
      </c>
      <c r="O331" s="316">
        <v>0</v>
      </c>
      <c r="P331" s="316">
        <v>0</v>
      </c>
      <c r="Q331" s="316">
        <v>0</v>
      </c>
      <c r="R331" s="316">
        <v>6074.38</v>
      </c>
      <c r="S331" s="316">
        <v>35000</v>
      </c>
    </row>
    <row r="332" spans="1:19" ht="15" customHeight="1" x14ac:dyDescent="0.25">
      <c r="A332" s="238" t="s">
        <v>825</v>
      </c>
      <c r="B332" s="238" t="s">
        <v>697</v>
      </c>
      <c r="C332" s="238" t="s">
        <v>698</v>
      </c>
      <c r="D332" s="238" t="s">
        <v>699</v>
      </c>
      <c r="E332" s="238" t="s">
        <v>700</v>
      </c>
      <c r="F332" s="238" t="s">
        <v>701</v>
      </c>
      <c r="G332" s="238" t="s">
        <v>841</v>
      </c>
      <c r="H332" s="316">
        <v>18181.82</v>
      </c>
      <c r="I332" s="316">
        <v>0</v>
      </c>
      <c r="J332" s="316">
        <v>0</v>
      </c>
      <c r="K332" s="316">
        <v>0</v>
      </c>
      <c r="L332" s="316">
        <v>0</v>
      </c>
      <c r="M332" s="316">
        <v>3818.18</v>
      </c>
      <c r="N332" s="316">
        <v>0</v>
      </c>
      <c r="O332" s="316">
        <v>0</v>
      </c>
      <c r="P332" s="316">
        <v>0</v>
      </c>
      <c r="Q332" s="316">
        <v>0</v>
      </c>
      <c r="R332" s="316">
        <v>3818.18</v>
      </c>
      <c r="S332" s="316">
        <v>22000</v>
      </c>
    </row>
    <row r="333" spans="1:19" ht="15" customHeight="1" x14ac:dyDescent="0.25">
      <c r="A333" s="238" t="s">
        <v>825</v>
      </c>
      <c r="B333" s="238" t="s">
        <v>702</v>
      </c>
      <c r="C333" s="238" t="s">
        <v>703</v>
      </c>
      <c r="D333" s="238" t="s">
        <v>704</v>
      </c>
      <c r="E333" s="238" t="s">
        <v>705</v>
      </c>
      <c r="F333" s="238" t="s">
        <v>701</v>
      </c>
      <c r="G333" s="238" t="s">
        <v>842</v>
      </c>
      <c r="H333" s="316">
        <v>23140.5</v>
      </c>
      <c r="I333" s="316">
        <v>0</v>
      </c>
      <c r="J333" s="316">
        <v>0</v>
      </c>
      <c r="K333" s="316">
        <v>0</v>
      </c>
      <c r="L333" s="316">
        <v>0</v>
      </c>
      <c r="M333" s="316">
        <v>4859.5</v>
      </c>
      <c r="N333" s="316">
        <v>0</v>
      </c>
      <c r="O333" s="316">
        <v>0</v>
      </c>
      <c r="P333" s="316">
        <v>0</v>
      </c>
      <c r="Q333" s="316">
        <v>0</v>
      </c>
      <c r="R333" s="316">
        <v>4859.5</v>
      </c>
      <c r="S333" s="316">
        <v>28000</v>
      </c>
    </row>
    <row r="334" spans="1:19" ht="15" customHeight="1" x14ac:dyDescent="0.25">
      <c r="A334" s="238" t="s">
        <v>825</v>
      </c>
      <c r="B334" s="238" t="s">
        <v>844</v>
      </c>
      <c r="C334" s="238" t="s">
        <v>845</v>
      </c>
      <c r="D334" s="238" t="s">
        <v>846</v>
      </c>
      <c r="E334" s="238" t="s">
        <v>847</v>
      </c>
      <c r="F334" s="238" t="s">
        <v>701</v>
      </c>
      <c r="G334" s="238" t="s">
        <v>848</v>
      </c>
      <c r="H334" s="316">
        <v>21487.599999999999</v>
      </c>
      <c r="I334" s="316">
        <v>0</v>
      </c>
      <c r="J334" s="316">
        <v>0</v>
      </c>
      <c r="K334" s="316">
        <v>0</v>
      </c>
      <c r="L334" s="316">
        <v>0</v>
      </c>
      <c r="M334" s="316">
        <v>4512.3999999999996</v>
      </c>
      <c r="N334" s="316">
        <v>0</v>
      </c>
      <c r="O334" s="316">
        <v>0</v>
      </c>
      <c r="P334" s="316">
        <v>0</v>
      </c>
      <c r="Q334" s="316">
        <v>0</v>
      </c>
      <c r="R334" s="316">
        <v>4512.3999999999996</v>
      </c>
      <c r="S334" s="316">
        <v>26000</v>
      </c>
    </row>
    <row r="335" spans="1:19" ht="15" customHeight="1" x14ac:dyDescent="0.25">
      <c r="A335" s="238" t="s">
        <v>825</v>
      </c>
      <c r="B335" s="238" t="s">
        <v>849</v>
      </c>
      <c r="C335" s="238" t="s">
        <v>850</v>
      </c>
      <c r="D335" s="238" t="s">
        <v>699</v>
      </c>
      <c r="E335" s="238" t="s">
        <v>723</v>
      </c>
      <c r="F335" s="238" t="s">
        <v>701</v>
      </c>
      <c r="G335" s="238" t="s">
        <v>851</v>
      </c>
      <c r="H335" s="316">
        <v>8177.69</v>
      </c>
      <c r="I335" s="316">
        <v>0</v>
      </c>
      <c r="J335" s="316">
        <v>0</v>
      </c>
      <c r="K335" s="316">
        <v>0</v>
      </c>
      <c r="L335" s="316">
        <v>0</v>
      </c>
      <c r="M335" s="316">
        <v>1717.31</v>
      </c>
      <c r="N335" s="316">
        <v>0</v>
      </c>
      <c r="O335" s="316">
        <v>0</v>
      </c>
      <c r="P335" s="316">
        <v>0</v>
      </c>
      <c r="Q335" s="316">
        <v>0</v>
      </c>
      <c r="R335" s="316">
        <v>1717.31</v>
      </c>
      <c r="S335" s="316">
        <v>9895</v>
      </c>
    </row>
    <row r="336" spans="1:19" ht="15" customHeight="1" x14ac:dyDescent="0.25">
      <c r="A336" s="238" t="s">
        <v>825</v>
      </c>
      <c r="B336" s="238" t="s">
        <v>759</v>
      </c>
      <c r="C336" s="238" t="s">
        <v>760</v>
      </c>
      <c r="D336" s="238" t="s">
        <v>704</v>
      </c>
      <c r="E336" s="238" t="s">
        <v>708</v>
      </c>
      <c r="F336" s="238" t="s">
        <v>701</v>
      </c>
      <c r="G336" s="238" t="s">
        <v>853</v>
      </c>
      <c r="H336" s="316">
        <v>17355.37</v>
      </c>
      <c r="I336" s="316">
        <v>0</v>
      </c>
      <c r="J336" s="316">
        <v>0</v>
      </c>
      <c r="K336" s="316">
        <v>0</v>
      </c>
      <c r="L336" s="316">
        <v>0</v>
      </c>
      <c r="M336" s="316">
        <v>3644.63</v>
      </c>
      <c r="N336" s="316">
        <v>0</v>
      </c>
      <c r="O336" s="316">
        <v>0</v>
      </c>
      <c r="P336" s="316">
        <v>0</v>
      </c>
      <c r="Q336" s="316">
        <v>0</v>
      </c>
      <c r="R336" s="316">
        <v>3644.63</v>
      </c>
      <c r="S336" s="316">
        <v>21000</v>
      </c>
    </row>
    <row r="337" spans="1:19" ht="15" customHeight="1" x14ac:dyDescent="0.25">
      <c r="A337" s="238" t="s">
        <v>825</v>
      </c>
      <c r="B337" s="238" t="s">
        <v>720</v>
      </c>
      <c r="C337" s="238"/>
      <c r="D337" s="238" t="s">
        <v>699</v>
      </c>
      <c r="E337" s="238" t="s">
        <v>708</v>
      </c>
      <c r="F337" s="238" t="s">
        <v>701</v>
      </c>
      <c r="G337" s="238" t="s">
        <v>854</v>
      </c>
      <c r="H337" s="316">
        <v>37190.080000000002</v>
      </c>
      <c r="I337" s="316">
        <v>0</v>
      </c>
      <c r="J337" s="316">
        <v>0</v>
      </c>
      <c r="K337" s="316">
        <v>0</v>
      </c>
      <c r="L337" s="316">
        <v>0</v>
      </c>
      <c r="M337" s="316">
        <v>7809.92</v>
      </c>
      <c r="N337" s="316">
        <v>0</v>
      </c>
      <c r="O337" s="316">
        <v>0</v>
      </c>
      <c r="P337" s="316">
        <v>0</v>
      </c>
      <c r="Q337" s="316">
        <v>0</v>
      </c>
      <c r="R337" s="316">
        <v>7809.92</v>
      </c>
      <c r="S337" s="316">
        <v>45000</v>
      </c>
    </row>
    <row r="338" spans="1:19" ht="15" customHeight="1" x14ac:dyDescent="0.25">
      <c r="A338" s="238" t="s">
        <v>825</v>
      </c>
      <c r="B338" s="238" t="s">
        <v>856</v>
      </c>
      <c r="C338" s="238" t="s">
        <v>857</v>
      </c>
      <c r="D338" s="238" t="s">
        <v>699</v>
      </c>
      <c r="E338" s="238" t="s">
        <v>858</v>
      </c>
      <c r="F338" s="238" t="s">
        <v>701</v>
      </c>
      <c r="G338" s="238" t="s">
        <v>859</v>
      </c>
      <c r="H338" s="316">
        <v>8603.31</v>
      </c>
      <c r="I338" s="316">
        <v>0</v>
      </c>
      <c r="J338" s="316">
        <v>0</v>
      </c>
      <c r="K338" s="316">
        <v>0</v>
      </c>
      <c r="L338" s="316">
        <v>0</v>
      </c>
      <c r="M338" s="316">
        <v>1806.69</v>
      </c>
      <c r="N338" s="316">
        <v>0</v>
      </c>
      <c r="O338" s="316">
        <v>0</v>
      </c>
      <c r="P338" s="316">
        <v>0</v>
      </c>
      <c r="Q338" s="316">
        <v>0</v>
      </c>
      <c r="R338" s="316">
        <v>1806.69</v>
      </c>
      <c r="S338" s="316">
        <v>10410</v>
      </c>
    </row>
    <row r="339" spans="1:19" ht="15" customHeight="1" x14ac:dyDescent="0.25">
      <c r="A339" s="238" t="s">
        <v>825</v>
      </c>
      <c r="B339" s="238" t="s">
        <v>751</v>
      </c>
      <c r="C339" s="238" t="s">
        <v>752</v>
      </c>
      <c r="D339" s="238" t="s">
        <v>704</v>
      </c>
      <c r="E339" s="238" t="s">
        <v>708</v>
      </c>
      <c r="F339" s="238" t="s">
        <v>701</v>
      </c>
      <c r="G339" s="238" t="s">
        <v>860</v>
      </c>
      <c r="H339" s="316">
        <v>79338.84</v>
      </c>
      <c r="I339" s="316">
        <v>0</v>
      </c>
      <c r="J339" s="316">
        <v>0</v>
      </c>
      <c r="K339" s="316">
        <v>0</v>
      </c>
      <c r="L339" s="316">
        <v>0</v>
      </c>
      <c r="M339" s="316">
        <v>16661.16</v>
      </c>
      <c r="N339" s="316">
        <v>0</v>
      </c>
      <c r="O339" s="316">
        <v>0</v>
      </c>
      <c r="P339" s="316">
        <v>0</v>
      </c>
      <c r="Q339" s="316">
        <v>0</v>
      </c>
      <c r="R339" s="316">
        <v>16661.16</v>
      </c>
      <c r="S339" s="316">
        <v>96000</v>
      </c>
    </row>
    <row r="340" spans="1:19" ht="15" customHeight="1" x14ac:dyDescent="0.25">
      <c r="A340" s="238" t="s">
        <v>825</v>
      </c>
      <c r="B340" s="238" t="s">
        <v>861</v>
      </c>
      <c r="C340" s="238" t="s">
        <v>862</v>
      </c>
      <c r="D340" s="238" t="s">
        <v>704</v>
      </c>
      <c r="E340" s="238" t="s">
        <v>708</v>
      </c>
      <c r="F340" s="238" t="s">
        <v>701</v>
      </c>
      <c r="G340" s="238" t="s">
        <v>863</v>
      </c>
      <c r="H340" s="316">
        <v>37190.080000000002</v>
      </c>
      <c r="I340" s="316">
        <v>0</v>
      </c>
      <c r="J340" s="316">
        <v>0</v>
      </c>
      <c r="K340" s="316">
        <v>0</v>
      </c>
      <c r="L340" s="316">
        <v>0</v>
      </c>
      <c r="M340" s="316">
        <v>7809.92</v>
      </c>
      <c r="N340" s="316">
        <v>0</v>
      </c>
      <c r="O340" s="316">
        <v>0</v>
      </c>
      <c r="P340" s="316">
        <v>0</v>
      </c>
      <c r="Q340" s="316">
        <v>0</v>
      </c>
      <c r="R340" s="316">
        <v>7809.92</v>
      </c>
      <c r="S340" s="316">
        <v>45000</v>
      </c>
    </row>
    <row r="341" spans="1:19" ht="15" customHeight="1" x14ac:dyDescent="0.25">
      <c r="A341" s="238" t="s">
        <v>825</v>
      </c>
      <c r="B341" s="238" t="s">
        <v>866</v>
      </c>
      <c r="C341" s="238" t="s">
        <v>867</v>
      </c>
      <c r="D341" s="238" t="s">
        <v>704</v>
      </c>
      <c r="E341" s="238" t="s">
        <v>708</v>
      </c>
      <c r="F341" s="238" t="s">
        <v>701</v>
      </c>
      <c r="G341" s="238" t="s">
        <v>868</v>
      </c>
      <c r="H341" s="316">
        <v>61983.47</v>
      </c>
      <c r="I341" s="316">
        <v>0</v>
      </c>
      <c r="J341" s="316">
        <v>0</v>
      </c>
      <c r="K341" s="316">
        <v>0</v>
      </c>
      <c r="L341" s="316">
        <v>0</v>
      </c>
      <c r="M341" s="316">
        <v>13016.53</v>
      </c>
      <c r="N341" s="316">
        <v>0</v>
      </c>
      <c r="O341" s="316">
        <v>0</v>
      </c>
      <c r="P341" s="316">
        <v>0</v>
      </c>
      <c r="Q341" s="316">
        <v>0</v>
      </c>
      <c r="R341" s="316">
        <v>13016.53</v>
      </c>
      <c r="S341" s="316">
        <v>75000</v>
      </c>
    </row>
    <row r="342" spans="1:19" ht="15" customHeight="1" x14ac:dyDescent="0.25">
      <c r="A342" s="238" t="s">
        <v>825</v>
      </c>
      <c r="B342" s="238" t="s">
        <v>706</v>
      </c>
      <c r="C342" s="238" t="s">
        <v>707</v>
      </c>
      <c r="D342" s="238" t="s">
        <v>704</v>
      </c>
      <c r="E342" s="238" t="s">
        <v>708</v>
      </c>
      <c r="F342" s="238" t="s">
        <v>701</v>
      </c>
      <c r="G342" s="238" t="s">
        <v>869</v>
      </c>
      <c r="H342" s="316">
        <v>21487.599999999999</v>
      </c>
      <c r="I342" s="316">
        <v>0</v>
      </c>
      <c r="J342" s="316">
        <v>0</v>
      </c>
      <c r="K342" s="316">
        <v>0</v>
      </c>
      <c r="L342" s="316">
        <v>0</v>
      </c>
      <c r="M342" s="316">
        <v>4512.3999999999996</v>
      </c>
      <c r="N342" s="316">
        <v>0</v>
      </c>
      <c r="O342" s="316">
        <v>0</v>
      </c>
      <c r="P342" s="316">
        <v>0</v>
      </c>
      <c r="Q342" s="316">
        <v>0</v>
      </c>
      <c r="R342" s="316">
        <v>4512.3999999999996</v>
      </c>
      <c r="S342" s="316">
        <v>26000</v>
      </c>
    </row>
    <row r="343" spans="1:19" ht="15" customHeight="1" x14ac:dyDescent="0.25">
      <c r="A343" s="238" t="s">
        <v>825</v>
      </c>
      <c r="B343" s="238" t="s">
        <v>870</v>
      </c>
      <c r="C343" s="238" t="s">
        <v>871</v>
      </c>
      <c r="D343" s="238" t="s">
        <v>704</v>
      </c>
      <c r="E343" s="238" t="s">
        <v>708</v>
      </c>
      <c r="F343" s="238" t="s">
        <v>701</v>
      </c>
      <c r="G343" s="238" t="s">
        <v>872</v>
      </c>
      <c r="H343" s="316">
        <v>28925.62</v>
      </c>
      <c r="I343" s="316">
        <v>0</v>
      </c>
      <c r="J343" s="316">
        <v>0</v>
      </c>
      <c r="K343" s="316">
        <v>0</v>
      </c>
      <c r="L343" s="316">
        <v>0</v>
      </c>
      <c r="M343" s="316">
        <v>6074.38</v>
      </c>
      <c r="N343" s="316">
        <v>0</v>
      </c>
      <c r="O343" s="316">
        <v>0</v>
      </c>
      <c r="P343" s="316">
        <v>0</v>
      </c>
      <c r="Q343" s="316">
        <v>0</v>
      </c>
      <c r="R343" s="316">
        <v>6074.38</v>
      </c>
      <c r="S343" s="316">
        <v>35000</v>
      </c>
    </row>
    <row r="344" spans="1:19" ht="15" customHeight="1" x14ac:dyDescent="0.25">
      <c r="A344" s="238" t="s">
        <v>825</v>
      </c>
      <c r="B344" s="238" t="s">
        <v>873</v>
      </c>
      <c r="C344" s="238" t="s">
        <v>874</v>
      </c>
      <c r="D344" s="238" t="s">
        <v>704</v>
      </c>
      <c r="E344" s="238" t="s">
        <v>708</v>
      </c>
      <c r="F344" s="238" t="s">
        <v>701</v>
      </c>
      <c r="G344" s="238" t="s">
        <v>875</v>
      </c>
      <c r="H344" s="316">
        <v>28925.62</v>
      </c>
      <c r="I344" s="316">
        <v>0</v>
      </c>
      <c r="J344" s="316">
        <v>0</v>
      </c>
      <c r="K344" s="316">
        <v>0</v>
      </c>
      <c r="L344" s="316">
        <v>0</v>
      </c>
      <c r="M344" s="316">
        <v>6074.38</v>
      </c>
      <c r="N344" s="316">
        <v>0</v>
      </c>
      <c r="O344" s="316">
        <v>0</v>
      </c>
      <c r="P344" s="316">
        <v>0</v>
      </c>
      <c r="Q344" s="316">
        <v>0</v>
      </c>
      <c r="R344" s="316">
        <v>6074.38</v>
      </c>
      <c r="S344" s="316">
        <v>35000</v>
      </c>
    </row>
    <row r="345" spans="1:19" ht="15" customHeight="1" x14ac:dyDescent="0.25">
      <c r="A345" s="238" t="s">
        <v>885</v>
      </c>
      <c r="B345" s="238" t="s">
        <v>886</v>
      </c>
      <c r="C345" s="238" t="s">
        <v>887</v>
      </c>
      <c r="D345" s="238" t="s">
        <v>699</v>
      </c>
      <c r="E345" s="238" t="s">
        <v>888</v>
      </c>
      <c r="F345" s="238" t="s">
        <v>701</v>
      </c>
      <c r="G345" s="238" t="s">
        <v>889</v>
      </c>
      <c r="H345" s="316">
        <v>12396.69</v>
      </c>
      <c r="I345" s="316">
        <v>0</v>
      </c>
      <c r="J345" s="316">
        <v>0</v>
      </c>
      <c r="K345" s="316">
        <v>0</v>
      </c>
      <c r="L345" s="316">
        <v>0</v>
      </c>
      <c r="M345" s="316">
        <v>2603.31</v>
      </c>
      <c r="N345" s="316">
        <v>0</v>
      </c>
      <c r="O345" s="316">
        <v>0</v>
      </c>
      <c r="P345" s="316">
        <v>0</v>
      </c>
      <c r="Q345" s="316">
        <v>0</v>
      </c>
      <c r="R345" s="316">
        <v>2603.31</v>
      </c>
      <c r="S345" s="316">
        <v>15000</v>
      </c>
    </row>
    <row r="346" spans="1:19" ht="15" customHeight="1" x14ac:dyDescent="0.25">
      <c r="A346" s="238" t="s">
        <v>885</v>
      </c>
      <c r="B346" s="238" t="s">
        <v>893</v>
      </c>
      <c r="C346" s="238" t="s">
        <v>894</v>
      </c>
      <c r="D346" s="238" t="s">
        <v>699</v>
      </c>
      <c r="E346" s="238" t="s">
        <v>895</v>
      </c>
      <c r="F346" s="238" t="s">
        <v>701</v>
      </c>
      <c r="G346" s="238" t="s">
        <v>896</v>
      </c>
      <c r="H346" s="316">
        <v>39669.42</v>
      </c>
      <c r="I346" s="316">
        <v>0</v>
      </c>
      <c r="J346" s="316">
        <v>0</v>
      </c>
      <c r="K346" s="316">
        <v>0</v>
      </c>
      <c r="L346" s="316">
        <v>0</v>
      </c>
      <c r="M346" s="316">
        <v>8330.58</v>
      </c>
      <c r="N346" s="316">
        <v>0</v>
      </c>
      <c r="O346" s="316">
        <v>0</v>
      </c>
      <c r="P346" s="316">
        <v>0</v>
      </c>
      <c r="Q346" s="316">
        <v>0</v>
      </c>
      <c r="R346" s="316">
        <v>8330.58</v>
      </c>
      <c r="S346" s="316">
        <v>48000</v>
      </c>
    </row>
    <row r="347" spans="1:19" ht="15" customHeight="1" x14ac:dyDescent="0.25">
      <c r="A347" s="238" t="s">
        <v>885</v>
      </c>
      <c r="B347" s="238" t="s">
        <v>897</v>
      </c>
      <c r="C347" s="238" t="s">
        <v>898</v>
      </c>
      <c r="D347" s="238" t="s">
        <v>704</v>
      </c>
      <c r="E347" s="238" t="s">
        <v>899</v>
      </c>
      <c r="F347" s="238" t="s">
        <v>701</v>
      </c>
      <c r="G347" s="238" t="s">
        <v>900</v>
      </c>
      <c r="H347" s="316">
        <v>14876.03</v>
      </c>
      <c r="I347" s="316">
        <v>0</v>
      </c>
      <c r="J347" s="316">
        <v>0</v>
      </c>
      <c r="K347" s="316">
        <v>0</v>
      </c>
      <c r="L347" s="316">
        <v>0</v>
      </c>
      <c r="M347" s="316">
        <v>3123.97</v>
      </c>
      <c r="N347" s="316">
        <v>0</v>
      </c>
      <c r="O347" s="316">
        <v>0</v>
      </c>
      <c r="P347" s="316">
        <v>0</v>
      </c>
      <c r="Q347" s="316">
        <v>0</v>
      </c>
      <c r="R347" s="316">
        <v>3123.97</v>
      </c>
      <c r="S347" s="316">
        <v>18000</v>
      </c>
    </row>
    <row r="348" spans="1:19" ht="15" customHeight="1" x14ac:dyDescent="0.25">
      <c r="A348" s="238" t="s">
        <v>885</v>
      </c>
      <c r="B348" s="238" t="s">
        <v>901</v>
      </c>
      <c r="C348" s="238" t="s">
        <v>902</v>
      </c>
      <c r="D348" s="238" t="s">
        <v>704</v>
      </c>
      <c r="E348" s="238" t="s">
        <v>708</v>
      </c>
      <c r="F348" s="238" t="s">
        <v>701</v>
      </c>
      <c r="G348" s="238" t="s">
        <v>903</v>
      </c>
      <c r="H348" s="316">
        <v>28925.62</v>
      </c>
      <c r="I348" s="316">
        <v>0</v>
      </c>
      <c r="J348" s="316">
        <v>0</v>
      </c>
      <c r="K348" s="316">
        <v>0</v>
      </c>
      <c r="L348" s="316">
        <v>0</v>
      </c>
      <c r="M348" s="316">
        <v>6074.38</v>
      </c>
      <c r="N348" s="316">
        <v>0</v>
      </c>
      <c r="O348" s="316">
        <v>0</v>
      </c>
      <c r="P348" s="316">
        <v>0</v>
      </c>
      <c r="Q348" s="316">
        <v>0</v>
      </c>
      <c r="R348" s="316">
        <v>6074.38</v>
      </c>
      <c r="S348" s="316">
        <v>35000</v>
      </c>
    </row>
    <row r="349" spans="1:19" ht="15" customHeight="1" x14ac:dyDescent="0.25">
      <c r="A349" s="238" t="s">
        <v>885</v>
      </c>
      <c r="B349" s="238" t="s">
        <v>904</v>
      </c>
      <c r="C349" s="238" t="s">
        <v>905</v>
      </c>
      <c r="D349" s="238" t="s">
        <v>704</v>
      </c>
      <c r="E349" s="238" t="s">
        <v>744</v>
      </c>
      <c r="F349" s="238" t="s">
        <v>701</v>
      </c>
      <c r="G349" s="238" t="s">
        <v>906</v>
      </c>
      <c r="H349" s="316">
        <v>9595.0400000000009</v>
      </c>
      <c r="I349" s="316">
        <v>0</v>
      </c>
      <c r="J349" s="316">
        <v>0</v>
      </c>
      <c r="K349" s="316">
        <v>0</v>
      </c>
      <c r="L349" s="316">
        <v>0</v>
      </c>
      <c r="M349" s="316">
        <v>2014.96</v>
      </c>
      <c r="N349" s="316">
        <v>0</v>
      </c>
      <c r="O349" s="316">
        <v>0</v>
      </c>
      <c r="P349" s="316">
        <v>0</v>
      </c>
      <c r="Q349" s="316">
        <v>0</v>
      </c>
      <c r="R349" s="316">
        <v>2014.96</v>
      </c>
      <c r="S349" s="316">
        <v>11610</v>
      </c>
    </row>
    <row r="350" spans="1:19" ht="15" customHeight="1" x14ac:dyDescent="0.25">
      <c r="A350" s="238" t="s">
        <v>885</v>
      </c>
      <c r="B350" s="238" t="s">
        <v>907</v>
      </c>
      <c r="C350" s="238" t="s">
        <v>908</v>
      </c>
      <c r="D350" s="238" t="s">
        <v>704</v>
      </c>
      <c r="E350" s="238" t="s">
        <v>744</v>
      </c>
      <c r="F350" s="238" t="s">
        <v>701</v>
      </c>
      <c r="G350" s="238" t="s">
        <v>909</v>
      </c>
      <c r="H350" s="316">
        <v>8177.69</v>
      </c>
      <c r="I350" s="316">
        <v>0</v>
      </c>
      <c r="J350" s="316">
        <v>0</v>
      </c>
      <c r="K350" s="316">
        <v>0</v>
      </c>
      <c r="L350" s="316">
        <v>0</v>
      </c>
      <c r="M350" s="316">
        <v>1717.31</v>
      </c>
      <c r="N350" s="316">
        <v>0</v>
      </c>
      <c r="O350" s="316">
        <v>0</v>
      </c>
      <c r="P350" s="316">
        <v>0</v>
      </c>
      <c r="Q350" s="316">
        <v>0</v>
      </c>
      <c r="R350" s="316">
        <v>1717.31</v>
      </c>
      <c r="S350" s="316">
        <v>9895</v>
      </c>
    </row>
    <row r="351" spans="1:19" ht="15" customHeight="1" x14ac:dyDescent="0.25">
      <c r="A351" s="238" t="s">
        <v>885</v>
      </c>
      <c r="B351" s="238" t="s">
        <v>910</v>
      </c>
      <c r="C351" s="238" t="s">
        <v>911</v>
      </c>
      <c r="D351" s="238" t="s">
        <v>699</v>
      </c>
      <c r="E351" s="238" t="s">
        <v>912</v>
      </c>
      <c r="F351" s="238" t="s">
        <v>701</v>
      </c>
      <c r="G351" s="238" t="s">
        <v>913</v>
      </c>
      <c r="H351" s="316">
        <v>38016.53</v>
      </c>
      <c r="I351" s="316">
        <v>0</v>
      </c>
      <c r="J351" s="316">
        <v>0</v>
      </c>
      <c r="K351" s="316">
        <v>0</v>
      </c>
      <c r="L351" s="316">
        <v>0</v>
      </c>
      <c r="M351" s="316">
        <v>7983.47</v>
      </c>
      <c r="N351" s="316">
        <v>0</v>
      </c>
      <c r="O351" s="316">
        <v>0</v>
      </c>
      <c r="P351" s="316">
        <v>0</v>
      </c>
      <c r="Q351" s="316">
        <v>0</v>
      </c>
      <c r="R351" s="316">
        <v>7983.47</v>
      </c>
      <c r="S351" s="316">
        <v>46000</v>
      </c>
    </row>
    <row r="352" spans="1:19" ht="15" customHeight="1" x14ac:dyDescent="0.25">
      <c r="A352" s="238" t="s">
        <v>885</v>
      </c>
      <c r="B352" s="238" t="s">
        <v>917</v>
      </c>
      <c r="C352" s="238" t="s">
        <v>918</v>
      </c>
      <c r="D352" s="238" t="s">
        <v>704</v>
      </c>
      <c r="E352" s="238" t="s">
        <v>708</v>
      </c>
      <c r="F352" s="238" t="s">
        <v>701</v>
      </c>
      <c r="G352" s="238" t="s">
        <v>919</v>
      </c>
      <c r="H352" s="316">
        <v>20661.16</v>
      </c>
      <c r="I352" s="316">
        <v>0</v>
      </c>
      <c r="J352" s="316">
        <v>0</v>
      </c>
      <c r="K352" s="316">
        <v>0</v>
      </c>
      <c r="L352" s="316">
        <v>0</v>
      </c>
      <c r="M352" s="316">
        <v>4338.84</v>
      </c>
      <c r="N352" s="316">
        <v>0</v>
      </c>
      <c r="O352" s="316">
        <v>0</v>
      </c>
      <c r="P352" s="316">
        <v>0</v>
      </c>
      <c r="Q352" s="316">
        <v>0</v>
      </c>
      <c r="R352" s="316">
        <v>4338.84</v>
      </c>
      <c r="S352" s="316">
        <v>25000</v>
      </c>
    </row>
    <row r="353" spans="1:19" ht="15" customHeight="1" x14ac:dyDescent="0.25">
      <c r="A353" s="238" t="s">
        <v>934</v>
      </c>
      <c r="B353" s="238" t="s">
        <v>947</v>
      </c>
      <c r="C353" s="238" t="s">
        <v>948</v>
      </c>
      <c r="D353" s="238" t="s">
        <v>704</v>
      </c>
      <c r="E353" s="238" t="s">
        <v>708</v>
      </c>
      <c r="F353" s="238" t="s">
        <v>701</v>
      </c>
      <c r="G353" s="238" t="s">
        <v>949</v>
      </c>
      <c r="H353" s="316">
        <v>28925.62</v>
      </c>
      <c r="I353" s="316">
        <v>0</v>
      </c>
      <c r="J353" s="316">
        <v>0</v>
      </c>
      <c r="K353" s="316">
        <v>0</v>
      </c>
      <c r="L353" s="316">
        <v>0</v>
      </c>
      <c r="M353" s="316">
        <v>6074.38</v>
      </c>
      <c r="N353" s="316">
        <v>0</v>
      </c>
      <c r="O353" s="316">
        <v>0</v>
      </c>
      <c r="P353" s="316">
        <v>0</v>
      </c>
      <c r="Q353" s="316">
        <v>0</v>
      </c>
      <c r="R353" s="316">
        <v>6074.38</v>
      </c>
      <c r="S353" s="316">
        <v>35000</v>
      </c>
    </row>
    <row r="354" spans="1:19" ht="15" customHeight="1" x14ac:dyDescent="0.25">
      <c r="A354" s="238" t="s">
        <v>934</v>
      </c>
      <c r="B354" s="238" t="s">
        <v>736</v>
      </c>
      <c r="C354" s="238"/>
      <c r="D354" s="238" t="s">
        <v>699</v>
      </c>
      <c r="E354" s="238" t="s">
        <v>737</v>
      </c>
      <c r="F354" s="238" t="s">
        <v>701</v>
      </c>
      <c r="G354" s="238" t="s">
        <v>951</v>
      </c>
      <c r="H354" s="316">
        <v>28925.62</v>
      </c>
      <c r="I354" s="316">
        <v>0</v>
      </c>
      <c r="J354" s="316">
        <v>0</v>
      </c>
      <c r="K354" s="316">
        <v>0</v>
      </c>
      <c r="L354" s="316">
        <v>0</v>
      </c>
      <c r="M354" s="316">
        <v>6074.38</v>
      </c>
      <c r="N354" s="316">
        <v>0</v>
      </c>
      <c r="O354" s="316">
        <v>0</v>
      </c>
      <c r="P354" s="316">
        <v>0</v>
      </c>
      <c r="Q354" s="316">
        <v>0</v>
      </c>
      <c r="R354" s="316">
        <v>6074.38</v>
      </c>
      <c r="S354" s="316">
        <v>35000</v>
      </c>
    </row>
    <row r="355" spans="1:19" ht="15" customHeight="1" x14ac:dyDescent="0.25">
      <c r="A355" s="238" t="s">
        <v>934</v>
      </c>
      <c r="B355" s="238" t="s">
        <v>952</v>
      </c>
      <c r="C355" s="238" t="s">
        <v>953</v>
      </c>
      <c r="D355" s="238" t="s">
        <v>699</v>
      </c>
      <c r="E355" s="238" t="s">
        <v>708</v>
      </c>
      <c r="F355" s="238" t="s">
        <v>701</v>
      </c>
      <c r="G355" s="238" t="s">
        <v>954</v>
      </c>
      <c r="H355" s="316">
        <v>99173.55</v>
      </c>
      <c r="I355" s="316">
        <v>0</v>
      </c>
      <c r="J355" s="316">
        <v>0</v>
      </c>
      <c r="K355" s="316">
        <v>0</v>
      </c>
      <c r="L355" s="316">
        <v>0</v>
      </c>
      <c r="M355" s="316">
        <v>20826.45</v>
      </c>
      <c r="N355" s="316">
        <v>0</v>
      </c>
      <c r="O355" s="316">
        <v>0</v>
      </c>
      <c r="P355" s="316">
        <v>0</v>
      </c>
      <c r="Q355" s="316">
        <v>0</v>
      </c>
      <c r="R355" s="316">
        <v>20826.45</v>
      </c>
      <c r="S355" s="316">
        <v>120000</v>
      </c>
    </row>
    <row r="356" spans="1:19" ht="15" customHeight="1" x14ac:dyDescent="0.25">
      <c r="A356" s="238" t="s">
        <v>955</v>
      </c>
      <c r="B356" s="238" t="s">
        <v>956</v>
      </c>
      <c r="C356" s="238" t="s">
        <v>957</v>
      </c>
      <c r="D356" s="238" t="s">
        <v>704</v>
      </c>
      <c r="E356" s="238" t="s">
        <v>708</v>
      </c>
      <c r="F356" s="238" t="s">
        <v>701</v>
      </c>
      <c r="G356" s="238" t="s">
        <v>958</v>
      </c>
      <c r="H356" s="316">
        <v>21487.599999999999</v>
      </c>
      <c r="I356" s="316">
        <v>0</v>
      </c>
      <c r="J356" s="316">
        <v>0</v>
      </c>
      <c r="K356" s="316">
        <v>0</v>
      </c>
      <c r="L356" s="316">
        <v>0</v>
      </c>
      <c r="M356" s="316">
        <v>4512.3999999999996</v>
      </c>
      <c r="N356" s="316">
        <v>0</v>
      </c>
      <c r="O356" s="316">
        <v>0</v>
      </c>
      <c r="P356" s="316">
        <v>0</v>
      </c>
      <c r="Q356" s="316">
        <v>0</v>
      </c>
      <c r="R356" s="316">
        <v>4512.3999999999996</v>
      </c>
      <c r="S356" s="316">
        <v>26000</v>
      </c>
    </row>
    <row r="357" spans="1:19" ht="15" customHeight="1" x14ac:dyDescent="0.25">
      <c r="A357" s="238" t="s">
        <v>955</v>
      </c>
      <c r="B357" s="238" t="s">
        <v>720</v>
      </c>
      <c r="C357" s="238"/>
      <c r="D357" s="238" t="s">
        <v>699</v>
      </c>
      <c r="E357" s="238" t="s">
        <v>708</v>
      </c>
      <c r="F357" s="238" t="s">
        <v>701</v>
      </c>
      <c r="G357" s="238" t="s">
        <v>968</v>
      </c>
      <c r="H357" s="316">
        <v>17355.37</v>
      </c>
      <c r="I357" s="316">
        <v>0</v>
      </c>
      <c r="J357" s="316">
        <v>0</v>
      </c>
      <c r="K357" s="316">
        <v>0</v>
      </c>
      <c r="L357" s="316">
        <v>0</v>
      </c>
      <c r="M357" s="316">
        <v>3644.63</v>
      </c>
      <c r="N357" s="316">
        <v>0</v>
      </c>
      <c r="O357" s="316">
        <v>0</v>
      </c>
      <c r="P357" s="316">
        <v>0</v>
      </c>
      <c r="Q357" s="316">
        <v>0</v>
      </c>
      <c r="R357" s="316">
        <v>3644.63</v>
      </c>
      <c r="S357" s="316">
        <v>21000</v>
      </c>
    </row>
    <row r="358" spans="1:19" ht="15" customHeight="1" x14ac:dyDescent="0.25">
      <c r="A358" s="238" t="s">
        <v>955</v>
      </c>
      <c r="B358" s="238" t="s">
        <v>717</v>
      </c>
      <c r="C358" s="238" t="s">
        <v>718</v>
      </c>
      <c r="D358" s="238" t="s">
        <v>699</v>
      </c>
      <c r="E358" s="238" t="s">
        <v>719</v>
      </c>
      <c r="F358" s="238" t="s">
        <v>701</v>
      </c>
      <c r="G358" s="238" t="s">
        <v>969</v>
      </c>
      <c r="H358" s="316">
        <v>28099.17</v>
      </c>
      <c r="I358" s="316">
        <v>0</v>
      </c>
      <c r="J358" s="316">
        <v>0</v>
      </c>
      <c r="K358" s="316">
        <v>0</v>
      </c>
      <c r="L358" s="316">
        <v>0</v>
      </c>
      <c r="M358" s="316">
        <v>5900.83</v>
      </c>
      <c r="N358" s="316">
        <v>0</v>
      </c>
      <c r="O358" s="316">
        <v>0</v>
      </c>
      <c r="P358" s="316">
        <v>0</v>
      </c>
      <c r="Q358" s="316">
        <v>0</v>
      </c>
      <c r="R358" s="316">
        <v>5900.83</v>
      </c>
      <c r="S358" s="316">
        <v>34000</v>
      </c>
    </row>
    <row r="359" spans="1:19" ht="15" customHeight="1" x14ac:dyDescent="0.25">
      <c r="A359" s="238" t="s">
        <v>955</v>
      </c>
      <c r="B359" s="238" t="s">
        <v>754</v>
      </c>
      <c r="C359" s="238" t="s">
        <v>755</v>
      </c>
      <c r="D359" s="238" t="s">
        <v>704</v>
      </c>
      <c r="E359" s="238" t="s">
        <v>708</v>
      </c>
      <c r="F359" s="238" t="s">
        <v>701</v>
      </c>
      <c r="G359" s="238" t="s">
        <v>970</v>
      </c>
      <c r="H359" s="316">
        <v>28925.62</v>
      </c>
      <c r="I359" s="316">
        <v>0</v>
      </c>
      <c r="J359" s="316">
        <v>0</v>
      </c>
      <c r="K359" s="316">
        <v>0</v>
      </c>
      <c r="L359" s="316">
        <v>0</v>
      </c>
      <c r="M359" s="316">
        <v>6074.38</v>
      </c>
      <c r="N359" s="316">
        <v>0</v>
      </c>
      <c r="O359" s="316">
        <v>0</v>
      </c>
      <c r="P359" s="316">
        <v>0</v>
      </c>
      <c r="Q359" s="316">
        <v>0</v>
      </c>
      <c r="R359" s="316">
        <v>6074.38</v>
      </c>
      <c r="S359" s="316">
        <v>35000</v>
      </c>
    </row>
    <row r="360" spans="1:19" ht="15" customHeight="1" x14ac:dyDescent="0.25">
      <c r="A360" s="238" t="s">
        <v>955</v>
      </c>
      <c r="B360" s="238" t="s">
        <v>753</v>
      </c>
      <c r="C360" s="238"/>
      <c r="D360" s="238" t="s">
        <v>704</v>
      </c>
      <c r="E360" s="238" t="s">
        <v>708</v>
      </c>
      <c r="F360" s="238" t="s">
        <v>701</v>
      </c>
      <c r="G360" s="238" t="s">
        <v>971</v>
      </c>
      <c r="H360" s="316">
        <v>61983.47</v>
      </c>
      <c r="I360" s="316">
        <v>0</v>
      </c>
      <c r="J360" s="316">
        <v>0</v>
      </c>
      <c r="K360" s="316">
        <v>0</v>
      </c>
      <c r="L360" s="316">
        <v>0</v>
      </c>
      <c r="M360" s="316">
        <v>13016.53</v>
      </c>
      <c r="N360" s="316">
        <v>0</v>
      </c>
      <c r="O360" s="316">
        <v>0</v>
      </c>
      <c r="P360" s="316">
        <v>0</v>
      </c>
      <c r="Q360" s="316">
        <v>0</v>
      </c>
      <c r="R360" s="316">
        <v>13016.53</v>
      </c>
      <c r="S360" s="316">
        <v>75000</v>
      </c>
    </row>
    <row r="361" spans="1:19" ht="15" customHeight="1" x14ac:dyDescent="0.25">
      <c r="A361" s="238" t="s">
        <v>955</v>
      </c>
      <c r="B361" s="238" t="s">
        <v>749</v>
      </c>
      <c r="C361" s="238" t="s">
        <v>750</v>
      </c>
      <c r="D361" s="238" t="s">
        <v>704</v>
      </c>
      <c r="E361" s="238" t="s">
        <v>708</v>
      </c>
      <c r="F361" s="238" t="s">
        <v>701</v>
      </c>
      <c r="G361" s="238" t="s">
        <v>972</v>
      </c>
      <c r="H361" s="316">
        <v>18181.82</v>
      </c>
      <c r="I361" s="316">
        <v>0</v>
      </c>
      <c r="J361" s="316">
        <v>0</v>
      </c>
      <c r="K361" s="316">
        <v>0</v>
      </c>
      <c r="L361" s="316">
        <v>0</v>
      </c>
      <c r="M361" s="316">
        <v>3818.18</v>
      </c>
      <c r="N361" s="316">
        <v>0</v>
      </c>
      <c r="O361" s="316">
        <v>0</v>
      </c>
      <c r="P361" s="316">
        <v>0</v>
      </c>
      <c r="Q361" s="316">
        <v>0</v>
      </c>
      <c r="R361" s="316">
        <v>3818.18</v>
      </c>
      <c r="S361" s="316">
        <v>22000</v>
      </c>
    </row>
    <row r="362" spans="1:19" ht="15" customHeight="1" x14ac:dyDescent="0.25">
      <c r="A362" s="238" t="s">
        <v>955</v>
      </c>
      <c r="B362" s="238" t="s">
        <v>856</v>
      </c>
      <c r="C362" s="238" t="s">
        <v>857</v>
      </c>
      <c r="D362" s="238" t="s">
        <v>699</v>
      </c>
      <c r="E362" s="238" t="s">
        <v>858</v>
      </c>
      <c r="F362" s="238" t="s">
        <v>701</v>
      </c>
      <c r="G362" s="238" t="s">
        <v>973</v>
      </c>
      <c r="H362" s="316">
        <v>8603.31</v>
      </c>
      <c r="I362" s="316">
        <v>0</v>
      </c>
      <c r="J362" s="316">
        <v>0</v>
      </c>
      <c r="K362" s="316">
        <v>0</v>
      </c>
      <c r="L362" s="316">
        <v>0</v>
      </c>
      <c r="M362" s="316">
        <v>1806.69</v>
      </c>
      <c r="N362" s="316">
        <v>0</v>
      </c>
      <c r="O362" s="316">
        <v>0</v>
      </c>
      <c r="P362" s="316">
        <v>0</v>
      </c>
      <c r="Q362" s="316">
        <v>0</v>
      </c>
      <c r="R362" s="316">
        <v>1806.69</v>
      </c>
      <c r="S362" s="316">
        <v>10410</v>
      </c>
    </row>
    <row r="363" spans="1:19" ht="15" customHeight="1" x14ac:dyDescent="0.25">
      <c r="A363" s="238" t="s">
        <v>955</v>
      </c>
      <c r="B363" s="238" t="s">
        <v>952</v>
      </c>
      <c r="C363" s="238" t="s">
        <v>953</v>
      </c>
      <c r="D363" s="238" t="s">
        <v>699</v>
      </c>
      <c r="E363" s="238" t="s">
        <v>708</v>
      </c>
      <c r="F363" s="238" t="s">
        <v>701</v>
      </c>
      <c r="G363" s="238" t="s">
        <v>975</v>
      </c>
      <c r="H363" s="316">
        <v>99173.55</v>
      </c>
      <c r="I363" s="316">
        <v>0</v>
      </c>
      <c r="J363" s="316">
        <v>0</v>
      </c>
      <c r="K363" s="316">
        <v>0</v>
      </c>
      <c r="L363" s="316">
        <v>0</v>
      </c>
      <c r="M363" s="316">
        <v>20826.45</v>
      </c>
      <c r="N363" s="316">
        <v>0</v>
      </c>
      <c r="O363" s="316">
        <v>0</v>
      </c>
      <c r="P363" s="316">
        <v>0</v>
      </c>
      <c r="Q363" s="316">
        <v>0</v>
      </c>
      <c r="R363" s="316">
        <v>20826.45</v>
      </c>
      <c r="S363" s="316">
        <v>120000</v>
      </c>
    </row>
    <row r="364" spans="1:19" ht="15" customHeight="1" x14ac:dyDescent="0.25">
      <c r="A364" s="238" t="s">
        <v>955</v>
      </c>
      <c r="B364" s="238" t="s">
        <v>733</v>
      </c>
      <c r="C364" s="238" t="s">
        <v>734</v>
      </c>
      <c r="D364" s="238" t="s">
        <v>699</v>
      </c>
      <c r="E364" s="238" t="s">
        <v>723</v>
      </c>
      <c r="F364" s="238" t="s">
        <v>701</v>
      </c>
      <c r="G364" s="238" t="s">
        <v>976</v>
      </c>
      <c r="H364" s="316">
        <v>24793.39</v>
      </c>
      <c r="I364" s="316">
        <v>0</v>
      </c>
      <c r="J364" s="316">
        <v>0</v>
      </c>
      <c r="K364" s="316">
        <v>0</v>
      </c>
      <c r="L364" s="316">
        <v>0</v>
      </c>
      <c r="M364" s="316">
        <v>5206.6099999999997</v>
      </c>
      <c r="N364" s="316">
        <v>0</v>
      </c>
      <c r="O364" s="316">
        <v>0</v>
      </c>
      <c r="P364" s="316">
        <v>0</v>
      </c>
      <c r="Q364" s="316">
        <v>0</v>
      </c>
      <c r="R364" s="316">
        <v>5206.6099999999997</v>
      </c>
      <c r="S364" s="316">
        <v>30000</v>
      </c>
    </row>
    <row r="365" spans="1:19" ht="15" customHeight="1" x14ac:dyDescent="0.25">
      <c r="A365" s="238" t="s">
        <v>955</v>
      </c>
      <c r="B365" s="238" t="s">
        <v>977</v>
      </c>
      <c r="C365" s="238" t="s">
        <v>978</v>
      </c>
      <c r="D365" s="238" t="s">
        <v>699</v>
      </c>
      <c r="E365" s="238" t="s">
        <v>708</v>
      </c>
      <c r="F365" s="238" t="s">
        <v>701</v>
      </c>
      <c r="G365" s="238" t="s">
        <v>979</v>
      </c>
      <c r="H365" s="316">
        <v>35537.19</v>
      </c>
      <c r="I365" s="316">
        <v>0</v>
      </c>
      <c r="J365" s="316">
        <v>0</v>
      </c>
      <c r="K365" s="316">
        <v>0</v>
      </c>
      <c r="L365" s="316">
        <v>0</v>
      </c>
      <c r="M365" s="316">
        <v>7462.81</v>
      </c>
      <c r="N365" s="316">
        <v>0</v>
      </c>
      <c r="O365" s="316">
        <v>0</v>
      </c>
      <c r="P365" s="316">
        <v>0</v>
      </c>
      <c r="Q365" s="316">
        <v>0</v>
      </c>
      <c r="R365" s="316">
        <v>7462.81</v>
      </c>
      <c r="S365" s="316">
        <v>43000</v>
      </c>
    </row>
    <row r="366" spans="1:19" ht="15" customHeight="1" x14ac:dyDescent="0.25">
      <c r="A366" s="238" t="s">
        <v>955</v>
      </c>
      <c r="B366" s="238" t="s">
        <v>980</v>
      </c>
      <c r="C366" s="238" t="s">
        <v>981</v>
      </c>
      <c r="D366" s="238" t="s">
        <v>704</v>
      </c>
      <c r="E366" s="238" t="s">
        <v>708</v>
      </c>
      <c r="F366" s="238" t="s">
        <v>701</v>
      </c>
      <c r="G366" s="238" t="s">
        <v>982</v>
      </c>
      <c r="H366" s="316">
        <v>20661.16</v>
      </c>
      <c r="I366" s="316">
        <v>0</v>
      </c>
      <c r="J366" s="316">
        <v>0</v>
      </c>
      <c r="K366" s="316">
        <v>0</v>
      </c>
      <c r="L366" s="316">
        <v>0</v>
      </c>
      <c r="M366" s="316">
        <v>4338.84</v>
      </c>
      <c r="N366" s="316">
        <v>0</v>
      </c>
      <c r="O366" s="316">
        <v>0</v>
      </c>
      <c r="P366" s="316">
        <v>0</v>
      </c>
      <c r="Q366" s="316">
        <v>0</v>
      </c>
      <c r="R366" s="316">
        <v>4338.84</v>
      </c>
      <c r="S366" s="316">
        <v>25000</v>
      </c>
    </row>
    <row r="367" spans="1:19" ht="15" customHeight="1" x14ac:dyDescent="0.25">
      <c r="A367" s="238" t="s">
        <v>955</v>
      </c>
      <c r="B367" s="238" t="s">
        <v>983</v>
      </c>
      <c r="C367" s="238" t="s">
        <v>984</v>
      </c>
      <c r="D367" s="238" t="s">
        <v>699</v>
      </c>
      <c r="E367" s="238" t="s">
        <v>708</v>
      </c>
      <c r="F367" s="238" t="s">
        <v>701</v>
      </c>
      <c r="G367" s="238" t="s">
        <v>985</v>
      </c>
      <c r="H367" s="316">
        <v>33057.85</v>
      </c>
      <c r="I367" s="316">
        <v>0</v>
      </c>
      <c r="J367" s="316">
        <v>0</v>
      </c>
      <c r="K367" s="316">
        <v>0</v>
      </c>
      <c r="L367" s="316">
        <v>0</v>
      </c>
      <c r="M367" s="316">
        <v>6942.15</v>
      </c>
      <c r="N367" s="316">
        <v>0</v>
      </c>
      <c r="O367" s="316">
        <v>0</v>
      </c>
      <c r="P367" s="316">
        <v>0</v>
      </c>
      <c r="Q367" s="316">
        <v>0</v>
      </c>
      <c r="R367" s="316">
        <v>6942.15</v>
      </c>
      <c r="S367" s="316">
        <v>40000</v>
      </c>
    </row>
    <row r="368" spans="1:19" ht="15" customHeight="1" x14ac:dyDescent="0.25">
      <c r="A368" s="238" t="s">
        <v>955</v>
      </c>
      <c r="B368" s="238" t="s">
        <v>986</v>
      </c>
      <c r="C368" s="238" t="s">
        <v>987</v>
      </c>
      <c r="D368" s="238" t="s">
        <v>699</v>
      </c>
      <c r="E368" s="238" t="s">
        <v>988</v>
      </c>
      <c r="F368" s="238" t="s">
        <v>701</v>
      </c>
      <c r="G368" s="238" t="s">
        <v>989</v>
      </c>
      <c r="H368" s="316">
        <v>33057.85</v>
      </c>
      <c r="I368" s="316">
        <v>0</v>
      </c>
      <c r="J368" s="316">
        <v>0</v>
      </c>
      <c r="K368" s="316">
        <v>0</v>
      </c>
      <c r="L368" s="316">
        <v>0</v>
      </c>
      <c r="M368" s="316">
        <v>6942.15</v>
      </c>
      <c r="N368" s="316">
        <v>0</v>
      </c>
      <c r="O368" s="316">
        <v>0</v>
      </c>
      <c r="P368" s="316">
        <v>0</v>
      </c>
      <c r="Q368" s="316">
        <v>0</v>
      </c>
      <c r="R368" s="316">
        <v>6942.15</v>
      </c>
      <c r="S368" s="316">
        <v>40000</v>
      </c>
    </row>
    <row r="369" spans="1:19" ht="15" customHeight="1" x14ac:dyDescent="0.25">
      <c r="A369" s="238" t="s">
        <v>998</v>
      </c>
      <c r="B369" s="238" t="s">
        <v>747</v>
      </c>
      <c r="C369" s="238" t="s">
        <v>748</v>
      </c>
      <c r="D369" s="238" t="s">
        <v>704</v>
      </c>
      <c r="E369" s="238" t="s">
        <v>708</v>
      </c>
      <c r="F369" s="238" t="s">
        <v>701</v>
      </c>
      <c r="G369" s="238" t="s">
        <v>1003</v>
      </c>
      <c r="H369" s="316">
        <v>18181.82</v>
      </c>
      <c r="I369" s="316">
        <v>0</v>
      </c>
      <c r="J369" s="316">
        <v>0</v>
      </c>
      <c r="K369" s="316">
        <v>0</v>
      </c>
      <c r="L369" s="316">
        <v>0</v>
      </c>
      <c r="M369" s="316">
        <v>3818.18</v>
      </c>
      <c r="N369" s="316">
        <v>0</v>
      </c>
      <c r="O369" s="316">
        <v>0</v>
      </c>
      <c r="P369" s="316">
        <v>0</v>
      </c>
      <c r="Q369" s="316">
        <v>0</v>
      </c>
      <c r="R369" s="316">
        <v>3818.18</v>
      </c>
      <c r="S369" s="316">
        <v>22000</v>
      </c>
    </row>
    <row r="370" spans="1:19" ht="15" customHeight="1" x14ac:dyDescent="0.25">
      <c r="A370" s="238" t="s">
        <v>998</v>
      </c>
      <c r="B370" s="238" t="s">
        <v>1018</v>
      </c>
      <c r="C370" s="238" t="s">
        <v>1019</v>
      </c>
      <c r="D370" s="238" t="s">
        <v>704</v>
      </c>
      <c r="E370" s="238" t="s">
        <v>708</v>
      </c>
      <c r="F370" s="238" t="s">
        <v>1020</v>
      </c>
      <c r="G370" s="238" t="s">
        <v>1021</v>
      </c>
      <c r="H370" s="316">
        <v>701428.84</v>
      </c>
      <c r="I370" s="316">
        <v>0</v>
      </c>
      <c r="J370" s="316">
        <v>0</v>
      </c>
      <c r="K370" s="316">
        <v>0</v>
      </c>
      <c r="L370" s="316">
        <v>0</v>
      </c>
      <c r="M370" s="316">
        <v>147300.06</v>
      </c>
      <c r="N370" s="316">
        <v>0</v>
      </c>
      <c r="O370" s="316">
        <v>0</v>
      </c>
      <c r="P370" s="316">
        <v>0</v>
      </c>
      <c r="Q370" s="316">
        <v>0</v>
      </c>
      <c r="R370" s="316">
        <v>147300.06</v>
      </c>
      <c r="S370" s="316">
        <v>848728.9</v>
      </c>
    </row>
    <row r="371" spans="1:19" ht="15" customHeight="1" x14ac:dyDescent="0.25">
      <c r="A371" s="238" t="s">
        <v>998</v>
      </c>
      <c r="B371" s="238" t="s">
        <v>1022</v>
      </c>
      <c r="C371" s="238" t="s">
        <v>1023</v>
      </c>
      <c r="D371" s="238" t="s">
        <v>704</v>
      </c>
      <c r="E371" s="238" t="s">
        <v>708</v>
      </c>
      <c r="F371" s="238" t="s">
        <v>1020</v>
      </c>
      <c r="G371" s="238" t="s">
        <v>1024</v>
      </c>
      <c r="H371" s="316">
        <v>159126.45000000001</v>
      </c>
      <c r="I371" s="316">
        <v>0</v>
      </c>
      <c r="J371" s="316">
        <v>0</v>
      </c>
      <c r="K371" s="316">
        <v>0</v>
      </c>
      <c r="L371" s="316">
        <v>0</v>
      </c>
      <c r="M371" s="316">
        <v>33416.550000000003</v>
      </c>
      <c r="N371" s="316">
        <v>0</v>
      </c>
      <c r="O371" s="316">
        <v>0</v>
      </c>
      <c r="P371" s="316">
        <v>0</v>
      </c>
      <c r="Q371" s="316">
        <v>0</v>
      </c>
      <c r="R371" s="316">
        <v>33416.550000000003</v>
      </c>
      <c r="S371" s="316">
        <v>192543</v>
      </c>
    </row>
    <row r="372" spans="1:19" ht="15" customHeight="1" x14ac:dyDescent="0.25">
      <c r="A372" s="238" t="s">
        <v>998</v>
      </c>
      <c r="B372" s="238" t="s">
        <v>1018</v>
      </c>
      <c r="C372" s="238" t="s">
        <v>1019</v>
      </c>
      <c r="D372" s="238" t="s">
        <v>704</v>
      </c>
      <c r="E372" s="238" t="s">
        <v>708</v>
      </c>
      <c r="F372" s="238" t="s">
        <v>1020</v>
      </c>
      <c r="G372" s="238" t="s">
        <v>1025</v>
      </c>
      <c r="H372" s="316">
        <v>81571.899999999994</v>
      </c>
      <c r="I372" s="316">
        <v>0</v>
      </c>
      <c r="J372" s="316">
        <v>0</v>
      </c>
      <c r="K372" s="316">
        <v>0</v>
      </c>
      <c r="L372" s="316">
        <v>0</v>
      </c>
      <c r="M372" s="316">
        <v>17130.099999999999</v>
      </c>
      <c r="N372" s="316">
        <v>0</v>
      </c>
      <c r="O372" s="316">
        <v>0</v>
      </c>
      <c r="P372" s="316">
        <v>0</v>
      </c>
      <c r="Q372" s="316">
        <v>0</v>
      </c>
      <c r="R372" s="316">
        <v>17130.099999999999</v>
      </c>
      <c r="S372" s="316">
        <v>98702</v>
      </c>
    </row>
    <row r="373" spans="1:19" ht="15" customHeight="1" x14ac:dyDescent="0.25">
      <c r="A373" s="238" t="s">
        <v>998</v>
      </c>
      <c r="B373" s="238" t="s">
        <v>1036</v>
      </c>
      <c r="C373" s="238" t="s">
        <v>1037</v>
      </c>
      <c r="D373" s="238" t="s">
        <v>704</v>
      </c>
      <c r="E373" s="238" t="s">
        <v>708</v>
      </c>
      <c r="F373" s="238" t="s">
        <v>701</v>
      </c>
      <c r="G373" s="238" t="s">
        <v>1038</v>
      </c>
      <c r="H373" s="316">
        <v>52066.12</v>
      </c>
      <c r="I373" s="316">
        <v>0</v>
      </c>
      <c r="J373" s="316">
        <v>0</v>
      </c>
      <c r="K373" s="316">
        <v>0</v>
      </c>
      <c r="L373" s="316">
        <v>0</v>
      </c>
      <c r="M373" s="316">
        <v>10933.88</v>
      </c>
      <c r="N373" s="316">
        <v>0</v>
      </c>
      <c r="O373" s="316">
        <v>0</v>
      </c>
      <c r="P373" s="316">
        <v>0</v>
      </c>
      <c r="Q373" s="316">
        <v>0</v>
      </c>
      <c r="R373" s="316">
        <v>10933.88</v>
      </c>
      <c r="S373" s="316">
        <v>63000</v>
      </c>
    </row>
    <row r="374" spans="1:19" ht="15" customHeight="1" x14ac:dyDescent="0.25">
      <c r="A374" s="238" t="s">
        <v>998</v>
      </c>
      <c r="B374" s="238" t="s">
        <v>1044</v>
      </c>
      <c r="C374" s="238" t="s">
        <v>1045</v>
      </c>
      <c r="D374" s="238" t="s">
        <v>704</v>
      </c>
      <c r="E374" s="238" t="s">
        <v>708</v>
      </c>
      <c r="F374" s="238" t="s">
        <v>701</v>
      </c>
      <c r="G374" s="238" t="s">
        <v>1046</v>
      </c>
      <c r="H374" s="316">
        <v>21487.599999999999</v>
      </c>
      <c r="I374" s="316">
        <v>0</v>
      </c>
      <c r="J374" s="316">
        <v>0</v>
      </c>
      <c r="K374" s="316">
        <v>0</v>
      </c>
      <c r="L374" s="316">
        <v>0</v>
      </c>
      <c r="M374" s="316">
        <v>4512.3999999999996</v>
      </c>
      <c r="N374" s="316">
        <v>0</v>
      </c>
      <c r="O374" s="316">
        <v>0</v>
      </c>
      <c r="P374" s="316">
        <v>0</v>
      </c>
      <c r="Q374" s="316">
        <v>0</v>
      </c>
      <c r="R374" s="316">
        <v>4512.3999999999996</v>
      </c>
      <c r="S374" s="316">
        <v>26000</v>
      </c>
    </row>
    <row r="375" spans="1:19" ht="15" customHeight="1" x14ac:dyDescent="0.25">
      <c r="A375" s="238" t="s">
        <v>1057</v>
      </c>
      <c r="B375" s="238" t="s">
        <v>745</v>
      </c>
      <c r="C375" s="238" t="s">
        <v>746</v>
      </c>
      <c r="D375" s="238" t="s">
        <v>704</v>
      </c>
      <c r="E375" s="238" t="s">
        <v>708</v>
      </c>
      <c r="F375" s="238" t="s">
        <v>701</v>
      </c>
      <c r="G375" s="238" t="s">
        <v>1077</v>
      </c>
      <c r="H375" s="316">
        <v>8793.39</v>
      </c>
      <c r="I375" s="316">
        <v>0</v>
      </c>
      <c r="J375" s="316">
        <v>0</v>
      </c>
      <c r="K375" s="316">
        <v>0</v>
      </c>
      <c r="L375" s="316">
        <v>0</v>
      </c>
      <c r="M375" s="316">
        <v>1846.61</v>
      </c>
      <c r="N375" s="316">
        <v>0</v>
      </c>
      <c r="O375" s="316">
        <v>0</v>
      </c>
      <c r="P375" s="316">
        <v>0</v>
      </c>
      <c r="Q375" s="316">
        <v>0</v>
      </c>
      <c r="R375" s="316">
        <v>1846.61</v>
      </c>
      <c r="S375" s="316">
        <v>10640</v>
      </c>
    </row>
    <row r="376" spans="1:19" ht="15" customHeight="1" x14ac:dyDescent="0.25">
      <c r="A376" s="238" t="s">
        <v>1057</v>
      </c>
      <c r="B376" s="238" t="s">
        <v>1036</v>
      </c>
      <c r="C376" s="238" t="s">
        <v>1037</v>
      </c>
      <c r="D376" s="238" t="s">
        <v>704</v>
      </c>
      <c r="E376" s="238" t="s">
        <v>708</v>
      </c>
      <c r="F376" s="238" t="s">
        <v>701</v>
      </c>
      <c r="G376" s="238" t="s">
        <v>1078</v>
      </c>
      <c r="H376" s="316">
        <v>39669.42</v>
      </c>
      <c r="I376" s="316">
        <v>0</v>
      </c>
      <c r="J376" s="316">
        <v>0</v>
      </c>
      <c r="K376" s="316">
        <v>0</v>
      </c>
      <c r="L376" s="316">
        <v>0</v>
      </c>
      <c r="M376" s="316">
        <v>8330.58</v>
      </c>
      <c r="N376" s="316">
        <v>0</v>
      </c>
      <c r="O376" s="316">
        <v>0</v>
      </c>
      <c r="P376" s="316">
        <v>0</v>
      </c>
      <c r="Q376" s="316">
        <v>0</v>
      </c>
      <c r="R376" s="316">
        <v>8330.58</v>
      </c>
      <c r="S376" s="316">
        <v>48000</v>
      </c>
    </row>
    <row r="377" spans="1:19" ht="15" customHeight="1" x14ac:dyDescent="0.25">
      <c r="A377" s="238" t="s">
        <v>1057</v>
      </c>
      <c r="B377" s="238" t="s">
        <v>742</v>
      </c>
      <c r="C377" s="238" t="s">
        <v>743</v>
      </c>
      <c r="D377" s="238" t="s">
        <v>704</v>
      </c>
      <c r="E377" s="238" t="s">
        <v>744</v>
      </c>
      <c r="F377" s="238" t="s">
        <v>701</v>
      </c>
      <c r="G377" s="238" t="s">
        <v>1079</v>
      </c>
      <c r="H377" s="316">
        <v>33057.85</v>
      </c>
      <c r="I377" s="316">
        <v>0</v>
      </c>
      <c r="J377" s="316">
        <v>0</v>
      </c>
      <c r="K377" s="316">
        <v>0</v>
      </c>
      <c r="L377" s="316">
        <v>0</v>
      </c>
      <c r="M377" s="316">
        <v>6942.15</v>
      </c>
      <c r="N377" s="316">
        <v>0</v>
      </c>
      <c r="O377" s="316">
        <v>0</v>
      </c>
      <c r="P377" s="316">
        <v>0</v>
      </c>
      <c r="Q377" s="316">
        <v>0</v>
      </c>
      <c r="R377" s="316">
        <v>6942.15</v>
      </c>
      <c r="S377" s="316">
        <v>40000</v>
      </c>
    </row>
    <row r="378" spans="1:19" ht="15" customHeight="1" x14ac:dyDescent="0.25">
      <c r="A378" s="238" t="s">
        <v>1098</v>
      </c>
      <c r="B378" s="238" t="s">
        <v>1107</v>
      </c>
      <c r="C378" s="238" t="s">
        <v>1108</v>
      </c>
      <c r="D378" s="238" t="s">
        <v>704</v>
      </c>
      <c r="E378" s="238" t="s">
        <v>708</v>
      </c>
      <c r="F378" s="238" t="s">
        <v>701</v>
      </c>
      <c r="G378" s="238" t="s">
        <v>1109</v>
      </c>
      <c r="H378" s="316">
        <v>148148.76</v>
      </c>
      <c r="I378" s="316">
        <v>0</v>
      </c>
      <c r="J378" s="316">
        <v>0</v>
      </c>
      <c r="K378" s="316">
        <v>0</v>
      </c>
      <c r="L378" s="316">
        <v>0</v>
      </c>
      <c r="M378" s="316">
        <v>31111.24</v>
      </c>
      <c r="N378" s="316">
        <v>0</v>
      </c>
      <c r="O378" s="316">
        <v>0</v>
      </c>
      <c r="P378" s="316">
        <v>0</v>
      </c>
      <c r="Q378" s="316">
        <v>0</v>
      </c>
      <c r="R378" s="316">
        <v>31111.24</v>
      </c>
      <c r="S378" s="316">
        <v>179260</v>
      </c>
    </row>
    <row r="379" spans="1:19" ht="15" customHeight="1" x14ac:dyDescent="0.25">
      <c r="A379" s="238" t="s">
        <v>1098</v>
      </c>
      <c r="B379" s="238" t="s">
        <v>1107</v>
      </c>
      <c r="C379" s="238" t="s">
        <v>1108</v>
      </c>
      <c r="D379" s="238" t="s">
        <v>704</v>
      </c>
      <c r="E379" s="238" t="s">
        <v>708</v>
      </c>
      <c r="F379" s="238" t="s">
        <v>701</v>
      </c>
      <c r="G379" s="238" t="s">
        <v>1110</v>
      </c>
      <c r="H379" s="316">
        <v>352066.12</v>
      </c>
      <c r="I379" s="316">
        <v>0</v>
      </c>
      <c r="J379" s="316">
        <v>0</v>
      </c>
      <c r="K379" s="316">
        <v>0</v>
      </c>
      <c r="L379" s="316">
        <v>0</v>
      </c>
      <c r="M379" s="316">
        <v>73933.88</v>
      </c>
      <c r="N379" s="316">
        <v>0</v>
      </c>
      <c r="O379" s="316">
        <v>0</v>
      </c>
      <c r="P379" s="316">
        <v>0</v>
      </c>
      <c r="Q379" s="316">
        <v>0</v>
      </c>
      <c r="R379" s="316">
        <v>73933.88</v>
      </c>
      <c r="S379" s="316">
        <v>426000</v>
      </c>
    </row>
    <row r="380" spans="1:19" ht="15" customHeight="1" x14ac:dyDescent="0.25">
      <c r="A380" s="238" t="s">
        <v>1126</v>
      </c>
      <c r="B380" s="238" t="s">
        <v>1130</v>
      </c>
      <c r="C380" s="238" t="s">
        <v>1131</v>
      </c>
      <c r="D380" s="238" t="s">
        <v>704</v>
      </c>
      <c r="E380" s="238" t="s">
        <v>708</v>
      </c>
      <c r="F380" s="238" t="s">
        <v>1020</v>
      </c>
      <c r="G380" s="238" t="s">
        <v>1132</v>
      </c>
      <c r="H380" s="316">
        <v>18181.82</v>
      </c>
      <c r="I380" s="316">
        <v>0</v>
      </c>
      <c r="J380" s="316">
        <v>0</v>
      </c>
      <c r="K380" s="316">
        <v>0</v>
      </c>
      <c r="L380" s="316">
        <v>0</v>
      </c>
      <c r="M380" s="316">
        <v>3818.18</v>
      </c>
      <c r="N380" s="316">
        <v>0</v>
      </c>
      <c r="O380" s="316">
        <v>0</v>
      </c>
      <c r="P380" s="316">
        <v>0</v>
      </c>
      <c r="Q380" s="316">
        <v>0</v>
      </c>
      <c r="R380" s="316">
        <v>3818.18</v>
      </c>
      <c r="S380" s="316">
        <v>22000</v>
      </c>
    </row>
    <row r="381" spans="1:19" ht="15" customHeight="1" x14ac:dyDescent="0.25">
      <c r="A381" s="238" t="s">
        <v>1126</v>
      </c>
      <c r="B381" s="238" t="s">
        <v>740</v>
      </c>
      <c r="C381" s="238" t="s">
        <v>741</v>
      </c>
      <c r="D381" s="238" t="s">
        <v>704</v>
      </c>
      <c r="E381" s="238" t="s">
        <v>708</v>
      </c>
      <c r="F381" s="238" t="s">
        <v>701</v>
      </c>
      <c r="G381" s="238" t="s">
        <v>1133</v>
      </c>
      <c r="H381" s="316">
        <v>18181.82</v>
      </c>
      <c r="I381" s="316">
        <v>0</v>
      </c>
      <c r="J381" s="316">
        <v>0</v>
      </c>
      <c r="K381" s="316">
        <v>0</v>
      </c>
      <c r="L381" s="316">
        <v>0</v>
      </c>
      <c r="M381" s="316">
        <v>3818.18</v>
      </c>
      <c r="N381" s="316">
        <v>0</v>
      </c>
      <c r="O381" s="316">
        <v>0</v>
      </c>
      <c r="P381" s="316">
        <v>0</v>
      </c>
      <c r="Q381" s="316">
        <v>0</v>
      </c>
      <c r="R381" s="316">
        <v>3818.18</v>
      </c>
      <c r="S381" s="316">
        <v>22000</v>
      </c>
    </row>
    <row r="382" spans="1:19" ht="15" customHeight="1" x14ac:dyDescent="0.25">
      <c r="A382" s="238" t="s">
        <v>1126</v>
      </c>
      <c r="B382" s="238" t="s">
        <v>1145</v>
      </c>
      <c r="C382" s="238" t="s">
        <v>1146</v>
      </c>
      <c r="D382" s="238" t="s">
        <v>704</v>
      </c>
      <c r="E382" s="238" t="s">
        <v>708</v>
      </c>
      <c r="F382" s="238" t="s">
        <v>701</v>
      </c>
      <c r="G382" s="238" t="s">
        <v>1147</v>
      </c>
      <c r="H382" s="316">
        <v>21487.599999999999</v>
      </c>
      <c r="I382" s="316">
        <v>0</v>
      </c>
      <c r="J382" s="316">
        <v>0</v>
      </c>
      <c r="K382" s="316">
        <v>0</v>
      </c>
      <c r="L382" s="316">
        <v>0</v>
      </c>
      <c r="M382" s="316">
        <v>4512.3999999999996</v>
      </c>
      <c r="N382" s="316">
        <v>0</v>
      </c>
      <c r="O382" s="316">
        <v>0</v>
      </c>
      <c r="P382" s="316">
        <v>0</v>
      </c>
      <c r="Q382" s="316">
        <v>0</v>
      </c>
      <c r="R382" s="316">
        <v>4512.3999999999996</v>
      </c>
      <c r="S382" s="316">
        <v>26000</v>
      </c>
    </row>
    <row r="383" spans="1:19" ht="15" customHeight="1" x14ac:dyDescent="0.25">
      <c r="A383" s="238" t="s">
        <v>1126</v>
      </c>
      <c r="B383" s="238" t="s">
        <v>44</v>
      </c>
      <c r="C383" s="238" t="s">
        <v>1149</v>
      </c>
      <c r="D383" s="238" t="s">
        <v>846</v>
      </c>
      <c r="E383" s="238" t="s">
        <v>1150</v>
      </c>
      <c r="F383" s="238" t="s">
        <v>1020</v>
      </c>
      <c r="G383" s="238" t="s">
        <v>1151</v>
      </c>
      <c r="H383" s="316">
        <v>214876.03</v>
      </c>
      <c r="I383" s="316">
        <v>0</v>
      </c>
      <c r="J383" s="316">
        <v>0</v>
      </c>
      <c r="K383" s="316">
        <v>0</v>
      </c>
      <c r="L383" s="316">
        <v>0</v>
      </c>
      <c r="M383" s="316">
        <v>45123.97</v>
      </c>
      <c r="N383" s="316">
        <v>0</v>
      </c>
      <c r="O383" s="316">
        <v>0</v>
      </c>
      <c r="P383" s="316">
        <v>0</v>
      </c>
      <c r="Q383" s="316">
        <v>0</v>
      </c>
      <c r="R383" s="316">
        <v>45123.97</v>
      </c>
      <c r="S383" s="316">
        <v>260000</v>
      </c>
    </row>
    <row r="384" spans="1:19" ht="15" customHeight="1" x14ac:dyDescent="0.25">
      <c r="A384" s="238" t="s">
        <v>1126</v>
      </c>
      <c r="B384" s="238" t="s">
        <v>44</v>
      </c>
      <c r="C384" s="238" t="s">
        <v>1149</v>
      </c>
      <c r="D384" s="238" t="s">
        <v>846</v>
      </c>
      <c r="E384" s="238" t="s">
        <v>1150</v>
      </c>
      <c r="F384" s="238" t="s">
        <v>1020</v>
      </c>
      <c r="G384" s="238" t="s">
        <v>1157</v>
      </c>
      <c r="H384" s="316">
        <v>464876.03</v>
      </c>
      <c r="I384" s="316">
        <v>0</v>
      </c>
      <c r="J384" s="316">
        <v>0</v>
      </c>
      <c r="K384" s="316">
        <v>0</v>
      </c>
      <c r="L384" s="316">
        <v>0</v>
      </c>
      <c r="M384" s="316">
        <v>97623.97</v>
      </c>
      <c r="N384" s="316">
        <v>0</v>
      </c>
      <c r="O384" s="316">
        <v>0</v>
      </c>
      <c r="P384" s="316">
        <v>0</v>
      </c>
      <c r="Q384" s="316">
        <v>0</v>
      </c>
      <c r="R384" s="316">
        <v>97623.97</v>
      </c>
      <c r="S384" s="316">
        <v>562500</v>
      </c>
    </row>
    <row r="385" spans="1:19" ht="15" customHeight="1" x14ac:dyDescent="0.25">
      <c r="A385" s="238" t="s">
        <v>1126</v>
      </c>
      <c r="B385" s="238" t="s">
        <v>44</v>
      </c>
      <c r="C385" s="238" t="s">
        <v>1149</v>
      </c>
      <c r="D385" s="238" t="s">
        <v>846</v>
      </c>
      <c r="E385" s="238" t="s">
        <v>1150</v>
      </c>
      <c r="F385" s="238" t="s">
        <v>1020</v>
      </c>
      <c r="G385" s="238" t="s">
        <v>1158</v>
      </c>
      <c r="H385" s="316">
        <v>77685.95</v>
      </c>
      <c r="I385" s="316">
        <v>0</v>
      </c>
      <c r="J385" s="316">
        <v>0</v>
      </c>
      <c r="K385" s="316">
        <v>0</v>
      </c>
      <c r="L385" s="316">
        <v>0</v>
      </c>
      <c r="M385" s="316">
        <v>16314.05</v>
      </c>
      <c r="N385" s="316">
        <v>0</v>
      </c>
      <c r="O385" s="316">
        <v>0</v>
      </c>
      <c r="P385" s="316">
        <v>0</v>
      </c>
      <c r="Q385" s="316">
        <v>0</v>
      </c>
      <c r="R385" s="316">
        <v>16314.05</v>
      </c>
      <c r="S385" s="316">
        <v>94000</v>
      </c>
    </row>
    <row r="386" spans="1:19" ht="15" customHeight="1" x14ac:dyDescent="0.25">
      <c r="A386" s="238" t="s">
        <v>1164</v>
      </c>
      <c r="B386" s="238" t="s">
        <v>711</v>
      </c>
      <c r="C386" s="238" t="s">
        <v>712</v>
      </c>
      <c r="D386" s="238" t="s">
        <v>704</v>
      </c>
      <c r="E386" s="238" t="s">
        <v>708</v>
      </c>
      <c r="F386" s="238" t="s">
        <v>701</v>
      </c>
      <c r="G386" s="238" t="s">
        <v>1165</v>
      </c>
      <c r="H386" s="316">
        <v>20661.16</v>
      </c>
      <c r="I386" s="316">
        <v>0</v>
      </c>
      <c r="J386" s="316">
        <v>0</v>
      </c>
      <c r="K386" s="316">
        <v>0</v>
      </c>
      <c r="L386" s="316">
        <v>0</v>
      </c>
      <c r="M386" s="316">
        <v>4338.84</v>
      </c>
      <c r="N386" s="316">
        <v>0</v>
      </c>
      <c r="O386" s="316">
        <v>0</v>
      </c>
      <c r="P386" s="316">
        <v>0</v>
      </c>
      <c r="Q386" s="316">
        <v>0</v>
      </c>
      <c r="R386" s="316">
        <v>4338.84</v>
      </c>
      <c r="S386" s="316">
        <v>25000</v>
      </c>
    </row>
    <row r="387" spans="1:19" ht="15" customHeight="1" x14ac:dyDescent="0.25">
      <c r="A387" s="238" t="s">
        <v>1191</v>
      </c>
      <c r="B387" s="238" t="s">
        <v>751</v>
      </c>
      <c r="C387" s="238" t="s">
        <v>752</v>
      </c>
      <c r="D387" s="238" t="s">
        <v>704</v>
      </c>
      <c r="E387" s="238" t="s">
        <v>708</v>
      </c>
      <c r="F387" s="238" t="s">
        <v>701</v>
      </c>
      <c r="G387" s="238" t="s">
        <v>1192</v>
      </c>
      <c r="H387" s="316">
        <v>79338.84</v>
      </c>
      <c r="I387" s="316">
        <v>0</v>
      </c>
      <c r="J387" s="316">
        <v>0</v>
      </c>
      <c r="K387" s="316">
        <v>0</v>
      </c>
      <c r="L387" s="316">
        <v>0</v>
      </c>
      <c r="M387" s="316">
        <v>16661.16</v>
      </c>
      <c r="N387" s="316">
        <v>0</v>
      </c>
      <c r="O387" s="316">
        <v>0</v>
      </c>
      <c r="P387" s="316">
        <v>0</v>
      </c>
      <c r="Q387" s="316">
        <v>0</v>
      </c>
      <c r="R387" s="316">
        <v>16661.16</v>
      </c>
      <c r="S387" s="316">
        <v>96000</v>
      </c>
    </row>
    <row r="388" spans="1:19" ht="15" customHeight="1" x14ac:dyDescent="0.25">
      <c r="A388" s="238" t="s">
        <v>1191</v>
      </c>
      <c r="B388" s="238" t="s">
        <v>844</v>
      </c>
      <c r="C388" s="238" t="s">
        <v>845</v>
      </c>
      <c r="D388" s="238" t="s">
        <v>846</v>
      </c>
      <c r="E388" s="238" t="s">
        <v>847</v>
      </c>
      <c r="F388" s="238" t="s">
        <v>701</v>
      </c>
      <c r="G388" s="238" t="s">
        <v>1193</v>
      </c>
      <c r="H388" s="316">
        <v>21487.599999999999</v>
      </c>
      <c r="I388" s="316">
        <v>0</v>
      </c>
      <c r="J388" s="316">
        <v>0</v>
      </c>
      <c r="K388" s="316">
        <v>0</v>
      </c>
      <c r="L388" s="316">
        <v>0</v>
      </c>
      <c r="M388" s="316">
        <v>4512.3999999999996</v>
      </c>
      <c r="N388" s="316">
        <v>0</v>
      </c>
      <c r="O388" s="316">
        <v>0</v>
      </c>
      <c r="P388" s="316">
        <v>0</v>
      </c>
      <c r="Q388" s="316">
        <v>0</v>
      </c>
      <c r="R388" s="316">
        <v>4512.3999999999996</v>
      </c>
      <c r="S388" s="316">
        <v>26000</v>
      </c>
    </row>
    <row r="389" spans="1:19" ht="15" customHeight="1" x14ac:dyDescent="0.25">
      <c r="A389" s="238" t="s">
        <v>1191</v>
      </c>
      <c r="B389" s="238" t="s">
        <v>849</v>
      </c>
      <c r="C389" s="238" t="s">
        <v>850</v>
      </c>
      <c r="D389" s="238" t="s">
        <v>699</v>
      </c>
      <c r="E389" s="238" t="s">
        <v>723</v>
      </c>
      <c r="F389" s="238" t="s">
        <v>701</v>
      </c>
      <c r="G389" s="238" t="s">
        <v>1196</v>
      </c>
      <c r="H389" s="316">
        <v>8177.69</v>
      </c>
      <c r="I389" s="316">
        <v>0</v>
      </c>
      <c r="J389" s="316">
        <v>0</v>
      </c>
      <c r="K389" s="316">
        <v>0</v>
      </c>
      <c r="L389" s="316">
        <v>0</v>
      </c>
      <c r="M389" s="316">
        <v>1717.31</v>
      </c>
      <c r="N389" s="316">
        <v>0</v>
      </c>
      <c r="O389" s="316">
        <v>0</v>
      </c>
      <c r="P389" s="316">
        <v>0</v>
      </c>
      <c r="Q389" s="316">
        <v>0</v>
      </c>
      <c r="R389" s="316">
        <v>1717.31</v>
      </c>
      <c r="S389" s="316">
        <v>9895</v>
      </c>
    </row>
    <row r="390" spans="1:19" ht="15" customHeight="1" x14ac:dyDescent="0.25">
      <c r="A390" s="238" t="s">
        <v>1191</v>
      </c>
      <c r="B390" s="238" t="s">
        <v>759</v>
      </c>
      <c r="C390" s="238" t="s">
        <v>760</v>
      </c>
      <c r="D390" s="238" t="s">
        <v>704</v>
      </c>
      <c r="E390" s="238" t="s">
        <v>708</v>
      </c>
      <c r="F390" s="238" t="s">
        <v>701</v>
      </c>
      <c r="G390" s="238" t="s">
        <v>1197</v>
      </c>
      <c r="H390" s="316">
        <v>17355.37</v>
      </c>
      <c r="I390" s="316">
        <v>0</v>
      </c>
      <c r="J390" s="316">
        <v>0</v>
      </c>
      <c r="K390" s="316">
        <v>0</v>
      </c>
      <c r="L390" s="316">
        <v>0</v>
      </c>
      <c r="M390" s="316">
        <v>3644.63</v>
      </c>
      <c r="N390" s="316">
        <v>0</v>
      </c>
      <c r="O390" s="316">
        <v>0</v>
      </c>
      <c r="P390" s="316">
        <v>0</v>
      </c>
      <c r="Q390" s="316">
        <v>0</v>
      </c>
      <c r="R390" s="316">
        <v>3644.63</v>
      </c>
      <c r="S390" s="316">
        <v>21000</v>
      </c>
    </row>
    <row r="391" spans="1:19" ht="15" customHeight="1" x14ac:dyDescent="0.25">
      <c r="A391" s="238" t="s">
        <v>1191</v>
      </c>
      <c r="B391" s="238" t="s">
        <v>720</v>
      </c>
      <c r="C391" s="238"/>
      <c r="D391" s="238" t="s">
        <v>699</v>
      </c>
      <c r="E391" s="238" t="s">
        <v>708</v>
      </c>
      <c r="F391" s="238" t="s">
        <v>701</v>
      </c>
      <c r="G391" s="238" t="s">
        <v>1198</v>
      </c>
      <c r="H391" s="316">
        <v>37190.080000000002</v>
      </c>
      <c r="I391" s="316">
        <v>0</v>
      </c>
      <c r="J391" s="316">
        <v>0</v>
      </c>
      <c r="K391" s="316">
        <v>0</v>
      </c>
      <c r="L391" s="316">
        <v>0</v>
      </c>
      <c r="M391" s="316">
        <v>7809.92</v>
      </c>
      <c r="N391" s="316">
        <v>0</v>
      </c>
      <c r="O391" s="316">
        <v>0</v>
      </c>
      <c r="P391" s="316">
        <v>0</v>
      </c>
      <c r="Q391" s="316">
        <v>0</v>
      </c>
      <c r="R391" s="316">
        <v>7809.92</v>
      </c>
      <c r="S391" s="316">
        <v>45000</v>
      </c>
    </row>
    <row r="392" spans="1:19" ht="15" customHeight="1" x14ac:dyDescent="0.25">
      <c r="A392" s="238" t="s">
        <v>1191</v>
      </c>
      <c r="B392" s="238" t="s">
        <v>866</v>
      </c>
      <c r="C392" s="238" t="s">
        <v>867</v>
      </c>
      <c r="D392" s="238" t="s">
        <v>704</v>
      </c>
      <c r="E392" s="238" t="s">
        <v>708</v>
      </c>
      <c r="F392" s="238" t="s">
        <v>701</v>
      </c>
      <c r="G392" s="238" t="s">
        <v>1199</v>
      </c>
      <c r="H392" s="316">
        <v>61983.47</v>
      </c>
      <c r="I392" s="316">
        <v>0</v>
      </c>
      <c r="J392" s="316">
        <v>0</v>
      </c>
      <c r="K392" s="316">
        <v>0</v>
      </c>
      <c r="L392" s="316">
        <v>0</v>
      </c>
      <c r="M392" s="316">
        <v>13016.53</v>
      </c>
      <c r="N392" s="316">
        <v>0</v>
      </c>
      <c r="O392" s="316">
        <v>0</v>
      </c>
      <c r="P392" s="316">
        <v>0</v>
      </c>
      <c r="Q392" s="316">
        <v>0</v>
      </c>
      <c r="R392" s="316">
        <v>13016.53</v>
      </c>
      <c r="S392" s="316">
        <v>75000</v>
      </c>
    </row>
    <row r="393" spans="1:19" ht="15" customHeight="1" x14ac:dyDescent="0.25">
      <c r="A393" s="238" t="s">
        <v>1191</v>
      </c>
      <c r="B393" s="238" t="s">
        <v>861</v>
      </c>
      <c r="C393" s="238" t="s">
        <v>862</v>
      </c>
      <c r="D393" s="238" t="s">
        <v>704</v>
      </c>
      <c r="E393" s="238" t="s">
        <v>708</v>
      </c>
      <c r="F393" s="238" t="s">
        <v>701</v>
      </c>
      <c r="G393" s="238" t="s">
        <v>1200</v>
      </c>
      <c r="H393" s="316">
        <v>37190.080000000002</v>
      </c>
      <c r="I393" s="316">
        <v>0</v>
      </c>
      <c r="J393" s="316">
        <v>0</v>
      </c>
      <c r="K393" s="316">
        <v>0</v>
      </c>
      <c r="L393" s="316">
        <v>0</v>
      </c>
      <c r="M393" s="316">
        <v>7809.92</v>
      </c>
      <c r="N393" s="316">
        <v>0</v>
      </c>
      <c r="O393" s="316">
        <v>0</v>
      </c>
      <c r="P393" s="316">
        <v>0</v>
      </c>
      <c r="Q393" s="316">
        <v>0</v>
      </c>
      <c r="R393" s="316">
        <v>7809.92</v>
      </c>
      <c r="S393" s="316">
        <v>45000</v>
      </c>
    </row>
    <row r="394" spans="1:19" ht="15" customHeight="1" x14ac:dyDescent="0.25">
      <c r="A394" s="238" t="s">
        <v>1220</v>
      </c>
      <c r="B394" s="238" t="s">
        <v>1050</v>
      </c>
      <c r="C394" s="238" t="s">
        <v>1051</v>
      </c>
      <c r="D394" s="238" t="s">
        <v>1052</v>
      </c>
      <c r="E394" s="238" t="s">
        <v>1053</v>
      </c>
      <c r="F394" s="238" t="s">
        <v>1020</v>
      </c>
      <c r="G394" s="238" t="s">
        <v>1243</v>
      </c>
      <c r="H394" s="316">
        <v>11889669.42</v>
      </c>
      <c r="I394" s="316">
        <v>0</v>
      </c>
      <c r="J394" s="316">
        <v>0</v>
      </c>
      <c r="K394" s="316">
        <v>0</v>
      </c>
      <c r="L394" s="316">
        <v>0</v>
      </c>
      <c r="M394" s="316">
        <v>2496830.58</v>
      </c>
      <c r="N394" s="316">
        <v>0</v>
      </c>
      <c r="O394" s="316">
        <v>0</v>
      </c>
      <c r="P394" s="316">
        <v>0</v>
      </c>
      <c r="Q394" s="316">
        <v>0</v>
      </c>
      <c r="R394" s="316">
        <v>2496830.58</v>
      </c>
      <c r="S394" s="316">
        <v>14386500</v>
      </c>
    </row>
    <row r="395" spans="1:19" ht="15" customHeight="1" x14ac:dyDescent="0.25">
      <c r="A395" s="238" t="s">
        <v>1220</v>
      </c>
      <c r="B395" s="238" t="s">
        <v>1246</v>
      </c>
      <c r="C395" s="238" t="s">
        <v>1247</v>
      </c>
      <c r="D395" s="238" t="s">
        <v>704</v>
      </c>
      <c r="E395" s="238" t="s">
        <v>708</v>
      </c>
      <c r="F395" s="238" t="s">
        <v>1020</v>
      </c>
      <c r="G395" s="238" t="s">
        <v>1248</v>
      </c>
      <c r="H395" s="316">
        <v>1900826.45</v>
      </c>
      <c r="I395" s="316">
        <v>0</v>
      </c>
      <c r="J395" s="316">
        <v>0</v>
      </c>
      <c r="K395" s="316">
        <v>0</v>
      </c>
      <c r="L395" s="316">
        <v>0</v>
      </c>
      <c r="M395" s="316">
        <v>399173.55</v>
      </c>
      <c r="N395" s="316">
        <v>0</v>
      </c>
      <c r="O395" s="316">
        <v>0</v>
      </c>
      <c r="P395" s="316">
        <v>0</v>
      </c>
      <c r="Q395" s="316">
        <v>0</v>
      </c>
      <c r="R395" s="316">
        <v>399173.55</v>
      </c>
      <c r="S395" s="316">
        <v>2300000</v>
      </c>
    </row>
    <row r="396" spans="1:19" ht="15" customHeight="1" x14ac:dyDescent="0.25">
      <c r="A396" s="238" t="s">
        <v>1249</v>
      </c>
      <c r="B396" s="238" t="s">
        <v>1251</v>
      </c>
      <c r="C396" s="238" t="s">
        <v>1252</v>
      </c>
      <c r="D396" s="238" t="s">
        <v>704</v>
      </c>
      <c r="E396" s="238" t="s">
        <v>708</v>
      </c>
      <c r="F396" s="238" t="s">
        <v>1020</v>
      </c>
      <c r="G396" s="238" t="s">
        <v>1253</v>
      </c>
      <c r="H396" s="316">
        <v>76033.06</v>
      </c>
      <c r="I396" s="316">
        <v>0</v>
      </c>
      <c r="J396" s="316">
        <v>0</v>
      </c>
      <c r="K396" s="316">
        <v>0</v>
      </c>
      <c r="L396" s="316">
        <v>0</v>
      </c>
      <c r="M396" s="316">
        <v>15966.94</v>
      </c>
      <c r="N396" s="316">
        <v>0</v>
      </c>
      <c r="O396" s="316">
        <v>0</v>
      </c>
      <c r="P396" s="316">
        <v>0</v>
      </c>
      <c r="Q396" s="316">
        <v>0</v>
      </c>
      <c r="R396" s="316">
        <v>15966.94</v>
      </c>
      <c r="S396" s="316">
        <v>92000</v>
      </c>
    </row>
    <row r="397" spans="1:19" ht="15" customHeight="1" x14ac:dyDescent="0.25">
      <c r="A397" s="238" t="s">
        <v>1249</v>
      </c>
      <c r="B397" s="238" t="s">
        <v>1258</v>
      </c>
      <c r="C397" s="238" t="s">
        <v>1259</v>
      </c>
      <c r="D397" s="238" t="s">
        <v>704</v>
      </c>
      <c r="E397" s="238" t="s">
        <v>708</v>
      </c>
      <c r="F397" s="238" t="s">
        <v>701</v>
      </c>
      <c r="G397" s="238" t="s">
        <v>1260</v>
      </c>
      <c r="H397" s="316">
        <v>18181.82</v>
      </c>
      <c r="I397" s="316">
        <v>0</v>
      </c>
      <c r="J397" s="316">
        <v>0</v>
      </c>
      <c r="K397" s="316">
        <v>0</v>
      </c>
      <c r="L397" s="316">
        <v>0</v>
      </c>
      <c r="M397" s="316">
        <v>3818.18</v>
      </c>
      <c r="N397" s="316">
        <v>0</v>
      </c>
      <c r="O397" s="316">
        <v>0</v>
      </c>
      <c r="P397" s="316">
        <v>0</v>
      </c>
      <c r="Q397" s="316">
        <v>0</v>
      </c>
      <c r="R397" s="316">
        <v>3818.18</v>
      </c>
      <c r="S397" s="316">
        <v>22000</v>
      </c>
    </row>
    <row r="398" spans="1:19" ht="15" customHeight="1" x14ac:dyDescent="0.25">
      <c r="A398" s="238" t="s">
        <v>1249</v>
      </c>
      <c r="B398" s="238" t="s">
        <v>1261</v>
      </c>
      <c r="C398" s="238" t="s">
        <v>1262</v>
      </c>
      <c r="D398" s="238" t="s">
        <v>704</v>
      </c>
      <c r="E398" s="238" t="s">
        <v>708</v>
      </c>
      <c r="F398" s="238" t="s">
        <v>701</v>
      </c>
      <c r="G398" s="238" t="s">
        <v>1263</v>
      </c>
      <c r="H398" s="316">
        <v>21487.599999999999</v>
      </c>
      <c r="I398" s="316">
        <v>0</v>
      </c>
      <c r="J398" s="316">
        <v>0</v>
      </c>
      <c r="K398" s="316">
        <v>0</v>
      </c>
      <c r="L398" s="316">
        <v>0</v>
      </c>
      <c r="M398" s="316">
        <v>4512.3999999999996</v>
      </c>
      <c r="N398" s="316">
        <v>0</v>
      </c>
      <c r="O398" s="316">
        <v>0</v>
      </c>
      <c r="P398" s="316">
        <v>0</v>
      </c>
      <c r="Q398" s="316">
        <v>0</v>
      </c>
      <c r="R398" s="316">
        <v>4512.3999999999996</v>
      </c>
      <c r="S398" s="316">
        <v>26000</v>
      </c>
    </row>
    <row r="399" spans="1:19" ht="15" customHeight="1" x14ac:dyDescent="0.25">
      <c r="A399" s="238" t="s">
        <v>1249</v>
      </c>
      <c r="B399" s="238" t="s">
        <v>768</v>
      </c>
      <c r="C399" s="238" t="s">
        <v>769</v>
      </c>
      <c r="D399" s="238" t="s">
        <v>704</v>
      </c>
      <c r="E399" s="238" t="s">
        <v>708</v>
      </c>
      <c r="F399" s="238" t="s">
        <v>701</v>
      </c>
      <c r="G399" s="238" t="s">
        <v>1268</v>
      </c>
      <c r="H399" s="316">
        <v>24793.39</v>
      </c>
      <c r="I399" s="316">
        <v>0</v>
      </c>
      <c r="J399" s="316">
        <v>0</v>
      </c>
      <c r="K399" s="316">
        <v>0</v>
      </c>
      <c r="L399" s="316">
        <v>0</v>
      </c>
      <c r="M399" s="316">
        <v>5206.6099999999997</v>
      </c>
      <c r="N399" s="316">
        <v>0</v>
      </c>
      <c r="O399" s="316">
        <v>0</v>
      </c>
      <c r="P399" s="316">
        <v>0</v>
      </c>
      <c r="Q399" s="316">
        <v>0</v>
      </c>
      <c r="R399" s="316">
        <v>5206.6099999999997</v>
      </c>
      <c r="S399" s="316">
        <v>30000</v>
      </c>
    </row>
    <row r="400" spans="1:19" ht="15" customHeight="1" x14ac:dyDescent="0.25">
      <c r="A400" s="238" t="s">
        <v>1249</v>
      </c>
      <c r="B400" s="238" t="s">
        <v>986</v>
      </c>
      <c r="C400" s="238" t="s">
        <v>987</v>
      </c>
      <c r="D400" s="238" t="s">
        <v>699</v>
      </c>
      <c r="E400" s="238" t="s">
        <v>988</v>
      </c>
      <c r="F400" s="238" t="s">
        <v>701</v>
      </c>
      <c r="G400" s="238" t="s">
        <v>1269</v>
      </c>
      <c r="H400" s="316">
        <v>33057.85</v>
      </c>
      <c r="I400" s="316">
        <v>0</v>
      </c>
      <c r="J400" s="316">
        <v>0</v>
      </c>
      <c r="K400" s="316">
        <v>0</v>
      </c>
      <c r="L400" s="316">
        <v>0</v>
      </c>
      <c r="M400" s="316">
        <v>6942.15</v>
      </c>
      <c r="N400" s="316">
        <v>0</v>
      </c>
      <c r="O400" s="316">
        <v>0</v>
      </c>
      <c r="P400" s="316">
        <v>0</v>
      </c>
      <c r="Q400" s="316">
        <v>0</v>
      </c>
      <c r="R400" s="316">
        <v>6942.15</v>
      </c>
      <c r="S400" s="316">
        <v>40000</v>
      </c>
    </row>
    <row r="401" spans="1:19" ht="15" customHeight="1" x14ac:dyDescent="0.25">
      <c r="A401" s="238" t="s">
        <v>1249</v>
      </c>
      <c r="B401" s="238" t="s">
        <v>980</v>
      </c>
      <c r="C401" s="238" t="s">
        <v>981</v>
      </c>
      <c r="D401" s="238" t="s">
        <v>704</v>
      </c>
      <c r="E401" s="238" t="s">
        <v>708</v>
      </c>
      <c r="F401" s="238" t="s">
        <v>701</v>
      </c>
      <c r="G401" s="238" t="s">
        <v>1270</v>
      </c>
      <c r="H401" s="316">
        <v>20661.16</v>
      </c>
      <c r="I401" s="316">
        <v>0</v>
      </c>
      <c r="J401" s="316">
        <v>0</v>
      </c>
      <c r="K401" s="316">
        <v>0</v>
      </c>
      <c r="L401" s="316">
        <v>0</v>
      </c>
      <c r="M401" s="316">
        <v>4338.84</v>
      </c>
      <c r="N401" s="316">
        <v>0</v>
      </c>
      <c r="O401" s="316">
        <v>0</v>
      </c>
      <c r="P401" s="316">
        <v>0</v>
      </c>
      <c r="Q401" s="316">
        <v>0</v>
      </c>
      <c r="R401" s="316">
        <v>4338.84</v>
      </c>
      <c r="S401" s="316">
        <v>25000</v>
      </c>
    </row>
    <row r="402" spans="1:19" ht="15" customHeight="1" x14ac:dyDescent="0.25">
      <c r="A402" s="238" t="s">
        <v>1249</v>
      </c>
      <c r="B402" s="238" t="s">
        <v>1271</v>
      </c>
      <c r="C402" s="238"/>
      <c r="D402" s="238" t="s">
        <v>699</v>
      </c>
      <c r="E402" s="238" t="s">
        <v>708</v>
      </c>
      <c r="F402" s="238" t="s">
        <v>701</v>
      </c>
      <c r="G402" s="238" t="s">
        <v>1272</v>
      </c>
      <c r="H402" s="316">
        <v>21487.599999999999</v>
      </c>
      <c r="I402" s="316">
        <v>0</v>
      </c>
      <c r="J402" s="316">
        <v>0</v>
      </c>
      <c r="K402" s="316">
        <v>0</v>
      </c>
      <c r="L402" s="316">
        <v>0</v>
      </c>
      <c r="M402" s="316">
        <v>4512.3999999999996</v>
      </c>
      <c r="N402" s="316">
        <v>0</v>
      </c>
      <c r="O402" s="316">
        <v>0</v>
      </c>
      <c r="P402" s="316">
        <v>0</v>
      </c>
      <c r="Q402" s="316">
        <v>0</v>
      </c>
      <c r="R402" s="316">
        <v>4512.3999999999996</v>
      </c>
      <c r="S402" s="316">
        <v>26000</v>
      </c>
    </row>
    <row r="403" spans="1:19" ht="15" customHeight="1" x14ac:dyDescent="0.25">
      <c r="A403" s="238" t="s">
        <v>1249</v>
      </c>
      <c r="B403" s="238" t="s">
        <v>983</v>
      </c>
      <c r="C403" s="238" t="s">
        <v>984</v>
      </c>
      <c r="D403" s="238" t="s">
        <v>699</v>
      </c>
      <c r="E403" s="238" t="s">
        <v>708</v>
      </c>
      <c r="F403" s="238" t="s">
        <v>701</v>
      </c>
      <c r="G403" s="238" t="s">
        <v>1273</v>
      </c>
      <c r="H403" s="316">
        <v>33057.85</v>
      </c>
      <c r="I403" s="316">
        <v>0</v>
      </c>
      <c r="J403" s="316">
        <v>0</v>
      </c>
      <c r="K403" s="316">
        <v>0</v>
      </c>
      <c r="L403" s="316">
        <v>0</v>
      </c>
      <c r="M403" s="316">
        <v>6942.15</v>
      </c>
      <c r="N403" s="316">
        <v>0</v>
      </c>
      <c r="O403" s="316">
        <v>0</v>
      </c>
      <c r="P403" s="316">
        <v>0</v>
      </c>
      <c r="Q403" s="316">
        <v>0</v>
      </c>
      <c r="R403" s="316">
        <v>6942.15</v>
      </c>
      <c r="S403" s="316">
        <v>40000</v>
      </c>
    </row>
    <row r="404" spans="1:19" ht="15" customHeight="1" x14ac:dyDescent="0.25">
      <c r="A404" s="238" t="s">
        <v>1249</v>
      </c>
      <c r="B404" s="238" t="s">
        <v>1281</v>
      </c>
      <c r="C404" s="238" t="s">
        <v>1282</v>
      </c>
      <c r="D404" s="238" t="s">
        <v>704</v>
      </c>
      <c r="E404" s="238" t="s">
        <v>708</v>
      </c>
      <c r="F404" s="238" t="s">
        <v>701</v>
      </c>
      <c r="G404" s="238" t="s">
        <v>1284</v>
      </c>
      <c r="H404" s="316">
        <v>20661.16</v>
      </c>
      <c r="I404" s="316">
        <v>0</v>
      </c>
      <c r="J404" s="316">
        <v>0</v>
      </c>
      <c r="K404" s="316">
        <v>0</v>
      </c>
      <c r="L404" s="316">
        <v>0</v>
      </c>
      <c r="M404" s="316">
        <v>4338.84</v>
      </c>
      <c r="N404" s="316">
        <v>0</v>
      </c>
      <c r="O404" s="316">
        <v>0</v>
      </c>
      <c r="P404" s="316">
        <v>0</v>
      </c>
      <c r="Q404" s="316">
        <v>0</v>
      </c>
      <c r="R404" s="316">
        <v>4338.84</v>
      </c>
      <c r="S404" s="316">
        <v>25000</v>
      </c>
    </row>
    <row r="405" spans="1:19" ht="15" customHeight="1" x14ac:dyDescent="0.25">
      <c r="A405" s="238" t="s">
        <v>1285</v>
      </c>
      <c r="B405" s="238" t="s">
        <v>897</v>
      </c>
      <c r="C405" s="238" t="s">
        <v>898</v>
      </c>
      <c r="D405" s="238" t="s">
        <v>704</v>
      </c>
      <c r="E405" s="238" t="s">
        <v>899</v>
      </c>
      <c r="F405" s="238" t="s">
        <v>701</v>
      </c>
      <c r="G405" s="238" t="s">
        <v>1293</v>
      </c>
      <c r="H405" s="316">
        <v>14876.03</v>
      </c>
      <c r="I405" s="316">
        <v>0</v>
      </c>
      <c r="J405" s="316">
        <v>0</v>
      </c>
      <c r="K405" s="316">
        <v>0</v>
      </c>
      <c r="L405" s="316">
        <v>0</v>
      </c>
      <c r="M405" s="316">
        <v>3123.97</v>
      </c>
      <c r="N405" s="316">
        <v>0</v>
      </c>
      <c r="O405" s="316">
        <v>0</v>
      </c>
      <c r="P405" s="316">
        <v>0</v>
      </c>
      <c r="Q405" s="316">
        <v>0</v>
      </c>
      <c r="R405" s="316">
        <v>3123.97</v>
      </c>
      <c r="S405" s="316">
        <v>18000</v>
      </c>
    </row>
    <row r="406" spans="1:19" ht="15" customHeight="1" x14ac:dyDescent="0.25">
      <c r="A406" s="238" t="s">
        <v>1285</v>
      </c>
      <c r="B406" s="238" t="s">
        <v>901</v>
      </c>
      <c r="C406" s="238" t="s">
        <v>902</v>
      </c>
      <c r="D406" s="238" t="s">
        <v>704</v>
      </c>
      <c r="E406" s="238" t="s">
        <v>708</v>
      </c>
      <c r="F406" s="238" t="s">
        <v>701</v>
      </c>
      <c r="G406" s="238" t="s">
        <v>1295</v>
      </c>
      <c r="H406" s="316">
        <v>28925.62</v>
      </c>
      <c r="I406" s="316">
        <v>0</v>
      </c>
      <c r="J406" s="316">
        <v>0</v>
      </c>
      <c r="K406" s="316">
        <v>0</v>
      </c>
      <c r="L406" s="316">
        <v>0</v>
      </c>
      <c r="M406" s="316">
        <v>6074.38</v>
      </c>
      <c r="N406" s="316">
        <v>0</v>
      </c>
      <c r="O406" s="316">
        <v>0</v>
      </c>
      <c r="P406" s="316">
        <v>0</v>
      </c>
      <c r="Q406" s="316">
        <v>0</v>
      </c>
      <c r="R406" s="316">
        <v>6074.38</v>
      </c>
      <c r="S406" s="316">
        <v>35000</v>
      </c>
    </row>
    <row r="407" spans="1:19" ht="15" customHeight="1" x14ac:dyDescent="0.25">
      <c r="A407" s="238" t="s">
        <v>1285</v>
      </c>
      <c r="B407" s="238" t="s">
        <v>904</v>
      </c>
      <c r="C407" s="238" t="s">
        <v>905</v>
      </c>
      <c r="D407" s="238" t="s">
        <v>704</v>
      </c>
      <c r="E407" s="238" t="s">
        <v>744</v>
      </c>
      <c r="F407" s="238" t="s">
        <v>701</v>
      </c>
      <c r="G407" s="238" t="s">
        <v>1296</v>
      </c>
      <c r="H407" s="316">
        <v>9595.0400000000009</v>
      </c>
      <c r="I407" s="316">
        <v>0</v>
      </c>
      <c r="J407" s="316">
        <v>0</v>
      </c>
      <c r="K407" s="316">
        <v>0</v>
      </c>
      <c r="L407" s="316">
        <v>0</v>
      </c>
      <c r="M407" s="316">
        <v>2014.96</v>
      </c>
      <c r="N407" s="316">
        <v>0</v>
      </c>
      <c r="O407" s="316">
        <v>0</v>
      </c>
      <c r="P407" s="316">
        <v>0</v>
      </c>
      <c r="Q407" s="316">
        <v>0</v>
      </c>
      <c r="R407" s="316">
        <v>2014.96</v>
      </c>
      <c r="S407" s="316">
        <v>11610</v>
      </c>
    </row>
    <row r="408" spans="1:19" ht="15" customHeight="1" x14ac:dyDescent="0.25">
      <c r="A408" s="238" t="s">
        <v>1285</v>
      </c>
      <c r="B408" s="238" t="s">
        <v>907</v>
      </c>
      <c r="C408" s="238" t="s">
        <v>908</v>
      </c>
      <c r="D408" s="238" t="s">
        <v>704</v>
      </c>
      <c r="E408" s="238" t="s">
        <v>744</v>
      </c>
      <c r="F408" s="238" t="s">
        <v>701</v>
      </c>
      <c r="G408" s="238" t="s">
        <v>1297</v>
      </c>
      <c r="H408" s="316">
        <v>8177.69</v>
      </c>
      <c r="I408" s="316">
        <v>0</v>
      </c>
      <c r="J408" s="316">
        <v>0</v>
      </c>
      <c r="K408" s="316">
        <v>0</v>
      </c>
      <c r="L408" s="316">
        <v>0</v>
      </c>
      <c r="M408" s="316">
        <v>1717.31</v>
      </c>
      <c r="N408" s="316">
        <v>0</v>
      </c>
      <c r="O408" s="316">
        <v>0</v>
      </c>
      <c r="P408" s="316">
        <v>0</v>
      </c>
      <c r="Q408" s="316">
        <v>0</v>
      </c>
      <c r="R408" s="316">
        <v>1717.31</v>
      </c>
      <c r="S408" s="316">
        <v>9895</v>
      </c>
    </row>
    <row r="409" spans="1:19" ht="15" customHeight="1" x14ac:dyDescent="0.25">
      <c r="A409" s="238" t="s">
        <v>1285</v>
      </c>
      <c r="B409" s="238" t="s">
        <v>1299</v>
      </c>
      <c r="C409" s="238" t="s">
        <v>1300</v>
      </c>
      <c r="D409" s="238" t="s">
        <v>704</v>
      </c>
      <c r="E409" s="238" t="s">
        <v>708</v>
      </c>
      <c r="F409" s="238" t="s">
        <v>701</v>
      </c>
      <c r="G409" s="238" t="s">
        <v>1301</v>
      </c>
      <c r="H409" s="316">
        <v>58677.69</v>
      </c>
      <c r="I409" s="316">
        <v>0</v>
      </c>
      <c r="J409" s="316">
        <v>0</v>
      </c>
      <c r="K409" s="316">
        <v>0</v>
      </c>
      <c r="L409" s="316">
        <v>0</v>
      </c>
      <c r="M409" s="316">
        <v>12322.31</v>
      </c>
      <c r="N409" s="316">
        <v>0</v>
      </c>
      <c r="O409" s="316">
        <v>0</v>
      </c>
      <c r="P409" s="316">
        <v>0</v>
      </c>
      <c r="Q409" s="316">
        <v>0</v>
      </c>
      <c r="R409" s="316">
        <v>12322.31</v>
      </c>
      <c r="S409" s="316">
        <v>71000</v>
      </c>
    </row>
    <row r="410" spans="1:19" ht="15" customHeight="1" x14ac:dyDescent="0.25">
      <c r="A410" s="238" t="s">
        <v>1285</v>
      </c>
      <c r="B410" s="238" t="s">
        <v>766</v>
      </c>
      <c r="C410" s="238" t="s">
        <v>767</v>
      </c>
      <c r="D410" s="238" t="s">
        <v>704</v>
      </c>
      <c r="E410" s="238" t="s">
        <v>708</v>
      </c>
      <c r="F410" s="238" t="s">
        <v>701</v>
      </c>
      <c r="G410" s="238" t="s">
        <v>1302</v>
      </c>
      <c r="H410" s="316">
        <v>28925.62</v>
      </c>
      <c r="I410" s="316">
        <v>0</v>
      </c>
      <c r="J410" s="316">
        <v>0</v>
      </c>
      <c r="K410" s="316">
        <v>0</v>
      </c>
      <c r="L410" s="316">
        <v>0</v>
      </c>
      <c r="M410" s="316">
        <v>6074.38</v>
      </c>
      <c r="N410" s="316">
        <v>0</v>
      </c>
      <c r="O410" s="316">
        <v>0</v>
      </c>
      <c r="P410" s="316">
        <v>0</v>
      </c>
      <c r="Q410" s="316">
        <v>0</v>
      </c>
      <c r="R410" s="316">
        <v>6074.38</v>
      </c>
      <c r="S410" s="316">
        <v>35000</v>
      </c>
    </row>
    <row r="411" spans="1:19" ht="15" customHeight="1" x14ac:dyDescent="0.25">
      <c r="A411" s="238" t="s">
        <v>1285</v>
      </c>
      <c r="B411" s="238" t="s">
        <v>893</v>
      </c>
      <c r="C411" s="238" t="s">
        <v>894</v>
      </c>
      <c r="D411" s="238" t="s">
        <v>699</v>
      </c>
      <c r="E411" s="238" t="s">
        <v>895</v>
      </c>
      <c r="F411" s="238" t="s">
        <v>701</v>
      </c>
      <c r="G411" s="238" t="s">
        <v>1303</v>
      </c>
      <c r="H411" s="316">
        <v>39669.42</v>
      </c>
      <c r="I411" s="316">
        <v>0</v>
      </c>
      <c r="J411" s="316">
        <v>0</v>
      </c>
      <c r="K411" s="316">
        <v>0</v>
      </c>
      <c r="L411" s="316">
        <v>0</v>
      </c>
      <c r="M411" s="316">
        <v>8330.58</v>
      </c>
      <c r="N411" s="316">
        <v>0</v>
      </c>
      <c r="O411" s="316">
        <v>0</v>
      </c>
      <c r="P411" s="316">
        <v>0</v>
      </c>
      <c r="Q411" s="316">
        <v>0</v>
      </c>
      <c r="R411" s="316">
        <v>8330.58</v>
      </c>
      <c r="S411" s="316">
        <v>48000</v>
      </c>
    </row>
    <row r="412" spans="1:19" ht="15" customHeight="1" x14ac:dyDescent="0.25">
      <c r="A412" s="238" t="s">
        <v>1285</v>
      </c>
      <c r="B412" s="238" t="s">
        <v>770</v>
      </c>
      <c r="C412" s="238" t="s">
        <v>771</v>
      </c>
      <c r="D412" s="238" t="s">
        <v>704</v>
      </c>
      <c r="E412" s="238" t="s">
        <v>708</v>
      </c>
      <c r="F412" s="238" t="s">
        <v>701</v>
      </c>
      <c r="G412" s="238" t="s">
        <v>1304</v>
      </c>
      <c r="H412" s="316">
        <v>92561.98</v>
      </c>
      <c r="I412" s="316">
        <v>0</v>
      </c>
      <c r="J412" s="316">
        <v>0</v>
      </c>
      <c r="K412" s="316">
        <v>0</v>
      </c>
      <c r="L412" s="316">
        <v>0</v>
      </c>
      <c r="M412" s="316">
        <v>19438.02</v>
      </c>
      <c r="N412" s="316">
        <v>0</v>
      </c>
      <c r="O412" s="316">
        <v>0</v>
      </c>
      <c r="P412" s="316">
        <v>0</v>
      </c>
      <c r="Q412" s="316">
        <v>0</v>
      </c>
      <c r="R412" s="316">
        <v>19438.02</v>
      </c>
      <c r="S412" s="316">
        <v>112000</v>
      </c>
    </row>
    <row r="413" spans="1:19" ht="15" customHeight="1" x14ac:dyDescent="0.25">
      <c r="A413" s="238" t="s">
        <v>1285</v>
      </c>
      <c r="B413" s="238" t="s">
        <v>886</v>
      </c>
      <c r="C413" s="238" t="s">
        <v>887</v>
      </c>
      <c r="D413" s="238" t="s">
        <v>699</v>
      </c>
      <c r="E413" s="238" t="s">
        <v>888</v>
      </c>
      <c r="F413" s="238" t="s">
        <v>701</v>
      </c>
      <c r="G413" s="238" t="s">
        <v>1306</v>
      </c>
      <c r="H413" s="316">
        <v>12396.69</v>
      </c>
      <c r="I413" s="316">
        <v>0</v>
      </c>
      <c r="J413" s="316">
        <v>0</v>
      </c>
      <c r="K413" s="316">
        <v>0</v>
      </c>
      <c r="L413" s="316">
        <v>0</v>
      </c>
      <c r="M413" s="316">
        <v>2603.31</v>
      </c>
      <c r="N413" s="316">
        <v>0</v>
      </c>
      <c r="O413" s="316">
        <v>0</v>
      </c>
      <c r="P413" s="316">
        <v>0</v>
      </c>
      <c r="Q413" s="316">
        <v>0</v>
      </c>
      <c r="R413" s="316">
        <v>2603.31</v>
      </c>
      <c r="S413" s="316">
        <v>15000</v>
      </c>
    </row>
    <row r="414" spans="1:19" ht="15" customHeight="1" x14ac:dyDescent="0.25">
      <c r="A414" s="238" t="s">
        <v>1285</v>
      </c>
      <c r="B414" s="238" t="s">
        <v>870</v>
      </c>
      <c r="C414" s="238" t="s">
        <v>871</v>
      </c>
      <c r="D414" s="238" t="s">
        <v>704</v>
      </c>
      <c r="E414" s="238" t="s">
        <v>708</v>
      </c>
      <c r="F414" s="238" t="s">
        <v>701</v>
      </c>
      <c r="G414" s="238" t="s">
        <v>1307</v>
      </c>
      <c r="H414" s="316">
        <v>28925.62</v>
      </c>
      <c r="I414" s="316">
        <v>0</v>
      </c>
      <c r="J414" s="316">
        <v>0</v>
      </c>
      <c r="K414" s="316">
        <v>0</v>
      </c>
      <c r="L414" s="316">
        <v>0</v>
      </c>
      <c r="M414" s="316">
        <v>6074.38</v>
      </c>
      <c r="N414" s="316">
        <v>0</v>
      </c>
      <c r="O414" s="316">
        <v>0</v>
      </c>
      <c r="P414" s="316">
        <v>0</v>
      </c>
      <c r="Q414" s="316">
        <v>0</v>
      </c>
      <c r="R414" s="316">
        <v>6074.38</v>
      </c>
      <c r="S414" s="316">
        <v>35000</v>
      </c>
    </row>
    <row r="415" spans="1:19" ht="15" customHeight="1" x14ac:dyDescent="0.25">
      <c r="A415" s="238" t="s">
        <v>1285</v>
      </c>
      <c r="B415" s="238" t="s">
        <v>1310</v>
      </c>
      <c r="C415" s="238" t="s">
        <v>1311</v>
      </c>
      <c r="D415" s="238" t="s">
        <v>704</v>
      </c>
      <c r="E415" s="238" t="s">
        <v>708</v>
      </c>
      <c r="F415" s="238" t="s">
        <v>701</v>
      </c>
      <c r="G415" s="238" t="s">
        <v>1312</v>
      </c>
      <c r="H415" s="316">
        <v>28925.62</v>
      </c>
      <c r="I415" s="316">
        <v>0</v>
      </c>
      <c r="J415" s="316">
        <v>0</v>
      </c>
      <c r="K415" s="316">
        <v>0</v>
      </c>
      <c r="L415" s="316">
        <v>0</v>
      </c>
      <c r="M415" s="316">
        <v>6074.38</v>
      </c>
      <c r="N415" s="316">
        <v>0</v>
      </c>
      <c r="O415" s="316">
        <v>0</v>
      </c>
      <c r="P415" s="316">
        <v>0</v>
      </c>
      <c r="Q415" s="316">
        <v>0</v>
      </c>
      <c r="R415" s="316">
        <v>6074.38</v>
      </c>
      <c r="S415" s="316">
        <v>35000</v>
      </c>
    </row>
    <row r="416" spans="1:19" ht="15" customHeight="1" x14ac:dyDescent="0.25">
      <c r="A416" s="238" t="s">
        <v>1285</v>
      </c>
      <c r="B416" s="238" t="s">
        <v>44</v>
      </c>
      <c r="C416" s="238" t="s">
        <v>1149</v>
      </c>
      <c r="D416" s="238" t="s">
        <v>846</v>
      </c>
      <c r="E416" s="238" t="s">
        <v>1150</v>
      </c>
      <c r="F416" s="238" t="s">
        <v>1020</v>
      </c>
      <c r="G416" s="238" t="s">
        <v>1314</v>
      </c>
      <c r="H416" s="316">
        <v>880041.32</v>
      </c>
      <c r="I416" s="316">
        <v>0</v>
      </c>
      <c r="J416" s="316">
        <v>0</v>
      </c>
      <c r="K416" s="316">
        <v>0</v>
      </c>
      <c r="L416" s="316">
        <v>0</v>
      </c>
      <c r="M416" s="316">
        <v>184808.68</v>
      </c>
      <c r="N416" s="316">
        <v>0</v>
      </c>
      <c r="O416" s="316">
        <v>0</v>
      </c>
      <c r="P416" s="316">
        <v>0</v>
      </c>
      <c r="Q416" s="316">
        <v>0</v>
      </c>
      <c r="R416" s="316">
        <v>184808.68</v>
      </c>
      <c r="S416" s="316">
        <v>1064850</v>
      </c>
    </row>
    <row r="417" spans="1:19" ht="15" customHeight="1" x14ac:dyDescent="0.25">
      <c r="A417" s="238" t="s">
        <v>1589</v>
      </c>
      <c r="B417" s="238" t="s">
        <v>706</v>
      </c>
      <c r="C417" s="238" t="s">
        <v>707</v>
      </c>
      <c r="D417" s="238" t="s">
        <v>704</v>
      </c>
      <c r="E417" s="238" t="s">
        <v>708</v>
      </c>
      <c r="F417" s="238" t="s">
        <v>701</v>
      </c>
      <c r="G417" s="238" t="s">
        <v>1744</v>
      </c>
      <c r="H417" s="316">
        <v>21487.599999999999</v>
      </c>
      <c r="I417" s="316">
        <v>0</v>
      </c>
      <c r="J417" s="316">
        <v>0</v>
      </c>
      <c r="K417" s="316">
        <v>0</v>
      </c>
      <c r="L417" s="316">
        <v>0</v>
      </c>
      <c r="M417" s="316">
        <v>4512.3999999999996</v>
      </c>
      <c r="N417" s="316">
        <v>0</v>
      </c>
      <c r="O417" s="316">
        <v>0</v>
      </c>
      <c r="P417" s="316">
        <v>0</v>
      </c>
      <c r="Q417" s="316">
        <v>0</v>
      </c>
      <c r="R417" s="316">
        <v>4512.3999999999996</v>
      </c>
      <c r="S417" s="316">
        <v>26000</v>
      </c>
    </row>
    <row r="418" spans="1:19" ht="15" customHeight="1" x14ac:dyDescent="0.25">
      <c r="A418" s="238" t="s">
        <v>1589</v>
      </c>
      <c r="B418" s="238" t="s">
        <v>1748</v>
      </c>
      <c r="C418" s="238" t="s">
        <v>1749</v>
      </c>
      <c r="D418" s="238" t="s">
        <v>704</v>
      </c>
      <c r="E418" s="238" t="s">
        <v>708</v>
      </c>
      <c r="F418" s="238" t="s">
        <v>701</v>
      </c>
      <c r="G418" s="238" t="s">
        <v>1750</v>
      </c>
      <c r="H418" s="316">
        <v>39669.42</v>
      </c>
      <c r="I418" s="316">
        <v>0</v>
      </c>
      <c r="J418" s="316">
        <v>0</v>
      </c>
      <c r="K418" s="316">
        <v>0</v>
      </c>
      <c r="L418" s="316">
        <v>0</v>
      </c>
      <c r="M418" s="316">
        <v>8330.58</v>
      </c>
      <c r="N418" s="316">
        <v>0</v>
      </c>
      <c r="O418" s="316">
        <v>0</v>
      </c>
      <c r="P418" s="316">
        <v>0</v>
      </c>
      <c r="Q418" s="316">
        <v>0</v>
      </c>
      <c r="R418" s="316">
        <v>8330.58</v>
      </c>
      <c r="S418" s="316">
        <v>48000</v>
      </c>
    </row>
    <row r="419" spans="1:19" ht="15" customHeight="1" x14ac:dyDescent="0.25">
      <c r="A419" s="238" t="s">
        <v>1603</v>
      </c>
      <c r="B419" s="238" t="s">
        <v>1779</v>
      </c>
      <c r="C419" s="238" t="s">
        <v>1780</v>
      </c>
      <c r="D419" s="238" t="s">
        <v>704</v>
      </c>
      <c r="E419" s="238" t="s">
        <v>708</v>
      </c>
      <c r="F419" s="238" t="s">
        <v>701</v>
      </c>
      <c r="G419" s="238" t="s">
        <v>1781</v>
      </c>
      <c r="H419" s="316">
        <v>21487.599999999999</v>
      </c>
      <c r="I419" s="316">
        <v>0</v>
      </c>
      <c r="J419" s="316">
        <v>0</v>
      </c>
      <c r="K419" s="316">
        <v>0</v>
      </c>
      <c r="L419" s="316">
        <v>0</v>
      </c>
      <c r="M419" s="316">
        <v>4512.3999999999996</v>
      </c>
      <c r="N419" s="316">
        <v>0</v>
      </c>
      <c r="O419" s="316">
        <v>0</v>
      </c>
      <c r="P419" s="316">
        <v>0</v>
      </c>
      <c r="Q419" s="316">
        <v>0</v>
      </c>
      <c r="R419" s="316">
        <v>4512.3999999999996</v>
      </c>
      <c r="S419" s="316">
        <v>26000</v>
      </c>
    </row>
    <row r="420" spans="1:19" ht="15" customHeight="1" x14ac:dyDescent="0.25">
      <c r="A420" s="238" t="s">
        <v>1057</v>
      </c>
      <c r="B420" s="238" t="s">
        <v>206</v>
      </c>
      <c r="C420" s="238" t="s">
        <v>1090</v>
      </c>
      <c r="D420" s="238" t="s">
        <v>704</v>
      </c>
      <c r="E420" s="238" t="s">
        <v>708</v>
      </c>
      <c r="F420" s="238" t="s">
        <v>782</v>
      </c>
      <c r="G420" s="338" t="s">
        <v>1091</v>
      </c>
      <c r="H420" s="316">
        <v>-96867.88</v>
      </c>
      <c r="I420" s="316">
        <v>0</v>
      </c>
      <c r="J420" s="316">
        <v>0</v>
      </c>
      <c r="K420" s="316">
        <v>0</v>
      </c>
      <c r="L420" s="316">
        <v>0</v>
      </c>
      <c r="M420" s="316">
        <v>-20342.25</v>
      </c>
      <c r="N420" s="316">
        <v>0</v>
      </c>
      <c r="O420" s="316">
        <v>0</v>
      </c>
      <c r="P420" s="316">
        <v>0</v>
      </c>
      <c r="Q420" s="316">
        <v>0</v>
      </c>
      <c r="R420" s="316">
        <v>-20342.25</v>
      </c>
      <c r="S420" s="316">
        <v>-117210.13</v>
      </c>
    </row>
    <row r="421" spans="1:19" ht="15" customHeight="1" x14ac:dyDescent="0.25">
      <c r="A421" s="238" t="s">
        <v>1589</v>
      </c>
      <c r="B421" s="238" t="s">
        <v>206</v>
      </c>
      <c r="C421" s="238" t="s">
        <v>1090</v>
      </c>
      <c r="D421" s="238" t="s">
        <v>704</v>
      </c>
      <c r="E421" s="238" t="s">
        <v>708</v>
      </c>
      <c r="F421" s="238" t="s">
        <v>782</v>
      </c>
      <c r="G421" s="338" t="s">
        <v>1754</v>
      </c>
      <c r="H421" s="316">
        <v>-301184.12</v>
      </c>
      <c r="I421" s="316">
        <v>0</v>
      </c>
      <c r="J421" s="316">
        <v>0</v>
      </c>
      <c r="K421" s="316">
        <v>0</v>
      </c>
      <c r="L421" s="316">
        <v>0</v>
      </c>
      <c r="M421" s="316">
        <v>-63248.66</v>
      </c>
      <c r="N421" s="316">
        <v>0</v>
      </c>
      <c r="O421" s="316">
        <v>0</v>
      </c>
      <c r="P421" s="316">
        <v>0</v>
      </c>
      <c r="Q421" s="316">
        <v>0</v>
      </c>
      <c r="R421" s="316">
        <v>-63248.66</v>
      </c>
      <c r="S421" s="316">
        <v>-364432.78</v>
      </c>
    </row>
    <row r="422" spans="1:19" ht="15" customHeight="1" x14ac:dyDescent="0.25">
      <c r="A422" s="238" t="s">
        <v>1589</v>
      </c>
      <c r="B422" s="238" t="s">
        <v>206</v>
      </c>
      <c r="C422" s="238" t="s">
        <v>1090</v>
      </c>
      <c r="D422" s="238" t="s">
        <v>704</v>
      </c>
      <c r="E422" s="238" t="s">
        <v>708</v>
      </c>
      <c r="F422" s="238" t="s">
        <v>782</v>
      </c>
      <c r="G422" s="338" t="s">
        <v>1761</v>
      </c>
      <c r="H422" s="316">
        <v>-82252.5</v>
      </c>
      <c r="I422" s="316">
        <v>0</v>
      </c>
      <c r="J422" s="316">
        <v>0</v>
      </c>
      <c r="K422" s="316">
        <v>0</v>
      </c>
      <c r="L422" s="316">
        <v>0</v>
      </c>
      <c r="M422" s="316">
        <v>-17273.02</v>
      </c>
      <c r="N422" s="316">
        <v>0</v>
      </c>
      <c r="O422" s="316">
        <v>0</v>
      </c>
      <c r="P422" s="316">
        <v>0</v>
      </c>
      <c r="Q422" s="316">
        <v>0</v>
      </c>
      <c r="R422" s="316">
        <v>-17273.02</v>
      </c>
      <c r="S422" s="316">
        <v>-99525.52</v>
      </c>
    </row>
    <row r="423" spans="1:19" ht="15" customHeight="1" x14ac:dyDescent="0.25">
      <c r="A423" s="238" t="s">
        <v>1589</v>
      </c>
      <c r="B423" s="238" t="s">
        <v>206</v>
      </c>
      <c r="C423" s="238" t="s">
        <v>1090</v>
      </c>
      <c r="D423" s="238" t="s">
        <v>704</v>
      </c>
      <c r="E423" s="238" t="s">
        <v>708</v>
      </c>
      <c r="F423" s="238" t="s">
        <v>782</v>
      </c>
      <c r="G423" s="338" t="s">
        <v>1762</v>
      </c>
      <c r="H423" s="316">
        <v>-182883.89</v>
      </c>
      <c r="I423" s="316">
        <v>0</v>
      </c>
      <c r="J423" s="316">
        <v>0</v>
      </c>
      <c r="K423" s="316">
        <v>0</v>
      </c>
      <c r="L423" s="316">
        <v>0</v>
      </c>
      <c r="M423" s="316">
        <v>-38405.620000000003</v>
      </c>
      <c r="N423" s="316">
        <v>0</v>
      </c>
      <c r="O423" s="316">
        <v>0</v>
      </c>
      <c r="P423" s="316">
        <v>0</v>
      </c>
      <c r="Q423" s="316">
        <v>0</v>
      </c>
      <c r="R423" s="316">
        <v>-38405.620000000003</v>
      </c>
      <c r="S423" s="316">
        <v>-221289.51</v>
      </c>
    </row>
    <row r="424" spans="1:19" ht="15" customHeight="1" x14ac:dyDescent="0.25">
      <c r="A424" s="238" t="s">
        <v>998</v>
      </c>
      <c r="B424" s="238" t="s">
        <v>780</v>
      </c>
      <c r="C424" s="238" t="s">
        <v>781</v>
      </c>
      <c r="D424" s="238" t="s">
        <v>704</v>
      </c>
      <c r="E424" s="238" t="s">
        <v>708</v>
      </c>
      <c r="F424" s="238" t="s">
        <v>782</v>
      </c>
      <c r="G424" s="338" t="s">
        <v>1027</v>
      </c>
      <c r="H424" s="316">
        <v>-2681410.31</v>
      </c>
      <c r="I424" s="316">
        <v>0</v>
      </c>
      <c r="J424" s="316">
        <v>0</v>
      </c>
      <c r="K424" s="316">
        <v>0</v>
      </c>
      <c r="L424" s="316">
        <v>0</v>
      </c>
      <c r="M424" s="316">
        <v>-563096.16</v>
      </c>
      <c r="N424" s="316">
        <v>0</v>
      </c>
      <c r="O424" s="316">
        <v>0</v>
      </c>
      <c r="P424" s="316">
        <v>0</v>
      </c>
      <c r="Q424" s="316">
        <v>0</v>
      </c>
      <c r="R424" s="316">
        <v>-563096.16</v>
      </c>
      <c r="S424" s="316">
        <v>-3244506.47</v>
      </c>
    </row>
    <row r="425" spans="1:19" ht="15" customHeight="1" x14ac:dyDescent="0.25">
      <c r="A425" s="238" t="s">
        <v>1098</v>
      </c>
      <c r="B425" s="238" t="s">
        <v>1030</v>
      </c>
      <c r="C425" s="238" t="s">
        <v>1031</v>
      </c>
      <c r="D425" s="238" t="s">
        <v>704</v>
      </c>
      <c r="E425" s="238" t="s">
        <v>708</v>
      </c>
      <c r="F425" s="238" t="s">
        <v>782</v>
      </c>
      <c r="G425" s="338" t="s">
        <v>1103</v>
      </c>
      <c r="H425" s="316">
        <v>-20500</v>
      </c>
      <c r="I425" s="316">
        <v>0</v>
      </c>
      <c r="J425" s="316">
        <v>0</v>
      </c>
      <c r="K425" s="316">
        <v>0</v>
      </c>
      <c r="L425" s="316">
        <v>0</v>
      </c>
      <c r="M425" s="316">
        <v>-4305</v>
      </c>
      <c r="N425" s="316">
        <v>0</v>
      </c>
      <c r="O425" s="316">
        <v>0</v>
      </c>
      <c r="P425" s="316">
        <v>0</v>
      </c>
      <c r="Q425" s="316">
        <v>0</v>
      </c>
      <c r="R425" s="316">
        <v>-4305</v>
      </c>
      <c r="S425" s="316">
        <v>-24805</v>
      </c>
    </row>
    <row r="426" spans="1:19" ht="15" customHeight="1" x14ac:dyDescent="0.25">
      <c r="A426" s="238" t="s">
        <v>1589</v>
      </c>
      <c r="B426" s="238" t="s">
        <v>206</v>
      </c>
      <c r="C426" s="238" t="s">
        <v>1090</v>
      </c>
      <c r="D426" s="238" t="s">
        <v>704</v>
      </c>
      <c r="E426" s="238" t="s">
        <v>708</v>
      </c>
      <c r="F426" s="238" t="s">
        <v>782</v>
      </c>
      <c r="G426" s="338" t="s">
        <v>1755</v>
      </c>
      <c r="H426" s="316">
        <v>-51592.73</v>
      </c>
      <c r="I426" s="316">
        <v>0</v>
      </c>
      <c r="J426" s="316">
        <v>0</v>
      </c>
      <c r="K426" s="316">
        <v>0</v>
      </c>
      <c r="L426" s="316">
        <v>0</v>
      </c>
      <c r="M426" s="316">
        <v>-10834.47</v>
      </c>
      <c r="N426" s="316">
        <v>0</v>
      </c>
      <c r="O426" s="316">
        <v>0</v>
      </c>
      <c r="P426" s="316">
        <v>0</v>
      </c>
      <c r="Q426" s="316">
        <v>0</v>
      </c>
      <c r="R426" s="316">
        <v>-10834.47</v>
      </c>
      <c r="S426" s="316">
        <v>-62427.199999999997</v>
      </c>
    </row>
    <row r="427" spans="1:19" ht="15" customHeight="1" x14ac:dyDescent="0.25">
      <c r="A427" s="238" t="s">
        <v>1589</v>
      </c>
      <c r="B427" s="238" t="s">
        <v>206</v>
      </c>
      <c r="C427" s="238" t="s">
        <v>1090</v>
      </c>
      <c r="D427" s="238" t="s">
        <v>704</v>
      </c>
      <c r="E427" s="238" t="s">
        <v>708</v>
      </c>
      <c r="F427" s="238" t="s">
        <v>782</v>
      </c>
      <c r="G427" s="338" t="s">
        <v>1756</v>
      </c>
      <c r="H427" s="316">
        <v>-44159.72</v>
      </c>
      <c r="I427" s="316">
        <v>0</v>
      </c>
      <c r="J427" s="316">
        <v>0</v>
      </c>
      <c r="K427" s="316">
        <v>0</v>
      </c>
      <c r="L427" s="316">
        <v>0</v>
      </c>
      <c r="M427" s="316">
        <v>-9273.5400000000009</v>
      </c>
      <c r="N427" s="316">
        <v>0</v>
      </c>
      <c r="O427" s="316">
        <v>0</v>
      </c>
      <c r="P427" s="316">
        <v>0</v>
      </c>
      <c r="Q427" s="316">
        <v>0</v>
      </c>
      <c r="R427" s="316">
        <v>-9273.5400000000009</v>
      </c>
      <c r="S427" s="316">
        <v>-53433.26</v>
      </c>
    </row>
    <row r="428" spans="1:19" ht="15" customHeight="1" x14ac:dyDescent="0.25">
      <c r="A428" s="238" t="s">
        <v>955</v>
      </c>
      <c r="B428" s="238" t="s">
        <v>941</v>
      </c>
      <c r="C428" s="238" t="s">
        <v>942</v>
      </c>
      <c r="D428" s="238" t="s">
        <v>704</v>
      </c>
      <c r="E428" s="238" t="s">
        <v>708</v>
      </c>
      <c r="F428" s="238" t="s">
        <v>701</v>
      </c>
      <c r="G428" s="238" t="s">
        <v>963</v>
      </c>
      <c r="H428" s="316">
        <v>-163636.35999999999</v>
      </c>
      <c r="I428" s="316">
        <v>0</v>
      </c>
      <c r="J428" s="316">
        <v>0</v>
      </c>
      <c r="K428" s="316">
        <v>0</v>
      </c>
      <c r="L428" s="316">
        <v>0</v>
      </c>
      <c r="M428" s="316">
        <v>-34363.64</v>
      </c>
      <c r="N428" s="316">
        <v>0</v>
      </c>
      <c r="O428" s="316">
        <v>0</v>
      </c>
      <c r="P428" s="316">
        <v>0</v>
      </c>
      <c r="Q428" s="316">
        <v>0</v>
      </c>
      <c r="R428" s="316">
        <v>-34363.64</v>
      </c>
      <c r="S428" s="316">
        <v>-198000</v>
      </c>
    </row>
    <row r="429" spans="1:19" ht="15" customHeight="1" x14ac:dyDescent="0.25">
      <c r="A429" s="238" t="s">
        <v>1098</v>
      </c>
      <c r="B429" s="238" t="s">
        <v>711</v>
      </c>
      <c r="C429" s="238" t="s">
        <v>712</v>
      </c>
      <c r="D429" s="238" t="s">
        <v>704</v>
      </c>
      <c r="E429" s="238" t="s">
        <v>708</v>
      </c>
      <c r="F429" s="238" t="s">
        <v>701</v>
      </c>
      <c r="G429" s="238" t="s">
        <v>1123</v>
      </c>
      <c r="H429" s="316">
        <v>-24793.39</v>
      </c>
      <c r="I429" s="316">
        <v>0</v>
      </c>
      <c r="J429" s="316">
        <v>0</v>
      </c>
      <c r="K429" s="316">
        <v>0</v>
      </c>
      <c r="L429" s="316">
        <v>0</v>
      </c>
      <c r="M429" s="316">
        <v>-5206.6099999999997</v>
      </c>
      <c r="N429" s="316">
        <v>0</v>
      </c>
      <c r="O429" s="316">
        <v>0</v>
      </c>
      <c r="P429" s="316">
        <v>0</v>
      </c>
      <c r="Q429" s="316">
        <v>0</v>
      </c>
      <c r="R429" s="316">
        <v>-5206.6099999999997</v>
      </c>
      <c r="S429" s="316">
        <v>-30000</v>
      </c>
    </row>
    <row r="430" spans="1:19" ht="15" customHeight="1" x14ac:dyDescent="0.25">
      <c r="A430" s="238" t="s">
        <v>998</v>
      </c>
      <c r="B430" s="238" t="s">
        <v>1050</v>
      </c>
      <c r="C430" s="238" t="s">
        <v>1051</v>
      </c>
      <c r="D430" s="238" t="s">
        <v>1052</v>
      </c>
      <c r="E430" s="238" t="s">
        <v>1053</v>
      </c>
      <c r="F430" s="238" t="s">
        <v>1020</v>
      </c>
      <c r="G430" s="238" t="s">
        <v>1054</v>
      </c>
      <c r="H430" s="316">
        <v>-7838016.5300000003</v>
      </c>
      <c r="I430" s="316">
        <v>0</v>
      </c>
      <c r="J430" s="316">
        <v>0</v>
      </c>
      <c r="K430" s="316">
        <v>0</v>
      </c>
      <c r="L430" s="316">
        <v>0</v>
      </c>
      <c r="M430" s="316">
        <v>-1645983.47</v>
      </c>
      <c r="N430" s="316">
        <v>0</v>
      </c>
      <c r="O430" s="316">
        <v>0</v>
      </c>
      <c r="P430" s="316">
        <v>0</v>
      </c>
      <c r="Q430" s="316">
        <v>0</v>
      </c>
      <c r="R430" s="316">
        <v>-1645983.47</v>
      </c>
      <c r="S430" s="316">
        <v>-9484000</v>
      </c>
    </row>
    <row r="431" spans="1:19" ht="15" customHeight="1" x14ac:dyDescent="0.25">
      <c r="A431" s="238" t="s">
        <v>1126</v>
      </c>
      <c r="B431" s="238" t="s">
        <v>742</v>
      </c>
      <c r="C431" s="238" t="s">
        <v>743</v>
      </c>
      <c r="D431" s="238" t="s">
        <v>704</v>
      </c>
      <c r="E431" s="238" t="s">
        <v>744</v>
      </c>
      <c r="F431" s="238" t="s">
        <v>701</v>
      </c>
      <c r="G431" s="238" t="s">
        <v>1136</v>
      </c>
      <c r="H431" s="316">
        <v>-14049.59</v>
      </c>
      <c r="I431" s="316">
        <v>0</v>
      </c>
      <c r="J431" s="316">
        <v>0</v>
      </c>
      <c r="K431" s="316">
        <v>0</v>
      </c>
      <c r="L431" s="316">
        <v>0</v>
      </c>
      <c r="M431" s="316">
        <v>-2950.41</v>
      </c>
      <c r="N431" s="316">
        <v>0</v>
      </c>
      <c r="O431" s="316">
        <v>0</v>
      </c>
      <c r="P431" s="316">
        <v>0</v>
      </c>
      <c r="Q431" s="316">
        <v>0</v>
      </c>
      <c r="R431" s="316">
        <v>-2950.41</v>
      </c>
      <c r="S431" s="316">
        <v>-17000</v>
      </c>
    </row>
    <row r="432" spans="1:19" ht="15" customHeight="1" thickBot="1" x14ac:dyDescent="0.3">
      <c r="H432" s="343">
        <f>SUM(H12:H431)</f>
        <v>49039627.509999849</v>
      </c>
      <c r="I432" s="343">
        <f t="shared" ref="I432:S432" si="0">SUM(I12:I431)</f>
        <v>0</v>
      </c>
      <c r="J432" s="343">
        <f t="shared" si="0"/>
        <v>0</v>
      </c>
      <c r="K432" s="343">
        <f t="shared" si="0"/>
        <v>0</v>
      </c>
      <c r="L432" s="343">
        <f t="shared" si="0"/>
        <v>0</v>
      </c>
      <c r="M432" s="343">
        <f>SUM(M12:M431)</f>
        <v>10298321.900000032</v>
      </c>
      <c r="N432" s="343">
        <f t="shared" si="0"/>
        <v>0</v>
      </c>
      <c r="O432" s="343">
        <f t="shared" si="0"/>
        <v>0</v>
      </c>
      <c r="P432" s="343">
        <f t="shared" si="0"/>
        <v>0</v>
      </c>
      <c r="Q432" s="343">
        <f t="shared" si="0"/>
        <v>0</v>
      </c>
      <c r="R432" s="343">
        <f t="shared" si="0"/>
        <v>10298321.900000032</v>
      </c>
      <c r="S432" s="343">
        <f t="shared" si="0"/>
        <v>59337949.409999996</v>
      </c>
    </row>
    <row r="433" ht="15" customHeight="1" thickTop="1" x14ac:dyDescent="0.25"/>
  </sheetData>
  <autoFilter ref="A11:T432" xr:uid="{00000000-0009-0000-0000-000003000000}">
    <sortState xmlns:xlrd2="http://schemas.microsoft.com/office/spreadsheetml/2017/richdata2" ref="A12:T431">
      <sortCondition ref="G11:G431"/>
    </sortState>
  </autoFilter>
  <mergeCells count="1">
    <mergeCell ref="C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Y157"/>
  <sheetViews>
    <sheetView topLeftCell="A122" zoomScale="77" zoomScaleNormal="77" workbookViewId="0">
      <selection activeCell="F21" sqref="F21"/>
    </sheetView>
  </sheetViews>
  <sheetFormatPr baseColWidth="10" defaultColWidth="10.5703125" defaultRowHeight="15" customHeight="1" x14ac:dyDescent="0.25"/>
  <cols>
    <col min="1" max="1" width="13.42578125" customWidth="1"/>
    <col min="2" max="2" width="13.85546875" customWidth="1"/>
    <col min="3" max="3" width="22" customWidth="1"/>
    <col min="4" max="4" width="33.5703125" customWidth="1"/>
    <col min="5" max="5" width="15.42578125" customWidth="1"/>
    <col min="6" max="6" width="12.42578125" customWidth="1"/>
    <col min="7" max="8" width="23.5703125" style="319" bestFit="1" customWidth="1"/>
    <col min="9" max="9" width="26.28515625" style="319" bestFit="1" customWidth="1"/>
    <col min="10" max="11" width="24.5703125" style="319" bestFit="1" customWidth="1"/>
    <col min="12" max="12" width="30.5703125" style="319" bestFit="1" customWidth="1"/>
    <col min="13" max="13" width="34.140625" style="319" bestFit="1" customWidth="1"/>
    <col min="14" max="14" width="17.140625" style="319" bestFit="1" customWidth="1"/>
    <col min="15" max="15" width="15.5703125" style="319" bestFit="1" customWidth="1"/>
    <col min="16" max="16" width="17.7109375" style="319" bestFit="1" customWidth="1"/>
    <col min="17" max="17" width="16.85546875" style="319" bestFit="1" customWidth="1"/>
    <col min="18" max="18" width="12.7109375" style="319" bestFit="1" customWidth="1"/>
    <col min="19" max="19" width="18.28515625" style="319" bestFit="1" customWidth="1"/>
    <col min="20" max="20" width="13.85546875" style="319" bestFit="1" customWidth="1"/>
    <col min="21" max="21" width="19" style="319" bestFit="1" customWidth="1"/>
    <col min="22" max="22" width="14.5703125" customWidth="1"/>
    <col min="23" max="23" width="22.140625" bestFit="1" customWidth="1"/>
    <col min="24" max="24" width="16.140625" bestFit="1" customWidth="1"/>
  </cols>
  <sheetData>
    <row r="1" spans="1:25" ht="30" x14ac:dyDescent="0.25">
      <c r="A1" s="241" t="s">
        <v>1325</v>
      </c>
      <c r="B1" s="241" t="s">
        <v>1326</v>
      </c>
      <c r="C1" s="241" t="s">
        <v>683</v>
      </c>
      <c r="D1" s="241" t="s">
        <v>678</v>
      </c>
      <c r="E1" s="241" t="s">
        <v>679</v>
      </c>
      <c r="F1" s="241" t="s">
        <v>1327</v>
      </c>
      <c r="G1" s="320" t="s">
        <v>1328</v>
      </c>
      <c r="H1" s="320" t="s">
        <v>1329</v>
      </c>
      <c r="I1" s="320" t="s">
        <v>1330</v>
      </c>
      <c r="J1" s="320" t="s">
        <v>1331</v>
      </c>
      <c r="K1" s="320" t="s">
        <v>1332</v>
      </c>
      <c r="L1" s="320" t="s">
        <v>1333</v>
      </c>
      <c r="M1" s="320" t="s">
        <v>1334</v>
      </c>
      <c r="N1" s="320" t="s">
        <v>1335</v>
      </c>
      <c r="O1" s="320" t="s">
        <v>1336</v>
      </c>
      <c r="P1" s="320" t="s">
        <v>1337</v>
      </c>
      <c r="Q1" s="320" t="s">
        <v>1338</v>
      </c>
      <c r="R1" s="320" t="s">
        <v>1339</v>
      </c>
      <c r="S1" s="320" t="s">
        <v>691</v>
      </c>
      <c r="T1" s="320" t="s">
        <v>619</v>
      </c>
      <c r="U1" s="320" t="s">
        <v>694</v>
      </c>
      <c r="V1" s="241" t="s">
        <v>1340</v>
      </c>
      <c r="W1" s="242" t="s">
        <v>1341</v>
      </c>
      <c r="X1" s="242" t="s">
        <v>1785</v>
      </c>
    </row>
    <row r="2" spans="1:25" x14ac:dyDescent="0.25">
      <c r="A2" s="238" t="s">
        <v>1220</v>
      </c>
      <c r="B2" s="238" t="s">
        <v>1220</v>
      </c>
      <c r="C2" s="338" t="s">
        <v>1545</v>
      </c>
      <c r="D2" s="238" t="s">
        <v>428</v>
      </c>
      <c r="E2" s="238" t="s">
        <v>1546</v>
      </c>
      <c r="F2" s="238" t="s">
        <v>782</v>
      </c>
      <c r="G2" s="316">
        <v>0</v>
      </c>
      <c r="H2" s="316">
        <v>0</v>
      </c>
      <c r="I2" s="316">
        <v>0</v>
      </c>
      <c r="J2" s="316">
        <v>300318.75</v>
      </c>
      <c r="K2" s="316">
        <v>0</v>
      </c>
      <c r="L2" s="316">
        <v>0</v>
      </c>
      <c r="M2" s="316">
        <v>0</v>
      </c>
      <c r="N2" s="316">
        <v>63066.94</v>
      </c>
      <c r="O2" s="316">
        <v>0</v>
      </c>
      <c r="P2" s="316">
        <v>0</v>
      </c>
      <c r="Q2" s="316">
        <v>0</v>
      </c>
      <c r="R2" s="316">
        <v>0</v>
      </c>
      <c r="S2" s="316">
        <v>0</v>
      </c>
      <c r="T2" s="316">
        <v>0</v>
      </c>
      <c r="U2" s="316">
        <f>SUM(G2:T2)</f>
        <v>363385.69</v>
      </c>
      <c r="V2" s="238" t="s">
        <v>1351</v>
      </c>
      <c r="W2" s="322" t="s">
        <v>699</v>
      </c>
    </row>
    <row r="3" spans="1:25" x14ac:dyDescent="0.25">
      <c r="A3" s="321" t="s">
        <v>779</v>
      </c>
      <c r="B3" s="321" t="s">
        <v>779</v>
      </c>
      <c r="C3" s="342" t="s">
        <v>1345</v>
      </c>
      <c r="D3" s="321" t="s">
        <v>1346</v>
      </c>
      <c r="E3" s="321" t="s">
        <v>1347</v>
      </c>
      <c r="F3" s="321" t="s">
        <v>782</v>
      </c>
      <c r="G3" s="317">
        <v>0</v>
      </c>
      <c r="H3" s="317">
        <v>0</v>
      </c>
      <c r="I3" s="317">
        <v>0</v>
      </c>
      <c r="J3" s="317">
        <v>184800</v>
      </c>
      <c r="K3" s="317">
        <v>0</v>
      </c>
      <c r="L3" s="317">
        <v>0</v>
      </c>
      <c r="M3" s="317">
        <v>0</v>
      </c>
      <c r="N3" s="317">
        <v>38808</v>
      </c>
      <c r="O3" s="317">
        <v>0</v>
      </c>
      <c r="P3" s="317">
        <v>0</v>
      </c>
      <c r="Q3" s="317">
        <v>0</v>
      </c>
      <c r="R3" s="317">
        <v>0</v>
      </c>
      <c r="S3" s="317">
        <v>0</v>
      </c>
      <c r="T3" s="317">
        <v>0</v>
      </c>
      <c r="U3" s="316">
        <f t="shared" ref="U3:U66" si="0">SUM(G3:T3)</f>
        <v>223608</v>
      </c>
      <c r="V3" s="321" t="s">
        <v>1348</v>
      </c>
      <c r="W3" s="323" t="s">
        <v>704</v>
      </c>
    </row>
    <row r="4" spans="1:25" ht="15" customHeight="1" x14ac:dyDescent="0.25">
      <c r="A4" s="238" t="s">
        <v>784</v>
      </c>
      <c r="B4" s="238" t="s">
        <v>784</v>
      </c>
      <c r="C4" s="338" t="s">
        <v>1365</v>
      </c>
      <c r="D4" s="238" t="s">
        <v>1366</v>
      </c>
      <c r="E4" s="238" t="s">
        <v>1367</v>
      </c>
      <c r="F4" s="238" t="s">
        <v>782</v>
      </c>
      <c r="G4" s="316">
        <v>0</v>
      </c>
      <c r="H4" s="316">
        <v>0</v>
      </c>
      <c r="I4" s="316">
        <v>0</v>
      </c>
      <c r="J4" s="316">
        <v>62349.01</v>
      </c>
      <c r="K4" s="316">
        <v>0</v>
      </c>
      <c r="L4" s="316">
        <v>0</v>
      </c>
      <c r="M4" s="316">
        <v>0</v>
      </c>
      <c r="N4" s="316">
        <v>13093.29</v>
      </c>
      <c r="O4" s="316">
        <v>0</v>
      </c>
      <c r="P4" s="316">
        <v>0</v>
      </c>
      <c r="Q4" s="316">
        <v>0</v>
      </c>
      <c r="R4" s="316">
        <v>2493.96</v>
      </c>
      <c r="S4" s="316">
        <v>0</v>
      </c>
      <c r="T4" s="316">
        <v>0</v>
      </c>
      <c r="U4" s="316">
        <f t="shared" si="0"/>
        <v>77936.260000000009</v>
      </c>
      <c r="V4" s="238" t="s">
        <v>1348</v>
      </c>
      <c r="W4" s="238" t="s">
        <v>704</v>
      </c>
      <c r="X4" s="238" t="s">
        <v>1368</v>
      </c>
    </row>
    <row r="5" spans="1:25" ht="15" customHeight="1" x14ac:dyDescent="0.25">
      <c r="A5" s="238" t="s">
        <v>1589</v>
      </c>
      <c r="B5" s="238" t="s">
        <v>1589</v>
      </c>
      <c r="C5" s="338" t="s">
        <v>1594</v>
      </c>
      <c r="D5" s="238" t="s">
        <v>577</v>
      </c>
      <c r="E5" s="238" t="s">
        <v>1595</v>
      </c>
      <c r="F5" s="238" t="s">
        <v>782</v>
      </c>
      <c r="G5" s="316">
        <v>0</v>
      </c>
      <c r="H5" s="316">
        <v>0</v>
      </c>
      <c r="I5" s="316">
        <v>0</v>
      </c>
      <c r="J5" s="316">
        <v>489161.16</v>
      </c>
      <c r="K5" s="316">
        <v>0</v>
      </c>
      <c r="L5" s="316">
        <v>0</v>
      </c>
      <c r="M5" s="316">
        <v>0</v>
      </c>
      <c r="N5" s="316">
        <v>102723.84</v>
      </c>
      <c r="O5" s="316">
        <v>0</v>
      </c>
      <c r="P5" s="316">
        <v>0</v>
      </c>
      <c r="Q5" s="316">
        <v>0</v>
      </c>
      <c r="R5" s="316">
        <v>0</v>
      </c>
      <c r="S5" s="316">
        <v>0</v>
      </c>
      <c r="T5" s="316">
        <v>0</v>
      </c>
      <c r="U5" s="316">
        <f t="shared" si="0"/>
        <v>591885</v>
      </c>
      <c r="V5" s="238" t="s">
        <v>1466</v>
      </c>
      <c r="W5" s="238" t="s">
        <v>699</v>
      </c>
      <c r="X5" s="238"/>
    </row>
    <row r="6" spans="1:25" s="247" customFormat="1" ht="15" customHeight="1" x14ac:dyDescent="0.25">
      <c r="A6" s="238" t="s">
        <v>784</v>
      </c>
      <c r="B6" s="238" t="s">
        <v>784</v>
      </c>
      <c r="C6" s="238" t="s">
        <v>1363</v>
      </c>
      <c r="D6" s="238" t="s">
        <v>106</v>
      </c>
      <c r="E6" s="238" t="s">
        <v>1364</v>
      </c>
      <c r="F6" s="238" t="s">
        <v>782</v>
      </c>
      <c r="G6" s="316">
        <v>0</v>
      </c>
      <c r="H6" s="316">
        <v>0</v>
      </c>
      <c r="I6" s="316">
        <v>0</v>
      </c>
      <c r="J6" s="316">
        <v>2160580</v>
      </c>
      <c r="K6" s="316">
        <v>0</v>
      </c>
      <c r="L6" s="316">
        <v>0</v>
      </c>
      <c r="M6" s="316">
        <v>0</v>
      </c>
      <c r="N6" s="316">
        <v>453721.8</v>
      </c>
      <c r="O6" s="316">
        <v>0</v>
      </c>
      <c r="P6" s="316">
        <v>0</v>
      </c>
      <c r="Q6" s="316">
        <v>0</v>
      </c>
      <c r="R6" s="316">
        <v>0</v>
      </c>
      <c r="S6" s="316">
        <v>0</v>
      </c>
      <c r="T6" s="316">
        <v>0</v>
      </c>
      <c r="U6" s="316">
        <f t="shared" si="0"/>
        <v>2614301.7999999998</v>
      </c>
      <c r="V6" s="238" t="s">
        <v>1348</v>
      </c>
      <c r="W6" s="238" t="s">
        <v>699</v>
      </c>
      <c r="X6" s="238"/>
      <c r="Y6"/>
    </row>
    <row r="7" spans="1:25" ht="15" customHeight="1" x14ac:dyDescent="0.25">
      <c r="A7" s="238" t="s">
        <v>885</v>
      </c>
      <c r="B7" s="238" t="s">
        <v>1126</v>
      </c>
      <c r="C7" s="238" t="s">
        <v>1490</v>
      </c>
      <c r="D7" s="238" t="s">
        <v>1491</v>
      </c>
      <c r="E7" s="238" t="s">
        <v>1492</v>
      </c>
      <c r="F7" s="238" t="s">
        <v>782</v>
      </c>
      <c r="G7" s="316">
        <v>0</v>
      </c>
      <c r="H7" s="316">
        <v>0</v>
      </c>
      <c r="I7" s="316">
        <v>0</v>
      </c>
      <c r="J7" s="316">
        <v>70000</v>
      </c>
      <c r="K7" s="316">
        <v>0</v>
      </c>
      <c r="L7" s="316">
        <v>0</v>
      </c>
      <c r="M7" s="316">
        <v>0</v>
      </c>
      <c r="N7" s="316">
        <v>14700</v>
      </c>
      <c r="O7" s="316">
        <v>0</v>
      </c>
      <c r="P7" s="316">
        <v>0</v>
      </c>
      <c r="Q7" s="316">
        <v>0</v>
      </c>
      <c r="R7" s="316">
        <v>0</v>
      </c>
      <c r="S7" s="316">
        <v>0</v>
      </c>
      <c r="T7" s="316">
        <v>0</v>
      </c>
      <c r="U7" s="316">
        <f t="shared" si="0"/>
        <v>84700</v>
      </c>
      <c r="V7" s="238" t="s">
        <v>1348</v>
      </c>
      <c r="W7" s="238" t="s">
        <v>699</v>
      </c>
      <c r="X7" s="238"/>
    </row>
    <row r="8" spans="1:25" ht="15" customHeight="1" x14ac:dyDescent="0.25">
      <c r="A8" s="238" t="s">
        <v>885</v>
      </c>
      <c r="B8" s="238" t="s">
        <v>885</v>
      </c>
      <c r="C8" s="238" t="s">
        <v>1417</v>
      </c>
      <c r="D8" s="238" t="s">
        <v>1418</v>
      </c>
      <c r="E8" s="238" t="s">
        <v>1419</v>
      </c>
      <c r="F8" s="238" t="s">
        <v>782</v>
      </c>
      <c r="G8" s="316">
        <v>0</v>
      </c>
      <c r="H8" s="316">
        <v>0</v>
      </c>
      <c r="I8" s="316">
        <v>0</v>
      </c>
      <c r="J8" s="316">
        <v>109300</v>
      </c>
      <c r="K8" s="316">
        <v>0</v>
      </c>
      <c r="L8" s="316">
        <v>0</v>
      </c>
      <c r="M8" s="316">
        <v>0</v>
      </c>
      <c r="N8" s="316">
        <v>22953</v>
      </c>
      <c r="O8" s="316">
        <v>0</v>
      </c>
      <c r="P8" s="316">
        <v>0</v>
      </c>
      <c r="Q8" s="316">
        <v>0</v>
      </c>
      <c r="R8" s="316">
        <v>0</v>
      </c>
      <c r="S8" s="316">
        <v>0</v>
      </c>
      <c r="T8" s="316">
        <v>0</v>
      </c>
      <c r="U8" s="316">
        <f t="shared" si="0"/>
        <v>132253</v>
      </c>
      <c r="V8" s="238" t="s">
        <v>1351</v>
      </c>
      <c r="W8" s="238" t="s">
        <v>699</v>
      </c>
      <c r="X8" s="238"/>
    </row>
    <row r="9" spans="1:25" ht="15" customHeight="1" x14ac:dyDescent="0.25">
      <c r="A9" s="238" t="s">
        <v>1057</v>
      </c>
      <c r="B9" s="238" t="s">
        <v>1057</v>
      </c>
      <c r="C9" s="238" t="s">
        <v>1467</v>
      </c>
      <c r="D9" s="238" t="s">
        <v>1418</v>
      </c>
      <c r="E9" s="238" t="s">
        <v>1419</v>
      </c>
      <c r="F9" s="238" t="s">
        <v>782</v>
      </c>
      <c r="G9" s="316">
        <v>0</v>
      </c>
      <c r="H9" s="316">
        <v>0</v>
      </c>
      <c r="I9" s="316">
        <v>0</v>
      </c>
      <c r="J9" s="316">
        <v>126400</v>
      </c>
      <c r="K9" s="316">
        <v>0</v>
      </c>
      <c r="L9" s="316">
        <v>0</v>
      </c>
      <c r="M9" s="316">
        <v>0</v>
      </c>
      <c r="N9" s="316">
        <v>26544</v>
      </c>
      <c r="O9" s="316">
        <v>0</v>
      </c>
      <c r="P9" s="316">
        <v>0</v>
      </c>
      <c r="Q9" s="316">
        <v>0</v>
      </c>
      <c r="R9" s="316">
        <v>0</v>
      </c>
      <c r="S9" s="316">
        <v>0</v>
      </c>
      <c r="T9" s="316">
        <v>0</v>
      </c>
      <c r="U9" s="316">
        <f t="shared" si="0"/>
        <v>152944</v>
      </c>
      <c r="V9" s="238" t="s">
        <v>1351</v>
      </c>
      <c r="W9" s="238" t="s">
        <v>699</v>
      </c>
      <c r="X9" s="238"/>
    </row>
    <row r="10" spans="1:25" ht="15" customHeight="1" x14ac:dyDescent="0.25">
      <c r="A10" s="238" t="s">
        <v>1126</v>
      </c>
      <c r="B10" s="238" t="s">
        <v>1126</v>
      </c>
      <c r="C10" s="238" t="s">
        <v>1497</v>
      </c>
      <c r="D10" s="238" t="s">
        <v>1418</v>
      </c>
      <c r="E10" s="238" t="s">
        <v>1419</v>
      </c>
      <c r="F10" s="238" t="s">
        <v>782</v>
      </c>
      <c r="G10" s="316">
        <v>0</v>
      </c>
      <c r="H10" s="316">
        <v>0</v>
      </c>
      <c r="I10" s="316">
        <v>0</v>
      </c>
      <c r="J10" s="316">
        <v>19500</v>
      </c>
      <c r="K10" s="316">
        <v>0</v>
      </c>
      <c r="L10" s="316">
        <v>0</v>
      </c>
      <c r="M10" s="316">
        <v>0</v>
      </c>
      <c r="N10" s="316">
        <v>4095</v>
      </c>
      <c r="O10" s="316">
        <v>0</v>
      </c>
      <c r="P10" s="316">
        <v>0</v>
      </c>
      <c r="Q10" s="316">
        <v>0</v>
      </c>
      <c r="R10" s="316">
        <v>0</v>
      </c>
      <c r="S10" s="316">
        <v>0</v>
      </c>
      <c r="T10" s="316">
        <v>0</v>
      </c>
      <c r="U10" s="316">
        <f t="shared" si="0"/>
        <v>23595</v>
      </c>
      <c r="V10" s="238" t="s">
        <v>1351</v>
      </c>
      <c r="W10" s="238" t="s">
        <v>699</v>
      </c>
      <c r="X10" s="238" t="s">
        <v>1368</v>
      </c>
    </row>
    <row r="11" spans="1:25" ht="15" customHeight="1" x14ac:dyDescent="0.25">
      <c r="A11" s="238" t="s">
        <v>1220</v>
      </c>
      <c r="B11" s="238" t="s">
        <v>1220</v>
      </c>
      <c r="C11" s="238" t="s">
        <v>1544</v>
      </c>
      <c r="D11" s="238" t="s">
        <v>1418</v>
      </c>
      <c r="E11" s="238" t="s">
        <v>1419</v>
      </c>
      <c r="F11" s="238" t="s">
        <v>782</v>
      </c>
      <c r="G11" s="316">
        <v>0</v>
      </c>
      <c r="H11" s="316">
        <v>0</v>
      </c>
      <c r="I11" s="316">
        <v>0</v>
      </c>
      <c r="J11" s="316">
        <v>150700</v>
      </c>
      <c r="K11" s="316">
        <v>0</v>
      </c>
      <c r="L11" s="316">
        <v>0</v>
      </c>
      <c r="M11" s="316">
        <v>0</v>
      </c>
      <c r="N11" s="316">
        <v>31647</v>
      </c>
      <c r="O11" s="316">
        <v>0</v>
      </c>
      <c r="P11" s="316">
        <v>0</v>
      </c>
      <c r="Q11" s="316">
        <v>0</v>
      </c>
      <c r="R11" s="316">
        <v>0</v>
      </c>
      <c r="S11" s="316">
        <v>0</v>
      </c>
      <c r="T11" s="316">
        <v>0</v>
      </c>
      <c r="U11" s="316">
        <f t="shared" si="0"/>
        <v>182347</v>
      </c>
      <c r="V11" s="238" t="s">
        <v>1351</v>
      </c>
      <c r="W11" s="238" t="s">
        <v>699</v>
      </c>
      <c r="X11" s="238"/>
    </row>
    <row r="12" spans="1:25" ht="15" customHeight="1" x14ac:dyDescent="0.25">
      <c r="A12" s="238" t="s">
        <v>1249</v>
      </c>
      <c r="B12" s="238" t="s">
        <v>1249</v>
      </c>
      <c r="C12" s="238" t="s">
        <v>1553</v>
      </c>
      <c r="D12" s="238" t="s">
        <v>1418</v>
      </c>
      <c r="E12" s="238" t="s">
        <v>1419</v>
      </c>
      <c r="F12" s="238" t="s">
        <v>782</v>
      </c>
      <c r="G12" s="316">
        <v>0</v>
      </c>
      <c r="H12" s="316">
        <v>0</v>
      </c>
      <c r="I12" s="316">
        <v>0</v>
      </c>
      <c r="J12" s="316">
        <v>15700</v>
      </c>
      <c r="K12" s="316">
        <v>0</v>
      </c>
      <c r="L12" s="316">
        <v>0</v>
      </c>
      <c r="M12" s="316">
        <v>0</v>
      </c>
      <c r="N12" s="316">
        <v>3297</v>
      </c>
      <c r="O12" s="316">
        <v>0</v>
      </c>
      <c r="P12" s="316">
        <v>0</v>
      </c>
      <c r="Q12" s="316">
        <v>0</v>
      </c>
      <c r="R12" s="316">
        <v>0</v>
      </c>
      <c r="S12" s="316">
        <v>0</v>
      </c>
      <c r="T12" s="316">
        <v>0</v>
      </c>
      <c r="U12" s="316">
        <f t="shared" si="0"/>
        <v>18997</v>
      </c>
      <c r="V12" s="238" t="s">
        <v>1351</v>
      </c>
      <c r="W12" s="238" t="s">
        <v>699</v>
      </c>
      <c r="X12" s="238"/>
    </row>
    <row r="13" spans="1:25" ht="15" customHeight="1" x14ac:dyDescent="0.25">
      <c r="A13" s="238" t="s">
        <v>1603</v>
      </c>
      <c r="B13" s="238" t="s">
        <v>1603</v>
      </c>
      <c r="C13" s="238" t="s">
        <v>1610</v>
      </c>
      <c r="D13" s="238" t="s">
        <v>1418</v>
      </c>
      <c r="E13" s="238" t="s">
        <v>1419</v>
      </c>
      <c r="F13" s="238" t="s">
        <v>782</v>
      </c>
      <c r="G13" s="316">
        <v>0</v>
      </c>
      <c r="H13" s="316">
        <v>0</v>
      </c>
      <c r="I13" s="316">
        <v>0</v>
      </c>
      <c r="J13" s="316">
        <v>131009.09</v>
      </c>
      <c r="K13" s="316">
        <v>0</v>
      </c>
      <c r="L13" s="316">
        <v>0</v>
      </c>
      <c r="M13" s="316">
        <v>0</v>
      </c>
      <c r="N13" s="316">
        <v>27511.91</v>
      </c>
      <c r="O13" s="316">
        <v>0</v>
      </c>
      <c r="P13" s="316">
        <v>0</v>
      </c>
      <c r="Q13" s="316">
        <v>0</v>
      </c>
      <c r="R13" s="316">
        <v>0</v>
      </c>
      <c r="S13" s="316">
        <v>0</v>
      </c>
      <c r="T13" s="316">
        <v>0</v>
      </c>
      <c r="U13" s="316">
        <f t="shared" si="0"/>
        <v>158521</v>
      </c>
      <c r="V13" s="238" t="s">
        <v>1351</v>
      </c>
      <c r="W13" s="238" t="s">
        <v>699</v>
      </c>
      <c r="X13" s="238"/>
    </row>
    <row r="14" spans="1:25" ht="15" customHeight="1" x14ac:dyDescent="0.25">
      <c r="A14" s="238" t="s">
        <v>1098</v>
      </c>
      <c r="B14" s="238" t="s">
        <v>1098</v>
      </c>
      <c r="C14" s="238" t="s">
        <v>1474</v>
      </c>
      <c r="D14" s="238" t="s">
        <v>1475</v>
      </c>
      <c r="E14" s="238" t="s">
        <v>1476</v>
      </c>
      <c r="F14" s="238" t="s">
        <v>782</v>
      </c>
      <c r="G14" s="316">
        <v>0</v>
      </c>
      <c r="H14" s="316">
        <v>0</v>
      </c>
      <c r="I14" s="316">
        <v>0</v>
      </c>
      <c r="J14" s="316">
        <v>73057.850000000006</v>
      </c>
      <c r="K14" s="316">
        <v>0</v>
      </c>
      <c r="L14" s="316">
        <v>0</v>
      </c>
      <c r="M14" s="316">
        <v>0</v>
      </c>
      <c r="N14" s="316">
        <v>15342.15</v>
      </c>
      <c r="O14" s="316">
        <v>0</v>
      </c>
      <c r="P14" s="316">
        <v>0</v>
      </c>
      <c r="Q14" s="316">
        <v>0</v>
      </c>
      <c r="R14" s="316">
        <v>0</v>
      </c>
      <c r="S14" s="316">
        <v>0</v>
      </c>
      <c r="T14" s="316">
        <v>0</v>
      </c>
      <c r="U14" s="316">
        <f t="shared" si="0"/>
        <v>88400</v>
      </c>
      <c r="V14" s="238"/>
      <c r="W14" s="238" t="s">
        <v>704</v>
      </c>
      <c r="X14" s="238"/>
    </row>
    <row r="15" spans="1:25" ht="15" customHeight="1" x14ac:dyDescent="0.25">
      <c r="A15" s="238" t="s">
        <v>1191</v>
      </c>
      <c r="B15" s="238" t="s">
        <v>1191</v>
      </c>
      <c r="C15" s="238" t="s">
        <v>1536</v>
      </c>
      <c r="D15" s="238" t="s">
        <v>1475</v>
      </c>
      <c r="E15" s="238" t="s">
        <v>1476</v>
      </c>
      <c r="F15" s="238" t="s">
        <v>782</v>
      </c>
      <c r="G15" s="316">
        <v>0</v>
      </c>
      <c r="H15" s="316">
        <v>0</v>
      </c>
      <c r="I15" s="316">
        <v>0</v>
      </c>
      <c r="J15" s="316">
        <v>73057.850000000006</v>
      </c>
      <c r="K15" s="316">
        <v>0</v>
      </c>
      <c r="L15" s="316">
        <v>0</v>
      </c>
      <c r="M15" s="316">
        <v>0</v>
      </c>
      <c r="N15" s="316">
        <v>15342.15</v>
      </c>
      <c r="O15" s="316">
        <v>0</v>
      </c>
      <c r="P15" s="316">
        <v>0</v>
      </c>
      <c r="Q15" s="316">
        <v>0</v>
      </c>
      <c r="R15" s="316">
        <v>0</v>
      </c>
      <c r="S15" s="316">
        <v>0</v>
      </c>
      <c r="T15" s="316">
        <v>0</v>
      </c>
      <c r="U15" s="316">
        <f t="shared" si="0"/>
        <v>88400</v>
      </c>
      <c r="V15" s="238"/>
      <c r="W15" s="238" t="s">
        <v>704</v>
      </c>
      <c r="X15" s="238" t="s">
        <v>1368</v>
      </c>
    </row>
    <row r="16" spans="1:25" ht="15" customHeight="1" x14ac:dyDescent="0.25">
      <c r="A16" s="238" t="s">
        <v>784</v>
      </c>
      <c r="B16" s="238" t="s">
        <v>1126</v>
      </c>
      <c r="C16" s="238" t="s">
        <v>1487</v>
      </c>
      <c r="D16" s="238" t="s">
        <v>1488</v>
      </c>
      <c r="E16" s="238" t="s">
        <v>1489</v>
      </c>
      <c r="F16" s="238" t="s">
        <v>782</v>
      </c>
      <c r="G16" s="316">
        <v>0</v>
      </c>
      <c r="H16" s="316">
        <v>0</v>
      </c>
      <c r="I16" s="316">
        <v>0</v>
      </c>
      <c r="J16" s="316">
        <v>315957</v>
      </c>
      <c r="K16" s="316">
        <v>0</v>
      </c>
      <c r="L16" s="316">
        <v>0</v>
      </c>
      <c r="M16" s="316">
        <v>0</v>
      </c>
      <c r="N16" s="316">
        <v>66350.97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f t="shared" si="0"/>
        <v>382307.97</v>
      </c>
      <c r="V16" s="238" t="s">
        <v>1351</v>
      </c>
      <c r="W16" s="238" t="s">
        <v>699</v>
      </c>
      <c r="X16" s="238"/>
    </row>
    <row r="17" spans="1:25" ht="15" customHeight="1" x14ac:dyDescent="0.25">
      <c r="A17" s="238" t="s">
        <v>998</v>
      </c>
      <c r="B17" s="238" t="s">
        <v>998</v>
      </c>
      <c r="C17" s="238" t="s">
        <v>1456</v>
      </c>
      <c r="D17" s="238" t="s">
        <v>1457</v>
      </c>
      <c r="E17" s="238" t="s">
        <v>1458</v>
      </c>
      <c r="F17" s="238" t="s">
        <v>782</v>
      </c>
      <c r="G17" s="316">
        <v>0</v>
      </c>
      <c r="H17" s="316">
        <v>0</v>
      </c>
      <c r="I17" s="316">
        <v>0</v>
      </c>
      <c r="J17" s="316">
        <v>193893</v>
      </c>
      <c r="K17" s="316">
        <v>0</v>
      </c>
      <c r="L17" s="316">
        <v>0</v>
      </c>
      <c r="M17" s="316">
        <v>0</v>
      </c>
      <c r="N17" s="316">
        <v>40717.53</v>
      </c>
      <c r="O17" s="316">
        <v>0</v>
      </c>
      <c r="P17" s="316">
        <v>0</v>
      </c>
      <c r="Q17" s="316">
        <v>0</v>
      </c>
      <c r="R17" s="316">
        <v>0</v>
      </c>
      <c r="S17" s="316">
        <v>0</v>
      </c>
      <c r="T17" s="316">
        <v>0</v>
      </c>
      <c r="U17" s="316">
        <f t="shared" si="0"/>
        <v>234610.53</v>
      </c>
      <c r="V17" s="238" t="s">
        <v>1351</v>
      </c>
      <c r="W17" s="238" t="s">
        <v>704</v>
      </c>
      <c r="X17" s="238" t="s">
        <v>1368</v>
      </c>
    </row>
    <row r="18" spans="1:25" ht="15" customHeight="1" x14ac:dyDescent="0.25">
      <c r="A18" s="238" t="s">
        <v>1057</v>
      </c>
      <c r="B18" s="238" t="s">
        <v>1057</v>
      </c>
      <c r="C18" s="238" t="s">
        <v>1464</v>
      </c>
      <c r="D18" s="238" t="s">
        <v>305</v>
      </c>
      <c r="E18" s="238" t="s">
        <v>1465</v>
      </c>
      <c r="F18" s="238" t="s">
        <v>782</v>
      </c>
      <c r="G18" s="316">
        <v>0</v>
      </c>
      <c r="H18" s="316">
        <v>0</v>
      </c>
      <c r="I18" s="316">
        <v>0</v>
      </c>
      <c r="J18" s="316">
        <v>90000</v>
      </c>
      <c r="K18" s="316">
        <v>0</v>
      </c>
      <c r="L18" s="316">
        <v>0</v>
      </c>
      <c r="M18" s="316">
        <v>0</v>
      </c>
      <c r="N18" s="316">
        <v>18900</v>
      </c>
      <c r="O18" s="316">
        <v>0</v>
      </c>
      <c r="P18" s="316">
        <v>0</v>
      </c>
      <c r="Q18" s="316">
        <v>0</v>
      </c>
      <c r="R18" s="316">
        <v>0</v>
      </c>
      <c r="S18" s="316">
        <v>0</v>
      </c>
      <c r="T18" s="316">
        <v>0</v>
      </c>
      <c r="U18" s="316">
        <f t="shared" si="0"/>
        <v>108900</v>
      </c>
      <c r="V18" s="238" t="s">
        <v>1466</v>
      </c>
      <c r="W18" s="238" t="s">
        <v>699</v>
      </c>
      <c r="X18" s="238"/>
    </row>
    <row r="19" spans="1:25" ht="15" customHeight="1" x14ac:dyDescent="0.25">
      <c r="A19" s="238" t="s">
        <v>1624</v>
      </c>
      <c r="B19" s="238" t="s">
        <v>1624</v>
      </c>
      <c r="C19" s="238" t="s">
        <v>1626</v>
      </c>
      <c r="D19" s="238" t="s">
        <v>1627</v>
      </c>
      <c r="E19" s="238" t="s">
        <v>1628</v>
      </c>
      <c r="F19" s="238" t="s">
        <v>782</v>
      </c>
      <c r="G19" s="316">
        <v>0</v>
      </c>
      <c r="H19" s="316">
        <v>0</v>
      </c>
      <c r="I19" s="316">
        <v>0</v>
      </c>
      <c r="J19" s="316">
        <v>147998.62</v>
      </c>
      <c r="K19" s="316">
        <v>0</v>
      </c>
      <c r="L19" s="316">
        <v>0</v>
      </c>
      <c r="M19" s="316">
        <v>0</v>
      </c>
      <c r="N19" s="316">
        <v>31079.71</v>
      </c>
      <c r="O19" s="316">
        <v>5919.94</v>
      </c>
      <c r="P19" s="316">
        <v>0</v>
      </c>
      <c r="Q19" s="316">
        <v>0</v>
      </c>
      <c r="R19" s="316">
        <v>0</v>
      </c>
      <c r="S19" s="316">
        <v>4439.96</v>
      </c>
      <c r="T19" s="316">
        <v>0</v>
      </c>
      <c r="U19" s="316">
        <f t="shared" si="0"/>
        <v>189438.22999999998</v>
      </c>
      <c r="V19" s="238" t="s">
        <v>1348</v>
      </c>
      <c r="W19" s="238" t="s">
        <v>704</v>
      </c>
      <c r="X19" s="238"/>
    </row>
    <row r="20" spans="1:25" s="247" customFormat="1" ht="15" customHeight="1" x14ac:dyDescent="0.25">
      <c r="A20" s="238" t="s">
        <v>1164</v>
      </c>
      <c r="B20" s="238" t="s">
        <v>1164</v>
      </c>
      <c r="C20" s="238" t="s">
        <v>1527</v>
      </c>
      <c r="D20" s="238" t="s">
        <v>305</v>
      </c>
      <c r="E20" s="238" t="s">
        <v>1465</v>
      </c>
      <c r="F20" s="238" t="s">
        <v>782</v>
      </c>
      <c r="G20" s="316">
        <v>0</v>
      </c>
      <c r="H20" s="316">
        <v>0</v>
      </c>
      <c r="I20" s="316">
        <v>0</v>
      </c>
      <c r="J20" s="316">
        <v>45000</v>
      </c>
      <c r="K20" s="316">
        <v>0</v>
      </c>
      <c r="L20" s="316">
        <v>0</v>
      </c>
      <c r="M20" s="316">
        <v>0</v>
      </c>
      <c r="N20" s="316">
        <v>9450</v>
      </c>
      <c r="O20" s="316">
        <v>0</v>
      </c>
      <c r="P20" s="316">
        <v>0</v>
      </c>
      <c r="Q20" s="316">
        <v>0</v>
      </c>
      <c r="R20" s="316">
        <v>0</v>
      </c>
      <c r="S20" s="316">
        <v>0</v>
      </c>
      <c r="T20" s="316">
        <v>0</v>
      </c>
      <c r="U20" s="316">
        <f t="shared" si="0"/>
        <v>54450</v>
      </c>
      <c r="V20" s="238" t="s">
        <v>1466</v>
      </c>
      <c r="W20" s="238" t="s">
        <v>699</v>
      </c>
      <c r="X20" s="238"/>
      <c r="Y20"/>
    </row>
    <row r="21" spans="1:25" ht="15" customHeight="1" x14ac:dyDescent="0.25">
      <c r="A21" s="238" t="s">
        <v>817</v>
      </c>
      <c r="B21" s="238" t="s">
        <v>817</v>
      </c>
      <c r="C21" s="238" t="s">
        <v>1380</v>
      </c>
      <c r="D21" s="238" t="s">
        <v>1381</v>
      </c>
      <c r="E21" s="238" t="s">
        <v>1382</v>
      </c>
      <c r="F21" s="238" t="s">
        <v>782</v>
      </c>
      <c r="G21" s="316">
        <v>0</v>
      </c>
      <c r="H21" s="316">
        <v>0</v>
      </c>
      <c r="I21" s="316">
        <v>0</v>
      </c>
      <c r="J21" s="316">
        <v>130554.62</v>
      </c>
      <c r="K21" s="316">
        <v>0</v>
      </c>
      <c r="L21" s="316">
        <v>0</v>
      </c>
      <c r="M21" s="316">
        <v>0</v>
      </c>
      <c r="N21" s="316">
        <v>27416.47</v>
      </c>
      <c r="O21" s="316">
        <v>0</v>
      </c>
      <c r="P21" s="316">
        <v>0</v>
      </c>
      <c r="Q21" s="316">
        <v>0</v>
      </c>
      <c r="R21" s="316">
        <v>0</v>
      </c>
      <c r="S21" s="316">
        <v>0</v>
      </c>
      <c r="T21" s="316">
        <v>0</v>
      </c>
      <c r="U21" s="316">
        <f t="shared" si="0"/>
        <v>157971.09</v>
      </c>
      <c r="V21" s="238" t="s">
        <v>1348</v>
      </c>
      <c r="W21" s="238" t="s">
        <v>704</v>
      </c>
      <c r="X21" s="238"/>
    </row>
    <row r="22" spans="1:25" ht="15" customHeight="1" x14ac:dyDescent="0.25">
      <c r="A22" s="238" t="s">
        <v>934</v>
      </c>
      <c r="B22" s="238" t="s">
        <v>934</v>
      </c>
      <c r="C22" s="238" t="s">
        <v>1420</v>
      </c>
      <c r="D22" s="238" t="s">
        <v>1421</v>
      </c>
      <c r="E22" s="238" t="s">
        <v>1422</v>
      </c>
      <c r="F22" s="238" t="s">
        <v>782</v>
      </c>
      <c r="G22" s="316">
        <v>0</v>
      </c>
      <c r="H22" s="316">
        <v>0</v>
      </c>
      <c r="I22" s="316">
        <v>0</v>
      </c>
      <c r="J22" s="316">
        <v>197766</v>
      </c>
      <c r="K22" s="316">
        <v>0</v>
      </c>
      <c r="L22" s="316">
        <v>0</v>
      </c>
      <c r="M22" s="316">
        <v>0</v>
      </c>
      <c r="N22" s="316">
        <v>41530.86</v>
      </c>
      <c r="O22" s="316">
        <v>0</v>
      </c>
      <c r="P22" s="316">
        <v>0</v>
      </c>
      <c r="Q22" s="316">
        <v>0</v>
      </c>
      <c r="R22" s="316">
        <v>0</v>
      </c>
      <c r="S22" s="316">
        <v>0</v>
      </c>
      <c r="T22" s="316">
        <v>0</v>
      </c>
      <c r="U22" s="316">
        <f t="shared" si="0"/>
        <v>239296.86</v>
      </c>
      <c r="V22" s="238" t="s">
        <v>1351</v>
      </c>
      <c r="W22" s="238" t="s">
        <v>699</v>
      </c>
      <c r="X22" s="238"/>
    </row>
    <row r="23" spans="1:25" ht="15" customHeight="1" x14ac:dyDescent="0.25">
      <c r="A23" s="238" t="s">
        <v>1164</v>
      </c>
      <c r="B23" s="238" t="s">
        <v>1164</v>
      </c>
      <c r="C23" s="238" t="s">
        <v>1523</v>
      </c>
      <c r="D23" s="238" t="s">
        <v>1524</v>
      </c>
      <c r="E23" s="238" t="s">
        <v>1525</v>
      </c>
      <c r="F23" s="238" t="s">
        <v>782</v>
      </c>
      <c r="G23" s="316">
        <v>0</v>
      </c>
      <c r="H23" s="316">
        <v>0</v>
      </c>
      <c r="I23" s="316">
        <v>0</v>
      </c>
      <c r="J23" s="316">
        <v>17767.77</v>
      </c>
      <c r="K23" s="316">
        <v>0</v>
      </c>
      <c r="L23" s="316">
        <v>0</v>
      </c>
      <c r="M23" s="316">
        <v>0</v>
      </c>
      <c r="N23" s="316">
        <v>3731.23</v>
      </c>
      <c r="O23" s="316">
        <v>0</v>
      </c>
      <c r="P23" s="316">
        <v>0</v>
      </c>
      <c r="Q23" s="316">
        <v>0</v>
      </c>
      <c r="R23" s="316">
        <v>710.72</v>
      </c>
      <c r="S23" s="316">
        <v>0</v>
      </c>
      <c r="T23" s="316">
        <v>0</v>
      </c>
      <c r="U23" s="316">
        <f t="shared" si="0"/>
        <v>22209.72</v>
      </c>
      <c r="V23" s="238" t="s">
        <v>1348</v>
      </c>
      <c r="W23" s="238" t="s">
        <v>704</v>
      </c>
      <c r="X23" s="238" t="s">
        <v>1368</v>
      </c>
    </row>
    <row r="24" spans="1:25" ht="15" customHeight="1" x14ac:dyDescent="0.25">
      <c r="A24" s="238" t="s">
        <v>825</v>
      </c>
      <c r="B24" s="238" t="s">
        <v>825</v>
      </c>
      <c r="C24" s="238" t="s">
        <v>1399</v>
      </c>
      <c r="D24" s="238" t="s">
        <v>1400</v>
      </c>
      <c r="E24" s="238" t="s">
        <v>1401</v>
      </c>
      <c r="F24" s="238" t="s">
        <v>782</v>
      </c>
      <c r="G24" s="316">
        <v>0</v>
      </c>
      <c r="H24" s="316">
        <v>0</v>
      </c>
      <c r="I24" s="316">
        <v>0</v>
      </c>
      <c r="J24" s="316">
        <v>270000</v>
      </c>
      <c r="K24" s="316">
        <v>0</v>
      </c>
      <c r="L24" s="316">
        <v>0</v>
      </c>
      <c r="M24" s="316">
        <v>0</v>
      </c>
      <c r="N24" s="316">
        <v>56700</v>
      </c>
      <c r="O24" s="316">
        <v>0</v>
      </c>
      <c r="P24" s="316">
        <v>0</v>
      </c>
      <c r="Q24" s="316">
        <v>0</v>
      </c>
      <c r="R24" s="316">
        <v>0</v>
      </c>
      <c r="S24" s="316">
        <v>0</v>
      </c>
      <c r="T24" s="316">
        <v>0</v>
      </c>
      <c r="U24" s="316">
        <f t="shared" si="0"/>
        <v>326700</v>
      </c>
      <c r="V24" s="238" t="s">
        <v>1348</v>
      </c>
      <c r="W24" s="238" t="s">
        <v>704</v>
      </c>
      <c r="X24" s="238"/>
    </row>
    <row r="25" spans="1:25" s="247" customFormat="1" ht="15" customHeight="1" x14ac:dyDescent="0.25">
      <c r="A25" s="238" t="s">
        <v>1164</v>
      </c>
      <c r="B25" s="238" t="s">
        <v>1164</v>
      </c>
      <c r="C25" s="238" t="s">
        <v>1522</v>
      </c>
      <c r="D25" s="238" t="s">
        <v>1400</v>
      </c>
      <c r="E25" s="238" t="s">
        <v>1401</v>
      </c>
      <c r="F25" s="238" t="s">
        <v>782</v>
      </c>
      <c r="G25" s="316">
        <v>0</v>
      </c>
      <c r="H25" s="316">
        <v>0</v>
      </c>
      <c r="I25" s="316">
        <v>0</v>
      </c>
      <c r="J25" s="316">
        <v>280000</v>
      </c>
      <c r="K25" s="316">
        <v>0</v>
      </c>
      <c r="L25" s="316">
        <v>0</v>
      </c>
      <c r="M25" s="316">
        <v>0</v>
      </c>
      <c r="N25" s="316">
        <v>58800</v>
      </c>
      <c r="O25" s="316">
        <v>0</v>
      </c>
      <c r="P25" s="316">
        <v>0</v>
      </c>
      <c r="Q25" s="316">
        <v>0</v>
      </c>
      <c r="R25" s="316">
        <v>0</v>
      </c>
      <c r="S25" s="316">
        <v>0</v>
      </c>
      <c r="T25" s="316">
        <v>0</v>
      </c>
      <c r="U25" s="316">
        <f t="shared" si="0"/>
        <v>338800</v>
      </c>
      <c r="V25" s="238" t="s">
        <v>1348</v>
      </c>
      <c r="W25" s="238" t="s">
        <v>704</v>
      </c>
      <c r="X25" s="238"/>
      <c r="Y25"/>
    </row>
    <row r="26" spans="1:25" ht="15" customHeight="1" x14ac:dyDescent="0.25">
      <c r="A26" s="238" t="s">
        <v>1191</v>
      </c>
      <c r="B26" s="238" t="s">
        <v>1191</v>
      </c>
      <c r="C26" s="238" t="s">
        <v>1535</v>
      </c>
      <c r="D26" s="238" t="s">
        <v>1400</v>
      </c>
      <c r="E26" s="238" t="s">
        <v>1401</v>
      </c>
      <c r="F26" s="238" t="s">
        <v>782</v>
      </c>
      <c r="G26" s="316">
        <v>0</v>
      </c>
      <c r="H26" s="316">
        <v>0</v>
      </c>
      <c r="I26" s="316">
        <v>0</v>
      </c>
      <c r="J26" s="316">
        <v>332500</v>
      </c>
      <c r="K26" s="316">
        <v>0</v>
      </c>
      <c r="L26" s="316">
        <v>0</v>
      </c>
      <c r="M26" s="316">
        <v>0</v>
      </c>
      <c r="N26" s="316">
        <v>69825</v>
      </c>
      <c r="O26" s="316">
        <v>0</v>
      </c>
      <c r="P26" s="316">
        <v>0</v>
      </c>
      <c r="Q26" s="316">
        <v>0</v>
      </c>
      <c r="R26" s="316">
        <v>0</v>
      </c>
      <c r="S26" s="316">
        <v>0</v>
      </c>
      <c r="T26" s="316">
        <v>0</v>
      </c>
      <c r="U26" s="316">
        <f t="shared" si="0"/>
        <v>402325</v>
      </c>
      <c r="V26" s="238" t="s">
        <v>1348</v>
      </c>
      <c r="W26" s="238" t="s">
        <v>704</v>
      </c>
      <c r="X26" s="238"/>
    </row>
    <row r="27" spans="1:25" ht="15" customHeight="1" x14ac:dyDescent="0.25">
      <c r="A27" s="238" t="s">
        <v>1249</v>
      </c>
      <c r="B27" s="238" t="s">
        <v>1249</v>
      </c>
      <c r="C27" s="238" t="s">
        <v>1556</v>
      </c>
      <c r="D27" s="238" t="s">
        <v>1400</v>
      </c>
      <c r="E27" s="238" t="s">
        <v>1401</v>
      </c>
      <c r="F27" s="238" t="s">
        <v>782</v>
      </c>
      <c r="G27" s="316">
        <v>0</v>
      </c>
      <c r="H27" s="316">
        <v>0</v>
      </c>
      <c r="I27" s="316">
        <v>0</v>
      </c>
      <c r="J27" s="316">
        <v>262500</v>
      </c>
      <c r="K27" s="316">
        <v>0</v>
      </c>
      <c r="L27" s="316">
        <v>0</v>
      </c>
      <c r="M27" s="316">
        <v>0</v>
      </c>
      <c r="N27" s="316">
        <v>55125</v>
      </c>
      <c r="O27" s="316">
        <v>0</v>
      </c>
      <c r="P27" s="316">
        <v>0</v>
      </c>
      <c r="Q27" s="316">
        <v>0</v>
      </c>
      <c r="R27" s="316">
        <v>0</v>
      </c>
      <c r="S27" s="316">
        <v>0</v>
      </c>
      <c r="T27" s="316">
        <v>0</v>
      </c>
      <c r="U27" s="316">
        <f t="shared" si="0"/>
        <v>317625</v>
      </c>
      <c r="V27" s="238" t="s">
        <v>1348</v>
      </c>
      <c r="W27" s="238" t="s">
        <v>704</v>
      </c>
      <c r="X27" s="238"/>
    </row>
    <row r="28" spans="1:25" s="247" customFormat="1" ht="15" customHeight="1" x14ac:dyDescent="0.25">
      <c r="A28" s="238" t="s">
        <v>1249</v>
      </c>
      <c r="B28" s="238" t="s">
        <v>1249</v>
      </c>
      <c r="C28" s="238" t="s">
        <v>1559</v>
      </c>
      <c r="D28" s="238" t="s">
        <v>520</v>
      </c>
      <c r="E28" s="238" t="s">
        <v>1560</v>
      </c>
      <c r="F28" s="238" t="s">
        <v>782</v>
      </c>
      <c r="G28" s="316">
        <v>0</v>
      </c>
      <c r="H28" s="316">
        <v>0</v>
      </c>
      <c r="I28" s="316">
        <v>0</v>
      </c>
      <c r="J28" s="316">
        <v>900000</v>
      </c>
      <c r="K28" s="316">
        <v>0</v>
      </c>
      <c r="L28" s="316">
        <v>0</v>
      </c>
      <c r="M28" s="316">
        <v>0</v>
      </c>
      <c r="N28" s="316">
        <v>189000</v>
      </c>
      <c r="O28" s="316">
        <v>0</v>
      </c>
      <c r="P28" s="316">
        <v>0</v>
      </c>
      <c r="Q28" s="316">
        <v>0</v>
      </c>
      <c r="R28" s="316">
        <v>0</v>
      </c>
      <c r="S28" s="316">
        <v>0</v>
      </c>
      <c r="T28" s="316">
        <v>0</v>
      </c>
      <c r="U28" s="316">
        <f t="shared" si="0"/>
        <v>1089000</v>
      </c>
      <c r="V28" s="238" t="s">
        <v>1561</v>
      </c>
      <c r="W28" s="238" t="s">
        <v>699</v>
      </c>
      <c r="X28" s="238"/>
      <c r="Y28"/>
    </row>
    <row r="29" spans="1:25" s="247" customFormat="1" ht="15" customHeight="1" x14ac:dyDescent="0.25">
      <c r="A29" s="238" t="s">
        <v>885</v>
      </c>
      <c r="B29" s="238" t="s">
        <v>885</v>
      </c>
      <c r="C29" s="238" t="s">
        <v>1414</v>
      </c>
      <c r="D29" s="238" t="s">
        <v>1415</v>
      </c>
      <c r="E29" s="238" t="s">
        <v>1416</v>
      </c>
      <c r="F29" s="238" t="s">
        <v>782</v>
      </c>
      <c r="G29" s="316">
        <v>0</v>
      </c>
      <c r="H29" s="316">
        <v>0</v>
      </c>
      <c r="I29" s="316">
        <v>0</v>
      </c>
      <c r="J29" s="316">
        <v>1084000</v>
      </c>
      <c r="K29" s="316">
        <v>0</v>
      </c>
      <c r="L29" s="316">
        <v>0</v>
      </c>
      <c r="M29" s="316">
        <v>0</v>
      </c>
      <c r="N29" s="316">
        <v>227640</v>
      </c>
      <c r="O29" s="316">
        <v>0</v>
      </c>
      <c r="P29" s="316">
        <v>0</v>
      </c>
      <c r="Q29" s="316">
        <v>0</v>
      </c>
      <c r="R29" s="316">
        <v>0</v>
      </c>
      <c r="S29" s="316">
        <v>0</v>
      </c>
      <c r="T29" s="316">
        <v>0</v>
      </c>
      <c r="U29" s="316">
        <f t="shared" si="0"/>
        <v>1311640</v>
      </c>
      <c r="V29" s="238" t="s">
        <v>1351</v>
      </c>
      <c r="W29" s="238" t="s">
        <v>699</v>
      </c>
      <c r="X29" s="238"/>
      <c r="Y29"/>
    </row>
    <row r="30" spans="1:25" ht="15" customHeight="1" x14ac:dyDescent="0.25">
      <c r="A30" s="238" t="s">
        <v>1126</v>
      </c>
      <c r="B30" s="238" t="s">
        <v>1126</v>
      </c>
      <c r="C30" s="238" t="s">
        <v>1507</v>
      </c>
      <c r="D30" s="238" t="s">
        <v>1415</v>
      </c>
      <c r="E30" s="238" t="s">
        <v>1416</v>
      </c>
      <c r="F30" s="238" t="s">
        <v>782</v>
      </c>
      <c r="G30" s="316">
        <v>0</v>
      </c>
      <c r="H30" s="316">
        <v>0</v>
      </c>
      <c r="I30" s="316">
        <v>1863000</v>
      </c>
      <c r="J30" s="316">
        <v>117800</v>
      </c>
      <c r="K30" s="316">
        <v>0</v>
      </c>
      <c r="L30" s="316">
        <v>0</v>
      </c>
      <c r="M30" s="316">
        <v>0</v>
      </c>
      <c r="N30" s="316">
        <v>220353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f t="shared" si="0"/>
        <v>2201153</v>
      </c>
      <c r="V30" s="238" t="s">
        <v>1351</v>
      </c>
      <c r="W30" s="238" t="s">
        <v>699</v>
      </c>
      <c r="X30" s="238"/>
    </row>
    <row r="31" spans="1:25" ht="15" customHeight="1" x14ac:dyDescent="0.25">
      <c r="A31" s="238" t="s">
        <v>784</v>
      </c>
      <c r="B31" s="238" t="s">
        <v>784</v>
      </c>
      <c r="C31" s="238" t="s">
        <v>1357</v>
      </c>
      <c r="D31" s="238" t="s">
        <v>1358</v>
      </c>
      <c r="E31" s="238" t="s">
        <v>1359</v>
      </c>
      <c r="F31" s="238" t="s">
        <v>782</v>
      </c>
      <c r="G31" s="316">
        <v>0</v>
      </c>
      <c r="H31" s="316">
        <v>0</v>
      </c>
      <c r="I31" s="316">
        <v>0</v>
      </c>
      <c r="J31" s="316">
        <v>1704476.64</v>
      </c>
      <c r="K31" s="316">
        <v>0</v>
      </c>
      <c r="L31" s="316">
        <v>0</v>
      </c>
      <c r="M31" s="316">
        <v>0</v>
      </c>
      <c r="N31" s="316">
        <v>357940.09</v>
      </c>
      <c r="O31" s="316">
        <v>0</v>
      </c>
      <c r="P31" s="316">
        <v>0</v>
      </c>
      <c r="Q31" s="316">
        <v>0</v>
      </c>
      <c r="R31" s="316">
        <v>0</v>
      </c>
      <c r="S31" s="316">
        <v>0</v>
      </c>
      <c r="T31" s="316">
        <v>0</v>
      </c>
      <c r="U31" s="316">
        <f t="shared" si="0"/>
        <v>2062416.73</v>
      </c>
      <c r="V31" s="238" t="s">
        <v>1351</v>
      </c>
      <c r="W31" s="238" t="s">
        <v>699</v>
      </c>
      <c r="X31" s="238"/>
    </row>
    <row r="32" spans="1:25" ht="15" customHeight="1" x14ac:dyDescent="0.25">
      <c r="A32" s="238" t="s">
        <v>1603</v>
      </c>
      <c r="B32" s="238" t="s">
        <v>1603</v>
      </c>
      <c r="C32" s="238" t="s">
        <v>1622</v>
      </c>
      <c r="D32" s="238" t="s">
        <v>1358</v>
      </c>
      <c r="E32" s="238" t="s">
        <v>1359</v>
      </c>
      <c r="F32" s="238" t="s">
        <v>782</v>
      </c>
      <c r="G32" s="316">
        <v>0</v>
      </c>
      <c r="H32" s="316">
        <v>0</v>
      </c>
      <c r="I32" s="316">
        <v>0</v>
      </c>
      <c r="J32" s="316">
        <v>60480</v>
      </c>
      <c r="K32" s="316">
        <v>0</v>
      </c>
      <c r="L32" s="316">
        <v>0</v>
      </c>
      <c r="M32" s="316">
        <v>0</v>
      </c>
      <c r="N32" s="316">
        <v>12700.8</v>
      </c>
      <c r="O32" s="316">
        <v>0</v>
      </c>
      <c r="P32" s="316">
        <v>0</v>
      </c>
      <c r="Q32" s="316">
        <v>0</v>
      </c>
      <c r="R32" s="316">
        <v>0</v>
      </c>
      <c r="S32" s="316">
        <v>0</v>
      </c>
      <c r="T32" s="316">
        <v>0</v>
      </c>
      <c r="U32" s="316">
        <f t="shared" si="0"/>
        <v>73180.800000000003</v>
      </c>
      <c r="V32" s="238" t="s">
        <v>1351</v>
      </c>
      <c r="W32" s="238" t="s">
        <v>699</v>
      </c>
      <c r="X32" s="238"/>
    </row>
    <row r="33" spans="1:25" s="247" customFormat="1" ht="15" customHeight="1" x14ac:dyDescent="0.25">
      <c r="A33" s="238" t="s">
        <v>1191</v>
      </c>
      <c r="B33" s="238" t="s">
        <v>1191</v>
      </c>
      <c r="C33" s="238" t="s">
        <v>1537</v>
      </c>
      <c r="D33" s="238" t="s">
        <v>1538</v>
      </c>
      <c r="E33" s="238" t="s">
        <v>1539</v>
      </c>
      <c r="F33" s="238" t="s">
        <v>782</v>
      </c>
      <c r="G33" s="316">
        <v>0</v>
      </c>
      <c r="H33" s="316">
        <v>0</v>
      </c>
      <c r="I33" s="316">
        <v>0</v>
      </c>
      <c r="J33" s="316">
        <v>110000</v>
      </c>
      <c r="K33" s="316">
        <v>0</v>
      </c>
      <c r="L33" s="316">
        <v>0</v>
      </c>
      <c r="M33" s="316">
        <v>0</v>
      </c>
      <c r="N33" s="316">
        <v>23100</v>
      </c>
      <c r="O33" s="316">
        <v>0</v>
      </c>
      <c r="P33" s="316">
        <v>0</v>
      </c>
      <c r="Q33" s="316">
        <v>0</v>
      </c>
      <c r="R33" s="316">
        <v>0</v>
      </c>
      <c r="S33" s="316">
        <v>0</v>
      </c>
      <c r="T33" s="316">
        <v>0</v>
      </c>
      <c r="U33" s="316">
        <f t="shared" si="0"/>
        <v>133100</v>
      </c>
      <c r="V33" s="238" t="s">
        <v>1348</v>
      </c>
      <c r="W33" s="238" t="s">
        <v>704</v>
      </c>
      <c r="X33" s="238"/>
      <c r="Y33"/>
    </row>
    <row r="34" spans="1:25" ht="15" customHeight="1" x14ac:dyDescent="0.25">
      <c r="A34" s="238" t="s">
        <v>1057</v>
      </c>
      <c r="B34" s="238" t="s">
        <v>1057</v>
      </c>
      <c r="C34" s="238" t="s">
        <v>1468</v>
      </c>
      <c r="D34" s="238" t="s">
        <v>1469</v>
      </c>
      <c r="E34" s="238" t="s">
        <v>1470</v>
      </c>
      <c r="F34" s="238" t="s">
        <v>782</v>
      </c>
      <c r="G34" s="316">
        <v>0</v>
      </c>
      <c r="H34" s="316">
        <v>0</v>
      </c>
      <c r="I34" s="316">
        <v>0</v>
      </c>
      <c r="J34" s="316">
        <v>783510</v>
      </c>
      <c r="K34" s="316">
        <v>0</v>
      </c>
      <c r="L34" s="316">
        <v>0</v>
      </c>
      <c r="M34" s="316">
        <v>0</v>
      </c>
      <c r="N34" s="316">
        <v>164537.1</v>
      </c>
      <c r="O34" s="316">
        <v>0</v>
      </c>
      <c r="P34" s="316">
        <v>0</v>
      </c>
      <c r="Q34" s="316">
        <v>0</v>
      </c>
      <c r="R34" s="316">
        <v>0</v>
      </c>
      <c r="S34" s="316">
        <v>0</v>
      </c>
      <c r="T34" s="316">
        <v>0</v>
      </c>
      <c r="U34" s="316">
        <f t="shared" si="0"/>
        <v>948047.1</v>
      </c>
      <c r="V34" s="238" t="s">
        <v>1351</v>
      </c>
      <c r="W34" s="238" t="s">
        <v>704</v>
      </c>
      <c r="X34" s="238"/>
    </row>
    <row r="35" spans="1:25" ht="15" customHeight="1" x14ac:dyDescent="0.25">
      <c r="A35" s="238" t="s">
        <v>1220</v>
      </c>
      <c r="B35" s="238" t="s">
        <v>1220</v>
      </c>
      <c r="C35" s="238" t="s">
        <v>1552</v>
      </c>
      <c r="D35" s="238" t="s">
        <v>1469</v>
      </c>
      <c r="E35" s="238" t="s">
        <v>1470</v>
      </c>
      <c r="F35" s="238" t="s">
        <v>782</v>
      </c>
      <c r="G35" s="316">
        <v>0</v>
      </c>
      <c r="H35" s="316">
        <v>0</v>
      </c>
      <c r="I35" s="316">
        <v>0</v>
      </c>
      <c r="J35" s="316">
        <v>682110</v>
      </c>
      <c r="K35" s="316">
        <v>0</v>
      </c>
      <c r="L35" s="316">
        <v>0</v>
      </c>
      <c r="M35" s="316">
        <v>0</v>
      </c>
      <c r="N35" s="316">
        <v>143243.1</v>
      </c>
      <c r="O35" s="316">
        <v>0</v>
      </c>
      <c r="P35" s="316">
        <v>0</v>
      </c>
      <c r="Q35" s="316">
        <v>0</v>
      </c>
      <c r="R35" s="316">
        <v>0</v>
      </c>
      <c r="S35" s="316">
        <v>0</v>
      </c>
      <c r="T35" s="316">
        <v>0</v>
      </c>
      <c r="U35" s="316">
        <f t="shared" si="0"/>
        <v>825353.1</v>
      </c>
      <c r="V35" s="238" t="s">
        <v>1351</v>
      </c>
      <c r="W35" s="238" t="s">
        <v>704</v>
      </c>
      <c r="X35" s="238"/>
    </row>
    <row r="36" spans="1:25" ht="15" customHeight="1" x14ac:dyDescent="0.25">
      <c r="A36" s="238" t="s">
        <v>784</v>
      </c>
      <c r="B36" s="238" t="s">
        <v>784</v>
      </c>
      <c r="C36" s="238" t="s">
        <v>1377</v>
      </c>
      <c r="D36" s="238" t="s">
        <v>1378</v>
      </c>
      <c r="E36" s="238" t="s">
        <v>1379</v>
      </c>
      <c r="F36" s="238" t="s">
        <v>782</v>
      </c>
      <c r="G36" s="316">
        <v>0</v>
      </c>
      <c r="H36" s="316">
        <v>0</v>
      </c>
      <c r="I36" s="316">
        <v>0</v>
      </c>
      <c r="J36" s="316">
        <v>1800000</v>
      </c>
      <c r="K36" s="316">
        <v>0</v>
      </c>
      <c r="L36" s="316">
        <v>0</v>
      </c>
      <c r="M36" s="316">
        <v>0</v>
      </c>
      <c r="N36" s="316">
        <v>378000</v>
      </c>
      <c r="O36" s="316">
        <v>0</v>
      </c>
      <c r="P36" s="316">
        <v>0</v>
      </c>
      <c r="Q36" s="316">
        <v>0</v>
      </c>
      <c r="R36" s="316">
        <v>0</v>
      </c>
      <c r="S36" s="316">
        <v>0</v>
      </c>
      <c r="T36" s="316">
        <v>0</v>
      </c>
      <c r="U36" s="316">
        <f t="shared" si="0"/>
        <v>2178000</v>
      </c>
      <c r="V36" s="238" t="s">
        <v>1351</v>
      </c>
      <c r="W36" s="238" t="s">
        <v>699</v>
      </c>
      <c r="X36" s="238"/>
    </row>
    <row r="37" spans="1:25" ht="15" customHeight="1" x14ac:dyDescent="0.25">
      <c r="A37" s="238" t="s">
        <v>825</v>
      </c>
      <c r="B37" s="238" t="s">
        <v>825</v>
      </c>
      <c r="C37" s="238" t="s">
        <v>1390</v>
      </c>
      <c r="D37" s="238" t="s">
        <v>1391</v>
      </c>
      <c r="E37" s="238" t="s">
        <v>1392</v>
      </c>
      <c r="F37" s="238" t="s">
        <v>782</v>
      </c>
      <c r="G37" s="316">
        <v>0</v>
      </c>
      <c r="H37" s="316">
        <v>0</v>
      </c>
      <c r="I37" s="316">
        <v>0</v>
      </c>
      <c r="J37" s="316">
        <v>41801.370000000003</v>
      </c>
      <c r="K37" s="316">
        <v>0</v>
      </c>
      <c r="L37" s="316">
        <v>0</v>
      </c>
      <c r="M37" s="316">
        <v>0</v>
      </c>
      <c r="N37" s="316">
        <v>8778.2900000000009</v>
      </c>
      <c r="O37" s="316">
        <v>0</v>
      </c>
      <c r="P37" s="316">
        <v>0</v>
      </c>
      <c r="Q37" s="316">
        <v>0</v>
      </c>
      <c r="R37" s="316">
        <v>0</v>
      </c>
      <c r="S37" s="316">
        <v>0</v>
      </c>
      <c r="T37" s="316">
        <v>0</v>
      </c>
      <c r="U37" s="316">
        <f t="shared" si="0"/>
        <v>50579.66</v>
      </c>
      <c r="V37" s="238" t="s">
        <v>1351</v>
      </c>
      <c r="W37" s="238" t="s">
        <v>704</v>
      </c>
      <c r="X37" s="238"/>
    </row>
    <row r="38" spans="1:25" s="247" customFormat="1" ht="15" customHeight="1" x14ac:dyDescent="0.25">
      <c r="A38" s="238" t="s">
        <v>955</v>
      </c>
      <c r="B38" s="238" t="s">
        <v>955</v>
      </c>
      <c r="C38" s="238" t="s">
        <v>1447</v>
      </c>
      <c r="D38" s="238" t="s">
        <v>1448</v>
      </c>
      <c r="E38" s="238" t="s">
        <v>1449</v>
      </c>
      <c r="F38" s="238" t="s">
        <v>782</v>
      </c>
      <c r="G38" s="316">
        <v>0</v>
      </c>
      <c r="H38" s="316">
        <v>0</v>
      </c>
      <c r="I38" s="316">
        <v>0</v>
      </c>
      <c r="J38" s="316">
        <v>6722700.75</v>
      </c>
      <c r="K38" s="316">
        <v>0</v>
      </c>
      <c r="L38" s="316">
        <v>0</v>
      </c>
      <c r="M38" s="316">
        <v>0</v>
      </c>
      <c r="N38" s="316">
        <v>1411767.16</v>
      </c>
      <c r="O38" s="316">
        <v>0</v>
      </c>
      <c r="P38" s="316">
        <v>0</v>
      </c>
      <c r="Q38" s="316">
        <v>0</v>
      </c>
      <c r="R38" s="316">
        <v>0</v>
      </c>
      <c r="S38" s="316">
        <v>0</v>
      </c>
      <c r="T38" s="316">
        <v>268908.03000000003</v>
      </c>
      <c r="U38" s="316">
        <f t="shared" si="0"/>
        <v>8403375.9399999995</v>
      </c>
      <c r="V38" s="238" t="s">
        <v>1351</v>
      </c>
      <c r="W38" s="238" t="s">
        <v>704</v>
      </c>
      <c r="X38" s="238"/>
      <c r="Y38"/>
    </row>
    <row r="39" spans="1:25" ht="15" customHeight="1" x14ac:dyDescent="0.25">
      <c r="A39" s="238" t="s">
        <v>1249</v>
      </c>
      <c r="B39" s="238" t="s">
        <v>1249</v>
      </c>
      <c r="C39" s="238" t="s">
        <v>1557</v>
      </c>
      <c r="D39" s="238" t="s">
        <v>350</v>
      </c>
      <c r="E39" s="238" t="s">
        <v>1558</v>
      </c>
      <c r="F39" s="238" t="s">
        <v>782</v>
      </c>
      <c r="G39" s="316">
        <v>0</v>
      </c>
      <c r="H39" s="316">
        <v>0</v>
      </c>
      <c r="I39" s="316">
        <v>0</v>
      </c>
      <c r="J39" s="316">
        <v>39226.82</v>
      </c>
      <c r="K39" s="316">
        <v>0</v>
      </c>
      <c r="L39" s="316">
        <v>0</v>
      </c>
      <c r="M39" s="316">
        <v>0</v>
      </c>
      <c r="N39" s="316">
        <v>8237.6299999999992</v>
      </c>
      <c r="O39" s="316">
        <v>0</v>
      </c>
      <c r="P39" s="316">
        <v>0</v>
      </c>
      <c r="Q39" s="316">
        <v>0</v>
      </c>
      <c r="R39" s="316">
        <v>0</v>
      </c>
      <c r="S39" s="316">
        <v>0</v>
      </c>
      <c r="T39" s="316">
        <v>1569.07</v>
      </c>
      <c r="U39" s="316">
        <f t="shared" si="0"/>
        <v>49033.52</v>
      </c>
      <c r="V39" s="238" t="s">
        <v>1348</v>
      </c>
      <c r="W39" s="238" t="s">
        <v>699</v>
      </c>
      <c r="X39" s="238"/>
    </row>
    <row r="40" spans="1:25" ht="15" customHeight="1" x14ac:dyDescent="0.25">
      <c r="A40" s="238" t="s">
        <v>1603</v>
      </c>
      <c r="B40" s="238" t="s">
        <v>1603</v>
      </c>
      <c r="C40" s="238" t="s">
        <v>1619</v>
      </c>
      <c r="D40" s="238" t="s">
        <v>1620</v>
      </c>
      <c r="E40" s="238" t="s">
        <v>1621</v>
      </c>
      <c r="F40" s="238" t="s">
        <v>782</v>
      </c>
      <c r="G40" s="316">
        <v>0</v>
      </c>
      <c r="H40" s="316">
        <v>0</v>
      </c>
      <c r="I40" s="316">
        <v>0</v>
      </c>
      <c r="J40" s="316">
        <v>4008264.46</v>
      </c>
      <c r="K40" s="316">
        <v>0</v>
      </c>
      <c r="L40" s="316">
        <v>0</v>
      </c>
      <c r="M40" s="316">
        <v>0</v>
      </c>
      <c r="N40" s="316">
        <v>841735.54</v>
      </c>
      <c r="O40" s="316">
        <v>0</v>
      </c>
      <c r="P40" s="316">
        <v>0</v>
      </c>
      <c r="Q40" s="316">
        <v>0</v>
      </c>
      <c r="R40" s="316">
        <v>0</v>
      </c>
      <c r="S40" s="316">
        <v>0</v>
      </c>
      <c r="T40" s="316">
        <v>0</v>
      </c>
      <c r="U40" s="316">
        <f t="shared" si="0"/>
        <v>4850000</v>
      </c>
      <c r="V40" s="238" t="s">
        <v>1351</v>
      </c>
      <c r="W40" s="238" t="s">
        <v>704</v>
      </c>
      <c r="X40" s="238"/>
    </row>
    <row r="41" spans="1:25" ht="15" customHeight="1" x14ac:dyDescent="0.25">
      <c r="A41" s="238" t="s">
        <v>1098</v>
      </c>
      <c r="B41" s="238" t="s">
        <v>1098</v>
      </c>
      <c r="C41" s="238" t="s">
        <v>1478</v>
      </c>
      <c r="D41" s="238" t="s">
        <v>1479</v>
      </c>
      <c r="E41" s="238" t="s">
        <v>1480</v>
      </c>
      <c r="F41" s="238" t="s">
        <v>782</v>
      </c>
      <c r="G41" s="316">
        <v>0</v>
      </c>
      <c r="H41" s="316">
        <v>0</v>
      </c>
      <c r="I41" s="316">
        <v>0</v>
      </c>
      <c r="J41" s="316">
        <v>162934</v>
      </c>
      <c r="K41" s="316">
        <v>0</v>
      </c>
      <c r="L41" s="316">
        <v>0</v>
      </c>
      <c r="M41" s="316">
        <v>0</v>
      </c>
      <c r="N41" s="316">
        <v>34216.14</v>
      </c>
      <c r="O41" s="316">
        <v>0</v>
      </c>
      <c r="P41" s="316">
        <v>0</v>
      </c>
      <c r="Q41" s="316">
        <v>0</v>
      </c>
      <c r="R41" s="316">
        <v>0</v>
      </c>
      <c r="S41" s="316">
        <v>0</v>
      </c>
      <c r="T41" s="316">
        <v>0</v>
      </c>
      <c r="U41" s="316">
        <f t="shared" si="0"/>
        <v>197150.14</v>
      </c>
      <c r="V41" s="238" t="s">
        <v>1351</v>
      </c>
      <c r="W41" s="238" t="s">
        <v>704</v>
      </c>
      <c r="X41" s="238"/>
    </row>
    <row r="42" spans="1:25" ht="15" customHeight="1" x14ac:dyDescent="0.25">
      <c r="A42" s="238" t="s">
        <v>1562</v>
      </c>
      <c r="B42" s="238" t="s">
        <v>1562</v>
      </c>
      <c r="C42" s="238" t="s">
        <v>1564</v>
      </c>
      <c r="D42" s="238" t="s">
        <v>1479</v>
      </c>
      <c r="E42" s="238" t="s">
        <v>1480</v>
      </c>
      <c r="F42" s="238" t="s">
        <v>782</v>
      </c>
      <c r="G42" s="316">
        <v>0</v>
      </c>
      <c r="H42" s="316">
        <v>0</v>
      </c>
      <c r="I42" s="316">
        <v>0</v>
      </c>
      <c r="J42" s="316">
        <v>83368</v>
      </c>
      <c r="K42" s="316">
        <v>0</v>
      </c>
      <c r="L42" s="316">
        <v>0</v>
      </c>
      <c r="M42" s="316">
        <v>0</v>
      </c>
      <c r="N42" s="316">
        <v>17507.28</v>
      </c>
      <c r="O42" s="316">
        <v>0</v>
      </c>
      <c r="P42" s="316">
        <v>0</v>
      </c>
      <c r="Q42" s="316">
        <v>0</v>
      </c>
      <c r="R42" s="316">
        <v>0</v>
      </c>
      <c r="S42" s="316">
        <v>0</v>
      </c>
      <c r="T42" s="316">
        <v>0</v>
      </c>
      <c r="U42" s="316">
        <f t="shared" si="0"/>
        <v>100875.28</v>
      </c>
      <c r="V42" s="238" t="s">
        <v>1351</v>
      </c>
      <c r="W42" s="238" t="s">
        <v>704</v>
      </c>
      <c r="X42" s="238"/>
    </row>
    <row r="43" spans="1:25" ht="15" customHeight="1" x14ac:dyDescent="0.25">
      <c r="A43" s="238" t="s">
        <v>1285</v>
      </c>
      <c r="B43" s="238" t="s">
        <v>1285</v>
      </c>
      <c r="C43" s="338" t="s">
        <v>1573</v>
      </c>
      <c r="D43" s="238" t="s">
        <v>1479</v>
      </c>
      <c r="E43" s="238" t="s">
        <v>1480</v>
      </c>
      <c r="F43" s="238" t="s">
        <v>782</v>
      </c>
      <c r="G43" s="316">
        <v>0</v>
      </c>
      <c r="H43" s="316">
        <v>0</v>
      </c>
      <c r="I43" s="316">
        <v>0</v>
      </c>
      <c r="J43" s="316">
        <v>140932</v>
      </c>
      <c r="K43" s="316">
        <v>0</v>
      </c>
      <c r="L43" s="316">
        <v>0</v>
      </c>
      <c r="M43" s="316">
        <v>0</v>
      </c>
      <c r="N43" s="316">
        <v>29595.72</v>
      </c>
      <c r="O43" s="316">
        <v>0</v>
      </c>
      <c r="P43" s="316">
        <v>0</v>
      </c>
      <c r="Q43" s="316">
        <v>0</v>
      </c>
      <c r="R43" s="316">
        <v>0</v>
      </c>
      <c r="S43" s="316">
        <v>0</v>
      </c>
      <c r="T43" s="316">
        <v>0</v>
      </c>
      <c r="U43" s="316">
        <f t="shared" si="0"/>
        <v>170527.72</v>
      </c>
      <c r="V43" s="238" t="s">
        <v>1351</v>
      </c>
      <c r="W43" s="238" t="s">
        <v>704</v>
      </c>
      <c r="X43" s="238"/>
    </row>
    <row r="44" spans="1:25" ht="15" customHeight="1" x14ac:dyDescent="0.25">
      <c r="A44" s="238" t="s">
        <v>998</v>
      </c>
      <c r="B44" s="238" t="s">
        <v>998</v>
      </c>
      <c r="C44" s="338" t="s">
        <v>1462</v>
      </c>
      <c r="D44" s="238" t="s">
        <v>389</v>
      </c>
      <c r="E44" s="238" t="s">
        <v>1463</v>
      </c>
      <c r="F44" s="238" t="s">
        <v>782</v>
      </c>
      <c r="G44" s="316">
        <v>0</v>
      </c>
      <c r="H44" s="316">
        <v>0</v>
      </c>
      <c r="I44" s="316">
        <v>0</v>
      </c>
      <c r="J44" s="316">
        <v>26200</v>
      </c>
      <c r="K44" s="316">
        <v>0</v>
      </c>
      <c r="L44" s="316">
        <v>0</v>
      </c>
      <c r="M44" s="316">
        <v>0</v>
      </c>
      <c r="N44" s="316">
        <v>5502</v>
      </c>
      <c r="O44" s="316">
        <v>0</v>
      </c>
      <c r="P44" s="316">
        <v>0</v>
      </c>
      <c r="Q44" s="316">
        <v>0</v>
      </c>
      <c r="R44" s="316">
        <v>0</v>
      </c>
      <c r="S44" s="316">
        <v>0</v>
      </c>
      <c r="T44" s="316">
        <v>0</v>
      </c>
      <c r="U44" s="316">
        <f t="shared" si="0"/>
        <v>31702</v>
      </c>
      <c r="V44" s="238" t="s">
        <v>1351</v>
      </c>
      <c r="W44" s="238">
        <v>81</v>
      </c>
      <c r="X44" s="238"/>
    </row>
    <row r="45" spans="1:25" ht="15" customHeight="1" x14ac:dyDescent="0.25">
      <c r="A45" s="238" t="s">
        <v>1126</v>
      </c>
      <c r="B45" s="238" t="s">
        <v>1126</v>
      </c>
      <c r="C45" s="338" t="s">
        <v>1506</v>
      </c>
      <c r="D45" s="238" t="s">
        <v>389</v>
      </c>
      <c r="E45" s="238" t="s">
        <v>1463</v>
      </c>
      <c r="F45" s="238" t="s">
        <v>782</v>
      </c>
      <c r="G45" s="316">
        <v>0</v>
      </c>
      <c r="H45" s="316">
        <v>0</v>
      </c>
      <c r="I45" s="316">
        <v>0</v>
      </c>
      <c r="J45" s="316">
        <v>17000</v>
      </c>
      <c r="K45" s="316">
        <v>0</v>
      </c>
      <c r="L45" s="316">
        <v>0</v>
      </c>
      <c r="M45" s="316">
        <v>0</v>
      </c>
      <c r="N45" s="316">
        <v>3570</v>
      </c>
      <c r="O45" s="316">
        <v>0</v>
      </c>
      <c r="P45" s="316">
        <v>0</v>
      </c>
      <c r="Q45" s="316">
        <v>0</v>
      </c>
      <c r="R45" s="316">
        <v>0</v>
      </c>
      <c r="S45" s="316">
        <v>0</v>
      </c>
      <c r="T45" s="316">
        <v>0</v>
      </c>
      <c r="U45" s="316">
        <f t="shared" si="0"/>
        <v>20570</v>
      </c>
      <c r="V45" s="238" t="s">
        <v>1351</v>
      </c>
      <c r="W45" s="238">
        <v>81</v>
      </c>
      <c r="X45" s="238"/>
    </row>
    <row r="46" spans="1:25" ht="15" customHeight="1" x14ac:dyDescent="0.25">
      <c r="A46" s="238" t="s">
        <v>1603</v>
      </c>
      <c r="B46" s="238" t="s">
        <v>1603</v>
      </c>
      <c r="C46" s="338" t="s">
        <v>1611</v>
      </c>
      <c r="D46" s="238" t="s">
        <v>389</v>
      </c>
      <c r="E46" s="238" t="s">
        <v>1463</v>
      </c>
      <c r="F46" s="238" t="s">
        <v>782</v>
      </c>
      <c r="G46" s="316">
        <v>0</v>
      </c>
      <c r="H46" s="316">
        <v>0</v>
      </c>
      <c r="I46" s="316">
        <v>0</v>
      </c>
      <c r="J46" s="316">
        <v>14000</v>
      </c>
      <c r="K46" s="316">
        <v>0</v>
      </c>
      <c r="L46" s="316">
        <v>0</v>
      </c>
      <c r="M46" s="316">
        <v>0</v>
      </c>
      <c r="N46" s="316">
        <v>2940</v>
      </c>
      <c r="O46" s="316">
        <v>0</v>
      </c>
      <c r="P46" s="316">
        <v>0</v>
      </c>
      <c r="Q46" s="316">
        <v>0</v>
      </c>
      <c r="R46" s="316">
        <v>0</v>
      </c>
      <c r="S46" s="316">
        <v>0</v>
      </c>
      <c r="T46" s="316">
        <v>0</v>
      </c>
      <c r="U46" s="316">
        <f t="shared" si="0"/>
        <v>16940</v>
      </c>
      <c r="V46" s="238" t="s">
        <v>1351</v>
      </c>
      <c r="W46" s="238">
        <v>81</v>
      </c>
      <c r="X46" s="238"/>
    </row>
    <row r="47" spans="1:25" s="247" customFormat="1" ht="15" customHeight="1" x14ac:dyDescent="0.25">
      <c r="A47" s="238" t="s">
        <v>779</v>
      </c>
      <c r="B47" s="238" t="s">
        <v>779</v>
      </c>
      <c r="C47" s="338" t="s">
        <v>1352</v>
      </c>
      <c r="D47" s="238" t="s">
        <v>475</v>
      </c>
      <c r="E47" s="238" t="s">
        <v>1353</v>
      </c>
      <c r="F47" s="238" t="s">
        <v>782</v>
      </c>
      <c r="G47" s="316">
        <v>0</v>
      </c>
      <c r="H47" s="316">
        <v>0</v>
      </c>
      <c r="I47" s="316">
        <v>0</v>
      </c>
      <c r="J47" s="316">
        <v>20749.09</v>
      </c>
      <c r="K47" s="316">
        <v>0</v>
      </c>
      <c r="L47" s="316">
        <v>0</v>
      </c>
      <c r="M47" s="316">
        <v>0</v>
      </c>
      <c r="N47" s="316">
        <v>4357.3100000000004</v>
      </c>
      <c r="O47" s="316">
        <v>3489.83</v>
      </c>
      <c r="P47" s="316">
        <v>0</v>
      </c>
      <c r="Q47" s="316">
        <v>0</v>
      </c>
      <c r="R47" s="316">
        <v>397.76</v>
      </c>
      <c r="S47" s="316">
        <v>0</v>
      </c>
      <c r="T47" s="316">
        <v>0</v>
      </c>
      <c r="U47" s="316">
        <f t="shared" si="0"/>
        <v>28993.99</v>
      </c>
      <c r="V47" s="238" t="s">
        <v>1348</v>
      </c>
      <c r="W47" s="238">
        <v>81</v>
      </c>
      <c r="X47" s="238"/>
      <c r="Y47"/>
    </row>
    <row r="48" spans="1:25" ht="15" customHeight="1" x14ac:dyDescent="0.25">
      <c r="A48" s="238" t="s">
        <v>825</v>
      </c>
      <c r="B48" s="238" t="s">
        <v>825</v>
      </c>
      <c r="C48" s="338" t="s">
        <v>1404</v>
      </c>
      <c r="D48" s="238" t="s">
        <v>475</v>
      </c>
      <c r="E48" s="238" t="s">
        <v>1353</v>
      </c>
      <c r="F48" s="238" t="s">
        <v>782</v>
      </c>
      <c r="G48" s="316">
        <v>0</v>
      </c>
      <c r="H48" s="316">
        <v>0</v>
      </c>
      <c r="I48" s="316">
        <v>0</v>
      </c>
      <c r="J48" s="316">
        <v>73327.399999999994</v>
      </c>
      <c r="K48" s="316">
        <v>0</v>
      </c>
      <c r="L48" s="316">
        <v>0</v>
      </c>
      <c r="M48" s="316">
        <v>0</v>
      </c>
      <c r="N48" s="316">
        <v>15398.75</v>
      </c>
      <c r="O48" s="316">
        <v>10121.299999999999</v>
      </c>
      <c r="P48" s="316">
        <v>0</v>
      </c>
      <c r="Q48" s="316">
        <v>0</v>
      </c>
      <c r="R48" s="316">
        <v>1153.5899999999999</v>
      </c>
      <c r="S48" s="316">
        <v>0</v>
      </c>
      <c r="T48" s="316">
        <v>0</v>
      </c>
      <c r="U48" s="316">
        <f t="shared" si="0"/>
        <v>100001.04</v>
      </c>
      <c r="V48" s="238" t="s">
        <v>1348</v>
      </c>
      <c r="W48" s="238">
        <v>81</v>
      </c>
      <c r="X48" s="238"/>
    </row>
    <row r="49" spans="1:25" ht="15" customHeight="1" x14ac:dyDescent="0.25">
      <c r="A49" s="238" t="s">
        <v>1603</v>
      </c>
      <c r="B49" s="238" t="s">
        <v>1603</v>
      </c>
      <c r="C49" s="338" t="s">
        <v>1623</v>
      </c>
      <c r="D49" s="238" t="s">
        <v>490</v>
      </c>
      <c r="E49" s="238" t="s">
        <v>1376</v>
      </c>
      <c r="F49" s="238" t="s">
        <v>782</v>
      </c>
      <c r="G49" s="316">
        <v>0</v>
      </c>
      <c r="H49" s="316">
        <v>0</v>
      </c>
      <c r="I49" s="316">
        <v>0</v>
      </c>
      <c r="J49" s="316">
        <v>2392500</v>
      </c>
      <c r="K49" s="316">
        <v>0</v>
      </c>
      <c r="L49" s="316">
        <v>0</v>
      </c>
      <c r="M49" s="316">
        <v>0</v>
      </c>
      <c r="N49" s="316">
        <v>502425</v>
      </c>
      <c r="O49" s="316">
        <v>0</v>
      </c>
      <c r="P49" s="316">
        <v>0</v>
      </c>
      <c r="Q49" s="316">
        <v>0</v>
      </c>
      <c r="R49" s="316"/>
      <c r="S49" s="316">
        <v>0</v>
      </c>
      <c r="T49" s="316">
        <v>95700</v>
      </c>
      <c r="U49" s="316">
        <f t="shared" si="0"/>
        <v>2990625</v>
      </c>
      <c r="V49" s="238" t="s">
        <v>1351</v>
      </c>
      <c r="W49" s="238" t="s">
        <v>704</v>
      </c>
      <c r="X49" s="238"/>
    </row>
    <row r="50" spans="1:25" ht="15" customHeight="1" x14ac:dyDescent="0.25">
      <c r="A50" s="238" t="s">
        <v>955</v>
      </c>
      <c r="B50" s="238" t="s">
        <v>955</v>
      </c>
      <c r="C50" s="338" t="s">
        <v>1443</v>
      </c>
      <c r="D50" s="238" t="s">
        <v>452</v>
      </c>
      <c r="E50" s="238" t="s">
        <v>1442</v>
      </c>
      <c r="F50" s="238" t="s">
        <v>782</v>
      </c>
      <c r="G50" s="316">
        <v>0</v>
      </c>
      <c r="H50" s="316">
        <v>0</v>
      </c>
      <c r="I50" s="316">
        <v>0</v>
      </c>
      <c r="J50" s="316">
        <v>1026246</v>
      </c>
      <c r="K50" s="316">
        <v>0</v>
      </c>
      <c r="L50" s="316">
        <v>0</v>
      </c>
      <c r="M50" s="316">
        <v>0</v>
      </c>
      <c r="N50" s="316">
        <v>215511.66</v>
      </c>
      <c r="O50" s="316">
        <v>0</v>
      </c>
      <c r="P50" s="316">
        <v>0</v>
      </c>
      <c r="Q50" s="316">
        <v>0</v>
      </c>
      <c r="R50" s="316">
        <v>0</v>
      </c>
      <c r="S50" s="316">
        <v>0</v>
      </c>
      <c r="T50" s="316">
        <v>0</v>
      </c>
      <c r="U50" s="316">
        <f t="shared" si="0"/>
        <v>1241757.6599999999</v>
      </c>
      <c r="V50" s="238" t="s">
        <v>1351</v>
      </c>
      <c r="W50" s="238" t="s">
        <v>699</v>
      </c>
      <c r="X50" s="238"/>
    </row>
    <row r="51" spans="1:25" ht="15" customHeight="1" x14ac:dyDescent="0.25">
      <c r="A51" s="238" t="s">
        <v>955</v>
      </c>
      <c r="B51" s="238" t="s">
        <v>955</v>
      </c>
      <c r="C51" s="338" t="s">
        <v>1441</v>
      </c>
      <c r="D51" s="238" t="s">
        <v>452</v>
      </c>
      <c r="E51" s="238" t="s">
        <v>1442</v>
      </c>
      <c r="F51" s="238" t="s">
        <v>782</v>
      </c>
      <c r="G51" s="316">
        <v>0</v>
      </c>
      <c r="H51" s="316">
        <v>0</v>
      </c>
      <c r="I51" s="316">
        <v>0</v>
      </c>
      <c r="J51" s="316">
        <v>142068</v>
      </c>
      <c r="K51" s="316">
        <v>0</v>
      </c>
      <c r="L51" s="316">
        <v>0</v>
      </c>
      <c r="M51" s="316">
        <v>0</v>
      </c>
      <c r="N51" s="316">
        <v>29834.28</v>
      </c>
      <c r="O51" s="316">
        <v>0</v>
      </c>
      <c r="P51" s="316">
        <v>0</v>
      </c>
      <c r="Q51" s="316">
        <v>0</v>
      </c>
      <c r="R51" s="316">
        <v>0</v>
      </c>
      <c r="S51" s="316">
        <v>0</v>
      </c>
      <c r="T51" s="316">
        <v>0</v>
      </c>
      <c r="U51" s="316">
        <f t="shared" si="0"/>
        <v>171902.28</v>
      </c>
      <c r="V51" s="238" t="s">
        <v>1351</v>
      </c>
      <c r="W51" s="238" t="s">
        <v>699</v>
      </c>
      <c r="X51" s="238"/>
    </row>
    <row r="52" spans="1:25" ht="15" customHeight="1" x14ac:dyDescent="0.25">
      <c r="A52" s="238" t="s">
        <v>1126</v>
      </c>
      <c r="B52" s="238" t="s">
        <v>1126</v>
      </c>
      <c r="C52" s="338" t="s">
        <v>1496</v>
      </c>
      <c r="D52" s="238" t="s">
        <v>452</v>
      </c>
      <c r="E52" s="238" t="s">
        <v>1442</v>
      </c>
      <c r="F52" s="238" t="s">
        <v>782</v>
      </c>
      <c r="G52" s="316">
        <v>0</v>
      </c>
      <c r="H52" s="316">
        <v>0</v>
      </c>
      <c r="I52" s="316">
        <v>0</v>
      </c>
      <c r="J52" s="316">
        <v>89188</v>
      </c>
      <c r="K52" s="316">
        <v>0</v>
      </c>
      <c r="L52" s="316">
        <v>0</v>
      </c>
      <c r="M52" s="316">
        <v>0</v>
      </c>
      <c r="N52" s="316">
        <v>18729.48</v>
      </c>
      <c r="O52" s="316">
        <v>0</v>
      </c>
      <c r="P52" s="316">
        <v>0</v>
      </c>
      <c r="Q52" s="316">
        <v>0</v>
      </c>
      <c r="R52" s="316">
        <v>0</v>
      </c>
      <c r="S52" s="316">
        <v>0</v>
      </c>
      <c r="T52" s="316">
        <v>0</v>
      </c>
      <c r="U52" s="316">
        <f t="shared" si="0"/>
        <v>107917.48</v>
      </c>
      <c r="V52" s="238" t="s">
        <v>1351</v>
      </c>
      <c r="W52" s="238" t="s">
        <v>699</v>
      </c>
      <c r="X52" s="238"/>
    </row>
    <row r="53" spans="1:25" ht="15" customHeight="1" x14ac:dyDescent="0.25">
      <c r="A53" s="238" t="s">
        <v>1164</v>
      </c>
      <c r="B53" s="238" t="s">
        <v>1164</v>
      </c>
      <c r="C53" s="338" t="s">
        <v>1521</v>
      </c>
      <c r="D53" s="238" t="s">
        <v>452</v>
      </c>
      <c r="E53" s="238" t="s">
        <v>1442</v>
      </c>
      <c r="F53" s="238" t="s">
        <v>782</v>
      </c>
      <c r="G53" s="316">
        <v>0</v>
      </c>
      <c r="H53" s="316">
        <v>0</v>
      </c>
      <c r="I53" s="316">
        <v>0</v>
      </c>
      <c r="J53" s="316">
        <v>332368</v>
      </c>
      <c r="K53" s="316">
        <v>0</v>
      </c>
      <c r="L53" s="316">
        <v>0</v>
      </c>
      <c r="M53" s="316">
        <v>0</v>
      </c>
      <c r="N53" s="316">
        <v>69797.279999999999</v>
      </c>
      <c r="O53" s="316">
        <v>0</v>
      </c>
      <c r="P53" s="316">
        <v>0</v>
      </c>
      <c r="Q53" s="316">
        <v>0</v>
      </c>
      <c r="R53" s="316">
        <v>0</v>
      </c>
      <c r="S53" s="316">
        <v>0</v>
      </c>
      <c r="T53" s="316">
        <v>0</v>
      </c>
      <c r="U53" s="316">
        <f t="shared" si="0"/>
        <v>402165.28</v>
      </c>
      <c r="V53" s="238" t="s">
        <v>1351</v>
      </c>
      <c r="W53" s="238" t="s">
        <v>699</v>
      </c>
      <c r="X53" s="238"/>
    </row>
    <row r="54" spans="1:25" ht="15" customHeight="1" x14ac:dyDescent="0.25">
      <c r="A54" s="238" t="s">
        <v>1164</v>
      </c>
      <c r="B54" s="238" t="s">
        <v>1164</v>
      </c>
      <c r="C54" s="338" t="s">
        <v>1520</v>
      </c>
      <c r="D54" s="238" t="s">
        <v>452</v>
      </c>
      <c r="E54" s="238" t="s">
        <v>1442</v>
      </c>
      <c r="F54" s="238" t="s">
        <v>782</v>
      </c>
      <c r="G54" s="316">
        <v>0</v>
      </c>
      <c r="H54" s="316">
        <v>0</v>
      </c>
      <c r="I54" s="316">
        <v>0</v>
      </c>
      <c r="J54" s="316">
        <v>137991</v>
      </c>
      <c r="K54" s="316">
        <v>0</v>
      </c>
      <c r="L54" s="316">
        <v>0</v>
      </c>
      <c r="M54" s="316">
        <v>0</v>
      </c>
      <c r="N54" s="316">
        <v>28978.11</v>
      </c>
      <c r="O54" s="316">
        <v>0</v>
      </c>
      <c r="P54" s="316">
        <v>0</v>
      </c>
      <c r="Q54" s="316">
        <v>0</v>
      </c>
      <c r="R54" s="316">
        <v>0</v>
      </c>
      <c r="S54" s="316">
        <v>0</v>
      </c>
      <c r="T54" s="316">
        <v>0</v>
      </c>
      <c r="U54" s="316">
        <f t="shared" si="0"/>
        <v>166969.10999999999</v>
      </c>
      <c r="V54" s="238" t="s">
        <v>1351</v>
      </c>
      <c r="W54" s="238" t="s">
        <v>699</v>
      </c>
      <c r="X54" s="238"/>
    </row>
    <row r="55" spans="1:25" ht="15" customHeight="1" x14ac:dyDescent="0.25">
      <c r="A55" s="238" t="s">
        <v>825</v>
      </c>
      <c r="B55" s="238" t="s">
        <v>825</v>
      </c>
      <c r="C55" s="338" t="s">
        <v>1396</v>
      </c>
      <c r="D55" s="238" t="s">
        <v>1397</v>
      </c>
      <c r="E55" s="238" t="s">
        <v>1398</v>
      </c>
      <c r="F55" s="238" t="s">
        <v>782</v>
      </c>
      <c r="G55" s="316">
        <v>0</v>
      </c>
      <c r="H55" s="316">
        <v>0</v>
      </c>
      <c r="I55" s="316">
        <v>0</v>
      </c>
      <c r="J55" s="316">
        <v>700000</v>
      </c>
      <c r="K55" s="316">
        <v>0</v>
      </c>
      <c r="L55" s="316">
        <v>0</v>
      </c>
      <c r="M55" s="316">
        <v>0</v>
      </c>
      <c r="N55" s="316">
        <v>147000</v>
      </c>
      <c r="O55" s="316">
        <v>0</v>
      </c>
      <c r="P55" s="316">
        <v>0</v>
      </c>
      <c r="Q55" s="316">
        <v>0</v>
      </c>
      <c r="R55" s="316">
        <v>0</v>
      </c>
      <c r="S55" s="316">
        <v>0</v>
      </c>
      <c r="T55" s="316">
        <v>0</v>
      </c>
      <c r="U55" s="316">
        <f t="shared" si="0"/>
        <v>847000</v>
      </c>
      <c r="V55" s="238" t="s">
        <v>1351</v>
      </c>
      <c r="W55" s="238" t="s">
        <v>704</v>
      </c>
      <c r="X55" s="238"/>
    </row>
    <row r="56" spans="1:25" ht="15" customHeight="1" x14ac:dyDescent="0.25">
      <c r="A56" s="238" t="s">
        <v>1316</v>
      </c>
      <c r="B56" s="238" t="s">
        <v>1316</v>
      </c>
      <c r="C56" s="338" t="s">
        <v>1586</v>
      </c>
      <c r="D56" s="238" t="s">
        <v>1587</v>
      </c>
      <c r="E56" s="238" t="s">
        <v>1588</v>
      </c>
      <c r="F56" s="238" t="s">
        <v>782</v>
      </c>
      <c r="G56" s="316">
        <v>0</v>
      </c>
      <c r="H56" s="316">
        <v>0</v>
      </c>
      <c r="I56" s="316">
        <v>386400</v>
      </c>
      <c r="J56" s="316">
        <v>0</v>
      </c>
      <c r="K56" s="316">
        <v>0</v>
      </c>
      <c r="L56" s="316">
        <v>0</v>
      </c>
      <c r="M56" s="316">
        <v>0</v>
      </c>
      <c r="N56" s="316">
        <v>40572</v>
      </c>
      <c r="O56" s="316">
        <v>0</v>
      </c>
      <c r="P56" s="316">
        <v>0</v>
      </c>
      <c r="Q56" s="316">
        <v>0</v>
      </c>
      <c r="R56" s="316">
        <v>0</v>
      </c>
      <c r="S56" s="316">
        <v>0</v>
      </c>
      <c r="T56" s="316">
        <v>0</v>
      </c>
      <c r="U56" s="316">
        <f t="shared" si="0"/>
        <v>426972</v>
      </c>
      <c r="V56" s="238" t="s">
        <v>1351</v>
      </c>
      <c r="W56" s="238" t="s">
        <v>704</v>
      </c>
      <c r="X56" s="238"/>
    </row>
    <row r="57" spans="1:25" ht="15" customHeight="1" x14ac:dyDescent="0.25">
      <c r="A57" s="238" t="s">
        <v>1191</v>
      </c>
      <c r="B57" s="238" t="s">
        <v>1191</v>
      </c>
      <c r="C57" s="338" t="s">
        <v>1531</v>
      </c>
      <c r="D57" s="238" t="s">
        <v>1532</v>
      </c>
      <c r="E57" s="238" t="s">
        <v>1533</v>
      </c>
      <c r="F57" s="238" t="s">
        <v>782</v>
      </c>
      <c r="G57" s="316">
        <v>0</v>
      </c>
      <c r="H57" s="316">
        <v>0</v>
      </c>
      <c r="I57" s="316">
        <v>0</v>
      </c>
      <c r="J57" s="316">
        <v>20429.759999999998</v>
      </c>
      <c r="K57" s="316">
        <v>0</v>
      </c>
      <c r="L57" s="316">
        <v>0</v>
      </c>
      <c r="M57" s="316">
        <v>0</v>
      </c>
      <c r="N57" s="316">
        <v>4290.25</v>
      </c>
      <c r="O57" s="316">
        <v>0</v>
      </c>
      <c r="P57" s="316">
        <v>0</v>
      </c>
      <c r="Q57" s="316">
        <v>0</v>
      </c>
      <c r="R57" s="316">
        <v>0</v>
      </c>
      <c r="S57" s="316">
        <v>0</v>
      </c>
      <c r="T57" s="316">
        <v>0</v>
      </c>
      <c r="U57" s="316">
        <f t="shared" si="0"/>
        <v>24720.01</v>
      </c>
      <c r="V57" s="238"/>
      <c r="W57" s="238" t="s">
        <v>704</v>
      </c>
      <c r="X57" s="238"/>
    </row>
    <row r="58" spans="1:25" ht="15" customHeight="1" x14ac:dyDescent="0.25">
      <c r="A58" s="238" t="s">
        <v>825</v>
      </c>
      <c r="B58" s="238" t="s">
        <v>825</v>
      </c>
      <c r="C58" s="338" t="s">
        <v>1402</v>
      </c>
      <c r="D58" s="238" t="s">
        <v>43</v>
      </c>
      <c r="E58" s="238" t="s">
        <v>1403</v>
      </c>
      <c r="F58" s="238" t="s">
        <v>782</v>
      </c>
      <c r="G58" s="316">
        <v>0</v>
      </c>
      <c r="H58" s="316">
        <v>0</v>
      </c>
      <c r="I58" s="316">
        <v>0</v>
      </c>
      <c r="J58" s="316">
        <v>521936</v>
      </c>
      <c r="K58" s="316">
        <v>0</v>
      </c>
      <c r="L58" s="316">
        <v>0</v>
      </c>
      <c r="M58" s="316">
        <v>0</v>
      </c>
      <c r="N58" s="316">
        <v>109606.56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f t="shared" si="0"/>
        <v>631542.56000000006</v>
      </c>
      <c r="V58" s="238" t="s">
        <v>1351</v>
      </c>
      <c r="W58" s="238" t="s">
        <v>699</v>
      </c>
      <c r="X58" s="238"/>
    </row>
    <row r="59" spans="1:25" ht="15" customHeight="1" x14ac:dyDescent="0.25">
      <c r="A59" s="238" t="s">
        <v>955</v>
      </c>
      <c r="B59" s="238" t="s">
        <v>955</v>
      </c>
      <c r="C59" s="338" t="s">
        <v>1440</v>
      </c>
      <c r="D59" s="238" t="s">
        <v>475</v>
      </c>
      <c r="E59" s="238" t="s">
        <v>1353</v>
      </c>
      <c r="F59" s="238" t="s">
        <v>782</v>
      </c>
      <c r="G59" s="316">
        <v>0</v>
      </c>
      <c r="H59" s="316">
        <v>0</v>
      </c>
      <c r="I59" s="316">
        <v>0</v>
      </c>
      <c r="J59" s="316">
        <v>64264.47</v>
      </c>
      <c r="K59" s="316">
        <v>0</v>
      </c>
      <c r="L59" s="316">
        <v>0</v>
      </c>
      <c r="M59" s="316">
        <v>0</v>
      </c>
      <c r="N59" s="316">
        <v>13495.54</v>
      </c>
      <c r="O59" s="316">
        <v>0</v>
      </c>
      <c r="P59" s="316">
        <v>0</v>
      </c>
      <c r="Q59" s="316">
        <v>0</v>
      </c>
      <c r="R59" s="316">
        <v>9837.9599999999991</v>
      </c>
      <c r="S59" s="316">
        <v>0</v>
      </c>
      <c r="T59" s="316">
        <v>0</v>
      </c>
      <c r="U59" s="316">
        <f t="shared" si="0"/>
        <v>87597.97</v>
      </c>
      <c r="V59" s="238" t="s">
        <v>1348</v>
      </c>
      <c r="W59" s="238">
        <v>81</v>
      </c>
      <c r="X59" s="238"/>
    </row>
    <row r="60" spans="1:25" ht="15" customHeight="1" x14ac:dyDescent="0.25">
      <c r="A60" s="238" t="s">
        <v>1098</v>
      </c>
      <c r="B60" s="238" t="s">
        <v>1098</v>
      </c>
      <c r="C60" s="338" t="s">
        <v>1477</v>
      </c>
      <c r="D60" s="238" t="s">
        <v>475</v>
      </c>
      <c r="E60" s="238" t="s">
        <v>1353</v>
      </c>
      <c r="F60" s="238" t="s">
        <v>782</v>
      </c>
      <c r="G60" s="316">
        <v>0</v>
      </c>
      <c r="H60" s="316">
        <v>0</v>
      </c>
      <c r="I60" s="316">
        <v>0</v>
      </c>
      <c r="J60" s="316">
        <v>29354.14</v>
      </c>
      <c r="K60" s="316">
        <v>0</v>
      </c>
      <c r="L60" s="316">
        <v>0</v>
      </c>
      <c r="M60" s="316">
        <v>0</v>
      </c>
      <c r="N60" s="316">
        <v>6164.37</v>
      </c>
      <c r="O60" s="316">
        <v>0</v>
      </c>
      <c r="P60" s="316">
        <v>0</v>
      </c>
      <c r="Q60" s="316">
        <v>0</v>
      </c>
      <c r="R60" s="316">
        <v>4482.4399999999996</v>
      </c>
      <c r="S60" s="316">
        <v>0</v>
      </c>
      <c r="T60" s="316">
        <v>0</v>
      </c>
      <c r="U60" s="316">
        <f t="shared" si="0"/>
        <v>40000.950000000004</v>
      </c>
      <c r="V60" s="238" t="s">
        <v>1348</v>
      </c>
      <c r="W60" s="238">
        <v>81</v>
      </c>
      <c r="X60" s="238"/>
    </row>
    <row r="61" spans="1:25" ht="15" customHeight="1" x14ac:dyDescent="0.25">
      <c r="A61" s="238" t="s">
        <v>1565</v>
      </c>
      <c r="B61" s="238" t="s">
        <v>1565</v>
      </c>
      <c r="C61" s="338" t="s">
        <v>1566</v>
      </c>
      <c r="D61" s="238" t="s">
        <v>475</v>
      </c>
      <c r="E61" s="238" t="s">
        <v>1353</v>
      </c>
      <c r="F61" s="238" t="s">
        <v>782</v>
      </c>
      <c r="G61" s="316">
        <v>0</v>
      </c>
      <c r="H61" s="316">
        <v>0</v>
      </c>
      <c r="I61" s="316">
        <v>0</v>
      </c>
      <c r="J61" s="316">
        <v>13927.91</v>
      </c>
      <c r="K61" s="316">
        <v>0</v>
      </c>
      <c r="L61" s="316">
        <v>0</v>
      </c>
      <c r="M61" s="316">
        <v>0</v>
      </c>
      <c r="N61" s="316">
        <v>2924.86</v>
      </c>
      <c r="O61" s="316">
        <v>0</v>
      </c>
      <c r="P61" s="316">
        <v>0</v>
      </c>
      <c r="Q61" s="316">
        <v>0</v>
      </c>
      <c r="R61" s="316">
        <v>2057.2800000000002</v>
      </c>
      <c r="S61" s="316">
        <v>0</v>
      </c>
      <c r="T61" s="316">
        <v>0</v>
      </c>
      <c r="U61" s="316">
        <f t="shared" si="0"/>
        <v>18910.05</v>
      </c>
      <c r="V61" s="238" t="s">
        <v>1348</v>
      </c>
      <c r="W61" s="238">
        <v>81</v>
      </c>
      <c r="X61" s="238"/>
    </row>
    <row r="62" spans="1:25" s="247" customFormat="1" ht="15" customHeight="1" x14ac:dyDescent="0.25">
      <c r="A62" s="238" t="s">
        <v>1569</v>
      </c>
      <c r="B62" s="238" t="s">
        <v>1569</v>
      </c>
      <c r="C62" s="338" t="s">
        <v>1570</v>
      </c>
      <c r="D62" s="238" t="s">
        <v>475</v>
      </c>
      <c r="E62" s="238" t="s">
        <v>1353</v>
      </c>
      <c r="F62" s="238" t="s">
        <v>782</v>
      </c>
      <c r="G62" s="316">
        <v>0</v>
      </c>
      <c r="H62" s="316">
        <v>0</v>
      </c>
      <c r="I62" s="316">
        <v>0</v>
      </c>
      <c r="J62" s="316">
        <v>73663.81</v>
      </c>
      <c r="K62" s="316">
        <v>0</v>
      </c>
      <c r="L62" s="316">
        <v>0</v>
      </c>
      <c r="M62" s="316">
        <v>0</v>
      </c>
      <c r="N62" s="316">
        <v>15469.4</v>
      </c>
      <c r="O62" s="316">
        <v>9767.5300000000007</v>
      </c>
      <c r="P62" s="316">
        <v>0</v>
      </c>
      <c r="Q62" s="316">
        <v>0</v>
      </c>
      <c r="R62" s="316">
        <v>1113.27</v>
      </c>
      <c r="S62" s="316">
        <v>0</v>
      </c>
      <c r="T62" s="316">
        <v>0</v>
      </c>
      <c r="U62" s="316">
        <f t="shared" si="0"/>
        <v>100014.01</v>
      </c>
      <c r="V62" s="238" t="s">
        <v>1348</v>
      </c>
      <c r="W62" s="238">
        <v>81</v>
      </c>
      <c r="X62" s="238"/>
      <c r="Y62"/>
    </row>
    <row r="63" spans="1:25" ht="15" customHeight="1" x14ac:dyDescent="0.25">
      <c r="A63" s="238" t="s">
        <v>998</v>
      </c>
      <c r="B63" s="238" t="s">
        <v>998</v>
      </c>
      <c r="C63" s="338" t="s">
        <v>1459</v>
      </c>
      <c r="D63" s="238" t="s">
        <v>1460</v>
      </c>
      <c r="E63" s="238" t="s">
        <v>1461</v>
      </c>
      <c r="F63" s="238" t="s">
        <v>782</v>
      </c>
      <c r="G63" s="316">
        <v>0</v>
      </c>
      <c r="H63" s="316">
        <v>0</v>
      </c>
      <c r="I63" s="316">
        <v>0</v>
      </c>
      <c r="J63" s="316">
        <v>140000</v>
      </c>
      <c r="K63" s="316">
        <v>0</v>
      </c>
      <c r="L63" s="316">
        <v>0</v>
      </c>
      <c r="M63" s="316">
        <v>0</v>
      </c>
      <c r="N63" s="316">
        <v>29400</v>
      </c>
      <c r="O63" s="316">
        <v>0</v>
      </c>
      <c r="P63" s="316">
        <v>0</v>
      </c>
      <c r="Q63" s="316">
        <v>0</v>
      </c>
      <c r="R63" s="316">
        <v>0</v>
      </c>
      <c r="S63" s="316">
        <v>0</v>
      </c>
      <c r="T63" s="316">
        <v>0</v>
      </c>
      <c r="U63" s="316">
        <f t="shared" si="0"/>
        <v>169400</v>
      </c>
      <c r="V63" s="238" t="s">
        <v>1351</v>
      </c>
      <c r="W63" s="238" t="s">
        <v>699</v>
      </c>
      <c r="X63" s="238"/>
    </row>
    <row r="64" spans="1:25" ht="15" customHeight="1" x14ac:dyDescent="0.25">
      <c r="A64" s="238" t="s">
        <v>1316</v>
      </c>
      <c r="B64" s="238" t="s">
        <v>1316</v>
      </c>
      <c r="C64" s="338" t="s">
        <v>1577</v>
      </c>
      <c r="D64" s="238" t="s">
        <v>475</v>
      </c>
      <c r="E64" s="238" t="s">
        <v>1353</v>
      </c>
      <c r="F64" s="238" t="s">
        <v>782</v>
      </c>
      <c r="G64" s="316">
        <v>0</v>
      </c>
      <c r="H64" s="316">
        <v>0</v>
      </c>
      <c r="I64" s="316">
        <v>0</v>
      </c>
      <c r="J64" s="316">
        <v>47819.03</v>
      </c>
      <c r="K64" s="316">
        <v>0</v>
      </c>
      <c r="L64" s="316">
        <v>0</v>
      </c>
      <c r="M64" s="316">
        <v>0</v>
      </c>
      <c r="N64" s="316">
        <v>10042</v>
      </c>
      <c r="O64" s="316">
        <v>731</v>
      </c>
      <c r="P64" s="316">
        <v>0</v>
      </c>
      <c r="Q64" s="316">
        <v>0</v>
      </c>
      <c r="R64" s="316">
        <v>6408</v>
      </c>
      <c r="S64" s="316">
        <v>0</v>
      </c>
      <c r="T64" s="316">
        <v>0</v>
      </c>
      <c r="U64" s="316">
        <f t="shared" si="0"/>
        <v>65000.03</v>
      </c>
      <c r="V64" s="238" t="s">
        <v>1348</v>
      </c>
      <c r="W64" s="238">
        <v>81</v>
      </c>
      <c r="X64" s="238"/>
    </row>
    <row r="65" spans="1:24" ht="15" customHeight="1" x14ac:dyDescent="0.25">
      <c r="A65" s="238" t="s">
        <v>1220</v>
      </c>
      <c r="B65" s="238" t="s">
        <v>1220</v>
      </c>
      <c r="C65" s="338" t="s">
        <v>1540</v>
      </c>
      <c r="D65" s="238" t="s">
        <v>1541</v>
      </c>
      <c r="E65" s="238" t="s">
        <v>1542</v>
      </c>
      <c r="F65" s="238" t="s">
        <v>782</v>
      </c>
      <c r="G65" s="316">
        <v>0</v>
      </c>
      <c r="H65" s="316">
        <v>0</v>
      </c>
      <c r="I65" s="316">
        <v>0</v>
      </c>
      <c r="J65" s="316">
        <v>43967.06</v>
      </c>
      <c r="K65" s="316">
        <v>0</v>
      </c>
      <c r="L65" s="316">
        <v>0</v>
      </c>
      <c r="M65" s="316">
        <v>0</v>
      </c>
      <c r="N65" s="316">
        <v>9233.08</v>
      </c>
      <c r="O65" s="316">
        <v>6104.09</v>
      </c>
      <c r="P65" s="316">
        <v>0</v>
      </c>
      <c r="Q65" s="316">
        <v>0</v>
      </c>
      <c r="R65" s="316">
        <v>695.77</v>
      </c>
      <c r="S65" s="316">
        <v>0</v>
      </c>
      <c r="T65" s="316">
        <v>0</v>
      </c>
      <c r="U65" s="316">
        <f t="shared" si="0"/>
        <v>59999.999999999993</v>
      </c>
      <c r="V65" s="238" t="s">
        <v>1348</v>
      </c>
      <c r="W65" s="238">
        <v>81</v>
      </c>
      <c r="X65" s="238"/>
    </row>
    <row r="66" spans="1:24" ht="15" customHeight="1" x14ac:dyDescent="0.25">
      <c r="A66" s="238" t="s">
        <v>955</v>
      </c>
      <c r="B66" s="238" t="s">
        <v>955</v>
      </c>
      <c r="C66" s="338" t="s">
        <v>1437</v>
      </c>
      <c r="D66" s="238" t="s">
        <v>1438</v>
      </c>
      <c r="E66" s="238" t="s">
        <v>1439</v>
      </c>
      <c r="F66" s="238" t="s">
        <v>782</v>
      </c>
      <c r="G66" s="316">
        <v>0</v>
      </c>
      <c r="H66" s="316">
        <v>0</v>
      </c>
      <c r="I66" s="316">
        <v>0</v>
      </c>
      <c r="J66" s="316">
        <v>37190.089999999997</v>
      </c>
      <c r="K66" s="316">
        <v>0</v>
      </c>
      <c r="L66" s="316">
        <v>0</v>
      </c>
      <c r="M66" s="316">
        <v>0</v>
      </c>
      <c r="N66" s="316">
        <v>7809.92</v>
      </c>
      <c r="O66" s="316">
        <v>0</v>
      </c>
      <c r="P66" s="316">
        <v>0</v>
      </c>
      <c r="Q66" s="316">
        <v>0</v>
      </c>
      <c r="R66" s="316">
        <v>0</v>
      </c>
      <c r="S66" s="316">
        <v>0</v>
      </c>
      <c r="T66" s="316">
        <v>0</v>
      </c>
      <c r="U66" s="316">
        <f t="shared" si="0"/>
        <v>45000.009999999995</v>
      </c>
      <c r="V66" s="238"/>
      <c r="W66" s="238" t="s">
        <v>704</v>
      </c>
      <c r="X66" s="238" t="s">
        <v>1368</v>
      </c>
    </row>
    <row r="67" spans="1:24" ht="15" customHeight="1" x14ac:dyDescent="0.25">
      <c r="A67" s="238" t="s">
        <v>1285</v>
      </c>
      <c r="B67" s="238" t="s">
        <v>1285</v>
      </c>
      <c r="C67" s="338" t="s">
        <v>1574</v>
      </c>
      <c r="D67" s="238" t="s">
        <v>1575</v>
      </c>
      <c r="E67" s="238" t="s">
        <v>1576</v>
      </c>
      <c r="F67" s="238" t="s">
        <v>782</v>
      </c>
      <c r="G67" s="316">
        <v>0</v>
      </c>
      <c r="H67" s="316">
        <v>0</v>
      </c>
      <c r="I67" s="316">
        <v>0</v>
      </c>
      <c r="J67" s="316">
        <v>164462.81</v>
      </c>
      <c r="K67" s="316">
        <v>0</v>
      </c>
      <c r="L67" s="316">
        <v>0</v>
      </c>
      <c r="M67" s="316">
        <v>0</v>
      </c>
      <c r="N67" s="316">
        <v>34537.19</v>
      </c>
      <c r="O67" s="316">
        <v>0</v>
      </c>
      <c r="P67" s="316">
        <v>0</v>
      </c>
      <c r="Q67" s="316">
        <v>0</v>
      </c>
      <c r="R67" s="316">
        <v>0</v>
      </c>
      <c r="S67" s="316">
        <v>0</v>
      </c>
      <c r="T67" s="316">
        <v>0</v>
      </c>
      <c r="U67" s="316">
        <f t="shared" ref="U67:U130" si="1">SUM(G67:T67)</f>
        <v>199000</v>
      </c>
      <c r="V67" s="238" t="s">
        <v>1351</v>
      </c>
      <c r="W67" s="238" t="s">
        <v>704</v>
      </c>
      <c r="X67" s="238" t="s">
        <v>1368</v>
      </c>
    </row>
    <row r="68" spans="1:24" ht="15" customHeight="1" x14ac:dyDescent="0.25">
      <c r="A68" s="238" t="s">
        <v>1624</v>
      </c>
      <c r="B68" s="238" t="s">
        <v>1624</v>
      </c>
      <c r="C68" s="338" t="s">
        <v>1625</v>
      </c>
      <c r="D68" s="238" t="s">
        <v>1575</v>
      </c>
      <c r="E68" s="238" t="s">
        <v>1576</v>
      </c>
      <c r="F68" s="238" t="s">
        <v>782</v>
      </c>
      <c r="G68" s="316">
        <v>0</v>
      </c>
      <c r="H68" s="316">
        <v>0</v>
      </c>
      <c r="I68" s="316">
        <v>0</v>
      </c>
      <c r="J68" s="316">
        <v>76859.509999999995</v>
      </c>
      <c r="K68" s="316">
        <v>0</v>
      </c>
      <c r="L68" s="316">
        <v>0</v>
      </c>
      <c r="M68" s="316">
        <v>0</v>
      </c>
      <c r="N68" s="316">
        <v>16140.5</v>
      </c>
      <c r="O68" s="316">
        <v>0</v>
      </c>
      <c r="P68" s="316">
        <v>0</v>
      </c>
      <c r="Q68" s="316">
        <v>0</v>
      </c>
      <c r="R68" s="316">
        <v>0</v>
      </c>
      <c r="S68" s="316">
        <v>0</v>
      </c>
      <c r="T68" s="316">
        <v>0</v>
      </c>
      <c r="U68" s="316">
        <f t="shared" si="1"/>
        <v>93000.01</v>
      </c>
      <c r="V68" s="238" t="s">
        <v>1351</v>
      </c>
      <c r="W68" s="238" t="s">
        <v>704</v>
      </c>
      <c r="X68" s="238"/>
    </row>
    <row r="69" spans="1:24" ht="15" customHeight="1" x14ac:dyDescent="0.25">
      <c r="A69" s="238" t="s">
        <v>1098</v>
      </c>
      <c r="B69" s="238" t="s">
        <v>1098</v>
      </c>
      <c r="C69" s="338" t="s">
        <v>1481</v>
      </c>
      <c r="D69" s="238" t="s">
        <v>1482</v>
      </c>
      <c r="E69" s="238" t="s">
        <v>1483</v>
      </c>
      <c r="F69" s="238" t="s">
        <v>782</v>
      </c>
      <c r="G69" s="316">
        <v>0</v>
      </c>
      <c r="H69" s="316">
        <v>0</v>
      </c>
      <c r="I69" s="316">
        <v>0</v>
      </c>
      <c r="J69" s="316">
        <v>522689</v>
      </c>
      <c r="K69" s="316">
        <v>0</v>
      </c>
      <c r="L69" s="316">
        <v>0</v>
      </c>
      <c r="M69" s="316">
        <v>0</v>
      </c>
      <c r="N69" s="316">
        <v>109764.69</v>
      </c>
      <c r="O69" s="316">
        <v>0</v>
      </c>
      <c r="P69" s="316">
        <v>0</v>
      </c>
      <c r="Q69" s="316">
        <v>0</v>
      </c>
      <c r="R69" s="316">
        <v>0</v>
      </c>
      <c r="S69" s="316">
        <v>0</v>
      </c>
      <c r="T69" s="316">
        <v>0</v>
      </c>
      <c r="U69" s="316">
        <f t="shared" si="1"/>
        <v>632453.68999999994</v>
      </c>
      <c r="V69" s="238" t="s">
        <v>1351</v>
      </c>
      <c r="W69" s="238" t="s">
        <v>704</v>
      </c>
      <c r="X69" s="238"/>
    </row>
    <row r="70" spans="1:24" ht="15" customHeight="1" x14ac:dyDescent="0.25">
      <c r="A70" s="238" t="s">
        <v>1191</v>
      </c>
      <c r="B70" s="238" t="s">
        <v>1191</v>
      </c>
      <c r="C70" s="338" t="s">
        <v>1534</v>
      </c>
      <c r="D70" s="238" t="s">
        <v>1482</v>
      </c>
      <c r="E70" s="238" t="s">
        <v>1483</v>
      </c>
      <c r="F70" s="238" t="s">
        <v>782</v>
      </c>
      <c r="G70" s="316">
        <v>0</v>
      </c>
      <c r="H70" s="316">
        <v>0</v>
      </c>
      <c r="I70" s="316">
        <v>0</v>
      </c>
      <c r="J70" s="316">
        <v>253566</v>
      </c>
      <c r="K70" s="316">
        <v>0</v>
      </c>
      <c r="L70" s="316">
        <v>0</v>
      </c>
      <c r="M70" s="316">
        <v>0</v>
      </c>
      <c r="N70" s="316">
        <v>53248.86</v>
      </c>
      <c r="O70" s="316">
        <v>0</v>
      </c>
      <c r="P70" s="316">
        <v>0</v>
      </c>
      <c r="Q70" s="316">
        <v>0</v>
      </c>
      <c r="R70" s="316">
        <v>0</v>
      </c>
      <c r="S70" s="316">
        <v>0</v>
      </c>
      <c r="T70" s="316">
        <v>0</v>
      </c>
      <c r="U70" s="316">
        <f t="shared" si="1"/>
        <v>306814.86</v>
      </c>
      <c r="V70" s="238" t="s">
        <v>1351</v>
      </c>
      <c r="W70" s="238" t="s">
        <v>704</v>
      </c>
      <c r="X70" s="238"/>
    </row>
    <row r="71" spans="1:24" ht="15" customHeight="1" x14ac:dyDescent="0.25">
      <c r="A71" s="238" t="s">
        <v>1589</v>
      </c>
      <c r="B71" s="238" t="s">
        <v>1589</v>
      </c>
      <c r="C71" s="238" t="s">
        <v>1593</v>
      </c>
      <c r="D71" s="238" t="s">
        <v>1482</v>
      </c>
      <c r="E71" s="238" t="s">
        <v>1483</v>
      </c>
      <c r="F71" s="238" t="s">
        <v>782</v>
      </c>
      <c r="G71" s="316">
        <v>0</v>
      </c>
      <c r="H71" s="316">
        <v>0</v>
      </c>
      <c r="I71" s="316">
        <v>0</v>
      </c>
      <c r="J71" s="316">
        <v>218234</v>
      </c>
      <c r="K71" s="316">
        <v>0</v>
      </c>
      <c r="L71" s="316">
        <v>0</v>
      </c>
      <c r="M71" s="316">
        <v>0</v>
      </c>
      <c r="N71" s="316">
        <v>45829.14</v>
      </c>
      <c r="O71" s="316">
        <v>0</v>
      </c>
      <c r="P71" s="316">
        <v>0</v>
      </c>
      <c r="Q71" s="316">
        <v>0</v>
      </c>
      <c r="R71" s="316">
        <v>0</v>
      </c>
      <c r="S71" s="316">
        <v>0</v>
      </c>
      <c r="T71" s="316">
        <v>0</v>
      </c>
      <c r="U71" s="316">
        <f t="shared" si="1"/>
        <v>264063.14</v>
      </c>
      <c r="V71" s="238" t="s">
        <v>1351</v>
      </c>
      <c r="W71" s="238" t="s">
        <v>704</v>
      </c>
      <c r="X71" s="238"/>
    </row>
    <row r="72" spans="1:24" ht="15" customHeight="1" x14ac:dyDescent="0.25">
      <c r="A72" s="238" t="s">
        <v>1589</v>
      </c>
      <c r="B72" s="238" t="s">
        <v>1589</v>
      </c>
      <c r="C72" s="238" t="s">
        <v>1590</v>
      </c>
      <c r="D72" s="238" t="s">
        <v>1591</v>
      </c>
      <c r="E72" s="238" t="s">
        <v>1592</v>
      </c>
      <c r="F72" s="238" t="s">
        <v>782</v>
      </c>
      <c r="G72" s="316">
        <v>0</v>
      </c>
      <c r="H72" s="316">
        <v>0</v>
      </c>
      <c r="I72" s="316">
        <v>0</v>
      </c>
      <c r="J72" s="316">
        <v>14399.1</v>
      </c>
      <c r="K72" s="316">
        <v>0</v>
      </c>
      <c r="L72" s="316">
        <v>0</v>
      </c>
      <c r="M72" s="316">
        <v>0</v>
      </c>
      <c r="N72" s="316">
        <v>3023.81</v>
      </c>
      <c r="O72" s="316">
        <v>0</v>
      </c>
      <c r="P72" s="316">
        <v>0</v>
      </c>
      <c r="Q72" s="316">
        <v>0</v>
      </c>
      <c r="R72" s="316">
        <v>0</v>
      </c>
      <c r="S72" s="316">
        <v>0</v>
      </c>
      <c r="T72" s="316">
        <v>0</v>
      </c>
      <c r="U72" s="316">
        <f t="shared" si="1"/>
        <v>17422.91</v>
      </c>
      <c r="V72" s="238"/>
      <c r="W72" s="238" t="s">
        <v>704</v>
      </c>
      <c r="X72" s="238"/>
    </row>
    <row r="73" spans="1:24" ht="15" customHeight="1" x14ac:dyDescent="0.25">
      <c r="A73" s="238" t="s">
        <v>1316</v>
      </c>
      <c r="B73" s="238" t="s">
        <v>1316</v>
      </c>
      <c r="C73" s="238" t="s">
        <v>1578</v>
      </c>
      <c r="D73" s="238" t="s">
        <v>1579</v>
      </c>
      <c r="E73" s="238" t="s">
        <v>1580</v>
      </c>
      <c r="F73" s="238" t="s">
        <v>782</v>
      </c>
      <c r="G73" s="316">
        <v>0</v>
      </c>
      <c r="H73" s="316">
        <v>0</v>
      </c>
      <c r="I73" s="316">
        <v>0</v>
      </c>
      <c r="J73" s="316">
        <v>51500</v>
      </c>
      <c r="K73" s="316">
        <v>0</v>
      </c>
      <c r="L73" s="316">
        <v>0</v>
      </c>
      <c r="M73" s="316">
        <v>0</v>
      </c>
      <c r="N73" s="316">
        <v>10815</v>
      </c>
      <c r="O73" s="316">
        <v>0</v>
      </c>
      <c r="P73" s="316">
        <v>0</v>
      </c>
      <c r="Q73" s="316">
        <v>0</v>
      </c>
      <c r="R73" s="316">
        <v>0</v>
      </c>
      <c r="S73" s="316">
        <v>0</v>
      </c>
      <c r="T73" s="316">
        <v>0</v>
      </c>
      <c r="U73" s="316">
        <f t="shared" si="1"/>
        <v>62315</v>
      </c>
      <c r="V73" s="238" t="s">
        <v>1348</v>
      </c>
      <c r="W73" s="238" t="s">
        <v>704</v>
      </c>
      <c r="X73" s="238"/>
    </row>
    <row r="74" spans="1:24" ht="15" customHeight="1" x14ac:dyDescent="0.25">
      <c r="A74" s="238" t="s">
        <v>1191</v>
      </c>
      <c r="B74" s="238" t="s">
        <v>1191</v>
      </c>
      <c r="C74" s="238" t="s">
        <v>1528</v>
      </c>
      <c r="D74" s="238" t="s">
        <v>1529</v>
      </c>
      <c r="E74" s="238" t="s">
        <v>1530</v>
      </c>
      <c r="F74" s="238" t="s">
        <v>782</v>
      </c>
      <c r="G74" s="316">
        <v>0</v>
      </c>
      <c r="H74" s="316">
        <v>0</v>
      </c>
      <c r="I74" s="316">
        <v>0</v>
      </c>
      <c r="J74" s="316">
        <v>15810.74</v>
      </c>
      <c r="K74" s="316">
        <v>0</v>
      </c>
      <c r="L74" s="316">
        <v>0</v>
      </c>
      <c r="M74" s="316">
        <v>0</v>
      </c>
      <c r="N74" s="316">
        <v>3320.26</v>
      </c>
      <c r="O74" s="316">
        <v>0</v>
      </c>
      <c r="P74" s="316">
        <v>0</v>
      </c>
      <c r="Q74" s="316">
        <v>0</v>
      </c>
      <c r="R74" s="316">
        <v>370.91</v>
      </c>
      <c r="S74" s="316">
        <v>0</v>
      </c>
      <c r="T74" s="316">
        <v>0</v>
      </c>
      <c r="U74" s="316">
        <f t="shared" si="1"/>
        <v>19501.91</v>
      </c>
      <c r="V74" s="238"/>
      <c r="W74" s="238" t="s">
        <v>704</v>
      </c>
      <c r="X74" s="238"/>
    </row>
    <row r="75" spans="1:24" ht="15" customHeight="1" x14ac:dyDescent="0.25">
      <c r="A75" s="238" t="s">
        <v>1249</v>
      </c>
      <c r="B75" s="238" t="s">
        <v>1249</v>
      </c>
      <c r="C75" s="238" t="s">
        <v>1555</v>
      </c>
      <c r="D75" s="238" t="s">
        <v>1529</v>
      </c>
      <c r="E75" s="238" t="s">
        <v>1530</v>
      </c>
      <c r="F75" s="238" t="s">
        <v>782</v>
      </c>
      <c r="G75" s="316">
        <v>0</v>
      </c>
      <c r="H75" s="316">
        <v>0</v>
      </c>
      <c r="I75" s="316">
        <v>0</v>
      </c>
      <c r="J75" s="316">
        <v>15810.74</v>
      </c>
      <c r="K75" s="316">
        <v>0</v>
      </c>
      <c r="L75" s="316">
        <v>0</v>
      </c>
      <c r="M75" s="316">
        <v>0</v>
      </c>
      <c r="N75" s="316">
        <v>3320.26</v>
      </c>
      <c r="O75" s="316">
        <v>0</v>
      </c>
      <c r="P75" s="316">
        <v>0</v>
      </c>
      <c r="Q75" s="316">
        <v>0</v>
      </c>
      <c r="R75" s="316">
        <v>370.91</v>
      </c>
      <c r="S75" s="316">
        <v>0</v>
      </c>
      <c r="T75" s="316">
        <v>0</v>
      </c>
      <c r="U75" s="316">
        <f t="shared" si="1"/>
        <v>19501.91</v>
      </c>
      <c r="V75" s="238"/>
      <c r="W75" s="238" t="s">
        <v>704</v>
      </c>
      <c r="X75" s="238"/>
    </row>
    <row r="76" spans="1:24" ht="15" customHeight="1" x14ac:dyDescent="0.25">
      <c r="A76" s="238" t="s">
        <v>1098</v>
      </c>
      <c r="B76" s="238" t="s">
        <v>1098</v>
      </c>
      <c r="C76" s="238" t="s">
        <v>1472</v>
      </c>
      <c r="D76" s="238" t="s">
        <v>542</v>
      </c>
      <c r="E76" s="238" t="s">
        <v>1473</v>
      </c>
      <c r="F76" s="238" t="s">
        <v>782</v>
      </c>
      <c r="G76" s="316">
        <v>0</v>
      </c>
      <c r="H76" s="316">
        <v>0</v>
      </c>
      <c r="I76" s="316">
        <v>0</v>
      </c>
      <c r="J76" s="316">
        <v>85233.81</v>
      </c>
      <c r="K76" s="316">
        <v>0</v>
      </c>
      <c r="L76" s="316">
        <v>0</v>
      </c>
      <c r="M76" s="316">
        <v>0</v>
      </c>
      <c r="N76" s="316">
        <v>17899.099999999999</v>
      </c>
      <c r="O76" s="316">
        <v>0</v>
      </c>
      <c r="P76" s="316">
        <v>0</v>
      </c>
      <c r="Q76" s="316">
        <v>0</v>
      </c>
      <c r="R76" s="316">
        <v>3409.35</v>
      </c>
      <c r="S76" s="316">
        <v>0</v>
      </c>
      <c r="T76" s="316">
        <v>0</v>
      </c>
      <c r="U76" s="316">
        <f t="shared" si="1"/>
        <v>106542.26000000001</v>
      </c>
      <c r="V76" s="238" t="s">
        <v>1348</v>
      </c>
      <c r="W76" s="238" t="s">
        <v>699</v>
      </c>
      <c r="X76" s="238"/>
    </row>
    <row r="77" spans="1:24" ht="15" customHeight="1" x14ac:dyDescent="0.25">
      <c r="A77" s="238" t="s">
        <v>1508</v>
      </c>
      <c r="B77" s="238" t="s">
        <v>1508</v>
      </c>
      <c r="C77" s="238" t="s">
        <v>1513</v>
      </c>
      <c r="D77" s="238" t="s">
        <v>586</v>
      </c>
      <c r="E77" s="238" t="s">
        <v>1514</v>
      </c>
      <c r="F77" s="238" t="s">
        <v>782</v>
      </c>
      <c r="G77" s="316">
        <v>0</v>
      </c>
      <c r="H77" s="316">
        <v>0</v>
      </c>
      <c r="I77" s="316">
        <v>0</v>
      </c>
      <c r="J77" s="316">
        <v>2783.03</v>
      </c>
      <c r="K77" s="316">
        <v>0</v>
      </c>
      <c r="L77" s="316">
        <v>0</v>
      </c>
      <c r="M77" s="316">
        <v>0</v>
      </c>
      <c r="N77" s="316">
        <v>584.44000000000005</v>
      </c>
      <c r="O77" s="316">
        <v>0</v>
      </c>
      <c r="P77" s="316">
        <v>0</v>
      </c>
      <c r="Q77" s="316">
        <v>0</v>
      </c>
      <c r="R77" s="316">
        <v>83.49</v>
      </c>
      <c r="S77" s="316">
        <v>0</v>
      </c>
      <c r="T77" s="316">
        <v>0</v>
      </c>
      <c r="U77" s="316">
        <f t="shared" si="1"/>
        <v>3450.96</v>
      </c>
      <c r="V77" s="238" t="s">
        <v>1348</v>
      </c>
      <c r="W77" s="238" t="s">
        <v>699</v>
      </c>
      <c r="X77" s="238"/>
    </row>
    <row r="78" spans="1:24" ht="15" customHeight="1" x14ac:dyDescent="0.25">
      <c r="A78" s="238" t="s">
        <v>1630</v>
      </c>
      <c r="B78" s="238" t="s">
        <v>1630</v>
      </c>
      <c r="C78" s="238" t="s">
        <v>1631</v>
      </c>
      <c r="D78" s="238" t="s">
        <v>586</v>
      </c>
      <c r="E78" s="238" t="s">
        <v>1514</v>
      </c>
      <c r="F78" s="238" t="s">
        <v>782</v>
      </c>
      <c r="G78" s="316">
        <v>0</v>
      </c>
      <c r="H78" s="316">
        <v>0</v>
      </c>
      <c r="I78" s="316">
        <v>0</v>
      </c>
      <c r="J78" s="316">
        <v>16383.12</v>
      </c>
      <c r="K78" s="316">
        <v>0</v>
      </c>
      <c r="L78" s="316">
        <v>0</v>
      </c>
      <c r="M78" s="316">
        <v>0</v>
      </c>
      <c r="N78" s="316">
        <v>3440.46</v>
      </c>
      <c r="O78" s="316">
        <v>0</v>
      </c>
      <c r="P78" s="316">
        <v>0</v>
      </c>
      <c r="Q78" s="316">
        <v>0</v>
      </c>
      <c r="R78" s="316">
        <v>491.49</v>
      </c>
      <c r="S78" s="316">
        <v>0</v>
      </c>
      <c r="T78" s="316">
        <v>0</v>
      </c>
      <c r="U78" s="316">
        <f t="shared" si="1"/>
        <v>20315.070000000003</v>
      </c>
      <c r="V78" s="238" t="s">
        <v>1348</v>
      </c>
      <c r="W78" s="238" t="s">
        <v>699</v>
      </c>
      <c r="X78" s="238" t="s">
        <v>1368</v>
      </c>
    </row>
    <row r="79" spans="1:24" ht="15" customHeight="1" x14ac:dyDescent="0.25">
      <c r="A79" s="238" t="s">
        <v>1603</v>
      </c>
      <c r="B79" s="238" t="s">
        <v>1603</v>
      </c>
      <c r="C79" s="238" t="s">
        <v>1612</v>
      </c>
      <c r="D79" s="238" t="s">
        <v>1613</v>
      </c>
      <c r="E79" s="238" t="s">
        <v>1614</v>
      </c>
      <c r="F79" s="238" t="s">
        <v>782</v>
      </c>
      <c r="G79" s="316">
        <v>0</v>
      </c>
      <c r="H79" s="316">
        <v>0</v>
      </c>
      <c r="I79" s="316">
        <v>0</v>
      </c>
      <c r="J79" s="316">
        <v>414942.36</v>
      </c>
      <c r="K79" s="316">
        <v>0</v>
      </c>
      <c r="L79" s="316">
        <v>0</v>
      </c>
      <c r="M79" s="316">
        <v>0</v>
      </c>
      <c r="N79" s="316">
        <v>87137.9</v>
      </c>
      <c r="O79" s="316">
        <v>0</v>
      </c>
      <c r="P79" s="316">
        <v>0</v>
      </c>
      <c r="Q79" s="316">
        <v>0</v>
      </c>
      <c r="R79" s="316">
        <v>0</v>
      </c>
      <c r="S79" s="316">
        <v>0</v>
      </c>
      <c r="T79" s="316">
        <v>0</v>
      </c>
      <c r="U79" s="316">
        <f t="shared" si="1"/>
        <v>502080.26</v>
      </c>
      <c r="V79" s="238"/>
      <c r="W79" s="238" t="s">
        <v>704</v>
      </c>
      <c r="X79" s="238"/>
    </row>
    <row r="80" spans="1:24" ht="15" customHeight="1" x14ac:dyDescent="0.25">
      <c r="A80" s="238" t="s">
        <v>825</v>
      </c>
      <c r="B80" s="238" t="s">
        <v>825</v>
      </c>
      <c r="C80" s="238" t="s">
        <v>1405</v>
      </c>
      <c r="D80" s="238" t="s">
        <v>1406</v>
      </c>
      <c r="E80" s="238" t="s">
        <v>1407</v>
      </c>
      <c r="F80" s="238" t="s">
        <v>782</v>
      </c>
      <c r="G80" s="316">
        <v>0</v>
      </c>
      <c r="H80" s="316">
        <v>0</v>
      </c>
      <c r="I80" s="316">
        <v>0</v>
      </c>
      <c r="J80" s="316">
        <v>1566000</v>
      </c>
      <c r="K80" s="316">
        <v>0</v>
      </c>
      <c r="L80" s="316">
        <v>0</v>
      </c>
      <c r="M80" s="316">
        <v>0</v>
      </c>
      <c r="N80" s="316">
        <v>328860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f t="shared" si="1"/>
        <v>1894860</v>
      </c>
      <c r="V80" s="238" t="s">
        <v>1351</v>
      </c>
      <c r="W80" s="238" t="s">
        <v>704</v>
      </c>
      <c r="X80" s="238"/>
    </row>
    <row r="81" spans="1:25" ht="15" customHeight="1" x14ac:dyDescent="0.25">
      <c r="A81" s="238" t="s">
        <v>1126</v>
      </c>
      <c r="B81" s="238" t="s">
        <v>1126</v>
      </c>
      <c r="C81" s="238" t="s">
        <v>1498</v>
      </c>
      <c r="D81" s="238" t="s">
        <v>588</v>
      </c>
      <c r="E81" s="238" t="s">
        <v>1413</v>
      </c>
      <c r="F81" s="238" t="s">
        <v>782</v>
      </c>
      <c r="G81" s="316">
        <v>0</v>
      </c>
      <c r="H81" s="316">
        <v>0</v>
      </c>
      <c r="I81" s="316">
        <v>0</v>
      </c>
      <c r="J81" s="316">
        <v>2079.9699999999998</v>
      </c>
      <c r="K81" s="316">
        <v>0</v>
      </c>
      <c r="L81" s="316">
        <v>0</v>
      </c>
      <c r="M81" s="316">
        <v>0</v>
      </c>
      <c r="N81" s="316">
        <v>436.79</v>
      </c>
      <c r="O81" s="316">
        <v>0</v>
      </c>
      <c r="P81" s="316">
        <v>0</v>
      </c>
      <c r="Q81" s="316">
        <v>0</v>
      </c>
      <c r="R81" s="316">
        <v>83.2</v>
      </c>
      <c r="S81" s="316">
        <v>0</v>
      </c>
      <c r="T81" s="316">
        <v>0</v>
      </c>
      <c r="U81" s="316">
        <f t="shared" si="1"/>
        <v>2599.9599999999996</v>
      </c>
      <c r="V81" s="238" t="s">
        <v>1351</v>
      </c>
      <c r="W81" s="238" t="s">
        <v>699</v>
      </c>
      <c r="X81" s="238" t="s">
        <v>1368</v>
      </c>
    </row>
    <row r="82" spans="1:25" ht="15" customHeight="1" x14ac:dyDescent="0.25">
      <c r="A82" s="238" t="s">
        <v>1508</v>
      </c>
      <c r="B82" s="238" t="s">
        <v>1508</v>
      </c>
      <c r="C82" s="238" t="s">
        <v>1509</v>
      </c>
      <c r="D82" s="238" t="s">
        <v>588</v>
      </c>
      <c r="E82" s="238" t="s">
        <v>1413</v>
      </c>
      <c r="F82" s="238" t="s">
        <v>782</v>
      </c>
      <c r="G82" s="316">
        <v>0</v>
      </c>
      <c r="H82" s="316">
        <v>0</v>
      </c>
      <c r="I82" s="316">
        <v>0</v>
      </c>
      <c r="J82" s="316">
        <v>2079.9699999999998</v>
      </c>
      <c r="K82" s="316">
        <v>0</v>
      </c>
      <c r="L82" s="316">
        <v>0</v>
      </c>
      <c r="M82" s="316">
        <v>0</v>
      </c>
      <c r="N82" s="316">
        <v>436.79</v>
      </c>
      <c r="O82" s="316">
        <v>0</v>
      </c>
      <c r="P82" s="316">
        <v>0</v>
      </c>
      <c r="Q82" s="316">
        <v>0</v>
      </c>
      <c r="R82" s="316">
        <v>83.2</v>
      </c>
      <c r="S82" s="316">
        <v>0</v>
      </c>
      <c r="T82" s="316">
        <v>0</v>
      </c>
      <c r="U82" s="316">
        <f t="shared" si="1"/>
        <v>2599.9599999999996</v>
      </c>
      <c r="V82" s="238" t="s">
        <v>1351</v>
      </c>
      <c r="W82" s="238" t="s">
        <v>699</v>
      </c>
      <c r="X82" s="238" t="s">
        <v>1368</v>
      </c>
    </row>
    <row r="83" spans="1:25" ht="15" customHeight="1" x14ac:dyDescent="0.25">
      <c r="A83" s="238" t="s">
        <v>817</v>
      </c>
      <c r="B83" s="238" t="s">
        <v>817</v>
      </c>
      <c r="C83" s="338" t="s">
        <v>1383</v>
      </c>
      <c r="D83" s="238" t="s">
        <v>387</v>
      </c>
      <c r="E83" s="238" t="s">
        <v>1384</v>
      </c>
      <c r="F83" s="238" t="s">
        <v>782</v>
      </c>
      <c r="G83" s="316">
        <v>0</v>
      </c>
      <c r="H83" s="316">
        <v>0</v>
      </c>
      <c r="I83" s="316">
        <v>0</v>
      </c>
      <c r="J83" s="316">
        <v>148760.32999999999</v>
      </c>
      <c r="K83" s="316">
        <v>0</v>
      </c>
      <c r="L83" s="316">
        <v>0</v>
      </c>
      <c r="M83" s="316">
        <v>0</v>
      </c>
      <c r="N83" s="316">
        <v>31239.67</v>
      </c>
      <c r="O83" s="316">
        <v>0</v>
      </c>
      <c r="P83" s="316">
        <v>0</v>
      </c>
      <c r="Q83" s="316">
        <v>0</v>
      </c>
      <c r="R83" s="316">
        <v>0</v>
      </c>
      <c r="S83" s="316">
        <v>0</v>
      </c>
      <c r="T83" s="316">
        <v>5950.41</v>
      </c>
      <c r="U83" s="316">
        <f t="shared" si="1"/>
        <v>185950.41</v>
      </c>
      <c r="V83" s="238" t="s">
        <v>1348</v>
      </c>
      <c r="W83" s="238" t="s">
        <v>699</v>
      </c>
      <c r="X83" s="238"/>
    </row>
    <row r="84" spans="1:25" ht="15" customHeight="1" x14ac:dyDescent="0.25">
      <c r="A84" s="238" t="s">
        <v>1508</v>
      </c>
      <c r="B84" s="238" t="s">
        <v>1508</v>
      </c>
      <c r="C84" s="338" t="s">
        <v>1510</v>
      </c>
      <c r="D84" s="238" t="s">
        <v>1511</v>
      </c>
      <c r="E84" s="238" t="s">
        <v>1512</v>
      </c>
      <c r="F84" s="238" t="s">
        <v>782</v>
      </c>
      <c r="G84" s="316">
        <v>0</v>
      </c>
      <c r="H84" s="316">
        <v>0</v>
      </c>
      <c r="I84" s="316">
        <v>0</v>
      </c>
      <c r="J84" s="316">
        <v>1487.6</v>
      </c>
      <c r="K84" s="316">
        <v>0</v>
      </c>
      <c r="L84" s="316">
        <v>0</v>
      </c>
      <c r="M84" s="316">
        <v>0</v>
      </c>
      <c r="N84" s="316">
        <v>312.39999999999998</v>
      </c>
      <c r="O84" s="316">
        <v>0</v>
      </c>
      <c r="P84" s="316">
        <v>0</v>
      </c>
      <c r="Q84" s="316">
        <v>0</v>
      </c>
      <c r="R84" s="316">
        <v>0</v>
      </c>
      <c r="S84" s="316">
        <v>0</v>
      </c>
      <c r="T84" s="316">
        <v>0</v>
      </c>
      <c r="U84" s="316">
        <f t="shared" si="1"/>
        <v>1800</v>
      </c>
      <c r="V84" s="238" t="s">
        <v>1351</v>
      </c>
      <c r="W84" s="238" t="s">
        <v>699</v>
      </c>
      <c r="X84" s="238" t="s">
        <v>1368</v>
      </c>
    </row>
    <row r="85" spans="1:25" ht="15" customHeight="1" x14ac:dyDescent="0.25">
      <c r="A85" s="238" t="s">
        <v>1630</v>
      </c>
      <c r="B85" s="238" t="s">
        <v>1630</v>
      </c>
      <c r="C85" s="338" t="s">
        <v>1633</v>
      </c>
      <c r="D85" s="238" t="s">
        <v>1511</v>
      </c>
      <c r="E85" s="238" t="s">
        <v>1512</v>
      </c>
      <c r="F85" s="238" t="s">
        <v>782</v>
      </c>
      <c r="G85" s="316">
        <v>0</v>
      </c>
      <c r="H85" s="316">
        <v>0</v>
      </c>
      <c r="I85" s="316">
        <v>0</v>
      </c>
      <c r="J85" s="316">
        <v>1487.6</v>
      </c>
      <c r="K85" s="316">
        <v>0</v>
      </c>
      <c r="L85" s="316">
        <v>0</v>
      </c>
      <c r="M85" s="316">
        <v>0</v>
      </c>
      <c r="N85" s="316">
        <v>312.39999999999998</v>
      </c>
      <c r="O85" s="316">
        <v>0</v>
      </c>
      <c r="P85" s="316">
        <v>0</v>
      </c>
      <c r="Q85" s="316">
        <v>0</v>
      </c>
      <c r="R85" s="316">
        <v>0</v>
      </c>
      <c r="S85" s="316">
        <v>0</v>
      </c>
      <c r="T85" s="316">
        <v>0</v>
      </c>
      <c r="U85" s="316">
        <f t="shared" si="1"/>
        <v>1800</v>
      </c>
      <c r="V85" s="238" t="s">
        <v>1351</v>
      </c>
      <c r="W85" s="238" t="s">
        <v>699</v>
      </c>
      <c r="X85" s="238" t="s">
        <v>1368</v>
      </c>
    </row>
    <row r="86" spans="1:25" ht="15" customHeight="1" x14ac:dyDescent="0.25">
      <c r="A86" s="238" t="s">
        <v>1589</v>
      </c>
      <c r="B86" s="238" t="s">
        <v>1589</v>
      </c>
      <c r="C86" s="338" t="s">
        <v>1600</v>
      </c>
      <c r="D86" s="238" t="s">
        <v>1601</v>
      </c>
      <c r="E86" s="238" t="s">
        <v>1602</v>
      </c>
      <c r="F86" s="238" t="s">
        <v>782</v>
      </c>
      <c r="G86" s="316">
        <v>0</v>
      </c>
      <c r="H86" s="316">
        <v>0</v>
      </c>
      <c r="I86" s="316">
        <v>0</v>
      </c>
      <c r="J86" s="316">
        <v>0</v>
      </c>
      <c r="K86" s="316">
        <v>0</v>
      </c>
      <c r="L86" s="316">
        <v>30603.01</v>
      </c>
      <c r="M86" s="316">
        <v>0</v>
      </c>
      <c r="N86" s="316">
        <v>0</v>
      </c>
      <c r="O86" s="316">
        <v>0</v>
      </c>
      <c r="P86" s="316">
        <v>0</v>
      </c>
      <c r="Q86" s="316">
        <v>0</v>
      </c>
      <c r="R86" s="316">
        <v>0</v>
      </c>
      <c r="S86" s="316">
        <v>0</v>
      </c>
      <c r="T86" s="316">
        <v>0</v>
      </c>
      <c r="U86" s="316">
        <f t="shared" si="1"/>
        <v>30603.01</v>
      </c>
      <c r="V86" s="238" t="s">
        <v>1351</v>
      </c>
      <c r="W86" s="238" t="s">
        <v>699</v>
      </c>
      <c r="X86" s="238" t="s">
        <v>1368</v>
      </c>
    </row>
    <row r="87" spans="1:25" ht="15" customHeight="1" x14ac:dyDescent="0.25">
      <c r="A87" s="238" t="s">
        <v>779</v>
      </c>
      <c r="B87" s="238" t="s">
        <v>779</v>
      </c>
      <c r="C87" s="338" t="s">
        <v>1349</v>
      </c>
      <c r="D87" s="238" t="s">
        <v>473</v>
      </c>
      <c r="E87" s="238" t="s">
        <v>1350</v>
      </c>
      <c r="F87" s="238" t="s">
        <v>782</v>
      </c>
      <c r="G87" s="316">
        <v>0</v>
      </c>
      <c r="H87" s="316">
        <v>0</v>
      </c>
      <c r="I87" s="316">
        <v>0</v>
      </c>
      <c r="J87" s="316">
        <v>172538.09</v>
      </c>
      <c r="K87" s="316">
        <v>0</v>
      </c>
      <c r="L87" s="316">
        <v>0</v>
      </c>
      <c r="M87" s="316">
        <v>0</v>
      </c>
      <c r="N87" s="316">
        <v>36233</v>
      </c>
      <c r="O87" s="316">
        <v>0</v>
      </c>
      <c r="P87" s="316">
        <v>0</v>
      </c>
      <c r="Q87" s="316">
        <v>0</v>
      </c>
      <c r="R87" s="316">
        <v>0</v>
      </c>
      <c r="S87" s="316">
        <v>0</v>
      </c>
      <c r="T87" s="316">
        <v>6901.52</v>
      </c>
      <c r="U87" s="316">
        <f t="shared" si="1"/>
        <v>215672.61</v>
      </c>
      <c r="V87" s="238" t="s">
        <v>1351</v>
      </c>
      <c r="W87" s="238" t="s">
        <v>699</v>
      </c>
      <c r="X87" s="238"/>
    </row>
    <row r="88" spans="1:25" ht="15" customHeight="1" x14ac:dyDescent="0.25">
      <c r="A88" s="238" t="s">
        <v>779</v>
      </c>
      <c r="B88" s="238" t="s">
        <v>1316</v>
      </c>
      <c r="C88" s="338" t="s">
        <v>1583</v>
      </c>
      <c r="D88" s="238" t="s">
        <v>235</v>
      </c>
      <c r="E88" s="238" t="s">
        <v>1584</v>
      </c>
      <c r="F88" s="238" t="s">
        <v>782</v>
      </c>
      <c r="G88" s="316">
        <v>0</v>
      </c>
      <c r="H88" s="316">
        <v>0</v>
      </c>
      <c r="I88" s="316">
        <v>0</v>
      </c>
      <c r="J88" s="316">
        <v>7973.16</v>
      </c>
      <c r="K88" s="316">
        <v>0</v>
      </c>
      <c r="L88" s="316">
        <v>0</v>
      </c>
      <c r="M88" s="316">
        <v>0</v>
      </c>
      <c r="N88" s="316">
        <v>1674.36</v>
      </c>
      <c r="O88" s="316">
        <v>0</v>
      </c>
      <c r="P88" s="316">
        <v>0</v>
      </c>
      <c r="Q88" s="316">
        <v>0</v>
      </c>
      <c r="R88" s="316">
        <v>0</v>
      </c>
      <c r="S88" s="316">
        <v>0</v>
      </c>
      <c r="T88" s="316">
        <v>318.93</v>
      </c>
      <c r="U88" s="316">
        <f t="shared" si="1"/>
        <v>9966.4500000000007</v>
      </c>
      <c r="V88" s="238" t="s">
        <v>1348</v>
      </c>
      <c r="W88" s="238" t="s">
        <v>699</v>
      </c>
      <c r="X88" s="238"/>
    </row>
    <row r="89" spans="1:25" ht="15" customHeight="1" x14ac:dyDescent="0.25">
      <c r="A89" s="238" t="s">
        <v>885</v>
      </c>
      <c r="B89" s="238" t="s">
        <v>885</v>
      </c>
      <c r="C89" s="338" t="s">
        <v>1412</v>
      </c>
      <c r="D89" s="238" t="s">
        <v>588</v>
      </c>
      <c r="E89" s="238" t="s">
        <v>1413</v>
      </c>
      <c r="F89" s="238" t="s">
        <v>782</v>
      </c>
      <c r="G89" s="316">
        <v>0</v>
      </c>
      <c r="H89" s="316">
        <v>0</v>
      </c>
      <c r="I89" s="316">
        <v>0</v>
      </c>
      <c r="J89" s="316">
        <v>7695.87</v>
      </c>
      <c r="K89" s="316">
        <v>0</v>
      </c>
      <c r="L89" s="316">
        <v>0</v>
      </c>
      <c r="M89" s="316">
        <v>0</v>
      </c>
      <c r="N89" s="316">
        <v>1616.13</v>
      </c>
      <c r="O89" s="316">
        <v>0</v>
      </c>
      <c r="P89" s="316">
        <v>0</v>
      </c>
      <c r="Q89" s="316">
        <v>0</v>
      </c>
      <c r="R89" s="316">
        <v>0</v>
      </c>
      <c r="S89" s="316">
        <v>0</v>
      </c>
      <c r="T89" s="316">
        <v>307.83</v>
      </c>
      <c r="U89" s="316">
        <f t="shared" si="1"/>
        <v>9619.83</v>
      </c>
      <c r="V89" s="238" t="s">
        <v>1351</v>
      </c>
      <c r="W89" s="238" t="s">
        <v>699</v>
      </c>
      <c r="X89" s="238"/>
    </row>
    <row r="90" spans="1:25" ht="15" customHeight="1" x14ac:dyDescent="0.25">
      <c r="A90" s="238" t="s">
        <v>1569</v>
      </c>
      <c r="B90" s="238" t="s">
        <v>1569</v>
      </c>
      <c r="C90" s="338" t="s">
        <v>1571</v>
      </c>
      <c r="D90" s="238" t="s">
        <v>588</v>
      </c>
      <c r="E90" s="238" t="s">
        <v>1413</v>
      </c>
      <c r="F90" s="238" t="s">
        <v>782</v>
      </c>
      <c r="G90" s="316">
        <v>0</v>
      </c>
      <c r="H90" s="316">
        <v>0</v>
      </c>
      <c r="I90" s="316">
        <v>0</v>
      </c>
      <c r="J90" s="316">
        <v>7071.89</v>
      </c>
      <c r="K90" s="316">
        <v>0</v>
      </c>
      <c r="L90" s="316">
        <v>0</v>
      </c>
      <c r="M90" s="316">
        <v>0</v>
      </c>
      <c r="N90" s="316">
        <v>1485.1</v>
      </c>
      <c r="O90" s="316">
        <v>0</v>
      </c>
      <c r="P90" s="316">
        <v>0</v>
      </c>
      <c r="Q90" s="316">
        <v>0</v>
      </c>
      <c r="R90" s="316">
        <v>0</v>
      </c>
      <c r="S90" s="316">
        <v>0</v>
      </c>
      <c r="T90" s="316">
        <v>282.87</v>
      </c>
      <c r="U90" s="316">
        <f t="shared" si="1"/>
        <v>8839.86</v>
      </c>
      <c r="V90" s="238" t="s">
        <v>1351</v>
      </c>
      <c r="W90" s="238" t="s">
        <v>699</v>
      </c>
      <c r="X90" s="238"/>
    </row>
    <row r="91" spans="1:25" ht="15" customHeight="1" x14ac:dyDescent="0.25">
      <c r="A91" s="238" t="s">
        <v>779</v>
      </c>
      <c r="B91" s="238" t="s">
        <v>1316</v>
      </c>
      <c r="C91" s="338" t="s">
        <v>1585</v>
      </c>
      <c r="D91" s="238" t="s">
        <v>48</v>
      </c>
      <c r="E91" s="238" t="s">
        <v>1518</v>
      </c>
      <c r="F91" s="238" t="s">
        <v>782</v>
      </c>
      <c r="G91" s="316">
        <v>0</v>
      </c>
      <c r="H91" s="316">
        <v>0</v>
      </c>
      <c r="I91" s="316">
        <v>0</v>
      </c>
      <c r="J91" s="316">
        <v>4159.8900000000003</v>
      </c>
      <c r="K91" s="316">
        <v>0</v>
      </c>
      <c r="L91" s="316">
        <v>0</v>
      </c>
      <c r="M91" s="316">
        <v>0</v>
      </c>
      <c r="N91" s="316">
        <v>873.58</v>
      </c>
      <c r="O91" s="316">
        <v>0</v>
      </c>
      <c r="P91" s="316">
        <v>0</v>
      </c>
      <c r="Q91" s="316">
        <v>0</v>
      </c>
      <c r="R91" s="316">
        <v>124.8</v>
      </c>
      <c r="S91" s="316">
        <v>0</v>
      </c>
      <c r="T91" s="316">
        <v>166.4</v>
      </c>
      <c r="U91" s="316">
        <f t="shared" si="1"/>
        <v>5324.67</v>
      </c>
      <c r="V91" s="238" t="s">
        <v>1348</v>
      </c>
      <c r="W91" s="238" t="s">
        <v>699</v>
      </c>
      <c r="X91" s="238"/>
    </row>
    <row r="92" spans="1:25" s="247" customFormat="1" ht="15" customHeight="1" x14ac:dyDescent="0.25">
      <c r="A92" s="238" t="s">
        <v>1515</v>
      </c>
      <c r="B92" s="238" t="s">
        <v>1515</v>
      </c>
      <c r="C92" s="338" t="s">
        <v>1517</v>
      </c>
      <c r="D92" s="238" t="s">
        <v>48</v>
      </c>
      <c r="E92" s="238" t="s">
        <v>1518</v>
      </c>
      <c r="F92" s="238" t="s">
        <v>782</v>
      </c>
      <c r="G92" s="316">
        <v>0</v>
      </c>
      <c r="H92" s="316">
        <v>0</v>
      </c>
      <c r="I92" s="316">
        <v>0</v>
      </c>
      <c r="J92" s="316">
        <v>7510.97</v>
      </c>
      <c r="K92" s="316">
        <v>0</v>
      </c>
      <c r="L92" s="316">
        <v>0</v>
      </c>
      <c r="M92" s="316">
        <v>0</v>
      </c>
      <c r="N92" s="316">
        <v>1577.3</v>
      </c>
      <c r="O92" s="316">
        <v>0</v>
      </c>
      <c r="P92" s="316">
        <v>0</v>
      </c>
      <c r="Q92" s="316">
        <v>0</v>
      </c>
      <c r="R92" s="316">
        <v>0</v>
      </c>
      <c r="S92" s="316">
        <v>225.33</v>
      </c>
      <c r="T92" s="316">
        <v>300.44</v>
      </c>
      <c r="U92" s="316">
        <f t="shared" si="1"/>
        <v>9614.0400000000009</v>
      </c>
      <c r="V92" s="238" t="s">
        <v>1348</v>
      </c>
      <c r="W92" s="238" t="s">
        <v>699</v>
      </c>
      <c r="X92" s="238"/>
      <c r="Y92"/>
    </row>
    <row r="93" spans="1:25" s="247" customFormat="1" ht="15" customHeight="1" x14ac:dyDescent="0.25">
      <c r="A93" s="238" t="s">
        <v>1220</v>
      </c>
      <c r="B93" s="238" t="s">
        <v>1220</v>
      </c>
      <c r="C93" s="338" t="s">
        <v>1549</v>
      </c>
      <c r="D93" s="238" t="s">
        <v>1550</v>
      </c>
      <c r="E93" s="238" t="s">
        <v>1551</v>
      </c>
      <c r="F93" s="238" t="s">
        <v>782</v>
      </c>
      <c r="G93" s="316">
        <v>0</v>
      </c>
      <c r="H93" s="316">
        <v>0</v>
      </c>
      <c r="I93" s="316">
        <v>0</v>
      </c>
      <c r="J93" s="316">
        <v>1623645.45</v>
      </c>
      <c r="K93" s="316">
        <v>0</v>
      </c>
      <c r="L93" s="316">
        <v>0</v>
      </c>
      <c r="M93" s="316">
        <v>0</v>
      </c>
      <c r="N93" s="316">
        <v>340965.54</v>
      </c>
      <c r="O93" s="316">
        <v>0</v>
      </c>
      <c r="P93" s="316">
        <v>0</v>
      </c>
      <c r="Q93" s="316">
        <v>0</v>
      </c>
      <c r="R93" s="316">
        <v>0</v>
      </c>
      <c r="S93" s="316">
        <v>0</v>
      </c>
      <c r="T93" s="316">
        <v>0</v>
      </c>
      <c r="U93" s="316">
        <f t="shared" si="1"/>
        <v>1964610.99</v>
      </c>
      <c r="V93" s="238" t="s">
        <v>1466</v>
      </c>
      <c r="W93" s="238" t="s">
        <v>704</v>
      </c>
      <c r="X93" s="238"/>
      <c r="Y93"/>
    </row>
    <row r="94" spans="1:25" ht="15" customHeight="1" x14ac:dyDescent="0.25">
      <c r="A94" s="238" t="s">
        <v>998</v>
      </c>
      <c r="B94" s="238" t="s">
        <v>998</v>
      </c>
      <c r="C94" s="338" t="s">
        <v>1455</v>
      </c>
      <c r="D94" s="238" t="s">
        <v>1451</v>
      </c>
      <c r="E94" s="238" t="s">
        <v>1452</v>
      </c>
      <c r="F94" s="238" t="s">
        <v>782</v>
      </c>
      <c r="G94" s="316">
        <v>0</v>
      </c>
      <c r="H94" s="316">
        <v>0</v>
      </c>
      <c r="I94" s="316">
        <v>3248.87</v>
      </c>
      <c r="J94" s="316">
        <v>2462.81</v>
      </c>
      <c r="K94" s="316">
        <v>0</v>
      </c>
      <c r="L94" s="316">
        <v>0</v>
      </c>
      <c r="M94" s="316">
        <v>0</v>
      </c>
      <c r="N94" s="316">
        <v>858.32</v>
      </c>
      <c r="O94" s="316">
        <v>0</v>
      </c>
      <c r="P94" s="316">
        <v>0</v>
      </c>
      <c r="Q94" s="316">
        <v>0</v>
      </c>
      <c r="R94" s="316">
        <v>342.7</v>
      </c>
      <c r="S94" s="316">
        <v>0</v>
      </c>
      <c r="T94" s="316">
        <v>0</v>
      </c>
      <c r="U94" s="316">
        <f t="shared" si="1"/>
        <v>6912.7</v>
      </c>
      <c r="V94" s="238" t="s">
        <v>1351</v>
      </c>
      <c r="W94" s="238" t="s">
        <v>704</v>
      </c>
      <c r="X94" s="238"/>
    </row>
    <row r="95" spans="1:25" ht="15" customHeight="1" x14ac:dyDescent="0.25">
      <c r="A95" s="238" t="s">
        <v>1126</v>
      </c>
      <c r="B95" s="238" t="s">
        <v>1126</v>
      </c>
      <c r="C95" s="338" t="s">
        <v>1505</v>
      </c>
      <c r="D95" s="238" t="s">
        <v>1451</v>
      </c>
      <c r="E95" s="238" t="s">
        <v>1452</v>
      </c>
      <c r="F95" s="238" t="s">
        <v>782</v>
      </c>
      <c r="G95" s="316">
        <v>0</v>
      </c>
      <c r="H95" s="316">
        <v>0</v>
      </c>
      <c r="I95" s="316">
        <v>0</v>
      </c>
      <c r="J95" s="316">
        <v>4223.1400000000003</v>
      </c>
      <c r="K95" s="316">
        <v>0</v>
      </c>
      <c r="L95" s="316">
        <v>0</v>
      </c>
      <c r="M95" s="316">
        <v>0</v>
      </c>
      <c r="N95" s="316">
        <v>886.86</v>
      </c>
      <c r="O95" s="316">
        <v>0</v>
      </c>
      <c r="P95" s="316">
        <v>0</v>
      </c>
      <c r="Q95" s="316">
        <v>0</v>
      </c>
      <c r="R95" s="316">
        <v>168.93</v>
      </c>
      <c r="S95" s="316">
        <v>0</v>
      </c>
      <c r="T95" s="316">
        <v>0</v>
      </c>
      <c r="U95" s="316">
        <f t="shared" si="1"/>
        <v>5278.93</v>
      </c>
      <c r="V95" s="238" t="s">
        <v>1351</v>
      </c>
      <c r="W95" s="238" t="s">
        <v>704</v>
      </c>
      <c r="X95" s="238"/>
    </row>
    <row r="96" spans="1:25" ht="15" customHeight="1" x14ac:dyDescent="0.25">
      <c r="A96" s="238" t="s">
        <v>1164</v>
      </c>
      <c r="B96" s="238" t="s">
        <v>1164</v>
      </c>
      <c r="C96" s="338" t="s">
        <v>1519</v>
      </c>
      <c r="D96" s="238" t="s">
        <v>1451</v>
      </c>
      <c r="E96" s="238" t="s">
        <v>1452</v>
      </c>
      <c r="F96" s="238" t="s">
        <v>782</v>
      </c>
      <c r="G96" s="316">
        <v>0</v>
      </c>
      <c r="H96" s="316">
        <v>0</v>
      </c>
      <c r="I96" s="316">
        <v>3248.87</v>
      </c>
      <c r="J96" s="316">
        <v>8449.59</v>
      </c>
      <c r="K96" s="316">
        <v>0</v>
      </c>
      <c r="L96" s="316">
        <v>0</v>
      </c>
      <c r="M96" s="316">
        <v>0</v>
      </c>
      <c r="N96" s="316">
        <v>2115.54</v>
      </c>
      <c r="O96" s="316">
        <v>0</v>
      </c>
      <c r="P96" s="316">
        <v>0</v>
      </c>
      <c r="Q96" s="316">
        <v>0</v>
      </c>
      <c r="R96" s="316">
        <v>467.94</v>
      </c>
      <c r="S96" s="316">
        <v>0</v>
      </c>
      <c r="T96" s="316">
        <v>0</v>
      </c>
      <c r="U96" s="316">
        <f t="shared" si="1"/>
        <v>14281.94</v>
      </c>
      <c r="V96" s="238" t="s">
        <v>1351</v>
      </c>
      <c r="W96" s="238" t="s">
        <v>704</v>
      </c>
      <c r="X96" s="238"/>
    </row>
    <row r="97" spans="1:24" ht="15" customHeight="1" x14ac:dyDescent="0.25">
      <c r="A97" s="238" t="s">
        <v>1220</v>
      </c>
      <c r="B97" s="238" t="s">
        <v>1220</v>
      </c>
      <c r="C97" s="338" t="s">
        <v>1543</v>
      </c>
      <c r="D97" s="238" t="s">
        <v>1451</v>
      </c>
      <c r="E97" s="238" t="s">
        <v>1452</v>
      </c>
      <c r="F97" s="238" t="s">
        <v>782</v>
      </c>
      <c r="G97" s="316">
        <v>0</v>
      </c>
      <c r="H97" s="316">
        <v>0</v>
      </c>
      <c r="I97" s="316">
        <v>0</v>
      </c>
      <c r="J97" s="316">
        <v>5304.97</v>
      </c>
      <c r="K97" s="316">
        <v>0</v>
      </c>
      <c r="L97" s="316">
        <v>0</v>
      </c>
      <c r="M97" s="316">
        <v>0</v>
      </c>
      <c r="N97" s="316">
        <v>1114.04</v>
      </c>
      <c r="O97" s="316">
        <v>0</v>
      </c>
      <c r="P97" s="316">
        <v>0</v>
      </c>
      <c r="Q97" s="316">
        <v>0</v>
      </c>
      <c r="R97" s="316">
        <v>212.2</v>
      </c>
      <c r="S97" s="316">
        <v>0</v>
      </c>
      <c r="T97" s="316">
        <v>0</v>
      </c>
      <c r="U97" s="316">
        <f t="shared" si="1"/>
        <v>6631.21</v>
      </c>
      <c r="V97" s="238" t="s">
        <v>1351</v>
      </c>
      <c r="W97" s="238" t="s">
        <v>704</v>
      </c>
      <c r="X97" s="238"/>
    </row>
    <row r="98" spans="1:24" ht="15" customHeight="1" x14ac:dyDescent="0.25">
      <c r="A98" s="238" t="s">
        <v>1249</v>
      </c>
      <c r="B98" s="238" t="s">
        <v>1249</v>
      </c>
      <c r="C98" s="338" t="s">
        <v>1554</v>
      </c>
      <c r="D98" s="238" t="s">
        <v>1451</v>
      </c>
      <c r="E98" s="238" t="s">
        <v>1452</v>
      </c>
      <c r="F98" s="238" t="s">
        <v>782</v>
      </c>
      <c r="G98" s="316">
        <v>0</v>
      </c>
      <c r="H98" s="316">
        <v>0</v>
      </c>
      <c r="I98" s="316">
        <v>0</v>
      </c>
      <c r="J98" s="316">
        <v>7892.56</v>
      </c>
      <c r="K98" s="316">
        <v>0</v>
      </c>
      <c r="L98" s="316">
        <v>0</v>
      </c>
      <c r="M98" s="316">
        <v>0</v>
      </c>
      <c r="N98" s="316">
        <v>1657.44</v>
      </c>
      <c r="O98" s="316">
        <v>0</v>
      </c>
      <c r="P98" s="316">
        <v>0</v>
      </c>
      <c r="Q98" s="316">
        <v>0</v>
      </c>
      <c r="R98" s="316">
        <v>315.7</v>
      </c>
      <c r="S98" s="316">
        <v>0</v>
      </c>
      <c r="T98" s="316">
        <v>0</v>
      </c>
      <c r="U98" s="316">
        <f t="shared" si="1"/>
        <v>9865.7000000000007</v>
      </c>
      <c r="V98" s="238" t="s">
        <v>1351</v>
      </c>
      <c r="W98" s="238" t="s">
        <v>704</v>
      </c>
      <c r="X98" s="238"/>
    </row>
    <row r="99" spans="1:24" ht="15" customHeight="1" x14ac:dyDescent="0.25">
      <c r="A99" s="238" t="s">
        <v>1164</v>
      </c>
      <c r="B99" s="238" t="s">
        <v>1164</v>
      </c>
      <c r="C99" s="338" t="s">
        <v>1526</v>
      </c>
      <c r="D99" s="238" t="s">
        <v>1451</v>
      </c>
      <c r="E99" s="238" t="s">
        <v>1452</v>
      </c>
      <c r="F99" s="238" t="s">
        <v>782</v>
      </c>
      <c r="G99" s="316">
        <v>0</v>
      </c>
      <c r="H99" s="316">
        <v>0</v>
      </c>
      <c r="I99" s="316">
        <v>0</v>
      </c>
      <c r="J99" s="316">
        <v>5549.59</v>
      </c>
      <c r="K99" s="316">
        <v>0</v>
      </c>
      <c r="L99" s="316">
        <v>0</v>
      </c>
      <c r="M99" s="316">
        <v>0</v>
      </c>
      <c r="N99" s="316">
        <v>1165.4100000000001</v>
      </c>
      <c r="O99" s="316">
        <v>0</v>
      </c>
      <c r="P99" s="316">
        <v>0</v>
      </c>
      <c r="Q99" s="316">
        <v>0</v>
      </c>
      <c r="R99" s="316">
        <v>221.98</v>
      </c>
      <c r="S99" s="316">
        <v>0</v>
      </c>
      <c r="T99" s="316">
        <v>0</v>
      </c>
      <c r="U99" s="316">
        <f t="shared" si="1"/>
        <v>6936.98</v>
      </c>
      <c r="V99" s="238" t="s">
        <v>1351</v>
      </c>
      <c r="W99" s="238" t="s">
        <v>704</v>
      </c>
      <c r="X99" s="238"/>
    </row>
    <row r="100" spans="1:24" ht="15" customHeight="1" x14ac:dyDescent="0.25">
      <c r="A100" s="238" t="s">
        <v>817</v>
      </c>
      <c r="B100" s="238" t="s">
        <v>817</v>
      </c>
      <c r="C100" s="338" t="s">
        <v>1387</v>
      </c>
      <c r="D100" s="238" t="s">
        <v>1388</v>
      </c>
      <c r="E100" s="238" t="s">
        <v>1389</v>
      </c>
      <c r="F100" s="238" t="s">
        <v>782</v>
      </c>
      <c r="G100" s="316">
        <v>0</v>
      </c>
      <c r="H100" s="316">
        <v>0</v>
      </c>
      <c r="I100" s="316">
        <v>0</v>
      </c>
      <c r="J100" s="316">
        <v>33507.94</v>
      </c>
      <c r="K100" s="316">
        <v>0</v>
      </c>
      <c r="L100" s="316">
        <v>0</v>
      </c>
      <c r="M100" s="316">
        <v>0</v>
      </c>
      <c r="N100" s="316">
        <v>7036.67</v>
      </c>
      <c r="O100" s="316">
        <v>1005.24</v>
      </c>
      <c r="P100" s="316">
        <v>0</v>
      </c>
      <c r="Q100" s="316">
        <v>471.75</v>
      </c>
      <c r="R100" s="316">
        <v>7701.19</v>
      </c>
      <c r="S100" s="316">
        <v>1667.24</v>
      </c>
      <c r="T100" s="316">
        <v>0</v>
      </c>
      <c r="U100" s="316">
        <f t="shared" si="1"/>
        <v>51390.03</v>
      </c>
      <c r="V100" s="238" t="s">
        <v>1348</v>
      </c>
      <c r="W100" s="238" t="s">
        <v>704</v>
      </c>
      <c r="X100" s="238"/>
    </row>
    <row r="101" spans="1:24" ht="15" customHeight="1" x14ac:dyDescent="0.25">
      <c r="A101" s="238" t="s">
        <v>1426</v>
      </c>
      <c r="B101" s="238" t="s">
        <v>1426</v>
      </c>
      <c r="C101" s="338" t="s">
        <v>1429</v>
      </c>
      <c r="D101" s="238" t="s">
        <v>1388</v>
      </c>
      <c r="E101" s="238" t="s">
        <v>1389</v>
      </c>
      <c r="F101" s="238" t="s">
        <v>782</v>
      </c>
      <c r="G101" s="316">
        <v>0</v>
      </c>
      <c r="H101" s="316">
        <v>0</v>
      </c>
      <c r="I101" s="316">
        <v>0</v>
      </c>
      <c r="J101" s="316">
        <v>51648.07</v>
      </c>
      <c r="K101" s="316">
        <v>0</v>
      </c>
      <c r="L101" s="316">
        <v>0</v>
      </c>
      <c r="M101" s="316">
        <v>0</v>
      </c>
      <c r="N101" s="316">
        <v>10846.09</v>
      </c>
      <c r="O101" s="316">
        <v>721.54</v>
      </c>
      <c r="P101" s="316">
        <v>0</v>
      </c>
      <c r="Q101" s="316">
        <v>0</v>
      </c>
      <c r="R101" s="316">
        <v>11778.83</v>
      </c>
      <c r="S101" s="316">
        <v>4115.38</v>
      </c>
      <c r="T101" s="316">
        <v>0</v>
      </c>
      <c r="U101" s="316">
        <f t="shared" si="1"/>
        <v>79109.91</v>
      </c>
      <c r="V101" s="238" t="s">
        <v>1348</v>
      </c>
      <c r="W101" s="238" t="s">
        <v>704</v>
      </c>
      <c r="X101" s="238"/>
    </row>
    <row r="102" spans="1:24" ht="15" customHeight="1" x14ac:dyDescent="0.25">
      <c r="A102" s="238" t="s">
        <v>1430</v>
      </c>
      <c r="B102" s="238" t="s">
        <v>1430</v>
      </c>
      <c r="C102" s="338" t="s">
        <v>1431</v>
      </c>
      <c r="D102" s="238" t="s">
        <v>116</v>
      </c>
      <c r="E102" s="238" t="s">
        <v>1432</v>
      </c>
      <c r="F102" s="238" t="s">
        <v>782</v>
      </c>
      <c r="G102" s="316">
        <v>0</v>
      </c>
      <c r="H102" s="316">
        <v>0</v>
      </c>
      <c r="I102" s="316">
        <v>21570.59</v>
      </c>
      <c r="J102" s="316">
        <v>22824.880000000001</v>
      </c>
      <c r="K102" s="316">
        <v>0</v>
      </c>
      <c r="L102" s="316">
        <v>0</v>
      </c>
      <c r="M102" s="316">
        <v>0</v>
      </c>
      <c r="N102" s="316">
        <v>7058.13</v>
      </c>
      <c r="O102" s="316">
        <v>0</v>
      </c>
      <c r="P102" s="316">
        <v>0</v>
      </c>
      <c r="Q102" s="316">
        <v>0</v>
      </c>
      <c r="R102" s="316">
        <v>2268.08</v>
      </c>
      <c r="S102" s="316">
        <v>0</v>
      </c>
      <c r="T102" s="316">
        <v>0</v>
      </c>
      <c r="U102" s="316">
        <f t="shared" si="1"/>
        <v>53721.68</v>
      </c>
      <c r="V102" s="238" t="s">
        <v>1351</v>
      </c>
      <c r="W102" s="238" t="s">
        <v>699</v>
      </c>
      <c r="X102" s="238"/>
    </row>
    <row r="103" spans="1:24" ht="15" customHeight="1" x14ac:dyDescent="0.25">
      <c r="A103" s="238" t="s">
        <v>1562</v>
      </c>
      <c r="B103" s="238" t="s">
        <v>1562</v>
      </c>
      <c r="C103" s="338" t="s">
        <v>1563</v>
      </c>
      <c r="D103" s="238" t="s">
        <v>116</v>
      </c>
      <c r="E103" s="238" t="s">
        <v>1432</v>
      </c>
      <c r="F103" s="238" t="s">
        <v>782</v>
      </c>
      <c r="G103" s="316">
        <v>0</v>
      </c>
      <c r="H103" s="316">
        <v>0</v>
      </c>
      <c r="I103" s="316">
        <v>37101.25</v>
      </c>
      <c r="J103" s="316">
        <v>2426.52</v>
      </c>
      <c r="K103" s="316">
        <v>0</v>
      </c>
      <c r="L103" s="316">
        <v>0</v>
      </c>
      <c r="M103" s="316">
        <v>0</v>
      </c>
      <c r="N103" s="316">
        <v>4405.2</v>
      </c>
      <c r="O103" s="316">
        <v>72.8</v>
      </c>
      <c r="P103" s="316">
        <v>0</v>
      </c>
      <c r="Q103" s="316">
        <v>0</v>
      </c>
      <c r="R103" s="316">
        <v>556.52</v>
      </c>
      <c r="S103" s="316">
        <v>305.3</v>
      </c>
      <c r="T103" s="316">
        <v>0</v>
      </c>
      <c r="U103" s="316">
        <f t="shared" si="1"/>
        <v>44867.59</v>
      </c>
      <c r="V103" s="238" t="s">
        <v>1351</v>
      </c>
      <c r="W103" s="238" t="s">
        <v>699</v>
      </c>
      <c r="X103" s="238"/>
    </row>
    <row r="104" spans="1:24" ht="15" customHeight="1" x14ac:dyDescent="0.25">
      <c r="A104" s="238" t="s">
        <v>955</v>
      </c>
      <c r="B104" s="238" t="s">
        <v>955</v>
      </c>
      <c r="C104" s="338" t="s">
        <v>1435</v>
      </c>
      <c r="D104" s="238" t="s">
        <v>113</v>
      </c>
      <c r="E104" s="238" t="s">
        <v>1436</v>
      </c>
      <c r="F104" s="238" t="s">
        <v>782</v>
      </c>
      <c r="G104" s="316">
        <v>0</v>
      </c>
      <c r="H104" s="316">
        <v>0</v>
      </c>
      <c r="I104" s="316">
        <v>0</v>
      </c>
      <c r="J104" s="316">
        <v>0</v>
      </c>
      <c r="K104" s="316">
        <v>0</v>
      </c>
      <c r="L104" s="316">
        <v>20900</v>
      </c>
      <c r="M104" s="316">
        <v>0</v>
      </c>
      <c r="N104" s="316">
        <v>0</v>
      </c>
      <c r="O104" s="316">
        <v>0</v>
      </c>
      <c r="P104" s="316">
        <v>0</v>
      </c>
      <c r="Q104" s="316">
        <v>0</v>
      </c>
      <c r="R104" s="316">
        <v>0</v>
      </c>
      <c r="S104" s="316">
        <v>0</v>
      </c>
      <c r="T104" s="316">
        <v>0</v>
      </c>
      <c r="U104" s="316">
        <f t="shared" si="1"/>
        <v>20900</v>
      </c>
      <c r="V104" s="238" t="s">
        <v>1348</v>
      </c>
      <c r="W104" s="238">
        <v>81</v>
      </c>
      <c r="X104" s="238"/>
    </row>
    <row r="105" spans="1:24" ht="15" customHeight="1" x14ac:dyDescent="0.25">
      <c r="A105" s="238" t="s">
        <v>1316</v>
      </c>
      <c r="B105" s="238" t="s">
        <v>1316</v>
      </c>
      <c r="C105" s="338" t="s">
        <v>1582</v>
      </c>
      <c r="D105" s="238" t="s">
        <v>113</v>
      </c>
      <c r="E105" s="238" t="s">
        <v>1436</v>
      </c>
      <c r="F105" s="238" t="s">
        <v>782</v>
      </c>
      <c r="G105" s="316">
        <v>0</v>
      </c>
      <c r="H105" s="316">
        <v>0</v>
      </c>
      <c r="I105" s="316">
        <v>0</v>
      </c>
      <c r="J105" s="316">
        <v>0</v>
      </c>
      <c r="K105" s="316">
        <v>0</v>
      </c>
      <c r="L105" s="316">
        <v>35800</v>
      </c>
      <c r="M105" s="316">
        <v>0</v>
      </c>
      <c r="N105" s="316">
        <v>0</v>
      </c>
      <c r="O105" s="316">
        <v>0</v>
      </c>
      <c r="P105" s="316">
        <v>0</v>
      </c>
      <c r="Q105" s="316">
        <v>0</v>
      </c>
      <c r="R105" s="316">
        <v>0</v>
      </c>
      <c r="S105" s="316">
        <v>0</v>
      </c>
      <c r="T105" s="316">
        <v>0</v>
      </c>
      <c r="U105" s="316">
        <f t="shared" si="1"/>
        <v>35800</v>
      </c>
      <c r="V105" s="238" t="s">
        <v>1348</v>
      </c>
      <c r="W105" s="238">
        <v>81</v>
      </c>
      <c r="X105" s="238"/>
    </row>
    <row r="106" spans="1:24" ht="15" customHeight="1" x14ac:dyDescent="0.25">
      <c r="A106" s="238" t="s">
        <v>1285</v>
      </c>
      <c r="B106" s="238" t="s">
        <v>1285</v>
      </c>
      <c r="C106" s="338" t="s">
        <v>1572</v>
      </c>
      <c r="D106" s="238" t="s">
        <v>113</v>
      </c>
      <c r="E106" s="238" t="s">
        <v>1436</v>
      </c>
      <c r="F106" s="238" t="s">
        <v>782</v>
      </c>
      <c r="G106" s="316">
        <v>0</v>
      </c>
      <c r="H106" s="316">
        <v>0</v>
      </c>
      <c r="I106" s="316">
        <v>0</v>
      </c>
      <c r="J106" s="316">
        <v>0</v>
      </c>
      <c r="K106" s="316">
        <v>0</v>
      </c>
      <c r="L106" s="316">
        <v>25400</v>
      </c>
      <c r="M106" s="316">
        <v>0</v>
      </c>
      <c r="N106" s="316">
        <v>0</v>
      </c>
      <c r="O106" s="316">
        <v>0</v>
      </c>
      <c r="P106" s="316">
        <v>0</v>
      </c>
      <c r="Q106" s="316">
        <v>0</v>
      </c>
      <c r="R106" s="316">
        <v>0</v>
      </c>
      <c r="S106" s="316">
        <v>0</v>
      </c>
      <c r="T106" s="316">
        <v>0</v>
      </c>
      <c r="U106" s="316">
        <f t="shared" si="1"/>
        <v>25400</v>
      </c>
      <c r="V106" s="238" t="s">
        <v>1348</v>
      </c>
      <c r="W106" s="238">
        <v>81</v>
      </c>
      <c r="X106" s="238"/>
    </row>
    <row r="107" spans="1:24" ht="15" customHeight="1" x14ac:dyDescent="0.25">
      <c r="A107" s="238" t="s">
        <v>955</v>
      </c>
      <c r="B107" s="238" t="s">
        <v>955</v>
      </c>
      <c r="C107" s="338" t="s">
        <v>1453</v>
      </c>
      <c r="D107" s="238" t="s">
        <v>113</v>
      </c>
      <c r="E107" s="238" t="s">
        <v>1436</v>
      </c>
      <c r="F107" s="238" t="s">
        <v>782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19950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f t="shared" si="1"/>
        <v>19950</v>
      </c>
      <c r="V107" s="238" t="s">
        <v>1348</v>
      </c>
      <c r="W107" s="238">
        <v>81</v>
      </c>
      <c r="X107" s="238"/>
    </row>
    <row r="108" spans="1:24" ht="15" customHeight="1" x14ac:dyDescent="0.25">
      <c r="A108" s="238" t="s">
        <v>1098</v>
      </c>
      <c r="B108" s="238" t="s">
        <v>1098</v>
      </c>
      <c r="C108" s="338" t="s">
        <v>1471</v>
      </c>
      <c r="D108" s="238" t="s">
        <v>113</v>
      </c>
      <c r="E108" s="238" t="s">
        <v>1436</v>
      </c>
      <c r="F108" s="238" t="s">
        <v>782</v>
      </c>
      <c r="G108" s="316">
        <v>0</v>
      </c>
      <c r="H108" s="316">
        <v>0</v>
      </c>
      <c r="I108" s="316">
        <v>0</v>
      </c>
      <c r="J108" s="316">
        <v>0</v>
      </c>
      <c r="K108" s="316">
        <v>0</v>
      </c>
      <c r="L108" s="316">
        <v>19950</v>
      </c>
      <c r="M108" s="316">
        <v>0</v>
      </c>
      <c r="N108" s="316">
        <v>0</v>
      </c>
      <c r="O108" s="316">
        <v>0</v>
      </c>
      <c r="P108" s="316">
        <v>0</v>
      </c>
      <c r="Q108" s="316">
        <v>0</v>
      </c>
      <c r="R108" s="316">
        <v>0</v>
      </c>
      <c r="S108" s="316">
        <v>0</v>
      </c>
      <c r="T108" s="316">
        <v>0</v>
      </c>
      <c r="U108" s="316">
        <f t="shared" si="1"/>
        <v>19950</v>
      </c>
      <c r="V108" s="238" t="s">
        <v>1348</v>
      </c>
      <c r="W108" s="238">
        <v>81</v>
      </c>
      <c r="X108" s="238"/>
    </row>
    <row r="109" spans="1:24" ht="15" customHeight="1" x14ac:dyDescent="0.25">
      <c r="A109" s="238" t="s">
        <v>1547</v>
      </c>
      <c r="B109" s="238" t="s">
        <v>1220</v>
      </c>
      <c r="C109" s="338" t="s">
        <v>1548</v>
      </c>
      <c r="D109" s="238" t="s">
        <v>497</v>
      </c>
      <c r="E109" s="238" t="s">
        <v>1434</v>
      </c>
      <c r="F109" s="238" t="s">
        <v>782</v>
      </c>
      <c r="G109" s="316">
        <v>0</v>
      </c>
      <c r="H109" s="316">
        <v>0</v>
      </c>
      <c r="I109" s="316">
        <v>0</v>
      </c>
      <c r="J109" s="316">
        <v>0</v>
      </c>
      <c r="K109" s="316">
        <v>60327</v>
      </c>
      <c r="L109" s="316">
        <v>0</v>
      </c>
      <c r="M109" s="316">
        <v>0</v>
      </c>
      <c r="N109" s="316">
        <v>16288.29</v>
      </c>
      <c r="O109" s="316">
        <v>3174.07</v>
      </c>
      <c r="P109" s="316">
        <v>0</v>
      </c>
      <c r="Q109" s="316">
        <v>0</v>
      </c>
      <c r="R109" s="316">
        <v>0</v>
      </c>
      <c r="S109" s="316">
        <v>4349.8900000000003</v>
      </c>
      <c r="T109" s="316">
        <v>0</v>
      </c>
      <c r="U109" s="316">
        <f t="shared" si="1"/>
        <v>84139.250000000015</v>
      </c>
      <c r="V109" s="238" t="s">
        <v>1348</v>
      </c>
      <c r="W109" s="238" t="s">
        <v>699</v>
      </c>
      <c r="X109" s="238"/>
    </row>
    <row r="110" spans="1:24" ht="15" customHeight="1" x14ac:dyDescent="0.25">
      <c r="A110" s="238" t="s">
        <v>1430</v>
      </c>
      <c r="B110" s="238" t="s">
        <v>1430</v>
      </c>
      <c r="C110" s="338" t="s">
        <v>1433</v>
      </c>
      <c r="D110" s="238" t="s">
        <v>497</v>
      </c>
      <c r="E110" s="238" t="s">
        <v>1434</v>
      </c>
      <c r="F110" s="238" t="s">
        <v>782</v>
      </c>
      <c r="G110" s="316">
        <v>0</v>
      </c>
      <c r="H110" s="316">
        <v>0</v>
      </c>
      <c r="I110" s="316">
        <v>0</v>
      </c>
      <c r="J110" s="316">
        <v>0</v>
      </c>
      <c r="K110" s="316">
        <v>70275.86</v>
      </c>
      <c r="L110" s="316">
        <v>0</v>
      </c>
      <c r="M110" s="316">
        <v>0</v>
      </c>
      <c r="N110" s="316">
        <v>18974.48</v>
      </c>
      <c r="O110" s="316">
        <v>0</v>
      </c>
      <c r="P110" s="316">
        <v>0</v>
      </c>
      <c r="Q110" s="316">
        <v>0</v>
      </c>
      <c r="R110" s="316">
        <v>0</v>
      </c>
      <c r="S110" s="316">
        <v>2108.2800000000002</v>
      </c>
      <c r="T110" s="316">
        <v>2811.03</v>
      </c>
      <c r="U110" s="316">
        <f t="shared" si="1"/>
        <v>94169.65</v>
      </c>
      <c r="V110" s="238" t="s">
        <v>1348</v>
      </c>
      <c r="W110" s="238" t="s">
        <v>699</v>
      </c>
      <c r="X110" s="238"/>
    </row>
    <row r="111" spans="1:24" ht="15" customHeight="1" x14ac:dyDescent="0.25">
      <c r="A111" s="238" t="s">
        <v>1603</v>
      </c>
      <c r="B111" s="238" t="s">
        <v>1603</v>
      </c>
      <c r="C111" s="338" t="s">
        <v>1617</v>
      </c>
      <c r="D111" s="238" t="s">
        <v>495</v>
      </c>
      <c r="E111" s="238" t="s">
        <v>1618</v>
      </c>
      <c r="F111" s="238" t="s">
        <v>782</v>
      </c>
      <c r="G111" s="316">
        <v>0</v>
      </c>
      <c r="H111" s="316">
        <v>0</v>
      </c>
      <c r="I111" s="316">
        <v>0</v>
      </c>
      <c r="J111" s="316">
        <v>52988.43</v>
      </c>
      <c r="K111" s="316">
        <v>0</v>
      </c>
      <c r="L111" s="316">
        <v>0</v>
      </c>
      <c r="M111" s="316">
        <v>0</v>
      </c>
      <c r="N111" s="316">
        <v>11127.57</v>
      </c>
      <c r="O111" s="316">
        <v>0</v>
      </c>
      <c r="P111" s="316">
        <v>0</v>
      </c>
      <c r="Q111" s="316">
        <v>0</v>
      </c>
      <c r="R111" s="316">
        <v>0</v>
      </c>
      <c r="S111" s="316">
        <v>1589.66</v>
      </c>
      <c r="T111" s="316">
        <v>2119.54</v>
      </c>
      <c r="U111" s="316">
        <f t="shared" si="1"/>
        <v>67825.2</v>
      </c>
      <c r="V111" s="238" t="s">
        <v>1348</v>
      </c>
      <c r="W111" s="238" t="s">
        <v>699</v>
      </c>
      <c r="X111" s="238"/>
    </row>
    <row r="112" spans="1:24" ht="15" customHeight="1" x14ac:dyDescent="0.25">
      <c r="A112" s="238" t="s">
        <v>1630</v>
      </c>
      <c r="B112" s="238" t="s">
        <v>1630</v>
      </c>
      <c r="C112" s="338" t="s">
        <v>1632</v>
      </c>
      <c r="D112" s="238" t="s">
        <v>50</v>
      </c>
      <c r="E112" s="238" t="s">
        <v>1428</v>
      </c>
      <c r="F112" s="238" t="s">
        <v>782</v>
      </c>
      <c r="G112" s="316">
        <v>0</v>
      </c>
      <c r="H112" s="316">
        <v>0</v>
      </c>
      <c r="I112" s="316">
        <v>0</v>
      </c>
      <c r="J112" s="316">
        <v>7147.41</v>
      </c>
      <c r="K112" s="316">
        <v>0</v>
      </c>
      <c r="L112" s="316">
        <v>0</v>
      </c>
      <c r="M112" s="316">
        <v>0</v>
      </c>
      <c r="N112" s="316">
        <v>1500.96</v>
      </c>
      <c r="O112" s="316">
        <v>0</v>
      </c>
      <c r="P112" s="316">
        <v>0</v>
      </c>
      <c r="Q112" s="316">
        <v>0</v>
      </c>
      <c r="R112" s="316">
        <v>929.16</v>
      </c>
      <c r="S112" s="316">
        <v>0</v>
      </c>
      <c r="T112" s="316">
        <v>0</v>
      </c>
      <c r="U112" s="316">
        <f t="shared" si="1"/>
        <v>9577.5299999999988</v>
      </c>
      <c r="V112" s="238" t="s">
        <v>1348</v>
      </c>
      <c r="W112" s="238" t="s">
        <v>699</v>
      </c>
      <c r="X112" s="238" t="s">
        <v>1368</v>
      </c>
    </row>
    <row r="113" spans="1:24" ht="15" customHeight="1" x14ac:dyDescent="0.25">
      <c r="A113" s="238" t="s">
        <v>1630</v>
      </c>
      <c r="B113" s="238" t="s">
        <v>1630</v>
      </c>
      <c r="C113" s="338" t="s">
        <v>1634</v>
      </c>
      <c r="D113" s="238" t="s">
        <v>50</v>
      </c>
      <c r="E113" s="238" t="s">
        <v>1428</v>
      </c>
      <c r="F113" s="238" t="s">
        <v>782</v>
      </c>
      <c r="G113" s="316">
        <v>0</v>
      </c>
      <c r="H113" s="316">
        <v>0</v>
      </c>
      <c r="I113" s="316">
        <v>0</v>
      </c>
      <c r="J113" s="316">
        <v>13279.17</v>
      </c>
      <c r="K113" s="316">
        <v>0</v>
      </c>
      <c r="L113" s="316">
        <v>0</v>
      </c>
      <c r="M113" s="316">
        <v>0</v>
      </c>
      <c r="N113" s="316">
        <v>2788.63</v>
      </c>
      <c r="O113" s="316">
        <v>0</v>
      </c>
      <c r="P113" s="316">
        <v>0</v>
      </c>
      <c r="Q113" s="316">
        <v>0</v>
      </c>
      <c r="R113" s="316">
        <v>1726.28</v>
      </c>
      <c r="S113" s="316">
        <v>0</v>
      </c>
      <c r="T113" s="316">
        <v>0</v>
      </c>
      <c r="U113" s="316">
        <f t="shared" si="1"/>
        <v>17794.079999999998</v>
      </c>
      <c r="V113" s="238" t="s">
        <v>1348</v>
      </c>
      <c r="W113" s="238" t="s">
        <v>699</v>
      </c>
      <c r="X113" s="238"/>
    </row>
    <row r="114" spans="1:24" ht="15" customHeight="1" x14ac:dyDescent="0.25">
      <c r="A114" s="238" t="s">
        <v>1426</v>
      </c>
      <c r="B114" s="238" t="s">
        <v>1426</v>
      </c>
      <c r="C114" s="338" t="s">
        <v>1427</v>
      </c>
      <c r="D114" s="238" t="s">
        <v>50</v>
      </c>
      <c r="E114" s="238" t="s">
        <v>1428</v>
      </c>
      <c r="F114" s="238" t="s">
        <v>782</v>
      </c>
      <c r="G114" s="316">
        <v>0</v>
      </c>
      <c r="H114" s="316">
        <v>0</v>
      </c>
      <c r="I114" s="316">
        <v>0</v>
      </c>
      <c r="J114" s="316">
        <v>16847.96</v>
      </c>
      <c r="K114" s="316">
        <v>0</v>
      </c>
      <c r="L114" s="316">
        <v>0</v>
      </c>
      <c r="M114" s="316">
        <v>0</v>
      </c>
      <c r="N114" s="316">
        <v>3538.07</v>
      </c>
      <c r="O114" s="316">
        <v>0</v>
      </c>
      <c r="P114" s="316">
        <v>0</v>
      </c>
      <c r="Q114" s="316">
        <v>0</v>
      </c>
      <c r="R114" s="316">
        <v>1684.79</v>
      </c>
      <c r="S114" s="316">
        <v>505.44</v>
      </c>
      <c r="T114" s="316">
        <v>0</v>
      </c>
      <c r="U114" s="316">
        <f t="shared" si="1"/>
        <v>22576.26</v>
      </c>
      <c r="V114" s="238" t="s">
        <v>1348</v>
      </c>
      <c r="W114" s="238" t="s">
        <v>699</v>
      </c>
      <c r="X114" s="238"/>
    </row>
    <row r="115" spans="1:24" ht="15" customHeight="1" x14ac:dyDescent="0.25">
      <c r="A115" s="238" t="s">
        <v>1515</v>
      </c>
      <c r="B115" s="238" t="s">
        <v>1515</v>
      </c>
      <c r="C115" s="238" t="s">
        <v>1516</v>
      </c>
      <c r="D115" s="238" t="s">
        <v>50</v>
      </c>
      <c r="E115" s="238" t="s">
        <v>1428</v>
      </c>
      <c r="F115" s="238" t="s">
        <v>782</v>
      </c>
      <c r="G115" s="316">
        <v>0</v>
      </c>
      <c r="H115" s="316">
        <v>0</v>
      </c>
      <c r="I115" s="316">
        <v>0</v>
      </c>
      <c r="J115" s="316">
        <v>20935.48</v>
      </c>
      <c r="K115" s="316">
        <v>0</v>
      </c>
      <c r="L115" s="316">
        <v>0</v>
      </c>
      <c r="M115" s="316">
        <v>0</v>
      </c>
      <c r="N115" s="316">
        <v>4396.45</v>
      </c>
      <c r="O115" s="316">
        <v>0</v>
      </c>
      <c r="P115" s="316">
        <v>0</v>
      </c>
      <c r="Q115" s="316">
        <v>0</v>
      </c>
      <c r="R115" s="316">
        <v>2093.5500000000002</v>
      </c>
      <c r="S115" s="316">
        <v>628.05999999999995</v>
      </c>
      <c r="T115" s="316">
        <v>0</v>
      </c>
      <c r="U115" s="316">
        <f t="shared" si="1"/>
        <v>28053.54</v>
      </c>
      <c r="V115" s="238" t="s">
        <v>1348</v>
      </c>
      <c r="W115" s="238" t="s">
        <v>699</v>
      </c>
      <c r="X115" s="238"/>
    </row>
    <row r="116" spans="1:24" ht="15" customHeight="1" x14ac:dyDescent="0.25">
      <c r="A116" s="238" t="s">
        <v>1567</v>
      </c>
      <c r="B116" s="238" t="s">
        <v>1567</v>
      </c>
      <c r="C116" s="238" t="s">
        <v>1568</v>
      </c>
      <c r="D116" s="238" t="s">
        <v>50</v>
      </c>
      <c r="E116" s="238" t="s">
        <v>1428</v>
      </c>
      <c r="F116" s="238" t="s">
        <v>782</v>
      </c>
      <c r="G116" s="316">
        <v>0</v>
      </c>
      <c r="H116" s="316">
        <v>0</v>
      </c>
      <c r="I116" s="316">
        <v>0</v>
      </c>
      <c r="J116" s="316">
        <v>13504.27</v>
      </c>
      <c r="K116" s="316">
        <v>0</v>
      </c>
      <c r="L116" s="316">
        <v>0</v>
      </c>
      <c r="M116" s="316">
        <v>0</v>
      </c>
      <c r="N116" s="316">
        <v>2835.9</v>
      </c>
      <c r="O116" s="316">
        <v>0</v>
      </c>
      <c r="P116" s="316">
        <v>0</v>
      </c>
      <c r="Q116" s="316">
        <v>0</v>
      </c>
      <c r="R116" s="316">
        <v>1350.43</v>
      </c>
      <c r="S116" s="316">
        <v>405.13</v>
      </c>
      <c r="T116" s="316">
        <v>0</v>
      </c>
      <c r="U116" s="316">
        <f t="shared" si="1"/>
        <v>18095.73</v>
      </c>
      <c r="V116" s="238" t="s">
        <v>1348</v>
      </c>
      <c r="W116" s="238" t="s">
        <v>699</v>
      </c>
      <c r="X116" s="238"/>
    </row>
    <row r="117" spans="1:24" ht="15" customHeight="1" x14ac:dyDescent="0.25">
      <c r="A117" s="238" t="s">
        <v>955</v>
      </c>
      <c r="B117" s="238" t="s">
        <v>955</v>
      </c>
      <c r="C117" s="238" t="s">
        <v>1450</v>
      </c>
      <c r="D117" s="238" t="s">
        <v>1451</v>
      </c>
      <c r="E117" s="238" t="s">
        <v>1452</v>
      </c>
      <c r="F117" s="238" t="s">
        <v>782</v>
      </c>
      <c r="G117" s="316">
        <v>0</v>
      </c>
      <c r="H117" s="316">
        <v>0</v>
      </c>
      <c r="I117" s="316">
        <v>0</v>
      </c>
      <c r="J117" s="316">
        <v>8504.1299999999992</v>
      </c>
      <c r="K117" s="316">
        <v>0</v>
      </c>
      <c r="L117" s="316">
        <v>0</v>
      </c>
      <c r="M117" s="316">
        <v>0</v>
      </c>
      <c r="N117" s="316">
        <v>1785.87</v>
      </c>
      <c r="O117" s="316">
        <v>0</v>
      </c>
      <c r="P117" s="316">
        <v>0</v>
      </c>
      <c r="Q117" s="316">
        <v>0</v>
      </c>
      <c r="R117" s="316">
        <v>0</v>
      </c>
      <c r="S117" s="316">
        <v>0</v>
      </c>
      <c r="T117" s="316">
        <v>340.17</v>
      </c>
      <c r="U117" s="316">
        <f t="shared" si="1"/>
        <v>10630.17</v>
      </c>
      <c r="V117" s="238" t="s">
        <v>1351</v>
      </c>
      <c r="W117" s="238" t="s">
        <v>704</v>
      </c>
      <c r="X117" s="238"/>
    </row>
    <row r="118" spans="1:24" ht="15" customHeight="1" x14ac:dyDescent="0.25">
      <c r="A118" s="238" t="s">
        <v>1285</v>
      </c>
      <c r="B118" s="238" t="s">
        <v>1316</v>
      </c>
      <c r="C118" s="238" t="s">
        <v>1581</v>
      </c>
      <c r="D118" s="238" t="s">
        <v>1451</v>
      </c>
      <c r="E118" s="238" t="s">
        <v>1452</v>
      </c>
      <c r="F118" s="238" t="s">
        <v>782</v>
      </c>
      <c r="G118" s="316">
        <v>0</v>
      </c>
      <c r="H118" s="316">
        <v>0</v>
      </c>
      <c r="I118" s="316">
        <v>0</v>
      </c>
      <c r="J118" s="316">
        <v>0</v>
      </c>
      <c r="K118" s="316">
        <v>0</v>
      </c>
      <c r="L118" s="316">
        <v>0</v>
      </c>
      <c r="M118" s="316">
        <v>15989</v>
      </c>
      <c r="N118" s="316">
        <v>0</v>
      </c>
      <c r="O118" s="316">
        <v>0</v>
      </c>
      <c r="P118" s="316">
        <v>0</v>
      </c>
      <c r="Q118" s="316">
        <v>0</v>
      </c>
      <c r="R118" s="316">
        <v>0</v>
      </c>
      <c r="S118" s="316">
        <v>0</v>
      </c>
      <c r="T118" s="316">
        <v>0</v>
      </c>
      <c r="U118" s="316">
        <f t="shared" si="1"/>
        <v>15989</v>
      </c>
      <c r="V118" s="238" t="s">
        <v>1351</v>
      </c>
      <c r="W118" s="238" t="s">
        <v>704</v>
      </c>
      <c r="X118" s="238"/>
    </row>
    <row r="119" spans="1:24" ht="15" customHeight="1" x14ac:dyDescent="0.25">
      <c r="A119" s="238" t="s">
        <v>1603</v>
      </c>
      <c r="B119" s="238" t="s">
        <v>1603</v>
      </c>
      <c r="C119" s="238" t="s">
        <v>1607</v>
      </c>
      <c r="D119" s="238" t="s">
        <v>1608</v>
      </c>
      <c r="E119" s="238" t="s">
        <v>1609</v>
      </c>
      <c r="F119" s="238" t="s">
        <v>761</v>
      </c>
      <c r="G119" s="316">
        <v>0</v>
      </c>
      <c r="H119" s="316">
        <v>0</v>
      </c>
      <c r="I119" s="316">
        <v>0</v>
      </c>
      <c r="J119" s="316">
        <v>0</v>
      </c>
      <c r="K119" s="316">
        <v>0</v>
      </c>
      <c r="L119" s="316">
        <v>0</v>
      </c>
      <c r="M119" s="316">
        <v>260000</v>
      </c>
      <c r="N119" s="316">
        <v>0</v>
      </c>
      <c r="O119" s="316">
        <v>0</v>
      </c>
      <c r="P119" s="316">
        <v>0</v>
      </c>
      <c r="Q119" s="316">
        <v>0</v>
      </c>
      <c r="R119" s="316">
        <v>0</v>
      </c>
      <c r="S119" s="316">
        <v>0</v>
      </c>
      <c r="T119" s="316">
        <v>0</v>
      </c>
      <c r="U119" s="316">
        <f t="shared" si="1"/>
        <v>260000</v>
      </c>
      <c r="V119" s="238" t="s">
        <v>1348</v>
      </c>
      <c r="W119" s="238" t="s">
        <v>704</v>
      </c>
      <c r="X119" s="238"/>
    </row>
    <row r="120" spans="1:24" ht="15" customHeight="1" x14ac:dyDescent="0.25">
      <c r="A120" s="238" t="s">
        <v>784</v>
      </c>
      <c r="B120" s="238" t="s">
        <v>784</v>
      </c>
      <c r="C120" s="238" t="s">
        <v>1354</v>
      </c>
      <c r="D120" s="238" t="s">
        <v>1355</v>
      </c>
      <c r="E120" s="238" t="s">
        <v>1356</v>
      </c>
      <c r="F120" s="238" t="s">
        <v>761</v>
      </c>
      <c r="G120" s="316">
        <v>0</v>
      </c>
      <c r="H120" s="316">
        <v>0</v>
      </c>
      <c r="I120" s="316">
        <v>0</v>
      </c>
      <c r="J120" s="316">
        <v>0</v>
      </c>
      <c r="K120" s="316">
        <v>0</v>
      </c>
      <c r="L120" s="316">
        <v>0</v>
      </c>
      <c r="M120" s="316">
        <v>4335000</v>
      </c>
      <c r="N120" s="316">
        <v>0</v>
      </c>
      <c r="O120" s="316">
        <v>0</v>
      </c>
      <c r="P120" s="316">
        <v>0</v>
      </c>
      <c r="Q120" s="316">
        <v>0</v>
      </c>
      <c r="R120" s="316">
        <v>0</v>
      </c>
      <c r="S120" s="316">
        <v>0</v>
      </c>
      <c r="T120" s="316">
        <v>0</v>
      </c>
      <c r="U120" s="316">
        <f t="shared" si="1"/>
        <v>4335000</v>
      </c>
      <c r="V120" s="238" t="s">
        <v>1348</v>
      </c>
      <c r="W120" s="238" t="s">
        <v>699</v>
      </c>
      <c r="X120" s="238"/>
    </row>
    <row r="121" spans="1:24" ht="15" customHeight="1" x14ac:dyDescent="0.25">
      <c r="A121" s="238" t="s">
        <v>825</v>
      </c>
      <c r="B121" s="238" t="s">
        <v>825</v>
      </c>
      <c r="C121" s="238" t="s">
        <v>1393</v>
      </c>
      <c r="D121" s="238" t="s">
        <v>1394</v>
      </c>
      <c r="E121" s="238" t="s">
        <v>1395</v>
      </c>
      <c r="F121" s="238" t="s">
        <v>761</v>
      </c>
      <c r="G121" s="316">
        <v>0</v>
      </c>
      <c r="H121" s="316">
        <v>0</v>
      </c>
      <c r="I121" s="316">
        <v>0</v>
      </c>
      <c r="J121" s="316">
        <v>0</v>
      </c>
      <c r="K121" s="316">
        <v>0</v>
      </c>
      <c r="L121" s="316">
        <v>0</v>
      </c>
      <c r="M121" s="316">
        <v>100000</v>
      </c>
      <c r="N121" s="316">
        <v>0</v>
      </c>
      <c r="O121" s="316">
        <v>0</v>
      </c>
      <c r="P121" s="316">
        <v>0</v>
      </c>
      <c r="Q121" s="316">
        <v>0</v>
      </c>
      <c r="R121" s="316">
        <v>0</v>
      </c>
      <c r="S121" s="316">
        <v>0</v>
      </c>
      <c r="T121" s="316">
        <v>0</v>
      </c>
      <c r="U121" s="316">
        <f t="shared" si="1"/>
        <v>100000</v>
      </c>
      <c r="V121" s="238"/>
      <c r="W121" s="238" t="s">
        <v>699</v>
      </c>
      <c r="X121" s="238"/>
    </row>
    <row r="122" spans="1:24" ht="15" customHeight="1" x14ac:dyDescent="0.25">
      <c r="A122" s="238" t="s">
        <v>784</v>
      </c>
      <c r="B122" s="238" t="s">
        <v>1126</v>
      </c>
      <c r="C122" s="238" t="s">
        <v>1493</v>
      </c>
      <c r="D122" s="238" t="s">
        <v>1494</v>
      </c>
      <c r="E122" s="238" t="s">
        <v>1495</v>
      </c>
      <c r="F122" s="238" t="s">
        <v>761</v>
      </c>
      <c r="G122" s="316">
        <v>0</v>
      </c>
      <c r="H122" s="316">
        <v>0</v>
      </c>
      <c r="I122" s="316">
        <v>0</v>
      </c>
      <c r="J122" s="316">
        <v>0</v>
      </c>
      <c r="K122" s="316">
        <v>0</v>
      </c>
      <c r="L122" s="316">
        <v>0</v>
      </c>
      <c r="M122" s="316">
        <v>870000</v>
      </c>
      <c r="N122" s="316">
        <v>0</v>
      </c>
      <c r="O122" s="316">
        <v>0</v>
      </c>
      <c r="P122" s="316">
        <v>0</v>
      </c>
      <c r="Q122" s="316">
        <v>0</v>
      </c>
      <c r="R122" s="316">
        <v>0</v>
      </c>
      <c r="S122" s="316">
        <v>0</v>
      </c>
      <c r="T122" s="316">
        <v>0</v>
      </c>
      <c r="U122" s="316">
        <f t="shared" si="1"/>
        <v>870000</v>
      </c>
      <c r="V122" s="238" t="s">
        <v>1351</v>
      </c>
      <c r="W122" s="238" t="s">
        <v>699</v>
      </c>
      <c r="X122" s="238"/>
    </row>
    <row r="123" spans="1:24" ht="15" customHeight="1" x14ac:dyDescent="0.25">
      <c r="A123" s="238" t="s">
        <v>1126</v>
      </c>
      <c r="B123" s="238" t="s">
        <v>1126</v>
      </c>
      <c r="C123" s="238" t="s">
        <v>1502</v>
      </c>
      <c r="D123" s="238" t="s">
        <v>1503</v>
      </c>
      <c r="E123" s="238" t="s">
        <v>1504</v>
      </c>
      <c r="F123" s="238" t="s">
        <v>761</v>
      </c>
      <c r="G123" s="316">
        <v>0</v>
      </c>
      <c r="H123" s="316">
        <v>0</v>
      </c>
      <c r="I123" s="316">
        <v>0</v>
      </c>
      <c r="J123" s="316">
        <v>0</v>
      </c>
      <c r="K123" s="316">
        <v>0</v>
      </c>
      <c r="L123" s="316">
        <v>0</v>
      </c>
      <c r="M123" s="316">
        <v>900000</v>
      </c>
      <c r="N123" s="316">
        <v>0</v>
      </c>
      <c r="O123" s="316">
        <v>0</v>
      </c>
      <c r="P123" s="316">
        <v>0</v>
      </c>
      <c r="Q123" s="316">
        <v>0</v>
      </c>
      <c r="R123" s="316">
        <v>0</v>
      </c>
      <c r="S123" s="316">
        <v>0</v>
      </c>
      <c r="T123" s="316">
        <v>0</v>
      </c>
      <c r="U123" s="316">
        <f t="shared" si="1"/>
        <v>900000</v>
      </c>
      <c r="V123" s="238" t="s">
        <v>1466</v>
      </c>
      <c r="W123" s="238" t="s">
        <v>699</v>
      </c>
      <c r="X123" s="238"/>
    </row>
    <row r="124" spans="1:24" ht="15" customHeight="1" x14ac:dyDescent="0.25">
      <c r="A124" s="238" t="s">
        <v>1126</v>
      </c>
      <c r="B124" s="238" t="s">
        <v>1126</v>
      </c>
      <c r="C124" s="238" t="s">
        <v>1499</v>
      </c>
      <c r="D124" s="238" t="s">
        <v>1500</v>
      </c>
      <c r="E124" s="238" t="s">
        <v>1501</v>
      </c>
      <c r="F124" s="238" t="s">
        <v>761</v>
      </c>
      <c r="G124" s="316">
        <v>0</v>
      </c>
      <c r="H124" s="316">
        <v>0</v>
      </c>
      <c r="I124" s="316">
        <v>0</v>
      </c>
      <c r="J124" s="316">
        <v>0</v>
      </c>
      <c r="K124" s="316">
        <v>0</v>
      </c>
      <c r="L124" s="316">
        <v>0</v>
      </c>
      <c r="M124" s="316">
        <v>300000</v>
      </c>
      <c r="N124" s="316">
        <v>0</v>
      </c>
      <c r="O124" s="316">
        <v>0</v>
      </c>
      <c r="P124" s="316">
        <v>0</v>
      </c>
      <c r="Q124" s="316">
        <v>0</v>
      </c>
      <c r="R124" s="316">
        <v>0</v>
      </c>
      <c r="S124" s="316">
        <v>0</v>
      </c>
      <c r="T124" s="316">
        <v>0</v>
      </c>
      <c r="U124" s="316">
        <f t="shared" si="1"/>
        <v>300000</v>
      </c>
      <c r="V124" s="238" t="s">
        <v>1348</v>
      </c>
      <c r="W124" s="238" t="s">
        <v>699</v>
      </c>
      <c r="X124" s="238"/>
    </row>
    <row r="125" spans="1:24" ht="15" customHeight="1" x14ac:dyDescent="0.25">
      <c r="A125" s="238" t="s">
        <v>784</v>
      </c>
      <c r="B125" s="238" t="s">
        <v>784</v>
      </c>
      <c r="C125" s="238" t="s">
        <v>1360</v>
      </c>
      <c r="D125" s="238" t="s">
        <v>1361</v>
      </c>
      <c r="E125" s="238" t="s">
        <v>1362</v>
      </c>
      <c r="F125" s="238" t="s">
        <v>761</v>
      </c>
      <c r="G125" s="316">
        <v>0</v>
      </c>
      <c r="H125" s="316">
        <v>0</v>
      </c>
      <c r="I125" s="316">
        <v>0</v>
      </c>
      <c r="J125" s="316">
        <v>0</v>
      </c>
      <c r="K125" s="316">
        <v>0</v>
      </c>
      <c r="L125" s="316">
        <v>0</v>
      </c>
      <c r="M125" s="316">
        <v>165000</v>
      </c>
      <c r="N125" s="316">
        <v>0</v>
      </c>
      <c r="O125" s="316">
        <v>0</v>
      </c>
      <c r="P125" s="316">
        <v>0</v>
      </c>
      <c r="Q125" s="316">
        <v>0</v>
      </c>
      <c r="R125" s="316">
        <v>0</v>
      </c>
      <c r="S125" s="316">
        <v>0</v>
      </c>
      <c r="T125" s="316">
        <v>0</v>
      </c>
      <c r="U125" s="316">
        <f t="shared" si="1"/>
        <v>165000</v>
      </c>
      <c r="V125" s="238" t="s">
        <v>1351</v>
      </c>
      <c r="W125" s="238" t="s">
        <v>704</v>
      </c>
      <c r="X125" s="238"/>
    </row>
    <row r="126" spans="1:24" ht="15" customHeight="1" x14ac:dyDescent="0.25">
      <c r="A126" s="238" t="s">
        <v>1603</v>
      </c>
      <c r="B126" s="238" t="s">
        <v>1603</v>
      </c>
      <c r="C126" s="238" t="s">
        <v>1616</v>
      </c>
      <c r="D126" s="238" t="s">
        <v>1485</v>
      </c>
      <c r="E126" s="238" t="s">
        <v>1486</v>
      </c>
      <c r="F126" s="238" t="s">
        <v>761</v>
      </c>
      <c r="G126" s="316">
        <v>0</v>
      </c>
      <c r="H126" s="316">
        <v>0</v>
      </c>
      <c r="I126" s="316">
        <v>0</v>
      </c>
      <c r="J126" s="316">
        <v>0</v>
      </c>
      <c r="K126" s="316">
        <v>0</v>
      </c>
      <c r="L126" s="316">
        <v>0</v>
      </c>
      <c r="M126" s="316">
        <v>383580</v>
      </c>
      <c r="N126" s="316">
        <v>0</v>
      </c>
      <c r="O126" s="316">
        <v>0</v>
      </c>
      <c r="P126" s="316">
        <v>0</v>
      </c>
      <c r="Q126" s="316">
        <v>0</v>
      </c>
      <c r="R126" s="316">
        <v>0</v>
      </c>
      <c r="S126" s="316">
        <v>0</v>
      </c>
      <c r="T126" s="316">
        <v>0</v>
      </c>
      <c r="U126" s="316">
        <f t="shared" si="1"/>
        <v>383580</v>
      </c>
      <c r="V126" s="238" t="s">
        <v>1351</v>
      </c>
      <c r="W126" s="238" t="s">
        <v>699</v>
      </c>
      <c r="X126" s="238" t="s">
        <v>1368</v>
      </c>
    </row>
    <row r="127" spans="1:24" ht="15" customHeight="1" x14ac:dyDescent="0.25">
      <c r="A127" s="238" t="s">
        <v>1603</v>
      </c>
      <c r="B127" s="238" t="s">
        <v>1603</v>
      </c>
      <c r="C127" s="238" t="s">
        <v>1604</v>
      </c>
      <c r="D127" s="238" t="s">
        <v>1605</v>
      </c>
      <c r="E127" s="238" t="s">
        <v>1606</v>
      </c>
      <c r="F127" s="238" t="s">
        <v>761</v>
      </c>
      <c r="G127" s="316">
        <v>0</v>
      </c>
      <c r="H127" s="316">
        <v>0</v>
      </c>
      <c r="I127" s="316">
        <v>0</v>
      </c>
      <c r="J127" s="316">
        <v>0</v>
      </c>
      <c r="K127" s="316">
        <v>0</v>
      </c>
      <c r="L127" s="316">
        <v>0</v>
      </c>
      <c r="M127" s="316">
        <v>850000</v>
      </c>
      <c r="N127" s="316">
        <v>0</v>
      </c>
      <c r="O127" s="316">
        <v>0</v>
      </c>
      <c r="P127" s="316">
        <v>0</v>
      </c>
      <c r="Q127" s="316">
        <v>0</v>
      </c>
      <c r="R127" s="316">
        <v>0</v>
      </c>
      <c r="S127" s="316">
        <v>0</v>
      </c>
      <c r="T127" s="316">
        <v>0</v>
      </c>
      <c r="U127" s="316">
        <f t="shared" si="1"/>
        <v>850000</v>
      </c>
      <c r="V127" s="238" t="s">
        <v>1348</v>
      </c>
      <c r="W127" s="238" t="s">
        <v>704</v>
      </c>
      <c r="X127" s="238"/>
    </row>
    <row r="128" spans="1:24" ht="15" customHeight="1" x14ac:dyDescent="0.25">
      <c r="A128" s="238" t="s">
        <v>885</v>
      </c>
      <c r="B128" s="238" t="s">
        <v>885</v>
      </c>
      <c r="C128" s="238" t="s">
        <v>1408</v>
      </c>
      <c r="D128" s="238" t="s">
        <v>1409</v>
      </c>
      <c r="E128" s="238" t="s">
        <v>1410</v>
      </c>
      <c r="F128" s="238" t="s">
        <v>761</v>
      </c>
      <c r="G128" s="316">
        <v>0</v>
      </c>
      <c r="H128" s="316">
        <v>0</v>
      </c>
      <c r="I128" s="316">
        <v>0</v>
      </c>
      <c r="J128" s="316">
        <v>0</v>
      </c>
      <c r="K128" s="316">
        <v>0</v>
      </c>
      <c r="L128" s="316">
        <v>0</v>
      </c>
      <c r="M128" s="316">
        <v>60000</v>
      </c>
      <c r="N128" s="316">
        <v>0</v>
      </c>
      <c r="O128" s="316">
        <v>0</v>
      </c>
      <c r="P128" s="316">
        <v>0</v>
      </c>
      <c r="Q128" s="316">
        <v>0</v>
      </c>
      <c r="R128" s="316">
        <v>0</v>
      </c>
      <c r="S128" s="316">
        <v>0</v>
      </c>
      <c r="T128" s="316">
        <v>0</v>
      </c>
      <c r="U128" s="316">
        <f t="shared" si="1"/>
        <v>60000</v>
      </c>
      <c r="V128" s="238" t="s">
        <v>1348</v>
      </c>
      <c r="W128" s="238" t="s">
        <v>1411</v>
      </c>
      <c r="X128" s="238"/>
    </row>
    <row r="129" spans="1:24" ht="15" customHeight="1" x14ac:dyDescent="0.25">
      <c r="A129" s="238" t="s">
        <v>934</v>
      </c>
      <c r="B129" s="238" t="s">
        <v>934</v>
      </c>
      <c r="C129" s="238" t="s">
        <v>1423</v>
      </c>
      <c r="D129" s="238" t="s">
        <v>1424</v>
      </c>
      <c r="E129" s="238" t="s">
        <v>1425</v>
      </c>
      <c r="F129" s="238" t="s">
        <v>761</v>
      </c>
      <c r="G129" s="316">
        <v>0</v>
      </c>
      <c r="H129" s="316">
        <v>0</v>
      </c>
      <c r="I129" s="316">
        <v>0</v>
      </c>
      <c r="J129" s="316">
        <v>0</v>
      </c>
      <c r="K129" s="316">
        <v>0</v>
      </c>
      <c r="L129" s="316">
        <v>0</v>
      </c>
      <c r="M129" s="316">
        <v>3200000</v>
      </c>
      <c r="N129" s="316">
        <v>0</v>
      </c>
      <c r="O129" s="316">
        <v>0</v>
      </c>
      <c r="P129" s="316">
        <v>0</v>
      </c>
      <c r="Q129" s="316">
        <v>0</v>
      </c>
      <c r="R129" s="316">
        <v>0</v>
      </c>
      <c r="S129" s="316">
        <v>0</v>
      </c>
      <c r="T129" s="316">
        <v>0</v>
      </c>
      <c r="U129" s="316">
        <f t="shared" si="1"/>
        <v>3200000</v>
      </c>
      <c r="V129" s="238" t="s">
        <v>1348</v>
      </c>
      <c r="W129" s="238" t="s">
        <v>699</v>
      </c>
      <c r="X129" s="238"/>
    </row>
    <row r="130" spans="1:24" ht="15" customHeight="1" x14ac:dyDescent="0.25">
      <c r="A130" s="238" t="s">
        <v>955</v>
      </c>
      <c r="B130" s="238" t="s">
        <v>955</v>
      </c>
      <c r="C130" s="238" t="s">
        <v>1444</v>
      </c>
      <c r="D130" s="238" t="s">
        <v>1445</v>
      </c>
      <c r="E130" s="238" t="s">
        <v>1446</v>
      </c>
      <c r="F130" s="238" t="s">
        <v>761</v>
      </c>
      <c r="G130" s="316">
        <v>0</v>
      </c>
      <c r="H130" s="316">
        <v>0</v>
      </c>
      <c r="I130" s="316">
        <v>0</v>
      </c>
      <c r="J130" s="316">
        <v>0</v>
      </c>
      <c r="K130" s="316">
        <v>0</v>
      </c>
      <c r="L130" s="316">
        <v>0</v>
      </c>
      <c r="M130" s="316">
        <v>9700</v>
      </c>
      <c r="N130" s="316">
        <v>0</v>
      </c>
      <c r="O130" s="316">
        <v>0</v>
      </c>
      <c r="P130" s="316">
        <v>0</v>
      </c>
      <c r="Q130" s="316">
        <v>0</v>
      </c>
      <c r="R130" s="316">
        <v>0</v>
      </c>
      <c r="S130" s="316">
        <v>0</v>
      </c>
      <c r="T130" s="316">
        <v>0</v>
      </c>
      <c r="U130" s="316">
        <f t="shared" si="1"/>
        <v>9700</v>
      </c>
      <c r="V130" s="238" t="s">
        <v>1351</v>
      </c>
      <c r="W130" s="238" t="s">
        <v>704</v>
      </c>
      <c r="X130" s="238"/>
    </row>
    <row r="131" spans="1:24" ht="15" customHeight="1" x14ac:dyDescent="0.25">
      <c r="A131" s="238" t="s">
        <v>1589</v>
      </c>
      <c r="B131" s="238" t="s">
        <v>1589</v>
      </c>
      <c r="C131" s="238" t="s">
        <v>1596</v>
      </c>
      <c r="D131" s="238" t="s">
        <v>1445</v>
      </c>
      <c r="E131" s="238" t="s">
        <v>1446</v>
      </c>
      <c r="F131" s="238" t="s">
        <v>761</v>
      </c>
      <c r="G131" s="316">
        <v>0</v>
      </c>
      <c r="H131" s="316">
        <v>0</v>
      </c>
      <c r="I131" s="316">
        <v>0</v>
      </c>
      <c r="J131" s="316">
        <v>0</v>
      </c>
      <c r="K131" s="316">
        <v>0</v>
      </c>
      <c r="L131" s="316">
        <v>0</v>
      </c>
      <c r="M131" s="316">
        <v>8500</v>
      </c>
      <c r="N131" s="316">
        <v>0</v>
      </c>
      <c r="O131" s="316">
        <v>0</v>
      </c>
      <c r="P131" s="316">
        <v>0</v>
      </c>
      <c r="Q131" s="316">
        <v>0</v>
      </c>
      <c r="R131" s="316">
        <v>0</v>
      </c>
      <c r="S131" s="316">
        <v>0</v>
      </c>
      <c r="T131" s="316">
        <v>0</v>
      </c>
      <c r="U131" s="316">
        <f t="shared" ref="U131:U146" si="2">SUM(G131:T131)</f>
        <v>8500</v>
      </c>
      <c r="V131" s="238" t="s">
        <v>1351</v>
      </c>
      <c r="W131" s="238" t="s">
        <v>704</v>
      </c>
      <c r="X131" s="238"/>
    </row>
    <row r="132" spans="1:24" ht="15" customHeight="1" x14ac:dyDescent="0.25">
      <c r="A132" s="238" t="s">
        <v>1098</v>
      </c>
      <c r="B132" s="238" t="s">
        <v>1098</v>
      </c>
      <c r="C132" s="238" t="s">
        <v>1484</v>
      </c>
      <c r="D132" s="238" t="s">
        <v>1485</v>
      </c>
      <c r="E132" s="238" t="s">
        <v>1486</v>
      </c>
      <c r="F132" s="238" t="s">
        <v>761</v>
      </c>
      <c r="G132" s="316">
        <v>0</v>
      </c>
      <c r="H132" s="316">
        <v>0</v>
      </c>
      <c r="I132" s="316">
        <v>0</v>
      </c>
      <c r="J132" s="316">
        <v>0</v>
      </c>
      <c r="K132" s="316">
        <v>0</v>
      </c>
      <c r="L132" s="316">
        <v>0</v>
      </c>
      <c r="M132" s="316">
        <v>540580</v>
      </c>
      <c r="N132" s="316">
        <v>0</v>
      </c>
      <c r="O132" s="316">
        <v>0</v>
      </c>
      <c r="P132" s="316">
        <v>0</v>
      </c>
      <c r="Q132" s="316">
        <v>0</v>
      </c>
      <c r="R132" s="316">
        <v>0</v>
      </c>
      <c r="S132" s="316">
        <v>0</v>
      </c>
      <c r="T132" s="316">
        <v>0</v>
      </c>
      <c r="U132" s="316">
        <f t="shared" si="2"/>
        <v>540580</v>
      </c>
      <c r="V132" s="238" t="s">
        <v>1351</v>
      </c>
      <c r="W132" s="238" t="s">
        <v>699</v>
      </c>
      <c r="X132" s="238"/>
    </row>
    <row r="133" spans="1:24" ht="15" customHeight="1" x14ac:dyDescent="0.25">
      <c r="A133" s="238" t="s">
        <v>784</v>
      </c>
      <c r="B133" s="238" t="s">
        <v>784</v>
      </c>
      <c r="C133" s="238" t="s">
        <v>1372</v>
      </c>
      <c r="D133" s="238" t="s">
        <v>1373</v>
      </c>
      <c r="E133" s="238" t="s">
        <v>1374</v>
      </c>
      <c r="F133" s="238" t="s">
        <v>761</v>
      </c>
      <c r="G133" s="316">
        <v>0</v>
      </c>
      <c r="H133" s="316">
        <v>0</v>
      </c>
      <c r="I133" s="316">
        <v>0</v>
      </c>
      <c r="J133" s="316">
        <v>0</v>
      </c>
      <c r="K133" s="316">
        <v>0</v>
      </c>
      <c r="L133" s="316">
        <v>0</v>
      </c>
      <c r="M133" s="316">
        <v>300000</v>
      </c>
      <c r="N133" s="316">
        <v>0</v>
      </c>
      <c r="O133" s="316">
        <v>0</v>
      </c>
      <c r="P133" s="316">
        <v>0</v>
      </c>
      <c r="Q133" s="316">
        <v>0</v>
      </c>
      <c r="R133" s="316">
        <v>0</v>
      </c>
      <c r="S133" s="316">
        <v>0</v>
      </c>
      <c r="T133" s="316">
        <v>0</v>
      </c>
      <c r="U133" s="316">
        <f t="shared" si="2"/>
        <v>300000</v>
      </c>
      <c r="V133" s="238" t="s">
        <v>1351</v>
      </c>
      <c r="W133" s="238" t="s">
        <v>704</v>
      </c>
      <c r="X133" s="238"/>
    </row>
    <row r="134" spans="1:24" ht="15" customHeight="1" x14ac:dyDescent="0.25">
      <c r="A134" s="238" t="s">
        <v>1589</v>
      </c>
      <c r="B134" s="238" t="s">
        <v>1589</v>
      </c>
      <c r="C134" s="238" t="s">
        <v>1597</v>
      </c>
      <c r="D134" s="238" t="s">
        <v>1598</v>
      </c>
      <c r="E134" s="238" t="s">
        <v>1599</v>
      </c>
      <c r="F134" s="238" t="s">
        <v>761</v>
      </c>
      <c r="G134" s="316">
        <v>0</v>
      </c>
      <c r="H134" s="316">
        <v>0</v>
      </c>
      <c r="I134" s="316">
        <v>0</v>
      </c>
      <c r="J134" s="316">
        <v>0</v>
      </c>
      <c r="K134" s="316">
        <v>0</v>
      </c>
      <c r="L134" s="316">
        <v>0</v>
      </c>
      <c r="M134" s="316">
        <v>525000</v>
      </c>
      <c r="N134" s="316">
        <v>0</v>
      </c>
      <c r="O134" s="316">
        <v>0</v>
      </c>
      <c r="P134" s="316">
        <v>0</v>
      </c>
      <c r="Q134" s="316">
        <v>0</v>
      </c>
      <c r="R134" s="316">
        <v>0</v>
      </c>
      <c r="S134" s="316">
        <v>0</v>
      </c>
      <c r="T134" s="316">
        <v>0</v>
      </c>
      <c r="U134" s="316">
        <f t="shared" si="2"/>
        <v>525000</v>
      </c>
      <c r="V134" s="238"/>
      <c r="W134" s="238" t="s">
        <v>699</v>
      </c>
      <c r="X134" s="238"/>
    </row>
    <row r="135" spans="1:24" ht="15" customHeight="1" x14ac:dyDescent="0.25">
      <c r="A135" s="243"/>
      <c r="B135" s="243"/>
      <c r="C135" s="244" t="s">
        <v>1342</v>
      </c>
      <c r="D135" s="244" t="s">
        <v>1343</v>
      </c>
      <c r="E135" s="245"/>
      <c r="F135" s="245"/>
      <c r="G135" s="316"/>
      <c r="H135" s="316"/>
      <c r="I135" s="316"/>
      <c r="J135" s="316">
        <f>N135*100/21</f>
        <v>56252.285714285717</v>
      </c>
      <c r="K135" s="316"/>
      <c r="L135" s="316"/>
      <c r="M135" s="316"/>
      <c r="N135" s="316">
        <f>10402.98+1410</f>
        <v>11812.98</v>
      </c>
      <c r="O135" s="316"/>
      <c r="P135" s="316"/>
      <c r="Q135" s="316"/>
      <c r="R135" s="316"/>
      <c r="S135" s="316"/>
      <c r="T135" s="316"/>
      <c r="U135" s="316">
        <f t="shared" si="2"/>
        <v>68065.265714285721</v>
      </c>
      <c r="V135" s="238"/>
      <c r="W135" s="238"/>
      <c r="X135" s="238"/>
    </row>
    <row r="136" spans="1:24" ht="15" customHeight="1" x14ac:dyDescent="0.25">
      <c r="A136" s="243"/>
      <c r="B136" s="243"/>
      <c r="C136" s="244" t="s">
        <v>1342</v>
      </c>
      <c r="D136" s="244" t="s">
        <v>1344</v>
      </c>
      <c r="E136" s="245"/>
      <c r="F136" s="245"/>
      <c r="G136" s="316"/>
      <c r="H136" s="316"/>
      <c r="I136" s="316"/>
      <c r="J136" s="316">
        <f>N136*100/21</f>
        <v>42675</v>
      </c>
      <c r="K136" s="316"/>
      <c r="L136" s="316"/>
      <c r="M136" s="316"/>
      <c r="N136" s="316">
        <f>7911.75+1050</f>
        <v>8961.75</v>
      </c>
      <c r="O136" s="316"/>
      <c r="P136" s="316"/>
      <c r="Q136" s="316"/>
      <c r="R136" s="316"/>
      <c r="S136" s="316"/>
      <c r="T136" s="316"/>
      <c r="U136" s="316">
        <f t="shared" si="2"/>
        <v>51636.75</v>
      </c>
      <c r="V136" s="238"/>
      <c r="W136" s="238"/>
      <c r="X136" s="238"/>
    </row>
    <row r="137" spans="1:24" ht="15" customHeight="1" x14ac:dyDescent="0.25">
      <c r="A137" s="238" t="s">
        <v>784</v>
      </c>
      <c r="B137" s="238" t="s">
        <v>784</v>
      </c>
      <c r="C137" s="238" t="s">
        <v>1369</v>
      </c>
      <c r="D137" s="238" t="s">
        <v>1370</v>
      </c>
      <c r="E137" s="238" t="s">
        <v>1371</v>
      </c>
      <c r="F137" s="238" t="s">
        <v>782</v>
      </c>
      <c r="G137" s="316">
        <v>0</v>
      </c>
      <c r="H137" s="316">
        <v>0</v>
      </c>
      <c r="I137" s="316">
        <v>-231673.3</v>
      </c>
      <c r="J137" s="316">
        <v>-1691.3</v>
      </c>
      <c r="K137" s="316">
        <v>0</v>
      </c>
      <c r="L137" s="316">
        <v>0</v>
      </c>
      <c r="M137" s="316">
        <v>0</v>
      </c>
      <c r="N137" s="316">
        <v>-24680.87</v>
      </c>
      <c r="O137" s="316">
        <v>0</v>
      </c>
      <c r="P137" s="316">
        <v>0</v>
      </c>
      <c r="Q137" s="316">
        <v>0</v>
      </c>
      <c r="R137" s="316">
        <v>0</v>
      </c>
      <c r="S137" s="316">
        <v>0</v>
      </c>
      <c r="T137" s="316">
        <v>0</v>
      </c>
      <c r="U137" s="316">
        <f t="shared" si="2"/>
        <v>-258045.46999999997</v>
      </c>
      <c r="V137" s="238" t="s">
        <v>1351</v>
      </c>
      <c r="W137" s="238" t="s">
        <v>704</v>
      </c>
      <c r="X137" s="238" t="s">
        <v>1368</v>
      </c>
    </row>
    <row r="138" spans="1:24" ht="15" customHeight="1" x14ac:dyDescent="0.25">
      <c r="A138" s="238" t="s">
        <v>784</v>
      </c>
      <c r="B138" s="238" t="s">
        <v>784</v>
      </c>
      <c r="C138" s="238" t="s">
        <v>1375</v>
      </c>
      <c r="D138" s="238" t="s">
        <v>490</v>
      </c>
      <c r="E138" s="238" t="s">
        <v>1376</v>
      </c>
      <c r="F138" s="238" t="s">
        <v>782</v>
      </c>
      <c r="G138" s="316">
        <v>0</v>
      </c>
      <c r="H138" s="316">
        <v>0</v>
      </c>
      <c r="I138" s="316">
        <v>0</v>
      </c>
      <c r="J138" s="316">
        <v>-575200</v>
      </c>
      <c r="K138" s="316">
        <v>0</v>
      </c>
      <c r="L138" s="316">
        <v>0</v>
      </c>
      <c r="M138" s="316">
        <v>0</v>
      </c>
      <c r="N138" s="316">
        <v>-120792</v>
      </c>
      <c r="O138" s="316">
        <v>0</v>
      </c>
      <c r="P138" s="316">
        <v>0</v>
      </c>
      <c r="Q138" s="316">
        <v>0</v>
      </c>
      <c r="R138" s="316">
        <v>-23008</v>
      </c>
      <c r="S138" s="316">
        <v>0</v>
      </c>
      <c r="T138" s="316">
        <v>0</v>
      </c>
      <c r="U138" s="316">
        <f>SUM(G138:T138)</f>
        <v>-719000</v>
      </c>
      <c r="V138" s="238" t="s">
        <v>1351</v>
      </c>
      <c r="W138" s="238" t="s">
        <v>704</v>
      </c>
      <c r="X138" s="238"/>
    </row>
    <row r="139" spans="1:24" ht="15" customHeight="1" x14ac:dyDescent="0.25">
      <c r="A139" s="238" t="s">
        <v>955</v>
      </c>
      <c r="B139" s="238" t="s">
        <v>955</v>
      </c>
      <c r="C139" s="238" t="s">
        <v>1454</v>
      </c>
      <c r="D139" s="238" t="s">
        <v>452</v>
      </c>
      <c r="E139" s="238" t="s">
        <v>1442</v>
      </c>
      <c r="F139" s="238" t="s">
        <v>782</v>
      </c>
      <c r="G139" s="316">
        <v>0</v>
      </c>
      <c r="H139" s="316">
        <v>0</v>
      </c>
      <c r="I139" s="316">
        <v>0</v>
      </c>
      <c r="J139" s="316">
        <v>-183988</v>
      </c>
      <c r="K139" s="316">
        <v>0</v>
      </c>
      <c r="L139" s="316">
        <v>0</v>
      </c>
      <c r="M139" s="316">
        <v>0</v>
      </c>
      <c r="N139" s="316">
        <v>-38637.480000000003</v>
      </c>
      <c r="O139" s="316">
        <v>0</v>
      </c>
      <c r="P139" s="316">
        <v>0</v>
      </c>
      <c r="Q139" s="316">
        <v>0</v>
      </c>
      <c r="R139" s="316">
        <v>0</v>
      </c>
      <c r="S139" s="316">
        <v>0</v>
      </c>
      <c r="T139" s="316">
        <v>0</v>
      </c>
      <c r="U139" s="316">
        <f t="shared" si="2"/>
        <v>-222625.48</v>
      </c>
      <c r="V139" s="238" t="s">
        <v>1351</v>
      </c>
      <c r="W139" s="238" t="s">
        <v>699</v>
      </c>
      <c r="X139" s="238"/>
    </row>
    <row r="140" spans="1:24" ht="15" customHeight="1" x14ac:dyDescent="0.25">
      <c r="A140" s="238" t="s">
        <v>1603</v>
      </c>
      <c r="B140" s="238" t="s">
        <v>1603</v>
      </c>
      <c r="C140" s="238" t="s">
        <v>1615</v>
      </c>
      <c r="D140" s="238" t="s">
        <v>1397</v>
      </c>
      <c r="E140" s="238" t="s">
        <v>1398</v>
      </c>
      <c r="F140" s="238" t="s">
        <v>782</v>
      </c>
      <c r="G140" s="316">
        <v>0</v>
      </c>
      <c r="H140" s="316">
        <v>0</v>
      </c>
      <c r="I140" s="316">
        <v>0</v>
      </c>
      <c r="J140" s="316">
        <v>-1300000</v>
      </c>
      <c r="K140" s="316">
        <v>0</v>
      </c>
      <c r="L140" s="316">
        <v>0</v>
      </c>
      <c r="M140" s="316">
        <v>0</v>
      </c>
      <c r="N140" s="316">
        <v>-273000</v>
      </c>
      <c r="O140" s="316">
        <v>0</v>
      </c>
      <c r="P140" s="316">
        <v>0</v>
      </c>
      <c r="Q140" s="316">
        <v>0</v>
      </c>
      <c r="R140" s="316">
        <v>0</v>
      </c>
      <c r="S140" s="316">
        <v>0</v>
      </c>
      <c r="T140" s="316">
        <v>0</v>
      </c>
      <c r="U140" s="316">
        <f t="shared" si="2"/>
        <v>-1573000</v>
      </c>
      <c r="V140" s="238" t="s">
        <v>1351</v>
      </c>
      <c r="W140" s="238" t="s">
        <v>704</v>
      </c>
      <c r="X140" s="238"/>
    </row>
    <row r="141" spans="1:24" ht="15" customHeight="1" x14ac:dyDescent="0.25">
      <c r="A141" s="238" t="s">
        <v>1624</v>
      </c>
      <c r="B141" s="238" t="s">
        <v>1624</v>
      </c>
      <c r="C141" s="238" t="s">
        <v>1629</v>
      </c>
      <c r="D141" s="238" t="s">
        <v>1627</v>
      </c>
      <c r="E141" s="238" t="s">
        <v>1628</v>
      </c>
      <c r="F141" s="238" t="s">
        <v>782</v>
      </c>
      <c r="G141" s="316">
        <v>0</v>
      </c>
      <c r="H141" s="316">
        <v>0</v>
      </c>
      <c r="I141" s="316">
        <v>0</v>
      </c>
      <c r="J141" s="316">
        <v>-1185.95</v>
      </c>
      <c r="K141" s="316">
        <v>0</v>
      </c>
      <c r="L141" s="316">
        <v>0</v>
      </c>
      <c r="M141" s="316">
        <v>0</v>
      </c>
      <c r="N141" s="316">
        <v>-249.05</v>
      </c>
      <c r="O141" s="316">
        <v>0</v>
      </c>
      <c r="P141" s="316">
        <v>0</v>
      </c>
      <c r="Q141" s="316">
        <v>0</v>
      </c>
      <c r="R141" s="316">
        <v>0</v>
      </c>
      <c r="S141" s="316">
        <v>-35.58</v>
      </c>
      <c r="T141" s="316">
        <v>0</v>
      </c>
      <c r="U141" s="316">
        <f t="shared" si="2"/>
        <v>-1470.58</v>
      </c>
      <c r="V141" s="238" t="s">
        <v>1348</v>
      </c>
      <c r="W141" s="238" t="s">
        <v>704</v>
      </c>
      <c r="X141" s="238"/>
    </row>
    <row r="142" spans="1:24" ht="15" customHeight="1" x14ac:dyDescent="0.25">
      <c r="A142" s="238" t="s">
        <v>817</v>
      </c>
      <c r="B142" s="238" t="s">
        <v>817</v>
      </c>
      <c r="C142" s="238" t="s">
        <v>1385</v>
      </c>
      <c r="D142" s="238" t="s">
        <v>269</v>
      </c>
      <c r="E142" s="238" t="s">
        <v>1386</v>
      </c>
      <c r="F142" s="238" t="s">
        <v>782</v>
      </c>
      <c r="G142" s="316">
        <v>0</v>
      </c>
      <c r="H142" s="316">
        <v>0</v>
      </c>
      <c r="I142" s="316">
        <v>0</v>
      </c>
      <c r="J142" s="316">
        <v>23641.98</v>
      </c>
      <c r="K142" s="316">
        <v>0</v>
      </c>
      <c r="L142" s="316">
        <v>0</v>
      </c>
      <c r="M142" s="316">
        <v>0</v>
      </c>
      <c r="N142" s="316">
        <v>4964.82</v>
      </c>
      <c r="O142" s="316">
        <v>0</v>
      </c>
      <c r="P142" s="316">
        <v>0</v>
      </c>
      <c r="Q142" s="316">
        <v>0</v>
      </c>
      <c r="R142" s="316">
        <v>0</v>
      </c>
      <c r="S142" s="316">
        <v>0</v>
      </c>
      <c r="T142" s="316">
        <v>0</v>
      </c>
      <c r="U142" s="316">
        <f t="shared" si="2"/>
        <v>28606.799999999999</v>
      </c>
      <c r="V142" s="238" t="s">
        <v>1351</v>
      </c>
      <c r="W142" s="238" t="s">
        <v>699</v>
      </c>
      <c r="X142" s="238"/>
    </row>
    <row r="143" spans="1:24" ht="15" customHeight="1" x14ac:dyDescent="0.25">
      <c r="A143" s="238" t="s">
        <v>1249</v>
      </c>
      <c r="B143" s="238"/>
      <c r="C143" s="238" t="s">
        <v>1786</v>
      </c>
      <c r="D143" s="238" t="s">
        <v>1682</v>
      </c>
      <c r="E143" s="324">
        <v>30678814357</v>
      </c>
      <c r="F143" s="238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>
        <f t="shared" si="2"/>
        <v>0</v>
      </c>
    </row>
    <row r="144" spans="1:24" ht="15" customHeight="1" x14ac:dyDescent="0.25">
      <c r="A144" s="238" t="s">
        <v>784</v>
      </c>
      <c r="B144" s="238"/>
      <c r="C144" s="238" t="s">
        <v>1787</v>
      </c>
      <c r="D144" s="238" t="s">
        <v>1366</v>
      </c>
      <c r="E144" s="324">
        <v>33716307749</v>
      </c>
      <c r="F144" s="238"/>
      <c r="G144" s="316"/>
      <c r="H144" s="316"/>
      <c r="I144" s="316"/>
      <c r="J144" s="316">
        <v>62349.01</v>
      </c>
      <c r="K144" s="316"/>
      <c r="L144" s="316"/>
      <c r="M144" s="316"/>
      <c r="N144" s="316">
        <v>13093.29</v>
      </c>
      <c r="O144" s="316"/>
      <c r="P144" s="316"/>
      <c r="Q144" s="316"/>
      <c r="R144" s="316"/>
      <c r="S144" s="316">
        <v>2493.96</v>
      </c>
      <c r="T144" s="316"/>
      <c r="U144" s="316">
        <f t="shared" si="2"/>
        <v>77936.260000000009</v>
      </c>
    </row>
    <row r="145" spans="1:21" ht="15" customHeight="1" x14ac:dyDescent="0.25">
      <c r="A145" s="238" t="s">
        <v>1630</v>
      </c>
      <c r="B145" s="238"/>
      <c r="C145" s="238" t="s">
        <v>1788</v>
      </c>
      <c r="D145" s="238" t="s">
        <v>1706</v>
      </c>
      <c r="E145" s="324">
        <v>30574876474</v>
      </c>
      <c r="F145" s="238"/>
      <c r="G145" s="316"/>
      <c r="H145" s="316"/>
      <c r="I145" s="316"/>
      <c r="J145" s="316">
        <v>13279.17</v>
      </c>
      <c r="K145" s="316"/>
      <c r="L145" s="316"/>
      <c r="M145" s="316"/>
      <c r="N145" s="316">
        <v>2788.62</v>
      </c>
      <c r="O145" s="316"/>
      <c r="P145" s="316"/>
      <c r="Q145" s="316"/>
      <c r="R145" s="316"/>
      <c r="S145" s="316">
        <v>1726.28</v>
      </c>
      <c r="T145" s="316"/>
      <c r="U145" s="316">
        <f t="shared" si="2"/>
        <v>17794.07</v>
      </c>
    </row>
    <row r="146" spans="1:21" ht="15" customHeight="1" x14ac:dyDescent="0.25">
      <c r="A146" s="238" t="s">
        <v>1789</v>
      </c>
      <c r="B146" s="238"/>
      <c r="C146" s="238" t="s">
        <v>1790</v>
      </c>
      <c r="D146" s="238" t="s">
        <v>1721</v>
      </c>
      <c r="E146" s="324">
        <v>30620177497</v>
      </c>
      <c r="F146" s="238"/>
      <c r="G146" s="316"/>
      <c r="H146" s="316"/>
      <c r="I146" s="316"/>
      <c r="J146" s="316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>
        <f t="shared" si="2"/>
        <v>0</v>
      </c>
    </row>
    <row r="147" spans="1:21" ht="15" customHeight="1" x14ac:dyDescent="0.25">
      <c r="A147" s="238" t="s">
        <v>1791</v>
      </c>
      <c r="B147" s="238"/>
      <c r="C147" s="238" t="s">
        <v>1792</v>
      </c>
      <c r="D147" s="238" t="s">
        <v>475</v>
      </c>
      <c r="E147" s="324" t="s">
        <v>1353</v>
      </c>
      <c r="F147" s="238"/>
      <c r="G147" s="316"/>
      <c r="H147" s="316"/>
      <c r="I147" s="316"/>
      <c r="J147" s="316">
        <f>N147*100/21</f>
        <v>47819.047619047618</v>
      </c>
      <c r="K147" s="316"/>
      <c r="L147" s="316"/>
      <c r="M147" s="316"/>
      <c r="N147" s="316">
        <v>10042</v>
      </c>
      <c r="O147" s="316"/>
      <c r="P147" s="316"/>
      <c r="Q147" s="316"/>
      <c r="R147" s="316"/>
      <c r="S147" s="316">
        <v>730.43</v>
      </c>
      <c r="T147" s="316">
        <v>6408.61</v>
      </c>
      <c r="U147" s="316"/>
    </row>
    <row r="148" spans="1:21" ht="15" customHeight="1" x14ac:dyDescent="0.25">
      <c r="F148" s="238" t="s">
        <v>1635</v>
      </c>
      <c r="G148" s="318">
        <v>0</v>
      </c>
      <c r="H148" s="318">
        <v>0</v>
      </c>
      <c r="I148" s="318">
        <f>SUM(I2:I147)</f>
        <v>2082896.28</v>
      </c>
      <c r="J148" s="318">
        <f>SUM(J2:J147)</f>
        <v>34522277.693333335</v>
      </c>
      <c r="K148" s="318">
        <f>SUM(K2:K147)</f>
        <v>130602.86</v>
      </c>
      <c r="L148" s="318">
        <f t="shared" ref="I148:M148" si="3">SUM(L2:L147)</f>
        <v>152603.01</v>
      </c>
      <c r="M148" s="318">
        <f t="shared" si="3"/>
        <v>12823349</v>
      </c>
      <c r="N148" s="318">
        <f>SUM(N2:N147)</f>
        <v>7503645.2000000048</v>
      </c>
      <c r="O148" s="318">
        <f t="shared" ref="O148:U148" si="4">SUM(O2:O147)</f>
        <v>41107.340000000004</v>
      </c>
      <c r="P148" s="318">
        <f t="shared" si="4"/>
        <v>0</v>
      </c>
      <c r="Q148" s="318">
        <f t="shared" si="4"/>
        <v>471.75</v>
      </c>
      <c r="R148" s="318">
        <f t="shared" si="4"/>
        <v>43178.37999999999</v>
      </c>
      <c r="S148" s="318">
        <f t="shared" si="4"/>
        <v>25254.759999999995</v>
      </c>
      <c r="T148" s="318">
        <f t="shared" si="4"/>
        <v>392084.85000000003</v>
      </c>
      <c r="U148" s="318">
        <f t="shared" si="4"/>
        <v>57652471.035714261</v>
      </c>
    </row>
    <row r="153" spans="1:21" ht="15" customHeight="1" x14ac:dyDescent="0.25">
      <c r="K153" s="316"/>
      <c r="L153" s="316" t="s">
        <v>1793</v>
      </c>
      <c r="M153" s="316" t="s">
        <v>1794</v>
      </c>
      <c r="N153" s="316" t="s">
        <v>1795</v>
      </c>
    </row>
    <row r="154" spans="1:21" ht="15" customHeight="1" x14ac:dyDescent="0.25">
      <c r="K154" s="316" t="s">
        <v>602</v>
      </c>
      <c r="L154" s="316">
        <v>34522277.693333335</v>
      </c>
      <c r="M154" s="316">
        <v>130602.86</v>
      </c>
      <c r="N154" s="316">
        <v>2082896.28</v>
      </c>
    </row>
    <row r="155" spans="1:21" ht="15" customHeight="1" x14ac:dyDescent="0.25">
      <c r="K155" s="316" t="s">
        <v>612</v>
      </c>
      <c r="L155" s="316">
        <f>L154*0.21</f>
        <v>7249678.3156000003</v>
      </c>
      <c r="M155" s="316">
        <f>M154*0.27</f>
        <v>35262.772199999999</v>
      </c>
      <c r="N155" s="316">
        <f>N154*0.105</f>
        <v>218704.10939999999</v>
      </c>
    </row>
    <row r="156" spans="1:21" ht="15" customHeight="1" x14ac:dyDescent="0.25">
      <c r="K156" s="316" t="s">
        <v>1796</v>
      </c>
      <c r="L156" s="339">
        <f>SUM(L154:N154)</f>
        <v>36735776.833333336</v>
      </c>
      <c r="M156" s="340"/>
      <c r="N156" s="341"/>
    </row>
    <row r="157" spans="1:21" ht="15" customHeight="1" x14ac:dyDescent="0.25">
      <c r="K157" s="316" t="s">
        <v>1797</v>
      </c>
      <c r="L157" s="339">
        <f>SUM(L155:N155)</f>
        <v>7503645.1972000003</v>
      </c>
      <c r="M157" s="340"/>
      <c r="N157" s="341"/>
    </row>
  </sheetData>
  <autoFilter ref="A1:X148" xr:uid="{00000000-0009-0000-0000-000004000000}">
    <sortState xmlns:xlrd2="http://schemas.microsoft.com/office/spreadsheetml/2017/richdata2" ref="A2:X148">
      <sortCondition ref="C1:C148"/>
    </sortState>
  </autoFilter>
  <mergeCells count="2">
    <mergeCell ref="L156:N156"/>
    <mergeCell ref="L157:N157"/>
  </mergeCells>
  <phoneticPr fontId="67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AE162"/>
  <sheetViews>
    <sheetView zoomScale="95" zoomScaleNormal="95" workbookViewId="0">
      <selection activeCell="I138" sqref="I138"/>
    </sheetView>
  </sheetViews>
  <sheetFormatPr baseColWidth="10" defaultColWidth="10.5703125" defaultRowHeight="15" customHeight="1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 x14ac:dyDescent="0.25">
      <c r="B2" s="248" t="s">
        <v>1636</v>
      </c>
      <c r="H2" s="238" t="s">
        <v>1637</v>
      </c>
      <c r="I2" s="238">
        <v>118</v>
      </c>
    </row>
    <row r="3" spans="1:31" x14ac:dyDescent="0.25">
      <c r="B3" s="249" t="s">
        <v>1638</v>
      </c>
      <c r="H3" s="238" t="s">
        <v>1639</v>
      </c>
      <c r="I3" s="238">
        <v>8</v>
      </c>
      <c r="L3">
        <v>8</v>
      </c>
    </row>
    <row r="4" spans="1:31" x14ac:dyDescent="0.25">
      <c r="H4" s="238" t="s">
        <v>1640</v>
      </c>
      <c r="I4" s="238">
        <v>25</v>
      </c>
      <c r="L4">
        <v>25</v>
      </c>
    </row>
    <row r="5" spans="1:31" x14ac:dyDescent="0.25">
      <c r="H5" s="238" t="s">
        <v>1641</v>
      </c>
      <c r="I5" s="238">
        <v>2</v>
      </c>
      <c r="L5">
        <v>2</v>
      </c>
    </row>
    <row r="6" spans="1:31" x14ac:dyDescent="0.25">
      <c r="H6" s="250" t="s">
        <v>1642</v>
      </c>
      <c r="I6" s="250">
        <f>SUBTOTAL(9,I2:I5)</f>
        <v>153</v>
      </c>
    </row>
    <row r="7" spans="1:31" x14ac:dyDescent="0.25">
      <c r="H7" s="251" t="s">
        <v>1643</v>
      </c>
      <c r="I7" s="252">
        <v>149</v>
      </c>
    </row>
    <row r="9" spans="1:31" x14ac:dyDescent="0.25">
      <c r="A9" s="253" t="s">
        <v>656</v>
      </c>
      <c r="B9" s="253" t="s">
        <v>1644</v>
      </c>
      <c r="C9" s="253" t="s">
        <v>1645</v>
      </c>
      <c r="D9" s="253" t="s">
        <v>1646</v>
      </c>
      <c r="E9" s="253" t="s">
        <v>1647</v>
      </c>
      <c r="F9" s="253" t="s">
        <v>1648</v>
      </c>
      <c r="G9" s="253" t="s">
        <v>1649</v>
      </c>
      <c r="H9" s="253" t="s">
        <v>1650</v>
      </c>
      <c r="I9" s="253" t="s">
        <v>1651</v>
      </c>
      <c r="J9" s="253" t="s">
        <v>1652</v>
      </c>
      <c r="K9" s="253" t="s">
        <v>1653</v>
      </c>
      <c r="L9" s="253" t="s">
        <v>1654</v>
      </c>
      <c r="M9" s="253" t="s">
        <v>1655</v>
      </c>
      <c r="N9" s="253" t="s">
        <v>1656</v>
      </c>
      <c r="O9" s="253" t="s">
        <v>1657</v>
      </c>
      <c r="P9" s="253" t="s">
        <v>1658</v>
      </c>
      <c r="Q9" s="253" t="s">
        <v>1659</v>
      </c>
      <c r="R9" s="253" t="s">
        <v>1660</v>
      </c>
      <c r="S9" s="253" t="s">
        <v>605</v>
      </c>
      <c r="T9" s="253" t="s">
        <v>1661</v>
      </c>
      <c r="U9" s="253" t="s">
        <v>603</v>
      </c>
      <c r="V9" s="253" t="s">
        <v>1662</v>
      </c>
      <c r="W9" s="253" t="s">
        <v>604</v>
      </c>
      <c r="X9" s="253" t="s">
        <v>1663</v>
      </c>
      <c r="Y9" s="253" t="s">
        <v>1664</v>
      </c>
      <c r="Z9" s="253" t="s">
        <v>1665</v>
      </c>
      <c r="AA9" s="253" t="s">
        <v>1666</v>
      </c>
      <c r="AB9" s="253" t="s">
        <v>1667</v>
      </c>
      <c r="AC9" s="253" t="s">
        <v>693</v>
      </c>
      <c r="AD9" s="253" t="s">
        <v>1668</v>
      </c>
      <c r="AE9" s="253" t="s">
        <v>1669</v>
      </c>
    </row>
    <row r="10" spans="1:31" hidden="1" x14ac:dyDescent="0.25">
      <c r="A10" s="245" t="s">
        <v>696</v>
      </c>
      <c r="B10" s="245" t="s">
        <v>1670</v>
      </c>
      <c r="C10" s="254">
        <v>500</v>
      </c>
      <c r="D10" s="254">
        <v>1791477</v>
      </c>
      <c r="E10" s="254">
        <v>1791477</v>
      </c>
      <c r="F10" s="254">
        <v>75397766663182</v>
      </c>
      <c r="G10" s="245" t="s">
        <v>0</v>
      </c>
      <c r="H10" s="254">
        <v>30654118767</v>
      </c>
      <c r="I10" s="245" t="s">
        <v>1671</v>
      </c>
      <c r="J10" s="245" t="s">
        <v>0</v>
      </c>
      <c r="K10" s="254">
        <v>30710473168</v>
      </c>
      <c r="L10" s="254">
        <v>1</v>
      </c>
      <c r="M10" s="245" t="s">
        <v>1672</v>
      </c>
      <c r="N10" s="245"/>
      <c r="O10" s="245"/>
      <c r="P10" s="245"/>
      <c r="Q10" s="245"/>
      <c r="R10" s="245"/>
      <c r="S10" s="245"/>
      <c r="T10" s="245"/>
      <c r="U10" s="254">
        <v>34781</v>
      </c>
      <c r="V10" s="255">
        <v>165623.79</v>
      </c>
      <c r="W10" s="245"/>
      <c r="X10" s="245"/>
      <c r="Y10" s="255">
        <v>165623.79</v>
      </c>
      <c r="Z10" s="254">
        <v>0</v>
      </c>
      <c r="AA10" s="254">
        <v>0</v>
      </c>
      <c r="AB10" s="255">
        <v>6624.95</v>
      </c>
      <c r="AC10" s="254">
        <v>34781</v>
      </c>
      <c r="AD10" s="255">
        <v>207029.74</v>
      </c>
    </row>
    <row r="11" spans="1:31" hidden="1" x14ac:dyDescent="0.25">
      <c r="A11" s="245" t="s">
        <v>696</v>
      </c>
      <c r="B11" s="245" t="s">
        <v>1670</v>
      </c>
      <c r="C11" s="254">
        <v>2059</v>
      </c>
      <c r="D11" s="254">
        <v>34131</v>
      </c>
      <c r="E11" s="254">
        <v>34131</v>
      </c>
      <c r="F11" s="254">
        <v>75406205517570</v>
      </c>
      <c r="G11" s="245" t="s">
        <v>0</v>
      </c>
      <c r="H11" s="254">
        <v>30548083156</v>
      </c>
      <c r="I11" s="245" t="s">
        <v>1673</v>
      </c>
      <c r="J11" s="245" t="s">
        <v>0</v>
      </c>
      <c r="K11" s="254">
        <v>30710473168</v>
      </c>
      <c r="L11" s="254">
        <v>1</v>
      </c>
      <c r="M11" s="245" t="s">
        <v>1672</v>
      </c>
      <c r="N11" s="245"/>
      <c r="O11" s="245"/>
      <c r="P11" s="245"/>
      <c r="Q11" s="245"/>
      <c r="R11" s="245"/>
      <c r="S11" s="245"/>
      <c r="T11" s="245"/>
      <c r="U11" s="255">
        <v>1150.8800000000001</v>
      </c>
      <c r="V11" s="255">
        <v>5480.36</v>
      </c>
      <c r="W11" s="245"/>
      <c r="X11" s="245"/>
      <c r="Y11" s="255">
        <v>5480.36</v>
      </c>
      <c r="Z11" s="254">
        <v>0</v>
      </c>
      <c r="AA11" s="254">
        <v>0</v>
      </c>
      <c r="AB11" s="255">
        <v>383.62</v>
      </c>
      <c r="AC11" s="255">
        <v>1150.8800000000001</v>
      </c>
      <c r="AD11" s="255">
        <v>7014.86</v>
      </c>
    </row>
    <row r="12" spans="1:31" hidden="1" x14ac:dyDescent="0.25">
      <c r="A12" s="238" t="s">
        <v>696</v>
      </c>
      <c r="B12" s="238" t="s">
        <v>1670</v>
      </c>
      <c r="C12" s="256">
        <v>5</v>
      </c>
      <c r="D12" s="256">
        <v>1679</v>
      </c>
      <c r="E12" s="254">
        <v>1679</v>
      </c>
      <c r="F12" s="254">
        <v>75405209208340</v>
      </c>
      <c r="G12" s="245" t="s">
        <v>0</v>
      </c>
      <c r="H12" s="254">
        <v>27265302225</v>
      </c>
      <c r="I12" s="245" t="s">
        <v>409</v>
      </c>
      <c r="J12" s="238" t="s">
        <v>0</v>
      </c>
      <c r="K12" s="256">
        <v>30710473168</v>
      </c>
      <c r="L12" s="256">
        <v>1</v>
      </c>
      <c r="M12" s="238" t="s">
        <v>1672</v>
      </c>
      <c r="N12" s="238"/>
      <c r="O12" s="238"/>
      <c r="P12" s="238"/>
      <c r="Q12" s="238"/>
      <c r="R12" s="238"/>
      <c r="S12" s="238"/>
      <c r="T12" s="238"/>
      <c r="U12" s="256">
        <v>26250</v>
      </c>
      <c r="V12" s="256">
        <v>125000</v>
      </c>
      <c r="W12" s="238"/>
      <c r="X12" s="238"/>
      <c r="Y12" s="256">
        <v>125000</v>
      </c>
      <c r="Z12" s="256">
        <v>0</v>
      </c>
      <c r="AA12" s="256">
        <v>0</v>
      </c>
      <c r="AB12" s="256">
        <v>0</v>
      </c>
      <c r="AC12" s="256">
        <v>26250</v>
      </c>
      <c r="AD12" s="256">
        <v>151250</v>
      </c>
    </row>
    <row r="13" spans="1:31" hidden="1" x14ac:dyDescent="0.25">
      <c r="A13" s="245" t="s">
        <v>696</v>
      </c>
      <c r="B13" s="245" t="s">
        <v>1670</v>
      </c>
      <c r="C13" s="254">
        <v>1</v>
      </c>
      <c r="D13" s="254">
        <v>140551</v>
      </c>
      <c r="E13" s="254">
        <v>140551</v>
      </c>
      <c r="F13" s="254">
        <v>75409140621749</v>
      </c>
      <c r="G13" s="245" t="s">
        <v>0</v>
      </c>
      <c r="H13" s="254">
        <v>30714864269</v>
      </c>
      <c r="I13" s="245" t="s">
        <v>1674</v>
      </c>
      <c r="J13" s="245" t="s">
        <v>0</v>
      </c>
      <c r="K13" s="254">
        <v>30710473168</v>
      </c>
      <c r="L13" s="254">
        <v>1</v>
      </c>
      <c r="M13" s="245" t="s">
        <v>1672</v>
      </c>
      <c r="N13" s="245"/>
      <c r="O13" s="245"/>
      <c r="P13" s="245"/>
      <c r="Q13" s="245"/>
      <c r="R13" s="245"/>
      <c r="S13" s="245"/>
      <c r="T13" s="245"/>
      <c r="U13" s="254">
        <v>38808</v>
      </c>
      <c r="V13" s="254">
        <v>184800</v>
      </c>
      <c r="W13" s="245"/>
      <c r="X13" s="245"/>
      <c r="Y13" s="254">
        <v>184800</v>
      </c>
      <c r="Z13" s="254">
        <v>0</v>
      </c>
      <c r="AA13" s="254">
        <v>0</v>
      </c>
      <c r="AB13" s="254">
        <v>0</v>
      </c>
      <c r="AC13" s="254">
        <v>38808</v>
      </c>
      <c r="AD13" s="254">
        <v>223608</v>
      </c>
    </row>
    <row r="14" spans="1:31" hidden="1" x14ac:dyDescent="0.25">
      <c r="A14" s="238" t="s">
        <v>696</v>
      </c>
      <c r="B14" s="238" t="s">
        <v>1670</v>
      </c>
      <c r="C14" s="256">
        <v>5</v>
      </c>
      <c r="D14" s="256">
        <v>1680</v>
      </c>
      <c r="E14" s="254">
        <v>1680</v>
      </c>
      <c r="F14" s="254">
        <v>75405214018996</v>
      </c>
      <c r="G14" s="245" t="s">
        <v>0</v>
      </c>
      <c r="H14" s="254">
        <v>27265302225</v>
      </c>
      <c r="I14" s="245" t="s">
        <v>409</v>
      </c>
      <c r="J14" s="238" t="s">
        <v>0</v>
      </c>
      <c r="K14" s="256">
        <v>30710473168</v>
      </c>
      <c r="L14" s="256">
        <v>1</v>
      </c>
      <c r="M14" s="238" t="s">
        <v>1672</v>
      </c>
      <c r="N14" s="238"/>
      <c r="O14" s="238"/>
      <c r="P14" s="238"/>
      <c r="Q14" s="238"/>
      <c r="R14" s="238"/>
      <c r="S14" s="238"/>
      <c r="T14" s="238"/>
      <c r="U14" s="256">
        <v>294000</v>
      </c>
      <c r="V14" s="256">
        <v>1400000</v>
      </c>
      <c r="W14" s="238"/>
      <c r="X14" s="238"/>
      <c r="Y14" s="256">
        <v>1400000</v>
      </c>
      <c r="Z14" s="256">
        <v>0</v>
      </c>
      <c r="AA14" s="256">
        <v>0</v>
      </c>
      <c r="AB14" s="256">
        <v>0</v>
      </c>
      <c r="AC14" s="256">
        <v>294000</v>
      </c>
      <c r="AD14" s="256">
        <v>1694000</v>
      </c>
    </row>
    <row r="15" spans="1:31" hidden="1" x14ac:dyDescent="0.25">
      <c r="A15" s="238" t="s">
        <v>696</v>
      </c>
      <c r="B15" s="238" t="s">
        <v>1670</v>
      </c>
      <c r="C15" s="256">
        <v>5</v>
      </c>
      <c r="D15" s="256">
        <v>1676</v>
      </c>
      <c r="E15" s="254">
        <v>1676</v>
      </c>
      <c r="F15" s="254">
        <v>75405186336334</v>
      </c>
      <c r="G15" s="245" t="s">
        <v>0</v>
      </c>
      <c r="H15" s="254">
        <v>27265302225</v>
      </c>
      <c r="I15" s="245" t="s">
        <v>409</v>
      </c>
      <c r="J15" s="238" t="s">
        <v>0</v>
      </c>
      <c r="K15" s="256">
        <v>30710473168</v>
      </c>
      <c r="L15" s="256">
        <v>1</v>
      </c>
      <c r="M15" s="238" t="s">
        <v>1672</v>
      </c>
      <c r="N15" s="238"/>
      <c r="O15" s="238"/>
      <c r="P15" s="238"/>
      <c r="Q15" s="238"/>
      <c r="R15" s="238"/>
      <c r="S15" s="238"/>
      <c r="T15" s="238"/>
      <c r="U15" s="256">
        <v>525000</v>
      </c>
      <c r="V15" s="256">
        <v>2500000</v>
      </c>
      <c r="W15" s="238"/>
      <c r="X15" s="238"/>
      <c r="Y15" s="256">
        <v>2500000</v>
      </c>
      <c r="Z15" s="256">
        <v>0</v>
      </c>
      <c r="AA15" s="256">
        <v>0</v>
      </c>
      <c r="AB15" s="256">
        <v>0</v>
      </c>
      <c r="AC15" s="256">
        <v>525000</v>
      </c>
      <c r="AD15" s="256">
        <v>3025000</v>
      </c>
    </row>
    <row r="16" spans="1:31" hidden="1" x14ac:dyDescent="0.25">
      <c r="A16" s="245" t="s">
        <v>696</v>
      </c>
      <c r="B16" s="245" t="s">
        <v>1670</v>
      </c>
      <c r="C16" s="254">
        <v>6</v>
      </c>
      <c r="D16" s="254">
        <v>96490</v>
      </c>
      <c r="E16" s="254">
        <v>96490</v>
      </c>
      <c r="F16" s="254">
        <v>75404218156994</v>
      </c>
      <c r="G16" s="245" t="s">
        <v>0</v>
      </c>
      <c r="H16" s="254">
        <v>30711553564</v>
      </c>
      <c r="I16" s="245" t="s">
        <v>452</v>
      </c>
      <c r="J16" s="245" t="s">
        <v>0</v>
      </c>
      <c r="K16" s="254">
        <v>30710473168</v>
      </c>
      <c r="L16" s="254">
        <v>1</v>
      </c>
      <c r="M16" s="245" t="s">
        <v>1672</v>
      </c>
      <c r="N16" s="245"/>
      <c r="O16" s="245"/>
      <c r="P16" s="245"/>
      <c r="Q16" s="245"/>
      <c r="R16" s="245"/>
      <c r="S16" s="245"/>
      <c r="T16" s="245"/>
      <c r="U16" s="255">
        <v>279778.59000000003</v>
      </c>
      <c r="V16" s="254">
        <v>1332279</v>
      </c>
      <c r="W16" s="245"/>
      <c r="X16" s="245"/>
      <c r="Y16" s="254">
        <v>1332279</v>
      </c>
      <c r="Z16" s="254">
        <v>0</v>
      </c>
      <c r="AA16" s="254">
        <v>0</v>
      </c>
      <c r="AB16" s="254">
        <v>0</v>
      </c>
      <c r="AC16" s="255">
        <v>279778.59000000003</v>
      </c>
      <c r="AD16" s="255">
        <v>1612057.59</v>
      </c>
    </row>
    <row r="17" spans="1:31" hidden="1" x14ac:dyDescent="0.25">
      <c r="A17" s="245" t="s">
        <v>696</v>
      </c>
      <c r="B17" s="245" t="s">
        <v>1670</v>
      </c>
      <c r="C17" s="254">
        <v>6</v>
      </c>
      <c r="D17" s="254">
        <v>96491</v>
      </c>
      <c r="E17" s="254">
        <v>96491</v>
      </c>
      <c r="F17" s="254">
        <v>75404218271756</v>
      </c>
      <c r="G17" s="245" t="s">
        <v>0</v>
      </c>
      <c r="H17" s="254">
        <v>30711553564</v>
      </c>
      <c r="I17" s="245" t="s">
        <v>452</v>
      </c>
      <c r="J17" s="245" t="s">
        <v>0</v>
      </c>
      <c r="K17" s="254">
        <v>30710473168</v>
      </c>
      <c r="L17" s="254">
        <v>1</v>
      </c>
      <c r="M17" s="245" t="s">
        <v>1672</v>
      </c>
      <c r="N17" s="245"/>
      <c r="O17" s="245"/>
      <c r="P17" s="245"/>
      <c r="Q17" s="245"/>
      <c r="R17" s="245"/>
      <c r="S17" s="245"/>
      <c r="T17" s="245"/>
      <c r="U17" s="255">
        <v>147536.54999999999</v>
      </c>
      <c r="V17" s="254">
        <v>702555</v>
      </c>
      <c r="W17" s="245"/>
      <c r="X17" s="245"/>
      <c r="Y17" s="254">
        <v>702555</v>
      </c>
      <c r="Z17" s="254">
        <v>0</v>
      </c>
      <c r="AA17" s="254">
        <v>0</v>
      </c>
      <c r="AB17" s="254">
        <v>0</v>
      </c>
      <c r="AC17" s="255">
        <v>147536.54999999999</v>
      </c>
      <c r="AD17" s="255">
        <v>850091.55</v>
      </c>
    </row>
    <row r="18" spans="1:31" hidden="1" x14ac:dyDescent="0.25">
      <c r="A18" s="245" t="s">
        <v>696</v>
      </c>
      <c r="B18" s="245" t="s">
        <v>1670</v>
      </c>
      <c r="C18" s="254">
        <v>6</v>
      </c>
      <c r="D18" s="254">
        <v>96492</v>
      </c>
      <c r="E18" s="254">
        <v>96492</v>
      </c>
      <c r="F18" s="254">
        <v>75404218424004</v>
      </c>
      <c r="G18" s="245" t="s">
        <v>0</v>
      </c>
      <c r="H18" s="254">
        <v>30711553564</v>
      </c>
      <c r="I18" s="245" t="s">
        <v>452</v>
      </c>
      <c r="J18" s="245" t="s">
        <v>0</v>
      </c>
      <c r="K18" s="254">
        <v>30710473168</v>
      </c>
      <c r="L18" s="254">
        <v>1</v>
      </c>
      <c r="M18" s="245" t="s">
        <v>1672</v>
      </c>
      <c r="N18" s="245"/>
      <c r="O18" s="245"/>
      <c r="P18" s="245"/>
      <c r="Q18" s="245"/>
      <c r="R18" s="245"/>
      <c r="S18" s="245"/>
      <c r="T18" s="245"/>
      <c r="U18" s="255">
        <v>6460.65</v>
      </c>
      <c r="V18" s="254">
        <v>30765</v>
      </c>
      <c r="W18" s="245"/>
      <c r="X18" s="245"/>
      <c r="Y18" s="254">
        <v>30765</v>
      </c>
      <c r="Z18" s="254">
        <v>0</v>
      </c>
      <c r="AA18" s="254">
        <v>0</v>
      </c>
      <c r="AB18" s="254">
        <v>0</v>
      </c>
      <c r="AC18" s="255">
        <v>6460.65</v>
      </c>
      <c r="AD18" s="255">
        <v>37225.65</v>
      </c>
    </row>
    <row r="19" spans="1:31" hidden="1" x14ac:dyDescent="0.25">
      <c r="A19" s="245" t="s">
        <v>757</v>
      </c>
      <c r="B19" s="245" t="s">
        <v>1670</v>
      </c>
      <c r="C19" s="254">
        <v>50</v>
      </c>
      <c r="D19" s="254">
        <v>4670040</v>
      </c>
      <c r="E19" s="254">
        <v>4670040</v>
      </c>
      <c r="F19" s="254">
        <v>75426230181879</v>
      </c>
      <c r="G19" s="245" t="s">
        <v>0</v>
      </c>
      <c r="H19" s="254">
        <v>30714112836</v>
      </c>
      <c r="I19" s="245" t="s">
        <v>1675</v>
      </c>
      <c r="J19" s="245" t="s">
        <v>0</v>
      </c>
      <c r="K19" s="254">
        <v>30710473168</v>
      </c>
      <c r="L19" s="254">
        <v>1</v>
      </c>
      <c r="M19" s="245" t="s">
        <v>1672</v>
      </c>
      <c r="N19" s="245"/>
      <c r="O19" s="245"/>
      <c r="P19" s="245"/>
      <c r="Q19" s="245"/>
      <c r="R19" s="245"/>
      <c r="S19" s="245"/>
      <c r="T19" s="245"/>
      <c r="U19" s="255">
        <v>1031.3599999999999</v>
      </c>
      <c r="V19" s="255">
        <v>4911.22</v>
      </c>
      <c r="W19" s="245"/>
      <c r="X19" s="245"/>
      <c r="Y19" s="255">
        <v>4911.22</v>
      </c>
      <c r="Z19" s="254">
        <v>0</v>
      </c>
      <c r="AA19" s="254">
        <v>0</v>
      </c>
      <c r="AB19" s="255">
        <v>147.34</v>
      </c>
      <c r="AC19" s="255">
        <v>1031.3599999999999</v>
      </c>
      <c r="AD19" s="255">
        <v>6089.92</v>
      </c>
    </row>
    <row r="20" spans="1:31" hidden="1" x14ac:dyDescent="0.25">
      <c r="A20" s="245" t="s">
        <v>778</v>
      </c>
      <c r="B20" s="245" t="s">
        <v>1670</v>
      </c>
      <c r="C20" s="254">
        <v>50</v>
      </c>
      <c r="D20" s="254">
        <v>4706524</v>
      </c>
      <c r="E20" s="254">
        <v>4706524</v>
      </c>
      <c r="F20" s="254">
        <v>75446229190253</v>
      </c>
      <c r="G20" s="245" t="s">
        <v>0</v>
      </c>
      <c r="H20" s="254">
        <v>30714112836</v>
      </c>
      <c r="I20" s="245" t="s">
        <v>1675</v>
      </c>
      <c r="J20" s="245" t="s">
        <v>0</v>
      </c>
      <c r="K20" s="254">
        <v>30710473168</v>
      </c>
      <c r="L20" s="254">
        <v>1</v>
      </c>
      <c r="M20" s="245" t="s">
        <v>1672</v>
      </c>
      <c r="N20" s="245"/>
      <c r="O20" s="245"/>
      <c r="P20" s="245"/>
      <c r="Q20" s="245"/>
      <c r="R20" s="245"/>
      <c r="S20" s="245"/>
      <c r="T20" s="245"/>
      <c r="U20" s="255">
        <v>343.78</v>
      </c>
      <c r="V20" s="257">
        <v>1637.07</v>
      </c>
      <c r="W20" s="245"/>
      <c r="X20" s="245"/>
      <c r="Y20" s="255">
        <v>1637.07</v>
      </c>
      <c r="Z20" s="254">
        <v>0</v>
      </c>
      <c r="AA20" s="254">
        <v>0</v>
      </c>
      <c r="AB20" s="254">
        <v>0</v>
      </c>
      <c r="AC20" s="255">
        <v>343.78</v>
      </c>
      <c r="AD20" s="255">
        <v>1980.85</v>
      </c>
      <c r="AE20" s="258" t="s">
        <v>1676</v>
      </c>
    </row>
    <row r="21" spans="1:31" hidden="1" x14ac:dyDescent="0.25">
      <c r="A21" s="245" t="s">
        <v>696</v>
      </c>
      <c r="B21" s="245" t="s">
        <v>1670</v>
      </c>
      <c r="C21" s="254">
        <v>2</v>
      </c>
      <c r="D21" s="254">
        <v>252</v>
      </c>
      <c r="E21" s="254">
        <v>252</v>
      </c>
      <c r="F21" s="254">
        <v>75402211250599</v>
      </c>
      <c r="G21" s="245" t="s">
        <v>0</v>
      </c>
      <c r="H21" s="254">
        <v>30605344352</v>
      </c>
      <c r="I21" s="245" t="s">
        <v>1677</v>
      </c>
      <c r="J21" s="245" t="s">
        <v>0</v>
      </c>
      <c r="K21" s="254">
        <v>30710473168</v>
      </c>
      <c r="L21" s="254">
        <v>1</v>
      </c>
      <c r="M21" s="245" t="s">
        <v>1672</v>
      </c>
      <c r="N21" s="245"/>
      <c r="O21" s="245"/>
      <c r="P21" s="245"/>
      <c r="Q21" s="245"/>
      <c r="R21" s="245"/>
      <c r="S21" s="245"/>
      <c r="T21" s="245"/>
      <c r="U21" s="255">
        <v>453722.01</v>
      </c>
      <c r="V21" s="254">
        <v>2160581</v>
      </c>
      <c r="W21" s="245"/>
      <c r="X21" s="245"/>
      <c r="Y21" s="254">
        <v>2160581</v>
      </c>
      <c r="Z21" s="254">
        <v>0</v>
      </c>
      <c r="AA21" s="254">
        <v>0</v>
      </c>
      <c r="AB21" s="254">
        <v>0</v>
      </c>
      <c r="AC21" s="255">
        <v>453722.01</v>
      </c>
      <c r="AD21" s="256">
        <v>2614303</v>
      </c>
    </row>
    <row r="22" spans="1:31" hidden="1" x14ac:dyDescent="0.25">
      <c r="A22" s="245" t="s">
        <v>696</v>
      </c>
      <c r="B22" s="245" t="s">
        <v>1678</v>
      </c>
      <c r="C22" s="254">
        <v>5</v>
      </c>
      <c r="D22" s="254">
        <v>131</v>
      </c>
      <c r="E22" s="254">
        <v>131</v>
      </c>
      <c r="F22" s="254">
        <v>75405208440708</v>
      </c>
      <c r="G22" s="245" t="s">
        <v>0</v>
      </c>
      <c r="H22" s="254">
        <v>27265302225</v>
      </c>
      <c r="I22" s="245" t="s">
        <v>409</v>
      </c>
      <c r="J22" s="245" t="s">
        <v>0</v>
      </c>
      <c r="K22" s="254">
        <v>30710473168</v>
      </c>
      <c r="L22" s="254">
        <v>1</v>
      </c>
      <c r="M22" s="245" t="s">
        <v>1672</v>
      </c>
      <c r="N22" s="245"/>
      <c r="O22" s="245"/>
      <c r="P22" s="245"/>
      <c r="Q22" s="245"/>
      <c r="R22" s="245"/>
      <c r="S22" s="245"/>
      <c r="T22" s="245"/>
      <c r="U22" s="254">
        <v>525000</v>
      </c>
      <c r="V22" s="254">
        <v>2500000</v>
      </c>
      <c r="W22" s="245"/>
      <c r="X22" s="245"/>
      <c r="Y22" s="254">
        <v>2500000</v>
      </c>
      <c r="Z22" s="254">
        <v>0</v>
      </c>
      <c r="AA22" s="254">
        <v>0</v>
      </c>
      <c r="AB22" s="254">
        <v>0</v>
      </c>
      <c r="AC22" s="254">
        <v>525000</v>
      </c>
      <c r="AD22" s="254">
        <v>3025000</v>
      </c>
    </row>
    <row r="23" spans="1:31" hidden="1" x14ac:dyDescent="0.25">
      <c r="A23" s="245" t="s">
        <v>696</v>
      </c>
      <c r="B23" s="245" t="s">
        <v>1678</v>
      </c>
      <c r="C23" s="254">
        <v>6</v>
      </c>
      <c r="D23" s="254">
        <v>13998</v>
      </c>
      <c r="E23" s="254">
        <v>13998</v>
      </c>
      <c r="F23" s="254">
        <v>75404232088366</v>
      </c>
      <c r="G23" s="245" t="s">
        <v>0</v>
      </c>
      <c r="H23" s="254">
        <v>30711553564</v>
      </c>
      <c r="I23" s="245" t="s">
        <v>452</v>
      </c>
      <c r="J23" s="245" t="s">
        <v>0</v>
      </c>
      <c r="K23" s="254">
        <v>30710473168</v>
      </c>
      <c r="L23" s="254">
        <v>1</v>
      </c>
      <c r="M23" s="245" t="s">
        <v>1672</v>
      </c>
      <c r="N23" s="245"/>
      <c r="O23" s="245"/>
      <c r="P23" s="245"/>
      <c r="Q23" s="245"/>
      <c r="R23" s="245"/>
      <c r="S23" s="245"/>
      <c r="T23" s="245"/>
      <c r="U23" s="255">
        <v>28978.11</v>
      </c>
      <c r="V23" s="254">
        <v>137991</v>
      </c>
      <c r="W23" s="245"/>
      <c r="X23" s="245"/>
      <c r="Y23" s="254">
        <v>137991</v>
      </c>
      <c r="Z23" s="254">
        <v>0</v>
      </c>
      <c r="AA23" s="254">
        <v>0</v>
      </c>
      <c r="AB23" s="254">
        <v>0</v>
      </c>
      <c r="AC23" s="255">
        <v>28978.11</v>
      </c>
      <c r="AD23" s="255">
        <v>166969.10999999999</v>
      </c>
    </row>
    <row r="24" spans="1:31" hidden="1" x14ac:dyDescent="0.25">
      <c r="A24" s="245" t="s">
        <v>696</v>
      </c>
      <c r="B24" s="245" t="s">
        <v>1679</v>
      </c>
      <c r="C24" s="254">
        <v>4</v>
      </c>
      <c r="D24" s="254">
        <v>67</v>
      </c>
      <c r="E24" s="254">
        <v>67</v>
      </c>
      <c r="F24" s="254">
        <v>75403183061118</v>
      </c>
      <c r="G24" s="245" t="s">
        <v>0</v>
      </c>
      <c r="H24" s="254">
        <v>20086277523</v>
      </c>
      <c r="I24" s="245" t="s">
        <v>1680</v>
      </c>
      <c r="J24" s="245" t="s">
        <v>0</v>
      </c>
      <c r="K24" s="254">
        <v>30710473168</v>
      </c>
      <c r="L24" s="254">
        <v>1</v>
      </c>
      <c r="M24" s="245" t="s">
        <v>1672</v>
      </c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54">
        <v>0</v>
      </c>
      <c r="AC24" s="245"/>
      <c r="AD24" s="254">
        <v>300000</v>
      </c>
    </row>
    <row r="25" spans="1:31" hidden="1" x14ac:dyDescent="0.25">
      <c r="A25" s="245" t="s">
        <v>696</v>
      </c>
      <c r="B25" s="245" t="s">
        <v>1679</v>
      </c>
      <c r="C25" s="254">
        <v>4</v>
      </c>
      <c r="D25" s="254">
        <v>66</v>
      </c>
      <c r="E25" s="254">
        <v>66</v>
      </c>
      <c r="F25" s="254">
        <v>75403179949716</v>
      </c>
      <c r="G25" s="245" t="s">
        <v>0</v>
      </c>
      <c r="H25" s="254">
        <v>20086277523</v>
      </c>
      <c r="I25" s="245" t="s">
        <v>68</v>
      </c>
      <c r="J25" s="245" t="s">
        <v>0</v>
      </c>
      <c r="K25" s="254">
        <v>30710473168</v>
      </c>
      <c r="L25" s="254">
        <v>1</v>
      </c>
      <c r="M25" s="245" t="s">
        <v>1672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54">
        <v>0</v>
      </c>
      <c r="AC25" s="245"/>
      <c r="AD25" s="254">
        <v>300000</v>
      </c>
    </row>
    <row r="26" spans="1:31" hidden="1" x14ac:dyDescent="0.25">
      <c r="A26" s="245" t="s">
        <v>696</v>
      </c>
      <c r="B26" s="245" t="s">
        <v>1681</v>
      </c>
      <c r="C26" s="254">
        <v>4</v>
      </c>
      <c r="D26" s="254">
        <v>2</v>
      </c>
      <c r="E26" s="254">
        <v>2</v>
      </c>
      <c r="F26" s="254">
        <v>75403184483403</v>
      </c>
      <c r="G26" s="245" t="s">
        <v>0</v>
      </c>
      <c r="H26" s="254">
        <v>20086277523</v>
      </c>
      <c r="I26" s="245" t="s">
        <v>68</v>
      </c>
      <c r="J26" s="245" t="s">
        <v>0</v>
      </c>
      <c r="K26" s="254">
        <v>30710473168</v>
      </c>
      <c r="L26" s="254">
        <v>1</v>
      </c>
      <c r="M26" s="245" t="s">
        <v>1672</v>
      </c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54">
        <v>0</v>
      </c>
      <c r="AC26" s="245"/>
      <c r="AD26" s="254">
        <v>300000</v>
      </c>
    </row>
    <row r="27" spans="1:31" hidden="1" x14ac:dyDescent="0.25">
      <c r="A27" s="245" t="s">
        <v>713</v>
      </c>
      <c r="B27" s="245" t="s">
        <v>1670</v>
      </c>
      <c r="C27" s="254">
        <v>3051</v>
      </c>
      <c r="D27" s="254">
        <v>982461</v>
      </c>
      <c r="E27" s="254">
        <v>982461</v>
      </c>
      <c r="F27" s="254">
        <v>75407377852221</v>
      </c>
      <c r="G27" s="245" t="s">
        <v>0</v>
      </c>
      <c r="H27" s="254">
        <v>30678814357</v>
      </c>
      <c r="I27" s="245" t="s">
        <v>1682</v>
      </c>
      <c r="J27" s="245" t="s">
        <v>0</v>
      </c>
      <c r="K27" s="254">
        <v>30710473168</v>
      </c>
      <c r="L27" s="254">
        <v>1</v>
      </c>
      <c r="M27" s="245" t="s">
        <v>1672</v>
      </c>
      <c r="N27" s="245"/>
      <c r="O27" s="245"/>
      <c r="P27" s="245"/>
      <c r="Q27" s="245"/>
      <c r="R27" s="245"/>
      <c r="S27" s="245"/>
      <c r="T27" s="245"/>
      <c r="U27" s="245"/>
      <c r="V27" s="245"/>
      <c r="W27" s="255">
        <v>15634.89</v>
      </c>
      <c r="X27" s="254">
        <v>57907</v>
      </c>
      <c r="Y27" s="254">
        <v>57907</v>
      </c>
      <c r="Z27" s="254">
        <v>0</v>
      </c>
      <c r="AA27" s="254">
        <v>0</v>
      </c>
      <c r="AB27" s="245">
        <v>7223.1</v>
      </c>
      <c r="AC27" s="255">
        <v>15634.89</v>
      </c>
      <c r="AD27" s="255">
        <v>80764.990000000005</v>
      </c>
      <c r="AE27" s="249"/>
    </row>
    <row r="28" spans="1:31" hidden="1" x14ac:dyDescent="0.25">
      <c r="A28" s="245" t="s">
        <v>713</v>
      </c>
      <c r="B28" s="245" t="s">
        <v>1670</v>
      </c>
      <c r="C28" s="254">
        <v>8</v>
      </c>
      <c r="D28" s="254">
        <v>476</v>
      </c>
      <c r="E28" s="254">
        <v>476</v>
      </c>
      <c r="F28" s="254">
        <v>75404371927575</v>
      </c>
      <c r="G28" s="245" t="s">
        <v>0</v>
      </c>
      <c r="H28" s="254">
        <v>30643518364</v>
      </c>
      <c r="I28" s="245" t="s">
        <v>1683</v>
      </c>
      <c r="J28" s="245" t="s">
        <v>0</v>
      </c>
      <c r="K28" s="254">
        <v>30710473168</v>
      </c>
      <c r="L28" s="254">
        <v>1</v>
      </c>
      <c r="M28" s="245" t="s">
        <v>1672</v>
      </c>
      <c r="N28" s="245"/>
      <c r="O28" s="245"/>
      <c r="P28" s="245"/>
      <c r="Q28" s="245"/>
      <c r="R28" s="245"/>
      <c r="S28" s="245"/>
      <c r="T28" s="245"/>
      <c r="U28" s="245">
        <v>18637.5</v>
      </c>
      <c r="V28" s="254">
        <v>88750</v>
      </c>
      <c r="W28" s="245"/>
      <c r="X28" s="245"/>
      <c r="Y28" s="254">
        <v>88750</v>
      </c>
      <c r="Z28" s="254">
        <v>0</v>
      </c>
      <c r="AA28" s="254">
        <v>0</v>
      </c>
      <c r="AB28" s="254">
        <v>0</v>
      </c>
      <c r="AC28" s="245">
        <v>18637.5</v>
      </c>
      <c r="AD28" s="245">
        <v>107387.5</v>
      </c>
    </row>
    <row r="29" spans="1:31" hidden="1" x14ac:dyDescent="0.25">
      <c r="A29" s="245" t="s">
        <v>713</v>
      </c>
      <c r="B29" s="245" t="s">
        <v>1670</v>
      </c>
      <c r="C29" s="254">
        <v>2</v>
      </c>
      <c r="D29" s="254">
        <v>1576</v>
      </c>
      <c r="E29" s="254">
        <v>1576</v>
      </c>
      <c r="F29" s="254">
        <v>75409356956133</v>
      </c>
      <c r="G29" s="245" t="s">
        <v>0</v>
      </c>
      <c r="H29" s="254">
        <v>20272865869</v>
      </c>
      <c r="I29" s="245" t="s">
        <v>561</v>
      </c>
      <c r="J29" s="245" t="s">
        <v>0</v>
      </c>
      <c r="K29" s="254">
        <v>30710473168</v>
      </c>
      <c r="L29" s="254">
        <v>1</v>
      </c>
      <c r="M29" s="245" t="s">
        <v>1672</v>
      </c>
      <c r="N29" s="245"/>
      <c r="O29" s="245"/>
      <c r="P29" s="245"/>
      <c r="Q29" s="245"/>
      <c r="R29" s="245"/>
      <c r="S29" s="245"/>
      <c r="T29" s="245"/>
      <c r="U29" s="254">
        <v>14574</v>
      </c>
      <c r="V29" s="254">
        <v>69400</v>
      </c>
      <c r="W29" s="245"/>
      <c r="X29" s="245"/>
      <c r="Y29" s="254">
        <v>69400</v>
      </c>
      <c r="Z29" s="254">
        <v>0</v>
      </c>
      <c r="AA29" s="254">
        <v>0</v>
      </c>
      <c r="AB29" s="254">
        <v>0</v>
      </c>
      <c r="AC29" s="254">
        <v>14574</v>
      </c>
      <c r="AD29" s="254">
        <v>83974</v>
      </c>
    </row>
    <row r="30" spans="1:31" hidden="1" x14ac:dyDescent="0.25">
      <c r="A30" s="245" t="s">
        <v>713</v>
      </c>
      <c r="B30" s="245" t="s">
        <v>1670</v>
      </c>
      <c r="C30" s="254">
        <v>17</v>
      </c>
      <c r="D30" s="254">
        <v>13744</v>
      </c>
      <c r="E30" s="254">
        <v>13744</v>
      </c>
      <c r="F30" s="254">
        <v>75400375536461</v>
      </c>
      <c r="G30" s="245" t="s">
        <v>0</v>
      </c>
      <c r="H30" s="254">
        <v>30661143610</v>
      </c>
      <c r="I30" s="245" t="s">
        <v>366</v>
      </c>
      <c r="J30" s="245" t="s">
        <v>0</v>
      </c>
      <c r="K30" s="254">
        <v>30710473168</v>
      </c>
      <c r="L30" s="254">
        <v>1</v>
      </c>
      <c r="M30" s="245" t="s">
        <v>1672</v>
      </c>
      <c r="N30" s="245"/>
      <c r="O30" s="245"/>
      <c r="P30" s="245"/>
      <c r="Q30" s="245"/>
      <c r="R30" s="245"/>
      <c r="S30" s="245"/>
      <c r="T30" s="245"/>
      <c r="U30" s="254">
        <v>21588</v>
      </c>
      <c r="V30" s="254">
        <v>102800</v>
      </c>
      <c r="W30" s="245"/>
      <c r="X30" s="245"/>
      <c r="Y30" s="254">
        <v>102800</v>
      </c>
      <c r="Z30" s="254">
        <v>0</v>
      </c>
      <c r="AA30" s="254">
        <v>0</v>
      </c>
      <c r="AB30" s="254">
        <v>4112</v>
      </c>
      <c r="AC30" s="254">
        <v>21588</v>
      </c>
      <c r="AD30" s="254">
        <v>128500</v>
      </c>
    </row>
    <row r="31" spans="1:31" hidden="1" x14ac:dyDescent="0.25">
      <c r="A31" s="238" t="s">
        <v>713</v>
      </c>
      <c r="B31" s="238" t="s">
        <v>1670</v>
      </c>
      <c r="C31" s="256">
        <v>4</v>
      </c>
      <c r="D31" s="256">
        <v>19861</v>
      </c>
      <c r="E31" s="254">
        <v>19861</v>
      </c>
      <c r="F31" s="254">
        <v>75403288996009</v>
      </c>
      <c r="G31" s="245" t="s">
        <v>0</v>
      </c>
      <c r="H31" s="254">
        <v>30714440183</v>
      </c>
      <c r="I31" s="245" t="s">
        <v>1684</v>
      </c>
      <c r="J31" s="245" t="s">
        <v>0</v>
      </c>
      <c r="K31" s="254">
        <v>30710473168</v>
      </c>
      <c r="L31" s="254">
        <v>1</v>
      </c>
      <c r="M31" s="245" t="s">
        <v>1672</v>
      </c>
      <c r="N31" s="245"/>
      <c r="O31" s="245"/>
      <c r="P31" s="245"/>
      <c r="Q31" s="245"/>
      <c r="R31" s="245"/>
      <c r="S31" s="245"/>
      <c r="T31" s="245"/>
      <c r="U31" s="255">
        <v>5684.76</v>
      </c>
      <c r="V31" s="245">
        <v>27070.3</v>
      </c>
      <c r="W31" s="245"/>
      <c r="X31" s="245"/>
      <c r="Y31" s="245">
        <v>27070.3</v>
      </c>
      <c r="Z31" s="254">
        <v>0</v>
      </c>
      <c r="AA31" s="254">
        <v>0</v>
      </c>
      <c r="AB31" s="254">
        <v>0</v>
      </c>
      <c r="AC31" s="255">
        <v>5684.76</v>
      </c>
      <c r="AD31" s="255">
        <v>32755.06</v>
      </c>
    </row>
    <row r="32" spans="1:31" hidden="1" x14ac:dyDescent="0.25">
      <c r="A32" s="245" t="s">
        <v>713</v>
      </c>
      <c r="B32" s="245" t="s">
        <v>1670</v>
      </c>
      <c r="C32" s="254">
        <v>1</v>
      </c>
      <c r="D32" s="254">
        <v>1031096</v>
      </c>
      <c r="E32" s="254">
        <v>1031096</v>
      </c>
      <c r="F32" s="254">
        <v>75419072334708</v>
      </c>
      <c r="G32" s="245" t="s">
        <v>0</v>
      </c>
      <c r="H32" s="254">
        <v>33716307749</v>
      </c>
      <c r="I32" s="245" t="s">
        <v>1366</v>
      </c>
      <c r="J32" s="245" t="s">
        <v>0</v>
      </c>
      <c r="K32" s="254">
        <v>30710473168</v>
      </c>
      <c r="L32" s="254">
        <v>1</v>
      </c>
      <c r="M32" s="245" t="s">
        <v>1672</v>
      </c>
      <c r="N32" s="245"/>
      <c r="O32" s="245"/>
      <c r="P32" s="245"/>
      <c r="Q32" s="245"/>
      <c r="R32" s="245"/>
      <c r="S32" s="245"/>
      <c r="T32" s="245"/>
      <c r="U32" s="255">
        <v>13093.29</v>
      </c>
      <c r="V32" s="255">
        <v>62349.01</v>
      </c>
      <c r="W32" s="245"/>
      <c r="X32" s="245"/>
      <c r="Y32" s="255">
        <v>62349.01</v>
      </c>
      <c r="Z32" s="254">
        <v>0</v>
      </c>
      <c r="AA32" s="254">
        <v>0</v>
      </c>
      <c r="AB32" s="255">
        <v>2493.96</v>
      </c>
      <c r="AC32" s="255">
        <v>13093.29</v>
      </c>
      <c r="AD32" s="255">
        <v>77936.259999999995</v>
      </c>
    </row>
    <row r="33" spans="1:31" hidden="1" x14ac:dyDescent="0.25">
      <c r="A33" s="245" t="s">
        <v>713</v>
      </c>
      <c r="B33" s="245" t="s">
        <v>1670</v>
      </c>
      <c r="C33" s="254">
        <v>7</v>
      </c>
      <c r="D33" s="254">
        <v>55</v>
      </c>
      <c r="E33" s="254">
        <v>55</v>
      </c>
      <c r="F33" s="254">
        <v>75403337698338</v>
      </c>
      <c r="G33" s="245" t="s">
        <v>0</v>
      </c>
      <c r="H33" s="254">
        <v>27325223273</v>
      </c>
      <c r="I33" s="245" t="s">
        <v>1685</v>
      </c>
      <c r="J33" s="245" t="s">
        <v>0</v>
      </c>
      <c r="K33" s="254">
        <v>30710473168</v>
      </c>
      <c r="L33" s="254">
        <v>1</v>
      </c>
      <c r="M33" s="245" t="s">
        <v>1672</v>
      </c>
      <c r="N33" s="245"/>
      <c r="O33" s="245"/>
      <c r="P33" s="245"/>
      <c r="Q33" s="245"/>
      <c r="R33" s="245"/>
      <c r="S33" s="245"/>
      <c r="T33" s="245"/>
      <c r="U33" s="254">
        <v>462000</v>
      </c>
      <c r="V33" s="254">
        <v>2200000</v>
      </c>
      <c r="W33" s="245"/>
      <c r="X33" s="245"/>
      <c r="Y33" s="254">
        <v>2200000</v>
      </c>
      <c r="Z33" s="254">
        <v>0</v>
      </c>
      <c r="AA33" s="254">
        <v>0</v>
      </c>
      <c r="AB33" s="254">
        <v>0</v>
      </c>
      <c r="AC33" s="254">
        <v>462000</v>
      </c>
      <c r="AD33" s="254">
        <v>2662000</v>
      </c>
    </row>
    <row r="34" spans="1:31" hidden="1" x14ac:dyDescent="0.25">
      <c r="A34" s="245" t="s">
        <v>713</v>
      </c>
      <c r="B34" s="245" t="s">
        <v>1679</v>
      </c>
      <c r="C34" s="254">
        <v>1</v>
      </c>
      <c r="D34" s="254">
        <v>43</v>
      </c>
      <c r="E34" s="254">
        <v>43</v>
      </c>
      <c r="F34" s="254">
        <v>75401342703675</v>
      </c>
      <c r="G34" s="245" t="s">
        <v>0</v>
      </c>
      <c r="H34" s="254">
        <v>20311855671</v>
      </c>
      <c r="I34" s="245" t="s">
        <v>1680</v>
      </c>
      <c r="J34" s="245" t="s">
        <v>0</v>
      </c>
      <c r="K34" s="254">
        <v>30710473168</v>
      </c>
      <c r="L34" s="254">
        <v>1</v>
      </c>
      <c r="M34" s="245" t="s">
        <v>1672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54">
        <v>0</v>
      </c>
      <c r="AC34" s="245"/>
      <c r="AD34" s="254">
        <v>290000</v>
      </c>
    </row>
    <row r="35" spans="1:31" hidden="1" x14ac:dyDescent="0.25">
      <c r="A35" s="245" t="s">
        <v>714</v>
      </c>
      <c r="B35" s="245" t="s">
        <v>1670</v>
      </c>
      <c r="C35" s="254">
        <v>2</v>
      </c>
      <c r="D35" s="254">
        <v>1582</v>
      </c>
      <c r="E35" s="254">
        <v>1582</v>
      </c>
      <c r="F35" s="254">
        <v>75409440515122</v>
      </c>
      <c r="G35" s="245" t="s">
        <v>0</v>
      </c>
      <c r="H35" s="254">
        <v>20272865869</v>
      </c>
      <c r="I35" s="245" t="s">
        <v>561</v>
      </c>
      <c r="J35" s="245" t="s">
        <v>0</v>
      </c>
      <c r="K35" s="254">
        <v>30710473168</v>
      </c>
      <c r="L35" s="254">
        <v>1</v>
      </c>
      <c r="M35" s="245" t="s">
        <v>1672</v>
      </c>
      <c r="N35" s="245"/>
      <c r="O35" s="245"/>
      <c r="P35" s="245"/>
      <c r="Q35" s="245"/>
      <c r="R35" s="245"/>
      <c r="S35" s="245"/>
      <c r="T35" s="245"/>
      <c r="U35" s="254">
        <v>64932</v>
      </c>
      <c r="V35" s="254">
        <v>309200</v>
      </c>
      <c r="W35" s="245"/>
      <c r="X35" s="245"/>
      <c r="Y35" s="254">
        <v>309200</v>
      </c>
      <c r="Z35" s="254">
        <v>0</v>
      </c>
      <c r="AA35" s="254">
        <v>0</v>
      </c>
      <c r="AB35" s="254">
        <v>0</v>
      </c>
      <c r="AC35" s="254">
        <v>64932</v>
      </c>
      <c r="AD35" s="254">
        <v>374132</v>
      </c>
    </row>
    <row r="36" spans="1:31" hidden="1" x14ac:dyDescent="0.25">
      <c r="A36" s="238" t="s">
        <v>714</v>
      </c>
      <c r="B36" s="238" t="s">
        <v>1670</v>
      </c>
      <c r="C36" s="256">
        <v>26</v>
      </c>
      <c r="D36" s="256">
        <v>215680</v>
      </c>
      <c r="E36" s="256">
        <v>215680</v>
      </c>
      <c r="F36" s="256">
        <v>75407512016610</v>
      </c>
      <c r="G36" s="238" t="s">
        <v>0</v>
      </c>
      <c r="H36" s="256">
        <v>30708847247</v>
      </c>
      <c r="I36" s="238" t="s">
        <v>1686</v>
      </c>
      <c r="J36" s="238" t="s">
        <v>0</v>
      </c>
      <c r="K36" s="256">
        <v>30710473168</v>
      </c>
      <c r="L36" s="256">
        <v>1</v>
      </c>
      <c r="M36" s="238" t="s">
        <v>1672</v>
      </c>
      <c r="N36" s="238"/>
      <c r="O36" s="238"/>
      <c r="P36" s="238"/>
      <c r="Q36" s="238"/>
      <c r="R36" s="238"/>
      <c r="S36" s="238"/>
      <c r="T36" s="238"/>
      <c r="U36" s="259">
        <v>15703.62</v>
      </c>
      <c r="V36" s="259">
        <v>74779.14</v>
      </c>
      <c r="W36" s="238"/>
      <c r="X36" s="238"/>
      <c r="Y36" s="259">
        <v>74779.14</v>
      </c>
      <c r="Z36" s="256">
        <v>0</v>
      </c>
      <c r="AA36" s="256">
        <v>0</v>
      </c>
      <c r="AB36" s="259">
        <v>2991.17</v>
      </c>
      <c r="AC36" s="259">
        <v>15703.62</v>
      </c>
      <c r="AD36" s="259">
        <v>93473.93</v>
      </c>
    </row>
    <row r="37" spans="1:31" hidden="1" x14ac:dyDescent="0.25">
      <c r="A37" s="238" t="s">
        <v>714</v>
      </c>
      <c r="B37" s="238" t="s">
        <v>1670</v>
      </c>
      <c r="C37" s="256">
        <v>5</v>
      </c>
      <c r="D37" s="256">
        <v>1682</v>
      </c>
      <c r="E37" s="254">
        <v>1682</v>
      </c>
      <c r="F37" s="254">
        <v>75405522210939</v>
      </c>
      <c r="G37" s="245" t="s">
        <v>0</v>
      </c>
      <c r="H37" s="254">
        <v>27265302225</v>
      </c>
      <c r="I37" s="245" t="s">
        <v>409</v>
      </c>
      <c r="J37" s="238" t="s">
        <v>0</v>
      </c>
      <c r="K37" s="256">
        <v>30710473168</v>
      </c>
      <c r="L37" s="256">
        <v>1</v>
      </c>
      <c r="M37" s="238" t="s">
        <v>1672</v>
      </c>
      <c r="N37" s="238"/>
      <c r="O37" s="238"/>
      <c r="P37" s="238"/>
      <c r="Q37" s="238"/>
      <c r="R37" s="238"/>
      <c r="S37" s="238"/>
      <c r="T37" s="238"/>
      <c r="U37" s="256">
        <v>262500</v>
      </c>
      <c r="V37" s="256">
        <v>1250000</v>
      </c>
      <c r="W37" s="238"/>
      <c r="X37" s="238"/>
      <c r="Y37" s="256">
        <v>1250000</v>
      </c>
      <c r="Z37" s="256">
        <v>0</v>
      </c>
      <c r="AA37" s="256">
        <v>0</v>
      </c>
      <c r="AB37" s="256">
        <v>0</v>
      </c>
      <c r="AC37" s="256">
        <v>262500</v>
      </c>
      <c r="AD37" s="256">
        <v>1512500</v>
      </c>
    </row>
    <row r="38" spans="1:31" hidden="1" x14ac:dyDescent="0.25">
      <c r="A38" s="238" t="s">
        <v>714</v>
      </c>
      <c r="B38" s="238" t="s">
        <v>1670</v>
      </c>
      <c r="C38" s="256">
        <v>1054</v>
      </c>
      <c r="D38" s="256">
        <v>381</v>
      </c>
      <c r="E38" s="256">
        <v>381</v>
      </c>
      <c r="F38" s="256">
        <v>75401449551620</v>
      </c>
      <c r="G38" s="238" t="s">
        <v>0</v>
      </c>
      <c r="H38" s="256">
        <v>30685849751</v>
      </c>
      <c r="I38" s="238" t="s">
        <v>1451</v>
      </c>
      <c r="J38" s="238" t="s">
        <v>0</v>
      </c>
      <c r="K38" s="256">
        <v>30710473168</v>
      </c>
      <c r="L38" s="256">
        <v>1</v>
      </c>
      <c r="M38" s="238" t="s">
        <v>1672</v>
      </c>
      <c r="N38" s="238"/>
      <c r="O38" s="238"/>
      <c r="P38" s="238"/>
      <c r="Q38" s="238"/>
      <c r="R38" s="238"/>
      <c r="S38" s="238"/>
      <c r="T38" s="238"/>
      <c r="U38" s="259">
        <v>1133.31</v>
      </c>
      <c r="V38" s="259">
        <v>5396.69</v>
      </c>
      <c r="W38" s="238"/>
      <c r="X38" s="238"/>
      <c r="Y38" s="259">
        <v>5396.69</v>
      </c>
      <c r="Z38" s="256">
        <v>0</v>
      </c>
      <c r="AA38" s="256">
        <v>0</v>
      </c>
      <c r="AB38" s="259">
        <v>215.87</v>
      </c>
      <c r="AC38" s="259">
        <v>1133.31</v>
      </c>
      <c r="AD38" s="259">
        <v>6745.87</v>
      </c>
    </row>
    <row r="39" spans="1:31" hidden="1" x14ac:dyDescent="0.25">
      <c r="A39" s="238" t="s">
        <v>714</v>
      </c>
      <c r="B39" s="238" t="s">
        <v>1670</v>
      </c>
      <c r="C39" s="256">
        <v>3</v>
      </c>
      <c r="D39" s="256">
        <v>930</v>
      </c>
      <c r="E39" s="256">
        <v>930</v>
      </c>
      <c r="F39" s="256">
        <v>75409454635742</v>
      </c>
      <c r="G39" s="238" t="s">
        <v>0</v>
      </c>
      <c r="H39" s="256">
        <v>23076996989</v>
      </c>
      <c r="I39" s="238" t="s">
        <v>220</v>
      </c>
      <c r="J39" s="238" t="s">
        <v>0</v>
      </c>
      <c r="K39" s="256">
        <v>30710473168</v>
      </c>
      <c r="L39" s="256">
        <v>1</v>
      </c>
      <c r="M39" s="238" t="s">
        <v>1672</v>
      </c>
      <c r="N39" s="238"/>
      <c r="O39" s="238"/>
      <c r="P39" s="238"/>
      <c r="Q39" s="238"/>
      <c r="R39" s="238"/>
      <c r="S39" s="238"/>
      <c r="T39" s="238"/>
      <c r="U39" s="259">
        <v>2776.86</v>
      </c>
      <c r="V39" s="259">
        <v>13223.14</v>
      </c>
      <c r="W39" s="238"/>
      <c r="X39" s="238"/>
      <c r="Y39" s="259">
        <v>13223.14</v>
      </c>
      <c r="Z39" s="256">
        <v>0</v>
      </c>
      <c r="AA39" s="256">
        <v>0</v>
      </c>
      <c r="AB39" s="256">
        <v>0</v>
      </c>
      <c r="AC39" s="259">
        <v>2776.86</v>
      </c>
      <c r="AD39" s="256">
        <v>16000</v>
      </c>
    </row>
    <row r="40" spans="1:31" hidden="1" x14ac:dyDescent="0.25">
      <c r="A40" s="245" t="s">
        <v>714</v>
      </c>
      <c r="B40" s="245" t="s">
        <v>1678</v>
      </c>
      <c r="C40" s="254">
        <v>5</v>
      </c>
      <c r="D40" s="254">
        <v>132</v>
      </c>
      <c r="E40" s="254">
        <v>132</v>
      </c>
      <c r="F40" s="254">
        <v>75405520316587</v>
      </c>
      <c r="G40" s="245" t="s">
        <v>0</v>
      </c>
      <c r="H40" s="254">
        <v>27265302225</v>
      </c>
      <c r="I40" s="245" t="s">
        <v>409</v>
      </c>
      <c r="J40" s="245" t="s">
        <v>0</v>
      </c>
      <c r="K40" s="254">
        <v>30710473168</v>
      </c>
      <c r="L40" s="254">
        <v>1</v>
      </c>
      <c r="M40" s="245" t="s">
        <v>1672</v>
      </c>
      <c r="N40" s="245"/>
      <c r="O40" s="245"/>
      <c r="P40" s="245"/>
      <c r="Q40" s="245"/>
      <c r="R40" s="245"/>
      <c r="S40" s="245"/>
      <c r="T40" s="245"/>
      <c r="U40" s="254">
        <v>26250</v>
      </c>
      <c r="V40" s="254">
        <v>125000</v>
      </c>
      <c r="W40" s="245"/>
      <c r="X40" s="245"/>
      <c r="Y40" s="254">
        <v>125000</v>
      </c>
      <c r="Z40" s="254">
        <v>0</v>
      </c>
      <c r="AA40" s="254">
        <v>0</v>
      </c>
      <c r="AB40" s="254">
        <v>0</v>
      </c>
      <c r="AC40" s="254">
        <v>26250</v>
      </c>
      <c r="AD40" s="254">
        <v>151250</v>
      </c>
    </row>
    <row r="41" spans="1:31" hidden="1" x14ac:dyDescent="0.25">
      <c r="A41" s="245" t="s">
        <v>714</v>
      </c>
      <c r="B41" s="245" t="s">
        <v>1679</v>
      </c>
      <c r="C41" s="254">
        <v>2</v>
      </c>
      <c r="D41" s="254">
        <v>634</v>
      </c>
      <c r="E41" s="254">
        <v>634</v>
      </c>
      <c r="F41" s="254">
        <v>75407495074987</v>
      </c>
      <c r="G41" s="245" t="s">
        <v>0</v>
      </c>
      <c r="H41" s="254">
        <v>20247881957</v>
      </c>
      <c r="I41" s="245" t="s">
        <v>1687</v>
      </c>
      <c r="J41" s="245" t="s">
        <v>0</v>
      </c>
      <c r="K41" s="254">
        <v>30710473168</v>
      </c>
      <c r="L41" s="254">
        <v>1</v>
      </c>
      <c r="M41" s="245" t="s">
        <v>1672</v>
      </c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54">
        <v>0</v>
      </c>
      <c r="AC41" s="245"/>
      <c r="AD41" s="254">
        <v>13400</v>
      </c>
    </row>
    <row r="42" spans="1:31" hidden="1" x14ac:dyDescent="0.25">
      <c r="A42" s="245" t="s">
        <v>1688</v>
      </c>
      <c r="B42" s="245" t="s">
        <v>1679</v>
      </c>
      <c r="C42" s="254">
        <v>2</v>
      </c>
      <c r="D42" s="254">
        <v>138</v>
      </c>
      <c r="E42" s="254">
        <v>138</v>
      </c>
      <c r="F42" s="254">
        <v>75408636655570</v>
      </c>
      <c r="G42" s="245" t="s">
        <v>0</v>
      </c>
      <c r="H42" s="254">
        <v>27315710508</v>
      </c>
      <c r="I42" s="245" t="s">
        <v>1689</v>
      </c>
      <c r="J42" s="245" t="s">
        <v>0</v>
      </c>
      <c r="K42" s="254">
        <v>30710473168</v>
      </c>
      <c r="L42" s="254">
        <v>1</v>
      </c>
      <c r="M42" s="245" t="s">
        <v>1672</v>
      </c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54">
        <v>0</v>
      </c>
      <c r="AC42" s="245"/>
      <c r="AD42" s="254">
        <v>51030</v>
      </c>
    </row>
    <row r="43" spans="1:31" hidden="1" x14ac:dyDescent="0.25">
      <c r="A43" s="238" t="s">
        <v>715</v>
      </c>
      <c r="B43" s="238" t="s">
        <v>1670</v>
      </c>
      <c r="C43" s="256">
        <v>17</v>
      </c>
      <c r="D43" s="256">
        <v>3413</v>
      </c>
      <c r="E43" s="256">
        <v>3413</v>
      </c>
      <c r="F43" s="256">
        <v>75401861436133</v>
      </c>
      <c r="G43" s="238" t="s">
        <v>0</v>
      </c>
      <c r="H43" s="256">
        <v>30711764921</v>
      </c>
      <c r="I43" s="238" t="s">
        <v>1482</v>
      </c>
      <c r="J43" s="238" t="s">
        <v>0</v>
      </c>
      <c r="K43" s="256">
        <v>30710473168</v>
      </c>
      <c r="L43" s="256">
        <v>1</v>
      </c>
      <c r="M43" s="238" t="s">
        <v>1672</v>
      </c>
      <c r="N43" s="238"/>
      <c r="O43" s="238"/>
      <c r="P43" s="238"/>
      <c r="Q43" s="238"/>
      <c r="R43" s="238"/>
      <c r="S43" s="238"/>
      <c r="T43" s="238"/>
      <c r="U43" s="259">
        <v>44110.71</v>
      </c>
      <c r="V43" s="256">
        <v>210051</v>
      </c>
      <c r="W43" s="238"/>
      <c r="X43" s="238"/>
      <c r="Y43" s="256">
        <v>210051</v>
      </c>
      <c r="Z43" s="256">
        <v>0</v>
      </c>
      <c r="AA43" s="256">
        <v>0</v>
      </c>
      <c r="AB43" s="256">
        <v>0</v>
      </c>
      <c r="AC43" s="259">
        <v>44110.71</v>
      </c>
      <c r="AD43" s="259">
        <v>254161.71</v>
      </c>
    </row>
    <row r="44" spans="1:31" hidden="1" x14ac:dyDescent="0.25">
      <c r="A44" s="238" t="s">
        <v>715</v>
      </c>
      <c r="B44" s="238" t="s">
        <v>1670</v>
      </c>
      <c r="C44" s="256">
        <v>120</v>
      </c>
      <c r="D44" s="256">
        <v>5947</v>
      </c>
      <c r="E44" s="256">
        <v>5947</v>
      </c>
      <c r="F44" s="256">
        <v>75405819860121</v>
      </c>
      <c r="G44" s="238" t="s">
        <v>0</v>
      </c>
      <c r="H44" s="256">
        <v>30587197215</v>
      </c>
      <c r="I44" s="238" t="s">
        <v>387</v>
      </c>
      <c r="J44" s="238" t="s">
        <v>0</v>
      </c>
      <c r="K44" s="256">
        <v>30710473168</v>
      </c>
      <c r="L44" s="256">
        <v>1</v>
      </c>
      <c r="M44" s="238" t="s">
        <v>1672</v>
      </c>
      <c r="N44" s="238"/>
      <c r="O44" s="238"/>
      <c r="P44" s="238"/>
      <c r="Q44" s="238"/>
      <c r="R44" s="238"/>
      <c r="S44" s="238"/>
      <c r="T44" s="238"/>
      <c r="U44" s="259">
        <v>31239.67</v>
      </c>
      <c r="V44" s="259">
        <v>148760.32999999999</v>
      </c>
      <c r="W44" s="238"/>
      <c r="X44" s="238"/>
      <c r="Y44" s="259">
        <v>148760.32999999999</v>
      </c>
      <c r="Z44" s="256">
        <v>0</v>
      </c>
      <c r="AA44" s="256">
        <v>0</v>
      </c>
      <c r="AB44" s="259">
        <v>5950.41</v>
      </c>
      <c r="AC44" s="259">
        <v>31239.67</v>
      </c>
      <c r="AD44" s="259">
        <v>185950.41</v>
      </c>
    </row>
    <row r="45" spans="1:31" hidden="1" x14ac:dyDescent="0.25">
      <c r="A45" s="245" t="s">
        <v>715</v>
      </c>
      <c r="B45" s="245" t="s">
        <v>1679</v>
      </c>
      <c r="C45" s="254">
        <v>2</v>
      </c>
      <c r="D45" s="254">
        <v>380</v>
      </c>
      <c r="E45" s="254">
        <v>380</v>
      </c>
      <c r="F45" s="254">
        <v>75418135005567</v>
      </c>
      <c r="G45" s="245" t="s">
        <v>0</v>
      </c>
      <c r="H45" s="254">
        <v>27265832178</v>
      </c>
      <c r="I45" s="245" t="s">
        <v>65</v>
      </c>
      <c r="J45" s="245" t="s">
        <v>0</v>
      </c>
      <c r="K45" s="254">
        <v>30710473168</v>
      </c>
      <c r="L45" s="254">
        <v>1</v>
      </c>
      <c r="M45" s="245" t="s">
        <v>1672</v>
      </c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54">
        <v>0</v>
      </c>
      <c r="AC45" s="245"/>
      <c r="AD45" s="254">
        <v>3200000</v>
      </c>
    </row>
    <row r="46" spans="1:31" hidden="1" x14ac:dyDescent="0.25">
      <c r="A46" s="238" t="s">
        <v>716</v>
      </c>
      <c r="B46" s="238" t="s">
        <v>1670</v>
      </c>
      <c r="C46" s="256">
        <v>15</v>
      </c>
      <c r="D46" s="256">
        <v>5031</v>
      </c>
      <c r="E46" s="256">
        <v>5031</v>
      </c>
      <c r="F46" s="256">
        <v>75403963974821</v>
      </c>
      <c r="G46" s="238" t="s">
        <v>0</v>
      </c>
      <c r="H46" s="256">
        <v>30688140923</v>
      </c>
      <c r="I46" s="238" t="s">
        <v>1690</v>
      </c>
      <c r="J46" s="238" t="s">
        <v>0</v>
      </c>
      <c r="K46" s="256">
        <v>30710473168</v>
      </c>
      <c r="L46" s="256">
        <v>1</v>
      </c>
      <c r="M46" s="238" t="s">
        <v>1672</v>
      </c>
      <c r="N46" s="238"/>
      <c r="O46" s="238"/>
      <c r="P46" s="238"/>
      <c r="Q46" s="238"/>
      <c r="R46" s="238"/>
      <c r="S46" s="238"/>
      <c r="T46" s="238"/>
      <c r="U46" s="259">
        <v>26619.919999999998</v>
      </c>
      <c r="V46" s="238">
        <v>126761.5</v>
      </c>
      <c r="W46" s="238"/>
      <c r="X46" s="238"/>
      <c r="Y46" s="238">
        <v>126761.5</v>
      </c>
      <c r="Z46" s="256">
        <v>0</v>
      </c>
      <c r="AA46" s="256">
        <v>0</v>
      </c>
      <c r="AB46" s="256">
        <v>0</v>
      </c>
      <c r="AC46" s="259">
        <v>26619.919999999998</v>
      </c>
      <c r="AD46" s="259">
        <v>153381.42000000001</v>
      </c>
    </row>
    <row r="47" spans="1:31" hidden="1" x14ac:dyDescent="0.25">
      <c r="A47" s="260" t="s">
        <v>716</v>
      </c>
      <c r="B47" s="260" t="s">
        <v>1670</v>
      </c>
      <c r="C47" s="261">
        <v>3</v>
      </c>
      <c r="D47" s="261">
        <v>3479058</v>
      </c>
      <c r="E47" s="261">
        <v>3479058</v>
      </c>
      <c r="F47" s="261">
        <v>75409982100194</v>
      </c>
      <c r="G47" s="260" t="s">
        <v>0</v>
      </c>
      <c r="H47" s="261">
        <v>30712019359</v>
      </c>
      <c r="I47" s="260" t="s">
        <v>1524</v>
      </c>
      <c r="J47" s="260" t="s">
        <v>0</v>
      </c>
      <c r="K47" s="261">
        <v>30710473168</v>
      </c>
      <c r="L47" s="261">
        <v>1</v>
      </c>
      <c r="M47" s="260" t="s">
        <v>1672</v>
      </c>
      <c r="N47" s="260"/>
      <c r="O47" s="260"/>
      <c r="P47" s="260"/>
      <c r="Q47" s="260"/>
      <c r="R47" s="260"/>
      <c r="S47" s="260"/>
      <c r="T47" s="260"/>
      <c r="U47" s="262">
        <v>3731.23</v>
      </c>
      <c r="V47" s="262">
        <v>17767.77</v>
      </c>
      <c r="W47" s="260"/>
      <c r="X47" s="260"/>
      <c r="Y47" s="262">
        <v>17767.77</v>
      </c>
      <c r="Z47" s="261">
        <v>0</v>
      </c>
      <c r="AA47" s="261"/>
      <c r="AB47" s="262">
        <v>710.72</v>
      </c>
      <c r="AC47" s="262">
        <v>3731.23</v>
      </c>
      <c r="AD47" s="262">
        <v>22209.72</v>
      </c>
      <c r="AE47" t="s">
        <v>1676</v>
      </c>
    </row>
    <row r="48" spans="1:31" hidden="1" x14ac:dyDescent="0.25">
      <c r="A48" s="238" t="s">
        <v>716</v>
      </c>
      <c r="B48" s="238" t="s">
        <v>1670</v>
      </c>
      <c r="C48" s="256">
        <v>6</v>
      </c>
      <c r="D48" s="256">
        <v>3443</v>
      </c>
      <c r="E48" s="256">
        <v>3443</v>
      </c>
      <c r="F48" s="256">
        <v>75404953036460</v>
      </c>
      <c r="G48" s="238" t="s">
        <v>0</v>
      </c>
      <c r="H48" s="256">
        <v>30715775014</v>
      </c>
      <c r="I48" s="238" t="s">
        <v>1691</v>
      </c>
      <c r="J48" s="238" t="s">
        <v>0</v>
      </c>
      <c r="K48" s="256">
        <v>30710473168</v>
      </c>
      <c r="L48" s="256">
        <v>1</v>
      </c>
      <c r="M48" s="238" t="s">
        <v>1672</v>
      </c>
      <c r="N48" s="238"/>
      <c r="O48" s="238"/>
      <c r="P48" s="238"/>
      <c r="Q48" s="238"/>
      <c r="R48" s="238"/>
      <c r="S48" s="259">
        <v>4028.96</v>
      </c>
      <c r="T48" s="259">
        <v>38371.040000000001</v>
      </c>
      <c r="U48" s="238"/>
      <c r="V48" s="238"/>
      <c r="W48" s="238"/>
      <c r="X48" s="238"/>
      <c r="Y48" s="259">
        <v>38371.040000000001</v>
      </c>
      <c r="Z48" s="256">
        <v>0</v>
      </c>
      <c r="AA48" s="256">
        <v>0</v>
      </c>
      <c r="AB48" s="259">
        <v>1534.84</v>
      </c>
      <c r="AC48" s="259">
        <v>4028.96</v>
      </c>
      <c r="AD48" s="259">
        <v>43934.84</v>
      </c>
    </row>
    <row r="49" spans="1:30" hidden="1" x14ac:dyDescent="0.25">
      <c r="A49" s="245" t="s">
        <v>716</v>
      </c>
      <c r="B49" s="245" t="s">
        <v>1679</v>
      </c>
      <c r="C49" s="254">
        <v>1</v>
      </c>
      <c r="D49" s="254">
        <v>5</v>
      </c>
      <c r="E49" s="254">
        <v>5</v>
      </c>
      <c r="F49" s="254">
        <v>75402996095252</v>
      </c>
      <c r="G49" s="245" t="s">
        <v>0</v>
      </c>
      <c r="H49" s="254">
        <v>27380284052</v>
      </c>
      <c r="I49" s="245" t="s">
        <v>1692</v>
      </c>
      <c r="J49" s="245" t="s">
        <v>0</v>
      </c>
      <c r="K49" s="254">
        <v>30710473168</v>
      </c>
      <c r="L49" s="254">
        <v>1</v>
      </c>
      <c r="M49" s="245" t="s">
        <v>1672</v>
      </c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54">
        <v>0</v>
      </c>
      <c r="AC49" s="245"/>
      <c r="AD49" s="254">
        <v>4365000</v>
      </c>
    </row>
    <row r="50" spans="1:30" hidden="1" x14ac:dyDescent="0.25">
      <c r="A50" s="245" t="s">
        <v>716</v>
      </c>
      <c r="B50" s="245" t="s">
        <v>1679</v>
      </c>
      <c r="C50" s="254">
        <v>1</v>
      </c>
      <c r="D50" s="254">
        <v>19</v>
      </c>
      <c r="E50" s="254">
        <v>19</v>
      </c>
      <c r="F50" s="254">
        <v>75403997414283</v>
      </c>
      <c r="G50" s="245" t="s">
        <v>0</v>
      </c>
      <c r="H50" s="254">
        <v>27443612713</v>
      </c>
      <c r="I50" s="245" t="s">
        <v>1693</v>
      </c>
      <c r="J50" s="245" t="s">
        <v>0</v>
      </c>
      <c r="K50" s="254">
        <v>30710473168</v>
      </c>
      <c r="L50" s="254">
        <v>1</v>
      </c>
      <c r="M50" s="245" t="s">
        <v>1672</v>
      </c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54">
        <v>0</v>
      </c>
      <c r="AC50" s="245"/>
      <c r="AD50" s="254">
        <v>870000</v>
      </c>
    </row>
    <row r="51" spans="1:30" hidden="1" x14ac:dyDescent="0.25">
      <c r="A51" s="238" t="s">
        <v>735</v>
      </c>
      <c r="B51" s="238" t="s">
        <v>1670</v>
      </c>
      <c r="C51" s="256">
        <v>5</v>
      </c>
      <c r="D51" s="256">
        <v>1694</v>
      </c>
      <c r="E51" s="254">
        <v>1694</v>
      </c>
      <c r="F51" s="254">
        <v>75415156068683</v>
      </c>
      <c r="G51" s="245" t="s">
        <v>0</v>
      </c>
      <c r="H51" s="254">
        <v>27265302225</v>
      </c>
      <c r="I51" s="245" t="s">
        <v>409</v>
      </c>
      <c r="J51" s="238" t="s">
        <v>0</v>
      </c>
      <c r="K51" s="256">
        <v>30710473168</v>
      </c>
      <c r="L51" s="256">
        <v>1</v>
      </c>
      <c r="M51" s="238" t="s">
        <v>1672</v>
      </c>
      <c r="N51" s="238"/>
      <c r="O51" s="238"/>
      <c r="P51" s="238"/>
      <c r="Q51" s="238"/>
      <c r="R51" s="238"/>
      <c r="S51" s="238"/>
      <c r="T51" s="238"/>
      <c r="U51" s="256">
        <v>294000</v>
      </c>
      <c r="V51" s="256">
        <v>1400000</v>
      </c>
      <c r="W51" s="238"/>
      <c r="X51" s="238"/>
      <c r="Y51" s="256">
        <v>1400000</v>
      </c>
      <c r="Z51" s="256">
        <v>0</v>
      </c>
      <c r="AA51" s="256">
        <v>0</v>
      </c>
      <c r="AB51" s="256">
        <v>0</v>
      </c>
      <c r="AC51" s="256">
        <v>294000</v>
      </c>
      <c r="AD51" s="256">
        <v>1694000</v>
      </c>
    </row>
    <row r="52" spans="1:30" hidden="1" x14ac:dyDescent="0.25">
      <c r="A52" s="245" t="s">
        <v>735</v>
      </c>
      <c r="B52" s="245" t="s">
        <v>1670</v>
      </c>
      <c r="C52" s="254">
        <v>9</v>
      </c>
      <c r="D52" s="254">
        <v>23056</v>
      </c>
      <c r="E52" s="254">
        <v>23056</v>
      </c>
      <c r="F52" s="254">
        <v>75412180556662</v>
      </c>
      <c r="G52" s="245" t="s">
        <v>0</v>
      </c>
      <c r="H52" s="254">
        <v>20207044262</v>
      </c>
      <c r="I52" s="245" t="s">
        <v>1694</v>
      </c>
      <c r="J52" s="245" t="s">
        <v>0</v>
      </c>
      <c r="K52" s="254">
        <v>30710473168</v>
      </c>
      <c r="L52" s="254">
        <v>1</v>
      </c>
      <c r="M52" s="245" t="s">
        <v>1672</v>
      </c>
      <c r="N52" s="245"/>
      <c r="O52" s="245"/>
      <c r="P52" s="245"/>
      <c r="Q52" s="245"/>
      <c r="R52" s="245"/>
      <c r="S52" s="245"/>
      <c r="T52" s="245"/>
      <c r="U52" s="255">
        <v>4915.21</v>
      </c>
      <c r="V52" s="255">
        <v>23405.78</v>
      </c>
      <c r="W52" s="245"/>
      <c r="X52" s="245"/>
      <c r="Y52" s="255">
        <v>23405.78</v>
      </c>
      <c r="Z52" s="254">
        <v>0</v>
      </c>
      <c r="AA52" s="254">
        <v>0</v>
      </c>
      <c r="AB52" s="254">
        <v>0</v>
      </c>
      <c r="AC52" s="255">
        <v>4915.21</v>
      </c>
      <c r="AD52" s="255">
        <v>28320.99</v>
      </c>
    </row>
    <row r="53" spans="1:30" hidden="1" x14ac:dyDescent="0.25">
      <c r="A53" s="245" t="s">
        <v>735</v>
      </c>
      <c r="B53" s="245" t="s">
        <v>1670</v>
      </c>
      <c r="C53" s="254">
        <v>2</v>
      </c>
      <c r="D53" s="254">
        <v>1598</v>
      </c>
      <c r="E53" s="254">
        <v>1598</v>
      </c>
      <c r="F53" s="254">
        <v>75419162856166</v>
      </c>
      <c r="G53" s="245" t="s">
        <v>0</v>
      </c>
      <c r="H53" s="254">
        <v>20272865869</v>
      </c>
      <c r="I53" s="245" t="s">
        <v>561</v>
      </c>
      <c r="J53" s="245" t="s">
        <v>0</v>
      </c>
      <c r="K53" s="254">
        <v>30710473168</v>
      </c>
      <c r="L53" s="254">
        <v>1</v>
      </c>
      <c r="M53" s="245" t="s">
        <v>1672</v>
      </c>
      <c r="N53" s="245"/>
      <c r="O53" s="245"/>
      <c r="P53" s="245"/>
      <c r="Q53" s="245"/>
      <c r="R53" s="245"/>
      <c r="S53" s="245"/>
      <c r="T53" s="245"/>
      <c r="U53" s="254">
        <v>14007</v>
      </c>
      <c r="V53" s="254">
        <v>66700</v>
      </c>
      <c r="W53" s="245"/>
      <c r="X53" s="245"/>
      <c r="Y53" s="254">
        <v>66700</v>
      </c>
      <c r="Z53" s="254">
        <v>0</v>
      </c>
      <c r="AA53" s="254">
        <v>0</v>
      </c>
      <c r="AB53" s="254">
        <v>0</v>
      </c>
      <c r="AC53" s="254">
        <v>14007</v>
      </c>
      <c r="AD53" s="254">
        <v>80707</v>
      </c>
    </row>
    <row r="54" spans="1:30" hidden="1" x14ac:dyDescent="0.25">
      <c r="A54" s="238" t="s">
        <v>735</v>
      </c>
      <c r="B54" s="238" t="s">
        <v>1670</v>
      </c>
      <c r="C54" s="256">
        <v>1055</v>
      </c>
      <c r="D54" s="256">
        <v>908</v>
      </c>
      <c r="E54" s="256">
        <v>908</v>
      </c>
      <c r="F54" s="256">
        <v>75411108275705</v>
      </c>
      <c r="G54" s="238" t="s">
        <v>0</v>
      </c>
      <c r="H54" s="256">
        <v>30685849751</v>
      </c>
      <c r="I54" s="238" t="s">
        <v>1451</v>
      </c>
      <c r="J54" s="238" t="s">
        <v>0</v>
      </c>
      <c r="K54" s="256">
        <v>30710473168</v>
      </c>
      <c r="L54" s="256">
        <v>1</v>
      </c>
      <c r="M54" s="238" t="s">
        <v>1672</v>
      </c>
      <c r="N54" s="238"/>
      <c r="O54" s="238"/>
      <c r="P54" s="238"/>
      <c r="Q54" s="238"/>
      <c r="R54" s="238"/>
      <c r="S54" s="238"/>
      <c r="T54" s="238"/>
      <c r="U54" s="259">
        <v>1135.56</v>
      </c>
      <c r="V54" s="259">
        <v>5407.44</v>
      </c>
      <c r="W54" s="238"/>
      <c r="X54" s="238"/>
      <c r="Y54" s="259">
        <v>5407.44</v>
      </c>
      <c r="Z54" s="256">
        <v>0</v>
      </c>
      <c r="AA54" s="256">
        <v>0</v>
      </c>
      <c r="AB54" s="238">
        <v>216.3</v>
      </c>
      <c r="AC54" s="259">
        <v>1135.56</v>
      </c>
      <c r="AD54" s="238">
        <v>6759.3</v>
      </c>
    </row>
    <row r="55" spans="1:30" hidden="1" x14ac:dyDescent="0.25">
      <c r="A55" s="245" t="s">
        <v>696</v>
      </c>
      <c r="B55" s="245" t="s">
        <v>1670</v>
      </c>
      <c r="C55" s="254">
        <v>711</v>
      </c>
      <c r="D55" s="254">
        <v>7668587</v>
      </c>
      <c r="E55" s="254">
        <v>7668587</v>
      </c>
      <c r="F55" s="254">
        <v>35399087215211</v>
      </c>
      <c r="G55" s="245" t="s">
        <v>0</v>
      </c>
      <c r="H55" s="254">
        <v>30677237119</v>
      </c>
      <c r="I55" s="245" t="s">
        <v>584</v>
      </c>
      <c r="J55" s="245" t="s">
        <v>0</v>
      </c>
      <c r="K55" s="254">
        <v>30710473168</v>
      </c>
      <c r="L55" s="254">
        <v>1</v>
      </c>
      <c r="M55" s="245" t="s">
        <v>1672</v>
      </c>
      <c r="N55" s="245"/>
      <c r="O55" s="245"/>
      <c r="P55" s="245"/>
      <c r="Q55" s="245"/>
      <c r="R55" s="245"/>
      <c r="S55" s="245"/>
      <c r="T55" s="245"/>
      <c r="U55" s="255">
        <v>1941.32</v>
      </c>
      <c r="V55" s="255">
        <v>9244.34</v>
      </c>
      <c r="W55" s="245"/>
      <c r="X55" s="245"/>
      <c r="Y55" s="255">
        <v>9244.34</v>
      </c>
      <c r="Z55" s="254">
        <v>0</v>
      </c>
      <c r="AA55" s="255">
        <v>277.33</v>
      </c>
      <c r="AB55" s="255">
        <v>369.77</v>
      </c>
      <c r="AC55" s="255">
        <v>1941.32</v>
      </c>
      <c r="AD55" s="255">
        <v>11832.76</v>
      </c>
    </row>
    <row r="56" spans="1:30" hidden="1" x14ac:dyDescent="0.25">
      <c r="A56" s="245" t="s">
        <v>735</v>
      </c>
      <c r="B56" s="245" t="s">
        <v>1670</v>
      </c>
      <c r="C56" s="254">
        <v>7</v>
      </c>
      <c r="D56" s="254">
        <v>56</v>
      </c>
      <c r="E56" s="254">
        <v>56</v>
      </c>
      <c r="F56" s="254">
        <v>75413107535128</v>
      </c>
      <c r="G56" s="245" t="s">
        <v>0</v>
      </c>
      <c r="H56" s="254">
        <v>27325223273</v>
      </c>
      <c r="I56" s="245" t="s">
        <v>1685</v>
      </c>
      <c r="J56" s="245" t="s">
        <v>0</v>
      </c>
      <c r="K56" s="254">
        <v>30710473168</v>
      </c>
      <c r="L56" s="254">
        <v>1</v>
      </c>
      <c r="M56" s="245" t="s">
        <v>1672</v>
      </c>
      <c r="N56" s="245"/>
      <c r="O56" s="245"/>
      <c r="P56" s="245"/>
      <c r="Q56" s="245"/>
      <c r="R56" s="245"/>
      <c r="S56" s="245"/>
      <c r="T56" s="245"/>
      <c r="U56" s="254">
        <v>273000</v>
      </c>
      <c r="V56" s="254">
        <v>1300000</v>
      </c>
      <c r="W56" s="245"/>
      <c r="X56" s="245"/>
      <c r="Y56" s="254">
        <v>1300000</v>
      </c>
      <c r="Z56" s="254">
        <v>0</v>
      </c>
      <c r="AA56" s="254">
        <v>0</v>
      </c>
      <c r="AB56" s="254">
        <v>0</v>
      </c>
      <c r="AC56" s="254">
        <v>273000</v>
      </c>
      <c r="AD56" s="254">
        <v>1573000</v>
      </c>
    </row>
    <row r="57" spans="1:30" hidden="1" x14ac:dyDescent="0.25">
      <c r="A57" s="238" t="s">
        <v>738</v>
      </c>
      <c r="B57" s="238" t="s">
        <v>1670</v>
      </c>
      <c r="C57" s="256">
        <v>1055</v>
      </c>
      <c r="D57" s="256">
        <v>910</v>
      </c>
      <c r="E57" s="256">
        <v>910</v>
      </c>
      <c r="F57" s="256">
        <v>75411242633841</v>
      </c>
      <c r="G57" s="238" t="s">
        <v>0</v>
      </c>
      <c r="H57" s="256">
        <v>30685849751</v>
      </c>
      <c r="I57" s="238" t="s">
        <v>1451</v>
      </c>
      <c r="J57" s="238" t="s">
        <v>0</v>
      </c>
      <c r="K57" s="256">
        <v>30710473168</v>
      </c>
      <c r="L57" s="256">
        <v>1</v>
      </c>
      <c r="M57" s="238" t="s">
        <v>1672</v>
      </c>
      <c r="N57" s="238"/>
      <c r="O57" s="238"/>
      <c r="P57" s="238"/>
      <c r="Q57" s="238"/>
      <c r="R57" s="238"/>
      <c r="S57" s="238"/>
      <c r="T57" s="238"/>
      <c r="U57" s="259">
        <v>343.64</v>
      </c>
      <c r="V57" s="259">
        <v>1636.36</v>
      </c>
      <c r="W57" s="238"/>
      <c r="X57" s="238"/>
      <c r="Y57" s="259">
        <v>1636.36</v>
      </c>
      <c r="Z57" s="256">
        <v>0</v>
      </c>
      <c r="AA57" s="256">
        <v>0</v>
      </c>
      <c r="AB57" s="256">
        <v>0</v>
      </c>
      <c r="AC57" s="259">
        <v>343.64</v>
      </c>
      <c r="AD57" s="256">
        <v>1980</v>
      </c>
    </row>
    <row r="58" spans="1:30" hidden="1" x14ac:dyDescent="0.25">
      <c r="A58" s="238" t="s">
        <v>738</v>
      </c>
      <c r="B58" s="238" t="s">
        <v>1670</v>
      </c>
      <c r="C58" s="256">
        <v>3101</v>
      </c>
      <c r="D58" s="256">
        <v>390491</v>
      </c>
      <c r="E58" s="256">
        <v>390491</v>
      </c>
      <c r="F58" s="256">
        <v>75417293327196</v>
      </c>
      <c r="G58" s="238" t="s">
        <v>0</v>
      </c>
      <c r="H58" s="256">
        <v>30678814357</v>
      </c>
      <c r="I58" s="238" t="s">
        <v>1682</v>
      </c>
      <c r="J58" s="238" t="s">
        <v>0</v>
      </c>
      <c r="K58" s="256">
        <v>30710473168</v>
      </c>
      <c r="L58" s="256">
        <v>1</v>
      </c>
      <c r="M58" s="238" t="s">
        <v>1672</v>
      </c>
      <c r="N58" s="238"/>
      <c r="O58" s="238"/>
      <c r="P58" s="238"/>
      <c r="Q58" s="238"/>
      <c r="R58" s="238"/>
      <c r="S58" s="238"/>
      <c r="T58" s="238"/>
      <c r="U58" s="238"/>
      <c r="V58" s="238"/>
      <c r="W58" s="259">
        <v>16530.150000000001</v>
      </c>
      <c r="X58" s="238">
        <v>61222.8</v>
      </c>
      <c r="Y58" s="238">
        <v>61222.8</v>
      </c>
      <c r="Z58" s="256">
        <v>0</v>
      </c>
      <c r="AA58" s="256">
        <v>0</v>
      </c>
      <c r="AB58" s="259">
        <v>4285.59</v>
      </c>
      <c r="AC58" s="259">
        <v>16530.150000000001</v>
      </c>
      <c r="AD58" s="259">
        <v>82038.539999999994</v>
      </c>
    </row>
    <row r="59" spans="1:30" hidden="1" x14ac:dyDescent="0.25">
      <c r="A59" s="238" t="s">
        <v>738</v>
      </c>
      <c r="B59" s="238" t="s">
        <v>1670</v>
      </c>
      <c r="C59" s="256">
        <v>2</v>
      </c>
      <c r="D59" s="256">
        <v>8600</v>
      </c>
      <c r="E59" s="256">
        <v>8600</v>
      </c>
      <c r="F59" s="256">
        <v>75418292258895</v>
      </c>
      <c r="G59" s="238" t="s">
        <v>0</v>
      </c>
      <c r="H59" s="256">
        <v>30643862928</v>
      </c>
      <c r="I59" s="238" t="s">
        <v>1695</v>
      </c>
      <c r="J59" s="238" t="s">
        <v>0</v>
      </c>
      <c r="K59" s="256">
        <v>30710473168</v>
      </c>
      <c r="L59" s="256">
        <v>1</v>
      </c>
      <c r="M59" s="238" t="s">
        <v>1672</v>
      </c>
      <c r="N59" s="238"/>
      <c r="O59" s="238"/>
      <c r="P59" s="238"/>
      <c r="Q59" s="238"/>
      <c r="R59" s="238"/>
      <c r="S59" s="238"/>
      <c r="T59" s="238"/>
      <c r="U59" s="259">
        <v>61923.97</v>
      </c>
      <c r="V59" s="259">
        <v>294876.03000000003</v>
      </c>
      <c r="W59" s="238"/>
      <c r="X59" s="238"/>
      <c r="Y59" s="259">
        <v>294876.03000000003</v>
      </c>
      <c r="Z59" s="256">
        <v>0</v>
      </c>
      <c r="AA59" s="256">
        <v>0</v>
      </c>
      <c r="AB59" s="256">
        <v>0</v>
      </c>
      <c r="AC59" s="259">
        <v>61923.97</v>
      </c>
      <c r="AD59" s="256">
        <v>356800</v>
      </c>
    </row>
    <row r="60" spans="1:30" hidden="1" x14ac:dyDescent="0.25">
      <c r="A60" s="245" t="s">
        <v>738</v>
      </c>
      <c r="B60" s="245" t="s">
        <v>1670</v>
      </c>
      <c r="C60" s="254">
        <v>700</v>
      </c>
      <c r="D60" s="254">
        <v>2758592</v>
      </c>
      <c r="E60" s="254">
        <v>2758592</v>
      </c>
      <c r="F60" s="254">
        <v>75412448694790</v>
      </c>
      <c r="G60" s="245" t="s">
        <v>0</v>
      </c>
      <c r="H60" s="254">
        <v>30715804812</v>
      </c>
      <c r="I60" s="245" t="s">
        <v>1696</v>
      </c>
      <c r="J60" s="245" t="s">
        <v>0</v>
      </c>
      <c r="K60" s="254">
        <v>30710473168</v>
      </c>
      <c r="L60" s="254">
        <v>1</v>
      </c>
      <c r="M60" s="245" t="s">
        <v>1672</v>
      </c>
      <c r="N60" s="245"/>
      <c r="O60" s="245"/>
      <c r="P60" s="245"/>
      <c r="Q60" s="245"/>
      <c r="R60" s="245"/>
      <c r="S60" s="245"/>
      <c r="T60" s="245"/>
      <c r="U60" s="255">
        <v>2620.7600000000002</v>
      </c>
      <c r="V60" s="255">
        <v>12479.78</v>
      </c>
      <c r="W60" s="245"/>
      <c r="X60" s="245"/>
      <c r="Y60" s="255">
        <v>12479.78</v>
      </c>
      <c r="Z60" s="254">
        <v>0</v>
      </c>
      <c r="AA60" s="254">
        <v>0</v>
      </c>
      <c r="AB60" s="255">
        <v>499.19</v>
      </c>
      <c r="AC60" s="255">
        <v>2620.7600000000002</v>
      </c>
      <c r="AD60" s="255">
        <v>15599.73</v>
      </c>
    </row>
    <row r="61" spans="1:30" hidden="1" x14ac:dyDescent="0.25">
      <c r="A61" s="245" t="s">
        <v>738</v>
      </c>
      <c r="B61" s="245" t="s">
        <v>1670</v>
      </c>
      <c r="C61" s="254">
        <v>6</v>
      </c>
      <c r="D61" s="254">
        <v>123</v>
      </c>
      <c r="E61" s="254">
        <v>123</v>
      </c>
      <c r="F61" s="254">
        <v>75416306146099</v>
      </c>
      <c r="G61" s="245" t="s">
        <v>0</v>
      </c>
      <c r="H61" s="254">
        <v>30711610096</v>
      </c>
      <c r="I61" s="245" t="s">
        <v>1697</v>
      </c>
      <c r="J61" s="245" t="s">
        <v>0</v>
      </c>
      <c r="K61" s="254">
        <v>30710473168</v>
      </c>
      <c r="L61" s="254">
        <v>1</v>
      </c>
      <c r="M61" s="245" t="s">
        <v>1672</v>
      </c>
      <c r="N61" s="245"/>
      <c r="O61" s="245"/>
      <c r="P61" s="245"/>
      <c r="Q61" s="245"/>
      <c r="R61" s="245"/>
      <c r="S61" s="245"/>
      <c r="T61" s="245"/>
      <c r="U61" s="245">
        <v>181780.2</v>
      </c>
      <c r="V61" s="254">
        <v>865620</v>
      </c>
      <c r="W61" s="245"/>
      <c r="X61" s="245"/>
      <c r="Y61" s="254">
        <v>865620</v>
      </c>
      <c r="Z61" s="254">
        <v>0</v>
      </c>
      <c r="AA61" s="254">
        <v>0</v>
      </c>
      <c r="AB61" s="254">
        <v>0</v>
      </c>
      <c r="AC61" s="245">
        <v>181780.2</v>
      </c>
      <c r="AD61" s="245">
        <v>1047400.2</v>
      </c>
    </row>
    <row r="62" spans="1:30" hidden="1" x14ac:dyDescent="0.25">
      <c r="A62" s="245" t="s">
        <v>738</v>
      </c>
      <c r="B62" s="245" t="s">
        <v>1670</v>
      </c>
      <c r="C62" s="254">
        <v>6</v>
      </c>
      <c r="D62" s="254">
        <v>121</v>
      </c>
      <c r="E62" s="254">
        <v>121</v>
      </c>
      <c r="F62" s="254">
        <v>75416296869603</v>
      </c>
      <c r="G62" s="245" t="s">
        <v>0</v>
      </c>
      <c r="H62" s="254">
        <v>30711610096</v>
      </c>
      <c r="I62" s="245" t="s">
        <v>1697</v>
      </c>
      <c r="J62" s="245" t="s">
        <v>0</v>
      </c>
      <c r="K62" s="254">
        <v>30710473168</v>
      </c>
      <c r="L62" s="254">
        <v>1</v>
      </c>
      <c r="M62" s="245" t="s">
        <v>1672</v>
      </c>
      <c r="N62" s="245"/>
      <c r="O62" s="245"/>
      <c r="P62" s="245"/>
      <c r="Q62" s="245"/>
      <c r="R62" s="245"/>
      <c r="S62" s="245"/>
      <c r="T62" s="245"/>
      <c r="U62" s="245">
        <v>181780.2</v>
      </c>
      <c r="V62" s="254">
        <v>865620</v>
      </c>
      <c r="W62" s="245"/>
      <c r="X62" s="245"/>
      <c r="Y62" s="254">
        <v>865620</v>
      </c>
      <c r="Z62" s="254">
        <v>0</v>
      </c>
      <c r="AA62" s="254">
        <v>0</v>
      </c>
      <c r="AB62" s="254">
        <v>0</v>
      </c>
      <c r="AC62" s="245">
        <v>181780.2</v>
      </c>
      <c r="AD62" s="245">
        <v>1047400.2</v>
      </c>
    </row>
    <row r="63" spans="1:30" hidden="1" x14ac:dyDescent="0.25">
      <c r="A63" s="245" t="s">
        <v>738</v>
      </c>
      <c r="B63" s="245" t="s">
        <v>1678</v>
      </c>
      <c r="C63" s="254">
        <v>2</v>
      </c>
      <c r="D63" s="254">
        <v>101</v>
      </c>
      <c r="E63" s="254">
        <v>101</v>
      </c>
      <c r="F63" s="254">
        <v>75419233862932</v>
      </c>
      <c r="G63" s="245" t="s">
        <v>0</v>
      </c>
      <c r="H63" s="254">
        <v>20272865869</v>
      </c>
      <c r="I63" s="245" t="s">
        <v>561</v>
      </c>
      <c r="J63" s="245" t="s">
        <v>0</v>
      </c>
      <c r="K63" s="254">
        <v>30710473168</v>
      </c>
      <c r="L63" s="254">
        <v>1</v>
      </c>
      <c r="M63" s="245" t="s">
        <v>1672</v>
      </c>
      <c r="N63" s="245"/>
      <c r="O63" s="245"/>
      <c r="P63" s="245"/>
      <c r="Q63" s="245"/>
      <c r="R63" s="245"/>
      <c r="S63" s="245"/>
      <c r="T63" s="245"/>
      <c r="U63" s="254">
        <v>2793</v>
      </c>
      <c r="V63" s="254">
        <v>13300</v>
      </c>
      <c r="W63" s="245"/>
      <c r="X63" s="245"/>
      <c r="Y63" s="254">
        <v>13300</v>
      </c>
      <c r="Z63" s="254">
        <v>0</v>
      </c>
      <c r="AA63" s="254">
        <v>0</v>
      </c>
      <c r="AB63" s="254">
        <v>0</v>
      </c>
      <c r="AC63" s="254">
        <v>2793</v>
      </c>
      <c r="AD63" s="254">
        <v>16093</v>
      </c>
    </row>
    <row r="64" spans="1:30" hidden="1" x14ac:dyDescent="0.25">
      <c r="A64" s="245" t="s">
        <v>738</v>
      </c>
      <c r="B64" s="245" t="s">
        <v>1679</v>
      </c>
      <c r="C64" s="254">
        <v>1</v>
      </c>
      <c r="D64" s="254">
        <v>30</v>
      </c>
      <c r="E64" s="254">
        <v>30</v>
      </c>
      <c r="F64" s="254">
        <v>75415290283482</v>
      </c>
      <c r="G64" s="245" t="s">
        <v>0</v>
      </c>
      <c r="H64" s="254">
        <v>27443612705</v>
      </c>
      <c r="I64" s="245" t="s">
        <v>1698</v>
      </c>
      <c r="J64" s="245" t="s">
        <v>0</v>
      </c>
      <c r="K64" s="254">
        <v>30710473168</v>
      </c>
      <c r="L64" s="254">
        <v>1</v>
      </c>
      <c r="M64" s="245" t="s">
        <v>1672</v>
      </c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54">
        <v>0</v>
      </c>
      <c r="AC64" s="245"/>
      <c r="AD64" s="254">
        <v>900000</v>
      </c>
    </row>
    <row r="65" spans="1:31" hidden="1" x14ac:dyDescent="0.25">
      <c r="A65" s="238" t="s">
        <v>739</v>
      </c>
      <c r="B65" s="238" t="s">
        <v>1670</v>
      </c>
      <c r="C65" s="256">
        <v>8</v>
      </c>
      <c r="D65" s="256">
        <v>2509</v>
      </c>
      <c r="E65" s="256">
        <v>2509</v>
      </c>
      <c r="F65" s="256">
        <v>75419789475716</v>
      </c>
      <c r="G65" s="238" t="s">
        <v>0</v>
      </c>
      <c r="H65" s="256">
        <v>23288035059</v>
      </c>
      <c r="I65" s="238" t="s">
        <v>1699</v>
      </c>
      <c r="J65" s="238" t="s">
        <v>0</v>
      </c>
      <c r="K65" s="256">
        <v>30710473168</v>
      </c>
      <c r="L65" s="256">
        <v>1</v>
      </c>
      <c r="M65" s="238" t="s">
        <v>1672</v>
      </c>
      <c r="N65" s="238"/>
      <c r="O65" s="238"/>
      <c r="P65" s="238"/>
      <c r="Q65" s="238"/>
      <c r="R65" s="238"/>
      <c r="S65" s="238"/>
      <c r="T65" s="238"/>
      <c r="U65" s="259">
        <v>1969.83</v>
      </c>
      <c r="V65" s="259">
        <v>9380.17</v>
      </c>
      <c r="W65" s="238"/>
      <c r="X65" s="238"/>
      <c r="Y65" s="259">
        <v>9380.17</v>
      </c>
      <c r="Z65" s="256">
        <v>0</v>
      </c>
      <c r="AA65" s="256">
        <v>0</v>
      </c>
      <c r="AB65" s="256">
        <v>0</v>
      </c>
      <c r="AC65" s="259">
        <v>1969.83</v>
      </c>
      <c r="AD65" s="256">
        <v>11350</v>
      </c>
    </row>
    <row r="66" spans="1:31" hidden="1" x14ac:dyDescent="0.25">
      <c r="A66" s="245" t="s">
        <v>739</v>
      </c>
      <c r="B66" s="245" t="s">
        <v>1670</v>
      </c>
      <c r="C66" s="254">
        <v>2</v>
      </c>
      <c r="D66" s="254">
        <v>6499</v>
      </c>
      <c r="E66" s="254">
        <v>6499</v>
      </c>
      <c r="F66" s="254">
        <v>75417753007542</v>
      </c>
      <c r="G66" s="245" t="s">
        <v>0</v>
      </c>
      <c r="H66" s="254">
        <v>20263170017</v>
      </c>
      <c r="I66" s="245" t="s">
        <v>1700</v>
      </c>
      <c r="J66" s="245" t="s">
        <v>0</v>
      </c>
      <c r="K66" s="254">
        <v>30710473168</v>
      </c>
      <c r="L66" s="254">
        <v>1</v>
      </c>
      <c r="M66" s="245" t="s">
        <v>1672</v>
      </c>
      <c r="N66" s="245"/>
      <c r="O66" s="245"/>
      <c r="P66" s="245"/>
      <c r="Q66" s="245"/>
      <c r="R66" s="245"/>
      <c r="S66" s="245"/>
      <c r="T66" s="245"/>
      <c r="U66" s="255">
        <v>3642.89</v>
      </c>
      <c r="V66" s="255">
        <v>17347.11</v>
      </c>
      <c r="W66" s="245"/>
      <c r="X66" s="245"/>
      <c r="Y66" s="255">
        <v>17347.11</v>
      </c>
      <c r="Z66" s="254">
        <v>0</v>
      </c>
      <c r="AA66" s="254">
        <v>0</v>
      </c>
      <c r="AB66" s="254">
        <v>0</v>
      </c>
      <c r="AC66" s="255">
        <v>3642.89</v>
      </c>
      <c r="AD66" s="254">
        <v>20990</v>
      </c>
      <c r="AE66" t="s">
        <v>1676</v>
      </c>
    </row>
    <row r="67" spans="1:31" hidden="1" x14ac:dyDescent="0.25">
      <c r="A67" s="238" t="s">
        <v>739</v>
      </c>
      <c r="B67" s="238" t="s">
        <v>1670</v>
      </c>
      <c r="C67" s="256">
        <v>3</v>
      </c>
      <c r="D67" s="256">
        <v>149</v>
      </c>
      <c r="E67" s="256">
        <v>149</v>
      </c>
      <c r="F67" s="256">
        <v>75412711422997</v>
      </c>
      <c r="G67" s="238" t="s">
        <v>0</v>
      </c>
      <c r="H67" s="256">
        <v>27160577652</v>
      </c>
      <c r="I67" s="238" t="s">
        <v>1701</v>
      </c>
      <c r="J67" s="238" t="s">
        <v>0</v>
      </c>
      <c r="K67" s="256">
        <v>30710473168</v>
      </c>
      <c r="L67" s="256">
        <v>1</v>
      </c>
      <c r="M67" s="238" t="s">
        <v>1672</v>
      </c>
      <c r="N67" s="238"/>
      <c r="O67" s="238"/>
      <c r="P67" s="238"/>
      <c r="Q67" s="238"/>
      <c r="R67" s="238"/>
      <c r="S67" s="238"/>
      <c r="T67" s="238"/>
      <c r="U67" s="259">
        <v>31433.01</v>
      </c>
      <c r="V67" s="256">
        <v>149681</v>
      </c>
      <c r="W67" s="238"/>
      <c r="X67" s="238"/>
      <c r="Y67" s="256">
        <v>149681</v>
      </c>
      <c r="Z67" s="256">
        <v>0</v>
      </c>
      <c r="AA67" s="256">
        <v>0</v>
      </c>
      <c r="AB67" s="256">
        <v>0</v>
      </c>
      <c r="AC67" s="259">
        <v>31433.01</v>
      </c>
      <c r="AD67" s="259">
        <v>181114.01</v>
      </c>
      <c r="AE67" t="s">
        <v>1676</v>
      </c>
    </row>
    <row r="68" spans="1:31" hidden="1" x14ac:dyDescent="0.25">
      <c r="A68" s="245" t="s">
        <v>756</v>
      </c>
      <c r="B68" s="245" t="s">
        <v>1670</v>
      </c>
      <c r="C68" s="254">
        <v>2</v>
      </c>
      <c r="D68" s="254">
        <v>12960</v>
      </c>
      <c r="E68" s="254">
        <v>12960</v>
      </c>
      <c r="F68" s="254">
        <v>75412840648970</v>
      </c>
      <c r="G68" s="245" t="s">
        <v>0</v>
      </c>
      <c r="H68" s="254">
        <v>30714331082</v>
      </c>
      <c r="I68" s="245" t="s">
        <v>1702</v>
      </c>
      <c r="J68" s="245" t="s">
        <v>0</v>
      </c>
      <c r="K68" s="254">
        <v>30710473168</v>
      </c>
      <c r="L68" s="254">
        <v>1</v>
      </c>
      <c r="M68" s="245" t="s">
        <v>1672</v>
      </c>
      <c r="N68" s="245"/>
      <c r="O68" s="245"/>
      <c r="P68" s="245"/>
      <c r="Q68" s="245"/>
      <c r="R68" s="245"/>
      <c r="S68" s="245"/>
      <c r="T68" s="245"/>
      <c r="U68" s="255">
        <v>9693.43</v>
      </c>
      <c r="V68" s="255">
        <v>46159.19</v>
      </c>
      <c r="W68" s="245"/>
      <c r="X68" s="245"/>
      <c r="Y68" s="255">
        <v>46159.19</v>
      </c>
      <c r="Z68" s="254">
        <v>0</v>
      </c>
      <c r="AA68" s="254">
        <v>0</v>
      </c>
      <c r="AB68" s="254">
        <v>0</v>
      </c>
      <c r="AC68" s="255">
        <v>9693.43</v>
      </c>
      <c r="AD68" s="255">
        <v>55852.62</v>
      </c>
    </row>
    <row r="69" spans="1:31" hidden="1" x14ac:dyDescent="0.25">
      <c r="A69" s="245" t="s">
        <v>756</v>
      </c>
      <c r="B69" s="245" t="s">
        <v>1670</v>
      </c>
      <c r="C69" s="254">
        <v>104</v>
      </c>
      <c r="D69" s="254">
        <v>10864512</v>
      </c>
      <c r="E69" s="254">
        <v>10864512</v>
      </c>
      <c r="F69" s="254">
        <v>75412938430375</v>
      </c>
      <c r="G69" s="245" t="s">
        <v>0</v>
      </c>
      <c r="H69" s="254">
        <v>30715804812</v>
      </c>
      <c r="I69" s="245" t="s">
        <v>1696</v>
      </c>
      <c r="J69" s="245" t="s">
        <v>0</v>
      </c>
      <c r="K69" s="254">
        <v>30710473168</v>
      </c>
      <c r="L69" s="254">
        <v>1</v>
      </c>
      <c r="M69" s="245" t="s">
        <v>1672</v>
      </c>
      <c r="N69" s="245"/>
      <c r="O69" s="245"/>
      <c r="P69" s="245"/>
      <c r="Q69" s="245"/>
      <c r="R69" s="245"/>
      <c r="S69" s="245"/>
      <c r="T69" s="245"/>
      <c r="U69" s="255">
        <v>873.58</v>
      </c>
      <c r="V69" s="257">
        <v>4159.9399999999996</v>
      </c>
      <c r="W69" s="245"/>
      <c r="X69" s="245"/>
      <c r="Y69" s="255">
        <v>4159.9399999999996</v>
      </c>
      <c r="Z69" s="254">
        <v>0</v>
      </c>
      <c r="AA69" s="254">
        <v>0</v>
      </c>
      <c r="AB69" s="245">
        <v>166.4</v>
      </c>
      <c r="AC69" s="255">
        <v>873.58</v>
      </c>
      <c r="AD69" s="255">
        <v>5199.92</v>
      </c>
      <c r="AE69" s="258" t="s">
        <v>1676</v>
      </c>
    </row>
    <row r="70" spans="1:31" hidden="1" x14ac:dyDescent="0.25">
      <c r="A70" s="238" t="s">
        <v>756</v>
      </c>
      <c r="B70" s="238" t="s">
        <v>1670</v>
      </c>
      <c r="C70" s="256">
        <v>5</v>
      </c>
      <c r="D70" s="256">
        <v>6507</v>
      </c>
      <c r="E70" s="256">
        <v>6507</v>
      </c>
      <c r="F70" s="256">
        <v>75413860583282</v>
      </c>
      <c r="G70" s="238" t="s">
        <v>0</v>
      </c>
      <c r="H70" s="256">
        <v>30715833243</v>
      </c>
      <c r="I70" s="238" t="s">
        <v>1703</v>
      </c>
      <c r="J70" s="238" t="s">
        <v>0</v>
      </c>
      <c r="K70" s="256">
        <v>30710473168</v>
      </c>
      <c r="L70" s="256">
        <v>1</v>
      </c>
      <c r="M70" s="238" t="s">
        <v>1672</v>
      </c>
      <c r="N70" s="238"/>
      <c r="O70" s="238"/>
      <c r="P70" s="238"/>
      <c r="Q70" s="238"/>
      <c r="R70" s="238"/>
      <c r="S70" s="238"/>
      <c r="T70" s="238"/>
      <c r="U70" s="259">
        <v>79385.25</v>
      </c>
      <c r="V70" s="256">
        <v>378025</v>
      </c>
      <c r="W70" s="238"/>
      <c r="X70" s="238"/>
      <c r="Y70" s="256">
        <v>378025</v>
      </c>
      <c r="Z70" s="256">
        <v>0</v>
      </c>
      <c r="AA70" s="256">
        <v>0</v>
      </c>
      <c r="AB70" s="256">
        <v>0</v>
      </c>
      <c r="AC70" s="259">
        <v>79385.25</v>
      </c>
      <c r="AD70" s="259">
        <v>457410.25</v>
      </c>
    </row>
    <row r="71" spans="1:31" hidden="1" x14ac:dyDescent="0.25">
      <c r="A71" s="238" t="s">
        <v>756</v>
      </c>
      <c r="B71" s="238" t="s">
        <v>1670</v>
      </c>
      <c r="C71" s="256">
        <v>7</v>
      </c>
      <c r="D71" s="256">
        <v>22647</v>
      </c>
      <c r="E71" s="256">
        <v>22647</v>
      </c>
      <c r="F71" s="256">
        <v>75418838773231</v>
      </c>
      <c r="G71" s="238" t="s">
        <v>0</v>
      </c>
      <c r="H71" s="256">
        <v>30709214078</v>
      </c>
      <c r="I71" s="238" t="s">
        <v>1587</v>
      </c>
      <c r="J71" s="238" t="s">
        <v>0</v>
      </c>
      <c r="K71" s="256">
        <v>30710473168</v>
      </c>
      <c r="L71" s="256">
        <v>1</v>
      </c>
      <c r="M71" s="238" t="s">
        <v>1672</v>
      </c>
      <c r="N71" s="238"/>
      <c r="O71" s="238"/>
      <c r="P71" s="238"/>
      <c r="Q71" s="238"/>
      <c r="R71" s="238"/>
      <c r="S71" s="238">
        <v>33133.800000000003</v>
      </c>
      <c r="T71" s="256">
        <v>315560</v>
      </c>
      <c r="U71" s="238"/>
      <c r="V71" s="238"/>
      <c r="W71" s="238"/>
      <c r="X71" s="238"/>
      <c r="Y71" s="256">
        <v>315560</v>
      </c>
      <c r="Z71" s="256">
        <v>0</v>
      </c>
      <c r="AA71" s="256">
        <v>0</v>
      </c>
      <c r="AB71" s="256">
        <v>0</v>
      </c>
      <c r="AC71" s="238">
        <v>33133.800000000003</v>
      </c>
      <c r="AD71" s="238">
        <v>348693.8</v>
      </c>
    </row>
    <row r="72" spans="1:31" hidden="1" x14ac:dyDescent="0.25">
      <c r="A72" s="245" t="s">
        <v>756</v>
      </c>
      <c r="B72" s="245" t="s">
        <v>1670</v>
      </c>
      <c r="C72" s="254">
        <v>2059</v>
      </c>
      <c r="D72" s="254">
        <v>34334</v>
      </c>
      <c r="E72" s="254">
        <v>34334</v>
      </c>
      <c r="F72" s="254">
        <v>75416897570101</v>
      </c>
      <c r="G72" s="245" t="s">
        <v>0</v>
      </c>
      <c r="H72" s="254">
        <v>30548083156</v>
      </c>
      <c r="I72" s="245" t="s">
        <v>1673</v>
      </c>
      <c r="J72" s="245" t="s">
        <v>0</v>
      </c>
      <c r="K72" s="254">
        <v>30710473168</v>
      </c>
      <c r="L72" s="254">
        <v>1</v>
      </c>
      <c r="M72" s="245" t="s">
        <v>1672</v>
      </c>
      <c r="N72" s="245"/>
      <c r="O72" s="245"/>
      <c r="P72" s="245"/>
      <c r="Q72" s="245"/>
      <c r="R72" s="245"/>
      <c r="S72" s="245"/>
      <c r="T72" s="245"/>
      <c r="U72" s="255">
        <v>2506.0300000000002</v>
      </c>
      <c r="V72" s="255">
        <v>11933.46</v>
      </c>
      <c r="W72" s="245"/>
      <c r="X72" s="245"/>
      <c r="Y72" s="255">
        <v>11933.46</v>
      </c>
      <c r="Z72" s="254">
        <v>0</v>
      </c>
      <c r="AA72" s="254">
        <v>0</v>
      </c>
      <c r="AB72" s="255">
        <v>835.34</v>
      </c>
      <c r="AC72" s="255">
        <v>2506.0300000000002</v>
      </c>
      <c r="AD72" s="255">
        <v>15274.83</v>
      </c>
    </row>
    <row r="73" spans="1:31" hidden="1" x14ac:dyDescent="0.25">
      <c r="A73" s="238" t="s">
        <v>756</v>
      </c>
      <c r="B73" s="238" t="s">
        <v>1670</v>
      </c>
      <c r="C73" s="256">
        <v>5</v>
      </c>
      <c r="D73" s="256">
        <v>6509</v>
      </c>
      <c r="E73" s="256">
        <v>6509</v>
      </c>
      <c r="F73" s="256">
        <v>75413867140825</v>
      </c>
      <c r="G73" s="238" t="s">
        <v>0</v>
      </c>
      <c r="H73" s="256">
        <v>30715833243</v>
      </c>
      <c r="I73" s="238" t="s">
        <v>1703</v>
      </c>
      <c r="J73" s="238" t="s">
        <v>0</v>
      </c>
      <c r="K73" s="256">
        <v>30710473168</v>
      </c>
      <c r="L73" s="256">
        <v>1</v>
      </c>
      <c r="M73" s="238" t="s">
        <v>1672</v>
      </c>
      <c r="N73" s="238"/>
      <c r="O73" s="238"/>
      <c r="P73" s="238"/>
      <c r="Q73" s="238"/>
      <c r="R73" s="238"/>
      <c r="S73" s="238"/>
      <c r="T73" s="238"/>
      <c r="U73" s="259">
        <v>24195.15</v>
      </c>
      <c r="V73" s="256">
        <v>115215</v>
      </c>
      <c r="W73" s="238"/>
      <c r="X73" s="238"/>
      <c r="Y73" s="256">
        <v>115215</v>
      </c>
      <c r="Z73" s="256">
        <v>0</v>
      </c>
      <c r="AA73" s="256">
        <v>0</v>
      </c>
      <c r="AB73" s="256">
        <v>0</v>
      </c>
      <c r="AC73" s="259">
        <v>24195.15</v>
      </c>
      <c r="AD73" s="259">
        <v>139410.15</v>
      </c>
    </row>
    <row r="74" spans="1:31" hidden="1" x14ac:dyDescent="0.25">
      <c r="A74" s="245" t="s">
        <v>756</v>
      </c>
      <c r="B74" s="245" t="s">
        <v>1670</v>
      </c>
      <c r="C74" s="254">
        <v>104</v>
      </c>
      <c r="D74" s="254">
        <v>10907502</v>
      </c>
      <c r="E74" s="254">
        <v>10907502</v>
      </c>
      <c r="F74" s="254">
        <v>75412951609330</v>
      </c>
      <c r="G74" s="245" t="s">
        <v>0</v>
      </c>
      <c r="H74" s="254">
        <v>30715804812</v>
      </c>
      <c r="I74" s="245" t="s">
        <v>1696</v>
      </c>
      <c r="J74" s="245" t="s">
        <v>0</v>
      </c>
      <c r="K74" s="254">
        <v>30710473168</v>
      </c>
      <c r="L74" s="254">
        <v>1</v>
      </c>
      <c r="M74" s="245" t="s">
        <v>1672</v>
      </c>
      <c r="N74" s="245"/>
      <c r="O74" s="245"/>
      <c r="P74" s="245"/>
      <c r="Q74" s="245"/>
      <c r="R74" s="245"/>
      <c r="S74" s="245"/>
      <c r="T74" s="245"/>
      <c r="U74" s="255">
        <v>436.79</v>
      </c>
      <c r="V74" s="257">
        <v>2079.9699999999998</v>
      </c>
      <c r="W74" s="245"/>
      <c r="X74" s="245"/>
      <c r="Y74" s="255">
        <v>2079.9699999999998</v>
      </c>
      <c r="Z74" s="254">
        <v>0</v>
      </c>
      <c r="AA74" s="254">
        <v>0</v>
      </c>
      <c r="AB74" s="245">
        <v>83.2</v>
      </c>
      <c r="AC74" s="255">
        <v>436.79</v>
      </c>
      <c r="AD74" s="255">
        <v>2599.96</v>
      </c>
      <c r="AE74" s="258" t="s">
        <v>1676</v>
      </c>
    </row>
    <row r="75" spans="1:31" hidden="1" x14ac:dyDescent="0.25">
      <c r="A75" s="238" t="s">
        <v>756</v>
      </c>
      <c r="B75" s="238" t="s">
        <v>1670</v>
      </c>
      <c r="C75" s="256">
        <v>6</v>
      </c>
      <c r="D75" s="256">
        <v>59344</v>
      </c>
      <c r="E75" s="256">
        <v>59344</v>
      </c>
      <c r="F75" s="256">
        <v>75418898964636</v>
      </c>
      <c r="G75" s="238" t="s">
        <v>0</v>
      </c>
      <c r="H75" s="256">
        <v>30710177658</v>
      </c>
      <c r="I75" s="238" t="s">
        <v>1704</v>
      </c>
      <c r="J75" s="238" t="s">
        <v>0</v>
      </c>
      <c r="K75" s="256">
        <v>30710473168</v>
      </c>
      <c r="L75" s="256">
        <v>1</v>
      </c>
      <c r="M75" s="238" t="s">
        <v>1672</v>
      </c>
      <c r="N75" s="238"/>
      <c r="O75" s="238"/>
      <c r="P75" s="238"/>
      <c r="Q75" s="238"/>
      <c r="R75" s="238"/>
      <c r="S75" s="238"/>
      <c r="T75" s="238"/>
      <c r="U75" s="259">
        <v>174709.92</v>
      </c>
      <c r="V75" s="256">
        <v>831952</v>
      </c>
      <c r="W75" s="238"/>
      <c r="X75" s="238"/>
      <c r="Y75" s="256">
        <v>831952</v>
      </c>
      <c r="Z75" s="256">
        <v>0</v>
      </c>
      <c r="AA75" s="256">
        <v>0</v>
      </c>
      <c r="AB75" s="259">
        <v>33278.080000000002</v>
      </c>
      <c r="AC75" s="259">
        <v>174709.92</v>
      </c>
      <c r="AD75" s="256">
        <v>1039940</v>
      </c>
    </row>
    <row r="76" spans="1:31" hidden="1" x14ac:dyDescent="0.25">
      <c r="A76" s="245" t="s">
        <v>756</v>
      </c>
      <c r="B76" s="245" t="s">
        <v>1679</v>
      </c>
      <c r="C76" s="254">
        <v>1</v>
      </c>
      <c r="D76" s="254">
        <v>1</v>
      </c>
      <c r="E76" s="254">
        <v>1</v>
      </c>
      <c r="F76" s="254">
        <v>75410883457213</v>
      </c>
      <c r="G76" s="245" t="s">
        <v>0</v>
      </c>
      <c r="H76" s="254">
        <v>20421434450</v>
      </c>
      <c r="I76" s="245" t="s">
        <v>1705</v>
      </c>
      <c r="J76" s="245" t="s">
        <v>0</v>
      </c>
      <c r="K76" s="254">
        <v>30710473168</v>
      </c>
      <c r="L76" s="254">
        <v>1</v>
      </c>
      <c r="M76" s="245" t="s">
        <v>1672</v>
      </c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54">
        <v>0</v>
      </c>
      <c r="AC76" s="245"/>
      <c r="AD76" s="254">
        <v>260000</v>
      </c>
    </row>
    <row r="77" spans="1:31" hidden="1" x14ac:dyDescent="0.25">
      <c r="A77" s="238" t="s">
        <v>757</v>
      </c>
      <c r="B77" s="238" t="s">
        <v>1670</v>
      </c>
      <c r="C77" s="256">
        <v>5</v>
      </c>
      <c r="D77" s="256">
        <v>6522</v>
      </c>
      <c r="E77" s="256">
        <v>6522</v>
      </c>
      <c r="F77" s="256">
        <v>75423002311217</v>
      </c>
      <c r="G77" s="238" t="s">
        <v>0</v>
      </c>
      <c r="H77" s="256">
        <v>30715833243</v>
      </c>
      <c r="I77" s="238" t="s">
        <v>1703</v>
      </c>
      <c r="J77" s="238" t="s">
        <v>0</v>
      </c>
      <c r="K77" s="256">
        <v>30710473168</v>
      </c>
      <c r="L77" s="256">
        <v>1</v>
      </c>
      <c r="M77" s="238" t="s">
        <v>1672</v>
      </c>
      <c r="N77" s="238"/>
      <c r="O77" s="238"/>
      <c r="P77" s="238"/>
      <c r="Q77" s="238"/>
      <c r="R77" s="238"/>
      <c r="S77" s="238"/>
      <c r="T77" s="238"/>
      <c r="U77" s="238">
        <v>21621.599999999999</v>
      </c>
      <c r="V77" s="256">
        <v>102960</v>
      </c>
      <c r="W77" s="238"/>
      <c r="X77" s="238"/>
      <c r="Y77" s="256">
        <v>102960</v>
      </c>
      <c r="Z77" s="256">
        <v>0</v>
      </c>
      <c r="AA77" s="256">
        <v>0</v>
      </c>
      <c r="AB77" s="256">
        <v>0</v>
      </c>
      <c r="AC77" s="238">
        <v>21621.599999999999</v>
      </c>
      <c r="AD77" s="238">
        <v>124581.6</v>
      </c>
    </row>
    <row r="78" spans="1:31" hidden="1" x14ac:dyDescent="0.25">
      <c r="A78" s="238" t="s">
        <v>757</v>
      </c>
      <c r="B78" s="238" t="s">
        <v>1670</v>
      </c>
      <c r="C78" s="256">
        <v>5</v>
      </c>
      <c r="D78" s="256">
        <v>6523</v>
      </c>
      <c r="E78" s="256">
        <v>6523</v>
      </c>
      <c r="F78" s="256">
        <v>75423008286348</v>
      </c>
      <c r="G78" s="238" t="s">
        <v>0</v>
      </c>
      <c r="H78" s="256">
        <v>30715833243</v>
      </c>
      <c r="I78" s="238" t="s">
        <v>1703</v>
      </c>
      <c r="J78" s="238" t="s">
        <v>0</v>
      </c>
      <c r="K78" s="256">
        <v>30710473168</v>
      </c>
      <c r="L78" s="256">
        <v>1</v>
      </c>
      <c r="M78" s="238" t="s">
        <v>1672</v>
      </c>
      <c r="N78" s="238"/>
      <c r="O78" s="238"/>
      <c r="P78" s="238"/>
      <c r="Q78" s="238"/>
      <c r="R78" s="238"/>
      <c r="S78" s="238"/>
      <c r="T78" s="238"/>
      <c r="U78" s="259">
        <v>7068.76</v>
      </c>
      <c r="V78" s="259">
        <v>33660.78</v>
      </c>
      <c r="W78" s="238"/>
      <c r="X78" s="238"/>
      <c r="Y78" s="259">
        <v>33660.78</v>
      </c>
      <c r="Z78" s="256">
        <v>0</v>
      </c>
      <c r="AA78" s="256">
        <v>0</v>
      </c>
      <c r="AB78" s="256">
        <v>0</v>
      </c>
      <c r="AC78" s="259">
        <v>7068.76</v>
      </c>
      <c r="AD78" s="259">
        <v>40729.54</v>
      </c>
    </row>
    <row r="79" spans="1:31" hidden="1" x14ac:dyDescent="0.25">
      <c r="A79" s="238" t="s">
        <v>757</v>
      </c>
      <c r="B79" s="238" t="s">
        <v>1670</v>
      </c>
      <c r="C79" s="256">
        <v>2031</v>
      </c>
      <c r="D79" s="256">
        <v>230808</v>
      </c>
      <c r="E79" s="256">
        <v>230808</v>
      </c>
      <c r="F79" s="256">
        <v>75420966246058</v>
      </c>
      <c r="G79" s="238" t="s">
        <v>0</v>
      </c>
      <c r="H79" s="256">
        <v>30516186670</v>
      </c>
      <c r="I79" s="238" t="s">
        <v>1388</v>
      </c>
      <c r="J79" s="238" t="s">
        <v>0</v>
      </c>
      <c r="K79" s="256">
        <v>30710473168</v>
      </c>
      <c r="L79" s="256">
        <v>1</v>
      </c>
      <c r="M79" s="238" t="s">
        <v>1672</v>
      </c>
      <c r="N79" s="238"/>
      <c r="O79" s="238"/>
      <c r="P79" s="238"/>
      <c r="Q79" s="238"/>
      <c r="R79" s="238"/>
      <c r="S79" s="238"/>
      <c r="T79" s="238"/>
      <c r="U79" s="259">
        <v>10759.37</v>
      </c>
      <c r="V79" s="238">
        <v>51235.1</v>
      </c>
      <c r="W79" s="238"/>
      <c r="X79" s="238"/>
      <c r="Y79" s="238">
        <v>51235.1</v>
      </c>
      <c r="Z79" s="256">
        <v>0</v>
      </c>
      <c r="AA79" s="256">
        <v>0</v>
      </c>
      <c r="AB79" s="259">
        <v>16073.15</v>
      </c>
      <c r="AC79" s="259">
        <v>10759.37</v>
      </c>
      <c r="AD79" s="259">
        <v>78067.62</v>
      </c>
    </row>
    <row r="80" spans="1:31" hidden="1" x14ac:dyDescent="0.25">
      <c r="A80" s="238" t="s">
        <v>757</v>
      </c>
      <c r="B80" s="238" t="s">
        <v>1670</v>
      </c>
      <c r="C80" s="256">
        <v>7</v>
      </c>
      <c r="D80" s="256">
        <v>22677</v>
      </c>
      <c r="E80" s="256">
        <v>22677</v>
      </c>
      <c r="F80" s="256">
        <v>75428036459085</v>
      </c>
      <c r="G80" s="238" t="s">
        <v>0</v>
      </c>
      <c r="H80" s="256">
        <v>30709214078</v>
      </c>
      <c r="I80" s="238" t="s">
        <v>1587</v>
      </c>
      <c r="J80" s="238" t="s">
        <v>0</v>
      </c>
      <c r="K80" s="256">
        <v>30710473168</v>
      </c>
      <c r="L80" s="256">
        <v>1</v>
      </c>
      <c r="M80" s="238" t="s">
        <v>1672</v>
      </c>
      <c r="N80" s="238"/>
      <c r="O80" s="238"/>
      <c r="P80" s="238"/>
      <c r="Q80" s="238"/>
      <c r="R80" s="238"/>
      <c r="S80" s="238">
        <v>91963.199999999997</v>
      </c>
      <c r="T80" s="256">
        <v>875840</v>
      </c>
      <c r="U80" s="238"/>
      <c r="V80" s="238"/>
      <c r="W80" s="238"/>
      <c r="X80" s="238"/>
      <c r="Y80" s="256">
        <v>875840</v>
      </c>
      <c r="Z80" s="256">
        <v>0</v>
      </c>
      <c r="AA80" s="256">
        <v>0</v>
      </c>
      <c r="AB80" s="256">
        <v>0</v>
      </c>
      <c r="AC80" s="238">
        <v>91963.199999999997</v>
      </c>
      <c r="AD80" s="238">
        <v>967803.2</v>
      </c>
    </row>
    <row r="81" spans="1:31" hidden="1" x14ac:dyDescent="0.25">
      <c r="A81" s="245" t="s">
        <v>758</v>
      </c>
      <c r="B81" s="245" t="s">
        <v>1670</v>
      </c>
      <c r="C81" s="254">
        <v>711</v>
      </c>
      <c r="D81" s="254">
        <v>7729611</v>
      </c>
      <c r="E81" s="254">
        <v>7729611</v>
      </c>
      <c r="F81" s="254">
        <v>35419067819498</v>
      </c>
      <c r="G81" s="245" t="s">
        <v>0</v>
      </c>
      <c r="H81" s="254">
        <v>30677237119</v>
      </c>
      <c r="I81" s="245" t="s">
        <v>584</v>
      </c>
      <c r="J81" s="245" t="s">
        <v>0</v>
      </c>
      <c r="K81" s="254">
        <v>30710473168</v>
      </c>
      <c r="L81" s="254">
        <v>1</v>
      </c>
      <c r="M81" s="245" t="s">
        <v>1672</v>
      </c>
      <c r="N81" s="245"/>
      <c r="O81" s="245"/>
      <c r="P81" s="245"/>
      <c r="Q81" s="245"/>
      <c r="R81" s="245"/>
      <c r="S81" s="245"/>
      <c r="T81" s="245"/>
      <c r="U81" s="255">
        <v>1286.1099999999999</v>
      </c>
      <c r="V81" s="255">
        <v>6124.31</v>
      </c>
      <c r="W81" s="245"/>
      <c r="X81" s="245"/>
      <c r="Y81" s="255">
        <v>6124.31</v>
      </c>
      <c r="Z81" s="254">
        <v>0</v>
      </c>
      <c r="AA81" s="255">
        <v>183.73</v>
      </c>
      <c r="AB81" s="255">
        <v>244.97</v>
      </c>
      <c r="AC81" s="255">
        <v>1286.1099999999999</v>
      </c>
      <c r="AD81" s="255">
        <v>7839.12</v>
      </c>
    </row>
    <row r="82" spans="1:31" hidden="1" x14ac:dyDescent="0.25">
      <c r="A82" s="245" t="s">
        <v>735</v>
      </c>
      <c r="B82" s="245" t="s">
        <v>1670</v>
      </c>
      <c r="C82" s="254">
        <v>5015</v>
      </c>
      <c r="D82" s="254">
        <v>1018189</v>
      </c>
      <c r="E82" s="254">
        <v>1018189</v>
      </c>
      <c r="F82" s="254">
        <v>75414111787024</v>
      </c>
      <c r="G82" s="245" t="s">
        <v>0</v>
      </c>
      <c r="H82" s="254">
        <v>30574876474</v>
      </c>
      <c r="I82" s="245" t="s">
        <v>1706</v>
      </c>
      <c r="J82" s="245" t="s">
        <v>0</v>
      </c>
      <c r="K82" s="254">
        <v>30710473168</v>
      </c>
      <c r="L82" s="254">
        <v>1</v>
      </c>
      <c r="M82" s="245" t="s">
        <v>1672</v>
      </c>
      <c r="N82" s="245">
        <v>0.2</v>
      </c>
      <c r="O82" s="245"/>
      <c r="P82" s="245"/>
      <c r="Q82" s="245"/>
      <c r="R82" s="245"/>
      <c r="S82" s="245"/>
      <c r="T82" s="245"/>
      <c r="U82" s="255">
        <v>7536.02</v>
      </c>
      <c r="V82" s="255">
        <v>35885.79</v>
      </c>
      <c r="W82" s="245"/>
      <c r="X82" s="245"/>
      <c r="Y82" s="255">
        <v>35885.99</v>
      </c>
      <c r="Z82" s="254">
        <v>0</v>
      </c>
      <c r="AA82" s="254">
        <v>0</v>
      </c>
      <c r="AB82" s="255">
        <v>4665.16</v>
      </c>
      <c r="AC82" s="255">
        <v>7536.02</v>
      </c>
      <c r="AD82" s="255">
        <v>48087.17</v>
      </c>
    </row>
    <row r="83" spans="1:31" hidden="1" x14ac:dyDescent="0.25">
      <c r="A83" s="245" t="s">
        <v>757</v>
      </c>
      <c r="B83" s="245" t="s">
        <v>1670</v>
      </c>
      <c r="C83" s="254">
        <v>5015</v>
      </c>
      <c r="D83" s="254">
        <v>1027855</v>
      </c>
      <c r="E83" s="254">
        <v>1027855</v>
      </c>
      <c r="F83" s="254">
        <v>75424112493005</v>
      </c>
      <c r="G83" s="245" t="s">
        <v>0</v>
      </c>
      <c r="H83" s="254">
        <v>30574876474</v>
      </c>
      <c r="I83" s="245" t="s">
        <v>1706</v>
      </c>
      <c r="J83" s="245" t="s">
        <v>0</v>
      </c>
      <c r="K83" s="254">
        <v>30710473168</v>
      </c>
      <c r="L83" s="254">
        <v>1</v>
      </c>
      <c r="M83" s="245" t="s">
        <v>1672</v>
      </c>
      <c r="N83" s="255">
        <v>0.09</v>
      </c>
      <c r="O83" s="245"/>
      <c r="P83" s="245"/>
      <c r="Q83" s="245"/>
      <c r="R83" s="245"/>
      <c r="S83" s="245"/>
      <c r="T83" s="245"/>
      <c r="U83" s="245">
        <v>3922.3</v>
      </c>
      <c r="V83" s="245">
        <v>18677.599999999999</v>
      </c>
      <c r="W83" s="245"/>
      <c r="X83" s="245"/>
      <c r="Y83" s="255">
        <v>18677.689999999999</v>
      </c>
      <c r="Z83" s="254">
        <v>0</v>
      </c>
      <c r="AA83" s="254">
        <v>0</v>
      </c>
      <c r="AB83" s="255">
        <v>2428.09</v>
      </c>
      <c r="AC83" s="245">
        <v>3922.3</v>
      </c>
      <c r="AD83" s="255">
        <v>25028.080000000002</v>
      </c>
    </row>
    <row r="84" spans="1:31" hidden="1" x14ac:dyDescent="0.25">
      <c r="A84" s="245" t="s">
        <v>757</v>
      </c>
      <c r="B84" s="245" t="s">
        <v>1670</v>
      </c>
      <c r="C84" s="254">
        <v>6</v>
      </c>
      <c r="D84" s="254">
        <v>127</v>
      </c>
      <c r="E84" s="254">
        <v>127</v>
      </c>
      <c r="F84" s="254">
        <v>75426020272672</v>
      </c>
      <c r="G84" s="245" t="s">
        <v>0</v>
      </c>
      <c r="H84" s="254">
        <v>30711610096</v>
      </c>
      <c r="I84" s="245" t="s">
        <v>1697</v>
      </c>
      <c r="J84" s="245" t="s">
        <v>0</v>
      </c>
      <c r="K84" s="254">
        <v>30710473168</v>
      </c>
      <c r="L84" s="254">
        <v>1</v>
      </c>
      <c r="M84" s="245" t="s">
        <v>1672</v>
      </c>
      <c r="N84" s="245"/>
      <c r="O84" s="245"/>
      <c r="P84" s="245"/>
      <c r="Q84" s="245"/>
      <c r="R84" s="245"/>
      <c r="S84" s="245"/>
      <c r="T84" s="245"/>
      <c r="U84" s="254">
        <v>151200</v>
      </c>
      <c r="V84" s="254">
        <v>720000</v>
      </c>
      <c r="W84" s="245"/>
      <c r="X84" s="245"/>
      <c r="Y84" s="254">
        <v>720000</v>
      </c>
      <c r="Z84" s="254">
        <v>0</v>
      </c>
      <c r="AA84" s="254">
        <v>0</v>
      </c>
      <c r="AB84" s="254">
        <v>0</v>
      </c>
      <c r="AC84" s="254">
        <v>151200</v>
      </c>
      <c r="AD84" s="254">
        <v>871200</v>
      </c>
    </row>
    <row r="85" spans="1:31" hidden="1" x14ac:dyDescent="0.25">
      <c r="A85" s="238" t="s">
        <v>757</v>
      </c>
      <c r="B85" s="238" t="s">
        <v>1670</v>
      </c>
      <c r="C85" s="256">
        <v>3</v>
      </c>
      <c r="D85" s="256">
        <v>7009</v>
      </c>
      <c r="E85" s="256">
        <v>7009</v>
      </c>
      <c r="F85" s="256">
        <v>75429006101848</v>
      </c>
      <c r="G85" s="238" t="s">
        <v>0</v>
      </c>
      <c r="H85" s="256">
        <v>30707042679</v>
      </c>
      <c r="I85" s="238" t="s">
        <v>1707</v>
      </c>
      <c r="J85" s="238" t="s">
        <v>0</v>
      </c>
      <c r="K85" s="256">
        <v>30710473168</v>
      </c>
      <c r="L85" s="256">
        <v>1</v>
      </c>
      <c r="M85" s="238" t="s">
        <v>1672</v>
      </c>
      <c r="N85" s="238"/>
      <c r="O85" s="238"/>
      <c r="P85" s="238"/>
      <c r="Q85" s="238"/>
      <c r="R85" s="238"/>
      <c r="S85" s="238"/>
      <c r="T85" s="238"/>
      <c r="U85" s="259">
        <v>336126.84</v>
      </c>
      <c r="V85" s="256">
        <v>1600604</v>
      </c>
      <c r="W85" s="238"/>
      <c r="X85" s="238"/>
      <c r="Y85" s="256">
        <v>1600604</v>
      </c>
      <c r="Z85" s="256">
        <v>0</v>
      </c>
      <c r="AA85" s="256">
        <v>0</v>
      </c>
      <c r="AB85" s="256">
        <v>0</v>
      </c>
      <c r="AC85" s="259">
        <v>336126.84</v>
      </c>
      <c r="AD85" s="259">
        <v>1936730.84</v>
      </c>
    </row>
    <row r="86" spans="1:31" hidden="1" x14ac:dyDescent="0.25">
      <c r="A86" s="245" t="s">
        <v>757</v>
      </c>
      <c r="B86" s="245" t="s">
        <v>1670</v>
      </c>
      <c r="C86" s="254">
        <v>4</v>
      </c>
      <c r="D86" s="254">
        <v>555</v>
      </c>
      <c r="E86" s="254">
        <v>555</v>
      </c>
      <c r="F86" s="254">
        <v>75425969134392</v>
      </c>
      <c r="G86" s="245" t="s">
        <v>0</v>
      </c>
      <c r="H86" s="254">
        <v>20379223185</v>
      </c>
      <c r="I86" s="245" t="s">
        <v>51</v>
      </c>
      <c r="J86" s="245" t="s">
        <v>0</v>
      </c>
      <c r="K86" s="254">
        <v>30710473168</v>
      </c>
      <c r="L86" s="254">
        <v>1</v>
      </c>
      <c r="M86" s="245" t="s">
        <v>1672</v>
      </c>
      <c r="N86" s="245"/>
      <c r="O86" s="245"/>
      <c r="P86" s="245"/>
      <c r="Q86" s="245"/>
      <c r="R86" s="245"/>
      <c r="S86" s="245"/>
      <c r="T86" s="245"/>
      <c r="U86" s="245">
        <v>41892.9</v>
      </c>
      <c r="V86" s="254">
        <v>199490</v>
      </c>
      <c r="W86" s="245"/>
      <c r="X86" s="245"/>
      <c r="Y86" s="254">
        <v>199490</v>
      </c>
      <c r="Z86" s="254">
        <v>0</v>
      </c>
      <c r="AA86" s="254">
        <v>0</v>
      </c>
      <c r="AB86" s="254">
        <v>0</v>
      </c>
      <c r="AC86" s="245">
        <v>41892.9</v>
      </c>
      <c r="AD86" s="245">
        <v>241382.9</v>
      </c>
    </row>
    <row r="87" spans="1:31" hidden="1" x14ac:dyDescent="0.25">
      <c r="A87" s="245" t="s">
        <v>758</v>
      </c>
      <c r="B87" s="245" t="s">
        <v>1670</v>
      </c>
      <c r="C87" s="254">
        <v>2</v>
      </c>
      <c r="D87" s="254">
        <v>1613</v>
      </c>
      <c r="E87" s="254">
        <v>1613</v>
      </c>
      <c r="F87" s="254">
        <v>75429183332107</v>
      </c>
      <c r="G87" s="245" t="s">
        <v>0</v>
      </c>
      <c r="H87" s="254">
        <v>20272865869</v>
      </c>
      <c r="I87" s="245" t="s">
        <v>561</v>
      </c>
      <c r="J87" s="245" t="s">
        <v>0</v>
      </c>
      <c r="K87" s="254">
        <v>30710473168</v>
      </c>
      <c r="L87" s="254">
        <v>1</v>
      </c>
      <c r="M87" s="245" t="s">
        <v>1672</v>
      </c>
      <c r="N87" s="245"/>
      <c r="O87" s="245"/>
      <c r="P87" s="245"/>
      <c r="Q87" s="245"/>
      <c r="R87" s="245"/>
      <c r="S87" s="245"/>
      <c r="T87" s="245"/>
      <c r="U87" s="254">
        <v>32592</v>
      </c>
      <c r="V87" s="254">
        <v>155200</v>
      </c>
      <c r="W87" s="245"/>
      <c r="X87" s="245"/>
      <c r="Y87" s="254">
        <v>155200</v>
      </c>
      <c r="Z87" s="254">
        <v>0</v>
      </c>
      <c r="AA87" s="254">
        <v>0</v>
      </c>
      <c r="AB87" s="254">
        <v>0</v>
      </c>
      <c r="AC87" s="254">
        <v>32592</v>
      </c>
      <c r="AD87" s="254">
        <v>187792</v>
      </c>
    </row>
    <row r="88" spans="1:31" hidden="1" x14ac:dyDescent="0.25">
      <c r="A88" s="238" t="s">
        <v>758</v>
      </c>
      <c r="B88" s="238" t="s">
        <v>1670</v>
      </c>
      <c r="C88" s="256">
        <v>5</v>
      </c>
      <c r="D88" s="256">
        <v>6531</v>
      </c>
      <c r="E88" s="256">
        <v>6531</v>
      </c>
      <c r="F88" s="256">
        <v>75423125367040</v>
      </c>
      <c r="G88" s="238" t="s">
        <v>0</v>
      </c>
      <c r="H88" s="256">
        <v>30715833243</v>
      </c>
      <c r="I88" s="238" t="s">
        <v>1703</v>
      </c>
      <c r="J88" s="238" t="s">
        <v>0</v>
      </c>
      <c r="K88" s="256">
        <v>30710473168</v>
      </c>
      <c r="L88" s="256">
        <v>1</v>
      </c>
      <c r="M88" s="238" t="s">
        <v>1672</v>
      </c>
      <c r="N88" s="238"/>
      <c r="O88" s="238"/>
      <c r="P88" s="238"/>
      <c r="Q88" s="238"/>
      <c r="R88" s="238"/>
      <c r="S88" s="238"/>
      <c r="T88" s="238"/>
      <c r="U88" s="259">
        <v>90768.51</v>
      </c>
      <c r="V88" s="256">
        <v>432231</v>
      </c>
      <c r="W88" s="238"/>
      <c r="X88" s="238"/>
      <c r="Y88" s="256">
        <v>432231</v>
      </c>
      <c r="Z88" s="256">
        <v>0</v>
      </c>
      <c r="AA88" s="256">
        <v>0</v>
      </c>
      <c r="AB88" s="256">
        <v>0</v>
      </c>
      <c r="AC88" s="259">
        <v>90768.51</v>
      </c>
      <c r="AD88" s="259">
        <v>522999.51</v>
      </c>
    </row>
    <row r="89" spans="1:31" hidden="1" x14ac:dyDescent="0.25">
      <c r="A89" s="245" t="s">
        <v>772</v>
      </c>
      <c r="B89" s="245" t="s">
        <v>1670</v>
      </c>
      <c r="C89" s="254">
        <v>5015</v>
      </c>
      <c r="D89" s="254">
        <v>1036311</v>
      </c>
      <c r="E89" s="254">
        <v>1036311</v>
      </c>
      <c r="F89" s="254">
        <v>75434997968381</v>
      </c>
      <c r="G89" s="245" t="s">
        <v>0</v>
      </c>
      <c r="H89" s="254">
        <v>30574876474</v>
      </c>
      <c r="I89" s="245" t="s">
        <v>1706</v>
      </c>
      <c r="J89" s="245" t="s">
        <v>0</v>
      </c>
      <c r="K89" s="254">
        <v>30710473168</v>
      </c>
      <c r="L89" s="254">
        <v>1</v>
      </c>
      <c r="M89" s="245" t="s">
        <v>1672</v>
      </c>
      <c r="N89" s="255">
        <v>0.22</v>
      </c>
      <c r="O89" s="245"/>
      <c r="P89" s="245"/>
      <c r="Q89" s="245"/>
      <c r="R89" s="245"/>
      <c r="S89" s="245"/>
      <c r="T89" s="245"/>
      <c r="U89" s="255">
        <v>7513.12</v>
      </c>
      <c r="V89" s="255">
        <v>35776.78</v>
      </c>
      <c r="W89" s="245"/>
      <c r="X89" s="245"/>
      <c r="Y89" s="254">
        <v>35777</v>
      </c>
      <c r="Z89" s="254">
        <v>0</v>
      </c>
      <c r="AA89" s="254">
        <v>0</v>
      </c>
      <c r="AB89" s="255">
        <v>4650.99</v>
      </c>
      <c r="AC89" s="255">
        <v>7513.12</v>
      </c>
      <c r="AD89" s="255">
        <v>47941.11</v>
      </c>
    </row>
    <row r="90" spans="1:31" hidden="1" x14ac:dyDescent="0.25">
      <c r="A90" s="245" t="s">
        <v>778</v>
      </c>
      <c r="B90" s="245" t="s">
        <v>1670</v>
      </c>
      <c r="C90" s="254">
        <v>5009</v>
      </c>
      <c r="D90" s="254">
        <v>1680484</v>
      </c>
      <c r="E90" s="254">
        <v>1680484</v>
      </c>
      <c r="F90" s="254">
        <v>75444155618397</v>
      </c>
      <c r="G90" s="245" t="s">
        <v>0</v>
      </c>
      <c r="H90" s="254">
        <v>30574876474</v>
      </c>
      <c r="I90" s="245" t="s">
        <v>1706</v>
      </c>
      <c r="J90" s="245" t="s">
        <v>0</v>
      </c>
      <c r="K90" s="254">
        <v>30710473168</v>
      </c>
      <c r="L90" s="254">
        <v>1</v>
      </c>
      <c r="M90" s="245" t="s">
        <v>1672</v>
      </c>
      <c r="N90" s="255">
        <v>0.03</v>
      </c>
      <c r="O90" s="245"/>
      <c r="P90" s="245"/>
      <c r="Q90" s="245"/>
      <c r="R90" s="245"/>
      <c r="S90" s="245"/>
      <c r="T90" s="245"/>
      <c r="U90" s="255">
        <v>1237.1300000000001</v>
      </c>
      <c r="V90" s="257">
        <v>5891.09</v>
      </c>
      <c r="W90" s="245"/>
      <c r="X90" s="245"/>
      <c r="Y90" s="255">
        <v>5891.12</v>
      </c>
      <c r="Z90" s="254">
        <v>0</v>
      </c>
      <c r="AA90" s="254">
        <f>+V90*0.04</f>
        <v>235.64360000000002</v>
      </c>
      <c r="AB90" s="255">
        <v>765.84</v>
      </c>
      <c r="AC90" s="255">
        <v>1237.1300000000001</v>
      </c>
      <c r="AD90" s="255">
        <v>7894.09</v>
      </c>
      <c r="AE90" s="258" t="s">
        <v>1676</v>
      </c>
    </row>
    <row r="91" spans="1:31" hidden="1" x14ac:dyDescent="0.25">
      <c r="A91" s="245" t="s">
        <v>758</v>
      </c>
      <c r="B91" s="245" t="s">
        <v>1679</v>
      </c>
      <c r="C91" s="254">
        <v>2</v>
      </c>
      <c r="D91" s="254">
        <v>651</v>
      </c>
      <c r="E91" s="254">
        <v>651</v>
      </c>
      <c r="F91" s="254">
        <v>75427155899920</v>
      </c>
      <c r="G91" s="245" t="s">
        <v>0</v>
      </c>
      <c r="H91" s="254">
        <v>20247881957</v>
      </c>
      <c r="I91" s="245" t="s">
        <v>1687</v>
      </c>
      <c r="J91" s="245" t="s">
        <v>0</v>
      </c>
      <c r="K91" s="254">
        <v>30710473168</v>
      </c>
      <c r="L91" s="254">
        <v>1</v>
      </c>
      <c r="M91" s="245" t="s">
        <v>1672</v>
      </c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54">
        <v>0</v>
      </c>
      <c r="AC91" s="245"/>
      <c r="AD91" s="254">
        <v>21300</v>
      </c>
    </row>
    <row r="92" spans="1:31" hidden="1" x14ac:dyDescent="0.25">
      <c r="A92" s="245" t="s">
        <v>758</v>
      </c>
      <c r="B92" s="245" t="s">
        <v>1679</v>
      </c>
      <c r="C92" s="254">
        <v>1</v>
      </c>
      <c r="D92" s="254">
        <v>44</v>
      </c>
      <c r="E92" s="254">
        <v>44</v>
      </c>
      <c r="F92" s="254">
        <v>75421150383363</v>
      </c>
      <c r="G92" s="245" t="s">
        <v>0</v>
      </c>
      <c r="H92" s="254">
        <v>20311855671</v>
      </c>
      <c r="I92" s="245" t="s">
        <v>1680</v>
      </c>
      <c r="J92" s="245" t="s">
        <v>0</v>
      </c>
      <c r="K92" s="254">
        <v>30710473168</v>
      </c>
      <c r="L92" s="254">
        <v>1</v>
      </c>
      <c r="M92" s="245" t="s">
        <v>1672</v>
      </c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54">
        <v>0</v>
      </c>
      <c r="AC92" s="245"/>
      <c r="AD92" s="254">
        <v>557300</v>
      </c>
    </row>
    <row r="93" spans="1:31" hidden="1" x14ac:dyDescent="0.25">
      <c r="A93" s="245" t="s">
        <v>758</v>
      </c>
      <c r="B93" s="245" t="s">
        <v>1679</v>
      </c>
      <c r="C93" s="254">
        <v>5</v>
      </c>
      <c r="D93" s="254">
        <v>183</v>
      </c>
      <c r="E93" s="254">
        <v>183</v>
      </c>
      <c r="F93" s="254">
        <v>75429173819933</v>
      </c>
      <c r="G93" s="245" t="s">
        <v>0</v>
      </c>
      <c r="H93" s="254">
        <v>27062343449</v>
      </c>
      <c r="I93" s="245" t="s">
        <v>189</v>
      </c>
      <c r="J93" s="245" t="s">
        <v>0</v>
      </c>
      <c r="K93" s="254">
        <v>30710473168</v>
      </c>
      <c r="L93" s="254">
        <v>1</v>
      </c>
      <c r="M93" s="245" t="s">
        <v>1672</v>
      </c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54">
        <v>0</v>
      </c>
      <c r="AC93" s="245"/>
      <c r="AD93" s="254">
        <v>600000</v>
      </c>
    </row>
    <row r="94" spans="1:31" hidden="1" x14ac:dyDescent="0.25">
      <c r="A94" s="245" t="s">
        <v>758</v>
      </c>
      <c r="B94" s="245" t="s">
        <v>1679</v>
      </c>
      <c r="C94" s="254">
        <v>3</v>
      </c>
      <c r="D94" s="254">
        <v>12</v>
      </c>
      <c r="E94" s="254">
        <v>12</v>
      </c>
      <c r="F94" s="254">
        <v>75420162876634</v>
      </c>
      <c r="G94" s="245" t="s">
        <v>0</v>
      </c>
      <c r="H94" s="254">
        <v>20310489930</v>
      </c>
      <c r="I94" s="245" t="s">
        <v>1708</v>
      </c>
      <c r="J94" s="245" t="s">
        <v>0</v>
      </c>
      <c r="K94" s="254">
        <v>30710473168</v>
      </c>
      <c r="L94" s="254">
        <v>1</v>
      </c>
      <c r="M94" s="245" t="s">
        <v>1672</v>
      </c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54">
        <v>0</v>
      </c>
      <c r="AC94" s="245"/>
      <c r="AD94" s="254">
        <v>922580</v>
      </c>
    </row>
    <row r="95" spans="1:31" hidden="1" x14ac:dyDescent="0.25">
      <c r="A95" s="245" t="s">
        <v>758</v>
      </c>
      <c r="B95" s="245" t="s">
        <v>1679</v>
      </c>
      <c r="C95" s="254">
        <v>5</v>
      </c>
      <c r="D95" s="254">
        <v>184</v>
      </c>
      <c r="E95" s="254">
        <v>184</v>
      </c>
      <c r="F95" s="254">
        <v>75429173906219</v>
      </c>
      <c r="G95" s="245" t="s">
        <v>0</v>
      </c>
      <c r="H95" s="254">
        <v>27062343449</v>
      </c>
      <c r="I95" s="245" t="s">
        <v>189</v>
      </c>
      <c r="J95" s="245" t="s">
        <v>0</v>
      </c>
      <c r="K95" s="254">
        <v>30710473168</v>
      </c>
      <c r="L95" s="254">
        <v>1</v>
      </c>
      <c r="M95" s="245" t="s">
        <v>1672</v>
      </c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54">
        <v>0</v>
      </c>
      <c r="AC95" s="245"/>
      <c r="AD95" s="254">
        <v>700000</v>
      </c>
    </row>
    <row r="96" spans="1:31" hidden="1" x14ac:dyDescent="0.25">
      <c r="A96" s="245" t="s">
        <v>762</v>
      </c>
      <c r="B96" s="245" t="s">
        <v>1670</v>
      </c>
      <c r="C96" s="254">
        <v>4</v>
      </c>
      <c r="D96" s="254">
        <v>88963</v>
      </c>
      <c r="E96" s="254">
        <v>88963</v>
      </c>
      <c r="F96" s="254">
        <v>75426318002119</v>
      </c>
      <c r="G96" s="245" t="s">
        <v>0</v>
      </c>
      <c r="H96" s="254">
        <v>30714749206</v>
      </c>
      <c r="I96" s="245" t="s">
        <v>1370</v>
      </c>
      <c r="J96" s="245" t="s">
        <v>0</v>
      </c>
      <c r="K96" s="254">
        <v>30710473168</v>
      </c>
      <c r="L96" s="254">
        <v>1</v>
      </c>
      <c r="M96" s="245" t="s">
        <v>1672</v>
      </c>
      <c r="N96" s="245"/>
      <c r="O96" s="245"/>
      <c r="P96" s="245"/>
      <c r="Q96" s="245"/>
      <c r="R96" s="245"/>
      <c r="S96" s="245">
        <v>24325.7</v>
      </c>
      <c r="T96" s="245">
        <v>231673.3</v>
      </c>
      <c r="U96" s="255">
        <v>355.17</v>
      </c>
      <c r="V96" s="245">
        <v>1691.3</v>
      </c>
      <c r="W96" s="245"/>
      <c r="X96" s="245"/>
      <c r="Y96" s="245">
        <v>233364.6</v>
      </c>
      <c r="Z96" s="254">
        <v>0</v>
      </c>
      <c r="AA96" s="254">
        <v>0</v>
      </c>
      <c r="AB96" s="254">
        <v>0</v>
      </c>
      <c r="AC96" s="255">
        <v>24680.87</v>
      </c>
      <c r="AD96" s="255">
        <v>258045.47</v>
      </c>
      <c r="AE96" t="s">
        <v>1676</v>
      </c>
    </row>
    <row r="97" spans="1:31" hidden="1" x14ac:dyDescent="0.25">
      <c r="A97" s="238" t="s">
        <v>762</v>
      </c>
      <c r="B97" s="238" t="s">
        <v>1670</v>
      </c>
      <c r="C97" s="256">
        <v>1055</v>
      </c>
      <c r="D97" s="256">
        <v>918</v>
      </c>
      <c r="E97" s="256">
        <v>918</v>
      </c>
      <c r="F97" s="256">
        <v>75421304979446</v>
      </c>
      <c r="G97" s="238" t="s">
        <v>0</v>
      </c>
      <c r="H97" s="256">
        <v>30685849751</v>
      </c>
      <c r="I97" s="238" t="s">
        <v>1451</v>
      </c>
      <c r="J97" s="238" t="s">
        <v>0</v>
      </c>
      <c r="K97" s="256">
        <v>30710473168</v>
      </c>
      <c r="L97" s="256">
        <v>1</v>
      </c>
      <c r="M97" s="238" t="s">
        <v>1672</v>
      </c>
      <c r="N97" s="238"/>
      <c r="O97" s="238"/>
      <c r="P97" s="238"/>
      <c r="Q97" s="238"/>
      <c r="R97" s="238"/>
      <c r="S97" s="238"/>
      <c r="T97" s="238"/>
      <c r="U97" s="259">
        <v>343.64</v>
      </c>
      <c r="V97" s="259">
        <v>1636.36</v>
      </c>
      <c r="W97" s="238"/>
      <c r="X97" s="238"/>
      <c r="Y97" s="259">
        <v>1636.36</v>
      </c>
      <c r="Z97" s="256">
        <v>0</v>
      </c>
      <c r="AA97" s="256">
        <v>0</v>
      </c>
      <c r="AB97" s="256">
        <v>0</v>
      </c>
      <c r="AC97" s="259">
        <v>343.64</v>
      </c>
      <c r="AD97" s="256">
        <v>1980</v>
      </c>
    </row>
    <row r="98" spans="1:31" hidden="1" x14ac:dyDescent="0.25">
      <c r="A98" s="245" t="s">
        <v>762</v>
      </c>
      <c r="B98" s="245" t="s">
        <v>1678</v>
      </c>
      <c r="C98" s="254">
        <v>3</v>
      </c>
      <c r="D98" s="254">
        <v>503</v>
      </c>
      <c r="E98" s="254">
        <v>503</v>
      </c>
      <c r="F98" s="254">
        <v>75429317561410</v>
      </c>
      <c r="G98" s="245" t="s">
        <v>0</v>
      </c>
      <c r="H98" s="254">
        <v>30707042679</v>
      </c>
      <c r="I98" s="245" t="s">
        <v>1707</v>
      </c>
      <c r="J98" s="245" t="s">
        <v>0</v>
      </c>
      <c r="K98" s="254">
        <v>30710473168</v>
      </c>
      <c r="L98" s="254">
        <v>1</v>
      </c>
      <c r="M98" s="245" t="s">
        <v>1672</v>
      </c>
      <c r="N98" s="245"/>
      <c r="O98" s="245"/>
      <c r="P98" s="245"/>
      <c r="Q98" s="245"/>
      <c r="R98" s="245"/>
      <c r="S98" s="245"/>
      <c r="T98" s="245"/>
      <c r="U98" s="255">
        <v>336126.84</v>
      </c>
      <c r="V98" s="254">
        <v>1600604</v>
      </c>
      <c r="W98" s="245"/>
      <c r="X98" s="245"/>
      <c r="Y98" s="254">
        <v>1600604</v>
      </c>
      <c r="Z98" s="254">
        <v>0</v>
      </c>
      <c r="AA98" s="254">
        <v>0</v>
      </c>
      <c r="AB98" s="254">
        <v>0</v>
      </c>
      <c r="AC98" s="255">
        <v>336126.84</v>
      </c>
      <c r="AD98" s="255">
        <v>1936730.84</v>
      </c>
    </row>
    <row r="99" spans="1:31" hidden="1" x14ac:dyDescent="0.25">
      <c r="A99" s="245" t="s">
        <v>762</v>
      </c>
      <c r="B99" s="245" t="s">
        <v>1679</v>
      </c>
      <c r="C99" s="254">
        <v>3</v>
      </c>
      <c r="D99" s="254">
        <v>13</v>
      </c>
      <c r="E99" s="254">
        <v>13</v>
      </c>
      <c r="F99" s="254">
        <v>75420308126642</v>
      </c>
      <c r="G99" s="245" t="s">
        <v>0</v>
      </c>
      <c r="H99" s="254">
        <v>20310489930</v>
      </c>
      <c r="I99" s="245" t="s">
        <v>1708</v>
      </c>
      <c r="J99" s="245" t="s">
        <v>0</v>
      </c>
      <c r="K99" s="254">
        <v>30710473168</v>
      </c>
      <c r="L99" s="254">
        <v>1</v>
      </c>
      <c r="M99" s="245" t="s">
        <v>1672</v>
      </c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54">
        <v>0</v>
      </c>
      <c r="AC99" s="245"/>
      <c r="AD99" s="254">
        <v>500000</v>
      </c>
    </row>
    <row r="100" spans="1:31" hidden="1" x14ac:dyDescent="0.25">
      <c r="A100" s="238" t="s">
        <v>763</v>
      </c>
      <c r="B100" s="238" t="s">
        <v>1670</v>
      </c>
      <c r="C100" s="256">
        <v>5</v>
      </c>
      <c r="D100" s="256">
        <v>67</v>
      </c>
      <c r="E100" s="256">
        <v>67</v>
      </c>
      <c r="F100" s="256">
        <v>75423624068395</v>
      </c>
      <c r="G100" s="238" t="s">
        <v>0</v>
      </c>
      <c r="H100" s="256">
        <v>20929183143</v>
      </c>
      <c r="I100" s="238" t="s">
        <v>300</v>
      </c>
      <c r="J100" s="238" t="s">
        <v>0</v>
      </c>
      <c r="K100" s="256">
        <v>30710473168</v>
      </c>
      <c r="L100" s="256">
        <v>1</v>
      </c>
      <c r="M100" s="238" t="s">
        <v>1672</v>
      </c>
      <c r="N100" s="238"/>
      <c r="O100" s="238"/>
      <c r="P100" s="238"/>
      <c r="Q100" s="238"/>
      <c r="R100" s="238"/>
      <c r="S100" s="238"/>
      <c r="T100" s="238"/>
      <c r="U100" s="256">
        <v>23100</v>
      </c>
      <c r="V100" s="256">
        <v>110000</v>
      </c>
      <c r="W100" s="238"/>
      <c r="X100" s="238"/>
      <c r="Y100" s="256">
        <v>110000</v>
      </c>
      <c r="Z100" s="256">
        <v>0</v>
      </c>
      <c r="AA100" s="256">
        <v>0</v>
      </c>
      <c r="AB100" s="256">
        <v>0</v>
      </c>
      <c r="AC100" s="256">
        <v>23100</v>
      </c>
      <c r="AD100" s="256">
        <v>133100</v>
      </c>
    </row>
    <row r="101" spans="1:31" hidden="1" x14ac:dyDescent="0.25">
      <c r="A101" s="245" t="s">
        <v>763</v>
      </c>
      <c r="B101" s="245" t="s">
        <v>1679</v>
      </c>
      <c r="C101" s="254">
        <v>2</v>
      </c>
      <c r="D101" s="254">
        <v>14</v>
      </c>
      <c r="E101" s="254">
        <v>14</v>
      </c>
      <c r="F101" s="254">
        <v>75421570215782</v>
      </c>
      <c r="G101" s="245" t="s">
        <v>0</v>
      </c>
      <c r="H101" s="254">
        <v>27344304551</v>
      </c>
      <c r="I101" s="245" t="s">
        <v>1709</v>
      </c>
      <c r="J101" s="245" t="s">
        <v>0</v>
      </c>
      <c r="K101" s="254">
        <v>30710473168</v>
      </c>
      <c r="L101" s="254">
        <v>1</v>
      </c>
      <c r="M101" s="245" t="s">
        <v>1672</v>
      </c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54">
        <v>0</v>
      </c>
      <c r="AC101" s="245"/>
      <c r="AD101" s="254">
        <v>600000</v>
      </c>
    </row>
    <row r="102" spans="1:31" hidden="1" x14ac:dyDescent="0.25">
      <c r="A102" s="245" t="s">
        <v>763</v>
      </c>
      <c r="B102" s="245" t="s">
        <v>1679</v>
      </c>
      <c r="C102" s="254">
        <v>2001</v>
      </c>
      <c r="D102" s="254">
        <v>971</v>
      </c>
      <c r="E102" s="254">
        <v>971</v>
      </c>
      <c r="F102" s="254">
        <v>75428615213447</v>
      </c>
      <c r="G102" s="245" t="s">
        <v>0</v>
      </c>
      <c r="H102" s="254">
        <v>27167641798</v>
      </c>
      <c r="I102" s="245" t="s">
        <v>1710</v>
      </c>
      <c r="J102" s="245" t="s">
        <v>0</v>
      </c>
      <c r="K102" s="254">
        <v>30710473168</v>
      </c>
      <c r="L102" s="254">
        <v>1</v>
      </c>
      <c r="M102" s="245" t="s">
        <v>1672</v>
      </c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54">
        <v>0</v>
      </c>
      <c r="AC102" s="245"/>
      <c r="AD102" s="254">
        <v>170000</v>
      </c>
    </row>
    <row r="103" spans="1:31" hidden="1" x14ac:dyDescent="0.25">
      <c r="A103" s="245" t="s">
        <v>763</v>
      </c>
      <c r="B103" s="245" t="s">
        <v>1679</v>
      </c>
      <c r="C103" s="254">
        <v>1</v>
      </c>
      <c r="D103" s="254">
        <v>192</v>
      </c>
      <c r="E103" s="254">
        <v>192</v>
      </c>
      <c r="F103" s="254">
        <v>75420661119354</v>
      </c>
      <c r="G103" s="245" t="s">
        <v>0</v>
      </c>
      <c r="H103" s="254">
        <v>27338342840</v>
      </c>
      <c r="I103" s="245" t="s">
        <v>77</v>
      </c>
      <c r="J103" s="245" t="s">
        <v>0</v>
      </c>
      <c r="K103" s="254">
        <v>30710473168</v>
      </c>
      <c r="L103" s="254">
        <v>1</v>
      </c>
      <c r="M103" s="245" t="s">
        <v>1672</v>
      </c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54">
        <v>0</v>
      </c>
      <c r="AC103" s="245"/>
      <c r="AD103" s="254">
        <v>123000</v>
      </c>
    </row>
    <row r="104" spans="1:31" hidden="1" x14ac:dyDescent="0.25">
      <c r="A104" s="245" t="s">
        <v>763</v>
      </c>
      <c r="B104" s="245" t="s">
        <v>1679</v>
      </c>
      <c r="C104" s="254">
        <v>1</v>
      </c>
      <c r="D104" s="254">
        <v>193</v>
      </c>
      <c r="E104" s="254">
        <v>193</v>
      </c>
      <c r="F104" s="254">
        <v>75420663801786</v>
      </c>
      <c r="G104" s="245" t="s">
        <v>0</v>
      </c>
      <c r="H104" s="254">
        <v>27338342840</v>
      </c>
      <c r="I104" s="245" t="s">
        <v>77</v>
      </c>
      <c r="J104" s="245" t="s">
        <v>0</v>
      </c>
      <c r="K104" s="254">
        <v>30710473168</v>
      </c>
      <c r="L104" s="254">
        <v>1</v>
      </c>
      <c r="M104" s="245" t="s">
        <v>1672</v>
      </c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54">
        <v>0</v>
      </c>
      <c r="AC104" s="245"/>
      <c r="AD104" s="254">
        <v>295000</v>
      </c>
    </row>
    <row r="105" spans="1:31" hidden="1" x14ac:dyDescent="0.25">
      <c r="A105" s="238" t="s">
        <v>764</v>
      </c>
      <c r="B105" s="238" t="s">
        <v>1670</v>
      </c>
      <c r="C105" s="256">
        <v>2036</v>
      </c>
      <c r="D105" s="256">
        <v>88688</v>
      </c>
      <c r="E105" s="256">
        <v>88688</v>
      </c>
      <c r="F105" s="256">
        <v>75420782555758</v>
      </c>
      <c r="G105" s="238" t="s">
        <v>0</v>
      </c>
      <c r="H105" s="256">
        <v>30516186670</v>
      </c>
      <c r="I105" s="238" t="s">
        <v>1388</v>
      </c>
      <c r="J105" s="238" t="s">
        <v>0</v>
      </c>
      <c r="K105" s="256">
        <v>30710473168</v>
      </c>
      <c r="L105" s="256">
        <v>1</v>
      </c>
      <c r="M105" s="238" t="s">
        <v>1672</v>
      </c>
      <c r="N105" s="238"/>
      <c r="O105" s="238"/>
      <c r="P105" s="238"/>
      <c r="Q105" s="238"/>
      <c r="R105" s="238"/>
      <c r="S105" s="238"/>
      <c r="T105" s="238"/>
      <c r="U105" s="259">
        <v>9969.9699999999993</v>
      </c>
      <c r="V105" s="259">
        <v>47476.05</v>
      </c>
      <c r="W105" s="238"/>
      <c r="X105" s="238"/>
      <c r="Y105" s="259">
        <v>47476.05</v>
      </c>
      <c r="Z105" s="256">
        <v>0</v>
      </c>
      <c r="AA105" s="256">
        <v>0</v>
      </c>
      <c r="AB105" s="238">
        <v>11177.7</v>
      </c>
      <c r="AC105" s="259">
        <v>9969.9699999999993</v>
      </c>
      <c r="AD105" s="259">
        <v>68623.72</v>
      </c>
    </row>
    <row r="106" spans="1:31" hidden="1" x14ac:dyDescent="0.25">
      <c r="A106" s="238" t="s">
        <v>764</v>
      </c>
      <c r="B106" s="238" t="s">
        <v>1670</v>
      </c>
      <c r="C106" s="256">
        <v>1055</v>
      </c>
      <c r="D106" s="256">
        <v>921</v>
      </c>
      <c r="E106" s="256">
        <v>921</v>
      </c>
      <c r="F106" s="256">
        <v>75421699274172</v>
      </c>
      <c r="G106" s="238" t="s">
        <v>0</v>
      </c>
      <c r="H106" s="256">
        <v>30685849751</v>
      </c>
      <c r="I106" s="238" t="s">
        <v>1451</v>
      </c>
      <c r="J106" s="238" t="s">
        <v>0</v>
      </c>
      <c r="K106" s="256">
        <v>30710473168</v>
      </c>
      <c r="L106" s="256">
        <v>1</v>
      </c>
      <c r="M106" s="238" t="s">
        <v>1672</v>
      </c>
      <c r="N106" s="238"/>
      <c r="O106" s="238"/>
      <c r="P106" s="238"/>
      <c r="Q106" s="238"/>
      <c r="R106" s="238"/>
      <c r="S106" s="238"/>
      <c r="T106" s="238"/>
      <c r="U106" s="259">
        <v>758.43</v>
      </c>
      <c r="V106" s="259">
        <v>3611.57</v>
      </c>
      <c r="W106" s="238"/>
      <c r="X106" s="238"/>
      <c r="Y106" s="259">
        <v>3611.57</v>
      </c>
      <c r="Z106" s="256">
        <v>0</v>
      </c>
      <c r="AA106" s="256">
        <v>0</v>
      </c>
      <c r="AB106" s="259">
        <v>144.46</v>
      </c>
      <c r="AC106" s="259">
        <v>758.43</v>
      </c>
      <c r="AD106" s="259">
        <v>4514.46</v>
      </c>
    </row>
    <row r="107" spans="1:31" hidden="1" x14ac:dyDescent="0.25">
      <c r="A107" s="245" t="s">
        <v>764</v>
      </c>
      <c r="B107" s="245" t="s">
        <v>1670</v>
      </c>
      <c r="C107" s="254">
        <v>2168</v>
      </c>
      <c r="D107" s="254">
        <v>25156</v>
      </c>
      <c r="E107" s="254">
        <v>25156</v>
      </c>
      <c r="F107" s="254">
        <v>75426801814809</v>
      </c>
      <c r="G107" s="245" t="s">
        <v>0</v>
      </c>
      <c r="H107" s="254">
        <v>30548083156</v>
      </c>
      <c r="I107" s="245" t="s">
        <v>1673</v>
      </c>
      <c r="J107" s="245" t="s">
        <v>0</v>
      </c>
      <c r="K107" s="254">
        <v>30710473168</v>
      </c>
      <c r="L107" s="254">
        <v>1</v>
      </c>
      <c r="M107" s="245" t="s">
        <v>1672</v>
      </c>
      <c r="N107" s="245"/>
      <c r="O107" s="245"/>
      <c r="P107" s="245"/>
      <c r="Q107" s="245"/>
      <c r="R107" s="245"/>
      <c r="S107" s="255">
        <v>4482.59</v>
      </c>
      <c r="T107" s="255">
        <v>42691.29</v>
      </c>
      <c r="U107" s="255">
        <v>455.58</v>
      </c>
      <c r="V107" s="255">
        <v>2169.42</v>
      </c>
      <c r="W107" s="245"/>
      <c r="X107" s="245"/>
      <c r="Y107" s="255">
        <v>44860.71</v>
      </c>
      <c r="Z107" s="254">
        <v>0</v>
      </c>
      <c r="AA107" s="254">
        <v>0</v>
      </c>
      <c r="AB107" s="255">
        <v>1031.54</v>
      </c>
      <c r="AC107" s="255">
        <v>4938.17</v>
      </c>
      <c r="AD107" s="255">
        <v>50830.42</v>
      </c>
    </row>
    <row r="108" spans="1:31" hidden="1" x14ac:dyDescent="0.25">
      <c r="A108" s="238" t="s">
        <v>764</v>
      </c>
      <c r="B108" s="238" t="s">
        <v>1670</v>
      </c>
      <c r="C108" s="256">
        <v>10</v>
      </c>
      <c r="D108" s="256">
        <v>2818</v>
      </c>
      <c r="E108" s="256">
        <v>2818</v>
      </c>
      <c r="F108" s="256">
        <v>75436835739224</v>
      </c>
      <c r="G108" s="238" t="s">
        <v>0</v>
      </c>
      <c r="H108" s="256">
        <v>30716886766</v>
      </c>
      <c r="I108" s="238" t="s">
        <v>1711</v>
      </c>
      <c r="J108" s="238" t="s">
        <v>0</v>
      </c>
      <c r="K108" s="256">
        <v>30710473168</v>
      </c>
      <c r="L108" s="256">
        <v>1</v>
      </c>
      <c r="M108" s="238" t="s">
        <v>1672</v>
      </c>
      <c r="N108" s="238"/>
      <c r="O108" s="238"/>
      <c r="P108" s="238"/>
      <c r="Q108" s="238"/>
      <c r="R108" s="238"/>
      <c r="S108" s="238"/>
      <c r="T108" s="238"/>
      <c r="U108" s="259">
        <v>7933.14</v>
      </c>
      <c r="V108" s="259">
        <v>37776.86</v>
      </c>
      <c r="W108" s="238"/>
      <c r="X108" s="238"/>
      <c r="Y108" s="259">
        <v>37776.86</v>
      </c>
      <c r="Z108" s="256">
        <v>0</v>
      </c>
      <c r="AA108" s="256">
        <v>0</v>
      </c>
      <c r="AB108" s="256">
        <v>0</v>
      </c>
      <c r="AC108" s="259">
        <v>7933.14</v>
      </c>
      <c r="AD108" s="256">
        <v>45710</v>
      </c>
      <c r="AE108" t="s">
        <v>1676</v>
      </c>
    </row>
    <row r="109" spans="1:31" hidden="1" x14ac:dyDescent="0.25">
      <c r="A109" s="245" t="s">
        <v>764</v>
      </c>
      <c r="B109" s="245" t="s">
        <v>1670</v>
      </c>
      <c r="C109" s="254">
        <v>700</v>
      </c>
      <c r="D109" s="254">
        <v>2790948</v>
      </c>
      <c r="E109" s="254">
        <v>2790948</v>
      </c>
      <c r="F109" s="254">
        <v>75432830422417</v>
      </c>
      <c r="G109" s="245" t="s">
        <v>0</v>
      </c>
      <c r="H109" s="254">
        <v>30715804812</v>
      </c>
      <c r="I109" s="245" t="s">
        <v>1696</v>
      </c>
      <c r="J109" s="245" t="s">
        <v>0</v>
      </c>
      <c r="K109" s="254">
        <v>30710473168</v>
      </c>
      <c r="L109" s="254">
        <v>1</v>
      </c>
      <c r="M109" s="245" t="s">
        <v>1672</v>
      </c>
      <c r="N109" s="245"/>
      <c r="O109" s="245"/>
      <c r="P109" s="245"/>
      <c r="Q109" s="245"/>
      <c r="R109" s="245"/>
      <c r="S109" s="245"/>
      <c r="T109" s="245"/>
      <c r="U109" s="255">
        <v>3319.63</v>
      </c>
      <c r="V109" s="255">
        <v>15807.73</v>
      </c>
      <c r="W109" s="245"/>
      <c r="X109" s="245"/>
      <c r="Y109" s="255">
        <v>15807.73</v>
      </c>
      <c r="Z109" s="254">
        <v>0</v>
      </c>
      <c r="AA109" s="254">
        <v>0</v>
      </c>
      <c r="AB109" s="255">
        <v>632.30999999999995</v>
      </c>
      <c r="AC109" s="255">
        <v>3319.63</v>
      </c>
      <c r="AD109" s="255">
        <v>19759.669999999998</v>
      </c>
    </row>
    <row r="110" spans="1:31" hidden="1" x14ac:dyDescent="0.25">
      <c r="A110" s="238" t="s">
        <v>765</v>
      </c>
      <c r="B110" s="238" t="s">
        <v>1670</v>
      </c>
      <c r="C110" s="256">
        <v>5</v>
      </c>
      <c r="D110" s="256">
        <v>3410705</v>
      </c>
      <c r="E110" s="256">
        <v>3410705</v>
      </c>
      <c r="F110" s="256">
        <v>75435864770896</v>
      </c>
      <c r="G110" s="238" t="s">
        <v>0</v>
      </c>
      <c r="H110" s="256">
        <v>30702652975</v>
      </c>
      <c r="I110" s="238" t="s">
        <v>1712</v>
      </c>
      <c r="J110" s="238" t="s">
        <v>0</v>
      </c>
      <c r="K110" s="256">
        <v>30710473168</v>
      </c>
      <c r="L110" s="256">
        <v>1</v>
      </c>
      <c r="M110" s="238" t="s">
        <v>1672</v>
      </c>
      <c r="N110" s="238"/>
      <c r="O110" s="238"/>
      <c r="P110" s="238"/>
      <c r="Q110" s="238"/>
      <c r="R110" s="238"/>
      <c r="S110" s="238"/>
      <c r="T110" s="238"/>
      <c r="U110" s="259">
        <v>8344.19</v>
      </c>
      <c r="V110" s="259">
        <v>39734.25</v>
      </c>
      <c r="W110" s="238"/>
      <c r="X110" s="238"/>
      <c r="Y110" s="259">
        <v>39734.25</v>
      </c>
      <c r="Z110" s="256">
        <v>0</v>
      </c>
      <c r="AA110" s="256">
        <v>0</v>
      </c>
      <c r="AB110" s="259">
        <v>1589.37</v>
      </c>
      <c r="AC110" s="259">
        <v>8344.19</v>
      </c>
      <c r="AD110" s="259">
        <v>49667.82</v>
      </c>
    </row>
    <row r="111" spans="1:31" hidden="1" x14ac:dyDescent="0.25">
      <c r="A111" s="238" t="s">
        <v>765</v>
      </c>
      <c r="B111" s="238" t="s">
        <v>1670</v>
      </c>
      <c r="C111" s="256">
        <v>1054</v>
      </c>
      <c r="D111" s="256">
        <v>383</v>
      </c>
      <c r="E111" s="256">
        <v>383</v>
      </c>
      <c r="F111" s="256">
        <v>75431903531693</v>
      </c>
      <c r="G111" s="238" t="s">
        <v>0</v>
      </c>
      <c r="H111" s="256">
        <v>30685849751</v>
      </c>
      <c r="I111" s="238" t="s">
        <v>1451</v>
      </c>
      <c r="J111" s="238" t="s">
        <v>0</v>
      </c>
      <c r="K111" s="256">
        <v>30710473168</v>
      </c>
      <c r="L111" s="256">
        <v>1</v>
      </c>
      <c r="M111" s="238" t="s">
        <v>1672</v>
      </c>
      <c r="N111" s="238"/>
      <c r="O111" s="238"/>
      <c r="P111" s="238"/>
      <c r="Q111" s="238"/>
      <c r="R111" s="238"/>
      <c r="S111" s="238"/>
      <c r="T111" s="238"/>
      <c r="U111" s="259">
        <v>343.64</v>
      </c>
      <c r="V111" s="259">
        <v>1636.36</v>
      </c>
      <c r="W111" s="238"/>
      <c r="X111" s="238"/>
      <c r="Y111" s="259">
        <v>1636.36</v>
      </c>
      <c r="Z111" s="256">
        <v>0</v>
      </c>
      <c r="AA111" s="256">
        <v>0</v>
      </c>
      <c r="AB111" s="256">
        <v>0</v>
      </c>
      <c r="AC111" s="259">
        <v>343.64</v>
      </c>
      <c r="AD111" s="256">
        <v>1980</v>
      </c>
    </row>
    <row r="112" spans="1:31" hidden="1" x14ac:dyDescent="0.25">
      <c r="A112" s="238" t="s">
        <v>765</v>
      </c>
      <c r="B112" s="238" t="s">
        <v>1670</v>
      </c>
      <c r="C112" s="256">
        <v>23</v>
      </c>
      <c r="D112" s="256">
        <v>8977</v>
      </c>
      <c r="E112" s="256">
        <v>8977</v>
      </c>
      <c r="F112" s="256">
        <v>75431841107015</v>
      </c>
      <c r="G112" s="238" t="s">
        <v>0</v>
      </c>
      <c r="H112" s="256">
        <v>30679067431</v>
      </c>
      <c r="I112" s="238" t="s">
        <v>1713</v>
      </c>
      <c r="J112" s="238" t="s">
        <v>0</v>
      </c>
      <c r="K112" s="256">
        <v>30710473168</v>
      </c>
      <c r="L112" s="256">
        <v>1</v>
      </c>
      <c r="M112" s="238" t="s">
        <v>1672</v>
      </c>
      <c r="N112" s="238"/>
      <c r="O112" s="238"/>
      <c r="P112" s="238"/>
      <c r="Q112" s="238"/>
      <c r="R112" s="238"/>
      <c r="S112" s="238"/>
      <c r="T112" s="238"/>
      <c r="U112" s="259">
        <v>5726.14</v>
      </c>
      <c r="V112" s="259">
        <v>27267.360000000001</v>
      </c>
      <c r="W112" s="238"/>
      <c r="X112" s="238"/>
      <c r="Y112" s="259">
        <v>27267.360000000001</v>
      </c>
      <c r="Z112" s="256">
        <v>0</v>
      </c>
      <c r="AA112" s="256">
        <v>0</v>
      </c>
      <c r="AB112" s="256">
        <v>0</v>
      </c>
      <c r="AC112" s="259">
        <v>5726.14</v>
      </c>
      <c r="AD112" s="238">
        <v>32993.5</v>
      </c>
      <c r="AE112" t="s">
        <v>1676</v>
      </c>
    </row>
    <row r="113" spans="1:31" hidden="1" x14ac:dyDescent="0.25">
      <c r="A113" s="245" t="s">
        <v>765</v>
      </c>
      <c r="B113" s="245" t="s">
        <v>1670</v>
      </c>
      <c r="C113" s="254">
        <v>6</v>
      </c>
      <c r="D113" s="254">
        <v>97166</v>
      </c>
      <c r="E113" s="254">
        <v>97166</v>
      </c>
      <c r="F113" s="254">
        <v>75434887924580</v>
      </c>
      <c r="G113" s="245" t="s">
        <v>0</v>
      </c>
      <c r="H113" s="254">
        <v>30711553564</v>
      </c>
      <c r="I113" s="245" t="s">
        <v>452</v>
      </c>
      <c r="J113" s="245" t="s">
        <v>0</v>
      </c>
      <c r="K113" s="254">
        <v>30710473168</v>
      </c>
      <c r="L113" s="254">
        <v>1</v>
      </c>
      <c r="M113" s="245" t="s">
        <v>1672</v>
      </c>
      <c r="N113" s="245"/>
      <c r="O113" s="245"/>
      <c r="P113" s="245"/>
      <c r="Q113" s="245"/>
      <c r="R113" s="245"/>
      <c r="S113" s="245"/>
      <c r="T113" s="245"/>
      <c r="U113" s="255">
        <v>74613.84</v>
      </c>
      <c r="V113" s="254">
        <v>355304</v>
      </c>
      <c r="W113" s="245"/>
      <c r="X113" s="245"/>
      <c r="Y113" s="254">
        <v>355304</v>
      </c>
      <c r="Z113" s="254">
        <v>0</v>
      </c>
      <c r="AA113" s="254">
        <v>0</v>
      </c>
      <c r="AB113" s="254">
        <v>0</v>
      </c>
      <c r="AC113" s="255">
        <v>74613.84</v>
      </c>
      <c r="AD113" s="255">
        <v>429917.84</v>
      </c>
    </row>
    <row r="114" spans="1:31" hidden="1" x14ac:dyDescent="0.25">
      <c r="A114" s="238" t="s">
        <v>765</v>
      </c>
      <c r="B114" s="238" t="s">
        <v>1670</v>
      </c>
      <c r="C114" s="256">
        <v>1</v>
      </c>
      <c r="D114" s="256">
        <v>142</v>
      </c>
      <c r="E114" s="256">
        <v>142</v>
      </c>
      <c r="F114" s="256">
        <v>75431907662893</v>
      </c>
      <c r="G114" s="238" t="s">
        <v>0</v>
      </c>
      <c r="H114" s="256">
        <v>30716046091</v>
      </c>
      <c r="I114" s="238" t="s">
        <v>1714</v>
      </c>
      <c r="J114" s="238" t="s">
        <v>0</v>
      </c>
      <c r="K114" s="256">
        <v>30710473168</v>
      </c>
      <c r="L114" s="256">
        <v>1</v>
      </c>
      <c r="M114" s="238" t="s">
        <v>1672</v>
      </c>
      <c r="N114" s="238"/>
      <c r="O114" s="238"/>
      <c r="P114" s="238"/>
      <c r="Q114" s="238"/>
      <c r="R114" s="238"/>
      <c r="S114" s="256">
        <v>42000</v>
      </c>
      <c r="T114" s="256">
        <v>400000</v>
      </c>
      <c r="U114" s="238"/>
      <c r="V114" s="238"/>
      <c r="W114" s="238"/>
      <c r="X114" s="238"/>
      <c r="Y114" s="256">
        <v>400000</v>
      </c>
      <c r="Z114" s="256">
        <v>0</v>
      </c>
      <c r="AA114" s="256">
        <v>0</v>
      </c>
      <c r="AB114" s="256">
        <v>0</v>
      </c>
      <c r="AC114" s="256">
        <v>42000</v>
      </c>
      <c r="AD114" s="256">
        <v>442000</v>
      </c>
      <c r="AE114" t="s">
        <v>1676</v>
      </c>
    </row>
    <row r="115" spans="1:31" hidden="1" x14ac:dyDescent="0.25">
      <c r="A115" s="238" t="s">
        <v>765</v>
      </c>
      <c r="B115" s="238" t="s">
        <v>1670</v>
      </c>
      <c r="C115" s="256">
        <v>3</v>
      </c>
      <c r="D115" s="256">
        <v>7024</v>
      </c>
      <c r="E115" s="256">
        <v>7024</v>
      </c>
      <c r="F115" s="256">
        <v>75439869048788</v>
      </c>
      <c r="G115" s="238" t="s">
        <v>0</v>
      </c>
      <c r="H115" s="256">
        <v>30707042679</v>
      </c>
      <c r="I115" s="238" t="s">
        <v>1707</v>
      </c>
      <c r="J115" s="238" t="s">
        <v>0</v>
      </c>
      <c r="K115" s="256">
        <v>30710473168</v>
      </c>
      <c r="L115" s="256">
        <v>1</v>
      </c>
      <c r="M115" s="238" t="s">
        <v>1672</v>
      </c>
      <c r="N115" s="238"/>
      <c r="O115" s="238"/>
      <c r="P115" s="238"/>
      <c r="Q115" s="238"/>
      <c r="R115" s="238"/>
      <c r="S115" s="238"/>
      <c r="T115" s="238"/>
      <c r="U115" s="259">
        <v>16946.37</v>
      </c>
      <c r="V115" s="256">
        <v>80697</v>
      </c>
      <c r="W115" s="238"/>
      <c r="X115" s="238"/>
      <c r="Y115" s="256">
        <v>80697</v>
      </c>
      <c r="Z115" s="256">
        <v>0</v>
      </c>
      <c r="AA115" s="256">
        <v>0</v>
      </c>
      <c r="AB115" s="256">
        <v>0</v>
      </c>
      <c r="AC115" s="259">
        <v>16946.37</v>
      </c>
      <c r="AD115" s="259">
        <v>97643.37</v>
      </c>
    </row>
    <row r="116" spans="1:31" hidden="1" x14ac:dyDescent="0.25">
      <c r="A116" s="245" t="s">
        <v>765</v>
      </c>
      <c r="B116" s="245" t="s">
        <v>1679</v>
      </c>
      <c r="C116" s="254">
        <v>1</v>
      </c>
      <c r="D116" s="254">
        <v>85</v>
      </c>
      <c r="E116" s="254">
        <v>85</v>
      </c>
      <c r="F116" s="254">
        <v>75434906732886</v>
      </c>
      <c r="G116" s="245" t="s">
        <v>0</v>
      </c>
      <c r="H116" s="254">
        <v>23281233084</v>
      </c>
      <c r="I116" s="245" t="s">
        <v>152</v>
      </c>
      <c r="J116" s="245" t="s">
        <v>0</v>
      </c>
      <c r="K116" s="254">
        <v>30710473168</v>
      </c>
      <c r="L116" s="254">
        <v>1</v>
      </c>
      <c r="M116" s="245" t="s">
        <v>1672</v>
      </c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54">
        <v>0</v>
      </c>
      <c r="AC116" s="245"/>
      <c r="AD116" s="254">
        <v>300000</v>
      </c>
    </row>
    <row r="117" spans="1:31" hidden="1" x14ac:dyDescent="0.25">
      <c r="A117" s="245" t="s">
        <v>765</v>
      </c>
      <c r="B117" s="245" t="s">
        <v>1679</v>
      </c>
      <c r="C117" s="254">
        <v>2</v>
      </c>
      <c r="D117" s="254">
        <v>15</v>
      </c>
      <c r="E117" s="254">
        <v>15</v>
      </c>
      <c r="F117" s="254">
        <v>75431918633406</v>
      </c>
      <c r="G117" s="245" t="s">
        <v>0</v>
      </c>
      <c r="H117" s="254">
        <v>27344304551</v>
      </c>
      <c r="I117" s="245" t="s">
        <v>1709</v>
      </c>
      <c r="J117" s="245" t="s">
        <v>0</v>
      </c>
      <c r="K117" s="254">
        <v>30710473168</v>
      </c>
      <c r="L117" s="254">
        <v>1</v>
      </c>
      <c r="M117" s="245" t="s">
        <v>1672</v>
      </c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54">
        <v>0</v>
      </c>
      <c r="AC117" s="245"/>
      <c r="AD117" s="254">
        <v>170000</v>
      </c>
    </row>
    <row r="118" spans="1:31" hidden="1" x14ac:dyDescent="0.25">
      <c r="A118" s="245" t="s">
        <v>772</v>
      </c>
      <c r="B118" s="245" t="s">
        <v>1670</v>
      </c>
      <c r="C118" s="254">
        <v>2</v>
      </c>
      <c r="D118" s="254">
        <v>1628</v>
      </c>
      <c r="E118" s="254">
        <v>1628</v>
      </c>
      <c r="F118" s="254">
        <v>75439019991512</v>
      </c>
      <c r="G118" s="245" t="s">
        <v>0</v>
      </c>
      <c r="H118" s="254">
        <v>20272865869</v>
      </c>
      <c r="I118" s="245" t="s">
        <v>561</v>
      </c>
      <c r="J118" s="245" t="s">
        <v>0</v>
      </c>
      <c r="K118" s="254">
        <v>30710473168</v>
      </c>
      <c r="L118" s="254">
        <v>1</v>
      </c>
      <c r="M118" s="245" t="s">
        <v>1672</v>
      </c>
      <c r="N118" s="245"/>
      <c r="O118" s="245"/>
      <c r="P118" s="245"/>
      <c r="Q118" s="245"/>
      <c r="R118" s="245"/>
      <c r="S118" s="245"/>
      <c r="T118" s="245"/>
      <c r="U118" s="254">
        <v>33159</v>
      </c>
      <c r="V118" s="254">
        <v>157900</v>
      </c>
      <c r="W118" s="245"/>
      <c r="X118" s="245"/>
      <c r="Y118" s="254">
        <v>157900</v>
      </c>
      <c r="Z118" s="254">
        <v>0</v>
      </c>
      <c r="AA118" s="254">
        <v>0</v>
      </c>
      <c r="AB118" s="254">
        <v>0</v>
      </c>
      <c r="AC118" s="254">
        <v>33159</v>
      </c>
      <c r="AD118" s="254">
        <v>191059</v>
      </c>
    </row>
    <row r="119" spans="1:31" hidden="1" x14ac:dyDescent="0.25">
      <c r="A119" s="245" t="s">
        <v>778</v>
      </c>
      <c r="B119" s="245" t="s">
        <v>1670</v>
      </c>
      <c r="C119" s="254">
        <v>5015</v>
      </c>
      <c r="D119" s="254">
        <v>1051683</v>
      </c>
      <c r="E119" s="254">
        <v>1051683</v>
      </c>
      <c r="F119" s="254">
        <v>75444203590437</v>
      </c>
      <c r="G119" s="245" t="s">
        <v>0</v>
      </c>
      <c r="H119" s="254">
        <v>30574876474</v>
      </c>
      <c r="I119" s="245" t="s">
        <v>1706</v>
      </c>
      <c r="J119" s="245" t="s">
        <v>0</v>
      </c>
      <c r="K119" s="254">
        <v>30710473168</v>
      </c>
      <c r="L119" s="254">
        <v>1</v>
      </c>
      <c r="M119" s="245" t="s">
        <v>1672</v>
      </c>
      <c r="N119" s="255">
        <v>0.04</v>
      </c>
      <c r="O119" s="245"/>
      <c r="P119" s="245"/>
      <c r="Q119" s="245"/>
      <c r="R119" s="245"/>
      <c r="S119" s="245"/>
      <c r="T119" s="245"/>
      <c r="U119" s="255">
        <v>2064.7600000000002</v>
      </c>
      <c r="V119" s="257">
        <v>9832.17</v>
      </c>
      <c r="W119" s="245"/>
      <c r="X119" s="245"/>
      <c r="Y119" s="255">
        <v>9832.2099999999991</v>
      </c>
      <c r="Z119" s="254">
        <v>0</v>
      </c>
      <c r="AA119" s="254">
        <f>+V119*0.04</f>
        <v>393.28680000000003</v>
      </c>
      <c r="AB119" s="255">
        <v>1278.19</v>
      </c>
      <c r="AC119" s="255">
        <v>2064.7600000000002</v>
      </c>
      <c r="AD119" s="255">
        <v>13175.16</v>
      </c>
      <c r="AE119" s="258" t="s">
        <v>1676</v>
      </c>
    </row>
    <row r="120" spans="1:31" hidden="1" x14ac:dyDescent="0.25">
      <c r="A120" s="238" t="s">
        <v>772</v>
      </c>
      <c r="B120" s="238" t="s">
        <v>1670</v>
      </c>
      <c r="C120" s="256">
        <v>4</v>
      </c>
      <c r="D120" s="256">
        <v>16131</v>
      </c>
      <c r="E120" s="256">
        <v>16131</v>
      </c>
      <c r="F120" s="256">
        <v>75433995827179</v>
      </c>
      <c r="G120" s="238" t="s">
        <v>0</v>
      </c>
      <c r="H120" s="256">
        <v>30712305513</v>
      </c>
      <c r="I120" s="238" t="s">
        <v>1415</v>
      </c>
      <c r="J120" s="238" t="s">
        <v>0</v>
      </c>
      <c r="K120" s="256">
        <v>30710473168</v>
      </c>
      <c r="L120" s="256">
        <v>1</v>
      </c>
      <c r="M120" s="238" t="s">
        <v>1672</v>
      </c>
      <c r="N120" s="238"/>
      <c r="O120" s="238"/>
      <c r="P120" s="238"/>
      <c r="Q120" s="238"/>
      <c r="R120" s="238"/>
      <c r="S120" s="256">
        <v>6258</v>
      </c>
      <c r="T120" s="256">
        <v>59600</v>
      </c>
      <c r="U120" s="238">
        <v>635582.9</v>
      </c>
      <c r="V120" s="259">
        <v>3026585.25</v>
      </c>
      <c r="W120" s="238"/>
      <c r="X120" s="238"/>
      <c r="Y120" s="259">
        <v>3086185.25</v>
      </c>
      <c r="Z120" s="256">
        <v>0</v>
      </c>
      <c r="AA120" s="256">
        <v>0</v>
      </c>
      <c r="AB120" s="256">
        <v>0</v>
      </c>
      <c r="AC120" s="238">
        <v>641840.9</v>
      </c>
      <c r="AD120" s="259">
        <v>3728026.15</v>
      </c>
    </row>
    <row r="121" spans="1:31" hidden="1" x14ac:dyDescent="0.25">
      <c r="A121" s="238" t="s">
        <v>772</v>
      </c>
      <c r="B121" s="238" t="s">
        <v>1670</v>
      </c>
      <c r="C121" s="256">
        <v>7</v>
      </c>
      <c r="D121" s="256">
        <v>5934</v>
      </c>
      <c r="E121" s="256">
        <v>5934</v>
      </c>
      <c r="F121" s="256">
        <v>75432998736718</v>
      </c>
      <c r="G121" s="238" t="s">
        <v>0</v>
      </c>
      <c r="H121" s="256">
        <v>20347228002</v>
      </c>
      <c r="I121" s="238" t="s">
        <v>1715</v>
      </c>
      <c r="J121" s="238" t="s">
        <v>0</v>
      </c>
      <c r="K121" s="256">
        <v>30710473168</v>
      </c>
      <c r="L121" s="256">
        <v>1</v>
      </c>
      <c r="M121" s="238" t="s">
        <v>1672</v>
      </c>
      <c r="N121" s="238"/>
      <c r="O121" s="238"/>
      <c r="P121" s="238"/>
      <c r="Q121" s="238"/>
      <c r="R121" s="238"/>
      <c r="S121" s="238"/>
      <c r="T121" s="238"/>
      <c r="U121" s="259">
        <v>16924.79</v>
      </c>
      <c r="V121" s="259">
        <v>80594.23</v>
      </c>
      <c r="W121" s="238"/>
      <c r="X121" s="238"/>
      <c r="Y121" s="259">
        <v>80594.23</v>
      </c>
      <c r="Z121" s="256">
        <v>0</v>
      </c>
      <c r="AA121" s="256">
        <v>0</v>
      </c>
      <c r="AB121" s="256">
        <v>0</v>
      </c>
      <c r="AC121" s="259">
        <v>16924.79</v>
      </c>
      <c r="AD121" s="259">
        <v>97519.02</v>
      </c>
    </row>
    <row r="122" spans="1:31" hidden="1" x14ac:dyDescent="0.25">
      <c r="A122" s="238" t="s">
        <v>772</v>
      </c>
      <c r="B122" s="238" t="s">
        <v>1670</v>
      </c>
      <c r="C122" s="256">
        <v>2</v>
      </c>
      <c r="D122" s="256">
        <v>8615</v>
      </c>
      <c r="E122" s="256">
        <v>8615</v>
      </c>
      <c r="F122" s="256">
        <v>75438979466948</v>
      </c>
      <c r="G122" s="238" t="s">
        <v>0</v>
      </c>
      <c r="H122" s="256">
        <v>30643862928</v>
      </c>
      <c r="I122" s="238" t="s">
        <v>1695</v>
      </c>
      <c r="J122" s="238" t="s">
        <v>0</v>
      </c>
      <c r="K122" s="256">
        <v>30710473168</v>
      </c>
      <c r="L122" s="256">
        <v>1</v>
      </c>
      <c r="M122" s="238" t="s">
        <v>1672</v>
      </c>
      <c r="N122" s="238"/>
      <c r="O122" s="238"/>
      <c r="P122" s="238"/>
      <c r="Q122" s="238"/>
      <c r="R122" s="238"/>
      <c r="S122" s="238"/>
      <c r="T122" s="238"/>
      <c r="U122" s="259">
        <v>53593.39</v>
      </c>
      <c r="V122" s="259">
        <v>255206.61</v>
      </c>
      <c r="W122" s="238"/>
      <c r="X122" s="238"/>
      <c r="Y122" s="259">
        <v>255206.61</v>
      </c>
      <c r="Z122" s="256">
        <v>0</v>
      </c>
      <c r="AA122" s="256">
        <v>0</v>
      </c>
      <c r="AB122" s="256">
        <v>0</v>
      </c>
      <c r="AC122" s="259">
        <v>53593.39</v>
      </c>
      <c r="AD122" s="256">
        <v>308800</v>
      </c>
    </row>
    <row r="123" spans="1:31" hidden="1" x14ac:dyDescent="0.25">
      <c r="A123" s="238" t="s">
        <v>772</v>
      </c>
      <c r="B123" s="238" t="s">
        <v>1670</v>
      </c>
      <c r="C123" s="256">
        <v>3</v>
      </c>
      <c r="D123" s="256">
        <v>9893</v>
      </c>
      <c r="E123" s="256">
        <v>9893</v>
      </c>
      <c r="F123" s="256">
        <v>75439023959533</v>
      </c>
      <c r="G123" s="238" t="s">
        <v>0</v>
      </c>
      <c r="H123" s="256">
        <v>33708218699</v>
      </c>
      <c r="I123" s="238" t="s">
        <v>1716</v>
      </c>
      <c r="J123" s="238" t="s">
        <v>0</v>
      </c>
      <c r="K123" s="256">
        <v>30710473168</v>
      </c>
      <c r="L123" s="256">
        <v>1</v>
      </c>
      <c r="M123" s="238" t="s">
        <v>1672</v>
      </c>
      <c r="N123" s="238"/>
      <c r="O123" s="238"/>
      <c r="P123" s="238"/>
      <c r="Q123" s="238"/>
      <c r="R123" s="238"/>
      <c r="S123" s="238"/>
      <c r="T123" s="238"/>
      <c r="U123" s="256">
        <v>18900</v>
      </c>
      <c r="V123" s="256">
        <v>90000</v>
      </c>
      <c r="W123" s="238"/>
      <c r="X123" s="238"/>
      <c r="Y123" s="256">
        <v>90000</v>
      </c>
      <c r="Z123" s="256">
        <v>0</v>
      </c>
      <c r="AA123" s="256">
        <v>0</v>
      </c>
      <c r="AB123" s="256">
        <v>0</v>
      </c>
      <c r="AC123" s="256">
        <v>18900</v>
      </c>
      <c r="AD123" s="256">
        <v>108900</v>
      </c>
    </row>
    <row r="124" spans="1:31" hidden="1" x14ac:dyDescent="0.25">
      <c r="A124" s="245" t="s">
        <v>772</v>
      </c>
      <c r="B124" s="245" t="s">
        <v>1679</v>
      </c>
      <c r="C124" s="254">
        <v>1</v>
      </c>
      <c r="D124" s="254">
        <v>86</v>
      </c>
      <c r="E124" s="254">
        <v>86</v>
      </c>
      <c r="F124" s="254">
        <v>75434024063062</v>
      </c>
      <c r="G124" s="245" t="s">
        <v>0</v>
      </c>
      <c r="H124" s="254">
        <v>23281233084</v>
      </c>
      <c r="I124" s="245" t="s">
        <v>152</v>
      </c>
      <c r="J124" s="245" t="s">
        <v>0</v>
      </c>
      <c r="K124" s="254">
        <v>30710473168</v>
      </c>
      <c r="L124" s="254">
        <v>1</v>
      </c>
      <c r="M124" s="245" t="s">
        <v>1672</v>
      </c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54">
        <v>0</v>
      </c>
      <c r="AC124" s="245"/>
      <c r="AD124" s="254">
        <v>300000</v>
      </c>
    </row>
    <row r="125" spans="1:31" hidden="1" x14ac:dyDescent="0.25">
      <c r="A125" s="245" t="s">
        <v>772</v>
      </c>
      <c r="B125" s="245" t="s">
        <v>1681</v>
      </c>
      <c r="C125" s="254">
        <v>1</v>
      </c>
      <c r="D125" s="254">
        <v>1</v>
      </c>
      <c r="E125" s="254">
        <v>1</v>
      </c>
      <c r="F125" s="254">
        <v>75434023793145</v>
      </c>
      <c r="G125" s="245" t="s">
        <v>0</v>
      </c>
      <c r="H125" s="254">
        <v>23281233084</v>
      </c>
      <c r="I125" s="245" t="s">
        <v>152</v>
      </c>
      <c r="J125" s="245" t="s">
        <v>0</v>
      </c>
      <c r="K125" s="254">
        <v>30710473168</v>
      </c>
      <c r="L125" s="254">
        <v>1</v>
      </c>
      <c r="M125" s="245" t="s">
        <v>1672</v>
      </c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54">
        <v>0</v>
      </c>
      <c r="AC125" s="245"/>
      <c r="AD125" s="254">
        <v>300000</v>
      </c>
    </row>
    <row r="126" spans="1:31" hidden="1" x14ac:dyDescent="0.25">
      <c r="A126" s="245" t="s">
        <v>773</v>
      </c>
      <c r="B126" s="245" t="s">
        <v>1670</v>
      </c>
      <c r="C126" s="254">
        <v>1</v>
      </c>
      <c r="D126" s="254">
        <v>9186</v>
      </c>
      <c r="E126" s="254">
        <v>9186</v>
      </c>
      <c r="F126" s="254">
        <v>75431147836117</v>
      </c>
      <c r="G126" s="245" t="s">
        <v>0</v>
      </c>
      <c r="H126" s="254">
        <v>30715141201</v>
      </c>
      <c r="I126" s="245" t="s">
        <v>1717</v>
      </c>
      <c r="J126" s="245" t="s">
        <v>0</v>
      </c>
      <c r="K126" s="254">
        <v>30710473168</v>
      </c>
      <c r="L126" s="254">
        <v>1</v>
      </c>
      <c r="M126" s="245" t="s">
        <v>1672</v>
      </c>
      <c r="N126" s="245"/>
      <c r="O126" s="245"/>
      <c r="P126" s="245"/>
      <c r="Q126" s="245"/>
      <c r="R126" s="245"/>
      <c r="S126" s="245"/>
      <c r="T126" s="245"/>
      <c r="U126" s="255">
        <v>506479.84</v>
      </c>
      <c r="V126" s="255">
        <v>2411808.75</v>
      </c>
      <c r="W126" s="245"/>
      <c r="X126" s="245"/>
      <c r="Y126" s="255">
        <v>2411808.75</v>
      </c>
      <c r="Z126" s="254">
        <v>0</v>
      </c>
      <c r="AA126" s="254">
        <v>0</v>
      </c>
      <c r="AB126" s="254">
        <v>0</v>
      </c>
      <c r="AC126" s="255">
        <v>506479.84</v>
      </c>
      <c r="AD126" s="255">
        <v>2918288.59</v>
      </c>
    </row>
    <row r="127" spans="1:31" hidden="1" x14ac:dyDescent="0.25">
      <c r="A127" s="238" t="s">
        <v>773</v>
      </c>
      <c r="B127" s="238" t="s">
        <v>1670</v>
      </c>
      <c r="C127" s="256">
        <v>4</v>
      </c>
      <c r="D127" s="256">
        <v>16140</v>
      </c>
      <c r="E127" s="256">
        <v>16140</v>
      </c>
      <c r="F127" s="256">
        <v>75433156064778</v>
      </c>
      <c r="G127" s="238" t="s">
        <v>0</v>
      </c>
      <c r="H127" s="256">
        <v>30712305513</v>
      </c>
      <c r="I127" s="238" t="s">
        <v>1415</v>
      </c>
      <c r="J127" s="238" t="s">
        <v>0</v>
      </c>
      <c r="K127" s="256">
        <v>30710473168</v>
      </c>
      <c r="L127" s="256">
        <v>1</v>
      </c>
      <c r="M127" s="238" t="s">
        <v>1672</v>
      </c>
      <c r="N127" s="238"/>
      <c r="O127" s="238"/>
      <c r="P127" s="238"/>
      <c r="Q127" s="238"/>
      <c r="R127" s="238"/>
      <c r="S127" s="238"/>
      <c r="T127" s="238"/>
      <c r="U127" s="259">
        <v>141747.74</v>
      </c>
      <c r="V127" s="259">
        <v>674989.25</v>
      </c>
      <c r="W127" s="238"/>
      <c r="X127" s="238"/>
      <c r="Y127" s="259">
        <v>674989.25</v>
      </c>
      <c r="Z127" s="256">
        <v>0</v>
      </c>
      <c r="AA127" s="256">
        <v>0</v>
      </c>
      <c r="AB127" s="256">
        <v>0</v>
      </c>
      <c r="AC127" s="259">
        <v>141747.74</v>
      </c>
      <c r="AD127" s="259">
        <v>816736.99</v>
      </c>
    </row>
    <row r="128" spans="1:31" hidden="1" x14ac:dyDescent="0.25">
      <c r="A128" s="238" t="s">
        <v>773</v>
      </c>
      <c r="B128" s="238" t="s">
        <v>1670</v>
      </c>
      <c r="C128" s="256">
        <v>1054</v>
      </c>
      <c r="D128" s="256">
        <v>384</v>
      </c>
      <c r="E128" s="256">
        <v>384</v>
      </c>
      <c r="F128" s="256">
        <v>75431135472076</v>
      </c>
      <c r="G128" s="238" t="s">
        <v>0</v>
      </c>
      <c r="H128" s="256">
        <v>30685849751</v>
      </c>
      <c r="I128" s="238" t="s">
        <v>1451</v>
      </c>
      <c r="J128" s="238" t="s">
        <v>0</v>
      </c>
      <c r="K128" s="256">
        <v>30710473168</v>
      </c>
      <c r="L128" s="256">
        <v>1</v>
      </c>
      <c r="M128" s="238" t="s">
        <v>1672</v>
      </c>
      <c r="N128" s="238"/>
      <c r="O128" s="238"/>
      <c r="P128" s="238"/>
      <c r="Q128" s="238"/>
      <c r="R128" s="238"/>
      <c r="S128" s="238"/>
      <c r="T128" s="238"/>
      <c r="U128" s="259">
        <v>1496.03</v>
      </c>
      <c r="V128" s="259">
        <v>7123.97</v>
      </c>
      <c r="W128" s="238"/>
      <c r="X128" s="238"/>
      <c r="Y128" s="259">
        <v>7123.97</v>
      </c>
      <c r="Z128" s="256">
        <v>0</v>
      </c>
      <c r="AA128" s="256">
        <v>0</v>
      </c>
      <c r="AB128" s="259">
        <v>284.95999999999998</v>
      </c>
      <c r="AC128" s="259">
        <v>1496.03</v>
      </c>
      <c r="AD128" s="259">
        <v>8904.9599999999991</v>
      </c>
    </row>
    <row r="129" spans="1:31" hidden="1" x14ac:dyDescent="0.25">
      <c r="A129" s="238" t="s">
        <v>773</v>
      </c>
      <c r="B129" s="238" t="s">
        <v>1670</v>
      </c>
      <c r="C129" s="256">
        <v>1001</v>
      </c>
      <c r="D129" s="256">
        <v>596</v>
      </c>
      <c r="E129" s="256">
        <v>596</v>
      </c>
      <c r="F129" s="256">
        <v>75432115158625</v>
      </c>
      <c r="G129" s="238" t="s">
        <v>0</v>
      </c>
      <c r="H129" s="256">
        <v>30707370552</v>
      </c>
      <c r="I129" s="238" t="s">
        <v>1550</v>
      </c>
      <c r="J129" s="238" t="s">
        <v>0</v>
      </c>
      <c r="K129" s="256">
        <v>30710473168</v>
      </c>
      <c r="L129" s="256">
        <v>1</v>
      </c>
      <c r="M129" s="238" t="s">
        <v>1672</v>
      </c>
      <c r="N129" s="238"/>
      <c r="O129" s="238"/>
      <c r="P129" s="238"/>
      <c r="Q129" s="238"/>
      <c r="R129" s="238"/>
      <c r="S129" s="238"/>
      <c r="T129" s="238"/>
      <c r="U129" s="238">
        <v>416615.7</v>
      </c>
      <c r="V129" s="238">
        <v>1983884.3</v>
      </c>
      <c r="W129" s="238"/>
      <c r="X129" s="238"/>
      <c r="Y129" s="238">
        <v>1983884.3</v>
      </c>
      <c r="Z129" s="256">
        <v>0</v>
      </c>
      <c r="AA129" s="256">
        <v>0</v>
      </c>
      <c r="AB129" s="256">
        <v>0</v>
      </c>
      <c r="AC129" s="238">
        <v>416615.7</v>
      </c>
      <c r="AD129" s="256">
        <v>2400500</v>
      </c>
    </row>
    <row r="130" spans="1:31" hidden="1" x14ac:dyDescent="0.25">
      <c r="A130" s="245" t="s">
        <v>774</v>
      </c>
      <c r="B130" s="245" t="s">
        <v>1670</v>
      </c>
      <c r="C130" s="254">
        <v>1</v>
      </c>
      <c r="D130" s="254">
        <v>9201</v>
      </c>
      <c r="E130" s="254">
        <v>9201</v>
      </c>
      <c r="F130" s="254">
        <v>75431411213120</v>
      </c>
      <c r="G130" s="245" t="s">
        <v>0</v>
      </c>
      <c r="H130" s="254">
        <v>30715141201</v>
      </c>
      <c r="I130" s="245" t="s">
        <v>1717</v>
      </c>
      <c r="J130" s="245" t="s">
        <v>0</v>
      </c>
      <c r="K130" s="254">
        <v>30710473168</v>
      </c>
      <c r="L130" s="254">
        <v>1</v>
      </c>
      <c r="M130" s="245" t="s">
        <v>1672</v>
      </c>
      <c r="N130" s="245"/>
      <c r="O130" s="245"/>
      <c r="P130" s="245"/>
      <c r="Q130" s="245"/>
      <c r="R130" s="245"/>
      <c r="S130" s="245"/>
      <c r="T130" s="245"/>
      <c r="U130" s="255">
        <v>3040954.09</v>
      </c>
      <c r="V130" s="255">
        <v>14480733.75</v>
      </c>
      <c r="W130" s="245"/>
      <c r="X130" s="245"/>
      <c r="Y130" s="255">
        <v>14480733.75</v>
      </c>
      <c r="Z130" s="254">
        <v>0</v>
      </c>
      <c r="AA130" s="254">
        <v>0</v>
      </c>
      <c r="AB130" s="254">
        <v>0</v>
      </c>
      <c r="AC130" s="255">
        <v>3040954.09</v>
      </c>
      <c r="AD130" s="255">
        <v>17521687.84</v>
      </c>
    </row>
    <row r="131" spans="1:31" hidden="1" x14ac:dyDescent="0.25">
      <c r="A131" s="245" t="s">
        <v>774</v>
      </c>
      <c r="B131" s="245" t="s">
        <v>1670</v>
      </c>
      <c r="C131" s="254">
        <v>2</v>
      </c>
      <c r="D131" s="254">
        <v>13032</v>
      </c>
      <c r="E131" s="254">
        <v>13032</v>
      </c>
      <c r="F131" s="254">
        <v>75432402555412</v>
      </c>
      <c r="G131" s="245" t="s">
        <v>0</v>
      </c>
      <c r="H131" s="254">
        <v>30714331082</v>
      </c>
      <c r="I131" s="245" t="s">
        <v>1702</v>
      </c>
      <c r="J131" s="245" t="s">
        <v>0</v>
      </c>
      <c r="K131" s="254">
        <v>30710473168</v>
      </c>
      <c r="L131" s="254">
        <v>1</v>
      </c>
      <c r="M131" s="245" t="s">
        <v>1672</v>
      </c>
      <c r="N131" s="245"/>
      <c r="O131" s="245"/>
      <c r="P131" s="245"/>
      <c r="Q131" s="245"/>
      <c r="R131" s="245"/>
      <c r="S131" s="245"/>
      <c r="T131" s="245"/>
      <c r="U131" s="255">
        <v>205773.45</v>
      </c>
      <c r="V131" s="255">
        <v>979873.56</v>
      </c>
      <c r="W131" s="245"/>
      <c r="X131" s="245"/>
      <c r="Y131" s="255">
        <v>979873.56</v>
      </c>
      <c r="Z131" s="254">
        <v>0</v>
      </c>
      <c r="AA131" s="254">
        <v>0</v>
      </c>
      <c r="AB131" s="254">
        <v>0</v>
      </c>
      <c r="AC131" s="255">
        <v>205773.45</v>
      </c>
      <c r="AD131" s="255">
        <v>1185647.01</v>
      </c>
    </row>
    <row r="132" spans="1:31" hidden="1" x14ac:dyDescent="0.25">
      <c r="A132" s="238" t="s">
        <v>775</v>
      </c>
      <c r="B132" s="238" t="s">
        <v>1670</v>
      </c>
      <c r="C132" s="256">
        <v>7</v>
      </c>
      <c r="D132" s="256">
        <v>1773</v>
      </c>
      <c r="E132" s="256">
        <v>1773</v>
      </c>
      <c r="F132" s="256">
        <v>75436584238916</v>
      </c>
      <c r="G132" s="238" t="s">
        <v>0</v>
      </c>
      <c r="H132" s="256">
        <v>30712187316</v>
      </c>
      <c r="I132" s="238" t="s">
        <v>269</v>
      </c>
      <c r="J132" s="238" t="s">
        <v>0</v>
      </c>
      <c r="K132" s="256">
        <v>30710473168</v>
      </c>
      <c r="L132" s="256">
        <v>1505</v>
      </c>
      <c r="M132" s="238" t="s">
        <v>1718</v>
      </c>
      <c r="N132" s="238"/>
      <c r="O132" s="238"/>
      <c r="P132" s="238"/>
      <c r="Q132" s="238"/>
      <c r="R132" s="238"/>
      <c r="S132" s="238"/>
      <c r="T132" s="238"/>
      <c r="U132" s="259">
        <v>30.12</v>
      </c>
      <c r="V132" s="259">
        <v>143.41</v>
      </c>
      <c r="W132" s="238"/>
      <c r="X132" s="238"/>
      <c r="Y132" s="259">
        <v>143.41</v>
      </c>
      <c r="Z132" s="256">
        <v>0</v>
      </c>
      <c r="AA132" s="256">
        <v>0</v>
      </c>
      <c r="AB132" s="256">
        <v>0</v>
      </c>
      <c r="AC132" s="259">
        <v>30.12</v>
      </c>
      <c r="AD132" s="259">
        <v>173.53</v>
      </c>
    </row>
    <row r="133" spans="1:31" hidden="1" x14ac:dyDescent="0.25">
      <c r="A133" s="245" t="s">
        <v>775</v>
      </c>
      <c r="B133" s="245" t="s">
        <v>1670</v>
      </c>
      <c r="C133" s="254">
        <v>1</v>
      </c>
      <c r="D133" s="254">
        <v>9213</v>
      </c>
      <c r="E133" s="254">
        <v>9213</v>
      </c>
      <c r="F133" s="254">
        <v>75431523017650</v>
      </c>
      <c r="G133" s="245" t="s">
        <v>0</v>
      </c>
      <c r="H133" s="254">
        <v>30715141201</v>
      </c>
      <c r="I133" s="245" t="s">
        <v>1717</v>
      </c>
      <c r="J133" s="245" t="s">
        <v>0</v>
      </c>
      <c r="K133" s="254">
        <v>30710473168</v>
      </c>
      <c r="L133" s="254">
        <v>1</v>
      </c>
      <c r="M133" s="245" t="s">
        <v>1672</v>
      </c>
      <c r="N133" s="245"/>
      <c r="O133" s="245"/>
      <c r="P133" s="245"/>
      <c r="Q133" s="245"/>
      <c r="R133" s="245"/>
      <c r="S133" s="245"/>
      <c r="T133" s="245"/>
      <c r="U133" s="255">
        <v>346074.75</v>
      </c>
      <c r="V133" s="254">
        <v>1647975</v>
      </c>
      <c r="W133" s="245"/>
      <c r="X133" s="245"/>
      <c r="Y133" s="254">
        <v>1647975</v>
      </c>
      <c r="Z133" s="254">
        <v>0</v>
      </c>
      <c r="AA133" s="254">
        <v>0</v>
      </c>
      <c r="AB133" s="254">
        <v>0</v>
      </c>
      <c r="AC133" s="255">
        <v>346074.75</v>
      </c>
      <c r="AD133" s="255">
        <v>1994049.75</v>
      </c>
    </row>
    <row r="134" spans="1:31" hidden="1" x14ac:dyDescent="0.25">
      <c r="A134" s="245" t="s">
        <v>775</v>
      </c>
      <c r="B134" s="245" t="s">
        <v>1670</v>
      </c>
      <c r="C134" s="254">
        <v>1</v>
      </c>
      <c r="D134" s="254">
        <v>9214</v>
      </c>
      <c r="E134" s="254">
        <v>9214</v>
      </c>
      <c r="F134" s="254">
        <v>75431523222628</v>
      </c>
      <c r="G134" s="245" t="s">
        <v>0</v>
      </c>
      <c r="H134" s="254">
        <v>30715141201</v>
      </c>
      <c r="I134" s="245" t="s">
        <v>1717</v>
      </c>
      <c r="J134" s="245" t="s">
        <v>0</v>
      </c>
      <c r="K134" s="254">
        <v>30710473168</v>
      </c>
      <c r="L134" s="254">
        <v>1</v>
      </c>
      <c r="M134" s="245" t="s">
        <v>1672</v>
      </c>
      <c r="N134" s="245"/>
      <c r="O134" s="245"/>
      <c r="P134" s="245"/>
      <c r="Q134" s="245"/>
      <c r="R134" s="245"/>
      <c r="S134" s="245"/>
      <c r="T134" s="245"/>
      <c r="U134" s="255">
        <v>43377.86</v>
      </c>
      <c r="V134" s="255">
        <v>206561.25</v>
      </c>
      <c r="W134" s="245"/>
      <c r="X134" s="245"/>
      <c r="Y134" s="255">
        <v>206561.25</v>
      </c>
      <c r="Z134" s="254">
        <v>0</v>
      </c>
      <c r="AA134" s="254">
        <v>0</v>
      </c>
      <c r="AB134" s="254">
        <v>0</v>
      </c>
      <c r="AC134" s="255">
        <v>43377.86</v>
      </c>
      <c r="AD134" s="255">
        <v>249939.11</v>
      </c>
    </row>
    <row r="135" spans="1:31" hidden="1" x14ac:dyDescent="0.25">
      <c r="A135" s="238" t="s">
        <v>775</v>
      </c>
      <c r="B135" s="238" t="s">
        <v>1670</v>
      </c>
      <c r="C135" s="256">
        <v>1054</v>
      </c>
      <c r="D135" s="256">
        <v>386</v>
      </c>
      <c r="E135" s="256">
        <v>386</v>
      </c>
      <c r="F135" s="256">
        <v>75431531319834</v>
      </c>
      <c r="G135" s="238" t="s">
        <v>0</v>
      </c>
      <c r="H135" s="256">
        <v>30685849751</v>
      </c>
      <c r="I135" s="238" t="s">
        <v>1451</v>
      </c>
      <c r="J135" s="238" t="s">
        <v>0</v>
      </c>
      <c r="K135" s="256">
        <v>30710473168</v>
      </c>
      <c r="L135" s="256">
        <v>1</v>
      </c>
      <c r="M135" s="238" t="s">
        <v>1672</v>
      </c>
      <c r="N135" s="238"/>
      <c r="O135" s="238"/>
      <c r="P135" s="238"/>
      <c r="Q135" s="238"/>
      <c r="R135" s="238"/>
      <c r="S135" s="238"/>
      <c r="T135" s="238"/>
      <c r="U135" s="259">
        <v>1476.07</v>
      </c>
      <c r="V135" s="259">
        <v>7028.93</v>
      </c>
      <c r="W135" s="238"/>
      <c r="X135" s="238"/>
      <c r="Y135" s="259">
        <v>7028.93</v>
      </c>
      <c r="Z135" s="256">
        <v>0</v>
      </c>
      <c r="AA135" s="256">
        <v>0</v>
      </c>
      <c r="AB135" s="259">
        <v>281.16000000000003</v>
      </c>
      <c r="AC135" s="259">
        <v>1476.07</v>
      </c>
      <c r="AD135" s="259">
        <v>8786.16</v>
      </c>
    </row>
    <row r="136" spans="1:31" hidden="1" x14ac:dyDescent="0.25">
      <c r="A136" s="238" t="s">
        <v>775</v>
      </c>
      <c r="B136" s="238" t="s">
        <v>1670</v>
      </c>
      <c r="C136" s="256">
        <v>3950</v>
      </c>
      <c r="D136" s="256">
        <v>5311093</v>
      </c>
      <c r="E136" s="256">
        <v>5311093</v>
      </c>
      <c r="F136" s="256">
        <v>75448725405660</v>
      </c>
      <c r="G136" s="238" t="s">
        <v>0</v>
      </c>
      <c r="H136" s="256">
        <v>30639453738</v>
      </c>
      <c r="I136" s="238" t="s">
        <v>1719</v>
      </c>
      <c r="J136" s="238" t="s">
        <v>0</v>
      </c>
      <c r="K136" s="256">
        <v>30710473168</v>
      </c>
      <c r="L136" s="256">
        <v>1</v>
      </c>
      <c r="M136" s="238" t="s">
        <v>1672</v>
      </c>
      <c r="N136" s="238"/>
      <c r="O136" s="238"/>
      <c r="P136" s="238"/>
      <c r="Q136" s="238"/>
      <c r="R136" s="238"/>
      <c r="S136" s="238"/>
      <c r="T136" s="238"/>
      <c r="U136" s="259">
        <v>9820.89</v>
      </c>
      <c r="V136" s="259">
        <v>46766.15</v>
      </c>
      <c r="W136" s="238"/>
      <c r="X136" s="238"/>
      <c r="Y136" s="259">
        <v>46766.15</v>
      </c>
      <c r="Z136" s="256">
        <v>0</v>
      </c>
      <c r="AA136" s="256">
        <v>0</v>
      </c>
      <c r="AB136" s="259">
        <v>3273.63</v>
      </c>
      <c r="AC136" s="259">
        <v>9820.89</v>
      </c>
      <c r="AD136" s="259">
        <v>59860.67</v>
      </c>
    </row>
    <row r="137" spans="1:31" hidden="1" x14ac:dyDescent="0.25">
      <c r="A137" s="245" t="s">
        <v>775</v>
      </c>
      <c r="B137" s="245" t="s">
        <v>1670</v>
      </c>
      <c r="C137" s="254">
        <v>2</v>
      </c>
      <c r="D137" s="254">
        <v>141</v>
      </c>
      <c r="E137" s="254">
        <v>141</v>
      </c>
      <c r="F137" s="254">
        <v>75431586050239</v>
      </c>
      <c r="G137" s="245" t="s">
        <v>0</v>
      </c>
      <c r="H137" s="254">
        <v>20276761111</v>
      </c>
      <c r="I137" s="245" t="s">
        <v>1720</v>
      </c>
      <c r="J137" s="245" t="s">
        <v>0</v>
      </c>
      <c r="K137" s="254">
        <v>30710473168</v>
      </c>
      <c r="L137" s="254">
        <v>1</v>
      </c>
      <c r="M137" s="245" t="s">
        <v>1672</v>
      </c>
      <c r="N137" s="245"/>
      <c r="O137" s="245"/>
      <c r="P137" s="245"/>
      <c r="Q137" s="245"/>
      <c r="R137" s="245"/>
      <c r="S137" s="245"/>
      <c r="T137" s="245"/>
      <c r="U137" s="245">
        <v>10489.5</v>
      </c>
      <c r="V137" s="254">
        <v>49950</v>
      </c>
      <c r="W137" s="245"/>
      <c r="X137" s="245"/>
      <c r="Y137" s="254">
        <v>49950</v>
      </c>
      <c r="Z137" s="254">
        <v>0</v>
      </c>
      <c r="AA137" s="254">
        <v>0</v>
      </c>
      <c r="AB137" s="254">
        <v>0</v>
      </c>
      <c r="AC137" s="245">
        <v>10489.5</v>
      </c>
      <c r="AD137" s="245">
        <v>60439.5</v>
      </c>
    </row>
    <row r="138" spans="1:31" x14ac:dyDescent="0.25">
      <c r="A138" s="238" t="s">
        <v>775</v>
      </c>
      <c r="B138" s="238" t="s">
        <v>1670</v>
      </c>
      <c r="C138" s="256">
        <v>4</v>
      </c>
      <c r="D138" s="256">
        <v>137</v>
      </c>
      <c r="E138" s="256">
        <v>137</v>
      </c>
      <c r="F138" s="256">
        <v>75456938678624</v>
      </c>
      <c r="G138" s="238" t="s">
        <v>0</v>
      </c>
      <c r="H138" s="256">
        <v>20174004146</v>
      </c>
      <c r="I138" s="238" t="s">
        <v>339</v>
      </c>
      <c r="J138" s="238" t="s">
        <v>0</v>
      </c>
      <c r="K138" s="256">
        <v>30710473168</v>
      </c>
      <c r="L138" s="256">
        <v>1</v>
      </c>
      <c r="M138" s="238" t="s">
        <v>1672</v>
      </c>
      <c r="N138" s="238"/>
      <c r="O138" s="238"/>
      <c r="P138" s="238"/>
      <c r="Q138" s="238"/>
      <c r="R138" s="238"/>
      <c r="S138" s="238"/>
      <c r="T138" s="238"/>
      <c r="U138" s="256">
        <v>44100</v>
      </c>
      <c r="V138" s="256">
        <v>210000</v>
      </c>
      <c r="W138" s="238"/>
      <c r="X138" s="238"/>
      <c r="Y138" s="256">
        <v>210000</v>
      </c>
      <c r="Z138" s="256">
        <v>0</v>
      </c>
      <c r="AA138" s="256">
        <v>0</v>
      </c>
      <c r="AB138" s="256">
        <v>0</v>
      </c>
      <c r="AC138" s="256">
        <v>44100</v>
      </c>
      <c r="AD138" s="256">
        <v>254100</v>
      </c>
    </row>
    <row r="139" spans="1:31" hidden="1" x14ac:dyDescent="0.25">
      <c r="A139" s="245" t="s">
        <v>775</v>
      </c>
      <c r="B139" s="245" t="s">
        <v>1679</v>
      </c>
      <c r="C139" s="254">
        <v>2</v>
      </c>
      <c r="D139" s="254">
        <v>16</v>
      </c>
      <c r="E139" s="254">
        <v>16</v>
      </c>
      <c r="F139" s="254">
        <v>75431606237209</v>
      </c>
      <c r="G139" s="245" t="s">
        <v>0</v>
      </c>
      <c r="H139" s="254">
        <v>27344304551</v>
      </c>
      <c r="I139" s="245" t="s">
        <v>1709</v>
      </c>
      <c r="J139" s="245" t="s">
        <v>0</v>
      </c>
      <c r="K139" s="254">
        <v>30710473168</v>
      </c>
      <c r="L139" s="254">
        <v>1</v>
      </c>
      <c r="M139" s="245" t="s">
        <v>1672</v>
      </c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54">
        <v>0</v>
      </c>
      <c r="AC139" s="245"/>
      <c r="AD139" s="254">
        <v>980000</v>
      </c>
    </row>
    <row r="140" spans="1:31" hidden="1" x14ac:dyDescent="0.25">
      <c r="A140" s="245" t="s">
        <v>776</v>
      </c>
      <c r="B140" s="245" t="s">
        <v>1670</v>
      </c>
      <c r="C140" s="254">
        <v>104</v>
      </c>
      <c r="D140" s="254">
        <v>10982086</v>
      </c>
      <c r="E140" s="254">
        <v>10982086</v>
      </c>
      <c r="F140" s="254">
        <v>75442703183690</v>
      </c>
      <c r="G140" s="245" t="s">
        <v>0</v>
      </c>
      <c r="H140" s="254">
        <v>30715804812</v>
      </c>
      <c r="I140" s="245" t="s">
        <v>1696</v>
      </c>
      <c r="J140" s="245" t="s">
        <v>0</v>
      </c>
      <c r="K140" s="254">
        <v>30710473168</v>
      </c>
      <c r="L140" s="254">
        <v>1</v>
      </c>
      <c r="M140" s="245" t="s">
        <v>1672</v>
      </c>
      <c r="N140" s="245"/>
      <c r="O140" s="245"/>
      <c r="P140" s="245"/>
      <c r="Q140" s="245"/>
      <c r="R140" s="245"/>
      <c r="S140" s="245"/>
      <c r="T140" s="245"/>
      <c r="U140" s="245">
        <v>218.4</v>
      </c>
      <c r="V140" s="257">
        <v>1039.98</v>
      </c>
      <c r="W140" s="245"/>
      <c r="X140" s="245"/>
      <c r="Y140" s="255">
        <v>1039.98</v>
      </c>
      <c r="Z140" s="254">
        <v>0</v>
      </c>
      <c r="AA140" s="263">
        <f>+V140*0.04</f>
        <v>41.599200000000003</v>
      </c>
      <c r="AB140" s="245">
        <v>41.6</v>
      </c>
      <c r="AC140" s="245">
        <v>218.4</v>
      </c>
      <c r="AD140" s="255">
        <v>1299.98</v>
      </c>
      <c r="AE140" s="258" t="s">
        <v>1676</v>
      </c>
    </row>
    <row r="141" spans="1:31" hidden="1" x14ac:dyDescent="0.25">
      <c r="A141" s="238" t="s">
        <v>776</v>
      </c>
      <c r="B141" s="238" t="s">
        <v>1670</v>
      </c>
      <c r="C141" s="256">
        <v>7</v>
      </c>
      <c r="D141" s="256">
        <v>1777</v>
      </c>
      <c r="E141" s="256">
        <v>1777</v>
      </c>
      <c r="F141" s="256">
        <v>75446701357725</v>
      </c>
      <c r="G141" s="238" t="s">
        <v>0</v>
      </c>
      <c r="H141" s="256">
        <v>30712187316</v>
      </c>
      <c r="I141" s="238" t="s">
        <v>269</v>
      </c>
      <c r="J141" s="238" t="s">
        <v>0</v>
      </c>
      <c r="K141" s="256">
        <v>30710473168</v>
      </c>
      <c r="L141" s="256">
        <v>1505</v>
      </c>
      <c r="M141" s="238" t="s">
        <v>1718</v>
      </c>
      <c r="N141" s="238"/>
      <c r="O141" s="238"/>
      <c r="P141" s="238"/>
      <c r="Q141" s="238"/>
      <c r="R141" s="238"/>
      <c r="S141" s="238"/>
      <c r="T141" s="238"/>
      <c r="U141" s="259">
        <v>27.89</v>
      </c>
      <c r="V141" s="259">
        <v>132.79</v>
      </c>
      <c r="W141" s="238"/>
      <c r="X141" s="238"/>
      <c r="Y141" s="259">
        <v>132.79</v>
      </c>
      <c r="Z141" s="256">
        <v>0</v>
      </c>
      <c r="AA141" s="256">
        <v>0</v>
      </c>
      <c r="AB141" s="256">
        <v>0</v>
      </c>
      <c r="AC141" s="259">
        <v>27.89</v>
      </c>
      <c r="AD141" s="259">
        <v>160.68</v>
      </c>
    </row>
    <row r="142" spans="1:31" hidden="1" x14ac:dyDescent="0.25">
      <c r="A142" s="245" t="s">
        <v>776</v>
      </c>
      <c r="B142" s="245" t="s">
        <v>1670</v>
      </c>
      <c r="C142" s="254">
        <v>11</v>
      </c>
      <c r="D142" s="254">
        <v>4698716</v>
      </c>
      <c r="E142" s="254">
        <v>4698716</v>
      </c>
      <c r="F142" s="254">
        <v>75444850276631</v>
      </c>
      <c r="G142" s="245" t="s">
        <v>0</v>
      </c>
      <c r="H142" s="254">
        <v>30703088534</v>
      </c>
      <c r="I142" s="245" t="s">
        <v>1627</v>
      </c>
      <c r="J142" s="245" t="s">
        <v>0</v>
      </c>
      <c r="K142" s="254">
        <v>30710473168</v>
      </c>
      <c r="L142" s="254">
        <v>1</v>
      </c>
      <c r="M142" s="245" t="s">
        <v>1672</v>
      </c>
      <c r="N142" s="245"/>
      <c r="O142" s="245"/>
      <c r="P142" s="245"/>
      <c r="Q142" s="245"/>
      <c r="R142" s="245"/>
      <c r="S142" s="245"/>
      <c r="T142" s="245"/>
      <c r="U142" s="245">
        <v>17549.400000000001</v>
      </c>
      <c r="V142" s="245">
        <v>83568.600000000006</v>
      </c>
      <c r="W142" s="245"/>
      <c r="X142" s="245"/>
      <c r="Y142" s="245">
        <v>83568.600000000006</v>
      </c>
      <c r="Z142" s="254">
        <v>0</v>
      </c>
      <c r="AA142" s="254">
        <v>0</v>
      </c>
      <c r="AB142" s="245">
        <v>5849.8</v>
      </c>
      <c r="AC142" s="245">
        <v>17549.400000000001</v>
      </c>
      <c r="AD142" s="245">
        <v>106967.8</v>
      </c>
    </row>
    <row r="143" spans="1:31" hidden="1" x14ac:dyDescent="0.25">
      <c r="A143" s="245" t="s">
        <v>776</v>
      </c>
      <c r="B143" s="245" t="s">
        <v>1670</v>
      </c>
      <c r="C143" s="254">
        <v>66</v>
      </c>
      <c r="D143" s="254">
        <v>440765</v>
      </c>
      <c r="E143" s="254">
        <v>440765</v>
      </c>
      <c r="F143" s="254">
        <v>75444845329929</v>
      </c>
      <c r="G143" s="245" t="s">
        <v>0</v>
      </c>
      <c r="H143" s="254">
        <v>30703088534</v>
      </c>
      <c r="I143" s="245" t="s">
        <v>1627</v>
      </c>
      <c r="J143" s="245" t="s">
        <v>0</v>
      </c>
      <c r="K143" s="254">
        <v>30710473168</v>
      </c>
      <c r="L143" s="254">
        <v>1</v>
      </c>
      <c r="M143" s="245" t="s">
        <v>1672</v>
      </c>
      <c r="N143" s="245"/>
      <c r="O143" s="245"/>
      <c r="P143" s="245"/>
      <c r="Q143" s="245"/>
      <c r="R143" s="245"/>
      <c r="S143" s="245"/>
      <c r="T143" s="245"/>
      <c r="U143" s="255">
        <v>29505.19</v>
      </c>
      <c r="V143" s="255">
        <v>140500.92000000001</v>
      </c>
      <c r="W143" s="245"/>
      <c r="X143" s="245"/>
      <c r="Y143" s="255">
        <v>140500.92000000001</v>
      </c>
      <c r="Z143" s="254">
        <v>0</v>
      </c>
      <c r="AA143" s="254">
        <v>0</v>
      </c>
      <c r="AB143" s="255">
        <v>9835.06</v>
      </c>
      <c r="AC143" s="255">
        <v>29505.19</v>
      </c>
      <c r="AD143" s="255">
        <v>179841.17</v>
      </c>
    </row>
    <row r="144" spans="1:31" hidden="1" x14ac:dyDescent="0.25">
      <c r="A144" s="245" t="s">
        <v>776</v>
      </c>
      <c r="B144" s="245" t="s">
        <v>1670</v>
      </c>
      <c r="C144" s="254">
        <v>2</v>
      </c>
      <c r="D144" s="254">
        <v>49</v>
      </c>
      <c r="E144" s="254">
        <v>49</v>
      </c>
      <c r="F144" s="254">
        <v>75445680672711</v>
      </c>
      <c r="G144" s="245" t="s">
        <v>0</v>
      </c>
      <c r="H144" s="254">
        <v>27243660535</v>
      </c>
      <c r="I144" s="245" t="s">
        <v>577</v>
      </c>
      <c r="J144" s="245" t="s">
        <v>0</v>
      </c>
      <c r="K144" s="254">
        <v>30710473168</v>
      </c>
      <c r="L144" s="254">
        <v>1</v>
      </c>
      <c r="M144" s="245" t="s">
        <v>1672</v>
      </c>
      <c r="N144" s="245"/>
      <c r="O144" s="245"/>
      <c r="P144" s="245"/>
      <c r="Q144" s="245"/>
      <c r="R144" s="245"/>
      <c r="S144" s="245"/>
      <c r="T144" s="245"/>
      <c r="U144" s="255">
        <v>99732.12</v>
      </c>
      <c r="V144" s="255">
        <v>474914.86</v>
      </c>
      <c r="W144" s="245"/>
      <c r="X144" s="245"/>
      <c r="Y144" s="255">
        <v>474914.86</v>
      </c>
      <c r="Z144" s="254">
        <v>0</v>
      </c>
      <c r="AA144" s="254">
        <v>0</v>
      </c>
      <c r="AB144" s="254">
        <v>0</v>
      </c>
      <c r="AC144" s="255">
        <v>99732.12</v>
      </c>
      <c r="AD144" s="255">
        <v>574646.99</v>
      </c>
    </row>
    <row r="145" spans="1:31" hidden="1" x14ac:dyDescent="0.25">
      <c r="A145" s="245" t="s">
        <v>776</v>
      </c>
      <c r="B145" s="245" t="s">
        <v>1670</v>
      </c>
      <c r="C145" s="254">
        <v>2</v>
      </c>
      <c r="D145" s="254">
        <v>50</v>
      </c>
      <c r="E145" s="254">
        <v>50</v>
      </c>
      <c r="F145" s="254">
        <v>75445680830415</v>
      </c>
      <c r="G145" s="245" t="s">
        <v>0</v>
      </c>
      <c r="H145" s="254">
        <v>27243660535</v>
      </c>
      <c r="I145" s="245" t="s">
        <v>577</v>
      </c>
      <c r="J145" s="245" t="s">
        <v>0</v>
      </c>
      <c r="K145" s="254">
        <v>30710473168</v>
      </c>
      <c r="L145" s="254">
        <v>1</v>
      </c>
      <c r="M145" s="245" t="s">
        <v>1672</v>
      </c>
      <c r="N145" s="245"/>
      <c r="O145" s="245"/>
      <c r="P145" s="245"/>
      <c r="Q145" s="245"/>
      <c r="R145" s="245"/>
      <c r="S145" s="245"/>
      <c r="T145" s="245"/>
      <c r="U145" s="255">
        <v>99732.12</v>
      </c>
      <c r="V145" s="255">
        <v>474914.86</v>
      </c>
      <c r="W145" s="245"/>
      <c r="X145" s="245"/>
      <c r="Y145" s="255">
        <v>474914.86</v>
      </c>
      <c r="Z145" s="254">
        <v>0</v>
      </c>
      <c r="AA145" s="254">
        <v>0</v>
      </c>
      <c r="AB145" s="254">
        <v>0</v>
      </c>
      <c r="AC145" s="255">
        <v>99732.12</v>
      </c>
      <c r="AD145" s="255">
        <v>574646.99</v>
      </c>
    </row>
    <row r="146" spans="1:31" hidden="1" x14ac:dyDescent="0.25">
      <c r="A146" s="245" t="s">
        <v>776</v>
      </c>
      <c r="B146" s="245" t="s">
        <v>1678</v>
      </c>
      <c r="C146" s="254">
        <v>28</v>
      </c>
      <c r="D146" s="254">
        <v>109556</v>
      </c>
      <c r="E146" s="254">
        <v>109556</v>
      </c>
      <c r="F146" s="254">
        <v>75444852669416</v>
      </c>
      <c r="G146" s="245" t="s">
        <v>0</v>
      </c>
      <c r="H146" s="254">
        <v>30703088534</v>
      </c>
      <c r="I146" s="245" t="s">
        <v>1627</v>
      </c>
      <c r="J146" s="245" t="s">
        <v>0</v>
      </c>
      <c r="K146" s="254">
        <v>30710473168</v>
      </c>
      <c r="L146" s="254">
        <v>1</v>
      </c>
      <c r="M146" s="245" t="s">
        <v>1672</v>
      </c>
      <c r="N146" s="245"/>
      <c r="O146" s="245"/>
      <c r="P146" s="245"/>
      <c r="Q146" s="245"/>
      <c r="R146" s="245"/>
      <c r="S146" s="245"/>
      <c r="T146" s="245"/>
      <c r="U146" s="255">
        <v>341.55</v>
      </c>
      <c r="V146" s="255">
        <v>1626.45</v>
      </c>
      <c r="W146" s="245"/>
      <c r="X146" s="245"/>
      <c r="Y146" s="255">
        <v>1626.45</v>
      </c>
      <c r="Z146" s="254">
        <v>0</v>
      </c>
      <c r="AA146" s="254">
        <v>0</v>
      </c>
      <c r="AB146" s="255">
        <v>48.79</v>
      </c>
      <c r="AC146" s="255">
        <v>341.55</v>
      </c>
      <c r="AD146" s="255">
        <v>2016.79</v>
      </c>
    </row>
    <row r="147" spans="1:31" hidden="1" x14ac:dyDescent="0.25">
      <c r="A147" s="245" t="s">
        <v>776</v>
      </c>
      <c r="B147" s="245" t="s">
        <v>1678</v>
      </c>
      <c r="C147" s="254">
        <v>2</v>
      </c>
      <c r="D147" s="254">
        <v>2</v>
      </c>
      <c r="E147" s="254">
        <v>2</v>
      </c>
      <c r="F147" s="254">
        <v>75445682987644</v>
      </c>
      <c r="G147" s="245" t="s">
        <v>0</v>
      </c>
      <c r="H147" s="254">
        <v>27243660535</v>
      </c>
      <c r="I147" s="245" t="s">
        <v>577</v>
      </c>
      <c r="J147" s="245" t="s">
        <v>0</v>
      </c>
      <c r="K147" s="254">
        <v>30710473168</v>
      </c>
      <c r="L147" s="254">
        <v>1</v>
      </c>
      <c r="M147" s="245" t="s">
        <v>1672</v>
      </c>
      <c r="N147" s="245"/>
      <c r="O147" s="245"/>
      <c r="P147" s="245"/>
      <c r="Q147" s="245"/>
      <c r="R147" s="245"/>
      <c r="S147" s="245"/>
      <c r="T147" s="245"/>
      <c r="U147" s="255">
        <v>99732.12</v>
      </c>
      <c r="V147" s="255">
        <v>474914.86</v>
      </c>
      <c r="W147" s="245"/>
      <c r="X147" s="245"/>
      <c r="Y147" s="255">
        <v>474914.86</v>
      </c>
      <c r="Z147" s="254">
        <v>0</v>
      </c>
      <c r="AA147" s="254">
        <v>0</v>
      </c>
      <c r="AB147" s="254">
        <v>0</v>
      </c>
      <c r="AC147" s="255">
        <v>99732.12</v>
      </c>
      <c r="AD147" s="255">
        <v>574646.99</v>
      </c>
    </row>
    <row r="148" spans="1:31" hidden="1" x14ac:dyDescent="0.25">
      <c r="A148" s="245" t="s">
        <v>777</v>
      </c>
      <c r="B148" s="245" t="s">
        <v>1670</v>
      </c>
      <c r="C148" s="254">
        <v>6</v>
      </c>
      <c r="D148" s="254">
        <v>21005478</v>
      </c>
      <c r="E148" s="254">
        <v>21005478</v>
      </c>
      <c r="F148" s="254">
        <v>75437584095096</v>
      </c>
      <c r="G148" s="245" t="s">
        <v>0</v>
      </c>
      <c r="H148" s="254">
        <v>30620177497</v>
      </c>
      <c r="I148" s="245" t="s">
        <v>1721</v>
      </c>
      <c r="J148" s="245" t="s">
        <v>0</v>
      </c>
      <c r="K148" s="254">
        <v>30710473168</v>
      </c>
      <c r="L148" s="254">
        <v>1</v>
      </c>
      <c r="M148" s="245" t="s">
        <v>1672</v>
      </c>
      <c r="N148" s="245"/>
      <c r="O148" s="245"/>
      <c r="P148" s="245"/>
      <c r="Q148" s="245"/>
      <c r="R148" s="245"/>
      <c r="S148" s="245"/>
      <c r="T148" s="245"/>
      <c r="U148" s="255">
        <v>4114.53</v>
      </c>
      <c r="V148" s="255">
        <v>19593.02</v>
      </c>
      <c r="W148" s="245"/>
      <c r="X148" s="245"/>
      <c r="Y148" s="255">
        <v>19593.02</v>
      </c>
      <c r="Z148" s="254">
        <v>0</v>
      </c>
      <c r="AA148" s="254">
        <v>0</v>
      </c>
      <c r="AB148" s="255">
        <v>1371.51</v>
      </c>
      <c r="AC148" s="255">
        <v>4114.53</v>
      </c>
      <c r="AD148" s="255">
        <v>25079.06</v>
      </c>
    </row>
    <row r="149" spans="1:31" hidden="1" x14ac:dyDescent="0.25">
      <c r="A149" s="238" t="s">
        <v>777</v>
      </c>
      <c r="B149" s="238" t="s">
        <v>1670</v>
      </c>
      <c r="C149" s="256">
        <v>1055</v>
      </c>
      <c r="D149" s="256">
        <v>925</v>
      </c>
      <c r="E149" s="256">
        <v>925</v>
      </c>
      <c r="F149" s="256">
        <v>75441814813417</v>
      </c>
      <c r="G149" s="238" t="s">
        <v>0</v>
      </c>
      <c r="H149" s="256">
        <v>30685849751</v>
      </c>
      <c r="I149" s="238" t="s">
        <v>1451</v>
      </c>
      <c r="J149" s="238" t="s">
        <v>0</v>
      </c>
      <c r="K149" s="256">
        <v>30710473168</v>
      </c>
      <c r="L149" s="256">
        <v>1</v>
      </c>
      <c r="M149" s="238" t="s">
        <v>1672</v>
      </c>
      <c r="N149" s="238"/>
      <c r="O149" s="238"/>
      <c r="P149" s="238"/>
      <c r="Q149" s="238"/>
      <c r="R149" s="238"/>
      <c r="S149" s="238"/>
      <c r="T149" s="238"/>
      <c r="U149" s="259">
        <v>838.26</v>
      </c>
      <c r="V149" s="259">
        <v>3991.74</v>
      </c>
      <c r="W149" s="238"/>
      <c r="X149" s="238"/>
      <c r="Y149" s="259">
        <v>3991.74</v>
      </c>
      <c r="Z149" s="256">
        <v>0</v>
      </c>
      <c r="AA149" s="256">
        <v>0</v>
      </c>
      <c r="AB149" s="259">
        <v>159.66999999999999</v>
      </c>
      <c r="AC149" s="259">
        <v>838.26</v>
      </c>
      <c r="AD149" s="259">
        <v>4989.67</v>
      </c>
    </row>
    <row r="150" spans="1:31" hidden="1" x14ac:dyDescent="0.25">
      <c r="A150" s="245" t="s">
        <v>777</v>
      </c>
      <c r="B150" s="245" t="s">
        <v>1670</v>
      </c>
      <c r="C150" s="254">
        <v>1002</v>
      </c>
      <c r="D150" s="254">
        <v>28165</v>
      </c>
      <c r="E150" s="254">
        <v>28165</v>
      </c>
      <c r="F150" s="254">
        <v>75446868078594</v>
      </c>
      <c r="G150" s="245" t="s">
        <v>0</v>
      </c>
      <c r="H150" s="254">
        <v>30712289046</v>
      </c>
      <c r="I150" s="245" t="s">
        <v>1722</v>
      </c>
      <c r="J150" s="245" t="s">
        <v>0</v>
      </c>
      <c r="K150" s="254">
        <v>30710473168</v>
      </c>
      <c r="L150" s="254">
        <v>1</v>
      </c>
      <c r="M150" s="245" t="s">
        <v>1672</v>
      </c>
      <c r="N150" s="245"/>
      <c r="O150" s="245"/>
      <c r="P150" s="245"/>
      <c r="Q150" s="245"/>
      <c r="R150" s="245"/>
      <c r="S150" s="245"/>
      <c r="T150" s="245"/>
      <c r="U150" s="245">
        <v>17798.7</v>
      </c>
      <c r="V150" s="245">
        <v>84755.7</v>
      </c>
      <c r="W150" s="245"/>
      <c r="X150" s="245"/>
      <c r="Y150" s="245">
        <v>84755.7</v>
      </c>
      <c r="Z150" s="254">
        <v>0</v>
      </c>
      <c r="AA150" s="254">
        <v>0</v>
      </c>
      <c r="AB150" s="255">
        <v>13482.57</v>
      </c>
      <c r="AC150" s="245">
        <v>17798.7</v>
      </c>
      <c r="AD150" s="255">
        <v>116036.97</v>
      </c>
    </row>
    <row r="151" spans="1:31" hidden="1" x14ac:dyDescent="0.25">
      <c r="A151" s="245" t="s">
        <v>777</v>
      </c>
      <c r="B151" s="245" t="s">
        <v>1670</v>
      </c>
      <c r="C151" s="254">
        <v>3</v>
      </c>
      <c r="D151" s="254">
        <v>2462</v>
      </c>
      <c r="E151" s="254">
        <v>2462</v>
      </c>
      <c r="F151" s="254">
        <v>75442899072806</v>
      </c>
      <c r="G151" s="245" t="s">
        <v>0</v>
      </c>
      <c r="H151" s="254">
        <v>30718627792</v>
      </c>
      <c r="I151" s="245" t="s">
        <v>1723</v>
      </c>
      <c r="J151" s="245" t="s">
        <v>0</v>
      </c>
      <c r="K151" s="254">
        <v>30710473168</v>
      </c>
      <c r="L151" s="254">
        <v>1</v>
      </c>
      <c r="M151" s="245" t="s">
        <v>1672</v>
      </c>
      <c r="N151" s="245"/>
      <c r="O151" s="245"/>
      <c r="P151" s="245"/>
      <c r="Q151" s="245"/>
      <c r="R151" s="245"/>
      <c r="S151" s="245"/>
      <c r="T151" s="245"/>
      <c r="U151" s="255">
        <v>74627.75</v>
      </c>
      <c r="V151" s="255">
        <v>355370.25</v>
      </c>
      <c r="W151" s="245"/>
      <c r="X151" s="245"/>
      <c r="Y151" s="255">
        <v>355370.25</v>
      </c>
      <c r="Z151" s="254">
        <v>0</v>
      </c>
      <c r="AA151" s="254">
        <v>0</v>
      </c>
      <c r="AB151" s="254">
        <v>0</v>
      </c>
      <c r="AC151" s="255">
        <v>74627.75</v>
      </c>
      <c r="AD151" s="254">
        <v>429998</v>
      </c>
    </row>
    <row r="152" spans="1:31" hidden="1" x14ac:dyDescent="0.25">
      <c r="A152" s="245" t="s">
        <v>777</v>
      </c>
      <c r="B152" s="245" t="s">
        <v>1670</v>
      </c>
      <c r="C152" s="254">
        <v>2</v>
      </c>
      <c r="D152" s="254">
        <v>1638</v>
      </c>
      <c r="E152" s="254">
        <v>1638</v>
      </c>
      <c r="F152" s="254">
        <v>75449855211188</v>
      </c>
      <c r="G152" s="245" t="s">
        <v>0</v>
      </c>
      <c r="H152" s="254">
        <v>20272865869</v>
      </c>
      <c r="I152" s="245" t="s">
        <v>561</v>
      </c>
      <c r="J152" s="245" t="s">
        <v>0</v>
      </c>
      <c r="K152" s="254">
        <v>30710473168</v>
      </c>
      <c r="L152" s="254">
        <v>1</v>
      </c>
      <c r="M152" s="245" t="s">
        <v>1672</v>
      </c>
      <c r="N152" s="245"/>
      <c r="O152" s="245"/>
      <c r="P152" s="245"/>
      <c r="Q152" s="245"/>
      <c r="R152" s="245"/>
      <c r="S152" s="245"/>
      <c r="T152" s="245"/>
      <c r="U152" s="254">
        <v>5985</v>
      </c>
      <c r="V152" s="254">
        <v>28500</v>
      </c>
      <c r="W152" s="245"/>
      <c r="X152" s="245"/>
      <c r="Y152" s="254">
        <v>28500</v>
      </c>
      <c r="Z152" s="254">
        <v>0</v>
      </c>
      <c r="AA152" s="254">
        <v>0</v>
      </c>
      <c r="AB152" s="254">
        <v>0</v>
      </c>
      <c r="AC152" s="254">
        <v>5985</v>
      </c>
      <c r="AD152" s="254">
        <v>34485</v>
      </c>
    </row>
    <row r="153" spans="1:31" hidden="1" x14ac:dyDescent="0.25">
      <c r="A153" s="238" t="s">
        <v>778</v>
      </c>
      <c r="B153" s="238" t="s">
        <v>1670</v>
      </c>
      <c r="C153" s="256">
        <v>6</v>
      </c>
      <c r="D153" s="256">
        <v>59569</v>
      </c>
      <c r="E153" s="256">
        <v>59569</v>
      </c>
      <c r="F153" s="256">
        <v>75448978661892</v>
      </c>
      <c r="G153" s="238" t="s">
        <v>0</v>
      </c>
      <c r="H153" s="256">
        <v>30710177658</v>
      </c>
      <c r="I153" s="238" t="s">
        <v>1704</v>
      </c>
      <c r="J153" s="238" t="s">
        <v>0</v>
      </c>
      <c r="K153" s="256">
        <v>30710473168</v>
      </c>
      <c r="L153" s="256">
        <v>1438</v>
      </c>
      <c r="M153" s="238" t="s">
        <v>1718</v>
      </c>
      <c r="N153" s="238"/>
      <c r="O153" s="238"/>
      <c r="P153" s="238"/>
      <c r="Q153" s="238"/>
      <c r="R153" s="238"/>
      <c r="S153" s="238"/>
      <c r="T153" s="238"/>
      <c r="U153" s="256">
        <v>84</v>
      </c>
      <c r="V153" s="256">
        <v>400</v>
      </c>
      <c r="W153" s="238"/>
      <c r="X153" s="238"/>
      <c r="Y153" s="256">
        <v>400</v>
      </c>
      <c r="Z153" s="256">
        <v>0</v>
      </c>
      <c r="AA153" s="256">
        <v>0</v>
      </c>
      <c r="AB153" s="256">
        <v>16</v>
      </c>
      <c r="AC153" s="256">
        <v>84</v>
      </c>
      <c r="AD153" s="256">
        <v>500</v>
      </c>
    </row>
    <row r="154" spans="1:31" hidden="1" x14ac:dyDescent="0.25">
      <c r="A154" s="245" t="s">
        <v>778</v>
      </c>
      <c r="B154" s="245" t="s">
        <v>1670</v>
      </c>
      <c r="C154" s="254">
        <v>16</v>
      </c>
      <c r="D154" s="254">
        <v>64</v>
      </c>
      <c r="E154" s="254">
        <v>64</v>
      </c>
      <c r="F154" s="254">
        <v>75443970780508</v>
      </c>
      <c r="G154" s="245" t="s">
        <v>0</v>
      </c>
      <c r="H154" s="254">
        <v>27310367813</v>
      </c>
      <c r="I154" s="245" t="s">
        <v>280</v>
      </c>
      <c r="J154" s="245" t="s">
        <v>0</v>
      </c>
      <c r="K154" s="254">
        <v>30710473168</v>
      </c>
      <c r="L154" s="254">
        <v>1</v>
      </c>
      <c r="M154" s="245" t="s">
        <v>1672</v>
      </c>
      <c r="N154" s="245"/>
      <c r="O154" s="245"/>
      <c r="P154" s="245"/>
      <c r="Q154" s="245"/>
      <c r="R154" s="245"/>
      <c r="S154" s="245"/>
      <c r="T154" s="245"/>
      <c r="U154" s="245">
        <v>39952.199999999997</v>
      </c>
      <c r="V154" s="255">
        <v>190248.57</v>
      </c>
      <c r="W154" s="245"/>
      <c r="X154" s="245"/>
      <c r="Y154" s="255">
        <v>190248.57</v>
      </c>
      <c r="Z154" s="254">
        <v>0</v>
      </c>
      <c r="AA154" s="254">
        <v>0</v>
      </c>
      <c r="AB154" s="254">
        <v>0</v>
      </c>
      <c r="AC154" s="245">
        <v>39952.199999999997</v>
      </c>
      <c r="AD154" s="255">
        <v>230200.77</v>
      </c>
      <c r="AE154" t="s">
        <v>1676</v>
      </c>
    </row>
    <row r="155" spans="1:31" hidden="1" x14ac:dyDescent="0.25">
      <c r="A155" s="245" t="s">
        <v>757</v>
      </c>
      <c r="B155" s="245" t="s">
        <v>1670</v>
      </c>
      <c r="C155" s="254">
        <v>126</v>
      </c>
      <c r="D155" s="254">
        <v>196908</v>
      </c>
      <c r="E155" s="254">
        <v>196908</v>
      </c>
      <c r="F155" s="254">
        <v>75420187399625</v>
      </c>
      <c r="G155" s="245" t="s">
        <v>0</v>
      </c>
      <c r="H155" s="254">
        <v>30577207190</v>
      </c>
      <c r="I155" s="245" t="s">
        <v>1511</v>
      </c>
      <c r="J155" s="245" t="s">
        <v>0</v>
      </c>
      <c r="K155" s="254">
        <v>30710473168</v>
      </c>
      <c r="L155" s="254">
        <v>1</v>
      </c>
      <c r="M155" s="245" t="s">
        <v>1672</v>
      </c>
      <c r="N155" s="245"/>
      <c r="O155" s="245"/>
      <c r="P155" s="245"/>
      <c r="Q155" s="245"/>
      <c r="R155" s="245"/>
      <c r="S155" s="245"/>
      <c r="T155" s="245"/>
      <c r="U155" s="245">
        <v>312.39999999999998</v>
      </c>
      <c r="V155" s="246">
        <v>1487.6</v>
      </c>
      <c r="W155" s="245"/>
      <c r="X155" s="245"/>
      <c r="Y155" s="245">
        <v>1487.6</v>
      </c>
      <c r="Z155" s="254">
        <v>0</v>
      </c>
      <c r="AA155" s="254"/>
      <c r="AB155" s="254">
        <v>0</v>
      </c>
      <c r="AC155" s="245">
        <v>312.39999999999998</v>
      </c>
      <c r="AD155" s="254">
        <v>1800</v>
      </c>
      <c r="AE155" s="258" t="s">
        <v>1676</v>
      </c>
    </row>
    <row r="156" spans="1:31" hidden="1" x14ac:dyDescent="0.25">
      <c r="A156" s="245" t="s">
        <v>778</v>
      </c>
      <c r="B156" s="245" t="s">
        <v>1670</v>
      </c>
      <c r="C156" s="254">
        <v>126</v>
      </c>
      <c r="D156" s="254">
        <v>225855</v>
      </c>
      <c r="E156" s="254">
        <v>225855</v>
      </c>
      <c r="F156" s="254">
        <v>75440344644350</v>
      </c>
      <c r="G156" s="245" t="s">
        <v>0</v>
      </c>
      <c r="H156" s="254">
        <v>30577207190</v>
      </c>
      <c r="I156" s="245" t="s">
        <v>1511</v>
      </c>
      <c r="J156" s="245" t="s">
        <v>0</v>
      </c>
      <c r="K156" s="254">
        <v>30710473168</v>
      </c>
      <c r="L156" s="254">
        <v>1</v>
      </c>
      <c r="M156" s="245" t="s">
        <v>1672</v>
      </c>
      <c r="N156" s="245"/>
      <c r="O156" s="245"/>
      <c r="P156" s="245"/>
      <c r="Q156" s="245"/>
      <c r="R156" s="245"/>
      <c r="S156" s="245"/>
      <c r="T156" s="245"/>
      <c r="U156" s="255">
        <v>2188.86</v>
      </c>
      <c r="V156" s="257">
        <v>10423.14</v>
      </c>
      <c r="W156" s="245"/>
      <c r="X156" s="245"/>
      <c r="Y156" s="255">
        <v>10423.14</v>
      </c>
      <c r="Z156" s="254">
        <v>0</v>
      </c>
      <c r="AA156" s="254"/>
      <c r="AB156" s="255">
        <v>312.69</v>
      </c>
      <c r="AC156" s="255">
        <v>2188.86</v>
      </c>
      <c r="AD156" s="255">
        <v>12924.69</v>
      </c>
      <c r="AE156" s="258" t="s">
        <v>1676</v>
      </c>
    </row>
    <row r="157" spans="1:31" hidden="1" x14ac:dyDescent="0.25">
      <c r="A157" s="245" t="s">
        <v>696</v>
      </c>
      <c r="B157" s="245" t="s">
        <v>1670</v>
      </c>
      <c r="C157" s="254">
        <v>629</v>
      </c>
      <c r="D157" s="254">
        <v>6496049</v>
      </c>
      <c r="E157" s="254">
        <v>6496049</v>
      </c>
      <c r="F157" s="254">
        <v>35393317450680</v>
      </c>
      <c r="G157" s="245" t="s">
        <v>0</v>
      </c>
      <c r="H157" s="254">
        <v>30663498513</v>
      </c>
      <c r="I157" s="245" t="s">
        <v>587</v>
      </c>
      <c r="J157" s="245" t="s">
        <v>0</v>
      </c>
      <c r="K157" s="254">
        <v>30710473168</v>
      </c>
      <c r="L157" s="254">
        <v>1</v>
      </c>
      <c r="M157" s="245" t="s">
        <v>1672</v>
      </c>
      <c r="N157" s="245"/>
      <c r="O157" s="245"/>
      <c r="P157" s="245"/>
      <c r="Q157" s="245"/>
      <c r="R157" s="245"/>
      <c r="S157" s="245"/>
      <c r="T157" s="245"/>
      <c r="U157" s="255">
        <v>727.98</v>
      </c>
      <c r="V157" s="255">
        <v>3466.56</v>
      </c>
      <c r="W157" s="245"/>
      <c r="X157" s="245"/>
      <c r="Y157" s="255">
        <v>3466.56</v>
      </c>
      <c r="Z157" s="254">
        <v>0</v>
      </c>
      <c r="AA157" s="254">
        <v>0</v>
      </c>
      <c r="AB157" s="255">
        <v>138.66</v>
      </c>
      <c r="AC157" s="255">
        <v>727.98</v>
      </c>
      <c r="AD157" s="245">
        <v>4333.2</v>
      </c>
    </row>
    <row r="158" spans="1:31" hidden="1" x14ac:dyDescent="0.25">
      <c r="A158" s="245" t="s">
        <v>758</v>
      </c>
      <c r="B158" s="245" t="s">
        <v>1670</v>
      </c>
      <c r="C158" s="254">
        <v>629</v>
      </c>
      <c r="D158" s="254">
        <v>6537785</v>
      </c>
      <c r="E158" s="254">
        <v>6537785</v>
      </c>
      <c r="F158" s="254">
        <v>35413809042717</v>
      </c>
      <c r="G158" s="245" t="s">
        <v>0</v>
      </c>
      <c r="H158" s="254">
        <v>30663498513</v>
      </c>
      <c r="I158" s="245" t="s">
        <v>587</v>
      </c>
      <c r="J158" s="245" t="s">
        <v>0</v>
      </c>
      <c r="K158" s="254">
        <v>30710473168</v>
      </c>
      <c r="L158" s="254">
        <v>1</v>
      </c>
      <c r="M158" s="245" t="s">
        <v>1672</v>
      </c>
      <c r="N158" s="245"/>
      <c r="O158" s="245"/>
      <c r="P158" s="245"/>
      <c r="Q158" s="245"/>
      <c r="R158" s="245"/>
      <c r="S158" s="245"/>
      <c r="T158" s="245"/>
      <c r="U158" s="255">
        <v>1043.45</v>
      </c>
      <c r="V158" s="255">
        <v>4968.79</v>
      </c>
      <c r="W158" s="245"/>
      <c r="X158" s="245"/>
      <c r="Y158" s="255">
        <v>4968.79</v>
      </c>
      <c r="Z158" s="254">
        <v>0</v>
      </c>
      <c r="AA158" s="254">
        <v>0</v>
      </c>
      <c r="AB158" s="255">
        <v>198.75</v>
      </c>
      <c r="AC158" s="255">
        <v>1043.45</v>
      </c>
      <c r="AD158" s="255">
        <v>6210.99</v>
      </c>
    </row>
    <row r="159" spans="1:31" hidden="1" x14ac:dyDescent="0.25">
      <c r="A159" s="245" t="s">
        <v>778</v>
      </c>
      <c r="B159" s="245" t="s">
        <v>1670</v>
      </c>
      <c r="C159" s="254">
        <v>11</v>
      </c>
      <c r="D159" s="254">
        <v>834</v>
      </c>
      <c r="E159" s="254">
        <v>834</v>
      </c>
      <c r="F159" s="254">
        <v>75441953464612</v>
      </c>
      <c r="G159" s="245" t="s">
        <v>0</v>
      </c>
      <c r="H159" s="254">
        <v>27167838001</v>
      </c>
      <c r="I159" s="245" t="s">
        <v>1724</v>
      </c>
      <c r="J159" s="245" t="s">
        <v>0</v>
      </c>
      <c r="K159" s="254">
        <v>30710473168</v>
      </c>
      <c r="L159" s="254">
        <v>1</v>
      </c>
      <c r="M159" s="245" t="s">
        <v>1672</v>
      </c>
      <c r="N159" s="245"/>
      <c r="O159" s="245"/>
      <c r="P159" s="245"/>
      <c r="Q159" s="245"/>
      <c r="R159" s="245"/>
      <c r="S159" s="245"/>
      <c r="T159" s="245"/>
      <c r="U159" s="254">
        <v>66150</v>
      </c>
      <c r="V159" s="254">
        <v>315000</v>
      </c>
      <c r="W159" s="245"/>
      <c r="X159" s="245"/>
      <c r="Y159" s="254">
        <v>315000</v>
      </c>
      <c r="Z159" s="254">
        <v>0</v>
      </c>
      <c r="AA159" s="254">
        <v>0</v>
      </c>
      <c r="AB159" s="254">
        <v>0</v>
      </c>
      <c r="AC159" s="254">
        <v>66150</v>
      </c>
      <c r="AD159" s="254">
        <v>381150</v>
      </c>
    </row>
    <row r="160" spans="1:31" hidden="1" x14ac:dyDescent="0.25">
      <c r="A160" s="245" t="s">
        <v>778</v>
      </c>
      <c r="B160" s="245" t="s">
        <v>1670</v>
      </c>
      <c r="C160" s="254">
        <v>11</v>
      </c>
      <c r="D160" s="254">
        <v>835</v>
      </c>
      <c r="E160" s="254">
        <v>835</v>
      </c>
      <c r="F160" s="254">
        <v>75441954483600</v>
      </c>
      <c r="G160" s="245" t="s">
        <v>0</v>
      </c>
      <c r="H160" s="254">
        <v>27167838001</v>
      </c>
      <c r="I160" s="245" t="s">
        <v>1724</v>
      </c>
      <c r="J160" s="245" t="s">
        <v>0</v>
      </c>
      <c r="K160" s="254">
        <v>30710473168</v>
      </c>
      <c r="L160" s="254">
        <v>1</v>
      </c>
      <c r="M160" s="245" t="s">
        <v>1672</v>
      </c>
      <c r="N160" s="245"/>
      <c r="O160" s="245"/>
      <c r="P160" s="245"/>
      <c r="Q160" s="245"/>
      <c r="R160" s="245"/>
      <c r="S160" s="245"/>
      <c r="T160" s="245"/>
      <c r="U160" s="254">
        <v>74970</v>
      </c>
      <c r="V160" s="254">
        <v>357000</v>
      </c>
      <c r="W160" s="245"/>
      <c r="X160" s="245"/>
      <c r="Y160" s="254">
        <v>357000</v>
      </c>
      <c r="Z160" s="254">
        <v>0</v>
      </c>
      <c r="AA160" s="254">
        <v>0</v>
      </c>
      <c r="AB160" s="254">
        <v>0</v>
      </c>
      <c r="AC160" s="254">
        <v>74970</v>
      </c>
      <c r="AD160" s="254">
        <v>431970</v>
      </c>
    </row>
    <row r="161" spans="1:30" hidden="1" x14ac:dyDescent="0.25">
      <c r="A161" s="245" t="s">
        <v>778</v>
      </c>
      <c r="B161" s="245" t="s">
        <v>1678</v>
      </c>
      <c r="C161" s="254">
        <v>11</v>
      </c>
      <c r="D161" s="254">
        <v>33</v>
      </c>
      <c r="E161" s="254">
        <v>33</v>
      </c>
      <c r="F161" s="254">
        <v>75441954032876</v>
      </c>
      <c r="G161" s="245" t="s">
        <v>0</v>
      </c>
      <c r="H161" s="254">
        <v>27167838001</v>
      </c>
      <c r="I161" s="245" t="s">
        <v>1724</v>
      </c>
      <c r="J161" s="245" t="s">
        <v>0</v>
      </c>
      <c r="K161" s="254">
        <v>30710473168</v>
      </c>
      <c r="L161" s="254">
        <v>1</v>
      </c>
      <c r="M161" s="245" t="s">
        <v>1672</v>
      </c>
      <c r="N161" s="245"/>
      <c r="O161" s="245"/>
      <c r="P161" s="245"/>
      <c r="Q161" s="245"/>
      <c r="R161" s="245"/>
      <c r="S161" s="245"/>
      <c r="T161" s="245"/>
      <c r="U161" s="254">
        <v>66150</v>
      </c>
      <c r="V161" s="254">
        <v>315000</v>
      </c>
      <c r="W161" s="245"/>
      <c r="X161" s="245"/>
      <c r="Y161" s="254">
        <v>315000</v>
      </c>
      <c r="Z161" s="254">
        <v>0</v>
      </c>
      <c r="AA161" s="254">
        <v>0</v>
      </c>
      <c r="AB161" s="254">
        <v>0</v>
      </c>
      <c r="AC161" s="254">
        <v>66150</v>
      </c>
      <c r="AD161" s="254">
        <v>381150</v>
      </c>
    </row>
    <row r="162" spans="1:30" hidden="1" x14ac:dyDescent="0.25">
      <c r="A162" s="245" t="s">
        <v>778</v>
      </c>
      <c r="B162" s="245" t="s">
        <v>1679</v>
      </c>
      <c r="C162" s="254">
        <v>1</v>
      </c>
      <c r="D162" s="254">
        <v>45</v>
      </c>
      <c r="E162" s="254">
        <v>45</v>
      </c>
      <c r="F162" s="254">
        <v>75441972536946</v>
      </c>
      <c r="G162" s="245" t="s">
        <v>0</v>
      </c>
      <c r="H162" s="254">
        <v>20311855671</v>
      </c>
      <c r="I162" s="245" t="s">
        <v>1680</v>
      </c>
      <c r="J162" s="245" t="s">
        <v>0</v>
      </c>
      <c r="K162" s="254">
        <v>30710473168</v>
      </c>
      <c r="L162" s="254">
        <v>1</v>
      </c>
      <c r="M162" s="245" t="s">
        <v>1672</v>
      </c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54">
        <v>0</v>
      </c>
      <c r="AC162" s="245"/>
      <c r="AD162" s="254">
        <v>717200</v>
      </c>
    </row>
  </sheetData>
  <autoFilter ref="A9:AE162" xr:uid="{00000000-0009-0000-0000-000005000000}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48576"/>
  <sheetViews>
    <sheetView topLeftCell="B1" zoomScale="95" zoomScaleNormal="95" workbookViewId="0">
      <selection activeCell="A161" sqref="A161"/>
    </sheetView>
  </sheetViews>
  <sheetFormatPr baseColWidth="10" defaultColWidth="11.5703125" defaultRowHeight="13.5" customHeight="1" x14ac:dyDescent="0.25"/>
  <cols>
    <col min="4" max="4" width="25.28515625" customWidth="1"/>
    <col min="5" max="5" width="33.7109375" customWidth="1"/>
    <col min="6" max="6" width="19.85546875" style="264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 x14ac:dyDescent="0.25"/>
    <row r="2" spans="1:25" ht="15" x14ac:dyDescent="0.25">
      <c r="A2" s="253" t="s">
        <v>656</v>
      </c>
      <c r="B2" s="253" t="s">
        <v>1644</v>
      </c>
      <c r="C2" s="253" t="s">
        <v>1645</v>
      </c>
      <c r="D2" s="253" t="s">
        <v>1646</v>
      </c>
      <c r="E2" s="253" t="s">
        <v>1651</v>
      </c>
      <c r="F2" s="253" t="s">
        <v>1725</v>
      </c>
      <c r="G2" s="253"/>
      <c r="H2" s="253" t="s">
        <v>1649</v>
      </c>
      <c r="I2" s="253" t="s">
        <v>1650</v>
      </c>
      <c r="J2" s="253"/>
      <c r="K2" s="253" t="s">
        <v>1652</v>
      </c>
      <c r="L2" s="253" t="s">
        <v>1653</v>
      </c>
      <c r="M2" s="253" t="s">
        <v>1654</v>
      </c>
      <c r="N2" s="253" t="s">
        <v>605</v>
      </c>
      <c r="O2" s="253" t="s">
        <v>1661</v>
      </c>
      <c r="P2" s="253" t="s">
        <v>603</v>
      </c>
      <c r="Q2" s="253" t="s">
        <v>1662</v>
      </c>
      <c r="R2" s="253" t="s">
        <v>604</v>
      </c>
      <c r="S2" s="253" t="s">
        <v>1663</v>
      </c>
      <c r="T2" s="253" t="s">
        <v>1664</v>
      </c>
      <c r="U2" s="253" t="s">
        <v>1665</v>
      </c>
      <c r="V2" s="253" t="s">
        <v>1666</v>
      </c>
      <c r="W2" s="253" t="s">
        <v>1667</v>
      </c>
      <c r="X2" s="253" t="s">
        <v>693</v>
      </c>
      <c r="Y2" s="253" t="s">
        <v>1668</v>
      </c>
    </row>
    <row r="3" spans="1:25" ht="15" x14ac:dyDescent="0.25">
      <c r="A3" s="265" t="s">
        <v>784</v>
      </c>
      <c r="B3" s="265" t="s">
        <v>1679</v>
      </c>
      <c r="C3" s="266">
        <v>4</v>
      </c>
      <c r="D3" s="266">
        <v>80</v>
      </c>
      <c r="E3" s="267" t="s">
        <v>68</v>
      </c>
      <c r="F3" s="268">
        <v>20086277523</v>
      </c>
      <c r="G3" s="266"/>
      <c r="H3" s="267" t="s">
        <v>0</v>
      </c>
      <c r="I3" s="266">
        <v>20086277523</v>
      </c>
      <c r="J3" s="267"/>
      <c r="K3" s="267" t="s">
        <v>0</v>
      </c>
      <c r="L3" s="266">
        <v>30710473168</v>
      </c>
      <c r="M3" s="269">
        <v>1</v>
      </c>
      <c r="N3" s="265"/>
      <c r="O3" s="265"/>
      <c r="P3" s="265"/>
      <c r="Q3" s="265"/>
      <c r="R3" s="265"/>
      <c r="S3" s="265"/>
      <c r="T3" s="265"/>
      <c r="U3" s="265"/>
      <c r="V3" s="265"/>
      <c r="W3" s="269">
        <v>0</v>
      </c>
      <c r="X3" s="265"/>
      <c r="Y3" s="270">
        <v>300000</v>
      </c>
    </row>
    <row r="4" spans="1:25" ht="15" x14ac:dyDescent="0.25">
      <c r="A4" s="271" t="s">
        <v>784</v>
      </c>
      <c r="B4" s="271" t="s">
        <v>784</v>
      </c>
      <c r="C4" s="272" t="s">
        <v>784</v>
      </c>
      <c r="D4" s="272" t="s">
        <v>1372</v>
      </c>
      <c r="E4" s="272" t="s">
        <v>1373</v>
      </c>
      <c r="F4" s="273" t="s">
        <v>1374</v>
      </c>
      <c r="G4" s="272" t="s">
        <v>761</v>
      </c>
      <c r="H4" s="272">
        <v>0</v>
      </c>
      <c r="I4" s="272">
        <v>0</v>
      </c>
      <c r="J4" s="272">
        <v>0</v>
      </c>
      <c r="K4" s="272">
        <v>0</v>
      </c>
      <c r="L4" s="272">
        <v>0</v>
      </c>
      <c r="M4" s="271">
        <v>0</v>
      </c>
      <c r="N4" s="271">
        <v>300000</v>
      </c>
      <c r="O4" s="271">
        <v>0</v>
      </c>
      <c r="P4" s="271">
        <v>0</v>
      </c>
      <c r="Q4" s="271">
        <v>0</v>
      </c>
      <c r="R4" s="271">
        <v>0</v>
      </c>
      <c r="S4" s="271">
        <v>0</v>
      </c>
      <c r="T4" s="271">
        <v>0</v>
      </c>
      <c r="U4" s="271">
        <v>0</v>
      </c>
      <c r="V4" s="274">
        <v>300000</v>
      </c>
      <c r="W4" s="271" t="s">
        <v>1351</v>
      </c>
      <c r="X4" s="238"/>
      <c r="Y4" s="274">
        <v>300000</v>
      </c>
    </row>
    <row r="5" spans="1:25" ht="15" x14ac:dyDescent="0.25">
      <c r="A5" s="265" t="s">
        <v>825</v>
      </c>
      <c r="B5" s="265" t="s">
        <v>1670</v>
      </c>
      <c r="C5" s="275">
        <v>4</v>
      </c>
      <c r="D5" s="275">
        <v>138</v>
      </c>
      <c r="E5" s="276" t="s">
        <v>339</v>
      </c>
      <c r="F5" s="277">
        <v>20174004146</v>
      </c>
      <c r="G5" s="275"/>
      <c r="H5" s="276" t="s">
        <v>0</v>
      </c>
      <c r="I5" s="275">
        <v>20174004146</v>
      </c>
      <c r="J5" s="276"/>
      <c r="K5" s="276" t="s">
        <v>0</v>
      </c>
      <c r="L5" s="275">
        <v>30710473168</v>
      </c>
      <c r="M5" s="269">
        <v>1</v>
      </c>
      <c r="N5" s="265"/>
      <c r="O5" s="265"/>
      <c r="P5" s="269">
        <v>56700</v>
      </c>
      <c r="Q5" s="269">
        <v>270000</v>
      </c>
      <c r="R5" s="265"/>
      <c r="S5" s="265"/>
      <c r="T5" s="269">
        <v>270000</v>
      </c>
      <c r="U5" s="269">
        <v>0</v>
      </c>
      <c r="V5" s="269">
        <v>0</v>
      </c>
      <c r="W5" s="269">
        <v>0</v>
      </c>
      <c r="X5" s="269">
        <v>56700</v>
      </c>
      <c r="Y5" s="270">
        <v>326700</v>
      </c>
    </row>
    <row r="6" spans="1:25" ht="15" x14ac:dyDescent="0.25">
      <c r="A6" s="265" t="s">
        <v>1164</v>
      </c>
      <c r="B6" s="265" t="s">
        <v>1670</v>
      </c>
      <c r="C6" s="275">
        <v>4</v>
      </c>
      <c r="D6" s="275">
        <v>141</v>
      </c>
      <c r="E6" s="276" t="s">
        <v>339</v>
      </c>
      <c r="F6" s="277">
        <v>20174004146</v>
      </c>
      <c r="G6" s="275"/>
      <c r="H6" s="276" t="s">
        <v>0</v>
      </c>
      <c r="I6" s="275">
        <v>20174004146</v>
      </c>
      <c r="J6" s="276"/>
      <c r="K6" s="276" t="s">
        <v>0</v>
      </c>
      <c r="L6" s="275">
        <v>30710473168</v>
      </c>
      <c r="M6" s="269">
        <v>1</v>
      </c>
      <c r="N6" s="265"/>
      <c r="O6" s="265"/>
      <c r="P6" s="269">
        <v>58800</v>
      </c>
      <c r="Q6" s="269">
        <v>280000</v>
      </c>
      <c r="R6" s="265"/>
      <c r="S6" s="265"/>
      <c r="T6" s="269">
        <v>280000</v>
      </c>
      <c r="U6" s="269">
        <v>0</v>
      </c>
      <c r="V6" s="269">
        <v>0</v>
      </c>
      <c r="W6" s="269">
        <v>0</v>
      </c>
      <c r="X6" s="269">
        <v>58800</v>
      </c>
      <c r="Y6" s="270">
        <v>338800</v>
      </c>
    </row>
    <row r="7" spans="1:25" ht="15" x14ac:dyDescent="0.25">
      <c r="A7" s="265" t="s">
        <v>1191</v>
      </c>
      <c r="B7" s="265" t="s">
        <v>1670</v>
      </c>
      <c r="C7" s="266">
        <v>4</v>
      </c>
      <c r="D7" s="266">
        <v>142</v>
      </c>
      <c r="E7" s="267" t="s">
        <v>339</v>
      </c>
      <c r="F7" s="268">
        <v>20174004146</v>
      </c>
      <c r="G7" s="266"/>
      <c r="H7" s="267" t="s">
        <v>0</v>
      </c>
      <c r="I7" s="266">
        <v>20174004146</v>
      </c>
      <c r="J7" s="267"/>
      <c r="K7" s="267" t="s">
        <v>0</v>
      </c>
      <c r="L7" s="266">
        <v>30710473168</v>
      </c>
      <c r="M7" s="269">
        <v>1</v>
      </c>
      <c r="N7" s="265"/>
      <c r="O7" s="265"/>
      <c r="P7" s="269">
        <v>69825</v>
      </c>
      <c r="Q7" s="269">
        <v>332500</v>
      </c>
      <c r="R7" s="265"/>
      <c r="S7" s="265"/>
      <c r="T7" s="269">
        <v>332500</v>
      </c>
      <c r="U7" s="269">
        <v>0</v>
      </c>
      <c r="V7" s="269">
        <v>0</v>
      </c>
      <c r="W7" s="269">
        <v>0</v>
      </c>
      <c r="X7" s="269">
        <v>69825</v>
      </c>
      <c r="Y7" s="270">
        <v>402325</v>
      </c>
    </row>
    <row r="8" spans="1:25" ht="15" x14ac:dyDescent="0.25">
      <c r="A8" s="265" t="s">
        <v>1249</v>
      </c>
      <c r="B8" s="265" t="s">
        <v>1670</v>
      </c>
      <c r="C8" s="266">
        <v>4</v>
      </c>
      <c r="D8" s="266">
        <v>143</v>
      </c>
      <c r="E8" s="267" t="s">
        <v>339</v>
      </c>
      <c r="F8" s="268">
        <v>20174004146</v>
      </c>
      <c r="G8" s="266"/>
      <c r="H8" s="267" t="s">
        <v>0</v>
      </c>
      <c r="I8" s="266">
        <v>20174004146</v>
      </c>
      <c r="J8" s="267"/>
      <c r="K8" s="267" t="s">
        <v>0</v>
      </c>
      <c r="L8" s="266">
        <v>30710473168</v>
      </c>
      <c r="M8" s="269">
        <v>1</v>
      </c>
      <c r="N8" s="265"/>
      <c r="O8" s="265"/>
      <c r="P8" s="269">
        <v>55125</v>
      </c>
      <c r="Q8" s="269">
        <v>262500</v>
      </c>
      <c r="R8" s="265"/>
      <c r="S8" s="265"/>
      <c r="T8" s="269">
        <v>262500</v>
      </c>
      <c r="U8" s="269">
        <v>0</v>
      </c>
      <c r="V8" s="269">
        <v>0</v>
      </c>
      <c r="W8" s="269">
        <v>0</v>
      </c>
      <c r="X8" s="269">
        <v>55125</v>
      </c>
      <c r="Y8" s="270">
        <v>317625</v>
      </c>
    </row>
    <row r="9" spans="1:25" ht="15" x14ac:dyDescent="0.25">
      <c r="A9" s="271" t="s">
        <v>825</v>
      </c>
      <c r="B9" s="271" t="s">
        <v>825</v>
      </c>
      <c r="C9" s="245" t="s">
        <v>825</v>
      </c>
      <c r="D9" s="245" t="s">
        <v>1399</v>
      </c>
      <c r="E9" s="245" t="s">
        <v>1400</v>
      </c>
      <c r="F9" s="278" t="s">
        <v>1401</v>
      </c>
      <c r="G9" s="245" t="s">
        <v>782</v>
      </c>
      <c r="H9" s="245">
        <v>0</v>
      </c>
      <c r="I9" s="245">
        <v>0</v>
      </c>
      <c r="J9" s="245">
        <v>0</v>
      </c>
      <c r="K9" s="245">
        <v>270000</v>
      </c>
      <c r="L9" s="245">
        <v>0</v>
      </c>
      <c r="M9" s="271">
        <v>0</v>
      </c>
      <c r="N9" s="271">
        <v>0</v>
      </c>
      <c r="O9" s="271">
        <v>56700</v>
      </c>
      <c r="P9" s="271">
        <v>0</v>
      </c>
      <c r="Q9" s="271">
        <v>0</v>
      </c>
      <c r="R9" s="271">
        <v>0</v>
      </c>
      <c r="S9" s="271">
        <v>0</v>
      </c>
      <c r="T9" s="271">
        <v>0</v>
      </c>
      <c r="U9" s="271">
        <v>0</v>
      </c>
      <c r="V9" s="274">
        <v>326700</v>
      </c>
      <c r="W9" s="271" t="s">
        <v>1348</v>
      </c>
      <c r="X9" s="238"/>
      <c r="Y9" s="274">
        <v>326700</v>
      </c>
    </row>
    <row r="10" spans="1:25" ht="15" x14ac:dyDescent="0.25">
      <c r="A10" s="265" t="s">
        <v>1589</v>
      </c>
      <c r="B10" s="265" t="s">
        <v>1679</v>
      </c>
      <c r="C10" s="266">
        <v>9</v>
      </c>
      <c r="D10" s="266">
        <v>197</v>
      </c>
      <c r="E10" s="267" t="s">
        <v>111</v>
      </c>
      <c r="F10" s="268">
        <v>20233248283</v>
      </c>
      <c r="G10" s="266"/>
      <c r="H10" s="267" t="s">
        <v>0</v>
      </c>
      <c r="I10" s="266">
        <v>20233248283</v>
      </c>
      <c r="J10" s="267"/>
      <c r="K10" s="267" t="s">
        <v>0</v>
      </c>
      <c r="L10" s="266">
        <v>30710473168</v>
      </c>
      <c r="M10" s="269">
        <v>1</v>
      </c>
      <c r="N10" s="265"/>
      <c r="O10" s="265"/>
      <c r="P10" s="265"/>
      <c r="Q10" s="265"/>
      <c r="R10" s="265"/>
      <c r="S10" s="265"/>
      <c r="T10" s="265"/>
      <c r="U10" s="265"/>
      <c r="V10" s="265"/>
      <c r="W10" s="269">
        <v>0</v>
      </c>
      <c r="X10" s="265"/>
      <c r="Y10" s="270">
        <v>525000</v>
      </c>
    </row>
    <row r="11" spans="1:25" ht="15" x14ac:dyDescent="0.25">
      <c r="A11" s="271" t="s">
        <v>1589</v>
      </c>
      <c r="B11" s="271" t="s">
        <v>1589</v>
      </c>
      <c r="C11" s="272" t="s">
        <v>1589</v>
      </c>
      <c r="D11" s="272" t="s">
        <v>1597</v>
      </c>
      <c r="E11" s="272" t="s">
        <v>1598</v>
      </c>
      <c r="F11" s="273" t="s">
        <v>1599</v>
      </c>
      <c r="G11" s="272" t="s">
        <v>761</v>
      </c>
      <c r="H11" s="272">
        <v>0</v>
      </c>
      <c r="I11" s="272">
        <v>0</v>
      </c>
      <c r="J11" s="272">
        <v>0</v>
      </c>
      <c r="K11" s="272">
        <v>0</v>
      </c>
      <c r="L11" s="272">
        <v>0</v>
      </c>
      <c r="M11" s="271">
        <v>0</v>
      </c>
      <c r="N11" s="271">
        <v>525000</v>
      </c>
      <c r="O11" s="271">
        <v>0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0</v>
      </c>
      <c r="V11" s="274">
        <v>525000</v>
      </c>
      <c r="W11" s="271"/>
      <c r="X11" s="238"/>
      <c r="Y11" s="274">
        <v>525000</v>
      </c>
    </row>
    <row r="12" spans="1:25" ht="15" x14ac:dyDescent="0.25">
      <c r="A12" s="265" t="s">
        <v>998</v>
      </c>
      <c r="B12" s="265" t="s">
        <v>1670</v>
      </c>
      <c r="C12" s="266">
        <v>9</v>
      </c>
      <c r="D12" s="266">
        <v>1686</v>
      </c>
      <c r="E12" s="267" t="s">
        <v>1726</v>
      </c>
      <c r="F12" s="268">
        <v>20242126158</v>
      </c>
      <c r="G12" s="266"/>
      <c r="H12" s="267" t="s">
        <v>0</v>
      </c>
      <c r="I12" s="266">
        <v>20242126158</v>
      </c>
      <c r="J12" s="267"/>
      <c r="K12" s="267" t="s">
        <v>0</v>
      </c>
      <c r="L12" s="266">
        <v>30710473168</v>
      </c>
      <c r="M12" s="269">
        <v>1</v>
      </c>
      <c r="N12" s="265"/>
      <c r="O12" s="265"/>
      <c r="P12" s="269">
        <v>29400</v>
      </c>
      <c r="Q12" s="269">
        <v>140000</v>
      </c>
      <c r="R12" s="265"/>
      <c r="S12" s="265"/>
      <c r="T12" s="269">
        <v>140000</v>
      </c>
      <c r="U12" s="269">
        <v>0</v>
      </c>
      <c r="V12" s="269">
        <v>0</v>
      </c>
      <c r="W12" s="269">
        <v>0</v>
      </c>
      <c r="X12" s="269">
        <v>29400</v>
      </c>
      <c r="Y12" s="270">
        <v>169400</v>
      </c>
    </row>
    <row r="13" spans="1:25" ht="15" x14ac:dyDescent="0.25">
      <c r="A13" s="271" t="s">
        <v>998</v>
      </c>
      <c r="B13" s="271" t="s">
        <v>998</v>
      </c>
      <c r="C13" s="272" t="s">
        <v>998</v>
      </c>
      <c r="D13" s="272" t="s">
        <v>1459</v>
      </c>
      <c r="E13" s="272" t="s">
        <v>1460</v>
      </c>
      <c r="F13" s="273" t="s">
        <v>1461</v>
      </c>
      <c r="G13" s="272" t="s">
        <v>782</v>
      </c>
      <c r="H13" s="272">
        <v>0</v>
      </c>
      <c r="I13" s="272">
        <v>0</v>
      </c>
      <c r="J13" s="272">
        <v>0</v>
      </c>
      <c r="K13" s="272">
        <v>140000</v>
      </c>
      <c r="L13" s="272">
        <v>0</v>
      </c>
      <c r="M13" s="271">
        <v>0</v>
      </c>
      <c r="N13" s="271">
        <v>0</v>
      </c>
      <c r="O13" s="271">
        <v>29400</v>
      </c>
      <c r="P13" s="271">
        <v>0</v>
      </c>
      <c r="Q13" s="271">
        <v>0</v>
      </c>
      <c r="R13" s="271">
        <v>0</v>
      </c>
      <c r="S13" s="271">
        <v>0</v>
      </c>
      <c r="T13" s="271">
        <v>0</v>
      </c>
      <c r="U13" s="271">
        <v>0</v>
      </c>
      <c r="V13" s="274">
        <v>169400</v>
      </c>
      <c r="W13" s="271" t="s">
        <v>1351</v>
      </c>
      <c r="X13" s="238"/>
      <c r="Y13" s="274">
        <v>169400</v>
      </c>
    </row>
    <row r="14" spans="1:25" ht="15" x14ac:dyDescent="0.25">
      <c r="A14" s="265" t="s">
        <v>1098</v>
      </c>
      <c r="B14" s="265" t="s">
        <v>1670</v>
      </c>
      <c r="C14" s="266">
        <v>6</v>
      </c>
      <c r="D14" s="266">
        <v>1672</v>
      </c>
      <c r="E14" s="267" t="s">
        <v>513</v>
      </c>
      <c r="F14" s="268">
        <v>20247225243</v>
      </c>
      <c r="G14" s="266"/>
      <c r="H14" s="267" t="s">
        <v>0</v>
      </c>
      <c r="I14" s="266">
        <v>20247225243</v>
      </c>
      <c r="J14" s="267"/>
      <c r="K14" s="267" t="s">
        <v>0</v>
      </c>
      <c r="L14" s="266">
        <v>30710473168</v>
      </c>
      <c r="M14" s="269">
        <v>1</v>
      </c>
      <c r="N14" s="265"/>
      <c r="O14" s="265"/>
      <c r="P14" s="279">
        <v>34216.14</v>
      </c>
      <c r="Q14" s="269">
        <v>162934</v>
      </c>
      <c r="R14" s="265"/>
      <c r="S14" s="265"/>
      <c r="T14" s="269">
        <v>162934</v>
      </c>
      <c r="U14" s="269">
        <v>0</v>
      </c>
      <c r="V14" s="269">
        <v>0</v>
      </c>
      <c r="W14" s="269">
        <v>0</v>
      </c>
      <c r="X14" s="279">
        <v>34216.14</v>
      </c>
      <c r="Y14" s="280">
        <v>197150.14</v>
      </c>
    </row>
    <row r="15" spans="1:25" ht="15" x14ac:dyDescent="0.25">
      <c r="A15" s="265" t="s">
        <v>1562</v>
      </c>
      <c r="B15" s="265" t="s">
        <v>1670</v>
      </c>
      <c r="C15" s="266">
        <v>6</v>
      </c>
      <c r="D15" s="266">
        <v>1679</v>
      </c>
      <c r="E15" s="267" t="s">
        <v>513</v>
      </c>
      <c r="F15" s="268">
        <v>20247225243</v>
      </c>
      <c r="G15" s="266"/>
      <c r="H15" s="267" t="s">
        <v>0</v>
      </c>
      <c r="I15" s="266">
        <v>20247225243</v>
      </c>
      <c r="J15" s="267"/>
      <c r="K15" s="267" t="s">
        <v>0</v>
      </c>
      <c r="L15" s="266">
        <v>30710473168</v>
      </c>
      <c r="M15" s="269">
        <v>1</v>
      </c>
      <c r="N15" s="265"/>
      <c r="O15" s="265"/>
      <c r="P15" s="279">
        <v>17507.28</v>
      </c>
      <c r="Q15" s="269">
        <v>83368</v>
      </c>
      <c r="R15" s="265"/>
      <c r="S15" s="265"/>
      <c r="T15" s="269">
        <v>83368</v>
      </c>
      <c r="U15" s="269">
        <v>0</v>
      </c>
      <c r="V15" s="269">
        <v>0</v>
      </c>
      <c r="W15" s="269">
        <v>0</v>
      </c>
      <c r="X15" s="279">
        <v>17507.28</v>
      </c>
      <c r="Y15" s="280">
        <v>100875.28</v>
      </c>
    </row>
    <row r="16" spans="1:25" ht="15" x14ac:dyDescent="0.25">
      <c r="A16" s="265" t="s">
        <v>1285</v>
      </c>
      <c r="B16" s="265" t="s">
        <v>1670</v>
      </c>
      <c r="C16" s="266">
        <v>6</v>
      </c>
      <c r="D16" s="266">
        <v>1684</v>
      </c>
      <c r="E16" s="267" t="s">
        <v>513</v>
      </c>
      <c r="F16" s="268">
        <v>20247225243</v>
      </c>
      <c r="G16" s="266"/>
      <c r="H16" s="267" t="s">
        <v>0</v>
      </c>
      <c r="I16" s="266">
        <v>20247225243</v>
      </c>
      <c r="J16" s="267"/>
      <c r="K16" s="267" t="s">
        <v>0</v>
      </c>
      <c r="L16" s="266">
        <v>30710473168</v>
      </c>
      <c r="M16" s="269">
        <v>1</v>
      </c>
      <c r="N16" s="265"/>
      <c r="O16" s="265"/>
      <c r="P16" s="279">
        <v>29595.72</v>
      </c>
      <c r="Q16" s="269">
        <v>140932</v>
      </c>
      <c r="R16" s="265"/>
      <c r="S16" s="265"/>
      <c r="T16" s="269">
        <v>140932</v>
      </c>
      <c r="U16" s="269">
        <v>0</v>
      </c>
      <c r="V16" s="269">
        <v>0</v>
      </c>
      <c r="W16" s="269">
        <v>0</v>
      </c>
      <c r="X16" s="279">
        <v>29595.72</v>
      </c>
      <c r="Y16" s="280">
        <v>170527.72</v>
      </c>
    </row>
    <row r="17" spans="1:26" ht="15" x14ac:dyDescent="0.25">
      <c r="A17" s="271" t="s">
        <v>1098</v>
      </c>
      <c r="B17" s="271" t="s">
        <v>1098</v>
      </c>
      <c r="C17" s="281">
        <v>45974</v>
      </c>
      <c r="D17" s="272" t="s">
        <v>1478</v>
      </c>
      <c r="E17" s="272" t="s">
        <v>1479</v>
      </c>
      <c r="F17" s="273" t="s">
        <v>1480</v>
      </c>
      <c r="G17" s="272" t="s">
        <v>782</v>
      </c>
      <c r="H17" s="272">
        <v>0</v>
      </c>
      <c r="I17" s="272">
        <v>0</v>
      </c>
      <c r="J17" s="272">
        <v>0</v>
      </c>
      <c r="K17" s="272">
        <v>162934</v>
      </c>
      <c r="L17" s="272">
        <v>0</v>
      </c>
      <c r="M17" s="271">
        <v>0</v>
      </c>
      <c r="N17" s="271">
        <v>0</v>
      </c>
      <c r="O17" s="271">
        <v>34216.14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1">
        <v>0</v>
      </c>
      <c r="V17" s="274">
        <v>197150.14</v>
      </c>
      <c r="W17" s="271" t="s">
        <v>1351</v>
      </c>
      <c r="X17" s="238"/>
      <c r="Y17" s="274">
        <v>197150.14</v>
      </c>
    </row>
    <row r="18" spans="1:26" ht="15" x14ac:dyDescent="0.25">
      <c r="A18" s="271" t="s">
        <v>1285</v>
      </c>
      <c r="B18" s="271" t="s">
        <v>1285</v>
      </c>
      <c r="C18" s="281">
        <v>45986</v>
      </c>
      <c r="D18" s="272" t="s">
        <v>1573</v>
      </c>
      <c r="E18" s="272" t="s">
        <v>1479</v>
      </c>
      <c r="F18" s="273" t="s">
        <v>1480</v>
      </c>
      <c r="G18" s="272" t="s">
        <v>782</v>
      </c>
      <c r="H18" s="272">
        <v>0</v>
      </c>
      <c r="I18" s="272">
        <v>0</v>
      </c>
      <c r="J18" s="272">
        <v>0</v>
      </c>
      <c r="K18" s="272">
        <v>140932</v>
      </c>
      <c r="L18" s="272">
        <v>0</v>
      </c>
      <c r="M18" s="271">
        <v>0</v>
      </c>
      <c r="N18" s="271">
        <v>0</v>
      </c>
      <c r="O18" s="271">
        <v>29595.72</v>
      </c>
      <c r="P18" s="271">
        <v>0</v>
      </c>
      <c r="Q18" s="271">
        <v>0</v>
      </c>
      <c r="R18" s="271">
        <v>0</v>
      </c>
      <c r="S18" s="271">
        <v>0</v>
      </c>
      <c r="T18" s="271">
        <v>0</v>
      </c>
      <c r="U18" s="271">
        <v>0</v>
      </c>
      <c r="V18" s="274">
        <v>170527.72</v>
      </c>
      <c r="W18" s="271" t="s">
        <v>1351</v>
      </c>
      <c r="X18" s="238"/>
      <c r="Y18" s="274">
        <v>170527.72</v>
      </c>
    </row>
    <row r="19" spans="1:26" ht="15" x14ac:dyDescent="0.25">
      <c r="A19" s="271" t="s">
        <v>1562</v>
      </c>
      <c r="B19" s="271" t="s">
        <v>1562</v>
      </c>
      <c r="C19" s="281">
        <v>45982</v>
      </c>
      <c r="D19" s="272" t="s">
        <v>1564</v>
      </c>
      <c r="E19" s="272" t="s">
        <v>1479</v>
      </c>
      <c r="F19" s="273" t="s">
        <v>1480</v>
      </c>
      <c r="G19" s="272" t="s">
        <v>782</v>
      </c>
      <c r="H19" s="272">
        <v>0</v>
      </c>
      <c r="I19" s="272">
        <v>0</v>
      </c>
      <c r="J19" s="272">
        <v>0</v>
      </c>
      <c r="K19" s="272">
        <v>83368</v>
      </c>
      <c r="L19" s="272">
        <v>0</v>
      </c>
      <c r="M19" s="271">
        <v>0</v>
      </c>
      <c r="N19" s="271">
        <v>0</v>
      </c>
      <c r="O19" s="271">
        <v>17507.28</v>
      </c>
      <c r="P19" s="271">
        <v>0</v>
      </c>
      <c r="Q19" s="271">
        <v>0</v>
      </c>
      <c r="R19" s="271">
        <v>0</v>
      </c>
      <c r="S19" s="271">
        <v>0</v>
      </c>
      <c r="T19" s="271">
        <v>0</v>
      </c>
      <c r="U19" s="271">
        <v>0</v>
      </c>
      <c r="V19" s="274">
        <v>100875.28</v>
      </c>
      <c r="W19" s="271" t="s">
        <v>1351</v>
      </c>
      <c r="X19" s="238"/>
      <c r="Y19" s="274">
        <v>100875.28</v>
      </c>
    </row>
    <row r="20" spans="1:26" ht="15" x14ac:dyDescent="0.25">
      <c r="A20" s="265" t="s">
        <v>955</v>
      </c>
      <c r="B20" s="265" t="s">
        <v>1679</v>
      </c>
      <c r="C20" s="266">
        <v>2</v>
      </c>
      <c r="D20" s="266">
        <v>706</v>
      </c>
      <c r="E20" s="267" t="s">
        <v>1687</v>
      </c>
      <c r="F20" s="268">
        <v>20247881957</v>
      </c>
      <c r="G20" s="266"/>
      <c r="H20" s="267" t="s">
        <v>0</v>
      </c>
      <c r="I20" s="266">
        <v>20247881957</v>
      </c>
      <c r="J20" s="267"/>
      <c r="K20" s="267" t="s">
        <v>0</v>
      </c>
      <c r="L20" s="266">
        <v>30710473168</v>
      </c>
      <c r="M20" s="269">
        <v>1</v>
      </c>
      <c r="N20" s="265"/>
      <c r="O20" s="265"/>
      <c r="P20" s="265"/>
      <c r="Q20" s="265"/>
      <c r="R20" s="265"/>
      <c r="S20" s="265"/>
      <c r="T20" s="265"/>
      <c r="U20" s="265"/>
      <c r="V20" s="265"/>
      <c r="W20" s="269">
        <v>0</v>
      </c>
      <c r="X20" s="265"/>
      <c r="Y20" s="270">
        <v>9700</v>
      </c>
    </row>
    <row r="21" spans="1:26" ht="15" x14ac:dyDescent="0.25">
      <c r="A21" s="265" t="s">
        <v>1589</v>
      </c>
      <c r="B21" s="265" t="s">
        <v>1679</v>
      </c>
      <c r="C21" s="266">
        <v>2</v>
      </c>
      <c r="D21" s="266">
        <v>751</v>
      </c>
      <c r="E21" s="267" t="s">
        <v>1687</v>
      </c>
      <c r="F21" s="268">
        <v>20247881957</v>
      </c>
      <c r="G21" s="266"/>
      <c r="H21" s="267" t="s">
        <v>0</v>
      </c>
      <c r="I21" s="266">
        <v>20247881957</v>
      </c>
      <c r="J21" s="267"/>
      <c r="K21" s="267" t="s">
        <v>0</v>
      </c>
      <c r="L21" s="266">
        <v>30710473168</v>
      </c>
      <c r="M21" s="269">
        <v>1</v>
      </c>
      <c r="N21" s="265"/>
      <c r="O21" s="265"/>
      <c r="P21" s="265"/>
      <c r="Q21" s="265"/>
      <c r="R21" s="265"/>
      <c r="S21" s="265"/>
      <c r="T21" s="265"/>
      <c r="U21" s="265"/>
      <c r="V21" s="265"/>
      <c r="W21" s="269">
        <v>0</v>
      </c>
      <c r="X21" s="265"/>
      <c r="Y21" s="270">
        <v>8500</v>
      </c>
    </row>
    <row r="22" spans="1:26" ht="15" x14ac:dyDescent="0.25">
      <c r="A22" s="271" t="s">
        <v>955</v>
      </c>
      <c r="B22" s="271" t="s">
        <v>955</v>
      </c>
      <c r="C22" s="272" t="s">
        <v>955</v>
      </c>
      <c r="D22" s="272" t="s">
        <v>1444</v>
      </c>
      <c r="E22" s="272" t="s">
        <v>1445</v>
      </c>
      <c r="F22" s="273" t="s">
        <v>1446</v>
      </c>
      <c r="G22" s="272" t="s">
        <v>761</v>
      </c>
      <c r="H22" s="272">
        <v>0</v>
      </c>
      <c r="I22" s="272">
        <v>0</v>
      </c>
      <c r="J22" s="272">
        <v>0</v>
      </c>
      <c r="K22" s="272">
        <v>0</v>
      </c>
      <c r="L22" s="272">
        <v>0</v>
      </c>
      <c r="M22" s="271">
        <v>0</v>
      </c>
      <c r="N22" s="271">
        <v>9700</v>
      </c>
      <c r="O22" s="271">
        <v>0</v>
      </c>
      <c r="P22" s="271">
        <v>0</v>
      </c>
      <c r="Q22" s="271">
        <v>0</v>
      </c>
      <c r="R22" s="271">
        <v>0</v>
      </c>
      <c r="S22" s="271">
        <v>0</v>
      </c>
      <c r="T22" s="271">
        <v>0</v>
      </c>
      <c r="U22" s="271">
        <v>0</v>
      </c>
      <c r="V22" s="274">
        <v>9700</v>
      </c>
      <c r="W22" s="271" t="s">
        <v>1351</v>
      </c>
      <c r="X22" s="238"/>
      <c r="Y22" s="274">
        <v>9700</v>
      </c>
    </row>
    <row r="23" spans="1:26" ht="15" x14ac:dyDescent="0.25">
      <c r="A23" s="271" t="s">
        <v>1589</v>
      </c>
      <c r="B23" s="271" t="s">
        <v>1589</v>
      </c>
      <c r="C23" s="272" t="s">
        <v>1589</v>
      </c>
      <c r="D23" s="272" t="s">
        <v>1596</v>
      </c>
      <c r="E23" s="272" t="s">
        <v>1445</v>
      </c>
      <c r="F23" s="273" t="s">
        <v>1446</v>
      </c>
      <c r="G23" s="272" t="s">
        <v>761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1">
        <v>0</v>
      </c>
      <c r="N23" s="271">
        <v>8500</v>
      </c>
      <c r="O23" s="271">
        <v>0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0</v>
      </c>
      <c r="V23" s="274">
        <v>8500</v>
      </c>
      <c r="W23" s="271" t="s">
        <v>1351</v>
      </c>
      <c r="X23" s="238"/>
      <c r="Y23" s="274">
        <v>8500</v>
      </c>
    </row>
    <row r="24" spans="1:26" ht="15" x14ac:dyDescent="0.25">
      <c r="A24" s="265" t="s">
        <v>885</v>
      </c>
      <c r="B24" s="265" t="s">
        <v>1670</v>
      </c>
      <c r="C24" s="266">
        <v>2</v>
      </c>
      <c r="D24" s="266">
        <v>1649</v>
      </c>
      <c r="E24" s="267" t="s">
        <v>561</v>
      </c>
      <c r="F24" s="268">
        <v>20272865869</v>
      </c>
      <c r="G24" s="266"/>
      <c r="H24" s="267" t="s">
        <v>0</v>
      </c>
      <c r="I24" s="266">
        <v>20272865869</v>
      </c>
      <c r="J24" s="267"/>
      <c r="K24" s="267" t="s">
        <v>0</v>
      </c>
      <c r="L24" s="266">
        <v>30710473168</v>
      </c>
      <c r="M24" s="269">
        <v>1</v>
      </c>
      <c r="N24" s="265"/>
      <c r="O24" s="265"/>
      <c r="P24" s="269">
        <v>22953</v>
      </c>
      <c r="Q24" s="269">
        <v>109300</v>
      </c>
      <c r="R24" s="265"/>
      <c r="S24" s="265"/>
      <c r="T24" s="269">
        <v>109300</v>
      </c>
      <c r="U24" s="269">
        <v>0</v>
      </c>
      <c r="V24" s="269">
        <v>0</v>
      </c>
      <c r="W24" s="269">
        <v>0</v>
      </c>
      <c r="X24" s="269">
        <v>22953</v>
      </c>
      <c r="Y24" s="270">
        <v>132253</v>
      </c>
    </row>
    <row r="25" spans="1:26" ht="15" x14ac:dyDescent="0.25">
      <c r="A25" s="265" t="s">
        <v>1057</v>
      </c>
      <c r="B25" s="265" t="s">
        <v>1670</v>
      </c>
      <c r="C25" s="266">
        <v>2</v>
      </c>
      <c r="D25" s="266">
        <v>1667</v>
      </c>
      <c r="E25" s="267" t="s">
        <v>561</v>
      </c>
      <c r="F25" s="268">
        <v>20272865869</v>
      </c>
      <c r="G25" s="266"/>
      <c r="H25" s="267" t="s">
        <v>0</v>
      </c>
      <c r="I25" s="266">
        <v>20272865869</v>
      </c>
      <c r="J25" s="267"/>
      <c r="K25" s="267" t="s">
        <v>0</v>
      </c>
      <c r="L25" s="266">
        <v>30710473168</v>
      </c>
      <c r="M25" s="269">
        <v>1</v>
      </c>
      <c r="N25" s="265"/>
      <c r="O25" s="265"/>
      <c r="P25" s="269">
        <v>26544</v>
      </c>
      <c r="Q25" s="269">
        <v>126400</v>
      </c>
      <c r="R25" s="265"/>
      <c r="S25" s="265"/>
      <c r="T25" s="269">
        <v>126400</v>
      </c>
      <c r="U25" s="269">
        <v>0</v>
      </c>
      <c r="V25" s="269">
        <v>0</v>
      </c>
      <c r="W25" s="269">
        <v>0</v>
      </c>
      <c r="X25" s="269">
        <v>26544</v>
      </c>
      <c r="Y25" s="270">
        <v>152944</v>
      </c>
    </row>
    <row r="26" spans="1:26" ht="15" x14ac:dyDescent="0.25">
      <c r="A26" s="265" t="s">
        <v>1126</v>
      </c>
      <c r="B26" s="265" t="s">
        <v>1670</v>
      </c>
      <c r="C26" s="266">
        <v>2</v>
      </c>
      <c r="D26" s="266">
        <v>1673</v>
      </c>
      <c r="E26" s="267" t="s">
        <v>561</v>
      </c>
      <c r="F26" s="268">
        <v>20272865869</v>
      </c>
      <c r="G26" s="266"/>
      <c r="H26" s="267" t="s">
        <v>0</v>
      </c>
      <c r="I26" s="266">
        <v>20272865869</v>
      </c>
      <c r="J26" s="267"/>
      <c r="K26" s="267" t="s">
        <v>0</v>
      </c>
      <c r="L26" s="266">
        <v>30710473168</v>
      </c>
      <c r="M26" s="269">
        <v>1</v>
      </c>
      <c r="N26" s="265"/>
      <c r="O26" s="265"/>
      <c r="P26" s="269">
        <v>4095</v>
      </c>
      <c r="Q26" s="269">
        <v>19500</v>
      </c>
      <c r="R26" s="265"/>
      <c r="S26" s="265"/>
      <c r="T26" s="269">
        <v>19500</v>
      </c>
      <c r="U26" s="269">
        <v>0</v>
      </c>
      <c r="V26" s="269">
        <v>0</v>
      </c>
      <c r="W26" s="269">
        <v>0</v>
      </c>
      <c r="X26" s="269">
        <v>4095</v>
      </c>
      <c r="Y26" s="270">
        <v>23595</v>
      </c>
    </row>
    <row r="27" spans="1:26" ht="15" x14ac:dyDescent="0.25">
      <c r="A27" s="282" t="s">
        <v>1126</v>
      </c>
      <c r="B27" s="282" t="s">
        <v>1126</v>
      </c>
      <c r="C27" s="283" t="s">
        <v>1497</v>
      </c>
      <c r="D27" s="283"/>
      <c r="E27" s="267" t="s">
        <v>561</v>
      </c>
      <c r="F27" s="283" t="s">
        <v>1419</v>
      </c>
      <c r="G27" s="283">
        <v>0</v>
      </c>
      <c r="H27" s="283">
        <v>0</v>
      </c>
      <c r="I27" s="283">
        <v>0</v>
      </c>
      <c r="J27" s="283">
        <v>19500</v>
      </c>
      <c r="K27" s="283">
        <v>0</v>
      </c>
      <c r="L27" s="283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1351</v>
      </c>
      <c r="W27" t="s">
        <v>699</v>
      </c>
      <c r="X27" t="s">
        <v>1368</v>
      </c>
      <c r="Y27" s="270">
        <v>23595</v>
      </c>
      <c r="Z27" t="s">
        <v>1368</v>
      </c>
    </row>
    <row r="28" spans="1:26" ht="15" x14ac:dyDescent="0.25">
      <c r="A28" s="265" t="s">
        <v>1220</v>
      </c>
      <c r="B28" s="265" t="s">
        <v>1670</v>
      </c>
      <c r="C28" s="266">
        <v>2</v>
      </c>
      <c r="D28" s="266">
        <v>1686</v>
      </c>
      <c r="E28" s="267" t="s">
        <v>561</v>
      </c>
      <c r="F28" s="268">
        <v>20272865869</v>
      </c>
      <c r="G28" s="266"/>
      <c r="H28" s="267" t="s">
        <v>0</v>
      </c>
      <c r="I28" s="266">
        <v>20272865869</v>
      </c>
      <c r="J28" s="267"/>
      <c r="K28" s="267" t="s">
        <v>0</v>
      </c>
      <c r="L28" s="266">
        <v>30710473168</v>
      </c>
      <c r="M28" s="269">
        <v>1</v>
      </c>
      <c r="N28" s="265"/>
      <c r="O28" s="265"/>
      <c r="P28" s="269">
        <v>31647</v>
      </c>
      <c r="Q28" s="269">
        <v>150700</v>
      </c>
      <c r="R28" s="265"/>
      <c r="S28" s="265"/>
      <c r="T28" s="269">
        <v>150700</v>
      </c>
      <c r="U28" s="269">
        <v>0</v>
      </c>
      <c r="V28" s="269">
        <v>0</v>
      </c>
      <c r="W28" s="269">
        <v>0</v>
      </c>
      <c r="X28" s="269">
        <v>31647</v>
      </c>
      <c r="Y28" s="270">
        <v>182347</v>
      </c>
    </row>
    <row r="29" spans="1:26" ht="15" x14ac:dyDescent="0.25">
      <c r="A29" s="265" t="s">
        <v>1249</v>
      </c>
      <c r="B29" s="265" t="s">
        <v>1670</v>
      </c>
      <c r="C29" s="266">
        <v>2</v>
      </c>
      <c r="D29" s="266">
        <v>1687</v>
      </c>
      <c r="E29" s="267" t="s">
        <v>561</v>
      </c>
      <c r="F29" s="268">
        <v>20272865869</v>
      </c>
      <c r="G29" s="266"/>
      <c r="H29" s="267" t="s">
        <v>0</v>
      </c>
      <c r="I29" s="266">
        <v>20272865869</v>
      </c>
      <c r="J29" s="267"/>
      <c r="K29" s="267" t="s">
        <v>0</v>
      </c>
      <c r="L29" s="266">
        <v>30710473168</v>
      </c>
      <c r="M29" s="269">
        <v>1</v>
      </c>
      <c r="N29" s="265"/>
      <c r="O29" s="265"/>
      <c r="P29" s="269">
        <v>3297</v>
      </c>
      <c r="Q29" s="269">
        <v>15700</v>
      </c>
      <c r="R29" s="265"/>
      <c r="S29" s="265"/>
      <c r="T29" s="269">
        <v>15700</v>
      </c>
      <c r="U29" s="269">
        <v>0</v>
      </c>
      <c r="V29" s="269">
        <v>0</v>
      </c>
      <c r="W29" s="269">
        <v>0</v>
      </c>
      <c r="X29" s="269">
        <v>3297</v>
      </c>
      <c r="Y29" s="270">
        <v>18997</v>
      </c>
    </row>
    <row r="30" spans="1:26" ht="15" x14ac:dyDescent="0.25">
      <c r="A30" s="265" t="s">
        <v>1603</v>
      </c>
      <c r="B30" s="265" t="s">
        <v>1670</v>
      </c>
      <c r="C30" s="266">
        <v>2</v>
      </c>
      <c r="D30" s="266">
        <v>1697</v>
      </c>
      <c r="E30" s="267" t="s">
        <v>561</v>
      </c>
      <c r="F30" s="268">
        <v>20272865869</v>
      </c>
      <c r="G30" s="266"/>
      <c r="H30" s="267" t="s">
        <v>0</v>
      </c>
      <c r="I30" s="266">
        <v>20272865869</v>
      </c>
      <c r="J30" s="267"/>
      <c r="K30" s="267" t="s">
        <v>0</v>
      </c>
      <c r="L30" s="266">
        <v>30710473168</v>
      </c>
      <c r="M30" s="269">
        <v>1</v>
      </c>
      <c r="N30" s="265"/>
      <c r="O30" s="265"/>
      <c r="P30" s="279">
        <v>27511.91</v>
      </c>
      <c r="Q30" s="279">
        <v>131009.09</v>
      </c>
      <c r="R30" s="265"/>
      <c r="S30" s="265"/>
      <c r="T30" s="279">
        <v>131009.09</v>
      </c>
      <c r="U30" s="269">
        <v>0</v>
      </c>
      <c r="V30" s="269">
        <v>0</v>
      </c>
      <c r="W30" s="269">
        <v>0</v>
      </c>
      <c r="X30" s="279">
        <v>27511.91</v>
      </c>
      <c r="Y30" s="270">
        <v>158521</v>
      </c>
    </row>
    <row r="31" spans="1:26" ht="15" x14ac:dyDescent="0.25">
      <c r="A31" s="271" t="s">
        <v>885</v>
      </c>
      <c r="B31" s="271" t="s">
        <v>885</v>
      </c>
      <c r="C31" s="272" t="s">
        <v>885</v>
      </c>
      <c r="D31" s="272" t="s">
        <v>1417</v>
      </c>
      <c r="E31" s="272" t="s">
        <v>1418</v>
      </c>
      <c r="F31" s="273" t="s">
        <v>1419</v>
      </c>
      <c r="G31" s="272" t="s">
        <v>782</v>
      </c>
      <c r="H31" s="272">
        <v>0</v>
      </c>
      <c r="I31" s="272">
        <v>0</v>
      </c>
      <c r="J31" s="272">
        <v>0</v>
      </c>
      <c r="K31" s="272">
        <v>109300</v>
      </c>
      <c r="L31" s="272">
        <v>0</v>
      </c>
      <c r="M31" s="271">
        <v>0</v>
      </c>
      <c r="N31" s="271">
        <v>0</v>
      </c>
      <c r="O31" s="271">
        <v>22953</v>
      </c>
      <c r="P31" s="271">
        <v>0</v>
      </c>
      <c r="Q31" s="271">
        <v>0</v>
      </c>
      <c r="R31" s="271">
        <v>0</v>
      </c>
      <c r="S31" s="271">
        <v>0</v>
      </c>
      <c r="T31" s="271">
        <v>0</v>
      </c>
      <c r="U31" s="271">
        <v>0</v>
      </c>
      <c r="V31" s="274">
        <v>132253</v>
      </c>
      <c r="W31" s="271" t="s">
        <v>1351</v>
      </c>
      <c r="X31" s="238"/>
      <c r="Y31" s="274">
        <v>132253</v>
      </c>
    </row>
    <row r="32" spans="1:26" ht="15" x14ac:dyDescent="0.25">
      <c r="A32" s="271" t="s">
        <v>1057</v>
      </c>
      <c r="B32" s="271" t="s">
        <v>1057</v>
      </c>
      <c r="C32" s="272" t="s">
        <v>1057</v>
      </c>
      <c r="D32" s="272" t="s">
        <v>1467</v>
      </c>
      <c r="E32" s="272" t="s">
        <v>1418</v>
      </c>
      <c r="F32" s="273" t="s">
        <v>1419</v>
      </c>
      <c r="G32" s="272" t="s">
        <v>782</v>
      </c>
      <c r="H32" s="272">
        <v>0</v>
      </c>
      <c r="I32" s="272">
        <v>0</v>
      </c>
      <c r="J32" s="272">
        <v>0</v>
      </c>
      <c r="K32" s="272">
        <v>126400</v>
      </c>
      <c r="L32" s="272">
        <v>0</v>
      </c>
      <c r="M32" s="271">
        <v>0</v>
      </c>
      <c r="N32" s="271">
        <v>0</v>
      </c>
      <c r="O32" s="271">
        <v>26544</v>
      </c>
      <c r="P32" s="271">
        <v>0</v>
      </c>
      <c r="Q32" s="271">
        <v>0</v>
      </c>
      <c r="R32" s="271">
        <v>0</v>
      </c>
      <c r="S32" s="271">
        <v>0</v>
      </c>
      <c r="T32" s="271">
        <v>0</v>
      </c>
      <c r="U32" s="271">
        <v>0</v>
      </c>
      <c r="V32" s="274">
        <v>152944</v>
      </c>
      <c r="W32" s="271" t="s">
        <v>1351</v>
      </c>
      <c r="X32" s="238"/>
      <c r="Y32" s="274">
        <v>152944</v>
      </c>
    </row>
    <row r="33" spans="1:25" ht="15" x14ac:dyDescent="0.25">
      <c r="A33" s="271" t="s">
        <v>1249</v>
      </c>
      <c r="B33" s="271" t="s">
        <v>1249</v>
      </c>
      <c r="C33" s="281">
        <v>45981</v>
      </c>
      <c r="D33" s="272" t="s">
        <v>1553</v>
      </c>
      <c r="E33" s="272" t="s">
        <v>1418</v>
      </c>
      <c r="F33" s="273" t="s">
        <v>1419</v>
      </c>
      <c r="G33" s="272" t="s">
        <v>782</v>
      </c>
      <c r="H33" s="272">
        <v>0</v>
      </c>
      <c r="I33" s="272">
        <v>0</v>
      </c>
      <c r="J33" s="272">
        <v>0</v>
      </c>
      <c r="K33" s="272">
        <v>15700</v>
      </c>
      <c r="L33" s="272">
        <v>0</v>
      </c>
      <c r="M33" s="271">
        <v>0</v>
      </c>
      <c r="N33" s="271">
        <v>0</v>
      </c>
      <c r="O33" s="271">
        <v>3297</v>
      </c>
      <c r="P33" s="271">
        <v>0</v>
      </c>
      <c r="Q33" s="271">
        <v>0</v>
      </c>
      <c r="R33" s="271">
        <v>0</v>
      </c>
      <c r="S33" s="271">
        <v>0</v>
      </c>
      <c r="T33" s="271">
        <v>0</v>
      </c>
      <c r="U33" s="271">
        <v>0</v>
      </c>
      <c r="V33" s="274">
        <v>18997</v>
      </c>
      <c r="W33" s="271" t="s">
        <v>1351</v>
      </c>
      <c r="X33" s="238"/>
      <c r="Y33" s="274">
        <v>18997</v>
      </c>
    </row>
    <row r="34" spans="1:25" ht="15" x14ac:dyDescent="0.25">
      <c r="A34" s="271" t="s">
        <v>1220</v>
      </c>
      <c r="B34" s="271" t="s">
        <v>1220</v>
      </c>
      <c r="C34" s="281">
        <v>45980</v>
      </c>
      <c r="D34" s="272" t="s">
        <v>1544</v>
      </c>
      <c r="E34" s="272" t="s">
        <v>1418</v>
      </c>
      <c r="F34" s="273" t="s">
        <v>1419</v>
      </c>
      <c r="G34" s="272" t="s">
        <v>782</v>
      </c>
      <c r="H34" s="272">
        <v>0</v>
      </c>
      <c r="I34" s="272">
        <v>0</v>
      </c>
      <c r="J34" s="272">
        <v>0</v>
      </c>
      <c r="K34" s="272">
        <v>150700</v>
      </c>
      <c r="L34" s="272">
        <v>0</v>
      </c>
      <c r="M34" s="271">
        <v>0</v>
      </c>
      <c r="N34" s="271">
        <v>0</v>
      </c>
      <c r="O34" s="271">
        <v>31647</v>
      </c>
      <c r="P34" s="271">
        <v>0</v>
      </c>
      <c r="Q34" s="271">
        <v>0</v>
      </c>
      <c r="R34" s="271">
        <v>0</v>
      </c>
      <c r="S34" s="271">
        <v>0</v>
      </c>
      <c r="T34" s="271">
        <v>0</v>
      </c>
      <c r="U34" s="271">
        <v>0</v>
      </c>
      <c r="V34" s="274">
        <v>182347</v>
      </c>
      <c r="W34" s="271" t="s">
        <v>1351</v>
      </c>
      <c r="X34" s="238"/>
      <c r="Y34" s="274">
        <v>182347</v>
      </c>
    </row>
    <row r="35" spans="1:25" ht="15" x14ac:dyDescent="0.25">
      <c r="A35" s="271" t="s">
        <v>1603</v>
      </c>
      <c r="B35" s="271" t="s">
        <v>1603</v>
      </c>
      <c r="C35" s="272" t="s">
        <v>1603</v>
      </c>
      <c r="D35" s="272" t="s">
        <v>1610</v>
      </c>
      <c r="E35" s="272" t="s">
        <v>1418</v>
      </c>
      <c r="F35" s="273" t="s">
        <v>1419</v>
      </c>
      <c r="G35" s="272" t="s">
        <v>782</v>
      </c>
      <c r="H35" s="272">
        <v>0</v>
      </c>
      <c r="I35" s="272">
        <v>0</v>
      </c>
      <c r="J35" s="272">
        <v>0</v>
      </c>
      <c r="K35" s="272">
        <v>131009.09</v>
      </c>
      <c r="L35" s="272">
        <v>0</v>
      </c>
      <c r="M35" s="271">
        <v>0</v>
      </c>
      <c r="N35" s="271">
        <v>0</v>
      </c>
      <c r="O35" s="271">
        <v>27511.91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0</v>
      </c>
      <c r="V35" s="274">
        <v>158521</v>
      </c>
      <c r="W35" s="271" t="s">
        <v>1351</v>
      </c>
      <c r="X35" s="238"/>
      <c r="Y35" s="274">
        <v>158521</v>
      </c>
    </row>
    <row r="36" spans="1:25" ht="15" x14ac:dyDescent="0.25">
      <c r="A36" s="265" t="s">
        <v>784</v>
      </c>
      <c r="B36" s="265" t="s">
        <v>1670</v>
      </c>
      <c r="C36" s="266">
        <v>4</v>
      </c>
      <c r="D36" s="266">
        <v>41612</v>
      </c>
      <c r="E36" s="267" t="s">
        <v>1727</v>
      </c>
      <c r="F36" s="268">
        <v>20289111329</v>
      </c>
      <c r="G36" s="266"/>
      <c r="H36" s="267" t="s">
        <v>0</v>
      </c>
      <c r="I36" s="266">
        <v>20289111329</v>
      </c>
      <c r="J36" s="267"/>
      <c r="K36" s="267" t="s">
        <v>0</v>
      </c>
      <c r="L36" s="266">
        <v>30710473168</v>
      </c>
      <c r="M36" s="269">
        <v>1</v>
      </c>
      <c r="N36" s="265"/>
      <c r="O36" s="265"/>
      <c r="P36" s="279">
        <v>357940.09</v>
      </c>
      <c r="Q36" s="279">
        <v>1704476.64</v>
      </c>
      <c r="R36" s="265"/>
      <c r="S36" s="265"/>
      <c r="T36" s="279">
        <v>1704476.64</v>
      </c>
      <c r="U36" s="269">
        <v>0</v>
      </c>
      <c r="V36" s="269">
        <v>0</v>
      </c>
      <c r="W36" s="269">
        <v>0</v>
      </c>
      <c r="X36" s="279">
        <v>357940.09</v>
      </c>
      <c r="Y36" s="280">
        <v>2062416.73</v>
      </c>
    </row>
    <row r="37" spans="1:25" ht="15" x14ac:dyDescent="0.25">
      <c r="A37" s="265" t="s">
        <v>1603</v>
      </c>
      <c r="B37" s="265" t="s">
        <v>1670</v>
      </c>
      <c r="C37" s="266">
        <v>4</v>
      </c>
      <c r="D37" s="266">
        <v>41808</v>
      </c>
      <c r="E37" s="267" t="s">
        <v>1727</v>
      </c>
      <c r="F37" s="268">
        <v>20289111329</v>
      </c>
      <c r="G37" s="266"/>
      <c r="H37" s="267" t="s">
        <v>0</v>
      </c>
      <c r="I37" s="266">
        <v>20289111329</v>
      </c>
      <c r="J37" s="267"/>
      <c r="K37" s="267" t="s">
        <v>0</v>
      </c>
      <c r="L37" s="266">
        <v>30710473168</v>
      </c>
      <c r="M37" s="269">
        <v>1</v>
      </c>
      <c r="N37" s="265"/>
      <c r="O37" s="265"/>
      <c r="P37" s="265">
        <v>12700.8</v>
      </c>
      <c r="Q37" s="269">
        <v>60480</v>
      </c>
      <c r="R37" s="265"/>
      <c r="S37" s="265"/>
      <c r="T37" s="269">
        <v>60480</v>
      </c>
      <c r="U37" s="269">
        <v>0</v>
      </c>
      <c r="V37" s="269">
        <v>0</v>
      </c>
      <c r="W37" s="269">
        <v>0</v>
      </c>
      <c r="X37" s="265">
        <v>12700.8</v>
      </c>
      <c r="Y37" s="284">
        <v>73180.800000000003</v>
      </c>
    </row>
    <row r="38" spans="1:25" ht="15" x14ac:dyDescent="0.25">
      <c r="A38" s="271" t="s">
        <v>784</v>
      </c>
      <c r="B38" s="271" t="s">
        <v>784</v>
      </c>
      <c r="C38" s="272" t="s">
        <v>1126</v>
      </c>
      <c r="D38" s="272" t="s">
        <v>1357</v>
      </c>
      <c r="E38" s="272" t="s">
        <v>1358</v>
      </c>
      <c r="F38" s="273" t="s">
        <v>1359</v>
      </c>
      <c r="G38" s="272" t="s">
        <v>782</v>
      </c>
      <c r="H38" s="272">
        <v>0</v>
      </c>
      <c r="I38" s="272">
        <v>0</v>
      </c>
      <c r="J38" s="272">
        <v>0</v>
      </c>
      <c r="K38" s="272">
        <v>1704476.64</v>
      </c>
      <c r="L38" s="272">
        <v>0</v>
      </c>
      <c r="M38" s="271">
        <v>0</v>
      </c>
      <c r="N38" s="271">
        <v>0</v>
      </c>
      <c r="O38" s="271">
        <v>357940.09</v>
      </c>
      <c r="P38" s="271">
        <v>0</v>
      </c>
      <c r="Q38" s="271">
        <v>0</v>
      </c>
      <c r="R38" s="271">
        <v>0</v>
      </c>
      <c r="S38" s="271">
        <v>0</v>
      </c>
      <c r="T38" s="271">
        <v>0</v>
      </c>
      <c r="U38" s="271">
        <v>0</v>
      </c>
      <c r="V38" s="274">
        <v>2062416.73</v>
      </c>
      <c r="W38" s="271" t="s">
        <v>1351</v>
      </c>
      <c r="X38" s="238"/>
      <c r="Y38" s="274">
        <v>2062416.73</v>
      </c>
    </row>
    <row r="39" spans="1:25" ht="15" x14ac:dyDescent="0.25">
      <c r="A39" s="271" t="s">
        <v>1603</v>
      </c>
      <c r="B39" s="271" t="s">
        <v>1603</v>
      </c>
      <c r="C39" s="272" t="s">
        <v>1603</v>
      </c>
      <c r="D39" s="272" t="s">
        <v>1622</v>
      </c>
      <c r="E39" s="272" t="s">
        <v>1358</v>
      </c>
      <c r="F39" s="273" t="s">
        <v>1359</v>
      </c>
      <c r="G39" s="272" t="s">
        <v>782</v>
      </c>
      <c r="H39" s="272">
        <v>0</v>
      </c>
      <c r="I39" s="272">
        <v>0</v>
      </c>
      <c r="J39" s="272">
        <v>0</v>
      </c>
      <c r="K39" s="272">
        <v>60480</v>
      </c>
      <c r="L39" s="272">
        <v>0</v>
      </c>
      <c r="M39" s="271">
        <v>0</v>
      </c>
      <c r="N39" s="271">
        <v>0</v>
      </c>
      <c r="O39" s="271">
        <v>12700.8</v>
      </c>
      <c r="P39" s="271">
        <v>0</v>
      </c>
      <c r="Q39" s="271">
        <v>0</v>
      </c>
      <c r="R39" s="271">
        <v>0</v>
      </c>
      <c r="S39" s="271">
        <v>0</v>
      </c>
      <c r="T39" s="271">
        <v>0</v>
      </c>
      <c r="U39" s="271">
        <v>0</v>
      </c>
      <c r="V39" s="274">
        <v>73180.800000000003</v>
      </c>
      <c r="W39" s="271" t="s">
        <v>1351</v>
      </c>
      <c r="X39" s="238"/>
      <c r="Y39" s="274">
        <v>73180.800000000003</v>
      </c>
    </row>
    <row r="40" spans="1:25" ht="15" x14ac:dyDescent="0.25">
      <c r="A40" s="265" t="s">
        <v>1098</v>
      </c>
      <c r="B40" s="265" t="s">
        <v>1679</v>
      </c>
      <c r="C40" s="266">
        <v>3</v>
      </c>
      <c r="D40" s="266">
        <v>15</v>
      </c>
      <c r="E40" s="267" t="s">
        <v>1708</v>
      </c>
      <c r="F40" s="268">
        <v>20310489930</v>
      </c>
      <c r="G40" s="266"/>
      <c r="H40" s="267" t="s">
        <v>0</v>
      </c>
      <c r="I40" s="266">
        <v>20310489930</v>
      </c>
      <c r="J40" s="267"/>
      <c r="K40" s="267" t="s">
        <v>0</v>
      </c>
      <c r="L40" s="266">
        <v>30710473168</v>
      </c>
      <c r="M40" s="269">
        <v>1</v>
      </c>
      <c r="N40" s="265"/>
      <c r="O40" s="265"/>
      <c r="P40" s="265"/>
      <c r="Q40" s="265"/>
      <c r="R40" s="265"/>
      <c r="S40" s="265"/>
      <c r="T40" s="265"/>
      <c r="U40" s="265"/>
      <c r="V40" s="265"/>
      <c r="W40" s="269">
        <v>0</v>
      </c>
      <c r="X40" s="265"/>
      <c r="Y40" s="270">
        <v>540580</v>
      </c>
    </row>
    <row r="41" spans="1:25" ht="15" x14ac:dyDescent="0.25">
      <c r="A41" s="265" t="s">
        <v>1603</v>
      </c>
      <c r="B41" s="265" t="s">
        <v>1679</v>
      </c>
      <c r="C41" s="266">
        <v>3</v>
      </c>
      <c r="D41" s="266">
        <v>16</v>
      </c>
      <c r="E41" s="267" t="s">
        <v>1708</v>
      </c>
      <c r="F41" s="268">
        <v>20310489930</v>
      </c>
      <c r="G41" s="266"/>
      <c r="H41" s="267" t="s">
        <v>0</v>
      </c>
      <c r="I41" s="266">
        <v>20310489930</v>
      </c>
      <c r="J41" s="267"/>
      <c r="K41" s="267" t="s">
        <v>0</v>
      </c>
      <c r="L41" s="266">
        <v>30710473168</v>
      </c>
      <c r="M41" s="269">
        <v>1</v>
      </c>
      <c r="N41" s="265"/>
      <c r="O41" s="265"/>
      <c r="P41" s="265"/>
      <c r="Q41" s="265"/>
      <c r="R41" s="265"/>
      <c r="S41" s="265"/>
      <c r="T41" s="265"/>
      <c r="U41" s="265"/>
      <c r="V41" s="265"/>
      <c r="W41" s="269">
        <v>0</v>
      </c>
      <c r="X41" s="265"/>
      <c r="Y41" s="270">
        <v>383580</v>
      </c>
    </row>
    <row r="42" spans="1:25" ht="15" x14ac:dyDescent="0.25">
      <c r="A42" s="271" t="s">
        <v>1098</v>
      </c>
      <c r="B42" s="271" t="s">
        <v>1098</v>
      </c>
      <c r="C42" s="272" t="s">
        <v>1098</v>
      </c>
      <c r="D42" s="272" t="s">
        <v>1484</v>
      </c>
      <c r="E42" s="272" t="s">
        <v>1485</v>
      </c>
      <c r="F42" s="273" t="s">
        <v>1486</v>
      </c>
      <c r="G42" s="272" t="s">
        <v>761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1">
        <v>0</v>
      </c>
      <c r="N42" s="271">
        <v>540580</v>
      </c>
      <c r="O42" s="271">
        <v>0</v>
      </c>
      <c r="P42" s="271">
        <v>0</v>
      </c>
      <c r="Q42" s="271">
        <v>0</v>
      </c>
      <c r="R42" s="271">
        <v>0</v>
      </c>
      <c r="S42" s="271">
        <v>0</v>
      </c>
      <c r="T42" s="271">
        <v>0</v>
      </c>
      <c r="U42" s="271">
        <v>0</v>
      </c>
      <c r="V42" s="274">
        <v>540580</v>
      </c>
      <c r="W42" s="271" t="s">
        <v>1351</v>
      </c>
      <c r="X42" s="238"/>
      <c r="Y42" s="274">
        <v>540580</v>
      </c>
    </row>
    <row r="43" spans="1:25" ht="15" x14ac:dyDescent="0.25">
      <c r="A43" s="285">
        <v>45989</v>
      </c>
      <c r="B43" s="285">
        <v>45989</v>
      </c>
      <c r="C43" s="286">
        <v>45989</v>
      </c>
      <c r="D43" s="287" t="s">
        <v>1616</v>
      </c>
      <c r="E43" s="287" t="s">
        <v>1485</v>
      </c>
      <c r="F43" s="288">
        <v>20310489930</v>
      </c>
      <c r="G43" s="287" t="s">
        <v>761</v>
      </c>
      <c r="H43" s="287">
        <v>0</v>
      </c>
      <c r="I43" s="287">
        <v>0</v>
      </c>
      <c r="J43" s="287">
        <v>0</v>
      </c>
      <c r="K43" s="287">
        <v>0</v>
      </c>
      <c r="L43" s="287">
        <v>0</v>
      </c>
      <c r="M43" s="289">
        <v>0</v>
      </c>
      <c r="N43" s="289">
        <v>383580</v>
      </c>
      <c r="O43" s="289">
        <v>0</v>
      </c>
      <c r="P43" s="289">
        <v>0</v>
      </c>
      <c r="Q43" s="289">
        <v>0</v>
      </c>
      <c r="R43" s="289">
        <v>0</v>
      </c>
      <c r="S43" s="289">
        <v>0</v>
      </c>
      <c r="T43" s="289">
        <v>0</v>
      </c>
      <c r="U43" s="289">
        <v>0</v>
      </c>
      <c r="V43" s="290">
        <v>383580</v>
      </c>
      <c r="W43" s="289" t="s">
        <v>1351</v>
      </c>
      <c r="X43" s="291"/>
      <c r="Y43" s="290">
        <v>383580</v>
      </c>
    </row>
    <row r="44" spans="1:25" ht="15" x14ac:dyDescent="0.25">
      <c r="A44" s="265" t="s">
        <v>1249</v>
      </c>
      <c r="B44" s="265" t="s">
        <v>1670</v>
      </c>
      <c r="C44" s="266">
        <v>4</v>
      </c>
      <c r="D44" s="266">
        <v>179</v>
      </c>
      <c r="E44" s="267" t="s">
        <v>520</v>
      </c>
      <c r="F44" s="268">
        <v>20317488476</v>
      </c>
      <c r="G44" s="266"/>
      <c r="H44" s="267" t="s">
        <v>0</v>
      </c>
      <c r="I44" s="266">
        <v>20317488476</v>
      </c>
      <c r="J44" s="267"/>
      <c r="K44" s="267" t="s">
        <v>0</v>
      </c>
      <c r="L44" s="266">
        <v>30710473168</v>
      </c>
      <c r="M44" s="269">
        <v>1</v>
      </c>
      <c r="N44" s="265"/>
      <c r="O44" s="265"/>
      <c r="P44" s="269">
        <v>189000</v>
      </c>
      <c r="Q44" s="269">
        <v>900000</v>
      </c>
      <c r="R44" s="265"/>
      <c r="S44" s="265"/>
      <c r="T44" s="269">
        <v>900000</v>
      </c>
      <c r="U44" s="269">
        <v>0</v>
      </c>
      <c r="V44" s="269">
        <v>0</v>
      </c>
      <c r="W44" s="269">
        <v>0</v>
      </c>
      <c r="X44" s="269">
        <v>189000</v>
      </c>
      <c r="Y44" s="270">
        <v>1089000</v>
      </c>
    </row>
    <row r="45" spans="1:25" ht="15" x14ac:dyDescent="0.25">
      <c r="A45" s="271" t="s">
        <v>1249</v>
      </c>
      <c r="B45" s="271" t="s">
        <v>1249</v>
      </c>
      <c r="C45" s="272" t="s">
        <v>1249</v>
      </c>
      <c r="D45" s="272" t="s">
        <v>1559</v>
      </c>
      <c r="E45" s="272" t="s">
        <v>520</v>
      </c>
      <c r="F45" s="273" t="s">
        <v>1560</v>
      </c>
      <c r="G45" s="272" t="s">
        <v>782</v>
      </c>
      <c r="H45" s="272">
        <v>0</v>
      </c>
      <c r="I45" s="272">
        <v>0</v>
      </c>
      <c r="J45" s="272">
        <v>0</v>
      </c>
      <c r="K45" s="272">
        <v>900000</v>
      </c>
      <c r="L45" s="272">
        <v>0</v>
      </c>
      <c r="M45" s="271">
        <v>0</v>
      </c>
      <c r="N45" s="271">
        <v>0</v>
      </c>
      <c r="O45" s="271">
        <v>189000</v>
      </c>
      <c r="P45" s="271">
        <v>0</v>
      </c>
      <c r="Q45" s="271">
        <v>0</v>
      </c>
      <c r="R45" s="271">
        <v>0</v>
      </c>
      <c r="S45" s="271">
        <v>0</v>
      </c>
      <c r="T45" s="271">
        <v>0</v>
      </c>
      <c r="U45" s="271">
        <v>0</v>
      </c>
      <c r="V45" s="274">
        <v>1089000</v>
      </c>
      <c r="W45" s="271" t="s">
        <v>1561</v>
      </c>
      <c r="X45" s="238"/>
      <c r="Y45" s="274">
        <v>1089000</v>
      </c>
    </row>
    <row r="46" spans="1:25" ht="15" x14ac:dyDescent="0.25">
      <c r="A46" s="265" t="s">
        <v>955</v>
      </c>
      <c r="B46" s="265" t="s">
        <v>1670</v>
      </c>
      <c r="C46" s="266">
        <v>11</v>
      </c>
      <c r="D46" s="266">
        <v>142</v>
      </c>
      <c r="E46" s="267" t="s">
        <v>1728</v>
      </c>
      <c r="F46" s="268">
        <v>20327047354</v>
      </c>
      <c r="G46" s="266"/>
      <c r="H46" s="267" t="s">
        <v>0</v>
      </c>
      <c r="I46" s="266">
        <v>20327047354</v>
      </c>
      <c r="J46" s="267"/>
      <c r="K46" s="267" t="s">
        <v>0</v>
      </c>
      <c r="L46" s="266">
        <v>30710473168</v>
      </c>
      <c r="M46" s="269">
        <v>1</v>
      </c>
      <c r="N46" s="265"/>
      <c r="O46" s="265"/>
      <c r="P46" s="279">
        <v>7809.91</v>
      </c>
      <c r="Q46" s="279">
        <v>37190.089999999997</v>
      </c>
      <c r="R46" s="265"/>
      <c r="S46" s="265"/>
      <c r="T46" s="279">
        <v>37190.089999999997</v>
      </c>
      <c r="U46" s="269">
        <v>0</v>
      </c>
      <c r="V46" s="269">
        <v>0</v>
      </c>
      <c r="W46" s="269">
        <v>0</v>
      </c>
      <c r="X46" s="279">
        <v>7809.91</v>
      </c>
      <c r="Y46" s="270">
        <v>45000</v>
      </c>
    </row>
    <row r="47" spans="1:25" ht="15" x14ac:dyDescent="0.25">
      <c r="A47" s="285">
        <v>45971</v>
      </c>
      <c r="B47" s="285">
        <v>45971</v>
      </c>
      <c r="C47" s="286">
        <v>45971</v>
      </c>
      <c r="D47" s="287" t="s">
        <v>1437</v>
      </c>
      <c r="E47" s="287" t="s">
        <v>1438</v>
      </c>
      <c r="F47" s="288">
        <v>20327047354</v>
      </c>
      <c r="G47" s="287" t="s">
        <v>782</v>
      </c>
      <c r="H47" s="287">
        <v>0</v>
      </c>
      <c r="I47" s="287">
        <v>0</v>
      </c>
      <c r="J47" s="287">
        <v>0</v>
      </c>
      <c r="K47" s="287">
        <v>37190.089999999997</v>
      </c>
      <c r="L47" s="287">
        <v>0</v>
      </c>
      <c r="M47" s="289">
        <v>0</v>
      </c>
      <c r="N47" s="289">
        <v>0</v>
      </c>
      <c r="O47" s="289">
        <v>7809.92</v>
      </c>
      <c r="P47" s="289">
        <v>0</v>
      </c>
      <c r="Q47" s="289">
        <v>0</v>
      </c>
      <c r="R47" s="289">
        <v>0</v>
      </c>
      <c r="S47" s="289">
        <v>0</v>
      </c>
      <c r="T47" s="289">
        <v>0</v>
      </c>
      <c r="U47" s="289">
        <v>0</v>
      </c>
      <c r="V47" s="290">
        <v>45000.01</v>
      </c>
      <c r="W47" s="292"/>
      <c r="X47" s="291"/>
      <c r="Y47" s="290">
        <v>45000.01</v>
      </c>
    </row>
    <row r="48" spans="1:25" ht="15" x14ac:dyDescent="0.25">
      <c r="A48" s="271" t="s">
        <v>1164</v>
      </c>
      <c r="B48" s="271" t="s">
        <v>1164</v>
      </c>
      <c r="C48" s="293">
        <v>45978</v>
      </c>
      <c r="D48" s="245" t="s">
        <v>1522</v>
      </c>
      <c r="E48" s="267" t="s">
        <v>339</v>
      </c>
      <c r="F48" s="268">
        <v>20174004146</v>
      </c>
      <c r="G48" s="245" t="s">
        <v>782</v>
      </c>
      <c r="H48" s="245">
        <v>0</v>
      </c>
      <c r="I48" s="272">
        <v>0</v>
      </c>
      <c r="J48" s="272">
        <v>0</v>
      </c>
      <c r="K48" s="272">
        <v>280000</v>
      </c>
      <c r="L48" s="272">
        <v>0</v>
      </c>
      <c r="M48" s="271">
        <v>0</v>
      </c>
      <c r="N48" s="271">
        <v>0</v>
      </c>
      <c r="O48" s="271">
        <v>58800</v>
      </c>
      <c r="P48" s="271">
        <v>0</v>
      </c>
      <c r="Q48" s="271">
        <v>0</v>
      </c>
      <c r="R48" s="271">
        <v>0</v>
      </c>
      <c r="S48" s="271">
        <v>0</v>
      </c>
      <c r="T48" s="271">
        <v>0</v>
      </c>
      <c r="U48" s="271">
        <v>0</v>
      </c>
      <c r="V48" s="274">
        <v>338800</v>
      </c>
      <c r="W48" s="271" t="s">
        <v>1348</v>
      </c>
      <c r="X48" s="238"/>
      <c r="Y48" s="274">
        <v>338800</v>
      </c>
    </row>
    <row r="49" spans="1:25" ht="15" x14ac:dyDescent="0.25">
      <c r="A49" s="271" t="s">
        <v>1249</v>
      </c>
      <c r="B49" s="271" t="s">
        <v>1249</v>
      </c>
      <c r="C49" s="281">
        <v>45981</v>
      </c>
      <c r="D49" s="272" t="s">
        <v>1556</v>
      </c>
      <c r="E49" s="267" t="s">
        <v>339</v>
      </c>
      <c r="F49" s="268">
        <v>20174004146</v>
      </c>
      <c r="G49" s="272" t="s">
        <v>782</v>
      </c>
      <c r="H49" s="272">
        <v>0</v>
      </c>
      <c r="I49" s="272">
        <v>0</v>
      </c>
      <c r="J49" s="272">
        <v>0</v>
      </c>
      <c r="K49" s="272">
        <v>262500</v>
      </c>
      <c r="L49" s="272">
        <v>0</v>
      </c>
      <c r="M49" s="271">
        <v>0</v>
      </c>
      <c r="N49" s="271">
        <v>0</v>
      </c>
      <c r="O49" s="271">
        <v>55125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0</v>
      </c>
      <c r="V49" s="274">
        <v>317625</v>
      </c>
      <c r="W49" s="271" t="s">
        <v>1348</v>
      </c>
      <c r="X49" s="238"/>
      <c r="Y49" s="274">
        <v>317625</v>
      </c>
    </row>
    <row r="50" spans="1:25" ht="15" x14ac:dyDescent="0.25">
      <c r="A50" s="271" t="s">
        <v>1191</v>
      </c>
      <c r="B50" s="271" t="s">
        <v>1191</v>
      </c>
      <c r="C50" s="281">
        <v>45979</v>
      </c>
      <c r="D50" s="272" t="s">
        <v>1535</v>
      </c>
      <c r="E50" s="267" t="s">
        <v>339</v>
      </c>
      <c r="F50" s="268">
        <v>20174004146</v>
      </c>
      <c r="G50" s="272" t="s">
        <v>782</v>
      </c>
      <c r="H50" s="272">
        <v>0</v>
      </c>
      <c r="I50" s="272">
        <v>0</v>
      </c>
      <c r="J50" s="272">
        <v>0</v>
      </c>
      <c r="K50" s="272">
        <v>332500</v>
      </c>
      <c r="L50" s="272">
        <v>0</v>
      </c>
      <c r="M50" s="271">
        <v>0</v>
      </c>
      <c r="N50" s="271">
        <v>0</v>
      </c>
      <c r="O50" s="271">
        <v>69825</v>
      </c>
      <c r="P50" s="271">
        <v>0</v>
      </c>
      <c r="Q50" s="271">
        <v>0</v>
      </c>
      <c r="R50" s="271">
        <v>0</v>
      </c>
      <c r="S50" s="271">
        <v>0</v>
      </c>
      <c r="T50" s="271">
        <v>0</v>
      </c>
      <c r="U50" s="271">
        <v>0</v>
      </c>
      <c r="V50" s="274">
        <v>402325</v>
      </c>
      <c r="W50" s="271" t="s">
        <v>1348</v>
      </c>
      <c r="X50" s="238"/>
      <c r="Y50" s="274">
        <v>402325</v>
      </c>
    </row>
    <row r="51" spans="1:25" ht="15" x14ac:dyDescent="0.25">
      <c r="A51" s="265" t="s">
        <v>1603</v>
      </c>
      <c r="B51" s="265" t="s">
        <v>1679</v>
      </c>
      <c r="C51" s="266">
        <v>1</v>
      </c>
      <c r="D51" s="266">
        <v>2</v>
      </c>
      <c r="E51" s="267" t="s">
        <v>1705</v>
      </c>
      <c r="F51" s="268">
        <v>20421434450</v>
      </c>
      <c r="G51" s="266"/>
      <c r="H51" s="267" t="s">
        <v>0</v>
      </c>
      <c r="I51" s="266">
        <v>20421434450</v>
      </c>
      <c r="J51" s="267"/>
      <c r="K51" s="267" t="s">
        <v>0</v>
      </c>
      <c r="L51" s="266">
        <v>30710473168</v>
      </c>
      <c r="M51" s="269">
        <v>1</v>
      </c>
      <c r="N51" s="265"/>
      <c r="O51" s="265"/>
      <c r="P51" s="265"/>
      <c r="Q51" s="265"/>
      <c r="R51" s="265"/>
      <c r="S51" s="265"/>
      <c r="T51" s="265"/>
      <c r="U51" s="265"/>
      <c r="V51" s="265"/>
      <c r="W51" s="269">
        <v>0</v>
      </c>
      <c r="X51" s="265"/>
      <c r="Y51" s="270">
        <v>260000</v>
      </c>
    </row>
    <row r="52" spans="1:25" ht="15" x14ac:dyDescent="0.25">
      <c r="A52" s="271" t="s">
        <v>1603</v>
      </c>
      <c r="B52" s="271" t="s">
        <v>1603</v>
      </c>
      <c r="C52" s="272" t="s">
        <v>1603</v>
      </c>
      <c r="D52" s="272" t="s">
        <v>1607</v>
      </c>
      <c r="E52" s="272" t="s">
        <v>1608</v>
      </c>
      <c r="F52" s="273" t="s">
        <v>1609</v>
      </c>
      <c r="G52" s="272" t="s">
        <v>761</v>
      </c>
      <c r="H52" s="272">
        <v>0</v>
      </c>
      <c r="I52" s="272">
        <v>0</v>
      </c>
      <c r="J52" s="272">
        <v>0</v>
      </c>
      <c r="K52" s="272">
        <v>0</v>
      </c>
      <c r="L52" s="272">
        <v>0</v>
      </c>
      <c r="M52" s="271">
        <v>0</v>
      </c>
      <c r="N52" s="271">
        <v>260000</v>
      </c>
      <c r="O52" s="271">
        <v>0</v>
      </c>
      <c r="P52" s="271">
        <v>0</v>
      </c>
      <c r="Q52" s="271">
        <v>0</v>
      </c>
      <c r="R52" s="271">
        <v>0</v>
      </c>
      <c r="S52" s="271">
        <v>0</v>
      </c>
      <c r="T52" s="271">
        <v>0</v>
      </c>
      <c r="U52" s="271">
        <v>0</v>
      </c>
      <c r="V52" s="274">
        <v>260000</v>
      </c>
      <c r="W52" s="271" t="s">
        <v>1348</v>
      </c>
      <c r="X52" s="238"/>
      <c r="Y52" s="274">
        <v>260000</v>
      </c>
    </row>
    <row r="53" spans="1:25" ht="15" x14ac:dyDescent="0.25">
      <c r="A53" s="265" t="s">
        <v>1191</v>
      </c>
      <c r="B53" s="265" t="s">
        <v>1670</v>
      </c>
      <c r="C53" s="266">
        <v>5</v>
      </c>
      <c r="D53" s="266">
        <v>68</v>
      </c>
      <c r="E53" s="267" t="s">
        <v>300</v>
      </c>
      <c r="F53" s="268">
        <v>20929183143</v>
      </c>
      <c r="G53" s="266"/>
      <c r="H53" s="267" t="s">
        <v>0</v>
      </c>
      <c r="I53" s="266">
        <v>20929183143</v>
      </c>
      <c r="J53" s="267"/>
      <c r="K53" s="267" t="s">
        <v>0</v>
      </c>
      <c r="L53" s="266">
        <v>30710473168</v>
      </c>
      <c r="M53" s="269">
        <v>1</v>
      </c>
      <c r="N53" s="265"/>
      <c r="O53" s="265"/>
      <c r="P53" s="269">
        <v>23100</v>
      </c>
      <c r="Q53" s="269">
        <v>110000</v>
      </c>
      <c r="R53" s="265"/>
      <c r="S53" s="265"/>
      <c r="T53" s="269">
        <v>110000</v>
      </c>
      <c r="U53" s="269">
        <v>0</v>
      </c>
      <c r="V53" s="269">
        <v>0</v>
      </c>
      <c r="W53" s="269">
        <v>0</v>
      </c>
      <c r="X53" s="269">
        <v>23100</v>
      </c>
      <c r="Y53" s="270">
        <v>133100</v>
      </c>
    </row>
    <row r="54" spans="1:25" ht="15" x14ac:dyDescent="0.25">
      <c r="A54" s="271" t="s">
        <v>1191</v>
      </c>
      <c r="B54" s="271" t="s">
        <v>1191</v>
      </c>
      <c r="C54" s="281">
        <v>45979</v>
      </c>
      <c r="D54" s="272" t="s">
        <v>1537</v>
      </c>
      <c r="E54" s="272" t="s">
        <v>1538</v>
      </c>
      <c r="F54" s="273" t="s">
        <v>1539</v>
      </c>
      <c r="G54" s="272" t="s">
        <v>782</v>
      </c>
      <c r="H54" s="272">
        <v>0</v>
      </c>
      <c r="I54" s="272">
        <v>0</v>
      </c>
      <c r="J54" s="272">
        <v>0</v>
      </c>
      <c r="K54" s="272">
        <v>110000</v>
      </c>
      <c r="L54" s="272">
        <v>0</v>
      </c>
      <c r="M54" s="271">
        <v>0</v>
      </c>
      <c r="N54" s="271">
        <v>0</v>
      </c>
      <c r="O54" s="271">
        <v>23100</v>
      </c>
      <c r="P54" s="271">
        <v>0</v>
      </c>
      <c r="Q54" s="271">
        <v>0</v>
      </c>
      <c r="R54" s="271">
        <v>0</v>
      </c>
      <c r="S54" s="271">
        <v>0</v>
      </c>
      <c r="T54" s="271">
        <v>0</v>
      </c>
      <c r="U54" s="271">
        <v>0</v>
      </c>
      <c r="V54" s="274">
        <v>133100</v>
      </c>
      <c r="W54" s="271" t="s">
        <v>1348</v>
      </c>
      <c r="X54" s="238"/>
      <c r="Y54" s="274">
        <v>133100</v>
      </c>
    </row>
    <row r="55" spans="1:25" ht="15" x14ac:dyDescent="0.25">
      <c r="A55" s="265" t="s">
        <v>1126</v>
      </c>
      <c r="B55" s="265" t="s">
        <v>1679</v>
      </c>
      <c r="C55" s="266">
        <v>1</v>
      </c>
      <c r="D55" s="266">
        <v>87</v>
      </c>
      <c r="E55" s="267" t="s">
        <v>152</v>
      </c>
      <c r="F55" s="268">
        <v>23281233084</v>
      </c>
      <c r="G55" s="266"/>
      <c r="H55" s="267" t="s">
        <v>0</v>
      </c>
      <c r="I55" s="266">
        <v>23281233084</v>
      </c>
      <c r="J55" s="267"/>
      <c r="K55" s="267" t="s">
        <v>0</v>
      </c>
      <c r="L55" s="266">
        <v>30710473168</v>
      </c>
      <c r="M55" s="269">
        <v>1</v>
      </c>
      <c r="N55" s="265"/>
      <c r="O55" s="265"/>
      <c r="P55" s="265"/>
      <c r="Q55" s="265"/>
      <c r="R55" s="265"/>
      <c r="S55" s="265"/>
      <c r="T55" s="265"/>
      <c r="U55" s="265"/>
      <c r="V55" s="265"/>
      <c r="W55" s="269">
        <v>0</v>
      </c>
      <c r="X55" s="265"/>
      <c r="Y55" s="270">
        <v>300000</v>
      </c>
    </row>
    <row r="56" spans="1:25" ht="15" x14ac:dyDescent="0.25">
      <c r="A56" s="271" t="s">
        <v>1126</v>
      </c>
      <c r="B56" s="271" t="s">
        <v>1126</v>
      </c>
      <c r="C56" s="272" t="s">
        <v>1126</v>
      </c>
      <c r="D56" s="272" t="s">
        <v>1499</v>
      </c>
      <c r="E56" s="272" t="s">
        <v>1500</v>
      </c>
      <c r="F56" s="273" t="s">
        <v>1501</v>
      </c>
      <c r="G56" s="272" t="s">
        <v>761</v>
      </c>
      <c r="H56" s="272">
        <v>0</v>
      </c>
      <c r="I56" s="272">
        <v>0</v>
      </c>
      <c r="J56" s="272">
        <v>0</v>
      </c>
      <c r="K56" s="272">
        <v>0</v>
      </c>
      <c r="L56" s="272">
        <v>0</v>
      </c>
      <c r="M56" s="271">
        <v>0</v>
      </c>
      <c r="N56" s="271">
        <v>300000</v>
      </c>
      <c r="O56" s="271">
        <v>0</v>
      </c>
      <c r="P56" s="271">
        <v>0</v>
      </c>
      <c r="Q56" s="271">
        <v>0</v>
      </c>
      <c r="R56" s="271">
        <v>0</v>
      </c>
      <c r="S56" s="271">
        <v>0</v>
      </c>
      <c r="T56" s="271">
        <v>0</v>
      </c>
      <c r="U56" s="271">
        <v>0</v>
      </c>
      <c r="V56" s="274">
        <v>300000</v>
      </c>
      <c r="W56" s="271" t="s">
        <v>1348</v>
      </c>
      <c r="X56" s="238"/>
      <c r="Y56" s="274">
        <v>300000</v>
      </c>
    </row>
    <row r="57" spans="1:25" ht="15" x14ac:dyDescent="0.25">
      <c r="A57" s="265" t="s">
        <v>784</v>
      </c>
      <c r="B57" s="265" t="s">
        <v>1670</v>
      </c>
      <c r="C57" s="266">
        <v>2</v>
      </c>
      <c r="D57" s="266">
        <v>6005</v>
      </c>
      <c r="E57" s="267" t="s">
        <v>1729</v>
      </c>
      <c r="F57" s="268">
        <v>24253769951</v>
      </c>
      <c r="G57" s="266"/>
      <c r="H57" s="267" t="s">
        <v>0</v>
      </c>
      <c r="I57" s="266">
        <v>24253769951</v>
      </c>
      <c r="J57" s="267"/>
      <c r="K57" s="267" t="s">
        <v>0</v>
      </c>
      <c r="L57" s="266">
        <v>30710473168</v>
      </c>
      <c r="M57" s="269">
        <v>1</v>
      </c>
      <c r="N57" s="265"/>
      <c r="O57" s="265"/>
      <c r="P57" s="279">
        <v>66350.97</v>
      </c>
      <c r="Q57" s="269">
        <v>315957</v>
      </c>
      <c r="R57" s="265"/>
      <c r="S57" s="265"/>
      <c r="T57" s="269">
        <v>315957</v>
      </c>
      <c r="U57" s="269">
        <v>0</v>
      </c>
      <c r="V57" s="269">
        <v>0</v>
      </c>
      <c r="W57" s="269">
        <v>0</v>
      </c>
      <c r="X57" s="279">
        <v>66350.97</v>
      </c>
      <c r="Y57" s="280">
        <v>382307.97</v>
      </c>
    </row>
    <row r="58" spans="1:25" ht="15" x14ac:dyDescent="0.25">
      <c r="A58" s="271" t="s">
        <v>784</v>
      </c>
      <c r="B58" s="271" t="s">
        <v>784</v>
      </c>
      <c r="C58" s="272" t="s">
        <v>1126</v>
      </c>
      <c r="D58" s="272" t="s">
        <v>1487</v>
      </c>
      <c r="E58" s="272" t="s">
        <v>1488</v>
      </c>
      <c r="F58" s="273" t="s">
        <v>1489</v>
      </c>
      <c r="G58" s="272" t="s">
        <v>782</v>
      </c>
      <c r="H58" s="272">
        <v>0</v>
      </c>
      <c r="I58" s="272">
        <v>0</v>
      </c>
      <c r="J58" s="272">
        <v>0</v>
      </c>
      <c r="K58" s="272">
        <v>315957</v>
      </c>
      <c r="L58" s="272">
        <v>0</v>
      </c>
      <c r="M58" s="271">
        <v>0</v>
      </c>
      <c r="N58" s="271">
        <v>0</v>
      </c>
      <c r="O58" s="271">
        <v>66350.97</v>
      </c>
      <c r="P58" s="271">
        <v>0</v>
      </c>
      <c r="Q58" s="271">
        <v>0</v>
      </c>
      <c r="R58" s="271">
        <v>0</v>
      </c>
      <c r="S58" s="271">
        <v>0</v>
      </c>
      <c r="T58" s="271">
        <v>0</v>
      </c>
      <c r="U58" s="271">
        <v>0</v>
      </c>
      <c r="V58" s="274">
        <v>382307.97</v>
      </c>
      <c r="W58" s="271" t="s">
        <v>1351</v>
      </c>
      <c r="X58" s="238"/>
      <c r="Y58" s="274">
        <v>382307.97</v>
      </c>
    </row>
    <row r="59" spans="1:25" ht="15" x14ac:dyDescent="0.25">
      <c r="A59" s="265" t="s">
        <v>885</v>
      </c>
      <c r="B59" s="265" t="s">
        <v>1670</v>
      </c>
      <c r="C59" s="266">
        <v>2</v>
      </c>
      <c r="D59" s="266">
        <v>289</v>
      </c>
      <c r="E59" s="267" t="s">
        <v>1491</v>
      </c>
      <c r="F59" s="268">
        <v>27144282383</v>
      </c>
      <c r="G59" s="266"/>
      <c r="H59" s="267" t="s">
        <v>0</v>
      </c>
      <c r="I59" s="266">
        <v>27144282383</v>
      </c>
      <c r="J59" s="267"/>
      <c r="K59" s="267" t="s">
        <v>0</v>
      </c>
      <c r="L59" s="266">
        <v>30710473168</v>
      </c>
      <c r="M59" s="269">
        <v>1</v>
      </c>
      <c r="N59" s="265"/>
      <c r="O59" s="265"/>
      <c r="P59" s="269">
        <v>14700</v>
      </c>
      <c r="Q59" s="269">
        <v>70000</v>
      </c>
      <c r="R59" s="265"/>
      <c r="S59" s="265"/>
      <c r="T59" s="269">
        <v>70000</v>
      </c>
      <c r="U59" s="269">
        <v>0</v>
      </c>
      <c r="V59" s="269">
        <v>0</v>
      </c>
      <c r="W59" s="269">
        <v>0</v>
      </c>
      <c r="X59" s="269">
        <v>14700</v>
      </c>
      <c r="Y59" s="270">
        <v>84700</v>
      </c>
    </row>
    <row r="60" spans="1:25" ht="15" x14ac:dyDescent="0.25">
      <c r="A60" s="271" t="s">
        <v>885</v>
      </c>
      <c r="B60" s="271" t="s">
        <v>885</v>
      </c>
      <c r="C60" s="281">
        <v>45967</v>
      </c>
      <c r="D60" s="272" t="s">
        <v>1490</v>
      </c>
      <c r="E60" s="272" t="s">
        <v>1491</v>
      </c>
      <c r="F60" s="273" t="s">
        <v>1492</v>
      </c>
      <c r="G60" s="272" t="s">
        <v>782</v>
      </c>
      <c r="H60" s="272">
        <v>0</v>
      </c>
      <c r="I60" s="272">
        <v>0</v>
      </c>
      <c r="J60" s="272">
        <v>0</v>
      </c>
      <c r="K60" s="272">
        <v>70000</v>
      </c>
      <c r="L60" s="272">
        <v>0</v>
      </c>
      <c r="M60" s="271">
        <v>0</v>
      </c>
      <c r="N60" s="271">
        <v>0</v>
      </c>
      <c r="O60" s="271">
        <v>14700</v>
      </c>
      <c r="P60" s="271">
        <v>0</v>
      </c>
      <c r="Q60" s="271">
        <v>0</v>
      </c>
      <c r="R60" s="271">
        <v>0</v>
      </c>
      <c r="S60" s="271">
        <v>0</v>
      </c>
      <c r="T60" s="271">
        <v>0</v>
      </c>
      <c r="U60" s="271">
        <v>0</v>
      </c>
      <c r="V60" s="274">
        <v>84700</v>
      </c>
      <c r="W60" s="271" t="s">
        <v>1348</v>
      </c>
      <c r="X60" s="238"/>
      <c r="Y60" s="274">
        <v>84700</v>
      </c>
    </row>
    <row r="61" spans="1:25" ht="15" x14ac:dyDescent="0.25">
      <c r="A61" s="265" t="s">
        <v>1589</v>
      </c>
      <c r="B61" s="265" t="s">
        <v>1670</v>
      </c>
      <c r="C61" s="266">
        <v>2</v>
      </c>
      <c r="D61" s="266">
        <v>53</v>
      </c>
      <c r="E61" s="267" t="s">
        <v>577</v>
      </c>
      <c r="F61" s="268">
        <v>27243660535</v>
      </c>
      <c r="G61" s="266"/>
      <c r="H61" s="267" t="s">
        <v>0</v>
      </c>
      <c r="I61" s="266">
        <v>27243660535</v>
      </c>
      <c r="J61" s="267"/>
      <c r="K61" s="267" t="s">
        <v>0</v>
      </c>
      <c r="L61" s="266">
        <v>30710473168</v>
      </c>
      <c r="M61" s="269">
        <v>1</v>
      </c>
      <c r="N61" s="265"/>
      <c r="O61" s="265"/>
      <c r="P61" s="279">
        <v>102723.84</v>
      </c>
      <c r="Q61" s="279">
        <v>489161.14</v>
      </c>
      <c r="R61" s="265"/>
      <c r="S61" s="265"/>
      <c r="T61" s="279">
        <v>489161.14</v>
      </c>
      <c r="U61" s="269">
        <v>0</v>
      </c>
      <c r="V61" s="269">
        <v>0</v>
      </c>
      <c r="W61" s="269">
        <v>0</v>
      </c>
      <c r="X61" s="279">
        <v>102723.84</v>
      </c>
      <c r="Y61" s="270">
        <v>591885</v>
      </c>
    </row>
    <row r="62" spans="1:25" ht="15" x14ac:dyDescent="0.25">
      <c r="A62" s="271" t="s">
        <v>1589</v>
      </c>
      <c r="B62" s="271" t="s">
        <v>1589</v>
      </c>
      <c r="C62" s="272" t="s">
        <v>1589</v>
      </c>
      <c r="D62" s="272" t="s">
        <v>1594</v>
      </c>
      <c r="E62" s="272" t="s">
        <v>577</v>
      </c>
      <c r="F62" s="273" t="s">
        <v>1595</v>
      </c>
      <c r="G62" s="272" t="s">
        <v>782</v>
      </c>
      <c r="H62" s="272">
        <v>0</v>
      </c>
      <c r="I62" s="272">
        <v>0</v>
      </c>
      <c r="J62" s="272">
        <v>0</v>
      </c>
      <c r="K62" s="272">
        <v>489161.16</v>
      </c>
      <c r="L62" s="272">
        <v>0</v>
      </c>
      <c r="M62" s="271">
        <v>0</v>
      </c>
      <c r="N62" s="271">
        <v>0</v>
      </c>
      <c r="O62" s="271">
        <v>102723.84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0</v>
      </c>
      <c r="V62" s="274">
        <v>591885</v>
      </c>
      <c r="W62" s="271" t="s">
        <v>1466</v>
      </c>
      <c r="X62" s="238"/>
      <c r="Y62" s="274">
        <v>591885</v>
      </c>
    </row>
    <row r="63" spans="1:25" ht="15" x14ac:dyDescent="0.25">
      <c r="A63" s="265" t="s">
        <v>784</v>
      </c>
      <c r="B63" s="265" t="s">
        <v>1670</v>
      </c>
      <c r="C63" s="266">
        <v>5</v>
      </c>
      <c r="D63" s="266">
        <v>1705</v>
      </c>
      <c r="E63" s="267" t="s">
        <v>409</v>
      </c>
      <c r="F63" s="268">
        <v>27265302225</v>
      </c>
      <c r="G63" s="266"/>
      <c r="H63" s="267" t="s">
        <v>0</v>
      </c>
      <c r="I63" s="266">
        <v>27265302225</v>
      </c>
      <c r="J63" s="267"/>
      <c r="K63" s="267" t="s">
        <v>0</v>
      </c>
      <c r="L63" s="266">
        <v>30710473168</v>
      </c>
      <c r="M63" s="269">
        <v>1</v>
      </c>
      <c r="N63" s="265"/>
      <c r="O63" s="265"/>
      <c r="P63" s="269">
        <v>378000</v>
      </c>
      <c r="Q63" s="269">
        <v>1800000</v>
      </c>
      <c r="R63" s="265"/>
      <c r="S63" s="265"/>
      <c r="T63" s="269">
        <v>1800000</v>
      </c>
      <c r="U63" s="269">
        <v>0</v>
      </c>
      <c r="V63" s="269">
        <v>0</v>
      </c>
      <c r="W63" s="269">
        <v>0</v>
      </c>
      <c r="X63" s="269">
        <v>378000</v>
      </c>
      <c r="Y63" s="270">
        <v>2178000</v>
      </c>
    </row>
    <row r="64" spans="1:25" ht="15" x14ac:dyDescent="0.25">
      <c r="A64" s="271" t="s">
        <v>784</v>
      </c>
      <c r="B64" s="271" t="s">
        <v>784</v>
      </c>
      <c r="C64" s="272" t="s">
        <v>784</v>
      </c>
      <c r="D64" s="272" t="s">
        <v>1377</v>
      </c>
      <c r="E64" s="272" t="s">
        <v>1378</v>
      </c>
      <c r="F64" s="273" t="s">
        <v>1379</v>
      </c>
      <c r="G64" s="272" t="s">
        <v>782</v>
      </c>
      <c r="H64" s="272">
        <v>0</v>
      </c>
      <c r="I64" s="272">
        <v>0</v>
      </c>
      <c r="J64" s="272">
        <v>0</v>
      </c>
      <c r="K64" s="272">
        <v>1800000</v>
      </c>
      <c r="L64" s="272">
        <v>0</v>
      </c>
      <c r="M64" s="271">
        <v>0</v>
      </c>
      <c r="N64" s="271">
        <v>0</v>
      </c>
      <c r="O64" s="271">
        <v>378000</v>
      </c>
      <c r="P64" s="271">
        <v>0</v>
      </c>
      <c r="Q64" s="271">
        <v>0</v>
      </c>
      <c r="R64" s="271">
        <v>0</v>
      </c>
      <c r="S64" s="271">
        <v>0</v>
      </c>
      <c r="T64" s="271">
        <v>0</v>
      </c>
      <c r="U64" s="271">
        <v>0</v>
      </c>
      <c r="V64" s="274">
        <v>2178000</v>
      </c>
      <c r="W64" s="271" t="s">
        <v>1351</v>
      </c>
      <c r="X64" s="238"/>
      <c r="Y64" s="274">
        <v>2178000</v>
      </c>
    </row>
    <row r="65" spans="1:25" ht="15" x14ac:dyDescent="0.25">
      <c r="A65" s="265" t="s">
        <v>934</v>
      </c>
      <c r="B65" s="265" t="s">
        <v>1679</v>
      </c>
      <c r="C65" s="266">
        <v>2</v>
      </c>
      <c r="D65" s="266">
        <v>384</v>
      </c>
      <c r="E65" s="267" t="s">
        <v>65</v>
      </c>
      <c r="F65" s="268">
        <v>27265832178</v>
      </c>
      <c r="G65" s="266"/>
      <c r="H65" s="267" t="s">
        <v>0</v>
      </c>
      <c r="I65" s="266">
        <v>27265832178</v>
      </c>
      <c r="J65" s="267"/>
      <c r="K65" s="267" t="s">
        <v>0</v>
      </c>
      <c r="L65" s="266">
        <v>30710473168</v>
      </c>
      <c r="M65" s="269">
        <v>1</v>
      </c>
      <c r="N65" s="265"/>
      <c r="O65" s="265"/>
      <c r="P65" s="265"/>
      <c r="Q65" s="265"/>
      <c r="R65" s="265"/>
      <c r="S65" s="265"/>
      <c r="T65" s="265"/>
      <c r="U65" s="265"/>
      <c r="V65" s="265"/>
      <c r="W65" s="269">
        <v>0</v>
      </c>
      <c r="X65" s="265"/>
      <c r="Y65" s="270">
        <v>3200000</v>
      </c>
    </row>
    <row r="66" spans="1:25" ht="15" x14ac:dyDescent="0.25">
      <c r="A66" s="271" t="s">
        <v>934</v>
      </c>
      <c r="B66" s="271" t="s">
        <v>934</v>
      </c>
      <c r="C66" s="272" t="s">
        <v>934</v>
      </c>
      <c r="D66" s="272" t="s">
        <v>1423</v>
      </c>
      <c r="E66" s="272" t="s">
        <v>1424</v>
      </c>
      <c r="F66" s="273" t="s">
        <v>1425</v>
      </c>
      <c r="G66" s="272" t="s">
        <v>761</v>
      </c>
      <c r="H66" s="272">
        <v>0</v>
      </c>
      <c r="I66" s="272">
        <v>0</v>
      </c>
      <c r="J66" s="272">
        <v>0</v>
      </c>
      <c r="K66" s="272">
        <v>0</v>
      </c>
      <c r="L66" s="272">
        <v>0</v>
      </c>
      <c r="M66" s="271">
        <v>0</v>
      </c>
      <c r="N66" s="271">
        <v>320000</v>
      </c>
      <c r="O66" s="271">
        <v>0</v>
      </c>
      <c r="P66" s="271">
        <v>0</v>
      </c>
      <c r="Q66" s="271">
        <v>0</v>
      </c>
      <c r="R66" s="271">
        <v>0</v>
      </c>
      <c r="S66" s="271">
        <v>0</v>
      </c>
      <c r="T66" s="271">
        <v>0</v>
      </c>
      <c r="U66" s="271">
        <v>0</v>
      </c>
      <c r="V66" s="274">
        <v>320000</v>
      </c>
      <c r="W66" s="271" t="s">
        <v>1348</v>
      </c>
      <c r="X66" s="238"/>
      <c r="Y66" s="274">
        <v>320000</v>
      </c>
    </row>
    <row r="67" spans="1:25" ht="15" x14ac:dyDescent="0.25">
      <c r="A67" s="265" t="s">
        <v>885</v>
      </c>
      <c r="B67" s="265" t="s">
        <v>1679</v>
      </c>
      <c r="C67" s="266">
        <v>2</v>
      </c>
      <c r="D67" s="266">
        <v>140</v>
      </c>
      <c r="E67" s="267" t="s">
        <v>1689</v>
      </c>
      <c r="F67" s="268">
        <v>27315710508</v>
      </c>
      <c r="G67" s="266"/>
      <c r="H67" s="267" t="s">
        <v>0</v>
      </c>
      <c r="I67" s="266">
        <v>27315710508</v>
      </c>
      <c r="J67" s="267"/>
      <c r="K67" s="267" t="s">
        <v>0</v>
      </c>
      <c r="L67" s="266">
        <v>30710473168</v>
      </c>
      <c r="M67" s="269">
        <v>1</v>
      </c>
      <c r="N67" s="265"/>
      <c r="O67" s="265"/>
      <c r="P67" s="265"/>
      <c r="Q67" s="265"/>
      <c r="R67" s="265"/>
      <c r="S67" s="265"/>
      <c r="T67" s="265"/>
      <c r="U67" s="265"/>
      <c r="V67" s="265"/>
      <c r="W67" s="269">
        <v>0</v>
      </c>
      <c r="X67" s="265"/>
      <c r="Y67" s="270">
        <v>60000</v>
      </c>
    </row>
    <row r="68" spans="1:25" ht="15" x14ac:dyDescent="0.25">
      <c r="A68" s="271" t="s">
        <v>885</v>
      </c>
      <c r="B68" s="271" t="s">
        <v>885</v>
      </c>
      <c r="C68" s="272" t="s">
        <v>885</v>
      </c>
      <c r="D68" s="272" t="s">
        <v>1408</v>
      </c>
      <c r="E68" s="272" t="s">
        <v>1409</v>
      </c>
      <c r="F68" s="273" t="s">
        <v>1410</v>
      </c>
      <c r="G68" s="272" t="s">
        <v>761</v>
      </c>
      <c r="H68" s="272">
        <v>0</v>
      </c>
      <c r="I68" s="272">
        <v>0</v>
      </c>
      <c r="J68" s="272">
        <v>0</v>
      </c>
      <c r="K68" s="272">
        <v>0</v>
      </c>
      <c r="L68" s="272">
        <v>0</v>
      </c>
      <c r="M68" s="271">
        <v>0</v>
      </c>
      <c r="N68" s="271">
        <v>60000</v>
      </c>
      <c r="O68" s="271">
        <v>0</v>
      </c>
      <c r="P68" s="271">
        <v>0</v>
      </c>
      <c r="Q68" s="271">
        <v>0</v>
      </c>
      <c r="R68" s="271">
        <v>0</v>
      </c>
      <c r="S68" s="271">
        <v>0</v>
      </c>
      <c r="T68" s="271">
        <v>0</v>
      </c>
      <c r="U68" s="271">
        <v>0</v>
      </c>
      <c r="V68" s="274">
        <v>60000</v>
      </c>
      <c r="W68" s="271" t="s">
        <v>1348</v>
      </c>
      <c r="X68" s="238"/>
      <c r="Y68" s="274">
        <v>60000</v>
      </c>
    </row>
    <row r="69" spans="1:25" ht="15" x14ac:dyDescent="0.25">
      <c r="A69" s="265" t="s">
        <v>825</v>
      </c>
      <c r="B69" s="265" t="s">
        <v>1670</v>
      </c>
      <c r="C69" s="266">
        <v>7</v>
      </c>
      <c r="D69" s="266">
        <v>57</v>
      </c>
      <c r="E69" s="267" t="s">
        <v>1685</v>
      </c>
      <c r="F69" s="268">
        <v>27325223273</v>
      </c>
      <c r="G69" s="266"/>
      <c r="H69" s="267" t="s">
        <v>0</v>
      </c>
      <c r="I69" s="266">
        <v>27325223273</v>
      </c>
      <c r="J69" s="267"/>
      <c r="K69" s="267" t="s">
        <v>0</v>
      </c>
      <c r="L69" s="266">
        <v>30710473168</v>
      </c>
      <c r="M69" s="269">
        <v>1</v>
      </c>
      <c r="N69" s="265"/>
      <c r="O69" s="265"/>
      <c r="P69" s="269">
        <v>147000</v>
      </c>
      <c r="Q69" s="269">
        <v>700000</v>
      </c>
      <c r="R69" s="265"/>
      <c r="S69" s="265"/>
      <c r="T69" s="269">
        <v>700000</v>
      </c>
      <c r="U69" s="269">
        <v>0</v>
      </c>
      <c r="V69" s="269">
        <v>0</v>
      </c>
      <c r="W69" s="269">
        <v>0</v>
      </c>
      <c r="X69" s="269">
        <v>147000</v>
      </c>
      <c r="Y69" s="270">
        <v>847000</v>
      </c>
    </row>
    <row r="70" spans="1:25" ht="15" x14ac:dyDescent="0.25">
      <c r="A70" s="265" t="s">
        <v>1603</v>
      </c>
      <c r="B70" s="265" t="s">
        <v>1678</v>
      </c>
      <c r="C70" s="266">
        <v>7</v>
      </c>
      <c r="D70" s="266">
        <v>7</v>
      </c>
      <c r="E70" s="267" t="s">
        <v>1685</v>
      </c>
      <c r="F70" s="268">
        <v>27325223273</v>
      </c>
      <c r="G70" s="266"/>
      <c r="H70" s="267" t="s">
        <v>0</v>
      </c>
      <c r="I70" s="266">
        <v>27325223273</v>
      </c>
      <c r="J70" s="267"/>
      <c r="K70" s="267" t="s">
        <v>0</v>
      </c>
      <c r="L70" s="266">
        <v>30710473168</v>
      </c>
      <c r="M70" s="269">
        <v>1</v>
      </c>
      <c r="N70" s="265"/>
      <c r="O70" s="265"/>
      <c r="P70" s="269">
        <v>273000</v>
      </c>
      <c r="Q70" s="269">
        <v>1300000</v>
      </c>
      <c r="R70" s="265"/>
      <c r="S70" s="265"/>
      <c r="T70" s="269">
        <v>1300000</v>
      </c>
      <c r="U70" s="269">
        <v>0</v>
      </c>
      <c r="V70" s="269">
        <v>0</v>
      </c>
      <c r="W70" s="269">
        <v>0</v>
      </c>
      <c r="X70" s="269">
        <v>273000</v>
      </c>
      <c r="Y70" s="270">
        <v>1573000</v>
      </c>
    </row>
    <row r="71" spans="1:25" ht="15" x14ac:dyDescent="0.25">
      <c r="A71" s="271" t="s">
        <v>825</v>
      </c>
      <c r="B71" s="271" t="s">
        <v>825</v>
      </c>
      <c r="C71" s="281">
        <v>45966</v>
      </c>
      <c r="D71" s="272" t="s">
        <v>1396</v>
      </c>
      <c r="E71" s="272" t="s">
        <v>1397</v>
      </c>
      <c r="F71" s="273" t="s">
        <v>1398</v>
      </c>
      <c r="G71" s="272" t="s">
        <v>782</v>
      </c>
      <c r="H71" s="272">
        <v>0</v>
      </c>
      <c r="I71" s="272">
        <v>0</v>
      </c>
      <c r="J71" s="272">
        <v>0</v>
      </c>
      <c r="K71" s="272">
        <v>700000</v>
      </c>
      <c r="L71" s="272">
        <v>0</v>
      </c>
      <c r="M71" s="271">
        <v>0</v>
      </c>
      <c r="N71" s="271">
        <v>0</v>
      </c>
      <c r="O71" s="271">
        <v>147000</v>
      </c>
      <c r="P71" s="271">
        <v>0</v>
      </c>
      <c r="Q71" s="271">
        <v>0</v>
      </c>
      <c r="R71" s="271">
        <v>0</v>
      </c>
      <c r="S71" s="271">
        <v>0</v>
      </c>
      <c r="T71" s="271">
        <v>0</v>
      </c>
      <c r="U71" s="271">
        <v>0</v>
      </c>
      <c r="V71" s="274">
        <v>847000</v>
      </c>
      <c r="W71" s="271" t="s">
        <v>1351</v>
      </c>
      <c r="X71" s="238"/>
      <c r="Y71" s="274">
        <v>847000</v>
      </c>
    </row>
    <row r="72" spans="1:25" ht="15" x14ac:dyDescent="0.25">
      <c r="A72" s="285">
        <v>45989</v>
      </c>
      <c r="B72" s="285">
        <v>45989</v>
      </c>
      <c r="C72" s="286">
        <v>45989</v>
      </c>
      <c r="D72" s="287" t="s">
        <v>1615</v>
      </c>
      <c r="E72" s="287" t="s">
        <v>1397</v>
      </c>
      <c r="F72" s="288">
        <v>27325223273</v>
      </c>
      <c r="G72" s="287" t="s">
        <v>782</v>
      </c>
      <c r="H72" s="287">
        <v>0</v>
      </c>
      <c r="I72" s="287">
        <v>0</v>
      </c>
      <c r="J72" s="287">
        <v>0</v>
      </c>
      <c r="K72" s="287">
        <v>-130000</v>
      </c>
      <c r="L72" s="287">
        <v>0</v>
      </c>
      <c r="M72" s="289">
        <v>0</v>
      </c>
      <c r="N72" s="289">
        <v>0</v>
      </c>
      <c r="O72" s="289">
        <v>-27300</v>
      </c>
      <c r="P72" s="289">
        <v>0</v>
      </c>
      <c r="Q72" s="289">
        <v>0</v>
      </c>
      <c r="R72" s="289">
        <v>0</v>
      </c>
      <c r="S72" s="289">
        <v>0</v>
      </c>
      <c r="T72" s="289">
        <v>0</v>
      </c>
      <c r="U72" s="289">
        <v>0</v>
      </c>
      <c r="V72" s="290">
        <v>-157300</v>
      </c>
      <c r="W72" s="289" t="s">
        <v>1351</v>
      </c>
      <c r="X72" s="291"/>
      <c r="Y72" s="290">
        <v>-157300</v>
      </c>
    </row>
    <row r="73" spans="1:25" ht="15" x14ac:dyDescent="0.25">
      <c r="A73" s="265" t="s">
        <v>784</v>
      </c>
      <c r="B73" s="265" t="s">
        <v>1679</v>
      </c>
      <c r="C73" s="266">
        <v>1</v>
      </c>
      <c r="D73" s="266">
        <v>196</v>
      </c>
      <c r="E73" s="267" t="s">
        <v>77</v>
      </c>
      <c r="F73" s="268">
        <v>27338342840</v>
      </c>
      <c r="G73" s="266"/>
      <c r="H73" s="267" t="s">
        <v>0</v>
      </c>
      <c r="I73" s="266">
        <v>27338342840</v>
      </c>
      <c r="J73" s="267"/>
      <c r="K73" s="267" t="s">
        <v>0</v>
      </c>
      <c r="L73" s="266">
        <v>30710473168</v>
      </c>
      <c r="M73" s="269">
        <v>1</v>
      </c>
      <c r="N73" s="265"/>
      <c r="O73" s="265"/>
      <c r="P73" s="265"/>
      <c r="Q73" s="265"/>
      <c r="R73" s="265"/>
      <c r="S73" s="265"/>
      <c r="T73" s="265"/>
      <c r="U73" s="265"/>
      <c r="V73" s="265"/>
      <c r="W73" s="269">
        <v>0</v>
      </c>
      <c r="X73" s="265"/>
      <c r="Y73" s="270">
        <v>165000</v>
      </c>
    </row>
    <row r="74" spans="1:25" ht="15" x14ac:dyDescent="0.25">
      <c r="A74" s="271" t="s">
        <v>784</v>
      </c>
      <c r="B74" s="271" t="s">
        <v>784</v>
      </c>
      <c r="C74" s="272" t="s">
        <v>784</v>
      </c>
      <c r="D74" s="272" t="s">
        <v>1360</v>
      </c>
      <c r="E74" s="272" t="s">
        <v>1361</v>
      </c>
      <c r="F74" s="273" t="s">
        <v>1362</v>
      </c>
      <c r="G74" s="272" t="s">
        <v>761</v>
      </c>
      <c r="H74" s="272">
        <v>0</v>
      </c>
      <c r="I74" s="272">
        <v>0</v>
      </c>
      <c r="J74" s="272">
        <v>0</v>
      </c>
      <c r="K74" s="272">
        <v>0</v>
      </c>
      <c r="L74" s="272">
        <v>0</v>
      </c>
      <c r="M74" s="271">
        <v>0</v>
      </c>
      <c r="N74" s="271">
        <v>165000</v>
      </c>
      <c r="O74" s="271">
        <v>0</v>
      </c>
      <c r="P74" s="271">
        <v>0</v>
      </c>
      <c r="Q74" s="271">
        <v>0</v>
      </c>
      <c r="R74" s="271">
        <v>0</v>
      </c>
      <c r="S74" s="271">
        <v>0</v>
      </c>
      <c r="T74" s="271">
        <v>0</v>
      </c>
      <c r="U74" s="271">
        <v>0</v>
      </c>
      <c r="V74" s="274">
        <v>165000</v>
      </c>
      <c r="W74" s="271" t="s">
        <v>1351</v>
      </c>
      <c r="X74" s="238"/>
      <c r="Y74" s="274">
        <v>165000</v>
      </c>
    </row>
    <row r="75" spans="1:25" ht="15" x14ac:dyDescent="0.25">
      <c r="A75" s="265" t="s">
        <v>1603</v>
      </c>
      <c r="B75" s="265" t="s">
        <v>1679</v>
      </c>
      <c r="C75" s="266">
        <v>2</v>
      </c>
      <c r="D75" s="266">
        <v>17</v>
      </c>
      <c r="E75" s="267" t="s">
        <v>1709</v>
      </c>
      <c r="F75" s="268">
        <v>27344304551</v>
      </c>
      <c r="G75" s="266"/>
      <c r="H75" s="267" t="s">
        <v>0</v>
      </c>
      <c r="I75" s="266">
        <v>27344304551</v>
      </c>
      <c r="J75" s="267"/>
      <c r="K75" s="267" t="s">
        <v>0</v>
      </c>
      <c r="L75" s="266">
        <v>30710473168</v>
      </c>
      <c r="M75" s="269">
        <v>1</v>
      </c>
      <c r="N75" s="265"/>
      <c r="O75" s="265"/>
      <c r="P75" s="265"/>
      <c r="Q75" s="265"/>
      <c r="R75" s="265"/>
      <c r="S75" s="265"/>
      <c r="T75" s="265"/>
      <c r="U75" s="265"/>
      <c r="V75" s="265"/>
      <c r="W75" s="269">
        <v>0</v>
      </c>
      <c r="X75" s="265"/>
      <c r="Y75" s="270">
        <v>850000</v>
      </c>
    </row>
    <row r="76" spans="1:25" ht="15" x14ac:dyDescent="0.25">
      <c r="A76" s="271" t="s">
        <v>1603</v>
      </c>
      <c r="B76" s="271" t="s">
        <v>1603</v>
      </c>
      <c r="C76" s="272" t="s">
        <v>1603</v>
      </c>
      <c r="D76" s="272" t="s">
        <v>1604</v>
      </c>
      <c r="E76" s="272" t="s">
        <v>1605</v>
      </c>
      <c r="F76" s="273" t="s">
        <v>1606</v>
      </c>
      <c r="G76" s="272" t="s">
        <v>761</v>
      </c>
      <c r="H76" s="272">
        <v>0</v>
      </c>
      <c r="I76" s="272">
        <v>0</v>
      </c>
      <c r="J76" s="272">
        <v>0</v>
      </c>
      <c r="K76" s="272">
        <v>0</v>
      </c>
      <c r="L76" s="272">
        <v>0</v>
      </c>
      <c r="M76" s="271">
        <v>0</v>
      </c>
      <c r="N76" s="271">
        <v>850000</v>
      </c>
      <c r="O76" s="271">
        <v>0</v>
      </c>
      <c r="P76" s="271">
        <v>0</v>
      </c>
      <c r="Q76" s="271">
        <v>0</v>
      </c>
      <c r="R76" s="271">
        <v>0</v>
      </c>
      <c r="S76" s="271">
        <v>0</v>
      </c>
      <c r="T76" s="271">
        <v>0</v>
      </c>
      <c r="U76" s="271">
        <v>0</v>
      </c>
      <c r="V76" s="274">
        <v>850000</v>
      </c>
      <c r="W76" s="271" t="s">
        <v>1348</v>
      </c>
      <c r="X76" s="238"/>
      <c r="Y76" s="274">
        <v>850000</v>
      </c>
    </row>
    <row r="77" spans="1:25" ht="15" x14ac:dyDescent="0.25">
      <c r="A77" s="265" t="s">
        <v>784</v>
      </c>
      <c r="B77" s="265" t="s">
        <v>1679</v>
      </c>
      <c r="C77" s="266">
        <v>1</v>
      </c>
      <c r="D77" s="266">
        <v>6</v>
      </c>
      <c r="E77" s="267" t="s">
        <v>1692</v>
      </c>
      <c r="F77" s="268">
        <v>27380284052</v>
      </c>
      <c r="G77" s="266"/>
      <c r="H77" s="267" t="s">
        <v>0</v>
      </c>
      <c r="I77" s="266">
        <v>27380284052</v>
      </c>
      <c r="J77" s="267"/>
      <c r="K77" s="267" t="s">
        <v>0</v>
      </c>
      <c r="L77" s="266">
        <v>30710473168</v>
      </c>
      <c r="M77" s="269">
        <v>1</v>
      </c>
      <c r="N77" s="265"/>
      <c r="O77" s="265"/>
      <c r="P77" s="265"/>
      <c r="Q77" s="265"/>
      <c r="R77" s="265"/>
      <c r="S77" s="265"/>
      <c r="T77" s="265"/>
      <c r="U77" s="265"/>
      <c r="V77" s="265"/>
      <c r="W77" s="269">
        <v>0</v>
      </c>
      <c r="X77" s="265"/>
      <c r="Y77" s="270">
        <v>4335000</v>
      </c>
    </row>
    <row r="78" spans="1:25" ht="15" x14ac:dyDescent="0.25">
      <c r="A78" s="271" t="s">
        <v>784</v>
      </c>
      <c r="B78" s="271" t="s">
        <v>784</v>
      </c>
      <c r="C78" s="272" t="s">
        <v>784</v>
      </c>
      <c r="D78" s="272" t="s">
        <v>1354</v>
      </c>
      <c r="E78" s="272" t="s">
        <v>1355</v>
      </c>
      <c r="F78" s="273" t="s">
        <v>1356</v>
      </c>
      <c r="G78" s="272" t="s">
        <v>761</v>
      </c>
      <c r="H78" s="272">
        <v>0</v>
      </c>
      <c r="I78" s="272">
        <v>0</v>
      </c>
      <c r="J78" s="272">
        <v>0</v>
      </c>
      <c r="K78" s="272">
        <v>0</v>
      </c>
      <c r="L78" s="272">
        <v>0</v>
      </c>
      <c r="M78" s="271">
        <v>0</v>
      </c>
      <c r="N78" s="271">
        <v>4335000</v>
      </c>
      <c r="O78" s="271">
        <v>0</v>
      </c>
      <c r="P78" s="271">
        <v>0</v>
      </c>
      <c r="Q78" s="271">
        <v>0</v>
      </c>
      <c r="R78" s="271">
        <v>0</v>
      </c>
      <c r="S78" s="271">
        <v>0</v>
      </c>
      <c r="T78" s="271">
        <v>0</v>
      </c>
      <c r="U78" s="271">
        <v>0</v>
      </c>
      <c r="V78" s="274">
        <v>4335000</v>
      </c>
      <c r="W78" s="271" t="s">
        <v>1348</v>
      </c>
      <c r="X78" s="238"/>
      <c r="Y78" s="274">
        <v>4335000</v>
      </c>
    </row>
    <row r="79" spans="1:25" ht="15" x14ac:dyDescent="0.25">
      <c r="A79" s="265" t="s">
        <v>1126</v>
      </c>
      <c r="B79" s="265" t="s">
        <v>1679</v>
      </c>
      <c r="C79" s="266">
        <v>1</v>
      </c>
      <c r="D79" s="266">
        <v>31</v>
      </c>
      <c r="E79" s="267" t="s">
        <v>1698</v>
      </c>
      <c r="F79" s="268">
        <v>27443612705</v>
      </c>
      <c r="G79" s="266"/>
      <c r="H79" s="267" t="s">
        <v>0</v>
      </c>
      <c r="I79" s="266">
        <v>27443612705</v>
      </c>
      <c r="J79" s="267"/>
      <c r="K79" s="267" t="s">
        <v>0</v>
      </c>
      <c r="L79" s="266">
        <v>30710473168</v>
      </c>
      <c r="M79" s="269">
        <v>1</v>
      </c>
      <c r="N79" s="265"/>
      <c r="O79" s="265"/>
      <c r="P79" s="265"/>
      <c r="Q79" s="265"/>
      <c r="R79" s="265"/>
      <c r="S79" s="265"/>
      <c r="T79" s="265"/>
      <c r="U79" s="265"/>
      <c r="V79" s="265"/>
      <c r="W79" s="269">
        <v>0</v>
      </c>
      <c r="X79" s="265"/>
      <c r="Y79" s="270">
        <v>900000</v>
      </c>
    </row>
    <row r="80" spans="1:25" ht="15" x14ac:dyDescent="0.25">
      <c r="A80" s="271" t="s">
        <v>1126</v>
      </c>
      <c r="B80" s="271" t="s">
        <v>1126</v>
      </c>
      <c r="C80" s="272" t="s">
        <v>1220</v>
      </c>
      <c r="D80" s="272" t="s">
        <v>1502</v>
      </c>
      <c r="E80" s="272" t="s">
        <v>1503</v>
      </c>
      <c r="F80" s="273" t="s">
        <v>1504</v>
      </c>
      <c r="G80" s="272" t="s">
        <v>761</v>
      </c>
      <c r="H80" s="272">
        <v>0</v>
      </c>
      <c r="I80" s="272">
        <v>0</v>
      </c>
      <c r="J80" s="272">
        <v>0</v>
      </c>
      <c r="K80" s="272">
        <v>0</v>
      </c>
      <c r="L80" s="272">
        <v>0</v>
      </c>
      <c r="M80" s="271">
        <v>0</v>
      </c>
      <c r="N80" s="271">
        <v>900000</v>
      </c>
      <c r="O80" s="271">
        <v>0</v>
      </c>
      <c r="P80" s="271">
        <v>0</v>
      </c>
      <c r="Q80" s="271">
        <v>0</v>
      </c>
      <c r="R80" s="271">
        <v>0</v>
      </c>
      <c r="S80" s="271">
        <v>0</v>
      </c>
      <c r="T80" s="271">
        <v>0</v>
      </c>
      <c r="U80" s="271">
        <v>0</v>
      </c>
      <c r="V80" s="274">
        <v>900000</v>
      </c>
      <c r="W80" s="271" t="s">
        <v>1466</v>
      </c>
      <c r="X80" s="238"/>
      <c r="Y80" s="274">
        <v>900000</v>
      </c>
    </row>
    <row r="81" spans="1:25" ht="15" x14ac:dyDescent="0.25">
      <c r="A81" s="265" t="s">
        <v>784</v>
      </c>
      <c r="B81" s="265" t="s">
        <v>1679</v>
      </c>
      <c r="C81" s="266">
        <v>1</v>
      </c>
      <c r="D81" s="266">
        <v>20</v>
      </c>
      <c r="E81" s="267" t="s">
        <v>1693</v>
      </c>
      <c r="F81" s="268">
        <v>27443612713</v>
      </c>
      <c r="G81" s="266"/>
      <c r="H81" s="267" t="s">
        <v>0</v>
      </c>
      <c r="I81" s="266">
        <v>27443612713</v>
      </c>
      <c r="J81" s="267"/>
      <c r="K81" s="267" t="s">
        <v>0</v>
      </c>
      <c r="L81" s="266">
        <v>30710473168</v>
      </c>
      <c r="M81" s="269">
        <v>1</v>
      </c>
      <c r="N81" s="265"/>
      <c r="O81" s="265"/>
      <c r="P81" s="265"/>
      <c r="Q81" s="265"/>
      <c r="R81" s="265"/>
      <c r="S81" s="265"/>
      <c r="T81" s="265"/>
      <c r="U81" s="265"/>
      <c r="V81" s="265"/>
      <c r="W81" s="269">
        <v>0</v>
      </c>
      <c r="X81" s="265"/>
      <c r="Y81" s="270">
        <v>870000</v>
      </c>
    </row>
    <row r="82" spans="1:25" ht="15" x14ac:dyDescent="0.25">
      <c r="A82" s="271" t="s">
        <v>784</v>
      </c>
      <c r="B82" s="271" t="s">
        <v>784</v>
      </c>
      <c r="C82" s="272" t="s">
        <v>1126</v>
      </c>
      <c r="D82" s="272" t="s">
        <v>1493</v>
      </c>
      <c r="E82" s="272" t="s">
        <v>1494</v>
      </c>
      <c r="F82" s="273" t="s">
        <v>1495</v>
      </c>
      <c r="G82" s="272" t="s">
        <v>761</v>
      </c>
      <c r="H82" s="272">
        <v>0</v>
      </c>
      <c r="I82" s="272">
        <v>0</v>
      </c>
      <c r="J82" s="272">
        <v>0</v>
      </c>
      <c r="K82" s="272">
        <v>0</v>
      </c>
      <c r="L82" s="272">
        <v>0</v>
      </c>
      <c r="M82" s="271">
        <v>0</v>
      </c>
      <c r="N82" s="271">
        <v>870000</v>
      </c>
      <c r="O82" s="271">
        <v>0</v>
      </c>
      <c r="P82" s="271">
        <v>0</v>
      </c>
      <c r="Q82" s="271">
        <v>0</v>
      </c>
      <c r="R82" s="271">
        <v>0</v>
      </c>
      <c r="S82" s="271">
        <v>0</v>
      </c>
      <c r="T82" s="271">
        <v>0</v>
      </c>
      <c r="U82" s="271">
        <v>0</v>
      </c>
      <c r="V82" s="274">
        <v>870000</v>
      </c>
      <c r="W82" s="271" t="s">
        <v>1351</v>
      </c>
      <c r="X82" s="238"/>
      <c r="Y82" s="274">
        <v>870000</v>
      </c>
    </row>
    <row r="83" spans="1:25" ht="15" x14ac:dyDescent="0.25">
      <c r="A83" s="265" t="s">
        <v>825</v>
      </c>
      <c r="B83" s="265" t="s">
        <v>1679</v>
      </c>
      <c r="C83" s="266">
        <v>1</v>
      </c>
      <c r="D83" s="266">
        <v>7</v>
      </c>
      <c r="E83" s="267" t="s">
        <v>1730</v>
      </c>
      <c r="F83" s="268">
        <v>27955236861</v>
      </c>
      <c r="G83" s="266"/>
      <c r="H83" s="267" t="s">
        <v>0</v>
      </c>
      <c r="I83" s="266">
        <v>27955236861</v>
      </c>
      <c r="J83" s="267"/>
      <c r="K83" s="267" t="s">
        <v>0</v>
      </c>
      <c r="L83" s="266">
        <v>30710473168</v>
      </c>
      <c r="M83" s="269">
        <v>1</v>
      </c>
      <c r="N83" s="265"/>
      <c r="O83" s="265"/>
      <c r="P83" s="265"/>
      <c r="Q83" s="265"/>
      <c r="R83" s="265"/>
      <c r="S83" s="265"/>
      <c r="T83" s="265"/>
      <c r="U83" s="265"/>
      <c r="V83" s="265"/>
      <c r="W83" s="269">
        <v>0</v>
      </c>
      <c r="X83" s="265"/>
      <c r="Y83" s="270">
        <v>100000</v>
      </c>
    </row>
    <row r="84" spans="1:25" ht="15" x14ac:dyDescent="0.25">
      <c r="A84" s="271" t="s">
        <v>825</v>
      </c>
      <c r="B84" s="271" t="s">
        <v>825</v>
      </c>
      <c r="C84" s="294">
        <v>45966</v>
      </c>
      <c r="D84" s="272" t="s">
        <v>1393</v>
      </c>
      <c r="E84" s="272" t="s">
        <v>1394</v>
      </c>
      <c r="F84" s="273" t="s">
        <v>1395</v>
      </c>
      <c r="G84" s="272" t="s">
        <v>761</v>
      </c>
      <c r="H84" s="272">
        <v>0</v>
      </c>
      <c r="I84" s="272">
        <v>0</v>
      </c>
      <c r="J84" s="272">
        <v>0</v>
      </c>
      <c r="K84" s="272">
        <v>0</v>
      </c>
      <c r="L84" s="272">
        <v>0</v>
      </c>
      <c r="M84" s="271">
        <v>0</v>
      </c>
      <c r="N84" s="271">
        <v>100000</v>
      </c>
      <c r="O84" s="271">
        <v>0</v>
      </c>
      <c r="P84" s="271">
        <v>0</v>
      </c>
      <c r="Q84" s="271">
        <v>0</v>
      </c>
      <c r="R84" s="271">
        <v>0</v>
      </c>
      <c r="S84" s="271">
        <v>0</v>
      </c>
      <c r="T84" s="271">
        <v>0</v>
      </c>
      <c r="U84" s="271">
        <v>0</v>
      </c>
      <c r="V84" s="274">
        <v>100000</v>
      </c>
      <c r="W84" s="271"/>
      <c r="X84" s="238"/>
      <c r="Y84" s="274">
        <v>100000</v>
      </c>
    </row>
    <row r="85" spans="1:25" ht="15" x14ac:dyDescent="0.25">
      <c r="A85" s="265" t="s">
        <v>817</v>
      </c>
      <c r="B85" s="265" t="s">
        <v>1670</v>
      </c>
      <c r="C85" s="266">
        <v>2031</v>
      </c>
      <c r="D85" s="266">
        <v>233913</v>
      </c>
      <c r="E85" s="267" t="s">
        <v>1388</v>
      </c>
      <c r="F85" s="268">
        <v>30516186670</v>
      </c>
      <c r="G85" s="266"/>
      <c r="H85" s="267" t="s">
        <v>0</v>
      </c>
      <c r="I85" s="266">
        <v>30516186670</v>
      </c>
      <c r="J85" s="267"/>
      <c r="K85" s="267" t="s">
        <v>0</v>
      </c>
      <c r="L85" s="266">
        <v>30710473168</v>
      </c>
      <c r="M85" s="269">
        <v>1</v>
      </c>
      <c r="N85" s="265"/>
      <c r="O85" s="265"/>
      <c r="P85" s="279">
        <v>7036.67</v>
      </c>
      <c r="Q85" s="279">
        <v>33507.94</v>
      </c>
      <c r="R85" s="265"/>
      <c r="S85" s="265"/>
      <c r="T85" s="279">
        <v>33507.94</v>
      </c>
      <c r="U85" s="269">
        <v>0</v>
      </c>
      <c r="V85" s="269">
        <v>0</v>
      </c>
      <c r="W85" s="279">
        <v>10845.42</v>
      </c>
      <c r="X85" s="279">
        <v>7036.67</v>
      </c>
      <c r="Y85" s="280">
        <v>51390.02</v>
      </c>
    </row>
    <row r="86" spans="1:25" ht="15" x14ac:dyDescent="0.25">
      <c r="A86" s="265" t="s">
        <v>1426</v>
      </c>
      <c r="B86" s="265" t="s">
        <v>1670</v>
      </c>
      <c r="C86" s="266">
        <v>2049</v>
      </c>
      <c r="D86" s="266">
        <v>771</v>
      </c>
      <c r="E86" s="267" t="s">
        <v>1388</v>
      </c>
      <c r="F86" s="268">
        <v>30516186670</v>
      </c>
      <c r="G86" s="266"/>
      <c r="H86" s="267" t="s">
        <v>0</v>
      </c>
      <c r="I86" s="266">
        <v>30516186670</v>
      </c>
      <c r="J86" s="267"/>
      <c r="K86" s="267" t="s">
        <v>0</v>
      </c>
      <c r="L86" s="266">
        <v>30710473168</v>
      </c>
      <c r="M86" s="269">
        <v>1</v>
      </c>
      <c r="N86" s="265"/>
      <c r="O86" s="265"/>
      <c r="P86" s="265">
        <v>10846.1</v>
      </c>
      <c r="Q86" s="279">
        <v>51648.07</v>
      </c>
      <c r="R86" s="265"/>
      <c r="S86" s="265"/>
      <c r="T86" s="279">
        <v>51648.07</v>
      </c>
      <c r="U86" s="269">
        <v>0</v>
      </c>
      <c r="V86" s="269">
        <v>0</v>
      </c>
      <c r="W86" s="279">
        <v>16615.740000000002</v>
      </c>
      <c r="X86" s="265">
        <v>10846.1</v>
      </c>
      <c r="Y86" s="280">
        <v>79109.91</v>
      </c>
    </row>
    <row r="87" spans="1:25" ht="15" x14ac:dyDescent="0.25">
      <c r="A87" s="271" t="s">
        <v>817</v>
      </c>
      <c r="B87" s="271" t="s">
        <v>817</v>
      </c>
      <c r="C87" s="266"/>
      <c r="D87" s="272" t="s">
        <v>1387</v>
      </c>
      <c r="E87" s="272" t="s">
        <v>1388</v>
      </c>
      <c r="F87" s="272" t="s">
        <v>1389</v>
      </c>
      <c r="G87" s="272" t="s">
        <v>782</v>
      </c>
      <c r="H87" s="272">
        <v>0</v>
      </c>
      <c r="I87" s="272">
        <v>0</v>
      </c>
      <c r="J87" s="272">
        <v>0</v>
      </c>
      <c r="K87" s="272">
        <v>33507.94</v>
      </c>
      <c r="L87" s="272">
        <v>0</v>
      </c>
      <c r="M87" s="238">
        <v>0</v>
      </c>
      <c r="N87" s="238">
        <v>0</v>
      </c>
      <c r="O87" s="238">
        <v>7036.67</v>
      </c>
      <c r="P87" s="238">
        <v>1005.24</v>
      </c>
      <c r="Q87" s="238">
        <v>0</v>
      </c>
      <c r="R87" s="238">
        <v>471.75</v>
      </c>
      <c r="S87" s="238">
        <v>7701.19</v>
      </c>
      <c r="T87" s="238">
        <v>1667.24</v>
      </c>
      <c r="U87" s="238">
        <v>0</v>
      </c>
      <c r="V87" s="238">
        <v>51390.03</v>
      </c>
      <c r="W87" s="238" t="s">
        <v>1348</v>
      </c>
      <c r="X87" s="238" t="s">
        <v>704</v>
      </c>
      <c r="Y87" s="238">
        <v>51390.03</v>
      </c>
    </row>
    <row r="88" spans="1:25" ht="15" x14ac:dyDescent="0.25">
      <c r="A88" s="271" t="s">
        <v>1426</v>
      </c>
      <c r="B88" s="271" t="s">
        <v>1426</v>
      </c>
      <c r="C88" s="266"/>
      <c r="D88" s="272" t="s">
        <v>1429</v>
      </c>
      <c r="E88" s="272" t="s">
        <v>1388</v>
      </c>
      <c r="F88" s="272" t="s">
        <v>1389</v>
      </c>
      <c r="G88" s="272" t="s">
        <v>782</v>
      </c>
      <c r="H88" s="272">
        <v>0</v>
      </c>
      <c r="I88" s="272">
        <v>0</v>
      </c>
      <c r="J88" s="272">
        <v>0</v>
      </c>
      <c r="K88" s="272">
        <v>51648.07</v>
      </c>
      <c r="L88" s="272">
        <v>0</v>
      </c>
      <c r="M88" s="238">
        <v>0</v>
      </c>
      <c r="N88" s="238">
        <v>0</v>
      </c>
      <c r="O88" s="238">
        <v>10846.09</v>
      </c>
      <c r="P88" s="238">
        <v>721.54</v>
      </c>
      <c r="Q88" s="238">
        <v>0</v>
      </c>
      <c r="R88" s="238">
        <v>0</v>
      </c>
      <c r="S88" s="238">
        <v>11778.83</v>
      </c>
      <c r="T88" s="238">
        <v>4115.38</v>
      </c>
      <c r="U88" s="238">
        <v>0</v>
      </c>
      <c r="V88" s="238">
        <v>79109.91</v>
      </c>
      <c r="W88" s="238" t="s">
        <v>1348</v>
      </c>
      <c r="X88" s="238" t="s">
        <v>704</v>
      </c>
      <c r="Y88" s="238">
        <v>79109.91</v>
      </c>
    </row>
    <row r="89" spans="1:25" ht="15" x14ac:dyDescent="0.25">
      <c r="A89" s="265" t="s">
        <v>1430</v>
      </c>
      <c r="B89" s="265" t="s">
        <v>1670</v>
      </c>
      <c r="C89" s="266">
        <v>2168</v>
      </c>
      <c r="D89" s="266">
        <v>25353</v>
      </c>
      <c r="E89" s="267" t="s">
        <v>1673</v>
      </c>
      <c r="F89" s="268">
        <v>30548083156</v>
      </c>
      <c r="G89" s="266"/>
      <c r="H89" s="267" t="s">
        <v>0</v>
      </c>
      <c r="I89" s="266">
        <v>30548083156</v>
      </c>
      <c r="J89" s="267"/>
      <c r="K89" s="267" t="s">
        <v>0</v>
      </c>
      <c r="L89" s="266">
        <v>30710473168</v>
      </c>
      <c r="M89" s="269">
        <v>1</v>
      </c>
      <c r="N89" s="279">
        <v>2264.91</v>
      </c>
      <c r="O89" s="279">
        <v>21570.59</v>
      </c>
      <c r="P89" s="279">
        <v>4793.22</v>
      </c>
      <c r="Q89" s="279">
        <v>22824.880000000001</v>
      </c>
      <c r="R89" s="265"/>
      <c r="S89" s="265"/>
      <c r="T89" s="279">
        <v>44395.47</v>
      </c>
      <c r="U89" s="269">
        <v>0</v>
      </c>
      <c r="V89" s="269">
        <v>0</v>
      </c>
      <c r="W89" s="279">
        <v>2268.08</v>
      </c>
      <c r="X89" s="279">
        <v>7058.13</v>
      </c>
      <c r="Y89" s="280">
        <v>53721.68</v>
      </c>
    </row>
    <row r="90" spans="1:25" ht="15" x14ac:dyDescent="0.25">
      <c r="A90" s="265" t="s">
        <v>1562</v>
      </c>
      <c r="B90" s="265" t="s">
        <v>1670</v>
      </c>
      <c r="C90" s="266">
        <v>2168</v>
      </c>
      <c r="D90" s="266">
        <v>25475</v>
      </c>
      <c r="E90" s="267" t="s">
        <v>1673</v>
      </c>
      <c r="F90" s="268">
        <v>30548083156</v>
      </c>
      <c r="G90" s="266"/>
      <c r="H90" s="267" t="s">
        <v>0</v>
      </c>
      <c r="I90" s="266">
        <v>30548083156</v>
      </c>
      <c r="J90" s="267"/>
      <c r="K90" s="267" t="s">
        <v>0</v>
      </c>
      <c r="L90" s="266">
        <v>30710473168</v>
      </c>
      <c r="M90" s="269">
        <v>1</v>
      </c>
      <c r="N90" s="279">
        <v>3895.63</v>
      </c>
      <c r="O90" s="279">
        <v>37101.25</v>
      </c>
      <c r="P90" s="279">
        <v>509.57</v>
      </c>
      <c r="Q90" s="279">
        <v>2426.52</v>
      </c>
      <c r="R90" s="265"/>
      <c r="S90" s="265"/>
      <c r="T90" s="279">
        <v>39527.769999999997</v>
      </c>
      <c r="U90" s="269">
        <v>0</v>
      </c>
      <c r="V90" s="269">
        <v>0</v>
      </c>
      <c r="W90" s="279">
        <v>934.62</v>
      </c>
      <c r="X90" s="265">
        <v>4405.2</v>
      </c>
      <c r="Y90" s="280">
        <v>44867.59</v>
      </c>
    </row>
    <row r="91" spans="1:25" ht="15" x14ac:dyDescent="0.25">
      <c r="A91" s="271" t="s">
        <v>1430</v>
      </c>
      <c r="B91" s="271" t="s">
        <v>1430</v>
      </c>
      <c r="C91" s="272" t="s">
        <v>955</v>
      </c>
      <c r="D91" s="272" t="s">
        <v>1431</v>
      </c>
      <c r="E91" s="272" t="s">
        <v>116</v>
      </c>
      <c r="F91" s="273" t="s">
        <v>1432</v>
      </c>
      <c r="G91" s="272" t="s">
        <v>782</v>
      </c>
      <c r="H91" s="272">
        <v>0</v>
      </c>
      <c r="I91" s="272">
        <v>0</v>
      </c>
      <c r="J91" s="272">
        <v>0</v>
      </c>
      <c r="K91" s="272">
        <v>44395.47</v>
      </c>
      <c r="L91" s="272">
        <v>0</v>
      </c>
      <c r="M91" s="271">
        <v>0</v>
      </c>
      <c r="N91" s="271">
        <v>0</v>
      </c>
      <c r="O91" s="271">
        <v>9323.0499999999993</v>
      </c>
      <c r="P91" s="271">
        <v>0</v>
      </c>
      <c r="Q91" s="271">
        <v>0</v>
      </c>
      <c r="R91" s="271">
        <v>0</v>
      </c>
      <c r="S91" s="271">
        <v>0</v>
      </c>
      <c r="T91" s="271">
        <v>0</v>
      </c>
      <c r="U91" s="271">
        <v>0</v>
      </c>
      <c r="V91" s="274">
        <v>53718.52</v>
      </c>
      <c r="W91" s="271" t="s">
        <v>1351</v>
      </c>
      <c r="X91" s="238"/>
      <c r="Y91" s="274">
        <v>53718.52</v>
      </c>
    </row>
    <row r="92" spans="1:25" ht="15" x14ac:dyDescent="0.25">
      <c r="A92" s="271" t="s">
        <v>1562</v>
      </c>
      <c r="B92" s="271" t="s">
        <v>1562</v>
      </c>
      <c r="C92" s="281">
        <v>45982</v>
      </c>
      <c r="D92" s="272" t="s">
        <v>1563</v>
      </c>
      <c r="E92" s="272" t="s">
        <v>116</v>
      </c>
      <c r="F92" s="273" t="s">
        <v>1432</v>
      </c>
      <c r="G92" s="272" t="s">
        <v>782</v>
      </c>
      <c r="H92" s="272">
        <v>0</v>
      </c>
      <c r="I92" s="272">
        <v>0</v>
      </c>
      <c r="J92" s="272">
        <v>37101.25</v>
      </c>
      <c r="K92" s="272">
        <v>2426.52</v>
      </c>
      <c r="L92" s="272">
        <v>0</v>
      </c>
      <c r="M92" s="271">
        <v>0</v>
      </c>
      <c r="N92" s="271">
        <v>0</v>
      </c>
      <c r="O92" s="271">
        <v>4405.2</v>
      </c>
      <c r="P92" s="271">
        <v>72.8</v>
      </c>
      <c r="Q92" s="271">
        <v>0</v>
      </c>
      <c r="R92" s="271">
        <v>0</v>
      </c>
      <c r="S92" s="271">
        <v>556.52</v>
      </c>
      <c r="T92" s="271">
        <v>305.3</v>
      </c>
      <c r="U92" s="271">
        <v>0</v>
      </c>
      <c r="V92" s="274">
        <v>44867.59</v>
      </c>
      <c r="W92" s="271" t="s">
        <v>1351</v>
      </c>
      <c r="X92" s="238"/>
      <c r="Y92" s="274">
        <v>44867.59</v>
      </c>
    </row>
    <row r="93" spans="1:25" ht="15" x14ac:dyDescent="0.25">
      <c r="A93" s="265" t="s">
        <v>1426</v>
      </c>
      <c r="B93" s="265" t="s">
        <v>1670</v>
      </c>
      <c r="C93" s="266">
        <v>5015</v>
      </c>
      <c r="D93" s="266">
        <v>1054172</v>
      </c>
      <c r="E93" s="267" t="s">
        <v>1706</v>
      </c>
      <c r="F93" s="268">
        <v>30574876474</v>
      </c>
      <c r="G93" s="266"/>
      <c r="H93" s="267" t="s">
        <v>0</v>
      </c>
      <c r="I93" s="266">
        <v>30574876474</v>
      </c>
      <c r="J93" s="267"/>
      <c r="K93" s="267" t="s">
        <v>0</v>
      </c>
      <c r="L93" s="266">
        <v>30710473168</v>
      </c>
      <c r="M93" s="269">
        <v>1</v>
      </c>
      <c r="N93" s="265"/>
      <c r="O93" s="265"/>
      <c r="P93" s="279">
        <v>3538.07</v>
      </c>
      <c r="Q93" s="279">
        <v>16847.96</v>
      </c>
      <c r="R93" s="265"/>
      <c r="S93" s="265"/>
      <c r="T93" s="279">
        <v>16848.02</v>
      </c>
      <c r="U93" s="269">
        <v>0</v>
      </c>
      <c r="V93" s="269">
        <v>0</v>
      </c>
      <c r="W93" s="279">
        <v>2190.23</v>
      </c>
      <c r="X93" s="279">
        <v>3538.07</v>
      </c>
      <c r="Y93" s="280">
        <v>22576.32</v>
      </c>
    </row>
    <row r="94" spans="1:25" ht="15" x14ac:dyDescent="0.25">
      <c r="A94" s="265" t="s">
        <v>1515</v>
      </c>
      <c r="B94" s="265" t="s">
        <v>1670</v>
      </c>
      <c r="C94" s="266">
        <v>5015</v>
      </c>
      <c r="D94" s="266">
        <v>1069226</v>
      </c>
      <c r="E94" s="267" t="s">
        <v>1706</v>
      </c>
      <c r="F94" s="268">
        <v>30574876474</v>
      </c>
      <c r="G94" s="266"/>
      <c r="H94" s="267" t="s">
        <v>0</v>
      </c>
      <c r="I94" s="266">
        <v>30574876474</v>
      </c>
      <c r="J94" s="267"/>
      <c r="K94" s="267" t="s">
        <v>0</v>
      </c>
      <c r="L94" s="266">
        <v>30710473168</v>
      </c>
      <c r="M94" s="269">
        <v>1</v>
      </c>
      <c r="N94" s="265"/>
      <c r="O94" s="265"/>
      <c r="P94" s="279">
        <v>4396.45</v>
      </c>
      <c r="Q94" s="279">
        <v>20935.48</v>
      </c>
      <c r="R94" s="265"/>
      <c r="S94" s="265"/>
      <c r="T94" s="279">
        <v>20935.54</v>
      </c>
      <c r="U94" s="269">
        <v>0</v>
      </c>
      <c r="V94" s="269">
        <v>0</v>
      </c>
      <c r="W94" s="279">
        <v>2721.61</v>
      </c>
      <c r="X94" s="279">
        <v>4396.45</v>
      </c>
      <c r="Y94" s="284">
        <v>28053.599999999999</v>
      </c>
    </row>
    <row r="95" spans="1:25" ht="15" x14ac:dyDescent="0.25">
      <c r="A95" s="265" t="s">
        <v>1567</v>
      </c>
      <c r="B95" s="265" t="s">
        <v>1670</v>
      </c>
      <c r="C95" s="266">
        <v>5015</v>
      </c>
      <c r="D95" s="266">
        <v>1071690</v>
      </c>
      <c r="E95" s="267" t="s">
        <v>1706</v>
      </c>
      <c r="F95" s="268">
        <v>30574876474</v>
      </c>
      <c r="G95" s="266"/>
      <c r="H95" s="267" t="s">
        <v>0</v>
      </c>
      <c r="I95" s="266">
        <v>30574876474</v>
      </c>
      <c r="J95" s="267"/>
      <c r="K95" s="267" t="s">
        <v>0</v>
      </c>
      <c r="L95" s="266">
        <v>30710473168</v>
      </c>
      <c r="M95" s="269">
        <v>1</v>
      </c>
      <c r="N95" s="265"/>
      <c r="O95" s="265"/>
      <c r="P95" s="265">
        <v>2835.9</v>
      </c>
      <c r="Q95" s="279">
        <v>13504.27</v>
      </c>
      <c r="R95" s="265"/>
      <c r="S95" s="265"/>
      <c r="T95" s="279">
        <v>13504.31</v>
      </c>
      <c r="U95" s="269">
        <v>0</v>
      </c>
      <c r="V95" s="269">
        <v>0</v>
      </c>
      <c r="W95" s="279">
        <v>1755.56</v>
      </c>
      <c r="X95" s="265">
        <v>2835.9</v>
      </c>
      <c r="Y95" s="280">
        <v>18095.77</v>
      </c>
    </row>
    <row r="96" spans="1:25" ht="15" x14ac:dyDescent="0.25">
      <c r="A96" s="265" t="s">
        <v>1630</v>
      </c>
      <c r="B96" s="265" t="s">
        <v>1670</v>
      </c>
      <c r="C96" s="266">
        <v>5009</v>
      </c>
      <c r="D96" s="266">
        <v>1726652</v>
      </c>
      <c r="E96" s="267" t="s">
        <v>1706</v>
      </c>
      <c r="F96" s="268">
        <v>30574876474</v>
      </c>
      <c r="G96" s="266"/>
      <c r="H96" s="267" t="s">
        <v>0</v>
      </c>
      <c r="I96" s="266">
        <v>30574876474</v>
      </c>
      <c r="J96" s="267"/>
      <c r="K96" s="267" t="s">
        <v>0</v>
      </c>
      <c r="L96" s="266">
        <v>30710473168</v>
      </c>
      <c r="M96" s="269">
        <v>1</v>
      </c>
      <c r="N96" s="265"/>
      <c r="O96" s="265"/>
      <c r="P96" s="279">
        <v>1500.95</v>
      </c>
      <c r="Q96" s="279">
        <v>7147.39</v>
      </c>
      <c r="R96" s="265"/>
      <c r="S96" s="265"/>
      <c r="T96" s="279">
        <v>7147.41</v>
      </c>
      <c r="U96" s="269">
        <v>0</v>
      </c>
      <c r="V96" s="269">
        <v>0</v>
      </c>
      <c r="W96" s="279">
        <v>929.16</v>
      </c>
      <c r="X96" s="279">
        <v>1500.95</v>
      </c>
      <c r="Y96" s="280">
        <v>9577.52</v>
      </c>
    </row>
    <row r="97" spans="1:25" ht="15" x14ac:dyDescent="0.25">
      <c r="A97" s="265" t="s">
        <v>1630</v>
      </c>
      <c r="B97" s="265" t="s">
        <v>1670</v>
      </c>
      <c r="C97" s="266">
        <v>5015</v>
      </c>
      <c r="D97" s="266">
        <v>1087035</v>
      </c>
      <c r="E97" s="267" t="s">
        <v>1706</v>
      </c>
      <c r="F97" s="268">
        <v>30574876474</v>
      </c>
      <c r="G97" s="266"/>
      <c r="H97" s="267" t="s">
        <v>0</v>
      </c>
      <c r="I97" s="266">
        <v>30574876474</v>
      </c>
      <c r="J97" s="267"/>
      <c r="K97" s="267" t="s">
        <v>0</v>
      </c>
      <c r="L97" s="266">
        <v>30710473168</v>
      </c>
      <c r="M97" s="269">
        <v>1</v>
      </c>
      <c r="N97" s="265"/>
      <c r="O97" s="265"/>
      <c r="P97" s="279">
        <v>2788.62</v>
      </c>
      <c r="Q97" s="279">
        <v>13279.13</v>
      </c>
      <c r="R97" s="265"/>
      <c r="S97" s="265"/>
      <c r="T97" s="279">
        <v>13279.17</v>
      </c>
      <c r="U97" s="269">
        <v>0</v>
      </c>
      <c r="V97" s="269">
        <v>0</v>
      </c>
      <c r="W97" s="279">
        <v>1726.28</v>
      </c>
      <c r="X97" s="279">
        <v>2788.62</v>
      </c>
      <c r="Y97" s="280">
        <v>17794.07</v>
      </c>
    </row>
    <row r="98" spans="1:25" ht="15" x14ac:dyDescent="0.25">
      <c r="A98" s="285">
        <v>45991</v>
      </c>
      <c r="B98" s="285">
        <v>45991</v>
      </c>
      <c r="C98" s="286">
        <v>45991</v>
      </c>
      <c r="D98" s="287" t="s">
        <v>1632</v>
      </c>
      <c r="E98" s="287" t="s">
        <v>50</v>
      </c>
      <c r="F98" s="288">
        <v>30574876474</v>
      </c>
      <c r="G98" s="287" t="s">
        <v>782</v>
      </c>
      <c r="H98" s="287">
        <v>0</v>
      </c>
      <c r="I98" s="287">
        <v>0</v>
      </c>
      <c r="J98" s="287">
        <v>0</v>
      </c>
      <c r="K98" s="287">
        <v>7147.41</v>
      </c>
      <c r="L98" s="287">
        <v>0</v>
      </c>
      <c r="M98" s="289">
        <v>0</v>
      </c>
      <c r="N98" s="289">
        <v>0</v>
      </c>
      <c r="O98" s="289">
        <v>1500.96</v>
      </c>
      <c r="P98" s="289">
        <v>0</v>
      </c>
      <c r="Q98" s="289">
        <v>0</v>
      </c>
      <c r="R98" s="289">
        <v>0</v>
      </c>
      <c r="S98" s="289">
        <v>929.16</v>
      </c>
      <c r="T98" s="289">
        <v>0</v>
      </c>
      <c r="U98" s="289">
        <v>0</v>
      </c>
      <c r="V98" s="290">
        <v>9577.5300000000007</v>
      </c>
      <c r="W98" s="289" t="s">
        <v>1348</v>
      </c>
      <c r="X98" s="291"/>
      <c r="Y98" s="290">
        <v>9577.5300000000007</v>
      </c>
    </row>
    <row r="99" spans="1:25" ht="15" x14ac:dyDescent="0.25">
      <c r="A99" s="285">
        <v>45991</v>
      </c>
      <c r="B99" s="285">
        <v>45991</v>
      </c>
      <c r="C99" s="286">
        <v>45991</v>
      </c>
      <c r="D99" s="287" t="s">
        <v>1634</v>
      </c>
      <c r="E99" s="287" t="s">
        <v>50</v>
      </c>
      <c r="F99" s="288">
        <v>30574876474</v>
      </c>
      <c r="G99" s="287" t="s">
        <v>782</v>
      </c>
      <c r="H99" s="287">
        <v>0</v>
      </c>
      <c r="I99" s="287">
        <v>0</v>
      </c>
      <c r="J99" s="287">
        <v>0</v>
      </c>
      <c r="K99" s="287">
        <v>13279.17</v>
      </c>
      <c r="L99" s="287">
        <v>0</v>
      </c>
      <c r="M99" s="289">
        <v>0</v>
      </c>
      <c r="N99" s="289">
        <v>0</v>
      </c>
      <c r="O99" s="289">
        <v>2788.63</v>
      </c>
      <c r="P99" s="289">
        <v>0</v>
      </c>
      <c r="Q99" s="289">
        <v>0</v>
      </c>
      <c r="R99" s="289">
        <v>0</v>
      </c>
      <c r="S99" s="289">
        <v>1726.28</v>
      </c>
      <c r="T99" s="289">
        <v>0</v>
      </c>
      <c r="U99" s="289">
        <v>0</v>
      </c>
      <c r="V99" s="290">
        <v>17794.080000000002</v>
      </c>
      <c r="W99" s="289" t="s">
        <v>1348</v>
      </c>
      <c r="X99" s="291"/>
      <c r="Y99" s="290">
        <v>17794.080000000002</v>
      </c>
    </row>
    <row r="100" spans="1:25" ht="15" x14ac:dyDescent="0.25">
      <c r="A100" s="271" t="s">
        <v>1426</v>
      </c>
      <c r="B100" s="271" t="s">
        <v>1426</v>
      </c>
      <c r="C100" s="281">
        <v>45969</v>
      </c>
      <c r="D100" s="272" t="s">
        <v>1427</v>
      </c>
      <c r="E100" s="272" t="s">
        <v>50</v>
      </c>
      <c r="F100" s="273" t="s">
        <v>1428</v>
      </c>
      <c r="G100" s="272" t="s">
        <v>782</v>
      </c>
      <c r="H100" s="272">
        <v>0</v>
      </c>
      <c r="I100" s="272">
        <v>0</v>
      </c>
      <c r="J100" s="272">
        <v>0</v>
      </c>
      <c r="K100" s="272">
        <v>16847.96</v>
      </c>
      <c r="L100" s="272">
        <v>0</v>
      </c>
      <c r="M100" s="271">
        <v>0</v>
      </c>
      <c r="N100" s="271">
        <v>0</v>
      </c>
      <c r="O100" s="271">
        <v>3538.07</v>
      </c>
      <c r="P100" s="271">
        <v>0</v>
      </c>
      <c r="Q100" s="271">
        <v>0</v>
      </c>
      <c r="R100" s="271">
        <v>0</v>
      </c>
      <c r="S100" s="271">
        <v>1684.79</v>
      </c>
      <c r="T100" s="271">
        <v>505.44</v>
      </c>
      <c r="U100" s="271">
        <v>0</v>
      </c>
      <c r="V100" s="274">
        <v>22576.26</v>
      </c>
      <c r="W100" s="271" t="s">
        <v>1348</v>
      </c>
      <c r="X100" s="238"/>
      <c r="Y100" s="274">
        <v>22576.26</v>
      </c>
    </row>
    <row r="101" spans="1:25" ht="15" x14ac:dyDescent="0.25">
      <c r="A101" s="271" t="s">
        <v>1567</v>
      </c>
      <c r="B101" s="271" t="s">
        <v>1567</v>
      </c>
      <c r="C101" s="281">
        <v>45984</v>
      </c>
      <c r="D101" s="272" t="s">
        <v>1568</v>
      </c>
      <c r="E101" s="272" t="s">
        <v>50</v>
      </c>
      <c r="F101" s="273" t="s">
        <v>1428</v>
      </c>
      <c r="G101" s="272" t="s">
        <v>782</v>
      </c>
      <c r="H101" s="272">
        <v>0</v>
      </c>
      <c r="I101" s="272">
        <v>0</v>
      </c>
      <c r="J101" s="272">
        <v>0</v>
      </c>
      <c r="K101" s="272">
        <v>13504.27</v>
      </c>
      <c r="L101" s="272">
        <v>0</v>
      </c>
      <c r="M101" s="271">
        <v>0</v>
      </c>
      <c r="N101" s="271">
        <v>0</v>
      </c>
      <c r="O101" s="271">
        <v>2835.9</v>
      </c>
      <c r="P101" s="271">
        <v>0</v>
      </c>
      <c r="Q101" s="271">
        <v>0</v>
      </c>
      <c r="R101" s="271">
        <v>0</v>
      </c>
      <c r="S101" s="271">
        <v>1350.43</v>
      </c>
      <c r="T101" s="271">
        <v>405.13</v>
      </c>
      <c r="U101" s="271">
        <v>0</v>
      </c>
      <c r="V101" s="274">
        <v>18095.73</v>
      </c>
      <c r="W101" s="271" t="s">
        <v>1348</v>
      </c>
      <c r="X101" s="238"/>
      <c r="Y101" s="274">
        <v>18095.73</v>
      </c>
    </row>
    <row r="102" spans="1:25" ht="15" x14ac:dyDescent="0.25">
      <c r="A102" s="271" t="s">
        <v>1515</v>
      </c>
      <c r="B102" s="271" t="s">
        <v>1515</v>
      </c>
      <c r="C102" s="281">
        <v>45977</v>
      </c>
      <c r="D102" s="272" t="s">
        <v>1516</v>
      </c>
      <c r="E102" s="272" t="s">
        <v>50</v>
      </c>
      <c r="F102" s="273" t="s">
        <v>1428</v>
      </c>
      <c r="G102" s="272" t="s">
        <v>782</v>
      </c>
      <c r="H102" s="272">
        <v>0</v>
      </c>
      <c r="I102" s="272">
        <v>0</v>
      </c>
      <c r="J102" s="272">
        <v>0</v>
      </c>
      <c r="K102" s="272">
        <v>20935.48</v>
      </c>
      <c r="L102" s="272">
        <v>0</v>
      </c>
      <c r="M102" s="271">
        <v>0</v>
      </c>
      <c r="N102" s="271">
        <v>0</v>
      </c>
      <c r="O102" s="271">
        <v>4396.45</v>
      </c>
      <c r="P102" s="271">
        <v>0</v>
      </c>
      <c r="Q102" s="271">
        <v>0</v>
      </c>
      <c r="R102" s="271">
        <v>0</v>
      </c>
      <c r="S102" s="271">
        <v>2093.5500000000002</v>
      </c>
      <c r="T102" s="271">
        <v>628.05999999999995</v>
      </c>
      <c r="U102" s="271">
        <v>0</v>
      </c>
      <c r="V102" s="274">
        <v>28053.54</v>
      </c>
      <c r="W102" s="271" t="s">
        <v>1348</v>
      </c>
      <c r="X102" s="238"/>
      <c r="Y102" s="274">
        <v>28053.54</v>
      </c>
    </row>
    <row r="103" spans="1:25" ht="15" x14ac:dyDescent="0.25">
      <c r="A103" s="265" t="s">
        <v>1508</v>
      </c>
      <c r="B103" s="265" t="s">
        <v>1670</v>
      </c>
      <c r="C103" s="266">
        <v>126</v>
      </c>
      <c r="D103" s="266">
        <v>254459</v>
      </c>
      <c r="E103" s="267" t="s">
        <v>1511</v>
      </c>
      <c r="F103" s="268">
        <v>30577207190</v>
      </c>
      <c r="G103" s="266"/>
      <c r="H103" s="267" t="s">
        <v>0</v>
      </c>
      <c r="I103" s="266">
        <v>30577207190</v>
      </c>
      <c r="J103" s="267"/>
      <c r="K103" s="267" t="s">
        <v>0</v>
      </c>
      <c r="L103" s="266">
        <v>30710473168</v>
      </c>
      <c r="M103" s="269">
        <v>1</v>
      </c>
      <c r="N103" s="265"/>
      <c r="O103" s="265"/>
      <c r="P103" s="265">
        <v>312.39999999999998</v>
      </c>
      <c r="Q103" s="265">
        <v>1487.6</v>
      </c>
      <c r="R103" s="265"/>
      <c r="S103" s="265"/>
      <c r="T103" s="265">
        <v>1487.6</v>
      </c>
      <c r="U103" s="269">
        <v>0</v>
      </c>
      <c r="V103" s="269">
        <v>0</v>
      </c>
      <c r="W103" s="269">
        <v>0</v>
      </c>
      <c r="X103" s="265">
        <v>312.39999999999998</v>
      </c>
      <c r="Y103" s="270">
        <v>1800</v>
      </c>
    </row>
    <row r="104" spans="1:25" ht="15" x14ac:dyDescent="0.25">
      <c r="A104" s="265" t="s">
        <v>1630</v>
      </c>
      <c r="B104" s="265" t="s">
        <v>1670</v>
      </c>
      <c r="C104" s="266">
        <v>126</v>
      </c>
      <c r="D104" s="266">
        <v>283594</v>
      </c>
      <c r="E104" s="267" t="s">
        <v>1511</v>
      </c>
      <c r="F104" s="268">
        <v>30577207190</v>
      </c>
      <c r="G104" s="266"/>
      <c r="H104" s="267" t="s">
        <v>0</v>
      </c>
      <c r="I104" s="266">
        <v>30577207190</v>
      </c>
      <c r="J104" s="267"/>
      <c r="K104" s="267" t="s">
        <v>0</v>
      </c>
      <c r="L104" s="266">
        <v>30710473168</v>
      </c>
      <c r="M104" s="269">
        <v>1</v>
      </c>
      <c r="N104" s="265"/>
      <c r="O104" s="265"/>
      <c r="P104" s="265">
        <v>312.39999999999998</v>
      </c>
      <c r="Q104" s="265">
        <v>1487.6</v>
      </c>
      <c r="R104" s="265"/>
      <c r="S104" s="265"/>
      <c r="T104" s="265">
        <v>1487.6</v>
      </c>
      <c r="U104" s="269">
        <v>0</v>
      </c>
      <c r="V104" s="269">
        <v>0</v>
      </c>
      <c r="W104" s="269">
        <v>0</v>
      </c>
      <c r="X104" s="265">
        <v>312.39999999999998</v>
      </c>
      <c r="Y104" s="270">
        <v>1800</v>
      </c>
    </row>
    <row r="105" spans="1:25" ht="26.25" x14ac:dyDescent="0.25">
      <c r="A105" s="285">
        <v>45976</v>
      </c>
      <c r="B105" s="285">
        <v>45976</v>
      </c>
      <c r="C105" s="286">
        <v>45976</v>
      </c>
      <c r="D105" s="287" t="s">
        <v>1510</v>
      </c>
      <c r="E105" s="295" t="s">
        <v>1511</v>
      </c>
      <c r="F105" s="288">
        <v>30577207190</v>
      </c>
      <c r="G105" s="287" t="s">
        <v>782</v>
      </c>
      <c r="H105" s="287">
        <v>0</v>
      </c>
      <c r="I105" s="287">
        <v>0</v>
      </c>
      <c r="J105" s="287">
        <v>0</v>
      </c>
      <c r="K105" s="287">
        <v>1487.6</v>
      </c>
      <c r="L105" s="287">
        <v>0</v>
      </c>
      <c r="M105" s="289">
        <v>0</v>
      </c>
      <c r="N105" s="289">
        <v>0</v>
      </c>
      <c r="O105" s="289">
        <v>312.39999999999998</v>
      </c>
      <c r="P105" s="289">
        <v>0</v>
      </c>
      <c r="Q105" s="289">
        <v>0</v>
      </c>
      <c r="R105" s="289">
        <v>0</v>
      </c>
      <c r="S105" s="289">
        <v>0</v>
      </c>
      <c r="T105" s="289">
        <v>0</v>
      </c>
      <c r="U105" s="289">
        <v>0</v>
      </c>
      <c r="V105" s="290">
        <v>1800</v>
      </c>
      <c r="W105" s="289" t="s">
        <v>1351</v>
      </c>
      <c r="X105" s="291"/>
      <c r="Y105" s="290">
        <v>1800</v>
      </c>
    </row>
    <row r="106" spans="1:25" ht="26.25" x14ac:dyDescent="0.25">
      <c r="A106" s="285">
        <v>45991</v>
      </c>
      <c r="B106" s="285">
        <v>45991</v>
      </c>
      <c r="C106" s="286">
        <v>45991</v>
      </c>
      <c r="D106" s="287" t="s">
        <v>1633</v>
      </c>
      <c r="E106" s="295" t="s">
        <v>1511</v>
      </c>
      <c r="F106" s="288">
        <v>30577207190</v>
      </c>
      <c r="G106" s="287" t="s">
        <v>782</v>
      </c>
      <c r="H106" s="287">
        <v>0</v>
      </c>
      <c r="I106" s="287">
        <v>0</v>
      </c>
      <c r="J106" s="287">
        <v>0</v>
      </c>
      <c r="K106" s="287">
        <v>1487.6</v>
      </c>
      <c r="L106" s="287">
        <v>0</v>
      </c>
      <c r="M106" s="289">
        <v>0</v>
      </c>
      <c r="N106" s="289">
        <v>0</v>
      </c>
      <c r="O106" s="289">
        <v>312.39999999999998</v>
      </c>
      <c r="P106" s="289">
        <v>0</v>
      </c>
      <c r="Q106" s="289">
        <v>0</v>
      </c>
      <c r="R106" s="289">
        <v>0</v>
      </c>
      <c r="S106" s="289">
        <v>0</v>
      </c>
      <c r="T106" s="289">
        <v>0</v>
      </c>
      <c r="U106" s="289">
        <v>0</v>
      </c>
      <c r="V106" s="290">
        <v>1800</v>
      </c>
      <c r="W106" s="289" t="s">
        <v>1351</v>
      </c>
      <c r="X106" s="291"/>
      <c r="Y106" s="290">
        <v>1800</v>
      </c>
    </row>
    <row r="107" spans="1:25" ht="15" x14ac:dyDescent="0.25">
      <c r="A107" s="265" t="s">
        <v>817</v>
      </c>
      <c r="B107" s="265" t="s">
        <v>1670</v>
      </c>
      <c r="C107" s="266">
        <v>3</v>
      </c>
      <c r="D107" s="266">
        <v>55382</v>
      </c>
      <c r="E107" s="267" t="s">
        <v>1381</v>
      </c>
      <c r="F107" s="268">
        <v>30577744579</v>
      </c>
      <c r="G107" s="266"/>
      <c r="H107" s="267" t="s">
        <v>0</v>
      </c>
      <c r="I107" s="266">
        <v>30577744579</v>
      </c>
      <c r="J107" s="267"/>
      <c r="K107" s="267" t="s">
        <v>0</v>
      </c>
      <c r="L107" s="266">
        <v>30710473168</v>
      </c>
      <c r="M107" s="269">
        <v>1</v>
      </c>
      <c r="N107" s="265"/>
      <c r="O107" s="265"/>
      <c r="P107" s="279">
        <v>27416.47</v>
      </c>
      <c r="Q107" s="279">
        <v>130554.62</v>
      </c>
      <c r="R107" s="265"/>
      <c r="S107" s="265"/>
      <c r="T107" s="279">
        <v>130554.62</v>
      </c>
      <c r="U107" s="269">
        <v>0</v>
      </c>
      <c r="V107" s="269">
        <v>0</v>
      </c>
      <c r="W107" s="269">
        <v>0</v>
      </c>
      <c r="X107" s="279">
        <v>27416.47</v>
      </c>
      <c r="Y107" s="280">
        <v>157971.09</v>
      </c>
    </row>
    <row r="108" spans="1:25" ht="15" x14ac:dyDescent="0.25">
      <c r="A108" s="271" t="s">
        <v>817</v>
      </c>
      <c r="B108" s="271" t="s">
        <v>817</v>
      </c>
      <c r="C108" s="281">
        <v>45965</v>
      </c>
      <c r="D108" s="272" t="s">
        <v>1380</v>
      </c>
      <c r="E108" s="272" t="s">
        <v>1381</v>
      </c>
      <c r="F108" s="273" t="s">
        <v>1382</v>
      </c>
      <c r="G108" s="272" t="s">
        <v>782</v>
      </c>
      <c r="H108" s="272">
        <v>0</v>
      </c>
      <c r="I108" s="272">
        <v>0</v>
      </c>
      <c r="J108" s="272">
        <v>0</v>
      </c>
      <c r="K108" s="272">
        <v>130554.62</v>
      </c>
      <c r="L108" s="272">
        <v>0</v>
      </c>
      <c r="M108" s="271">
        <v>0</v>
      </c>
      <c r="N108" s="271">
        <v>0</v>
      </c>
      <c r="O108" s="271">
        <v>27416.47</v>
      </c>
      <c r="P108" s="271">
        <v>0</v>
      </c>
      <c r="Q108" s="271">
        <v>0</v>
      </c>
      <c r="R108" s="271">
        <v>0</v>
      </c>
      <c r="S108" s="271">
        <v>0</v>
      </c>
      <c r="T108" s="271">
        <v>0</v>
      </c>
      <c r="U108" s="271">
        <v>0</v>
      </c>
      <c r="V108" s="274">
        <v>157971.09</v>
      </c>
      <c r="W108" s="271" t="s">
        <v>1348</v>
      </c>
      <c r="X108" s="238"/>
      <c r="Y108" s="274">
        <v>157971.09</v>
      </c>
    </row>
    <row r="109" spans="1:25" ht="15" x14ac:dyDescent="0.25">
      <c r="A109" s="265" t="s">
        <v>817</v>
      </c>
      <c r="B109" s="265" t="s">
        <v>1670</v>
      </c>
      <c r="C109" s="266">
        <v>120</v>
      </c>
      <c r="D109" s="266">
        <v>6008</v>
      </c>
      <c r="E109" s="267" t="s">
        <v>387</v>
      </c>
      <c r="F109" s="268">
        <v>30587197215</v>
      </c>
      <c r="G109" s="266"/>
      <c r="H109" s="267" t="s">
        <v>0</v>
      </c>
      <c r="I109" s="266">
        <v>30587197215</v>
      </c>
      <c r="J109" s="267"/>
      <c r="K109" s="267" t="s">
        <v>0</v>
      </c>
      <c r="L109" s="266">
        <v>30710473168</v>
      </c>
      <c r="M109" s="269">
        <v>1</v>
      </c>
      <c r="N109" s="265"/>
      <c r="O109" s="265"/>
      <c r="P109" s="279">
        <v>31239.67</v>
      </c>
      <c r="Q109" s="279">
        <v>148760.32999999999</v>
      </c>
      <c r="R109" s="265"/>
      <c r="S109" s="265"/>
      <c r="T109" s="279">
        <v>148760.32999999999</v>
      </c>
      <c r="U109" s="269">
        <v>0</v>
      </c>
      <c r="V109" s="269">
        <v>0</v>
      </c>
      <c r="W109" s="279">
        <v>5950.41</v>
      </c>
      <c r="X109" s="279">
        <v>31239.67</v>
      </c>
      <c r="Y109" s="280">
        <v>185950.41</v>
      </c>
    </row>
    <row r="110" spans="1:25" ht="15" x14ac:dyDescent="0.25">
      <c r="A110" s="271" t="s">
        <v>817</v>
      </c>
      <c r="B110" s="271" t="s">
        <v>817</v>
      </c>
      <c r="C110" s="281">
        <v>45965</v>
      </c>
      <c r="D110" s="272" t="s">
        <v>1383</v>
      </c>
      <c r="E110" s="272" t="s">
        <v>387</v>
      </c>
      <c r="F110" s="273" t="s">
        <v>1384</v>
      </c>
      <c r="G110" s="272" t="s">
        <v>782</v>
      </c>
      <c r="H110" s="272">
        <v>0</v>
      </c>
      <c r="I110" s="272">
        <v>0</v>
      </c>
      <c r="J110" s="272">
        <v>0</v>
      </c>
      <c r="K110" s="272">
        <v>148760.32999999999</v>
      </c>
      <c r="L110" s="272">
        <v>0</v>
      </c>
      <c r="M110" s="271">
        <v>0</v>
      </c>
      <c r="N110" s="271">
        <v>0</v>
      </c>
      <c r="O110" s="271">
        <v>31239.67</v>
      </c>
      <c r="P110" s="271">
        <v>0</v>
      </c>
      <c r="Q110" s="271">
        <v>0</v>
      </c>
      <c r="R110" s="271">
        <v>0</v>
      </c>
      <c r="S110" s="271">
        <v>0</v>
      </c>
      <c r="T110" s="271">
        <v>0</v>
      </c>
      <c r="U110" s="271">
        <v>5950.41</v>
      </c>
      <c r="V110" s="274">
        <v>185950.41</v>
      </c>
      <c r="W110" s="271" t="s">
        <v>1348</v>
      </c>
      <c r="X110" s="238"/>
      <c r="Y110" s="274">
        <v>185950.41</v>
      </c>
    </row>
    <row r="111" spans="1:25" ht="15" x14ac:dyDescent="0.25">
      <c r="A111" s="265" t="s">
        <v>1589</v>
      </c>
      <c r="B111" s="265" t="s">
        <v>1731</v>
      </c>
      <c r="C111" s="266">
        <v>210</v>
      </c>
      <c r="D111" s="266">
        <v>3912</v>
      </c>
      <c r="E111" s="267" t="s">
        <v>1601</v>
      </c>
      <c r="F111" s="268">
        <v>30592097482</v>
      </c>
      <c r="G111" s="266"/>
      <c r="H111" s="267" t="s">
        <v>0</v>
      </c>
      <c r="I111" s="266">
        <v>30592097482</v>
      </c>
      <c r="J111" s="267"/>
      <c r="K111" s="267" t="s">
        <v>0</v>
      </c>
      <c r="L111" s="266">
        <v>30710473168</v>
      </c>
      <c r="M111" s="269">
        <v>1</v>
      </c>
      <c r="N111" s="269">
        <v>0</v>
      </c>
      <c r="O111" s="269">
        <v>0</v>
      </c>
      <c r="P111" s="269">
        <v>0</v>
      </c>
      <c r="Q111" s="269">
        <v>0</v>
      </c>
      <c r="R111" s="269">
        <v>0</v>
      </c>
      <c r="S111" s="269">
        <v>0</v>
      </c>
      <c r="T111" s="269">
        <v>0</v>
      </c>
      <c r="U111" s="269">
        <v>0</v>
      </c>
      <c r="V111" s="269">
        <v>0</v>
      </c>
      <c r="W111" s="269">
        <v>0</v>
      </c>
      <c r="X111" s="269">
        <v>0</v>
      </c>
      <c r="Y111" s="280">
        <v>30603.01</v>
      </c>
    </row>
    <row r="112" spans="1:25" ht="15" x14ac:dyDescent="0.25">
      <c r="A112" s="285">
        <v>45988</v>
      </c>
      <c r="B112" s="285">
        <v>45988</v>
      </c>
      <c r="C112" s="286">
        <v>45988</v>
      </c>
      <c r="D112" s="287" t="s">
        <v>1600</v>
      </c>
      <c r="E112" s="287" t="s">
        <v>1601</v>
      </c>
      <c r="F112" s="288">
        <v>30592097482</v>
      </c>
      <c r="G112" s="287" t="s">
        <v>782</v>
      </c>
      <c r="H112" s="287">
        <v>0</v>
      </c>
      <c r="I112" s="287">
        <v>0</v>
      </c>
      <c r="J112" s="287">
        <v>0</v>
      </c>
      <c r="K112" s="287">
        <v>0</v>
      </c>
      <c r="L112" s="287">
        <v>0</v>
      </c>
      <c r="M112" s="289">
        <v>30603.01</v>
      </c>
      <c r="N112" s="289">
        <v>0</v>
      </c>
      <c r="O112" s="289">
        <v>0</v>
      </c>
      <c r="P112" s="289">
        <v>0</v>
      </c>
      <c r="Q112" s="289">
        <v>0</v>
      </c>
      <c r="R112" s="289">
        <v>0</v>
      </c>
      <c r="S112" s="289">
        <v>0</v>
      </c>
      <c r="T112" s="289">
        <v>0</v>
      </c>
      <c r="U112" s="289">
        <v>0</v>
      </c>
      <c r="V112" s="290">
        <v>30603.01</v>
      </c>
      <c r="W112" s="289" t="s">
        <v>1351</v>
      </c>
      <c r="X112" s="291"/>
      <c r="Y112" s="290">
        <v>30603.01</v>
      </c>
    </row>
    <row r="113" spans="1:25" ht="15" x14ac:dyDescent="0.25">
      <c r="A113" s="265" t="s">
        <v>1603</v>
      </c>
      <c r="B113" s="265" t="s">
        <v>1670</v>
      </c>
      <c r="C113" s="266">
        <v>64</v>
      </c>
      <c r="D113" s="266">
        <v>5568</v>
      </c>
      <c r="E113" s="267" t="s">
        <v>1613</v>
      </c>
      <c r="F113" s="268">
        <v>30597228984</v>
      </c>
      <c r="G113" s="266"/>
      <c r="H113" s="267" t="s">
        <v>0</v>
      </c>
      <c r="I113" s="266">
        <v>30597228984</v>
      </c>
      <c r="J113" s="267"/>
      <c r="K113" s="267" t="s">
        <v>0</v>
      </c>
      <c r="L113" s="266">
        <v>30710473168</v>
      </c>
      <c r="M113" s="269">
        <v>1</v>
      </c>
      <c r="N113" s="265"/>
      <c r="O113" s="265"/>
      <c r="P113" s="265">
        <v>87137.9</v>
      </c>
      <c r="Q113" s="279">
        <v>414942.36</v>
      </c>
      <c r="R113" s="265"/>
      <c r="S113" s="265"/>
      <c r="T113" s="279">
        <v>414942.36</v>
      </c>
      <c r="U113" s="269">
        <v>0</v>
      </c>
      <c r="V113" s="269">
        <v>0</v>
      </c>
      <c r="W113" s="269">
        <v>0</v>
      </c>
      <c r="X113" s="265">
        <v>87137.9</v>
      </c>
      <c r="Y113" s="280">
        <v>502080.26</v>
      </c>
    </row>
    <row r="114" spans="1:25" ht="15" x14ac:dyDescent="0.25">
      <c r="A114" s="271" t="s">
        <v>1603</v>
      </c>
      <c r="B114" s="271" t="s">
        <v>1603</v>
      </c>
      <c r="C114" s="272" t="s">
        <v>1603</v>
      </c>
      <c r="D114" s="272" t="s">
        <v>1612</v>
      </c>
      <c r="E114" s="272" t="s">
        <v>1613</v>
      </c>
      <c r="F114" s="273" t="s">
        <v>1614</v>
      </c>
      <c r="G114" s="272" t="s">
        <v>782</v>
      </c>
      <c r="H114" s="272">
        <v>0</v>
      </c>
      <c r="I114" s="272">
        <v>0</v>
      </c>
      <c r="J114" s="272">
        <v>0</v>
      </c>
      <c r="K114" s="272">
        <v>414942.36</v>
      </c>
      <c r="L114" s="272">
        <v>0</v>
      </c>
      <c r="M114" s="271">
        <v>0</v>
      </c>
      <c r="N114" s="271">
        <v>0</v>
      </c>
      <c r="O114" s="271">
        <v>87137.9</v>
      </c>
      <c r="P114" s="271">
        <v>0</v>
      </c>
      <c r="Q114" s="271">
        <v>0</v>
      </c>
      <c r="R114" s="271">
        <v>0</v>
      </c>
      <c r="S114" s="271">
        <v>0</v>
      </c>
      <c r="T114" s="271">
        <v>0</v>
      </c>
      <c r="U114" s="271">
        <v>0</v>
      </c>
      <c r="V114" s="274">
        <v>502080.26</v>
      </c>
      <c r="W114" s="271"/>
      <c r="X114" s="238"/>
      <c r="Y114" s="274">
        <v>502080.26</v>
      </c>
    </row>
    <row r="115" spans="1:25" ht="15" x14ac:dyDescent="0.25">
      <c r="A115" s="265" t="s">
        <v>955</v>
      </c>
      <c r="B115" s="265" t="s">
        <v>1670</v>
      </c>
      <c r="C115" s="266">
        <v>5</v>
      </c>
      <c r="D115" s="266">
        <v>175673</v>
      </c>
      <c r="E115" s="267" t="s">
        <v>1448</v>
      </c>
      <c r="F115" s="268">
        <v>30598960093</v>
      </c>
      <c r="G115" s="266"/>
      <c r="H115" s="267" t="s">
        <v>0</v>
      </c>
      <c r="I115" s="266">
        <v>30598960093</v>
      </c>
      <c r="J115" s="267"/>
      <c r="K115" s="267" t="s">
        <v>0</v>
      </c>
      <c r="L115" s="266">
        <v>30710473168</v>
      </c>
      <c r="M115" s="269">
        <v>1</v>
      </c>
      <c r="N115" s="265"/>
      <c r="O115" s="265"/>
      <c r="P115" s="279">
        <v>1411767.16</v>
      </c>
      <c r="Q115" s="279">
        <v>6722700.75</v>
      </c>
      <c r="R115" s="265"/>
      <c r="S115" s="265"/>
      <c r="T115" s="279">
        <v>6722700.75</v>
      </c>
      <c r="U115" s="269">
        <v>0</v>
      </c>
      <c r="V115" s="269">
        <v>0</v>
      </c>
      <c r="W115" s="279">
        <v>268908.03000000003</v>
      </c>
      <c r="X115" s="279">
        <v>1411767.16</v>
      </c>
      <c r="Y115" s="280">
        <v>8403375.9399999995</v>
      </c>
    </row>
    <row r="116" spans="1:25" ht="15" x14ac:dyDescent="0.25">
      <c r="A116" s="271" t="s">
        <v>955</v>
      </c>
      <c r="B116" s="271" t="s">
        <v>955</v>
      </c>
      <c r="C116" s="272" t="s">
        <v>955</v>
      </c>
      <c r="D116" s="272" t="s">
        <v>1447</v>
      </c>
      <c r="E116" s="272" t="s">
        <v>1448</v>
      </c>
      <c r="F116" s="273" t="s">
        <v>1449</v>
      </c>
      <c r="G116" s="272" t="s">
        <v>782</v>
      </c>
      <c r="H116" s="272">
        <v>0</v>
      </c>
      <c r="I116" s="272">
        <v>0</v>
      </c>
      <c r="J116" s="272">
        <v>0</v>
      </c>
      <c r="K116" s="272">
        <v>6722700.75</v>
      </c>
      <c r="L116" s="272">
        <v>0</v>
      </c>
      <c r="M116" s="271">
        <v>0</v>
      </c>
      <c r="N116" s="271">
        <v>0</v>
      </c>
      <c r="O116" s="271">
        <v>1411767.16</v>
      </c>
      <c r="P116" s="271">
        <v>0</v>
      </c>
      <c r="Q116" s="271">
        <v>0</v>
      </c>
      <c r="R116" s="271">
        <v>0</v>
      </c>
      <c r="S116" s="271">
        <v>0</v>
      </c>
      <c r="T116" s="271">
        <v>0</v>
      </c>
      <c r="U116" s="271">
        <v>268908.03000000003</v>
      </c>
      <c r="V116" s="274">
        <v>8403375.9399999995</v>
      </c>
      <c r="W116" s="271" t="s">
        <v>1351</v>
      </c>
      <c r="X116" s="238"/>
      <c r="Y116" s="274">
        <v>8403375.9399999995</v>
      </c>
    </row>
    <row r="117" spans="1:25" ht="15" x14ac:dyDescent="0.25">
      <c r="A117" s="265" t="s">
        <v>784</v>
      </c>
      <c r="B117" s="265" t="s">
        <v>1670</v>
      </c>
      <c r="C117" s="266">
        <v>2</v>
      </c>
      <c r="D117" s="266">
        <v>254</v>
      </c>
      <c r="E117" s="267" t="s">
        <v>1677</v>
      </c>
      <c r="F117" s="268">
        <v>30605344352</v>
      </c>
      <c r="G117" s="266"/>
      <c r="H117" s="267" t="s">
        <v>0</v>
      </c>
      <c r="I117" s="266">
        <v>30605344352</v>
      </c>
      <c r="J117" s="267"/>
      <c r="K117" s="267" t="s">
        <v>0</v>
      </c>
      <c r="L117" s="266">
        <v>30710473168</v>
      </c>
      <c r="M117" s="269">
        <v>1</v>
      </c>
      <c r="N117" s="265"/>
      <c r="O117" s="265"/>
      <c r="P117" s="279">
        <v>453722.01</v>
      </c>
      <c r="Q117" s="269">
        <v>2160581</v>
      </c>
      <c r="R117" s="265"/>
      <c r="S117" s="265"/>
      <c r="T117" s="269">
        <v>2160581</v>
      </c>
      <c r="U117" s="269">
        <v>0</v>
      </c>
      <c r="V117" s="269">
        <v>0</v>
      </c>
      <c r="W117" s="269">
        <v>0</v>
      </c>
      <c r="X117" s="279">
        <v>453722.01</v>
      </c>
      <c r="Y117" s="270">
        <v>2614303</v>
      </c>
    </row>
    <row r="118" spans="1:25" ht="15" x14ac:dyDescent="0.25">
      <c r="A118" s="271" t="s">
        <v>784</v>
      </c>
      <c r="B118" s="271" t="s">
        <v>784</v>
      </c>
      <c r="C118" s="272" t="s">
        <v>1126</v>
      </c>
      <c r="D118" s="272" t="s">
        <v>1363</v>
      </c>
      <c r="E118" s="272" t="s">
        <v>106</v>
      </c>
      <c r="F118" s="273" t="s">
        <v>1364</v>
      </c>
      <c r="G118" s="272" t="s">
        <v>782</v>
      </c>
      <c r="H118" s="272">
        <v>0</v>
      </c>
      <c r="I118" s="272">
        <v>0</v>
      </c>
      <c r="J118" s="272">
        <v>0</v>
      </c>
      <c r="K118" s="272">
        <v>2160580</v>
      </c>
      <c r="L118" s="272">
        <v>0</v>
      </c>
      <c r="M118" s="271">
        <v>0</v>
      </c>
      <c r="N118" s="271">
        <v>0</v>
      </c>
      <c r="O118" s="271">
        <v>453721.8</v>
      </c>
      <c r="P118" s="271">
        <v>0</v>
      </c>
      <c r="Q118" s="271">
        <v>0</v>
      </c>
      <c r="R118" s="271">
        <v>0</v>
      </c>
      <c r="S118" s="271">
        <v>0</v>
      </c>
      <c r="T118" s="271">
        <v>0</v>
      </c>
      <c r="U118" s="271">
        <v>0</v>
      </c>
      <c r="V118" s="274">
        <v>2614301.7999999998</v>
      </c>
      <c r="W118" s="271" t="s">
        <v>1348</v>
      </c>
      <c r="X118" s="238"/>
      <c r="Y118" s="274">
        <v>2614301.7999999998</v>
      </c>
    </row>
    <row r="119" spans="1:25" ht="15" x14ac:dyDescent="0.25">
      <c r="A119" s="265" t="s">
        <v>1630</v>
      </c>
      <c r="B119" s="265" t="s">
        <v>1670</v>
      </c>
      <c r="C119" s="269">
        <v>6</v>
      </c>
      <c r="D119" s="269">
        <v>21152979</v>
      </c>
      <c r="E119" s="265" t="s">
        <v>1721</v>
      </c>
      <c r="F119" s="296">
        <v>30620177497</v>
      </c>
      <c r="G119" s="269"/>
      <c r="H119" s="265" t="s">
        <v>0</v>
      </c>
      <c r="I119" s="269">
        <v>30620177497</v>
      </c>
      <c r="J119" s="265"/>
      <c r="K119" s="265" t="s">
        <v>0</v>
      </c>
      <c r="L119" s="269">
        <v>30710473168</v>
      </c>
      <c r="M119" s="269">
        <v>1</v>
      </c>
      <c r="N119" s="265"/>
      <c r="O119" s="265"/>
      <c r="P119" s="265"/>
      <c r="Q119" s="265"/>
      <c r="R119" s="265"/>
      <c r="S119" s="265"/>
      <c r="T119" s="269">
        <v>0</v>
      </c>
      <c r="U119" s="269">
        <v>0</v>
      </c>
      <c r="V119" s="269">
        <v>0</v>
      </c>
      <c r="W119" s="269">
        <v>0</v>
      </c>
      <c r="X119" s="269">
        <v>0</v>
      </c>
      <c r="Y119" s="270">
        <v>0</v>
      </c>
    </row>
    <row r="120" spans="1:25" ht="15" x14ac:dyDescent="0.25">
      <c r="A120" s="265" t="s">
        <v>1603</v>
      </c>
      <c r="B120" s="265" t="s">
        <v>1670</v>
      </c>
      <c r="C120" s="266">
        <v>3950</v>
      </c>
      <c r="D120" s="266">
        <v>5597068</v>
      </c>
      <c r="E120" s="267" t="s">
        <v>1719</v>
      </c>
      <c r="F120" s="268">
        <v>30639453738</v>
      </c>
      <c r="G120" s="266"/>
      <c r="H120" s="267" t="s">
        <v>0</v>
      </c>
      <c r="I120" s="266">
        <v>30639453738</v>
      </c>
      <c r="J120" s="267"/>
      <c r="K120" s="267" t="s">
        <v>0</v>
      </c>
      <c r="L120" s="266">
        <v>30710473168</v>
      </c>
      <c r="M120" s="269">
        <v>1</v>
      </c>
      <c r="N120" s="265"/>
      <c r="O120" s="265"/>
      <c r="P120" s="279">
        <v>11127.57</v>
      </c>
      <c r="Q120" s="279">
        <v>52988.43</v>
      </c>
      <c r="R120" s="265"/>
      <c r="S120" s="265"/>
      <c r="T120" s="279">
        <v>52988.43</v>
      </c>
      <c r="U120" s="269">
        <v>0</v>
      </c>
      <c r="V120" s="269">
        <v>0</v>
      </c>
      <c r="W120" s="265">
        <v>3709.2</v>
      </c>
      <c r="X120" s="279">
        <v>11127.57</v>
      </c>
      <c r="Y120" s="284">
        <v>67825.2</v>
      </c>
    </row>
    <row r="121" spans="1:25" ht="15" x14ac:dyDescent="0.25">
      <c r="A121" s="285">
        <v>45989</v>
      </c>
      <c r="B121" s="285">
        <v>45989</v>
      </c>
      <c r="C121" s="286">
        <v>45989</v>
      </c>
      <c r="D121" s="287" t="s">
        <v>1617</v>
      </c>
      <c r="E121" s="287" t="s">
        <v>495</v>
      </c>
      <c r="F121" s="288">
        <v>30639453738</v>
      </c>
      <c r="G121" s="287" t="s">
        <v>782</v>
      </c>
      <c r="H121" s="287">
        <v>0</v>
      </c>
      <c r="I121" s="287">
        <v>0</v>
      </c>
      <c r="J121" s="287">
        <v>0</v>
      </c>
      <c r="K121" s="287">
        <v>52988.43</v>
      </c>
      <c r="L121" s="287">
        <v>0</v>
      </c>
      <c r="M121" s="289">
        <v>0</v>
      </c>
      <c r="N121" s="289">
        <v>0</v>
      </c>
      <c r="O121" s="289">
        <v>11127.57</v>
      </c>
      <c r="P121" s="289">
        <v>0</v>
      </c>
      <c r="Q121" s="289">
        <v>0</v>
      </c>
      <c r="R121" s="289">
        <v>0</v>
      </c>
      <c r="S121" s="289">
        <v>0</v>
      </c>
      <c r="T121" s="289">
        <v>1589.66</v>
      </c>
      <c r="U121" s="289">
        <v>2119.54</v>
      </c>
      <c r="V121" s="290">
        <v>67825.2</v>
      </c>
      <c r="W121" s="289" t="s">
        <v>1348</v>
      </c>
      <c r="X121" s="291"/>
      <c r="Y121" s="290">
        <v>67825.2</v>
      </c>
    </row>
    <row r="122" spans="1:25" ht="15" x14ac:dyDescent="0.25">
      <c r="A122" s="265" t="s">
        <v>779</v>
      </c>
      <c r="B122" s="265" t="s">
        <v>1670</v>
      </c>
      <c r="C122" s="266">
        <v>500</v>
      </c>
      <c r="D122" s="266">
        <v>1805067</v>
      </c>
      <c r="E122" s="267" t="s">
        <v>1671</v>
      </c>
      <c r="F122" s="268">
        <v>30654118767</v>
      </c>
      <c r="G122" s="266"/>
      <c r="H122" s="267" t="s">
        <v>0</v>
      </c>
      <c r="I122" s="266">
        <v>30654118767</v>
      </c>
      <c r="J122" s="267"/>
      <c r="K122" s="267" t="s">
        <v>0</v>
      </c>
      <c r="L122" s="266">
        <v>30710473168</v>
      </c>
      <c r="M122" s="269">
        <v>1</v>
      </c>
      <c r="N122" s="265"/>
      <c r="O122" s="265"/>
      <c r="P122" s="269">
        <v>36233</v>
      </c>
      <c r="Q122" s="279">
        <v>172538.09</v>
      </c>
      <c r="R122" s="265"/>
      <c r="S122" s="265"/>
      <c r="T122" s="279">
        <v>172538.09</v>
      </c>
      <c r="U122" s="269">
        <v>0</v>
      </c>
      <c r="V122" s="269">
        <v>0</v>
      </c>
      <c r="W122" s="279">
        <v>6901.52</v>
      </c>
      <c r="X122" s="269">
        <v>36233</v>
      </c>
      <c r="Y122" s="280">
        <v>215672.61</v>
      </c>
    </row>
    <row r="123" spans="1:25" ht="15" x14ac:dyDescent="0.25">
      <c r="A123" s="271" t="s">
        <v>779</v>
      </c>
      <c r="B123" s="271" t="s">
        <v>779</v>
      </c>
      <c r="C123" s="272" t="s">
        <v>779</v>
      </c>
      <c r="D123" s="272" t="s">
        <v>1349</v>
      </c>
      <c r="E123" s="272" t="s">
        <v>473</v>
      </c>
      <c r="F123" s="273" t="s">
        <v>1350</v>
      </c>
      <c r="G123" s="272" t="s">
        <v>782</v>
      </c>
      <c r="H123" s="272">
        <v>0</v>
      </c>
      <c r="I123" s="272">
        <v>0</v>
      </c>
      <c r="J123" s="272">
        <v>0</v>
      </c>
      <c r="K123" s="272">
        <v>172538.09</v>
      </c>
      <c r="L123" s="272">
        <v>0</v>
      </c>
      <c r="M123" s="271">
        <v>0</v>
      </c>
      <c r="N123" s="271">
        <v>0</v>
      </c>
      <c r="O123" s="271">
        <v>36233</v>
      </c>
      <c r="P123" s="271">
        <v>0</v>
      </c>
      <c r="Q123" s="271">
        <v>0</v>
      </c>
      <c r="R123" s="271">
        <v>0</v>
      </c>
      <c r="S123" s="271">
        <v>0</v>
      </c>
      <c r="T123" s="271">
        <v>0</v>
      </c>
      <c r="U123" s="271">
        <v>6901.52</v>
      </c>
      <c r="V123" s="274">
        <v>215672.61</v>
      </c>
      <c r="W123" s="271" t="s">
        <v>1351</v>
      </c>
      <c r="X123" s="238"/>
      <c r="Y123" s="274">
        <v>215672.61</v>
      </c>
    </row>
    <row r="124" spans="1:25" ht="15" x14ac:dyDescent="0.25">
      <c r="A124" s="265" t="s">
        <v>779</v>
      </c>
      <c r="B124" s="265" t="s">
        <v>1670</v>
      </c>
      <c r="C124" s="266">
        <v>629</v>
      </c>
      <c r="D124" s="266">
        <v>6582507</v>
      </c>
      <c r="E124" s="267" t="s">
        <v>587</v>
      </c>
      <c r="F124" s="268">
        <v>30663498513</v>
      </c>
      <c r="G124" s="266"/>
      <c r="H124" s="267" t="s">
        <v>0</v>
      </c>
      <c r="I124" s="266">
        <v>30663498513</v>
      </c>
      <c r="J124" s="267"/>
      <c r="K124" s="267" t="s">
        <v>0</v>
      </c>
      <c r="L124" s="266">
        <v>30710473168</v>
      </c>
      <c r="M124" s="269">
        <v>1</v>
      </c>
      <c r="N124" s="265"/>
      <c r="O124" s="265"/>
      <c r="P124" s="279">
        <v>1674.37</v>
      </c>
      <c r="Q124" s="279">
        <v>7973.16</v>
      </c>
      <c r="R124" s="265"/>
      <c r="S124" s="265"/>
      <c r="T124" s="279">
        <v>7973.16</v>
      </c>
      <c r="U124" s="269">
        <v>0</v>
      </c>
      <c r="V124" s="269">
        <v>0</v>
      </c>
      <c r="W124" s="279">
        <v>318.93</v>
      </c>
      <c r="X124" s="279">
        <v>1674.37</v>
      </c>
      <c r="Y124" s="280">
        <v>9966.4599999999991</v>
      </c>
    </row>
    <row r="125" spans="1:25" ht="15" x14ac:dyDescent="0.25">
      <c r="A125" s="271" t="s">
        <v>779</v>
      </c>
      <c r="B125" s="271" t="s">
        <v>779</v>
      </c>
      <c r="C125" s="281">
        <v>45962</v>
      </c>
      <c r="D125" s="272" t="s">
        <v>1583</v>
      </c>
      <c r="E125" s="272" t="s">
        <v>235</v>
      </c>
      <c r="F125" s="273" t="s">
        <v>1584</v>
      </c>
      <c r="G125" s="272" t="s">
        <v>782</v>
      </c>
      <c r="H125" s="272">
        <v>0</v>
      </c>
      <c r="I125" s="272">
        <v>0</v>
      </c>
      <c r="J125" s="272">
        <v>0</v>
      </c>
      <c r="K125" s="272">
        <v>7973.16</v>
      </c>
      <c r="L125" s="272">
        <v>0</v>
      </c>
      <c r="M125" s="271">
        <v>0</v>
      </c>
      <c r="N125" s="271">
        <v>0</v>
      </c>
      <c r="O125" s="271">
        <v>1674.36</v>
      </c>
      <c r="P125" s="271">
        <v>0</v>
      </c>
      <c r="Q125" s="271">
        <v>0</v>
      </c>
      <c r="R125" s="271">
        <v>0</v>
      </c>
      <c r="S125" s="271">
        <v>0</v>
      </c>
      <c r="T125" s="271">
        <v>0</v>
      </c>
      <c r="U125" s="271">
        <v>318.93</v>
      </c>
      <c r="V125" s="274">
        <v>9966.4500000000007</v>
      </c>
      <c r="W125" s="271" t="s">
        <v>1348</v>
      </c>
      <c r="X125" s="238"/>
      <c r="Y125" s="274">
        <v>9966.4500000000007</v>
      </c>
    </row>
    <row r="126" spans="1:25" ht="15" x14ac:dyDescent="0.25">
      <c r="A126" s="265" t="s">
        <v>779</v>
      </c>
      <c r="B126" s="265" t="s">
        <v>1670</v>
      </c>
      <c r="C126" s="266">
        <v>711</v>
      </c>
      <c r="D126" s="266">
        <v>7793985</v>
      </c>
      <c r="E126" s="267" t="s">
        <v>584</v>
      </c>
      <c r="F126" s="268">
        <v>30677237119</v>
      </c>
      <c r="G126" s="266"/>
      <c r="H126" s="267" t="s">
        <v>0</v>
      </c>
      <c r="I126" s="266">
        <v>30677237119</v>
      </c>
      <c r="J126" s="267"/>
      <c r="K126" s="267" t="s">
        <v>0</v>
      </c>
      <c r="L126" s="266">
        <v>30710473168</v>
      </c>
      <c r="M126" s="269">
        <v>1</v>
      </c>
      <c r="N126" s="265"/>
      <c r="O126" s="265"/>
      <c r="P126" s="279">
        <v>873.58</v>
      </c>
      <c r="Q126" s="279">
        <v>4159.8900000000003</v>
      </c>
      <c r="R126" s="265"/>
      <c r="S126" s="265"/>
      <c r="T126" s="279">
        <v>4159.8900000000003</v>
      </c>
      <c r="U126" s="269">
        <v>0</v>
      </c>
      <c r="V126" s="265">
        <v>124.8</v>
      </c>
      <c r="W126" s="265">
        <v>166.4</v>
      </c>
      <c r="X126" s="279">
        <v>873.58</v>
      </c>
      <c r="Y126" s="280">
        <v>5324.67</v>
      </c>
    </row>
    <row r="127" spans="1:25" ht="15" x14ac:dyDescent="0.25">
      <c r="A127" s="265" t="s">
        <v>1515</v>
      </c>
      <c r="B127" s="265" t="s">
        <v>1670</v>
      </c>
      <c r="C127" s="266">
        <v>711</v>
      </c>
      <c r="D127" s="266">
        <v>7857310</v>
      </c>
      <c r="E127" s="267" t="s">
        <v>584</v>
      </c>
      <c r="F127" s="268">
        <v>30677237119</v>
      </c>
      <c r="G127" s="266"/>
      <c r="H127" s="267" t="s">
        <v>0</v>
      </c>
      <c r="I127" s="266">
        <v>30677237119</v>
      </c>
      <c r="J127" s="267"/>
      <c r="K127" s="267" t="s">
        <v>0</v>
      </c>
      <c r="L127" s="266">
        <v>30710473168</v>
      </c>
      <c r="M127" s="269">
        <v>1</v>
      </c>
      <c r="N127" s="265"/>
      <c r="O127" s="265"/>
      <c r="P127" s="279">
        <v>1577.31</v>
      </c>
      <c r="Q127" s="279">
        <v>7510.97</v>
      </c>
      <c r="R127" s="265"/>
      <c r="S127" s="265"/>
      <c r="T127" s="279">
        <v>7510.97</v>
      </c>
      <c r="U127" s="269">
        <v>0</v>
      </c>
      <c r="V127" s="279">
        <v>225.33</v>
      </c>
      <c r="W127" s="279">
        <v>300.44</v>
      </c>
      <c r="X127" s="279">
        <v>1577.31</v>
      </c>
      <c r="Y127" s="280">
        <v>9614.0499999999993</v>
      </c>
    </row>
    <row r="128" spans="1:25" ht="13.5" customHeight="1" x14ac:dyDescent="0.25">
      <c r="A128" s="271" t="s">
        <v>779</v>
      </c>
      <c r="B128" s="271" t="s">
        <v>779</v>
      </c>
      <c r="C128" s="281">
        <v>45962</v>
      </c>
      <c r="D128" s="272" t="s">
        <v>1585</v>
      </c>
      <c r="E128" s="272" t="s">
        <v>48</v>
      </c>
      <c r="F128" s="273" t="s">
        <v>1518</v>
      </c>
      <c r="G128" s="272" t="s">
        <v>782</v>
      </c>
      <c r="H128" s="272">
        <v>0</v>
      </c>
      <c r="I128" s="272">
        <v>0</v>
      </c>
      <c r="J128" s="272">
        <v>0</v>
      </c>
      <c r="K128" s="272">
        <v>4159.8900000000003</v>
      </c>
      <c r="L128" s="272">
        <v>0</v>
      </c>
      <c r="M128" s="271">
        <v>0</v>
      </c>
      <c r="N128" s="271">
        <v>0</v>
      </c>
      <c r="O128" s="271">
        <v>873.58</v>
      </c>
      <c r="P128" s="271">
        <v>0</v>
      </c>
      <c r="Q128" s="271">
        <v>0</v>
      </c>
      <c r="R128" s="271">
        <v>0</v>
      </c>
      <c r="S128" s="271">
        <v>124.8</v>
      </c>
      <c r="T128" s="271">
        <v>0</v>
      </c>
      <c r="U128" s="271">
        <v>166.4</v>
      </c>
      <c r="V128" s="274">
        <v>5324.67</v>
      </c>
      <c r="W128" s="271" t="s">
        <v>1348</v>
      </c>
      <c r="X128" s="238"/>
      <c r="Y128" s="274">
        <v>5324.67</v>
      </c>
    </row>
    <row r="129" spans="1:25" ht="13.5" customHeight="1" x14ac:dyDescent="0.25">
      <c r="A129" s="271" t="s">
        <v>1515</v>
      </c>
      <c r="B129" s="271" t="s">
        <v>1515</v>
      </c>
      <c r="C129" s="272" t="s">
        <v>1316</v>
      </c>
      <c r="D129" s="272" t="s">
        <v>1517</v>
      </c>
      <c r="E129" s="272" t="s">
        <v>48</v>
      </c>
      <c r="F129" s="273" t="s">
        <v>1518</v>
      </c>
      <c r="G129" s="272" t="s">
        <v>782</v>
      </c>
      <c r="H129" s="272">
        <v>0</v>
      </c>
      <c r="I129" s="272">
        <v>0</v>
      </c>
      <c r="J129" s="272">
        <v>0</v>
      </c>
      <c r="K129" s="272">
        <v>7510.97</v>
      </c>
      <c r="L129" s="272">
        <v>0</v>
      </c>
      <c r="M129" s="271">
        <v>0</v>
      </c>
      <c r="N129" s="271">
        <v>0</v>
      </c>
      <c r="O129" s="271">
        <v>1577.3</v>
      </c>
      <c r="P129" s="271">
        <v>0</v>
      </c>
      <c r="Q129" s="271">
        <v>0</v>
      </c>
      <c r="R129" s="271">
        <v>0</v>
      </c>
      <c r="S129" s="271">
        <v>0</v>
      </c>
      <c r="T129" s="271">
        <v>225.33</v>
      </c>
      <c r="U129" s="271">
        <v>300.44</v>
      </c>
      <c r="V129" s="274">
        <v>9614.0400000000009</v>
      </c>
      <c r="W129" s="271" t="s">
        <v>1348</v>
      </c>
      <c r="X129" s="238"/>
      <c r="Y129" s="274">
        <v>9614.0400000000009</v>
      </c>
    </row>
    <row r="130" spans="1:25" ht="13.5" customHeight="1" x14ac:dyDescent="0.25">
      <c r="A130" s="265" t="s">
        <v>1547</v>
      </c>
      <c r="B130" s="265" t="s">
        <v>1670</v>
      </c>
      <c r="C130" s="266">
        <v>3051</v>
      </c>
      <c r="D130" s="266">
        <v>999290</v>
      </c>
      <c r="E130" s="267" t="s">
        <v>1682</v>
      </c>
      <c r="F130" s="268">
        <v>30678814357</v>
      </c>
      <c r="G130" s="266"/>
      <c r="H130" s="267" t="s">
        <v>0</v>
      </c>
      <c r="I130" s="266">
        <v>30678814357</v>
      </c>
      <c r="J130" s="267"/>
      <c r="K130" s="267" t="s">
        <v>0</v>
      </c>
      <c r="L130" s="266">
        <v>30710473168</v>
      </c>
      <c r="M130" s="269">
        <v>1</v>
      </c>
      <c r="N130" s="265"/>
      <c r="O130" s="265"/>
      <c r="P130" s="265"/>
      <c r="Q130" s="265"/>
      <c r="R130" s="279">
        <v>16288.29</v>
      </c>
      <c r="S130" s="269">
        <v>60327</v>
      </c>
      <c r="T130" s="269">
        <v>60327</v>
      </c>
      <c r="U130" s="269">
        <v>0</v>
      </c>
      <c r="V130" s="269">
        <v>0</v>
      </c>
      <c r="W130" s="279">
        <v>7524.96</v>
      </c>
      <c r="X130" s="279">
        <v>16288.29</v>
      </c>
      <c r="Y130" s="280">
        <v>84140.25</v>
      </c>
    </row>
    <row r="131" spans="1:25" ht="13.5" customHeight="1" x14ac:dyDescent="0.25">
      <c r="A131" s="265" t="s">
        <v>1430</v>
      </c>
      <c r="B131" s="265" t="s">
        <v>1670</v>
      </c>
      <c r="C131" s="266">
        <v>3101</v>
      </c>
      <c r="D131" s="266">
        <v>407272</v>
      </c>
      <c r="E131" s="267" t="s">
        <v>1682</v>
      </c>
      <c r="F131" s="268">
        <v>30678814357</v>
      </c>
      <c r="G131" s="266"/>
      <c r="H131" s="267" t="s">
        <v>0</v>
      </c>
      <c r="I131" s="266">
        <v>30678814357</v>
      </c>
      <c r="J131" s="267"/>
      <c r="K131" s="267" t="s">
        <v>0</v>
      </c>
      <c r="L131" s="266">
        <v>30710473168</v>
      </c>
      <c r="M131" s="269">
        <v>1</v>
      </c>
      <c r="N131" s="265"/>
      <c r="O131" s="265"/>
      <c r="P131" s="265"/>
      <c r="Q131" s="265"/>
      <c r="R131" s="279">
        <v>18974.48</v>
      </c>
      <c r="S131" s="279">
        <v>70275.86</v>
      </c>
      <c r="T131" s="279">
        <v>70275.86</v>
      </c>
      <c r="U131" s="269">
        <v>0</v>
      </c>
      <c r="V131" s="269">
        <v>0</v>
      </c>
      <c r="W131" s="279">
        <v>4919.3100000000004</v>
      </c>
      <c r="X131" s="279">
        <v>18974.48</v>
      </c>
      <c r="Y131" s="280">
        <v>94169.65</v>
      </c>
    </row>
    <row r="132" spans="1:25" ht="13.5" customHeight="1" x14ac:dyDescent="0.25">
      <c r="A132" s="265" t="s">
        <v>1249</v>
      </c>
      <c r="B132" s="265" t="s">
        <v>1670</v>
      </c>
      <c r="C132" s="269">
        <v>2229</v>
      </c>
      <c r="D132" s="269">
        <v>960993</v>
      </c>
      <c r="E132" s="265" t="s">
        <v>1682</v>
      </c>
      <c r="F132" s="296">
        <v>30678814357</v>
      </c>
      <c r="G132" s="269"/>
      <c r="H132" s="265" t="s">
        <v>0</v>
      </c>
      <c r="I132" s="269">
        <v>30678814357</v>
      </c>
      <c r="J132" s="265"/>
      <c r="K132" s="265" t="s">
        <v>0</v>
      </c>
      <c r="L132" s="269">
        <v>30710473168</v>
      </c>
      <c r="M132" s="269">
        <v>1</v>
      </c>
      <c r="N132" s="265"/>
      <c r="O132" s="265"/>
      <c r="P132" s="265"/>
      <c r="Q132" s="265"/>
      <c r="R132" s="265"/>
      <c r="S132" s="265"/>
      <c r="T132" s="269">
        <v>0</v>
      </c>
      <c r="U132" s="269">
        <v>0</v>
      </c>
      <c r="V132" s="269">
        <v>0</v>
      </c>
      <c r="W132" s="269">
        <v>0</v>
      </c>
      <c r="X132" s="269">
        <v>0</v>
      </c>
      <c r="Y132" s="270">
        <v>0</v>
      </c>
    </row>
    <row r="133" spans="1:25" ht="13.5" customHeight="1" x14ac:dyDescent="0.25">
      <c r="A133" s="271" t="s">
        <v>1430</v>
      </c>
      <c r="B133" s="271" t="s">
        <v>1430</v>
      </c>
      <c r="C133" s="272" t="s">
        <v>1430</v>
      </c>
      <c r="D133" s="272" t="s">
        <v>1433</v>
      </c>
      <c r="E133" s="272" t="s">
        <v>497</v>
      </c>
      <c r="F133" s="273" t="s">
        <v>1434</v>
      </c>
      <c r="G133" s="272" t="s">
        <v>782</v>
      </c>
      <c r="H133" s="272">
        <v>0</v>
      </c>
      <c r="I133" s="272">
        <v>0</v>
      </c>
      <c r="J133" s="272">
        <v>0</v>
      </c>
      <c r="K133" s="272">
        <v>0</v>
      </c>
      <c r="L133" s="272">
        <v>70275.86</v>
      </c>
      <c r="M133" s="271">
        <v>0</v>
      </c>
      <c r="N133" s="271">
        <v>0</v>
      </c>
      <c r="O133" s="271">
        <v>18974.48</v>
      </c>
      <c r="P133" s="271">
        <v>0</v>
      </c>
      <c r="Q133" s="271">
        <v>0</v>
      </c>
      <c r="R133" s="271">
        <v>0</v>
      </c>
      <c r="S133" s="271">
        <v>0</v>
      </c>
      <c r="T133" s="271">
        <v>2108.2800000000002</v>
      </c>
      <c r="U133" s="271">
        <v>2811.03</v>
      </c>
      <c r="V133" s="274">
        <v>94169.65</v>
      </c>
      <c r="W133" s="271" t="s">
        <v>1348</v>
      </c>
      <c r="X133" s="238"/>
      <c r="Y133" s="274">
        <v>94169.65</v>
      </c>
    </row>
    <row r="134" spans="1:25" ht="13.5" customHeight="1" x14ac:dyDescent="0.25">
      <c r="A134" s="271" t="s">
        <v>1547</v>
      </c>
      <c r="B134" s="271" t="s">
        <v>1547</v>
      </c>
      <c r="C134" s="272" t="s">
        <v>1220</v>
      </c>
      <c r="D134" s="272" t="s">
        <v>1548</v>
      </c>
      <c r="E134" s="272" t="s">
        <v>497</v>
      </c>
      <c r="F134" s="273" t="s">
        <v>1434</v>
      </c>
      <c r="G134" s="272" t="s">
        <v>782</v>
      </c>
      <c r="H134" s="272">
        <v>0</v>
      </c>
      <c r="I134" s="272">
        <v>0</v>
      </c>
      <c r="J134" s="272">
        <v>0</v>
      </c>
      <c r="K134" s="272">
        <v>0</v>
      </c>
      <c r="L134" s="272">
        <v>60327</v>
      </c>
      <c r="M134" s="271">
        <v>0</v>
      </c>
      <c r="N134" s="271">
        <v>0</v>
      </c>
      <c r="O134" s="271">
        <v>16288.29</v>
      </c>
      <c r="P134" s="271">
        <v>3174.07</v>
      </c>
      <c r="Q134" s="271">
        <v>0</v>
      </c>
      <c r="R134" s="271">
        <v>0</v>
      </c>
      <c r="S134" s="271">
        <v>0</v>
      </c>
      <c r="T134" s="271">
        <v>4349.8900000000003</v>
      </c>
      <c r="U134" s="271">
        <v>0</v>
      </c>
      <c r="V134" s="274">
        <v>84139.25</v>
      </c>
      <c r="W134" s="271" t="s">
        <v>1348</v>
      </c>
      <c r="X134" s="238"/>
      <c r="Y134" s="274">
        <v>84139.25</v>
      </c>
    </row>
    <row r="135" spans="1:25" ht="13.5" customHeight="1" x14ac:dyDescent="0.25">
      <c r="A135" s="265" t="s">
        <v>955</v>
      </c>
      <c r="B135" s="265" t="s">
        <v>1670</v>
      </c>
      <c r="C135" s="266">
        <v>9334</v>
      </c>
      <c r="D135" s="266">
        <v>67</v>
      </c>
      <c r="E135" s="267" t="s">
        <v>1451</v>
      </c>
      <c r="F135" s="268">
        <v>30685849751</v>
      </c>
      <c r="G135" s="266"/>
      <c r="H135" s="267" t="s">
        <v>0</v>
      </c>
      <c r="I135" s="266">
        <v>30685849751</v>
      </c>
      <c r="J135" s="267"/>
      <c r="K135" s="267" t="s">
        <v>0</v>
      </c>
      <c r="L135" s="266">
        <v>30710473168</v>
      </c>
      <c r="M135" s="269">
        <v>1</v>
      </c>
      <c r="N135" s="265"/>
      <c r="O135" s="265"/>
      <c r="P135" s="279">
        <v>1785.87</v>
      </c>
      <c r="Q135" s="279">
        <v>8504.1299999999992</v>
      </c>
      <c r="R135" s="265"/>
      <c r="S135" s="265"/>
      <c r="T135" s="279">
        <v>8504.1299999999992</v>
      </c>
      <c r="U135" s="269">
        <v>0</v>
      </c>
      <c r="V135" s="269">
        <v>0</v>
      </c>
      <c r="W135" s="279">
        <v>340.17</v>
      </c>
      <c r="X135" s="279">
        <v>1785.87</v>
      </c>
      <c r="Y135" s="280">
        <v>10630.17</v>
      </c>
    </row>
    <row r="136" spans="1:25" ht="13.5" customHeight="1" x14ac:dyDescent="0.25">
      <c r="A136" s="265" t="s">
        <v>998</v>
      </c>
      <c r="B136" s="265" t="s">
        <v>1670</v>
      </c>
      <c r="C136" s="266">
        <v>1054</v>
      </c>
      <c r="D136" s="266">
        <v>391</v>
      </c>
      <c r="E136" s="267" t="s">
        <v>1451</v>
      </c>
      <c r="F136" s="268">
        <v>30685849751</v>
      </c>
      <c r="G136" s="266"/>
      <c r="H136" s="267" t="s">
        <v>0</v>
      </c>
      <c r="I136" s="266">
        <v>30685849751</v>
      </c>
      <c r="J136" s="267"/>
      <c r="K136" s="267" t="s">
        <v>0</v>
      </c>
      <c r="L136" s="266">
        <v>30710473168</v>
      </c>
      <c r="M136" s="269">
        <v>1</v>
      </c>
      <c r="N136" s="279">
        <v>341.13</v>
      </c>
      <c r="O136" s="279">
        <v>3248.87</v>
      </c>
      <c r="P136" s="279">
        <v>517.19000000000005</v>
      </c>
      <c r="Q136" s="279">
        <v>2462.81</v>
      </c>
      <c r="R136" s="265"/>
      <c r="S136" s="265"/>
      <c r="T136" s="279">
        <v>5711.68</v>
      </c>
      <c r="U136" s="269">
        <v>0</v>
      </c>
      <c r="V136" s="269">
        <v>0</v>
      </c>
      <c r="W136" s="265">
        <v>342.7</v>
      </c>
      <c r="X136" s="279">
        <v>858.32</v>
      </c>
      <c r="Y136" s="284">
        <v>6912.7</v>
      </c>
    </row>
    <row r="137" spans="1:25" ht="13.5" customHeight="1" x14ac:dyDescent="0.25">
      <c r="A137" s="265" t="s">
        <v>1126</v>
      </c>
      <c r="B137" s="265" t="s">
        <v>1670</v>
      </c>
      <c r="C137" s="266">
        <v>1054</v>
      </c>
      <c r="D137" s="266">
        <v>393</v>
      </c>
      <c r="E137" s="267" t="s">
        <v>1451</v>
      </c>
      <c r="F137" s="268">
        <v>30685849751</v>
      </c>
      <c r="G137" s="266"/>
      <c r="H137" s="267" t="s">
        <v>0</v>
      </c>
      <c r="I137" s="266">
        <v>30685849751</v>
      </c>
      <c r="J137" s="267"/>
      <c r="K137" s="267" t="s">
        <v>0</v>
      </c>
      <c r="L137" s="266">
        <v>30710473168</v>
      </c>
      <c r="M137" s="269">
        <v>1</v>
      </c>
      <c r="N137" s="265"/>
      <c r="O137" s="265"/>
      <c r="P137" s="279">
        <v>886.86</v>
      </c>
      <c r="Q137" s="279">
        <v>4223.1400000000003</v>
      </c>
      <c r="R137" s="265"/>
      <c r="S137" s="265"/>
      <c r="T137" s="279">
        <v>4223.1400000000003</v>
      </c>
      <c r="U137" s="269">
        <v>0</v>
      </c>
      <c r="V137" s="269">
        <v>0</v>
      </c>
      <c r="W137" s="279">
        <v>168.93</v>
      </c>
      <c r="X137" s="279">
        <v>886.86</v>
      </c>
      <c r="Y137" s="280">
        <v>5278.93</v>
      </c>
    </row>
    <row r="138" spans="1:25" ht="13.5" customHeight="1" x14ac:dyDescent="0.25">
      <c r="A138" s="265" t="s">
        <v>1164</v>
      </c>
      <c r="B138" s="265" t="s">
        <v>1670</v>
      </c>
      <c r="C138" s="266">
        <v>1054</v>
      </c>
      <c r="D138" s="266">
        <v>396</v>
      </c>
      <c r="E138" s="267" t="s">
        <v>1451</v>
      </c>
      <c r="F138" s="268">
        <v>30685849751</v>
      </c>
      <c r="G138" s="266"/>
      <c r="H138" s="267" t="s">
        <v>0</v>
      </c>
      <c r="I138" s="266">
        <v>30685849751</v>
      </c>
      <c r="J138" s="267"/>
      <c r="K138" s="267" t="s">
        <v>0</v>
      </c>
      <c r="L138" s="266">
        <v>30710473168</v>
      </c>
      <c r="M138" s="269">
        <v>1</v>
      </c>
      <c r="N138" s="279">
        <v>341.13</v>
      </c>
      <c r="O138" s="279">
        <v>3248.87</v>
      </c>
      <c r="P138" s="279">
        <v>1774.41</v>
      </c>
      <c r="Q138" s="279">
        <v>8449.59</v>
      </c>
      <c r="R138" s="265"/>
      <c r="S138" s="265"/>
      <c r="T138" s="279">
        <v>11698.46</v>
      </c>
      <c r="U138" s="269">
        <v>0</v>
      </c>
      <c r="V138" s="269">
        <v>0</v>
      </c>
      <c r="W138" s="279">
        <v>467.94</v>
      </c>
      <c r="X138" s="279">
        <v>2115.54</v>
      </c>
      <c r="Y138" s="280">
        <v>14281.94</v>
      </c>
    </row>
    <row r="139" spans="1:25" ht="13.5" customHeight="1" x14ac:dyDescent="0.25">
      <c r="A139" s="265" t="s">
        <v>1164</v>
      </c>
      <c r="B139" s="265" t="s">
        <v>1670</v>
      </c>
      <c r="C139" s="266">
        <v>1055</v>
      </c>
      <c r="D139" s="266">
        <v>937</v>
      </c>
      <c r="E139" s="267" t="s">
        <v>1451</v>
      </c>
      <c r="F139" s="268">
        <v>30685849751</v>
      </c>
      <c r="G139" s="266"/>
      <c r="H139" s="267" t="s">
        <v>0</v>
      </c>
      <c r="I139" s="266">
        <v>30685849751</v>
      </c>
      <c r="J139" s="267"/>
      <c r="K139" s="267" t="s">
        <v>0</v>
      </c>
      <c r="L139" s="266">
        <v>30710473168</v>
      </c>
      <c r="M139" s="269">
        <v>1</v>
      </c>
      <c r="N139" s="265"/>
      <c r="O139" s="265"/>
      <c r="P139" s="279">
        <v>1165.4100000000001</v>
      </c>
      <c r="Q139" s="279">
        <v>5549.59</v>
      </c>
      <c r="R139" s="265"/>
      <c r="S139" s="265"/>
      <c r="T139" s="279">
        <v>5549.59</v>
      </c>
      <c r="U139" s="269">
        <v>0</v>
      </c>
      <c r="V139" s="269">
        <v>0</v>
      </c>
      <c r="W139" s="279">
        <v>221.98</v>
      </c>
      <c r="X139" s="279">
        <v>1165.4100000000001</v>
      </c>
      <c r="Y139" s="280">
        <v>6936.98</v>
      </c>
    </row>
    <row r="140" spans="1:25" ht="13.5" customHeight="1" x14ac:dyDescent="0.25">
      <c r="A140" s="265" t="s">
        <v>1220</v>
      </c>
      <c r="B140" s="265" t="s">
        <v>1670</v>
      </c>
      <c r="C140" s="266">
        <v>1054</v>
      </c>
      <c r="D140" s="266">
        <v>398</v>
      </c>
      <c r="E140" s="267" t="s">
        <v>1451</v>
      </c>
      <c r="F140" s="268">
        <v>30685849751</v>
      </c>
      <c r="G140" s="266"/>
      <c r="H140" s="267" t="s">
        <v>0</v>
      </c>
      <c r="I140" s="266">
        <v>30685849751</v>
      </c>
      <c r="J140" s="267"/>
      <c r="K140" s="267" t="s">
        <v>0</v>
      </c>
      <c r="L140" s="266">
        <v>30710473168</v>
      </c>
      <c r="M140" s="269">
        <v>1</v>
      </c>
      <c r="N140" s="265"/>
      <c r="O140" s="265"/>
      <c r="P140" s="279">
        <v>1114.04</v>
      </c>
      <c r="Q140" s="279">
        <v>5304.96</v>
      </c>
      <c r="R140" s="265"/>
      <c r="S140" s="265"/>
      <c r="T140" s="279">
        <v>5304.96</v>
      </c>
      <c r="U140" s="269">
        <v>0</v>
      </c>
      <c r="V140" s="269">
        <v>0</v>
      </c>
      <c r="W140" s="265">
        <v>212.2</v>
      </c>
      <c r="X140" s="279">
        <v>1114.04</v>
      </c>
      <c r="Y140" s="284">
        <v>6631.2</v>
      </c>
    </row>
    <row r="141" spans="1:25" ht="13.5" customHeight="1" x14ac:dyDescent="0.25">
      <c r="A141" s="265" t="s">
        <v>1603</v>
      </c>
      <c r="B141" s="265" t="s">
        <v>1670</v>
      </c>
      <c r="C141" s="266">
        <v>1054</v>
      </c>
      <c r="D141" s="266">
        <v>404</v>
      </c>
      <c r="E141" s="267" t="s">
        <v>1451</v>
      </c>
      <c r="F141" s="268">
        <v>30685849751</v>
      </c>
      <c r="G141" s="266"/>
      <c r="H141" s="267" t="s">
        <v>0</v>
      </c>
      <c r="I141" s="266">
        <v>30685849751</v>
      </c>
      <c r="J141" s="267"/>
      <c r="K141" s="267" t="s">
        <v>0</v>
      </c>
      <c r="L141" s="266">
        <v>30710473168</v>
      </c>
      <c r="M141" s="269">
        <v>1</v>
      </c>
      <c r="N141" s="265"/>
      <c r="O141" s="265"/>
      <c r="P141" s="279">
        <v>1657.44</v>
      </c>
      <c r="Q141" s="279">
        <v>7892.56</v>
      </c>
      <c r="R141" s="265"/>
      <c r="S141" s="265"/>
      <c r="T141" s="279">
        <v>7892.56</v>
      </c>
      <c r="U141" s="269">
        <v>0</v>
      </c>
      <c r="V141" s="269">
        <v>0</v>
      </c>
      <c r="W141" s="265">
        <v>315.7</v>
      </c>
      <c r="X141" s="279">
        <v>1657.44</v>
      </c>
      <c r="Y141" s="284">
        <v>9865.7000000000007</v>
      </c>
    </row>
    <row r="142" spans="1:25" s="282" customFormat="1" ht="13.5" customHeight="1" x14ac:dyDescent="0.25">
      <c r="A142" s="297"/>
      <c r="B142" s="282" t="s">
        <v>1249</v>
      </c>
      <c r="C142" s="283" t="s">
        <v>1249</v>
      </c>
      <c r="D142" s="283" t="s">
        <v>1554</v>
      </c>
      <c r="E142" s="283" t="s">
        <v>1451</v>
      </c>
      <c r="F142" s="283" t="s">
        <v>1452</v>
      </c>
      <c r="G142" s="283" t="s">
        <v>782</v>
      </c>
      <c r="H142" s="283">
        <v>0</v>
      </c>
      <c r="I142" s="283">
        <v>0</v>
      </c>
      <c r="J142" s="283">
        <v>0</v>
      </c>
      <c r="K142" s="283">
        <v>7892.56</v>
      </c>
      <c r="L142" s="283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1351</v>
      </c>
      <c r="X142" t="s">
        <v>704</v>
      </c>
      <c r="Y142" s="284">
        <v>9865.7000000000007</v>
      </c>
    </row>
    <row r="143" spans="1:25" ht="13.5" customHeight="1" x14ac:dyDescent="0.25">
      <c r="A143" s="271" t="s">
        <v>955</v>
      </c>
      <c r="B143" s="271" t="s">
        <v>955</v>
      </c>
      <c r="C143" s="272" t="s">
        <v>955</v>
      </c>
      <c r="D143" s="272" t="s">
        <v>1450</v>
      </c>
      <c r="E143" s="272" t="s">
        <v>1451</v>
      </c>
      <c r="F143" s="273" t="s">
        <v>1452</v>
      </c>
      <c r="G143" s="272" t="s">
        <v>782</v>
      </c>
      <c r="H143" s="272">
        <v>0</v>
      </c>
      <c r="I143" s="272">
        <v>0</v>
      </c>
      <c r="J143" s="272">
        <v>0</v>
      </c>
      <c r="K143" s="272">
        <v>8504.1299999999992</v>
      </c>
      <c r="L143" s="272">
        <v>0</v>
      </c>
      <c r="M143" s="271">
        <v>0</v>
      </c>
      <c r="N143" s="271">
        <v>0</v>
      </c>
      <c r="O143" s="271">
        <v>1785.87</v>
      </c>
      <c r="P143" s="271">
        <v>0</v>
      </c>
      <c r="Q143" s="271">
        <v>0</v>
      </c>
      <c r="R143" s="271">
        <v>0</v>
      </c>
      <c r="S143" s="271">
        <v>0</v>
      </c>
      <c r="T143" s="271">
        <v>0</v>
      </c>
      <c r="U143" s="271">
        <v>340.17</v>
      </c>
      <c r="V143" s="274">
        <v>10630.17</v>
      </c>
      <c r="W143" s="271" t="s">
        <v>1351</v>
      </c>
      <c r="X143" s="238"/>
      <c r="Y143" s="274">
        <v>10630.17</v>
      </c>
    </row>
    <row r="144" spans="1:25" ht="13.5" customHeight="1" x14ac:dyDescent="0.25">
      <c r="A144" s="271" t="s">
        <v>998</v>
      </c>
      <c r="B144" s="271" t="s">
        <v>998</v>
      </c>
      <c r="C144" s="298">
        <v>45972</v>
      </c>
      <c r="D144" s="272" t="s">
        <v>1455</v>
      </c>
      <c r="E144" s="272" t="s">
        <v>1451</v>
      </c>
      <c r="F144" s="273" t="s">
        <v>1452</v>
      </c>
      <c r="G144" s="272" t="s">
        <v>782</v>
      </c>
      <c r="H144" s="272">
        <v>0</v>
      </c>
      <c r="I144" s="272">
        <v>0</v>
      </c>
      <c r="J144" s="272">
        <v>0</v>
      </c>
      <c r="K144" s="272">
        <v>5711.68</v>
      </c>
      <c r="L144" s="272">
        <v>0</v>
      </c>
      <c r="M144" s="271">
        <v>0</v>
      </c>
      <c r="N144" s="271">
        <v>0</v>
      </c>
      <c r="O144" s="271">
        <v>1199.45</v>
      </c>
      <c r="P144" s="271">
        <v>0</v>
      </c>
      <c r="Q144" s="271">
        <v>0</v>
      </c>
      <c r="R144" s="271">
        <v>0</v>
      </c>
      <c r="S144" s="271">
        <v>0</v>
      </c>
      <c r="T144" s="271">
        <v>0</v>
      </c>
      <c r="U144" s="271">
        <v>0</v>
      </c>
      <c r="V144" s="274">
        <v>6911.13</v>
      </c>
      <c r="W144" s="271" t="s">
        <v>1351</v>
      </c>
      <c r="X144" s="238"/>
      <c r="Y144" s="274">
        <v>6911.13</v>
      </c>
    </row>
    <row r="145" spans="1:25" ht="13.5" customHeight="1" x14ac:dyDescent="0.25">
      <c r="A145" s="299">
        <v>45978</v>
      </c>
      <c r="B145" s="299">
        <v>45978</v>
      </c>
      <c r="C145" s="281">
        <v>45978</v>
      </c>
      <c r="D145" s="272" t="s">
        <v>1526</v>
      </c>
      <c r="E145" s="272" t="s">
        <v>1451</v>
      </c>
      <c r="F145" s="273" t="s">
        <v>1452</v>
      </c>
      <c r="G145" s="272" t="s">
        <v>782</v>
      </c>
      <c r="H145" s="272">
        <v>0</v>
      </c>
      <c r="I145" s="272">
        <v>0</v>
      </c>
      <c r="J145" s="272">
        <v>0</v>
      </c>
      <c r="K145" s="272">
        <v>5549.59</v>
      </c>
      <c r="L145" s="272">
        <v>0</v>
      </c>
      <c r="M145" s="271">
        <v>0</v>
      </c>
      <c r="N145" s="271">
        <v>0</v>
      </c>
      <c r="O145" s="271">
        <v>1165.4100000000001</v>
      </c>
      <c r="P145" s="271">
        <v>0</v>
      </c>
      <c r="Q145" s="271">
        <v>0</v>
      </c>
      <c r="R145" s="271">
        <v>0</v>
      </c>
      <c r="S145" s="271">
        <v>221.98</v>
      </c>
      <c r="T145" s="271">
        <v>0</v>
      </c>
      <c r="U145" s="271">
        <v>0</v>
      </c>
      <c r="V145" s="274">
        <v>6936.98</v>
      </c>
      <c r="W145" s="271" t="s">
        <v>1351</v>
      </c>
      <c r="X145" s="238"/>
      <c r="Y145" s="274">
        <v>6936.98</v>
      </c>
    </row>
    <row r="146" spans="1:25" ht="13.5" customHeight="1" x14ac:dyDescent="0.25">
      <c r="A146" s="271" t="s">
        <v>1126</v>
      </c>
      <c r="B146" s="271" t="s">
        <v>1126</v>
      </c>
      <c r="C146" s="281">
        <v>45975</v>
      </c>
      <c r="D146" s="272" t="s">
        <v>1505</v>
      </c>
      <c r="E146" s="272" t="s">
        <v>1451</v>
      </c>
      <c r="F146" s="273" t="s">
        <v>1452</v>
      </c>
      <c r="G146" s="272" t="s">
        <v>782</v>
      </c>
      <c r="H146" s="272">
        <v>0</v>
      </c>
      <c r="I146" s="272">
        <v>0</v>
      </c>
      <c r="J146" s="272">
        <v>0</v>
      </c>
      <c r="K146" s="272">
        <v>4223.1400000000003</v>
      </c>
      <c r="L146" s="272">
        <v>0</v>
      </c>
      <c r="M146" s="271">
        <v>0</v>
      </c>
      <c r="N146" s="271">
        <v>0</v>
      </c>
      <c r="O146" s="271">
        <v>886.86</v>
      </c>
      <c r="P146" s="271">
        <v>0</v>
      </c>
      <c r="Q146" s="271">
        <v>0</v>
      </c>
      <c r="R146" s="271">
        <v>0</v>
      </c>
      <c r="S146" s="271">
        <v>168.93</v>
      </c>
      <c r="T146" s="271">
        <v>0</v>
      </c>
      <c r="U146" s="271">
        <v>0</v>
      </c>
      <c r="V146" s="274">
        <v>5278.93</v>
      </c>
      <c r="W146" s="271" t="s">
        <v>1351</v>
      </c>
      <c r="X146" s="238"/>
      <c r="Y146" s="274">
        <v>5278.93</v>
      </c>
    </row>
    <row r="147" spans="1:25" ht="13.5" customHeight="1" x14ac:dyDescent="0.25">
      <c r="A147" s="271" t="s">
        <v>1164</v>
      </c>
      <c r="B147" s="271" t="s">
        <v>1164</v>
      </c>
      <c r="C147" s="298">
        <v>45978</v>
      </c>
      <c r="D147" s="272" t="s">
        <v>1519</v>
      </c>
      <c r="E147" s="272" t="s">
        <v>1451</v>
      </c>
      <c r="F147" s="273" t="s">
        <v>1452</v>
      </c>
      <c r="G147" s="272" t="s">
        <v>782</v>
      </c>
      <c r="H147" s="272">
        <v>0</v>
      </c>
      <c r="I147" s="272">
        <v>0</v>
      </c>
      <c r="J147" s="272">
        <v>0</v>
      </c>
      <c r="K147" s="272">
        <v>11698.46</v>
      </c>
      <c r="L147" s="272">
        <v>0</v>
      </c>
      <c r="M147" s="271">
        <v>0</v>
      </c>
      <c r="N147" s="271">
        <v>0</v>
      </c>
      <c r="O147" s="271">
        <v>2456.6799999999998</v>
      </c>
      <c r="P147" s="271">
        <v>0</v>
      </c>
      <c r="Q147" s="271">
        <v>0</v>
      </c>
      <c r="R147" s="271">
        <v>0</v>
      </c>
      <c r="S147" s="271">
        <v>0</v>
      </c>
      <c r="T147" s="271">
        <v>0</v>
      </c>
      <c r="U147" s="271">
        <v>0</v>
      </c>
      <c r="V147" s="274">
        <v>14155.14</v>
      </c>
      <c r="W147" s="271" t="s">
        <v>1351</v>
      </c>
      <c r="X147" s="238"/>
      <c r="Y147" s="274">
        <v>14155.14</v>
      </c>
    </row>
    <row r="148" spans="1:25" ht="13.5" customHeight="1" x14ac:dyDescent="0.25">
      <c r="A148" s="271" t="s">
        <v>1220</v>
      </c>
      <c r="B148" s="271" t="s">
        <v>1220</v>
      </c>
      <c r="C148" s="298">
        <v>45980</v>
      </c>
      <c r="D148" s="272" t="s">
        <v>1543</v>
      </c>
      <c r="E148" s="272" t="s">
        <v>1451</v>
      </c>
      <c r="F148" s="273" t="s">
        <v>1452</v>
      </c>
      <c r="G148" s="272" t="s">
        <v>782</v>
      </c>
      <c r="H148" s="272">
        <v>0</v>
      </c>
      <c r="I148" s="272">
        <v>0</v>
      </c>
      <c r="J148" s="272">
        <v>0</v>
      </c>
      <c r="K148" s="272">
        <v>5304.97</v>
      </c>
      <c r="L148" s="272">
        <v>0</v>
      </c>
      <c r="M148" s="271">
        <v>0</v>
      </c>
      <c r="N148" s="271">
        <v>0</v>
      </c>
      <c r="O148" s="271">
        <v>1114.04</v>
      </c>
      <c r="P148" s="271">
        <v>0</v>
      </c>
      <c r="Q148" s="271">
        <v>0</v>
      </c>
      <c r="R148" s="271">
        <v>0</v>
      </c>
      <c r="S148" s="271">
        <v>212.2</v>
      </c>
      <c r="T148" s="271">
        <v>0</v>
      </c>
      <c r="U148" s="271">
        <v>0</v>
      </c>
      <c r="V148" s="274">
        <v>6631.21</v>
      </c>
      <c r="W148" s="271" t="s">
        <v>1351</v>
      </c>
      <c r="X148" s="238"/>
      <c r="Y148" s="274">
        <v>6631.21</v>
      </c>
    </row>
    <row r="149" spans="1:25" ht="13.5" customHeight="1" x14ac:dyDescent="0.25">
      <c r="A149" s="265" t="s">
        <v>998</v>
      </c>
      <c r="B149" s="265" t="s">
        <v>1670</v>
      </c>
      <c r="C149" s="266">
        <v>2</v>
      </c>
      <c r="D149" s="266">
        <v>7991</v>
      </c>
      <c r="E149" s="267" t="s">
        <v>1457</v>
      </c>
      <c r="F149" s="268">
        <v>30694549817</v>
      </c>
      <c r="G149" s="266"/>
      <c r="H149" s="267" t="s">
        <v>0</v>
      </c>
      <c r="I149" s="266">
        <v>30694549817</v>
      </c>
      <c r="J149" s="267"/>
      <c r="K149" s="267" t="s">
        <v>0</v>
      </c>
      <c r="L149" s="266">
        <v>30710473168</v>
      </c>
      <c r="M149" s="269">
        <v>1</v>
      </c>
      <c r="N149" s="265"/>
      <c r="O149" s="265"/>
      <c r="P149" s="279">
        <v>40717.74</v>
      </c>
      <c r="Q149" s="279">
        <v>193893.99</v>
      </c>
      <c r="R149" s="265"/>
      <c r="S149" s="265"/>
      <c r="T149" s="279">
        <v>193893.99</v>
      </c>
      <c r="U149" s="269">
        <v>0</v>
      </c>
      <c r="V149" s="269">
        <v>0</v>
      </c>
      <c r="W149" s="269">
        <v>0</v>
      </c>
      <c r="X149" s="279">
        <v>40717.74</v>
      </c>
      <c r="Y149" s="280">
        <v>234611.73</v>
      </c>
    </row>
    <row r="150" spans="1:25" ht="13.5" customHeight="1" x14ac:dyDescent="0.25">
      <c r="A150" s="285">
        <v>45972</v>
      </c>
      <c r="B150" s="285">
        <v>45972</v>
      </c>
      <c r="C150" s="286">
        <v>45972</v>
      </c>
      <c r="D150" s="287" t="s">
        <v>1456</v>
      </c>
      <c r="E150" s="287" t="s">
        <v>1457</v>
      </c>
      <c r="F150" s="288">
        <v>30694549817</v>
      </c>
      <c r="G150" s="287" t="s">
        <v>782</v>
      </c>
      <c r="H150" s="287">
        <v>0</v>
      </c>
      <c r="I150" s="287">
        <v>0</v>
      </c>
      <c r="J150" s="287">
        <v>0</v>
      </c>
      <c r="K150" s="287">
        <v>193893</v>
      </c>
      <c r="L150" s="287">
        <v>0</v>
      </c>
      <c r="M150" s="289">
        <v>0</v>
      </c>
      <c r="N150" s="289">
        <v>0</v>
      </c>
      <c r="O150" s="289">
        <v>40717.53</v>
      </c>
      <c r="P150" s="289">
        <v>0</v>
      </c>
      <c r="Q150" s="289">
        <v>0</v>
      </c>
      <c r="R150" s="289">
        <v>0</v>
      </c>
      <c r="S150" s="289">
        <v>0</v>
      </c>
      <c r="T150" s="289">
        <v>0</v>
      </c>
      <c r="U150" s="289">
        <v>0</v>
      </c>
      <c r="V150" s="290">
        <v>234610.53</v>
      </c>
      <c r="W150" s="289" t="s">
        <v>1351</v>
      </c>
      <c r="X150" s="291"/>
      <c r="Y150" s="290">
        <v>234610.53</v>
      </c>
    </row>
    <row r="151" spans="1:25" ht="13.5" customHeight="1" x14ac:dyDescent="0.25">
      <c r="A151" s="265" t="s">
        <v>1249</v>
      </c>
      <c r="B151" s="265" t="s">
        <v>1670</v>
      </c>
      <c r="C151" s="266">
        <v>5</v>
      </c>
      <c r="D151" s="266">
        <v>3432773</v>
      </c>
      <c r="E151" s="267" t="s">
        <v>1712</v>
      </c>
      <c r="F151" s="268">
        <v>30702652975</v>
      </c>
      <c r="G151" s="266"/>
      <c r="H151" s="267" t="s">
        <v>0</v>
      </c>
      <c r="I151" s="266">
        <v>30702652975</v>
      </c>
      <c r="J151" s="267"/>
      <c r="K151" s="267" t="s">
        <v>0</v>
      </c>
      <c r="L151" s="266">
        <v>30710473168</v>
      </c>
      <c r="M151" s="269">
        <v>1</v>
      </c>
      <c r="N151" s="265"/>
      <c r="O151" s="265"/>
      <c r="P151" s="279">
        <v>8237.6299999999992</v>
      </c>
      <c r="Q151" s="279">
        <v>39226.82</v>
      </c>
      <c r="R151" s="265"/>
      <c r="S151" s="265"/>
      <c r="T151" s="279">
        <v>39226.82</v>
      </c>
      <c r="U151" s="269">
        <v>0</v>
      </c>
      <c r="V151" s="269">
        <v>0</v>
      </c>
      <c r="W151" s="279">
        <v>1569.07</v>
      </c>
      <c r="X151" s="279">
        <v>8237.6299999999992</v>
      </c>
      <c r="Y151" s="280">
        <v>49033.53</v>
      </c>
    </row>
    <row r="152" spans="1:25" ht="13.5" customHeight="1" x14ac:dyDescent="0.25">
      <c r="A152" s="271" t="s">
        <v>1249</v>
      </c>
      <c r="B152" s="271" t="s">
        <v>1249</v>
      </c>
      <c r="C152" s="281">
        <v>45981</v>
      </c>
      <c r="D152" s="272" t="s">
        <v>1557</v>
      </c>
      <c r="E152" s="272" t="s">
        <v>350</v>
      </c>
      <c r="F152" s="273" t="s">
        <v>1558</v>
      </c>
      <c r="G152" s="272" t="s">
        <v>782</v>
      </c>
      <c r="H152" s="272">
        <v>0</v>
      </c>
      <c r="I152" s="272">
        <v>0</v>
      </c>
      <c r="J152" s="272">
        <v>0</v>
      </c>
      <c r="K152" s="272">
        <v>39226.82</v>
      </c>
      <c r="L152" s="272">
        <v>0</v>
      </c>
      <c r="M152" s="271">
        <v>0</v>
      </c>
      <c r="N152" s="271">
        <v>0</v>
      </c>
      <c r="O152" s="271">
        <v>8237.6299999999992</v>
      </c>
      <c r="P152" s="271">
        <v>0</v>
      </c>
      <c r="Q152" s="271">
        <v>0</v>
      </c>
      <c r="R152" s="271">
        <v>0</v>
      </c>
      <c r="S152" s="271">
        <v>0</v>
      </c>
      <c r="T152" s="271">
        <v>0</v>
      </c>
      <c r="U152" s="271">
        <v>1569.07</v>
      </c>
      <c r="V152" s="274">
        <v>49033.52</v>
      </c>
      <c r="W152" s="271" t="s">
        <v>1348</v>
      </c>
      <c r="X152" s="238"/>
      <c r="Y152" s="274">
        <v>49033.52</v>
      </c>
    </row>
    <row r="153" spans="1:25" ht="13.5" customHeight="1" x14ac:dyDescent="0.25">
      <c r="A153" s="265" t="s">
        <v>1624</v>
      </c>
      <c r="B153" s="265" t="s">
        <v>1670</v>
      </c>
      <c r="C153" s="266">
        <v>62</v>
      </c>
      <c r="D153" s="266">
        <v>474231</v>
      </c>
      <c r="E153" s="267" t="s">
        <v>1627</v>
      </c>
      <c r="F153" s="268">
        <v>30703088534</v>
      </c>
      <c r="G153" s="266"/>
      <c r="H153" s="267" t="s">
        <v>0</v>
      </c>
      <c r="I153" s="266">
        <v>30703088534</v>
      </c>
      <c r="J153" s="267"/>
      <c r="K153" s="267" t="s">
        <v>0</v>
      </c>
      <c r="L153" s="266">
        <v>30710473168</v>
      </c>
      <c r="M153" s="269">
        <v>1</v>
      </c>
      <c r="N153" s="265"/>
      <c r="O153" s="265"/>
      <c r="P153" s="279">
        <v>31079.71</v>
      </c>
      <c r="Q153" s="279">
        <v>147998.62</v>
      </c>
      <c r="R153" s="265"/>
      <c r="S153" s="265"/>
      <c r="T153" s="279">
        <v>147998.62</v>
      </c>
      <c r="U153" s="269">
        <v>0</v>
      </c>
      <c r="V153" s="269">
        <v>0</v>
      </c>
      <c r="W153" s="265">
        <v>10359.9</v>
      </c>
      <c r="X153" s="279">
        <v>31079.71</v>
      </c>
      <c r="Y153" s="280">
        <v>189438.23</v>
      </c>
    </row>
    <row r="154" spans="1:25" ht="13.5" customHeight="1" x14ac:dyDescent="0.25">
      <c r="A154" s="265" t="s">
        <v>1624</v>
      </c>
      <c r="B154" s="265" t="s">
        <v>1678</v>
      </c>
      <c r="C154" s="266">
        <v>66</v>
      </c>
      <c r="D154" s="266">
        <v>7469</v>
      </c>
      <c r="E154" s="267" t="s">
        <v>1627</v>
      </c>
      <c r="F154" s="268">
        <v>30703088534</v>
      </c>
      <c r="G154" s="266"/>
      <c r="H154" s="267" t="s">
        <v>0</v>
      </c>
      <c r="I154" s="266">
        <v>30703088534</v>
      </c>
      <c r="J154" s="267"/>
      <c r="K154" s="267" t="s">
        <v>0</v>
      </c>
      <c r="L154" s="266">
        <v>30710473168</v>
      </c>
      <c r="M154" s="269">
        <v>1</v>
      </c>
      <c r="N154" s="265"/>
      <c r="O154" s="265"/>
      <c r="P154" s="279">
        <v>249.05</v>
      </c>
      <c r="Q154" s="279">
        <v>1185.95</v>
      </c>
      <c r="R154" s="265"/>
      <c r="S154" s="265"/>
      <c r="T154" s="279">
        <v>1185.95</v>
      </c>
      <c r="U154" s="269">
        <v>0</v>
      </c>
      <c r="V154" s="269">
        <v>0</v>
      </c>
      <c r="W154" s="279">
        <v>35.58</v>
      </c>
      <c r="X154" s="279">
        <v>249.05</v>
      </c>
      <c r="Y154" s="280">
        <v>1470.58</v>
      </c>
    </row>
    <row r="155" spans="1:25" ht="13.5" customHeight="1" x14ac:dyDescent="0.25">
      <c r="A155" s="285">
        <v>45990</v>
      </c>
      <c r="B155" s="285">
        <v>45990</v>
      </c>
      <c r="C155" s="286">
        <v>45990</v>
      </c>
      <c r="D155" s="287" t="s">
        <v>1626</v>
      </c>
      <c r="E155" s="287" t="s">
        <v>1627</v>
      </c>
      <c r="F155" s="288">
        <v>30703088534</v>
      </c>
      <c r="G155" s="287" t="s">
        <v>782</v>
      </c>
      <c r="H155" s="287">
        <v>0</v>
      </c>
      <c r="I155" s="287">
        <v>0</v>
      </c>
      <c r="J155" s="287">
        <v>0</v>
      </c>
      <c r="K155" s="287">
        <v>147998.62</v>
      </c>
      <c r="L155" s="287">
        <v>0</v>
      </c>
      <c r="M155" s="289">
        <v>0</v>
      </c>
      <c r="N155" s="289">
        <v>0</v>
      </c>
      <c r="O155" s="289">
        <v>31079.71</v>
      </c>
      <c r="P155" s="289">
        <v>5919.94</v>
      </c>
      <c r="Q155" s="289">
        <v>0</v>
      </c>
      <c r="R155" s="289">
        <v>0</v>
      </c>
      <c r="S155" s="289">
        <v>0</v>
      </c>
      <c r="T155" s="289">
        <v>4439.96</v>
      </c>
      <c r="U155" s="289">
        <v>0</v>
      </c>
      <c r="V155" s="290">
        <v>189438.23</v>
      </c>
      <c r="W155" s="289" t="s">
        <v>1348</v>
      </c>
      <c r="X155" s="291"/>
      <c r="Y155" s="290">
        <v>189438.23</v>
      </c>
    </row>
    <row r="156" spans="1:25" ht="13.5" customHeight="1" x14ac:dyDescent="0.25">
      <c r="A156" s="285">
        <v>45990</v>
      </c>
      <c r="B156" s="285">
        <v>45990</v>
      </c>
      <c r="C156" s="286">
        <v>45990</v>
      </c>
      <c r="D156" s="287" t="s">
        <v>1629</v>
      </c>
      <c r="E156" s="287" t="s">
        <v>1627</v>
      </c>
      <c r="F156" s="288">
        <v>30703088534</v>
      </c>
      <c r="G156" s="287" t="s">
        <v>782</v>
      </c>
      <c r="H156" s="287">
        <v>0</v>
      </c>
      <c r="I156" s="287">
        <v>0</v>
      </c>
      <c r="J156" s="287">
        <v>0</v>
      </c>
      <c r="K156" s="287">
        <v>-1185.95</v>
      </c>
      <c r="L156" s="287">
        <v>0</v>
      </c>
      <c r="M156" s="289">
        <v>0</v>
      </c>
      <c r="N156" s="289">
        <v>0</v>
      </c>
      <c r="O156" s="289">
        <v>-249.05</v>
      </c>
      <c r="P156" s="289">
        <v>0</v>
      </c>
      <c r="Q156" s="289">
        <v>0</v>
      </c>
      <c r="R156" s="289">
        <v>0</v>
      </c>
      <c r="S156" s="289">
        <v>0</v>
      </c>
      <c r="T156" s="289">
        <v>-35.58</v>
      </c>
      <c r="U156" s="289">
        <v>0</v>
      </c>
      <c r="V156" s="290">
        <v>-1470.58</v>
      </c>
      <c r="W156" s="289" t="s">
        <v>1348</v>
      </c>
      <c r="X156" s="291"/>
      <c r="Y156" s="290">
        <v>-1470.58</v>
      </c>
    </row>
    <row r="157" spans="1:25" ht="13.5" customHeight="1" x14ac:dyDescent="0.25">
      <c r="A157" s="265" t="s">
        <v>1220</v>
      </c>
      <c r="B157" s="265" t="s">
        <v>1670</v>
      </c>
      <c r="C157" s="266">
        <v>1001</v>
      </c>
      <c r="D157" s="266">
        <v>604</v>
      </c>
      <c r="E157" s="267" t="s">
        <v>1550</v>
      </c>
      <c r="F157" s="268">
        <v>30707370552</v>
      </c>
      <c r="G157" s="266"/>
      <c r="H157" s="267" t="s">
        <v>0</v>
      </c>
      <c r="I157" s="266">
        <v>30707370552</v>
      </c>
      <c r="J157" s="267"/>
      <c r="K157" s="267" t="s">
        <v>0</v>
      </c>
      <c r="L157" s="266">
        <v>30710473168</v>
      </c>
      <c r="M157" s="269">
        <v>1</v>
      </c>
      <c r="N157" s="265"/>
      <c r="O157" s="265"/>
      <c r="P157" s="279">
        <v>340965.55</v>
      </c>
      <c r="Q157" s="279">
        <v>1623645.45</v>
      </c>
      <c r="R157" s="265"/>
      <c r="S157" s="265"/>
      <c r="T157" s="279">
        <v>1623645.45</v>
      </c>
      <c r="U157" s="269">
        <v>0</v>
      </c>
      <c r="V157" s="269">
        <v>0</v>
      </c>
      <c r="W157" s="269">
        <v>0</v>
      </c>
      <c r="X157" s="279">
        <v>340965.55</v>
      </c>
      <c r="Y157" s="270">
        <v>1964611</v>
      </c>
    </row>
    <row r="158" spans="1:25" ht="13.5" customHeight="1" x14ac:dyDescent="0.25">
      <c r="A158" s="271" t="s">
        <v>1220</v>
      </c>
      <c r="B158" s="271" t="s">
        <v>1220</v>
      </c>
      <c r="C158" s="272" t="s">
        <v>1220</v>
      </c>
      <c r="D158" s="272" t="s">
        <v>1549</v>
      </c>
      <c r="E158" s="272" t="s">
        <v>1550</v>
      </c>
      <c r="F158" s="273" t="s">
        <v>1551</v>
      </c>
      <c r="G158" s="272" t="s">
        <v>782</v>
      </c>
      <c r="H158" s="272">
        <v>0</v>
      </c>
      <c r="I158" s="272">
        <v>0</v>
      </c>
      <c r="J158" s="272">
        <v>0</v>
      </c>
      <c r="K158" s="272">
        <v>1623645.45</v>
      </c>
      <c r="L158" s="272">
        <v>0</v>
      </c>
      <c r="M158" s="271">
        <v>0</v>
      </c>
      <c r="N158" s="271">
        <v>0</v>
      </c>
      <c r="O158" s="271">
        <v>340965.54</v>
      </c>
      <c r="P158" s="271">
        <v>0</v>
      </c>
      <c r="Q158" s="271">
        <v>0</v>
      </c>
      <c r="R158" s="271">
        <v>0</v>
      </c>
      <c r="S158" s="271">
        <v>0</v>
      </c>
      <c r="T158" s="271">
        <v>0</v>
      </c>
      <c r="U158" s="271">
        <v>0</v>
      </c>
      <c r="V158" s="274">
        <v>1964610.99</v>
      </c>
      <c r="W158" s="271" t="s">
        <v>1466</v>
      </c>
      <c r="X158" s="238"/>
      <c r="Y158" s="274">
        <v>1964610.99</v>
      </c>
    </row>
    <row r="159" spans="1:25" ht="13.5" customHeight="1" x14ac:dyDescent="0.25">
      <c r="A159" s="265" t="s">
        <v>1589</v>
      </c>
      <c r="B159" s="265" t="s">
        <v>1670</v>
      </c>
      <c r="C159" s="266">
        <v>20</v>
      </c>
      <c r="D159" s="266">
        <v>89</v>
      </c>
      <c r="E159" s="267" t="s">
        <v>1591</v>
      </c>
      <c r="F159" s="268">
        <v>30707597956</v>
      </c>
      <c r="G159" s="266"/>
      <c r="H159" s="267" t="s">
        <v>0</v>
      </c>
      <c r="I159" s="266">
        <v>30707597956</v>
      </c>
      <c r="J159" s="267"/>
      <c r="K159" s="267" t="s">
        <v>0</v>
      </c>
      <c r="L159" s="266">
        <v>30710473168</v>
      </c>
      <c r="M159" s="269">
        <v>1</v>
      </c>
      <c r="N159" s="265"/>
      <c r="O159" s="265"/>
      <c r="P159" s="279">
        <v>3023.81</v>
      </c>
      <c r="Q159" s="265">
        <v>14399.1</v>
      </c>
      <c r="R159" s="265"/>
      <c r="S159" s="265"/>
      <c r="T159" s="265">
        <v>14399.1</v>
      </c>
      <c r="U159" s="269">
        <v>0</v>
      </c>
      <c r="V159" s="269">
        <v>0</v>
      </c>
      <c r="W159" s="269">
        <v>0</v>
      </c>
      <c r="X159" s="279">
        <v>3023.81</v>
      </c>
      <c r="Y159" s="280">
        <v>17422.91</v>
      </c>
    </row>
    <row r="160" spans="1:25" ht="13.5" customHeight="1" x14ac:dyDescent="0.25">
      <c r="A160" s="300">
        <v>45988</v>
      </c>
      <c r="B160" s="300">
        <v>45988</v>
      </c>
      <c r="C160" s="301">
        <v>45988</v>
      </c>
      <c r="D160" s="302" t="s">
        <v>1590</v>
      </c>
      <c r="E160" s="302" t="s">
        <v>1591</v>
      </c>
      <c r="F160" s="288">
        <v>30707597956</v>
      </c>
      <c r="G160" s="302" t="s">
        <v>782</v>
      </c>
      <c r="H160" s="302">
        <v>0</v>
      </c>
      <c r="I160" s="302">
        <v>0</v>
      </c>
      <c r="J160" s="303">
        <v>0</v>
      </c>
      <c r="K160" s="303">
        <v>14399.1</v>
      </c>
      <c r="L160" s="303">
        <v>0</v>
      </c>
      <c r="M160" s="304">
        <v>0</v>
      </c>
      <c r="N160" s="304">
        <v>0</v>
      </c>
      <c r="O160" s="304">
        <v>3023.81</v>
      </c>
      <c r="P160" s="304">
        <v>0</v>
      </c>
      <c r="Q160" s="304">
        <v>0</v>
      </c>
      <c r="R160" s="304">
        <v>0</v>
      </c>
      <c r="S160" s="304">
        <v>0</v>
      </c>
      <c r="T160" s="304">
        <v>0</v>
      </c>
      <c r="U160" s="304">
        <v>0</v>
      </c>
      <c r="V160" s="305">
        <v>17422.91</v>
      </c>
      <c r="W160" s="306"/>
      <c r="X160" s="238"/>
      <c r="Y160" s="305">
        <v>17422.91</v>
      </c>
    </row>
    <row r="161" spans="1:25" ht="13.5" customHeight="1" x14ac:dyDescent="0.25">
      <c r="A161" s="265" t="s">
        <v>1098</v>
      </c>
      <c r="B161" s="265" t="s">
        <v>1670</v>
      </c>
      <c r="C161" s="266">
        <v>32</v>
      </c>
      <c r="D161" s="266">
        <v>173281</v>
      </c>
      <c r="E161" s="267" t="s">
        <v>1686</v>
      </c>
      <c r="F161" s="268">
        <v>30708847247</v>
      </c>
      <c r="G161" s="266"/>
      <c r="H161" s="267" t="s">
        <v>0</v>
      </c>
      <c r="I161" s="266">
        <v>30708847247</v>
      </c>
      <c r="J161" s="267"/>
      <c r="K161" s="267" t="s">
        <v>0</v>
      </c>
      <c r="L161" s="266">
        <v>30710473168</v>
      </c>
      <c r="M161" s="269">
        <v>1</v>
      </c>
      <c r="N161" s="265"/>
      <c r="O161" s="265"/>
      <c r="P161" s="265">
        <v>17899.099999999999</v>
      </c>
      <c r="Q161" s="279">
        <v>85233.81</v>
      </c>
      <c r="R161" s="265"/>
      <c r="S161" s="265"/>
      <c r="T161" s="279">
        <v>85233.81</v>
      </c>
      <c r="U161" s="269">
        <v>0</v>
      </c>
      <c r="V161" s="269">
        <v>0</v>
      </c>
      <c r="W161" s="279">
        <v>3409.35</v>
      </c>
      <c r="X161" s="265">
        <v>17899.099999999999</v>
      </c>
      <c r="Y161" s="280">
        <v>106542.26</v>
      </c>
    </row>
    <row r="162" spans="1:25" ht="13.5" customHeight="1" x14ac:dyDescent="0.25">
      <c r="A162" s="271" t="s">
        <v>1098</v>
      </c>
      <c r="B162" s="271" t="s">
        <v>1098</v>
      </c>
      <c r="C162" s="272" t="s">
        <v>1285</v>
      </c>
      <c r="D162" s="272" t="s">
        <v>1472</v>
      </c>
      <c r="E162" s="272" t="s">
        <v>542</v>
      </c>
      <c r="F162" s="273" t="s">
        <v>1473</v>
      </c>
      <c r="G162" s="272" t="s">
        <v>782</v>
      </c>
      <c r="H162" s="272">
        <v>0</v>
      </c>
      <c r="I162" s="272">
        <v>0</v>
      </c>
      <c r="J162" s="272">
        <v>0</v>
      </c>
      <c r="K162" s="272">
        <v>85233.81</v>
      </c>
      <c r="L162" s="272">
        <v>0</v>
      </c>
      <c r="M162" s="271">
        <v>0</v>
      </c>
      <c r="N162" s="271">
        <v>0</v>
      </c>
      <c r="O162" s="271">
        <v>17899.099999999999</v>
      </c>
      <c r="P162" s="271">
        <v>0</v>
      </c>
      <c r="Q162" s="271">
        <v>0</v>
      </c>
      <c r="R162" s="271">
        <v>0</v>
      </c>
      <c r="S162" s="271">
        <v>3409.35</v>
      </c>
      <c r="T162" s="271">
        <v>0</v>
      </c>
      <c r="U162" s="271">
        <v>0</v>
      </c>
      <c r="V162" s="274">
        <v>106542.26</v>
      </c>
      <c r="W162" s="271" t="s">
        <v>1348</v>
      </c>
      <c r="X162" s="238"/>
      <c r="Y162" s="274">
        <v>106542.26</v>
      </c>
    </row>
    <row r="163" spans="1:25" ht="13.5" customHeight="1" x14ac:dyDescent="0.25">
      <c r="A163" s="265" t="s">
        <v>1603</v>
      </c>
      <c r="B163" s="265" t="s">
        <v>1670</v>
      </c>
      <c r="C163" s="266">
        <v>6</v>
      </c>
      <c r="D163" s="266">
        <v>946</v>
      </c>
      <c r="E163" s="267" t="s">
        <v>1620</v>
      </c>
      <c r="F163" s="268">
        <v>30708960736</v>
      </c>
      <c r="G163" s="266"/>
      <c r="H163" s="267" t="s">
        <v>0</v>
      </c>
      <c r="I163" s="266">
        <v>30708960736</v>
      </c>
      <c r="J163" s="267"/>
      <c r="K163" s="267" t="s">
        <v>0</v>
      </c>
      <c r="L163" s="266">
        <v>30710473168</v>
      </c>
      <c r="M163" s="269">
        <v>1</v>
      </c>
      <c r="N163" s="265"/>
      <c r="O163" s="265"/>
      <c r="P163" s="279">
        <v>841735.54</v>
      </c>
      <c r="Q163" s="279">
        <v>4008264.46</v>
      </c>
      <c r="R163" s="265"/>
      <c r="S163" s="265"/>
      <c r="T163" s="279">
        <v>4008264.46</v>
      </c>
      <c r="U163" s="269">
        <v>0</v>
      </c>
      <c r="V163" s="269">
        <v>0</v>
      </c>
      <c r="W163" s="269">
        <v>0</v>
      </c>
      <c r="X163" s="279">
        <v>841735.54</v>
      </c>
      <c r="Y163" s="270">
        <v>4850000</v>
      </c>
    </row>
    <row r="164" spans="1:25" ht="13.5" customHeight="1" x14ac:dyDescent="0.25">
      <c r="A164" s="271" t="s">
        <v>1603</v>
      </c>
      <c r="B164" s="271" t="s">
        <v>1603</v>
      </c>
      <c r="C164" s="272" t="s">
        <v>1603</v>
      </c>
      <c r="D164" s="272" t="s">
        <v>1619</v>
      </c>
      <c r="E164" s="272" t="s">
        <v>1620</v>
      </c>
      <c r="F164" s="273" t="s">
        <v>1621</v>
      </c>
      <c r="G164" s="272" t="s">
        <v>782</v>
      </c>
      <c r="H164" s="272">
        <v>0</v>
      </c>
      <c r="I164" s="272">
        <v>0</v>
      </c>
      <c r="J164" s="272">
        <v>0</v>
      </c>
      <c r="K164" s="272">
        <v>4008264.46</v>
      </c>
      <c r="L164" s="272">
        <v>0</v>
      </c>
      <c r="M164" s="271">
        <v>0</v>
      </c>
      <c r="N164" s="271">
        <v>0</v>
      </c>
      <c r="O164" s="271">
        <v>841735.54</v>
      </c>
      <c r="P164" s="271">
        <v>0</v>
      </c>
      <c r="Q164" s="271">
        <v>0</v>
      </c>
      <c r="R164" s="271">
        <v>0</v>
      </c>
      <c r="S164" s="271">
        <v>0</v>
      </c>
      <c r="T164" s="271">
        <v>0</v>
      </c>
      <c r="U164" s="271">
        <v>0</v>
      </c>
      <c r="V164" s="274">
        <v>4850000</v>
      </c>
      <c r="W164" s="271" t="s">
        <v>1351</v>
      </c>
      <c r="X164" s="238"/>
      <c r="Y164" s="274">
        <v>4850000</v>
      </c>
    </row>
    <row r="165" spans="1:25" ht="13.5" customHeight="1" x14ac:dyDescent="0.25">
      <c r="A165" s="265" t="s">
        <v>825</v>
      </c>
      <c r="B165" s="265" t="s">
        <v>1670</v>
      </c>
      <c r="C165" s="266">
        <v>8</v>
      </c>
      <c r="D165" s="266">
        <v>1884</v>
      </c>
      <c r="E165" s="267" t="s">
        <v>1732</v>
      </c>
      <c r="F165" s="268">
        <v>30708973501</v>
      </c>
      <c r="G165" s="266"/>
      <c r="H165" s="267" t="s">
        <v>0</v>
      </c>
      <c r="I165" s="266">
        <v>30708973501</v>
      </c>
      <c r="J165" s="267"/>
      <c r="K165" s="267" t="s">
        <v>0</v>
      </c>
      <c r="L165" s="266">
        <v>30710473168</v>
      </c>
      <c r="M165" s="269">
        <v>1</v>
      </c>
      <c r="N165" s="265"/>
      <c r="O165" s="265"/>
      <c r="P165" s="279">
        <v>109606.56</v>
      </c>
      <c r="Q165" s="269">
        <v>521936</v>
      </c>
      <c r="R165" s="265"/>
      <c r="S165" s="265"/>
      <c r="T165" s="269">
        <v>521936</v>
      </c>
      <c r="U165" s="269">
        <v>0</v>
      </c>
      <c r="V165" s="269">
        <v>0</v>
      </c>
      <c r="W165" s="269">
        <v>0</v>
      </c>
      <c r="X165" s="279">
        <v>109606.56</v>
      </c>
      <c r="Y165" s="280">
        <v>631542.56000000006</v>
      </c>
    </row>
    <row r="166" spans="1:25" ht="13.5" customHeight="1" x14ac:dyDescent="0.25">
      <c r="A166" s="271" t="s">
        <v>825</v>
      </c>
      <c r="B166" s="271" t="s">
        <v>825</v>
      </c>
      <c r="C166" s="272" t="s">
        <v>825</v>
      </c>
      <c r="D166" s="272" t="s">
        <v>1402</v>
      </c>
      <c r="E166" s="272" t="s">
        <v>43</v>
      </c>
      <c r="F166" s="273" t="s">
        <v>1403</v>
      </c>
      <c r="G166" s="272" t="s">
        <v>782</v>
      </c>
      <c r="H166" s="272">
        <v>0</v>
      </c>
      <c r="I166" s="272">
        <v>0</v>
      </c>
      <c r="J166" s="272">
        <v>0</v>
      </c>
      <c r="K166" s="272">
        <v>521936</v>
      </c>
      <c r="L166" s="272">
        <v>0</v>
      </c>
      <c r="M166" s="271">
        <v>0</v>
      </c>
      <c r="N166" s="271">
        <v>0</v>
      </c>
      <c r="O166" s="271">
        <v>109606.56</v>
      </c>
      <c r="P166" s="271">
        <v>0</v>
      </c>
      <c r="Q166" s="271">
        <v>0</v>
      </c>
      <c r="R166" s="271">
        <v>0</v>
      </c>
      <c r="S166" s="271">
        <v>0</v>
      </c>
      <c r="T166" s="271">
        <v>0</v>
      </c>
      <c r="U166" s="271">
        <v>0</v>
      </c>
      <c r="V166" s="274">
        <v>631542.56000000006</v>
      </c>
      <c r="W166" s="271" t="s">
        <v>1351</v>
      </c>
      <c r="X166" s="238"/>
      <c r="Y166" s="274">
        <v>631542.56000000006</v>
      </c>
    </row>
    <row r="167" spans="1:25" ht="13.5" customHeight="1" x14ac:dyDescent="0.25">
      <c r="A167" s="265" t="s">
        <v>1316</v>
      </c>
      <c r="B167" s="265" t="s">
        <v>1670</v>
      </c>
      <c r="C167" s="266">
        <v>7</v>
      </c>
      <c r="D167" s="266">
        <v>23053</v>
      </c>
      <c r="E167" s="267" t="s">
        <v>1587</v>
      </c>
      <c r="F167" s="268">
        <v>30709214078</v>
      </c>
      <c r="G167" s="266"/>
      <c r="H167" s="267" t="s">
        <v>0</v>
      </c>
      <c r="I167" s="266">
        <v>30709214078</v>
      </c>
      <c r="J167" s="267"/>
      <c r="K167" s="267" t="s">
        <v>0</v>
      </c>
      <c r="L167" s="266">
        <v>30710473168</v>
      </c>
      <c r="M167" s="269">
        <v>1</v>
      </c>
      <c r="N167" s="269">
        <v>40572</v>
      </c>
      <c r="O167" s="269">
        <v>386400</v>
      </c>
      <c r="P167" s="265"/>
      <c r="Q167" s="265"/>
      <c r="R167" s="265"/>
      <c r="S167" s="265"/>
      <c r="T167" s="269">
        <v>386400</v>
      </c>
      <c r="U167" s="269">
        <v>0</v>
      </c>
      <c r="V167" s="269">
        <v>0</v>
      </c>
      <c r="W167" s="269">
        <v>0</v>
      </c>
      <c r="X167" s="269">
        <v>40572</v>
      </c>
      <c r="Y167" s="270">
        <v>426972</v>
      </c>
    </row>
    <row r="168" spans="1:25" ht="13.5" customHeight="1" x14ac:dyDescent="0.25">
      <c r="A168" s="271" t="s">
        <v>1316</v>
      </c>
      <c r="B168" s="271" t="s">
        <v>1316</v>
      </c>
      <c r="C168" s="272" t="s">
        <v>1316</v>
      </c>
      <c r="D168" s="272" t="s">
        <v>1586</v>
      </c>
      <c r="E168" s="272" t="s">
        <v>1587</v>
      </c>
      <c r="F168" s="273" t="s">
        <v>1588</v>
      </c>
      <c r="G168" s="272" t="s">
        <v>782</v>
      </c>
      <c r="H168" s="272">
        <v>0</v>
      </c>
      <c r="I168" s="272">
        <v>0</v>
      </c>
      <c r="J168" s="272">
        <v>386400</v>
      </c>
      <c r="K168" s="272">
        <v>0</v>
      </c>
      <c r="L168" s="272">
        <v>0</v>
      </c>
      <c r="M168" s="271">
        <v>0</v>
      </c>
      <c r="N168" s="271">
        <v>0</v>
      </c>
      <c r="O168" s="271">
        <v>40572</v>
      </c>
      <c r="P168" s="271">
        <v>0</v>
      </c>
      <c r="Q168" s="271">
        <v>0</v>
      </c>
      <c r="R168" s="271">
        <v>0</v>
      </c>
      <c r="S168" s="271">
        <v>0</v>
      </c>
      <c r="T168" s="271">
        <v>0</v>
      </c>
      <c r="U168" s="271">
        <v>0</v>
      </c>
      <c r="V168" s="274">
        <v>426972</v>
      </c>
      <c r="W168" s="271" t="s">
        <v>1351</v>
      </c>
      <c r="X168" s="238"/>
      <c r="Y168" s="274">
        <v>426972</v>
      </c>
    </row>
    <row r="169" spans="1:25" ht="13.5" customHeight="1" x14ac:dyDescent="0.25">
      <c r="A169" s="265" t="s">
        <v>1316</v>
      </c>
      <c r="B169" s="265" t="s">
        <v>1670</v>
      </c>
      <c r="C169" s="266">
        <v>24</v>
      </c>
      <c r="D169" s="266">
        <v>4197</v>
      </c>
      <c r="E169" s="267" t="s">
        <v>1579</v>
      </c>
      <c r="F169" s="268">
        <v>30709879258</v>
      </c>
      <c r="G169" s="266"/>
      <c r="H169" s="267" t="s">
        <v>0</v>
      </c>
      <c r="I169" s="266">
        <v>30709879258</v>
      </c>
      <c r="J169" s="267"/>
      <c r="K169" s="267" t="s">
        <v>0</v>
      </c>
      <c r="L169" s="266">
        <v>30710473168</v>
      </c>
      <c r="M169" s="269">
        <v>1</v>
      </c>
      <c r="N169" s="265"/>
      <c r="O169" s="265"/>
      <c r="P169" s="269">
        <v>10815</v>
      </c>
      <c r="Q169" s="269">
        <v>51500</v>
      </c>
      <c r="R169" s="265"/>
      <c r="S169" s="265"/>
      <c r="T169" s="269">
        <v>51500</v>
      </c>
      <c r="U169" s="269">
        <v>0</v>
      </c>
      <c r="V169" s="269">
        <v>0</v>
      </c>
      <c r="W169" s="269">
        <v>0</v>
      </c>
      <c r="X169" s="269">
        <v>10815</v>
      </c>
      <c r="Y169" s="270">
        <v>62315</v>
      </c>
    </row>
    <row r="170" spans="1:25" ht="13.5" customHeight="1" x14ac:dyDescent="0.25">
      <c r="A170" s="271" t="s">
        <v>1316</v>
      </c>
      <c r="B170" s="271" t="s">
        <v>1316</v>
      </c>
      <c r="C170" s="272" t="s">
        <v>1316</v>
      </c>
      <c r="D170" s="272" t="s">
        <v>1578</v>
      </c>
      <c r="E170" s="272" t="s">
        <v>1579</v>
      </c>
      <c r="F170" s="273" t="s">
        <v>1580</v>
      </c>
      <c r="G170" s="272" t="s">
        <v>782</v>
      </c>
      <c r="H170" s="272">
        <v>0</v>
      </c>
      <c r="I170" s="272">
        <v>0</v>
      </c>
      <c r="J170" s="272">
        <v>0</v>
      </c>
      <c r="K170" s="272">
        <v>51500</v>
      </c>
      <c r="L170" s="272">
        <v>0</v>
      </c>
      <c r="M170" s="271">
        <v>0</v>
      </c>
      <c r="N170" s="271">
        <v>0</v>
      </c>
      <c r="O170" s="271">
        <v>10815</v>
      </c>
      <c r="P170" s="271">
        <v>0</v>
      </c>
      <c r="Q170" s="271">
        <v>0</v>
      </c>
      <c r="R170" s="271">
        <v>0</v>
      </c>
      <c r="S170" s="271">
        <v>0</v>
      </c>
      <c r="T170" s="271">
        <v>0</v>
      </c>
      <c r="U170" s="271">
        <v>0</v>
      </c>
      <c r="V170" s="274">
        <v>62315</v>
      </c>
      <c r="W170" s="271" t="s">
        <v>1348</v>
      </c>
      <c r="X170" s="238"/>
      <c r="Y170" s="274">
        <v>62315</v>
      </c>
    </row>
    <row r="171" spans="1:25" ht="13.5" customHeight="1" x14ac:dyDescent="0.25">
      <c r="A171" s="265" t="s">
        <v>784</v>
      </c>
      <c r="B171" s="265" t="s">
        <v>1678</v>
      </c>
      <c r="C171" s="269">
        <v>6</v>
      </c>
      <c r="D171" s="269">
        <v>2618</v>
      </c>
      <c r="E171" s="265" t="s">
        <v>1704</v>
      </c>
      <c r="F171" s="296">
        <v>30710177658</v>
      </c>
      <c r="G171" s="269"/>
      <c r="H171" s="265" t="s">
        <v>0</v>
      </c>
      <c r="I171" s="269">
        <v>30710177658</v>
      </c>
      <c r="J171" s="265"/>
      <c r="K171" s="265" t="s">
        <v>0</v>
      </c>
      <c r="L171" s="269">
        <v>30710473168</v>
      </c>
      <c r="M171" s="269">
        <v>1438</v>
      </c>
      <c r="N171" s="265"/>
      <c r="O171" s="265"/>
      <c r="P171" s="269">
        <v>84</v>
      </c>
      <c r="Q171" s="269">
        <v>400</v>
      </c>
      <c r="R171" s="265"/>
      <c r="S171" s="265"/>
      <c r="T171" s="269">
        <v>400</v>
      </c>
      <c r="U171" s="269">
        <v>0</v>
      </c>
      <c r="V171" s="269">
        <v>0</v>
      </c>
      <c r="W171" s="269">
        <v>16</v>
      </c>
      <c r="X171" s="269">
        <v>84</v>
      </c>
      <c r="Y171" s="270">
        <v>500</v>
      </c>
    </row>
    <row r="172" spans="1:25" ht="13.5" customHeight="1" x14ac:dyDescent="0.25">
      <c r="A172" s="265" t="s">
        <v>1603</v>
      </c>
      <c r="B172" s="265" t="s">
        <v>1670</v>
      </c>
      <c r="C172" s="269">
        <v>6</v>
      </c>
      <c r="D172" s="269">
        <v>59851</v>
      </c>
      <c r="E172" s="265" t="s">
        <v>1704</v>
      </c>
      <c r="F172" s="296">
        <v>30710177658</v>
      </c>
      <c r="G172" s="269"/>
      <c r="H172" s="265" t="s">
        <v>0</v>
      </c>
      <c r="I172" s="269">
        <v>30710177658</v>
      </c>
      <c r="J172" s="265"/>
      <c r="K172" s="265" t="s">
        <v>0</v>
      </c>
      <c r="L172" s="269">
        <v>30710473168</v>
      </c>
      <c r="M172" s="269">
        <v>1450</v>
      </c>
      <c r="N172" s="265"/>
      <c r="O172" s="265"/>
      <c r="P172" s="265">
        <v>346.5</v>
      </c>
      <c r="Q172" s="269">
        <v>1650</v>
      </c>
      <c r="R172" s="265"/>
      <c r="S172" s="265"/>
      <c r="T172" s="269">
        <v>1650</v>
      </c>
      <c r="U172" s="269">
        <v>0</v>
      </c>
      <c r="V172" s="269">
        <v>0</v>
      </c>
      <c r="W172" s="269">
        <v>66</v>
      </c>
      <c r="X172" s="265">
        <v>346.5</v>
      </c>
      <c r="Y172" s="284">
        <v>2062.5</v>
      </c>
    </row>
    <row r="173" spans="1:25" ht="13.5" customHeight="1" x14ac:dyDescent="0.25">
      <c r="A173" s="271" t="s">
        <v>784</v>
      </c>
      <c r="B173" s="271" t="s">
        <v>784</v>
      </c>
      <c r="C173" s="271" t="s">
        <v>784</v>
      </c>
      <c r="D173" s="271" t="s">
        <v>1375</v>
      </c>
      <c r="E173" s="271" t="s">
        <v>490</v>
      </c>
      <c r="F173" s="307" t="s">
        <v>1376</v>
      </c>
      <c r="G173" s="271" t="s">
        <v>782</v>
      </c>
      <c r="H173" s="271">
        <v>0</v>
      </c>
      <c r="I173" s="271">
        <v>0</v>
      </c>
      <c r="J173" s="271">
        <v>0</v>
      </c>
      <c r="K173" s="271">
        <v>-576000</v>
      </c>
      <c r="L173" s="271">
        <v>0</v>
      </c>
      <c r="M173" s="271">
        <v>0</v>
      </c>
      <c r="N173" s="271">
        <v>0</v>
      </c>
      <c r="O173" s="271">
        <v>-120960</v>
      </c>
      <c r="P173" s="271">
        <v>0</v>
      </c>
      <c r="Q173" s="271">
        <v>0</v>
      </c>
      <c r="R173" s="271">
        <v>0</v>
      </c>
      <c r="S173" s="271">
        <v>0</v>
      </c>
      <c r="T173" s="271">
        <v>0</v>
      </c>
      <c r="U173" s="271">
        <v>0</v>
      </c>
      <c r="V173" s="274">
        <v>-696960</v>
      </c>
      <c r="W173" s="271" t="s">
        <v>1351</v>
      </c>
      <c r="X173" s="238"/>
      <c r="Y173" s="274">
        <v>-696960</v>
      </c>
    </row>
    <row r="174" spans="1:25" ht="13.5" customHeight="1" x14ac:dyDescent="0.25">
      <c r="A174" s="271" t="s">
        <v>1603</v>
      </c>
      <c r="B174" s="271" t="s">
        <v>1603</v>
      </c>
      <c r="C174" s="271" t="s">
        <v>1603</v>
      </c>
      <c r="D174" s="271" t="s">
        <v>1623</v>
      </c>
      <c r="E174" s="271" t="s">
        <v>490</v>
      </c>
      <c r="F174" s="307" t="s">
        <v>1376</v>
      </c>
      <c r="G174" s="271" t="s">
        <v>782</v>
      </c>
      <c r="H174" s="271">
        <v>0</v>
      </c>
      <c r="I174" s="271">
        <v>0</v>
      </c>
      <c r="J174" s="271">
        <v>0</v>
      </c>
      <c r="K174" s="271">
        <v>2433750</v>
      </c>
      <c r="L174" s="271">
        <v>0</v>
      </c>
      <c r="M174" s="271">
        <v>0</v>
      </c>
      <c r="N174" s="271">
        <v>0</v>
      </c>
      <c r="O174" s="271">
        <v>511087.5</v>
      </c>
      <c r="P174" s="271">
        <v>0</v>
      </c>
      <c r="Q174" s="271">
        <v>0</v>
      </c>
      <c r="R174" s="271">
        <v>0</v>
      </c>
      <c r="S174" s="271">
        <v>0</v>
      </c>
      <c r="T174" s="271">
        <v>0</v>
      </c>
      <c r="U174" s="271">
        <v>97350</v>
      </c>
      <c r="V174" s="274">
        <v>3042187.5</v>
      </c>
      <c r="W174" s="271" t="s">
        <v>1351</v>
      </c>
      <c r="X174" s="238"/>
      <c r="Y174" s="274">
        <v>3042187.5</v>
      </c>
    </row>
    <row r="175" spans="1:25" ht="13.5" customHeight="1" x14ac:dyDescent="0.25">
      <c r="A175" s="265" t="s">
        <v>1285</v>
      </c>
      <c r="B175" s="265" t="s">
        <v>1670</v>
      </c>
      <c r="C175" s="266">
        <v>11</v>
      </c>
      <c r="D175" s="266">
        <v>82065</v>
      </c>
      <c r="E175" s="267" t="s">
        <v>1575</v>
      </c>
      <c r="F175" s="268">
        <v>30711091552</v>
      </c>
      <c r="G175" s="266"/>
      <c r="H175" s="267" t="s">
        <v>0</v>
      </c>
      <c r="I175" s="266">
        <v>30711091552</v>
      </c>
      <c r="J175" s="267"/>
      <c r="K175" s="267" t="s">
        <v>0</v>
      </c>
      <c r="L175" s="266">
        <v>30710473168</v>
      </c>
      <c r="M175" s="269">
        <v>1</v>
      </c>
      <c r="N175" s="265"/>
      <c r="O175" s="265"/>
      <c r="P175" s="279">
        <v>34537.19</v>
      </c>
      <c r="Q175" s="279">
        <v>164462.81</v>
      </c>
      <c r="R175" s="265"/>
      <c r="S175" s="265"/>
      <c r="T175" s="279">
        <v>164462.81</v>
      </c>
      <c r="U175" s="269">
        <v>0</v>
      </c>
      <c r="V175" s="269">
        <v>0</v>
      </c>
      <c r="W175" s="269">
        <v>0</v>
      </c>
      <c r="X175" s="279">
        <v>34537.19</v>
      </c>
      <c r="Y175" s="270">
        <v>199000</v>
      </c>
    </row>
    <row r="176" spans="1:25" ht="13.5" customHeight="1" x14ac:dyDescent="0.25">
      <c r="A176" s="265" t="s">
        <v>1624</v>
      </c>
      <c r="B176" s="265" t="s">
        <v>1670</v>
      </c>
      <c r="C176" s="266">
        <v>11</v>
      </c>
      <c r="D176" s="266">
        <v>82421</v>
      </c>
      <c r="E176" s="267" t="s">
        <v>1575</v>
      </c>
      <c r="F176" s="268">
        <v>30711091552</v>
      </c>
      <c r="G176" s="266"/>
      <c r="H176" s="267" t="s">
        <v>0</v>
      </c>
      <c r="I176" s="266">
        <v>30711091552</v>
      </c>
      <c r="J176" s="267"/>
      <c r="K176" s="267" t="s">
        <v>0</v>
      </c>
      <c r="L176" s="266">
        <v>30710473168</v>
      </c>
      <c r="M176" s="269">
        <v>1</v>
      </c>
      <c r="N176" s="265"/>
      <c r="O176" s="265"/>
      <c r="P176" s="265">
        <v>16140.5</v>
      </c>
      <c r="Q176" s="279">
        <v>76859.509999999995</v>
      </c>
      <c r="R176" s="265"/>
      <c r="S176" s="265"/>
      <c r="T176" s="279">
        <v>76859.509999999995</v>
      </c>
      <c r="U176" s="269">
        <v>0</v>
      </c>
      <c r="V176" s="269">
        <v>0</v>
      </c>
      <c r="W176" s="269">
        <v>0</v>
      </c>
      <c r="X176" s="265">
        <v>16140.5</v>
      </c>
      <c r="Y176" s="280">
        <v>93000.01</v>
      </c>
    </row>
    <row r="177" spans="1:25" ht="13.5" customHeight="1" x14ac:dyDescent="0.25">
      <c r="A177" s="285">
        <v>45990</v>
      </c>
      <c r="B177" s="285">
        <v>45990</v>
      </c>
      <c r="C177" s="286">
        <v>45990</v>
      </c>
      <c r="D177" s="287" t="s">
        <v>1625</v>
      </c>
      <c r="E177" s="287" t="s">
        <v>1575</v>
      </c>
      <c r="F177" s="288">
        <v>30711091552</v>
      </c>
      <c r="G177" s="287" t="s">
        <v>782</v>
      </c>
      <c r="H177" s="287">
        <v>0</v>
      </c>
      <c r="I177" s="287">
        <v>0</v>
      </c>
      <c r="J177" s="287">
        <v>0</v>
      </c>
      <c r="K177" s="287">
        <v>76859.509999999995</v>
      </c>
      <c r="L177" s="287">
        <v>0</v>
      </c>
      <c r="M177" s="289">
        <v>0</v>
      </c>
      <c r="N177" s="289">
        <v>0</v>
      </c>
      <c r="O177" s="289">
        <v>16140.5</v>
      </c>
      <c r="P177" s="289">
        <v>0</v>
      </c>
      <c r="Q177" s="289">
        <v>0</v>
      </c>
      <c r="R177" s="289">
        <v>0</v>
      </c>
      <c r="S177" s="289">
        <v>0</v>
      </c>
      <c r="T177" s="289">
        <v>0</v>
      </c>
      <c r="U177" s="289">
        <v>0</v>
      </c>
      <c r="V177" s="290">
        <v>93000.01</v>
      </c>
      <c r="W177" s="289" t="s">
        <v>1351</v>
      </c>
      <c r="X177" s="291"/>
      <c r="Y177" s="290">
        <v>93000.01</v>
      </c>
    </row>
    <row r="178" spans="1:25" ht="13.5" customHeight="1" x14ac:dyDescent="0.25">
      <c r="A178" s="285">
        <v>45986</v>
      </c>
      <c r="B178" s="285">
        <v>45986</v>
      </c>
      <c r="C178" s="286">
        <v>45986</v>
      </c>
      <c r="D178" s="287" t="s">
        <v>1574</v>
      </c>
      <c r="E178" s="287" t="s">
        <v>1575</v>
      </c>
      <c r="F178" s="288">
        <v>30711091552</v>
      </c>
      <c r="G178" s="287" t="s">
        <v>782</v>
      </c>
      <c r="H178" s="287">
        <v>0</v>
      </c>
      <c r="I178" s="287">
        <v>0</v>
      </c>
      <c r="J178" s="287">
        <v>0</v>
      </c>
      <c r="K178" s="287">
        <v>164462.81</v>
      </c>
      <c r="L178" s="287">
        <v>0</v>
      </c>
      <c r="M178" s="289">
        <v>0</v>
      </c>
      <c r="N178" s="289">
        <v>0</v>
      </c>
      <c r="O178" s="289">
        <v>34537.19</v>
      </c>
      <c r="P178" s="289">
        <v>0</v>
      </c>
      <c r="Q178" s="289">
        <v>0</v>
      </c>
      <c r="R178" s="289">
        <v>0</v>
      </c>
      <c r="S178" s="289">
        <v>0</v>
      </c>
      <c r="T178" s="289">
        <v>0</v>
      </c>
      <c r="U178" s="289">
        <v>0</v>
      </c>
      <c r="V178" s="290">
        <v>199000</v>
      </c>
      <c r="W178" s="289" t="s">
        <v>1351</v>
      </c>
      <c r="X178" s="291"/>
      <c r="Y178" s="290">
        <v>199000</v>
      </c>
    </row>
    <row r="179" spans="1:25" ht="13.5" customHeight="1" x14ac:dyDescent="0.25">
      <c r="A179" s="265" t="s">
        <v>934</v>
      </c>
      <c r="B179" s="265" t="s">
        <v>1670</v>
      </c>
      <c r="C179" s="266">
        <v>3</v>
      </c>
      <c r="D179" s="266">
        <v>52712</v>
      </c>
      <c r="E179" s="267" t="s">
        <v>1421</v>
      </c>
      <c r="F179" s="268">
        <v>30711454388</v>
      </c>
      <c r="G179" s="266"/>
      <c r="H179" s="267" t="s">
        <v>0</v>
      </c>
      <c r="I179" s="266">
        <v>30711454388</v>
      </c>
      <c r="J179" s="267"/>
      <c r="K179" s="267" t="s">
        <v>0</v>
      </c>
      <c r="L179" s="266">
        <v>30710473168</v>
      </c>
      <c r="M179" s="269">
        <v>1</v>
      </c>
      <c r="N179" s="265"/>
      <c r="O179" s="265"/>
      <c r="P179" s="279">
        <v>41530.86</v>
      </c>
      <c r="Q179" s="269">
        <v>197766</v>
      </c>
      <c r="R179" s="265"/>
      <c r="S179" s="265"/>
      <c r="T179" s="269">
        <v>197766</v>
      </c>
      <c r="U179" s="269">
        <v>0</v>
      </c>
      <c r="V179" s="269">
        <v>0</v>
      </c>
      <c r="W179" s="269">
        <v>0</v>
      </c>
      <c r="X179" s="279">
        <v>41530.86</v>
      </c>
      <c r="Y179" s="280">
        <v>239296.86</v>
      </c>
    </row>
    <row r="180" spans="1:25" ht="13.5" customHeight="1" x14ac:dyDescent="0.25">
      <c r="A180" s="271" t="s">
        <v>934</v>
      </c>
      <c r="B180" s="271" t="s">
        <v>934</v>
      </c>
      <c r="C180" s="272" t="s">
        <v>934</v>
      </c>
      <c r="D180" s="272" t="s">
        <v>1420</v>
      </c>
      <c r="E180" s="272" t="s">
        <v>1421</v>
      </c>
      <c r="F180" s="273" t="s">
        <v>1422</v>
      </c>
      <c r="G180" s="272" t="s">
        <v>782</v>
      </c>
      <c r="H180" s="272">
        <v>0</v>
      </c>
      <c r="I180" s="272">
        <v>0</v>
      </c>
      <c r="J180" s="272">
        <v>0</v>
      </c>
      <c r="K180" s="272">
        <v>197766</v>
      </c>
      <c r="L180" s="272">
        <v>0</v>
      </c>
      <c r="M180" s="271">
        <v>0</v>
      </c>
      <c r="N180" s="271">
        <v>0</v>
      </c>
      <c r="O180" s="271">
        <v>41530.86</v>
      </c>
      <c r="P180" s="271">
        <v>0</v>
      </c>
      <c r="Q180" s="271">
        <v>0</v>
      </c>
      <c r="R180" s="271">
        <v>0</v>
      </c>
      <c r="S180" s="271">
        <v>0</v>
      </c>
      <c r="T180" s="271">
        <v>0</v>
      </c>
      <c r="U180" s="271">
        <v>0</v>
      </c>
      <c r="V180" s="274">
        <v>239296.86</v>
      </c>
      <c r="W180" s="271" t="s">
        <v>1351</v>
      </c>
      <c r="X180" s="238"/>
      <c r="Y180" s="274">
        <v>239296.86</v>
      </c>
    </row>
    <row r="181" spans="1:25" ht="13.5" customHeight="1" x14ac:dyDescent="0.25">
      <c r="A181" s="265" t="s">
        <v>955</v>
      </c>
      <c r="B181" s="265" t="s">
        <v>1670</v>
      </c>
      <c r="C181" s="266">
        <v>6</v>
      </c>
      <c r="D181" s="266">
        <v>97911</v>
      </c>
      <c r="E181" s="267" t="s">
        <v>452</v>
      </c>
      <c r="F181" s="268">
        <v>30711553564</v>
      </c>
      <c r="G181" s="266"/>
      <c r="H181" s="267" t="s">
        <v>0</v>
      </c>
      <c r="I181" s="266">
        <v>30711553564</v>
      </c>
      <c r="J181" s="267"/>
      <c r="K181" s="267" t="s">
        <v>0</v>
      </c>
      <c r="L181" s="266">
        <v>30710473168</v>
      </c>
      <c r="M181" s="269">
        <v>1</v>
      </c>
      <c r="N181" s="265"/>
      <c r="O181" s="265"/>
      <c r="P181" s="279">
        <v>215511.66</v>
      </c>
      <c r="Q181" s="269">
        <v>1026246</v>
      </c>
      <c r="R181" s="265"/>
      <c r="S181" s="265"/>
      <c r="T181" s="269">
        <v>1026246</v>
      </c>
      <c r="U181" s="269">
        <v>0</v>
      </c>
      <c r="V181" s="269">
        <v>0</v>
      </c>
      <c r="W181" s="269">
        <v>0</v>
      </c>
      <c r="X181" s="279">
        <v>215511.66</v>
      </c>
      <c r="Y181" s="280">
        <v>1241757.6599999999</v>
      </c>
    </row>
    <row r="182" spans="1:25" ht="13.5" customHeight="1" x14ac:dyDescent="0.25">
      <c r="A182" s="265" t="s">
        <v>955</v>
      </c>
      <c r="B182" s="265" t="s">
        <v>1670</v>
      </c>
      <c r="C182" s="266">
        <v>6</v>
      </c>
      <c r="D182" s="266">
        <v>97918</v>
      </c>
      <c r="E182" s="267" t="s">
        <v>452</v>
      </c>
      <c r="F182" s="268">
        <v>30711553564</v>
      </c>
      <c r="G182" s="266"/>
      <c r="H182" s="267" t="s">
        <v>0</v>
      </c>
      <c r="I182" s="266">
        <v>30711553564</v>
      </c>
      <c r="J182" s="267"/>
      <c r="K182" s="267" t="s">
        <v>0</v>
      </c>
      <c r="L182" s="266">
        <v>30710473168</v>
      </c>
      <c r="M182" s="269">
        <v>1</v>
      </c>
      <c r="N182" s="265"/>
      <c r="O182" s="265"/>
      <c r="P182" s="279">
        <v>29834.28</v>
      </c>
      <c r="Q182" s="269">
        <v>142068</v>
      </c>
      <c r="R182" s="265"/>
      <c r="S182" s="265"/>
      <c r="T182" s="269">
        <v>142068</v>
      </c>
      <c r="U182" s="269">
        <v>0</v>
      </c>
      <c r="V182" s="269">
        <v>0</v>
      </c>
      <c r="W182" s="269">
        <v>0</v>
      </c>
      <c r="X182" s="279">
        <v>29834.28</v>
      </c>
      <c r="Y182" s="280">
        <v>171902.28</v>
      </c>
    </row>
    <row r="183" spans="1:25" ht="13.5" customHeight="1" x14ac:dyDescent="0.25">
      <c r="A183" s="265" t="s">
        <v>955</v>
      </c>
      <c r="B183" s="265" t="s">
        <v>1678</v>
      </c>
      <c r="C183" s="266">
        <v>6</v>
      </c>
      <c r="D183" s="266">
        <v>14300</v>
      </c>
      <c r="E183" s="267" t="s">
        <v>452</v>
      </c>
      <c r="F183" s="268">
        <v>30711553564</v>
      </c>
      <c r="G183" s="266"/>
      <c r="H183" s="267" t="s">
        <v>0</v>
      </c>
      <c r="I183" s="266">
        <v>30711553564</v>
      </c>
      <c r="J183" s="267"/>
      <c r="K183" s="267" t="s">
        <v>0</v>
      </c>
      <c r="L183" s="266">
        <v>30710473168</v>
      </c>
      <c r="M183" s="269">
        <v>1</v>
      </c>
      <c r="N183" s="265"/>
      <c r="O183" s="265"/>
      <c r="P183" s="279">
        <v>38637.480000000003</v>
      </c>
      <c r="Q183" s="269">
        <v>183988</v>
      </c>
      <c r="R183" s="265"/>
      <c r="S183" s="265"/>
      <c r="T183" s="269">
        <v>183988</v>
      </c>
      <c r="U183" s="269">
        <v>0</v>
      </c>
      <c r="V183" s="269">
        <v>0</v>
      </c>
      <c r="W183" s="269">
        <v>0</v>
      </c>
      <c r="X183" s="279">
        <v>38637.480000000003</v>
      </c>
      <c r="Y183" s="280">
        <v>222625.48</v>
      </c>
    </row>
    <row r="184" spans="1:25" ht="13.5" customHeight="1" x14ac:dyDescent="0.25">
      <c r="A184" s="265" t="s">
        <v>1126</v>
      </c>
      <c r="B184" s="265" t="s">
        <v>1670</v>
      </c>
      <c r="C184" s="266">
        <v>6</v>
      </c>
      <c r="D184" s="266">
        <v>98089</v>
      </c>
      <c r="E184" s="267" t="s">
        <v>452</v>
      </c>
      <c r="F184" s="268">
        <v>30711553564</v>
      </c>
      <c r="G184" s="266"/>
      <c r="H184" s="267" t="s">
        <v>0</v>
      </c>
      <c r="I184" s="266">
        <v>30711553564</v>
      </c>
      <c r="J184" s="267"/>
      <c r="K184" s="267" t="s">
        <v>0</v>
      </c>
      <c r="L184" s="266">
        <v>30710473168</v>
      </c>
      <c r="M184" s="269">
        <v>1</v>
      </c>
      <c r="N184" s="265"/>
      <c r="O184" s="265"/>
      <c r="P184" s="279">
        <v>18729.48</v>
      </c>
      <c r="Q184" s="269">
        <v>89188</v>
      </c>
      <c r="R184" s="265"/>
      <c r="S184" s="265"/>
      <c r="T184" s="269">
        <v>89188</v>
      </c>
      <c r="U184" s="269">
        <v>0</v>
      </c>
      <c r="V184" s="269">
        <v>0</v>
      </c>
      <c r="W184" s="269">
        <v>0</v>
      </c>
      <c r="X184" s="279">
        <v>18729.48</v>
      </c>
      <c r="Y184" s="280">
        <v>107917.48</v>
      </c>
    </row>
    <row r="185" spans="1:25" ht="13.5" customHeight="1" x14ac:dyDescent="0.25">
      <c r="A185" s="265" t="s">
        <v>1164</v>
      </c>
      <c r="B185" s="265" t="s">
        <v>1670</v>
      </c>
      <c r="C185" s="266">
        <v>6</v>
      </c>
      <c r="D185" s="266">
        <v>98164</v>
      </c>
      <c r="E185" s="267" t="s">
        <v>452</v>
      </c>
      <c r="F185" s="268">
        <v>30711553564</v>
      </c>
      <c r="G185" s="266"/>
      <c r="H185" s="267" t="s">
        <v>0</v>
      </c>
      <c r="I185" s="266">
        <v>30711553564</v>
      </c>
      <c r="J185" s="267"/>
      <c r="K185" s="267" t="s">
        <v>0</v>
      </c>
      <c r="L185" s="266">
        <v>30710473168</v>
      </c>
      <c r="M185" s="269">
        <v>1</v>
      </c>
      <c r="N185" s="265"/>
      <c r="O185" s="265"/>
      <c r="P185" s="279">
        <v>69797.279999999999</v>
      </c>
      <c r="Q185" s="269">
        <v>332368</v>
      </c>
      <c r="R185" s="265"/>
      <c r="S185" s="265"/>
      <c r="T185" s="269">
        <v>332368</v>
      </c>
      <c r="U185" s="269">
        <v>0</v>
      </c>
      <c r="V185" s="269">
        <v>0</v>
      </c>
      <c r="W185" s="269">
        <v>0</v>
      </c>
      <c r="X185" s="279">
        <v>69797.279999999999</v>
      </c>
      <c r="Y185" s="280">
        <v>402165.28</v>
      </c>
    </row>
    <row r="186" spans="1:25" ht="13.5" customHeight="1" x14ac:dyDescent="0.25">
      <c r="A186" s="265" t="s">
        <v>1164</v>
      </c>
      <c r="B186" s="265" t="s">
        <v>1670</v>
      </c>
      <c r="C186" s="266">
        <v>6</v>
      </c>
      <c r="D186" s="266">
        <v>98186</v>
      </c>
      <c r="E186" s="267" t="s">
        <v>452</v>
      </c>
      <c r="F186" s="268">
        <v>30711553564</v>
      </c>
      <c r="G186" s="266"/>
      <c r="H186" s="267" t="s">
        <v>0</v>
      </c>
      <c r="I186" s="266">
        <v>30711553564</v>
      </c>
      <c r="J186" s="267"/>
      <c r="K186" s="267" t="s">
        <v>0</v>
      </c>
      <c r="L186" s="266">
        <v>30710473168</v>
      </c>
      <c r="M186" s="269">
        <v>1</v>
      </c>
      <c r="N186" s="265"/>
      <c r="O186" s="265"/>
      <c r="P186" s="279">
        <v>28978.11</v>
      </c>
      <c r="Q186" s="269">
        <v>137991</v>
      </c>
      <c r="R186" s="265"/>
      <c r="S186" s="265"/>
      <c r="T186" s="269">
        <v>137991</v>
      </c>
      <c r="U186" s="269">
        <v>0</v>
      </c>
      <c r="V186" s="269">
        <v>0</v>
      </c>
      <c r="W186" s="269">
        <v>0</v>
      </c>
      <c r="X186" s="279">
        <v>28978.11</v>
      </c>
      <c r="Y186" s="280">
        <v>166969.10999999999</v>
      </c>
    </row>
    <row r="187" spans="1:25" ht="13.5" customHeight="1" x14ac:dyDescent="0.25">
      <c r="A187" s="271" t="s">
        <v>955</v>
      </c>
      <c r="B187" s="271" t="s">
        <v>955</v>
      </c>
      <c r="C187" s="308" t="s">
        <v>955</v>
      </c>
      <c r="D187" s="272" t="s">
        <v>1454</v>
      </c>
      <c r="E187" s="272" t="s">
        <v>452</v>
      </c>
      <c r="F187" s="273" t="s">
        <v>1442</v>
      </c>
      <c r="G187" s="272" t="s">
        <v>782</v>
      </c>
      <c r="H187" s="272">
        <v>0</v>
      </c>
      <c r="I187" s="272">
        <v>0</v>
      </c>
      <c r="J187" s="272">
        <v>0</v>
      </c>
      <c r="K187" s="272">
        <v>-183988</v>
      </c>
      <c r="L187" s="272">
        <v>0</v>
      </c>
      <c r="M187" s="271">
        <v>0</v>
      </c>
      <c r="N187" s="271">
        <v>0</v>
      </c>
      <c r="O187" s="271">
        <v>-38637.480000000003</v>
      </c>
      <c r="P187" s="271">
        <v>0</v>
      </c>
      <c r="Q187" s="271">
        <v>0</v>
      </c>
      <c r="R187" s="271">
        <v>0</v>
      </c>
      <c r="S187" s="271">
        <v>0</v>
      </c>
      <c r="T187" s="271">
        <v>0</v>
      </c>
      <c r="U187" s="271">
        <v>0</v>
      </c>
      <c r="V187" s="274">
        <v>-222625.48</v>
      </c>
      <c r="W187" s="271" t="s">
        <v>1351</v>
      </c>
      <c r="X187" s="238"/>
      <c r="Y187" s="274">
        <v>-222625.48</v>
      </c>
    </row>
    <row r="188" spans="1:25" ht="13.5" customHeight="1" x14ac:dyDescent="0.25">
      <c r="A188" s="271" t="s">
        <v>955</v>
      </c>
      <c r="B188" s="271" t="s">
        <v>955</v>
      </c>
      <c r="C188" s="298">
        <v>45971</v>
      </c>
      <c r="D188" s="272" t="s">
        <v>1441</v>
      </c>
      <c r="E188" s="272" t="s">
        <v>452</v>
      </c>
      <c r="F188" s="273" t="s">
        <v>1442</v>
      </c>
      <c r="G188" s="272" t="s">
        <v>782</v>
      </c>
      <c r="H188" s="272">
        <v>0</v>
      </c>
      <c r="I188" s="272">
        <v>0</v>
      </c>
      <c r="J188" s="272">
        <v>0</v>
      </c>
      <c r="K188" s="272">
        <v>142068</v>
      </c>
      <c r="L188" s="272">
        <v>0</v>
      </c>
      <c r="M188" s="271">
        <v>0</v>
      </c>
      <c r="N188" s="271">
        <v>0</v>
      </c>
      <c r="O188" s="271">
        <v>29834.28</v>
      </c>
      <c r="P188" s="271">
        <v>0</v>
      </c>
      <c r="Q188" s="271">
        <v>0</v>
      </c>
      <c r="R188" s="271">
        <v>0</v>
      </c>
      <c r="S188" s="271">
        <v>0</v>
      </c>
      <c r="T188" s="271">
        <v>0</v>
      </c>
      <c r="U188" s="271">
        <v>0</v>
      </c>
      <c r="V188" s="274">
        <v>171902.28</v>
      </c>
      <c r="W188" s="271" t="s">
        <v>1351</v>
      </c>
      <c r="X188" s="238"/>
      <c r="Y188" s="274">
        <v>171902.28</v>
      </c>
    </row>
    <row r="189" spans="1:25" ht="13.5" customHeight="1" x14ac:dyDescent="0.25">
      <c r="A189" s="271" t="s">
        <v>955</v>
      </c>
      <c r="B189" s="271" t="s">
        <v>955</v>
      </c>
      <c r="C189" s="298">
        <v>45971</v>
      </c>
      <c r="D189" s="272" t="s">
        <v>1443</v>
      </c>
      <c r="E189" s="272" t="s">
        <v>452</v>
      </c>
      <c r="F189" s="273" t="s">
        <v>1442</v>
      </c>
      <c r="G189" s="272" t="s">
        <v>782</v>
      </c>
      <c r="H189" s="272">
        <v>0</v>
      </c>
      <c r="I189" s="272">
        <v>0</v>
      </c>
      <c r="J189" s="272">
        <v>0</v>
      </c>
      <c r="K189" s="272">
        <v>1026246</v>
      </c>
      <c r="L189" s="272">
        <v>0</v>
      </c>
      <c r="M189" s="271">
        <v>0</v>
      </c>
      <c r="N189" s="271">
        <v>0</v>
      </c>
      <c r="O189" s="271">
        <v>215511.66</v>
      </c>
      <c r="P189" s="271">
        <v>0</v>
      </c>
      <c r="Q189" s="271">
        <v>0</v>
      </c>
      <c r="R189" s="271">
        <v>0</v>
      </c>
      <c r="S189" s="271">
        <v>0</v>
      </c>
      <c r="T189" s="271">
        <v>0</v>
      </c>
      <c r="U189" s="271">
        <v>0</v>
      </c>
      <c r="V189" s="274">
        <v>1241757.6599999999</v>
      </c>
      <c r="W189" s="271" t="s">
        <v>1351</v>
      </c>
      <c r="X189" s="238"/>
      <c r="Y189" s="274">
        <v>1241757.6599999999</v>
      </c>
    </row>
    <row r="190" spans="1:25" ht="13.5" customHeight="1" x14ac:dyDescent="0.25">
      <c r="A190" s="271" t="s">
        <v>1164</v>
      </c>
      <c r="B190" s="271" t="s">
        <v>1164</v>
      </c>
      <c r="C190" s="298">
        <v>45978</v>
      </c>
      <c r="D190" s="272" t="s">
        <v>1520</v>
      </c>
      <c r="E190" s="272" t="s">
        <v>452</v>
      </c>
      <c r="F190" s="273" t="s">
        <v>1442</v>
      </c>
      <c r="G190" s="272" t="s">
        <v>782</v>
      </c>
      <c r="H190" s="272">
        <v>0</v>
      </c>
      <c r="I190" s="272">
        <v>0</v>
      </c>
      <c r="J190" s="272">
        <v>0</v>
      </c>
      <c r="K190" s="272">
        <v>137991</v>
      </c>
      <c r="L190" s="272">
        <v>0</v>
      </c>
      <c r="M190" s="271">
        <v>0</v>
      </c>
      <c r="N190" s="271">
        <v>0</v>
      </c>
      <c r="O190" s="271">
        <v>28978.11</v>
      </c>
      <c r="P190" s="271">
        <v>0</v>
      </c>
      <c r="Q190" s="271">
        <v>0</v>
      </c>
      <c r="R190" s="271">
        <v>0</v>
      </c>
      <c r="S190" s="271">
        <v>0</v>
      </c>
      <c r="T190" s="271">
        <v>0</v>
      </c>
      <c r="U190" s="271">
        <v>0</v>
      </c>
      <c r="V190" s="274">
        <v>166969.10999999999</v>
      </c>
      <c r="W190" s="271" t="s">
        <v>1351</v>
      </c>
      <c r="X190" s="238"/>
      <c r="Y190" s="274">
        <v>166969.10999999999</v>
      </c>
    </row>
    <row r="191" spans="1:25" ht="13.5" customHeight="1" x14ac:dyDescent="0.25">
      <c r="A191" s="271" t="s">
        <v>1164</v>
      </c>
      <c r="B191" s="271" t="s">
        <v>1164</v>
      </c>
      <c r="C191" s="298">
        <v>45978</v>
      </c>
      <c r="D191" s="272" t="s">
        <v>1521</v>
      </c>
      <c r="E191" s="272" t="s">
        <v>452</v>
      </c>
      <c r="F191" s="273" t="s">
        <v>1442</v>
      </c>
      <c r="G191" s="272" t="s">
        <v>782</v>
      </c>
      <c r="H191" s="272">
        <v>0</v>
      </c>
      <c r="I191" s="272">
        <v>0</v>
      </c>
      <c r="J191" s="272">
        <v>0</v>
      </c>
      <c r="K191" s="272">
        <v>332368</v>
      </c>
      <c r="L191" s="272">
        <v>0</v>
      </c>
      <c r="M191" s="271">
        <v>0</v>
      </c>
      <c r="N191" s="271">
        <v>0</v>
      </c>
      <c r="O191" s="271">
        <v>69797.279999999999</v>
      </c>
      <c r="P191" s="271">
        <v>0</v>
      </c>
      <c r="Q191" s="271">
        <v>0</v>
      </c>
      <c r="R191" s="271">
        <v>0</v>
      </c>
      <c r="S191" s="271">
        <v>0</v>
      </c>
      <c r="T191" s="271">
        <v>0</v>
      </c>
      <c r="U191" s="271">
        <v>0</v>
      </c>
      <c r="V191" s="274">
        <v>402165.28</v>
      </c>
      <c r="W191" s="271" t="s">
        <v>1351</v>
      </c>
      <c r="X191" s="238"/>
      <c r="Y191" s="274">
        <v>402165.28</v>
      </c>
    </row>
    <row r="192" spans="1:25" ht="13.5" customHeight="1" x14ac:dyDescent="0.25">
      <c r="A192" s="271" t="s">
        <v>1126</v>
      </c>
      <c r="B192" s="271" t="s">
        <v>1126</v>
      </c>
      <c r="C192" s="298">
        <v>45975</v>
      </c>
      <c r="D192" s="272" t="s">
        <v>1496</v>
      </c>
      <c r="E192" s="272" t="s">
        <v>452</v>
      </c>
      <c r="F192" s="273" t="s">
        <v>1442</v>
      </c>
      <c r="G192" s="272" t="s">
        <v>782</v>
      </c>
      <c r="H192" s="272">
        <v>0</v>
      </c>
      <c r="I192" s="272">
        <v>0</v>
      </c>
      <c r="J192" s="272">
        <v>0</v>
      </c>
      <c r="K192" s="272">
        <v>89188</v>
      </c>
      <c r="L192" s="272">
        <v>0</v>
      </c>
      <c r="M192" s="271">
        <v>0</v>
      </c>
      <c r="N192" s="271">
        <v>0</v>
      </c>
      <c r="O192" s="271">
        <v>18729.48</v>
      </c>
      <c r="P192" s="271">
        <v>0</v>
      </c>
      <c r="Q192" s="271">
        <v>0</v>
      </c>
      <c r="R192" s="271">
        <v>0</v>
      </c>
      <c r="S192" s="271">
        <v>0</v>
      </c>
      <c r="T192" s="271">
        <v>0</v>
      </c>
      <c r="U192" s="271">
        <v>0</v>
      </c>
      <c r="V192" s="274">
        <v>107917.48</v>
      </c>
      <c r="W192" s="271" t="s">
        <v>1351</v>
      </c>
      <c r="X192" s="238"/>
      <c r="Y192" s="274">
        <v>107917.48</v>
      </c>
    </row>
    <row r="193" spans="1:25" ht="13.5" customHeight="1" x14ac:dyDescent="0.25">
      <c r="A193" s="265" t="s">
        <v>1098</v>
      </c>
      <c r="B193" s="265" t="s">
        <v>1670</v>
      </c>
      <c r="C193" s="266">
        <v>17</v>
      </c>
      <c r="D193" s="266">
        <v>3517</v>
      </c>
      <c r="E193" s="267" t="s">
        <v>1482</v>
      </c>
      <c r="F193" s="268">
        <v>30711764921</v>
      </c>
      <c r="G193" s="266"/>
      <c r="H193" s="267" t="s">
        <v>0</v>
      </c>
      <c r="I193" s="266">
        <v>30711764921</v>
      </c>
      <c r="J193" s="267"/>
      <c r="K193" s="267" t="s">
        <v>0</v>
      </c>
      <c r="L193" s="266">
        <v>30710473168</v>
      </c>
      <c r="M193" s="269">
        <v>1</v>
      </c>
      <c r="N193" s="265"/>
      <c r="O193" s="265"/>
      <c r="P193" s="279">
        <v>109764.69</v>
      </c>
      <c r="Q193" s="269">
        <v>522689</v>
      </c>
      <c r="R193" s="265"/>
      <c r="S193" s="265"/>
      <c r="T193" s="269">
        <v>522689</v>
      </c>
      <c r="U193" s="269">
        <v>0</v>
      </c>
      <c r="V193" s="269">
        <v>0</v>
      </c>
      <c r="W193" s="269">
        <v>0</v>
      </c>
      <c r="X193" s="279">
        <v>109764.69</v>
      </c>
      <c r="Y193" s="280">
        <v>632453.68999999994</v>
      </c>
    </row>
    <row r="194" spans="1:25" ht="13.5" customHeight="1" x14ac:dyDescent="0.25">
      <c r="A194" s="265" t="s">
        <v>1191</v>
      </c>
      <c r="B194" s="265" t="s">
        <v>1670</v>
      </c>
      <c r="C194" s="266">
        <v>17</v>
      </c>
      <c r="D194" s="266">
        <v>3525</v>
      </c>
      <c r="E194" s="267" t="s">
        <v>1482</v>
      </c>
      <c r="F194" s="268">
        <v>30711764921</v>
      </c>
      <c r="G194" s="266"/>
      <c r="H194" s="267" t="s">
        <v>0</v>
      </c>
      <c r="I194" s="266">
        <v>30711764921</v>
      </c>
      <c r="J194" s="267"/>
      <c r="K194" s="267" t="s">
        <v>0</v>
      </c>
      <c r="L194" s="266">
        <v>30710473168</v>
      </c>
      <c r="M194" s="269">
        <v>1</v>
      </c>
      <c r="N194" s="265"/>
      <c r="O194" s="265"/>
      <c r="P194" s="279">
        <v>53248.86</v>
      </c>
      <c r="Q194" s="269">
        <v>253566</v>
      </c>
      <c r="R194" s="265"/>
      <c r="S194" s="265"/>
      <c r="T194" s="269">
        <v>253566</v>
      </c>
      <c r="U194" s="269">
        <v>0</v>
      </c>
      <c r="V194" s="269">
        <v>0</v>
      </c>
      <c r="W194" s="269">
        <v>0</v>
      </c>
      <c r="X194" s="279">
        <v>53248.86</v>
      </c>
      <c r="Y194" s="280">
        <v>306814.86</v>
      </c>
    </row>
    <row r="195" spans="1:25" ht="13.5" customHeight="1" x14ac:dyDescent="0.25">
      <c r="A195" s="265" t="s">
        <v>1589</v>
      </c>
      <c r="B195" s="265" t="s">
        <v>1670</v>
      </c>
      <c r="C195" s="266">
        <v>17</v>
      </c>
      <c r="D195" s="266">
        <v>3552</v>
      </c>
      <c r="E195" s="267" t="s">
        <v>1482</v>
      </c>
      <c r="F195" s="268">
        <v>30711764921</v>
      </c>
      <c r="G195" s="266"/>
      <c r="H195" s="267" t="s">
        <v>0</v>
      </c>
      <c r="I195" s="266">
        <v>30711764921</v>
      </c>
      <c r="J195" s="267"/>
      <c r="K195" s="267" t="s">
        <v>0</v>
      </c>
      <c r="L195" s="266">
        <v>30710473168</v>
      </c>
      <c r="M195" s="269">
        <v>1</v>
      </c>
      <c r="N195" s="265"/>
      <c r="O195" s="265"/>
      <c r="P195" s="279">
        <v>45829.14</v>
      </c>
      <c r="Q195" s="269">
        <v>218234</v>
      </c>
      <c r="R195" s="265"/>
      <c r="S195" s="265"/>
      <c r="T195" s="269">
        <v>218234</v>
      </c>
      <c r="U195" s="269">
        <v>0</v>
      </c>
      <c r="V195" s="269">
        <v>0</v>
      </c>
      <c r="W195" s="269">
        <v>0</v>
      </c>
      <c r="X195" s="279">
        <v>45829.14</v>
      </c>
      <c r="Y195" s="280">
        <v>264063.14</v>
      </c>
    </row>
    <row r="196" spans="1:25" ht="13.5" customHeight="1" x14ac:dyDescent="0.25">
      <c r="A196" s="271" t="s">
        <v>1098</v>
      </c>
      <c r="B196" s="271" t="s">
        <v>1098</v>
      </c>
      <c r="C196" s="281">
        <v>45974</v>
      </c>
      <c r="D196" s="272" t="s">
        <v>1481</v>
      </c>
      <c r="E196" s="272" t="s">
        <v>1482</v>
      </c>
      <c r="F196" s="273" t="s">
        <v>1483</v>
      </c>
      <c r="G196" s="272" t="s">
        <v>782</v>
      </c>
      <c r="H196" s="272">
        <v>0</v>
      </c>
      <c r="I196" s="272">
        <v>0</v>
      </c>
      <c r="J196" s="272">
        <v>0</v>
      </c>
      <c r="K196" s="272">
        <v>522689</v>
      </c>
      <c r="L196" s="272">
        <v>0</v>
      </c>
      <c r="M196" s="271">
        <v>0</v>
      </c>
      <c r="N196" s="271">
        <v>0</v>
      </c>
      <c r="O196" s="271">
        <v>109764.69</v>
      </c>
      <c r="P196" s="271">
        <v>0</v>
      </c>
      <c r="Q196" s="271">
        <v>0</v>
      </c>
      <c r="R196" s="271">
        <v>0</v>
      </c>
      <c r="S196" s="271">
        <v>0</v>
      </c>
      <c r="T196" s="271">
        <v>0</v>
      </c>
      <c r="U196" s="271">
        <v>0</v>
      </c>
      <c r="V196" s="274">
        <v>632453.68999999994</v>
      </c>
      <c r="W196" s="271" t="s">
        <v>1351</v>
      </c>
      <c r="X196" s="238"/>
      <c r="Y196" s="274">
        <v>632453.68999999994</v>
      </c>
    </row>
    <row r="197" spans="1:25" ht="13.5" customHeight="1" x14ac:dyDescent="0.25">
      <c r="A197" s="271" t="s">
        <v>1191</v>
      </c>
      <c r="B197" s="271" t="s">
        <v>1191</v>
      </c>
      <c r="C197" s="281">
        <v>45979</v>
      </c>
      <c r="D197" s="272" t="s">
        <v>1534</v>
      </c>
      <c r="E197" s="272" t="s">
        <v>1482</v>
      </c>
      <c r="F197" s="273" t="s">
        <v>1483</v>
      </c>
      <c r="G197" s="272" t="s">
        <v>782</v>
      </c>
      <c r="H197" s="272">
        <v>0</v>
      </c>
      <c r="I197" s="272">
        <v>0</v>
      </c>
      <c r="J197" s="272">
        <v>0</v>
      </c>
      <c r="K197" s="272">
        <v>253566</v>
      </c>
      <c r="L197" s="272">
        <v>0</v>
      </c>
      <c r="M197" s="271">
        <v>0</v>
      </c>
      <c r="N197" s="271">
        <v>0</v>
      </c>
      <c r="O197" s="271">
        <v>53248.86</v>
      </c>
      <c r="P197" s="271">
        <v>0</v>
      </c>
      <c r="Q197" s="271">
        <v>0</v>
      </c>
      <c r="R197" s="271">
        <v>0</v>
      </c>
      <c r="S197" s="271">
        <v>0</v>
      </c>
      <c r="T197" s="271">
        <v>0</v>
      </c>
      <c r="U197" s="271">
        <v>0</v>
      </c>
      <c r="V197" s="274">
        <v>306814.86</v>
      </c>
      <c r="W197" s="271" t="s">
        <v>1351</v>
      </c>
      <c r="X197" s="238"/>
      <c r="Y197" s="274">
        <v>306814.86</v>
      </c>
    </row>
    <row r="198" spans="1:25" ht="13.5" customHeight="1" x14ac:dyDescent="0.25">
      <c r="A198" s="271" t="s">
        <v>1589</v>
      </c>
      <c r="B198" s="271" t="s">
        <v>1589</v>
      </c>
      <c r="C198" s="272" t="s">
        <v>1589</v>
      </c>
      <c r="D198" s="272" t="s">
        <v>1593</v>
      </c>
      <c r="E198" s="272" t="s">
        <v>1482</v>
      </c>
      <c r="F198" s="273" t="s">
        <v>1483</v>
      </c>
      <c r="G198" s="272" t="s">
        <v>782</v>
      </c>
      <c r="H198" s="272">
        <v>0</v>
      </c>
      <c r="I198" s="272">
        <v>0</v>
      </c>
      <c r="J198" s="272">
        <v>0</v>
      </c>
      <c r="K198" s="272">
        <v>218234</v>
      </c>
      <c r="L198" s="272">
        <v>0</v>
      </c>
      <c r="M198" s="271">
        <v>0</v>
      </c>
      <c r="N198" s="271">
        <v>0</v>
      </c>
      <c r="O198" s="271">
        <v>45829.14</v>
      </c>
      <c r="P198" s="271">
        <v>0</v>
      </c>
      <c r="Q198" s="271">
        <v>0</v>
      </c>
      <c r="R198" s="271">
        <v>0</v>
      </c>
      <c r="S198" s="271">
        <v>0</v>
      </c>
      <c r="T198" s="271">
        <v>0</v>
      </c>
      <c r="U198" s="271">
        <v>0</v>
      </c>
      <c r="V198" s="274">
        <v>264063.14</v>
      </c>
      <c r="W198" s="271" t="s">
        <v>1351</v>
      </c>
      <c r="X198" s="238"/>
      <c r="Y198" s="274">
        <v>264063.14</v>
      </c>
    </row>
    <row r="199" spans="1:25" ht="13.5" customHeight="1" x14ac:dyDescent="0.25">
      <c r="A199" s="265" t="s">
        <v>1164</v>
      </c>
      <c r="B199" s="265" t="s">
        <v>1670</v>
      </c>
      <c r="C199" s="266">
        <v>3</v>
      </c>
      <c r="D199" s="266">
        <v>3596545</v>
      </c>
      <c r="E199" s="267" t="s">
        <v>1524</v>
      </c>
      <c r="F199" s="268">
        <v>30712019359</v>
      </c>
      <c r="G199" s="266"/>
      <c r="H199" s="267" t="s">
        <v>0</v>
      </c>
      <c r="I199" s="266">
        <v>30712019359</v>
      </c>
      <c r="J199" s="267"/>
      <c r="K199" s="267" t="s">
        <v>0</v>
      </c>
      <c r="L199" s="266">
        <v>30710473168</v>
      </c>
      <c r="M199" s="269">
        <v>1</v>
      </c>
      <c r="N199" s="265"/>
      <c r="O199" s="265"/>
      <c r="P199" s="279">
        <v>3731.23</v>
      </c>
      <c r="Q199" s="279">
        <v>17767.77</v>
      </c>
      <c r="R199" s="265"/>
      <c r="S199" s="265"/>
      <c r="T199" s="279">
        <v>17767.77</v>
      </c>
      <c r="U199" s="269">
        <v>0</v>
      </c>
      <c r="V199" s="269">
        <v>0</v>
      </c>
      <c r="W199" s="279">
        <v>710.72</v>
      </c>
      <c r="X199" s="279">
        <v>3731.23</v>
      </c>
      <c r="Y199" s="280">
        <v>22209.72</v>
      </c>
    </row>
    <row r="200" spans="1:25" ht="13.5" customHeight="1" x14ac:dyDescent="0.25">
      <c r="A200" s="285">
        <v>45978</v>
      </c>
      <c r="B200" s="285">
        <v>45978</v>
      </c>
      <c r="C200" s="286">
        <v>45978</v>
      </c>
      <c r="D200" s="287" t="s">
        <v>1523</v>
      </c>
      <c r="E200" s="287" t="s">
        <v>1524</v>
      </c>
      <c r="F200" s="288">
        <v>30712019359</v>
      </c>
      <c r="G200" s="287" t="s">
        <v>782</v>
      </c>
      <c r="H200" s="287">
        <v>0</v>
      </c>
      <c r="I200" s="287">
        <v>0</v>
      </c>
      <c r="J200" s="287">
        <v>0</v>
      </c>
      <c r="K200" s="287">
        <v>17767.77</v>
      </c>
      <c r="L200" s="287">
        <v>0</v>
      </c>
      <c r="M200" s="289">
        <v>0</v>
      </c>
      <c r="N200" s="289">
        <v>0</v>
      </c>
      <c r="O200" s="289">
        <v>3731.23</v>
      </c>
      <c r="P200" s="289">
        <v>0</v>
      </c>
      <c r="Q200" s="289">
        <v>0</v>
      </c>
      <c r="R200" s="289">
        <v>0</v>
      </c>
      <c r="S200" s="289">
        <v>710.72</v>
      </c>
      <c r="T200" s="289">
        <v>0</v>
      </c>
      <c r="U200" s="289">
        <v>0</v>
      </c>
      <c r="V200" s="290">
        <v>22209.72</v>
      </c>
      <c r="W200" s="289" t="s">
        <v>1348</v>
      </c>
      <c r="X200" s="291"/>
      <c r="Y200" s="290">
        <v>22209.72</v>
      </c>
    </row>
    <row r="201" spans="1:25" ht="13.5" customHeight="1" x14ac:dyDescent="0.25">
      <c r="A201" s="265" t="s">
        <v>1057</v>
      </c>
      <c r="B201" s="265" t="s">
        <v>1670</v>
      </c>
      <c r="C201" s="266">
        <v>5</v>
      </c>
      <c r="D201" s="266">
        <v>1096</v>
      </c>
      <c r="E201" s="267" t="s">
        <v>1469</v>
      </c>
      <c r="F201" s="268">
        <v>30712155945</v>
      </c>
      <c r="G201" s="266"/>
      <c r="H201" s="267" t="s">
        <v>0</v>
      </c>
      <c r="I201" s="266">
        <v>30712155945</v>
      </c>
      <c r="J201" s="267"/>
      <c r="K201" s="267" t="s">
        <v>0</v>
      </c>
      <c r="L201" s="266">
        <v>30710473168</v>
      </c>
      <c r="M201" s="269">
        <v>1</v>
      </c>
      <c r="N201" s="265"/>
      <c r="O201" s="265"/>
      <c r="P201" s="265">
        <v>164537.1</v>
      </c>
      <c r="Q201" s="269">
        <v>783510</v>
      </c>
      <c r="R201" s="265"/>
      <c r="S201" s="265"/>
      <c r="T201" s="269">
        <v>783510</v>
      </c>
      <c r="U201" s="269">
        <v>0</v>
      </c>
      <c r="V201" s="269">
        <v>0</v>
      </c>
      <c r="W201" s="269">
        <v>0</v>
      </c>
      <c r="X201" s="265">
        <v>164537.1</v>
      </c>
      <c r="Y201" s="284">
        <v>948047.1</v>
      </c>
    </row>
    <row r="202" spans="1:25" ht="13.5" customHeight="1" x14ac:dyDescent="0.25">
      <c r="A202" s="265" t="s">
        <v>1220</v>
      </c>
      <c r="B202" s="265" t="s">
        <v>1670</v>
      </c>
      <c r="C202" s="266">
        <v>5</v>
      </c>
      <c r="D202" s="266">
        <v>1105</v>
      </c>
      <c r="E202" s="267" t="s">
        <v>1469</v>
      </c>
      <c r="F202" s="268">
        <v>30712155945</v>
      </c>
      <c r="G202" s="266"/>
      <c r="H202" s="267" t="s">
        <v>0</v>
      </c>
      <c r="I202" s="266">
        <v>30712155945</v>
      </c>
      <c r="J202" s="267"/>
      <c r="K202" s="267" t="s">
        <v>0</v>
      </c>
      <c r="L202" s="266">
        <v>30710473168</v>
      </c>
      <c r="M202" s="269">
        <v>1</v>
      </c>
      <c r="N202" s="265"/>
      <c r="O202" s="265"/>
      <c r="P202" s="265">
        <v>143243.1</v>
      </c>
      <c r="Q202" s="269">
        <v>682110</v>
      </c>
      <c r="R202" s="265"/>
      <c r="S202" s="265"/>
      <c r="T202" s="269">
        <v>682110</v>
      </c>
      <c r="U202" s="269">
        <v>0</v>
      </c>
      <c r="V202" s="269">
        <v>0</v>
      </c>
      <c r="W202" s="269">
        <v>0</v>
      </c>
      <c r="X202" s="265">
        <v>143243.1</v>
      </c>
      <c r="Y202" s="284">
        <v>825353.1</v>
      </c>
    </row>
    <row r="203" spans="1:25" ht="13.5" customHeight="1" x14ac:dyDescent="0.25">
      <c r="A203" s="271" t="s">
        <v>1057</v>
      </c>
      <c r="B203" s="271" t="s">
        <v>1057</v>
      </c>
      <c r="C203" s="272" t="s">
        <v>1057</v>
      </c>
      <c r="D203" s="272" t="s">
        <v>1468</v>
      </c>
      <c r="E203" s="272" t="s">
        <v>1469</v>
      </c>
      <c r="F203" s="273" t="s">
        <v>1470</v>
      </c>
      <c r="G203" s="272" t="s">
        <v>782</v>
      </c>
      <c r="H203" s="272">
        <v>0</v>
      </c>
      <c r="I203" s="272">
        <v>0</v>
      </c>
      <c r="J203" s="272">
        <v>0</v>
      </c>
      <c r="K203" s="272">
        <v>783510</v>
      </c>
      <c r="L203" s="272">
        <v>0</v>
      </c>
      <c r="M203" s="271">
        <v>0</v>
      </c>
      <c r="N203" s="271">
        <v>0</v>
      </c>
      <c r="O203" s="271">
        <v>164537.1</v>
      </c>
      <c r="P203" s="271">
        <v>0</v>
      </c>
      <c r="Q203" s="271">
        <v>0</v>
      </c>
      <c r="R203" s="271">
        <v>0</v>
      </c>
      <c r="S203" s="271">
        <v>0</v>
      </c>
      <c r="T203" s="271">
        <v>0</v>
      </c>
      <c r="U203" s="271">
        <v>0</v>
      </c>
      <c r="V203" s="274">
        <v>948047.1</v>
      </c>
      <c r="W203" s="271" t="s">
        <v>1351</v>
      </c>
      <c r="X203" s="238"/>
      <c r="Y203" s="274">
        <v>948047.1</v>
      </c>
    </row>
    <row r="204" spans="1:25" ht="13.5" customHeight="1" x14ac:dyDescent="0.25">
      <c r="A204" s="271" t="s">
        <v>1220</v>
      </c>
      <c r="B204" s="271" t="s">
        <v>1220</v>
      </c>
      <c r="C204" s="272" t="s">
        <v>1220</v>
      </c>
      <c r="D204" s="272" t="s">
        <v>1552</v>
      </c>
      <c r="E204" s="272" t="s">
        <v>1469</v>
      </c>
      <c r="F204" s="273" t="s">
        <v>1470</v>
      </c>
      <c r="G204" s="272" t="s">
        <v>782</v>
      </c>
      <c r="H204" s="272">
        <v>0</v>
      </c>
      <c r="I204" s="272">
        <v>0</v>
      </c>
      <c r="J204" s="272">
        <v>0</v>
      </c>
      <c r="K204" s="272">
        <v>682110</v>
      </c>
      <c r="L204" s="272">
        <v>0</v>
      </c>
      <c r="M204" s="271">
        <v>0</v>
      </c>
      <c r="N204" s="271">
        <v>0</v>
      </c>
      <c r="O204" s="271">
        <v>143243.1</v>
      </c>
      <c r="P204" s="271">
        <v>0</v>
      </c>
      <c r="Q204" s="271">
        <v>0</v>
      </c>
      <c r="R204" s="271">
        <v>0</v>
      </c>
      <c r="S204" s="271">
        <v>0</v>
      </c>
      <c r="T204" s="271">
        <v>0</v>
      </c>
      <c r="U204" s="271">
        <v>0</v>
      </c>
      <c r="V204" s="274">
        <v>825353.1</v>
      </c>
      <c r="W204" s="271" t="s">
        <v>1351</v>
      </c>
      <c r="X204" s="238"/>
      <c r="Y204" s="274">
        <v>825353.1</v>
      </c>
    </row>
    <row r="205" spans="1:25" ht="13.5" customHeight="1" x14ac:dyDescent="0.25">
      <c r="A205" s="265" t="s">
        <v>817</v>
      </c>
      <c r="B205" s="265" t="s">
        <v>1733</v>
      </c>
      <c r="C205" s="266">
        <v>7</v>
      </c>
      <c r="D205" s="266">
        <v>13</v>
      </c>
      <c r="E205" s="267" t="s">
        <v>269</v>
      </c>
      <c r="F205" s="268">
        <v>30712187316</v>
      </c>
      <c r="G205" s="266"/>
      <c r="H205" s="267" t="s">
        <v>0</v>
      </c>
      <c r="I205" s="266">
        <v>30712187316</v>
      </c>
      <c r="J205" s="267"/>
      <c r="K205" s="267" t="s">
        <v>0</v>
      </c>
      <c r="L205" s="266">
        <v>30710473168</v>
      </c>
      <c r="M205" s="269">
        <v>1</v>
      </c>
      <c r="N205" s="265"/>
      <c r="O205" s="265"/>
      <c r="P205" s="279">
        <v>4964.82</v>
      </c>
      <c r="Q205" s="279">
        <v>23641.98</v>
      </c>
      <c r="R205" s="265"/>
      <c r="S205" s="265"/>
      <c r="T205" s="279">
        <v>23641.98</v>
      </c>
      <c r="U205" s="269">
        <v>0</v>
      </c>
      <c r="V205" s="269">
        <v>0</v>
      </c>
      <c r="W205" s="269">
        <v>0</v>
      </c>
      <c r="X205" s="279">
        <v>4964.82</v>
      </c>
      <c r="Y205" s="284">
        <v>28606.799999999999</v>
      </c>
    </row>
    <row r="206" spans="1:25" ht="13.5" customHeight="1" x14ac:dyDescent="0.25">
      <c r="A206" s="271" t="s">
        <v>817</v>
      </c>
      <c r="B206" s="271" t="s">
        <v>817</v>
      </c>
      <c r="C206" s="281">
        <v>45965</v>
      </c>
      <c r="D206" s="272" t="s">
        <v>1385</v>
      </c>
      <c r="E206" s="272" t="s">
        <v>269</v>
      </c>
      <c r="F206" s="273" t="s">
        <v>1386</v>
      </c>
      <c r="G206" s="272" t="s">
        <v>782</v>
      </c>
      <c r="H206" s="272">
        <v>0</v>
      </c>
      <c r="I206" s="272">
        <v>0</v>
      </c>
      <c r="J206" s="272">
        <v>0</v>
      </c>
      <c r="K206" s="272">
        <v>23641.98</v>
      </c>
      <c r="L206" s="272">
        <v>0</v>
      </c>
      <c r="M206" s="271">
        <v>0</v>
      </c>
      <c r="N206" s="271">
        <v>0</v>
      </c>
      <c r="O206" s="271">
        <v>4964.82</v>
      </c>
      <c r="P206" s="271">
        <v>0</v>
      </c>
      <c r="Q206" s="271">
        <v>0</v>
      </c>
      <c r="R206" s="271">
        <v>0</v>
      </c>
      <c r="S206" s="271">
        <v>0</v>
      </c>
      <c r="T206" s="271">
        <v>0</v>
      </c>
      <c r="U206" s="271">
        <v>0</v>
      </c>
      <c r="V206" s="274">
        <v>28606.799999999999</v>
      </c>
      <c r="W206" s="271" t="s">
        <v>1351</v>
      </c>
      <c r="X206" s="238"/>
      <c r="Y206" s="274">
        <v>28606.799999999999</v>
      </c>
    </row>
    <row r="207" spans="1:25" ht="13.5" customHeight="1" x14ac:dyDescent="0.25">
      <c r="A207" s="265" t="s">
        <v>885</v>
      </c>
      <c r="B207" s="265" t="s">
        <v>1670</v>
      </c>
      <c r="C207" s="266">
        <v>4</v>
      </c>
      <c r="D207" s="266">
        <v>16201</v>
      </c>
      <c r="E207" s="267" t="s">
        <v>1415</v>
      </c>
      <c r="F207" s="268">
        <v>30712305513</v>
      </c>
      <c r="G207" s="266"/>
      <c r="H207" s="267" t="s">
        <v>0</v>
      </c>
      <c r="I207" s="266">
        <v>30712305513</v>
      </c>
      <c r="J207" s="267"/>
      <c r="K207" s="267" t="s">
        <v>0</v>
      </c>
      <c r="L207" s="266">
        <v>30710473168</v>
      </c>
      <c r="M207" s="269">
        <v>1</v>
      </c>
      <c r="N207" s="265"/>
      <c r="O207" s="265"/>
      <c r="P207" s="269">
        <v>227640</v>
      </c>
      <c r="Q207" s="269">
        <v>1084000</v>
      </c>
      <c r="R207" s="265"/>
      <c r="S207" s="265"/>
      <c r="T207" s="269">
        <v>1084000</v>
      </c>
      <c r="U207" s="269">
        <v>0</v>
      </c>
      <c r="V207" s="269">
        <v>0</v>
      </c>
      <c r="W207" s="269">
        <v>0</v>
      </c>
      <c r="X207" s="269">
        <v>227640</v>
      </c>
      <c r="Y207" s="270">
        <v>1311640</v>
      </c>
    </row>
    <row r="208" spans="1:25" ht="13.5" customHeight="1" x14ac:dyDescent="0.25">
      <c r="A208" s="265" t="s">
        <v>1126</v>
      </c>
      <c r="B208" s="265" t="s">
        <v>1670</v>
      </c>
      <c r="C208" s="266">
        <v>4</v>
      </c>
      <c r="D208" s="266">
        <v>16244</v>
      </c>
      <c r="E208" s="267" t="s">
        <v>1415</v>
      </c>
      <c r="F208" s="268">
        <v>30712305513</v>
      </c>
      <c r="G208" s="266"/>
      <c r="H208" s="267" t="s">
        <v>0</v>
      </c>
      <c r="I208" s="266">
        <v>30712305513</v>
      </c>
      <c r="J208" s="267"/>
      <c r="K208" s="267" t="s">
        <v>0</v>
      </c>
      <c r="L208" s="266">
        <v>30710473168</v>
      </c>
      <c r="M208" s="269">
        <v>1</v>
      </c>
      <c r="N208" s="269">
        <v>195615</v>
      </c>
      <c r="O208" s="269">
        <v>1863000</v>
      </c>
      <c r="P208" s="269">
        <v>24738</v>
      </c>
      <c r="Q208" s="269">
        <v>117800</v>
      </c>
      <c r="R208" s="265"/>
      <c r="S208" s="265"/>
      <c r="T208" s="269">
        <v>1980800</v>
      </c>
      <c r="U208" s="269">
        <v>0</v>
      </c>
      <c r="V208" s="269">
        <v>0</v>
      </c>
      <c r="W208" s="269">
        <v>0</v>
      </c>
      <c r="X208" s="269">
        <v>220353</v>
      </c>
      <c r="Y208" s="270">
        <v>2201153</v>
      </c>
    </row>
    <row r="209" spans="1:26" ht="13.5" customHeight="1" x14ac:dyDescent="0.25">
      <c r="A209" s="271" t="s">
        <v>1126</v>
      </c>
      <c r="B209" s="271" t="s">
        <v>1126</v>
      </c>
      <c r="C209" s="281">
        <v>45975</v>
      </c>
      <c r="D209" s="272" t="s">
        <v>1507</v>
      </c>
      <c r="E209" s="272" t="s">
        <v>1415</v>
      </c>
      <c r="F209" s="273" t="s">
        <v>1416</v>
      </c>
      <c r="G209" s="272" t="s">
        <v>782</v>
      </c>
      <c r="H209" s="272">
        <v>0</v>
      </c>
      <c r="I209" s="272">
        <v>0</v>
      </c>
      <c r="J209" s="272">
        <v>1863000</v>
      </c>
      <c r="K209" s="272">
        <v>117800</v>
      </c>
      <c r="L209" s="272">
        <v>0</v>
      </c>
      <c r="M209" s="271">
        <v>0</v>
      </c>
      <c r="N209" s="271">
        <v>0</v>
      </c>
      <c r="O209" s="271">
        <v>220353</v>
      </c>
      <c r="P209" s="271">
        <v>0</v>
      </c>
      <c r="Q209" s="271">
        <v>0</v>
      </c>
      <c r="R209" s="271">
        <v>0</v>
      </c>
      <c r="S209" s="271">
        <v>0</v>
      </c>
      <c r="T209" s="271">
        <v>0</v>
      </c>
      <c r="U209" s="271">
        <v>0</v>
      </c>
      <c r="V209" s="274">
        <v>2201153</v>
      </c>
      <c r="W209" s="271" t="s">
        <v>1351</v>
      </c>
      <c r="X209" s="238"/>
      <c r="Y209" s="274">
        <v>2201153</v>
      </c>
    </row>
    <row r="210" spans="1:26" ht="13.5" customHeight="1" x14ac:dyDescent="0.25">
      <c r="A210" s="271" t="s">
        <v>885</v>
      </c>
      <c r="B210" s="271" t="s">
        <v>885</v>
      </c>
      <c r="C210" s="281">
        <v>45967</v>
      </c>
      <c r="D210" s="272" t="s">
        <v>1414</v>
      </c>
      <c r="E210" s="272" t="s">
        <v>1415</v>
      </c>
      <c r="F210" s="273" t="s">
        <v>1416</v>
      </c>
      <c r="G210" s="272" t="s">
        <v>782</v>
      </c>
      <c r="H210" s="272">
        <v>0</v>
      </c>
      <c r="I210" s="272">
        <v>0</v>
      </c>
      <c r="J210" s="272">
        <v>0</v>
      </c>
      <c r="K210" s="272">
        <v>1084000</v>
      </c>
      <c r="L210" s="272">
        <v>0</v>
      </c>
      <c r="M210" s="271">
        <v>0</v>
      </c>
      <c r="N210" s="271">
        <v>0</v>
      </c>
      <c r="O210" s="271">
        <v>227640</v>
      </c>
      <c r="P210" s="271">
        <v>0</v>
      </c>
      <c r="Q210" s="271">
        <v>0</v>
      </c>
      <c r="R210" s="271">
        <v>0</v>
      </c>
      <c r="S210" s="271">
        <v>0</v>
      </c>
      <c r="T210" s="271">
        <v>0</v>
      </c>
      <c r="U210" s="271">
        <v>0</v>
      </c>
      <c r="V210" s="274">
        <v>1311640</v>
      </c>
      <c r="W210" s="271" t="s">
        <v>1351</v>
      </c>
      <c r="X210" s="238"/>
      <c r="Y210" s="274">
        <v>1311640</v>
      </c>
    </row>
    <row r="211" spans="1:26" ht="13.5" customHeight="1" x14ac:dyDescent="0.25">
      <c r="A211" s="265" t="s">
        <v>1508</v>
      </c>
      <c r="B211" s="265" t="s">
        <v>1670</v>
      </c>
      <c r="C211" s="266">
        <v>50</v>
      </c>
      <c r="D211" s="266">
        <v>4739926</v>
      </c>
      <c r="E211" s="267" t="s">
        <v>1675</v>
      </c>
      <c r="F211" s="268">
        <v>30714112836</v>
      </c>
      <c r="G211" s="266"/>
      <c r="H211" s="267" t="s">
        <v>0</v>
      </c>
      <c r="I211" s="266">
        <v>30714112836</v>
      </c>
      <c r="J211" s="267"/>
      <c r="K211" s="267" t="s">
        <v>0</v>
      </c>
      <c r="L211" s="266">
        <v>30710473168</v>
      </c>
      <c r="M211" s="269">
        <v>1</v>
      </c>
      <c r="N211" s="265"/>
      <c r="O211" s="265"/>
      <c r="P211" s="279">
        <v>584.42999999999995</v>
      </c>
      <c r="Q211" s="279">
        <v>2783.03</v>
      </c>
      <c r="R211" s="265"/>
      <c r="S211" s="265"/>
      <c r="T211" s="279">
        <v>2783.03</v>
      </c>
      <c r="U211" s="269">
        <v>0</v>
      </c>
      <c r="V211" s="269">
        <v>0</v>
      </c>
      <c r="W211" s="279">
        <v>83.49</v>
      </c>
      <c r="X211" s="279">
        <v>584.42999999999995</v>
      </c>
      <c r="Y211" s="280">
        <v>3450.95</v>
      </c>
    </row>
    <row r="212" spans="1:26" ht="13.5" customHeight="1" x14ac:dyDescent="0.25">
      <c r="A212" s="265" t="s">
        <v>1630</v>
      </c>
      <c r="B212" s="265" t="s">
        <v>1670</v>
      </c>
      <c r="C212" s="309">
        <v>50</v>
      </c>
      <c r="D212" s="309">
        <v>4777596</v>
      </c>
      <c r="E212" s="310" t="s">
        <v>1675</v>
      </c>
      <c r="F212" s="311">
        <v>30714112836</v>
      </c>
      <c r="G212" s="309"/>
      <c r="H212" s="310" t="s">
        <v>0</v>
      </c>
      <c r="I212" s="309">
        <v>30714112836</v>
      </c>
      <c r="J212" s="310"/>
      <c r="K212" s="310" t="s">
        <v>0</v>
      </c>
      <c r="L212" s="309">
        <v>30710473168</v>
      </c>
      <c r="M212" s="269">
        <v>1</v>
      </c>
      <c r="N212" s="265"/>
      <c r="O212" s="265"/>
      <c r="P212" s="279">
        <v>3440.46</v>
      </c>
      <c r="Q212" s="279">
        <v>16383.12</v>
      </c>
      <c r="R212" s="265"/>
      <c r="S212" s="265"/>
      <c r="T212" s="279">
        <v>16383.12</v>
      </c>
      <c r="U212" s="269">
        <v>0</v>
      </c>
      <c r="V212" s="269">
        <v>0</v>
      </c>
      <c r="W212" s="279">
        <v>491.49</v>
      </c>
      <c r="X212" s="279">
        <v>3440.46</v>
      </c>
      <c r="Y212" s="280">
        <v>20315.07</v>
      </c>
    </row>
    <row r="213" spans="1:26" s="282" customFormat="1" ht="13.5" customHeight="1" x14ac:dyDescent="0.25">
      <c r="A213" s="297"/>
      <c r="B213" s="282" t="s">
        <v>1630</v>
      </c>
      <c r="C213" s="312" t="s">
        <v>1630</v>
      </c>
      <c r="D213" s="312" t="s">
        <v>1631</v>
      </c>
      <c r="E213" s="312" t="s">
        <v>586</v>
      </c>
      <c r="F213" s="312" t="s">
        <v>1514</v>
      </c>
      <c r="G213" s="312" t="s">
        <v>782</v>
      </c>
      <c r="H213" s="312">
        <v>0</v>
      </c>
      <c r="I213" s="312">
        <v>0</v>
      </c>
      <c r="J213" s="312">
        <v>0</v>
      </c>
      <c r="K213" s="312">
        <v>16383.12</v>
      </c>
      <c r="L213" s="312">
        <v>0</v>
      </c>
      <c r="M213" s="282">
        <v>0</v>
      </c>
      <c r="N213" s="282">
        <v>0</v>
      </c>
      <c r="O213" s="282">
        <v>3440.46</v>
      </c>
      <c r="P213" s="282">
        <v>0</v>
      </c>
      <c r="Q213" s="282">
        <v>0</v>
      </c>
      <c r="R213" s="282">
        <v>0</v>
      </c>
      <c r="S213" s="282">
        <v>491.49</v>
      </c>
      <c r="T213" s="282">
        <v>0</v>
      </c>
      <c r="U213" s="282">
        <v>0</v>
      </c>
      <c r="V213" s="282">
        <v>20315.07</v>
      </c>
      <c r="W213" s="313"/>
      <c r="X213" s="313"/>
      <c r="Y213" s="282">
        <v>20315.07</v>
      </c>
      <c r="Z213" s="282" t="s">
        <v>1368</v>
      </c>
    </row>
    <row r="214" spans="1:26" ht="13.5" customHeight="1" x14ac:dyDescent="0.25">
      <c r="A214" s="271" t="s">
        <v>1508</v>
      </c>
      <c r="B214" s="271" t="s">
        <v>1508</v>
      </c>
      <c r="C214" s="272" t="s">
        <v>1316</v>
      </c>
      <c r="D214" s="272" t="s">
        <v>1513</v>
      </c>
      <c r="E214" s="272" t="s">
        <v>586</v>
      </c>
      <c r="F214" s="273" t="s">
        <v>1514</v>
      </c>
      <c r="G214" s="272" t="s">
        <v>782</v>
      </c>
      <c r="H214" s="272">
        <v>0</v>
      </c>
      <c r="I214" s="272">
        <v>0</v>
      </c>
      <c r="J214" s="272">
        <v>0</v>
      </c>
      <c r="K214" s="272">
        <v>2783.03</v>
      </c>
      <c r="L214" s="272">
        <v>0</v>
      </c>
      <c r="M214" s="271">
        <v>0</v>
      </c>
      <c r="N214" s="271">
        <v>0</v>
      </c>
      <c r="O214" s="271">
        <v>584.44000000000005</v>
      </c>
      <c r="P214" s="271">
        <v>0</v>
      </c>
      <c r="Q214" s="271">
        <v>0</v>
      </c>
      <c r="R214" s="271">
        <v>0</v>
      </c>
      <c r="S214" s="271">
        <v>83.49</v>
      </c>
      <c r="T214" s="271">
        <v>0</v>
      </c>
      <c r="U214" s="271">
        <v>0</v>
      </c>
      <c r="V214" s="274">
        <v>3450.96</v>
      </c>
      <c r="W214" s="271" t="s">
        <v>1348</v>
      </c>
      <c r="X214" s="238"/>
      <c r="Y214" s="274">
        <v>3450.96</v>
      </c>
    </row>
    <row r="215" spans="1:26" ht="13.5" customHeight="1" x14ac:dyDescent="0.25">
      <c r="A215" s="265" t="s">
        <v>784</v>
      </c>
      <c r="B215" s="265" t="s">
        <v>1678</v>
      </c>
      <c r="C215" s="266">
        <v>4</v>
      </c>
      <c r="D215" s="266">
        <v>2097</v>
      </c>
      <c r="E215" s="267" t="s">
        <v>1370</v>
      </c>
      <c r="F215" s="268">
        <v>30714749206</v>
      </c>
      <c r="G215" s="266"/>
      <c r="H215" s="267" t="s">
        <v>0</v>
      </c>
      <c r="I215" s="266">
        <v>30714749206</v>
      </c>
      <c r="J215" s="267"/>
      <c r="K215" s="267" t="s">
        <v>0</v>
      </c>
      <c r="L215" s="266">
        <v>30710473168</v>
      </c>
      <c r="M215" s="269">
        <v>1</v>
      </c>
      <c r="N215" s="265">
        <v>24325.7</v>
      </c>
      <c r="O215" s="265">
        <v>231673.3</v>
      </c>
      <c r="P215" s="279">
        <v>355.17</v>
      </c>
      <c r="Q215" s="265">
        <v>1691.3</v>
      </c>
      <c r="R215" s="265"/>
      <c r="S215" s="265"/>
      <c r="T215" s="265">
        <v>233364.6</v>
      </c>
      <c r="U215" s="269">
        <v>0</v>
      </c>
      <c r="V215" s="269">
        <v>0</v>
      </c>
      <c r="W215" s="269">
        <v>0</v>
      </c>
      <c r="X215" s="279">
        <v>24680.87</v>
      </c>
      <c r="Y215" s="280">
        <v>258045.47</v>
      </c>
    </row>
    <row r="216" spans="1:26" ht="15" x14ac:dyDescent="0.25">
      <c r="A216" s="265"/>
      <c r="B216" t="s">
        <v>784</v>
      </c>
      <c r="C216" s="283" t="s">
        <v>784</v>
      </c>
      <c r="D216" s="283" t="s">
        <v>1369</v>
      </c>
      <c r="E216" s="283" t="s">
        <v>1370</v>
      </c>
      <c r="F216" s="283" t="s">
        <v>1371</v>
      </c>
      <c r="G216" s="283" t="s">
        <v>782</v>
      </c>
      <c r="H216" s="283">
        <v>0</v>
      </c>
      <c r="I216" s="283">
        <v>0</v>
      </c>
      <c r="J216" s="283">
        <v>-231673.3</v>
      </c>
      <c r="K216" s="283">
        <v>-1691.3</v>
      </c>
      <c r="L216" s="283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1351</v>
      </c>
      <c r="X216" t="s">
        <v>704</v>
      </c>
      <c r="Y216">
        <v>-258045.47</v>
      </c>
      <c r="Z216" t="s">
        <v>1368</v>
      </c>
    </row>
    <row r="217" spans="1:26" ht="13.5" customHeight="1" x14ac:dyDescent="0.25">
      <c r="A217" s="265" t="s">
        <v>779</v>
      </c>
      <c r="B217" s="265" t="s">
        <v>1670</v>
      </c>
      <c r="C217" s="266">
        <v>1</v>
      </c>
      <c r="D217" s="266">
        <v>143079</v>
      </c>
      <c r="E217" s="267" t="s">
        <v>1674</v>
      </c>
      <c r="F217" s="268">
        <v>30714864269</v>
      </c>
      <c r="G217" s="266"/>
      <c r="H217" s="267" t="s">
        <v>0</v>
      </c>
      <c r="I217" s="266">
        <v>30714864269</v>
      </c>
      <c r="J217" s="267"/>
      <c r="K217" s="267" t="s">
        <v>0</v>
      </c>
      <c r="L217" s="266">
        <v>30710473168</v>
      </c>
      <c r="M217" s="269">
        <v>1</v>
      </c>
      <c r="N217" s="265"/>
      <c r="O217" s="265"/>
      <c r="P217" s="269">
        <v>38808</v>
      </c>
      <c r="Q217" s="269">
        <v>184800</v>
      </c>
      <c r="R217" s="265"/>
      <c r="S217" s="265"/>
      <c r="T217" s="269">
        <v>184800</v>
      </c>
      <c r="U217" s="269">
        <v>0</v>
      </c>
      <c r="V217" s="269">
        <v>0</v>
      </c>
      <c r="W217" s="269">
        <v>0</v>
      </c>
      <c r="X217" s="269">
        <v>38808</v>
      </c>
      <c r="Y217" s="270">
        <v>223608</v>
      </c>
    </row>
    <row r="218" spans="1:26" ht="13.5" customHeight="1" x14ac:dyDescent="0.25">
      <c r="A218" s="271" t="s">
        <v>779</v>
      </c>
      <c r="B218" s="271" t="s">
        <v>779</v>
      </c>
      <c r="C218" s="272" t="s">
        <v>779</v>
      </c>
      <c r="D218" s="272" t="s">
        <v>1345</v>
      </c>
      <c r="E218" s="272" t="s">
        <v>1346</v>
      </c>
      <c r="F218" s="273" t="s">
        <v>1347</v>
      </c>
      <c r="G218" s="272" t="s">
        <v>782</v>
      </c>
      <c r="H218" s="272">
        <v>0</v>
      </c>
      <c r="I218" s="272">
        <v>0</v>
      </c>
      <c r="J218" s="272">
        <v>0</v>
      </c>
      <c r="K218" s="272">
        <v>184800</v>
      </c>
      <c r="L218" s="272">
        <v>0</v>
      </c>
      <c r="M218" s="271">
        <v>0</v>
      </c>
      <c r="N218" s="271">
        <v>0</v>
      </c>
      <c r="O218" s="271">
        <v>38808</v>
      </c>
      <c r="P218" s="271">
        <v>0</v>
      </c>
      <c r="Q218" s="271">
        <v>0</v>
      </c>
      <c r="R218" s="271">
        <v>0</v>
      </c>
      <c r="S218" s="271">
        <v>0</v>
      </c>
      <c r="T218" s="271">
        <v>0</v>
      </c>
      <c r="U218" s="271">
        <v>0</v>
      </c>
      <c r="V218" s="274">
        <v>223608</v>
      </c>
      <c r="W218" s="271" t="s">
        <v>1348</v>
      </c>
      <c r="X218" s="238"/>
      <c r="Y218" s="274">
        <v>223608</v>
      </c>
    </row>
    <row r="219" spans="1:26" ht="13.5" customHeight="1" x14ac:dyDescent="0.25">
      <c r="A219" s="265" t="s">
        <v>1220</v>
      </c>
      <c r="B219" s="265" t="s">
        <v>1670</v>
      </c>
      <c r="C219" s="266">
        <v>1</v>
      </c>
      <c r="D219" s="266">
        <v>9484</v>
      </c>
      <c r="E219" s="267" t="s">
        <v>1717</v>
      </c>
      <c r="F219" s="268">
        <v>30715141201</v>
      </c>
      <c r="G219" s="266"/>
      <c r="H219" s="267" t="s">
        <v>0</v>
      </c>
      <c r="I219" s="266">
        <v>30715141201</v>
      </c>
      <c r="J219" s="267"/>
      <c r="K219" s="267" t="s">
        <v>0</v>
      </c>
      <c r="L219" s="266">
        <v>30710473168</v>
      </c>
      <c r="M219" s="269">
        <v>1</v>
      </c>
      <c r="N219" s="265"/>
      <c r="O219" s="265"/>
      <c r="P219" s="279">
        <v>63066.94</v>
      </c>
      <c r="Q219" s="279">
        <v>300318.75</v>
      </c>
      <c r="R219" s="265"/>
      <c r="S219" s="265"/>
      <c r="T219" s="279">
        <v>300318.75</v>
      </c>
      <c r="U219" s="269">
        <v>0</v>
      </c>
      <c r="V219" s="269">
        <v>0</v>
      </c>
      <c r="W219" s="269">
        <v>0</v>
      </c>
      <c r="X219" s="279">
        <v>63066.94</v>
      </c>
      <c r="Y219" s="280">
        <v>363385.69</v>
      </c>
    </row>
    <row r="220" spans="1:26" ht="13.5" customHeight="1" x14ac:dyDescent="0.25">
      <c r="A220" s="285">
        <v>45980</v>
      </c>
      <c r="B220" s="285">
        <v>45980</v>
      </c>
      <c r="C220" s="286">
        <v>45980</v>
      </c>
      <c r="D220" s="287" t="s">
        <v>1545</v>
      </c>
      <c r="E220" s="287" t="s">
        <v>428</v>
      </c>
      <c r="F220" s="288">
        <v>30715141201</v>
      </c>
      <c r="G220" s="287" t="s">
        <v>782</v>
      </c>
      <c r="H220" s="287">
        <v>0</v>
      </c>
      <c r="I220" s="287">
        <v>0</v>
      </c>
      <c r="J220" s="287">
        <v>0</v>
      </c>
      <c r="K220" s="287">
        <v>300318.75</v>
      </c>
      <c r="L220" s="287">
        <v>0</v>
      </c>
      <c r="M220" s="289">
        <v>0</v>
      </c>
      <c r="N220" s="289">
        <v>0</v>
      </c>
      <c r="O220" s="289">
        <v>63066.94</v>
      </c>
      <c r="P220" s="289">
        <v>0</v>
      </c>
      <c r="Q220" s="289">
        <v>0</v>
      </c>
      <c r="R220" s="289">
        <v>0</v>
      </c>
      <c r="S220" s="289">
        <v>0</v>
      </c>
      <c r="T220" s="289">
        <v>0</v>
      </c>
      <c r="U220" s="289">
        <v>0</v>
      </c>
      <c r="V220" s="290">
        <v>363385.69</v>
      </c>
      <c r="W220" s="289" t="s">
        <v>1351</v>
      </c>
      <c r="X220" s="291"/>
      <c r="Y220" s="290">
        <v>363385.69</v>
      </c>
    </row>
    <row r="221" spans="1:26" ht="13.5" customHeight="1" x14ac:dyDescent="0.25">
      <c r="A221" s="265" t="s">
        <v>1191</v>
      </c>
      <c r="B221" s="265" t="s">
        <v>1670</v>
      </c>
      <c r="C221" s="266">
        <v>31</v>
      </c>
      <c r="D221" s="266">
        <v>79625</v>
      </c>
      <c r="E221" s="267" t="s">
        <v>1529</v>
      </c>
      <c r="F221" s="268">
        <v>30715209833</v>
      </c>
      <c r="G221" s="266"/>
      <c r="H221" s="267" t="s">
        <v>0</v>
      </c>
      <c r="I221" s="266">
        <v>30715209833</v>
      </c>
      <c r="J221" s="267"/>
      <c r="K221" s="267" t="s">
        <v>0</v>
      </c>
      <c r="L221" s="266">
        <v>30710473168</v>
      </c>
      <c r="M221" s="269">
        <v>1</v>
      </c>
      <c r="N221" s="265"/>
      <c r="O221" s="265"/>
      <c r="P221" s="279">
        <v>3320.25</v>
      </c>
      <c r="Q221" s="279">
        <v>15810.74</v>
      </c>
      <c r="R221" s="265"/>
      <c r="S221" s="265"/>
      <c r="T221" s="279">
        <v>15810.74</v>
      </c>
      <c r="U221" s="269">
        <v>0</v>
      </c>
      <c r="V221" s="269">
        <v>0</v>
      </c>
      <c r="W221" s="279">
        <v>370.91</v>
      </c>
      <c r="X221" s="279">
        <v>3320.25</v>
      </c>
      <c r="Y221" s="284">
        <v>19501.900000000001</v>
      </c>
    </row>
    <row r="222" spans="1:26" ht="13.5" customHeight="1" x14ac:dyDescent="0.25">
      <c r="A222" s="265" t="s">
        <v>1249</v>
      </c>
      <c r="B222" s="265" t="s">
        <v>1670</v>
      </c>
      <c r="C222" s="266">
        <v>31</v>
      </c>
      <c r="D222" s="266">
        <v>79735</v>
      </c>
      <c r="E222" s="267" t="s">
        <v>1529</v>
      </c>
      <c r="F222" s="268">
        <v>30715209833</v>
      </c>
      <c r="G222" s="266"/>
      <c r="H222" s="267" t="s">
        <v>0</v>
      </c>
      <c r="I222" s="266">
        <v>30715209833</v>
      </c>
      <c r="J222" s="267"/>
      <c r="K222" s="267" t="s">
        <v>0</v>
      </c>
      <c r="L222" s="266">
        <v>30710473168</v>
      </c>
      <c r="M222" s="269">
        <v>1</v>
      </c>
      <c r="N222" s="265"/>
      <c r="O222" s="265"/>
      <c r="P222" s="279">
        <v>3320.25</v>
      </c>
      <c r="Q222" s="279">
        <v>15810.74</v>
      </c>
      <c r="R222" s="265"/>
      <c r="S222" s="265"/>
      <c r="T222" s="279">
        <v>15810.74</v>
      </c>
      <c r="U222" s="269">
        <v>0</v>
      </c>
      <c r="V222" s="269">
        <v>0</v>
      </c>
      <c r="W222" s="279">
        <v>370.91</v>
      </c>
      <c r="X222" s="279">
        <v>3320.25</v>
      </c>
      <c r="Y222" s="284">
        <v>19501.900000000001</v>
      </c>
    </row>
    <row r="223" spans="1:26" ht="13.5" customHeight="1" x14ac:dyDescent="0.25">
      <c r="A223" s="271" t="s">
        <v>1191</v>
      </c>
      <c r="B223" s="271" t="s">
        <v>1191</v>
      </c>
      <c r="C223" s="281">
        <v>45979</v>
      </c>
      <c r="D223" s="272" t="s">
        <v>1528</v>
      </c>
      <c r="E223" s="272" t="s">
        <v>1529</v>
      </c>
      <c r="F223" s="273" t="s">
        <v>1530</v>
      </c>
      <c r="G223" s="272" t="s">
        <v>782</v>
      </c>
      <c r="H223" s="272">
        <v>0</v>
      </c>
      <c r="I223" s="272">
        <v>0</v>
      </c>
      <c r="J223" s="272">
        <v>0</v>
      </c>
      <c r="K223" s="272">
        <v>15810.74</v>
      </c>
      <c r="L223" s="272">
        <v>0</v>
      </c>
      <c r="M223" s="271">
        <v>0</v>
      </c>
      <c r="N223" s="271">
        <v>0</v>
      </c>
      <c r="O223" s="271">
        <v>3320.26</v>
      </c>
      <c r="P223" s="271">
        <v>0</v>
      </c>
      <c r="Q223" s="271">
        <v>0</v>
      </c>
      <c r="R223" s="271">
        <v>0</v>
      </c>
      <c r="S223" s="271">
        <v>370.91</v>
      </c>
      <c r="T223" s="271">
        <v>0</v>
      </c>
      <c r="U223" s="271">
        <v>0</v>
      </c>
      <c r="V223" s="274">
        <v>19501.91</v>
      </c>
      <c r="W223" s="271"/>
      <c r="X223" s="238"/>
      <c r="Y223" s="274">
        <v>19501.91</v>
      </c>
    </row>
    <row r="224" spans="1:26" ht="13.5" customHeight="1" x14ac:dyDescent="0.25">
      <c r="A224" s="271" t="s">
        <v>1249</v>
      </c>
      <c r="B224" s="271" t="s">
        <v>1249</v>
      </c>
      <c r="C224" s="281">
        <v>45981</v>
      </c>
      <c r="D224" s="272" t="s">
        <v>1555</v>
      </c>
      <c r="E224" s="272" t="s">
        <v>1529</v>
      </c>
      <c r="F224" s="273" t="s">
        <v>1530</v>
      </c>
      <c r="G224" s="272" t="s">
        <v>782</v>
      </c>
      <c r="H224" s="272">
        <v>0</v>
      </c>
      <c r="I224" s="272">
        <v>0</v>
      </c>
      <c r="J224" s="272">
        <v>0</v>
      </c>
      <c r="K224" s="272">
        <v>15810.74</v>
      </c>
      <c r="L224" s="272">
        <v>0</v>
      </c>
      <c r="M224" s="271">
        <v>0</v>
      </c>
      <c r="N224" s="271">
        <v>0</v>
      </c>
      <c r="O224" s="271">
        <v>3320.26</v>
      </c>
      <c r="P224" s="271">
        <v>0</v>
      </c>
      <c r="Q224" s="271">
        <v>0</v>
      </c>
      <c r="R224" s="271">
        <v>0</v>
      </c>
      <c r="S224" s="271">
        <v>370.91</v>
      </c>
      <c r="T224" s="271">
        <v>0</v>
      </c>
      <c r="U224" s="271">
        <v>0</v>
      </c>
      <c r="V224" s="274">
        <v>19501.91</v>
      </c>
      <c r="W224" s="271"/>
      <c r="X224" s="238"/>
      <c r="Y224" s="274">
        <v>19501.91</v>
      </c>
    </row>
    <row r="225" spans="1:25" ht="13.5" customHeight="1" x14ac:dyDescent="0.25">
      <c r="A225" s="265" t="s">
        <v>885</v>
      </c>
      <c r="B225" s="265" t="s">
        <v>1670</v>
      </c>
      <c r="C225" s="266">
        <v>700</v>
      </c>
      <c r="D225" s="266">
        <v>2826739</v>
      </c>
      <c r="E225" s="267" t="s">
        <v>1696</v>
      </c>
      <c r="F225" s="268">
        <v>30715804812</v>
      </c>
      <c r="G225" s="266"/>
      <c r="H225" s="267" t="s">
        <v>0</v>
      </c>
      <c r="I225" s="266">
        <v>30715804812</v>
      </c>
      <c r="J225" s="267"/>
      <c r="K225" s="267" t="s">
        <v>0</v>
      </c>
      <c r="L225" s="266">
        <v>30710473168</v>
      </c>
      <c r="M225" s="269">
        <v>1</v>
      </c>
      <c r="N225" s="265"/>
      <c r="O225" s="265"/>
      <c r="P225" s="279">
        <v>1616.13</v>
      </c>
      <c r="Q225" s="279">
        <v>7695.87</v>
      </c>
      <c r="R225" s="265"/>
      <c r="S225" s="265"/>
      <c r="T225" s="279">
        <v>7695.87</v>
      </c>
      <c r="U225" s="269">
        <v>0</v>
      </c>
      <c r="V225" s="269">
        <v>0</v>
      </c>
      <c r="W225" s="279">
        <v>307.83</v>
      </c>
      <c r="X225" s="279">
        <v>1616.13</v>
      </c>
      <c r="Y225" s="280">
        <v>9619.83</v>
      </c>
    </row>
    <row r="226" spans="1:25" ht="13.5" customHeight="1" x14ac:dyDescent="0.25">
      <c r="A226" s="265" t="s">
        <v>1126</v>
      </c>
      <c r="B226" s="265" t="s">
        <v>1670</v>
      </c>
      <c r="C226" s="266">
        <v>104</v>
      </c>
      <c r="D226" s="266">
        <v>11245066</v>
      </c>
      <c r="E226" s="267" t="s">
        <v>1696</v>
      </c>
      <c r="F226" s="268">
        <v>30715804812</v>
      </c>
      <c r="G226" s="266"/>
      <c r="H226" s="267" t="s">
        <v>0</v>
      </c>
      <c r="I226" s="266">
        <v>30715804812</v>
      </c>
      <c r="J226" s="267"/>
      <c r="K226" s="267" t="s">
        <v>0</v>
      </c>
      <c r="L226" s="266">
        <v>30710473168</v>
      </c>
      <c r="M226" s="269">
        <v>1</v>
      </c>
      <c r="N226" s="265"/>
      <c r="O226" s="265"/>
      <c r="P226" s="279">
        <v>436.79</v>
      </c>
      <c r="Q226" s="279">
        <v>2079.9699999999998</v>
      </c>
      <c r="R226" s="265"/>
      <c r="S226" s="265"/>
      <c r="T226" s="279">
        <v>2079.9699999999998</v>
      </c>
      <c r="U226" s="269">
        <v>0</v>
      </c>
      <c r="V226" s="269">
        <v>0</v>
      </c>
      <c r="W226" s="265">
        <v>83.2</v>
      </c>
      <c r="X226" s="279">
        <v>436.79</v>
      </c>
      <c r="Y226" s="280">
        <v>2599.96</v>
      </c>
    </row>
    <row r="227" spans="1:25" ht="13.5" customHeight="1" x14ac:dyDescent="0.25">
      <c r="A227" s="265" t="s">
        <v>1508</v>
      </c>
      <c r="B227" s="265" t="s">
        <v>1670</v>
      </c>
      <c r="C227" s="266">
        <v>104</v>
      </c>
      <c r="D227" s="266">
        <v>11280276</v>
      </c>
      <c r="E227" s="267" t="s">
        <v>1696</v>
      </c>
      <c r="F227" s="268">
        <v>30715804812</v>
      </c>
      <c r="G227" s="266"/>
      <c r="H227" s="267" t="s">
        <v>0</v>
      </c>
      <c r="I227" s="266">
        <v>30715804812</v>
      </c>
      <c r="J227" s="267"/>
      <c r="K227" s="267" t="s">
        <v>0</v>
      </c>
      <c r="L227" s="266">
        <v>30710473168</v>
      </c>
      <c r="M227" s="269">
        <v>1</v>
      </c>
      <c r="N227" s="265"/>
      <c r="O227" s="265"/>
      <c r="P227" s="279">
        <v>436.79</v>
      </c>
      <c r="Q227" s="279">
        <v>2079.9699999999998</v>
      </c>
      <c r="R227" s="265"/>
      <c r="S227" s="265"/>
      <c r="T227" s="279">
        <v>2079.9699999999998</v>
      </c>
      <c r="U227" s="269">
        <v>0</v>
      </c>
      <c r="V227" s="269">
        <v>0</v>
      </c>
      <c r="W227" s="265">
        <v>83.2</v>
      </c>
      <c r="X227" s="279">
        <v>436.79</v>
      </c>
      <c r="Y227" s="280">
        <v>2599.96</v>
      </c>
    </row>
    <row r="228" spans="1:25" ht="13.5" customHeight="1" x14ac:dyDescent="0.25">
      <c r="A228" s="265" t="s">
        <v>1569</v>
      </c>
      <c r="B228" s="265" t="s">
        <v>1670</v>
      </c>
      <c r="C228" s="266">
        <v>700</v>
      </c>
      <c r="D228" s="266">
        <v>2858327</v>
      </c>
      <c r="E228" s="267" t="s">
        <v>1696</v>
      </c>
      <c r="F228" s="268">
        <v>30715804812</v>
      </c>
      <c r="G228" s="266"/>
      <c r="H228" s="267" t="s">
        <v>0</v>
      </c>
      <c r="I228" s="266">
        <v>30715804812</v>
      </c>
      <c r="J228" s="267"/>
      <c r="K228" s="267" t="s">
        <v>0</v>
      </c>
      <c r="L228" s="266">
        <v>30710473168</v>
      </c>
      <c r="M228" s="269">
        <v>1</v>
      </c>
      <c r="N228" s="265"/>
      <c r="O228" s="265"/>
      <c r="P228" s="279">
        <v>1485.09</v>
      </c>
      <c r="Q228" s="279">
        <v>7071.89</v>
      </c>
      <c r="R228" s="265"/>
      <c r="S228" s="265"/>
      <c r="T228" s="279">
        <v>7071.89</v>
      </c>
      <c r="U228" s="269">
        <v>0</v>
      </c>
      <c r="V228" s="269">
        <v>0</v>
      </c>
      <c r="W228" s="279">
        <v>282.87</v>
      </c>
      <c r="X228" s="279">
        <v>1485.09</v>
      </c>
      <c r="Y228" s="280">
        <v>8839.85</v>
      </c>
    </row>
    <row r="229" spans="1:25" ht="13.5" customHeight="1" x14ac:dyDescent="0.25">
      <c r="A229" s="285">
        <v>45975</v>
      </c>
      <c r="B229" s="285">
        <v>45975</v>
      </c>
      <c r="C229" s="286">
        <v>45975</v>
      </c>
      <c r="D229" s="287" t="s">
        <v>1498</v>
      </c>
      <c r="E229" s="287" t="s">
        <v>588</v>
      </c>
      <c r="F229" s="288">
        <v>30715804812</v>
      </c>
      <c r="G229" s="287" t="s">
        <v>782</v>
      </c>
      <c r="H229" s="287">
        <v>0</v>
      </c>
      <c r="I229" s="287">
        <v>0</v>
      </c>
      <c r="J229" s="287">
        <v>0</v>
      </c>
      <c r="K229" s="287">
        <v>2079.9699999999998</v>
      </c>
      <c r="L229" s="287">
        <v>0</v>
      </c>
      <c r="M229" s="289">
        <v>0</v>
      </c>
      <c r="N229" s="289">
        <v>0</v>
      </c>
      <c r="O229" s="289">
        <v>436.79</v>
      </c>
      <c r="P229" s="289">
        <v>0</v>
      </c>
      <c r="Q229" s="289">
        <v>0</v>
      </c>
      <c r="R229" s="289">
        <v>0</v>
      </c>
      <c r="S229" s="289">
        <v>83.2</v>
      </c>
      <c r="T229" s="289">
        <v>0</v>
      </c>
      <c r="U229" s="289">
        <v>0</v>
      </c>
      <c r="V229" s="290">
        <v>2599.96</v>
      </c>
      <c r="W229" s="289" t="s">
        <v>1351</v>
      </c>
      <c r="X229" s="291"/>
      <c r="Y229" s="290">
        <v>2599.96</v>
      </c>
    </row>
    <row r="230" spans="1:25" ht="13.5" customHeight="1" x14ac:dyDescent="0.25">
      <c r="A230" s="285">
        <v>45976</v>
      </c>
      <c r="B230" s="285">
        <v>45976</v>
      </c>
      <c r="C230" s="286">
        <v>45976</v>
      </c>
      <c r="D230" s="287" t="s">
        <v>1509</v>
      </c>
      <c r="E230" s="287" t="s">
        <v>588</v>
      </c>
      <c r="F230" s="288">
        <v>30715804812</v>
      </c>
      <c r="G230" s="287" t="s">
        <v>782</v>
      </c>
      <c r="H230" s="287">
        <v>0</v>
      </c>
      <c r="I230" s="287">
        <v>0</v>
      </c>
      <c r="J230" s="287">
        <v>0</v>
      </c>
      <c r="K230" s="287">
        <v>2079.9699999999998</v>
      </c>
      <c r="L230" s="287">
        <v>0</v>
      </c>
      <c r="M230" s="289">
        <v>0</v>
      </c>
      <c r="N230" s="289">
        <v>0</v>
      </c>
      <c r="O230" s="289">
        <v>436.79</v>
      </c>
      <c r="P230" s="289">
        <v>0</v>
      </c>
      <c r="Q230" s="289">
        <v>0</v>
      </c>
      <c r="R230" s="289">
        <v>0</v>
      </c>
      <c r="S230" s="289">
        <v>83.2</v>
      </c>
      <c r="T230" s="289">
        <v>0</v>
      </c>
      <c r="U230" s="289">
        <v>0</v>
      </c>
      <c r="V230" s="290">
        <v>2599.96</v>
      </c>
      <c r="W230" s="289" t="s">
        <v>1351</v>
      </c>
      <c r="X230" s="291"/>
      <c r="Y230" s="290">
        <v>2599.96</v>
      </c>
    </row>
    <row r="231" spans="1:25" ht="13.5" customHeight="1" x14ac:dyDescent="0.25">
      <c r="A231" s="271" t="s">
        <v>885</v>
      </c>
      <c r="B231" s="271" t="s">
        <v>885</v>
      </c>
      <c r="C231" s="272" t="s">
        <v>1316</v>
      </c>
      <c r="D231" s="272" t="s">
        <v>1412</v>
      </c>
      <c r="E231" s="272" t="s">
        <v>588</v>
      </c>
      <c r="F231" s="273" t="s">
        <v>1413</v>
      </c>
      <c r="G231" s="272" t="s">
        <v>782</v>
      </c>
      <c r="H231" s="272">
        <v>0</v>
      </c>
      <c r="I231" s="272">
        <v>0</v>
      </c>
      <c r="J231" s="272">
        <v>0</v>
      </c>
      <c r="K231" s="272">
        <v>7695.87</v>
      </c>
      <c r="L231" s="272">
        <v>0</v>
      </c>
      <c r="M231" s="271">
        <v>0</v>
      </c>
      <c r="N231" s="271">
        <v>0</v>
      </c>
      <c r="O231" s="271">
        <v>1616.13</v>
      </c>
      <c r="P231" s="271">
        <v>0</v>
      </c>
      <c r="Q231" s="271">
        <v>0</v>
      </c>
      <c r="R231" s="271">
        <v>0</v>
      </c>
      <c r="S231" s="271">
        <v>0</v>
      </c>
      <c r="T231" s="271">
        <v>0</v>
      </c>
      <c r="U231" s="271">
        <v>307.83</v>
      </c>
      <c r="V231" s="274">
        <v>9619.83</v>
      </c>
      <c r="W231" s="271" t="s">
        <v>1351</v>
      </c>
      <c r="X231" s="238"/>
      <c r="Y231" s="274">
        <v>9619.83</v>
      </c>
    </row>
    <row r="232" spans="1:25" ht="13.5" customHeight="1" x14ac:dyDescent="0.25">
      <c r="A232" s="271" t="s">
        <v>1569</v>
      </c>
      <c r="B232" s="271" t="s">
        <v>1569</v>
      </c>
      <c r="C232" s="281">
        <v>45985</v>
      </c>
      <c r="D232" s="272" t="s">
        <v>1571</v>
      </c>
      <c r="E232" s="272" t="s">
        <v>588</v>
      </c>
      <c r="F232" s="273" t="s">
        <v>1413</v>
      </c>
      <c r="G232" s="272" t="s">
        <v>782</v>
      </c>
      <c r="H232" s="272">
        <v>0</v>
      </c>
      <c r="I232" s="272">
        <v>0</v>
      </c>
      <c r="J232" s="272">
        <v>0</v>
      </c>
      <c r="K232" s="272">
        <v>7071.89</v>
      </c>
      <c r="L232" s="272">
        <v>0</v>
      </c>
      <c r="M232" s="271">
        <v>0</v>
      </c>
      <c r="N232" s="271">
        <v>0</v>
      </c>
      <c r="O232" s="271">
        <v>1485.1</v>
      </c>
      <c r="P232" s="271">
        <v>0</v>
      </c>
      <c r="Q232" s="271">
        <v>0</v>
      </c>
      <c r="R232" s="271">
        <v>0</v>
      </c>
      <c r="S232" s="271">
        <v>0</v>
      </c>
      <c r="T232" s="271">
        <v>0</v>
      </c>
      <c r="U232" s="271">
        <v>282.87</v>
      </c>
      <c r="V232" s="274">
        <v>8839.86</v>
      </c>
      <c r="W232" s="271" t="s">
        <v>1351</v>
      </c>
      <c r="X232" s="238"/>
      <c r="Y232" s="274">
        <v>8839.86</v>
      </c>
    </row>
    <row r="233" spans="1:25" ht="13.5" customHeight="1" x14ac:dyDescent="0.25">
      <c r="A233" s="265" t="s">
        <v>825</v>
      </c>
      <c r="B233" s="265" t="s">
        <v>1670</v>
      </c>
      <c r="C233" s="266">
        <v>5</v>
      </c>
      <c r="D233" s="266">
        <v>6609</v>
      </c>
      <c r="E233" s="267" t="s">
        <v>1703</v>
      </c>
      <c r="F233" s="268">
        <v>30715833243</v>
      </c>
      <c r="G233" s="266"/>
      <c r="H233" s="267" t="s">
        <v>0</v>
      </c>
      <c r="I233" s="266">
        <v>30715833243</v>
      </c>
      <c r="J233" s="267"/>
      <c r="K233" s="267" t="s">
        <v>0</v>
      </c>
      <c r="L233" s="266">
        <v>30710473168</v>
      </c>
      <c r="M233" s="269">
        <v>1</v>
      </c>
      <c r="N233" s="265"/>
      <c r="O233" s="265"/>
      <c r="P233" s="279">
        <v>8778.2900000000009</v>
      </c>
      <c r="Q233" s="279">
        <v>41801.370000000003</v>
      </c>
      <c r="R233" s="265"/>
      <c r="S233" s="265"/>
      <c r="T233" s="279">
        <v>41801.370000000003</v>
      </c>
      <c r="U233" s="269">
        <v>0</v>
      </c>
      <c r="V233" s="269">
        <v>0</v>
      </c>
      <c r="W233" s="269">
        <v>0</v>
      </c>
      <c r="X233" s="279">
        <v>8778.2900000000009</v>
      </c>
      <c r="Y233" s="280">
        <v>50579.66</v>
      </c>
    </row>
    <row r="234" spans="1:25" ht="13.5" customHeight="1" x14ac:dyDescent="0.25">
      <c r="A234" s="271" t="s">
        <v>825</v>
      </c>
      <c r="B234" s="271" t="s">
        <v>825</v>
      </c>
      <c r="C234" s="298">
        <v>45966</v>
      </c>
      <c r="D234" s="272" t="s">
        <v>1390</v>
      </c>
      <c r="E234" s="272" t="s">
        <v>1391</v>
      </c>
      <c r="F234" s="273" t="s">
        <v>1392</v>
      </c>
      <c r="G234" s="272" t="s">
        <v>782</v>
      </c>
      <c r="H234" s="272">
        <v>0</v>
      </c>
      <c r="I234" s="272">
        <v>0</v>
      </c>
      <c r="J234" s="272">
        <v>0</v>
      </c>
      <c r="K234" s="272">
        <v>41801.370000000003</v>
      </c>
      <c r="L234" s="272">
        <v>0</v>
      </c>
      <c r="M234" s="271">
        <v>0</v>
      </c>
      <c r="N234" s="271">
        <v>0</v>
      </c>
      <c r="O234" s="271">
        <v>8778.2900000000009</v>
      </c>
      <c r="P234" s="271">
        <v>0</v>
      </c>
      <c r="Q234" s="271">
        <v>0</v>
      </c>
      <c r="R234" s="271">
        <v>0</v>
      </c>
      <c r="S234" s="271">
        <v>0</v>
      </c>
      <c r="T234" s="271">
        <v>0</v>
      </c>
      <c r="U234" s="271">
        <v>0</v>
      </c>
      <c r="V234" s="274">
        <v>50579.66</v>
      </c>
      <c r="W234" s="271" t="s">
        <v>1351</v>
      </c>
      <c r="X234" s="238"/>
      <c r="Y234" s="274">
        <v>50579.66</v>
      </c>
    </row>
    <row r="235" spans="1:25" ht="13.5" customHeight="1" x14ac:dyDescent="0.25">
      <c r="A235" s="265" t="s">
        <v>1191</v>
      </c>
      <c r="B235" s="265" t="s">
        <v>1670</v>
      </c>
      <c r="C235" s="266">
        <v>7</v>
      </c>
      <c r="D235" s="266">
        <v>36827</v>
      </c>
      <c r="E235" s="267" t="s">
        <v>1532</v>
      </c>
      <c r="F235" s="268">
        <v>30716661519</v>
      </c>
      <c r="G235" s="266"/>
      <c r="H235" s="267" t="s">
        <v>0</v>
      </c>
      <c r="I235" s="266">
        <v>30716661519</v>
      </c>
      <c r="J235" s="267"/>
      <c r="K235" s="267" t="s">
        <v>0</v>
      </c>
      <c r="L235" s="266">
        <v>30710473168</v>
      </c>
      <c r="M235" s="269">
        <v>1</v>
      </c>
      <c r="N235" s="265"/>
      <c r="O235" s="265"/>
      <c r="P235" s="279">
        <v>4290.25</v>
      </c>
      <c r="Q235" s="279">
        <v>20429.759999999998</v>
      </c>
      <c r="R235" s="265"/>
      <c r="S235" s="265"/>
      <c r="T235" s="279">
        <v>20429.759999999998</v>
      </c>
      <c r="U235" s="269">
        <v>0</v>
      </c>
      <c r="V235" s="269">
        <v>0</v>
      </c>
      <c r="W235" s="269">
        <v>0</v>
      </c>
      <c r="X235" s="279">
        <v>4290.25</v>
      </c>
      <c r="Y235" s="280">
        <v>24720.01</v>
      </c>
    </row>
    <row r="236" spans="1:25" ht="13.5" customHeight="1" x14ac:dyDescent="0.25">
      <c r="A236" s="271" t="s">
        <v>1191</v>
      </c>
      <c r="B236" s="271" t="s">
        <v>1191</v>
      </c>
      <c r="C236" s="272" t="s">
        <v>1285</v>
      </c>
      <c r="D236" s="272" t="s">
        <v>1531</v>
      </c>
      <c r="E236" s="272" t="s">
        <v>1532</v>
      </c>
      <c r="F236" s="273" t="s">
        <v>1533</v>
      </c>
      <c r="G236" s="272" t="s">
        <v>782</v>
      </c>
      <c r="H236" s="272">
        <v>0</v>
      </c>
      <c r="I236" s="272">
        <v>0</v>
      </c>
      <c r="J236" s="272">
        <v>0</v>
      </c>
      <c r="K236" s="272">
        <v>20429.759999999998</v>
      </c>
      <c r="L236" s="272">
        <v>0</v>
      </c>
      <c r="M236" s="271">
        <v>0</v>
      </c>
      <c r="N236" s="271">
        <v>0</v>
      </c>
      <c r="O236" s="271">
        <v>4290.25</v>
      </c>
      <c r="P236" s="271">
        <v>0</v>
      </c>
      <c r="Q236" s="271">
        <v>0</v>
      </c>
      <c r="R236" s="271">
        <v>0</v>
      </c>
      <c r="S236" s="271">
        <v>0</v>
      </c>
      <c r="T236" s="271">
        <v>0</v>
      </c>
      <c r="U236" s="271">
        <v>0</v>
      </c>
      <c r="V236" s="274">
        <v>24720.01</v>
      </c>
      <c r="W236" s="271"/>
      <c r="X236" s="238"/>
      <c r="Y236" s="274">
        <v>24720.01</v>
      </c>
    </row>
    <row r="237" spans="1:25" ht="13.5" customHeight="1" x14ac:dyDescent="0.25">
      <c r="A237" s="265" t="s">
        <v>1098</v>
      </c>
      <c r="B237" s="265" t="s">
        <v>1670</v>
      </c>
      <c r="C237" s="266">
        <v>2</v>
      </c>
      <c r="D237" s="266">
        <v>5595</v>
      </c>
      <c r="E237" s="267" t="s">
        <v>1475</v>
      </c>
      <c r="F237" s="268">
        <v>30718329805</v>
      </c>
      <c r="G237" s="266"/>
      <c r="H237" s="267" t="s">
        <v>0</v>
      </c>
      <c r="I237" s="266">
        <v>30718329805</v>
      </c>
      <c r="J237" s="267"/>
      <c r="K237" s="267" t="s">
        <v>0</v>
      </c>
      <c r="L237" s="266">
        <v>30710473168</v>
      </c>
      <c r="M237" s="269">
        <v>1</v>
      </c>
      <c r="N237" s="265"/>
      <c r="O237" s="265"/>
      <c r="P237" s="279">
        <v>15342.15</v>
      </c>
      <c r="Q237" s="279">
        <v>73057.850000000006</v>
      </c>
      <c r="R237" s="265"/>
      <c r="S237" s="265"/>
      <c r="T237" s="279">
        <v>73057.850000000006</v>
      </c>
      <c r="U237" s="269">
        <v>0</v>
      </c>
      <c r="V237" s="269">
        <v>0</v>
      </c>
      <c r="W237" s="269">
        <v>0</v>
      </c>
      <c r="X237" s="279">
        <v>15342.15</v>
      </c>
      <c r="Y237" s="270">
        <v>88400</v>
      </c>
    </row>
    <row r="238" spans="1:25" ht="13.5" customHeight="1" x14ac:dyDescent="0.25">
      <c r="A238" s="265" t="s">
        <v>1191</v>
      </c>
      <c r="B238" s="265" t="s">
        <v>1670</v>
      </c>
      <c r="C238" s="266">
        <v>2</v>
      </c>
      <c r="D238" s="266">
        <v>5668</v>
      </c>
      <c r="E238" s="267" t="s">
        <v>1475</v>
      </c>
      <c r="F238" s="268">
        <v>30718329805</v>
      </c>
      <c r="G238" s="266"/>
      <c r="H238" s="267" t="s">
        <v>0</v>
      </c>
      <c r="I238" s="266">
        <v>30718329805</v>
      </c>
      <c r="J238" s="267"/>
      <c r="K238" s="267" t="s">
        <v>0</v>
      </c>
      <c r="L238" s="266">
        <v>30710473168</v>
      </c>
      <c r="M238" s="269">
        <v>1</v>
      </c>
      <c r="N238" s="265"/>
      <c r="O238" s="265"/>
      <c r="P238" s="279">
        <v>15342.15</v>
      </c>
      <c r="Q238" s="279">
        <v>73057.850000000006</v>
      </c>
      <c r="R238" s="265"/>
      <c r="S238" s="265"/>
      <c r="T238" s="279">
        <v>73057.850000000006</v>
      </c>
      <c r="U238" s="269">
        <v>0</v>
      </c>
      <c r="V238" s="269">
        <v>0</v>
      </c>
      <c r="W238" s="269">
        <v>0</v>
      </c>
      <c r="X238" s="279">
        <v>15342.15</v>
      </c>
      <c r="Y238" s="270">
        <v>88400</v>
      </c>
    </row>
    <row r="239" spans="1:25" ht="13.5" customHeight="1" x14ac:dyDescent="0.25">
      <c r="A239" s="299">
        <v>45974</v>
      </c>
      <c r="B239" s="299">
        <v>45974</v>
      </c>
      <c r="C239" s="281">
        <v>45974</v>
      </c>
      <c r="D239" s="272" t="s">
        <v>1474</v>
      </c>
      <c r="E239" s="272" t="s">
        <v>1475</v>
      </c>
      <c r="F239" s="273" t="s">
        <v>1476</v>
      </c>
      <c r="G239" s="272" t="s">
        <v>782</v>
      </c>
      <c r="H239" s="272">
        <v>0</v>
      </c>
      <c r="I239" s="272">
        <v>0</v>
      </c>
      <c r="J239" s="272">
        <v>0</v>
      </c>
      <c r="K239" s="272">
        <v>73057.850000000006</v>
      </c>
      <c r="L239" s="272">
        <v>0</v>
      </c>
      <c r="M239" s="271">
        <v>0</v>
      </c>
      <c r="N239" s="271">
        <v>0</v>
      </c>
      <c r="O239" s="271">
        <v>15342.15</v>
      </c>
      <c r="P239" s="271">
        <v>0</v>
      </c>
      <c r="Q239" s="271">
        <v>0</v>
      </c>
      <c r="R239" s="271">
        <v>0</v>
      </c>
      <c r="S239" s="271">
        <v>0</v>
      </c>
      <c r="T239" s="271">
        <v>0</v>
      </c>
      <c r="U239" s="271">
        <v>0</v>
      </c>
      <c r="V239" s="274">
        <v>88400</v>
      </c>
      <c r="W239" s="271"/>
      <c r="X239" s="238"/>
      <c r="Y239" s="274">
        <v>88400</v>
      </c>
    </row>
    <row r="240" spans="1:25" ht="13.5" customHeight="1" x14ac:dyDescent="0.25">
      <c r="A240" s="285">
        <v>45979</v>
      </c>
      <c r="B240" s="285">
        <v>45979</v>
      </c>
      <c r="C240" s="286">
        <v>45979</v>
      </c>
      <c r="D240" s="287" t="s">
        <v>1734</v>
      </c>
      <c r="E240" s="287" t="s">
        <v>1475</v>
      </c>
      <c r="F240" s="288">
        <v>30718329805</v>
      </c>
      <c r="G240" s="287" t="s">
        <v>782</v>
      </c>
      <c r="H240" s="287">
        <v>0</v>
      </c>
      <c r="I240" s="287">
        <v>0</v>
      </c>
      <c r="J240" s="287">
        <v>0</v>
      </c>
      <c r="K240" s="287">
        <v>73057.850000000006</v>
      </c>
      <c r="L240" s="287">
        <v>0</v>
      </c>
      <c r="M240" s="289">
        <v>0</v>
      </c>
      <c r="N240" s="289">
        <v>0</v>
      </c>
      <c r="O240" s="289">
        <v>15342.15</v>
      </c>
      <c r="P240" s="289">
        <v>0</v>
      </c>
      <c r="Q240" s="289">
        <v>0</v>
      </c>
      <c r="R240" s="289">
        <v>0</v>
      </c>
      <c r="S240" s="289">
        <v>0</v>
      </c>
      <c r="T240" s="289">
        <v>0</v>
      </c>
      <c r="U240" s="289">
        <v>0</v>
      </c>
      <c r="V240" s="290">
        <v>88400</v>
      </c>
      <c r="W240" s="292"/>
      <c r="X240" s="291"/>
      <c r="Y240" s="290">
        <v>88400</v>
      </c>
    </row>
    <row r="241" spans="1:25" ht="13.5" customHeight="1" x14ac:dyDescent="0.25">
      <c r="A241" s="265" t="s">
        <v>1057</v>
      </c>
      <c r="B241" s="265" t="s">
        <v>1670</v>
      </c>
      <c r="C241" s="266">
        <v>3</v>
      </c>
      <c r="D241" s="266">
        <v>10010</v>
      </c>
      <c r="E241" s="267" t="s">
        <v>1716</v>
      </c>
      <c r="F241" s="268">
        <v>33708218699</v>
      </c>
      <c r="G241" s="266"/>
      <c r="H241" s="267" t="s">
        <v>0</v>
      </c>
      <c r="I241" s="266">
        <v>33708218699</v>
      </c>
      <c r="J241" s="267"/>
      <c r="K241" s="267" t="s">
        <v>0</v>
      </c>
      <c r="L241" s="266">
        <v>30710473168</v>
      </c>
      <c r="M241" s="269">
        <v>1</v>
      </c>
      <c r="N241" s="265"/>
      <c r="O241" s="265"/>
      <c r="P241" s="269">
        <v>18900</v>
      </c>
      <c r="Q241" s="269">
        <v>90000</v>
      </c>
      <c r="R241" s="265"/>
      <c r="S241" s="265"/>
      <c r="T241" s="269">
        <v>90000</v>
      </c>
      <c r="U241" s="269">
        <v>0</v>
      </c>
      <c r="V241" s="269">
        <v>0</v>
      </c>
      <c r="W241" s="269">
        <v>0</v>
      </c>
      <c r="X241" s="269">
        <v>18900</v>
      </c>
      <c r="Y241" s="270">
        <v>108900</v>
      </c>
    </row>
    <row r="242" spans="1:25" ht="13.5" customHeight="1" x14ac:dyDescent="0.25">
      <c r="A242" s="265" t="s">
        <v>1164</v>
      </c>
      <c r="B242" s="265" t="s">
        <v>1670</v>
      </c>
      <c r="C242" s="266">
        <v>3</v>
      </c>
      <c r="D242" s="266">
        <v>10027</v>
      </c>
      <c r="E242" s="267" t="s">
        <v>1716</v>
      </c>
      <c r="F242" s="268">
        <v>33708218699</v>
      </c>
      <c r="G242" s="266"/>
      <c r="H242" s="267" t="s">
        <v>0</v>
      </c>
      <c r="I242" s="266">
        <v>33708218699</v>
      </c>
      <c r="J242" s="267"/>
      <c r="K242" s="267" t="s">
        <v>0</v>
      </c>
      <c r="L242" s="266">
        <v>30710473168</v>
      </c>
      <c r="M242" s="269">
        <v>1</v>
      </c>
      <c r="N242" s="265"/>
      <c r="O242" s="265"/>
      <c r="P242" s="269">
        <v>9450</v>
      </c>
      <c r="Q242" s="269">
        <v>45000</v>
      </c>
      <c r="R242" s="265"/>
      <c r="S242" s="265"/>
      <c r="T242" s="269">
        <v>45000</v>
      </c>
      <c r="U242" s="269">
        <v>0</v>
      </c>
      <c r="V242" s="269">
        <v>0</v>
      </c>
      <c r="W242" s="269">
        <v>0</v>
      </c>
      <c r="X242" s="269">
        <v>9450</v>
      </c>
      <c r="Y242" s="270">
        <v>54450</v>
      </c>
    </row>
    <row r="243" spans="1:25" ht="13.5" customHeight="1" x14ac:dyDescent="0.25">
      <c r="A243" s="271" t="s">
        <v>1057</v>
      </c>
      <c r="B243" s="271" t="s">
        <v>1057</v>
      </c>
      <c r="C243" s="281">
        <v>45973</v>
      </c>
      <c r="D243" s="272" t="s">
        <v>1464</v>
      </c>
      <c r="E243" s="272" t="s">
        <v>305</v>
      </c>
      <c r="F243" s="273" t="s">
        <v>1465</v>
      </c>
      <c r="G243" s="272" t="s">
        <v>782</v>
      </c>
      <c r="H243" s="272">
        <v>0</v>
      </c>
      <c r="I243" s="272">
        <v>0</v>
      </c>
      <c r="J243" s="272">
        <v>0</v>
      </c>
      <c r="K243" s="272">
        <v>90000</v>
      </c>
      <c r="L243" s="272">
        <v>0</v>
      </c>
      <c r="M243" s="271">
        <v>0</v>
      </c>
      <c r="N243" s="271">
        <v>0</v>
      </c>
      <c r="O243" s="271">
        <v>18900</v>
      </c>
      <c r="P243" s="271">
        <v>0</v>
      </c>
      <c r="Q243" s="271">
        <v>0</v>
      </c>
      <c r="R243" s="271">
        <v>0</v>
      </c>
      <c r="S243" s="271">
        <v>0</v>
      </c>
      <c r="T243" s="271">
        <v>0</v>
      </c>
      <c r="U243" s="271">
        <v>0</v>
      </c>
      <c r="V243" s="274">
        <v>108900</v>
      </c>
      <c r="W243" s="271" t="s">
        <v>1466</v>
      </c>
      <c r="X243" s="238"/>
      <c r="Y243" s="274">
        <v>108900</v>
      </c>
    </row>
    <row r="244" spans="1:25" ht="13.5" customHeight="1" x14ac:dyDescent="0.25">
      <c r="A244" s="271" t="s">
        <v>1164</v>
      </c>
      <c r="B244" s="271" t="s">
        <v>1164</v>
      </c>
      <c r="C244" s="281">
        <v>45978</v>
      </c>
      <c r="D244" s="272" t="s">
        <v>1527</v>
      </c>
      <c r="E244" s="272" t="s">
        <v>305</v>
      </c>
      <c r="F244" s="273" t="s">
        <v>1465</v>
      </c>
      <c r="G244" s="272" t="s">
        <v>782</v>
      </c>
      <c r="H244" s="272">
        <v>0</v>
      </c>
      <c r="I244" s="272">
        <v>0</v>
      </c>
      <c r="J244" s="272">
        <v>0</v>
      </c>
      <c r="K244" s="272">
        <v>45000</v>
      </c>
      <c r="L244" s="272">
        <v>0</v>
      </c>
      <c r="M244" s="271">
        <v>0</v>
      </c>
      <c r="N244" s="271">
        <v>0</v>
      </c>
      <c r="O244" s="271">
        <v>9450</v>
      </c>
      <c r="P244" s="271">
        <v>0</v>
      </c>
      <c r="Q244" s="271">
        <v>0</v>
      </c>
      <c r="R244" s="271">
        <v>0</v>
      </c>
      <c r="S244" s="271">
        <v>0</v>
      </c>
      <c r="T244" s="271">
        <v>0</v>
      </c>
      <c r="U244" s="271">
        <v>0</v>
      </c>
      <c r="V244" s="274">
        <v>54450</v>
      </c>
      <c r="W244" s="271" t="s">
        <v>1466</v>
      </c>
      <c r="X244" s="238"/>
      <c r="Y244" s="274">
        <v>54450</v>
      </c>
    </row>
    <row r="245" spans="1:25" ht="13.5" customHeight="1" x14ac:dyDescent="0.25">
      <c r="A245" s="265" t="s">
        <v>825</v>
      </c>
      <c r="B245" s="265" t="s">
        <v>1670</v>
      </c>
      <c r="C245" s="266">
        <v>101</v>
      </c>
      <c r="D245" s="266">
        <v>9480</v>
      </c>
      <c r="E245" s="267" t="s">
        <v>1406</v>
      </c>
      <c r="F245" s="268">
        <v>33711430879</v>
      </c>
      <c r="G245" s="266"/>
      <c r="H245" s="267" t="s">
        <v>0</v>
      </c>
      <c r="I245" s="266">
        <v>33711430879</v>
      </c>
      <c r="J245" s="267"/>
      <c r="K245" s="267" t="s">
        <v>0</v>
      </c>
      <c r="L245" s="266">
        <v>30710473168</v>
      </c>
      <c r="M245" s="269">
        <v>1</v>
      </c>
      <c r="N245" s="265"/>
      <c r="O245" s="265"/>
      <c r="P245" s="269">
        <v>328860</v>
      </c>
      <c r="Q245" s="269">
        <v>1566000</v>
      </c>
      <c r="R245" s="265"/>
      <c r="S245" s="265"/>
      <c r="T245" s="269">
        <v>1566000</v>
      </c>
      <c r="U245" s="269">
        <v>0</v>
      </c>
      <c r="V245" s="269">
        <v>0</v>
      </c>
      <c r="W245" s="269">
        <v>0</v>
      </c>
      <c r="X245" s="269">
        <v>328860</v>
      </c>
      <c r="Y245" s="270">
        <v>1894860</v>
      </c>
    </row>
    <row r="246" spans="1:25" ht="13.5" customHeight="1" x14ac:dyDescent="0.25">
      <c r="A246" s="271" t="s">
        <v>825</v>
      </c>
      <c r="B246" s="271" t="s">
        <v>825</v>
      </c>
      <c r="C246" s="272" t="s">
        <v>825</v>
      </c>
      <c r="D246" s="272" t="s">
        <v>1405</v>
      </c>
      <c r="E246" s="272" t="s">
        <v>1406</v>
      </c>
      <c r="F246" s="273" t="s">
        <v>1407</v>
      </c>
      <c r="G246" s="272" t="s">
        <v>782</v>
      </c>
      <c r="H246" s="272">
        <v>0</v>
      </c>
      <c r="I246" s="272">
        <v>0</v>
      </c>
      <c r="J246" s="272">
        <v>0</v>
      </c>
      <c r="K246" s="272">
        <v>1566000</v>
      </c>
      <c r="L246" s="272">
        <v>0</v>
      </c>
      <c r="M246" s="271">
        <v>0</v>
      </c>
      <c r="N246" s="271">
        <v>0</v>
      </c>
      <c r="O246" s="271">
        <v>328860</v>
      </c>
      <c r="P246" s="271">
        <v>0</v>
      </c>
      <c r="Q246" s="271">
        <v>0</v>
      </c>
      <c r="R246" s="271">
        <v>0</v>
      </c>
      <c r="S246" s="271">
        <v>0</v>
      </c>
      <c r="T246" s="271">
        <v>0</v>
      </c>
      <c r="U246" s="271">
        <v>0</v>
      </c>
      <c r="V246" s="274">
        <v>1894860</v>
      </c>
      <c r="W246" s="271" t="s">
        <v>1351</v>
      </c>
      <c r="X246" s="238"/>
      <c r="Y246" s="274">
        <v>1894860</v>
      </c>
    </row>
    <row r="247" spans="1:25" ht="13.5" customHeight="1" x14ac:dyDescent="0.25">
      <c r="A247" s="265" t="s">
        <v>784</v>
      </c>
      <c r="B247" s="265" t="s">
        <v>1670</v>
      </c>
      <c r="C247" s="266">
        <v>1</v>
      </c>
      <c r="D247" s="266">
        <v>1071938</v>
      </c>
      <c r="E247" s="267" t="s">
        <v>1366</v>
      </c>
      <c r="F247" s="268">
        <v>33716307749</v>
      </c>
      <c r="G247" s="266"/>
      <c r="H247" s="267" t="s">
        <v>0</v>
      </c>
      <c r="I247" s="266">
        <v>33716307749</v>
      </c>
      <c r="J247" s="267"/>
      <c r="K247" s="267" t="s">
        <v>0</v>
      </c>
      <c r="L247" s="266">
        <v>30710473168</v>
      </c>
      <c r="M247" s="269">
        <v>1</v>
      </c>
      <c r="N247" s="265"/>
      <c r="O247" s="265"/>
      <c r="P247" s="279">
        <v>13093.29</v>
      </c>
      <c r="Q247" s="279">
        <v>62349.01</v>
      </c>
      <c r="R247" s="265"/>
      <c r="S247" s="265"/>
      <c r="T247" s="279">
        <v>62349.01</v>
      </c>
      <c r="U247" s="269">
        <v>0</v>
      </c>
      <c r="V247" s="269">
        <v>0</v>
      </c>
      <c r="W247" s="279">
        <v>2493.96</v>
      </c>
      <c r="X247" s="279">
        <v>13093.29</v>
      </c>
      <c r="Y247" s="280">
        <v>77936.259999999995</v>
      </c>
    </row>
    <row r="248" spans="1:25" ht="13.5" customHeight="1" x14ac:dyDescent="0.25">
      <c r="A248" s="285">
        <v>45964</v>
      </c>
      <c r="B248" s="285">
        <v>45964</v>
      </c>
      <c r="C248" s="286">
        <v>45964</v>
      </c>
      <c r="D248" s="287" t="s">
        <v>1365</v>
      </c>
      <c r="E248" s="287" t="s">
        <v>1366</v>
      </c>
      <c r="F248" s="288">
        <v>33716307749</v>
      </c>
      <c r="G248" s="287" t="s">
        <v>782</v>
      </c>
      <c r="H248" s="287">
        <v>0</v>
      </c>
      <c r="I248" s="287">
        <v>0</v>
      </c>
      <c r="J248" s="287">
        <v>0</v>
      </c>
      <c r="K248" s="287">
        <v>62349.01</v>
      </c>
      <c r="L248" s="287">
        <v>0</v>
      </c>
      <c r="M248" s="289">
        <v>0</v>
      </c>
      <c r="N248" s="289">
        <v>0</v>
      </c>
      <c r="O248" s="289">
        <v>13093.29</v>
      </c>
      <c r="P248" s="289">
        <v>0</v>
      </c>
      <c r="Q248" s="289">
        <v>0</v>
      </c>
      <c r="R248" s="289">
        <v>0</v>
      </c>
      <c r="S248" s="289">
        <v>2493.96</v>
      </c>
      <c r="T248" s="289">
        <v>0</v>
      </c>
      <c r="U248" s="289">
        <v>0</v>
      </c>
      <c r="V248" s="290">
        <v>77936.259999999995</v>
      </c>
      <c r="W248" s="289" t="s">
        <v>1348</v>
      </c>
      <c r="X248" s="291"/>
      <c r="Y248" s="290">
        <v>77936.259999999995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2:Y248" xr:uid="{00000000-0009-0000-0000-000006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Noviembre 25</vt:lpstr>
      <vt:lpstr>Calculo IVA</vt:lpstr>
      <vt:lpstr>Ventas 11</vt:lpstr>
      <vt:lpstr>Compras 11</vt:lpstr>
      <vt:lpstr>arcasss</vt:lpstr>
      <vt:lpstr>Hoja7</vt:lpstr>
      <vt:lpstr>'Noviembre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geminis</dc:creator>
  <dc:description/>
  <cp:lastModifiedBy>Mercedes Botindari</cp:lastModifiedBy>
  <cp:revision>28</cp:revision>
  <cp:lastPrinted>2018-04-24T16:39:23Z</cp:lastPrinted>
  <dcterms:created xsi:type="dcterms:W3CDTF">2006-09-16T00:00:00Z</dcterms:created>
  <dcterms:modified xsi:type="dcterms:W3CDTF">2025-12-17T14:29:18Z</dcterms:modified>
  <dc:language>es-AR</dc:language>
</cp:coreProperties>
</file>