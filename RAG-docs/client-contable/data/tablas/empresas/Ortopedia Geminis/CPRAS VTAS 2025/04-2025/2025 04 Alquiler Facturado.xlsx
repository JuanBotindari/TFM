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99749A67-C8A0-4AF7-9A79-CA98C79FC8A8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04 2025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4" i="2" l="1"/>
  <c r="I114" i="2"/>
  <c r="H114" i="2"/>
  <c r="J21" i="2"/>
  <c r="I21" i="2"/>
  <c r="H21" i="2"/>
</calcChain>
</file>

<file path=xl/sharedStrings.xml><?xml version="1.0" encoding="utf-8"?>
<sst xmlns="http://schemas.openxmlformats.org/spreadsheetml/2006/main" count="749" uniqueCount="296">
  <si>
    <t>Fecha</t>
  </si>
  <si>
    <t>Razon Social</t>
  </si>
  <si>
    <t>Cuit</t>
  </si>
  <si>
    <t>Condicion IVA</t>
  </si>
  <si>
    <t>Nro Factura</t>
  </si>
  <si>
    <t>Importe Neto Gravado</t>
  </si>
  <si>
    <t>Total Facturado</t>
  </si>
  <si>
    <t>CF</t>
  </si>
  <si>
    <t>SOSA MARIA GRACIELA</t>
  </si>
  <si>
    <t>2551284</t>
  </si>
  <si>
    <t>RAMON HECTOR MIZRAHI</t>
  </si>
  <si>
    <t>20050712053</t>
  </si>
  <si>
    <t>GALENO ARGENTINA SA</t>
  </si>
  <si>
    <t>30522428163</t>
  </si>
  <si>
    <t>RI</t>
  </si>
  <si>
    <t>HC HOMECARE INTERNACION DOMICILIARIA S.A.</t>
  </si>
  <si>
    <t>30710538014</t>
  </si>
  <si>
    <t>ASOCIACION MUTUAL SANCOR SALUD</t>
  </si>
  <si>
    <t>30590354798</t>
  </si>
  <si>
    <t>EX</t>
  </si>
  <si>
    <t>OBRA SOCIAL UNION PERSONAL DE LA UNION DEL PERSONAL CIVIL DE LA NACION</t>
  </si>
  <si>
    <t>30683032227</t>
  </si>
  <si>
    <t>Obra Social Del Personal De La Industria Del Plastico</t>
  </si>
  <si>
    <t>30571766287</t>
  </si>
  <si>
    <t>PASSUELLO, VIVIANA ISABEL</t>
  </si>
  <si>
    <t>BALMAYOR ISABEL</t>
  </si>
  <si>
    <t>3203937</t>
  </si>
  <si>
    <t>AVALIAN SALUD Y BIENESTAR COOPERATIVA LIMITADA</t>
  </si>
  <si>
    <t>30604958640</t>
  </si>
  <si>
    <t>CASCO MARTA MARIA</t>
  </si>
  <si>
    <t>3791160</t>
  </si>
  <si>
    <t>PINO, ANA PAULA</t>
  </si>
  <si>
    <t>20008996</t>
  </si>
  <si>
    <t>AMPARO SALUD S.R.L.</t>
  </si>
  <si>
    <t>30715186655</t>
  </si>
  <si>
    <t>ALVAREZ MARTA OLGA</t>
  </si>
  <si>
    <t>9955440</t>
  </si>
  <si>
    <t>LOGIN DOOR S.A</t>
  </si>
  <si>
    <t>30711244383</t>
  </si>
  <si>
    <t>BAUAB, CAROLINA</t>
  </si>
  <si>
    <t>DOSINDA MENOYO RODRIGUEZ</t>
  </si>
  <si>
    <t>27932758577</t>
  </si>
  <si>
    <t>VERONICA ANDREA GONZALEZ</t>
  </si>
  <si>
    <t>28231911</t>
  </si>
  <si>
    <t>RICARDO ANTONIO VILA</t>
  </si>
  <si>
    <t>20171768463</t>
  </si>
  <si>
    <t>MO</t>
  </si>
  <si>
    <t>MGR IMPLANTES S.A.</t>
  </si>
  <si>
    <t>30709016012</t>
  </si>
  <si>
    <t>OBRA SOCIAL DE LOS TRABAJADORES DE LA INDUSTRIA DEL GAS</t>
  </si>
  <si>
    <t>30658137642</t>
  </si>
  <si>
    <t>DANIEL HECTOR CURCIO</t>
  </si>
  <si>
    <t>20054682795</t>
  </si>
  <si>
    <t>SALLES ANA MARIA</t>
  </si>
  <si>
    <t>17814995</t>
  </si>
  <si>
    <t>Herman Patricia</t>
  </si>
  <si>
    <t>21645724</t>
  </si>
  <si>
    <t>MONTI, MARIA PAULA</t>
  </si>
  <si>
    <t>24699538</t>
  </si>
  <si>
    <t>OBRA SOCIAL DE EMPLEADOS DEL TABACO DE LA REPUBLICA ARGENTINA</t>
  </si>
  <si>
    <t>30661273093</t>
  </si>
  <si>
    <t>MEDICUS SOCIEDAD ANONIMA DE ASISTENCIA MEDICA Y CIENTIFICA</t>
  </si>
  <si>
    <t>30546771314</t>
  </si>
  <si>
    <t>TELMA ALDA GARCÍA</t>
  </si>
  <si>
    <t>772878</t>
  </si>
  <si>
    <t>MARIA FLORENCIA FERNANDEZ</t>
  </si>
  <si>
    <t>27340273341</t>
  </si>
  <si>
    <t>SCHELGEL, LUIS ALBERTO</t>
  </si>
  <si>
    <t>SILVIA MONICA ROJAS</t>
  </si>
  <si>
    <t>27141958807</t>
  </si>
  <si>
    <t>AGOSTINO MIRIAM</t>
  </si>
  <si>
    <t>17275405</t>
  </si>
  <si>
    <t>CONEN SILVIA ADELA</t>
  </si>
  <si>
    <t>334529</t>
  </si>
  <si>
    <t>GIGAGLIA, MARIA LUCILA</t>
  </si>
  <si>
    <t>25315045</t>
  </si>
  <si>
    <t>MAIZTEGUI ANDRÉS</t>
  </si>
  <si>
    <t>20002428</t>
  </si>
  <si>
    <t>EDUARDO PENJASOFF</t>
  </si>
  <si>
    <t>20043010973</t>
  </si>
  <si>
    <t>PEDROZO PAULA GABRIELA</t>
  </si>
  <si>
    <t>29654556</t>
  </si>
  <si>
    <t>ROBERTO, FIDALGO</t>
  </si>
  <si>
    <t>12928506</t>
  </si>
  <si>
    <t>MARTIN ANGEL QUINTAR</t>
  </si>
  <si>
    <t>20113601877</t>
  </si>
  <si>
    <t xml:space="preserve"> WINEKKER BEATRIZ</t>
  </si>
  <si>
    <t>12081614</t>
  </si>
  <si>
    <t>BIANCHI TERESA GERMANA</t>
  </si>
  <si>
    <t>2719694</t>
  </si>
  <si>
    <t>COLUCCIO, MARIANA ISABEL</t>
  </si>
  <si>
    <t>DIEGO MARCELO PAZ CACERES</t>
  </si>
  <si>
    <t>20296984435</t>
  </si>
  <si>
    <t>TORRES ELISABET NELIDA</t>
  </si>
  <si>
    <t>18276388</t>
  </si>
  <si>
    <t>KOLLIAS ULISES ALCIDES</t>
  </si>
  <si>
    <t>26587098</t>
  </si>
  <si>
    <t>CORIGLIANO, LORENA ELISA</t>
  </si>
  <si>
    <t>25864351</t>
  </si>
  <si>
    <t>MATSUO, MARGARITA NOEMI</t>
  </si>
  <si>
    <t>5607654</t>
  </si>
  <si>
    <t>CONSTANZO DE DEL CASTILLO NORMA</t>
  </si>
  <si>
    <t>026282</t>
  </si>
  <si>
    <t>MARCELLI DE SACRISTAN ELBA JOSEFINA</t>
  </si>
  <si>
    <t>0533257</t>
  </si>
  <si>
    <t>Provincia</t>
  </si>
  <si>
    <t>Ciudad</t>
  </si>
  <si>
    <t>Total IVA</t>
  </si>
  <si>
    <t>01/04/2025</t>
  </si>
  <si>
    <t>RAQUEL DURAÑONA</t>
  </si>
  <si>
    <t>4648296</t>
  </si>
  <si>
    <t>Buenos Aires</t>
  </si>
  <si>
    <t>SIN IDENTIFICAR</t>
  </si>
  <si>
    <t>FCB 0007-00005864</t>
  </si>
  <si>
    <t>FCB 0007-00005865</t>
  </si>
  <si>
    <t>04/04/2025</t>
  </si>
  <si>
    <t>KARIVALI DESPINA</t>
  </si>
  <si>
    <t>93332052</t>
  </si>
  <si>
    <t>FCB 0007-00005866</t>
  </si>
  <si>
    <t>FCB 0007-00005867</t>
  </si>
  <si>
    <t>ENRIQUE LUIS SAGGESE</t>
  </si>
  <si>
    <t>FCB 0007-00005868</t>
  </si>
  <si>
    <t>FCB 0007-00005869</t>
  </si>
  <si>
    <t>NCB 0007-00000201</t>
  </si>
  <si>
    <t>FCB 0007-00005870</t>
  </si>
  <si>
    <t>FERRAZIN, CAROLINA ELEONORA INES</t>
  </si>
  <si>
    <t>17855620</t>
  </si>
  <si>
    <t>FCB 0007-00005871</t>
  </si>
  <si>
    <t>Najus Anibal Ruben</t>
  </si>
  <si>
    <t>FCB 0007-00005872</t>
  </si>
  <si>
    <t>NCB 0007-00000202</t>
  </si>
  <si>
    <t>FCB 0007-00005873</t>
  </si>
  <si>
    <t>FCB 0007-00005874</t>
  </si>
  <si>
    <t>FCB 0007-00005875</t>
  </si>
  <si>
    <t>ARANA, MARCELLA OFELIA</t>
  </si>
  <si>
    <t>10138957</t>
  </si>
  <si>
    <t>Ciudad de Buenos Aires</t>
  </si>
  <si>
    <t>FCB 0007-00005876</t>
  </si>
  <si>
    <t>VOLPI, ALBERTO JAVIER</t>
  </si>
  <si>
    <t>FCB 0007-00005877</t>
  </si>
  <si>
    <t>BUNCHICOFF, MARIA</t>
  </si>
  <si>
    <t>705467</t>
  </si>
  <si>
    <t>FCB 0007-00005878</t>
  </si>
  <si>
    <t>MINERVINI, MARIA DEL CARMEN LILIANA</t>
  </si>
  <si>
    <t>12791306</t>
  </si>
  <si>
    <t>FCB 0007-00005879</t>
  </si>
  <si>
    <t>PILAR</t>
  </si>
  <si>
    <t>FCB 0007-00005880</t>
  </si>
  <si>
    <t>IZZO, ADRIANA</t>
  </si>
  <si>
    <t>14547747</t>
  </si>
  <si>
    <t>FCB 0007-00005881</t>
  </si>
  <si>
    <t>FCA 0006-00000598</t>
  </si>
  <si>
    <t>07/04/2025</t>
  </si>
  <si>
    <t>RICARDO ALBERTO LOWENSTERN</t>
  </si>
  <si>
    <t>20123799713</t>
  </si>
  <si>
    <t>FCB 0005-00012899</t>
  </si>
  <si>
    <t xml:space="preserve"> MAIDANA ARECO JOSE ALFREDO</t>
  </si>
  <si>
    <t>20946736415</t>
  </si>
  <si>
    <t>FCB 0005-00012902</t>
  </si>
  <si>
    <t>08/04/2025</t>
  </si>
  <si>
    <t>FCA 0006-00000599</t>
  </si>
  <si>
    <t>FCA 0006-00000600</t>
  </si>
  <si>
    <t>FCA 0006-00000601</t>
  </si>
  <si>
    <t>09/04/2025</t>
  </si>
  <si>
    <t>OBRA SOCIAL DE LA ACTIVIDAD DE SEGUROS, REASEGUROS, CAPITALIZACION Y AHORRO Y PRESTAMO  PARA LA VIVIENDA</t>
  </si>
  <si>
    <t>30500053522</t>
  </si>
  <si>
    <t>FCA 0007-00002466</t>
  </si>
  <si>
    <t>FCA 0007-00002467</t>
  </si>
  <si>
    <t>FCA 0007-00002468</t>
  </si>
  <si>
    <t>FCA 0007-00002469</t>
  </si>
  <si>
    <t>Santa Fe</t>
  </si>
  <si>
    <t>SUNCHALES</t>
  </si>
  <si>
    <t>FCB 0007-00005882</t>
  </si>
  <si>
    <t>10/04/2025</t>
  </si>
  <si>
    <t>PAULA ANDREA PIAGGIO</t>
  </si>
  <si>
    <t>27182477368</t>
  </si>
  <si>
    <t>FCA 0007-00002470</t>
  </si>
  <si>
    <t>PATRICIA ESTELA HERMAN</t>
  </si>
  <si>
    <t>27216457248</t>
  </si>
  <si>
    <t>OLIVOS</t>
  </si>
  <si>
    <t>FCB 0007-00005884</t>
  </si>
  <si>
    <t>11/04/2025</t>
  </si>
  <si>
    <t>MARIA INES LEMA</t>
  </si>
  <si>
    <t>23118620844</t>
  </si>
  <si>
    <t>VILLA LUZURIAGA</t>
  </si>
  <si>
    <t>FCB 0005-00012957</t>
  </si>
  <si>
    <t>RICARDO STROIA</t>
  </si>
  <si>
    <t>20232881179</t>
  </si>
  <si>
    <t>FCB 0007-00005885</t>
  </si>
  <si>
    <t>14/04/2025</t>
  </si>
  <si>
    <t>FCB 0007-00005888</t>
  </si>
  <si>
    <t>FCA 0007-00002474</t>
  </si>
  <si>
    <t>FCA 0007-00002476</t>
  </si>
  <si>
    <t>FCA 0007-00002477</t>
  </si>
  <si>
    <t>FCA 0007-00002478</t>
  </si>
  <si>
    <t>NCA 0007-00000183</t>
  </si>
  <si>
    <t>ANGELICA FRANCISCA LLANOS</t>
  </si>
  <si>
    <t>23186560744</t>
  </si>
  <si>
    <t>FCB 0007-00005890</t>
  </si>
  <si>
    <t>VILLA MARTELLI</t>
  </si>
  <si>
    <t>FCA 0007-00002479</t>
  </si>
  <si>
    <t>FCA 0007-00002480</t>
  </si>
  <si>
    <t>FCB 0007-00005891</t>
  </si>
  <si>
    <t>FCB 0007-00005892</t>
  </si>
  <si>
    <t>15/04/2025</t>
  </si>
  <si>
    <t>FCA 0007-00002481</t>
  </si>
  <si>
    <t>21/04/2025</t>
  </si>
  <si>
    <t>FCB 0007-00005898</t>
  </si>
  <si>
    <t>FCB 0007-00005899</t>
  </si>
  <si>
    <t>FCB 0007-00005900</t>
  </si>
  <si>
    <t>NAJUS ANIBAL RUBEN</t>
  </si>
  <si>
    <t>FCB 0007-00005901</t>
  </si>
  <si>
    <t>MAR DEL PLATA</t>
  </si>
  <si>
    <t>FCB 0007-00005902</t>
  </si>
  <si>
    <t>FCB 0007-00005903</t>
  </si>
  <si>
    <t>FCB 0007-00005904</t>
  </si>
  <si>
    <t>FCB 0007-00005905</t>
  </si>
  <si>
    <t>FCB 0007-00005906</t>
  </si>
  <si>
    <t>22/04/2025</t>
  </si>
  <si>
    <t>NCA 0007-00000002</t>
  </si>
  <si>
    <t>NCA 0006-00000089</t>
  </si>
  <si>
    <t>23/04/2025</t>
  </si>
  <si>
    <t>RAMOS MEJIA</t>
  </si>
  <si>
    <t>FCB 0007-00005908</t>
  </si>
  <si>
    <t>GLORIA LEONOR ZAMPERETTI</t>
  </si>
  <si>
    <t>27044664262</t>
  </si>
  <si>
    <t>FCB 0007-00005909</t>
  </si>
  <si>
    <t>FCB 0007-00005910</t>
  </si>
  <si>
    <t>FCB 0007-00005911</t>
  </si>
  <si>
    <t>Floresta</t>
  </si>
  <si>
    <t>FCB 0007-00005912</t>
  </si>
  <si>
    <t>FCB 0007-00005913</t>
  </si>
  <si>
    <t>FCB 0007-00005914</t>
  </si>
  <si>
    <t>FCB 0007-00005916</t>
  </si>
  <si>
    <t>JUAN EDUARDO OLMOS</t>
  </si>
  <si>
    <t>20044272440</t>
  </si>
  <si>
    <t>FCB 0007-00005917</t>
  </si>
  <si>
    <t>RIVERO DE BARBA MARÍA EMILIA</t>
  </si>
  <si>
    <t>6091102</t>
  </si>
  <si>
    <t>FCB 0007-00005918</t>
  </si>
  <si>
    <t>GENERAL RODRIGUEZ</t>
  </si>
  <si>
    <t>FCB 0007-00005919</t>
  </si>
  <si>
    <t>FCB 0007-00005920</t>
  </si>
  <si>
    <t>FCB 0007-00005921</t>
  </si>
  <si>
    <t>ANTONIO MELCHIORRE</t>
  </si>
  <si>
    <t>20144766793</t>
  </si>
  <si>
    <t>FCB 0007-00005922</t>
  </si>
  <si>
    <t>FCB 0007-00005923</t>
  </si>
  <si>
    <t>ROLDAN AYELEN</t>
  </si>
  <si>
    <t>33747639</t>
  </si>
  <si>
    <t>FCB 0007-00005924</t>
  </si>
  <si>
    <t>FCB 0007-00005925</t>
  </si>
  <si>
    <t>FLORIDA</t>
  </si>
  <si>
    <t>FCB 0007-00005926</t>
  </si>
  <si>
    <t>FCB 0007-00005927</t>
  </si>
  <si>
    <t>FCB 0007-00005928</t>
  </si>
  <si>
    <t>FCB 0007-00005929</t>
  </si>
  <si>
    <t>Balvanera</t>
  </si>
  <si>
    <t>FCB 0007-00005930</t>
  </si>
  <si>
    <t>FCB 0007-00005931</t>
  </si>
  <si>
    <t>NCB 0007-00000204</t>
  </si>
  <si>
    <t>FCB 0007-00005932</t>
  </si>
  <si>
    <t>FCB 0007-00005933</t>
  </si>
  <si>
    <t>BECCAR</t>
  </si>
  <si>
    <t>FCB 0007-00005934</t>
  </si>
  <si>
    <t>Recoleta</t>
  </si>
  <si>
    <t>FCB 0007-00005935</t>
  </si>
  <si>
    <t>FCB 0007-00005936</t>
  </si>
  <si>
    <t>FCB 0007-00005937</t>
  </si>
  <si>
    <t>FCB 0007-00005938</t>
  </si>
  <si>
    <t>FCB 0007-00005939</t>
  </si>
  <si>
    <t>Villa Urquiza</t>
  </si>
  <si>
    <t>FCB 0007-00005940</t>
  </si>
  <si>
    <t>FCB 0007-00005941</t>
  </si>
  <si>
    <t>FCB 0007-00005942</t>
  </si>
  <si>
    <t>SARANDI</t>
  </si>
  <si>
    <t>FCB 0007-00005943</t>
  </si>
  <si>
    <t>VILLA ELISA</t>
  </si>
  <si>
    <t>FCB 0007-00005944</t>
  </si>
  <si>
    <t>FCB 0007-00005945</t>
  </si>
  <si>
    <t>FCB 0007-00005946</t>
  </si>
  <si>
    <t>FCB 0007-00005947</t>
  </si>
  <si>
    <t>FCB 0007-00005948</t>
  </si>
  <si>
    <t>FCB 0007-00005949</t>
  </si>
  <si>
    <t>24/04/2025</t>
  </si>
  <si>
    <t>ALDO ANTONIO OEL PUP</t>
  </si>
  <si>
    <t>20045353215</t>
  </si>
  <si>
    <t>FCB 0005-00013043</t>
  </si>
  <si>
    <t>29/04/2025</t>
  </si>
  <si>
    <t>FCB 0007-00005953</t>
  </si>
  <si>
    <t>FCB 0007-00005954</t>
  </si>
  <si>
    <t>FCB 0007-00005955</t>
  </si>
  <si>
    <t>30/04/2025</t>
  </si>
  <si>
    <t>GISELA DEL CARMEN FUERTES</t>
  </si>
  <si>
    <t>27336602195</t>
  </si>
  <si>
    <t>FCB 0007-00005957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</si>
</sst>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4" fontId="1" fillId="0" borderId="1" xfId="0" applyNumberFormat="1" applyFont="1" applyBorder="1"/>
    <xf numFmtId="0" fontId="3" fillId="2" borderId="1" xfId="0" applyFont="1" applyFill="1" applyBorder="1"/>
    <xf numFmtId="2" fontId="0" fillId="3" borderId="1" xfId="0" applyNumberFormat="1" applyFill="1" applyBorder="1"/>
    <xf numFmtId="2" fontId="0" fillId="0" borderId="1" xfId="0" applyNumberFormat="1" applyBorder="1"/>
    <xf numFmtId="2" fontId="0" fillId="0" borderId="1" xfId="1" applyNumberFormat="1" applyFont="1" applyFill="1" applyBorder="1" applyAlignment="1" applyProtection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4"/>
  <sheetViews>
    <sheetView tabSelected="1" topLeftCell="A83" workbookViewId="0">
      <selection activeCell="L106" sqref="L105:L106"/>
    </sheetView>
  </sheetViews>
  <sheetFormatPr baseColWidth="10" defaultRowHeight="15" x14ac:dyDescent="0.25"/>
  <cols>
    <col min="2" max="2" width="30" customWidth="1"/>
    <col min="7" max="7" width="23.42578125" customWidth="1"/>
    <col min="8" max="8" width="12.7109375" bestFit="1" customWidth="1"/>
    <col min="9" max="9" width="14.85546875" customWidth="1"/>
    <col min="10" max="10" width="17.7109375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105</v>
      </c>
      <c r="E1" s="3" t="s">
        <v>106</v>
      </c>
      <c r="F1" s="3" t="s">
        <v>3</v>
      </c>
      <c r="G1" s="3" t="s">
        <v>4</v>
      </c>
      <c r="H1" s="3" t="s">
        <v>5</v>
      </c>
      <c r="I1" s="3" t="s">
        <v>107</v>
      </c>
      <c r="J1" s="3" t="s">
        <v>6</v>
      </c>
    </row>
    <row r="2" spans="1:10" x14ac:dyDescent="0.25">
      <c r="A2" s="1" t="s">
        <v>115</v>
      </c>
      <c r="B2" s="1" t="s">
        <v>20</v>
      </c>
      <c r="C2" s="1" t="s">
        <v>21</v>
      </c>
      <c r="D2" s="1" t="s">
        <v>136</v>
      </c>
      <c r="E2" s="1" t="s">
        <v>112</v>
      </c>
      <c r="F2" s="1" t="s">
        <v>14</v>
      </c>
      <c r="G2" s="1" t="s">
        <v>151</v>
      </c>
      <c r="H2" s="4">
        <v>4441493.0999999996</v>
      </c>
      <c r="I2" s="5">
        <v>932713.55</v>
      </c>
      <c r="J2" s="6">
        <v>5374206.6500000004</v>
      </c>
    </row>
    <row r="3" spans="1:10" x14ac:dyDescent="0.25">
      <c r="A3" s="1" t="s">
        <v>159</v>
      </c>
      <c r="B3" s="1" t="s">
        <v>12</v>
      </c>
      <c r="C3" s="1" t="s">
        <v>13</v>
      </c>
      <c r="D3" s="1" t="s">
        <v>136</v>
      </c>
      <c r="E3" s="1" t="s">
        <v>112</v>
      </c>
      <c r="F3" s="1" t="s">
        <v>14</v>
      </c>
      <c r="G3" s="1" t="s">
        <v>160</v>
      </c>
      <c r="H3" s="4">
        <v>2435126.39</v>
      </c>
      <c r="I3" s="5">
        <v>511376.54</v>
      </c>
      <c r="J3" s="6">
        <v>2946502.93</v>
      </c>
    </row>
    <row r="4" spans="1:10" x14ac:dyDescent="0.25">
      <c r="A4" s="1" t="s">
        <v>159</v>
      </c>
      <c r="B4" s="1" t="s">
        <v>12</v>
      </c>
      <c r="C4" s="1" t="s">
        <v>13</v>
      </c>
      <c r="D4" s="1" t="s">
        <v>136</v>
      </c>
      <c r="E4" s="1" t="s">
        <v>112</v>
      </c>
      <c r="F4" s="1" t="s">
        <v>14</v>
      </c>
      <c r="G4" s="1" t="s">
        <v>161</v>
      </c>
      <c r="H4" s="4">
        <v>17791276.530000001</v>
      </c>
      <c r="I4" s="5">
        <v>3736168.07</v>
      </c>
      <c r="J4" s="6">
        <v>21527444.600000001</v>
      </c>
    </row>
    <row r="5" spans="1:10" x14ac:dyDescent="0.25">
      <c r="A5" s="1" t="s">
        <v>159</v>
      </c>
      <c r="B5" s="1" t="s">
        <v>12</v>
      </c>
      <c r="C5" s="1" t="s">
        <v>13</v>
      </c>
      <c r="D5" s="1" t="s">
        <v>136</v>
      </c>
      <c r="E5" s="1" t="s">
        <v>112</v>
      </c>
      <c r="F5" s="1" t="s">
        <v>14</v>
      </c>
      <c r="G5" s="1" t="s">
        <v>162</v>
      </c>
      <c r="H5" s="4">
        <v>1345335.83</v>
      </c>
      <c r="I5" s="5">
        <v>282520.52</v>
      </c>
      <c r="J5" s="6">
        <v>1627856.35</v>
      </c>
    </row>
    <row r="6" spans="1:10" x14ac:dyDescent="0.25">
      <c r="A6" s="1" t="s">
        <v>163</v>
      </c>
      <c r="B6" s="1" t="s">
        <v>164</v>
      </c>
      <c r="C6" s="1" t="s">
        <v>165</v>
      </c>
      <c r="D6" s="1" t="s">
        <v>136</v>
      </c>
      <c r="E6" s="1" t="s">
        <v>112</v>
      </c>
      <c r="F6" s="1" t="s">
        <v>14</v>
      </c>
      <c r="G6" s="1" t="s">
        <v>166</v>
      </c>
      <c r="H6" s="4">
        <v>30462.81</v>
      </c>
      <c r="I6" s="5">
        <v>6397.19</v>
      </c>
      <c r="J6" s="6">
        <v>36860</v>
      </c>
    </row>
    <row r="7" spans="1:10" x14ac:dyDescent="0.25">
      <c r="A7" s="1" t="s">
        <v>163</v>
      </c>
      <c r="B7" s="1" t="s">
        <v>164</v>
      </c>
      <c r="C7" s="1" t="s">
        <v>165</v>
      </c>
      <c r="D7" s="1" t="s">
        <v>136</v>
      </c>
      <c r="E7" s="1" t="s">
        <v>112</v>
      </c>
      <c r="F7" s="1" t="s">
        <v>14</v>
      </c>
      <c r="G7" s="1" t="s">
        <v>167</v>
      </c>
      <c r="H7" s="4">
        <v>42314.05</v>
      </c>
      <c r="I7" s="5">
        <v>8885.9500000000007</v>
      </c>
      <c r="J7" s="6">
        <v>51200</v>
      </c>
    </row>
    <row r="8" spans="1:10" x14ac:dyDescent="0.25">
      <c r="A8" s="1" t="s">
        <v>163</v>
      </c>
      <c r="B8" s="1" t="s">
        <v>164</v>
      </c>
      <c r="C8" s="1" t="s">
        <v>165</v>
      </c>
      <c r="D8" s="1" t="s">
        <v>136</v>
      </c>
      <c r="E8" s="1" t="s">
        <v>112</v>
      </c>
      <c r="F8" s="1" t="s">
        <v>14</v>
      </c>
      <c r="G8" s="1" t="s">
        <v>168</v>
      </c>
      <c r="H8" s="4">
        <v>135537.19</v>
      </c>
      <c r="I8" s="5">
        <v>28462.81</v>
      </c>
      <c r="J8" s="6">
        <v>164000</v>
      </c>
    </row>
    <row r="9" spans="1:10" x14ac:dyDescent="0.25">
      <c r="A9" s="1" t="s">
        <v>163</v>
      </c>
      <c r="B9" s="1" t="s">
        <v>61</v>
      </c>
      <c r="C9" s="1" t="s">
        <v>62</v>
      </c>
      <c r="D9" s="1" t="s">
        <v>136</v>
      </c>
      <c r="E9" s="1" t="s">
        <v>112</v>
      </c>
      <c r="F9" s="1" t="s">
        <v>14</v>
      </c>
      <c r="G9" s="1" t="s">
        <v>169</v>
      </c>
      <c r="H9" s="4">
        <v>52661.16</v>
      </c>
      <c r="I9" s="5">
        <v>11058.84</v>
      </c>
      <c r="J9" s="6">
        <v>63720</v>
      </c>
    </row>
    <row r="10" spans="1:10" x14ac:dyDescent="0.25">
      <c r="A10" s="1" t="s">
        <v>173</v>
      </c>
      <c r="B10" s="1" t="s">
        <v>174</v>
      </c>
      <c r="C10" s="1" t="s">
        <v>175</v>
      </c>
      <c r="D10" s="1" t="s">
        <v>136</v>
      </c>
      <c r="E10" s="1" t="s">
        <v>112</v>
      </c>
      <c r="F10" s="1" t="s">
        <v>14</v>
      </c>
      <c r="G10" s="1" t="s">
        <v>176</v>
      </c>
      <c r="H10" s="4">
        <v>65289.26</v>
      </c>
      <c r="I10" s="5">
        <v>13710.74</v>
      </c>
      <c r="J10" s="6">
        <v>79000</v>
      </c>
    </row>
    <row r="11" spans="1:10" x14ac:dyDescent="0.25">
      <c r="A11" s="1" t="s">
        <v>189</v>
      </c>
      <c r="B11" s="1" t="s">
        <v>33</v>
      </c>
      <c r="C11" s="1" t="s">
        <v>34</v>
      </c>
      <c r="D11" s="1" t="s">
        <v>136</v>
      </c>
      <c r="E11" s="1" t="s">
        <v>112</v>
      </c>
      <c r="F11" s="1" t="s">
        <v>14</v>
      </c>
      <c r="G11" s="1" t="s">
        <v>191</v>
      </c>
      <c r="H11" s="4">
        <v>382115.7</v>
      </c>
      <c r="I11" s="5">
        <v>80244.3</v>
      </c>
      <c r="J11" s="6">
        <v>462360</v>
      </c>
    </row>
    <row r="12" spans="1:10" x14ac:dyDescent="0.25">
      <c r="A12" s="1" t="s">
        <v>189</v>
      </c>
      <c r="B12" s="1" t="s">
        <v>27</v>
      </c>
      <c r="C12" s="1" t="s">
        <v>28</v>
      </c>
      <c r="D12" s="1" t="s">
        <v>136</v>
      </c>
      <c r="E12" s="1" t="s">
        <v>112</v>
      </c>
      <c r="F12" s="1" t="s">
        <v>14</v>
      </c>
      <c r="G12" s="1" t="s">
        <v>192</v>
      </c>
      <c r="H12" s="4">
        <v>404206.11</v>
      </c>
      <c r="I12" s="5">
        <v>84883.28</v>
      </c>
      <c r="J12" s="6">
        <v>489089.39</v>
      </c>
    </row>
    <row r="13" spans="1:10" x14ac:dyDescent="0.25">
      <c r="A13" s="1" t="s">
        <v>189</v>
      </c>
      <c r="B13" s="1" t="s">
        <v>27</v>
      </c>
      <c r="C13" s="1" t="s">
        <v>28</v>
      </c>
      <c r="D13" s="1" t="s">
        <v>136</v>
      </c>
      <c r="E13" s="1" t="s">
        <v>112</v>
      </c>
      <c r="F13" s="1" t="s">
        <v>14</v>
      </c>
      <c r="G13" s="1" t="s">
        <v>193</v>
      </c>
      <c r="H13" s="4">
        <v>375714.02</v>
      </c>
      <c r="I13" s="5">
        <v>78899.94</v>
      </c>
      <c r="J13" s="6">
        <v>454613.96</v>
      </c>
    </row>
    <row r="14" spans="1:10" x14ac:dyDescent="0.25">
      <c r="A14" s="1" t="s">
        <v>189</v>
      </c>
      <c r="B14" s="1" t="s">
        <v>33</v>
      </c>
      <c r="C14" s="1" t="s">
        <v>34</v>
      </c>
      <c r="D14" s="1" t="s">
        <v>136</v>
      </c>
      <c r="E14" s="1" t="s">
        <v>112</v>
      </c>
      <c r="F14" s="1" t="s">
        <v>14</v>
      </c>
      <c r="G14" s="1" t="s">
        <v>194</v>
      </c>
      <c r="H14" s="4">
        <v>373115.7</v>
      </c>
      <c r="I14" s="5">
        <v>78354.3</v>
      </c>
      <c r="J14" s="6">
        <v>451470</v>
      </c>
    </row>
    <row r="15" spans="1:10" x14ac:dyDescent="0.25">
      <c r="A15" s="1" t="s">
        <v>189</v>
      </c>
      <c r="B15" s="1" t="s">
        <v>15</v>
      </c>
      <c r="C15" s="1" t="s">
        <v>16</v>
      </c>
      <c r="D15" s="1" t="s">
        <v>111</v>
      </c>
      <c r="E15" s="1" t="s">
        <v>199</v>
      </c>
      <c r="F15" s="1" t="s">
        <v>14</v>
      </c>
      <c r="G15" s="1" t="s">
        <v>200</v>
      </c>
      <c r="H15" s="4">
        <v>471041.32</v>
      </c>
      <c r="I15" s="5">
        <v>98918.68</v>
      </c>
      <c r="J15" s="6">
        <v>569960</v>
      </c>
    </row>
    <row r="16" spans="1:10" x14ac:dyDescent="0.25">
      <c r="A16" s="1" t="s">
        <v>189</v>
      </c>
      <c r="B16" s="1" t="s">
        <v>37</v>
      </c>
      <c r="C16" s="1" t="s">
        <v>38</v>
      </c>
      <c r="D16" s="1" t="s">
        <v>136</v>
      </c>
      <c r="E16" s="1" t="s">
        <v>112</v>
      </c>
      <c r="F16" s="1" t="s">
        <v>14</v>
      </c>
      <c r="G16" s="1" t="s">
        <v>201</v>
      </c>
      <c r="H16" s="4">
        <v>68599.31</v>
      </c>
      <c r="I16" s="5">
        <v>14405.85</v>
      </c>
      <c r="J16" s="6">
        <v>83005.16</v>
      </c>
    </row>
    <row r="17" spans="1:10" x14ac:dyDescent="0.25">
      <c r="A17" s="1" t="s">
        <v>204</v>
      </c>
      <c r="B17" s="1" t="s">
        <v>47</v>
      </c>
      <c r="C17" s="1" t="s">
        <v>48</v>
      </c>
      <c r="D17" s="1" t="s">
        <v>136</v>
      </c>
      <c r="E17" s="1" t="s">
        <v>112</v>
      </c>
      <c r="F17" s="1" t="s">
        <v>14</v>
      </c>
      <c r="G17" s="1" t="s">
        <v>205</v>
      </c>
      <c r="H17" s="4">
        <v>339471.9</v>
      </c>
      <c r="I17" s="5">
        <v>71289.100000000006</v>
      </c>
      <c r="J17" s="6">
        <v>410761</v>
      </c>
    </row>
    <row r="18" spans="1:10" x14ac:dyDescent="0.25">
      <c r="A18" s="1" t="s">
        <v>218</v>
      </c>
      <c r="B18" s="1" t="s">
        <v>12</v>
      </c>
      <c r="C18" s="1" t="s">
        <v>13</v>
      </c>
      <c r="D18" s="1" t="s">
        <v>136</v>
      </c>
      <c r="E18" s="1" t="s">
        <v>112</v>
      </c>
      <c r="F18" s="1" t="s">
        <v>14</v>
      </c>
      <c r="G18" s="1" t="s">
        <v>220</v>
      </c>
      <c r="H18" s="4">
        <v>-367577.31</v>
      </c>
      <c r="I18" s="5">
        <v>-77191.240000000005</v>
      </c>
      <c r="J18" s="5">
        <v>-444768.55</v>
      </c>
    </row>
    <row r="19" spans="1:10" x14ac:dyDescent="0.25">
      <c r="A19" s="1" t="s">
        <v>218</v>
      </c>
      <c r="B19" s="1" t="s">
        <v>12</v>
      </c>
      <c r="C19" s="1" t="s">
        <v>13</v>
      </c>
      <c r="D19" s="1" t="s">
        <v>136</v>
      </c>
      <c r="E19" s="1" t="s">
        <v>112</v>
      </c>
      <c r="F19" s="1" t="s">
        <v>14</v>
      </c>
      <c r="G19" s="1" t="s">
        <v>219</v>
      </c>
      <c r="H19" s="4">
        <v>-112869.56</v>
      </c>
      <c r="I19" s="5">
        <v>-23702.61</v>
      </c>
      <c r="J19" s="5">
        <v>-136572.17000000001</v>
      </c>
    </row>
    <row r="20" spans="1:10" x14ac:dyDescent="0.25">
      <c r="A20" s="1" t="s">
        <v>189</v>
      </c>
      <c r="B20" s="1" t="s">
        <v>33</v>
      </c>
      <c r="C20" s="1" t="s">
        <v>34</v>
      </c>
      <c r="D20" s="1" t="s">
        <v>136</v>
      </c>
      <c r="E20" s="1" t="s">
        <v>112</v>
      </c>
      <c r="F20" s="1" t="s">
        <v>14</v>
      </c>
      <c r="G20" s="1" t="s">
        <v>195</v>
      </c>
      <c r="H20" s="4">
        <v>-382115.7</v>
      </c>
      <c r="I20" s="5">
        <v>-80244.3</v>
      </c>
      <c r="J20" s="6">
        <v>-462360</v>
      </c>
    </row>
    <row r="21" spans="1:10" x14ac:dyDescent="0.25">
      <c r="A21" s="1"/>
      <c r="B21" s="1"/>
      <c r="C21" s="1"/>
      <c r="D21" s="1"/>
      <c r="E21" s="1"/>
      <c r="F21" s="1"/>
      <c r="G21" s="1"/>
      <c r="H21" s="2">
        <f>SUM(H2:H20)</f>
        <v>27891197.810000002</v>
      </c>
      <c r="I21" s="2">
        <f>SUM(I2:I20)</f>
        <v>5857151.5099999988</v>
      </c>
      <c r="J21" s="2">
        <f>SUM(J2:J20)</f>
        <v>33748349.32</v>
      </c>
    </row>
    <row r="22" spans="1:10" x14ac:dyDescent="0.25">
      <c r="A22" s="1"/>
      <c r="B22" s="1"/>
      <c r="C22" s="1"/>
      <c r="D22" s="1"/>
      <c r="E22" s="1"/>
      <c r="F22" s="1"/>
      <c r="G22" s="1"/>
      <c r="H22" s="4"/>
      <c r="I22" s="5"/>
      <c r="J22" s="6"/>
    </row>
    <row r="23" spans="1:10" x14ac:dyDescent="0.25">
      <c r="A23" s="1"/>
      <c r="B23" s="1"/>
      <c r="C23" s="1"/>
      <c r="D23" s="1"/>
      <c r="E23" s="1"/>
      <c r="F23" s="1"/>
      <c r="G23" s="1"/>
      <c r="H23" s="4"/>
      <c r="I23" s="5"/>
      <c r="J23" s="6"/>
    </row>
    <row r="24" spans="1:10" x14ac:dyDescent="0.25">
      <c r="A24" s="1"/>
      <c r="B24" s="1"/>
      <c r="C24" s="1"/>
      <c r="D24" s="1"/>
      <c r="E24" s="1"/>
      <c r="F24" s="1"/>
      <c r="G24" s="1"/>
      <c r="H24" s="4"/>
      <c r="I24" s="5"/>
      <c r="J24" s="6"/>
    </row>
    <row r="25" spans="1:10" x14ac:dyDescent="0.25">
      <c r="A25" s="1" t="s">
        <v>152</v>
      </c>
      <c r="B25" s="1" t="s">
        <v>153</v>
      </c>
      <c r="C25" s="1" t="s">
        <v>154</v>
      </c>
      <c r="D25" s="1" t="s">
        <v>136</v>
      </c>
      <c r="E25" s="1" t="s">
        <v>112</v>
      </c>
      <c r="F25" s="1" t="s">
        <v>46</v>
      </c>
      <c r="G25" s="1" t="s">
        <v>155</v>
      </c>
      <c r="H25" s="4">
        <v>18595.04</v>
      </c>
      <c r="I25" s="5">
        <v>3904.96</v>
      </c>
      <c r="J25" s="5">
        <v>22500</v>
      </c>
    </row>
    <row r="26" spans="1:10" x14ac:dyDescent="0.25">
      <c r="A26" s="1" t="s">
        <v>152</v>
      </c>
      <c r="B26" s="1" t="s">
        <v>156</v>
      </c>
      <c r="C26" s="1" t="s">
        <v>157</v>
      </c>
      <c r="D26" s="1" t="s">
        <v>136</v>
      </c>
      <c r="E26" s="1" t="s">
        <v>112</v>
      </c>
      <c r="F26" s="1" t="s">
        <v>7</v>
      </c>
      <c r="G26" s="1" t="s">
        <v>158</v>
      </c>
      <c r="H26" s="4">
        <v>18595.04</v>
      </c>
      <c r="I26" s="5">
        <v>3904.96</v>
      </c>
      <c r="J26" s="5">
        <v>22500</v>
      </c>
    </row>
    <row r="27" spans="1:10" x14ac:dyDescent="0.25">
      <c r="A27" s="1" t="s">
        <v>181</v>
      </c>
      <c r="B27" s="1" t="s">
        <v>182</v>
      </c>
      <c r="C27" s="1" t="s">
        <v>183</v>
      </c>
      <c r="D27" s="1" t="s">
        <v>111</v>
      </c>
      <c r="E27" s="1" t="s">
        <v>184</v>
      </c>
      <c r="F27" s="1" t="s">
        <v>7</v>
      </c>
      <c r="G27" s="1" t="s">
        <v>185</v>
      </c>
      <c r="H27" s="4">
        <v>27768.6</v>
      </c>
      <c r="I27" s="5">
        <v>5831.4</v>
      </c>
      <c r="J27" s="5">
        <v>33600</v>
      </c>
    </row>
    <row r="28" spans="1:10" x14ac:dyDescent="0.25">
      <c r="A28" s="1" t="s">
        <v>284</v>
      </c>
      <c r="B28" s="1" t="s">
        <v>285</v>
      </c>
      <c r="C28" s="1" t="s">
        <v>286</v>
      </c>
      <c r="D28" s="1" t="s">
        <v>136</v>
      </c>
      <c r="E28" s="1" t="s">
        <v>112</v>
      </c>
      <c r="F28" s="1" t="s">
        <v>7</v>
      </c>
      <c r="G28" s="1" t="s">
        <v>287</v>
      </c>
      <c r="H28" s="4">
        <v>18181.82</v>
      </c>
      <c r="I28" s="5">
        <v>3818.18</v>
      </c>
      <c r="J28" s="5">
        <v>22000</v>
      </c>
    </row>
    <row r="29" spans="1:10" x14ac:dyDescent="0.25">
      <c r="A29" s="1" t="s">
        <v>108</v>
      </c>
      <c r="B29" s="1" t="s">
        <v>109</v>
      </c>
      <c r="C29" s="1" t="s">
        <v>110</v>
      </c>
      <c r="D29" s="1" t="s">
        <v>111</v>
      </c>
      <c r="E29" s="1" t="s">
        <v>112</v>
      </c>
      <c r="F29" s="1" t="s">
        <v>7</v>
      </c>
      <c r="G29" s="1" t="s">
        <v>113</v>
      </c>
      <c r="H29" s="4">
        <v>22314.05</v>
      </c>
      <c r="I29" s="5">
        <v>4685.95</v>
      </c>
      <c r="J29" s="5">
        <v>27000</v>
      </c>
    </row>
    <row r="30" spans="1:10" x14ac:dyDescent="0.25">
      <c r="A30" s="1" t="s">
        <v>108</v>
      </c>
      <c r="B30" s="1" t="s">
        <v>109</v>
      </c>
      <c r="C30" s="1" t="s">
        <v>110</v>
      </c>
      <c r="D30" s="1" t="s">
        <v>111</v>
      </c>
      <c r="E30" s="1" t="s">
        <v>112</v>
      </c>
      <c r="F30" s="1" t="s">
        <v>7</v>
      </c>
      <c r="G30" s="1" t="s">
        <v>114</v>
      </c>
      <c r="H30" s="4">
        <v>22314.05</v>
      </c>
      <c r="I30" s="5">
        <v>4685.95</v>
      </c>
      <c r="J30" s="5">
        <v>27000</v>
      </c>
    </row>
    <row r="31" spans="1:10" x14ac:dyDescent="0.25">
      <c r="A31" s="1" t="s">
        <v>115</v>
      </c>
      <c r="B31" s="1" t="s">
        <v>116</v>
      </c>
      <c r="C31" s="1" t="s">
        <v>117</v>
      </c>
      <c r="D31" s="1" t="s">
        <v>111</v>
      </c>
      <c r="E31" s="1" t="s">
        <v>112</v>
      </c>
      <c r="F31" s="1" t="s">
        <v>7</v>
      </c>
      <c r="G31" s="1" t="s">
        <v>118</v>
      </c>
      <c r="H31" s="4">
        <v>8177.69</v>
      </c>
      <c r="I31" s="5">
        <v>1717.31</v>
      </c>
      <c r="J31" s="5">
        <v>9895</v>
      </c>
    </row>
    <row r="32" spans="1:10" x14ac:dyDescent="0.25">
      <c r="A32" s="1" t="s">
        <v>115</v>
      </c>
      <c r="B32" s="1" t="s">
        <v>116</v>
      </c>
      <c r="C32" s="1" t="s">
        <v>117</v>
      </c>
      <c r="D32" s="1" t="s">
        <v>111</v>
      </c>
      <c r="E32" s="1" t="s">
        <v>112</v>
      </c>
      <c r="F32" s="1" t="s">
        <v>7</v>
      </c>
      <c r="G32" s="1" t="s">
        <v>119</v>
      </c>
      <c r="H32" s="4">
        <v>8400.83</v>
      </c>
      <c r="I32" s="5">
        <v>1764.17</v>
      </c>
      <c r="J32" s="5">
        <v>10165</v>
      </c>
    </row>
    <row r="33" spans="1:10" x14ac:dyDescent="0.25">
      <c r="A33" s="1" t="s">
        <v>115</v>
      </c>
      <c r="B33" s="1" t="s">
        <v>120</v>
      </c>
      <c r="C33" s="1"/>
      <c r="D33" s="1" t="s">
        <v>111</v>
      </c>
      <c r="E33" s="1" t="s">
        <v>112</v>
      </c>
      <c r="F33" s="1" t="s">
        <v>7</v>
      </c>
      <c r="G33" s="1" t="s">
        <v>121</v>
      </c>
      <c r="H33" s="4">
        <v>33057.85</v>
      </c>
      <c r="I33" s="5">
        <v>6942.15</v>
      </c>
      <c r="J33" s="5">
        <v>40000</v>
      </c>
    </row>
    <row r="34" spans="1:10" x14ac:dyDescent="0.25">
      <c r="A34" s="1" t="s">
        <v>115</v>
      </c>
      <c r="B34" s="1" t="s">
        <v>120</v>
      </c>
      <c r="C34" s="1"/>
      <c r="D34" s="1" t="s">
        <v>111</v>
      </c>
      <c r="E34" s="1" t="s">
        <v>112</v>
      </c>
      <c r="F34" s="1" t="s">
        <v>7</v>
      </c>
      <c r="G34" s="1" t="s">
        <v>122</v>
      </c>
      <c r="H34" s="4">
        <v>39669.42</v>
      </c>
      <c r="I34" s="5">
        <v>8330.58</v>
      </c>
      <c r="J34" s="5">
        <v>48000</v>
      </c>
    </row>
    <row r="35" spans="1:10" x14ac:dyDescent="0.25">
      <c r="A35" s="1" t="s">
        <v>115</v>
      </c>
      <c r="B35" s="1" t="s">
        <v>120</v>
      </c>
      <c r="C35" s="1"/>
      <c r="D35" s="1" t="s">
        <v>111</v>
      </c>
      <c r="E35" s="1" t="s">
        <v>112</v>
      </c>
      <c r="F35" s="1" t="s">
        <v>7</v>
      </c>
      <c r="G35" s="1" t="s">
        <v>124</v>
      </c>
      <c r="H35" s="4">
        <v>33057.85</v>
      </c>
      <c r="I35" s="5">
        <v>6942.15</v>
      </c>
      <c r="J35" s="5">
        <v>40000</v>
      </c>
    </row>
    <row r="36" spans="1:10" x14ac:dyDescent="0.25">
      <c r="A36" s="1" t="s">
        <v>115</v>
      </c>
      <c r="B36" s="1" t="s">
        <v>125</v>
      </c>
      <c r="C36" s="1" t="s">
        <v>126</v>
      </c>
      <c r="D36" s="1" t="s">
        <v>111</v>
      </c>
      <c r="E36" s="1" t="s">
        <v>112</v>
      </c>
      <c r="F36" s="1" t="s">
        <v>7</v>
      </c>
      <c r="G36" s="1" t="s">
        <v>127</v>
      </c>
      <c r="H36" s="4">
        <v>44628.1</v>
      </c>
      <c r="I36" s="5">
        <v>9371.9</v>
      </c>
      <c r="J36" s="5">
        <v>54000</v>
      </c>
    </row>
    <row r="37" spans="1:10" x14ac:dyDescent="0.25">
      <c r="A37" s="1" t="s">
        <v>115</v>
      </c>
      <c r="B37" s="1" t="s">
        <v>128</v>
      </c>
      <c r="C37" s="1"/>
      <c r="D37" s="1" t="s">
        <v>111</v>
      </c>
      <c r="E37" s="1" t="s">
        <v>112</v>
      </c>
      <c r="F37" s="1" t="s">
        <v>7</v>
      </c>
      <c r="G37" s="1" t="s">
        <v>129</v>
      </c>
      <c r="H37" s="4">
        <v>15702.48</v>
      </c>
      <c r="I37" s="5">
        <v>3297.52</v>
      </c>
      <c r="J37" s="5">
        <v>19000</v>
      </c>
    </row>
    <row r="38" spans="1:10" x14ac:dyDescent="0.25">
      <c r="A38" s="1" t="s">
        <v>115</v>
      </c>
      <c r="B38" s="1" t="s">
        <v>128</v>
      </c>
      <c r="C38" s="1"/>
      <c r="D38" s="1" t="s">
        <v>111</v>
      </c>
      <c r="E38" s="1" t="s">
        <v>112</v>
      </c>
      <c r="F38" s="1" t="s">
        <v>7</v>
      </c>
      <c r="G38" s="1" t="s">
        <v>131</v>
      </c>
      <c r="H38" s="4">
        <v>14876.03</v>
      </c>
      <c r="I38" s="5">
        <v>3123.97</v>
      </c>
      <c r="J38" s="5">
        <v>18000</v>
      </c>
    </row>
    <row r="39" spans="1:10" x14ac:dyDescent="0.25">
      <c r="A39" s="1" t="s">
        <v>115</v>
      </c>
      <c r="B39" s="1" t="s">
        <v>128</v>
      </c>
      <c r="C39" s="1"/>
      <c r="D39" s="1" t="s">
        <v>111</v>
      </c>
      <c r="E39" s="1" t="s">
        <v>112</v>
      </c>
      <c r="F39" s="1" t="s">
        <v>7</v>
      </c>
      <c r="G39" s="1" t="s">
        <v>132</v>
      </c>
      <c r="H39" s="4">
        <v>17355.37</v>
      </c>
      <c r="I39" s="5">
        <v>3644.63</v>
      </c>
      <c r="J39" s="5">
        <v>21000</v>
      </c>
    </row>
    <row r="40" spans="1:10" x14ac:dyDescent="0.25">
      <c r="A40" s="1" t="s">
        <v>115</v>
      </c>
      <c r="B40" s="1" t="s">
        <v>128</v>
      </c>
      <c r="C40" s="1"/>
      <c r="D40" s="1" t="s">
        <v>111</v>
      </c>
      <c r="E40" s="1" t="s">
        <v>112</v>
      </c>
      <c r="F40" s="1" t="s">
        <v>7</v>
      </c>
      <c r="G40" s="1" t="s">
        <v>133</v>
      </c>
      <c r="H40" s="4">
        <v>17355.37</v>
      </c>
      <c r="I40" s="5">
        <v>3644.63</v>
      </c>
      <c r="J40" s="5">
        <v>21000</v>
      </c>
    </row>
    <row r="41" spans="1:10" x14ac:dyDescent="0.25">
      <c r="A41" s="1" t="s">
        <v>115</v>
      </c>
      <c r="B41" s="1" t="s">
        <v>134</v>
      </c>
      <c r="C41" s="1" t="s">
        <v>135</v>
      </c>
      <c r="D41" s="1" t="s">
        <v>136</v>
      </c>
      <c r="E41" s="1" t="s">
        <v>112</v>
      </c>
      <c r="F41" s="1" t="s">
        <v>7</v>
      </c>
      <c r="G41" s="1" t="s">
        <v>137</v>
      </c>
      <c r="H41" s="4">
        <v>17355.37</v>
      </c>
      <c r="I41" s="5">
        <v>3644.63</v>
      </c>
      <c r="J41" s="5">
        <v>21000</v>
      </c>
    </row>
    <row r="42" spans="1:10" x14ac:dyDescent="0.25">
      <c r="A42" s="1" t="s">
        <v>115</v>
      </c>
      <c r="B42" s="1" t="s">
        <v>138</v>
      </c>
      <c r="C42" s="1"/>
      <c r="D42" s="1" t="s">
        <v>136</v>
      </c>
      <c r="E42" s="1" t="s">
        <v>112</v>
      </c>
      <c r="F42" s="1" t="s">
        <v>7</v>
      </c>
      <c r="G42" s="1" t="s">
        <v>139</v>
      </c>
      <c r="H42" s="4">
        <v>22314.05</v>
      </c>
      <c r="I42" s="5">
        <v>4685.95</v>
      </c>
      <c r="J42" s="5">
        <v>27000</v>
      </c>
    </row>
    <row r="43" spans="1:10" x14ac:dyDescent="0.25">
      <c r="A43" s="1" t="s">
        <v>115</v>
      </c>
      <c r="B43" s="1" t="s">
        <v>140</v>
      </c>
      <c r="C43" s="1" t="s">
        <v>141</v>
      </c>
      <c r="D43" s="1" t="s">
        <v>136</v>
      </c>
      <c r="E43" s="1" t="s">
        <v>112</v>
      </c>
      <c r="F43" s="1" t="s">
        <v>7</v>
      </c>
      <c r="G43" s="1" t="s">
        <v>142</v>
      </c>
      <c r="H43" s="4">
        <v>17355.37</v>
      </c>
      <c r="I43" s="5">
        <v>3644.63</v>
      </c>
      <c r="J43" s="5">
        <v>21000</v>
      </c>
    </row>
    <row r="44" spans="1:10" x14ac:dyDescent="0.25">
      <c r="A44" s="1" t="s">
        <v>115</v>
      </c>
      <c r="B44" s="1" t="s">
        <v>143</v>
      </c>
      <c r="C44" s="1" t="s">
        <v>144</v>
      </c>
      <c r="D44" s="1" t="s">
        <v>111</v>
      </c>
      <c r="E44" s="1" t="s">
        <v>112</v>
      </c>
      <c r="F44" s="1" t="s">
        <v>7</v>
      </c>
      <c r="G44" s="1" t="s">
        <v>145</v>
      </c>
      <c r="H44" s="4">
        <v>28099.17</v>
      </c>
      <c r="I44" s="5">
        <v>5900.83</v>
      </c>
      <c r="J44" s="5">
        <v>34000</v>
      </c>
    </row>
    <row r="45" spans="1:10" x14ac:dyDescent="0.25">
      <c r="A45" s="1" t="s">
        <v>115</v>
      </c>
      <c r="B45" s="1" t="s">
        <v>55</v>
      </c>
      <c r="C45" s="1" t="s">
        <v>56</v>
      </c>
      <c r="D45" s="1" t="s">
        <v>111</v>
      </c>
      <c r="E45" s="1" t="s">
        <v>146</v>
      </c>
      <c r="F45" s="1" t="s">
        <v>7</v>
      </c>
      <c r="G45" s="1" t="s">
        <v>147</v>
      </c>
      <c r="H45" s="4">
        <v>37190.080000000002</v>
      </c>
      <c r="I45" s="5">
        <v>7809.92</v>
      </c>
      <c r="J45" s="5">
        <v>45000</v>
      </c>
    </row>
    <row r="46" spans="1:10" x14ac:dyDescent="0.25">
      <c r="A46" s="1" t="s">
        <v>115</v>
      </c>
      <c r="B46" s="1" t="s">
        <v>148</v>
      </c>
      <c r="C46" s="1" t="s">
        <v>149</v>
      </c>
      <c r="D46" s="1" t="s">
        <v>136</v>
      </c>
      <c r="E46" s="1" t="s">
        <v>112</v>
      </c>
      <c r="F46" s="1" t="s">
        <v>7</v>
      </c>
      <c r="G46" s="1" t="s">
        <v>150</v>
      </c>
      <c r="H46" s="4">
        <v>26446.28</v>
      </c>
      <c r="I46" s="5">
        <v>5553.72</v>
      </c>
      <c r="J46" s="5">
        <v>32000</v>
      </c>
    </row>
    <row r="47" spans="1:10" x14ac:dyDescent="0.25">
      <c r="A47" s="1" t="s">
        <v>163</v>
      </c>
      <c r="B47" s="1" t="s">
        <v>17</v>
      </c>
      <c r="C47" s="1" t="s">
        <v>18</v>
      </c>
      <c r="D47" s="1" t="s">
        <v>170</v>
      </c>
      <c r="E47" s="1" t="s">
        <v>171</v>
      </c>
      <c r="F47" s="1" t="s">
        <v>19</v>
      </c>
      <c r="G47" s="1" t="s">
        <v>172</v>
      </c>
      <c r="H47" s="4">
        <v>1659486.26</v>
      </c>
      <c r="I47" s="5">
        <v>348492.11459999997</v>
      </c>
      <c r="J47" s="5">
        <v>2007978.3746</v>
      </c>
    </row>
    <row r="48" spans="1:10" x14ac:dyDescent="0.25">
      <c r="A48" s="1" t="s">
        <v>173</v>
      </c>
      <c r="B48" s="1" t="s">
        <v>177</v>
      </c>
      <c r="C48" s="1" t="s">
        <v>178</v>
      </c>
      <c r="D48" s="1" t="s">
        <v>111</v>
      </c>
      <c r="E48" s="1" t="s">
        <v>179</v>
      </c>
      <c r="F48" s="1" t="s">
        <v>7</v>
      </c>
      <c r="G48" s="1" t="s">
        <v>180</v>
      </c>
      <c r="H48" s="4">
        <v>49586.78</v>
      </c>
      <c r="I48" s="5">
        <v>10413.219999999999</v>
      </c>
      <c r="J48" s="5">
        <v>60000</v>
      </c>
    </row>
    <row r="49" spans="1:10" x14ac:dyDescent="0.25">
      <c r="A49" s="1" t="s">
        <v>181</v>
      </c>
      <c r="B49" s="1" t="s">
        <v>186</v>
      </c>
      <c r="C49" s="1" t="s">
        <v>187</v>
      </c>
      <c r="D49" s="1" t="s">
        <v>136</v>
      </c>
      <c r="E49" s="1" t="s">
        <v>112</v>
      </c>
      <c r="F49" s="1" t="s">
        <v>7</v>
      </c>
      <c r="G49" s="1" t="s">
        <v>188</v>
      </c>
      <c r="H49" s="4">
        <v>18595.04</v>
      </c>
      <c r="I49" s="5">
        <v>3904.96</v>
      </c>
      <c r="J49" s="5">
        <v>22500</v>
      </c>
    </row>
    <row r="50" spans="1:10" x14ac:dyDescent="0.25">
      <c r="A50" s="1" t="s">
        <v>189</v>
      </c>
      <c r="B50" s="1" t="s">
        <v>49</v>
      </c>
      <c r="C50" s="1" t="s">
        <v>50</v>
      </c>
      <c r="D50" s="1" t="s">
        <v>136</v>
      </c>
      <c r="E50" s="1" t="s">
        <v>112</v>
      </c>
      <c r="F50" s="1" t="s">
        <v>19</v>
      </c>
      <c r="G50" s="1" t="s">
        <v>190</v>
      </c>
      <c r="H50" s="4">
        <v>589674.38</v>
      </c>
      <c r="I50" s="5">
        <v>123831.62</v>
      </c>
      <c r="J50" s="5">
        <v>713506</v>
      </c>
    </row>
    <row r="51" spans="1:10" x14ac:dyDescent="0.25">
      <c r="A51" s="1" t="s">
        <v>189</v>
      </c>
      <c r="B51" s="1" t="s">
        <v>196</v>
      </c>
      <c r="C51" s="1" t="s">
        <v>197</v>
      </c>
      <c r="D51" s="1" t="s">
        <v>136</v>
      </c>
      <c r="E51" s="1" t="s">
        <v>112</v>
      </c>
      <c r="F51" s="1" t="s">
        <v>7</v>
      </c>
      <c r="G51" s="1" t="s">
        <v>198</v>
      </c>
      <c r="H51" s="4">
        <v>18595.04</v>
      </c>
      <c r="I51" s="5">
        <v>3904.96</v>
      </c>
      <c r="J51" s="5">
        <v>22500</v>
      </c>
    </row>
    <row r="52" spans="1:10" x14ac:dyDescent="0.25">
      <c r="A52" s="1" t="s">
        <v>189</v>
      </c>
      <c r="B52" s="1" t="s">
        <v>59</v>
      </c>
      <c r="C52" s="1" t="s">
        <v>60</v>
      </c>
      <c r="D52" s="1" t="s">
        <v>136</v>
      </c>
      <c r="E52" s="1" t="s">
        <v>112</v>
      </c>
      <c r="F52" s="1" t="s">
        <v>19</v>
      </c>
      <c r="G52" s="1" t="s">
        <v>202</v>
      </c>
      <c r="H52" s="4">
        <v>92885.95</v>
      </c>
      <c r="I52" s="5">
        <v>19506.05</v>
      </c>
      <c r="J52" s="5">
        <v>112392</v>
      </c>
    </row>
    <row r="53" spans="1:10" x14ac:dyDescent="0.25">
      <c r="A53" s="1" t="s">
        <v>189</v>
      </c>
      <c r="B53" s="1" t="s">
        <v>22</v>
      </c>
      <c r="C53" s="1" t="s">
        <v>23</v>
      </c>
      <c r="D53" s="1" t="s">
        <v>136</v>
      </c>
      <c r="E53" s="1" t="s">
        <v>112</v>
      </c>
      <c r="F53" s="1" t="s">
        <v>19</v>
      </c>
      <c r="G53" s="1" t="s">
        <v>203</v>
      </c>
      <c r="H53" s="4">
        <v>136090.91</v>
      </c>
      <c r="I53" s="5">
        <v>28579.09</v>
      </c>
      <c r="J53" s="5">
        <v>164670</v>
      </c>
    </row>
    <row r="54" spans="1:10" x14ac:dyDescent="0.25">
      <c r="A54" s="1" t="s">
        <v>206</v>
      </c>
      <c r="B54" s="1" t="s">
        <v>109</v>
      </c>
      <c r="C54" s="1" t="s">
        <v>110</v>
      </c>
      <c r="D54" s="1" t="s">
        <v>111</v>
      </c>
      <c r="E54" s="1" t="s">
        <v>112</v>
      </c>
      <c r="F54" s="1" t="s">
        <v>7</v>
      </c>
      <c r="G54" s="1" t="s">
        <v>207</v>
      </c>
      <c r="H54" s="4">
        <v>28925.62</v>
      </c>
      <c r="I54" s="5">
        <v>6074.38</v>
      </c>
      <c r="J54" s="5">
        <v>35000</v>
      </c>
    </row>
    <row r="55" spans="1:10" x14ac:dyDescent="0.25">
      <c r="A55" s="1" t="s">
        <v>206</v>
      </c>
      <c r="B55" s="1" t="s">
        <v>125</v>
      </c>
      <c r="C55" s="1" t="s">
        <v>126</v>
      </c>
      <c r="D55" s="1" t="s">
        <v>111</v>
      </c>
      <c r="E55" s="1" t="s">
        <v>112</v>
      </c>
      <c r="F55" s="1" t="s">
        <v>7</v>
      </c>
      <c r="G55" s="1" t="s">
        <v>208</v>
      </c>
      <c r="H55" s="4">
        <v>24793.39</v>
      </c>
      <c r="I55" s="5">
        <v>5206.6099999999997</v>
      </c>
      <c r="J55" s="5">
        <v>30000</v>
      </c>
    </row>
    <row r="56" spans="1:10" x14ac:dyDescent="0.25">
      <c r="A56" s="1" t="s">
        <v>206</v>
      </c>
      <c r="B56" s="1" t="s">
        <v>53</v>
      </c>
      <c r="C56" s="1" t="s">
        <v>54</v>
      </c>
      <c r="D56" s="1" t="s">
        <v>136</v>
      </c>
      <c r="E56" s="1" t="s">
        <v>112</v>
      </c>
      <c r="F56" s="1" t="s">
        <v>7</v>
      </c>
      <c r="G56" s="1" t="s">
        <v>209</v>
      </c>
      <c r="H56" s="4">
        <v>24793.39</v>
      </c>
      <c r="I56" s="5">
        <v>5206.6099999999997</v>
      </c>
      <c r="J56" s="5">
        <v>30000</v>
      </c>
    </row>
    <row r="57" spans="1:10" x14ac:dyDescent="0.25">
      <c r="A57" s="1" t="s">
        <v>206</v>
      </c>
      <c r="B57" s="1" t="s">
        <v>210</v>
      </c>
      <c r="C57" s="1"/>
      <c r="D57" s="1" t="s">
        <v>111</v>
      </c>
      <c r="E57" s="1" t="s">
        <v>112</v>
      </c>
      <c r="F57" s="1" t="s">
        <v>7</v>
      </c>
      <c r="G57" s="1" t="s">
        <v>211</v>
      </c>
      <c r="H57" s="4">
        <v>17355.37</v>
      </c>
      <c r="I57" s="5">
        <v>3644.63</v>
      </c>
      <c r="J57" s="5">
        <v>21000</v>
      </c>
    </row>
    <row r="58" spans="1:10" x14ac:dyDescent="0.25">
      <c r="A58" s="1" t="s">
        <v>206</v>
      </c>
      <c r="B58" s="1" t="s">
        <v>57</v>
      </c>
      <c r="C58" s="1" t="s">
        <v>58</v>
      </c>
      <c r="D58" s="1" t="s">
        <v>111</v>
      </c>
      <c r="E58" s="1" t="s">
        <v>212</v>
      </c>
      <c r="F58" s="1" t="s">
        <v>7</v>
      </c>
      <c r="G58" s="1" t="s">
        <v>213</v>
      </c>
      <c r="H58" s="4">
        <v>28099.17</v>
      </c>
      <c r="I58" s="5">
        <v>5900.83</v>
      </c>
      <c r="J58" s="5">
        <v>34000</v>
      </c>
    </row>
    <row r="59" spans="1:10" x14ac:dyDescent="0.25">
      <c r="A59" s="1" t="s">
        <v>206</v>
      </c>
      <c r="B59" s="1" t="s">
        <v>138</v>
      </c>
      <c r="C59" s="1"/>
      <c r="D59" s="1" t="s">
        <v>136</v>
      </c>
      <c r="E59" s="1" t="s">
        <v>112</v>
      </c>
      <c r="F59" s="1" t="s">
        <v>7</v>
      </c>
      <c r="G59" s="1" t="s">
        <v>214</v>
      </c>
      <c r="H59" s="4">
        <v>22314.05</v>
      </c>
      <c r="I59" s="5">
        <v>4685.95</v>
      </c>
      <c r="J59" s="5">
        <v>27000</v>
      </c>
    </row>
    <row r="60" spans="1:10" x14ac:dyDescent="0.25">
      <c r="A60" s="1" t="s">
        <v>206</v>
      </c>
      <c r="B60" s="1" t="s">
        <v>134</v>
      </c>
      <c r="C60" s="1" t="s">
        <v>135</v>
      </c>
      <c r="D60" s="1" t="s">
        <v>136</v>
      </c>
      <c r="E60" s="1" t="s">
        <v>112</v>
      </c>
      <c r="F60" s="1" t="s">
        <v>7</v>
      </c>
      <c r="G60" s="1" t="s">
        <v>215</v>
      </c>
      <c r="H60" s="4">
        <v>17355.37</v>
      </c>
      <c r="I60" s="5">
        <v>3644.63</v>
      </c>
      <c r="J60" s="5">
        <v>21000</v>
      </c>
    </row>
    <row r="61" spans="1:10" x14ac:dyDescent="0.25">
      <c r="A61" s="1" t="s">
        <v>206</v>
      </c>
      <c r="B61" s="1" t="s">
        <v>143</v>
      </c>
      <c r="C61" s="1" t="s">
        <v>144</v>
      </c>
      <c r="D61" s="1" t="s">
        <v>111</v>
      </c>
      <c r="E61" s="1" t="s">
        <v>112</v>
      </c>
      <c r="F61" s="1" t="s">
        <v>7</v>
      </c>
      <c r="G61" s="1" t="s">
        <v>216</v>
      </c>
      <c r="H61" s="4">
        <v>28099.17</v>
      </c>
      <c r="I61" s="5">
        <v>5900.83</v>
      </c>
      <c r="J61" s="5">
        <v>34000</v>
      </c>
    </row>
    <row r="62" spans="1:10" x14ac:dyDescent="0.25">
      <c r="A62" s="1" t="s">
        <v>206</v>
      </c>
      <c r="B62" s="1" t="s">
        <v>140</v>
      </c>
      <c r="C62" s="1" t="s">
        <v>141</v>
      </c>
      <c r="D62" s="1" t="s">
        <v>136</v>
      </c>
      <c r="E62" s="1" t="s">
        <v>112</v>
      </c>
      <c r="F62" s="1" t="s">
        <v>7</v>
      </c>
      <c r="G62" s="1" t="s">
        <v>217</v>
      </c>
      <c r="H62" s="4">
        <v>17355.37</v>
      </c>
      <c r="I62" s="5">
        <v>3644.63</v>
      </c>
      <c r="J62" s="5">
        <v>21000</v>
      </c>
    </row>
    <row r="63" spans="1:10" x14ac:dyDescent="0.25">
      <c r="A63" s="1" t="s">
        <v>221</v>
      </c>
      <c r="B63" s="1" t="s">
        <v>88</v>
      </c>
      <c r="C63" s="1" t="s">
        <v>89</v>
      </c>
      <c r="D63" s="1" t="s">
        <v>111</v>
      </c>
      <c r="E63" s="1" t="s">
        <v>222</v>
      </c>
      <c r="F63" s="1" t="s">
        <v>7</v>
      </c>
      <c r="G63" s="1" t="s">
        <v>223</v>
      </c>
      <c r="H63" s="4">
        <v>8177.69</v>
      </c>
      <c r="I63" s="5">
        <v>1717.31</v>
      </c>
      <c r="J63" s="5">
        <v>9895</v>
      </c>
    </row>
    <row r="64" spans="1:10" x14ac:dyDescent="0.25">
      <c r="A64" s="1" t="s">
        <v>221</v>
      </c>
      <c r="B64" s="1" t="s">
        <v>224</v>
      </c>
      <c r="C64" s="1" t="s">
        <v>225</v>
      </c>
      <c r="D64" s="1" t="s">
        <v>136</v>
      </c>
      <c r="E64" s="1" t="s">
        <v>112</v>
      </c>
      <c r="F64" s="1" t="s">
        <v>7</v>
      </c>
      <c r="G64" s="1" t="s">
        <v>226</v>
      </c>
      <c r="H64" s="4">
        <v>18181.82</v>
      </c>
      <c r="I64" s="5">
        <v>3818.18</v>
      </c>
      <c r="J64" s="5">
        <v>22000</v>
      </c>
    </row>
    <row r="65" spans="1:10" x14ac:dyDescent="0.25">
      <c r="A65" s="1" t="s">
        <v>221</v>
      </c>
      <c r="B65" s="1" t="s">
        <v>40</v>
      </c>
      <c r="C65" s="1" t="s">
        <v>41</v>
      </c>
      <c r="D65" s="1" t="s">
        <v>136</v>
      </c>
      <c r="E65" s="1" t="s">
        <v>112</v>
      </c>
      <c r="F65" s="1" t="s">
        <v>7</v>
      </c>
      <c r="G65" s="1" t="s">
        <v>227</v>
      </c>
      <c r="H65" s="4">
        <v>28925.62</v>
      </c>
      <c r="I65" s="5">
        <v>6074.38</v>
      </c>
      <c r="J65" s="5">
        <v>35000</v>
      </c>
    </row>
    <row r="66" spans="1:10" x14ac:dyDescent="0.25">
      <c r="A66" s="1" t="s">
        <v>221</v>
      </c>
      <c r="B66" s="1" t="s">
        <v>90</v>
      </c>
      <c r="C66" s="1"/>
      <c r="D66" s="1" t="s">
        <v>111</v>
      </c>
      <c r="E66" s="1" t="s">
        <v>112</v>
      </c>
      <c r="F66" s="1" t="s">
        <v>7</v>
      </c>
      <c r="G66" s="1" t="s">
        <v>228</v>
      </c>
      <c r="H66" s="4">
        <v>33057.85</v>
      </c>
      <c r="I66" s="5">
        <v>6942.15</v>
      </c>
      <c r="J66" s="5">
        <v>40000</v>
      </c>
    </row>
    <row r="67" spans="1:10" x14ac:dyDescent="0.25">
      <c r="A67" s="1" t="s">
        <v>221</v>
      </c>
      <c r="B67" s="1" t="s">
        <v>25</v>
      </c>
      <c r="C67" s="1" t="s">
        <v>26</v>
      </c>
      <c r="D67" s="1" t="s">
        <v>136</v>
      </c>
      <c r="E67" s="1" t="s">
        <v>229</v>
      </c>
      <c r="F67" s="1" t="s">
        <v>7</v>
      </c>
      <c r="G67" s="1" t="s">
        <v>230</v>
      </c>
      <c r="H67" s="4">
        <v>20524.79</v>
      </c>
      <c r="I67" s="5">
        <v>4310.21</v>
      </c>
      <c r="J67" s="5">
        <v>24835</v>
      </c>
    </row>
    <row r="68" spans="1:10" x14ac:dyDescent="0.25">
      <c r="A68" s="1" t="s">
        <v>221</v>
      </c>
      <c r="B68" s="1" t="s">
        <v>10</v>
      </c>
      <c r="C68" s="1" t="s">
        <v>11</v>
      </c>
      <c r="D68" s="1" t="s">
        <v>136</v>
      </c>
      <c r="E68" s="1" t="s">
        <v>112</v>
      </c>
      <c r="F68" s="1" t="s">
        <v>7</v>
      </c>
      <c r="G68" s="1" t="s">
        <v>231</v>
      </c>
      <c r="H68" s="4">
        <v>14876.03</v>
      </c>
      <c r="I68" s="5">
        <v>3123.97</v>
      </c>
      <c r="J68" s="5">
        <v>18000</v>
      </c>
    </row>
    <row r="69" spans="1:10" x14ac:dyDescent="0.25">
      <c r="A69" s="1" t="s">
        <v>221</v>
      </c>
      <c r="B69" s="1" t="s">
        <v>63</v>
      </c>
      <c r="C69" s="1" t="s">
        <v>64</v>
      </c>
      <c r="D69" s="1" t="s">
        <v>136</v>
      </c>
      <c r="E69" s="1" t="s">
        <v>112</v>
      </c>
      <c r="F69" s="1" t="s">
        <v>7</v>
      </c>
      <c r="G69" s="1" t="s">
        <v>232</v>
      </c>
      <c r="H69" s="4">
        <v>24793.39</v>
      </c>
      <c r="I69" s="5">
        <v>5206.6099999999997</v>
      </c>
      <c r="J69" s="5">
        <v>30000</v>
      </c>
    </row>
    <row r="70" spans="1:10" x14ac:dyDescent="0.25">
      <c r="A70" s="1" t="s">
        <v>221</v>
      </c>
      <c r="B70" s="1" t="s">
        <v>35</v>
      </c>
      <c r="C70" s="1" t="s">
        <v>36</v>
      </c>
      <c r="D70" s="1" t="s">
        <v>111</v>
      </c>
      <c r="E70" s="1" t="s">
        <v>222</v>
      </c>
      <c r="F70" s="1" t="s">
        <v>7</v>
      </c>
      <c r="G70" s="1" t="s">
        <v>233</v>
      </c>
      <c r="H70" s="4">
        <v>8603.31</v>
      </c>
      <c r="I70" s="5">
        <v>1806.69</v>
      </c>
      <c r="J70" s="5">
        <v>10410</v>
      </c>
    </row>
    <row r="71" spans="1:10" x14ac:dyDescent="0.25">
      <c r="A71" s="1" t="s">
        <v>221</v>
      </c>
      <c r="B71" s="1" t="s">
        <v>234</v>
      </c>
      <c r="C71" s="1" t="s">
        <v>235</v>
      </c>
      <c r="D71" s="1" t="s">
        <v>136</v>
      </c>
      <c r="E71" s="1" t="s">
        <v>112</v>
      </c>
      <c r="F71" s="1" t="s">
        <v>7</v>
      </c>
      <c r="G71" s="1" t="s">
        <v>236</v>
      </c>
      <c r="H71" s="4">
        <v>24793.39</v>
      </c>
      <c r="I71" s="5">
        <v>5206.6099999999997</v>
      </c>
      <c r="J71" s="5">
        <v>30000</v>
      </c>
    </row>
    <row r="72" spans="1:10" x14ac:dyDescent="0.25">
      <c r="A72" s="1" t="s">
        <v>221</v>
      </c>
      <c r="B72" s="1" t="s">
        <v>237</v>
      </c>
      <c r="C72" s="1" t="s">
        <v>238</v>
      </c>
      <c r="D72" s="1" t="s">
        <v>136</v>
      </c>
      <c r="E72" s="1" t="s">
        <v>112</v>
      </c>
      <c r="F72" s="1" t="s">
        <v>7</v>
      </c>
      <c r="G72" s="1" t="s">
        <v>239</v>
      </c>
      <c r="H72" s="4">
        <v>8793.39</v>
      </c>
      <c r="I72" s="5">
        <v>1846.61</v>
      </c>
      <c r="J72" s="5">
        <v>10640</v>
      </c>
    </row>
    <row r="73" spans="1:10" x14ac:dyDescent="0.25">
      <c r="A73" s="1" t="s">
        <v>221</v>
      </c>
      <c r="B73" s="1" t="s">
        <v>8</v>
      </c>
      <c r="C73" s="1" t="s">
        <v>9</v>
      </c>
      <c r="D73" s="1" t="s">
        <v>111</v>
      </c>
      <c r="E73" s="1" t="s">
        <v>240</v>
      </c>
      <c r="F73" s="1" t="s">
        <v>7</v>
      </c>
      <c r="G73" s="1" t="s">
        <v>241</v>
      </c>
      <c r="H73" s="4">
        <v>8603.31</v>
      </c>
      <c r="I73" s="5">
        <v>1806.69</v>
      </c>
      <c r="J73" s="5">
        <v>10410</v>
      </c>
    </row>
    <row r="74" spans="1:10" x14ac:dyDescent="0.25">
      <c r="A74" s="1" t="s">
        <v>221</v>
      </c>
      <c r="B74" s="1" t="s">
        <v>24</v>
      </c>
      <c r="C74" s="1"/>
      <c r="D74" s="1" t="s">
        <v>111</v>
      </c>
      <c r="E74" s="1" t="s">
        <v>112</v>
      </c>
      <c r="F74" s="1" t="s">
        <v>7</v>
      </c>
      <c r="G74" s="1" t="s">
        <v>242</v>
      </c>
      <c r="H74" s="4">
        <v>19834.71</v>
      </c>
      <c r="I74" s="5">
        <v>4165.29</v>
      </c>
      <c r="J74" s="5">
        <v>24000</v>
      </c>
    </row>
    <row r="75" spans="1:10" x14ac:dyDescent="0.25">
      <c r="A75" s="1" t="s">
        <v>221</v>
      </c>
      <c r="B75" s="1" t="s">
        <v>82</v>
      </c>
      <c r="C75" s="1" t="s">
        <v>83</v>
      </c>
      <c r="D75" s="1" t="s">
        <v>111</v>
      </c>
      <c r="E75" s="1" t="s">
        <v>112</v>
      </c>
      <c r="F75" s="1" t="s">
        <v>7</v>
      </c>
      <c r="G75" s="1" t="s">
        <v>243</v>
      </c>
      <c r="H75" s="4">
        <v>24793.39</v>
      </c>
      <c r="I75" s="5">
        <v>5206.6099999999997</v>
      </c>
      <c r="J75" s="5">
        <v>30000</v>
      </c>
    </row>
    <row r="76" spans="1:10" x14ac:dyDescent="0.25">
      <c r="A76" s="1" t="s">
        <v>221</v>
      </c>
      <c r="B76" s="1" t="s">
        <v>244</v>
      </c>
      <c r="C76" s="1" t="s">
        <v>245</v>
      </c>
      <c r="D76" s="1" t="s">
        <v>136</v>
      </c>
      <c r="E76" s="1" t="s">
        <v>112</v>
      </c>
      <c r="F76" s="1" t="s">
        <v>7</v>
      </c>
      <c r="G76" s="1" t="s">
        <v>246</v>
      </c>
      <c r="H76" s="4">
        <v>18595.04</v>
      </c>
      <c r="I76" s="5">
        <v>3904.96</v>
      </c>
      <c r="J76" s="5">
        <v>22500</v>
      </c>
    </row>
    <row r="77" spans="1:10" x14ac:dyDescent="0.25">
      <c r="A77" s="1" t="s">
        <v>221</v>
      </c>
      <c r="B77" s="1" t="s">
        <v>84</v>
      </c>
      <c r="C77" s="1" t="s">
        <v>85</v>
      </c>
      <c r="D77" s="1" t="s">
        <v>136</v>
      </c>
      <c r="E77" s="1" t="s">
        <v>112</v>
      </c>
      <c r="F77" s="1" t="s">
        <v>7</v>
      </c>
      <c r="G77" s="1" t="s">
        <v>247</v>
      </c>
      <c r="H77" s="4">
        <v>18595.04</v>
      </c>
      <c r="I77" s="5">
        <v>3904.96</v>
      </c>
      <c r="J77" s="5">
        <v>22500</v>
      </c>
    </row>
    <row r="78" spans="1:10" x14ac:dyDescent="0.25">
      <c r="A78" s="1" t="s">
        <v>221</v>
      </c>
      <c r="B78" s="1" t="s">
        <v>248</v>
      </c>
      <c r="C78" s="1" t="s">
        <v>249</v>
      </c>
      <c r="D78" s="1" t="s">
        <v>136</v>
      </c>
      <c r="E78" s="1" t="s">
        <v>112</v>
      </c>
      <c r="F78" s="1" t="s">
        <v>7</v>
      </c>
      <c r="G78" s="1" t="s">
        <v>250</v>
      </c>
      <c r="H78" s="4">
        <v>7438.02</v>
      </c>
      <c r="I78" s="5">
        <v>1561.98</v>
      </c>
      <c r="J78" s="5">
        <v>9000</v>
      </c>
    </row>
    <row r="79" spans="1:10" x14ac:dyDescent="0.25">
      <c r="A79" s="1" t="s">
        <v>221</v>
      </c>
      <c r="B79" s="1" t="s">
        <v>29</v>
      </c>
      <c r="C79" s="1" t="s">
        <v>30</v>
      </c>
      <c r="D79" s="1" t="s">
        <v>111</v>
      </c>
      <c r="E79" s="1" t="s">
        <v>222</v>
      </c>
      <c r="F79" s="1" t="s">
        <v>7</v>
      </c>
      <c r="G79" s="1" t="s">
        <v>251</v>
      </c>
      <c r="H79" s="4">
        <v>13450.41</v>
      </c>
      <c r="I79" s="5">
        <v>2824.59</v>
      </c>
      <c r="J79" s="5">
        <v>16275</v>
      </c>
    </row>
    <row r="80" spans="1:10" x14ac:dyDescent="0.25">
      <c r="A80" s="1" t="s">
        <v>221</v>
      </c>
      <c r="B80" s="1" t="s">
        <v>31</v>
      </c>
      <c r="C80" s="1" t="s">
        <v>32</v>
      </c>
      <c r="D80" s="1" t="s">
        <v>111</v>
      </c>
      <c r="E80" s="1" t="s">
        <v>252</v>
      </c>
      <c r="F80" s="1" t="s">
        <v>7</v>
      </c>
      <c r="G80" s="1" t="s">
        <v>253</v>
      </c>
      <c r="H80" s="4">
        <v>19834.71</v>
      </c>
      <c r="I80" s="5">
        <v>4165.29</v>
      </c>
      <c r="J80" s="5">
        <v>24000</v>
      </c>
    </row>
    <row r="81" spans="1:10" x14ac:dyDescent="0.25">
      <c r="A81" s="1" t="s">
        <v>221</v>
      </c>
      <c r="B81" s="1" t="s">
        <v>39</v>
      </c>
      <c r="C81" s="1"/>
      <c r="D81" s="1" t="s">
        <v>111</v>
      </c>
      <c r="E81" s="1" t="s">
        <v>112</v>
      </c>
      <c r="F81" s="1" t="s">
        <v>7</v>
      </c>
      <c r="G81" s="1" t="s">
        <v>254</v>
      </c>
      <c r="H81" s="4">
        <v>50413.22</v>
      </c>
      <c r="I81" s="5">
        <v>10586.78</v>
      </c>
      <c r="J81" s="5">
        <v>61000</v>
      </c>
    </row>
    <row r="82" spans="1:10" x14ac:dyDescent="0.25">
      <c r="A82" s="1" t="s">
        <v>221</v>
      </c>
      <c r="B82" s="1" t="s">
        <v>67</v>
      </c>
      <c r="C82" s="1"/>
      <c r="D82" s="1" t="s">
        <v>111</v>
      </c>
      <c r="E82" s="1" t="s">
        <v>112</v>
      </c>
      <c r="F82" s="1" t="s">
        <v>7</v>
      </c>
      <c r="G82" s="1" t="s">
        <v>255</v>
      </c>
      <c r="H82" s="4">
        <v>47933.88</v>
      </c>
      <c r="I82" s="5">
        <v>10066.120000000001</v>
      </c>
      <c r="J82" s="5">
        <v>58000</v>
      </c>
    </row>
    <row r="83" spans="1:10" x14ac:dyDescent="0.25">
      <c r="A83" s="1" t="s">
        <v>221</v>
      </c>
      <c r="B83" s="1" t="s">
        <v>65</v>
      </c>
      <c r="C83" s="1" t="s">
        <v>66</v>
      </c>
      <c r="D83" s="1" t="s">
        <v>136</v>
      </c>
      <c r="E83" s="1" t="s">
        <v>112</v>
      </c>
      <c r="F83" s="1" t="s">
        <v>7</v>
      </c>
      <c r="G83" s="1" t="s">
        <v>256</v>
      </c>
      <c r="H83" s="4">
        <v>18181.82</v>
      </c>
      <c r="I83" s="5">
        <v>3818.18</v>
      </c>
      <c r="J83" s="5">
        <v>22000</v>
      </c>
    </row>
    <row r="84" spans="1:10" x14ac:dyDescent="0.25">
      <c r="A84" s="1" t="s">
        <v>221</v>
      </c>
      <c r="B84" s="1" t="s">
        <v>68</v>
      </c>
      <c r="C84" s="1" t="s">
        <v>69</v>
      </c>
      <c r="D84" s="1" t="s">
        <v>136</v>
      </c>
      <c r="E84" s="1" t="s">
        <v>257</v>
      </c>
      <c r="F84" s="1" t="s">
        <v>7</v>
      </c>
      <c r="G84" s="1" t="s">
        <v>258</v>
      </c>
      <c r="H84" s="4">
        <v>28099.17</v>
      </c>
      <c r="I84" s="5">
        <v>5900.83</v>
      </c>
      <c r="J84" s="5">
        <v>34000</v>
      </c>
    </row>
    <row r="85" spans="1:10" x14ac:dyDescent="0.25">
      <c r="A85" s="1" t="s">
        <v>221</v>
      </c>
      <c r="B85" s="1" t="s">
        <v>70</v>
      </c>
      <c r="C85" s="1" t="s">
        <v>71</v>
      </c>
      <c r="D85" s="1" t="s">
        <v>111</v>
      </c>
      <c r="E85" s="1" t="s">
        <v>112</v>
      </c>
      <c r="F85" s="1" t="s">
        <v>7</v>
      </c>
      <c r="G85" s="1" t="s">
        <v>259</v>
      </c>
      <c r="H85" s="4">
        <v>43801.65</v>
      </c>
      <c r="I85" s="5">
        <v>9198.35</v>
      </c>
      <c r="J85" s="5">
        <v>53000</v>
      </c>
    </row>
    <row r="86" spans="1:10" x14ac:dyDescent="0.25">
      <c r="A86" s="1" t="s">
        <v>221</v>
      </c>
      <c r="B86" s="1" t="s">
        <v>70</v>
      </c>
      <c r="C86" s="1" t="s">
        <v>71</v>
      </c>
      <c r="D86" s="1" t="s">
        <v>111</v>
      </c>
      <c r="E86" s="1" t="s">
        <v>112</v>
      </c>
      <c r="F86" s="1" t="s">
        <v>7</v>
      </c>
      <c r="G86" s="1" t="s">
        <v>261</v>
      </c>
      <c r="H86" s="4">
        <v>43801.65</v>
      </c>
      <c r="I86" s="5">
        <v>9198.35</v>
      </c>
      <c r="J86" s="5">
        <v>53000</v>
      </c>
    </row>
    <row r="87" spans="1:10" x14ac:dyDescent="0.25">
      <c r="A87" s="1" t="s">
        <v>221</v>
      </c>
      <c r="B87" s="1" t="s">
        <v>72</v>
      </c>
      <c r="C87" s="1" t="s">
        <v>73</v>
      </c>
      <c r="D87" s="1" t="s">
        <v>136</v>
      </c>
      <c r="E87" s="1" t="s">
        <v>112</v>
      </c>
      <c r="F87" s="1" t="s">
        <v>7</v>
      </c>
      <c r="G87" s="1" t="s">
        <v>262</v>
      </c>
      <c r="H87" s="4">
        <v>32231.4</v>
      </c>
      <c r="I87" s="5">
        <v>6768.6</v>
      </c>
      <c r="J87" s="5">
        <v>39000</v>
      </c>
    </row>
    <row r="88" spans="1:10" x14ac:dyDescent="0.25">
      <c r="A88" s="1" t="s">
        <v>221</v>
      </c>
      <c r="B88" s="1" t="s">
        <v>74</v>
      </c>
      <c r="C88" s="1" t="s">
        <v>75</v>
      </c>
      <c r="D88" s="1" t="s">
        <v>111</v>
      </c>
      <c r="E88" s="1" t="s">
        <v>263</v>
      </c>
      <c r="F88" s="1" t="s">
        <v>7</v>
      </c>
      <c r="G88" s="1" t="s">
        <v>264</v>
      </c>
      <c r="H88" s="4">
        <v>15702.48</v>
      </c>
      <c r="I88" s="5">
        <v>3297.52</v>
      </c>
      <c r="J88" s="5">
        <v>19000</v>
      </c>
    </row>
    <row r="89" spans="1:10" x14ac:dyDescent="0.25">
      <c r="A89" s="1" t="s">
        <v>221</v>
      </c>
      <c r="B89" s="1" t="s">
        <v>76</v>
      </c>
      <c r="C89" s="1" t="s">
        <v>77</v>
      </c>
      <c r="D89" s="1" t="s">
        <v>136</v>
      </c>
      <c r="E89" s="1" t="s">
        <v>265</v>
      </c>
      <c r="F89" s="1" t="s">
        <v>7</v>
      </c>
      <c r="G89" s="1" t="s">
        <v>266</v>
      </c>
      <c r="H89" s="4">
        <v>17355.37</v>
      </c>
      <c r="I89" s="5">
        <v>3644.63</v>
      </c>
      <c r="J89" s="5">
        <v>21000</v>
      </c>
    </row>
    <row r="90" spans="1:10" x14ac:dyDescent="0.25">
      <c r="A90" s="1" t="s">
        <v>221</v>
      </c>
      <c r="B90" s="1" t="s">
        <v>78</v>
      </c>
      <c r="C90" s="1" t="s">
        <v>79</v>
      </c>
      <c r="D90" s="1" t="s">
        <v>136</v>
      </c>
      <c r="E90" s="1" t="s">
        <v>112</v>
      </c>
      <c r="F90" s="1" t="s">
        <v>7</v>
      </c>
      <c r="G90" s="1" t="s">
        <v>267</v>
      </c>
      <c r="H90" s="4">
        <v>17355.37</v>
      </c>
      <c r="I90" s="5">
        <v>3644.63</v>
      </c>
      <c r="J90" s="5">
        <v>21000</v>
      </c>
    </row>
    <row r="91" spans="1:10" x14ac:dyDescent="0.25">
      <c r="A91" s="1" t="s">
        <v>221</v>
      </c>
      <c r="B91" s="1" t="s">
        <v>93</v>
      </c>
      <c r="C91" s="1" t="s">
        <v>94</v>
      </c>
      <c r="D91" s="1" t="s">
        <v>136</v>
      </c>
      <c r="E91" s="1" t="s">
        <v>112</v>
      </c>
      <c r="F91" s="1" t="s">
        <v>7</v>
      </c>
      <c r="G91" s="1" t="s">
        <v>268</v>
      </c>
      <c r="H91" s="4">
        <v>33471.07</v>
      </c>
      <c r="I91" s="5">
        <v>7028.93</v>
      </c>
      <c r="J91" s="5">
        <v>40500</v>
      </c>
    </row>
    <row r="92" spans="1:10" x14ac:dyDescent="0.25">
      <c r="A92" s="1" t="s">
        <v>221</v>
      </c>
      <c r="B92" s="1" t="s">
        <v>91</v>
      </c>
      <c r="C92" s="1" t="s">
        <v>92</v>
      </c>
      <c r="D92" s="1" t="s">
        <v>136</v>
      </c>
      <c r="E92" s="1" t="s">
        <v>112</v>
      </c>
      <c r="F92" s="1" t="s">
        <v>7</v>
      </c>
      <c r="G92" s="1" t="s">
        <v>269</v>
      </c>
      <c r="H92" s="4">
        <v>24793.39</v>
      </c>
      <c r="I92" s="5">
        <v>5206.6099999999997</v>
      </c>
      <c r="J92" s="5">
        <v>30000</v>
      </c>
    </row>
    <row r="93" spans="1:10" x14ac:dyDescent="0.25">
      <c r="A93" s="1" t="s">
        <v>221</v>
      </c>
      <c r="B93" s="1" t="s">
        <v>95</v>
      </c>
      <c r="C93" s="1" t="s">
        <v>96</v>
      </c>
      <c r="D93" s="1" t="s">
        <v>136</v>
      </c>
      <c r="E93" s="1" t="s">
        <v>112</v>
      </c>
      <c r="F93" s="1" t="s">
        <v>7</v>
      </c>
      <c r="G93" s="1" t="s">
        <v>270</v>
      </c>
      <c r="H93" s="4">
        <v>18595.04</v>
      </c>
      <c r="I93" s="5">
        <v>3904.96</v>
      </c>
      <c r="J93" s="5">
        <v>22500</v>
      </c>
    </row>
    <row r="94" spans="1:10" x14ac:dyDescent="0.25">
      <c r="A94" s="1" t="s">
        <v>221</v>
      </c>
      <c r="B94" s="1" t="s">
        <v>42</v>
      </c>
      <c r="C94" s="1" t="s">
        <v>43</v>
      </c>
      <c r="D94" s="1" t="s">
        <v>136</v>
      </c>
      <c r="E94" s="1" t="s">
        <v>271</v>
      </c>
      <c r="F94" s="1" t="s">
        <v>7</v>
      </c>
      <c r="G94" s="1" t="s">
        <v>272</v>
      </c>
      <c r="H94" s="4">
        <v>36363.64</v>
      </c>
      <c r="I94" s="5">
        <v>7636.36</v>
      </c>
      <c r="J94" s="5">
        <v>44000</v>
      </c>
    </row>
    <row r="95" spans="1:10" x14ac:dyDescent="0.25">
      <c r="A95" s="1" t="s">
        <v>221</v>
      </c>
      <c r="B95" s="1" t="s">
        <v>67</v>
      </c>
      <c r="C95" s="1"/>
      <c r="D95" s="1" t="s">
        <v>111</v>
      </c>
      <c r="E95" s="1" t="s">
        <v>112</v>
      </c>
      <c r="F95" s="1" t="s">
        <v>7</v>
      </c>
      <c r="G95" s="1" t="s">
        <v>273</v>
      </c>
      <c r="H95" s="4">
        <v>24793.39</v>
      </c>
      <c r="I95" s="5">
        <v>5206.6099999999997</v>
      </c>
      <c r="J95" s="5">
        <v>30000</v>
      </c>
    </row>
    <row r="96" spans="1:10" x14ac:dyDescent="0.25">
      <c r="A96" s="1" t="s">
        <v>221</v>
      </c>
      <c r="B96" s="1" t="s">
        <v>86</v>
      </c>
      <c r="C96" s="1" t="s">
        <v>87</v>
      </c>
      <c r="D96" s="1" t="s">
        <v>136</v>
      </c>
      <c r="E96" s="1" t="s">
        <v>112</v>
      </c>
      <c r="F96" s="1" t="s">
        <v>7</v>
      </c>
      <c r="G96" s="1" t="s">
        <v>274</v>
      </c>
      <c r="H96" s="4">
        <v>18595.04</v>
      </c>
      <c r="I96" s="5">
        <v>3904.96</v>
      </c>
      <c r="J96" s="5">
        <v>22500</v>
      </c>
    </row>
    <row r="97" spans="1:10" x14ac:dyDescent="0.25">
      <c r="A97" s="1" t="s">
        <v>221</v>
      </c>
      <c r="B97" s="1" t="s">
        <v>97</v>
      </c>
      <c r="C97" s="1" t="s">
        <v>98</v>
      </c>
      <c r="D97" s="1" t="s">
        <v>111</v>
      </c>
      <c r="E97" s="1" t="s">
        <v>275</v>
      </c>
      <c r="F97" s="1" t="s">
        <v>7</v>
      </c>
      <c r="G97" s="1" t="s">
        <v>276</v>
      </c>
      <c r="H97" s="4">
        <v>33057.85</v>
      </c>
      <c r="I97" s="5">
        <v>6942.15</v>
      </c>
      <c r="J97" s="5">
        <v>40000</v>
      </c>
    </row>
    <row r="98" spans="1:10" x14ac:dyDescent="0.25">
      <c r="A98" s="1" t="s">
        <v>221</v>
      </c>
      <c r="B98" s="1" t="s">
        <v>99</v>
      </c>
      <c r="C98" s="1" t="s">
        <v>100</v>
      </c>
      <c r="D98" s="1" t="s">
        <v>111</v>
      </c>
      <c r="E98" s="1" t="s">
        <v>277</v>
      </c>
      <c r="F98" s="1" t="s">
        <v>7</v>
      </c>
      <c r="G98" s="1" t="s">
        <v>278</v>
      </c>
      <c r="H98" s="4">
        <v>28925.62</v>
      </c>
      <c r="I98" s="5">
        <v>6074.38</v>
      </c>
      <c r="J98" s="5">
        <v>35000</v>
      </c>
    </row>
    <row r="99" spans="1:10" x14ac:dyDescent="0.25">
      <c r="A99" s="1" t="s">
        <v>221</v>
      </c>
      <c r="B99" s="1" t="s">
        <v>101</v>
      </c>
      <c r="C99" s="1" t="s">
        <v>102</v>
      </c>
      <c r="D99" s="1" t="s">
        <v>136</v>
      </c>
      <c r="E99" s="1" t="s">
        <v>229</v>
      </c>
      <c r="F99" s="1" t="s">
        <v>7</v>
      </c>
      <c r="G99" s="1" t="s">
        <v>279</v>
      </c>
      <c r="H99" s="4">
        <v>8177.69</v>
      </c>
      <c r="I99" s="5">
        <v>1717.31</v>
      </c>
      <c r="J99" s="5">
        <v>9895</v>
      </c>
    </row>
    <row r="100" spans="1:10" x14ac:dyDescent="0.25">
      <c r="A100" s="1" t="s">
        <v>221</v>
      </c>
      <c r="B100" s="1" t="s">
        <v>103</v>
      </c>
      <c r="C100" s="1" t="s">
        <v>104</v>
      </c>
      <c r="D100" s="1" t="s">
        <v>136</v>
      </c>
      <c r="E100" s="1" t="s">
        <v>229</v>
      </c>
      <c r="F100" s="1" t="s">
        <v>7</v>
      </c>
      <c r="G100" s="1" t="s">
        <v>280</v>
      </c>
      <c r="H100" s="4">
        <v>9595.0400000000009</v>
      </c>
      <c r="I100" s="5">
        <v>2014.96</v>
      </c>
      <c r="J100" s="5">
        <v>11610</v>
      </c>
    </row>
    <row r="101" spans="1:10" x14ac:dyDescent="0.25">
      <c r="A101" s="1" t="s">
        <v>221</v>
      </c>
      <c r="B101" s="1" t="s">
        <v>51</v>
      </c>
      <c r="C101" s="1" t="s">
        <v>52</v>
      </c>
      <c r="D101" s="1" t="s">
        <v>136</v>
      </c>
      <c r="E101" s="1" t="s">
        <v>112</v>
      </c>
      <c r="F101" s="1" t="s">
        <v>7</v>
      </c>
      <c r="G101" s="1" t="s">
        <v>281</v>
      </c>
      <c r="H101" s="4">
        <v>41322.31</v>
      </c>
      <c r="I101" s="5">
        <v>8677.69</v>
      </c>
      <c r="J101" s="5">
        <v>50000</v>
      </c>
    </row>
    <row r="102" spans="1:10" x14ac:dyDescent="0.25">
      <c r="A102" s="1" t="s">
        <v>221</v>
      </c>
      <c r="B102" s="1" t="s">
        <v>44</v>
      </c>
      <c r="C102" s="1" t="s">
        <v>45</v>
      </c>
      <c r="D102" s="1" t="s">
        <v>136</v>
      </c>
      <c r="E102" s="1" t="s">
        <v>112</v>
      </c>
      <c r="F102" s="1" t="s">
        <v>7</v>
      </c>
      <c r="G102" s="1" t="s">
        <v>282</v>
      </c>
      <c r="H102" s="4">
        <v>24793.39</v>
      </c>
      <c r="I102" s="5">
        <v>5206.6099999999997</v>
      </c>
      <c r="J102" s="5">
        <v>30000</v>
      </c>
    </row>
    <row r="103" spans="1:10" x14ac:dyDescent="0.25">
      <c r="A103" s="1" t="s">
        <v>221</v>
      </c>
      <c r="B103" s="1" t="s">
        <v>196</v>
      </c>
      <c r="C103" s="1" t="s">
        <v>197</v>
      </c>
      <c r="D103" s="1" t="s">
        <v>136</v>
      </c>
      <c r="E103" s="1" t="s">
        <v>112</v>
      </c>
      <c r="F103" s="1" t="s">
        <v>7</v>
      </c>
      <c r="G103" s="1" t="s">
        <v>283</v>
      </c>
      <c r="H103" s="4">
        <v>24793.39</v>
      </c>
      <c r="I103" s="5">
        <v>5206.6099999999997</v>
      </c>
      <c r="J103" s="5">
        <v>30000</v>
      </c>
    </row>
    <row r="104" spans="1:10" x14ac:dyDescent="0.25">
      <c r="A104" s="1" t="s">
        <v>288</v>
      </c>
      <c r="B104" s="1" t="s">
        <v>78</v>
      </c>
      <c r="C104" s="1" t="s">
        <v>79</v>
      </c>
      <c r="D104" s="1" t="s">
        <v>136</v>
      </c>
      <c r="E104" s="1" t="s">
        <v>112</v>
      </c>
      <c r="F104" s="1" t="s">
        <v>7</v>
      </c>
      <c r="G104" s="1" t="s">
        <v>289</v>
      </c>
      <c r="H104" s="4">
        <v>17355.37</v>
      </c>
      <c r="I104" s="5">
        <v>3644.63</v>
      </c>
      <c r="J104" s="5">
        <v>21000</v>
      </c>
    </row>
    <row r="105" spans="1:10" x14ac:dyDescent="0.25">
      <c r="A105" s="1" t="s">
        <v>288</v>
      </c>
      <c r="B105" s="1" t="s">
        <v>80</v>
      </c>
      <c r="C105" s="1" t="s">
        <v>81</v>
      </c>
      <c r="D105" s="1" t="s">
        <v>136</v>
      </c>
      <c r="E105" s="1" t="s">
        <v>112</v>
      </c>
      <c r="F105" s="1" t="s">
        <v>7</v>
      </c>
      <c r="G105" s="1" t="s">
        <v>290</v>
      </c>
      <c r="H105" s="4">
        <v>46280.99</v>
      </c>
      <c r="I105" s="5">
        <v>9719.01</v>
      </c>
      <c r="J105" s="5">
        <v>56000</v>
      </c>
    </row>
    <row r="106" spans="1:10" x14ac:dyDescent="0.25">
      <c r="A106" s="1" t="s">
        <v>288</v>
      </c>
      <c r="B106" s="1" t="s">
        <v>80</v>
      </c>
      <c r="C106" s="1" t="s">
        <v>81</v>
      </c>
      <c r="D106" s="1" t="s">
        <v>136</v>
      </c>
      <c r="E106" s="1" t="s">
        <v>112</v>
      </c>
      <c r="F106" s="1" t="s">
        <v>7</v>
      </c>
      <c r="G106" s="1" t="s">
        <v>291</v>
      </c>
      <c r="H106" s="4">
        <v>46280.99</v>
      </c>
      <c r="I106" s="5">
        <v>9719.01</v>
      </c>
      <c r="J106" s="5">
        <v>56000</v>
      </c>
    </row>
    <row r="107" spans="1:10" x14ac:dyDescent="0.25">
      <c r="A107" s="1" t="s">
        <v>292</v>
      </c>
      <c r="B107" s="1" t="s">
        <v>293</v>
      </c>
      <c r="C107" s="1" t="s">
        <v>294</v>
      </c>
      <c r="D107" s="1" t="s">
        <v>111</v>
      </c>
      <c r="E107" s="1" t="s">
        <v>112</v>
      </c>
      <c r="F107" s="1" t="s">
        <v>7</v>
      </c>
      <c r="G107" s="1" t="s">
        <v>295</v>
      </c>
      <c r="H107" s="4">
        <v>32231.4</v>
      </c>
      <c r="I107" s="5">
        <v>6768.6</v>
      </c>
      <c r="J107" s="5">
        <v>39000</v>
      </c>
    </row>
    <row r="108" spans="1:10" x14ac:dyDescent="0.25">
      <c r="A108" s="1" t="s">
        <v>218</v>
      </c>
      <c r="B108" s="1" t="s">
        <v>12</v>
      </c>
      <c r="C108" s="1" t="s">
        <v>13</v>
      </c>
      <c r="D108" s="1" t="s">
        <v>136</v>
      </c>
      <c r="E108" s="1" t="s">
        <v>112</v>
      </c>
      <c r="F108" s="1" t="s">
        <v>14</v>
      </c>
      <c r="G108" s="1" t="s">
        <v>220</v>
      </c>
      <c r="H108" s="4">
        <v>-367577.31</v>
      </c>
      <c r="I108" s="5">
        <v>-77191.240000000005</v>
      </c>
      <c r="J108" s="5">
        <v>-444768.55</v>
      </c>
    </row>
    <row r="109" spans="1:10" x14ac:dyDescent="0.25">
      <c r="A109" s="1" t="s">
        <v>218</v>
      </c>
      <c r="B109" s="1" t="s">
        <v>12</v>
      </c>
      <c r="C109" s="1" t="s">
        <v>13</v>
      </c>
      <c r="D109" s="1" t="s">
        <v>136</v>
      </c>
      <c r="E109" s="1" t="s">
        <v>112</v>
      </c>
      <c r="F109" s="1" t="s">
        <v>14</v>
      </c>
      <c r="G109" s="1" t="s">
        <v>219</v>
      </c>
      <c r="H109" s="4">
        <v>-112869.56</v>
      </c>
      <c r="I109" s="5">
        <v>-23702.61</v>
      </c>
      <c r="J109" s="5">
        <v>-136572.17000000001</v>
      </c>
    </row>
    <row r="110" spans="1:10" x14ac:dyDescent="0.25">
      <c r="A110" s="1" t="s">
        <v>189</v>
      </c>
      <c r="B110" s="1" t="s">
        <v>33</v>
      </c>
      <c r="C110" s="1" t="s">
        <v>34</v>
      </c>
      <c r="D110" s="1" t="s">
        <v>136</v>
      </c>
      <c r="E110" s="1" t="s">
        <v>112</v>
      </c>
      <c r="F110" s="1" t="s">
        <v>14</v>
      </c>
      <c r="G110" s="1" t="s">
        <v>195</v>
      </c>
      <c r="H110" s="4">
        <v>-382115.7</v>
      </c>
      <c r="I110" s="5">
        <v>-80244.3</v>
      </c>
      <c r="J110" s="6">
        <v>-462360</v>
      </c>
    </row>
    <row r="111" spans="1:10" x14ac:dyDescent="0.25">
      <c r="A111" s="1" t="s">
        <v>115</v>
      </c>
      <c r="B111" s="1" t="s">
        <v>120</v>
      </c>
      <c r="C111" s="1"/>
      <c r="D111" s="1" t="s">
        <v>111</v>
      </c>
      <c r="E111" s="1" t="s">
        <v>112</v>
      </c>
      <c r="F111" s="1" t="s">
        <v>7</v>
      </c>
      <c r="G111" s="1" t="s">
        <v>123</v>
      </c>
      <c r="H111" s="4">
        <v>-33057.85</v>
      </c>
      <c r="I111" s="5">
        <v>-6942.15</v>
      </c>
      <c r="J111" s="5">
        <v>-40000</v>
      </c>
    </row>
    <row r="112" spans="1:10" x14ac:dyDescent="0.25">
      <c r="A112" s="1" t="s">
        <v>115</v>
      </c>
      <c r="B112" s="1" t="s">
        <v>128</v>
      </c>
      <c r="C112" s="1"/>
      <c r="D112" s="1" t="s">
        <v>111</v>
      </c>
      <c r="E112" s="1" t="s">
        <v>112</v>
      </c>
      <c r="F112" s="1" t="s">
        <v>7</v>
      </c>
      <c r="G112" s="1" t="s">
        <v>130</v>
      </c>
      <c r="H112" s="4">
        <v>-15702.48</v>
      </c>
      <c r="I112" s="5">
        <v>-3297.52</v>
      </c>
      <c r="J112" s="5">
        <v>-19000</v>
      </c>
    </row>
    <row r="113" spans="1:10" x14ac:dyDescent="0.25">
      <c r="A113" s="1" t="s">
        <v>221</v>
      </c>
      <c r="B113" s="1" t="s">
        <v>70</v>
      </c>
      <c r="C113" s="1" t="s">
        <v>71</v>
      </c>
      <c r="D113" s="1" t="s">
        <v>111</v>
      </c>
      <c r="E113" s="1" t="s">
        <v>112</v>
      </c>
      <c r="F113" s="1" t="s">
        <v>7</v>
      </c>
      <c r="G113" s="1" t="s">
        <v>260</v>
      </c>
      <c r="H113" s="4">
        <v>-43801.65</v>
      </c>
      <c r="I113" s="5">
        <v>-9198.35</v>
      </c>
      <c r="J113" s="5">
        <v>-53000</v>
      </c>
    </row>
    <row r="114" spans="1:10" x14ac:dyDescent="0.25">
      <c r="H114" s="2">
        <f>SUM(H25:H113)</f>
        <v>3433864.1500000008</v>
      </c>
      <c r="I114" s="2">
        <f>SUM(I25:I113)</f>
        <v>721111.50459999952</v>
      </c>
      <c r="J114" s="2">
        <f>SUM(J25:J113)</f>
        <v>4154975.6546</v>
      </c>
    </row>
  </sheetData>
  <sortState xmlns:xlrd2="http://schemas.microsoft.com/office/spreadsheetml/2017/richdata2" ref="A2:J113">
    <sortCondition ref="G2:G11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04 2025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2025-05-20T16:48:20Z</dcterms:modified>
</cp:coreProperties>
</file>