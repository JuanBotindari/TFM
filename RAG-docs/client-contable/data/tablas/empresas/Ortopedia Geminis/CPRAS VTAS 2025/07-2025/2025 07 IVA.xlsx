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93C4F8EA-3E3E-482B-BD80-4DB5C4EFCB83}" xr6:coauthVersionLast="47" xr6:coauthVersionMax="47" xr10:uidLastSave="{00000000-0000-0000-0000-000000000000}"/>
  <bookViews>
    <workbookView xWindow="28680" yWindow="-120" windowWidth="29040" windowHeight="15840" activeTab="12" xr2:uid="{00000000-000D-0000-FFFF-FFFF00000000}"/>
  </bookViews>
  <sheets>
    <sheet name="Configuracion" sheetId="23" r:id="rId1"/>
    <sheet name="Julio 25" sheetId="22" r:id="rId2"/>
    <sheet name="Calculo IVA" sheetId="24" r:id="rId3"/>
    <sheet name="afip" sheetId="27" state="hidden" r:id="rId4"/>
    <sheet name="Hoja3" sheetId="29" state="hidden" r:id="rId5"/>
    <sheet name="Hoja1" sheetId="34" state="hidden" r:id="rId6"/>
    <sheet name="Hoja2" sheetId="36" state="hidden" r:id="rId7"/>
    <sheet name="Comp No Recibidos" sheetId="41" state="hidden" r:id="rId8"/>
    <sheet name="Hoja5" sheetId="46" state="hidden" r:id="rId9"/>
    <sheet name="Ventas 07" sheetId="50" r:id="rId10"/>
    <sheet name="arca 05" sheetId="52" state="hidden" r:id="rId11"/>
    <sheet name="arca" sheetId="53" state="hidden" r:id="rId12"/>
    <sheet name="Compras 07" sheetId="54" r:id="rId13"/>
    <sheet name="ARCA07" sheetId="55" state="hidden" r:id="rId14"/>
  </sheets>
  <definedNames>
    <definedName name="_xlnm._FilterDatabase" localSheetId="3" hidden="1">afip!$A$1:$Q$124</definedName>
    <definedName name="_xlnm._FilterDatabase" localSheetId="11" hidden="1">arca!$A$2:$U$249</definedName>
    <definedName name="_xlnm._FilterDatabase" localSheetId="10" hidden="1">'arca 05'!$A$2:$Q$97</definedName>
    <definedName name="_xlnm._FilterDatabase" localSheetId="13" hidden="1">ARCA07!$A$1:$Q$143</definedName>
    <definedName name="_xlnm._FilterDatabase" localSheetId="7" hidden="1">'Comp No Recibidos'!$A$6:$Q$124</definedName>
    <definedName name="_xlnm._FilterDatabase" localSheetId="12" hidden="1">'Compras 07'!$A$3:$R$161</definedName>
    <definedName name="_xlnm._FilterDatabase" localSheetId="0" hidden="1">Configuracion!$A$3:$C$540</definedName>
    <definedName name="_xlnm._FilterDatabase" localSheetId="5" hidden="1">Hoja1!$A$3:$Q$130</definedName>
    <definedName name="_xlnm._FilterDatabase" localSheetId="4" hidden="1">Hoja3!$A$4:$G$240</definedName>
    <definedName name="_xlnm._FilterDatabase" localSheetId="1" hidden="1">'Julio 25'!$A$45:$I$59</definedName>
    <definedName name="_xlnm._FilterDatabase" localSheetId="9" hidden="1">'Ventas 07'!$A$13:$L$524</definedName>
    <definedName name="_xlnm.Print_Area" localSheetId="1">'Julio 25'!$A$1:$N$22</definedName>
    <definedName name="partner_id" localSheetId="0">Configuracion!$B$332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2" i="50" l="1"/>
  <c r="J524" i="50"/>
  <c r="I529" i="50"/>
  <c r="I535" i="50" s="1"/>
  <c r="H524" i="50"/>
  <c r="I524" i="50"/>
  <c r="K524" i="50"/>
  <c r="L524" i="50"/>
  <c r="I169" i="54"/>
  <c r="I168" i="54"/>
  <c r="K167" i="54"/>
  <c r="J167" i="54"/>
  <c r="I167" i="54"/>
  <c r="I161" i="54"/>
  <c r="J161" i="54"/>
  <c r="K161" i="54"/>
  <c r="M161" i="54"/>
  <c r="N161" i="54"/>
  <c r="O161" i="54"/>
  <c r="P161" i="54"/>
  <c r="G161" i="54"/>
  <c r="H160" i="54"/>
  <c r="Q160" i="54" s="1"/>
  <c r="Q5" i="54"/>
  <c r="Q6" i="54"/>
  <c r="Q7" i="54"/>
  <c r="Q8" i="54"/>
  <c r="Q9" i="54"/>
  <c r="Q10" i="54"/>
  <c r="Q11" i="54"/>
  <c r="Q106" i="54"/>
  <c r="Q107" i="54"/>
  <c r="Q100" i="54"/>
  <c r="Q108" i="54"/>
  <c r="Q12" i="54"/>
  <c r="Q13" i="54"/>
  <c r="Q14" i="54"/>
  <c r="Q15" i="54"/>
  <c r="Q16" i="54"/>
  <c r="Q17" i="54"/>
  <c r="Q18" i="54"/>
  <c r="Q19" i="54"/>
  <c r="Q20" i="54"/>
  <c r="Q21" i="54"/>
  <c r="Q22" i="54"/>
  <c r="Q23" i="54"/>
  <c r="Q24" i="54"/>
  <c r="Q25" i="54"/>
  <c r="Q26" i="54"/>
  <c r="Q27" i="54"/>
  <c r="Q28" i="54"/>
  <c r="Q29" i="54"/>
  <c r="Q30" i="54"/>
  <c r="Q31" i="54"/>
  <c r="Q32" i="54"/>
  <c r="Q33" i="54"/>
  <c r="Q34" i="54"/>
  <c r="Q101" i="54"/>
  <c r="Q35" i="54"/>
  <c r="Q36" i="54"/>
  <c r="Q109" i="54"/>
  <c r="Q110" i="54"/>
  <c r="Q111" i="54"/>
  <c r="Q112" i="54"/>
  <c r="Q113" i="54"/>
  <c r="Q114" i="54"/>
  <c r="Q115" i="54"/>
  <c r="Q116" i="54"/>
  <c r="Q117" i="54"/>
  <c r="Q118" i="54"/>
  <c r="Q119" i="54"/>
  <c r="Q120" i="54"/>
  <c r="Q98" i="54"/>
  <c r="Q99" i="54"/>
  <c r="Q121" i="54"/>
  <c r="Q37" i="54"/>
  <c r="Q38" i="54"/>
  <c r="Q39" i="54"/>
  <c r="Q122" i="54"/>
  <c r="Q40" i="54"/>
  <c r="Q41" i="54"/>
  <c r="Q42" i="54"/>
  <c r="Q43" i="54"/>
  <c r="Q44" i="54"/>
  <c r="Q45" i="54"/>
  <c r="Q46" i="54"/>
  <c r="Q47" i="54"/>
  <c r="Q48" i="54"/>
  <c r="Q49" i="54"/>
  <c r="Q50" i="54"/>
  <c r="Q51" i="54"/>
  <c r="Q123" i="54"/>
  <c r="Q52" i="54"/>
  <c r="Q53" i="54"/>
  <c r="Q54" i="54"/>
  <c r="Q55" i="54"/>
  <c r="Q56" i="54"/>
  <c r="Q57" i="54"/>
  <c r="Q58" i="54"/>
  <c r="Q59" i="54"/>
  <c r="Q60" i="54"/>
  <c r="Q61" i="54"/>
  <c r="Q124" i="54"/>
  <c r="Q62" i="54"/>
  <c r="Q63" i="54"/>
  <c r="Q64" i="54"/>
  <c r="Q65" i="54"/>
  <c r="Q66" i="54"/>
  <c r="Q67" i="54"/>
  <c r="Q68" i="54"/>
  <c r="Q69" i="54"/>
  <c r="Q70" i="54"/>
  <c r="Q71" i="54"/>
  <c r="Q72" i="54"/>
  <c r="Q73" i="54"/>
  <c r="Q74" i="54"/>
  <c r="Q125" i="54"/>
  <c r="Q126" i="54"/>
  <c r="Q75" i="54"/>
  <c r="Q76" i="54"/>
  <c r="Q127" i="54"/>
  <c r="Q128" i="54"/>
  <c r="Q77" i="54"/>
  <c r="Q78" i="54"/>
  <c r="Q129" i="54"/>
  <c r="Q130" i="54"/>
  <c r="Q79" i="54"/>
  <c r="Q80" i="54"/>
  <c r="Q131" i="54"/>
  <c r="Q81" i="54"/>
  <c r="Q132" i="54"/>
  <c r="Q133" i="54"/>
  <c r="Q82" i="54"/>
  <c r="Q83" i="54"/>
  <c r="Q84" i="54"/>
  <c r="Q134" i="54"/>
  <c r="Q102" i="54"/>
  <c r="Q103" i="54"/>
  <c r="Q104" i="54"/>
  <c r="Q85" i="54"/>
  <c r="Q135" i="54"/>
  <c r="Q136" i="54"/>
  <c r="Q137" i="54"/>
  <c r="Q138" i="54"/>
  <c r="Q139" i="54"/>
  <c r="Q140" i="54"/>
  <c r="Q141" i="54"/>
  <c r="Q142" i="54"/>
  <c r="Q86" i="54"/>
  <c r="Q153" i="54"/>
  <c r="Q154" i="54"/>
  <c r="Q151" i="54"/>
  <c r="Q150" i="54"/>
  <c r="Q152" i="54"/>
  <c r="Q143" i="54"/>
  <c r="Q87" i="54"/>
  <c r="Q88" i="54"/>
  <c r="Q105" i="54"/>
  <c r="Q89" i="54"/>
  <c r="Q90" i="54"/>
  <c r="Q91" i="54"/>
  <c r="Q92" i="54"/>
  <c r="Q144" i="54"/>
  <c r="Q93" i="54"/>
  <c r="Q145" i="54"/>
  <c r="Q146" i="54"/>
  <c r="Q147" i="54"/>
  <c r="Q148" i="54"/>
  <c r="Q149" i="54"/>
  <c r="Q94" i="54"/>
  <c r="Q95" i="54"/>
  <c r="Q96" i="54"/>
  <c r="Q97" i="54"/>
  <c r="Q4" i="54"/>
  <c r="L160" i="54"/>
  <c r="L159" i="54"/>
  <c r="L161" i="54" s="1"/>
  <c r="I153" i="55"/>
  <c r="H159" i="54" l="1"/>
  <c r="Q159" i="54" s="1"/>
  <c r="Q161" i="54" s="1"/>
  <c r="C13" i="24"/>
  <c r="B7" i="24"/>
  <c r="B6" i="24"/>
  <c r="D9" i="50"/>
  <c r="H9" i="50"/>
  <c r="H161" i="54" l="1"/>
  <c r="B13" i="24" s="1"/>
  <c r="I154" i="55"/>
  <c r="F59" i="22"/>
  <c r="G59" i="22"/>
  <c r="R60" i="52" l="1"/>
  <c r="I101" i="52"/>
  <c r="I103" i="52"/>
  <c r="E8" i="50" l="1"/>
  <c r="G8" i="50" s="1"/>
  <c r="E7" i="50"/>
  <c r="G7" i="50" s="1"/>
  <c r="E6" i="50"/>
  <c r="G6" i="50" s="1"/>
  <c r="E5" i="50"/>
  <c r="G5" i="50" s="1"/>
  <c r="E4" i="50"/>
  <c r="E9" i="50" l="1"/>
  <c r="G9" i="50" s="1"/>
  <c r="G4" i="50"/>
  <c r="H59" i="22" l="1"/>
  <c r="E58" i="22"/>
  <c r="I59" i="22"/>
  <c r="C16" i="24" l="1"/>
  <c r="C7" i="24"/>
  <c r="D7" i="24" s="1"/>
  <c r="C6" i="24"/>
  <c r="D6" i="24" s="1"/>
  <c r="E56" i="22" l="1"/>
  <c r="E55" i="22"/>
  <c r="E54" i="22"/>
  <c r="E53" i="22"/>
  <c r="E52" i="22"/>
  <c r="E51" i="22"/>
  <c r="E50" i="22"/>
  <c r="E49" i="22"/>
  <c r="E48" i="22"/>
  <c r="E47" i="22"/>
  <c r="E46" i="22"/>
  <c r="P16" i="22" l="1"/>
  <c r="G16" i="22"/>
  <c r="O16" i="22" s="1"/>
  <c r="E16" i="22"/>
  <c r="P15" i="22"/>
  <c r="G15" i="22"/>
  <c r="O15" i="22" s="1"/>
  <c r="E15" i="22"/>
  <c r="P14" i="22"/>
  <c r="G14" i="22"/>
  <c r="O14" i="22" s="1"/>
  <c r="E14" i="22"/>
  <c r="P13" i="22"/>
  <c r="G13" i="22"/>
  <c r="O13" i="22" s="1"/>
  <c r="E13" i="22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N18" i="22" l="1"/>
  <c r="K18" i="22"/>
  <c r="F18" i="22"/>
  <c r="P17" i="22"/>
  <c r="G17" i="22"/>
  <c r="O17" i="22" s="1"/>
  <c r="O18" i="22" s="1"/>
  <c r="E17" i="22"/>
  <c r="G32" i="22"/>
  <c r="E32" i="22"/>
  <c r="G31" i="22"/>
  <c r="E31" i="22"/>
  <c r="G30" i="22"/>
  <c r="E30" i="22"/>
  <c r="G29" i="22"/>
  <c r="E29" i="22"/>
  <c r="G28" i="22"/>
  <c r="E28" i="22"/>
  <c r="G27" i="22"/>
  <c r="E27" i="22"/>
  <c r="G26" i="22"/>
  <c r="E26" i="22"/>
  <c r="G25" i="22"/>
  <c r="E25" i="22"/>
  <c r="G24" i="22"/>
  <c r="E24" i="22"/>
  <c r="G23" i="22"/>
  <c r="E23" i="22"/>
  <c r="G18" i="22" l="1"/>
  <c r="G37" i="22" l="1"/>
  <c r="E37" i="22"/>
  <c r="G36" i="22"/>
  <c r="E36" i="22"/>
  <c r="G35" i="22"/>
  <c r="E35" i="22"/>
  <c r="G34" i="22"/>
  <c r="E34" i="22"/>
  <c r="G33" i="22"/>
  <c r="E33" i="22"/>
  <c r="E67" i="22"/>
  <c r="G67" i="22"/>
  <c r="I67" i="22" s="1"/>
  <c r="E68" i="22"/>
  <c r="G68" i="22"/>
  <c r="I68" i="22" s="1"/>
  <c r="E69" i="22"/>
  <c r="G69" i="22"/>
  <c r="I69" i="22" s="1"/>
  <c r="E70" i="22"/>
  <c r="G70" i="22"/>
  <c r="I70" i="22" s="1"/>
  <c r="H18" i="22" l="1"/>
  <c r="I18" i="22"/>
  <c r="F76" i="22" l="1"/>
  <c r="G71" i="22" l="1"/>
  <c r="I71" i="22" s="1"/>
  <c r="G72" i="22"/>
  <c r="I72" i="22" s="1"/>
  <c r="G73" i="22"/>
  <c r="I73" i="22" s="1"/>
  <c r="G74" i="22"/>
  <c r="I74" i="22" s="1"/>
  <c r="G75" i="22"/>
  <c r="E71" i="22"/>
  <c r="E72" i="22"/>
  <c r="E73" i="22"/>
  <c r="E74" i="22"/>
  <c r="E57" i="22" l="1"/>
  <c r="F42" i="22" l="1"/>
  <c r="E38" i="22" l="1"/>
  <c r="G38" i="22"/>
  <c r="E39" i="22"/>
  <c r="G39" i="22"/>
  <c r="E40" i="22"/>
  <c r="G40" i="22"/>
  <c r="E41" i="22"/>
  <c r="G41" i="22"/>
  <c r="M18" i="22" l="1"/>
  <c r="L18" i="22"/>
  <c r="J18" i="22"/>
  <c r="E82" i="22" l="1"/>
  <c r="E81" i="22"/>
  <c r="C35" i="24" l="1"/>
  <c r="G19" i="22" l="1"/>
  <c r="B16" i="24" l="1"/>
  <c r="E83" i="22" l="1"/>
  <c r="C41" i="24" l="1"/>
  <c r="C55" i="24" l="1"/>
  <c r="C59" i="24" s="1"/>
  <c r="C43" i="24"/>
  <c r="E84" i="22" l="1"/>
  <c r="E85" i="22"/>
  <c r="E75" i="22"/>
  <c r="I75" i="22" l="1"/>
  <c r="I76" i="22" s="1"/>
  <c r="G76" i="22"/>
  <c r="D16" i="24" l="1"/>
  <c r="F81" i="22" l="1"/>
  <c r="G81" i="22" l="1"/>
  <c r="H86" i="22"/>
  <c r="F85" i="22"/>
  <c r="G85" i="22" s="1"/>
  <c r="F83" i="22"/>
  <c r="G83" i="22" s="1"/>
  <c r="F84" i="22"/>
  <c r="G84" i="22" s="1"/>
  <c r="F82" i="22"/>
  <c r="F86" i="22" l="1"/>
  <c r="G82" i="22"/>
  <c r="G86" i="22" s="1"/>
  <c r="C8" i="24" l="1"/>
  <c r="C47" i="24" s="1"/>
  <c r="B8" i="24" l="1"/>
  <c r="D8" i="24"/>
  <c r="C51" i="24" l="1"/>
  <c r="C62" i="24" s="1"/>
</calcChain>
</file>

<file path=xl/sharedStrings.xml><?xml version="1.0" encoding="utf-8"?>
<sst xmlns="http://schemas.openxmlformats.org/spreadsheetml/2006/main" count="11440" uniqueCount="2395">
  <si>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</si>
  <si>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</si>
  <si>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</si>
  <si>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</si>
  <si>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</si>
  <si>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</si>
  <si>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</si>
  <si>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</si>
  <si>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</si>
  <si>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</si>
  <si>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</si>
  <si>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</si>
  <si>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</si>
  <si>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</si>
  <si>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</si>
  <si>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</si>
  <si>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</si>
  <si>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</si>
  <si>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</si>
  <si>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</si>
  <si>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</si>
  <si>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</si>
  <si>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</si>
  <si>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</si>
  <si>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</si>
  <si>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</si>
  <si>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</si>
  <si>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</si>
  <si>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</si>
  <si>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</si>
  <si>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</si>
  <si>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</si>
  <si>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</si>
  <si>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</si>
  <si>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</si>
  <si>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</si>
  <si>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</si>
  <si>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</si>
  <si>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</si>
  <si>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</si>
  <si>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</si>
  <si>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</si>
  <si>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</si>
  <si>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</si>
  <si>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</si>
  <si>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</si>
  <si>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</si>
  <si>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</si>
  <si>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</si>
  <si>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</si>
  <si>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</si>
  <si>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</si>
  <si>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</si>
  <si>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</si>
  <si>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</si>
  <si>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</si>
  <si>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</si>
  <si>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</si>
  <si>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</si>
  <si>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</si>
  <si>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</si>
  <si>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</si>
  <si>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</si>
  <si>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</si>
  <si>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</si>
  <si>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</si>
  <si>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</si>
  <si>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</si>
  <si>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</si>
  <si>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</si>
  <si>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</si>
  <si>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</si>
  <si>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</si>
  <si>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</si>
  <si>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</si>
  <si>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</si>
  <si>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</si>
  <si>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</si>
  <si>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</si>
  <si>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</si>
  <si>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</si>
  <si>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</si>
  <si>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</si>
  <si>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</si>
  <si>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</si>
  <si>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</si>
  <si>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</si>
  <si>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</si>
  <si>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</si>
  <si>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</si>
  <si>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</si>
  <si>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</si>
  <si>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</si>
  <si>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</si>
  <si>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</si>
  <si>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</si>
  <si>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</si>
  <si>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</si>
  <si>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</si>
  <si>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</si>
  <si>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</si>
  <si>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</si>
  <si>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</si>
  <si>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</si>
  <si>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</si>
  <si>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</si>
  <si>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</si>
  <si>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</si>
  <si>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</si>
  <si>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</si>
  <si>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</si>
  <si>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</si>
  <si>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</si>
  <si>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</si>
  <si>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</si>
  <si>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</si>
  <si>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</si>
  <si>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</si>
  <si>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</si>
  <si>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</si>
  <si>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</si>
  <si>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</si>
  <si>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</si>
  <si>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</si>
  <si>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</si>
  <si>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</si>
  <si>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</si>
  <si>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</si>
  <si>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</si>
  <si>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</si>
  <si>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</si>
  <si>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</si>
  <si>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</si>
  <si>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</si>
  <si>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</si>
  <si>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</si>
  <si>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</si>
  <si>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</si>
  <si>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</si>
  <si>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</si>
  <si>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</si>
  <si>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</si>
  <si>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</si>
  <si>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</si>
  <si>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</si>
  <si>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</si>
  <si>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</si>
  <si>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</si>
  <si>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</si>
  <si>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</si>
  <si>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</si>
  <si>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</si>
  <si>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</si>
  <si>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</si>
  <si>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</si>
  <si>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</si>
  <si>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</si>
  <si>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</si>
  <si>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</si>
  <si>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</si>
  <si>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</si>
  <si>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</si>
  <si>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</si>
  <si>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</si>
  <si>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</si>
  <si>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</si>
  <si>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</si>
  <si>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</si>
  <si>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</si>
  <si>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</si>
  <si>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</si>
  <si>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</si>
  <si>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</si>
  <si>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</si>
  <si>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</si>
  <si>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</si>
  <si>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</si>
  <si>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</si>
  <si>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</si>
  <si>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</si>
  <si>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</si>
  <si>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</si>
  <si>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</si>
  <si>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</si>
  <si>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</si>
  <si>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</si>
  <si>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</si>
  <si>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</si>
  <si>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</si>
  <si>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</si>
  <si>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</si>
  <si>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</si>
  <si>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</si>
  <si>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</si>
  <si>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</si>
  <si>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</si>
  <si>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</si>
  <si>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</si>
  <si>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</si>
  <si>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</si>
  <si>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</si>
  <si>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</si>
  <si>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</si>
  <si>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</si>
  <si>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</si>
  <si>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</si>
  <si>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</si>
  <si>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</si>
  <si>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</si>
  <si>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</si>
  <si>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</si>
  <si>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</si>
  <si>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</si>
  <si>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</si>
  <si>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</si>
  <si>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</si>
  <si>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</si>
  <si>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</si>
  <si>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</si>
  <si>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</si>
  <si>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</si>
  <si>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</si>
  <si>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</si>
  <si>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</si>
  <si>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</si>
  <si>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</si>
  <si>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</si>
  <si>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</si>
  <si>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</si>
  <si>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</si>
  <si>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</si>
  <si>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</si>
  <si>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</si>
  <si>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</si>
  <si>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</si>
  <si>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</si>
  <si>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</si>
  <si>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</si>
  <si>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</si>
  <si>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</si>
  <si>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</si>
  <si>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</si>
  <si>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</si>
  <si>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</si>
  <si>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</si>
  <si>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</si>
  <si>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</si>
  <si>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</si>
  <si>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</si>
  <si>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</si>
  <si>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</si>
  <si>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</si>
  <si>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</si>
  <si>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</si>
  <si>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</si>
  <si>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</si>
  <si>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</si>
  <si>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</si>
  <si>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</si>
  <si>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</si>
  <si>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</si>
  <si>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</si>
  <si>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</si>
  <si>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</si>
  <si>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</si>
  <si>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</si>
  <si>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</si>
  <si>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</si>
  <si>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</si>
  <si>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</si>
  <si>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</si>
  <si>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</si>
  <si>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</si>
  <si>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</si>
  <si>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</si>
  <si>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</si>
  <si>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</si>
  <si>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</si>
  <si>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</si>
  <si>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</si>
  <si>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</si>
  <si>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</si>
  <si>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</si>
  <si>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</si>
  <si>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</si>
  <si>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</si>
  <si>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</si>
  <si>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</si>
  <si>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</si>
  <si>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</si>
  <si>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</si>
  <si>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</si>
  <si>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</si>
  <si>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</si>
  <si>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</si>
  <si>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</si>
  <si>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</si>
  <si>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</si>
  <si>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</si>
  <si>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</si>
  <si>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</si>
  <si>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</si>
  <si>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</si>
  <si>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</si>
  <si>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</si>
  <si>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</si>
  <si>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</si>
  <si>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</si>
  <si>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</si>
  <si>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</si>
  <si>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</si>
  <si>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</si>
  <si>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</si>
  <si>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</si>
  <si>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</si>
  <si>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</si>
  <si>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</si>
  <si>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</si>
  <si>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</si>
  <si>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</si>
  <si>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</si>
  <si>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</si>
  <si>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</si>
  <si>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</si>
  <si>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</si>
  <si>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</si>
  <si>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</si>
  <si>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</si>
  <si>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</si>
  <si>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</si>
  <si>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</si>
  <si>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</si>
  <si>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</si>
  <si>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</si>
  <si>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</si>
  <si>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</si>
  <si>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</si>
  <si>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</si>
  <si>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</si>
  <si>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</si>
  <si>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</si>
  <si>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</si>
  <si>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</si>
  <si>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</si>
  <si>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</si>
  <si>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</si>
  <si>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</si>
  <si>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</si>
  <si>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</si>
  <si>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</si>
  <si>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</si>
  <si>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</si>
  <si>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</si>
  <si>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</si>
  <si>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</si>
  <si>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</si>
  <si>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</si>
  <si>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</si>
  <si>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</si>
  <si>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</si>
  <si>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</si>
  <si>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</si>
  <si>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</si>
  <si>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</si>
  <si>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</si>
  <si>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</si>
  <si>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</si>
  <si>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</si>
  <si>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</si>
  <si>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</si>
  <si>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</si>
  <si>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</si>
  <si>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</si>
  <si>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</si>
  <si>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</si>
  <si>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</si>
  <si>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</si>
  <si>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</si>
  <si>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</si>
  <si>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</si>
  <si>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</si>
  <si>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</si>
  <si>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</si>
  <si>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</si>
  <si>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</si>
  <si>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</si>
  <si>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</si>
  <si>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</si>
  <si>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</si>
  <si>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</si>
  <si>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</si>
  <si>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</si>
  <si>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</si>
  <si>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</si>
  <si>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</si>
  <si>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</si>
  <si>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</si>
  <si>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</si>
  <si>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</si>
  <si>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</si>
  <si>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</si>
  <si>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</si>
  <si>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</si>
  <si>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</si>
  <si>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</si>
  <si>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</si>
  <si>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</si>
  <si>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</si>
  <si>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</si>
  <si>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</si>
  <si>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</si>
  <si>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</si>
  <si>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</si>
  <si>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</si>
  <si>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</si>
  <si>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</si>
  <si>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</si>
  <si>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</si>
  <si>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</si>
  <si>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</si>
  <si>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</si>
  <si>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</si>
  <si>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</si>
  <si>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</si>
  <si>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</si>
  <si>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</si>
  <si>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</si>
  <si>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</si>
  <si>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</si>
  <si>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</si>
  <si>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</si>
  <si>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</si>
  <si>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</si>
  <si>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</si>
  <si>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</si>
  <si>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</si>
  <si>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</si>
  <si>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</si>
  <si>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</si>
  <si>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</si>
  <si>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</si>
  <si>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</si>
  <si>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</si>
  <si>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</si>
  <si>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</si>
  <si>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</si>
  <si>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</si>
  <si>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</si>
  <si>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</si>
  <si>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</si>
  <si>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</si>
  <si>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</si>
  <si>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</si>
  <si>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</si>
  <si>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</si>
  <si>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</si>
  <si>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</si>
  <si>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</si>
  <si>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</si>
  <si>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</si>
  <si>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</si>
  <si>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</si>
  <si>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</si>
  <si>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</si>
  <si>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</si>
  <si>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</si>
  <si>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</si>
  <si>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</si>
  <si>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</si>
  <si>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</si>
  <si>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</si>
  <si>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</si>
  <si>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</si>
  <si>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</si>
  <si>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</si>
  <si>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</si>
  <si>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</si>
  <si>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</si>
  <si>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</si>
  <si>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</si>
  <si>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</si>
  <si>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</si>
  <si>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</si>
  <si>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</si>
  <si>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</si>
  <si>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</si>
  <si>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</si>
  <si>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</si>
  <si>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</si>
  <si>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</si>
  <si>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</si>
  <si>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</si>
  <si>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</si>
  <si>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</si>
  <si>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</si>
  <si>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</si>
  <si>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</si>
  <si>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</si>
  <si>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</si>
  <si>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</si>
  <si>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</si>
  <si>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</si>
  <si>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</si>
  <si>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</si>
  <si>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</si>
  <si>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</si>
  <si>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</si>
  <si>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</si>
  <si>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</si>
  <si>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</si>
  <si>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</si>
  <si>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</si>
  <si>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</si>
  <si>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</si>
  <si>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</si>
  <si>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</si>
  <si>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</si>
  <si>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</si>
  <si>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</si>
  <si>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</si>
  <si>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</si>
  <si>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</si>
  <si>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</si>
  <si>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</si>
  <si>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</si>
  <si>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</si>
  <si>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</si>
  <si>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</si>
  <si>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</si>
  <si>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</si>
  <si>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</si>
  <si>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</si>
  <si>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</si>
  <si>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</si>
  <si>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</si>
  <si>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</si>
  <si>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</si>
  <si>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</si>
  <si>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</si>
  <si>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</si>
  <si>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</si>
  <si>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</si>
  <si>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</si>
  <si>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</si>
  <si>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</si>
  <si>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</si>
  <si>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</si>
  <si>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</si>
  <si>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</si>
  <si>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</si>
  <si>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</si>
  <si>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</si>
  <si>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</si>
  <si>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</si>
  <si>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</si>
  <si>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</si>
  <si>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</si>
  <si>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</si>
  <si>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</si>
  <si>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</si>
  <si>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</si>
  <si>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</si>
  <si>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</si>
  <si>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</si>
  <si>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</si>
  <si>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</si>
  <si>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</si>
  <si>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</si>
  <si>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</si>
  <si>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</si>
  <si>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</si>
  <si>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</si>
  <si>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</si>
  <si>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</si>
  <si>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</si>
  <si>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</si>
  <si>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</si>
  <si>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</si>
  <si>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</si>
  <si>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</si>
  <si>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</si>
  <si>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</si>
  <si>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</si>
  <si>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</si>
  <si>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</si>
  <si>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</si>
  <si>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</si>
  <si>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</si>
  <si>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</si>
  <si>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</si>
  <si>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</si>
  <si>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</si>
  <si>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</si>
  <si>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</si>
  <si>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</si>
  <si>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</si>
  <si>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</si>
  <si>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</si>
  <si>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</si>
  <si>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</si>
  <si>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</si>
  <si>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</si>
  <si>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</si>
  <si>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</si>
  <si>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</si>
  <si>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</si>
  <si>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</si>
  <si>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</si>
  <si>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</si>
  <si>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</si>
  <si>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</si>
  <si>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</si>
  <si>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</si>
  <si>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</si>
  <si>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</si>
  <si>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</si>
  <si>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</si>
  <si>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</si>
  <si>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</si>
  <si>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</si>
  <si>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</si>
  <si>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</si>
  <si>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</si>
  <si>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</si>
  <si>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</si>
  <si>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</si>
  <si>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</si>
  <si>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</si>
  <si>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</si>
  <si>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</si>
  <si>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</si>
  <si>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</si>
  <si>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</si>
  <si>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</si>
  <si>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</si>
  <si>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</si>
  <si>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</si>
  <si>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</si>
  <si>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</si>
  <si>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</si>
  <si>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</si>
  <si>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</si>
  <si>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</si>
  <si>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</si>
  <si>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</si>
  <si>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</si>
  <si>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</si>
  <si>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</si>
  <si>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</si>
  <si>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</si>
  <si>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</si>
  <si>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</si>
  <si>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</si>
  <si>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</si>
  <si>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</si>
  <si>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</si>
  <si>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</si>
  <si>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</si>
  <si>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</si>
  <si>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</si>
  <si>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</si>
  <si>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</si>
  <si>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</si>
  <si>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</si>
  <si>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</si>
  <si>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</si>
  <si>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</si>
  <si>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</si>
  <si>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</si>
  <si>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</si>
  <si>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</si>
  <si>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</si>
  <si>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</si>
  <si>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</si>
  <si>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</si>
  <si>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</si>
  <si>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</si>
  <si>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</si>
  <si>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</si>
  <si>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</si>
  <si>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</si>
  <si>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</si>
  <si>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</si>
  <si>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</si>
  <si>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</si>
  <si>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</si>
  <si>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</si>
  <si>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</si>
  <si>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</si>
  <si>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</si>
  <si>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</si>
  <si>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</si>
  <si>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</si>
  <si>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</si>
  <si>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</si>
  <si>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</si>
  <si>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</si>
  <si>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</si>
  <si>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</si>
  <si>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</si>
  <si>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</si>
  <si>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</si>
  <si>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</si>
  <si>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</si>
  <si>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</si>
  <si>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</si>
  <si>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</si>
  <si>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</si>
  <si>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</si>
  <si>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</si>
  <si>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</si>
  <si>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</si>
  <si>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</si>
  <si>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</si>
  <si>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</si>
  <si>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</si>
  <si>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</si>
  <si>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</si>
  <si>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</si>
  <si>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</si>
  <si>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</si>
  <si>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</si>
  <si>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</si>
  <si>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</si>
  <si>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Comprobante</t>
  </si>
  <si>
    <t>Nombre</t>
  </si>
  <si>
    <t>Cond. IVA</t>
  </si>
  <si>
    <t>CUIT o Doc.</t>
  </si>
  <si>
    <t>Gravado</t>
  </si>
  <si>
    <t>No Gravado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</si>
  <si>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</si>
  <si>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</si>
  <si>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</si>
  <si>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</si>
  <si>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</si>
  <si>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</si>
  <si>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</si>
  <si>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</si>
  <si>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</si>
  <si>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</si>
  <si>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</si>
  <si>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</si>
  <si>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</si>
  <si>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</si>
  <si>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</si>
  <si>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</si>
  <si>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</si>
  <si>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</si>
  <si>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</si>
  <si>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</si>
  <si>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</si>
  <si>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</si>
  <si>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</si>
  <si>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</si>
  <si>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</si>
  <si>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</si>
  <si>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</si>
  <si>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</si>
  <si>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</si>
  <si>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</si>
  <si>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</si>
  <si>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</si>
  <si>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</si>
  <si>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</si>
  <si>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</si>
  <si>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</si>
  <si>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</si>
  <si>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</si>
  <si>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</si>
  <si>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</si>
  <si>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</si>
  <si>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</si>
  <si>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</si>
  <si>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</si>
  <si>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</si>
  <si>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</si>
  <si>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</si>
  <si>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</si>
  <si>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</si>
  <si>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</si>
  <si>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</si>
  <si>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</si>
  <si>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</si>
  <si>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</si>
  <si>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</si>
  <si>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</si>
  <si>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</si>
  <si>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</si>
  <si>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</si>
  <si>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</si>
  <si>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</si>
  <si>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</si>
  <si>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</si>
  <si>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</si>
  <si>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</si>
  <si>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</si>
  <si>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</si>
  <si>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</si>
  <si>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</si>
  <si>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</si>
  <si>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</si>
  <si>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</si>
  <si>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</si>
  <si>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</si>
  <si>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</si>
  <si>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</si>
  <si>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</si>
  <si>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</si>
  <si>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</si>
  <si>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</si>
  <si>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</si>
  <si>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</si>
  <si>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</si>
  <si>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</si>
  <si>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</si>
  <si>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</si>
  <si>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</si>
  <si>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</si>
  <si>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</si>
  <si>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</si>
  <si>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</si>
  <si>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</si>
  <si>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</si>
  <si>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</si>
  <si>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</si>
  <si>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</si>
  <si>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</si>
  <si>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</si>
  <si>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</si>
  <si>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</si>
  <si>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</si>
  <si>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</si>
  <si>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</si>
  <si>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</si>
  <si>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</si>
  <si>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</si>
  <si>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</si>
  <si>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</si>
  <si>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</si>
  <si>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</si>
  <si>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</si>
  <si>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</si>
  <si>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</si>
  <si>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</si>
  <si>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</si>
  <si>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</si>
  <si>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</si>
  <si>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</si>
  <si>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</si>
  <si>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</si>
  <si>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</si>
  <si>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</si>
  <si>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</si>
  <si>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</si>
  <si>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</si>
  <si>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</si>
  <si>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</si>
  <si>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</si>
  <si>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</si>
  <si>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</si>
  <si>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</si>
  <si>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</si>
  <si>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</si>
  <si>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</si>
  <si>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</si>
  <si>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</si>
  <si>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</si>
  <si>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</si>
  <si>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</si>
  <si>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</si>
  <si>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</si>
  <si>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</si>
  <si>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</si>
  <si>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</si>
  <si>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</si>
  <si>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</si>
  <si>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</si>
  <si>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</si>
  <si>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</si>
  <si>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</si>
  <si>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</si>
  <si>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</si>
  <si>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</si>
  <si>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</si>
  <si>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</si>
  <si>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</si>
  <si>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</si>
  <si>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</si>
  <si>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</si>
  <si>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</si>
  <si>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</si>
  <si>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</si>
  <si>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</si>
  <si>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</si>
  <si>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</si>
  <si>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</si>
  <si>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</si>
  <si>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</si>
  <si>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</si>
  <si>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</si>
  <si>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</si>
  <si>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</si>
  <si>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</si>
  <si>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</si>
  <si>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</si>
  <si>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</si>
  <si>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</si>
  <si>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</si>
  <si>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</si>
  <si>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O.S.P.R.E.R.A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</si>
  <si>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</si>
  <si>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</si>
  <si>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</si>
  <si>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</si>
  <si>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</si>
  <si>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</si>
  <si>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</si>
  <si>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</si>
  <si>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</si>
  <si>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</si>
  <si>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</si>
  <si>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</si>
  <si>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</si>
  <si>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Mis Comprobantes Recibidos - CUIT 30710473168</t>
  </si>
  <si>
    <t>CLINICA BASILEA SA</t>
  </si>
  <si>
    <t>02/12/2024</t>
  </si>
  <si>
    <t>BALANZE S.A.</t>
  </si>
  <si>
    <t>03/12/2024</t>
  </si>
  <si>
    <t>CONTABILIUM S.A. S. A.</t>
  </si>
  <si>
    <t>ASTORGA JORGE DANIEL</t>
  </si>
  <si>
    <t>04/12/2024</t>
  </si>
  <si>
    <t>NYLTEF SAICF</t>
  </si>
  <si>
    <t>SOLUCIONES TECNOLOGICAS INTEGRALES SRL</t>
  </si>
  <si>
    <t>05/12/2024</t>
  </si>
  <si>
    <t>REHAVITA S.A.</t>
  </si>
  <si>
    <t>HORIZONTE TRANSPORTES S R L</t>
  </si>
  <si>
    <t>ORTOPEDIA CASA ESCALADA S.R.L.</t>
  </si>
  <si>
    <t>MIGOYA MORIONDO SOFIA</t>
  </si>
  <si>
    <t>06/12/2024</t>
  </si>
  <si>
    <t>IALLONARDO SERGIO ALEJANDRO</t>
  </si>
  <si>
    <t>BOCCACCI MARIA FLORENCIA</t>
  </si>
  <si>
    <t>08/12/2024</t>
  </si>
  <si>
    <t>09/12/2024</t>
  </si>
  <si>
    <t>RAKE S.A.</t>
  </si>
  <si>
    <t>cio</t>
  </si>
  <si>
    <t>10/12/2024</t>
  </si>
  <si>
    <t>EXPRESO LANCIONI S.A.</t>
  </si>
  <si>
    <t>LIPROT S.R.L.</t>
  </si>
  <si>
    <t>12/12/2024</t>
  </si>
  <si>
    <t>RIVERO GABRIELA ROCIO</t>
  </si>
  <si>
    <t>13/12/2024</t>
  </si>
  <si>
    <t>OPERADORA DE ESTACIONES DE SERVICIOS SA</t>
  </si>
  <si>
    <t>ALUFRAME S.R.L</t>
  </si>
  <si>
    <t>15/12/2024</t>
  </si>
  <si>
    <t>16/12/2024</t>
  </si>
  <si>
    <t>este</t>
  </si>
  <si>
    <t>AUTOPISTAS DE BUENOS AIRES (AUBASA) SA S. A.</t>
  </si>
  <si>
    <t>RODRIGUEZ PATRICIO SALVADOR</t>
  </si>
  <si>
    <t>17/12/2024</t>
  </si>
  <si>
    <t>VANONI OBANDO ROMY PRISCILLA</t>
  </si>
  <si>
    <t>13 - Nota de Crédito C</t>
  </si>
  <si>
    <t>18/12/2024</t>
  </si>
  <si>
    <t>LA UNION SRL</t>
  </si>
  <si>
    <t>6 - Factura B</t>
  </si>
  <si>
    <t>QUIRINO CARLOS ALBERTO</t>
  </si>
  <si>
    <t>19/12/2024</t>
  </si>
  <si>
    <t>20/12/2024</t>
  </si>
  <si>
    <t>BIGBOX S.A.</t>
  </si>
  <si>
    <t>VELEZ ALEJANDRO MARCELO</t>
  </si>
  <si>
    <t>23/12/2024</t>
  </si>
  <si>
    <t>TURSARKISIAN MISISIAN VERONICA GEMA</t>
  </si>
  <si>
    <t>24/12/2024</t>
  </si>
  <si>
    <t>SMART IT SOLUTIONS S.R.L</t>
  </si>
  <si>
    <t>26/12/2024</t>
  </si>
  <si>
    <t>27/12/2024</t>
  </si>
  <si>
    <t>CPT INTEGRAL SA</t>
  </si>
  <si>
    <t>29/12/2024</t>
  </si>
  <si>
    <t>BARNATAN MARCOS ARIEL</t>
  </si>
  <si>
    <t>30/12/2024</t>
  </si>
  <si>
    <t>31/12/2024</t>
  </si>
  <si>
    <t>ROI SA</t>
  </si>
  <si>
    <t>Nro Factura</t>
  </si>
  <si>
    <t>Razon Social</t>
  </si>
  <si>
    <t>Cuit</t>
  </si>
  <si>
    <t>Percepcion IVA</t>
  </si>
  <si>
    <t>Total Facturado</t>
  </si>
  <si>
    <t>Provincia</t>
  </si>
  <si>
    <t>RI</t>
  </si>
  <si>
    <t>Buenos Aires</t>
  </si>
  <si>
    <t>Ciudad de Buenos Aires</t>
  </si>
  <si>
    <t>DEHEZA SOCIEDAD ANONIMA INDUSTRIAL COMERCIAL FINANCIERA INMOBILIARIA</t>
  </si>
  <si>
    <t>CF</t>
  </si>
  <si>
    <t>Condicion IVA</t>
  </si>
  <si>
    <t>IVA21</t>
  </si>
  <si>
    <t>Ciudad</t>
  </si>
  <si>
    <t>Importe Neto Gravado</t>
  </si>
  <si>
    <t>Importe No Grav</t>
  </si>
  <si>
    <t>Total IVA</t>
  </si>
  <si>
    <t>SIN IDENTIFICAR</t>
  </si>
  <si>
    <t xml:space="preserve">. CONSUMIDOR FINAL ANÓNIMO </t>
  </si>
  <si>
    <t>111</t>
  </si>
  <si>
    <t>HC HOMECARE INTERNACION DOMICILIARIA S.A.</t>
  </si>
  <si>
    <t>30710538014</t>
  </si>
  <si>
    <t>VILLA MARTELLI</t>
  </si>
  <si>
    <t>AMPARO SALUD S.R.L.</t>
  </si>
  <si>
    <t>30715186655</t>
  </si>
  <si>
    <t>OBRA SOCIAL UNION PERSONAL DE LA UNION DEL PERSONAL CIVIL DE LA NACION</t>
  </si>
  <si>
    <t>30683032227</t>
  </si>
  <si>
    <t>EX</t>
  </si>
  <si>
    <t>30522428163</t>
  </si>
  <si>
    <t>30590354798</t>
  </si>
  <si>
    <t>Santa Fe</t>
  </si>
  <si>
    <t>SUNCHALES</t>
  </si>
  <si>
    <t>PINO, ANA PAULA</t>
  </si>
  <si>
    <t>20008996</t>
  </si>
  <si>
    <t>FLORIDA</t>
  </si>
  <si>
    <t>GIGAGLIA, MARIA LUCILA</t>
  </si>
  <si>
    <t>25315045</t>
  </si>
  <si>
    <t>BECCAR</t>
  </si>
  <si>
    <t>OBRA SOCIAL DE EMPLEADOS DEL TABACO DE LA REPUBLICA ARGENTINA</t>
  </si>
  <si>
    <t>30661273093</t>
  </si>
  <si>
    <t>OBRA SOCIAL DE LOS TRABAJADORES DE LA INDUSTRIA DEL GAS</t>
  </si>
  <si>
    <t>30658137642</t>
  </si>
  <si>
    <t>Obra Social Del Personal De La Industria Del Plastico</t>
  </si>
  <si>
    <t>30571766287</t>
  </si>
  <si>
    <t>Galeno A.R.T. S.A.</t>
  </si>
  <si>
    <t>30685228501</t>
  </si>
  <si>
    <t>OBRA SOCIAL DEL PERSONAL DEL ORGANISMO DE CONTROL EXTERNO</t>
  </si>
  <si>
    <t>30657314974</t>
  </si>
  <si>
    <t>MGR IMPLANTES S.A.</t>
  </si>
  <si>
    <t>30709016012</t>
  </si>
  <si>
    <t>LOGIN DOOR S.A</t>
  </si>
  <si>
    <t>30711244383</t>
  </si>
  <si>
    <t>SCHELGEL, LUIS ALBERTO</t>
  </si>
  <si>
    <t>CASCO MARTA MARIA</t>
  </si>
  <si>
    <t>3791160</t>
  </si>
  <si>
    <t>RAMOS MEJIA</t>
  </si>
  <si>
    <t>SILVIA MONICA ROJAS</t>
  </si>
  <si>
    <t>27141958807</t>
  </si>
  <si>
    <t>Balvanera</t>
  </si>
  <si>
    <t>BAUAB, CAROLINA</t>
  </si>
  <si>
    <t>CONEN SILVIA ADELA</t>
  </si>
  <si>
    <t>334529</t>
  </si>
  <si>
    <t>ALVAREZ MARTA OLGA</t>
  </si>
  <si>
    <t>9955440</t>
  </si>
  <si>
    <t>DOSINDA MENOYO RODRIGUEZ</t>
  </si>
  <si>
    <t>27932758577</t>
  </si>
  <si>
    <t>PASSUELLO, VIVIANA ISABEL</t>
  </si>
  <si>
    <t>SOSA MARIA GRACIELA</t>
  </si>
  <si>
    <t>2551284</t>
  </si>
  <si>
    <t>GENERAL RODRIGUEZ</t>
  </si>
  <si>
    <t>MORANO, ANDREA NORA</t>
  </si>
  <si>
    <t>BALMAYOR ISABEL</t>
  </si>
  <si>
    <t>3203937</t>
  </si>
  <si>
    <t>Floresta</t>
  </si>
  <si>
    <t>COLUCCIO, MARIANA ISABEL</t>
  </si>
  <si>
    <t>AVALIAN SALUD Y BIENESTAR COOPERATIVA LIMITADA</t>
  </si>
  <si>
    <t>OBRA SOCIAL DEL PERSONAL DE LAS TELECOMUNICACIONES DE LA REPUBLICA ARGENTINA</t>
  </si>
  <si>
    <t>30608716390</t>
  </si>
  <si>
    <t xml:space="preserve"> SANTA CRUZ ELISA</t>
  </si>
  <si>
    <t>16145627</t>
  </si>
  <si>
    <t>BANFIELD</t>
  </si>
  <si>
    <t>BIANCHI TERESA GERMANA</t>
  </si>
  <si>
    <t>2719694</t>
  </si>
  <si>
    <t>CARLOS ANTONIO AGUSTIN COCITO</t>
  </si>
  <si>
    <t>20085334647</t>
  </si>
  <si>
    <t>SOUSA ALDERETE ALEJANDRA MABEL</t>
  </si>
  <si>
    <t>SHOPNOW S.R.L.</t>
  </si>
  <si>
    <t>LUBRICANTES RUTA DE PASCUET E HIJOS S.R.L</t>
  </si>
  <si>
    <t>Base</t>
  </si>
  <si>
    <t>Otros Imp.</t>
  </si>
  <si>
    <t>Total Compr.</t>
  </si>
  <si>
    <t>NC A</t>
  </si>
  <si>
    <t>FACTURAS B</t>
  </si>
  <si>
    <t>NC B</t>
  </si>
  <si>
    <t>Totales por Tipo de Comprobante - ARCA</t>
  </si>
  <si>
    <t>OSETRA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</si>
  <si>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</si>
  <si>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</si>
  <si>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</si>
  <si>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</si>
  <si>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</si>
  <si>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</si>
  <si>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</si>
  <si>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46 SPEED S.A.</t>
  </si>
  <si>
    <t>08/03/2025</t>
  </si>
  <si>
    <t>09/03/2025</t>
  </si>
  <si>
    <t>10/03/2025</t>
  </si>
  <si>
    <t>11/03/2025</t>
  </si>
  <si>
    <t>SUPERFOTO S R L</t>
  </si>
  <si>
    <t>CHANCO VILLAVICENCIO ERNESTO ANTONIO</t>
  </si>
  <si>
    <t>12/03/2025</t>
  </si>
  <si>
    <t>13/03/2025</t>
  </si>
  <si>
    <t>ITPROUSER S.A.</t>
  </si>
  <si>
    <t>14/03/2025</t>
  </si>
  <si>
    <t>ABRAMOWICZ DEMIAN MARCELO</t>
  </si>
  <si>
    <t>ALCOCER MARIO DANIEL</t>
  </si>
  <si>
    <t>GUASCH HECTOR RAUL</t>
  </si>
  <si>
    <t>15/03/2025</t>
  </si>
  <si>
    <t>16/03/2025</t>
  </si>
  <si>
    <t>17/03/2025</t>
  </si>
  <si>
    <t>18/03/2025</t>
  </si>
  <si>
    <t>19/03/2025</t>
  </si>
  <si>
    <t>COLTEX S R L</t>
  </si>
  <si>
    <t>20/03/2025</t>
  </si>
  <si>
    <t>21/03/2025</t>
  </si>
  <si>
    <t>N.G.A. SRL</t>
  </si>
  <si>
    <t>GOLONOR S.A.</t>
  </si>
  <si>
    <t>HONRE S.A</t>
  </si>
  <si>
    <t>TAP SERVICES S.A.</t>
  </si>
  <si>
    <t>ONETO TOMAS AUGUSTO</t>
  </si>
  <si>
    <t>22/03/2025</t>
  </si>
  <si>
    <t>EL CACIQUE LIMPIEZA SRL</t>
  </si>
  <si>
    <t>23/03/2025</t>
  </si>
  <si>
    <t>CASSINI MARTIN</t>
  </si>
  <si>
    <t>25/03/2025</t>
  </si>
  <si>
    <t>PERFUM.AR S.R.L.</t>
  </si>
  <si>
    <t>26/03/2025</t>
  </si>
  <si>
    <t>MARINELLI JON EZEQUIEL</t>
  </si>
  <si>
    <t>27/03/2025</t>
  </si>
  <si>
    <t>INFORMATICA BARRACAS SRL</t>
  </si>
  <si>
    <t>29/03/2025</t>
  </si>
  <si>
    <t>31/03/2025</t>
  </si>
  <si>
    <t>RODRIGUEZ JONATAN</t>
  </si>
  <si>
    <t>FC Nº</t>
  </si>
  <si>
    <t>NOMBRE</t>
  </si>
  <si>
    <t>Comprobantes / Extractos</t>
  </si>
  <si>
    <t>GABRIELA VANINA GALLO</t>
  </si>
  <si>
    <t>26542077</t>
  </si>
  <si>
    <t>AGOSTINO MIRIAM</t>
  </si>
  <si>
    <t>17275405</t>
  </si>
  <si>
    <t>MAIZTEGUI ANDRÉS</t>
  </si>
  <si>
    <t>20002428</t>
  </si>
  <si>
    <t>Recoleta</t>
  </si>
  <si>
    <t>01/04/2025</t>
  </si>
  <si>
    <t>07/04/2025</t>
  </si>
  <si>
    <t>14/04/2025</t>
  </si>
  <si>
    <t>15/04/2025</t>
  </si>
  <si>
    <t>22/04/2025</t>
  </si>
  <si>
    <t>24/04/2025</t>
  </si>
  <si>
    <t>25/04/2025</t>
  </si>
  <si>
    <t>28/04/2025</t>
  </si>
  <si>
    <t>29/04/2025</t>
  </si>
  <si>
    <t>30/04/2025</t>
  </si>
  <si>
    <t>PORTUMAT  S.R.L.</t>
  </si>
  <si>
    <t>AMTRASK</t>
  </si>
  <si>
    <t>STENDY</t>
  </si>
  <si>
    <t>RIOS DIEGO MARTIN</t>
  </si>
  <si>
    <t>FACTURA</t>
  </si>
  <si>
    <t>01/05/2025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</si>
  <si>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</si>
  <si>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</si>
  <si>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</si>
  <si>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</si>
  <si>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</si>
  <si>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</si>
  <si>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</si>
  <si>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</si>
  <si>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</si>
  <si>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RSC S.A.</t>
  </si>
  <si>
    <t>30712136754</t>
  </si>
  <si>
    <t>30707612971</t>
  </si>
  <si>
    <t>16/05/2025</t>
  </si>
  <si>
    <t>19/05/2025</t>
  </si>
  <si>
    <t>20/05/2025</t>
  </si>
  <si>
    <t>JUAN ANTONIO PARRA</t>
  </si>
  <si>
    <t>20149320025</t>
  </si>
  <si>
    <t>21/05/2025</t>
  </si>
  <si>
    <t>22/05/2025</t>
  </si>
  <si>
    <t>RIVERO DE BARBA MARÍA EMILIA</t>
  </si>
  <si>
    <t>6091102</t>
  </si>
  <si>
    <t>23/05/2025</t>
  </si>
  <si>
    <t>26/05/2025</t>
  </si>
  <si>
    <t>27/05/2025</t>
  </si>
  <si>
    <t>28/05/2025</t>
  </si>
  <si>
    <t>29/05/2025</t>
  </si>
  <si>
    <t>30/05/2025</t>
  </si>
  <si>
    <t>ND B</t>
  </si>
  <si>
    <t>FIRST LABEL S.R.L.</t>
  </si>
  <si>
    <t>02/05/2025</t>
  </si>
  <si>
    <t>03/05/2025</t>
  </si>
  <si>
    <t>04/05/2025</t>
  </si>
  <si>
    <t>HIGH MOBILITY S.A.S.</t>
  </si>
  <si>
    <t>VILLALTA MARIANO</t>
  </si>
  <si>
    <t>BIDCOM SRL</t>
  </si>
  <si>
    <t>10/05/2025</t>
  </si>
  <si>
    <t>BLACKLIST S.R.L.</t>
  </si>
  <si>
    <t>GRUPO ORTOPEDIA MODELO 5028</t>
  </si>
  <si>
    <t>ARCE RAQUEL INES</t>
  </si>
  <si>
    <t>GOTTIG DIEGO GASTON LUJAN</t>
  </si>
  <si>
    <t>ED GAR SOCIEDAD ANONIMA</t>
  </si>
  <si>
    <t>EGIDIO P HEYD Y CIA SRL</t>
  </si>
  <si>
    <t>HERRAMIENTAS E INSUMOS S.A.</t>
  </si>
  <si>
    <t>PAÑALERA NORTE S R L</t>
  </si>
  <si>
    <t>SCHMUKLER SARA ELENA</t>
  </si>
  <si>
    <t>31/05/2025</t>
  </si>
  <si>
    <t>AUTOPISTAS URBANAS S. A.</t>
  </si>
  <si>
    <t>Fecha Emision</t>
  </si>
  <si>
    <t>Fecha Contable</t>
  </si>
  <si>
    <t>Condicion Iva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</si>
  <si>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</si>
  <si>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</si>
  <si>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</si>
  <si>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</si>
  <si>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</si>
  <si>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</si>
  <si>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Otros</t>
  </si>
  <si>
    <t>Rubro</t>
  </si>
  <si>
    <t>CONTABILIUM SA</t>
  </si>
  <si>
    <t>30714864269</t>
  </si>
  <si>
    <t>Servicios</t>
  </si>
  <si>
    <t>Bienes</t>
  </si>
  <si>
    <t>JUAN CARLOS BOTINDARI</t>
  </si>
  <si>
    <t>20086277523</t>
  </si>
  <si>
    <t>MO</t>
  </si>
  <si>
    <t>30605344352</t>
  </si>
  <si>
    <t>30654118767</t>
  </si>
  <si>
    <t>MARIA INES MIGOYA MORIONDO</t>
  </si>
  <si>
    <t>27443612705</t>
  </si>
  <si>
    <t>Locaciones</t>
  </si>
  <si>
    <t>PAMELA RITA CANCINO</t>
  </si>
  <si>
    <t>27338342840</t>
  </si>
  <si>
    <t>30714331082</t>
  </si>
  <si>
    <t>30661143610</t>
  </si>
  <si>
    <t>30643518364</t>
  </si>
  <si>
    <t>30716815710</t>
  </si>
  <si>
    <t>MARTIN EZEQUIEL DI FEO</t>
  </si>
  <si>
    <t>20272865869</t>
  </si>
  <si>
    <t>30710177658</t>
  </si>
  <si>
    <t>GNC MONTE GRANDE S.R.L.</t>
  </si>
  <si>
    <t>30709208221</t>
  </si>
  <si>
    <t>30711454388</t>
  </si>
  <si>
    <t>MARIA GUADALUPE BLASCO</t>
  </si>
  <si>
    <t>27265832178</t>
  </si>
  <si>
    <t>MARISOL PRADO</t>
  </si>
  <si>
    <t>27265302225</t>
  </si>
  <si>
    <t>30587197215</t>
  </si>
  <si>
    <t>HECTOR RAUL GUASCH</t>
  </si>
  <si>
    <t>20311855671</t>
  </si>
  <si>
    <t>FCC 00001-00000026</t>
  </si>
  <si>
    <t>30715141201</t>
  </si>
  <si>
    <t>30711553564</t>
  </si>
  <si>
    <t>30712187316</t>
  </si>
  <si>
    <t>JUN MA</t>
  </si>
  <si>
    <t>20929183143</t>
  </si>
  <si>
    <t>30598960093</t>
  </si>
  <si>
    <t>ANDREA MARIEL DRUETTA</t>
  </si>
  <si>
    <t>23281233084</t>
  </si>
  <si>
    <t>30526582884</t>
  </si>
  <si>
    <t>ALEJANDRA MABEL SOUSA ALDERETE</t>
  </si>
  <si>
    <t>27325223273</t>
  </si>
  <si>
    <t>ARCA</t>
  </si>
  <si>
    <t>CONTABILIUM</t>
  </si>
  <si>
    <t>DIF</t>
  </si>
  <si>
    <t>33716307749</t>
  </si>
  <si>
    <t>GABRIELA ROCIO RIVERO</t>
  </si>
  <si>
    <t>27315710508</t>
  </si>
  <si>
    <t>30708847247</t>
  </si>
  <si>
    <t>30677420622</t>
  </si>
  <si>
    <t>ticket</t>
  </si>
  <si>
    <t>IVA S/ EXTRACTOS</t>
  </si>
  <si>
    <t>Banco Credicoop</t>
  </si>
  <si>
    <t>Banco Patagonia</t>
  </si>
  <si>
    <t>Monto Gravado Iva 10,5</t>
  </si>
  <si>
    <t>02/06/2025</t>
  </si>
  <si>
    <t>Corte Suprema De Justicia Obra Social Del Poder Judicial</t>
  </si>
  <si>
    <t>30636196858</t>
  </si>
  <si>
    <t>03/06/2025</t>
  </si>
  <si>
    <t>GIANLUCA FRASETTE MADIA</t>
  </si>
  <si>
    <t>20442617016</t>
  </si>
  <si>
    <t>04/06/2025</t>
  </si>
  <si>
    <t>05/06/2025</t>
  </si>
  <si>
    <t>KARIVALI DESPINA</t>
  </si>
  <si>
    <t>93332052</t>
  </si>
  <si>
    <t>06/06/2025</t>
  </si>
  <si>
    <t>MAYRA ALEJANDRA SANTIAGO PAREDES</t>
  </si>
  <si>
    <t>27959707796</t>
  </si>
  <si>
    <t>09/06/2025</t>
  </si>
  <si>
    <t>10/06/2025</t>
  </si>
  <si>
    <t>11/06/2025</t>
  </si>
  <si>
    <t>12/06/2025</t>
  </si>
  <si>
    <t>ALEJANDRO CARLOS MIHANOVICH</t>
  </si>
  <si>
    <t>20041007266</t>
  </si>
  <si>
    <t>13/06/2025</t>
  </si>
  <si>
    <t>17/06/2025</t>
  </si>
  <si>
    <t>LILIANA MONICA FINKIELSZTEIN</t>
  </si>
  <si>
    <t>27176075479</t>
  </si>
  <si>
    <t>18/06/2025</t>
  </si>
  <si>
    <t>EDUARDO PENJASOFF</t>
  </si>
  <si>
    <t>20043010973</t>
  </si>
  <si>
    <t>PEDROZO PAULA GABRIELA</t>
  </si>
  <si>
    <t>29654556</t>
  </si>
  <si>
    <t>GONZALEZ NATALIA JUDITH</t>
  </si>
  <si>
    <t>23767069</t>
  </si>
  <si>
    <t>Retiro</t>
  </si>
  <si>
    <t>GLORIA LEONOR ZAMPERETTI</t>
  </si>
  <si>
    <t>27044664262</t>
  </si>
  <si>
    <t>19/06/2025</t>
  </si>
  <si>
    <t>23/06/2025</t>
  </si>
  <si>
    <t>ALEJANDRO JOSE ASCHEMAGER</t>
  </si>
  <si>
    <t>20345567217</t>
  </si>
  <si>
    <t>24/06/2025</t>
  </si>
  <si>
    <t>INSTITUTO PROVINCIAL DEL SEGURO DE SALUD I PRO S S</t>
  </si>
  <si>
    <t>30999077508</t>
  </si>
  <si>
    <t>Rio Negro</t>
  </si>
  <si>
    <t>VIEDMA</t>
  </si>
  <si>
    <t>25/06/2025</t>
  </si>
  <si>
    <t>26/06/2025</t>
  </si>
  <si>
    <t>01/06/2025</t>
  </si>
  <si>
    <t>FCA 00025-00127599</t>
  </si>
  <si>
    <t>FCC 00004-00000021</t>
  </si>
  <si>
    <t>FCA 00006-00001942</t>
  </si>
  <si>
    <t>FCA 00006-00057748</t>
  </si>
  <si>
    <t>FCA 00500-01737399</t>
  </si>
  <si>
    <t>FCA 00032-00163320</t>
  </si>
  <si>
    <t>FCA 00006-00001449</t>
  </si>
  <si>
    <t>HUGO GABRIEL VENTO</t>
  </si>
  <si>
    <t>20247225243</t>
  </si>
  <si>
    <t>FCC 00002-00000357</t>
  </si>
  <si>
    <t>FCA 00002-00000241</t>
  </si>
  <si>
    <t>FCA 00011-00096840</t>
  </si>
  <si>
    <t>FCA 00011-00096841</t>
  </si>
  <si>
    <t>FCA 00001-00880549</t>
  </si>
  <si>
    <t>FCA 00006-00001944</t>
  </si>
  <si>
    <t>FCA 00018-00009695</t>
  </si>
  <si>
    <t>30705740670</t>
  </si>
  <si>
    <t>FCA 00012-00042816</t>
  </si>
  <si>
    <t>FCA 00005-00001555</t>
  </si>
  <si>
    <t>FCA 00017-00002985</t>
  </si>
  <si>
    <t>30711764921</t>
  </si>
  <si>
    <t>FCA 00007-00021225</t>
  </si>
  <si>
    <t>30709214078</t>
  </si>
  <si>
    <t>FCA 00047-00044105</t>
  </si>
  <si>
    <t>FCA 03692-00000013</t>
  </si>
  <si>
    <t>FCA 00002-00000273</t>
  </si>
  <si>
    <t>27144282383</t>
  </si>
  <si>
    <t>FCA 00007-00001602</t>
  </si>
  <si>
    <t>FCA 00007-00001601</t>
  </si>
  <si>
    <t>FCA 00120-00005714</t>
  </si>
  <si>
    <t>FCA 00005-00001557</t>
  </si>
  <si>
    <t>FCA 00047-00044102</t>
  </si>
  <si>
    <t>FCC 00002-00000129</t>
  </si>
  <si>
    <t>FCA 00002-00001336</t>
  </si>
  <si>
    <t>FCA 00006-00001953</t>
  </si>
  <si>
    <t>FCA 00005-00002457</t>
  </si>
  <si>
    <t>FCA 02036-00081824</t>
  </si>
  <si>
    <t>30516186670</t>
  </si>
  <si>
    <t>FCA 00005-00167824</t>
  </si>
  <si>
    <t>FCA 00017-00002996</t>
  </si>
  <si>
    <t>FCA 00009-00013423</t>
  </si>
  <si>
    <t>CENTRO DE DISTRIBUCION SUR S R L</t>
  </si>
  <si>
    <t>30709531960</t>
  </si>
  <si>
    <t>FCA 00007-00001608</t>
  </si>
  <si>
    <t>FCA 00004-00000049</t>
  </si>
  <si>
    <t>EZEQUIEL EDUARDO NARDOMARINO</t>
  </si>
  <si>
    <t>20334976433</t>
  </si>
  <si>
    <t>FCA 00022-00006309</t>
  </si>
  <si>
    <t>PEUMAN S R L</t>
  </si>
  <si>
    <t>30688173430</t>
  </si>
  <si>
    <t>FCA 00003-00050019</t>
  </si>
  <si>
    <t>FCA 00003-00050020</t>
  </si>
  <si>
    <t>FCA 00006-00001048</t>
  </si>
  <si>
    <t>GULLERMO ROJAS</t>
  </si>
  <si>
    <t>20295929309</t>
  </si>
  <si>
    <t>FCA 00005-00168011</t>
  </si>
  <si>
    <t>FCA 00002-00026504</t>
  </si>
  <si>
    <t>RODOLFO ESTEBAN SCHULZE</t>
  </si>
  <si>
    <t>23233422029</t>
  </si>
  <si>
    <t>FCA 00007-00001610</t>
  </si>
  <si>
    <t>FCA 00007-00001611</t>
  </si>
  <si>
    <t>FCA 00018-00009921</t>
  </si>
  <si>
    <t>FCA 00003-00050038</t>
  </si>
  <si>
    <t>NCA 00005-00011109</t>
  </si>
  <si>
    <t>FCC 00001-00000181</t>
  </si>
  <si>
    <t>FCC 00001-00000030</t>
  </si>
  <si>
    <t>FCA 00006-00092580</t>
  </si>
  <si>
    <t>FCA 00001-00007627</t>
  </si>
  <si>
    <t>FCA 00047-00044587</t>
  </si>
  <si>
    <t>FCA 00005-00004548</t>
  </si>
  <si>
    <t>SCALISE ADRIANA ELDA Y FALANGA CARLOS MIGUEL SH</t>
  </si>
  <si>
    <t>33693506099</t>
  </si>
  <si>
    <t>FCC 00003-00000005</t>
  </si>
  <si>
    <t>LUIS ALBERTO OVIEDO</t>
  </si>
  <si>
    <t>20310489930</t>
  </si>
  <si>
    <t>FCA 00005-00002316</t>
  </si>
  <si>
    <t>FCA 00034-00007397</t>
  </si>
  <si>
    <t>33712276539</t>
  </si>
  <si>
    <t>FCA 00002-00001350</t>
  </si>
  <si>
    <t>FCA 00011-00075307</t>
  </si>
  <si>
    <t>30711091552</t>
  </si>
  <si>
    <t>FCA 00007-00001616</t>
  </si>
  <si>
    <t>FCA 00003-00009173</t>
  </si>
  <si>
    <t>33708218699</t>
  </si>
  <si>
    <t>FCA 00003-00005908</t>
  </si>
  <si>
    <t>SIMON ALEJANDRO NIEMAND</t>
  </si>
  <si>
    <t>20045368670</t>
  </si>
  <si>
    <t>15/06/2025</t>
  </si>
  <si>
    <t>FCA 02033-00084766</t>
  </si>
  <si>
    <t>AUTOSERVICIO MAYORISTA DIARCO SA</t>
  </si>
  <si>
    <t>30607371799</t>
  </si>
  <si>
    <t>FCA 00006-00001966</t>
  </si>
  <si>
    <t>FCC 00001-00000081</t>
  </si>
  <si>
    <t>FCA 00018-00010127</t>
  </si>
  <si>
    <t>FCA 00003-00054088</t>
  </si>
  <si>
    <t>EXPRESO TROLE S R L</t>
  </si>
  <si>
    <t>30577744579</t>
  </si>
  <si>
    <t>FCA 00006-00092797</t>
  </si>
  <si>
    <t>FCA 00005-00001569</t>
  </si>
  <si>
    <t>FCA 00003-00000913</t>
  </si>
  <si>
    <t>LUIS ALBERTO GIULIETTI</t>
  </si>
  <si>
    <t>23076996989</t>
  </si>
  <si>
    <t>FCA 00007-00001623</t>
  </si>
  <si>
    <t>NCA 00006-00013163</t>
  </si>
  <si>
    <t>FCA 00003-00004173</t>
  </si>
  <si>
    <t>CARLOS DANIEL QUIROZ</t>
  </si>
  <si>
    <t>20182721787</t>
  </si>
  <si>
    <t>FCA 00007-00000041</t>
  </si>
  <si>
    <t>FCA 00017-00012802</t>
  </si>
  <si>
    <t>FCA 00001-00007719</t>
  </si>
  <si>
    <t>21/06/2025</t>
  </si>
  <si>
    <t>FCA 00021-00001539</t>
  </si>
  <si>
    <t>AGROMERCADO CENTRAL S.A.</t>
  </si>
  <si>
    <t>30714025631</t>
  </si>
  <si>
    <t>FCA 00001-00000284</t>
  </si>
  <si>
    <t>GRUPO LOPEZ &amp; ASOCIADOS</t>
  </si>
  <si>
    <t>30718885902</t>
  </si>
  <si>
    <t>FCA 00005-00001572</t>
  </si>
  <si>
    <t>FCA 00004-00004840</t>
  </si>
  <si>
    <t>20129871947</t>
  </si>
  <si>
    <t>FCA 00047-00045532</t>
  </si>
  <si>
    <t>FCA 00032-00001004</t>
  </si>
  <si>
    <t>YAPAY NEASA SRL S. R. L.</t>
  </si>
  <si>
    <t>30695243673</t>
  </si>
  <si>
    <t>FCA 00017-00003047</t>
  </si>
  <si>
    <t>FCA 00002-00012282</t>
  </si>
  <si>
    <t>FCC 00001-00000031</t>
  </si>
  <si>
    <t>FCA 00007-00001628</t>
  </si>
  <si>
    <t>FCA 00006-00058014</t>
  </si>
  <si>
    <t>FCA 00005-00000055</t>
  </si>
  <si>
    <t>FCA 00007-00001372</t>
  </si>
  <si>
    <t>FCA 00010-00012538</t>
  </si>
  <si>
    <t>FCA 00006-00001938</t>
  </si>
  <si>
    <t>FCA 00010-00012620</t>
  </si>
  <si>
    <t>07/06/2025</t>
  </si>
  <si>
    <t>TEXTIL FEDERAL S.A.</t>
  </si>
  <si>
    <t>ROJAS GULLERMO</t>
  </si>
  <si>
    <t>SCHULZE RODOLFO ESTEBAN</t>
  </si>
  <si>
    <t>OVIEDO LUIS ALBERTO</t>
  </si>
  <si>
    <t>NIEMAND SIMON ALEJANDRO</t>
  </si>
  <si>
    <t>14/06/2025</t>
  </si>
  <si>
    <t>16/06/2025</t>
  </si>
  <si>
    <t>FERNANDEZ CARLOS RODOLFO</t>
  </si>
  <si>
    <t>IMPIERI, PIÑEIRO, RIZZO Y ASOC S.A.</t>
  </si>
  <si>
    <t>LOS PREMIOS S.A.</t>
  </si>
  <si>
    <t>27/06/2025</t>
  </si>
  <si>
    <t>DELGADO GUSTAVO ADOLFO</t>
  </si>
  <si>
    <t>SINEBI S.R.L.</t>
  </si>
  <si>
    <t>LEF &amp; ASOCIADOS CONSULTING S A</t>
  </si>
  <si>
    <t>29/06/2025</t>
  </si>
  <si>
    <t>30/06/2025</t>
  </si>
  <si>
    <t>QUICK SUPPLIES SRL</t>
  </si>
  <si>
    <t>FCA 03051-00092025</t>
  </si>
  <si>
    <t>30678814357</t>
  </si>
  <si>
    <t>FCA 00700-02502646</t>
  </si>
  <si>
    <t>30715804812</t>
  </si>
  <si>
    <t>FCA 09060-00034087</t>
  </si>
  <si>
    <t>30678774495</t>
  </si>
  <si>
    <t>FCA 03101-00325625</t>
  </si>
  <si>
    <t>FCA 05015-00889481</t>
  </si>
  <si>
    <t>30574876474</t>
  </si>
  <si>
    <t>FCA 00711-07238482</t>
  </si>
  <si>
    <t>30677237119</t>
  </si>
  <si>
    <t>FCA 00629-06196350</t>
  </si>
  <si>
    <t>30663498513</t>
  </si>
  <si>
    <t>FCA 04264-05608634</t>
  </si>
  <si>
    <t>30639453738</t>
  </si>
  <si>
    <t>FCA 00002-00001360</t>
  </si>
  <si>
    <t>FCA 01002-00025344</t>
  </si>
  <si>
    <t>IMPIERI, PI„EIRO, RIZZO Y A SA</t>
  </si>
  <si>
    <t>30712289046</t>
  </si>
  <si>
    <t>FCA 00005-03318846</t>
  </si>
  <si>
    <t>30702652975</t>
  </si>
  <si>
    <t>FCA 00700-02529174</t>
  </si>
  <si>
    <t>FCA 01002-00025376</t>
  </si>
  <si>
    <t>FCA 00003-00000069</t>
  </si>
  <si>
    <t>30711229090</t>
  </si>
  <si>
    <t>FCA 00002-00001374</t>
  </si>
  <si>
    <t>FCA 00001-00007772</t>
  </si>
  <si>
    <t>FCA 00001-00007773</t>
  </si>
  <si>
    <t>FCA 00005-00000239</t>
  </si>
  <si>
    <t>SEBASTIAN NICOLAS BRACHETTA</t>
  </si>
  <si>
    <t>20291406212</t>
  </si>
  <si>
    <t>FCA 00017-00003055</t>
  </si>
  <si>
    <t>FCA 00026-00210065</t>
  </si>
  <si>
    <t>FCA 00007-00001634</t>
  </si>
  <si>
    <t>NCA 00007-00001002</t>
  </si>
  <si>
    <t>FCA 00072-00309224</t>
  </si>
  <si>
    <t>30703088534</t>
  </si>
  <si>
    <t>FCA 00003-00050365</t>
  </si>
  <si>
    <t>FCA 00006-00093118</t>
  </si>
  <si>
    <t>NCA 00001-00000218</t>
  </si>
  <si>
    <t>FCA 00004-00000475</t>
  </si>
  <si>
    <t>GUSTAVO ADOLFO DELGADO</t>
  </si>
  <si>
    <t>20253515512</t>
  </si>
  <si>
    <t>FCC 00003-00000006</t>
  </si>
  <si>
    <t>SOFIA MIGOYA MORIONDO</t>
  </si>
  <si>
    <t>MARIA VIRGINIA LA BRUNA</t>
  </si>
  <si>
    <t>MEDICUS SOCIEDAD ANONIMA DE ASISTENCIA MEDICA Y CIENTIFICA</t>
  </si>
  <si>
    <t>30546771314</t>
  </si>
  <si>
    <t>OBRA SOCIAL DEL SINDICATO DE MECANICOS Y AFINES DEL TRANSPORTE AUTOMOTOR</t>
  </si>
  <si>
    <t>30590412631</t>
  </si>
  <si>
    <t>JUANA DEL CARMEN VILLAFANE</t>
  </si>
  <si>
    <t>27050931094</t>
  </si>
  <si>
    <t xml:space="preserve"> RODRIGUEZ GRACIELA NOEMI</t>
  </si>
  <si>
    <t>14316823</t>
  </si>
  <si>
    <t>RETENCIONES de IVA solamente</t>
  </si>
  <si>
    <t>01/07/2025</t>
  </si>
  <si>
    <t>FCB 0005-00013642</t>
  </si>
  <si>
    <t>FCB 0005-00013625</t>
  </si>
  <si>
    <t>RAFAEL OSCAR AZNAR</t>
  </si>
  <si>
    <t>20124538999</t>
  </si>
  <si>
    <t>FCB 0005-00013626</t>
  </si>
  <si>
    <t>FCB 0005-00013627</t>
  </si>
  <si>
    <t>CORIGLIANO, LORENA ELISA</t>
  </si>
  <si>
    <t>25864351</t>
  </si>
  <si>
    <t>SARANDI</t>
  </si>
  <si>
    <t>FCB 0007-00006127</t>
  </si>
  <si>
    <t>MATSUO, MARGARITA NOEMI</t>
  </si>
  <si>
    <t>5607654</t>
  </si>
  <si>
    <t>VILLA ELISA</t>
  </si>
  <si>
    <t>FCB 0007-00006128</t>
  </si>
  <si>
    <t>FCB 0005-00013628</t>
  </si>
  <si>
    <t>FCB 0005-00013629</t>
  </si>
  <si>
    <t>FCB 0005-00013630</t>
  </si>
  <si>
    <t>FCB 0005-00013631</t>
  </si>
  <si>
    <t xml:space="preserve"> BLUVSTEIN GONZALEZ FACUNDO</t>
  </si>
  <si>
    <t>20542995107</t>
  </si>
  <si>
    <t>FCB 0007-00006129</t>
  </si>
  <si>
    <t>RAQUEL DURAÑONA</t>
  </si>
  <si>
    <t>4648296</t>
  </si>
  <si>
    <t>FCB 0007-00006130</t>
  </si>
  <si>
    <t>JUAN MERINO RIVERO</t>
  </si>
  <si>
    <t>20932547814</t>
  </si>
  <si>
    <t>FCB 0007-00006131</t>
  </si>
  <si>
    <t>MIKHAIL MAXIMO</t>
  </si>
  <si>
    <t>171344361</t>
  </si>
  <si>
    <t>FCB 0007-00006132</t>
  </si>
  <si>
    <t>ALEJANDRA SIFFREDI TORRES SANMARCO</t>
  </si>
  <si>
    <t>5804480</t>
  </si>
  <si>
    <t>FCB 0007-00006133</t>
  </si>
  <si>
    <t>FCB 0005-00013632</t>
  </si>
  <si>
    <t>FCB 0005-00013633</t>
  </si>
  <si>
    <t>FCB 0005-00013634</t>
  </si>
  <si>
    <t>NCB 0005-00000165</t>
  </si>
  <si>
    <t>CARLOS JOSE MUSCI</t>
  </si>
  <si>
    <t>20174662208</t>
  </si>
  <si>
    <t>FCB 0007-00006134</t>
  </si>
  <si>
    <t>BUNCHICOFF, MARIA</t>
  </si>
  <si>
    <t>705467</t>
  </si>
  <si>
    <t>FCB 0007-00006135</t>
  </si>
  <si>
    <t>FCB 0005-00013635</t>
  </si>
  <si>
    <t>SALLES ANA MARIA</t>
  </si>
  <si>
    <t>17814995</t>
  </si>
  <si>
    <t>FCB 0007-00006136</t>
  </si>
  <si>
    <t>VOLPI, ALBERTO JAVIER</t>
  </si>
  <si>
    <t>FCB 0007-00006137</t>
  </si>
  <si>
    <t>ARANA, MARCELLA OFELIA</t>
  </si>
  <si>
    <t>10138957</t>
  </si>
  <si>
    <t>FCB 0007-00006138</t>
  </si>
  <si>
    <t>NAJUS ANIBAL RUBEN</t>
  </si>
  <si>
    <t>FCB 0007-00006139</t>
  </si>
  <si>
    <t>MINERVINI, MARIA DEL CARMEN LILIANA</t>
  </si>
  <si>
    <t>12791306</t>
  </si>
  <si>
    <t>FCB 0007-00006140</t>
  </si>
  <si>
    <t>FERRAZIN, CAROLINA ELEONORA INES</t>
  </si>
  <si>
    <t>17855620</t>
  </si>
  <si>
    <t>FCB 0007-00006141</t>
  </si>
  <si>
    <t>FCB 0005-00013636</t>
  </si>
  <si>
    <t>FCB 0007-00006142</t>
  </si>
  <si>
    <t>MONTI, MARIA PAULA</t>
  </si>
  <si>
    <t>24699538</t>
  </si>
  <si>
    <t>MAR DEL PLATA</t>
  </si>
  <si>
    <t>FCB 0007-00006143</t>
  </si>
  <si>
    <t>FCB 0005-00013637</t>
  </si>
  <si>
    <t>ENRIQUE LUIS SAGGESE</t>
  </si>
  <si>
    <t>4186965</t>
  </si>
  <si>
    <t>FCB 0007-00006144</t>
  </si>
  <si>
    <t>FCB 0005-00013638</t>
  </si>
  <si>
    <t>FCB 0005-00013639</t>
  </si>
  <si>
    <t>FCB 0007-00006145</t>
  </si>
  <si>
    <t>ROMERO LEONARDO GABRIEL</t>
  </si>
  <si>
    <t>20435515</t>
  </si>
  <si>
    <t>VICTORIA</t>
  </si>
  <si>
    <t>FCB 0007-00006146</t>
  </si>
  <si>
    <t>FCB 0007-00006147</t>
  </si>
  <si>
    <t>FCB 0005-00013640</t>
  </si>
  <si>
    <t>FCB 0007-00006148</t>
  </si>
  <si>
    <t>FCB 0005-00013641</t>
  </si>
  <si>
    <t>02/07/2025</t>
  </si>
  <si>
    <t>FCB 0005-00013643</t>
  </si>
  <si>
    <t>FCB 0005-00013644</t>
  </si>
  <si>
    <t>FCB 0005-00013645</t>
  </si>
  <si>
    <t>FCB 0005-00013646</t>
  </si>
  <si>
    <t>FCB 0005-00013647</t>
  </si>
  <si>
    <t>FCB 0005-00013648</t>
  </si>
  <si>
    <t>FCB 0005-00013649</t>
  </si>
  <si>
    <t>FCB 0005-00013650</t>
  </si>
  <si>
    <t>FCB 0005-00013651</t>
  </si>
  <si>
    <t>FCB 0005-00013652</t>
  </si>
  <si>
    <t>FCB 0005-00013653</t>
  </si>
  <si>
    <t>FCB 0005-00013654</t>
  </si>
  <si>
    <t>FCB 0005-00013655</t>
  </si>
  <si>
    <t>FCB 0005-00013656</t>
  </si>
  <si>
    <t>FCB 0005-00013657</t>
  </si>
  <si>
    <t>FCB 0005-00013658</t>
  </si>
  <si>
    <t>FCB 0005-00013659</t>
  </si>
  <si>
    <t>FCB 0005-00013660</t>
  </si>
  <si>
    <t>FCB 0005-00013661</t>
  </si>
  <si>
    <t>FCB 0005-00013662</t>
  </si>
  <si>
    <t>03/07/2025</t>
  </si>
  <si>
    <t>FCB 0005-00013663</t>
  </si>
  <si>
    <t>NCB 0007-00000210</t>
  </si>
  <si>
    <t>NCB 0007-00000211</t>
  </si>
  <si>
    <t>ROSA GRACIELA DIAZ</t>
  </si>
  <si>
    <t>27056711355</t>
  </si>
  <si>
    <t>Corrientes</t>
  </si>
  <si>
    <t>FCB 0007-00006149</t>
  </si>
  <si>
    <t>FCB 0005-00013664</t>
  </si>
  <si>
    <t>FCB 0007-00006150</t>
  </si>
  <si>
    <t>FCB 0005-00013665</t>
  </si>
  <si>
    <t>FCB 0005-00013666</t>
  </si>
  <si>
    <t>FCB 0005-00013667</t>
  </si>
  <si>
    <t>FCB 0005-00013668</t>
  </si>
  <si>
    <t>FCB 0005-00013669</t>
  </si>
  <si>
    <t>FCB 0005-00013670</t>
  </si>
  <si>
    <t>FCB 0005-00013671</t>
  </si>
  <si>
    <t>FCB 0005-00013672</t>
  </si>
  <si>
    <t>FCB 0005-00013673</t>
  </si>
  <si>
    <t>FCB 0005-00013674</t>
  </si>
  <si>
    <t>FCA 0007-00002578</t>
  </si>
  <si>
    <t>FCA 0007-00002579</t>
  </si>
  <si>
    <t>FCB 0005-00013675</t>
  </si>
  <si>
    <t>JOAQUIN WICHNIEWICZ</t>
  </si>
  <si>
    <t>20493159292</t>
  </si>
  <si>
    <t>FCB 0005-00013676</t>
  </si>
  <si>
    <t>FCA 0006-00000617</t>
  </si>
  <si>
    <t>FCA 0007-00002580</t>
  </si>
  <si>
    <t>04/07/2025</t>
  </si>
  <si>
    <t>FCB 0005-00013677</t>
  </si>
  <si>
    <t>NADINA DEL VALLE VEGA</t>
  </si>
  <si>
    <t>20343735643</t>
  </si>
  <si>
    <t>FCB 0007-00006151</t>
  </si>
  <si>
    <t>FCB 0005-00013678</t>
  </si>
  <si>
    <t>FCB 0005-00013679</t>
  </si>
  <si>
    <t>FCB 0005-00013680</t>
  </si>
  <si>
    <t>GONZALO MATIAS RODRIGUEZ</t>
  </si>
  <si>
    <t>20242276508</t>
  </si>
  <si>
    <t>FCB 0007-00006152</t>
  </si>
  <si>
    <t>FCB 0005-00013681</t>
  </si>
  <si>
    <t>FCB 0005-00013682</t>
  </si>
  <si>
    <t>FCB 0005-00013683</t>
  </si>
  <si>
    <t>PATRICIA ADA CALVET</t>
  </si>
  <si>
    <t>27179902066</t>
  </si>
  <si>
    <t>FCB 0005-00013684</t>
  </si>
  <si>
    <t>FCB 0005-00013685</t>
  </si>
  <si>
    <t>FCA 0007-00002581</t>
  </si>
  <si>
    <t>FCA 0007-00002582</t>
  </si>
  <si>
    <t>ELENA NOEMI PARDO</t>
  </si>
  <si>
    <t>27160778232</t>
  </si>
  <si>
    <t>FCB 0007-00006153</t>
  </si>
  <si>
    <t>FCB 0005-00013686</t>
  </si>
  <si>
    <t>FCB 0005-00013687</t>
  </si>
  <si>
    <t>FCB 0005-00013688</t>
  </si>
  <si>
    <t>FCB 0005-00013689</t>
  </si>
  <si>
    <t>FCB 0005-00013690</t>
  </si>
  <si>
    <t>FCB 0005-00013691</t>
  </si>
  <si>
    <t>07/07/2025</t>
  </si>
  <si>
    <t>FCB 0005-00013692</t>
  </si>
  <si>
    <t>FCB 0005-00013693</t>
  </si>
  <si>
    <t>FCB 0005-00013707</t>
  </si>
  <si>
    <t>FCB 0005-00013694</t>
  </si>
  <si>
    <t>FCB 0005-00013695</t>
  </si>
  <si>
    <t>FCB 0005-00013696</t>
  </si>
  <si>
    <t>FCB 0005-00013697</t>
  </si>
  <si>
    <t>NCB 0005-00000166</t>
  </si>
  <si>
    <t>FCB 0005-00013698</t>
  </si>
  <si>
    <t>FCB 0005-00013699</t>
  </si>
  <si>
    <t>FCB 0005-00013700</t>
  </si>
  <si>
    <t>FCB 0005-00013701</t>
  </si>
  <si>
    <t xml:space="preserve"> MARIN SANTIAGO EMANUEL</t>
  </si>
  <si>
    <t>20334663761</t>
  </si>
  <si>
    <t>FCB 0005-00013702</t>
  </si>
  <si>
    <t>FCB 0005-00013703</t>
  </si>
  <si>
    <t>FCB 0007-00006154</t>
  </si>
  <si>
    <t>FCB 0005-00013704</t>
  </si>
  <si>
    <t>FCB 0005-00013705</t>
  </si>
  <si>
    <t>FCA 0007-00002583</t>
  </si>
  <si>
    <t>FCB 0005-00013706</t>
  </si>
  <si>
    <t>08/07/2025</t>
  </si>
  <si>
    <t>FCB 0005-00013708</t>
  </si>
  <si>
    <t>FCB 0005-00013709</t>
  </si>
  <si>
    <t>FCB 0005-00013710</t>
  </si>
  <si>
    <t>FCA 0007-00002584</t>
  </si>
  <si>
    <t>FCB 0007-00006155</t>
  </si>
  <si>
    <t>FCB 0005-00013711</t>
  </si>
  <si>
    <t>FCA 0007-00002585</t>
  </si>
  <si>
    <t>FCB 0007-00006156</t>
  </si>
  <si>
    <t>SARA JUDITH ZAIAT</t>
  </si>
  <si>
    <t>27166779265</t>
  </si>
  <si>
    <t>FCB 0005-00013712</t>
  </si>
  <si>
    <t>FCA 0006-00000618</t>
  </si>
  <si>
    <t>FCB 0005-00013713</t>
  </si>
  <si>
    <t>10/07/2025</t>
  </si>
  <si>
    <t>FCB 0005-00013714</t>
  </si>
  <si>
    <t>FCB 0005-00013715</t>
  </si>
  <si>
    <t>FCB 0005-00013716</t>
  </si>
  <si>
    <t>FCA 0007-00002586</t>
  </si>
  <si>
    <t>FCA 0006-00000619</t>
  </si>
  <si>
    <t>FCB 0005-00013717</t>
  </si>
  <si>
    <t>ALCIDES BENITO CASELLA</t>
  </si>
  <si>
    <t>20041052415</t>
  </si>
  <si>
    <t>FCB 0007-00006157</t>
  </si>
  <si>
    <t>FCB 0005-00013718</t>
  </si>
  <si>
    <t>FCB 0005-00013719</t>
  </si>
  <si>
    <t>FCB 0005-00013720</t>
  </si>
  <si>
    <t>FCB 0005-00013721</t>
  </si>
  <si>
    <t>FCB 0005-00013722</t>
  </si>
  <si>
    <t>FCB 0005-00013723</t>
  </si>
  <si>
    <t>FCB 0005-00013724</t>
  </si>
  <si>
    <t>FCB 0005-00013725</t>
  </si>
  <si>
    <t xml:space="preserve"> LOPEZ VILMA ARMINDA</t>
  </si>
  <si>
    <t>27247870550</t>
  </si>
  <si>
    <t>FCB 0007-00006158</t>
  </si>
  <si>
    <t>FCA 0007-00002587</t>
  </si>
  <si>
    <t>NCA 0007-00000193</t>
  </si>
  <si>
    <t>FCA 0007-00002588</t>
  </si>
  <si>
    <t>FCB 0005-00013726</t>
  </si>
  <si>
    <t>FCB 0007-00006159</t>
  </si>
  <si>
    <t>FCB 0007-00006160</t>
  </si>
  <si>
    <t>FCB 0005-00013727</t>
  </si>
  <si>
    <t>FCA 0007-00002589</t>
  </si>
  <si>
    <t>FCB 0007-00006161</t>
  </si>
  <si>
    <t>FCB 0005-00013728</t>
  </si>
  <si>
    <t>FCB 0005-00013729</t>
  </si>
  <si>
    <t>11/07/2025</t>
  </si>
  <si>
    <t>FCB 0005-00013730</t>
  </si>
  <si>
    <t>FCB 0005-00013731</t>
  </si>
  <si>
    <t>FCB 0005-00013732</t>
  </si>
  <si>
    <t>FCB 0005-00013733</t>
  </si>
  <si>
    <t>FCB 0005-00013734</t>
  </si>
  <si>
    <t>FCB 0007-00006162</t>
  </si>
  <si>
    <t>FCB 0005-00013735</t>
  </si>
  <si>
    <t>FCB 0005-00013736</t>
  </si>
  <si>
    <t>FCB 0005-00013737</t>
  </si>
  <si>
    <t>FCB 0005-00013738</t>
  </si>
  <si>
    <t>FCB 0005-00013739</t>
  </si>
  <si>
    <t>SOLEDAD GUADALUPE MARTINEZ</t>
  </si>
  <si>
    <t>27354177744</t>
  </si>
  <si>
    <t>FCB 0007-00006163</t>
  </si>
  <si>
    <t>FCB 0005-00013740</t>
  </si>
  <si>
    <t>FCB 0005-00013741</t>
  </si>
  <si>
    <t>MARTA ELISA BERNASCONI</t>
  </si>
  <si>
    <t>27233432887</t>
  </si>
  <si>
    <t>FCB 0005-00013742</t>
  </si>
  <si>
    <t>FCB 0005-00013743</t>
  </si>
  <si>
    <t>FCB 0005-00013744</t>
  </si>
  <si>
    <t>EMILIANO CASTELNUOVO</t>
  </si>
  <si>
    <t>20277287537</t>
  </si>
  <si>
    <t>FCB 0007-00006164</t>
  </si>
  <si>
    <t>FCB 0005-00013745</t>
  </si>
  <si>
    <t>MAURO EZEQUIEL PEREZ</t>
  </si>
  <si>
    <t>20379058958</t>
  </si>
  <si>
    <t>FCB 0005-00013746</t>
  </si>
  <si>
    <t>FCB 0005-00013747</t>
  </si>
  <si>
    <t>FCB 0005-00013748</t>
  </si>
  <si>
    <t>FCB 0005-00013749</t>
  </si>
  <si>
    <t>FCA 0006-00000620</t>
  </si>
  <si>
    <t>FCB 0005-00013750</t>
  </si>
  <si>
    <t>FCB 0005-00013751</t>
  </si>
  <si>
    <t>FCB 0005-00013752</t>
  </si>
  <si>
    <t>FCB 0005-00013753</t>
  </si>
  <si>
    <t>JUAN CARLOS ENRIQUE ZAMACONA</t>
  </si>
  <si>
    <t>20123949863</t>
  </si>
  <si>
    <t>FCB 0005-00013754</t>
  </si>
  <si>
    <t>GUSTAVO GABRIEL TAPIA</t>
  </si>
  <si>
    <t>20330650835</t>
  </si>
  <si>
    <t>Tucuman</t>
  </si>
  <si>
    <t>SAN MIGUEL DE TUCUMAN</t>
  </si>
  <si>
    <t>FCB 0007-00006165</t>
  </si>
  <si>
    <t>FCB 0005-00013755</t>
  </si>
  <si>
    <t>FCA 0007-00002590</t>
  </si>
  <si>
    <t>FCA 0007-00002591</t>
  </si>
  <si>
    <t>FCB 0005-00013756</t>
  </si>
  <si>
    <t>FCB 0005-00013757</t>
  </si>
  <si>
    <t>14/07/2025</t>
  </si>
  <si>
    <t>ROMINA ELIZABETH TOBAR VALDES</t>
  </si>
  <si>
    <t>27288300793</t>
  </si>
  <si>
    <t>FCA 0005-00000176</t>
  </si>
  <si>
    <t>FCB 0005-00013758</t>
  </si>
  <si>
    <t>FCB 0005-00013759</t>
  </si>
  <si>
    <t>FCB 0005-00013760</t>
  </si>
  <si>
    <t>FCB 0005-00013761</t>
  </si>
  <si>
    <t>FCB 0005-00013762</t>
  </si>
  <si>
    <t>FCB 0005-00013763</t>
  </si>
  <si>
    <t>FCB 0005-00013764</t>
  </si>
  <si>
    <t>FCB 0005-00013765</t>
  </si>
  <si>
    <t>FCB 0005-00013766</t>
  </si>
  <si>
    <t>FCB 0005-00013767</t>
  </si>
  <si>
    <t xml:space="preserve"> MAIZARES RODRIGO ALEJANDRO</t>
  </si>
  <si>
    <t>23342245099</t>
  </si>
  <si>
    <t>FCB 0007-00006166</t>
  </si>
  <si>
    <t>FCB 0005-00013768</t>
  </si>
  <si>
    <t>FCB 0005-00013769</t>
  </si>
  <si>
    <t>FCB 0005-00013770</t>
  </si>
  <si>
    <t>FCB 0005-00013771</t>
  </si>
  <si>
    <t>FCB 0005-00013772</t>
  </si>
  <si>
    <t>NCA 0006-00000001</t>
  </si>
  <si>
    <t>FCB 0005-00013773</t>
  </si>
  <si>
    <t>FCB 0005-00013774</t>
  </si>
  <si>
    <t>NCA 0007-00000004</t>
  </si>
  <si>
    <t>FCB 0005-00013775</t>
  </si>
  <si>
    <t>FCB 0005-00013776</t>
  </si>
  <si>
    <t>NCA 0006-00000096</t>
  </si>
  <si>
    <t>15/07/2025</t>
  </si>
  <si>
    <t>ROI S A</t>
  </si>
  <si>
    <t>30661931066</t>
  </si>
  <si>
    <t>FCA 0007-00002592</t>
  </si>
  <si>
    <t>FCB 0005-00013777</t>
  </si>
  <si>
    <t>FCB 0005-00013778</t>
  </si>
  <si>
    <t>FCB 0005-00013779</t>
  </si>
  <si>
    <t>PEDRO LUIS REPPETTO</t>
  </si>
  <si>
    <t>20403525554</t>
  </si>
  <si>
    <t>PINAMAR</t>
  </si>
  <si>
    <t>FCB 0007-00006167</t>
  </si>
  <si>
    <t>FCB 0005-00013780</t>
  </si>
  <si>
    <t>FCB 0005-00013781</t>
  </si>
  <si>
    <t>LUDY AURELIA FRANCO</t>
  </si>
  <si>
    <t>27926802858</t>
  </si>
  <si>
    <t>LANUS</t>
  </si>
  <si>
    <t>FCB 0005-00013782</t>
  </si>
  <si>
    <t>FCB 0007-00006168</t>
  </si>
  <si>
    <t>LAUTARO ISMAEL PEREYRA</t>
  </si>
  <si>
    <t>20492564703</t>
  </si>
  <si>
    <t>FCB 0005-00013783</t>
  </si>
  <si>
    <t>LEILA EDITH CASCO LIMA</t>
  </si>
  <si>
    <t>27923616751</t>
  </si>
  <si>
    <t>FCB 0005-00013784</t>
  </si>
  <si>
    <t>FCB 0005-00013785</t>
  </si>
  <si>
    <t>16/07/2025</t>
  </si>
  <si>
    <t>FCB 0005-00013794</t>
  </si>
  <si>
    <t>FCA 0007-00002593</t>
  </si>
  <si>
    <t>FCA 0007-00002594</t>
  </si>
  <si>
    <t>FCA 0007-00002595</t>
  </si>
  <si>
    <t>FCA 0007-00002596</t>
  </si>
  <si>
    <t>FCA 0007-00002597</t>
  </si>
  <si>
    <t>FCA 0007-00002598</t>
  </si>
  <si>
    <t>FCA 0007-00002599</t>
  </si>
  <si>
    <t>FCA 0007-00002600</t>
  </si>
  <si>
    <t>FCA 0007-00002601</t>
  </si>
  <si>
    <t>FCA 0007-00002602</t>
  </si>
  <si>
    <t>FCA 0007-00002603</t>
  </si>
  <si>
    <t>FCA 0007-00002604</t>
  </si>
  <si>
    <t>FCA 0007-00002605</t>
  </si>
  <si>
    <t>FCA 0007-00002606</t>
  </si>
  <si>
    <t xml:space="preserve"> CRISTALDO BRENDA MARIA</t>
  </si>
  <si>
    <t>27405431306</t>
  </si>
  <si>
    <t>FCB 0007-00006169</t>
  </si>
  <si>
    <t>FCA 0007-00002607</t>
  </si>
  <si>
    <t>FCA 0007-00002608</t>
  </si>
  <si>
    <t>FCB 0005-00013786</t>
  </si>
  <si>
    <t>FCA 0007-00002609</t>
  </si>
  <si>
    <t>FCA 0007-00002610</t>
  </si>
  <si>
    <t>FCB 0007-00006170</t>
  </si>
  <si>
    <t>FCB 0007-00006171</t>
  </si>
  <si>
    <t>FCB 0005-00013787</t>
  </si>
  <si>
    <t>FCA 0007-00002611</t>
  </si>
  <si>
    <t>NCA 0007-00000194</t>
  </si>
  <si>
    <t>FCA 0007-00002612</t>
  </si>
  <si>
    <t>FCB 0005-00013788</t>
  </si>
  <si>
    <t>FCA 0007-00002613</t>
  </si>
  <si>
    <t>NCA 0007-00000195</t>
  </si>
  <si>
    <t>FCA 0007-00002614</t>
  </si>
  <si>
    <t>FCB 0005-00013789</t>
  </si>
  <si>
    <t>FCA 0007-00002615</t>
  </si>
  <si>
    <t>FCA 0007-00002616</t>
  </si>
  <si>
    <t>FCB 0005-00013790</t>
  </si>
  <si>
    <t>FCA 0007-00002617</t>
  </si>
  <si>
    <t>NCA 0007-00000196</t>
  </si>
  <si>
    <t>FCB 0005-00013791</t>
  </si>
  <si>
    <t>FCA 0007-00002618</t>
  </si>
  <si>
    <t>FCA 0007-00002619</t>
  </si>
  <si>
    <t>RUBEN BENJAMIN GOMEZ</t>
  </si>
  <si>
    <t>23241341399</t>
  </si>
  <si>
    <t>FCB 0007-00006172</t>
  </si>
  <si>
    <t>FCB 0005-00013792</t>
  </si>
  <si>
    <t>FCB 0007-00006173</t>
  </si>
  <si>
    <t>FCB 0007-00006174</t>
  </si>
  <si>
    <t>FCB 0007-00006175</t>
  </si>
  <si>
    <t>FCB 0007-00006176</t>
  </si>
  <si>
    <t>FCA 0007-00002620</t>
  </si>
  <si>
    <t>FCA 0007-00002621</t>
  </si>
  <si>
    <t>NCA 0007-00000197</t>
  </si>
  <si>
    <t>FCA 0007-00002622</t>
  </si>
  <si>
    <t>FCA 0007-00002623</t>
  </si>
  <si>
    <t>FCB 0005-00013793</t>
  </si>
  <si>
    <t>17/07/2025</t>
  </si>
  <si>
    <t>FCB 0005-00013795</t>
  </si>
  <si>
    <t>FCB 0005-00013807</t>
  </si>
  <si>
    <t>FCB 0007-00006177</t>
  </si>
  <si>
    <t>FCB 0005-00013796</t>
  </si>
  <si>
    <t>FCB 0007-00006178</t>
  </si>
  <si>
    <t>FCB 0007-00006179</t>
  </si>
  <si>
    <t>FCB 0007-00006180</t>
  </si>
  <si>
    <t>FCB 0007-00006181</t>
  </si>
  <si>
    <t>FCB 0005-00013797</t>
  </si>
  <si>
    <t>FCB 0007-00006182</t>
  </si>
  <si>
    <t>FCB 0007-00006183</t>
  </si>
  <si>
    <t>FCB 0007-00006184</t>
  </si>
  <si>
    <t>FCB 0005-00013798</t>
  </si>
  <si>
    <t>FCB 0005-00013799</t>
  </si>
  <si>
    <t>FCB 0005-00013800</t>
  </si>
  <si>
    <t>GLADYS SOLER</t>
  </si>
  <si>
    <t>27057878539</t>
  </si>
  <si>
    <t>CIUDAD EVITA</t>
  </si>
  <si>
    <t>FCB 0007-00006185</t>
  </si>
  <si>
    <t>FCB 0005-00013801</t>
  </si>
  <si>
    <t>FCA 0007-00002624</t>
  </si>
  <si>
    <t>FCB 0005-00013802</t>
  </si>
  <si>
    <t>FCB 0005-00013803</t>
  </si>
  <si>
    <t>FCA 0007-00002625</t>
  </si>
  <si>
    <t>FCB 0005-00013804</t>
  </si>
  <si>
    <t>FCA 0007-00002626</t>
  </si>
  <si>
    <t>FCB 0007-00006186</t>
  </si>
  <si>
    <t>FCB 0007-00006187</t>
  </si>
  <si>
    <t>30604958640</t>
  </si>
  <si>
    <t>FCA 0007-00002627</t>
  </si>
  <si>
    <t>FCB 0005-00013805</t>
  </si>
  <si>
    <t>FCA 0006-00000621</t>
  </si>
  <si>
    <t>FCB 0005-00013806</t>
  </si>
  <si>
    <t>18/07/2025</t>
  </si>
  <si>
    <t>FCB 0005-00013808</t>
  </si>
  <si>
    <t>FCB 0005-00013809</t>
  </si>
  <si>
    <t>FCB 0005-00013810</t>
  </si>
  <si>
    <t>FCA 0007-00002628</t>
  </si>
  <si>
    <t>FCB 0005-00013811</t>
  </si>
  <si>
    <t>FCB 0005-00013812</t>
  </si>
  <si>
    <t>DIANA AGUEDA WAISER</t>
  </si>
  <si>
    <t>27149992818</t>
  </si>
  <si>
    <t>FCB 0005-00013813</t>
  </si>
  <si>
    <t>FCA 0007-00002629</t>
  </si>
  <si>
    <t>FCB 0005-00013814</t>
  </si>
  <si>
    <t>FCA 0006-00000622</t>
  </si>
  <si>
    <t>FCA 0007-00002630</t>
  </si>
  <si>
    <t>FCB 0007-00006188</t>
  </si>
  <si>
    <t>FCB 0007-00006189</t>
  </si>
  <si>
    <t>FCA 0007-00002631</t>
  </si>
  <si>
    <t>21/07/2025</t>
  </si>
  <si>
    <t>FCB 0005-00013834</t>
  </si>
  <si>
    <t>NDB 0005-00000003</t>
  </si>
  <si>
    <t>NDB 0005-00000004</t>
  </si>
  <si>
    <t>FCB 0005-00013815</t>
  </si>
  <si>
    <t>FCB 0005-00013816</t>
  </si>
  <si>
    <t>FCB 0005-00013817</t>
  </si>
  <si>
    <t>FCB 0005-00013818</t>
  </si>
  <si>
    <t>FCB 0005-00013819</t>
  </si>
  <si>
    <t>FCB 0005-00013820</t>
  </si>
  <si>
    <t>FCB 0005-00013821</t>
  </si>
  <si>
    <t>FCB 0005-00013822</t>
  </si>
  <si>
    <t>FCB 0005-00013823</t>
  </si>
  <si>
    <t>NCB 0005-00000167</t>
  </si>
  <si>
    <t>MELINA ANTONELLA PRIMERANO</t>
  </si>
  <si>
    <t>27503209182</t>
  </si>
  <si>
    <t>FCB 0005-00013824</t>
  </si>
  <si>
    <t>FCB 0007-00006190</t>
  </si>
  <si>
    <t>FCB 0005-00013825</t>
  </si>
  <si>
    <t>FCB 0005-00013826</t>
  </si>
  <si>
    <t>NCB 0007-00000212</t>
  </si>
  <si>
    <t>NCB 0007-00000213</t>
  </si>
  <si>
    <t>FCB 0005-00013827</t>
  </si>
  <si>
    <t>FCB 0005-00013828</t>
  </si>
  <si>
    <t>LIMIA P ROMANO</t>
  </si>
  <si>
    <t>27014591813</t>
  </si>
  <si>
    <t>FCB 0007-00006191</t>
  </si>
  <si>
    <t>FCB 0005-00013829</t>
  </si>
  <si>
    <t>FCB 0005-00013830</t>
  </si>
  <si>
    <t>FCB 0005-00013831</t>
  </si>
  <si>
    <t>FCB 0005-00013832</t>
  </si>
  <si>
    <t>NICOLINA TASSONE</t>
  </si>
  <si>
    <t>27938674375</t>
  </si>
  <si>
    <t>FCB 0007-00006192</t>
  </si>
  <si>
    <t>FCB 0005-00013833</t>
  </si>
  <si>
    <t>22/07/2025</t>
  </si>
  <si>
    <t>FCB 0005-00013835</t>
  </si>
  <si>
    <t>FCB 0005-00013836</t>
  </si>
  <si>
    <t>FCB 0005-00013837</t>
  </si>
  <si>
    <t>FCB 0005-00013838</t>
  </si>
  <si>
    <t>FCB 0005-00013839</t>
  </si>
  <si>
    <t>FCB 0005-00013840</t>
  </si>
  <si>
    <t>FCB 0005-00013841</t>
  </si>
  <si>
    <t>FCB 0005-00013842</t>
  </si>
  <si>
    <t>FCB 0005-00013843</t>
  </si>
  <si>
    <t>FCB 0005-00013844</t>
  </si>
  <si>
    <t>FCB 0005-00013845</t>
  </si>
  <si>
    <t>FCB 0005-00013846</t>
  </si>
  <si>
    <t>FCB 0005-00013847</t>
  </si>
  <si>
    <t>FCB 0005-00013848</t>
  </si>
  <si>
    <t>FCB 0005-00013849</t>
  </si>
  <si>
    <t>FCB 0005-00013850</t>
  </si>
  <si>
    <t>FCB 0005-00013851</t>
  </si>
  <si>
    <t>FCB 0005-00013852</t>
  </si>
  <si>
    <t>FCB 0005-00013853</t>
  </si>
  <si>
    <t>FCB 0005-00013854</t>
  </si>
  <si>
    <t>FCB 0005-00013855</t>
  </si>
  <si>
    <t>FCB 0005-00013856</t>
  </si>
  <si>
    <t>NCB 0005-00000168</t>
  </si>
  <si>
    <t>DANTE ANGEL MIÑO GALVEZ</t>
  </si>
  <si>
    <t>20219142308</t>
  </si>
  <si>
    <t>FCB 0007-00006193</t>
  </si>
  <si>
    <t>FCB 0005-00013857</t>
  </si>
  <si>
    <t>23/07/2025</t>
  </si>
  <si>
    <t>FCB 0005-00013858</t>
  </si>
  <si>
    <t>CLAUDIO NAHUEL MARIANI</t>
  </si>
  <si>
    <t>20508064986</t>
  </si>
  <si>
    <t>FCB 0007-00006194</t>
  </si>
  <si>
    <t>FCB 0005-00013859</t>
  </si>
  <si>
    <t>FCB 0005-00013868</t>
  </si>
  <si>
    <t>FCB 0005-00013860</t>
  </si>
  <si>
    <t>FCB 0005-00013861</t>
  </si>
  <si>
    <t>FCB 0005-00013862</t>
  </si>
  <si>
    <t>FCB 0005-00013863</t>
  </si>
  <si>
    <t>FCB 0005-00013864</t>
  </si>
  <si>
    <t>FCB 0005-00013865</t>
  </si>
  <si>
    <t>FCB 0005-00013866</t>
  </si>
  <si>
    <t>FCB 0005-00013867</t>
  </si>
  <si>
    <t>24/07/2025</t>
  </si>
  <si>
    <t>FCB 0005-00013876</t>
  </si>
  <si>
    <t>FCA 0007-00002632</t>
  </si>
  <si>
    <t>FCB 0005-00013869</t>
  </si>
  <si>
    <t>FCB 0005-00013870</t>
  </si>
  <si>
    <t>FCB 0005-00013871</t>
  </si>
  <si>
    <t>FCB 0007-00006195</t>
  </si>
  <si>
    <t>FCB 0007-00006196</t>
  </si>
  <si>
    <t>FCB 0007-00006197</t>
  </si>
  <si>
    <t>FCB 0007-00006198</t>
  </si>
  <si>
    <t xml:space="preserve"> DORFMAN SANDRA</t>
  </si>
  <si>
    <t>FCB 0007-00006199</t>
  </si>
  <si>
    <t>FCB 0005-00013872</t>
  </si>
  <si>
    <t>FCB 0007-00006200</t>
  </si>
  <si>
    <t>FCB 0007-00006201</t>
  </si>
  <si>
    <t>FCB 0007-00006202</t>
  </si>
  <si>
    <t>FCB 0007-00006203</t>
  </si>
  <si>
    <t>FCB 0007-00006204</t>
  </si>
  <si>
    <t>FCB 0007-00006205</t>
  </si>
  <si>
    <t>FCB 0007-00006206</t>
  </si>
  <si>
    <t>FCB 0005-00013873</t>
  </si>
  <si>
    <t>FCB 0007-00006207</t>
  </si>
  <si>
    <t>RUIZ PAMELA RITA</t>
  </si>
  <si>
    <t>26632702</t>
  </si>
  <si>
    <t>FCB 0007-00006208</t>
  </si>
  <si>
    <t>RAMONET JOSÉ IGNACIO</t>
  </si>
  <si>
    <t>20349097</t>
  </si>
  <si>
    <t>FCB 0007-00006209</t>
  </si>
  <si>
    <t>FCB 0007-00006210</t>
  </si>
  <si>
    <t>FCB 0007-00006211</t>
  </si>
  <si>
    <t>FCB 0005-00013874</t>
  </si>
  <si>
    <t>CLAVIJO ROQUE</t>
  </si>
  <si>
    <t>94433546</t>
  </si>
  <si>
    <t>FCB 0007-00006212</t>
  </si>
  <si>
    <t>FCB 0007-00006213</t>
  </si>
  <si>
    <t>FCB 0007-00006214</t>
  </si>
  <si>
    <t>FCB 0005-00013875</t>
  </si>
  <si>
    <t>FCB 0007-00006215</t>
  </si>
  <si>
    <t>FCB 0007-00006216</t>
  </si>
  <si>
    <t>CONSTANZO DE DEL CASTILLO NORMA</t>
  </si>
  <si>
    <t>026282</t>
  </si>
  <si>
    <t>FCB 0007-00006217</t>
  </si>
  <si>
    <t>FCB 0007-00006218</t>
  </si>
  <si>
    <t>MARCELLI DE SACRISTAN ELBA JOSEFINA</t>
  </si>
  <si>
    <t>0533257</t>
  </si>
  <si>
    <t>FCB 0007-00006219</t>
  </si>
  <si>
    <t>FCB 0007-00006220</t>
  </si>
  <si>
    <t>BALDANTONI JORGE RUBEN</t>
  </si>
  <si>
    <t>17486158</t>
  </si>
  <si>
    <t>FCB 0007-00006221</t>
  </si>
  <si>
    <t>DANIEL HECTOR CURCIO</t>
  </si>
  <si>
    <t>20054682795</t>
  </si>
  <si>
    <t>FCB 0007-00006222</t>
  </si>
  <si>
    <t>25/07/2025</t>
  </si>
  <si>
    <t>FCB 0005-00013877</t>
  </si>
  <si>
    <t>FCB 0007-00006223</t>
  </si>
  <si>
    <t>FCB 0007-00006224</t>
  </si>
  <si>
    <t>CHINA NORMA NANCY</t>
  </si>
  <si>
    <t>21584499</t>
  </si>
  <si>
    <t>FCB 0007-00006225</t>
  </si>
  <si>
    <t>FCB 0007-00006226</t>
  </si>
  <si>
    <t>FCB 0005-00013878</t>
  </si>
  <si>
    <t>FCB 0007-00006227</t>
  </si>
  <si>
    <t>FCB 0007-00006228</t>
  </si>
  <si>
    <t>FCB 0007-00006229</t>
  </si>
  <si>
    <t>FCB 0007-00006230</t>
  </si>
  <si>
    <t>FCB 0005-00013879</t>
  </si>
  <si>
    <t>FCB 0005-00013880</t>
  </si>
  <si>
    <t>FCB 0005-00013881</t>
  </si>
  <si>
    <t>FCB 0005-00013882</t>
  </si>
  <si>
    <t>FCB 0005-00013883</t>
  </si>
  <si>
    <t>FCB 0007-00006231</t>
  </si>
  <si>
    <t>FCA 0007-00002633</t>
  </si>
  <si>
    <t>FCA 0007-00002634</t>
  </si>
  <si>
    <t>OBRA SOCIAL DEL PERSONAL DE SOCIEDADES  DE AUTORES Y AFINES</t>
  </si>
  <si>
    <t>30619859355</t>
  </si>
  <si>
    <t>FCB 0007-00006232</t>
  </si>
  <si>
    <t>FCB 0007-00006233</t>
  </si>
  <si>
    <t>FCB 0007-00006234</t>
  </si>
  <si>
    <t>FCB 0007-00006235</t>
  </si>
  <si>
    <t>FCB 0007-00006236</t>
  </si>
  <si>
    <t>FCB 0005-00013884</t>
  </si>
  <si>
    <t>28/07/2025</t>
  </si>
  <si>
    <t>FCB 0005-00013885</t>
  </si>
  <si>
    <t>ESTELA GLADYS JORDAN</t>
  </si>
  <si>
    <t>27182227175</t>
  </si>
  <si>
    <t>FCB 0005-00013886</t>
  </si>
  <si>
    <t>FCB 0005-00013887</t>
  </si>
  <si>
    <t>PABLO EZEQUIEL SAMUDIO</t>
  </si>
  <si>
    <t>20342496440</t>
  </si>
  <si>
    <t>FCB 0007-00006237</t>
  </si>
  <si>
    <t>FCB 0005-00013888</t>
  </si>
  <si>
    <t>FCB 0005-00013889</t>
  </si>
  <si>
    <t>FCB 0005-00013890</t>
  </si>
  <si>
    <t>FCB 0005-00013891</t>
  </si>
  <si>
    <t>29/07/2025</t>
  </si>
  <si>
    <t>FCB 0005-00013892</t>
  </si>
  <si>
    <t>FCB 0005-00013893</t>
  </si>
  <si>
    <t>FCB 0005-00013894</t>
  </si>
  <si>
    <t>FCB 0005-00013895</t>
  </si>
  <si>
    <t>FCB 0005-00013896</t>
  </si>
  <si>
    <t>FCB 0005-00013897</t>
  </si>
  <si>
    <t>FCB 0005-00013898</t>
  </si>
  <si>
    <t>FCB 0005-00013899</t>
  </si>
  <si>
    <t>FCB 0005-00013900</t>
  </si>
  <si>
    <t>FCB 0005-00013901</t>
  </si>
  <si>
    <t>FCB 0005-00013902</t>
  </si>
  <si>
    <t>FCB 0005-00013903</t>
  </si>
  <si>
    <t>FCB 0005-00013904</t>
  </si>
  <si>
    <t>FCB 0005-00013905</t>
  </si>
  <si>
    <t>FCA 0006-00000623</t>
  </si>
  <si>
    <t>FCB 0005-00013906</t>
  </si>
  <si>
    <t>30/07/2025</t>
  </si>
  <si>
    <t>FCB 0005-00013907</t>
  </si>
  <si>
    <t>FCB 0005-00013919</t>
  </si>
  <si>
    <t>NCB 0007-00000214</t>
  </si>
  <si>
    <t>FCB 0005-00013908</t>
  </si>
  <si>
    <t>NCB 0007-00000215</t>
  </si>
  <si>
    <t>FCB 0005-00013909</t>
  </si>
  <si>
    <t>NDB 0007-00000001</t>
  </si>
  <si>
    <t>FCA 0007-00002635</t>
  </si>
  <si>
    <t>FCB 0005-00013910</t>
  </si>
  <si>
    <t>FCB 0005-00013911</t>
  </si>
  <si>
    <t>CLAUDIA FERNANDA AGUIRRE CARRAL</t>
  </si>
  <si>
    <t>27277161856</t>
  </si>
  <si>
    <t>FCB 0005-00013912</t>
  </si>
  <si>
    <t>FLORENCIA MERCEDES NELCHI</t>
  </si>
  <si>
    <t>27371522706</t>
  </si>
  <si>
    <t>FCB 0005-00013913</t>
  </si>
  <si>
    <t>FCB 0005-00013914</t>
  </si>
  <si>
    <t>MARIA ISABEL CALDERER</t>
  </si>
  <si>
    <t>San Cristóbal</t>
  </si>
  <si>
    <t>FCB 0007-00006238</t>
  </si>
  <si>
    <t>FCB 0005-00013915</t>
  </si>
  <si>
    <t>FCA 0007-00002636</t>
  </si>
  <si>
    <t>FCB 0005-00013916</t>
  </si>
  <si>
    <t>NCB 0007-00000216</t>
  </si>
  <si>
    <t>FCB 0005-00013917</t>
  </si>
  <si>
    <t>FCB 0005-00013918</t>
  </si>
  <si>
    <t>31/07/2025</t>
  </si>
  <si>
    <t>FCB 0005-00013930</t>
  </si>
  <si>
    <t>FCB 0005-00013920</t>
  </si>
  <si>
    <t>FCB 0005-00013921</t>
  </si>
  <si>
    <t>FCB 0005-00013922</t>
  </si>
  <si>
    <t>FCB 0005-00013923</t>
  </si>
  <si>
    <t>FCB 0005-00013924</t>
  </si>
  <si>
    <t>FCB 0005-00013925</t>
  </si>
  <si>
    <t>FCB 0005-00013926</t>
  </si>
  <si>
    <t>FCB 0005-00013927</t>
  </si>
  <si>
    <t>FCB 0005-00013928</t>
  </si>
  <si>
    <t>FCB 0005-00013929</t>
  </si>
  <si>
    <t>DANELLI RAQUEL</t>
  </si>
  <si>
    <t>GALENO ARGENTINA SOCIEDAD ANONIMA</t>
  </si>
  <si>
    <t>FCB 0003-00002891</t>
  </si>
  <si>
    <t>NCA 0003-00000190</t>
  </si>
  <si>
    <t>NCB 0003-00000323</t>
  </si>
  <si>
    <t>FCA 00002-00026610</t>
  </si>
  <si>
    <t>FCA 00025-00131016</t>
  </si>
  <si>
    <t>FCA 00002-00000243</t>
  </si>
  <si>
    <t>NDA 00001-00000023</t>
  </si>
  <si>
    <t>FCA 00001-00131488</t>
  </si>
  <si>
    <t>FCC 00004-00000031</t>
  </si>
  <si>
    <t>FCA 00120-00005750</t>
  </si>
  <si>
    <t>FCA 00002-00000643</t>
  </si>
  <si>
    <t>FCA 00006-00058183</t>
  </si>
  <si>
    <t>FCC 00002-00000005</t>
  </si>
  <si>
    <t>MARIA FLORENCIA BOCCACCI</t>
  </si>
  <si>
    <t>27344304551</t>
  </si>
  <si>
    <t>FCC 00002-00000006</t>
  </si>
  <si>
    <t>FCA 00001-00921255</t>
  </si>
  <si>
    <t>FCA 00002-00001390</t>
  </si>
  <si>
    <t>FCA 00002-00057727</t>
  </si>
  <si>
    <t>CIERRES ABROJO &amp; HERRAJES SRL</t>
  </si>
  <si>
    <t>FCA 00006-00001988</t>
  </si>
  <si>
    <t>05/07/2025</t>
  </si>
  <si>
    <t>FCA 02019-00293272</t>
  </si>
  <si>
    <t>06/07/2025</t>
  </si>
  <si>
    <t>FCC 00001-00000035</t>
  </si>
  <si>
    <t>FCC 00002-00000364</t>
  </si>
  <si>
    <t>FCC 00001-00000016</t>
  </si>
  <si>
    <t>FCA 00002-00012343</t>
  </si>
  <si>
    <t>FCA 00005-00169275</t>
  </si>
  <si>
    <t>FCA 00700-02564759</t>
  </si>
  <si>
    <t>FCA 00007-00000045</t>
  </si>
  <si>
    <t>FCC 00001-00000027</t>
  </si>
  <si>
    <t>FCA 00004-00000164</t>
  </si>
  <si>
    <t>Bienes de uso</t>
  </si>
  <si>
    <t>FCA 00006-00058255</t>
  </si>
  <si>
    <t>FCA 00008-00000435</t>
  </si>
  <si>
    <t>09/07/2025</t>
  </si>
  <si>
    <t>FCA 03101-00347323</t>
  </si>
  <si>
    <t>FCA 09058-00038326</t>
  </si>
  <si>
    <t>FCC 00001-00000011</t>
  </si>
  <si>
    <t>RAQUEL INES ARCE</t>
  </si>
  <si>
    <t>FCA 00004-00004861</t>
  </si>
  <si>
    <t>FCC 00001-00000046</t>
  </si>
  <si>
    <t>DILVER ALEX ISNADO IGNACIO</t>
  </si>
  <si>
    <t>FCA 00008-00000437</t>
  </si>
  <si>
    <t>FCC 00002-00000132</t>
  </si>
  <si>
    <t>FCA 00006-00001524</t>
  </si>
  <si>
    <t>FCA 00001-00007884</t>
  </si>
  <si>
    <t>FCA 00001-00007885</t>
  </si>
  <si>
    <t>FCA 00002-00001403</t>
  </si>
  <si>
    <t>FCA 00005-00001584</t>
  </si>
  <si>
    <t>FCC 00001-00000001</t>
  </si>
  <si>
    <t>PAULA CIVALE</t>
  </si>
  <si>
    <t>27380284052</t>
  </si>
  <si>
    <t>FCA 02399-00085213</t>
  </si>
  <si>
    <t>FCA 00003-00054323</t>
  </si>
  <si>
    <t>FCA 00002-00005703</t>
  </si>
  <si>
    <t>LEONARDO JAVIER VIDAL</t>
  </si>
  <si>
    <t>FCC 00001-00000036</t>
  </si>
  <si>
    <t>FCC 00001-00000037</t>
  </si>
  <si>
    <t>FCA 00007-00001650</t>
  </si>
  <si>
    <t>FCA 00005-00002548</t>
  </si>
  <si>
    <t>FCA 00004-00000068</t>
  </si>
  <si>
    <t>EDUARDO FRANCISCO NARDOMARINO</t>
  </si>
  <si>
    <t>FCA 00005-00169488</t>
  </si>
  <si>
    <t>12/07/2025</t>
  </si>
  <si>
    <t>FCA 00007-00000593</t>
  </si>
  <si>
    <t>GUPARO S.R.L.</t>
  </si>
  <si>
    <t>FCA 00001-00003176</t>
  </si>
  <si>
    <t>FCA 00001-00002000</t>
  </si>
  <si>
    <t>FCA 01001-00000561</t>
  </si>
  <si>
    <t>FCA 00004-00000069</t>
  </si>
  <si>
    <t>FCA 05015-00923924</t>
  </si>
  <si>
    <t>FCA 00050-04470356</t>
  </si>
  <si>
    <t>FCA 00002-00012376</t>
  </si>
  <si>
    <t>FCC 00004-00000041</t>
  </si>
  <si>
    <t>FCA 00005-00004678</t>
  </si>
  <si>
    <t>ILQUOTIDIANO S.R.L.</t>
  </si>
  <si>
    <t>FCA 00006-00001992</t>
  </si>
  <si>
    <t>FCA 00007-00021690</t>
  </si>
  <si>
    <t>FCA 00005-00003035</t>
  </si>
  <si>
    <t>FCA 00004-00000070</t>
  </si>
  <si>
    <t>FCA 00629-06280002</t>
  </si>
  <si>
    <t>FCA 00008-00001832</t>
  </si>
  <si>
    <t>FCA 00002-00012394</t>
  </si>
  <si>
    <t>FCC 00001-00000082</t>
  </si>
  <si>
    <t>FCA 00005-00169710</t>
  </si>
  <si>
    <t>FCA 00003-00006886</t>
  </si>
  <si>
    <t>MEDICAL FOAM S.R.L.</t>
  </si>
  <si>
    <t>FCA 00711-07358779</t>
  </si>
  <si>
    <t>FCA 00043-00001186</t>
  </si>
  <si>
    <t>S V A SACIFI</t>
  </si>
  <si>
    <t>FCA 00002-00007912</t>
  </si>
  <si>
    <t>DISEÑOS JERY S R L</t>
  </si>
  <si>
    <t>FCA 00004-00000072</t>
  </si>
  <si>
    <t>FCA 00002-00012406</t>
  </si>
  <si>
    <t>FCA 00004-00000073</t>
  </si>
  <si>
    <t>FCA 00003-00009379</t>
  </si>
  <si>
    <t>FCA 00005-00000056</t>
  </si>
  <si>
    <t>FCA 00004-00040607</t>
  </si>
  <si>
    <t>EMILIANO RUBEN LEDESMA</t>
  </si>
  <si>
    <t>FCA 00004-00007406</t>
  </si>
  <si>
    <t>CLAUDIO OMAR MASTROPASQUA</t>
  </si>
  <si>
    <t>FCA 00005-03341107</t>
  </si>
  <si>
    <t>FCA 00500-01752314</t>
  </si>
  <si>
    <t>FCA 00002-00001421</t>
  </si>
  <si>
    <t>FCA 00700-02588871</t>
  </si>
  <si>
    <t>FCC 00001-00000182</t>
  </si>
  <si>
    <t>FCA 00005-00170047</t>
  </si>
  <si>
    <t>FCA 00017-00003152</t>
  </si>
  <si>
    <t>FCA 00032-00166389</t>
  </si>
  <si>
    <t>FCA 00003-00054442</t>
  </si>
  <si>
    <t>FCA 00007-00004030</t>
  </si>
  <si>
    <t>FCA 00007-00021823</t>
  </si>
  <si>
    <t>FCA 00002-00001428</t>
  </si>
  <si>
    <t>FCA 00003-00050810</t>
  </si>
  <si>
    <t>FCA 00001-00008066</t>
  </si>
  <si>
    <t>FCA 00001-00008067</t>
  </si>
  <si>
    <t>FCA 00001-00008069</t>
  </si>
  <si>
    <t>FCA 00002-00000042</t>
  </si>
  <si>
    <t>FCA 00008-00000446</t>
  </si>
  <si>
    <t>FCA 00004-00000079</t>
  </si>
  <si>
    <t>FCA 00004-00000078</t>
  </si>
  <si>
    <t>FCA 00007-00021825</t>
  </si>
  <si>
    <t>FCA 00002-00001432</t>
  </si>
  <si>
    <t>FCA 00001-00008083</t>
  </si>
  <si>
    <t>FCA 00003-00006895</t>
  </si>
  <si>
    <t>FCA 00003-00000247</t>
  </si>
  <si>
    <t>EDUARDO ENRIQUE MORANT</t>
  </si>
  <si>
    <t>FCA 00006-00094064</t>
  </si>
  <si>
    <t>FCA 00006-00094063</t>
  </si>
  <si>
    <t>NCA 00006-00013434</t>
  </si>
  <si>
    <t>FCA 00003-00050854</t>
  </si>
  <si>
    <t>FCA 00005-00170369</t>
  </si>
  <si>
    <t>FCA 00005-00002581</t>
  </si>
  <si>
    <t>FCA 00074-00343978</t>
  </si>
  <si>
    <t>FCA 00017-00000128</t>
  </si>
  <si>
    <t>FCA 00002-00012483</t>
  </si>
  <si>
    <t>FCA 00002-00012482</t>
  </si>
  <si>
    <t>FCA 00005-00170436</t>
  </si>
  <si>
    <t>FCC 00002-00000007</t>
  </si>
  <si>
    <t>FCA 00004-00000166</t>
  </si>
  <si>
    <t>FCA 00006-00000021</t>
  </si>
  <si>
    <t>FCA 00006-00058519</t>
  </si>
  <si>
    <t>FCA 01001-00000569</t>
  </si>
  <si>
    <t>FCA 00003-00007955</t>
  </si>
  <si>
    <t>FCA 00005-00170540</t>
  </si>
  <si>
    <t>FCA 00002-00001448</t>
  </si>
  <si>
    <t>FCA 00006-00058526</t>
  </si>
  <si>
    <t>FCA 00002-00012516</t>
  </si>
  <si>
    <t>2 - Nota de Débito A</t>
  </si>
  <si>
    <t>LUTAC SA</t>
  </si>
  <si>
    <t>SUCESION DE MORANT EDUARDO ENRIQUE</t>
  </si>
  <si>
    <t>ISNADO IGNACIO DILVER ALEX</t>
  </si>
  <si>
    <t>VIDAL LEONARDO JAVIER</t>
  </si>
  <si>
    <t>CIVALE PAULA</t>
  </si>
  <si>
    <t>BARBARO SOCIEDAD COLECTIVA</t>
  </si>
  <si>
    <t>LINKEDSTORE ARGENTINA S.R.L.</t>
  </si>
  <si>
    <t>GRUPO CANFEMA S.R.L</t>
  </si>
  <si>
    <t>MASTROPASQUA CLAUDIO OMAR</t>
  </si>
  <si>
    <t>FCA 00711-07299752</t>
  </si>
  <si>
    <t>FCA 00629-06239427</t>
  </si>
  <si>
    <t>FCA 03051-00937439</t>
  </si>
  <si>
    <t>FCA 00008-00029773</t>
  </si>
  <si>
    <t>FCA 04264-05745961</t>
  </si>
  <si>
    <t>FCA 00015-00059174</t>
  </si>
  <si>
    <t>FCA 00004-00004647</t>
  </si>
  <si>
    <t>FCA 00050-04504060</t>
  </si>
  <si>
    <t>FCA 05009-01560656</t>
  </si>
  <si>
    <t>FCA 05015-00941676</t>
  </si>
  <si>
    <t>FCA 00006-20222513</t>
  </si>
  <si>
    <t>FCA 00008-00000436</t>
  </si>
  <si>
    <t>FCA 01002-00025719</t>
  </si>
  <si>
    <t>FCA 00003-00000242</t>
  </si>
  <si>
    <t>FCA 00104-09850740</t>
  </si>
  <si>
    <t>FCA 00003-03216303</t>
  </si>
  <si>
    <t>FCA 00007-00001382</t>
  </si>
  <si>
    <t>FCA 00700-02588872</t>
  </si>
  <si>
    <t>FCA 00104-09989160</t>
  </si>
  <si>
    <t>FCA 00004-00000084</t>
  </si>
  <si>
    <t>FCA 00004-00000085</t>
  </si>
  <si>
    <t>FCA 00126-0055744</t>
  </si>
  <si>
    <t>FCA 00126-0055745</t>
  </si>
  <si>
    <t>FCA 00126-0055747</t>
  </si>
  <si>
    <t>FCA 00004-0000087</t>
  </si>
  <si>
    <t>FCA 00004-0000086</t>
  </si>
  <si>
    <t>FCA 00006-20103913</t>
  </si>
  <si>
    <t>-</t>
  </si>
  <si>
    <t>AGREGADOS DE AFIP</t>
  </si>
  <si>
    <t>AGREGADOS A AFIP</t>
  </si>
  <si>
    <t>FCA 00012-00008861</t>
  </si>
  <si>
    <t>COREY SOCIEDAD ANONIMA</t>
  </si>
  <si>
    <t>FCA 00008-00015537</t>
  </si>
  <si>
    <t>SOMOS ENERGIA S.A.</t>
  </si>
  <si>
    <t>19/07/2025</t>
  </si>
  <si>
    <t>20/07/2025</t>
  </si>
  <si>
    <t>FCA 00006-0022777</t>
  </si>
  <si>
    <t>IVA 21</t>
  </si>
  <si>
    <t>IVA 27</t>
  </si>
  <si>
    <t>IVA 10,5</t>
  </si>
  <si>
    <t>TOTAL NETO</t>
  </si>
  <si>
    <t>TOTAL IVA</t>
  </si>
  <si>
    <t>TOTAL VENTAS</t>
  </si>
  <si>
    <t>Serv Electricos</t>
  </si>
  <si>
    <t>Hon.Contables</t>
  </si>
  <si>
    <t>Servicios Medicos</t>
  </si>
  <si>
    <t>Honorarios Arquitecta</t>
  </si>
  <si>
    <t>Gtos Administrativos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</si>
</sst>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d\-m\-yy;@"/>
    <numFmt numFmtId="167" formatCode="0.00;[Red]0.00"/>
    <numFmt numFmtId="168" formatCode="dd/mm/yy;@"/>
    <numFmt numFmtId="169" formatCode="0000"/>
    <numFmt numFmtId="170" formatCode="00000000"/>
    <numFmt numFmtId="171" formatCode="[$-C0A]mmmm\-yy;@"/>
    <numFmt numFmtId="172" formatCode="00\-00000000\-0"/>
    <numFmt numFmtId="173" formatCode="_-[$$-2C0A]\ * #,##0.00_-;\-[$$-2C0A]\ * #,##0.00_-;_-[$$-2C0A]\ * &quot;-&quot;??_-;_-@_-"/>
  </numFmts>
  <fonts count="7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70C0"/>
      <name val="Arial"/>
      <family val="2"/>
    </font>
    <font>
      <b/>
      <sz val="11"/>
      <name val="Calibri"/>
      <family val="2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84740745262"/>
      <name val="Bahnschrift SemiBold"/>
      <family val="2"/>
    </font>
    <font>
      <b/>
      <sz val="11"/>
      <color theme="6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5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164" fontId="29" fillId="0" borderId="0" applyFont="0" applyFill="0" applyBorder="0" applyAlignment="0" applyProtection="0"/>
    <xf numFmtId="0" fontId="57" fillId="14" borderId="0" applyNumberFormat="0" applyBorder="0" applyAlignment="0" applyProtection="0"/>
    <xf numFmtId="0" fontId="58" fillId="15" borderId="0" applyNumberFormat="0" applyBorder="0" applyAlignment="0" applyProtection="0"/>
    <xf numFmtId="0" fontId="63" fillId="21" borderId="43" applyNumberFormat="0" applyAlignment="0" applyProtection="0"/>
  </cellStyleXfs>
  <cellXfs count="407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7" fontId="10" fillId="0" borderId="0" xfId="8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9"/>
    <xf numFmtId="0" fontId="1" fillId="0" borderId="0" xfId="9" applyAlignment="1">
      <alignment horizontal="center"/>
    </xf>
    <xf numFmtId="0" fontId="5" fillId="0" borderId="0" xfId="9" applyFont="1"/>
    <xf numFmtId="0" fontId="7" fillId="0" borderId="0" xfId="9" applyFont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Alignment="1">
      <alignment horizontal="center"/>
    </xf>
    <xf numFmtId="170" fontId="9" fillId="0" borderId="1" xfId="9" applyNumberFormat="1" applyFont="1" applyBorder="1" applyAlignment="1">
      <alignment horizontal="center"/>
    </xf>
    <xf numFmtId="0" fontId="10" fillId="0" borderId="0" xfId="9" applyFont="1" applyAlignment="1">
      <alignment horizontal="center"/>
    </xf>
    <xf numFmtId="167" fontId="10" fillId="0" borderId="0" xfId="9" applyNumberFormat="1" applyFont="1" applyAlignment="1">
      <alignment horizontal="right"/>
    </xf>
    <xf numFmtId="4" fontId="9" fillId="0" borderId="1" xfId="9" applyNumberFormat="1" applyFont="1" applyBorder="1" applyAlignment="1">
      <alignment horizontal="center"/>
    </xf>
    <xf numFmtId="169" fontId="9" fillId="0" borderId="1" xfId="9" applyNumberFormat="1" applyFont="1" applyBorder="1" applyAlignment="1">
      <alignment horizontal="center"/>
    </xf>
    <xf numFmtId="169" fontId="9" fillId="0" borderId="5" xfId="9" applyNumberFormat="1" applyFont="1" applyBorder="1" applyAlignment="1">
      <alignment horizontal="center"/>
    </xf>
    <xf numFmtId="4" fontId="9" fillId="0" borderId="5" xfId="9" applyNumberFormat="1" applyFont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9" fontId="9" fillId="0" borderId="2" xfId="9" applyNumberFormat="1" applyFont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170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7" fontId="10" fillId="0" borderId="0" xfId="8" applyNumberFormat="1" applyFont="1" applyAlignment="1">
      <alignment horizontal="center"/>
    </xf>
    <xf numFmtId="168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2" fontId="5" fillId="0" borderId="0" xfId="9" applyNumberFormat="1" applyFont="1"/>
    <xf numFmtId="172" fontId="0" fillId="0" borderId="0" xfId="0" applyNumberFormat="1"/>
    <xf numFmtId="172" fontId="10" fillId="0" borderId="0" xfId="8" applyNumberFormat="1" applyFont="1" applyAlignment="1">
      <alignment horizontal="right"/>
    </xf>
    <xf numFmtId="172" fontId="8" fillId="8" borderId="6" xfId="8" applyNumberFormat="1" applyFont="1" applyFill="1" applyBorder="1" applyAlignment="1">
      <alignment horizontal="center" vertical="center"/>
    </xf>
    <xf numFmtId="172" fontId="9" fillId="0" borderId="1" xfId="9" applyNumberFormat="1" applyFont="1" applyBorder="1" applyAlignment="1">
      <alignment horizontal="center"/>
    </xf>
    <xf numFmtId="172" fontId="8" fillId="8" borderId="7" xfId="9" applyNumberFormat="1" applyFont="1" applyFill="1" applyBorder="1" applyAlignment="1">
      <alignment horizontal="center" vertical="center"/>
    </xf>
    <xf numFmtId="172" fontId="9" fillId="0" borderId="0" xfId="9" applyNumberFormat="1" applyFont="1" applyAlignment="1">
      <alignment horizontal="left"/>
    </xf>
    <xf numFmtId="172" fontId="8" fillId="8" borderId="6" xfId="9" applyNumberFormat="1" applyFont="1" applyFill="1" applyBorder="1" applyAlignment="1">
      <alignment horizontal="center"/>
    </xf>
    <xf numFmtId="172" fontId="9" fillId="0" borderId="8" xfId="9" applyNumberFormat="1" applyFont="1" applyBorder="1" applyAlignment="1">
      <alignment horizontal="center"/>
    </xf>
    <xf numFmtId="172" fontId="10" fillId="0" borderId="0" xfId="9" applyNumberFormat="1" applyFont="1" applyAlignment="1">
      <alignment horizontal="left"/>
    </xf>
    <xf numFmtId="14" fontId="5" fillId="0" borderId="0" xfId="9" applyNumberFormat="1" applyFont="1" applyAlignment="1">
      <alignment horizontal="center"/>
    </xf>
    <xf numFmtId="0" fontId="5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Border="1" applyAlignment="1">
      <alignment horizontal="center"/>
    </xf>
    <xf numFmtId="4" fontId="9" fillId="0" borderId="0" xfId="9" applyNumberFormat="1" applyFont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8" fontId="1" fillId="0" borderId="0" xfId="9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10" fillId="0" borderId="0" xfId="8" applyNumberFormat="1" applyFont="1" applyAlignment="1">
      <alignment horizontal="center"/>
    </xf>
    <xf numFmtId="168" fontId="8" fillId="8" borderId="6" xfId="8" applyNumberFormat="1" applyFont="1" applyFill="1" applyBorder="1" applyAlignment="1">
      <alignment horizontal="center" vertical="center"/>
    </xf>
    <xf numFmtId="168" fontId="8" fillId="8" borderId="7" xfId="9" applyNumberFormat="1" applyFont="1" applyFill="1" applyBorder="1" applyAlignment="1">
      <alignment horizontal="center" vertical="center"/>
    </xf>
    <xf numFmtId="168" fontId="7" fillId="0" borderId="0" xfId="9" applyNumberFormat="1" applyFont="1" applyAlignment="1">
      <alignment horizontal="left" vertical="center"/>
    </xf>
    <xf numFmtId="168" fontId="8" fillId="8" borderId="6" xfId="9" applyNumberFormat="1" applyFont="1" applyFill="1" applyBorder="1" applyAlignment="1">
      <alignment horizontal="center"/>
    </xf>
    <xf numFmtId="168" fontId="9" fillId="0" borderId="3" xfId="9" applyNumberFormat="1" applyFont="1" applyBorder="1" applyAlignment="1">
      <alignment horizontal="center"/>
    </xf>
    <xf numFmtId="168" fontId="9" fillId="0" borderId="14" xfId="9" applyNumberFormat="1" applyFont="1" applyBorder="1" applyAlignment="1">
      <alignment horizontal="center"/>
    </xf>
    <xf numFmtId="168" fontId="8" fillId="8" borderId="13" xfId="9" applyNumberFormat="1" applyFont="1" applyFill="1" applyBorder="1" applyAlignment="1">
      <alignment horizontal="center" vertical="center"/>
    </xf>
    <xf numFmtId="172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8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2" fontId="20" fillId="6" borderId="18" xfId="0" applyNumberFormat="1" applyFont="1" applyFill="1" applyBorder="1" applyAlignment="1">
      <alignment horizontal="center"/>
    </xf>
    <xf numFmtId="172" fontId="22" fillId="0" borderId="1" xfId="0" applyNumberFormat="1" applyFont="1" applyBorder="1" applyAlignment="1">
      <alignment horizontal="center"/>
    </xf>
    <xf numFmtId="172" fontId="24" fillId="7" borderId="1" xfId="0" applyNumberFormat="1" applyFont="1" applyFill="1" applyBorder="1" applyAlignment="1">
      <alignment horizontal="center"/>
    </xf>
    <xf numFmtId="172" fontId="25" fillId="0" borderId="1" xfId="0" applyNumberFormat="1" applyFont="1" applyBorder="1" applyAlignment="1">
      <alignment horizontal="center"/>
    </xf>
    <xf numFmtId="172" fontId="9" fillId="7" borderId="1" xfId="0" applyNumberFormat="1" applyFont="1" applyFill="1" applyBorder="1" applyAlignment="1">
      <alignment horizontal="center"/>
    </xf>
    <xf numFmtId="172" fontId="25" fillId="0" borderId="9" xfId="0" applyNumberFormat="1" applyFont="1" applyBorder="1" applyAlignment="1">
      <alignment horizontal="center"/>
    </xf>
    <xf numFmtId="172" fontId="24" fillId="7" borderId="9" xfId="0" applyNumberFormat="1" applyFont="1" applyFill="1" applyBorder="1" applyAlignment="1">
      <alignment horizontal="center"/>
    </xf>
    <xf numFmtId="172" fontId="9" fillId="7" borderId="9" xfId="0" applyNumberFormat="1" applyFont="1" applyFill="1" applyBorder="1" applyAlignment="1">
      <alignment horizontal="center"/>
    </xf>
    <xf numFmtId="172" fontId="22" fillId="0" borderId="19" xfId="0" applyNumberFormat="1" applyFont="1" applyBorder="1" applyAlignment="1">
      <alignment horizontal="center"/>
    </xf>
    <xf numFmtId="172" fontId="22" fillId="0" borderId="9" xfId="0" applyNumberFormat="1" applyFont="1" applyBorder="1" applyAlignment="1">
      <alignment horizontal="center"/>
    </xf>
    <xf numFmtId="172" fontId="22" fillId="0" borderId="20" xfId="0" applyNumberFormat="1" applyFont="1" applyBorder="1" applyAlignment="1">
      <alignment horizontal="center"/>
    </xf>
    <xf numFmtId="172" fontId="22" fillId="0" borderId="21" xfId="0" applyNumberFormat="1" applyFont="1" applyBorder="1" applyAlignment="1">
      <alignment horizontal="center"/>
    </xf>
    <xf numFmtId="172" fontId="26" fillId="0" borderId="22" xfId="0" applyNumberFormat="1" applyFont="1" applyBorder="1"/>
    <xf numFmtId="172" fontId="7" fillId="0" borderId="0" xfId="9" applyNumberFormat="1" applyFont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6" xfId="0" applyFont="1" applyBorder="1"/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3" fontId="0" fillId="0" borderId="1" xfId="0" applyNumberFormat="1" applyBorder="1"/>
    <xf numFmtId="4" fontId="0" fillId="0" borderId="9" xfId="0" applyNumberFormat="1" applyBorder="1"/>
    <xf numFmtId="0" fontId="39" fillId="0" borderId="0" xfId="0" applyFont="1"/>
    <xf numFmtId="4" fontId="40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0" fontId="41" fillId="0" borderId="0" xfId="0" applyFont="1"/>
    <xf numFmtId="0" fontId="35" fillId="0" borderId="6" xfId="0" applyFont="1" applyBorder="1"/>
    <xf numFmtId="4" fontId="0" fillId="0" borderId="5" xfId="0" applyNumberFormat="1" applyBorder="1"/>
    <xf numFmtId="0" fontId="42" fillId="0" borderId="0" xfId="0" applyFont="1" applyAlignment="1">
      <alignment horizontal="left"/>
    </xf>
    <xf numFmtId="4" fontId="43" fillId="0" borderId="0" xfId="0" applyNumberFormat="1" applyFont="1"/>
    <xf numFmtId="4" fontId="44" fillId="0" borderId="0" xfId="0" applyNumberFormat="1" applyFont="1"/>
    <xf numFmtId="4" fontId="44" fillId="0" borderId="0" xfId="0" applyNumberFormat="1" applyFont="1" applyAlignment="1">
      <alignment horizontal="right"/>
    </xf>
    <xf numFmtId="0" fontId="45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>
      <alignment horizontal="center" wrapText="1"/>
    </xf>
    <xf numFmtId="4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46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4" fontId="47" fillId="0" borderId="6" xfId="0" applyNumberFormat="1" applyFont="1" applyBorder="1" applyAlignment="1">
      <alignment horizontal="center"/>
    </xf>
    <xf numFmtId="14" fontId="0" fillId="0" borderId="0" xfId="0" applyNumberFormat="1"/>
    <xf numFmtId="0" fontId="35" fillId="0" borderId="7" xfId="0" applyFont="1" applyBorder="1"/>
    <xf numFmtId="0" fontId="45" fillId="0" borderId="7" xfId="0" applyFont="1" applyBorder="1" applyAlignment="1">
      <alignment horizontal="center"/>
    </xf>
    <xf numFmtId="4" fontId="45" fillId="0" borderId="7" xfId="0" applyNumberFormat="1" applyFont="1" applyBorder="1" applyAlignment="1">
      <alignment horizontal="center"/>
    </xf>
    <xf numFmtId="49" fontId="48" fillId="0" borderId="1" xfId="0" applyNumberFormat="1" applyFont="1" applyBorder="1"/>
    <xf numFmtId="1" fontId="0" fillId="0" borderId="21" xfId="0" applyNumberFormat="1" applyBorder="1" applyAlignment="1">
      <alignment horizontal="center" wrapText="1"/>
    </xf>
    <xf numFmtId="4" fontId="46" fillId="0" borderId="1" xfId="0" applyNumberFormat="1" applyFont="1" applyBorder="1" applyAlignment="1">
      <alignment horizontal="right"/>
    </xf>
    <xf numFmtId="0" fontId="45" fillId="0" borderId="1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4" fontId="49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0" fillId="0" borderId="23" xfId="0" applyFont="1" applyBorder="1" applyAlignment="1">
      <alignment horizontal="center"/>
    </xf>
    <xf numFmtId="0" fontId="50" fillId="0" borderId="24" xfId="0" applyFont="1" applyBorder="1" applyAlignment="1">
      <alignment horizontal="center"/>
    </xf>
    <xf numFmtId="4" fontId="50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/>
    <xf numFmtId="0" fontId="51" fillId="0" borderId="13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4" fontId="11" fillId="0" borderId="15" xfId="0" applyNumberFormat="1" applyFont="1" applyBorder="1"/>
    <xf numFmtId="0" fontId="51" fillId="0" borderId="3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4" fontId="25" fillId="0" borderId="1" xfId="9" applyNumberFormat="1" applyFont="1" applyBorder="1" applyAlignment="1">
      <alignment horizontal="center"/>
    </xf>
    <xf numFmtId="168" fontId="9" fillId="0" borderId="4" xfId="9" applyNumberFormat="1" applyFont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70" fontId="9" fillId="0" borderId="5" xfId="9" applyNumberFormat="1" applyFont="1" applyBorder="1" applyAlignment="1">
      <alignment horizontal="center"/>
    </xf>
    <xf numFmtId="0" fontId="9" fillId="0" borderId="9" xfId="9" applyFont="1" applyBorder="1" applyAlignment="1">
      <alignment horizontal="left"/>
    </xf>
    <xf numFmtId="172" fontId="27" fillId="0" borderId="1" xfId="9" applyNumberFormat="1" applyFont="1" applyBorder="1" applyAlignment="1">
      <alignment horizontal="center"/>
    </xf>
    <xf numFmtId="4" fontId="9" fillId="0" borderId="10" xfId="9" applyNumberFormat="1" applyFont="1" applyBorder="1" applyAlignment="1">
      <alignment horizontal="right"/>
    </xf>
    <xf numFmtId="0" fontId="9" fillId="0" borderId="5" xfId="9" applyFont="1" applyBorder="1" applyAlignment="1">
      <alignment horizontal="center"/>
    </xf>
    <xf numFmtId="4" fontId="25" fillId="0" borderId="5" xfId="9" applyNumberFormat="1" applyFont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Border="1" applyAlignment="1">
      <alignment horizontal="right"/>
    </xf>
    <xf numFmtId="168" fontId="9" fillId="0" borderId="11" xfId="9" applyNumberFormat="1" applyFont="1" applyBorder="1" applyAlignment="1">
      <alignment horizontal="center"/>
    </xf>
    <xf numFmtId="0" fontId="4" fillId="0" borderId="0" xfId="9" applyFont="1"/>
    <xf numFmtId="0" fontId="54" fillId="0" borderId="0" xfId="0" applyFont="1"/>
    <xf numFmtId="2" fontId="54" fillId="0" borderId="0" xfId="0" applyNumberFormat="1" applyFont="1" applyAlignment="1">
      <alignment horizontal="right" vertical="center"/>
    </xf>
    <xf numFmtId="164" fontId="38" fillId="0" borderId="0" xfId="10" applyFont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4" fillId="0" borderId="1" xfId="0" applyFont="1" applyBorder="1"/>
    <xf numFmtId="0" fontId="56" fillId="0" borderId="0" xfId="0" applyFont="1"/>
    <xf numFmtId="4" fontId="9" fillId="12" borderId="9" xfId="9" applyNumberFormat="1" applyFont="1" applyFill="1" applyBorder="1" applyAlignment="1">
      <alignment horizontal="center"/>
    </xf>
    <xf numFmtId="4" fontId="23" fillId="0" borderId="9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4" fillId="0" borderId="0" xfId="0" applyNumberFormat="1" applyFont="1" applyAlignment="1">
      <alignment horizontal="left"/>
    </xf>
    <xf numFmtId="172" fontId="27" fillId="0" borderId="0" xfId="9" applyNumberFormat="1" applyFont="1" applyAlignment="1">
      <alignment horizontal="center"/>
    </xf>
    <xf numFmtId="172" fontId="27" fillId="0" borderId="9" xfId="9" applyNumberFormat="1" applyFont="1" applyBorder="1" applyAlignment="1">
      <alignment horizontal="center"/>
    </xf>
    <xf numFmtId="172" fontId="9" fillId="0" borderId="9" xfId="9" applyNumberFormat="1" applyFont="1" applyBorder="1" applyAlignment="1">
      <alignment horizontal="center"/>
    </xf>
    <xf numFmtId="172" fontId="22" fillId="7" borderId="9" xfId="0" applyNumberFormat="1" applyFont="1" applyFill="1" applyBorder="1" applyAlignment="1">
      <alignment horizontal="center"/>
    </xf>
    <xf numFmtId="172" fontId="27" fillId="0" borderId="19" xfId="9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11" fillId="0" borderId="5" xfId="0" applyNumberFormat="1" applyFont="1" applyBorder="1"/>
    <xf numFmtId="164" fontId="0" fillId="0" borderId="0" xfId="10" applyFont="1"/>
    <xf numFmtId="4" fontId="0" fillId="0" borderId="20" xfId="0" applyNumberFormat="1" applyBorder="1"/>
    <xf numFmtId="4" fontId="43" fillId="0" borderId="39" xfId="0" applyNumberFormat="1" applyFont="1" applyBorder="1"/>
    <xf numFmtId="4" fontId="43" fillId="0" borderId="40" xfId="0" applyNumberFormat="1" applyFont="1" applyBorder="1"/>
    <xf numFmtId="4" fontId="43" fillId="0" borderId="41" xfId="0" applyNumberFormat="1" applyFont="1" applyBorder="1"/>
    <xf numFmtId="4" fontId="58" fillId="0" borderId="0" xfId="12" applyNumberFormat="1" applyFill="1" applyBorder="1" applyAlignment="1">
      <alignment horizontal="right" vertical="center"/>
    </xf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58" fillId="15" borderId="1" xfId="12" applyBorder="1"/>
    <xf numFmtId="1" fontId="0" fillId="17" borderId="1" xfId="0" applyNumberFormat="1" applyFill="1" applyBorder="1"/>
    <xf numFmtId="0" fontId="11" fillId="0" borderId="1" xfId="0" applyFont="1" applyBorder="1"/>
    <xf numFmtId="0" fontId="54" fillId="0" borderId="1" xfId="0" applyFont="1" applyBorder="1" applyAlignment="1">
      <alignment horizontal="left"/>
    </xf>
    <xf numFmtId="1" fontId="60" fillId="0" borderId="1" xfId="0" applyNumberFormat="1" applyFont="1" applyBorder="1"/>
    <xf numFmtId="0" fontId="60" fillId="0" borderId="1" xfId="0" applyFont="1" applyBorder="1"/>
    <xf numFmtId="2" fontId="54" fillId="0" borderId="1" xfId="0" applyNumberFormat="1" applyFont="1" applyBorder="1" applyAlignment="1">
      <alignment horizontal="right" vertical="center"/>
    </xf>
    <xf numFmtId="0" fontId="54" fillId="18" borderId="1" xfId="0" applyFont="1" applyFill="1" applyBorder="1"/>
    <xf numFmtId="0" fontId="60" fillId="18" borderId="1" xfId="0" applyFont="1" applyFill="1" applyBorder="1"/>
    <xf numFmtId="49" fontId="54" fillId="18" borderId="1" xfId="0" applyNumberFormat="1" applyFont="1" applyFill="1" applyBorder="1" applyAlignment="1">
      <alignment horizontal="left"/>
    </xf>
    <xf numFmtId="1" fontId="60" fillId="18" borderId="1" xfId="0" applyNumberFormat="1" applyFont="1" applyFill="1" applyBorder="1"/>
    <xf numFmtId="0" fontId="60" fillId="19" borderId="1" xfId="0" applyFont="1" applyFill="1" applyBorder="1"/>
    <xf numFmtId="1" fontId="60" fillId="19" borderId="1" xfId="0" applyNumberFormat="1" applyFont="1" applyFill="1" applyBorder="1"/>
    <xf numFmtId="0" fontId="0" fillId="19" borderId="0" xfId="0" applyFill="1"/>
    <xf numFmtId="0" fontId="60" fillId="19" borderId="0" xfId="0" applyFont="1" applyFill="1"/>
    <xf numFmtId="2" fontId="60" fillId="19" borderId="1" xfId="0" applyNumberFormat="1" applyFont="1" applyFill="1" applyBorder="1"/>
    <xf numFmtId="0" fontId="54" fillId="18" borderId="1" xfId="0" applyFont="1" applyFill="1" applyBorder="1" applyAlignment="1">
      <alignment horizontal="left"/>
    </xf>
    <xf numFmtId="2" fontId="54" fillId="18" borderId="1" xfId="0" applyNumberFormat="1" applyFont="1" applyFill="1" applyBorder="1" applyAlignment="1">
      <alignment horizontal="right" vertical="center"/>
    </xf>
    <xf numFmtId="2" fontId="60" fillId="18" borderId="1" xfId="0" applyNumberFormat="1" applyFont="1" applyFill="1" applyBorder="1"/>
    <xf numFmtId="0" fontId="54" fillId="18" borderId="0" xfId="0" applyFont="1" applyFill="1"/>
    <xf numFmtId="0" fontId="60" fillId="18" borderId="0" xfId="0" applyFont="1" applyFill="1"/>
    <xf numFmtId="0" fontId="0" fillId="19" borderId="1" xfId="0" applyFill="1" applyBorder="1"/>
    <xf numFmtId="1" fontId="0" fillId="19" borderId="1" xfId="0" applyNumberFormat="1" applyFill="1" applyBorder="1"/>
    <xf numFmtId="2" fontId="0" fillId="19" borderId="1" xfId="0" applyNumberFormat="1" applyFill="1" applyBorder="1"/>
    <xf numFmtId="1" fontId="0" fillId="0" borderId="0" xfId="0" applyNumberFormat="1"/>
    <xf numFmtId="0" fontId="61" fillId="15" borderId="42" xfId="12" applyFont="1" applyBorder="1"/>
    <xf numFmtId="0" fontId="63" fillId="20" borderId="43" xfId="13" applyFill="1"/>
    <xf numFmtId="0" fontId="0" fillId="22" borderId="0" xfId="0" applyFill="1"/>
    <xf numFmtId="1" fontId="0" fillId="22" borderId="0" xfId="0" applyNumberFormat="1" applyFill="1"/>
    <xf numFmtId="2" fontId="0" fillId="22" borderId="0" xfId="0" applyNumberFormat="1" applyFill="1"/>
    <xf numFmtId="2" fontId="62" fillId="22" borderId="0" xfId="0" applyNumberFormat="1" applyFont="1" applyFill="1"/>
    <xf numFmtId="0" fontId="0" fillId="16" borderId="0" xfId="0" applyFill="1"/>
    <xf numFmtId="1" fontId="0" fillId="16" borderId="0" xfId="0" applyNumberFormat="1" applyFill="1"/>
    <xf numFmtId="2" fontId="0" fillId="16" borderId="0" xfId="0" applyNumberFormat="1" applyFill="1"/>
    <xf numFmtId="0" fontId="0" fillId="24" borderId="0" xfId="0" applyFill="1"/>
    <xf numFmtId="1" fontId="0" fillId="24" borderId="0" xfId="0" applyNumberFormat="1" applyFill="1"/>
    <xf numFmtId="2" fontId="0" fillId="24" borderId="0" xfId="0" applyNumberFormat="1" applyFill="1"/>
    <xf numFmtId="0" fontId="0" fillId="23" borderId="0" xfId="0" applyFill="1"/>
    <xf numFmtId="1" fontId="0" fillId="23" borderId="0" xfId="0" applyNumberFormat="1" applyFill="1"/>
    <xf numFmtId="2" fontId="0" fillId="23" borderId="0" xfId="0" applyNumberFormat="1" applyFill="1"/>
    <xf numFmtId="0" fontId="64" fillId="0" borderId="0" xfId="0" applyFont="1"/>
    <xf numFmtId="1" fontId="64" fillId="0" borderId="0" xfId="0" applyNumberFormat="1" applyFont="1"/>
    <xf numFmtId="168" fontId="55" fillId="0" borderId="3" xfId="0" applyNumberFormat="1" applyFont="1" applyBorder="1" applyAlignment="1">
      <alignment horizontal="center"/>
    </xf>
    <xf numFmtId="4" fontId="55" fillId="0" borderId="1" xfId="0" applyNumberFormat="1" applyFont="1" applyBorder="1" applyAlignment="1">
      <alignment horizontal="center"/>
    </xf>
    <xf numFmtId="4" fontId="55" fillId="0" borderId="12" xfId="0" applyNumberFormat="1" applyFont="1" applyBorder="1" applyAlignment="1">
      <alignment horizontal="center"/>
    </xf>
    <xf numFmtId="0" fontId="0" fillId="0" borderId="42" xfId="0" applyBorder="1"/>
    <xf numFmtId="0" fontId="65" fillId="25" borderId="42" xfId="0" applyFont="1" applyFill="1" applyBorder="1" applyAlignment="1">
      <alignment wrapText="1"/>
    </xf>
    <xf numFmtId="1" fontId="0" fillId="0" borderId="42" xfId="0" applyNumberFormat="1" applyBorder="1"/>
    <xf numFmtId="2" fontId="0" fillId="0" borderId="42" xfId="0" applyNumberFormat="1" applyBorder="1"/>
    <xf numFmtId="0" fontId="67" fillId="20" borderId="42" xfId="0" applyFont="1" applyFill="1" applyBorder="1"/>
    <xf numFmtId="0" fontId="67" fillId="20" borderId="42" xfId="0" applyFont="1" applyFill="1" applyBorder="1" applyAlignment="1">
      <alignment horizontal="center"/>
    </xf>
    <xf numFmtId="4" fontId="54" fillId="0" borderId="42" xfId="0" applyNumberFormat="1" applyFont="1" applyBorder="1" applyAlignment="1">
      <alignment horizontal="right" vertical="center"/>
    </xf>
    <xf numFmtId="0" fontId="68" fillId="0" borderId="42" xfId="0" applyFont="1" applyBorder="1"/>
    <xf numFmtId="0" fontId="54" fillId="0" borderId="42" xfId="0" applyFont="1" applyBorder="1"/>
    <xf numFmtId="4" fontId="67" fillId="20" borderId="42" xfId="0" applyNumberFormat="1" applyFont="1" applyFill="1" applyBorder="1" applyAlignment="1">
      <alignment horizontal="right" vertical="center"/>
    </xf>
    <xf numFmtId="0" fontId="61" fillId="15" borderId="42" xfId="12" applyFont="1" applyBorder="1" applyAlignment="1">
      <alignment wrapText="1"/>
    </xf>
    <xf numFmtId="1" fontId="0" fillId="17" borderId="42" xfId="0" applyNumberFormat="1" applyFill="1" applyBorder="1"/>
    <xf numFmtId="0" fontId="0" fillId="17" borderId="42" xfId="0" applyFill="1" applyBorder="1"/>
    <xf numFmtId="2" fontId="0" fillId="17" borderId="42" xfId="0" applyNumberFormat="1" applyFill="1" applyBorder="1"/>
    <xf numFmtId="0" fontId="0" fillId="16" borderId="42" xfId="0" applyFill="1" applyBorder="1"/>
    <xf numFmtId="1" fontId="0" fillId="16" borderId="42" xfId="0" applyNumberFormat="1" applyFill="1" applyBorder="1"/>
    <xf numFmtId="0" fontId="0" fillId="26" borderId="42" xfId="0" applyFill="1" applyBorder="1"/>
    <xf numFmtId="1" fontId="0" fillId="26" borderId="42" xfId="0" applyNumberFormat="1" applyFill="1" applyBorder="1"/>
    <xf numFmtId="2" fontId="0" fillId="16" borderId="42" xfId="0" applyNumberFormat="1" applyFill="1" applyBorder="1"/>
    <xf numFmtId="1" fontId="0" fillId="0" borderId="42" xfId="0" applyNumberFormat="1" applyBorder="1" applyAlignment="1">
      <alignment horizontal="center"/>
    </xf>
    <xf numFmtId="1" fontId="26" fillId="0" borderId="42" xfId="0" applyNumberFormat="1" applyFont="1" applyBorder="1" applyAlignment="1">
      <alignment horizontal="center"/>
    </xf>
    <xf numFmtId="1" fontId="26" fillId="0" borderId="42" xfId="0" applyNumberFormat="1" applyFont="1" applyBorder="1"/>
    <xf numFmtId="2" fontId="26" fillId="0" borderId="42" xfId="0" applyNumberFormat="1" applyFont="1" applyBorder="1"/>
    <xf numFmtId="0" fontId="26" fillId="0" borderId="42" xfId="0" applyFont="1" applyBorder="1"/>
    <xf numFmtId="4" fontId="11" fillId="0" borderId="1" xfId="0" applyNumberFormat="1" applyFont="1" applyBorder="1"/>
    <xf numFmtId="0" fontId="58" fillId="15" borderId="42" xfId="12" applyBorder="1"/>
    <xf numFmtId="0" fontId="26" fillId="0" borderId="42" xfId="0" applyFont="1" applyBorder="1" applyAlignment="1">
      <alignment horizontal="center"/>
    </xf>
    <xf numFmtId="4" fontId="26" fillId="0" borderId="42" xfId="0" applyNumberFormat="1" applyFont="1" applyBorder="1"/>
    <xf numFmtId="4" fontId="26" fillId="26" borderId="42" xfId="0" applyNumberFormat="1" applyFont="1" applyFill="1" applyBorder="1"/>
    <xf numFmtId="4" fontId="26" fillId="28" borderId="42" xfId="0" applyNumberFormat="1" applyFont="1" applyFill="1" applyBorder="1"/>
    <xf numFmtId="0" fontId="0" fillId="28" borderId="42" xfId="0" applyFill="1" applyBorder="1"/>
    <xf numFmtId="0" fontId="26" fillId="28" borderId="42" xfId="0" applyFont="1" applyFill="1" applyBorder="1" applyAlignment="1">
      <alignment horizontal="center"/>
    </xf>
    <xf numFmtId="0" fontId="69" fillId="0" borderId="0" xfId="0" applyFont="1"/>
    <xf numFmtId="0" fontId="0" fillId="28" borderId="0" xfId="0" applyFill="1"/>
    <xf numFmtId="0" fontId="70" fillId="0" borderId="42" xfId="0" applyFont="1" applyBorder="1"/>
    <xf numFmtId="1" fontId="70" fillId="0" borderId="42" xfId="0" applyNumberFormat="1" applyFont="1" applyBorder="1"/>
    <xf numFmtId="4" fontId="60" fillId="0" borderId="42" xfId="0" applyNumberFormat="1" applyFont="1" applyBorder="1"/>
    <xf numFmtId="2" fontId="70" fillId="0" borderId="42" xfId="0" applyNumberFormat="1" applyFont="1" applyBorder="1"/>
    <xf numFmtId="0" fontId="70" fillId="29" borderId="42" xfId="0" applyFont="1" applyFill="1" applyBorder="1"/>
    <xf numFmtId="1" fontId="70" fillId="29" borderId="42" xfId="0" applyNumberFormat="1" applyFont="1" applyFill="1" applyBorder="1"/>
    <xf numFmtId="2" fontId="70" fillId="29" borderId="42" xfId="0" applyNumberFormat="1" applyFont="1" applyFill="1" applyBorder="1"/>
    <xf numFmtId="0" fontId="60" fillId="0" borderId="42" xfId="0" applyFont="1" applyBorder="1" applyAlignment="1">
      <alignment horizontal="center"/>
    </xf>
    <xf numFmtId="0" fontId="71" fillId="0" borderId="42" xfId="0" applyFont="1" applyBorder="1"/>
    <xf numFmtId="1" fontId="71" fillId="0" borderId="42" xfId="0" applyNumberFormat="1" applyFont="1" applyBorder="1"/>
    <xf numFmtId="2" fontId="71" fillId="0" borderId="42" xfId="0" applyNumberFormat="1" applyFont="1" applyBorder="1"/>
    <xf numFmtId="0" fontId="0" fillId="24" borderId="42" xfId="0" applyFill="1" applyBorder="1"/>
    <xf numFmtId="1" fontId="0" fillId="24" borderId="42" xfId="0" applyNumberFormat="1" applyFill="1" applyBorder="1"/>
    <xf numFmtId="0" fontId="65" fillId="25" borderId="0" xfId="0" applyFont="1" applyFill="1"/>
    <xf numFmtId="4" fontId="72" fillId="0" borderId="42" xfId="0" applyNumberFormat="1" applyFont="1" applyBorder="1"/>
    <xf numFmtId="4" fontId="73" fillId="0" borderId="42" xfId="0" applyNumberFormat="1" applyFont="1" applyBorder="1"/>
    <xf numFmtId="4" fontId="72" fillId="24" borderId="42" xfId="0" applyNumberFormat="1" applyFont="1" applyFill="1" applyBorder="1"/>
    <xf numFmtId="4" fontId="73" fillId="24" borderId="42" xfId="0" applyNumberFormat="1" applyFont="1" applyFill="1" applyBorder="1"/>
    <xf numFmtId="0" fontId="74" fillId="0" borderId="42" xfId="0" applyFont="1" applyBorder="1"/>
    <xf numFmtId="0" fontId="74" fillId="24" borderId="42" xfId="0" applyFont="1" applyFill="1" applyBorder="1"/>
    <xf numFmtId="2" fontId="0" fillId="24" borderId="42" xfId="0" applyNumberFormat="1" applyFill="1" applyBorder="1"/>
    <xf numFmtId="164" fontId="0" fillId="0" borderId="42" xfId="10" applyFont="1" applyFill="1" applyBorder="1"/>
    <xf numFmtId="0" fontId="0" fillId="0" borderId="44" xfId="0" applyBorder="1"/>
    <xf numFmtId="4" fontId="55" fillId="0" borderId="0" xfId="0" applyNumberFormat="1" applyFont="1" applyAlignment="1">
      <alignment horizontal="center"/>
    </xf>
    <xf numFmtId="4" fontId="59" fillId="0" borderId="0" xfId="11" applyNumberFormat="1" applyFont="1" applyFill="1" applyBorder="1"/>
    <xf numFmtId="4" fontId="58" fillId="0" borderId="0" xfId="12" applyNumberFormat="1" applyFill="1" applyBorder="1"/>
    <xf numFmtId="4" fontId="61" fillId="15" borderId="1" xfId="12" applyNumberFormat="1" applyFont="1" applyBorder="1"/>
    <xf numFmtId="0" fontId="0" fillId="17" borderId="0" xfId="0" applyFill="1"/>
    <xf numFmtId="0" fontId="75" fillId="17" borderId="1" xfId="0" applyFont="1" applyFill="1" applyBorder="1"/>
    <xf numFmtId="0" fontId="0" fillId="26" borderId="0" xfId="0" applyFill="1"/>
    <xf numFmtId="0" fontId="0" fillId="0" borderId="45" xfId="0" applyBorder="1"/>
    <xf numFmtId="165" fontId="65" fillId="25" borderId="42" xfId="3" applyFont="1" applyFill="1" applyBorder="1" applyAlignment="1">
      <alignment wrapText="1"/>
    </xf>
    <xf numFmtId="165" fontId="0" fillId="0" borderId="42" xfId="3" applyFont="1" applyBorder="1"/>
    <xf numFmtId="165" fontId="0" fillId="0" borderId="44" xfId="3" applyFont="1" applyBorder="1"/>
    <xf numFmtId="165" fontId="0" fillId="0" borderId="45" xfId="3" applyFont="1" applyBorder="1"/>
    <xf numFmtId="165" fontId="61" fillId="15" borderId="1" xfId="3" applyFont="1" applyFill="1" applyBorder="1"/>
    <xf numFmtId="165" fontId="0" fillId="0" borderId="0" xfId="3" applyFont="1"/>
    <xf numFmtId="16" fontId="59" fillId="0" borderId="45" xfId="0" applyNumberFormat="1" applyFont="1" applyBorder="1"/>
    <xf numFmtId="0" fontId="59" fillId="0" borderId="45" xfId="0" applyFont="1" applyBorder="1"/>
    <xf numFmtId="165" fontId="0" fillId="29" borderId="45" xfId="3" applyFont="1" applyFill="1" applyBorder="1"/>
    <xf numFmtId="165" fontId="0" fillId="0" borderId="0" xfId="3" applyFont="1" applyBorder="1"/>
    <xf numFmtId="16" fontId="0" fillId="0" borderId="45" xfId="0" applyNumberFormat="1" applyBorder="1"/>
    <xf numFmtId="0" fontId="0" fillId="16" borderId="45" xfId="0" applyFill="1" applyBorder="1"/>
    <xf numFmtId="0" fontId="0" fillId="11" borderId="45" xfId="0" applyFill="1" applyBorder="1"/>
    <xf numFmtId="0" fontId="0" fillId="11" borderId="0" xfId="0" applyFill="1"/>
    <xf numFmtId="165" fontId="0" fillId="0" borderId="45" xfId="3" applyFont="1" applyFill="1" applyBorder="1"/>
    <xf numFmtId="0" fontId="0" fillId="0" borderId="45" xfId="0" applyBorder="1" applyAlignment="1">
      <alignment horizontal="left"/>
    </xf>
    <xf numFmtId="14" fontId="0" fillId="0" borderId="45" xfId="0" applyNumberFormat="1" applyBorder="1"/>
    <xf numFmtId="165" fontId="0" fillId="27" borderId="0" xfId="3" applyFont="1" applyFill="1"/>
    <xf numFmtId="165" fontId="65" fillId="25" borderId="0" xfId="3" applyFont="1" applyFill="1"/>
    <xf numFmtId="165" fontId="0" fillId="0" borderId="1" xfId="3" applyFont="1" applyBorder="1"/>
    <xf numFmtId="165" fontId="26" fillId="0" borderId="0" xfId="3" applyFont="1"/>
    <xf numFmtId="165" fontId="0" fillId="0" borderId="1" xfId="3" applyFont="1" applyFill="1" applyBorder="1"/>
    <xf numFmtId="165" fontId="26" fillId="0" borderId="42" xfId="0" applyNumberFormat="1" applyFont="1" applyBorder="1"/>
    <xf numFmtId="0" fontId="0" fillId="17" borderId="45" xfId="0" applyFill="1" applyBorder="1"/>
    <xf numFmtId="165" fontId="0" fillId="17" borderId="45" xfId="3" applyFont="1" applyFill="1" applyBorder="1"/>
    <xf numFmtId="165" fontId="0" fillId="17" borderId="42" xfId="3" applyFont="1" applyFill="1" applyBorder="1"/>
    <xf numFmtId="0" fontId="55" fillId="0" borderId="1" xfId="0" applyFont="1" applyBorder="1" applyAlignment="1">
      <alignment horizontal="center" vertical="center"/>
    </xf>
    <xf numFmtId="166" fontId="8" fillId="8" borderId="23" xfId="0" applyNumberFormat="1" applyFont="1" applyFill="1" applyBorder="1" applyAlignment="1">
      <alignment horizontal="center"/>
    </xf>
    <xf numFmtId="166" fontId="8" fillId="8" borderId="24" xfId="0" applyNumberFormat="1" applyFont="1" applyFill="1" applyBorder="1" applyAlignment="1">
      <alignment horizontal="center"/>
    </xf>
    <xf numFmtId="166" fontId="10" fillId="8" borderId="24" xfId="0" applyNumberFormat="1" applyFont="1" applyFill="1" applyBorder="1" applyAlignment="1">
      <alignment horizontal="center"/>
    </xf>
    <xf numFmtId="166" fontId="10" fillId="8" borderId="25" xfId="0" applyNumberFormat="1" applyFont="1" applyFill="1" applyBorder="1" applyAlignment="1">
      <alignment horizontal="center"/>
    </xf>
    <xf numFmtId="167" fontId="6" fillId="8" borderId="23" xfId="8" applyNumberFormat="1" applyFont="1" applyFill="1" applyBorder="1" applyAlignment="1">
      <alignment horizontal="center"/>
    </xf>
    <xf numFmtId="167" fontId="6" fillId="8" borderId="24" xfId="8" applyNumberFormat="1" applyFont="1" applyFill="1" applyBorder="1" applyAlignment="1">
      <alignment horizontal="center"/>
    </xf>
    <xf numFmtId="167" fontId="6" fillId="8" borderId="25" xfId="8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171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6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66" fillId="20" borderId="42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2" xfId="0" applyBorder="1"/>
    <xf numFmtId="17" fontId="77" fillId="0" borderId="0" xfId="3" applyNumberFormat="1" applyFont="1" applyAlignment="1">
      <alignment horizontal="center"/>
    </xf>
    <xf numFmtId="0" fontId="77" fillId="0" borderId="0" xfId="3" applyNumberFormat="1" applyFont="1" applyAlignment="1">
      <alignment horizontal="center"/>
    </xf>
    <xf numFmtId="0" fontId="77" fillId="0" borderId="46" xfId="3" applyNumberFormat="1" applyFont="1" applyBorder="1" applyAlignment="1">
      <alignment horizontal="center"/>
    </xf>
    <xf numFmtId="165" fontId="78" fillId="0" borderId="47" xfId="3" applyFont="1" applyBorder="1" applyAlignment="1">
      <alignment horizontal="center"/>
    </xf>
    <xf numFmtId="165" fontId="78" fillId="0" borderId="48" xfId="3" applyFont="1" applyBorder="1" applyAlignment="1">
      <alignment horizontal="center"/>
    </xf>
    <xf numFmtId="165" fontId="78" fillId="0" borderId="49" xfId="3" applyFont="1" applyBorder="1" applyAlignment="1">
      <alignment horizontal="center"/>
    </xf>
    <xf numFmtId="0" fontId="0" fillId="0" borderId="42" xfId="0" applyNumberFormat="1" applyBorder="1"/>
    <xf numFmtId="0" fontId="0" fillId="0" borderId="44" xfId="0" applyNumberFormat="1" applyBorder="1"/>
    <xf numFmtId="0" fontId="0" fillId="0" borderId="45" xfId="0" applyNumberFormat="1" applyBorder="1"/>
    <xf numFmtId="0" fontId="0" fillId="17" borderId="45" xfId="0" applyNumberFormat="1" applyFill="1" applyBorder="1"/>
  </cellXfs>
  <cellStyles count="14">
    <cellStyle name="Bueno" xfId="12" builtinId="26"/>
    <cellStyle name="Celda de comprobación" xfId="13" builtinId="23"/>
    <cellStyle name="Error" xfId="1" xr:uid="{00000000-0005-0000-0000-000002000000}"/>
    <cellStyle name="Error 2" xfId="2" xr:uid="{00000000-0005-0000-0000-000003000000}"/>
    <cellStyle name="Millares" xfId="3" builtinId="3"/>
    <cellStyle name="Moneda" xfId="10" builtinId="4"/>
    <cellStyle name="Neutral" xfId="11" builtinId="28"/>
    <cellStyle name="No completar" xfId="4" xr:uid="{00000000-0005-0000-0000-000007000000}"/>
    <cellStyle name="No completar 2" xfId="5" xr:uid="{00000000-0005-0000-0000-000008000000}"/>
    <cellStyle name="Normal" xfId="0" builtinId="0"/>
    <cellStyle name="Normal 2" xfId="6" xr:uid="{00000000-0005-0000-0000-00000A000000}"/>
    <cellStyle name="Normal 3" xfId="7" xr:uid="{00000000-0005-0000-0000-00000B000000}"/>
    <cellStyle name="Normal 3_Compras-Ventas 2011_Compras y Ventas 2014" xfId="8" xr:uid="{00000000-0005-0000-0000-00000C000000}"/>
    <cellStyle name="Normal 3_Compras-Ventas 2011_Compras y Ventas 2014_Compras-Ventas 2018" xfId="9" xr:uid="{00000000-0005-0000-0000-00000D000000}"/>
  </cellStyles>
  <dxfs count="23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</dxfs>
  <tableStyles count="0" defaultTableStyle="TableStyleMedium2" defaultPivotStyle="PivotStyleMedium9"/>
  <colors>
    <mruColors>
      <color rgb="FF00FF0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534" zoomScale="150" zoomScaleNormal="150" workbookViewId="0">
      <selection activeCell="B547" sqref="B547"/>
    </sheetView>
  </sheetViews>
  <sheetFormatPr baseColWidth="10" defaultRowHeight="15" x14ac:dyDescent="0.25"/>
  <cols>
    <col min="1" max="1" width="14" style="32" customWidth="1"/>
    <col min="2" max="2" width="34.42578125" customWidth="1"/>
    <col min="3" max="3" width="18.28515625" customWidth="1"/>
    <col min="6" max="6" width="14" style="92" bestFit="1" customWidth="1"/>
    <col min="7" max="7" width="11.42578125" style="92"/>
  </cols>
  <sheetData>
    <row r="1" spans="1:7" x14ac:dyDescent="0.25">
      <c r="F1" s="93" t="s">
        <v>7</v>
      </c>
      <c r="G1" s="92" t="s">
        <v>34</v>
      </c>
    </row>
    <row r="2" spans="1:7" ht="15.75" thickBot="1" x14ac:dyDescent="0.3">
      <c r="F2" s="93" t="s">
        <v>19</v>
      </c>
      <c r="G2" s="92" t="s">
        <v>32</v>
      </c>
    </row>
    <row r="3" spans="1:7" s="6" customFormat="1" ht="15.75" thickBot="1" x14ac:dyDescent="0.3">
      <c r="A3" s="77" t="s">
        <v>7</v>
      </c>
      <c r="B3" s="91" t="s">
        <v>19</v>
      </c>
      <c r="C3" s="70" t="s">
        <v>2</v>
      </c>
      <c r="F3" s="93" t="s">
        <v>2</v>
      </c>
      <c r="G3" s="92" t="s">
        <v>33</v>
      </c>
    </row>
    <row r="4" spans="1:7" x14ac:dyDescent="0.25">
      <c r="A4" s="78">
        <v>30628205090</v>
      </c>
      <c r="B4" s="71" t="s">
        <v>144</v>
      </c>
      <c r="C4" s="72" t="s">
        <v>80</v>
      </c>
    </row>
    <row r="5" spans="1:7" x14ac:dyDescent="0.25">
      <c r="A5" s="208">
        <v>30711678820</v>
      </c>
      <c r="B5" s="73" t="s">
        <v>376</v>
      </c>
      <c r="C5" s="74" t="s">
        <v>41</v>
      </c>
    </row>
    <row r="6" spans="1:7" x14ac:dyDescent="0.25">
      <c r="A6" s="186">
        <v>33716367539</v>
      </c>
      <c r="B6" s="71" t="s">
        <v>337</v>
      </c>
      <c r="C6" s="74" t="s">
        <v>41</v>
      </c>
    </row>
    <row r="7" spans="1:7" x14ac:dyDescent="0.25">
      <c r="A7" s="78">
        <v>30660373108</v>
      </c>
      <c r="B7" s="71" t="s">
        <v>300</v>
      </c>
      <c r="C7" s="74" t="s">
        <v>54</v>
      </c>
    </row>
    <row r="8" spans="1:7" x14ac:dyDescent="0.25">
      <c r="A8" s="78">
        <v>20300210881</v>
      </c>
      <c r="B8" s="71" t="s">
        <v>346</v>
      </c>
      <c r="C8" s="74" t="s">
        <v>41</v>
      </c>
    </row>
    <row r="9" spans="1:7" x14ac:dyDescent="0.25">
      <c r="A9" s="78">
        <v>27229910782</v>
      </c>
      <c r="B9" s="71" t="s">
        <v>549</v>
      </c>
      <c r="C9" s="74" t="s">
        <v>41</v>
      </c>
    </row>
    <row r="10" spans="1:7" x14ac:dyDescent="0.25">
      <c r="A10" s="78">
        <v>20242709897</v>
      </c>
      <c r="B10" s="71" t="s">
        <v>553</v>
      </c>
      <c r="C10" s="74" t="s">
        <v>41</v>
      </c>
    </row>
    <row r="11" spans="1:7" x14ac:dyDescent="0.25">
      <c r="A11" s="78">
        <v>20281669053</v>
      </c>
      <c r="B11" s="71" t="s">
        <v>194</v>
      </c>
      <c r="C11" s="74" t="s">
        <v>36</v>
      </c>
    </row>
    <row r="12" spans="1:7" x14ac:dyDescent="0.25">
      <c r="A12" s="78">
        <v>20174240125</v>
      </c>
      <c r="B12" s="71" t="s">
        <v>214</v>
      </c>
      <c r="C12" s="74" t="s">
        <v>54</v>
      </c>
    </row>
    <row r="13" spans="1:7" x14ac:dyDescent="0.25">
      <c r="A13" s="78">
        <v>30641659106</v>
      </c>
      <c r="B13" s="71" t="s">
        <v>306</v>
      </c>
      <c r="C13" s="74" t="s">
        <v>54</v>
      </c>
    </row>
    <row r="14" spans="1:7" x14ac:dyDescent="0.25">
      <c r="A14" s="78">
        <v>33709914109</v>
      </c>
      <c r="B14" s="71" t="s">
        <v>314</v>
      </c>
      <c r="C14" s="74" t="s">
        <v>54</v>
      </c>
    </row>
    <row r="15" spans="1:7" x14ac:dyDescent="0.25">
      <c r="A15" s="186">
        <v>20267161616</v>
      </c>
      <c r="B15" s="71" t="s">
        <v>412</v>
      </c>
      <c r="C15" s="74" t="s">
        <v>54</v>
      </c>
    </row>
    <row r="16" spans="1:7" x14ac:dyDescent="0.25">
      <c r="A16" s="86">
        <v>20110352108</v>
      </c>
      <c r="B16" s="71" t="s">
        <v>567</v>
      </c>
      <c r="C16" s="74" t="s">
        <v>124</v>
      </c>
    </row>
    <row r="17" spans="1:4" x14ac:dyDescent="0.25">
      <c r="A17" s="79">
        <v>30645337979</v>
      </c>
      <c r="B17" s="75" t="s">
        <v>164</v>
      </c>
      <c r="C17" s="74" t="s">
        <v>80</v>
      </c>
    </row>
    <row r="18" spans="1:4" x14ac:dyDescent="0.25">
      <c r="A18" s="78">
        <v>30656038752</v>
      </c>
      <c r="B18" s="71" t="s">
        <v>241</v>
      </c>
      <c r="C18" s="74" t="s">
        <v>43</v>
      </c>
    </row>
    <row r="19" spans="1:4" x14ac:dyDescent="0.25">
      <c r="A19" s="78">
        <v>30707014756</v>
      </c>
      <c r="B19" s="71" t="s">
        <v>474</v>
      </c>
      <c r="C19" s="74" t="s">
        <v>54</v>
      </c>
    </row>
    <row r="20" spans="1:4" x14ac:dyDescent="0.25">
      <c r="A20" s="80">
        <v>30716375176</v>
      </c>
      <c r="B20" s="71" t="s">
        <v>57</v>
      </c>
      <c r="C20" s="74" t="s">
        <v>41</v>
      </c>
    </row>
    <row r="21" spans="1:4" x14ac:dyDescent="0.25">
      <c r="A21" s="186">
        <v>30710406037</v>
      </c>
      <c r="B21" s="71" t="s">
        <v>449</v>
      </c>
      <c r="C21" s="74" t="s">
        <v>41</v>
      </c>
      <c r="D21" s="94"/>
    </row>
    <row r="22" spans="1:4" x14ac:dyDescent="0.25">
      <c r="A22" s="186">
        <v>30715678310</v>
      </c>
      <c r="B22" s="71" t="s">
        <v>231</v>
      </c>
      <c r="C22" s="74" t="s">
        <v>54</v>
      </c>
      <c r="D22" s="94"/>
    </row>
    <row r="23" spans="1:4" x14ac:dyDescent="0.25">
      <c r="A23" s="86">
        <v>27265533006</v>
      </c>
      <c r="B23" s="71" t="s">
        <v>508</v>
      </c>
      <c r="C23" s="74" t="s">
        <v>41</v>
      </c>
    </row>
    <row r="24" spans="1:4" x14ac:dyDescent="0.25">
      <c r="A24" s="78">
        <v>27133963524</v>
      </c>
      <c r="B24" s="71" t="s">
        <v>391</v>
      </c>
      <c r="C24" s="74" t="s">
        <v>41</v>
      </c>
    </row>
    <row r="25" spans="1:4" x14ac:dyDescent="0.25">
      <c r="A25" s="80">
        <v>27101205733</v>
      </c>
      <c r="B25" s="75" t="s">
        <v>133</v>
      </c>
      <c r="C25" s="74" t="s">
        <v>41</v>
      </c>
    </row>
    <row r="26" spans="1:4" x14ac:dyDescent="0.25">
      <c r="A26" s="80">
        <v>30574816870</v>
      </c>
      <c r="B26" s="71" t="s">
        <v>191</v>
      </c>
      <c r="C26" s="74" t="s">
        <v>192</v>
      </c>
    </row>
    <row r="27" spans="1:4" x14ac:dyDescent="0.25">
      <c r="A27" s="78">
        <v>30710986416</v>
      </c>
      <c r="B27" s="71" t="s">
        <v>266</v>
      </c>
      <c r="C27" s="74" t="s">
        <v>43</v>
      </c>
    </row>
    <row r="28" spans="1:4" x14ac:dyDescent="0.25">
      <c r="A28" s="78">
        <v>30683702060</v>
      </c>
      <c r="B28" s="71" t="s">
        <v>477</v>
      </c>
      <c r="C28" s="74" t="s">
        <v>41</v>
      </c>
    </row>
    <row r="29" spans="1:4" x14ac:dyDescent="0.25">
      <c r="A29" s="78">
        <v>27252316057</v>
      </c>
      <c r="B29" s="71" t="s">
        <v>511</v>
      </c>
      <c r="C29" s="74" t="s">
        <v>38</v>
      </c>
    </row>
    <row r="30" spans="1:4" x14ac:dyDescent="0.25">
      <c r="A30" s="78">
        <v>30711492409</v>
      </c>
      <c r="B30" s="71" t="s">
        <v>399</v>
      </c>
      <c r="C30" s="74" t="s">
        <v>41</v>
      </c>
    </row>
    <row r="31" spans="1:4" x14ac:dyDescent="0.25">
      <c r="A31" s="78">
        <v>30600907553</v>
      </c>
      <c r="B31" s="71" t="s">
        <v>207</v>
      </c>
      <c r="C31" s="74" t="s">
        <v>54</v>
      </c>
    </row>
    <row r="32" spans="1:4" x14ac:dyDescent="0.25">
      <c r="A32" s="186">
        <v>30715290835</v>
      </c>
      <c r="B32" s="73" t="s">
        <v>411</v>
      </c>
      <c r="C32" s="74" t="s">
        <v>54</v>
      </c>
    </row>
    <row r="33" spans="1:7" x14ac:dyDescent="0.25">
      <c r="A33" s="78">
        <v>30708973501</v>
      </c>
      <c r="B33" s="73" t="s">
        <v>63</v>
      </c>
      <c r="C33" s="74" t="s">
        <v>43</v>
      </c>
    </row>
    <row r="34" spans="1:7" x14ac:dyDescent="0.25">
      <c r="A34" s="79">
        <v>30590354798</v>
      </c>
      <c r="B34" s="75" t="s">
        <v>81</v>
      </c>
      <c r="C34" s="74" t="s">
        <v>80</v>
      </c>
    </row>
    <row r="35" spans="1:7" x14ac:dyDescent="0.25">
      <c r="A35" s="35">
        <v>30690973517</v>
      </c>
      <c r="B35" s="73" t="s">
        <v>342</v>
      </c>
      <c r="C35" s="74" t="s">
        <v>80</v>
      </c>
    </row>
    <row r="36" spans="1:7" x14ac:dyDescent="0.25">
      <c r="A36" s="78">
        <v>30714416622</v>
      </c>
      <c r="B36" s="73" t="s">
        <v>250</v>
      </c>
      <c r="C36" s="74" t="s">
        <v>54</v>
      </c>
    </row>
    <row r="37" spans="1:7" x14ac:dyDescent="0.25">
      <c r="A37" s="78">
        <v>30708436506</v>
      </c>
      <c r="B37" s="73" t="s">
        <v>278</v>
      </c>
      <c r="C37" s="74" t="s">
        <v>80</v>
      </c>
    </row>
    <row r="38" spans="1:7" x14ac:dyDescent="0.25">
      <c r="A38" s="78">
        <v>30677237119</v>
      </c>
      <c r="B38" s="73" t="s">
        <v>421</v>
      </c>
      <c r="C38" s="213" t="s">
        <v>364</v>
      </c>
    </row>
    <row r="39" spans="1:7" x14ac:dyDescent="0.25">
      <c r="A39" s="186">
        <v>30574876474</v>
      </c>
      <c r="B39" s="73" t="s">
        <v>363</v>
      </c>
      <c r="C39" s="74" t="s">
        <v>364</v>
      </c>
    </row>
    <row r="40" spans="1:7" x14ac:dyDescent="0.25">
      <c r="A40" s="78">
        <v>20379223185</v>
      </c>
      <c r="B40" s="73" t="s">
        <v>398</v>
      </c>
      <c r="C40" s="74" t="s">
        <v>41</v>
      </c>
    </row>
    <row r="41" spans="1:7" x14ac:dyDescent="0.25">
      <c r="A41" s="78">
        <v>33714662819</v>
      </c>
      <c r="B41" s="73" t="s">
        <v>47</v>
      </c>
      <c r="C41" s="74" t="s">
        <v>41</v>
      </c>
    </row>
    <row r="42" spans="1:7" x14ac:dyDescent="0.25">
      <c r="A42" s="80">
        <v>33716314869</v>
      </c>
      <c r="B42" s="73" t="s">
        <v>58</v>
      </c>
      <c r="C42" s="74" t="s">
        <v>41</v>
      </c>
    </row>
    <row r="43" spans="1:7" x14ac:dyDescent="0.25">
      <c r="A43" s="78">
        <v>30715923374</v>
      </c>
      <c r="B43" s="73" t="s">
        <v>217</v>
      </c>
      <c r="C43" s="74" t="s">
        <v>41</v>
      </c>
    </row>
    <row r="44" spans="1:7" x14ac:dyDescent="0.25">
      <c r="A44" s="78">
        <v>33714642079</v>
      </c>
      <c r="B44" s="71" t="s">
        <v>210</v>
      </c>
      <c r="C44" s="76" t="s">
        <v>54</v>
      </c>
    </row>
    <row r="45" spans="1:7" x14ac:dyDescent="0.25">
      <c r="A45" s="78">
        <v>33711430879</v>
      </c>
      <c r="B45" s="71" t="s">
        <v>273</v>
      </c>
      <c r="C45" s="76" t="s">
        <v>41</v>
      </c>
    </row>
    <row r="46" spans="1:7" x14ac:dyDescent="0.25">
      <c r="A46" s="78">
        <v>33716391049</v>
      </c>
      <c r="B46" s="71" t="s">
        <v>277</v>
      </c>
      <c r="C46" s="76" t="s">
        <v>54</v>
      </c>
    </row>
    <row r="47" spans="1:7" x14ac:dyDescent="0.25">
      <c r="A47" s="78">
        <v>30707267077</v>
      </c>
      <c r="B47" s="71" t="s">
        <v>397</v>
      </c>
      <c r="C47" s="76" t="s">
        <v>41</v>
      </c>
      <c r="F47"/>
      <c r="G47"/>
    </row>
    <row r="48" spans="1:7" x14ac:dyDescent="0.25">
      <c r="A48" s="78">
        <v>20109274268</v>
      </c>
      <c r="B48" s="71" t="s">
        <v>263</v>
      </c>
      <c r="C48" s="76" t="s">
        <v>36</v>
      </c>
      <c r="F48"/>
      <c r="G48"/>
    </row>
    <row r="49" spans="1:7" x14ac:dyDescent="0.25">
      <c r="A49" s="78">
        <v>20172955763</v>
      </c>
      <c r="B49" s="71" t="s">
        <v>404</v>
      </c>
      <c r="C49" s="76" t="s">
        <v>41</v>
      </c>
      <c r="F49"/>
      <c r="G49"/>
    </row>
    <row r="50" spans="1:7" x14ac:dyDescent="0.25">
      <c r="A50" s="78">
        <v>20119743959</v>
      </c>
      <c r="B50" s="71" t="s">
        <v>328</v>
      </c>
      <c r="C50" s="76" t="s">
        <v>41</v>
      </c>
      <c r="F50"/>
      <c r="G50"/>
    </row>
    <row r="51" spans="1:7" x14ac:dyDescent="0.25">
      <c r="A51" s="78">
        <v>30711091552</v>
      </c>
      <c r="B51" s="71" t="s">
        <v>239</v>
      </c>
      <c r="C51" s="76" t="s">
        <v>54</v>
      </c>
      <c r="F51"/>
      <c r="G51"/>
    </row>
    <row r="52" spans="1:7" x14ac:dyDescent="0.25">
      <c r="A52" s="79">
        <v>30715833243</v>
      </c>
      <c r="B52" s="71" t="s">
        <v>152</v>
      </c>
      <c r="C52" s="76" t="s">
        <v>41</v>
      </c>
      <c r="F52"/>
      <c r="G52"/>
    </row>
    <row r="53" spans="1:7" x14ac:dyDescent="0.25">
      <c r="A53" s="80">
        <v>30712230459</v>
      </c>
      <c r="B53" s="71" t="s">
        <v>60</v>
      </c>
      <c r="C53" s="76" t="s">
        <v>41</v>
      </c>
      <c r="F53"/>
      <c r="G53"/>
    </row>
    <row r="54" spans="1:7" x14ac:dyDescent="0.25">
      <c r="A54" s="78">
        <v>27265832178</v>
      </c>
      <c r="B54" s="71" t="s">
        <v>470</v>
      </c>
      <c r="C54" s="76" t="s">
        <v>41</v>
      </c>
      <c r="F54"/>
      <c r="G54"/>
    </row>
    <row r="55" spans="1:7" x14ac:dyDescent="0.25">
      <c r="A55" s="78">
        <v>20043137817</v>
      </c>
      <c r="B55" s="71" t="s">
        <v>524</v>
      </c>
      <c r="C55" s="76" t="s">
        <v>54</v>
      </c>
      <c r="F55"/>
      <c r="G55"/>
    </row>
    <row r="56" spans="1:7" x14ac:dyDescent="0.25">
      <c r="A56" s="78">
        <v>20400104094</v>
      </c>
      <c r="B56" s="71" t="s">
        <v>230</v>
      </c>
      <c r="C56" s="76" t="s">
        <v>38</v>
      </c>
      <c r="F56"/>
      <c r="G56"/>
    </row>
    <row r="57" spans="1:7" x14ac:dyDescent="0.25">
      <c r="A57" s="79">
        <v>20086277523</v>
      </c>
      <c r="B57" s="71" t="s">
        <v>37</v>
      </c>
      <c r="C57" s="76" t="s">
        <v>38</v>
      </c>
      <c r="F57"/>
      <c r="G57"/>
    </row>
    <row r="58" spans="1:7" x14ac:dyDescent="0.25">
      <c r="A58" s="78">
        <v>20389908569</v>
      </c>
      <c r="B58" s="71" t="s">
        <v>274</v>
      </c>
      <c r="C58" s="76" t="s">
        <v>38</v>
      </c>
      <c r="F58"/>
      <c r="G58"/>
    </row>
    <row r="59" spans="1:7" x14ac:dyDescent="0.25">
      <c r="A59" s="86">
        <v>33714174539</v>
      </c>
      <c r="B59" s="71" t="s">
        <v>356</v>
      </c>
      <c r="C59" s="76" t="s">
        <v>41</v>
      </c>
      <c r="F59"/>
      <c r="G59"/>
    </row>
    <row r="60" spans="1:7" x14ac:dyDescent="0.25">
      <c r="A60" s="86">
        <v>20291406212</v>
      </c>
      <c r="B60" s="71" t="s">
        <v>392</v>
      </c>
      <c r="C60" s="76" t="s">
        <v>41</v>
      </c>
      <c r="F60"/>
      <c r="G60"/>
    </row>
    <row r="61" spans="1:7" x14ac:dyDescent="0.25">
      <c r="A61" s="86">
        <v>30716371812</v>
      </c>
      <c r="B61" s="71" t="s">
        <v>538</v>
      </c>
      <c r="C61" s="76" t="s">
        <v>41</v>
      </c>
      <c r="F61"/>
      <c r="G61"/>
    </row>
    <row r="62" spans="1:7" x14ac:dyDescent="0.25">
      <c r="A62" s="78">
        <v>27211511023</v>
      </c>
      <c r="B62" s="71" t="s">
        <v>255</v>
      </c>
      <c r="C62" s="76" t="s">
        <v>41</v>
      </c>
      <c r="F62"/>
      <c r="G62"/>
    </row>
    <row r="63" spans="1:7" x14ac:dyDescent="0.25">
      <c r="A63" s="78">
        <v>30714295957</v>
      </c>
      <c r="B63" s="71" t="s">
        <v>428</v>
      </c>
      <c r="C63" s="76" t="s">
        <v>54</v>
      </c>
      <c r="F63"/>
      <c r="G63"/>
    </row>
    <row r="64" spans="1:7" x14ac:dyDescent="0.25">
      <c r="A64" s="78">
        <v>27289847141</v>
      </c>
      <c r="B64" s="71" t="s">
        <v>283</v>
      </c>
      <c r="C64" s="76" t="s">
        <v>54</v>
      </c>
    </row>
    <row r="65" spans="1:3" x14ac:dyDescent="0.25">
      <c r="A65" s="78">
        <v>23255855204</v>
      </c>
      <c r="B65" s="71" t="s">
        <v>498</v>
      </c>
      <c r="C65" s="76" t="s">
        <v>36</v>
      </c>
    </row>
    <row r="66" spans="1:3" x14ac:dyDescent="0.25">
      <c r="A66" s="78">
        <v>27338342840</v>
      </c>
      <c r="B66" s="71" t="s">
        <v>424</v>
      </c>
      <c r="C66" s="204" t="s">
        <v>41</v>
      </c>
    </row>
    <row r="67" spans="1:3" x14ac:dyDescent="0.25">
      <c r="A67" s="78">
        <v>30709876135</v>
      </c>
      <c r="B67" s="71" t="s">
        <v>150</v>
      </c>
      <c r="C67" s="76" t="s">
        <v>41</v>
      </c>
    </row>
    <row r="68" spans="1:3" x14ac:dyDescent="0.25">
      <c r="A68" s="78">
        <v>30571666037</v>
      </c>
      <c r="B68" s="71" t="s">
        <v>570</v>
      </c>
      <c r="C68" s="76" t="s">
        <v>54</v>
      </c>
    </row>
    <row r="69" spans="1:3" x14ac:dyDescent="0.25">
      <c r="A69" s="78">
        <v>27364044319</v>
      </c>
      <c r="B69" s="71" t="s">
        <v>154</v>
      </c>
      <c r="C69" s="76" t="s">
        <v>41</v>
      </c>
    </row>
    <row r="70" spans="1:3" x14ac:dyDescent="0.25">
      <c r="A70" s="78">
        <v>30715116274</v>
      </c>
      <c r="B70" s="75" t="s">
        <v>136</v>
      </c>
      <c r="C70" s="76" t="s">
        <v>41</v>
      </c>
    </row>
    <row r="71" spans="1:3" x14ac:dyDescent="0.25">
      <c r="A71" s="78">
        <v>27326703384</v>
      </c>
      <c r="B71" s="71" t="s">
        <v>496</v>
      </c>
      <c r="C71" s="76" t="s">
        <v>124</v>
      </c>
    </row>
    <row r="72" spans="1:3" x14ac:dyDescent="0.25">
      <c r="A72" s="78">
        <v>20129871947</v>
      </c>
      <c r="B72" s="71" t="s">
        <v>211</v>
      </c>
      <c r="C72" s="76" t="s">
        <v>41</v>
      </c>
    </row>
    <row r="73" spans="1:3" x14ac:dyDescent="0.25">
      <c r="A73" s="85">
        <v>30648604021</v>
      </c>
      <c r="B73" s="71" t="s">
        <v>484</v>
      </c>
      <c r="C73" s="76" t="s">
        <v>41</v>
      </c>
    </row>
    <row r="74" spans="1:3" x14ac:dyDescent="0.25">
      <c r="A74" s="85">
        <v>20372769808</v>
      </c>
      <c r="B74" s="71" t="s">
        <v>425</v>
      </c>
      <c r="C74" s="76" t="s">
        <v>54</v>
      </c>
    </row>
    <row r="75" spans="1:3" x14ac:dyDescent="0.25">
      <c r="A75" s="86">
        <v>30575818826</v>
      </c>
      <c r="B75" s="71" t="s">
        <v>268</v>
      </c>
      <c r="C75" s="76" t="s">
        <v>54</v>
      </c>
    </row>
    <row r="76" spans="1:3" x14ac:dyDescent="0.25">
      <c r="A76" s="86">
        <v>30575945232</v>
      </c>
      <c r="B76" s="71" t="s">
        <v>209</v>
      </c>
      <c r="C76" s="76" t="s">
        <v>54</v>
      </c>
    </row>
    <row r="77" spans="1:3" x14ac:dyDescent="0.25">
      <c r="A77" s="209">
        <v>33712276539</v>
      </c>
      <c r="B77" s="71" t="s">
        <v>345</v>
      </c>
      <c r="C77" s="76" t="s">
        <v>54</v>
      </c>
    </row>
    <row r="78" spans="1:3" x14ac:dyDescent="0.25">
      <c r="A78" s="86">
        <v>30716174766</v>
      </c>
      <c r="B78" s="71" t="s">
        <v>332</v>
      </c>
      <c r="C78" s="76" t="s">
        <v>41</v>
      </c>
    </row>
    <row r="79" spans="1:3" x14ac:dyDescent="0.25">
      <c r="A79" s="86">
        <v>33715179119</v>
      </c>
      <c r="B79" s="71" t="s">
        <v>351</v>
      </c>
      <c r="C79" s="76" t="s">
        <v>54</v>
      </c>
    </row>
    <row r="80" spans="1:3" x14ac:dyDescent="0.25">
      <c r="A80" s="209">
        <v>30590360763</v>
      </c>
      <c r="B80" s="71" t="s">
        <v>344</v>
      </c>
      <c r="C80" s="76" t="s">
        <v>54</v>
      </c>
    </row>
    <row r="81" spans="1:3" x14ac:dyDescent="0.25">
      <c r="A81" s="86">
        <v>30707612971</v>
      </c>
      <c r="B81" s="71" t="s">
        <v>75</v>
      </c>
      <c r="C81" s="76" t="s">
        <v>80</v>
      </c>
    </row>
    <row r="82" spans="1:3" x14ac:dyDescent="0.25">
      <c r="A82" s="86">
        <v>30714758116</v>
      </c>
      <c r="B82" s="71" t="s">
        <v>550</v>
      </c>
      <c r="C82" s="76" t="s">
        <v>41</v>
      </c>
    </row>
    <row r="83" spans="1:3" x14ac:dyDescent="0.25">
      <c r="A83" s="86">
        <v>27318630157</v>
      </c>
      <c r="B83" s="71" t="s">
        <v>585</v>
      </c>
      <c r="C83" s="76" t="s">
        <v>54</v>
      </c>
    </row>
    <row r="84" spans="1:3" x14ac:dyDescent="0.25">
      <c r="A84" s="210">
        <v>30707535934</v>
      </c>
      <c r="B84" s="71" t="s">
        <v>299</v>
      </c>
      <c r="C84" s="76" t="s">
        <v>54</v>
      </c>
    </row>
    <row r="85" spans="1:3" x14ac:dyDescent="0.25">
      <c r="A85" s="86">
        <v>30696692951</v>
      </c>
      <c r="B85" s="71" t="s">
        <v>566</v>
      </c>
      <c r="C85" s="76" t="s">
        <v>54</v>
      </c>
    </row>
    <row r="86" spans="1:3" x14ac:dyDescent="0.25">
      <c r="A86" s="209">
        <v>30594832783</v>
      </c>
      <c r="B86" s="71" t="s">
        <v>382</v>
      </c>
      <c r="C86" s="76" t="s">
        <v>54</v>
      </c>
    </row>
    <row r="87" spans="1:3" x14ac:dyDescent="0.25">
      <c r="A87" s="86">
        <v>30707986189</v>
      </c>
      <c r="B87" s="75" t="s">
        <v>225</v>
      </c>
      <c r="C87" s="76" t="s">
        <v>41</v>
      </c>
    </row>
    <row r="88" spans="1:3" x14ac:dyDescent="0.25">
      <c r="A88" s="87">
        <v>23334822869</v>
      </c>
      <c r="B88" s="71" t="s">
        <v>472</v>
      </c>
      <c r="C88" s="76" t="s">
        <v>54</v>
      </c>
    </row>
    <row r="89" spans="1:3" x14ac:dyDescent="0.25">
      <c r="A89" s="186">
        <v>23258785479</v>
      </c>
      <c r="B89" s="71" t="s">
        <v>448</v>
      </c>
      <c r="C89" s="76" t="s">
        <v>54</v>
      </c>
    </row>
    <row r="90" spans="1:3" x14ac:dyDescent="0.25">
      <c r="A90" s="78">
        <v>20274215632</v>
      </c>
      <c r="B90" s="71" t="s">
        <v>576</v>
      </c>
      <c r="C90" s="76" t="s">
        <v>54</v>
      </c>
    </row>
    <row r="91" spans="1:3" x14ac:dyDescent="0.25">
      <c r="A91" s="78">
        <v>30688140923</v>
      </c>
      <c r="B91" s="71" t="s">
        <v>196</v>
      </c>
      <c r="C91" s="76" t="s">
        <v>41</v>
      </c>
    </row>
    <row r="92" spans="1:3" x14ac:dyDescent="0.25">
      <c r="A92" s="186">
        <v>30708736186</v>
      </c>
      <c r="B92" s="71" t="s">
        <v>586</v>
      </c>
      <c r="C92" s="76" t="s">
        <v>54</v>
      </c>
    </row>
    <row r="93" spans="1:3" x14ac:dyDescent="0.25">
      <c r="A93" s="78">
        <v>23359537069</v>
      </c>
      <c r="B93" s="71" t="s">
        <v>501</v>
      </c>
      <c r="C93" s="76" t="s">
        <v>41</v>
      </c>
    </row>
    <row r="94" spans="1:3" x14ac:dyDescent="0.25">
      <c r="A94" s="86">
        <v>33710268059</v>
      </c>
      <c r="B94" s="71" t="s">
        <v>213</v>
      </c>
      <c r="C94" s="76" t="s">
        <v>43</v>
      </c>
    </row>
    <row r="95" spans="1:3" x14ac:dyDescent="0.25">
      <c r="A95" s="82">
        <v>30605344352</v>
      </c>
      <c r="B95" s="71" t="s">
        <v>49</v>
      </c>
      <c r="C95" s="76" t="s">
        <v>48</v>
      </c>
    </row>
    <row r="96" spans="1:3" x14ac:dyDescent="0.25">
      <c r="A96" s="86">
        <v>20134281783</v>
      </c>
      <c r="B96" s="71" t="s">
        <v>149</v>
      </c>
      <c r="C96" s="76" t="s">
        <v>41</v>
      </c>
    </row>
    <row r="97" spans="1:3" x14ac:dyDescent="0.25">
      <c r="A97" s="212">
        <v>30682998330</v>
      </c>
      <c r="B97" s="71" t="s">
        <v>355</v>
      </c>
      <c r="C97" s="76" t="s">
        <v>54</v>
      </c>
    </row>
    <row r="98" spans="1:3" x14ac:dyDescent="0.25">
      <c r="A98" s="78">
        <v>20200212143</v>
      </c>
      <c r="B98" s="71" t="s">
        <v>303</v>
      </c>
      <c r="C98" s="76" t="s">
        <v>54</v>
      </c>
    </row>
    <row r="99" spans="1:3" x14ac:dyDescent="0.25">
      <c r="A99" s="209">
        <v>20233248283</v>
      </c>
      <c r="B99" s="71" t="s">
        <v>335</v>
      </c>
      <c r="C99" s="76" t="s">
        <v>41</v>
      </c>
    </row>
    <row r="100" spans="1:3" x14ac:dyDescent="0.25">
      <c r="A100" s="78">
        <v>33699685459</v>
      </c>
      <c r="B100" s="71" t="s">
        <v>325</v>
      </c>
      <c r="C100" s="76" t="s">
        <v>54</v>
      </c>
    </row>
    <row r="101" spans="1:3" x14ac:dyDescent="0.25">
      <c r="A101" s="80">
        <v>30708574836</v>
      </c>
      <c r="B101" s="71" t="s">
        <v>187</v>
      </c>
      <c r="C101" s="76" t="s">
        <v>186</v>
      </c>
    </row>
    <row r="102" spans="1:3" x14ac:dyDescent="0.25">
      <c r="A102" s="78">
        <v>27065000216</v>
      </c>
      <c r="B102" s="71" t="s">
        <v>309</v>
      </c>
      <c r="C102" s="76" t="s">
        <v>41</v>
      </c>
    </row>
    <row r="103" spans="1:3" x14ac:dyDescent="0.25">
      <c r="A103" s="81">
        <v>30548083156</v>
      </c>
      <c r="B103" s="75" t="s">
        <v>126</v>
      </c>
      <c r="C103" s="76" t="s">
        <v>124</v>
      </c>
    </row>
    <row r="104" spans="1:3" x14ac:dyDescent="0.25">
      <c r="A104" s="78">
        <v>30696850972</v>
      </c>
      <c r="B104" s="71" t="s">
        <v>365</v>
      </c>
      <c r="C104" s="76" t="s">
        <v>39</v>
      </c>
    </row>
    <row r="105" spans="1:3" x14ac:dyDescent="0.25">
      <c r="A105" s="78">
        <v>30709175897</v>
      </c>
      <c r="B105" s="71" t="s">
        <v>367</v>
      </c>
      <c r="C105" s="76" t="s">
        <v>54</v>
      </c>
    </row>
    <row r="106" spans="1:3" x14ac:dyDescent="0.25">
      <c r="A106" s="78">
        <v>30707833293</v>
      </c>
      <c r="B106" s="71" t="s">
        <v>426</v>
      </c>
      <c r="C106" s="76" t="s">
        <v>41</v>
      </c>
    </row>
    <row r="107" spans="1:3" x14ac:dyDescent="0.25">
      <c r="A107" s="78">
        <v>33708543409</v>
      </c>
      <c r="B107" s="71" t="s">
        <v>527</v>
      </c>
      <c r="C107" s="76" t="s">
        <v>54</v>
      </c>
    </row>
    <row r="108" spans="1:3" x14ac:dyDescent="0.25">
      <c r="A108" s="78">
        <v>30715242903</v>
      </c>
      <c r="B108" s="75" t="s">
        <v>174</v>
      </c>
      <c r="C108" s="76" t="s">
        <v>41</v>
      </c>
    </row>
    <row r="109" spans="1:3" x14ac:dyDescent="0.25">
      <c r="A109" s="78">
        <v>30711275106</v>
      </c>
      <c r="B109" s="71" t="s">
        <v>324</v>
      </c>
      <c r="C109" s="76" t="s">
        <v>54</v>
      </c>
    </row>
    <row r="110" spans="1:3" x14ac:dyDescent="0.25">
      <c r="A110" s="79">
        <v>30516186670</v>
      </c>
      <c r="B110" s="75" t="s">
        <v>162</v>
      </c>
      <c r="C110" s="76" t="s">
        <v>54</v>
      </c>
    </row>
    <row r="111" spans="1:3" x14ac:dyDescent="0.25">
      <c r="A111" s="186">
        <v>27340766445</v>
      </c>
      <c r="B111" s="71" t="s">
        <v>373</v>
      </c>
      <c r="C111" s="76" t="s">
        <v>54</v>
      </c>
    </row>
    <row r="112" spans="1:3" x14ac:dyDescent="0.25">
      <c r="A112" s="35">
        <v>20403969886</v>
      </c>
      <c r="B112" s="71" t="s">
        <v>388</v>
      </c>
      <c r="C112" s="76" t="s">
        <v>41</v>
      </c>
    </row>
    <row r="113" spans="1:3" x14ac:dyDescent="0.25">
      <c r="A113" s="78">
        <v>20253515512</v>
      </c>
      <c r="B113" s="71" t="s">
        <v>528</v>
      </c>
      <c r="C113" s="76" t="s">
        <v>41</v>
      </c>
    </row>
    <row r="114" spans="1:3" x14ac:dyDescent="0.25">
      <c r="A114" s="78">
        <v>33716792299</v>
      </c>
      <c r="B114" s="71" t="s">
        <v>406</v>
      </c>
      <c r="C114" s="76" t="s">
        <v>54</v>
      </c>
    </row>
    <row r="115" spans="1:3" x14ac:dyDescent="0.25">
      <c r="A115" s="78">
        <v>30708656018</v>
      </c>
      <c r="B115" s="71" t="s">
        <v>547</v>
      </c>
      <c r="C115" s="76" t="s">
        <v>54</v>
      </c>
    </row>
    <row r="116" spans="1:3" x14ac:dyDescent="0.25">
      <c r="A116" s="78">
        <v>20167634436</v>
      </c>
      <c r="B116" s="71" t="s">
        <v>223</v>
      </c>
      <c r="C116" s="76" t="s">
        <v>54</v>
      </c>
    </row>
    <row r="117" spans="1:3" x14ac:dyDescent="0.25">
      <c r="A117" s="86">
        <v>30701307115</v>
      </c>
      <c r="B117" s="71" t="s">
        <v>279</v>
      </c>
      <c r="C117" s="76" t="s">
        <v>36</v>
      </c>
    </row>
    <row r="118" spans="1:3" x14ac:dyDescent="0.25">
      <c r="A118" s="86">
        <v>30708285818</v>
      </c>
      <c r="B118" s="71" t="s">
        <v>503</v>
      </c>
      <c r="C118" s="76" t="s">
        <v>41</v>
      </c>
    </row>
    <row r="119" spans="1:3" x14ac:dyDescent="0.25">
      <c r="A119" s="210">
        <v>20325314983</v>
      </c>
      <c r="B119" s="71" t="s">
        <v>338</v>
      </c>
      <c r="C119" s="76" t="s">
        <v>41</v>
      </c>
    </row>
    <row r="120" spans="1:3" x14ac:dyDescent="0.25">
      <c r="A120" s="88">
        <v>20107037021</v>
      </c>
      <c r="B120" s="71" t="s">
        <v>308</v>
      </c>
      <c r="C120" s="76" t="s">
        <v>41</v>
      </c>
    </row>
    <row r="121" spans="1:3" x14ac:dyDescent="0.25">
      <c r="A121" s="88">
        <v>20045615473</v>
      </c>
      <c r="B121" s="71" t="s">
        <v>42</v>
      </c>
      <c r="C121" s="76" t="s">
        <v>43</v>
      </c>
    </row>
    <row r="122" spans="1:3" x14ac:dyDescent="0.25">
      <c r="A122" s="78">
        <v>30685849751</v>
      </c>
      <c r="B122" s="71" t="s">
        <v>541</v>
      </c>
      <c r="C122" s="76" t="s">
        <v>54</v>
      </c>
    </row>
    <row r="123" spans="1:3" x14ac:dyDescent="0.25">
      <c r="A123" s="86">
        <v>30708155795</v>
      </c>
      <c r="B123" s="71" t="s">
        <v>517</v>
      </c>
      <c r="C123" s="76" t="s">
        <v>41</v>
      </c>
    </row>
    <row r="124" spans="1:3" x14ac:dyDescent="0.25">
      <c r="A124" s="86">
        <v>27948446168</v>
      </c>
      <c r="B124" s="71" t="s">
        <v>275</v>
      </c>
      <c r="C124" s="76" t="s">
        <v>41</v>
      </c>
    </row>
    <row r="125" spans="1:3" x14ac:dyDescent="0.25">
      <c r="A125" s="86">
        <v>20219935464</v>
      </c>
      <c r="B125" s="71" t="s">
        <v>269</v>
      </c>
      <c r="C125" s="76" t="s">
        <v>36</v>
      </c>
    </row>
    <row r="126" spans="1:3" x14ac:dyDescent="0.25">
      <c r="A126" s="80">
        <v>20271532483</v>
      </c>
      <c r="B126" s="71" t="s">
        <v>53</v>
      </c>
      <c r="C126" s="76" t="s">
        <v>41</v>
      </c>
    </row>
    <row r="127" spans="1:3" x14ac:dyDescent="0.25">
      <c r="A127" s="78">
        <v>30541849307</v>
      </c>
      <c r="B127" s="71" t="s">
        <v>280</v>
      </c>
      <c r="C127" s="76" t="s">
        <v>54</v>
      </c>
    </row>
    <row r="128" spans="1:3" x14ac:dyDescent="0.25">
      <c r="A128" s="86">
        <v>20243132852</v>
      </c>
      <c r="B128" s="71" t="s">
        <v>580</v>
      </c>
      <c r="C128" s="76" t="s">
        <v>581</v>
      </c>
    </row>
    <row r="129" spans="1:3" x14ac:dyDescent="0.25">
      <c r="A129" s="209">
        <v>30711510822</v>
      </c>
      <c r="B129" s="71" t="s">
        <v>443</v>
      </c>
      <c r="C129" s="76" t="s">
        <v>54</v>
      </c>
    </row>
    <row r="130" spans="1:3" x14ac:dyDescent="0.25">
      <c r="A130" s="86">
        <v>30694549817</v>
      </c>
      <c r="B130" s="71" t="s">
        <v>245</v>
      </c>
      <c r="C130" s="76" t="s">
        <v>41</v>
      </c>
    </row>
    <row r="131" spans="1:3" x14ac:dyDescent="0.25">
      <c r="A131" s="86">
        <v>30715819461</v>
      </c>
      <c r="B131" s="71" t="s">
        <v>522</v>
      </c>
      <c r="C131" s="76" t="s">
        <v>51</v>
      </c>
    </row>
    <row r="132" spans="1:3" ht="15.75" thickBot="1" x14ac:dyDescent="0.3">
      <c r="A132" s="86">
        <v>30710374801</v>
      </c>
      <c r="B132" s="75" t="s">
        <v>159</v>
      </c>
      <c r="C132" s="76" t="s">
        <v>51</v>
      </c>
    </row>
    <row r="133" spans="1:3" x14ac:dyDescent="0.25">
      <c r="A133" s="86">
        <v>30716884631</v>
      </c>
      <c r="B133" s="71" t="s">
        <v>525</v>
      </c>
      <c r="C133" s="72" t="s">
        <v>54</v>
      </c>
    </row>
    <row r="134" spans="1:3" x14ac:dyDescent="0.25">
      <c r="A134" s="86">
        <v>27206941419</v>
      </c>
      <c r="B134" s="71" t="s">
        <v>509</v>
      </c>
      <c r="C134" s="76" t="s">
        <v>38</v>
      </c>
    </row>
    <row r="135" spans="1:3" x14ac:dyDescent="0.25">
      <c r="A135" s="86">
        <v>30702966066</v>
      </c>
      <c r="B135" s="71" t="s">
        <v>234</v>
      </c>
      <c r="C135" s="76" t="s">
        <v>41</v>
      </c>
    </row>
    <row r="136" spans="1:3" x14ac:dyDescent="0.25">
      <c r="A136" s="82">
        <v>23281233084</v>
      </c>
      <c r="B136" s="71" t="s">
        <v>184</v>
      </c>
      <c r="C136" s="76" t="s">
        <v>185</v>
      </c>
    </row>
    <row r="137" spans="1:3" x14ac:dyDescent="0.25">
      <c r="A137" s="86">
        <v>20211398060</v>
      </c>
      <c r="B137" s="71" t="s">
        <v>377</v>
      </c>
      <c r="C137" s="76" t="s">
        <v>41</v>
      </c>
    </row>
    <row r="138" spans="1:3" x14ac:dyDescent="0.25">
      <c r="A138" s="209">
        <v>30711727236</v>
      </c>
      <c r="B138" s="71" t="s">
        <v>339</v>
      </c>
      <c r="C138" s="76" t="s">
        <v>54</v>
      </c>
    </row>
    <row r="139" spans="1:3" x14ac:dyDescent="0.25">
      <c r="A139" s="86">
        <v>30714318221</v>
      </c>
      <c r="B139" s="71" t="s">
        <v>285</v>
      </c>
      <c r="C139" s="76" t="s">
        <v>54</v>
      </c>
    </row>
    <row r="140" spans="1:3" x14ac:dyDescent="0.25">
      <c r="A140" s="86">
        <v>20083442612</v>
      </c>
      <c r="B140" s="71" t="s">
        <v>431</v>
      </c>
      <c r="C140" s="76" t="s">
        <v>54</v>
      </c>
    </row>
    <row r="141" spans="1:3" x14ac:dyDescent="0.25">
      <c r="A141" s="83">
        <v>30537882871</v>
      </c>
      <c r="B141" s="75" t="s">
        <v>121</v>
      </c>
      <c r="C141" s="76" t="s">
        <v>43</v>
      </c>
    </row>
    <row r="142" spans="1:3" x14ac:dyDescent="0.25">
      <c r="A142" s="86">
        <v>30593630338</v>
      </c>
      <c r="B142" s="71" t="s">
        <v>383</v>
      </c>
      <c r="C142" s="76" t="s">
        <v>54</v>
      </c>
    </row>
    <row r="143" spans="1:3" x14ac:dyDescent="0.25">
      <c r="A143" s="86">
        <v>30696676026</v>
      </c>
      <c r="B143" s="71" t="s">
        <v>530</v>
      </c>
      <c r="C143" s="76" t="s">
        <v>41</v>
      </c>
    </row>
    <row r="144" spans="1:3" x14ac:dyDescent="0.25">
      <c r="A144" s="86">
        <v>30686489325</v>
      </c>
      <c r="B144" s="71" t="s">
        <v>460</v>
      </c>
      <c r="C144" s="76" t="s">
        <v>54</v>
      </c>
    </row>
    <row r="145" spans="1:3" x14ac:dyDescent="0.25">
      <c r="A145" s="86">
        <v>30709131865</v>
      </c>
      <c r="B145" s="71" t="s">
        <v>258</v>
      </c>
      <c r="C145" s="76" t="s">
        <v>54</v>
      </c>
    </row>
    <row r="146" spans="1:3" x14ac:dyDescent="0.25">
      <c r="A146" s="84">
        <v>20259499632</v>
      </c>
      <c r="B146" s="71" t="s">
        <v>182</v>
      </c>
      <c r="C146" s="76" t="s">
        <v>183</v>
      </c>
    </row>
    <row r="147" spans="1:3" x14ac:dyDescent="0.25">
      <c r="A147" s="86">
        <v>30588092468</v>
      </c>
      <c r="B147" s="71" t="s">
        <v>331</v>
      </c>
      <c r="C147" s="76" t="s">
        <v>54</v>
      </c>
    </row>
    <row r="148" spans="1:3" x14ac:dyDescent="0.25">
      <c r="A148" s="86">
        <v>30707118454</v>
      </c>
      <c r="B148" s="71" t="s">
        <v>451</v>
      </c>
      <c r="C148" s="76" t="s">
        <v>80</v>
      </c>
    </row>
    <row r="149" spans="1:3" x14ac:dyDescent="0.25">
      <c r="A149" s="86">
        <v>30709368067</v>
      </c>
      <c r="B149" s="75" t="s">
        <v>160</v>
      </c>
      <c r="C149" s="76" t="s">
        <v>51</v>
      </c>
    </row>
    <row r="150" spans="1:3" x14ac:dyDescent="0.25">
      <c r="A150" s="86">
        <v>20140958213</v>
      </c>
      <c r="B150" s="71" t="s">
        <v>395</v>
      </c>
      <c r="C150" s="76" t="s">
        <v>41</v>
      </c>
    </row>
    <row r="151" spans="1:3" x14ac:dyDescent="0.25">
      <c r="A151" s="86">
        <v>30659276964</v>
      </c>
      <c r="B151" s="71" t="s">
        <v>520</v>
      </c>
      <c r="C151" s="76" t="s">
        <v>521</v>
      </c>
    </row>
    <row r="152" spans="1:3" x14ac:dyDescent="0.25">
      <c r="A152" s="86">
        <v>20145036101</v>
      </c>
      <c r="B152" s="71" t="s">
        <v>282</v>
      </c>
      <c r="C152" s="76" t="s">
        <v>36</v>
      </c>
    </row>
    <row r="153" spans="1:3" x14ac:dyDescent="0.25">
      <c r="A153" s="86">
        <v>30711328498</v>
      </c>
      <c r="B153" s="71" t="s">
        <v>588</v>
      </c>
      <c r="C153" s="76" t="s">
        <v>581</v>
      </c>
    </row>
    <row r="154" spans="1:3" x14ac:dyDescent="0.25">
      <c r="A154" s="86">
        <v>30715537512</v>
      </c>
      <c r="B154" s="71" t="s">
        <v>433</v>
      </c>
      <c r="C154" s="76" t="s">
        <v>54</v>
      </c>
    </row>
    <row r="155" spans="1:3" x14ac:dyDescent="0.25">
      <c r="A155" s="86">
        <v>30537679855</v>
      </c>
      <c r="B155" s="71" t="s">
        <v>400</v>
      </c>
      <c r="C155" s="76" t="s">
        <v>54</v>
      </c>
    </row>
    <row r="156" spans="1:3" x14ac:dyDescent="0.25">
      <c r="A156" s="79" t="s">
        <v>70</v>
      </c>
      <c r="B156" s="95" t="s">
        <v>71</v>
      </c>
      <c r="C156" s="76" t="s">
        <v>36</v>
      </c>
    </row>
    <row r="157" spans="1:3" x14ac:dyDescent="0.25">
      <c r="A157" s="78">
        <v>30708542349</v>
      </c>
      <c r="B157" s="71" t="s">
        <v>552</v>
      </c>
      <c r="C157" s="76" t="s">
        <v>36</v>
      </c>
    </row>
    <row r="158" spans="1:3" x14ac:dyDescent="0.25">
      <c r="A158" s="209">
        <v>30526582884</v>
      </c>
      <c r="B158" s="71" t="s">
        <v>394</v>
      </c>
      <c r="C158" s="76" t="s">
        <v>36</v>
      </c>
    </row>
    <row r="159" spans="1:3" x14ac:dyDescent="0.25">
      <c r="A159" s="86">
        <v>30577744579</v>
      </c>
      <c r="B159" s="71" t="s">
        <v>317</v>
      </c>
      <c r="C159" s="76" t="s">
        <v>36</v>
      </c>
    </row>
    <row r="160" spans="1:3" x14ac:dyDescent="0.25">
      <c r="A160" s="86">
        <v>30715949292</v>
      </c>
      <c r="B160" s="71" t="s">
        <v>500</v>
      </c>
      <c r="C160" s="76" t="s">
        <v>124</v>
      </c>
    </row>
    <row r="161" spans="1:3" x14ac:dyDescent="0.25">
      <c r="A161" s="84">
        <v>30715980807</v>
      </c>
      <c r="B161" s="71" t="s">
        <v>52</v>
      </c>
      <c r="C161" s="76" t="s">
        <v>41</v>
      </c>
    </row>
    <row r="162" spans="1:3" x14ac:dyDescent="0.25">
      <c r="A162" s="78">
        <v>20359718765</v>
      </c>
      <c r="B162" s="71" t="s">
        <v>561</v>
      </c>
      <c r="C162" s="76" t="s">
        <v>54</v>
      </c>
    </row>
    <row r="163" spans="1:3" x14ac:dyDescent="0.25">
      <c r="A163" s="86">
        <v>30643518364</v>
      </c>
      <c r="B163" s="71" t="s">
        <v>551</v>
      </c>
      <c r="C163" s="76" t="s">
        <v>41</v>
      </c>
    </row>
    <row r="164" spans="1:3" x14ac:dyDescent="0.25">
      <c r="A164" s="86">
        <v>30692138747</v>
      </c>
      <c r="B164" s="71" t="s">
        <v>323</v>
      </c>
      <c r="C164" s="76" t="s">
        <v>54</v>
      </c>
    </row>
    <row r="165" spans="1:3" x14ac:dyDescent="0.25">
      <c r="A165" s="209">
        <v>33712234429</v>
      </c>
      <c r="B165" s="71" t="s">
        <v>442</v>
      </c>
      <c r="C165" s="76" t="s">
        <v>54</v>
      </c>
    </row>
    <row r="166" spans="1:3" x14ac:dyDescent="0.25">
      <c r="A166" s="86">
        <v>20353576012</v>
      </c>
      <c r="B166" s="71" t="s">
        <v>228</v>
      </c>
      <c r="C166" s="76" t="s">
        <v>54</v>
      </c>
    </row>
    <row r="167" spans="1:3" x14ac:dyDescent="0.25">
      <c r="A167" s="86">
        <v>20343766441</v>
      </c>
      <c r="B167" s="71" t="s">
        <v>216</v>
      </c>
      <c r="C167" s="76" t="s">
        <v>177</v>
      </c>
    </row>
    <row r="168" spans="1:3" x14ac:dyDescent="0.25">
      <c r="A168" s="83">
        <v>27062343449</v>
      </c>
      <c r="B168" s="75" t="s">
        <v>396</v>
      </c>
      <c r="C168" s="76" t="s">
        <v>36</v>
      </c>
    </row>
    <row r="169" spans="1:3" x14ac:dyDescent="0.25">
      <c r="A169" s="86">
        <v>30676642230</v>
      </c>
      <c r="B169" s="71" t="s">
        <v>452</v>
      </c>
      <c r="C169" s="76" t="s">
        <v>54</v>
      </c>
    </row>
    <row r="170" spans="1:3" x14ac:dyDescent="0.25">
      <c r="A170" s="86">
        <v>30709453293</v>
      </c>
      <c r="B170" s="71" t="s">
        <v>215</v>
      </c>
      <c r="C170" s="76" t="s">
        <v>54</v>
      </c>
    </row>
    <row r="171" spans="1:3" x14ac:dyDescent="0.25">
      <c r="A171" s="209">
        <v>30714690554</v>
      </c>
      <c r="B171" s="71" t="s">
        <v>416</v>
      </c>
      <c r="C171" s="76" t="s">
        <v>54</v>
      </c>
    </row>
    <row r="172" spans="1:3" x14ac:dyDescent="0.25">
      <c r="A172" s="86">
        <v>30716620634</v>
      </c>
      <c r="B172" s="71" t="s">
        <v>555</v>
      </c>
      <c r="C172" s="76" t="s">
        <v>54</v>
      </c>
    </row>
    <row r="173" spans="1:3" x14ac:dyDescent="0.25">
      <c r="A173" s="209">
        <v>30705466021</v>
      </c>
      <c r="B173" s="71" t="s">
        <v>417</v>
      </c>
      <c r="C173" s="76" t="s">
        <v>41</v>
      </c>
    </row>
    <row r="174" spans="1:3" x14ac:dyDescent="0.25">
      <c r="A174" s="86">
        <v>27301358852</v>
      </c>
      <c r="B174" s="71" t="s">
        <v>450</v>
      </c>
      <c r="C174" s="76" t="s">
        <v>36</v>
      </c>
    </row>
    <row r="175" spans="1:3" x14ac:dyDescent="0.25">
      <c r="A175" s="86">
        <v>20314536852</v>
      </c>
      <c r="B175" s="71" t="s">
        <v>535</v>
      </c>
      <c r="C175" s="76" t="s">
        <v>36</v>
      </c>
    </row>
    <row r="176" spans="1:3" x14ac:dyDescent="0.25">
      <c r="A176" s="86">
        <v>30710657250</v>
      </c>
      <c r="B176" s="71" t="s">
        <v>455</v>
      </c>
      <c r="C176" s="76" t="s">
        <v>54</v>
      </c>
    </row>
    <row r="177" spans="1:3" x14ac:dyDescent="0.25">
      <c r="A177" s="83">
        <v>30657418877</v>
      </c>
      <c r="B177" s="75" t="s">
        <v>82</v>
      </c>
      <c r="C177" s="76" t="s">
        <v>80</v>
      </c>
    </row>
    <row r="178" spans="1:3" x14ac:dyDescent="0.25">
      <c r="A178" s="86">
        <v>30708049928</v>
      </c>
      <c r="B178" s="71" t="s">
        <v>438</v>
      </c>
      <c r="C178" s="76" t="s">
        <v>80</v>
      </c>
    </row>
    <row r="179" spans="1:3" x14ac:dyDescent="0.25">
      <c r="A179" s="86">
        <v>20284183534</v>
      </c>
      <c r="B179" s="71" t="s">
        <v>440</v>
      </c>
      <c r="C179" s="76" t="s">
        <v>54</v>
      </c>
    </row>
    <row r="180" spans="1:3" x14ac:dyDescent="0.25">
      <c r="A180" s="84">
        <v>20115545397</v>
      </c>
      <c r="B180" s="75" t="s">
        <v>125</v>
      </c>
      <c r="C180" s="76" t="s">
        <v>51</v>
      </c>
    </row>
    <row r="181" spans="1:3" x14ac:dyDescent="0.25">
      <c r="A181" s="86">
        <v>20211408511</v>
      </c>
      <c r="B181" s="71" t="s">
        <v>476</v>
      </c>
      <c r="C181" s="76" t="s">
        <v>54</v>
      </c>
    </row>
    <row r="182" spans="1:3" x14ac:dyDescent="0.25">
      <c r="A182" s="84">
        <v>27242941301</v>
      </c>
      <c r="B182" s="71" t="s">
        <v>199</v>
      </c>
      <c r="C182" s="76" t="s">
        <v>38</v>
      </c>
    </row>
    <row r="183" spans="1:3" x14ac:dyDescent="0.25">
      <c r="A183" s="86">
        <v>20344800473</v>
      </c>
      <c r="B183" s="71" t="s">
        <v>354</v>
      </c>
      <c r="C183" s="76" t="s">
        <v>41</v>
      </c>
    </row>
    <row r="184" spans="1:3" x14ac:dyDescent="0.25">
      <c r="A184" s="82">
        <v>27204269527</v>
      </c>
      <c r="B184" s="71" t="s">
        <v>50</v>
      </c>
      <c r="C184" s="76" t="s">
        <v>51</v>
      </c>
    </row>
    <row r="185" spans="1:3" x14ac:dyDescent="0.25">
      <c r="A185" s="86">
        <v>30522428163</v>
      </c>
      <c r="B185" s="71" t="s">
        <v>73</v>
      </c>
      <c r="C185" s="76" t="s">
        <v>80</v>
      </c>
    </row>
    <row r="186" spans="1:3" x14ac:dyDescent="0.25">
      <c r="A186" s="86">
        <v>30685228501</v>
      </c>
      <c r="B186" s="75" t="s">
        <v>88</v>
      </c>
      <c r="C186" s="76" t="s">
        <v>80</v>
      </c>
    </row>
    <row r="187" spans="1:3" x14ac:dyDescent="0.25">
      <c r="A187" s="86">
        <v>27061922984</v>
      </c>
      <c r="B187" s="71" t="s">
        <v>218</v>
      </c>
      <c r="C187" s="76" t="s">
        <v>41</v>
      </c>
    </row>
    <row r="188" spans="1:3" x14ac:dyDescent="0.25">
      <c r="A188" s="86">
        <v>27121544917</v>
      </c>
      <c r="B188" s="71" t="s">
        <v>312</v>
      </c>
      <c r="C188" s="76" t="s">
        <v>38</v>
      </c>
    </row>
    <row r="189" spans="1:3" x14ac:dyDescent="0.25">
      <c r="A189" s="86">
        <v>30715567578</v>
      </c>
      <c r="B189" s="71" t="s">
        <v>238</v>
      </c>
      <c r="C189" s="76" t="s">
        <v>54</v>
      </c>
    </row>
    <row r="190" spans="1:3" x14ac:dyDescent="0.25">
      <c r="A190" s="86">
        <v>20186809565</v>
      </c>
      <c r="B190" s="71" t="s">
        <v>212</v>
      </c>
      <c r="C190" s="76" t="s">
        <v>41</v>
      </c>
    </row>
    <row r="191" spans="1:3" x14ac:dyDescent="0.25">
      <c r="A191" s="86">
        <v>23405137119</v>
      </c>
      <c r="B191" s="71" t="s">
        <v>454</v>
      </c>
      <c r="C191" s="76" t="s">
        <v>36</v>
      </c>
    </row>
    <row r="192" spans="1:3" x14ac:dyDescent="0.25">
      <c r="A192" s="86">
        <v>30594549712</v>
      </c>
      <c r="B192" s="71" t="s">
        <v>142</v>
      </c>
      <c r="C192" s="76" t="s">
        <v>54</v>
      </c>
    </row>
    <row r="193" spans="1:3" x14ac:dyDescent="0.25">
      <c r="A193" s="83">
        <v>30708855975</v>
      </c>
      <c r="B193" s="71" t="s">
        <v>40</v>
      </c>
      <c r="C193" s="76" t="s">
        <v>41</v>
      </c>
    </row>
    <row r="194" spans="1:3" x14ac:dyDescent="0.25">
      <c r="A194" s="82">
        <v>30546694263</v>
      </c>
      <c r="B194" s="71" t="s">
        <v>143</v>
      </c>
      <c r="C194" s="76" t="s">
        <v>80</v>
      </c>
    </row>
    <row r="195" spans="1:3" x14ac:dyDescent="0.25">
      <c r="A195" s="86">
        <v>30709737348</v>
      </c>
      <c r="B195" s="71" t="s">
        <v>321</v>
      </c>
      <c r="C195" s="76" t="s">
        <v>41</v>
      </c>
    </row>
    <row r="196" spans="1:3" x14ac:dyDescent="0.25">
      <c r="A196" s="86">
        <v>30690212265</v>
      </c>
      <c r="B196" s="71" t="s">
        <v>573</v>
      </c>
      <c r="C196" s="76" t="s">
        <v>36</v>
      </c>
    </row>
    <row r="197" spans="1:3" x14ac:dyDescent="0.25">
      <c r="A197" s="86">
        <v>27304678165</v>
      </c>
      <c r="B197" s="71" t="s">
        <v>545</v>
      </c>
      <c r="C197" s="76" t="s">
        <v>41</v>
      </c>
    </row>
    <row r="198" spans="1:3" x14ac:dyDescent="0.25">
      <c r="A198" s="84">
        <v>30711950113</v>
      </c>
      <c r="B198" s="71" t="s">
        <v>59</v>
      </c>
      <c r="C198" s="76" t="s">
        <v>41</v>
      </c>
    </row>
    <row r="199" spans="1:3" x14ac:dyDescent="0.25">
      <c r="A199" s="86">
        <v>23076996989</v>
      </c>
      <c r="B199" s="71" t="s">
        <v>229</v>
      </c>
      <c r="C199" s="76" t="s">
        <v>54</v>
      </c>
    </row>
    <row r="200" spans="1:3" x14ac:dyDescent="0.25">
      <c r="A200" s="209">
        <v>33709997489</v>
      </c>
      <c r="B200" s="71" t="s">
        <v>386</v>
      </c>
      <c r="C200" s="76" t="s">
        <v>41</v>
      </c>
    </row>
    <row r="201" spans="1:3" x14ac:dyDescent="0.25">
      <c r="A201" s="86">
        <v>30715621866</v>
      </c>
      <c r="B201" s="71" t="s">
        <v>495</v>
      </c>
      <c r="C201" s="76" t="s">
        <v>124</v>
      </c>
    </row>
    <row r="202" spans="1:3" x14ac:dyDescent="0.25">
      <c r="A202" s="86">
        <v>33710427629</v>
      </c>
      <c r="B202" s="71" t="s">
        <v>574</v>
      </c>
      <c r="C202" s="76" t="s">
        <v>36</v>
      </c>
    </row>
    <row r="203" spans="1:3" x14ac:dyDescent="0.25">
      <c r="A203" s="86">
        <v>20323836427</v>
      </c>
      <c r="B203" s="71" t="s">
        <v>436</v>
      </c>
      <c r="C203" s="76" t="s">
        <v>41</v>
      </c>
    </row>
    <row r="204" spans="1:3" x14ac:dyDescent="0.25">
      <c r="A204" s="84">
        <v>20292887648</v>
      </c>
      <c r="B204" s="71" t="s">
        <v>197</v>
      </c>
      <c r="C204" s="76" t="s">
        <v>41</v>
      </c>
    </row>
    <row r="205" spans="1:3" x14ac:dyDescent="0.25">
      <c r="A205" s="86">
        <v>20077028545</v>
      </c>
      <c r="B205" s="71" t="s">
        <v>403</v>
      </c>
      <c r="C205" s="76" t="s">
        <v>54</v>
      </c>
    </row>
    <row r="206" spans="1:3" x14ac:dyDescent="0.25">
      <c r="A206" s="86">
        <v>20410525888</v>
      </c>
      <c r="B206" s="71" t="s">
        <v>526</v>
      </c>
      <c r="C206" s="76" t="s">
        <v>41</v>
      </c>
    </row>
    <row r="207" spans="1:3" x14ac:dyDescent="0.25">
      <c r="A207" s="86">
        <v>20239531963</v>
      </c>
      <c r="B207" s="71" t="s">
        <v>493</v>
      </c>
      <c r="C207" s="76" t="s">
        <v>41</v>
      </c>
    </row>
    <row r="208" spans="1:3" x14ac:dyDescent="0.25">
      <c r="A208" s="82">
        <v>23920485979</v>
      </c>
      <c r="B208" s="71" t="s">
        <v>64</v>
      </c>
      <c r="C208" s="76" t="s">
        <v>41</v>
      </c>
    </row>
    <row r="209" spans="1:3" x14ac:dyDescent="0.25">
      <c r="A209" s="86">
        <v>30714432865</v>
      </c>
      <c r="B209" s="71" t="s">
        <v>292</v>
      </c>
      <c r="C209" s="76" t="s">
        <v>54</v>
      </c>
    </row>
    <row r="210" spans="1:3" x14ac:dyDescent="0.25">
      <c r="A210" s="86">
        <v>27365928016</v>
      </c>
      <c r="B210" s="71" t="s">
        <v>295</v>
      </c>
      <c r="C210" s="76" t="s">
        <v>177</v>
      </c>
    </row>
    <row r="211" spans="1:3" x14ac:dyDescent="0.25">
      <c r="A211" s="209">
        <v>30712097600</v>
      </c>
      <c r="B211" s="71" t="s">
        <v>333</v>
      </c>
      <c r="C211" s="76" t="s">
        <v>54</v>
      </c>
    </row>
    <row r="212" spans="1:3" x14ac:dyDescent="0.25">
      <c r="A212" s="86">
        <v>30712778403</v>
      </c>
      <c r="B212" s="75" t="s">
        <v>127</v>
      </c>
      <c r="C212" s="76" t="s">
        <v>51</v>
      </c>
    </row>
    <row r="213" spans="1:3" x14ac:dyDescent="0.25">
      <c r="A213" s="209">
        <v>20181426846</v>
      </c>
      <c r="B213" s="71" t="s">
        <v>446</v>
      </c>
      <c r="C213" s="76" t="s">
        <v>54</v>
      </c>
    </row>
    <row r="214" spans="1:3" x14ac:dyDescent="0.25">
      <c r="A214" s="86">
        <v>30663498513</v>
      </c>
      <c r="B214" s="71" t="s">
        <v>422</v>
      </c>
      <c r="C214" s="204" t="s">
        <v>364</v>
      </c>
    </row>
    <row r="215" spans="1:3" x14ac:dyDescent="0.25">
      <c r="A215" s="209">
        <v>30671637689</v>
      </c>
      <c r="B215" s="71" t="s">
        <v>380</v>
      </c>
      <c r="C215" s="76" t="s">
        <v>54</v>
      </c>
    </row>
    <row r="216" spans="1:3" x14ac:dyDescent="0.25">
      <c r="A216" s="86">
        <v>27147827682</v>
      </c>
      <c r="B216" s="75" t="s">
        <v>251</v>
      </c>
      <c r="C216" s="76" t="s">
        <v>38</v>
      </c>
    </row>
    <row r="217" spans="1:3" x14ac:dyDescent="0.25">
      <c r="A217" s="86">
        <v>23175716009</v>
      </c>
      <c r="B217" s="71" t="s">
        <v>462</v>
      </c>
      <c r="C217" s="76" t="s">
        <v>36</v>
      </c>
    </row>
    <row r="218" spans="1:3" x14ac:dyDescent="0.25">
      <c r="A218" s="86">
        <v>30715210904</v>
      </c>
      <c r="B218" s="71" t="s">
        <v>224</v>
      </c>
      <c r="C218" s="76" t="s">
        <v>41</v>
      </c>
    </row>
    <row r="219" spans="1:3" x14ac:dyDescent="0.25">
      <c r="A219" s="86">
        <v>30716770881</v>
      </c>
      <c r="B219" s="71" t="s">
        <v>523</v>
      </c>
      <c r="C219" s="76" t="s">
        <v>54</v>
      </c>
    </row>
    <row r="220" spans="1:3" x14ac:dyDescent="0.25">
      <c r="A220" s="86">
        <v>30710538014</v>
      </c>
      <c r="B220" s="71" t="s">
        <v>362</v>
      </c>
      <c r="C220" s="76" t="s">
        <v>80</v>
      </c>
    </row>
    <row r="221" spans="1:3" x14ac:dyDescent="0.25">
      <c r="A221" s="209">
        <v>20351722585</v>
      </c>
      <c r="B221" s="71" t="s">
        <v>445</v>
      </c>
      <c r="C221" s="76" t="s">
        <v>41</v>
      </c>
    </row>
    <row r="222" spans="1:3" x14ac:dyDescent="0.25">
      <c r="A222" s="209">
        <v>27165813893</v>
      </c>
      <c r="B222" s="71" t="s">
        <v>447</v>
      </c>
      <c r="C222" s="76" t="s">
        <v>41</v>
      </c>
    </row>
    <row r="223" spans="1:3" x14ac:dyDescent="0.25">
      <c r="A223" s="78">
        <v>23219640269</v>
      </c>
      <c r="B223" s="71" t="s">
        <v>235</v>
      </c>
      <c r="C223" s="76" t="s">
        <v>41</v>
      </c>
    </row>
    <row r="224" spans="1:3" x14ac:dyDescent="0.25">
      <c r="A224" s="86">
        <v>30710095171</v>
      </c>
      <c r="B224" s="71" t="s">
        <v>219</v>
      </c>
      <c r="C224" s="76" t="s">
        <v>41</v>
      </c>
    </row>
    <row r="225" spans="1:3" x14ac:dyDescent="0.25">
      <c r="A225" s="86">
        <v>20295867931</v>
      </c>
      <c r="B225" s="71" t="s">
        <v>419</v>
      </c>
      <c r="C225" s="76" t="s">
        <v>54</v>
      </c>
    </row>
    <row r="226" spans="1:3" x14ac:dyDescent="0.25">
      <c r="A226" s="86">
        <v>20361556691</v>
      </c>
      <c r="B226" s="71" t="s">
        <v>327</v>
      </c>
      <c r="C226" s="76" t="s">
        <v>54</v>
      </c>
    </row>
    <row r="227" spans="1:3" x14ac:dyDescent="0.25">
      <c r="A227" s="86">
        <v>20313759246</v>
      </c>
      <c r="B227" s="75" t="s">
        <v>168</v>
      </c>
      <c r="C227" s="76" t="s">
        <v>169</v>
      </c>
    </row>
    <row r="228" spans="1:3" x14ac:dyDescent="0.25">
      <c r="A228" s="86">
        <v>20186310838</v>
      </c>
      <c r="B228" s="71" t="s">
        <v>480</v>
      </c>
      <c r="C228" s="76" t="s">
        <v>41</v>
      </c>
    </row>
    <row r="229" spans="1:3" x14ac:dyDescent="0.25">
      <c r="A229" s="86">
        <v>30576630057</v>
      </c>
      <c r="B229" s="71" t="s">
        <v>322</v>
      </c>
      <c r="C229" s="76" t="s">
        <v>54</v>
      </c>
    </row>
    <row r="230" spans="1:3" x14ac:dyDescent="0.25">
      <c r="A230" s="83">
        <v>30714122718</v>
      </c>
      <c r="B230" s="71" t="s">
        <v>173</v>
      </c>
      <c r="C230" s="76" t="s">
        <v>41</v>
      </c>
    </row>
    <row r="231" spans="1:3" x14ac:dyDescent="0.25">
      <c r="A231" s="82">
        <v>30714696153</v>
      </c>
      <c r="B231" s="71" t="s">
        <v>61</v>
      </c>
      <c r="C231" s="76" t="s">
        <v>41</v>
      </c>
    </row>
    <row r="232" spans="1:3" x14ac:dyDescent="0.25">
      <c r="A232" s="86">
        <v>20242126158</v>
      </c>
      <c r="B232" s="71" t="s">
        <v>347</v>
      </c>
      <c r="C232" s="76" t="s">
        <v>41</v>
      </c>
    </row>
    <row r="233" spans="1:3" x14ac:dyDescent="0.25">
      <c r="A233" s="86">
        <v>20309759444</v>
      </c>
      <c r="B233" s="71" t="s">
        <v>564</v>
      </c>
      <c r="C233" s="76" t="s">
        <v>41</v>
      </c>
    </row>
    <row r="234" spans="1:3" x14ac:dyDescent="0.25">
      <c r="A234" s="86">
        <v>30712289046</v>
      </c>
      <c r="B234" s="71" t="s">
        <v>359</v>
      </c>
      <c r="C234" s="76" t="s">
        <v>54</v>
      </c>
    </row>
    <row r="235" spans="1:3" x14ac:dyDescent="0.25">
      <c r="A235" s="86">
        <v>30687310434</v>
      </c>
      <c r="B235" s="71" t="s">
        <v>153</v>
      </c>
      <c r="C235" s="76" t="s">
        <v>54</v>
      </c>
    </row>
    <row r="236" spans="1:3" x14ac:dyDescent="0.25">
      <c r="A236" s="86">
        <v>30687310434</v>
      </c>
      <c r="B236" s="71" t="s">
        <v>297</v>
      </c>
      <c r="C236" s="76" t="s">
        <v>54</v>
      </c>
    </row>
    <row r="237" spans="1:3" x14ac:dyDescent="0.25">
      <c r="A237" s="86">
        <v>30515800219</v>
      </c>
      <c r="B237" s="71" t="s">
        <v>158</v>
      </c>
      <c r="C237" s="76" t="s">
        <v>54</v>
      </c>
    </row>
    <row r="238" spans="1:3" x14ac:dyDescent="0.25">
      <c r="A238" s="86">
        <v>30651822021</v>
      </c>
      <c r="B238" s="71" t="s">
        <v>256</v>
      </c>
      <c r="C238" s="76" t="s">
        <v>41</v>
      </c>
    </row>
    <row r="239" spans="1:3" x14ac:dyDescent="0.25">
      <c r="A239" s="83">
        <v>30598739540</v>
      </c>
      <c r="B239" s="75" t="s">
        <v>84</v>
      </c>
      <c r="C239" s="76" t="s">
        <v>80</v>
      </c>
    </row>
    <row r="240" spans="1:3" x14ac:dyDescent="0.25">
      <c r="A240" s="209">
        <v>30554807301</v>
      </c>
      <c r="B240" s="71" t="s">
        <v>232</v>
      </c>
      <c r="C240" s="76" t="s">
        <v>54</v>
      </c>
    </row>
    <row r="241" spans="1:3" x14ac:dyDescent="0.25">
      <c r="A241" s="86">
        <v>30697558868</v>
      </c>
      <c r="B241" s="71" t="s">
        <v>76</v>
      </c>
      <c r="C241" s="76" t="s">
        <v>80</v>
      </c>
    </row>
    <row r="242" spans="1:3" x14ac:dyDescent="0.25">
      <c r="A242" s="86">
        <v>33708345399</v>
      </c>
      <c r="B242" s="71" t="s">
        <v>243</v>
      </c>
      <c r="C242" s="76" t="s">
        <v>41</v>
      </c>
    </row>
    <row r="243" spans="1:3" x14ac:dyDescent="0.25">
      <c r="A243" s="86">
        <v>30999077508</v>
      </c>
      <c r="B243" s="75" t="s">
        <v>89</v>
      </c>
      <c r="C243" s="76" t="s">
        <v>80</v>
      </c>
    </row>
    <row r="244" spans="1:3" x14ac:dyDescent="0.25">
      <c r="A244" s="86">
        <v>30708214813</v>
      </c>
      <c r="B244" s="71" t="s">
        <v>287</v>
      </c>
      <c r="C244" s="76" t="s">
        <v>41</v>
      </c>
    </row>
    <row r="245" spans="1:3" x14ac:dyDescent="0.25">
      <c r="A245" s="86">
        <v>23368458449</v>
      </c>
      <c r="B245" s="71" t="s">
        <v>432</v>
      </c>
      <c r="C245" s="76" t="s">
        <v>36</v>
      </c>
    </row>
    <row r="246" spans="1:3" x14ac:dyDescent="0.25">
      <c r="A246" s="86">
        <v>30707758682</v>
      </c>
      <c r="B246" s="71" t="s">
        <v>206</v>
      </c>
      <c r="C246" s="76" t="s">
        <v>80</v>
      </c>
    </row>
    <row r="247" spans="1:3" x14ac:dyDescent="0.25">
      <c r="A247" s="83">
        <v>30712187316</v>
      </c>
      <c r="B247" s="71" t="s">
        <v>68</v>
      </c>
      <c r="C247" s="76" t="s">
        <v>41</v>
      </c>
    </row>
    <row r="248" spans="1:3" x14ac:dyDescent="0.25">
      <c r="A248" s="86">
        <v>30547076679</v>
      </c>
      <c r="B248" s="71" t="s">
        <v>262</v>
      </c>
      <c r="C248" s="76" t="s">
        <v>54</v>
      </c>
    </row>
    <row r="249" spans="1:3" x14ac:dyDescent="0.25">
      <c r="A249" s="86">
        <v>30715123483</v>
      </c>
      <c r="B249" s="71" t="s">
        <v>271</v>
      </c>
      <c r="C249" s="76" t="s">
        <v>36</v>
      </c>
    </row>
    <row r="250" spans="1:3" x14ac:dyDescent="0.25">
      <c r="A250" s="86">
        <v>30708936762</v>
      </c>
      <c r="B250" s="71" t="s">
        <v>260</v>
      </c>
      <c r="C250" s="76" t="s">
        <v>54</v>
      </c>
    </row>
    <row r="251" spans="1:3" x14ac:dyDescent="0.25">
      <c r="A251" s="86">
        <v>30715937006</v>
      </c>
      <c r="B251" s="71" t="s">
        <v>286</v>
      </c>
      <c r="C251" s="76" t="s">
        <v>41</v>
      </c>
    </row>
    <row r="252" spans="1:3" x14ac:dyDescent="0.25">
      <c r="A252" s="86">
        <v>20167226524</v>
      </c>
      <c r="B252" s="71" t="s">
        <v>458</v>
      </c>
      <c r="C252" s="76" t="s">
        <v>54</v>
      </c>
    </row>
    <row r="253" spans="1:3" x14ac:dyDescent="0.25">
      <c r="A253" s="86">
        <v>33707660509</v>
      </c>
      <c r="B253" s="71" t="s">
        <v>492</v>
      </c>
      <c r="C253" s="76" t="s">
        <v>54</v>
      </c>
    </row>
    <row r="254" spans="1:3" x14ac:dyDescent="0.25">
      <c r="A254" s="86">
        <v>20244271740</v>
      </c>
      <c r="B254" s="71" t="s">
        <v>281</v>
      </c>
      <c r="C254" s="76" t="s">
        <v>41</v>
      </c>
    </row>
    <row r="255" spans="1:3" x14ac:dyDescent="0.25">
      <c r="A255" s="86">
        <v>20182999661</v>
      </c>
      <c r="B255" s="75" t="s">
        <v>137</v>
      </c>
      <c r="C255" s="76" t="s">
        <v>54</v>
      </c>
    </row>
    <row r="256" spans="1:3" x14ac:dyDescent="0.25">
      <c r="A256" s="86">
        <v>20924962756</v>
      </c>
      <c r="B256" s="71" t="s">
        <v>226</v>
      </c>
      <c r="C256" s="76" t="s">
        <v>41</v>
      </c>
    </row>
    <row r="257" spans="1:3" x14ac:dyDescent="0.25">
      <c r="A257" s="86">
        <v>23941647804</v>
      </c>
      <c r="B257" s="75" t="s">
        <v>166</v>
      </c>
      <c r="C257" s="76" t="s">
        <v>38</v>
      </c>
    </row>
    <row r="258" spans="1:3" x14ac:dyDescent="0.25">
      <c r="A258" s="78">
        <v>27310367813</v>
      </c>
      <c r="B258" s="71" t="s">
        <v>556</v>
      </c>
      <c r="C258" s="76" t="s">
        <v>41</v>
      </c>
    </row>
    <row r="259" spans="1:3" x14ac:dyDescent="0.25">
      <c r="A259" s="78">
        <v>30709046779</v>
      </c>
      <c r="B259" s="71" t="s">
        <v>289</v>
      </c>
      <c r="C259" s="76" t="s">
        <v>41</v>
      </c>
    </row>
    <row r="260" spans="1:3" x14ac:dyDescent="0.25">
      <c r="A260" s="78">
        <v>30711645884</v>
      </c>
      <c r="B260" s="71" t="s">
        <v>587</v>
      </c>
      <c r="C260" s="76" t="s">
        <v>54</v>
      </c>
    </row>
    <row r="261" spans="1:3" x14ac:dyDescent="0.25">
      <c r="A261" s="79">
        <v>27304914071</v>
      </c>
      <c r="B261" s="75" t="s">
        <v>200</v>
      </c>
      <c r="C261" s="76" t="s">
        <v>43</v>
      </c>
    </row>
    <row r="262" spans="1:3" x14ac:dyDescent="0.25">
      <c r="A262" s="78">
        <v>20220423655</v>
      </c>
      <c r="B262" s="75" t="s">
        <v>175</v>
      </c>
      <c r="C262" s="76" t="s">
        <v>41</v>
      </c>
    </row>
    <row r="263" spans="1:3" x14ac:dyDescent="0.25">
      <c r="A263" s="186">
        <v>20393873583</v>
      </c>
      <c r="B263" s="71" t="s">
        <v>571</v>
      </c>
      <c r="C263" s="76" t="s">
        <v>54</v>
      </c>
    </row>
    <row r="264" spans="1:3" x14ac:dyDescent="0.25">
      <c r="A264" s="78">
        <v>30525468956</v>
      </c>
      <c r="B264" s="71" t="s">
        <v>288</v>
      </c>
      <c r="C264" s="76" t="s">
        <v>41</v>
      </c>
    </row>
    <row r="265" spans="1:3" x14ac:dyDescent="0.25">
      <c r="A265" s="186">
        <v>30701950883</v>
      </c>
      <c r="B265" s="71" t="s">
        <v>343</v>
      </c>
      <c r="C265" s="76" t="s">
        <v>54</v>
      </c>
    </row>
    <row r="266" spans="1:3" x14ac:dyDescent="0.25">
      <c r="A266" s="86">
        <v>30540019297</v>
      </c>
      <c r="B266" s="71" t="s">
        <v>487</v>
      </c>
      <c r="C266" s="76" t="s">
        <v>54</v>
      </c>
    </row>
    <row r="267" spans="1:3" x14ac:dyDescent="0.25">
      <c r="A267" s="78">
        <v>30686525607</v>
      </c>
      <c r="B267" s="71" t="s">
        <v>489</v>
      </c>
      <c r="C267" s="76" t="s">
        <v>54</v>
      </c>
    </row>
    <row r="268" spans="1:3" x14ac:dyDescent="0.25">
      <c r="A268" s="86">
        <v>23945201304</v>
      </c>
      <c r="B268" s="71" t="s">
        <v>358</v>
      </c>
      <c r="C268" s="76" t="s">
        <v>41</v>
      </c>
    </row>
    <row r="269" spans="1:3" x14ac:dyDescent="0.25">
      <c r="A269" s="186">
        <v>30712019359</v>
      </c>
      <c r="B269" s="71" t="s">
        <v>385</v>
      </c>
      <c r="C269" s="76" t="s">
        <v>41</v>
      </c>
    </row>
    <row r="270" spans="1:3" x14ac:dyDescent="0.25">
      <c r="A270" s="78">
        <v>20160503336</v>
      </c>
      <c r="B270" s="71" t="s">
        <v>579</v>
      </c>
      <c r="C270" s="76" t="s">
        <v>54</v>
      </c>
    </row>
    <row r="271" spans="1:3" x14ac:dyDescent="0.25">
      <c r="A271" s="78">
        <v>27129657710</v>
      </c>
      <c r="B271" s="71" t="s">
        <v>568</v>
      </c>
      <c r="C271" s="76" t="s">
        <v>41</v>
      </c>
    </row>
    <row r="272" spans="1:3" x14ac:dyDescent="0.25">
      <c r="A272" s="84">
        <v>30711244383</v>
      </c>
      <c r="B272" s="71" t="s">
        <v>179</v>
      </c>
      <c r="C272" s="76" t="s">
        <v>80</v>
      </c>
    </row>
    <row r="273" spans="1:3" x14ac:dyDescent="0.25">
      <c r="A273" s="86">
        <v>30709879258</v>
      </c>
      <c r="B273" s="71" t="s">
        <v>475</v>
      </c>
      <c r="C273" s="76" t="s">
        <v>36</v>
      </c>
    </row>
    <row r="274" spans="1:3" x14ac:dyDescent="0.25">
      <c r="A274" s="86">
        <v>20180429388</v>
      </c>
      <c r="B274" s="71" t="s">
        <v>437</v>
      </c>
      <c r="C274" s="76" t="s">
        <v>41</v>
      </c>
    </row>
    <row r="275" spans="1:3" x14ac:dyDescent="0.25">
      <c r="A275" s="86">
        <v>30716229552</v>
      </c>
      <c r="B275" s="71" t="s">
        <v>565</v>
      </c>
      <c r="C275" s="76" t="s">
        <v>54</v>
      </c>
    </row>
    <row r="276" spans="1:3" x14ac:dyDescent="0.25">
      <c r="A276" s="86">
        <v>30643700952</v>
      </c>
      <c r="B276" s="71" t="s">
        <v>504</v>
      </c>
      <c r="C276" s="76" t="s">
        <v>41</v>
      </c>
    </row>
    <row r="277" spans="1:3" x14ac:dyDescent="0.25">
      <c r="A277" s="86">
        <v>30712448586</v>
      </c>
      <c r="B277" s="71" t="s">
        <v>430</v>
      </c>
      <c r="C277" s="76" t="s">
        <v>54</v>
      </c>
    </row>
    <row r="278" spans="1:3" x14ac:dyDescent="0.25">
      <c r="A278" s="86">
        <v>20929183143</v>
      </c>
      <c r="B278" s="71" t="s">
        <v>461</v>
      </c>
      <c r="C278" s="76" t="s">
        <v>54</v>
      </c>
    </row>
    <row r="279" spans="1:3" x14ac:dyDescent="0.25">
      <c r="A279" s="82">
        <v>27385671526</v>
      </c>
      <c r="B279" s="71" t="s">
        <v>193</v>
      </c>
      <c r="C279" s="76" t="s">
        <v>41</v>
      </c>
    </row>
    <row r="280" spans="1:3" x14ac:dyDescent="0.25">
      <c r="A280" s="78">
        <v>30657715383</v>
      </c>
      <c r="B280" s="71" t="s">
        <v>583</v>
      </c>
      <c r="C280" s="76" t="s">
        <v>54</v>
      </c>
    </row>
    <row r="281" spans="1:3" x14ac:dyDescent="0.25">
      <c r="A281" s="86">
        <v>30715589032</v>
      </c>
      <c r="B281" s="71" t="s">
        <v>341</v>
      </c>
      <c r="C281" s="76" t="s">
        <v>41</v>
      </c>
    </row>
    <row r="282" spans="1:3" x14ac:dyDescent="0.25">
      <c r="A282" s="86">
        <v>27119876171</v>
      </c>
      <c r="B282" s="71" t="s">
        <v>78</v>
      </c>
      <c r="C282" s="76" t="s">
        <v>80</v>
      </c>
    </row>
    <row r="283" spans="1:3" x14ac:dyDescent="0.25">
      <c r="A283" s="86">
        <v>33708218699</v>
      </c>
      <c r="B283" s="71" t="s">
        <v>518</v>
      </c>
      <c r="C283" s="76" t="s">
        <v>54</v>
      </c>
    </row>
    <row r="284" spans="1:3" x14ac:dyDescent="0.25">
      <c r="A284" s="86">
        <v>27251466756</v>
      </c>
      <c r="B284" s="71" t="s">
        <v>318</v>
      </c>
      <c r="C284" s="76" t="s">
        <v>38</v>
      </c>
    </row>
    <row r="285" spans="1:3" x14ac:dyDescent="0.25">
      <c r="A285" s="86">
        <v>27101420391</v>
      </c>
      <c r="B285" s="71" t="s">
        <v>222</v>
      </c>
      <c r="C285" s="76" t="s">
        <v>41</v>
      </c>
    </row>
    <row r="286" spans="1:3" x14ac:dyDescent="0.25">
      <c r="A286" s="86">
        <v>27228778937</v>
      </c>
      <c r="B286" s="71" t="s">
        <v>138</v>
      </c>
      <c r="C286" s="76" t="s">
        <v>41</v>
      </c>
    </row>
    <row r="287" spans="1:3" x14ac:dyDescent="0.25">
      <c r="A287" s="86">
        <v>20202134700</v>
      </c>
      <c r="B287" s="75" t="s">
        <v>120</v>
      </c>
      <c r="C287" s="76" t="s">
        <v>43</v>
      </c>
    </row>
    <row r="288" spans="1:3" x14ac:dyDescent="0.25">
      <c r="A288" s="78">
        <v>27256001980</v>
      </c>
      <c r="B288" s="71" t="s">
        <v>529</v>
      </c>
      <c r="C288" s="76" t="s">
        <v>38</v>
      </c>
    </row>
    <row r="289" spans="1:3" x14ac:dyDescent="0.25">
      <c r="A289" s="86">
        <v>30678628324</v>
      </c>
      <c r="B289" s="71" t="s">
        <v>319</v>
      </c>
      <c r="C289" s="76" t="s">
        <v>54</v>
      </c>
    </row>
    <row r="290" spans="1:3" x14ac:dyDescent="0.25">
      <c r="A290" s="209">
        <v>27232408737</v>
      </c>
      <c r="B290" s="71" t="s">
        <v>379</v>
      </c>
      <c r="C290" s="76" t="s">
        <v>54</v>
      </c>
    </row>
    <row r="291" spans="1:3" x14ac:dyDescent="0.25">
      <c r="A291" s="86">
        <v>30705740670</v>
      </c>
      <c r="B291" s="71" t="s">
        <v>315</v>
      </c>
      <c r="C291" s="76" t="s">
        <v>54</v>
      </c>
    </row>
    <row r="292" spans="1:3" x14ac:dyDescent="0.25">
      <c r="A292" s="86">
        <v>30710361351</v>
      </c>
      <c r="B292" s="71" t="s">
        <v>479</v>
      </c>
      <c r="C292" s="76" t="s">
        <v>54</v>
      </c>
    </row>
    <row r="293" spans="1:3" x14ac:dyDescent="0.25">
      <c r="A293" s="86">
        <v>30612865333</v>
      </c>
      <c r="B293" s="71" t="s">
        <v>357</v>
      </c>
      <c r="C293" s="76" t="s">
        <v>54</v>
      </c>
    </row>
    <row r="294" spans="1:3" x14ac:dyDescent="0.25">
      <c r="A294" s="86">
        <v>30707042679</v>
      </c>
      <c r="B294" s="71" t="s">
        <v>151</v>
      </c>
      <c r="C294" s="76" t="s">
        <v>41</v>
      </c>
    </row>
    <row r="295" spans="1:3" x14ac:dyDescent="0.25">
      <c r="A295" s="209">
        <v>30710912579</v>
      </c>
      <c r="B295" s="71" t="s">
        <v>384</v>
      </c>
      <c r="C295" s="76" t="s">
        <v>41</v>
      </c>
    </row>
    <row r="296" spans="1:3" x14ac:dyDescent="0.25">
      <c r="A296" s="78">
        <v>30658035033</v>
      </c>
      <c r="B296" s="71" t="s">
        <v>532</v>
      </c>
      <c r="C296" s="76" t="s">
        <v>80</v>
      </c>
    </row>
    <row r="297" spans="1:3" x14ac:dyDescent="0.25">
      <c r="A297" s="78">
        <v>30546771314</v>
      </c>
      <c r="B297" s="71" t="s">
        <v>79</v>
      </c>
      <c r="C297" s="76" t="s">
        <v>80</v>
      </c>
    </row>
    <row r="298" spans="1:3" x14ac:dyDescent="0.25">
      <c r="A298" s="78">
        <v>20299835260</v>
      </c>
      <c r="B298" s="71" t="s">
        <v>515</v>
      </c>
      <c r="C298" s="76" t="s">
        <v>41</v>
      </c>
    </row>
    <row r="299" spans="1:3" x14ac:dyDescent="0.25">
      <c r="A299" s="78">
        <v>30710816049</v>
      </c>
      <c r="B299" s="71" t="s">
        <v>46</v>
      </c>
      <c r="C299" s="76" t="s">
        <v>41</v>
      </c>
    </row>
    <row r="300" spans="1:3" x14ac:dyDescent="0.25">
      <c r="A300" s="78">
        <v>30703088534</v>
      </c>
      <c r="B300" s="71" t="s">
        <v>220</v>
      </c>
      <c r="C300" s="76" t="s">
        <v>41</v>
      </c>
    </row>
    <row r="301" spans="1:3" x14ac:dyDescent="0.25">
      <c r="A301" s="86">
        <v>30711350213</v>
      </c>
      <c r="B301" s="71" t="s">
        <v>249</v>
      </c>
      <c r="C301" s="76" t="s">
        <v>41</v>
      </c>
    </row>
    <row r="302" spans="1:3" x14ac:dyDescent="0.25">
      <c r="A302" s="86">
        <v>30709016012</v>
      </c>
      <c r="B302" s="71" t="s">
        <v>77</v>
      </c>
      <c r="C302" s="76" t="s">
        <v>80</v>
      </c>
    </row>
    <row r="303" spans="1:3" x14ac:dyDescent="0.25">
      <c r="A303" s="78">
        <v>20182095215</v>
      </c>
      <c r="B303" s="71" t="s">
        <v>202</v>
      </c>
      <c r="C303" s="76" t="s">
        <v>203</v>
      </c>
    </row>
    <row r="304" spans="1:3" x14ac:dyDescent="0.25">
      <c r="A304" s="35">
        <v>20265153209</v>
      </c>
      <c r="B304" s="71" t="s">
        <v>387</v>
      </c>
      <c r="C304" s="76" t="s">
        <v>36</v>
      </c>
    </row>
    <row r="305" spans="1:3" x14ac:dyDescent="0.25">
      <c r="A305" s="78">
        <v>30685116657</v>
      </c>
      <c r="B305" s="71" t="s">
        <v>313</v>
      </c>
      <c r="C305" s="76" t="s">
        <v>54</v>
      </c>
    </row>
    <row r="306" spans="1:3" x14ac:dyDescent="0.25">
      <c r="A306" s="78">
        <v>30715224468</v>
      </c>
      <c r="B306" s="71" t="s">
        <v>540</v>
      </c>
      <c r="C306" s="76" t="s">
        <v>41</v>
      </c>
    </row>
    <row r="307" spans="1:3" x14ac:dyDescent="0.25">
      <c r="A307" s="80">
        <v>20291935401</v>
      </c>
      <c r="B307" s="75" t="s">
        <v>132</v>
      </c>
      <c r="C307" s="76" t="s">
        <v>41</v>
      </c>
    </row>
    <row r="308" spans="1:3" x14ac:dyDescent="0.25">
      <c r="A308" s="86">
        <v>27250643182</v>
      </c>
      <c r="B308" s="71" t="s">
        <v>420</v>
      </c>
      <c r="C308" s="76" t="s">
        <v>54</v>
      </c>
    </row>
    <row r="309" spans="1:3" x14ac:dyDescent="0.25">
      <c r="A309" s="78">
        <v>30708150351</v>
      </c>
      <c r="B309" s="71" t="s">
        <v>512</v>
      </c>
      <c r="C309" s="76" t="s">
        <v>54</v>
      </c>
    </row>
    <row r="310" spans="1:3" x14ac:dyDescent="0.25">
      <c r="A310" s="78">
        <v>20127096733</v>
      </c>
      <c r="B310" s="71" t="s">
        <v>429</v>
      </c>
      <c r="C310" s="76" t="s">
        <v>41</v>
      </c>
    </row>
    <row r="311" spans="1:3" x14ac:dyDescent="0.25">
      <c r="A311" s="78">
        <v>27202892936</v>
      </c>
      <c r="B311" s="71" t="s">
        <v>366</v>
      </c>
      <c r="C311" s="76" t="s">
        <v>41</v>
      </c>
    </row>
    <row r="312" spans="1:3" x14ac:dyDescent="0.25">
      <c r="A312" s="78">
        <v>30709242888</v>
      </c>
      <c r="B312" s="71" t="s">
        <v>305</v>
      </c>
      <c r="C312" s="76" t="s">
        <v>41</v>
      </c>
    </row>
    <row r="313" spans="1:3" x14ac:dyDescent="0.25">
      <c r="A313" s="78">
        <v>30708823151</v>
      </c>
      <c r="B313" s="71" t="s">
        <v>507</v>
      </c>
      <c r="C313" s="76" t="s">
        <v>41</v>
      </c>
    </row>
    <row r="314" spans="1:3" x14ac:dyDescent="0.25">
      <c r="A314" s="78">
        <v>20045461611</v>
      </c>
      <c r="B314" s="71" t="s">
        <v>468</v>
      </c>
      <c r="C314" s="76" t="s">
        <v>54</v>
      </c>
    </row>
    <row r="315" spans="1:3" x14ac:dyDescent="0.25">
      <c r="A315" s="210">
        <v>23306035444</v>
      </c>
      <c r="B315" s="71" t="s">
        <v>340</v>
      </c>
      <c r="C315" s="76" t="s">
        <v>41</v>
      </c>
    </row>
    <row r="316" spans="1:3" x14ac:dyDescent="0.25">
      <c r="A316" s="86">
        <v>20174004146</v>
      </c>
      <c r="B316" s="71" t="s">
        <v>389</v>
      </c>
      <c r="C316" s="76" t="s">
        <v>36</v>
      </c>
    </row>
    <row r="317" spans="1:3" x14ac:dyDescent="0.25">
      <c r="A317" s="86">
        <v>20334976433</v>
      </c>
      <c r="B317" s="71" t="s">
        <v>490</v>
      </c>
      <c r="C317" s="76" t="s">
        <v>36</v>
      </c>
    </row>
    <row r="318" spans="1:3" x14ac:dyDescent="0.25">
      <c r="A318" s="78">
        <v>20315107807</v>
      </c>
      <c r="B318" s="71" t="s">
        <v>35</v>
      </c>
      <c r="C318" s="76" t="s">
        <v>36</v>
      </c>
    </row>
    <row r="319" spans="1:3" x14ac:dyDescent="0.25">
      <c r="A319" s="86">
        <v>20363081755</v>
      </c>
      <c r="B319" s="71" t="s">
        <v>316</v>
      </c>
      <c r="C319" s="76" t="s">
        <v>36</v>
      </c>
    </row>
    <row r="320" spans="1:3" x14ac:dyDescent="0.25">
      <c r="A320" s="82">
        <v>20232991527</v>
      </c>
      <c r="B320" s="71" t="s">
        <v>56</v>
      </c>
      <c r="C320" s="76" t="s">
        <v>41</v>
      </c>
    </row>
    <row r="321" spans="1:3" x14ac:dyDescent="0.25">
      <c r="A321" s="86">
        <v>30715515012</v>
      </c>
      <c r="B321" s="71" t="s">
        <v>537</v>
      </c>
      <c r="C321" s="76" t="s">
        <v>124</v>
      </c>
    </row>
    <row r="322" spans="1:3" x14ac:dyDescent="0.25">
      <c r="A322" s="86">
        <v>30714773255</v>
      </c>
      <c r="B322" s="71" t="s">
        <v>247</v>
      </c>
      <c r="C322" s="76" t="s">
        <v>54</v>
      </c>
    </row>
    <row r="323" spans="1:3" x14ac:dyDescent="0.25">
      <c r="A323" s="84">
        <v>30715284142</v>
      </c>
      <c r="B323" s="71" t="s">
        <v>198</v>
      </c>
      <c r="C323" s="76" t="s">
        <v>54</v>
      </c>
    </row>
    <row r="324" spans="1:3" x14ac:dyDescent="0.25">
      <c r="A324" s="86">
        <v>30717179389</v>
      </c>
      <c r="B324" s="71" t="s">
        <v>575</v>
      </c>
      <c r="C324" s="76" t="s">
        <v>54</v>
      </c>
    </row>
    <row r="325" spans="1:3" x14ac:dyDescent="0.25">
      <c r="A325" s="86">
        <v>20171082464</v>
      </c>
      <c r="B325" s="71" t="s">
        <v>453</v>
      </c>
      <c r="C325" s="76" t="s">
        <v>54</v>
      </c>
    </row>
    <row r="326" spans="1:3" x14ac:dyDescent="0.25">
      <c r="A326" s="78">
        <v>30709318965</v>
      </c>
      <c r="B326" s="71" t="s">
        <v>434</v>
      </c>
      <c r="C326" s="76" t="s">
        <v>41</v>
      </c>
    </row>
    <row r="327" spans="1:3" x14ac:dyDescent="0.25">
      <c r="A327" s="86">
        <v>30702652975</v>
      </c>
      <c r="B327" s="71" t="s">
        <v>296</v>
      </c>
      <c r="C327" s="76" t="s">
        <v>39</v>
      </c>
    </row>
    <row r="328" spans="1:3" x14ac:dyDescent="0.25">
      <c r="A328" s="82">
        <v>30715399519</v>
      </c>
      <c r="B328" s="75" t="s">
        <v>130</v>
      </c>
      <c r="C328" s="76" t="s">
        <v>131</v>
      </c>
    </row>
    <row r="329" spans="1:3" x14ac:dyDescent="0.25">
      <c r="A329" s="86">
        <v>20222347719</v>
      </c>
      <c r="B329" s="71" t="s">
        <v>554</v>
      </c>
      <c r="C329" s="76" t="s">
        <v>54</v>
      </c>
    </row>
    <row r="330" spans="1:3" x14ac:dyDescent="0.25">
      <c r="A330" s="86">
        <v>30536259194</v>
      </c>
      <c r="B330" s="75" t="s">
        <v>129</v>
      </c>
      <c r="C330" s="76" t="s">
        <v>36</v>
      </c>
    </row>
    <row r="331" spans="1:3" x14ac:dyDescent="0.25">
      <c r="A331" s="210">
        <v>27209647252</v>
      </c>
      <c r="B331" s="71" t="s">
        <v>402</v>
      </c>
      <c r="C331" s="76" t="s">
        <v>41</v>
      </c>
    </row>
    <row r="332" spans="1:3" x14ac:dyDescent="0.25">
      <c r="A332" s="86">
        <v>30646217977</v>
      </c>
      <c r="B332" s="71" t="s">
        <v>471</v>
      </c>
      <c r="C332" s="76" t="s">
        <v>80</v>
      </c>
    </row>
    <row r="333" spans="1:3" x14ac:dyDescent="0.25">
      <c r="A333" s="86">
        <v>30500053522</v>
      </c>
      <c r="B333" s="71" t="s">
        <v>72</v>
      </c>
      <c r="C333" s="76" t="s">
        <v>80</v>
      </c>
    </row>
    <row r="334" spans="1:3" x14ac:dyDescent="0.25">
      <c r="A334" s="86">
        <v>30546846217</v>
      </c>
      <c r="B334" s="75" t="s">
        <v>248</v>
      </c>
      <c r="C334" s="76" t="s">
        <v>80</v>
      </c>
    </row>
    <row r="335" spans="1:3" x14ac:dyDescent="0.25">
      <c r="A335" s="78">
        <v>30717024393</v>
      </c>
      <c r="B335" s="71" t="s">
        <v>531</v>
      </c>
      <c r="C335" s="76" t="s">
        <v>54</v>
      </c>
    </row>
    <row r="336" spans="1:3" x14ac:dyDescent="0.25">
      <c r="A336" s="78">
        <v>27405786066</v>
      </c>
      <c r="B336" s="71" t="s">
        <v>293</v>
      </c>
      <c r="C336" s="76" t="s">
        <v>54</v>
      </c>
    </row>
    <row r="337" spans="1:3" x14ac:dyDescent="0.25">
      <c r="A337" s="78">
        <v>23383224829</v>
      </c>
      <c r="B337" s="71" t="s">
        <v>491</v>
      </c>
      <c r="C337" s="76" t="s">
        <v>38</v>
      </c>
    </row>
    <row r="338" spans="1:3" x14ac:dyDescent="0.25">
      <c r="A338" s="78">
        <v>23411502619</v>
      </c>
      <c r="B338" s="71" t="s">
        <v>482</v>
      </c>
      <c r="C338" s="76" t="s">
        <v>38</v>
      </c>
    </row>
    <row r="339" spans="1:3" x14ac:dyDescent="0.25">
      <c r="A339" s="78">
        <v>30711377944</v>
      </c>
      <c r="B339" s="71" t="s">
        <v>267</v>
      </c>
      <c r="C339" s="76" t="s">
        <v>54</v>
      </c>
    </row>
    <row r="340" spans="1:3" x14ac:dyDescent="0.25">
      <c r="A340" s="78">
        <v>30678774495</v>
      </c>
      <c r="B340" s="71" t="s">
        <v>270</v>
      </c>
      <c r="C340" s="76" t="s">
        <v>54</v>
      </c>
    </row>
    <row r="341" spans="1:3" x14ac:dyDescent="0.25">
      <c r="A341" s="78">
        <v>20238751560</v>
      </c>
      <c r="B341" s="71" t="s">
        <v>172</v>
      </c>
      <c r="C341" s="76" t="s">
        <v>54</v>
      </c>
    </row>
    <row r="342" spans="1:3" x14ac:dyDescent="0.25">
      <c r="A342" s="86">
        <v>30661143610</v>
      </c>
      <c r="B342" s="71" t="s">
        <v>544</v>
      </c>
      <c r="C342" s="76" t="s">
        <v>41</v>
      </c>
    </row>
    <row r="343" spans="1:3" x14ac:dyDescent="0.25">
      <c r="A343" s="86">
        <v>30714331082</v>
      </c>
      <c r="B343" s="71" t="s">
        <v>148</v>
      </c>
      <c r="C343" s="76" t="s">
        <v>41</v>
      </c>
    </row>
    <row r="344" spans="1:3" x14ac:dyDescent="0.25">
      <c r="A344" s="86">
        <v>33707920349</v>
      </c>
      <c r="B344" s="71" t="s">
        <v>236</v>
      </c>
      <c r="C344" s="76" t="s">
        <v>41</v>
      </c>
    </row>
    <row r="345" spans="1:3" x14ac:dyDescent="0.25">
      <c r="A345" s="209">
        <v>30661498575</v>
      </c>
      <c r="B345" s="75" t="s">
        <v>201</v>
      </c>
      <c r="C345" s="76" t="s">
        <v>41</v>
      </c>
    </row>
    <row r="346" spans="1:3" x14ac:dyDescent="0.25">
      <c r="A346" s="209">
        <v>33716711469</v>
      </c>
      <c r="B346" s="71" t="s">
        <v>557</v>
      </c>
      <c r="C346" s="76" t="s">
        <v>41</v>
      </c>
    </row>
    <row r="347" spans="1:3" x14ac:dyDescent="0.25">
      <c r="A347" s="80">
        <v>33709738459</v>
      </c>
      <c r="B347" s="71" t="s">
        <v>62</v>
      </c>
      <c r="C347" s="76" t="s">
        <v>41</v>
      </c>
    </row>
    <row r="348" spans="1:3" x14ac:dyDescent="0.25">
      <c r="A348" s="86">
        <v>30696246234</v>
      </c>
      <c r="B348" s="75" t="s">
        <v>161</v>
      </c>
      <c r="C348" s="76" t="s">
        <v>41</v>
      </c>
    </row>
    <row r="349" spans="1:3" x14ac:dyDescent="0.25">
      <c r="A349" s="86">
        <v>30565786306</v>
      </c>
      <c r="B349" s="71" t="s">
        <v>563</v>
      </c>
      <c r="C349" s="76" t="s">
        <v>80</v>
      </c>
    </row>
    <row r="350" spans="1:3" x14ac:dyDescent="0.25">
      <c r="A350" s="86">
        <v>30683032227</v>
      </c>
      <c r="B350" s="71" t="s">
        <v>533</v>
      </c>
      <c r="C350" s="76" t="s">
        <v>80</v>
      </c>
    </row>
    <row r="351" spans="1:3" x14ac:dyDescent="0.25">
      <c r="A351" s="86">
        <v>30585412453</v>
      </c>
      <c r="B351" s="71" t="s">
        <v>242</v>
      </c>
      <c r="C351" s="76" t="s">
        <v>80</v>
      </c>
    </row>
    <row r="352" spans="1:3" x14ac:dyDescent="0.25">
      <c r="A352" s="86">
        <v>30590412631</v>
      </c>
      <c r="B352" s="71" t="s">
        <v>83</v>
      </c>
      <c r="C352" s="76" t="s">
        <v>80</v>
      </c>
    </row>
    <row r="353" spans="1:3" x14ac:dyDescent="0.25">
      <c r="A353" s="86">
        <v>30546666189</v>
      </c>
      <c r="B353" s="75" t="s">
        <v>85</v>
      </c>
      <c r="C353" s="76" t="s">
        <v>80</v>
      </c>
    </row>
    <row r="354" spans="1:3" x14ac:dyDescent="0.25">
      <c r="A354" s="84">
        <v>30608716390</v>
      </c>
      <c r="B354" s="75" t="s">
        <v>128</v>
      </c>
      <c r="C354" s="76" t="s">
        <v>80</v>
      </c>
    </row>
    <row r="355" spans="1:3" x14ac:dyDescent="0.25">
      <c r="A355" s="86">
        <v>30658137642</v>
      </c>
      <c r="B355" s="75" t="s">
        <v>87</v>
      </c>
      <c r="C355" s="76" t="s">
        <v>80</v>
      </c>
    </row>
    <row r="356" spans="1:3" x14ac:dyDescent="0.25">
      <c r="A356" s="86">
        <v>30707080198</v>
      </c>
      <c r="B356" s="71" t="s">
        <v>66</v>
      </c>
      <c r="C356" s="76" t="s">
        <v>41</v>
      </c>
    </row>
    <row r="357" spans="1:3" x14ac:dyDescent="0.25">
      <c r="A357" s="83">
        <v>30643862928</v>
      </c>
      <c r="B357" s="75" t="s">
        <v>170</v>
      </c>
      <c r="C357" s="76" t="s">
        <v>41</v>
      </c>
    </row>
    <row r="358" spans="1:3" x14ac:dyDescent="0.25">
      <c r="A358" s="86">
        <v>20330614014</v>
      </c>
      <c r="B358" s="71" t="s">
        <v>360</v>
      </c>
      <c r="C358" s="76" t="s">
        <v>41</v>
      </c>
    </row>
    <row r="359" spans="1:3" x14ac:dyDescent="0.25">
      <c r="A359" s="86">
        <v>20277164192</v>
      </c>
      <c r="B359" s="75" t="s">
        <v>122</v>
      </c>
      <c r="C359" s="76" t="s">
        <v>43</v>
      </c>
    </row>
    <row r="360" spans="1:3" x14ac:dyDescent="0.25">
      <c r="A360" s="86">
        <v>20043911369</v>
      </c>
      <c r="B360" s="71" t="s">
        <v>208</v>
      </c>
      <c r="C360" s="76" t="s">
        <v>41</v>
      </c>
    </row>
    <row r="361" spans="1:3" x14ac:dyDescent="0.25">
      <c r="A361" s="86">
        <v>20275351254</v>
      </c>
      <c r="B361" s="71" t="s">
        <v>435</v>
      </c>
      <c r="C361" s="76" t="s">
        <v>41</v>
      </c>
    </row>
    <row r="362" spans="1:3" x14ac:dyDescent="0.25">
      <c r="A362" s="86">
        <v>30695542476</v>
      </c>
      <c r="B362" s="71" t="s">
        <v>284</v>
      </c>
      <c r="C362" s="76" t="s">
        <v>43</v>
      </c>
    </row>
    <row r="363" spans="1:3" x14ac:dyDescent="0.25">
      <c r="A363" s="86">
        <v>30587197215</v>
      </c>
      <c r="B363" s="71" t="s">
        <v>485</v>
      </c>
      <c r="C363" s="76" t="s">
        <v>54</v>
      </c>
    </row>
    <row r="364" spans="1:3" x14ac:dyDescent="0.25">
      <c r="A364" s="86">
        <v>30591633984</v>
      </c>
      <c r="B364" s="71" t="s">
        <v>119</v>
      </c>
      <c r="C364" s="76" t="s">
        <v>41</v>
      </c>
    </row>
    <row r="365" spans="1:3" x14ac:dyDescent="0.25">
      <c r="A365" s="86">
        <v>30716815710</v>
      </c>
      <c r="B365" s="71" t="s">
        <v>350</v>
      </c>
      <c r="C365" s="76" t="s">
        <v>51</v>
      </c>
    </row>
    <row r="366" spans="1:3" x14ac:dyDescent="0.25">
      <c r="A366" s="78">
        <v>30605041287</v>
      </c>
      <c r="B366" s="71" t="s">
        <v>265</v>
      </c>
      <c r="C366" s="76" t="s">
        <v>54</v>
      </c>
    </row>
    <row r="367" spans="1:3" x14ac:dyDescent="0.25">
      <c r="A367" s="78">
        <v>27218733803</v>
      </c>
      <c r="B367" s="71" t="s">
        <v>320</v>
      </c>
      <c r="C367" s="76" t="s">
        <v>51</v>
      </c>
    </row>
    <row r="368" spans="1:3" x14ac:dyDescent="0.25">
      <c r="A368" s="186">
        <v>33693786369</v>
      </c>
      <c r="B368" s="71" t="s">
        <v>413</v>
      </c>
      <c r="C368" s="76" t="s">
        <v>54</v>
      </c>
    </row>
    <row r="369" spans="1:3" x14ac:dyDescent="0.25">
      <c r="A369" s="78">
        <v>30627583873</v>
      </c>
      <c r="B369" s="71" t="s">
        <v>253</v>
      </c>
      <c r="C369" s="76" t="s">
        <v>54</v>
      </c>
    </row>
    <row r="370" spans="1:3" x14ac:dyDescent="0.25">
      <c r="A370" s="78">
        <v>30715413678</v>
      </c>
      <c r="B370" s="71" t="s">
        <v>370</v>
      </c>
      <c r="C370" s="76" t="s">
        <v>54</v>
      </c>
    </row>
    <row r="371" spans="1:3" x14ac:dyDescent="0.25">
      <c r="A371" s="78">
        <v>20108555417</v>
      </c>
      <c r="B371" s="71" t="s">
        <v>457</v>
      </c>
      <c r="C371" s="76" t="s">
        <v>41</v>
      </c>
    </row>
    <row r="372" spans="1:3" x14ac:dyDescent="0.25">
      <c r="A372" s="78">
        <v>20280154602</v>
      </c>
      <c r="B372" s="71" t="s">
        <v>311</v>
      </c>
      <c r="C372" s="76" t="s">
        <v>36</v>
      </c>
    </row>
    <row r="373" spans="1:3" x14ac:dyDescent="0.25">
      <c r="A373" s="35">
        <v>23282830299</v>
      </c>
      <c r="B373" s="71" t="s">
        <v>423</v>
      </c>
      <c r="C373" s="204" t="s">
        <v>41</v>
      </c>
    </row>
    <row r="374" spans="1:3" x14ac:dyDescent="0.25">
      <c r="A374" s="86">
        <v>27316249154</v>
      </c>
      <c r="B374" s="71" t="s">
        <v>502</v>
      </c>
      <c r="C374" s="76" t="s">
        <v>41</v>
      </c>
    </row>
    <row r="375" spans="1:3" x14ac:dyDescent="0.25">
      <c r="A375" s="86">
        <v>20274327678</v>
      </c>
      <c r="B375" s="71" t="s">
        <v>418</v>
      </c>
      <c r="C375" s="76" t="s">
        <v>36</v>
      </c>
    </row>
    <row r="376" spans="1:3" x14ac:dyDescent="0.25">
      <c r="A376" s="86">
        <v>27182477368</v>
      </c>
      <c r="B376" s="71" t="s">
        <v>74</v>
      </c>
      <c r="C376" s="76" t="s">
        <v>80</v>
      </c>
    </row>
    <row r="377" spans="1:3" x14ac:dyDescent="0.25">
      <c r="A377" s="86">
        <v>20307462207</v>
      </c>
      <c r="B377" s="71" t="s">
        <v>264</v>
      </c>
      <c r="C377" s="76" t="s">
        <v>54</v>
      </c>
    </row>
    <row r="378" spans="1:3" x14ac:dyDescent="0.25">
      <c r="A378" s="86">
        <v>20113613646</v>
      </c>
      <c r="B378" s="71" t="s">
        <v>407</v>
      </c>
      <c r="C378" s="76" t="s">
        <v>54</v>
      </c>
    </row>
    <row r="379" spans="1:3" x14ac:dyDescent="0.25">
      <c r="A379" s="86">
        <v>30601502085</v>
      </c>
      <c r="B379" s="71" t="s">
        <v>467</v>
      </c>
      <c r="C379" s="76" t="s">
        <v>54</v>
      </c>
    </row>
    <row r="380" spans="1:3" x14ac:dyDescent="0.25">
      <c r="A380" s="86">
        <v>20184015820</v>
      </c>
      <c r="B380" s="71" t="s">
        <v>481</v>
      </c>
      <c r="C380" s="76" t="s">
        <v>54</v>
      </c>
    </row>
    <row r="381" spans="1:3" x14ac:dyDescent="0.25">
      <c r="A381" s="86">
        <v>30646512952</v>
      </c>
      <c r="B381" s="71" t="s">
        <v>466</v>
      </c>
      <c r="C381" s="76" t="s">
        <v>54</v>
      </c>
    </row>
    <row r="382" spans="1:3" x14ac:dyDescent="0.25">
      <c r="A382" s="86">
        <v>27279386715</v>
      </c>
      <c r="B382" s="71" t="s">
        <v>254</v>
      </c>
      <c r="C382" s="76" t="s">
        <v>54</v>
      </c>
    </row>
    <row r="383" spans="1:3" x14ac:dyDescent="0.25">
      <c r="A383" s="86">
        <v>27370346742</v>
      </c>
      <c r="B383" s="71" t="s">
        <v>189</v>
      </c>
      <c r="C383" s="76" t="s">
        <v>177</v>
      </c>
    </row>
    <row r="384" spans="1:3" x14ac:dyDescent="0.25">
      <c r="A384" s="86">
        <v>20046086806</v>
      </c>
      <c r="B384" s="71" t="s">
        <v>478</v>
      </c>
      <c r="C384" s="76" t="s">
        <v>54</v>
      </c>
    </row>
    <row r="385" spans="1:3" x14ac:dyDescent="0.25">
      <c r="A385" s="82">
        <v>27265302225</v>
      </c>
      <c r="B385" s="75" t="s">
        <v>165</v>
      </c>
      <c r="C385" s="76" t="s">
        <v>41</v>
      </c>
    </row>
    <row r="386" spans="1:3" x14ac:dyDescent="0.25">
      <c r="A386" s="86">
        <v>20264653313</v>
      </c>
      <c r="B386" s="71" t="s">
        <v>483</v>
      </c>
      <c r="C386" s="76" t="s">
        <v>36</v>
      </c>
    </row>
    <row r="387" spans="1:3" x14ac:dyDescent="0.25">
      <c r="A387" s="86">
        <v>30577428618</v>
      </c>
      <c r="B387" s="71" t="s">
        <v>560</v>
      </c>
      <c r="C387" s="76" t="s">
        <v>54</v>
      </c>
    </row>
    <row r="388" spans="1:3" x14ac:dyDescent="0.25">
      <c r="A388" s="86">
        <v>30715740806</v>
      </c>
      <c r="B388" s="71" t="s">
        <v>259</v>
      </c>
      <c r="C388" s="76" t="s">
        <v>54</v>
      </c>
    </row>
    <row r="389" spans="1:3" x14ac:dyDescent="0.25">
      <c r="A389" s="86">
        <v>20362272441</v>
      </c>
      <c r="B389" s="71" t="s">
        <v>510</v>
      </c>
      <c r="C389" s="76" t="s">
        <v>41</v>
      </c>
    </row>
    <row r="390" spans="1:3" x14ac:dyDescent="0.25">
      <c r="A390" s="86">
        <v>20253804336</v>
      </c>
      <c r="B390" s="71" t="s">
        <v>408</v>
      </c>
      <c r="C390" s="76" t="s">
        <v>41</v>
      </c>
    </row>
    <row r="391" spans="1:3" x14ac:dyDescent="0.25">
      <c r="A391" s="86">
        <v>30707970010</v>
      </c>
      <c r="B391" s="71" t="s">
        <v>244</v>
      </c>
      <c r="C391" s="76" t="s">
        <v>41</v>
      </c>
    </row>
    <row r="392" spans="1:3" x14ac:dyDescent="0.25">
      <c r="A392" s="86">
        <v>27368203829</v>
      </c>
      <c r="B392" s="71" t="s">
        <v>401</v>
      </c>
      <c r="C392" s="76" t="s">
        <v>41</v>
      </c>
    </row>
    <row r="393" spans="1:3" x14ac:dyDescent="0.25">
      <c r="A393" s="86">
        <v>30709776564</v>
      </c>
      <c r="B393" s="71" t="s">
        <v>134</v>
      </c>
      <c r="C393" s="76" t="s">
        <v>135</v>
      </c>
    </row>
    <row r="394" spans="1:3" x14ac:dyDescent="0.25">
      <c r="A394" s="209">
        <v>20285597405</v>
      </c>
      <c r="B394" s="71" t="s">
        <v>375</v>
      </c>
      <c r="C394" s="76" t="s">
        <v>54</v>
      </c>
    </row>
    <row r="395" spans="1:3" x14ac:dyDescent="0.25">
      <c r="A395" s="209">
        <v>30716821478</v>
      </c>
      <c r="B395" s="71" t="s">
        <v>414</v>
      </c>
      <c r="C395" s="76" t="s">
        <v>41</v>
      </c>
    </row>
    <row r="396" spans="1:3" x14ac:dyDescent="0.25">
      <c r="A396" s="83">
        <v>20182721787</v>
      </c>
      <c r="B396" s="75" t="s">
        <v>171</v>
      </c>
      <c r="C396" s="76" t="s">
        <v>41</v>
      </c>
    </row>
    <row r="397" spans="1:3" x14ac:dyDescent="0.25">
      <c r="A397" s="86">
        <v>20289111329</v>
      </c>
      <c r="B397" s="71" t="s">
        <v>459</v>
      </c>
      <c r="C397" s="76" t="s">
        <v>41</v>
      </c>
    </row>
    <row r="398" spans="1:3" x14ac:dyDescent="0.25">
      <c r="A398" s="86">
        <v>27233748205</v>
      </c>
      <c r="B398" s="71" t="s">
        <v>294</v>
      </c>
      <c r="C398" s="76" t="s">
        <v>41</v>
      </c>
    </row>
    <row r="399" spans="1:3" x14ac:dyDescent="0.25">
      <c r="A399" s="86">
        <v>30707370552</v>
      </c>
      <c r="B399" s="71" t="s">
        <v>290</v>
      </c>
      <c r="C399" s="76" t="s">
        <v>41</v>
      </c>
    </row>
    <row r="400" spans="1:3" x14ac:dyDescent="0.25">
      <c r="A400" s="86">
        <v>20142643384</v>
      </c>
      <c r="B400" s="71" t="s">
        <v>572</v>
      </c>
      <c r="C400" s="76" t="s">
        <v>41</v>
      </c>
    </row>
    <row r="401" spans="1:3" x14ac:dyDescent="0.25">
      <c r="A401" s="86">
        <v>20202500138</v>
      </c>
      <c r="B401" s="75" t="s">
        <v>123</v>
      </c>
      <c r="C401" s="76" t="s">
        <v>124</v>
      </c>
    </row>
    <row r="402" spans="1:3" x14ac:dyDescent="0.25">
      <c r="A402" s="86">
        <v>27181965709</v>
      </c>
      <c r="B402" s="71" t="s">
        <v>497</v>
      </c>
      <c r="C402" s="76" t="s">
        <v>36</v>
      </c>
    </row>
    <row r="403" spans="1:3" x14ac:dyDescent="0.25">
      <c r="A403" s="86">
        <v>30715141201</v>
      </c>
      <c r="B403" s="71" t="s">
        <v>147</v>
      </c>
      <c r="C403" s="76" t="s">
        <v>41</v>
      </c>
    </row>
    <row r="404" spans="1:3" x14ac:dyDescent="0.25">
      <c r="A404" s="86">
        <v>30709214078</v>
      </c>
      <c r="B404" s="71" t="s">
        <v>44</v>
      </c>
      <c r="C404" s="76" t="s">
        <v>41</v>
      </c>
    </row>
    <row r="405" spans="1:3" x14ac:dyDescent="0.25">
      <c r="A405" s="83">
        <v>30711764921</v>
      </c>
      <c r="B405" s="71" t="s">
        <v>157</v>
      </c>
      <c r="C405" s="76" t="s">
        <v>41</v>
      </c>
    </row>
    <row r="406" spans="1:3" x14ac:dyDescent="0.25">
      <c r="A406" s="86">
        <v>30710473990</v>
      </c>
      <c r="B406" s="71" t="s">
        <v>69</v>
      </c>
      <c r="C406" s="76" t="s">
        <v>54</v>
      </c>
    </row>
    <row r="407" spans="1:3" x14ac:dyDescent="0.25">
      <c r="A407" s="86">
        <v>30711013969</v>
      </c>
      <c r="B407" s="71" t="s">
        <v>578</v>
      </c>
      <c r="C407" s="76" t="s">
        <v>36</v>
      </c>
    </row>
    <row r="408" spans="1:3" x14ac:dyDescent="0.25">
      <c r="A408" s="86">
        <v>20319885812</v>
      </c>
      <c r="B408" s="71" t="s">
        <v>310</v>
      </c>
      <c r="C408" s="76" t="s">
        <v>41</v>
      </c>
    </row>
    <row r="409" spans="1:3" x14ac:dyDescent="0.25">
      <c r="A409" s="86">
        <v>23106878269</v>
      </c>
      <c r="B409" s="71" t="s">
        <v>505</v>
      </c>
      <c r="C409" s="76" t="s">
        <v>41</v>
      </c>
    </row>
    <row r="410" spans="1:3" x14ac:dyDescent="0.25">
      <c r="A410" s="86">
        <v>20133694146</v>
      </c>
      <c r="B410" s="71" t="s">
        <v>336</v>
      </c>
      <c r="C410" s="76" t="s">
        <v>54</v>
      </c>
    </row>
    <row r="411" spans="1:3" x14ac:dyDescent="0.25">
      <c r="A411" s="86">
        <v>20117741398</v>
      </c>
      <c r="B411" s="71" t="s">
        <v>378</v>
      </c>
      <c r="C411" s="76" t="s">
        <v>54</v>
      </c>
    </row>
    <row r="412" spans="1:3" x14ac:dyDescent="0.25">
      <c r="A412" s="86">
        <v>33716449829</v>
      </c>
      <c r="B412" s="71" t="s">
        <v>272</v>
      </c>
      <c r="C412" s="76" t="s">
        <v>36</v>
      </c>
    </row>
    <row r="413" spans="1:3" x14ac:dyDescent="0.25">
      <c r="A413" s="209">
        <v>30642659312</v>
      </c>
      <c r="B413" s="71" t="s">
        <v>334</v>
      </c>
      <c r="C413" s="76" t="s">
        <v>41</v>
      </c>
    </row>
    <row r="414" spans="1:3" x14ac:dyDescent="0.25">
      <c r="A414" s="83">
        <v>23233422029</v>
      </c>
      <c r="B414" s="75" t="s">
        <v>176</v>
      </c>
      <c r="C414" s="76" t="s">
        <v>41</v>
      </c>
    </row>
    <row r="415" spans="1:3" x14ac:dyDescent="0.25">
      <c r="A415" s="86">
        <v>20183700805</v>
      </c>
      <c r="B415" s="71" t="s">
        <v>361</v>
      </c>
      <c r="C415" s="76" t="s">
        <v>38</v>
      </c>
    </row>
    <row r="416" spans="1:3" x14ac:dyDescent="0.25">
      <c r="A416" s="86">
        <v>27313805293</v>
      </c>
      <c r="B416" s="71" t="s">
        <v>372</v>
      </c>
      <c r="C416" s="76" t="s">
        <v>54</v>
      </c>
    </row>
    <row r="417" spans="1:3" x14ac:dyDescent="0.25">
      <c r="A417" s="86">
        <v>30708552808</v>
      </c>
      <c r="B417" s="71" t="s">
        <v>369</v>
      </c>
      <c r="C417" s="76" t="s">
        <v>54</v>
      </c>
    </row>
    <row r="418" spans="1:3" x14ac:dyDescent="0.25">
      <c r="A418" s="82">
        <v>30715048066</v>
      </c>
      <c r="B418" s="71" t="s">
        <v>55</v>
      </c>
      <c r="C418" s="76" t="s">
        <v>54</v>
      </c>
    </row>
    <row r="419" spans="1:3" x14ac:dyDescent="0.25">
      <c r="A419" s="86">
        <v>23122329119</v>
      </c>
      <c r="B419" s="71" t="s">
        <v>465</v>
      </c>
      <c r="C419" s="76" t="s">
        <v>54</v>
      </c>
    </row>
    <row r="420" spans="1:3" x14ac:dyDescent="0.25">
      <c r="A420" s="86">
        <v>30710638973</v>
      </c>
      <c r="B420" s="71" t="s">
        <v>514</v>
      </c>
      <c r="C420" s="76" t="s">
        <v>54</v>
      </c>
    </row>
    <row r="421" spans="1:3" x14ac:dyDescent="0.25">
      <c r="A421" s="83">
        <v>30595553535</v>
      </c>
      <c r="B421" s="75" t="s">
        <v>205</v>
      </c>
      <c r="C421" s="76" t="s">
        <v>181</v>
      </c>
    </row>
    <row r="422" spans="1:3" x14ac:dyDescent="0.25">
      <c r="A422" s="86">
        <v>20044272009</v>
      </c>
      <c r="B422" s="71" t="s">
        <v>349</v>
      </c>
      <c r="C422" s="76" t="s">
        <v>51</v>
      </c>
    </row>
    <row r="423" spans="1:3" x14ac:dyDescent="0.25">
      <c r="A423" s="86">
        <v>20254412490</v>
      </c>
      <c r="B423" s="71" t="s">
        <v>298</v>
      </c>
      <c r="C423" s="76" t="s">
        <v>54</v>
      </c>
    </row>
    <row r="424" spans="1:3" x14ac:dyDescent="0.25">
      <c r="A424" s="84">
        <v>23111810184</v>
      </c>
      <c r="B424" s="71" t="s">
        <v>190</v>
      </c>
      <c r="C424" s="76" t="s">
        <v>80</v>
      </c>
    </row>
    <row r="425" spans="1:3" x14ac:dyDescent="0.25">
      <c r="A425" s="86">
        <v>20394693864</v>
      </c>
      <c r="B425" s="71" t="s">
        <v>542</v>
      </c>
      <c r="C425" s="76" t="s">
        <v>54</v>
      </c>
    </row>
    <row r="426" spans="1:3" x14ac:dyDescent="0.25">
      <c r="A426" s="86">
        <v>30711553564</v>
      </c>
      <c r="B426" s="71" t="s">
        <v>233</v>
      </c>
      <c r="C426" s="76" t="s">
        <v>41</v>
      </c>
    </row>
    <row r="427" spans="1:3" x14ac:dyDescent="0.25">
      <c r="A427" s="86">
        <v>30588919826</v>
      </c>
      <c r="B427" s="71" t="s">
        <v>464</v>
      </c>
      <c r="C427" s="76" t="s">
        <v>54</v>
      </c>
    </row>
    <row r="428" spans="1:3" x14ac:dyDescent="0.25">
      <c r="A428" s="86">
        <v>30586172308</v>
      </c>
      <c r="B428" s="71" t="s">
        <v>246</v>
      </c>
      <c r="C428" s="76" t="s">
        <v>51</v>
      </c>
    </row>
    <row r="429" spans="1:3" x14ac:dyDescent="0.25">
      <c r="A429" s="86">
        <v>27217606255</v>
      </c>
      <c r="B429" s="71" t="s">
        <v>352</v>
      </c>
      <c r="C429" s="76" t="s">
        <v>41</v>
      </c>
    </row>
    <row r="430" spans="1:3" x14ac:dyDescent="0.25">
      <c r="A430" s="86">
        <v>23255491784</v>
      </c>
      <c r="B430" s="71" t="s">
        <v>348</v>
      </c>
      <c r="C430" s="76" t="s">
        <v>41</v>
      </c>
    </row>
    <row r="431" spans="1:3" x14ac:dyDescent="0.25">
      <c r="A431" s="86">
        <v>33693506099</v>
      </c>
      <c r="B431" s="71" t="s">
        <v>326</v>
      </c>
      <c r="C431" s="76" t="s">
        <v>54</v>
      </c>
    </row>
    <row r="432" spans="1:3" x14ac:dyDescent="0.25">
      <c r="A432" s="86">
        <v>20268417762</v>
      </c>
      <c r="B432" s="71" t="s">
        <v>584</v>
      </c>
      <c r="C432" s="76" t="s">
        <v>54</v>
      </c>
    </row>
    <row r="433" spans="1:3" x14ac:dyDescent="0.25">
      <c r="A433" s="86">
        <v>33710130189</v>
      </c>
      <c r="B433" s="71" t="s">
        <v>539</v>
      </c>
      <c r="C433" s="76" t="s">
        <v>41</v>
      </c>
    </row>
    <row r="434" spans="1:3" x14ac:dyDescent="0.25">
      <c r="A434" s="86">
        <v>30690142860</v>
      </c>
      <c r="B434" s="71" t="s">
        <v>227</v>
      </c>
      <c r="C434" s="76" t="s">
        <v>36</v>
      </c>
    </row>
    <row r="435" spans="1:3" x14ac:dyDescent="0.25">
      <c r="A435" s="86">
        <v>30710276273</v>
      </c>
      <c r="B435" s="71" t="s">
        <v>473</v>
      </c>
      <c r="C435" s="76" t="s">
        <v>36</v>
      </c>
    </row>
    <row r="436" spans="1:3" x14ac:dyDescent="0.25">
      <c r="A436" s="86">
        <v>30709570664</v>
      </c>
      <c r="B436" s="71" t="s">
        <v>506</v>
      </c>
      <c r="C436" s="76" t="s">
        <v>41</v>
      </c>
    </row>
    <row r="437" spans="1:3" x14ac:dyDescent="0.25">
      <c r="A437" s="86">
        <v>30638340689</v>
      </c>
      <c r="B437" s="71" t="s">
        <v>330</v>
      </c>
      <c r="C437" s="76" t="s">
        <v>41</v>
      </c>
    </row>
    <row r="438" spans="1:3" x14ac:dyDescent="0.25">
      <c r="A438" s="86">
        <v>30709525839</v>
      </c>
      <c r="B438" s="71" t="s">
        <v>534</v>
      </c>
      <c r="C438" s="76" t="s">
        <v>41</v>
      </c>
    </row>
    <row r="439" spans="1:3" x14ac:dyDescent="0.25">
      <c r="A439" s="209">
        <v>30710682026</v>
      </c>
      <c r="B439" s="71" t="s">
        <v>381</v>
      </c>
      <c r="C439" s="76" t="s">
        <v>54</v>
      </c>
    </row>
    <row r="440" spans="1:3" x14ac:dyDescent="0.25">
      <c r="A440" s="86">
        <v>33709619719</v>
      </c>
      <c r="B440" s="71" t="s">
        <v>519</v>
      </c>
      <c r="C440" s="76" t="s">
        <v>54</v>
      </c>
    </row>
    <row r="441" spans="1:3" x14ac:dyDescent="0.25">
      <c r="A441" s="86">
        <v>30645722554</v>
      </c>
      <c r="B441" s="71" t="s">
        <v>368</v>
      </c>
      <c r="C441" s="76" t="s">
        <v>54</v>
      </c>
    </row>
    <row r="442" spans="1:3" x14ac:dyDescent="0.25">
      <c r="A442" s="86">
        <v>30715753541</v>
      </c>
      <c r="B442" s="71" t="s">
        <v>486</v>
      </c>
      <c r="C442" s="76" t="s">
        <v>54</v>
      </c>
    </row>
    <row r="443" spans="1:3" x14ac:dyDescent="0.25">
      <c r="A443" s="86">
        <v>30598960093</v>
      </c>
      <c r="B443" s="71" t="s">
        <v>67</v>
      </c>
      <c r="C443" s="76" t="s">
        <v>41</v>
      </c>
    </row>
    <row r="444" spans="1:3" x14ac:dyDescent="0.25">
      <c r="A444" s="86">
        <v>20351173913</v>
      </c>
      <c r="B444" s="71" t="s">
        <v>221</v>
      </c>
      <c r="C444" s="76" t="s">
        <v>41</v>
      </c>
    </row>
    <row r="445" spans="1:3" x14ac:dyDescent="0.25">
      <c r="A445" s="86">
        <v>30702071506</v>
      </c>
      <c r="B445" s="71" t="s">
        <v>302</v>
      </c>
      <c r="C445" s="76" t="s">
        <v>54</v>
      </c>
    </row>
    <row r="446" spans="1:3" x14ac:dyDescent="0.25">
      <c r="A446" s="86">
        <v>30711842809</v>
      </c>
      <c r="B446" s="71" t="s">
        <v>371</v>
      </c>
      <c r="C446" s="76" t="s">
        <v>54</v>
      </c>
    </row>
    <row r="447" spans="1:3" x14ac:dyDescent="0.25">
      <c r="A447" s="86">
        <v>30654118767</v>
      </c>
      <c r="B447" s="71" t="s">
        <v>261</v>
      </c>
      <c r="C447" s="76" t="s">
        <v>41</v>
      </c>
    </row>
    <row r="448" spans="1:3" x14ac:dyDescent="0.25">
      <c r="A448" s="211">
        <v>30716393360</v>
      </c>
      <c r="B448" s="71" t="s">
        <v>195</v>
      </c>
      <c r="C448" s="76" t="s">
        <v>41</v>
      </c>
    </row>
    <row r="449" spans="1:3" x14ac:dyDescent="0.25">
      <c r="A449" s="86">
        <v>33715594949</v>
      </c>
      <c r="B449" s="71" t="s">
        <v>558</v>
      </c>
      <c r="C449" s="76" t="s">
        <v>124</v>
      </c>
    </row>
    <row r="450" spans="1:3" x14ac:dyDescent="0.25">
      <c r="A450" s="84">
        <v>27066622997</v>
      </c>
      <c r="B450" s="71" t="s">
        <v>180</v>
      </c>
      <c r="C450" s="76" t="s">
        <v>181</v>
      </c>
    </row>
    <row r="451" spans="1:3" x14ac:dyDescent="0.25">
      <c r="A451" s="86">
        <v>27283627573</v>
      </c>
      <c r="B451" s="71" t="s">
        <v>559</v>
      </c>
      <c r="C451" s="76" t="s">
        <v>124</v>
      </c>
    </row>
    <row r="452" spans="1:3" x14ac:dyDescent="0.25">
      <c r="A452" s="209">
        <v>20300821872</v>
      </c>
      <c r="B452" s="71" t="s">
        <v>444</v>
      </c>
      <c r="C452" s="76" t="s">
        <v>54</v>
      </c>
    </row>
    <row r="453" spans="1:3" x14ac:dyDescent="0.25">
      <c r="A453" s="86">
        <v>30715668994</v>
      </c>
      <c r="B453" s="71" t="s">
        <v>582</v>
      </c>
      <c r="C453" s="76" t="s">
        <v>41</v>
      </c>
    </row>
    <row r="454" spans="1:3" x14ac:dyDescent="0.25">
      <c r="A454" s="86">
        <v>30577797281</v>
      </c>
      <c r="B454" s="71" t="s">
        <v>145</v>
      </c>
      <c r="C454" s="76" t="s">
        <v>80</v>
      </c>
    </row>
    <row r="455" spans="1:3" x14ac:dyDescent="0.25">
      <c r="A455" s="86">
        <v>23250955529</v>
      </c>
      <c r="B455" s="71" t="s">
        <v>240</v>
      </c>
      <c r="C455" s="76" t="s">
        <v>54</v>
      </c>
    </row>
    <row r="456" spans="1:3" x14ac:dyDescent="0.25">
      <c r="A456" s="86">
        <v>20314785593</v>
      </c>
      <c r="B456" s="71" t="s">
        <v>155</v>
      </c>
      <c r="C456" s="76" t="s">
        <v>41</v>
      </c>
    </row>
    <row r="457" spans="1:3" x14ac:dyDescent="0.25">
      <c r="A457" s="86">
        <v>30715458744</v>
      </c>
      <c r="B457" s="71" t="s">
        <v>301</v>
      </c>
      <c r="C457" s="76" t="s">
        <v>54</v>
      </c>
    </row>
    <row r="458" spans="1:3" x14ac:dyDescent="0.25">
      <c r="A458" s="210">
        <v>27267575997</v>
      </c>
      <c r="B458" s="71" t="s">
        <v>353</v>
      </c>
      <c r="C458" s="76" t="s">
        <v>36</v>
      </c>
    </row>
    <row r="459" spans="1:3" x14ac:dyDescent="0.25">
      <c r="A459" s="86">
        <v>20310122212</v>
      </c>
      <c r="B459" s="71" t="s">
        <v>353</v>
      </c>
      <c r="C459" s="76" t="s">
        <v>41</v>
      </c>
    </row>
    <row r="460" spans="1:3" x14ac:dyDescent="0.25">
      <c r="A460" s="86">
        <v>20229905199</v>
      </c>
      <c r="B460" s="71" t="s">
        <v>589</v>
      </c>
      <c r="C460" s="76" t="s">
        <v>54</v>
      </c>
    </row>
    <row r="461" spans="1:3" x14ac:dyDescent="0.25">
      <c r="A461" s="86">
        <v>30505459179</v>
      </c>
      <c r="B461" s="71" t="s">
        <v>276</v>
      </c>
      <c r="C461" s="76" t="s">
        <v>41</v>
      </c>
    </row>
    <row r="462" spans="1:3" x14ac:dyDescent="0.25">
      <c r="A462" s="86">
        <v>23145783224</v>
      </c>
      <c r="B462" s="71" t="s">
        <v>65</v>
      </c>
      <c r="C462" s="76" t="s">
        <v>41</v>
      </c>
    </row>
    <row r="463" spans="1:3" x14ac:dyDescent="0.25">
      <c r="A463" s="86">
        <v>30710114176</v>
      </c>
      <c r="B463" s="71" t="s">
        <v>427</v>
      </c>
      <c r="C463" s="76" t="s">
        <v>54</v>
      </c>
    </row>
    <row r="464" spans="1:3" x14ac:dyDescent="0.25">
      <c r="A464" s="86">
        <v>30700939797</v>
      </c>
      <c r="B464" s="71" t="s">
        <v>548</v>
      </c>
      <c r="C464" s="76" t="s">
        <v>41</v>
      </c>
    </row>
    <row r="465" spans="1:3" x14ac:dyDescent="0.25">
      <c r="A465" s="86">
        <v>30710177658</v>
      </c>
      <c r="B465" s="71" t="s">
        <v>118</v>
      </c>
      <c r="C465" s="76" t="s">
        <v>41</v>
      </c>
    </row>
    <row r="466" spans="1:3" x14ac:dyDescent="0.25">
      <c r="A466" s="86">
        <v>30687489221</v>
      </c>
      <c r="B466" s="71" t="s">
        <v>488</v>
      </c>
      <c r="C466" s="76" t="s">
        <v>36</v>
      </c>
    </row>
    <row r="467" spans="1:3" x14ac:dyDescent="0.25">
      <c r="A467" s="209">
        <v>20283639941</v>
      </c>
      <c r="B467" s="71" t="s">
        <v>374</v>
      </c>
      <c r="C467" s="76" t="s">
        <v>54</v>
      </c>
    </row>
    <row r="468" spans="1:3" x14ac:dyDescent="0.25">
      <c r="A468" s="83">
        <v>30708960736</v>
      </c>
      <c r="B468" s="75" t="s">
        <v>163</v>
      </c>
      <c r="C468" s="76" t="s">
        <v>41</v>
      </c>
    </row>
    <row r="469" spans="1:3" x14ac:dyDescent="0.25">
      <c r="A469" s="86">
        <v>33716532769</v>
      </c>
      <c r="B469" s="71" t="s">
        <v>304</v>
      </c>
      <c r="C469" s="76" t="s">
        <v>41</v>
      </c>
    </row>
    <row r="470" spans="1:3" x14ac:dyDescent="0.25">
      <c r="A470" s="86">
        <v>30639453738</v>
      </c>
      <c r="B470" s="71" t="s">
        <v>140</v>
      </c>
      <c r="C470" s="76" t="s">
        <v>39</v>
      </c>
    </row>
    <row r="471" spans="1:3" x14ac:dyDescent="0.25">
      <c r="A471" s="86">
        <v>30639453975</v>
      </c>
      <c r="B471" s="71" t="s">
        <v>139</v>
      </c>
      <c r="C471" s="76" t="s">
        <v>39</v>
      </c>
    </row>
    <row r="472" spans="1:3" x14ac:dyDescent="0.25">
      <c r="A472" s="86">
        <v>30678814357</v>
      </c>
      <c r="B472" s="71" t="s">
        <v>117</v>
      </c>
      <c r="C472" s="76" t="s">
        <v>39</v>
      </c>
    </row>
    <row r="473" spans="1:3" x14ac:dyDescent="0.25">
      <c r="A473" s="86">
        <v>30712450408</v>
      </c>
      <c r="B473" s="71" t="s">
        <v>393</v>
      </c>
      <c r="C473" s="76" t="s">
        <v>54</v>
      </c>
    </row>
    <row r="474" spans="1:3" x14ac:dyDescent="0.25">
      <c r="A474" s="86">
        <v>30716018373</v>
      </c>
      <c r="B474" s="71" t="s">
        <v>291</v>
      </c>
      <c r="C474" s="76" t="s">
        <v>36</v>
      </c>
    </row>
    <row r="475" spans="1:3" x14ac:dyDescent="0.25">
      <c r="A475" s="86">
        <v>30616031143</v>
      </c>
      <c r="B475" s="71" t="s">
        <v>141</v>
      </c>
      <c r="C475" s="76" t="s">
        <v>54</v>
      </c>
    </row>
    <row r="476" spans="1:3" x14ac:dyDescent="0.25">
      <c r="A476" s="86">
        <v>30683612916</v>
      </c>
      <c r="B476" s="71" t="s">
        <v>569</v>
      </c>
      <c r="C476" s="76" t="s">
        <v>36</v>
      </c>
    </row>
    <row r="477" spans="1:3" x14ac:dyDescent="0.25">
      <c r="A477" s="86">
        <v>30711188416</v>
      </c>
      <c r="B477" s="71" t="s">
        <v>410</v>
      </c>
      <c r="C477" s="76" t="s">
        <v>36</v>
      </c>
    </row>
    <row r="478" spans="1:3" x14ac:dyDescent="0.25">
      <c r="A478" s="86">
        <v>30711811253</v>
      </c>
      <c r="B478" s="71" t="s">
        <v>405</v>
      </c>
      <c r="C478" s="76" t="s">
        <v>41</v>
      </c>
    </row>
    <row r="479" spans="1:3" x14ac:dyDescent="0.25">
      <c r="A479" s="83">
        <v>30712305513</v>
      </c>
      <c r="B479" s="75" t="s">
        <v>167</v>
      </c>
      <c r="C479" s="76" t="s">
        <v>41</v>
      </c>
    </row>
    <row r="480" spans="1:3" x14ac:dyDescent="0.25">
      <c r="A480" s="86">
        <v>20131067446</v>
      </c>
      <c r="B480" s="71" t="s">
        <v>409</v>
      </c>
      <c r="C480" s="76" t="s">
        <v>41</v>
      </c>
    </row>
    <row r="481" spans="1:3" x14ac:dyDescent="0.25">
      <c r="A481" s="86">
        <v>30646150406</v>
      </c>
      <c r="B481" s="71" t="s">
        <v>146</v>
      </c>
      <c r="C481" s="76" t="s">
        <v>41</v>
      </c>
    </row>
    <row r="482" spans="1:3" x14ac:dyDescent="0.25">
      <c r="A482" s="86">
        <v>27299725761</v>
      </c>
      <c r="B482" s="71" t="s">
        <v>513</v>
      </c>
      <c r="C482" s="76" t="s">
        <v>41</v>
      </c>
    </row>
    <row r="483" spans="1:3" x14ac:dyDescent="0.25">
      <c r="A483" s="86">
        <v>30531602273</v>
      </c>
      <c r="B483" s="75" t="s">
        <v>86</v>
      </c>
      <c r="C483" s="76" t="s">
        <v>80</v>
      </c>
    </row>
    <row r="484" spans="1:3" x14ac:dyDescent="0.25">
      <c r="A484" s="210">
        <v>30556565798</v>
      </c>
      <c r="B484" s="71" t="s">
        <v>237</v>
      </c>
      <c r="C484" s="76" t="s">
        <v>36</v>
      </c>
    </row>
    <row r="485" spans="1:3" x14ac:dyDescent="0.25">
      <c r="A485" s="82">
        <v>20257137326</v>
      </c>
      <c r="B485" s="71" t="s">
        <v>178</v>
      </c>
      <c r="C485" s="76" t="s">
        <v>41</v>
      </c>
    </row>
    <row r="486" spans="1:3" x14ac:dyDescent="0.25">
      <c r="A486" s="86">
        <v>20216451679</v>
      </c>
      <c r="B486" s="71" t="s">
        <v>469</v>
      </c>
      <c r="C486" s="76" t="s">
        <v>41</v>
      </c>
    </row>
    <row r="487" spans="1:3" x14ac:dyDescent="0.25">
      <c r="A487" s="209">
        <v>27415594742</v>
      </c>
      <c r="B487" s="71" t="s">
        <v>415</v>
      </c>
      <c r="C487" s="76" t="s">
        <v>41</v>
      </c>
    </row>
    <row r="488" spans="1:3" x14ac:dyDescent="0.25">
      <c r="A488" s="83">
        <v>20247225243</v>
      </c>
      <c r="B488" s="71" t="s">
        <v>45</v>
      </c>
      <c r="C488" s="76" t="s">
        <v>41</v>
      </c>
    </row>
    <row r="489" spans="1:3" x14ac:dyDescent="0.25">
      <c r="A489" s="86">
        <v>30561769644</v>
      </c>
      <c r="B489" s="71" t="s">
        <v>439</v>
      </c>
      <c r="C489" s="76" t="s">
        <v>54</v>
      </c>
    </row>
    <row r="490" spans="1:3" x14ac:dyDescent="0.25">
      <c r="A490" s="86">
        <v>27247019370</v>
      </c>
      <c r="B490" s="71" t="s">
        <v>463</v>
      </c>
      <c r="C490" s="76" t="s">
        <v>41</v>
      </c>
    </row>
    <row r="491" spans="1:3" x14ac:dyDescent="0.25">
      <c r="A491" s="86">
        <v>30707977120</v>
      </c>
      <c r="B491" s="71" t="s">
        <v>562</v>
      </c>
      <c r="C491" s="76" t="s">
        <v>54</v>
      </c>
    </row>
    <row r="492" spans="1:3" x14ac:dyDescent="0.25">
      <c r="A492" s="82">
        <v>27211421202</v>
      </c>
      <c r="B492" s="71" t="s">
        <v>188</v>
      </c>
      <c r="C492" s="76" t="s">
        <v>41</v>
      </c>
    </row>
    <row r="493" spans="1:3" x14ac:dyDescent="0.25">
      <c r="A493" s="86">
        <v>30540059078</v>
      </c>
      <c r="B493" s="71" t="s">
        <v>516</v>
      </c>
      <c r="C493" s="76" t="s">
        <v>54</v>
      </c>
    </row>
    <row r="494" spans="1:3" x14ac:dyDescent="0.25">
      <c r="A494" s="86">
        <v>30714950750</v>
      </c>
      <c r="B494" s="71" t="s">
        <v>329</v>
      </c>
      <c r="C494" s="76" t="s">
        <v>41</v>
      </c>
    </row>
    <row r="495" spans="1:3" x14ac:dyDescent="0.25">
      <c r="A495" s="86">
        <v>20317488476</v>
      </c>
      <c r="B495" s="71" t="s">
        <v>252</v>
      </c>
      <c r="C495" s="76" t="s">
        <v>41</v>
      </c>
    </row>
    <row r="496" spans="1:3" x14ac:dyDescent="0.25">
      <c r="A496" s="86">
        <v>27256759646</v>
      </c>
      <c r="B496" s="71" t="s">
        <v>494</v>
      </c>
      <c r="C496" s="76" t="s">
        <v>41</v>
      </c>
    </row>
    <row r="497" spans="1:3" x14ac:dyDescent="0.25">
      <c r="A497" s="210">
        <v>20321447997</v>
      </c>
      <c r="B497" s="71" t="s">
        <v>390</v>
      </c>
      <c r="C497" s="76" t="s">
        <v>54</v>
      </c>
    </row>
    <row r="498" spans="1:3" x14ac:dyDescent="0.25">
      <c r="A498" s="86">
        <v>27237719145</v>
      </c>
      <c r="B498" s="71" t="s">
        <v>536</v>
      </c>
      <c r="C498" s="76" t="s">
        <v>41</v>
      </c>
    </row>
    <row r="499" spans="1:3" x14ac:dyDescent="0.25">
      <c r="A499" s="86">
        <v>27169596439</v>
      </c>
      <c r="B499" s="71" t="s">
        <v>456</v>
      </c>
      <c r="C499" s="76" t="s">
        <v>54</v>
      </c>
    </row>
    <row r="500" spans="1:3" x14ac:dyDescent="0.25">
      <c r="A500" s="83">
        <v>23929701364</v>
      </c>
      <c r="B500" s="75" t="s">
        <v>204</v>
      </c>
      <c r="C500" s="76" t="s">
        <v>36</v>
      </c>
    </row>
    <row r="501" spans="1:3" x14ac:dyDescent="0.25">
      <c r="A501" s="86">
        <v>30714867349</v>
      </c>
      <c r="B501" s="71" t="s">
        <v>257</v>
      </c>
      <c r="C501" s="76" t="s">
        <v>54</v>
      </c>
    </row>
    <row r="502" spans="1:3" x14ac:dyDescent="0.25">
      <c r="A502" s="86">
        <v>30708534907</v>
      </c>
      <c r="B502" s="71" t="s">
        <v>499</v>
      </c>
      <c r="C502" s="76" t="s">
        <v>41</v>
      </c>
    </row>
    <row r="503" spans="1:3" x14ac:dyDescent="0.25">
      <c r="A503" s="86">
        <v>20231247239</v>
      </c>
      <c r="B503" s="71" t="s">
        <v>156</v>
      </c>
      <c r="C503" s="76" t="s">
        <v>41</v>
      </c>
    </row>
    <row r="504" spans="1:3" x14ac:dyDescent="0.25">
      <c r="A504" s="86">
        <v>30717172651</v>
      </c>
      <c r="B504" s="71" t="s">
        <v>543</v>
      </c>
      <c r="C504" s="76" t="s">
        <v>41</v>
      </c>
    </row>
    <row r="505" spans="1:3" x14ac:dyDescent="0.25">
      <c r="A505" s="78">
        <v>20332986636</v>
      </c>
      <c r="B505" s="71" t="s">
        <v>441</v>
      </c>
      <c r="C505" s="76" t="s">
        <v>36</v>
      </c>
    </row>
    <row r="506" spans="1:3" x14ac:dyDescent="0.25">
      <c r="A506" s="86">
        <v>20167787372</v>
      </c>
      <c r="B506" s="71" t="s">
        <v>577</v>
      </c>
      <c r="C506" s="76" t="s">
        <v>36</v>
      </c>
    </row>
    <row r="507" spans="1:3" x14ac:dyDescent="0.25">
      <c r="A507" s="86">
        <v>20921994908</v>
      </c>
      <c r="B507" s="71" t="s">
        <v>546</v>
      </c>
      <c r="C507" s="76" t="s">
        <v>54</v>
      </c>
    </row>
    <row r="508" spans="1:3" x14ac:dyDescent="0.25">
      <c r="A508" s="86">
        <v>20168475803</v>
      </c>
      <c r="B508" s="71" t="s">
        <v>307</v>
      </c>
      <c r="C508" s="76" t="s">
        <v>54</v>
      </c>
    </row>
    <row r="509" spans="1:3" x14ac:dyDescent="0.25">
      <c r="A509" s="86">
        <v>27944827345</v>
      </c>
      <c r="B509" s="71" t="s">
        <v>590</v>
      </c>
      <c r="C509" s="76" t="s">
        <v>54</v>
      </c>
    </row>
    <row r="510" spans="1:3" x14ac:dyDescent="0.25">
      <c r="A510" s="86">
        <v>30708375582</v>
      </c>
      <c r="B510" s="71" t="s">
        <v>591</v>
      </c>
      <c r="C510" s="76" t="s">
        <v>36</v>
      </c>
    </row>
    <row r="511" spans="1:3" x14ac:dyDescent="0.25">
      <c r="A511" s="86">
        <v>23936845509</v>
      </c>
      <c r="B511" s="71" t="s">
        <v>592</v>
      </c>
      <c r="C511" s="76" t="s">
        <v>54</v>
      </c>
    </row>
    <row r="512" spans="1:3" x14ac:dyDescent="0.25">
      <c r="A512" s="86">
        <v>30707927409</v>
      </c>
      <c r="B512" s="71" t="s">
        <v>593</v>
      </c>
      <c r="C512" s="76" t="s">
        <v>36</v>
      </c>
    </row>
    <row r="513" spans="1:3" x14ac:dyDescent="0.25">
      <c r="A513" s="86">
        <v>30626009618</v>
      </c>
      <c r="B513" s="71" t="s">
        <v>594</v>
      </c>
      <c r="C513" s="76" t="s">
        <v>36</v>
      </c>
    </row>
    <row r="514" spans="1:3" x14ac:dyDescent="0.25">
      <c r="A514" s="86">
        <v>30709904872</v>
      </c>
      <c r="B514" s="71" t="s">
        <v>595</v>
      </c>
      <c r="C514" s="76" t="s">
        <v>36</v>
      </c>
    </row>
    <row r="515" spans="1:3" x14ac:dyDescent="0.25">
      <c r="A515" s="86">
        <v>30643922157</v>
      </c>
      <c r="B515" s="71" t="s">
        <v>596</v>
      </c>
      <c r="C515" s="76" t="s">
        <v>36</v>
      </c>
    </row>
    <row r="516" spans="1:3" x14ac:dyDescent="0.25">
      <c r="A516" s="86">
        <v>33717383139</v>
      </c>
      <c r="B516" s="71" t="s">
        <v>597</v>
      </c>
      <c r="C516" s="76" t="s">
        <v>54</v>
      </c>
    </row>
    <row r="517" spans="1:3" x14ac:dyDescent="0.25">
      <c r="A517" s="86">
        <v>30708847247</v>
      </c>
      <c r="B517" s="71" t="s">
        <v>598</v>
      </c>
      <c r="C517" s="76" t="s">
        <v>36</v>
      </c>
    </row>
    <row r="518" spans="1:3" x14ac:dyDescent="0.25">
      <c r="A518" s="86">
        <v>33710271149</v>
      </c>
      <c r="B518" s="71" t="s">
        <v>599</v>
      </c>
      <c r="C518" s="76" t="s">
        <v>54</v>
      </c>
    </row>
    <row r="519" spans="1:3" x14ac:dyDescent="0.25">
      <c r="A519" s="86">
        <v>20396584809</v>
      </c>
      <c r="B519" s="71" t="s">
        <v>601</v>
      </c>
      <c r="C519" s="76" t="s">
        <v>41</v>
      </c>
    </row>
    <row r="520" spans="1:3" x14ac:dyDescent="0.25">
      <c r="A520" s="86">
        <v>30709879258</v>
      </c>
      <c r="B520" s="71" t="s">
        <v>602</v>
      </c>
      <c r="C520" s="76" t="s">
        <v>36</v>
      </c>
    </row>
    <row r="521" spans="1:3" x14ac:dyDescent="0.25">
      <c r="A521" s="86">
        <v>30711296987</v>
      </c>
      <c r="B521" s="71" t="s">
        <v>603</v>
      </c>
      <c r="C521" s="76" t="s">
        <v>54</v>
      </c>
    </row>
    <row r="522" spans="1:3" x14ac:dyDescent="0.25">
      <c r="A522" s="86">
        <v>20392730444</v>
      </c>
      <c r="B522" s="71" t="s">
        <v>600</v>
      </c>
      <c r="C522" s="76" t="s">
        <v>36</v>
      </c>
    </row>
    <row r="523" spans="1:3" x14ac:dyDescent="0.25">
      <c r="A523" s="86">
        <v>30715393251</v>
      </c>
      <c r="B523" s="71" t="s">
        <v>604</v>
      </c>
      <c r="C523" s="76" t="s">
        <v>54</v>
      </c>
    </row>
    <row r="524" spans="1:3" x14ac:dyDescent="0.25">
      <c r="A524" s="86">
        <v>27119878468</v>
      </c>
      <c r="B524" s="71" t="s">
        <v>605</v>
      </c>
      <c r="C524" s="76" t="s">
        <v>41</v>
      </c>
    </row>
    <row r="525" spans="1:3" x14ac:dyDescent="0.25">
      <c r="A525" s="86">
        <v>30715869663</v>
      </c>
      <c r="B525" s="71" t="s">
        <v>606</v>
      </c>
      <c r="C525" s="76" t="s">
        <v>54</v>
      </c>
    </row>
    <row r="526" spans="1:3" x14ac:dyDescent="0.25">
      <c r="A526" s="86">
        <v>20224819049</v>
      </c>
      <c r="B526" s="71" t="s">
        <v>607</v>
      </c>
      <c r="C526" s="76" t="s">
        <v>54</v>
      </c>
    </row>
    <row r="527" spans="1:3" x14ac:dyDescent="0.25">
      <c r="A527" s="86">
        <v>20920321292</v>
      </c>
      <c r="B527" s="71" t="s">
        <v>608</v>
      </c>
      <c r="C527" s="76" t="s">
        <v>54</v>
      </c>
    </row>
    <row r="528" spans="1:3" x14ac:dyDescent="0.25">
      <c r="A528" s="86">
        <v>30526874249</v>
      </c>
      <c r="B528" s="71" t="s">
        <v>609</v>
      </c>
      <c r="C528" s="76" t="s">
        <v>54</v>
      </c>
    </row>
    <row r="529" spans="1:3" x14ac:dyDescent="0.25">
      <c r="A529" s="86">
        <v>20181517957</v>
      </c>
      <c r="B529" s="71" t="s">
        <v>610</v>
      </c>
      <c r="C529" s="76" t="s">
        <v>41</v>
      </c>
    </row>
    <row r="530" spans="1:3" x14ac:dyDescent="0.25">
      <c r="A530" s="86">
        <v>30606274161</v>
      </c>
      <c r="B530" s="71" t="s">
        <v>611</v>
      </c>
      <c r="C530" s="76" t="s">
        <v>80</v>
      </c>
    </row>
    <row r="531" spans="1:3" x14ac:dyDescent="0.25">
      <c r="A531" s="86">
        <v>20426451167</v>
      </c>
      <c r="B531" s="71" t="s">
        <v>612</v>
      </c>
      <c r="C531" s="76" t="s">
        <v>36</v>
      </c>
    </row>
    <row r="532" spans="1:3" x14ac:dyDescent="0.25">
      <c r="A532" s="86">
        <v>23928499804</v>
      </c>
      <c r="B532" s="71" t="s">
        <v>613</v>
      </c>
      <c r="C532" s="76" t="s">
        <v>54</v>
      </c>
    </row>
    <row r="533" spans="1:3" x14ac:dyDescent="0.25">
      <c r="A533" s="86">
        <v>30581106234</v>
      </c>
      <c r="B533" s="71" t="s">
        <v>614</v>
      </c>
      <c r="C533" s="76" t="s">
        <v>36</v>
      </c>
    </row>
    <row r="534" spans="1:3" x14ac:dyDescent="0.25">
      <c r="A534" s="86">
        <v>23324039759</v>
      </c>
      <c r="B534" s="71" t="s">
        <v>615</v>
      </c>
      <c r="C534" s="76" t="s">
        <v>54</v>
      </c>
    </row>
    <row r="535" spans="1:3" x14ac:dyDescent="0.25">
      <c r="A535" s="86">
        <v>33531122599</v>
      </c>
      <c r="B535" s="71" t="s">
        <v>616</v>
      </c>
      <c r="C535" s="76" t="s">
        <v>36</v>
      </c>
    </row>
    <row r="536" spans="1:3" x14ac:dyDescent="0.25">
      <c r="A536" s="86">
        <v>20272865869</v>
      </c>
      <c r="B536" s="71" t="s">
        <v>617</v>
      </c>
      <c r="C536" s="76" t="s">
        <v>41</v>
      </c>
    </row>
    <row r="537" spans="1:3" x14ac:dyDescent="0.25">
      <c r="A537" s="86">
        <v>20259150249</v>
      </c>
      <c r="B537" s="71" t="s">
        <v>618</v>
      </c>
      <c r="C537" s="76" t="s">
        <v>54</v>
      </c>
    </row>
    <row r="538" spans="1:3" x14ac:dyDescent="0.25">
      <c r="A538" s="86">
        <v>30693066022</v>
      </c>
      <c r="B538" s="71" t="s">
        <v>619</v>
      </c>
      <c r="C538" s="76" t="s">
        <v>54</v>
      </c>
    </row>
    <row r="539" spans="1:3" x14ac:dyDescent="0.25">
      <c r="A539" s="86">
        <v>30612099614</v>
      </c>
      <c r="B539" s="71" t="s">
        <v>620</v>
      </c>
      <c r="C539" s="76" t="s">
        <v>80</v>
      </c>
    </row>
    <row r="540" spans="1:3" x14ac:dyDescent="0.25">
      <c r="A540" s="86">
        <v>20410096103</v>
      </c>
      <c r="B540" s="71" t="s">
        <v>621</v>
      </c>
      <c r="C540" s="76" t="s">
        <v>54</v>
      </c>
    </row>
    <row r="541" spans="1:3" x14ac:dyDescent="0.25">
      <c r="A541" s="86">
        <v>30711416656</v>
      </c>
      <c r="B541" s="71" t="s">
        <v>622</v>
      </c>
      <c r="C541" s="76" t="s">
        <v>80</v>
      </c>
    </row>
    <row r="542" spans="1:3" x14ac:dyDescent="0.25">
      <c r="A542" s="86">
        <v>30712529721</v>
      </c>
      <c r="B542" s="71" t="s">
        <v>623</v>
      </c>
      <c r="C542" s="76" t="s">
        <v>80</v>
      </c>
    </row>
    <row r="543" spans="1:3" x14ac:dyDescent="0.25">
      <c r="A543" s="86">
        <v>30707513094</v>
      </c>
      <c r="B543" s="71" t="s">
        <v>624</v>
      </c>
      <c r="C543" s="76" t="s">
        <v>80</v>
      </c>
    </row>
    <row r="544" spans="1:3" x14ac:dyDescent="0.25">
      <c r="A544" s="86">
        <v>30571766287</v>
      </c>
      <c r="B544" s="71" t="s">
        <v>625</v>
      </c>
      <c r="C544" s="76" t="s">
        <v>80</v>
      </c>
    </row>
    <row r="545" spans="1:7" x14ac:dyDescent="0.25">
      <c r="A545" s="86">
        <v>30712136754</v>
      </c>
      <c r="B545" s="71" t="s">
        <v>626</v>
      </c>
      <c r="C545" s="76" t="s">
        <v>80</v>
      </c>
    </row>
    <row r="546" spans="1:7" x14ac:dyDescent="0.25">
      <c r="A546" s="86">
        <v>30636196858</v>
      </c>
      <c r="B546" s="71" t="s">
        <v>627</v>
      </c>
      <c r="C546" s="76" t="s">
        <v>80</v>
      </c>
    </row>
    <row r="547" spans="1:7" x14ac:dyDescent="0.25">
      <c r="A547" s="86">
        <v>30604958640</v>
      </c>
      <c r="B547" s="71" t="s">
        <v>1056</v>
      </c>
      <c r="C547" s="76" t="s">
        <v>80</v>
      </c>
    </row>
    <row r="548" spans="1:7" x14ac:dyDescent="0.25">
      <c r="A548" s="86">
        <v>30547339416</v>
      </c>
      <c r="B548" s="71" t="s">
        <v>909</v>
      </c>
      <c r="C548" s="76" t="s">
        <v>80</v>
      </c>
    </row>
    <row r="549" spans="1:7" x14ac:dyDescent="0.25">
      <c r="A549" s="86">
        <v>30716234114</v>
      </c>
      <c r="B549" s="71" t="s">
        <v>910</v>
      </c>
      <c r="C549" s="76" t="s">
        <v>41</v>
      </c>
    </row>
    <row r="550" spans="1:7" x14ac:dyDescent="0.25">
      <c r="A550" s="86">
        <v>33716307749</v>
      </c>
      <c r="B550" s="71" t="s">
        <v>911</v>
      </c>
      <c r="C550" s="76" t="s">
        <v>41</v>
      </c>
    </row>
    <row r="551" spans="1:7" x14ac:dyDescent="0.25">
      <c r="A551" s="86">
        <v>27940269100</v>
      </c>
      <c r="B551" s="71" t="s">
        <v>912</v>
      </c>
      <c r="C551" s="76" t="s">
        <v>54</v>
      </c>
    </row>
    <row r="552" spans="1:7" x14ac:dyDescent="0.25">
      <c r="A552" s="86">
        <v>27243660535</v>
      </c>
      <c r="B552" s="71" t="s">
        <v>709</v>
      </c>
      <c r="C552" s="76" t="s">
        <v>913</v>
      </c>
    </row>
    <row r="553" spans="1:7" x14ac:dyDescent="0.25">
      <c r="A553" s="86">
        <v>30714228060</v>
      </c>
      <c r="B553" s="71" t="s">
        <v>914</v>
      </c>
      <c r="C553" s="76" t="s">
        <v>41</v>
      </c>
    </row>
    <row r="554" spans="1:7" x14ac:dyDescent="0.25">
      <c r="A554" s="86">
        <v>20186310005</v>
      </c>
      <c r="B554" s="71" t="s">
        <v>915</v>
      </c>
      <c r="C554" s="76" t="s">
        <v>54</v>
      </c>
    </row>
    <row r="555" spans="1:7" x14ac:dyDescent="0.25">
      <c r="A555" s="86">
        <v>30711776040</v>
      </c>
      <c r="B555" s="71" t="s">
        <v>916</v>
      </c>
      <c r="C555" s="76" t="s">
        <v>36</v>
      </c>
    </row>
    <row r="556" spans="1:7" x14ac:dyDescent="0.25">
      <c r="A556" s="86">
        <v>20253990903</v>
      </c>
      <c r="B556" s="71" t="s">
        <v>917</v>
      </c>
      <c r="C556" s="76" t="s">
        <v>41</v>
      </c>
    </row>
    <row r="557" spans="1:7" x14ac:dyDescent="0.25">
      <c r="A557" s="86">
        <v>20184052858</v>
      </c>
      <c r="B557" s="71" t="s">
        <v>679</v>
      </c>
      <c r="C557" s="76" t="s">
        <v>54</v>
      </c>
    </row>
    <row r="558" spans="1:7" x14ac:dyDescent="0.25">
      <c r="A558" s="86">
        <v>30677237119</v>
      </c>
      <c r="B558" s="71" t="s">
        <v>658</v>
      </c>
      <c r="C558" s="76" t="s">
        <v>581</v>
      </c>
      <c r="F558" s="250"/>
      <c r="G558"/>
    </row>
    <row r="559" spans="1:7" x14ac:dyDescent="0.25">
      <c r="A559" s="86">
        <v>30574876474</v>
      </c>
      <c r="B559" s="71" t="s">
        <v>671</v>
      </c>
      <c r="C559" s="76" t="s">
        <v>581</v>
      </c>
      <c r="F559" s="250"/>
      <c r="G559"/>
    </row>
    <row r="560" spans="1:7" x14ac:dyDescent="0.25">
      <c r="A560" s="86">
        <v>30714112836</v>
      </c>
      <c r="B560" s="71" t="s">
        <v>918</v>
      </c>
      <c r="C560" s="76" t="s">
        <v>581</v>
      </c>
      <c r="F560" s="250"/>
      <c r="G560"/>
    </row>
    <row r="561" spans="1:7" x14ac:dyDescent="0.25">
      <c r="A561" s="86">
        <v>30677237119</v>
      </c>
      <c r="B561" s="71" t="s">
        <v>658</v>
      </c>
      <c r="C561" s="76" t="s">
        <v>581</v>
      </c>
      <c r="F561" s="250"/>
      <c r="G561"/>
    </row>
    <row r="562" spans="1:7" x14ac:dyDescent="0.25">
      <c r="A562" s="86">
        <v>30663498513</v>
      </c>
      <c r="B562" s="71" t="s">
        <v>657</v>
      </c>
      <c r="C562" s="76" t="s">
        <v>581</v>
      </c>
      <c r="E562" s="250"/>
      <c r="F562"/>
      <c r="G562"/>
    </row>
    <row r="563" spans="1:7" x14ac:dyDescent="0.25">
      <c r="A563" s="86">
        <v>30715804812</v>
      </c>
      <c r="B563" s="71" t="s">
        <v>919</v>
      </c>
      <c r="C563" s="76" t="s">
        <v>581</v>
      </c>
      <c r="F563" s="250"/>
      <c r="G563"/>
    </row>
    <row r="564" spans="1:7" x14ac:dyDescent="0.25">
      <c r="A564" s="86">
        <v>20278292429</v>
      </c>
      <c r="B564" s="71" t="s">
        <v>920</v>
      </c>
      <c r="C564" s="76" t="s">
        <v>54</v>
      </c>
      <c r="F564" s="250"/>
      <c r="G564"/>
    </row>
    <row r="565" spans="1:7" x14ac:dyDescent="0.25">
      <c r="A565" s="86">
        <v>30707304886</v>
      </c>
      <c r="B565" s="71" t="s">
        <v>921</v>
      </c>
      <c r="C565" s="76" t="s">
        <v>581</v>
      </c>
      <c r="F565" s="250"/>
      <c r="G565"/>
    </row>
    <row r="566" spans="1:7" x14ac:dyDescent="0.25">
      <c r="A566" s="86">
        <v>20464199633</v>
      </c>
      <c r="B566" s="71" t="s">
        <v>683</v>
      </c>
      <c r="C566" s="76" t="s">
        <v>41</v>
      </c>
    </row>
    <row r="567" spans="1:7" x14ac:dyDescent="0.25">
      <c r="A567" s="86">
        <v>27179026967</v>
      </c>
      <c r="B567" s="71" t="s">
        <v>922</v>
      </c>
      <c r="C567" s="76" t="s">
        <v>913</v>
      </c>
    </row>
    <row r="568" spans="1:7" x14ac:dyDescent="0.25">
      <c r="A568" s="86">
        <v>30587842358</v>
      </c>
      <c r="B568" s="71" t="s">
        <v>924</v>
      </c>
      <c r="C568" s="76" t="s">
        <v>80</v>
      </c>
    </row>
    <row r="569" spans="1:7" x14ac:dyDescent="0.25">
      <c r="A569" s="86">
        <v>30661931066</v>
      </c>
      <c r="B569" s="71" t="s">
        <v>980</v>
      </c>
      <c r="C569" s="76" t="s">
        <v>80</v>
      </c>
    </row>
    <row r="570" spans="1:7" x14ac:dyDescent="0.25">
      <c r="A570" s="86">
        <v>30661273093</v>
      </c>
      <c r="B570" s="71" t="s">
        <v>1076</v>
      </c>
      <c r="C570" s="76" t="s">
        <v>80</v>
      </c>
    </row>
    <row r="571" spans="1:7" x14ac:dyDescent="0.25">
      <c r="A571" s="86"/>
      <c r="B571" s="71"/>
      <c r="C571" s="76"/>
    </row>
    <row r="572" spans="1:7" x14ac:dyDescent="0.25">
      <c r="A572" s="86"/>
      <c r="B572" s="71"/>
      <c r="C572" s="76"/>
    </row>
    <row r="573" spans="1:7" x14ac:dyDescent="0.25">
      <c r="A573" s="86"/>
      <c r="B573" s="71"/>
      <c r="C573" s="76"/>
    </row>
    <row r="574" spans="1:7" x14ac:dyDescent="0.25">
      <c r="A574" s="86"/>
      <c r="B574" s="71"/>
      <c r="C574" s="76"/>
    </row>
    <row r="575" spans="1:7" x14ac:dyDescent="0.25">
      <c r="A575" s="86"/>
      <c r="B575" s="71"/>
      <c r="C575" s="76"/>
    </row>
    <row r="576" spans="1:7" x14ac:dyDescent="0.25">
      <c r="A576" s="86"/>
      <c r="B576" s="71"/>
      <c r="C576" s="76"/>
    </row>
    <row r="577" spans="1:3" x14ac:dyDescent="0.25">
      <c r="A577" s="86"/>
      <c r="B577" s="71"/>
      <c r="C577" s="76"/>
    </row>
    <row r="578" spans="1:3" x14ac:dyDescent="0.25">
      <c r="A578" s="86"/>
      <c r="B578" s="71"/>
      <c r="C578" s="76"/>
    </row>
    <row r="579" spans="1:3" x14ac:dyDescent="0.25">
      <c r="A579" s="86"/>
      <c r="B579" s="71"/>
      <c r="C579" s="76"/>
    </row>
    <row r="580" spans="1:3" x14ac:dyDescent="0.25">
      <c r="A580" s="86"/>
      <c r="B580" s="71"/>
      <c r="C580" s="76"/>
    </row>
    <row r="581" spans="1:3" x14ac:dyDescent="0.25">
      <c r="A581" s="86"/>
      <c r="B581" s="71"/>
      <c r="C581" s="76"/>
    </row>
    <row r="582" spans="1:3" x14ac:dyDescent="0.25">
      <c r="A582" s="86"/>
      <c r="B582" s="71"/>
      <c r="C582" s="76"/>
    </row>
    <row r="583" spans="1:3" x14ac:dyDescent="0.25">
      <c r="A583" s="86"/>
      <c r="B583" s="71"/>
      <c r="C583" s="76"/>
    </row>
    <row r="584" spans="1:3" x14ac:dyDescent="0.25">
      <c r="A584" s="86"/>
      <c r="B584" s="71"/>
      <c r="C584" s="76"/>
    </row>
    <row r="585" spans="1:3" x14ac:dyDescent="0.25">
      <c r="A585" s="86"/>
      <c r="B585" s="71"/>
      <c r="C585" s="76"/>
    </row>
    <row r="586" spans="1:3" x14ac:dyDescent="0.25">
      <c r="A586" s="86"/>
      <c r="B586" s="71"/>
      <c r="C586" s="76"/>
    </row>
    <row r="587" spans="1:3" x14ac:dyDescent="0.25">
      <c r="A587" s="86"/>
      <c r="B587" s="71"/>
      <c r="C587" s="76"/>
    </row>
    <row r="588" spans="1:3" x14ac:dyDescent="0.25">
      <c r="A588" s="86"/>
      <c r="B588" s="71"/>
      <c r="C588" s="76"/>
    </row>
    <row r="589" spans="1:3" x14ac:dyDescent="0.25">
      <c r="A589" s="86"/>
      <c r="B589" s="71"/>
      <c r="C589" s="76"/>
    </row>
    <row r="590" spans="1:3" x14ac:dyDescent="0.25">
      <c r="A590" s="86"/>
      <c r="B590" s="71"/>
      <c r="C590" s="76"/>
    </row>
    <row r="591" spans="1:3" x14ac:dyDescent="0.25">
      <c r="A591" s="86"/>
      <c r="B591" s="71"/>
      <c r="C591" s="76"/>
    </row>
    <row r="592" spans="1:3" x14ac:dyDescent="0.25">
      <c r="A592" s="86"/>
      <c r="B592" s="71"/>
      <c r="C592" s="76"/>
    </row>
    <row r="593" spans="1:3" x14ac:dyDescent="0.25">
      <c r="A593" s="86"/>
      <c r="B593" s="71"/>
      <c r="C593" s="76"/>
    </row>
    <row r="594" spans="1:3" x14ac:dyDescent="0.25">
      <c r="A594" s="86"/>
      <c r="B594" s="71"/>
      <c r="C594" s="76"/>
    </row>
    <row r="595" spans="1:3" x14ac:dyDescent="0.25">
      <c r="A595" s="86"/>
      <c r="B595" s="71"/>
      <c r="C595" s="76"/>
    </row>
    <row r="596" spans="1:3" x14ac:dyDescent="0.25">
      <c r="A596" s="86"/>
      <c r="B596" s="71"/>
      <c r="C596" s="76"/>
    </row>
    <row r="597" spans="1:3" x14ac:dyDescent="0.25">
      <c r="A597" s="86"/>
      <c r="B597" s="71"/>
      <c r="C597" s="76"/>
    </row>
    <row r="598" spans="1:3" x14ac:dyDescent="0.25">
      <c r="A598" s="86"/>
      <c r="B598" s="71"/>
      <c r="C598" s="76"/>
    </row>
    <row r="599" spans="1:3" x14ac:dyDescent="0.25">
      <c r="A599" s="86"/>
      <c r="B599" s="71"/>
      <c r="C599" s="76"/>
    </row>
    <row r="600" spans="1:3" x14ac:dyDescent="0.25">
      <c r="A600" s="86"/>
      <c r="B600" s="71"/>
      <c r="C600" s="76"/>
    </row>
    <row r="601" spans="1:3" x14ac:dyDescent="0.25">
      <c r="A601" s="86"/>
      <c r="B601" s="71"/>
      <c r="C601" s="76"/>
    </row>
    <row r="602" spans="1:3" x14ac:dyDescent="0.25">
      <c r="A602" s="86"/>
      <c r="B602" s="71"/>
      <c r="C602" s="76"/>
    </row>
    <row r="603" spans="1:3" x14ac:dyDescent="0.25">
      <c r="A603" s="86"/>
      <c r="B603" s="71"/>
      <c r="C603" s="76"/>
    </row>
    <row r="604" spans="1:3" x14ac:dyDescent="0.25">
      <c r="A604" s="86"/>
      <c r="B604" s="71"/>
      <c r="C604" s="76"/>
    </row>
    <row r="605" spans="1:3" x14ac:dyDescent="0.25">
      <c r="A605" s="86"/>
      <c r="B605" s="71"/>
      <c r="C605" s="76"/>
    </row>
    <row r="606" spans="1:3" x14ac:dyDescent="0.25">
      <c r="A606" s="86"/>
      <c r="B606" s="71"/>
      <c r="C606" s="76"/>
    </row>
    <row r="607" spans="1:3" x14ac:dyDescent="0.25">
      <c r="A607" s="86"/>
      <c r="B607" s="71"/>
      <c r="C607" s="76"/>
    </row>
    <row r="608" spans="1:3" x14ac:dyDescent="0.25">
      <c r="A608" s="86"/>
      <c r="B608" s="71"/>
      <c r="C608" s="76"/>
    </row>
    <row r="609" spans="1:3" x14ac:dyDescent="0.25">
      <c r="A609" s="86"/>
      <c r="B609" s="71"/>
      <c r="C609" s="76"/>
    </row>
    <row r="610" spans="1:3" x14ac:dyDescent="0.25">
      <c r="A610" s="86"/>
      <c r="B610" s="71"/>
      <c r="C610" s="76"/>
    </row>
    <row r="611" spans="1:3" x14ac:dyDescent="0.25">
      <c r="A611" s="86"/>
      <c r="B611" s="71"/>
      <c r="C611" s="76"/>
    </row>
    <row r="612" spans="1:3" x14ac:dyDescent="0.25">
      <c r="A612" s="86"/>
      <c r="B612" s="71"/>
      <c r="C612" s="76"/>
    </row>
    <row r="613" spans="1:3" x14ac:dyDescent="0.25">
      <c r="A613" s="86"/>
      <c r="B613" s="71"/>
      <c r="C613" s="76"/>
    </row>
    <row r="614" spans="1:3" x14ac:dyDescent="0.25">
      <c r="A614" s="86"/>
      <c r="B614" s="71"/>
      <c r="C614" s="76"/>
    </row>
    <row r="615" spans="1:3" x14ac:dyDescent="0.25">
      <c r="A615" s="86"/>
      <c r="B615" s="71"/>
      <c r="C615" s="76"/>
    </row>
    <row r="616" spans="1:3" x14ac:dyDescent="0.25">
      <c r="A616" s="86"/>
      <c r="B616" s="71"/>
      <c r="C616" s="76"/>
    </row>
    <row r="617" spans="1:3" x14ac:dyDescent="0.25">
      <c r="A617" s="86"/>
      <c r="B617" s="71"/>
      <c r="C617" s="76"/>
    </row>
    <row r="618" spans="1:3" x14ac:dyDescent="0.25">
      <c r="A618" s="86"/>
      <c r="B618" s="71"/>
      <c r="C618" s="76"/>
    </row>
    <row r="619" spans="1:3" x14ac:dyDescent="0.25">
      <c r="A619" s="86"/>
      <c r="B619" s="71"/>
      <c r="C619" s="76"/>
    </row>
    <row r="620" spans="1:3" x14ac:dyDescent="0.25">
      <c r="A620" s="86"/>
      <c r="B620" s="71"/>
      <c r="C620" s="76"/>
    </row>
    <row r="621" spans="1:3" x14ac:dyDescent="0.25">
      <c r="A621" s="86"/>
      <c r="B621" s="71"/>
      <c r="C621" s="76"/>
    </row>
    <row r="622" spans="1:3" x14ac:dyDescent="0.25">
      <c r="A622" s="86"/>
      <c r="B622" s="71"/>
      <c r="C622" s="76"/>
    </row>
    <row r="623" spans="1:3" x14ac:dyDescent="0.25">
      <c r="A623" s="86"/>
      <c r="B623" s="71"/>
      <c r="C623" s="76"/>
    </row>
    <row r="624" spans="1:3" x14ac:dyDescent="0.25">
      <c r="A624" s="86"/>
      <c r="B624" s="71"/>
      <c r="C624" s="76"/>
    </row>
    <row r="625" spans="1:3" x14ac:dyDescent="0.25">
      <c r="A625" s="86"/>
      <c r="B625" s="71"/>
      <c r="C625" s="76"/>
    </row>
    <row r="626" spans="1:3" x14ac:dyDescent="0.25">
      <c r="A626" s="86"/>
      <c r="B626" s="71"/>
      <c r="C626" s="76"/>
    </row>
    <row r="627" spans="1:3" x14ac:dyDescent="0.25">
      <c r="A627" s="86"/>
      <c r="B627" s="71"/>
      <c r="C627" s="76"/>
    </row>
    <row r="628" spans="1:3" x14ac:dyDescent="0.25">
      <c r="A628" s="86"/>
      <c r="B628" s="71"/>
      <c r="C628" s="76"/>
    </row>
    <row r="629" spans="1:3" x14ac:dyDescent="0.25">
      <c r="A629" s="86"/>
      <c r="B629" s="71"/>
      <c r="C629" s="76"/>
    </row>
    <row r="630" spans="1:3" x14ac:dyDescent="0.25">
      <c r="A630" s="86"/>
      <c r="B630" s="71"/>
      <c r="C630" s="76"/>
    </row>
    <row r="631" spans="1:3" x14ac:dyDescent="0.25">
      <c r="A631" s="86"/>
      <c r="B631" s="71"/>
      <c r="C631" s="76"/>
    </row>
    <row r="632" spans="1:3" x14ac:dyDescent="0.25">
      <c r="A632" s="86"/>
      <c r="B632" s="71"/>
      <c r="C632" s="76"/>
    </row>
    <row r="633" spans="1:3" x14ac:dyDescent="0.25">
      <c r="A633" s="86"/>
      <c r="B633" s="71"/>
      <c r="C633" s="76"/>
    </row>
    <row r="634" spans="1:3" x14ac:dyDescent="0.25">
      <c r="A634" s="86"/>
      <c r="B634" s="71"/>
      <c r="C634" s="76"/>
    </row>
    <row r="635" spans="1:3" x14ac:dyDescent="0.25">
      <c r="A635" s="86"/>
      <c r="B635" s="71"/>
      <c r="C635" s="76"/>
    </row>
    <row r="636" spans="1:3" x14ac:dyDescent="0.25">
      <c r="A636" s="86"/>
      <c r="B636" s="71"/>
      <c r="C636" s="76"/>
    </row>
    <row r="637" spans="1:3" x14ac:dyDescent="0.25">
      <c r="A637" s="86"/>
      <c r="B637" s="71"/>
      <c r="C637" s="76"/>
    </row>
    <row r="638" spans="1:3" x14ac:dyDescent="0.25">
      <c r="A638" s="86"/>
      <c r="B638" s="71"/>
      <c r="C638" s="76"/>
    </row>
    <row r="639" spans="1:3" x14ac:dyDescent="0.25">
      <c r="A639" s="86"/>
      <c r="B639" s="71"/>
      <c r="C639" s="76"/>
    </row>
    <row r="640" spans="1:3" x14ac:dyDescent="0.25">
      <c r="A640" s="86"/>
      <c r="B640" s="71"/>
      <c r="C640" s="76"/>
    </row>
    <row r="641" spans="1:3" x14ac:dyDescent="0.25">
      <c r="A641" s="86"/>
      <c r="B641" s="71"/>
      <c r="C641" s="76"/>
    </row>
    <row r="642" spans="1:3" x14ac:dyDescent="0.25">
      <c r="A642" s="86"/>
      <c r="B642" s="71"/>
      <c r="C642" s="76"/>
    </row>
    <row r="643" spans="1:3" x14ac:dyDescent="0.25">
      <c r="A643" s="86"/>
      <c r="B643" s="71"/>
      <c r="C643" s="76"/>
    </row>
    <row r="644" spans="1:3" x14ac:dyDescent="0.25">
      <c r="A644" s="86"/>
      <c r="B644" s="71"/>
      <c r="C644" s="76"/>
    </row>
    <row r="645" spans="1:3" x14ac:dyDescent="0.25">
      <c r="A645" s="86"/>
      <c r="B645" s="71"/>
      <c r="C645" s="76"/>
    </row>
    <row r="646" spans="1:3" x14ac:dyDescent="0.25">
      <c r="A646" s="86"/>
      <c r="B646" s="71"/>
      <c r="C646" s="76"/>
    </row>
    <row r="647" spans="1:3" x14ac:dyDescent="0.25">
      <c r="A647" s="86"/>
      <c r="B647" s="71"/>
      <c r="C647" s="76"/>
    </row>
    <row r="648" spans="1:3" x14ac:dyDescent="0.25">
      <c r="A648" s="86"/>
      <c r="B648" s="71"/>
      <c r="C648" s="76"/>
    </row>
    <row r="649" spans="1:3" x14ac:dyDescent="0.25">
      <c r="A649" s="86"/>
      <c r="B649" s="71"/>
      <c r="C649" s="76"/>
    </row>
    <row r="650" spans="1:3" x14ac:dyDescent="0.25">
      <c r="A650" s="86"/>
      <c r="B650" s="71"/>
      <c r="C650" s="76"/>
    </row>
    <row r="651" spans="1:3" x14ac:dyDescent="0.25">
      <c r="A651" s="86"/>
      <c r="B651" s="71"/>
      <c r="C651" s="76"/>
    </row>
    <row r="652" spans="1:3" x14ac:dyDescent="0.25">
      <c r="A652" s="86"/>
      <c r="B652" s="71"/>
      <c r="C652" s="76"/>
    </row>
    <row r="653" spans="1:3" x14ac:dyDescent="0.25">
      <c r="A653" s="86"/>
      <c r="B653" s="71"/>
      <c r="C653" s="76"/>
    </row>
    <row r="654" spans="1:3" x14ac:dyDescent="0.25">
      <c r="A654" s="86"/>
      <c r="B654" s="71"/>
      <c r="C654" s="76"/>
    </row>
    <row r="655" spans="1:3" x14ac:dyDescent="0.25">
      <c r="A655" s="86"/>
      <c r="B655" s="71"/>
      <c r="C655" s="76"/>
    </row>
    <row r="656" spans="1:3" x14ac:dyDescent="0.25">
      <c r="A656" s="86"/>
      <c r="B656" s="71"/>
      <c r="C656" s="76"/>
    </row>
    <row r="657" spans="1:3" x14ac:dyDescent="0.25">
      <c r="A657" s="86"/>
      <c r="B657" s="71"/>
      <c r="C657" s="76"/>
    </row>
    <row r="658" spans="1:3" x14ac:dyDescent="0.25">
      <c r="A658" s="86"/>
      <c r="B658" s="71"/>
      <c r="C658" s="76"/>
    </row>
    <row r="659" spans="1:3" x14ac:dyDescent="0.25">
      <c r="A659" s="86"/>
      <c r="B659" s="71"/>
      <c r="C659" s="76"/>
    </row>
    <row r="660" spans="1:3" x14ac:dyDescent="0.25">
      <c r="A660" s="86"/>
      <c r="B660" s="71"/>
      <c r="C660" s="76"/>
    </row>
    <row r="661" spans="1:3" x14ac:dyDescent="0.25">
      <c r="A661" s="86"/>
      <c r="B661" s="71"/>
      <c r="C661" s="76"/>
    </row>
    <row r="662" spans="1:3" x14ac:dyDescent="0.25">
      <c r="A662" s="86"/>
      <c r="B662" s="71"/>
      <c r="C662" s="76"/>
    </row>
    <row r="663" spans="1:3" x14ac:dyDescent="0.25">
      <c r="A663" s="86"/>
      <c r="B663" s="71"/>
      <c r="C663" s="76"/>
    </row>
    <row r="664" spans="1:3" x14ac:dyDescent="0.25">
      <c r="A664" s="86"/>
      <c r="B664" s="71"/>
      <c r="C664" s="76"/>
    </row>
    <row r="665" spans="1:3" x14ac:dyDescent="0.25">
      <c r="A665" s="86"/>
      <c r="B665" s="71"/>
      <c r="C665" s="76"/>
    </row>
    <row r="666" spans="1:3" x14ac:dyDescent="0.25">
      <c r="A666" s="86"/>
      <c r="B666" s="71"/>
      <c r="C666" s="76"/>
    </row>
    <row r="667" spans="1:3" x14ac:dyDescent="0.25">
      <c r="A667" s="86"/>
      <c r="B667" s="71"/>
      <c r="C667" s="76"/>
    </row>
    <row r="668" spans="1:3" x14ac:dyDescent="0.25">
      <c r="A668" s="86"/>
      <c r="B668" s="71"/>
      <c r="C668" s="76"/>
    </row>
    <row r="669" spans="1:3" x14ac:dyDescent="0.25">
      <c r="A669" s="86"/>
      <c r="B669" s="71"/>
      <c r="C669" s="76"/>
    </row>
    <row r="670" spans="1:3" x14ac:dyDescent="0.25">
      <c r="A670" s="86"/>
      <c r="B670" s="71"/>
      <c r="C670" s="76"/>
    </row>
    <row r="671" spans="1:3" x14ac:dyDescent="0.25">
      <c r="A671" s="86"/>
      <c r="B671" s="71"/>
      <c r="C671" s="76"/>
    </row>
    <row r="672" spans="1:3" x14ac:dyDescent="0.25">
      <c r="A672" s="86"/>
      <c r="B672" s="71"/>
      <c r="C672" s="76"/>
    </row>
    <row r="673" spans="1:3" x14ac:dyDescent="0.25">
      <c r="A673" s="86"/>
      <c r="B673" s="71"/>
      <c r="C673" s="76"/>
    </row>
    <row r="674" spans="1:3" x14ac:dyDescent="0.25">
      <c r="A674" s="86"/>
      <c r="B674" s="71"/>
      <c r="C674" s="76"/>
    </row>
    <row r="675" spans="1:3" x14ac:dyDescent="0.25">
      <c r="A675" s="86"/>
      <c r="B675" s="71"/>
      <c r="C675" s="76"/>
    </row>
    <row r="676" spans="1:3" x14ac:dyDescent="0.25">
      <c r="A676" s="86"/>
      <c r="B676" s="71"/>
      <c r="C676" s="76"/>
    </row>
    <row r="677" spans="1:3" x14ac:dyDescent="0.25">
      <c r="A677" s="86"/>
      <c r="B677" s="71"/>
      <c r="C677" s="76"/>
    </row>
    <row r="678" spans="1:3" x14ac:dyDescent="0.25">
      <c r="A678" s="86"/>
      <c r="B678" s="71"/>
      <c r="C678" s="76"/>
    </row>
    <row r="679" spans="1:3" x14ac:dyDescent="0.25">
      <c r="A679" s="86"/>
      <c r="B679" s="71"/>
      <c r="C679" s="76"/>
    </row>
    <row r="680" spans="1:3" x14ac:dyDescent="0.25">
      <c r="A680" s="86"/>
      <c r="B680" s="71"/>
      <c r="C680" s="76"/>
    </row>
    <row r="681" spans="1:3" x14ac:dyDescent="0.25">
      <c r="A681" s="86"/>
      <c r="B681" s="71"/>
      <c r="C681" s="76"/>
    </row>
    <row r="682" spans="1:3" x14ac:dyDescent="0.25">
      <c r="A682" s="86"/>
      <c r="B682" s="71"/>
      <c r="C682" s="76"/>
    </row>
    <row r="683" spans="1:3" x14ac:dyDescent="0.25">
      <c r="A683" s="86"/>
      <c r="B683" s="71"/>
      <c r="C683" s="76"/>
    </row>
    <row r="684" spans="1:3" x14ac:dyDescent="0.25">
      <c r="A684" s="86"/>
      <c r="B684" s="71"/>
      <c r="C684" s="76"/>
    </row>
    <row r="685" spans="1:3" x14ac:dyDescent="0.25">
      <c r="A685" s="86"/>
      <c r="B685" s="71"/>
      <c r="C685" s="76"/>
    </row>
    <row r="686" spans="1:3" x14ac:dyDescent="0.25">
      <c r="A686" s="86"/>
      <c r="B686" s="71"/>
      <c r="C686" s="76"/>
    </row>
    <row r="687" spans="1:3" x14ac:dyDescent="0.25">
      <c r="A687" s="86"/>
      <c r="B687" s="71"/>
      <c r="C687" s="76"/>
    </row>
    <row r="688" spans="1:3" x14ac:dyDescent="0.25">
      <c r="A688" s="86"/>
      <c r="B688" s="71"/>
      <c r="C688" s="76"/>
    </row>
    <row r="689" spans="1:3" x14ac:dyDescent="0.25">
      <c r="A689" s="86"/>
      <c r="B689" s="71"/>
      <c r="C689" s="76"/>
    </row>
    <row r="690" spans="1:3" x14ac:dyDescent="0.25">
      <c r="A690" s="86"/>
      <c r="B690" s="71"/>
      <c r="C690" s="76"/>
    </row>
    <row r="691" spans="1:3" x14ac:dyDescent="0.25">
      <c r="A691" s="86"/>
      <c r="B691" s="71"/>
      <c r="C691" s="76"/>
    </row>
    <row r="692" spans="1:3" x14ac:dyDescent="0.25">
      <c r="A692" s="86"/>
      <c r="B692" s="71"/>
      <c r="C692" s="76"/>
    </row>
    <row r="693" spans="1:3" x14ac:dyDescent="0.25">
      <c r="A693" s="86"/>
      <c r="B693" s="71"/>
      <c r="C693" s="76"/>
    </row>
    <row r="694" spans="1:3" x14ac:dyDescent="0.25">
      <c r="A694" s="86"/>
      <c r="B694" s="71"/>
      <c r="C694" s="76"/>
    </row>
    <row r="695" spans="1:3" x14ac:dyDescent="0.25">
      <c r="A695" s="86"/>
      <c r="B695" s="71"/>
      <c r="C695" s="76"/>
    </row>
    <row r="696" spans="1:3" x14ac:dyDescent="0.25">
      <c r="A696" s="86"/>
      <c r="B696" s="71"/>
      <c r="C696" s="76"/>
    </row>
    <row r="697" spans="1:3" x14ac:dyDescent="0.25">
      <c r="A697" s="86"/>
      <c r="B697" s="71"/>
      <c r="C697" s="76"/>
    </row>
    <row r="698" spans="1:3" x14ac:dyDescent="0.25">
      <c r="A698" s="86"/>
      <c r="B698" s="71"/>
      <c r="C698" s="76"/>
    </row>
    <row r="699" spans="1:3" x14ac:dyDescent="0.25">
      <c r="A699" s="86"/>
      <c r="B699" s="71"/>
      <c r="C699" s="76"/>
    </row>
    <row r="700" spans="1:3" x14ac:dyDescent="0.25">
      <c r="A700" s="86"/>
      <c r="B700" s="71"/>
      <c r="C700" s="76"/>
    </row>
    <row r="701" spans="1:3" x14ac:dyDescent="0.25">
      <c r="A701" s="86"/>
      <c r="B701" s="71"/>
      <c r="C701" s="76"/>
    </row>
    <row r="702" spans="1:3" x14ac:dyDescent="0.25">
      <c r="A702" s="86"/>
      <c r="B702" s="71"/>
      <c r="C702" s="76"/>
    </row>
    <row r="703" spans="1:3" x14ac:dyDescent="0.25">
      <c r="A703" s="86"/>
      <c r="B703" s="71"/>
      <c r="C703" s="76"/>
    </row>
    <row r="704" spans="1:3" x14ac:dyDescent="0.25">
      <c r="A704" s="86"/>
      <c r="B704" s="71"/>
      <c r="C704" s="76"/>
    </row>
    <row r="705" spans="1:3" x14ac:dyDescent="0.25">
      <c r="A705" s="86"/>
      <c r="B705" s="71"/>
      <c r="C705" s="76"/>
    </row>
    <row r="706" spans="1:3" x14ac:dyDescent="0.25">
      <c r="A706" s="86"/>
      <c r="B706" s="71"/>
      <c r="C706" s="76"/>
    </row>
    <row r="707" spans="1:3" x14ac:dyDescent="0.25">
      <c r="A707" s="86"/>
      <c r="B707" s="71"/>
      <c r="C707" s="76"/>
    </row>
    <row r="708" spans="1:3" x14ac:dyDescent="0.25">
      <c r="A708" s="86"/>
      <c r="B708" s="71"/>
      <c r="C708" s="76"/>
    </row>
    <row r="709" spans="1:3" x14ac:dyDescent="0.25">
      <c r="A709" s="86"/>
      <c r="B709" s="71"/>
      <c r="C709" s="76"/>
    </row>
    <row r="710" spans="1:3" x14ac:dyDescent="0.25">
      <c r="A710" s="86"/>
      <c r="B710" s="71"/>
      <c r="C710" s="76"/>
    </row>
    <row r="711" spans="1:3" x14ac:dyDescent="0.25">
      <c r="A711" s="86"/>
      <c r="B711" s="71"/>
      <c r="C711" s="76"/>
    </row>
    <row r="712" spans="1:3" x14ac:dyDescent="0.25">
      <c r="A712" s="86"/>
      <c r="B712" s="71"/>
      <c r="C712" s="76"/>
    </row>
    <row r="713" spans="1:3" x14ac:dyDescent="0.25">
      <c r="A713" s="86"/>
      <c r="B713" s="71"/>
      <c r="C713" s="76"/>
    </row>
    <row r="714" spans="1:3" x14ac:dyDescent="0.25">
      <c r="A714" s="86"/>
      <c r="B714" s="71"/>
      <c r="C714" s="76"/>
    </row>
    <row r="715" spans="1:3" x14ac:dyDescent="0.25">
      <c r="A715" s="86"/>
      <c r="B715" s="71"/>
      <c r="C715" s="76"/>
    </row>
    <row r="716" spans="1:3" x14ac:dyDescent="0.25">
      <c r="A716" s="86"/>
      <c r="B716" s="71"/>
      <c r="C716" s="76"/>
    </row>
    <row r="717" spans="1:3" x14ac:dyDescent="0.25">
      <c r="A717" s="86"/>
      <c r="B717" s="71"/>
      <c r="C717" s="76"/>
    </row>
    <row r="718" spans="1:3" x14ac:dyDescent="0.25">
      <c r="A718" s="86"/>
      <c r="B718" s="71"/>
      <c r="C718" s="76"/>
    </row>
    <row r="719" spans="1:3" x14ac:dyDescent="0.25">
      <c r="A719" s="86"/>
      <c r="B719" s="71"/>
      <c r="C719" s="76"/>
    </row>
    <row r="720" spans="1:3" x14ac:dyDescent="0.25">
      <c r="A720" s="86"/>
      <c r="B720" s="71"/>
      <c r="C720" s="76"/>
    </row>
    <row r="721" spans="1:3" x14ac:dyDescent="0.25">
      <c r="A721" s="86"/>
      <c r="B721" s="71"/>
      <c r="C721" s="76"/>
    </row>
    <row r="722" spans="1:3" x14ac:dyDescent="0.25">
      <c r="A722" s="86"/>
      <c r="B722" s="71"/>
      <c r="C722" s="76"/>
    </row>
    <row r="723" spans="1:3" x14ac:dyDescent="0.25">
      <c r="A723" s="86"/>
      <c r="B723" s="71"/>
      <c r="C723" s="76"/>
    </row>
    <row r="724" spans="1:3" x14ac:dyDescent="0.25">
      <c r="A724" s="86"/>
      <c r="B724" s="71"/>
      <c r="C724" s="76"/>
    </row>
    <row r="725" spans="1:3" x14ac:dyDescent="0.25">
      <c r="A725" s="86"/>
      <c r="B725" s="71"/>
      <c r="C725" s="76"/>
    </row>
    <row r="726" spans="1:3" x14ac:dyDescent="0.25">
      <c r="A726" s="86"/>
      <c r="B726" s="71"/>
      <c r="C726" s="76"/>
    </row>
    <row r="727" spans="1:3" x14ac:dyDescent="0.25">
      <c r="A727" s="86"/>
      <c r="B727" s="71"/>
      <c r="C727" s="76"/>
    </row>
    <row r="728" spans="1:3" x14ac:dyDescent="0.25">
      <c r="A728" s="86"/>
      <c r="B728" s="71"/>
      <c r="C728" s="76"/>
    </row>
    <row r="729" spans="1:3" x14ac:dyDescent="0.25">
      <c r="A729" s="86"/>
      <c r="B729" s="71"/>
      <c r="C729" s="76"/>
    </row>
    <row r="730" spans="1:3" x14ac:dyDescent="0.25">
      <c r="A730" s="86"/>
      <c r="B730" s="71"/>
      <c r="C730" s="76"/>
    </row>
    <row r="731" spans="1:3" x14ac:dyDescent="0.25">
      <c r="A731" s="86"/>
      <c r="B731" s="71"/>
      <c r="C731" s="76"/>
    </row>
    <row r="732" spans="1:3" x14ac:dyDescent="0.25">
      <c r="A732" s="86"/>
      <c r="B732" s="71"/>
      <c r="C732" s="76"/>
    </row>
    <row r="733" spans="1:3" x14ac:dyDescent="0.25">
      <c r="A733" s="86"/>
      <c r="B733" s="71"/>
      <c r="C733" s="76"/>
    </row>
    <row r="734" spans="1:3" x14ac:dyDescent="0.25">
      <c r="A734" s="86"/>
      <c r="B734" s="71"/>
      <c r="C734" s="76"/>
    </row>
    <row r="735" spans="1:3" x14ac:dyDescent="0.25">
      <c r="A735" s="86"/>
      <c r="B735" s="71"/>
      <c r="C735" s="76"/>
    </row>
    <row r="736" spans="1:3" x14ac:dyDescent="0.25">
      <c r="A736" s="86"/>
      <c r="B736" s="71"/>
      <c r="C736" s="76"/>
    </row>
    <row r="737" spans="1:3" x14ac:dyDescent="0.25">
      <c r="A737" s="86"/>
      <c r="B737" s="71"/>
      <c r="C737" s="76"/>
    </row>
    <row r="738" spans="1:3" x14ac:dyDescent="0.25">
      <c r="A738" s="86"/>
      <c r="B738" s="71"/>
      <c r="C738" s="76"/>
    </row>
    <row r="739" spans="1:3" x14ac:dyDescent="0.25">
      <c r="A739" s="86"/>
      <c r="B739" s="71"/>
      <c r="C739" s="76"/>
    </row>
    <row r="740" spans="1:3" x14ac:dyDescent="0.25">
      <c r="A740" s="86"/>
      <c r="B740" s="71"/>
      <c r="C740" s="76"/>
    </row>
    <row r="741" spans="1:3" x14ac:dyDescent="0.25">
      <c r="A741" s="86"/>
      <c r="B741" s="71"/>
      <c r="C741" s="76"/>
    </row>
    <row r="742" spans="1:3" x14ac:dyDescent="0.25">
      <c r="A742" s="86"/>
      <c r="B742" s="71"/>
      <c r="C742" s="76"/>
    </row>
    <row r="743" spans="1:3" x14ac:dyDescent="0.25">
      <c r="A743" s="86"/>
      <c r="B743" s="71"/>
      <c r="C743" s="76"/>
    </row>
    <row r="744" spans="1:3" x14ac:dyDescent="0.25">
      <c r="A744" s="86"/>
      <c r="B744" s="71"/>
      <c r="C744" s="76"/>
    </row>
    <row r="745" spans="1:3" x14ac:dyDescent="0.25">
      <c r="A745" s="86"/>
      <c r="B745" s="71"/>
      <c r="C745" s="76"/>
    </row>
    <row r="746" spans="1:3" x14ac:dyDescent="0.25">
      <c r="A746" s="86"/>
      <c r="B746" s="71"/>
      <c r="C746" s="76"/>
    </row>
    <row r="747" spans="1:3" x14ac:dyDescent="0.25">
      <c r="A747" s="86"/>
      <c r="B747" s="71"/>
      <c r="C747" s="76"/>
    </row>
    <row r="748" spans="1:3" x14ac:dyDescent="0.25">
      <c r="A748" s="86"/>
      <c r="B748" s="71"/>
      <c r="C748" s="76"/>
    </row>
    <row r="749" spans="1:3" x14ac:dyDescent="0.25">
      <c r="A749" s="86"/>
      <c r="B749" s="71"/>
      <c r="C749" s="76"/>
    </row>
    <row r="750" spans="1:3" x14ac:dyDescent="0.25">
      <c r="A750" s="86"/>
      <c r="B750" s="71"/>
      <c r="C750" s="76"/>
    </row>
    <row r="751" spans="1:3" x14ac:dyDescent="0.25">
      <c r="A751" s="86"/>
      <c r="B751" s="71"/>
      <c r="C751" s="76"/>
    </row>
    <row r="752" spans="1:3" x14ac:dyDescent="0.25">
      <c r="A752" s="86"/>
      <c r="B752" s="71"/>
      <c r="C752" s="76"/>
    </row>
    <row r="753" spans="1:3" x14ac:dyDescent="0.25">
      <c r="A753" s="86"/>
      <c r="B753" s="71"/>
      <c r="C753" s="76"/>
    </row>
    <row r="754" spans="1:3" x14ac:dyDescent="0.25">
      <c r="A754" s="86"/>
      <c r="B754" s="71"/>
      <c r="C754" s="76"/>
    </row>
    <row r="755" spans="1:3" x14ac:dyDescent="0.25">
      <c r="A755" s="86"/>
      <c r="B755" s="71"/>
      <c r="C755" s="76"/>
    </row>
    <row r="756" spans="1:3" x14ac:dyDescent="0.25">
      <c r="A756" s="86"/>
      <c r="B756" s="71"/>
      <c r="C756" s="76"/>
    </row>
    <row r="757" spans="1:3" x14ac:dyDescent="0.25">
      <c r="A757" s="86"/>
      <c r="B757" s="71"/>
      <c r="C757" s="76"/>
    </row>
    <row r="758" spans="1:3" x14ac:dyDescent="0.25">
      <c r="A758" s="86"/>
      <c r="B758" s="71"/>
      <c r="C758" s="76"/>
    </row>
    <row r="759" spans="1:3" x14ac:dyDescent="0.25">
      <c r="A759" s="86"/>
      <c r="B759" s="71"/>
      <c r="C759" s="76"/>
    </row>
    <row r="760" spans="1:3" x14ac:dyDescent="0.25">
      <c r="A760" s="86"/>
      <c r="B760" s="71"/>
      <c r="C760" s="76"/>
    </row>
    <row r="761" spans="1:3" x14ac:dyDescent="0.25">
      <c r="A761" s="86"/>
      <c r="B761" s="71"/>
      <c r="C761" s="76"/>
    </row>
    <row r="762" spans="1:3" x14ac:dyDescent="0.25">
      <c r="A762" s="86"/>
      <c r="B762" s="71"/>
      <c r="C762" s="76"/>
    </row>
    <row r="763" spans="1:3" x14ac:dyDescent="0.25">
      <c r="A763" s="86"/>
      <c r="B763" s="71"/>
      <c r="C763" s="76"/>
    </row>
    <row r="764" spans="1:3" x14ac:dyDescent="0.25">
      <c r="A764" s="86"/>
      <c r="B764" s="71"/>
      <c r="C764" s="76"/>
    </row>
    <row r="765" spans="1:3" x14ac:dyDescent="0.25">
      <c r="A765" s="86"/>
      <c r="B765" s="71"/>
      <c r="C765" s="76"/>
    </row>
    <row r="766" spans="1:3" x14ac:dyDescent="0.25">
      <c r="A766" s="86"/>
      <c r="B766" s="71"/>
      <c r="C766" s="76"/>
    </row>
    <row r="767" spans="1:3" x14ac:dyDescent="0.25">
      <c r="A767" s="86"/>
      <c r="B767" s="71"/>
      <c r="C767" s="76"/>
    </row>
    <row r="768" spans="1:3" x14ac:dyDescent="0.25">
      <c r="A768" s="86"/>
      <c r="B768" s="71"/>
      <c r="C768" s="76"/>
    </row>
    <row r="769" spans="1:3" x14ac:dyDescent="0.25">
      <c r="A769" s="86"/>
      <c r="B769" s="71"/>
      <c r="C769" s="76"/>
    </row>
    <row r="770" spans="1:3" x14ac:dyDescent="0.25">
      <c r="A770" s="86"/>
      <c r="B770" s="71"/>
      <c r="C770" s="76"/>
    </row>
    <row r="771" spans="1:3" x14ac:dyDescent="0.25">
      <c r="A771" s="86"/>
      <c r="B771" s="71"/>
      <c r="C771" s="76"/>
    </row>
    <row r="772" spans="1:3" x14ac:dyDescent="0.25">
      <c r="A772" s="86"/>
      <c r="B772" s="71"/>
      <c r="C772" s="76"/>
    </row>
    <row r="773" spans="1:3" x14ac:dyDescent="0.25">
      <c r="A773" s="86"/>
      <c r="B773" s="71"/>
      <c r="C773" s="76"/>
    </row>
    <row r="774" spans="1:3" x14ac:dyDescent="0.25">
      <c r="A774" s="86"/>
      <c r="B774" s="71"/>
      <c r="C774" s="76"/>
    </row>
    <row r="775" spans="1:3" x14ac:dyDescent="0.25">
      <c r="A775" s="86"/>
      <c r="B775" s="71"/>
      <c r="C775" s="76"/>
    </row>
    <row r="776" spans="1:3" x14ac:dyDescent="0.25">
      <c r="A776" s="86"/>
      <c r="B776" s="71"/>
      <c r="C776" s="76"/>
    </row>
    <row r="777" spans="1:3" x14ac:dyDescent="0.25">
      <c r="A777" s="86"/>
      <c r="B777" s="71"/>
      <c r="C777" s="76"/>
    </row>
    <row r="778" spans="1:3" x14ac:dyDescent="0.25">
      <c r="A778" s="86"/>
      <c r="B778" s="71"/>
      <c r="C778" s="76"/>
    </row>
    <row r="779" spans="1:3" x14ac:dyDescent="0.25">
      <c r="A779" s="86"/>
      <c r="B779" s="71"/>
      <c r="C779" s="76"/>
    </row>
    <row r="780" spans="1:3" x14ac:dyDescent="0.25">
      <c r="A780" s="86"/>
      <c r="B780" s="71"/>
      <c r="C780" s="76"/>
    </row>
    <row r="781" spans="1:3" x14ac:dyDescent="0.25">
      <c r="A781" s="86"/>
      <c r="B781" s="71"/>
      <c r="C781" s="76"/>
    </row>
    <row r="782" spans="1:3" x14ac:dyDescent="0.25">
      <c r="A782" s="86"/>
      <c r="B782" s="71"/>
      <c r="C782" s="76"/>
    </row>
    <row r="783" spans="1:3" x14ac:dyDescent="0.25">
      <c r="A783" s="86"/>
      <c r="B783" s="71"/>
      <c r="C783" s="76"/>
    </row>
    <row r="784" spans="1:3" x14ac:dyDescent="0.25">
      <c r="A784" s="86"/>
      <c r="B784" s="71"/>
      <c r="C784" s="76"/>
    </row>
    <row r="785" spans="1:3" x14ac:dyDescent="0.25">
      <c r="A785" s="86"/>
      <c r="B785" s="71"/>
      <c r="C785" s="76"/>
    </row>
    <row r="786" spans="1:3" x14ac:dyDescent="0.25">
      <c r="A786" s="86"/>
      <c r="B786" s="71"/>
      <c r="C786" s="76"/>
    </row>
    <row r="787" spans="1:3" x14ac:dyDescent="0.25">
      <c r="A787" s="86"/>
      <c r="B787" s="71"/>
      <c r="C787" s="76"/>
    </row>
    <row r="788" spans="1:3" x14ac:dyDescent="0.25">
      <c r="A788" s="86"/>
      <c r="B788" s="71"/>
      <c r="C788" s="76"/>
    </row>
    <row r="789" spans="1:3" x14ac:dyDescent="0.25">
      <c r="A789" s="86"/>
      <c r="B789" s="71"/>
      <c r="C789" s="76"/>
    </row>
    <row r="790" spans="1:3" x14ac:dyDescent="0.25">
      <c r="A790" s="86"/>
      <c r="B790" s="71"/>
      <c r="C790" s="76"/>
    </row>
    <row r="791" spans="1:3" x14ac:dyDescent="0.25">
      <c r="A791" s="86"/>
      <c r="B791" s="71"/>
      <c r="C791" s="76"/>
    </row>
    <row r="792" spans="1:3" x14ac:dyDescent="0.25">
      <c r="A792" s="86"/>
      <c r="B792" s="71"/>
      <c r="C792" s="76"/>
    </row>
    <row r="793" spans="1:3" x14ac:dyDescent="0.25">
      <c r="A793" s="86"/>
      <c r="B793" s="71"/>
      <c r="C793" s="76"/>
    </row>
    <row r="794" spans="1:3" x14ac:dyDescent="0.25">
      <c r="A794" s="86"/>
      <c r="B794" s="71"/>
      <c r="C794" s="76"/>
    </row>
    <row r="795" spans="1:3" x14ac:dyDescent="0.25">
      <c r="A795" s="86"/>
      <c r="B795" s="71"/>
      <c r="C795" s="76"/>
    </row>
    <row r="796" spans="1:3" x14ac:dyDescent="0.25">
      <c r="A796" s="86"/>
      <c r="B796" s="71"/>
      <c r="C796" s="76"/>
    </row>
    <row r="797" spans="1:3" x14ac:dyDescent="0.25">
      <c r="A797" s="86"/>
      <c r="B797" s="71"/>
      <c r="C797" s="76"/>
    </row>
  </sheetData>
  <autoFilter ref="A3:C540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19" priority="83" stopIfTrue="1">
      <formula>AB10="ERROR CUIT"</formula>
    </cfRule>
  </conditionalFormatting>
  <conditionalFormatting sqref="A12:A13">
    <cfRule type="expression" dxfId="18" priority="55" stopIfTrue="1">
      <formula>AC12="ERROR CUIT"</formula>
    </cfRule>
  </conditionalFormatting>
  <conditionalFormatting sqref="A15">
    <cfRule type="expression" dxfId="17" priority="50" stopIfTrue="1">
      <formula>AG26="ERROR CUIT"</formula>
    </cfRule>
  </conditionalFormatting>
  <conditionalFormatting sqref="A16:A19">
    <cfRule type="expression" dxfId="16" priority="46" stopIfTrue="1">
      <formula>AC16="ERROR CUIT"</formula>
    </cfRule>
  </conditionalFormatting>
  <conditionalFormatting sqref="A21:A24">
    <cfRule type="expression" dxfId="15" priority="51" stopIfTrue="1">
      <formula>AC21="ERROR CUIT"</formula>
    </cfRule>
  </conditionalFormatting>
  <conditionalFormatting sqref="A27">
    <cfRule type="expression" dxfId="14" priority="25" stopIfTrue="1">
      <formula>AC27="ERROR CUIT"</formula>
    </cfRule>
  </conditionalFormatting>
  <conditionalFormatting sqref="A55 A62">
    <cfRule type="expression" dxfId="13" priority="82" stopIfTrue="1">
      <formula>Y55="ERROR CUIT"</formula>
    </cfRule>
  </conditionalFormatting>
  <conditionalFormatting sqref="A57:A58">
    <cfRule type="expression" dxfId="12" priority="80" stopIfTrue="1">
      <formula>Y57="ERROR CUIT"</formula>
    </cfRule>
  </conditionalFormatting>
  <conditionalFormatting sqref="A59:A61">
    <cfRule type="expression" dxfId="11" priority="6" stopIfTrue="1">
      <formula>Z59="ERROR CUIT"</formula>
    </cfRule>
  </conditionalFormatting>
  <conditionalFormatting sqref="A63">
    <cfRule type="expression" dxfId="10" priority="5" stopIfTrue="1">
      <formula>Z63="ERROR CUIT"</formula>
    </cfRule>
  </conditionalFormatting>
  <conditionalFormatting sqref="A64:A65">
    <cfRule type="expression" dxfId="9" priority="3" stopIfTrue="1">
      <formula>AC64="ERROR CUIT"</formula>
    </cfRule>
  </conditionalFormatting>
  <conditionalFormatting sqref="A75">
    <cfRule type="expression" dxfId="8" priority="24" stopIfTrue="1">
      <formula>AC75="ERROR CUIT"</formula>
    </cfRule>
  </conditionalFormatting>
  <conditionalFormatting sqref="A76:A77">
    <cfRule type="expression" dxfId="7" priority="74" stopIfTrue="1">
      <formula>AB76="ERROR CUIT"</formula>
    </cfRule>
  </conditionalFormatting>
  <conditionalFormatting sqref="A79">
    <cfRule type="expression" dxfId="6" priority="73" stopIfTrue="1">
      <formula>AB79="ERROR CUIT"</formula>
    </cfRule>
  </conditionalFormatting>
  <conditionalFormatting sqref="A80">
    <cfRule type="expression" dxfId="5" priority="57" stopIfTrue="1">
      <formula>AC80="ERROR CUIT"</formula>
    </cfRule>
  </conditionalFormatting>
  <conditionalFormatting sqref="A81:A89">
    <cfRule type="expression" dxfId="4" priority="64" stopIfTrue="1">
      <formula>AB81="ERROR CUIT"</formula>
    </cfRule>
  </conditionalFormatting>
  <conditionalFormatting sqref="A92:A95">
    <cfRule type="expression" dxfId="3" priority="76" stopIfTrue="1">
      <formula>AB92="ERROR CUIT"</formula>
    </cfRule>
  </conditionalFormatting>
  <conditionalFormatting sqref="A107">
    <cfRule type="expression" dxfId="2" priority="63" stopIfTrue="1">
      <formula>AB107="ERROR CUIT"</formula>
    </cfRule>
  </conditionalFormatting>
  <conditionalFormatting sqref="A110:A121">
    <cfRule type="expression" dxfId="1" priority="1" stopIfTrue="1">
      <formula>AC110="ERROR CUIT"</formula>
    </cfRule>
  </conditionalFormatting>
  <conditionalFormatting sqref="A123:A125">
    <cfRule type="expression" dxfId="0" priority="37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2"/>
  <sheetViews>
    <sheetView zoomScaleNormal="100" workbookViewId="0">
      <selection activeCell="A6" sqref="A6:C6"/>
    </sheetView>
  </sheetViews>
  <sheetFormatPr baseColWidth="10" defaultColWidth="9.140625" defaultRowHeight="15" x14ac:dyDescent="0.25"/>
  <cols>
    <col min="1" max="1" width="13.7109375" style="53" customWidth="1"/>
    <col min="2" max="2" width="10" style="6" customWidth="1"/>
    <col min="3" max="3" width="14.28515625" style="6" customWidth="1"/>
    <col min="4" max="4" width="14" style="32" customWidth="1"/>
    <col min="5" max="5" width="27.85546875" customWidth="1"/>
    <col min="6" max="6" width="13.7109375" style="6" customWidth="1"/>
    <col min="7" max="7" width="12.85546875" style="6" customWidth="1"/>
    <col min="8" max="8" width="13.5703125" style="6" customWidth="1"/>
    <col min="9" max="9" width="15.42578125" customWidth="1"/>
    <col min="10" max="10" width="9.140625" bestFit="1" customWidth="1"/>
    <col min="11" max="11" width="10.140625" customWidth="1"/>
    <col min="12" max="12" width="11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 x14ac:dyDescent="0.3">
      <c r="A1" s="376" t="s">
        <v>28</v>
      </c>
      <c r="B1" s="376"/>
      <c r="C1" s="376"/>
      <c r="D1" s="376"/>
      <c r="E1" s="376"/>
      <c r="F1" s="376"/>
      <c r="G1" s="376"/>
      <c r="H1" s="376"/>
      <c r="I1" s="376"/>
      <c r="J1" s="378">
        <v>45839</v>
      </c>
      <c r="K1" s="378"/>
      <c r="L1" s="378"/>
      <c r="M1" s="378"/>
      <c r="N1" s="378"/>
    </row>
    <row r="2" spans="1:16" ht="18.75" x14ac:dyDescent="0.3">
      <c r="A2" s="52"/>
      <c r="B2" s="8"/>
      <c r="C2" s="8"/>
      <c r="D2" s="31"/>
      <c r="E2" s="194"/>
      <c r="F2" s="41"/>
      <c r="G2" s="42"/>
      <c r="H2" s="42"/>
      <c r="I2" s="9"/>
      <c r="J2" s="9"/>
      <c r="K2" s="7"/>
      <c r="L2" s="7"/>
    </row>
    <row r="3" spans="1:16" ht="15.75" thickBot="1" x14ac:dyDescent="0.3">
      <c r="F3" s="8"/>
      <c r="G3" s="43"/>
      <c r="H3" s="44"/>
      <c r="I3" s="15"/>
      <c r="J3" s="7"/>
      <c r="K3" s="7"/>
    </row>
    <row r="4" spans="1:16" ht="16.5" thickBot="1" x14ac:dyDescent="0.3">
      <c r="A4" s="379" t="s">
        <v>6</v>
      </c>
      <c r="B4" s="380"/>
      <c r="C4" s="380"/>
      <c r="D4" s="380"/>
      <c r="E4" s="380"/>
      <c r="F4" s="380"/>
      <c r="G4" s="380"/>
      <c r="H4" s="380"/>
      <c r="I4" s="380"/>
      <c r="J4" s="380"/>
      <c r="K4" s="380"/>
      <c r="L4" s="380"/>
      <c r="M4" s="380"/>
      <c r="N4" s="381"/>
    </row>
    <row r="5" spans="1:16" ht="15.75" thickBot="1" x14ac:dyDescent="0.3">
      <c r="A5" s="54"/>
      <c r="B5" s="3"/>
      <c r="C5" s="3"/>
      <c r="D5" s="33"/>
      <c r="E5" s="3"/>
      <c r="F5" s="27"/>
      <c r="G5" s="27"/>
      <c r="H5" s="27"/>
      <c r="I5" s="3"/>
      <c r="J5" s="1"/>
      <c r="K5" s="1"/>
    </row>
    <row r="6" spans="1:16" ht="16.5" thickBot="1" x14ac:dyDescent="0.3">
      <c r="A6" s="367" t="s">
        <v>20</v>
      </c>
      <c r="B6" s="368"/>
      <c r="C6" s="369"/>
      <c r="D6" s="33"/>
      <c r="E6" s="3"/>
      <c r="F6" s="27"/>
      <c r="G6" s="27"/>
      <c r="H6" s="27"/>
      <c r="I6" s="3"/>
      <c r="J6" s="1"/>
      <c r="K6" s="1"/>
    </row>
    <row r="7" spans="1:16" ht="15.75" thickBot="1" x14ac:dyDescent="0.3">
      <c r="A7" s="55" t="s">
        <v>1</v>
      </c>
      <c r="B7" s="26" t="s">
        <v>17</v>
      </c>
      <c r="C7" s="26" t="s">
        <v>5</v>
      </c>
      <c r="D7" s="34" t="s">
        <v>7</v>
      </c>
      <c r="E7" s="20" t="s">
        <v>19</v>
      </c>
      <c r="F7" s="26" t="s">
        <v>8</v>
      </c>
      <c r="G7" s="26" t="s">
        <v>9</v>
      </c>
      <c r="H7" s="26" t="s">
        <v>10</v>
      </c>
      <c r="I7" s="26" t="s">
        <v>11</v>
      </c>
      <c r="J7" s="26" t="s">
        <v>12</v>
      </c>
      <c r="K7" s="26" t="s">
        <v>13</v>
      </c>
      <c r="L7" s="26" t="s">
        <v>14</v>
      </c>
      <c r="M7" s="26" t="s">
        <v>30</v>
      </c>
      <c r="N7" s="26" t="s">
        <v>15</v>
      </c>
      <c r="O7" s="26" t="s">
        <v>4</v>
      </c>
      <c r="P7" s="26" t="s">
        <v>2</v>
      </c>
    </row>
    <row r="8" spans="1:16" ht="15" customHeight="1" x14ac:dyDescent="0.25">
      <c r="A8" s="182"/>
      <c r="B8" s="18"/>
      <c r="C8" s="184"/>
      <c r="D8" s="186"/>
      <c r="E8" s="185" t="e">
        <f>VLOOKUP(D8,Configuracion!$A$4:$C$590,2,FALSE)</f>
        <v>#N/A</v>
      </c>
      <c r="F8" s="189"/>
      <c r="G8" s="45">
        <f t="shared" ref="G8:G16" si="0">F8*21%</f>
        <v>0</v>
      </c>
      <c r="H8" s="45"/>
      <c r="I8" s="45"/>
      <c r="J8" s="45"/>
      <c r="K8" s="198"/>
      <c r="L8" s="45"/>
      <c r="M8" s="203"/>
      <c r="N8" s="45"/>
      <c r="O8" s="187">
        <f t="shared" ref="O8:O16" si="1">SUM(F8:N8)</f>
        <v>0</v>
      </c>
      <c r="P8" s="192" t="e">
        <f>VLOOKUP(D8,Configuracion!$A$4:$C$590,3,FALSE)</f>
        <v>#N/A</v>
      </c>
    </row>
    <row r="9" spans="1:16" ht="15" customHeight="1" x14ac:dyDescent="0.25">
      <c r="A9" s="182"/>
      <c r="B9" s="18"/>
      <c r="C9" s="184"/>
      <c r="D9" s="186"/>
      <c r="E9" s="185" t="e">
        <f>VLOOKUP(D9,Configuracion!$A$4:$C$590,2,FALSE)</f>
        <v>#N/A</v>
      </c>
      <c r="F9" s="189"/>
      <c r="G9" s="45">
        <f t="shared" si="0"/>
        <v>0</v>
      </c>
      <c r="H9" s="45"/>
      <c r="I9" s="45"/>
      <c r="J9" s="45"/>
      <c r="K9" s="198"/>
      <c r="L9" s="45"/>
      <c r="M9" s="203"/>
      <c r="N9" s="45"/>
      <c r="O9" s="187">
        <f t="shared" si="1"/>
        <v>0</v>
      </c>
      <c r="P9" s="192" t="e">
        <f>VLOOKUP(D9,Configuracion!$A$4:$C$590,3,FALSE)</f>
        <v>#N/A</v>
      </c>
    </row>
    <row r="10" spans="1:16" ht="15" customHeight="1" x14ac:dyDescent="0.25">
      <c r="A10" s="182"/>
      <c r="B10" s="18"/>
      <c r="C10" s="184"/>
      <c r="D10" s="186"/>
      <c r="E10" s="185" t="e">
        <f>VLOOKUP(D10,Configuracion!$A$4:$C$590,2,FALSE)</f>
        <v>#N/A</v>
      </c>
      <c r="F10" s="189"/>
      <c r="G10" s="45">
        <f t="shared" si="0"/>
        <v>0</v>
      </c>
      <c r="H10" s="45"/>
      <c r="I10" s="45"/>
      <c r="J10" s="45"/>
      <c r="K10" s="198"/>
      <c r="L10" s="45"/>
      <c r="M10" s="203"/>
      <c r="N10" s="45"/>
      <c r="O10" s="187">
        <f t="shared" si="1"/>
        <v>0</v>
      </c>
      <c r="P10" s="192" t="e">
        <f>VLOOKUP(D10,Configuracion!$A$4:$C$590,3,FALSE)</f>
        <v>#N/A</v>
      </c>
    </row>
    <row r="11" spans="1:16" ht="15" customHeight="1" x14ac:dyDescent="0.25">
      <c r="A11" s="182"/>
      <c r="B11" s="18"/>
      <c r="C11" s="184"/>
      <c r="D11" s="186"/>
      <c r="E11" s="185" t="e">
        <f>VLOOKUP(D11,Configuracion!$A$4:$C$590,2,FALSE)</f>
        <v>#N/A</v>
      </c>
      <c r="F11" s="189"/>
      <c r="G11" s="45">
        <f t="shared" si="0"/>
        <v>0</v>
      </c>
      <c r="H11" s="45"/>
      <c r="I11" s="45"/>
      <c r="J11" s="45"/>
      <c r="K11" s="198"/>
      <c r="L11" s="45"/>
      <c r="M11" s="203"/>
      <c r="N11" s="45"/>
      <c r="O11" s="187">
        <f t="shared" si="1"/>
        <v>0</v>
      </c>
      <c r="P11" s="192" t="e">
        <f>VLOOKUP(D11,Configuracion!$A$4:$C$590,3,FALSE)</f>
        <v>#N/A</v>
      </c>
    </row>
    <row r="12" spans="1:16" ht="15" customHeight="1" x14ac:dyDescent="0.25">
      <c r="A12" s="182"/>
      <c r="B12" s="18"/>
      <c r="C12" s="184"/>
      <c r="D12" s="186"/>
      <c r="E12" s="185" t="e">
        <f>VLOOKUP(D12,Configuracion!$A$4:$C$590,2,FALSE)</f>
        <v>#N/A</v>
      </c>
      <c r="F12" s="189"/>
      <c r="G12" s="45">
        <f t="shared" si="0"/>
        <v>0</v>
      </c>
      <c r="H12" s="45"/>
      <c r="I12" s="45"/>
      <c r="J12" s="45"/>
      <c r="K12" s="198"/>
      <c r="L12" s="45"/>
      <c r="M12" s="203"/>
      <c r="N12" s="45"/>
      <c r="O12" s="187">
        <f t="shared" si="1"/>
        <v>0</v>
      </c>
      <c r="P12" s="192" t="e">
        <f>VLOOKUP(D12,Configuracion!$A$4:$C$590,3,FALSE)</f>
        <v>#N/A</v>
      </c>
    </row>
    <row r="13" spans="1:16" ht="15" customHeight="1" x14ac:dyDescent="0.25">
      <c r="A13" s="182"/>
      <c r="B13" s="18"/>
      <c r="C13" s="184"/>
      <c r="D13" s="186"/>
      <c r="E13" s="185" t="e">
        <f>VLOOKUP(D13,Configuracion!$A$4:$C$590,2,FALSE)</f>
        <v>#N/A</v>
      </c>
      <c r="F13" s="189"/>
      <c r="G13" s="45">
        <f t="shared" si="0"/>
        <v>0</v>
      </c>
      <c r="H13" s="45"/>
      <c r="I13" s="45"/>
      <c r="J13" s="45"/>
      <c r="K13" s="198"/>
      <c r="L13" s="45"/>
      <c r="M13" s="203"/>
      <c r="N13" s="45"/>
      <c r="O13" s="187">
        <f t="shared" si="1"/>
        <v>0</v>
      </c>
      <c r="P13" s="192" t="e">
        <f>VLOOKUP(D13,Configuracion!$A$4:$C$590,3,FALSE)</f>
        <v>#N/A</v>
      </c>
    </row>
    <row r="14" spans="1:16" ht="15" customHeight="1" x14ac:dyDescent="0.25">
      <c r="A14" s="182"/>
      <c r="B14" s="18"/>
      <c r="C14" s="184"/>
      <c r="D14" s="186"/>
      <c r="E14" s="185" t="e">
        <f>VLOOKUP(D14,Configuracion!$A$4:$C$590,2,FALSE)</f>
        <v>#N/A</v>
      </c>
      <c r="F14" s="189"/>
      <c r="G14" s="45">
        <f t="shared" si="0"/>
        <v>0</v>
      </c>
      <c r="H14" s="45"/>
      <c r="I14" s="45"/>
      <c r="J14" s="45"/>
      <c r="K14" s="198"/>
      <c r="L14" s="45"/>
      <c r="M14" s="203"/>
      <c r="N14" s="45"/>
      <c r="O14" s="187">
        <f t="shared" si="1"/>
        <v>0</v>
      </c>
      <c r="P14" s="192" t="e">
        <f>VLOOKUP(D14,Configuracion!$A$4:$C$590,3,FALSE)</f>
        <v>#N/A</v>
      </c>
    </row>
    <row r="15" spans="1:16" ht="15" customHeight="1" x14ac:dyDescent="0.25">
      <c r="A15" s="182"/>
      <c r="B15" s="18"/>
      <c r="C15" s="184"/>
      <c r="D15" s="186"/>
      <c r="E15" s="185" t="e">
        <f>VLOOKUP(D15,Configuracion!$A$4:$C$590,2,FALSE)</f>
        <v>#N/A</v>
      </c>
      <c r="F15" s="189"/>
      <c r="G15" s="45">
        <f t="shared" si="0"/>
        <v>0</v>
      </c>
      <c r="H15" s="45"/>
      <c r="I15" s="45"/>
      <c r="J15" s="45"/>
      <c r="K15" s="198"/>
      <c r="L15" s="45"/>
      <c r="M15" s="203"/>
      <c r="N15" s="45"/>
      <c r="O15" s="187">
        <f t="shared" si="1"/>
        <v>0</v>
      </c>
      <c r="P15" s="192" t="e">
        <f>VLOOKUP(D15,Configuracion!$A$4:$C$590,3,FALSE)</f>
        <v>#N/A</v>
      </c>
    </row>
    <row r="16" spans="1:16" ht="15" customHeight="1" x14ac:dyDescent="0.25">
      <c r="A16" s="182"/>
      <c r="B16" s="18"/>
      <c r="C16" s="184"/>
      <c r="D16" s="186"/>
      <c r="E16" s="185" t="e">
        <f>VLOOKUP(D16,Configuracion!$A$4:$C$590,2,FALSE)</f>
        <v>#N/A</v>
      </c>
      <c r="F16" s="189"/>
      <c r="G16" s="45">
        <f t="shared" si="0"/>
        <v>0</v>
      </c>
      <c r="H16" s="45"/>
      <c r="I16" s="45"/>
      <c r="J16" s="45"/>
      <c r="K16" s="198"/>
      <c r="L16" s="45"/>
      <c r="M16" s="203"/>
      <c r="N16" s="45"/>
      <c r="O16" s="187">
        <f t="shared" si="1"/>
        <v>0</v>
      </c>
      <c r="P16" s="192" t="e">
        <f>VLOOKUP(D16,Configuracion!$A$4:$C$590,3,FALSE)</f>
        <v>#N/A</v>
      </c>
    </row>
    <row r="17" spans="1:16" ht="15" customHeight="1" thickBot="1" x14ac:dyDescent="0.3">
      <c r="A17" s="182"/>
      <c r="B17" s="18"/>
      <c r="C17" s="184"/>
      <c r="D17" s="186"/>
      <c r="E17" s="185" t="e">
        <f>VLOOKUP(D17,Configuracion!$A$4:$C$590,2,FALSE)</f>
        <v>#N/A</v>
      </c>
      <c r="F17" s="189"/>
      <c r="G17" s="45">
        <f t="shared" ref="G17" si="2">F17*21%</f>
        <v>0</v>
      </c>
      <c r="H17" s="45"/>
      <c r="I17" s="45"/>
      <c r="J17" s="45"/>
      <c r="K17" s="198"/>
      <c r="L17" s="45"/>
      <c r="M17" s="203"/>
      <c r="N17" s="45"/>
      <c r="O17" s="187">
        <f t="shared" ref="O17" si="3">SUM(F17:N17)</f>
        <v>0</v>
      </c>
      <c r="P17" s="192" t="e">
        <f>VLOOKUP(D17,Configuracion!$A$4:$C$590,3,FALSE)</f>
        <v>#N/A</v>
      </c>
    </row>
    <row r="18" spans="1:16" ht="15.75" customHeight="1" thickBot="1" x14ac:dyDescent="0.3">
      <c r="A18" s="363" t="s">
        <v>4</v>
      </c>
      <c r="B18" s="364"/>
      <c r="C18" s="364"/>
      <c r="D18" s="364"/>
      <c r="E18" s="385"/>
      <c r="F18" s="30">
        <f t="shared" ref="F18:O18" si="4">SUM(F8:F17)</f>
        <v>0</v>
      </c>
      <c r="G18" s="30">
        <f t="shared" si="4"/>
        <v>0</v>
      </c>
      <c r="H18" s="30">
        <f t="shared" si="4"/>
        <v>0</v>
      </c>
      <c r="I18" s="30">
        <f t="shared" si="4"/>
        <v>0</v>
      </c>
      <c r="J18" s="30">
        <f t="shared" si="4"/>
        <v>0</v>
      </c>
      <c r="K18" s="30">
        <f t="shared" si="4"/>
        <v>0</v>
      </c>
      <c r="L18" s="30">
        <f t="shared" si="4"/>
        <v>0</v>
      </c>
      <c r="M18" s="30">
        <f t="shared" si="4"/>
        <v>0</v>
      </c>
      <c r="N18" s="30">
        <f t="shared" si="4"/>
        <v>0</v>
      </c>
      <c r="O18" s="30">
        <f t="shared" si="4"/>
        <v>0</v>
      </c>
    </row>
    <row r="19" spans="1:16" ht="15.75" customHeight="1" thickBot="1" x14ac:dyDescent="0.3">
      <c r="F19" s="21" t="s">
        <v>3</v>
      </c>
      <c r="G19" s="386">
        <f>G18+H18+I18</f>
        <v>0</v>
      </c>
      <c r="H19" s="387"/>
      <c r="I19" s="388"/>
    </row>
    <row r="20" spans="1:16" ht="15.75" thickBot="1" x14ac:dyDescent="0.3">
      <c r="K20" t="s">
        <v>104</v>
      </c>
    </row>
    <row r="21" spans="1:16" ht="16.5" thickBot="1" x14ac:dyDescent="0.3">
      <c r="A21" s="367" t="s">
        <v>29</v>
      </c>
      <c r="B21" s="368"/>
      <c r="C21" s="369"/>
      <c r="F21" s="4"/>
      <c r="G21" s="5"/>
      <c r="H21" s="5"/>
      <c r="I21" s="5"/>
    </row>
    <row r="22" spans="1:16" x14ac:dyDescent="0.25">
      <c r="A22" s="56" t="s">
        <v>1</v>
      </c>
      <c r="B22" s="22" t="s">
        <v>17</v>
      </c>
      <c r="C22" s="22" t="s">
        <v>16</v>
      </c>
      <c r="D22" s="36" t="s">
        <v>7</v>
      </c>
      <c r="E22" s="22" t="s">
        <v>19</v>
      </c>
      <c r="F22" s="22" t="s">
        <v>4</v>
      </c>
      <c r="G22" s="215" t="s">
        <v>2</v>
      </c>
      <c r="H22" s="5"/>
      <c r="I22" s="5"/>
    </row>
    <row r="23" spans="1:16" x14ac:dyDescent="0.25">
      <c r="A23" s="193"/>
      <c r="B23" s="17"/>
      <c r="C23" s="188"/>
      <c r="D23" s="35"/>
      <c r="E23" s="35" t="e">
        <f>VLOOKUP(D23,Configuracion!$A$4:$C$590,2,FALSE)</f>
        <v>#N/A</v>
      </c>
      <c r="F23" s="19"/>
      <c r="G23" s="192" t="e">
        <f>VLOOKUP(D23,Configuracion!$A$4:$C$590,3,FALSE)</f>
        <v>#N/A</v>
      </c>
      <c r="H23" s="207"/>
    </row>
    <row r="24" spans="1:16" x14ac:dyDescent="0.25">
      <c r="A24" s="193"/>
      <c r="B24" s="17"/>
      <c r="C24" s="188"/>
      <c r="D24" s="35"/>
      <c r="E24" s="35" t="e">
        <f>VLOOKUP(D24,Configuracion!$A$4:$C$590,2,FALSE)</f>
        <v>#N/A</v>
      </c>
      <c r="F24" s="19"/>
      <c r="G24" s="192" t="e">
        <f>VLOOKUP(D24,Configuracion!$A$4:$C$590,3,FALSE)</f>
        <v>#N/A</v>
      </c>
      <c r="H24" s="5"/>
      <c r="I24" s="5"/>
    </row>
    <row r="25" spans="1:16" x14ac:dyDescent="0.25">
      <c r="A25" s="193"/>
      <c r="B25" s="17"/>
      <c r="C25" s="188"/>
      <c r="D25" s="35"/>
      <c r="E25" s="35" t="e">
        <f>VLOOKUP(D25,Configuracion!$A$4:$C$590,2,FALSE)</f>
        <v>#N/A</v>
      </c>
      <c r="F25" s="19"/>
      <c r="G25" s="192" t="e">
        <f>VLOOKUP(D25,Configuracion!$A$4:$C$590,3,FALSE)</f>
        <v>#N/A</v>
      </c>
      <c r="H25" s="5"/>
      <c r="I25" s="5"/>
    </row>
    <row r="26" spans="1:16" x14ac:dyDescent="0.25">
      <c r="A26" s="193"/>
      <c r="B26" s="17"/>
      <c r="C26" s="188"/>
      <c r="D26" s="35"/>
      <c r="E26" s="35" t="e">
        <f>VLOOKUP(D26,Configuracion!$A$4:$C$590,2,FALSE)</f>
        <v>#N/A</v>
      </c>
      <c r="F26" s="19"/>
      <c r="G26" s="192" t="e">
        <f>VLOOKUP(D26,Configuracion!$A$4:$C$590,3,FALSE)</f>
        <v>#N/A</v>
      </c>
      <c r="H26" s="5"/>
      <c r="I26" s="5"/>
    </row>
    <row r="27" spans="1:16" x14ac:dyDescent="0.25">
      <c r="A27" s="193"/>
      <c r="B27" s="17"/>
      <c r="C27" s="188"/>
      <c r="D27" s="35"/>
      <c r="E27" s="35" t="e">
        <f>VLOOKUP(D27,Configuracion!$A$4:$C$590,2,FALSE)</f>
        <v>#N/A</v>
      </c>
      <c r="F27" s="19"/>
      <c r="G27" s="192" t="e">
        <f>VLOOKUP(D27,Configuracion!$A$4:$C$590,3,FALSE)</f>
        <v>#N/A</v>
      </c>
      <c r="H27" s="5"/>
      <c r="I27" s="5"/>
    </row>
    <row r="28" spans="1:16" x14ac:dyDescent="0.25">
      <c r="A28" s="193"/>
      <c r="B28" s="17"/>
      <c r="C28" s="188"/>
      <c r="D28" s="35"/>
      <c r="E28" s="35" t="e">
        <f>VLOOKUP(D28,Configuracion!$A$4:$C$590,2,FALSE)</f>
        <v>#N/A</v>
      </c>
      <c r="F28" s="19"/>
      <c r="G28" s="192" t="e">
        <f>VLOOKUP(D28,Configuracion!$A$4:$C$590,3,FALSE)</f>
        <v>#N/A</v>
      </c>
      <c r="H28" s="5"/>
      <c r="I28" s="5"/>
    </row>
    <row r="29" spans="1:16" x14ac:dyDescent="0.25">
      <c r="A29" s="193"/>
      <c r="B29" s="17"/>
      <c r="C29" s="188"/>
      <c r="D29" s="35"/>
      <c r="E29" s="35" t="e">
        <f>VLOOKUP(D29,Configuracion!$A$4:$C$590,2,FALSE)</f>
        <v>#N/A</v>
      </c>
      <c r="F29" s="19"/>
      <c r="G29" s="192" t="e">
        <f>VLOOKUP(D29,Configuracion!$A$4:$C$590,3,FALSE)</f>
        <v>#N/A</v>
      </c>
      <c r="H29" s="5"/>
      <c r="I29" s="5"/>
    </row>
    <row r="30" spans="1:16" x14ac:dyDescent="0.25">
      <c r="A30" s="193"/>
      <c r="B30" s="17"/>
      <c r="C30" s="188"/>
      <c r="D30" s="35"/>
      <c r="E30" s="35" t="e">
        <f>VLOOKUP(D30,Configuracion!$A$4:$C$590,2,FALSE)</f>
        <v>#N/A</v>
      </c>
      <c r="F30" s="19"/>
      <c r="G30" s="192" t="e">
        <f>VLOOKUP(D30,Configuracion!$A$4:$C$590,3,FALSE)</f>
        <v>#N/A</v>
      </c>
      <c r="H30" s="5"/>
      <c r="I30" s="5"/>
    </row>
    <row r="31" spans="1:16" x14ac:dyDescent="0.25">
      <c r="A31" s="193"/>
      <c r="B31" s="17"/>
      <c r="C31" s="188"/>
      <c r="D31" s="35"/>
      <c r="E31" s="35" t="e">
        <f>VLOOKUP(D31,Configuracion!$A$4:$C$590,2,FALSE)</f>
        <v>#N/A</v>
      </c>
      <c r="F31" s="19"/>
      <c r="G31" s="192" t="e">
        <f>VLOOKUP(D31,Configuracion!$A$4:$C$590,3,FALSE)</f>
        <v>#N/A</v>
      </c>
      <c r="H31" s="5"/>
      <c r="I31" s="5"/>
    </row>
    <row r="32" spans="1:16" x14ac:dyDescent="0.25">
      <c r="A32" s="193"/>
      <c r="B32" s="17"/>
      <c r="C32" s="188"/>
      <c r="D32" s="35"/>
      <c r="E32" s="35" t="e">
        <f>VLOOKUP(D32,Configuracion!$A$4:$C$590,2,FALSE)</f>
        <v>#N/A</v>
      </c>
      <c r="F32" s="19"/>
      <c r="G32" s="192" t="e">
        <f>VLOOKUP(D32,Configuracion!$A$4:$C$590,3,FALSE)</f>
        <v>#N/A</v>
      </c>
      <c r="H32" s="5"/>
      <c r="I32" s="5"/>
    </row>
    <row r="33" spans="1:15" x14ac:dyDescent="0.25">
      <c r="A33" s="193"/>
      <c r="B33" s="17"/>
      <c r="C33" s="188"/>
      <c r="D33" s="35"/>
      <c r="E33" s="35" t="e">
        <f>VLOOKUP(D33,Configuracion!$A$4:$C$590,2,FALSE)</f>
        <v>#N/A</v>
      </c>
      <c r="F33" s="19"/>
      <c r="G33" s="192" t="e">
        <f>VLOOKUP(D33,Configuracion!$A$4:$C$590,3,FALSE)</f>
        <v>#N/A</v>
      </c>
      <c r="H33" s="5"/>
      <c r="I33" s="5"/>
    </row>
    <row r="34" spans="1:15" x14ac:dyDescent="0.25">
      <c r="A34" s="193"/>
      <c r="B34" s="17"/>
      <c r="C34" s="188"/>
      <c r="D34" s="35"/>
      <c r="E34" s="35" t="e">
        <f>VLOOKUP(D34,Configuracion!$A$4:$C$590,2,FALSE)</f>
        <v>#N/A</v>
      </c>
      <c r="F34" s="19"/>
      <c r="G34" s="192" t="e">
        <f>VLOOKUP(D34,Configuracion!$A$4:$C$590,3,FALSE)</f>
        <v>#N/A</v>
      </c>
      <c r="H34" s="5"/>
      <c r="I34" s="5"/>
    </row>
    <row r="35" spans="1:15" x14ac:dyDescent="0.25">
      <c r="A35" s="193"/>
      <c r="B35" s="17"/>
      <c r="C35" s="188"/>
      <c r="D35" s="35"/>
      <c r="E35" s="35" t="e">
        <f>VLOOKUP(D35,Configuracion!$A$4:$C$590,2,FALSE)</f>
        <v>#N/A</v>
      </c>
      <c r="F35" s="19"/>
      <c r="G35" s="192" t="e">
        <f>VLOOKUP(D35,Configuracion!$A$4:$C$590,3,FALSE)</f>
        <v>#N/A</v>
      </c>
      <c r="H35" s="5"/>
      <c r="I35" s="5"/>
    </row>
    <row r="36" spans="1:15" x14ac:dyDescent="0.25">
      <c r="A36" s="193"/>
      <c r="B36" s="17"/>
      <c r="C36" s="188"/>
      <c r="D36" s="35"/>
      <c r="E36" s="35" t="e">
        <f>VLOOKUP(D36,Configuracion!$A$4:$C$590,2,FALSE)</f>
        <v>#N/A</v>
      </c>
      <c r="F36" s="19"/>
      <c r="G36" s="192" t="e">
        <f>VLOOKUP(D36,Configuracion!$A$4:$C$590,3,FALSE)</f>
        <v>#N/A</v>
      </c>
      <c r="H36" s="5"/>
      <c r="I36" s="5"/>
    </row>
    <row r="37" spans="1:15" x14ac:dyDescent="0.25">
      <c r="A37" s="193"/>
      <c r="B37" s="17"/>
      <c r="C37" s="188"/>
      <c r="D37" s="35"/>
      <c r="E37" s="35" t="e">
        <f>VLOOKUP(D37,Configuracion!$A$4:$C$590,2,FALSE)</f>
        <v>#N/A</v>
      </c>
      <c r="F37" s="19"/>
      <c r="G37" s="192" t="e">
        <f>VLOOKUP(D37,Configuracion!$A$4:$C$590,3,FALSE)</f>
        <v>#N/A</v>
      </c>
      <c r="H37" s="5"/>
      <c r="I37" s="5"/>
    </row>
    <row r="38" spans="1:15" x14ac:dyDescent="0.25">
      <c r="A38" s="193"/>
      <c r="B38" s="17"/>
      <c r="C38" s="188"/>
      <c r="D38" s="35"/>
      <c r="E38" s="35" t="e">
        <f>VLOOKUP(D38,Configuracion!$A$4:$C$590,2,FALSE)</f>
        <v>#N/A</v>
      </c>
      <c r="F38" s="19"/>
      <c r="G38" s="192" t="e">
        <f>VLOOKUP(D38,Configuracion!$A$4:$C$590,3,FALSE)</f>
        <v>#N/A</v>
      </c>
      <c r="H38" s="5"/>
      <c r="I38" s="5"/>
    </row>
    <row r="39" spans="1:15" x14ac:dyDescent="0.25">
      <c r="A39" s="193"/>
      <c r="B39" s="17"/>
      <c r="C39" s="188"/>
      <c r="D39" s="35"/>
      <c r="E39" s="35" t="e">
        <f>VLOOKUP(D39,Configuracion!$A$4:$C$590,2,FALSE)</f>
        <v>#N/A</v>
      </c>
      <c r="F39" s="19"/>
      <c r="G39" s="192" t="e">
        <f>VLOOKUP(D39,Configuracion!$A$4:$C$590,3,FALSE)</f>
        <v>#N/A</v>
      </c>
      <c r="H39" s="5"/>
      <c r="I39" s="5"/>
    </row>
    <row r="40" spans="1:15" x14ac:dyDescent="0.25">
      <c r="A40" s="193"/>
      <c r="B40" s="17"/>
      <c r="C40" s="188"/>
      <c r="D40" s="35"/>
      <c r="E40" s="35" t="e">
        <f>VLOOKUP(D40,Configuracion!$A$4:$C$590,2,FALSE)</f>
        <v>#N/A</v>
      </c>
      <c r="F40" s="19"/>
      <c r="G40" s="192" t="e">
        <f>VLOOKUP(D40,Configuracion!$A$4:$C$590,3,FALSE)</f>
        <v>#N/A</v>
      </c>
      <c r="H40" s="5"/>
      <c r="I40" s="5"/>
    </row>
    <row r="41" spans="1:15" x14ac:dyDescent="0.25">
      <c r="A41" s="193"/>
      <c r="B41" s="17"/>
      <c r="C41" s="188"/>
      <c r="D41" s="35"/>
      <c r="E41" s="35" t="e">
        <f>VLOOKUP(D41,Configuracion!$A$4:$C$590,2,FALSE)</f>
        <v>#N/A</v>
      </c>
      <c r="F41" s="19"/>
      <c r="G41" s="192" t="e">
        <f>VLOOKUP(D41,Configuracion!$A$4:$C$590,3,FALSE)</f>
        <v>#N/A</v>
      </c>
      <c r="H41" s="5"/>
      <c r="I41" s="5"/>
    </row>
    <row r="42" spans="1:15" ht="15.75" thickBot="1" x14ac:dyDescent="0.3">
      <c r="A42" s="382" t="s">
        <v>4</v>
      </c>
      <c r="B42" s="383"/>
      <c r="C42" s="383"/>
      <c r="D42" s="383"/>
      <c r="E42" s="384"/>
      <c r="F42" s="30">
        <f>SUM(F23:F41)</f>
        <v>0</v>
      </c>
      <c r="G42" s="5"/>
      <c r="H42" s="5"/>
      <c r="I42" s="5"/>
    </row>
    <row r="43" spans="1:15" ht="15.75" thickBot="1" x14ac:dyDescent="0.3">
      <c r="A43" s="28"/>
      <c r="B43" s="28"/>
      <c r="D43" s="37"/>
      <c r="E43" s="29"/>
      <c r="F43" s="46"/>
      <c r="G43" s="5"/>
      <c r="H43" s="5"/>
      <c r="I43" s="5"/>
    </row>
    <row r="44" spans="1:15" ht="16.5" thickBot="1" x14ac:dyDescent="0.3">
      <c r="A44" s="367" t="s">
        <v>1515</v>
      </c>
      <c r="B44" s="368"/>
      <c r="C44" s="369"/>
      <c r="D44" s="89"/>
      <c r="E44" s="51"/>
      <c r="F44" s="50"/>
      <c r="G44" s="5"/>
      <c r="H44" s="5"/>
      <c r="I44" s="5"/>
    </row>
    <row r="45" spans="1:15" x14ac:dyDescent="0.25">
      <c r="A45" s="61" t="s">
        <v>1</v>
      </c>
      <c r="B45" s="377" t="s">
        <v>24</v>
      </c>
      <c r="C45" s="377"/>
      <c r="D45" s="62" t="s">
        <v>7</v>
      </c>
      <c r="E45" s="63" t="s">
        <v>19</v>
      </c>
      <c r="F45" s="63" t="s">
        <v>25</v>
      </c>
      <c r="G45" s="63" t="s">
        <v>3</v>
      </c>
      <c r="H45" s="63" t="s">
        <v>21</v>
      </c>
      <c r="I45" s="64" t="s">
        <v>23</v>
      </c>
      <c r="O45" s="115"/>
    </row>
    <row r="46" spans="1:15" ht="15.75" x14ac:dyDescent="0.25">
      <c r="A46" s="268">
        <v>45869</v>
      </c>
      <c r="B46" s="362">
        <v>66528</v>
      </c>
      <c r="C46" s="362"/>
      <c r="D46" s="35">
        <v>30522428163</v>
      </c>
      <c r="E46" s="35" t="str">
        <f>VLOOKUP(D46,Configuracion!$A$4:$C$590,2,FALSE)</f>
        <v>GALENO ARGENTINA SA</v>
      </c>
      <c r="F46" s="269"/>
      <c r="G46" s="269">
        <v>48359.01</v>
      </c>
      <c r="H46" s="269"/>
      <c r="I46" s="270"/>
      <c r="J46" s="10"/>
      <c r="K46" s="10"/>
      <c r="L46" s="11"/>
      <c r="M46" s="2"/>
      <c r="N46" s="2"/>
    </row>
    <row r="47" spans="1:15" ht="15.75" x14ac:dyDescent="0.25">
      <c r="A47" s="268">
        <v>45869</v>
      </c>
      <c r="B47" s="362">
        <v>66484</v>
      </c>
      <c r="C47" s="362"/>
      <c r="D47" s="35">
        <v>30522428163</v>
      </c>
      <c r="E47" s="35" t="str">
        <f>VLOOKUP(D47,Configuracion!$A$4:$C$590,2,FALSE)</f>
        <v>GALENO ARGENTINA SA</v>
      </c>
      <c r="F47" s="269"/>
      <c r="G47" s="269">
        <v>799478.14</v>
      </c>
      <c r="H47" s="269"/>
      <c r="I47" s="270"/>
      <c r="J47" s="10"/>
      <c r="K47" s="10"/>
      <c r="L47" s="11"/>
      <c r="M47" s="2"/>
      <c r="N47" s="2"/>
    </row>
    <row r="48" spans="1:15" ht="15.75" x14ac:dyDescent="0.25">
      <c r="A48" s="268"/>
      <c r="B48" s="362"/>
      <c r="C48" s="362"/>
      <c r="D48" s="35">
        <v>0</v>
      </c>
      <c r="E48" s="35" t="e">
        <f>VLOOKUP(D48,Configuracion!$A$4:$C$590,2,FALSE)</f>
        <v>#N/A</v>
      </c>
      <c r="F48" s="269"/>
      <c r="G48" s="269"/>
      <c r="H48" s="269"/>
      <c r="I48" s="270"/>
      <c r="J48" s="10"/>
      <c r="K48" s="10"/>
      <c r="L48" s="11"/>
      <c r="M48" s="2"/>
      <c r="N48" s="2"/>
    </row>
    <row r="49" spans="1:14" ht="15.75" x14ac:dyDescent="0.25">
      <c r="A49" s="268"/>
      <c r="B49" s="362"/>
      <c r="C49" s="362"/>
      <c r="D49" s="35">
        <v>0</v>
      </c>
      <c r="E49" s="35" t="e">
        <f>VLOOKUP(D49,Configuracion!$A$4:$C$590,2,FALSE)</f>
        <v>#N/A</v>
      </c>
      <c r="F49" s="269"/>
      <c r="G49" s="269"/>
      <c r="H49" s="269"/>
      <c r="I49" s="270"/>
      <c r="J49" s="10"/>
      <c r="K49" s="10"/>
      <c r="L49" s="11"/>
      <c r="M49" s="2"/>
      <c r="N49" s="2"/>
    </row>
    <row r="50" spans="1:14" ht="15.75" x14ac:dyDescent="0.25">
      <c r="A50" s="268"/>
      <c r="B50" s="362"/>
      <c r="C50" s="362"/>
      <c r="D50" s="35">
        <v>0</v>
      </c>
      <c r="E50" s="35" t="e">
        <f>VLOOKUP(D50,Configuracion!$A$4:$C$590,2,FALSE)</f>
        <v>#N/A</v>
      </c>
      <c r="F50" s="269"/>
      <c r="G50" s="269"/>
      <c r="H50" s="269"/>
      <c r="I50" s="270"/>
      <c r="J50" s="10"/>
      <c r="K50" s="10"/>
      <c r="L50" s="11"/>
      <c r="M50" s="2"/>
      <c r="N50" s="2"/>
    </row>
    <row r="51" spans="1:14" ht="15.75" x14ac:dyDescent="0.25">
      <c r="A51" s="268"/>
      <c r="B51" s="362"/>
      <c r="C51" s="362"/>
      <c r="D51" s="35">
        <v>0</v>
      </c>
      <c r="E51" s="35" t="e">
        <f>VLOOKUP(D51,Configuracion!$A$4:$C$590,2,FALSE)</f>
        <v>#N/A</v>
      </c>
      <c r="F51" s="269"/>
      <c r="G51" s="269"/>
      <c r="H51" s="269"/>
      <c r="I51" s="270"/>
      <c r="J51" s="10"/>
      <c r="K51" s="10"/>
      <c r="L51" s="11"/>
      <c r="M51" s="2"/>
      <c r="N51" s="2"/>
    </row>
    <row r="52" spans="1:14" ht="15.75" x14ac:dyDescent="0.25">
      <c r="A52" s="268"/>
      <c r="B52" s="362"/>
      <c r="C52" s="362"/>
      <c r="D52" s="35">
        <v>0</v>
      </c>
      <c r="E52" s="35" t="e">
        <f>VLOOKUP(D52,Configuracion!$A$4:$C$590,2,FALSE)</f>
        <v>#N/A</v>
      </c>
      <c r="F52" s="269"/>
      <c r="G52" s="269"/>
      <c r="H52" s="269"/>
      <c r="I52" s="270"/>
      <c r="J52" s="10"/>
      <c r="K52" s="10"/>
      <c r="L52" s="11"/>
      <c r="M52" s="2"/>
      <c r="N52" s="2"/>
    </row>
    <row r="53" spans="1:14" ht="15.75" x14ac:dyDescent="0.25">
      <c r="A53" s="268"/>
      <c r="B53" s="362"/>
      <c r="C53" s="362"/>
      <c r="D53" s="35">
        <v>0</v>
      </c>
      <c r="E53" s="35" t="e">
        <f>VLOOKUP(D53,Configuracion!$A$4:$C$590,2,FALSE)</f>
        <v>#N/A</v>
      </c>
      <c r="F53" s="269"/>
      <c r="G53" s="269"/>
      <c r="H53" s="269"/>
      <c r="I53" s="270"/>
      <c r="J53" s="10"/>
      <c r="K53" s="10"/>
      <c r="L53" s="11"/>
      <c r="M53" s="2"/>
      <c r="N53" s="2"/>
    </row>
    <row r="54" spans="1:14" ht="15.75" x14ac:dyDescent="0.25">
      <c r="A54" s="268"/>
      <c r="B54" s="362"/>
      <c r="C54" s="362"/>
      <c r="D54" s="35">
        <v>0</v>
      </c>
      <c r="E54" s="35" t="e">
        <f>VLOOKUP(D54,Configuracion!$A$4:$C$590,2,FALSE)</f>
        <v>#N/A</v>
      </c>
      <c r="F54" s="269"/>
      <c r="G54" s="269"/>
      <c r="H54" s="269"/>
      <c r="I54" s="270"/>
      <c r="J54" s="10"/>
      <c r="K54" s="10"/>
      <c r="L54" s="11"/>
      <c r="M54" s="2"/>
      <c r="N54" s="2"/>
    </row>
    <row r="55" spans="1:14" ht="15.75" x14ac:dyDescent="0.25">
      <c r="A55" s="268"/>
      <c r="B55" s="362"/>
      <c r="C55" s="362"/>
      <c r="D55" s="35">
        <v>0</v>
      </c>
      <c r="E55" s="35" t="e">
        <f>VLOOKUP(D55,Configuracion!$A$4:$C$590,2,FALSE)</f>
        <v>#N/A</v>
      </c>
      <c r="F55" s="269"/>
      <c r="G55" s="269"/>
      <c r="H55" s="269"/>
      <c r="I55" s="270"/>
      <c r="J55" s="10"/>
      <c r="K55" s="10"/>
      <c r="L55" s="11"/>
      <c r="M55" s="2"/>
      <c r="N55" s="2"/>
    </row>
    <row r="56" spans="1:14" ht="15.75" x14ac:dyDescent="0.25">
      <c r="A56" s="268"/>
      <c r="B56" s="362"/>
      <c r="C56" s="362"/>
      <c r="D56" s="35">
        <v>0</v>
      </c>
      <c r="E56" s="35" t="e">
        <f>VLOOKUP(D56,Configuracion!$A$4:$C$590,2,FALSE)</f>
        <v>#N/A</v>
      </c>
      <c r="F56" s="269"/>
      <c r="G56" s="269"/>
      <c r="H56" s="269"/>
      <c r="I56" s="270"/>
      <c r="J56" s="10"/>
      <c r="K56" s="10"/>
      <c r="L56" s="11"/>
      <c r="M56" s="2"/>
      <c r="N56" s="2"/>
    </row>
    <row r="57" spans="1:14" ht="15.75" x14ac:dyDescent="0.25">
      <c r="A57" s="268"/>
      <c r="B57" s="362"/>
      <c r="C57" s="362"/>
      <c r="D57" s="35">
        <v>0</v>
      </c>
      <c r="E57" s="35" t="e">
        <f>VLOOKUP(D57,Configuracion!$A$4:$C$590,2,FALSE)</f>
        <v>#N/A</v>
      </c>
      <c r="F57" s="269"/>
      <c r="G57" s="269"/>
      <c r="H57" s="269"/>
      <c r="I57" s="270"/>
      <c r="J57" s="10"/>
      <c r="K57" s="10"/>
      <c r="L57" s="11"/>
      <c r="M57" s="2"/>
      <c r="N57" s="2"/>
    </row>
    <row r="58" spans="1:14" ht="15.75" x14ac:dyDescent="0.25">
      <c r="A58" s="268"/>
      <c r="B58" s="362"/>
      <c r="C58" s="362"/>
      <c r="D58" s="35">
        <v>1</v>
      </c>
      <c r="E58" s="35" t="e">
        <f>VLOOKUP(D58,Configuracion!$A$4:$C$590,2,FALSE)</f>
        <v>#N/A</v>
      </c>
      <c r="F58" s="269"/>
      <c r="G58" s="269"/>
      <c r="H58" s="269"/>
      <c r="I58" s="270"/>
      <c r="J58" s="10"/>
      <c r="K58" s="10"/>
      <c r="L58" s="11"/>
      <c r="M58" s="2"/>
      <c r="N58" s="2"/>
    </row>
    <row r="59" spans="1:14" ht="16.5" thickBot="1" x14ac:dyDescent="0.3">
      <c r="A59" s="373" t="s">
        <v>4</v>
      </c>
      <c r="B59" s="374"/>
      <c r="C59" s="374"/>
      <c r="D59" s="374"/>
      <c r="E59" s="375"/>
      <c r="F59" s="68">
        <f>SUM(F46:F58)</f>
        <v>0</v>
      </c>
      <c r="G59" s="68">
        <f>SUM(G46:G58)</f>
        <v>847837.15</v>
      </c>
      <c r="H59" s="68">
        <f>SUM(H46:H58)</f>
        <v>0</v>
      </c>
      <c r="I59" s="68">
        <f>SUM(I46:I58)</f>
        <v>0</v>
      </c>
      <c r="J59" s="10"/>
      <c r="K59" s="10"/>
      <c r="L59" s="11"/>
      <c r="M59" s="2"/>
      <c r="N59" s="2"/>
    </row>
    <row r="60" spans="1:14" x14ac:dyDescent="0.25">
      <c r="A60" s="28"/>
      <c r="B60" s="28"/>
      <c r="D60" s="37"/>
      <c r="E60" s="29"/>
      <c r="F60" s="46"/>
      <c r="G60" s="5"/>
      <c r="H60" s="5"/>
      <c r="I60" s="5"/>
      <c r="J60" s="12"/>
      <c r="K60" s="7"/>
      <c r="L60" s="7"/>
    </row>
    <row r="61" spans="1:14" x14ac:dyDescent="0.25">
      <c r="A61" s="28"/>
      <c r="B61" s="28"/>
      <c r="D61" s="37"/>
      <c r="E61" s="29"/>
      <c r="F61" s="46"/>
      <c r="G61" s="5"/>
      <c r="H61" s="5"/>
      <c r="I61" s="5"/>
      <c r="J61" s="12"/>
      <c r="K61" s="7"/>
      <c r="L61" s="7"/>
    </row>
    <row r="62" spans="1:14" ht="15.75" thickBot="1" x14ac:dyDescent="0.3">
      <c r="J62" s="12"/>
      <c r="K62" s="7"/>
      <c r="L62" s="7"/>
    </row>
    <row r="63" spans="1:14" ht="16.5" thickBot="1" x14ac:dyDescent="0.3">
      <c r="A63" s="370" t="s">
        <v>0</v>
      </c>
      <c r="B63" s="371"/>
      <c r="C63" s="371"/>
      <c r="D63" s="371"/>
      <c r="E63" s="371"/>
      <c r="F63" s="371"/>
      <c r="G63" s="371"/>
      <c r="H63" s="371"/>
      <c r="I63" s="372"/>
      <c r="J63" s="12"/>
      <c r="K63" s="7"/>
      <c r="L63" s="7"/>
    </row>
    <row r="64" spans="1:14" ht="16.5" thickBot="1" x14ac:dyDescent="0.3">
      <c r="A64" s="57"/>
      <c r="B64" s="10"/>
      <c r="C64" s="10"/>
      <c r="D64" s="90"/>
      <c r="E64" s="10"/>
      <c r="F64" s="10"/>
      <c r="G64" s="10"/>
      <c r="H64" s="10"/>
      <c r="I64" s="10"/>
      <c r="J64" s="12"/>
      <c r="K64" s="7"/>
      <c r="L64" s="7"/>
    </row>
    <row r="65" spans="1:12" ht="16.5" thickBot="1" x14ac:dyDescent="0.3">
      <c r="A65" s="367" t="s">
        <v>26</v>
      </c>
      <c r="B65" s="368"/>
      <c r="C65" s="369"/>
      <c r="D65" s="90"/>
      <c r="E65" s="10"/>
      <c r="F65" s="10"/>
      <c r="G65" s="10"/>
      <c r="H65" s="10"/>
      <c r="I65" s="10"/>
      <c r="J65" s="12"/>
      <c r="K65" s="7"/>
      <c r="L65" s="7"/>
    </row>
    <row r="66" spans="1:12" ht="15.75" thickBot="1" x14ac:dyDescent="0.3">
      <c r="A66" s="58" t="s">
        <v>1</v>
      </c>
      <c r="B66" s="20" t="s">
        <v>17</v>
      </c>
      <c r="C66" s="20" t="s">
        <v>18</v>
      </c>
      <c r="D66" s="38" t="s">
        <v>7</v>
      </c>
      <c r="E66" s="20" t="s">
        <v>19</v>
      </c>
      <c r="F66" s="20" t="s">
        <v>8</v>
      </c>
      <c r="G66" s="20" t="s">
        <v>3</v>
      </c>
      <c r="H66" s="20" t="s">
        <v>31</v>
      </c>
      <c r="I66" s="20" t="s">
        <v>4</v>
      </c>
      <c r="J66" s="12"/>
      <c r="K66" s="7"/>
      <c r="L66" s="7"/>
    </row>
    <row r="67" spans="1:12" ht="15.75" thickBot="1" x14ac:dyDescent="0.3">
      <c r="A67" s="59"/>
      <c r="B67" s="23"/>
      <c r="C67" s="13"/>
      <c r="D67" s="35"/>
      <c r="E67" s="35" t="e">
        <f>VLOOKUP(D67,Configuracion!$A$4:$C$590,2,FALSE)</f>
        <v>#N/A</v>
      </c>
      <c r="F67" s="181"/>
      <c r="G67" s="16">
        <f t="shared" ref="G67:G70" si="5">F67*0.21</f>
        <v>0</v>
      </c>
      <c r="H67" s="69"/>
      <c r="I67" s="49">
        <f t="shared" ref="I67:I70" si="6">SUM(F67:H67)</f>
        <v>0</v>
      </c>
      <c r="J67" s="12"/>
      <c r="K67" s="7"/>
      <c r="L67" s="7"/>
    </row>
    <row r="68" spans="1:12" ht="15.75" thickBot="1" x14ac:dyDescent="0.3">
      <c r="A68" s="59"/>
      <c r="B68" s="23"/>
      <c r="C68" s="13"/>
      <c r="D68" s="35"/>
      <c r="E68" s="35" t="e">
        <f>VLOOKUP(D68,Configuracion!$A$4:$C$590,2,FALSE)</f>
        <v>#N/A</v>
      </c>
      <c r="F68" s="181"/>
      <c r="G68" s="16">
        <f t="shared" si="5"/>
        <v>0</v>
      </c>
      <c r="H68" s="69"/>
      <c r="I68" s="49">
        <f t="shared" si="6"/>
        <v>0</v>
      </c>
      <c r="J68" s="12"/>
      <c r="K68" s="7"/>
      <c r="L68" s="7"/>
    </row>
    <row r="69" spans="1:12" ht="15.75" thickBot="1" x14ac:dyDescent="0.3">
      <c r="A69" s="59"/>
      <c r="B69" s="23"/>
      <c r="C69" s="13"/>
      <c r="D69" s="35"/>
      <c r="E69" s="35" t="e">
        <f>VLOOKUP(D69,Configuracion!$A$4:$C$590,2,FALSE)</f>
        <v>#N/A</v>
      </c>
      <c r="F69" s="181"/>
      <c r="G69" s="16">
        <f t="shared" si="5"/>
        <v>0</v>
      </c>
      <c r="H69" s="69"/>
      <c r="I69" s="49">
        <f t="shared" si="6"/>
        <v>0</v>
      </c>
      <c r="J69" s="12"/>
      <c r="K69" s="7"/>
      <c r="L69" s="7"/>
    </row>
    <row r="70" spans="1:12" ht="15.75" thickBot="1" x14ac:dyDescent="0.3">
      <c r="A70" s="59"/>
      <c r="B70" s="23"/>
      <c r="C70" s="13"/>
      <c r="D70" s="35"/>
      <c r="E70" s="35" t="e">
        <f>VLOOKUP(D70,Configuracion!$A$4:$C$590,2,FALSE)</f>
        <v>#N/A</v>
      </c>
      <c r="F70" s="181"/>
      <c r="G70" s="16">
        <f t="shared" si="5"/>
        <v>0</v>
      </c>
      <c r="H70" s="69"/>
      <c r="I70" s="49">
        <f t="shared" si="6"/>
        <v>0</v>
      </c>
      <c r="J70" s="12"/>
      <c r="K70" s="7"/>
      <c r="L70" s="7"/>
    </row>
    <row r="71" spans="1:12" ht="15.75" thickBot="1" x14ac:dyDescent="0.3">
      <c r="A71" s="59"/>
      <c r="B71" s="23"/>
      <c r="C71" s="13"/>
      <c r="D71" s="35"/>
      <c r="E71" s="35" t="e">
        <f>VLOOKUP(D71,Configuracion!$A$4:$C$590,2,FALSE)</f>
        <v>#N/A</v>
      </c>
      <c r="F71" s="181"/>
      <c r="G71" s="16">
        <f t="shared" ref="G71:G75" si="7">F71*0.21</f>
        <v>0</v>
      </c>
      <c r="H71" s="69"/>
      <c r="I71" s="49">
        <f t="shared" ref="I71:I74" si="8">SUM(F71:H71)</f>
        <v>0</v>
      </c>
      <c r="J71" s="12"/>
      <c r="K71" s="7"/>
      <c r="L71" s="7"/>
    </row>
    <row r="72" spans="1:12" ht="15.75" thickBot="1" x14ac:dyDescent="0.3">
      <c r="A72" s="59"/>
      <c r="B72" s="23"/>
      <c r="C72" s="13"/>
      <c r="D72" s="35"/>
      <c r="E72" s="35" t="e">
        <f>VLOOKUP(D72,Configuracion!$A$4:$C$590,2,FALSE)</f>
        <v>#N/A</v>
      </c>
      <c r="F72" s="181"/>
      <c r="G72" s="16">
        <f t="shared" si="7"/>
        <v>0</v>
      </c>
      <c r="H72" s="69"/>
      <c r="I72" s="49">
        <f t="shared" si="8"/>
        <v>0</v>
      </c>
      <c r="J72" s="12"/>
      <c r="K72" s="7"/>
      <c r="L72" s="7"/>
    </row>
    <row r="73" spans="1:12" ht="15.75" thickBot="1" x14ac:dyDescent="0.3">
      <c r="A73" s="59"/>
      <c r="B73" s="23"/>
      <c r="C73" s="13"/>
      <c r="D73" s="35"/>
      <c r="E73" s="35" t="e">
        <f>VLOOKUP(D73,Configuracion!$A$4:$C$590,2,FALSE)</f>
        <v>#N/A</v>
      </c>
      <c r="F73" s="181"/>
      <c r="G73" s="16">
        <f t="shared" si="7"/>
        <v>0</v>
      </c>
      <c r="H73" s="69"/>
      <c r="I73" s="49">
        <f t="shared" si="8"/>
        <v>0</v>
      </c>
      <c r="J73" s="12"/>
      <c r="K73" s="7"/>
      <c r="L73" s="7"/>
    </row>
    <row r="74" spans="1:12" ht="15.75" thickBot="1" x14ac:dyDescent="0.3">
      <c r="A74" s="59"/>
      <c r="B74" s="23"/>
      <c r="C74" s="13"/>
      <c r="D74" s="35"/>
      <c r="E74" s="35" t="e">
        <f>VLOOKUP(D74,Configuracion!$A$4:$C$590,2,FALSE)</f>
        <v>#N/A</v>
      </c>
      <c r="F74" s="181"/>
      <c r="G74" s="16">
        <f t="shared" si="7"/>
        <v>0</v>
      </c>
      <c r="H74" s="69"/>
      <c r="I74" s="49">
        <f t="shared" si="8"/>
        <v>0</v>
      </c>
      <c r="J74" s="12"/>
      <c r="K74" s="7"/>
      <c r="L74" s="7"/>
    </row>
    <row r="75" spans="1:12" ht="15.75" thickBot="1" x14ac:dyDescent="0.3">
      <c r="A75" s="59"/>
      <c r="B75" s="23"/>
      <c r="C75" s="13"/>
      <c r="D75" s="35"/>
      <c r="E75" s="35" t="e">
        <f>VLOOKUP(D75,Configuracion!$A$4:$C$590,2,FALSE)</f>
        <v>#N/A</v>
      </c>
      <c r="F75" s="181"/>
      <c r="G75" s="16">
        <f t="shared" si="7"/>
        <v>0</v>
      </c>
      <c r="H75" s="69"/>
      <c r="I75" s="49">
        <f>SUM(F75:H75)</f>
        <v>0</v>
      </c>
      <c r="J75" s="12"/>
      <c r="K75" s="7"/>
      <c r="L75" s="7"/>
    </row>
    <row r="76" spans="1:12" ht="15.75" thickBot="1" x14ac:dyDescent="0.3">
      <c r="A76" s="363" t="s">
        <v>4</v>
      </c>
      <c r="B76" s="364"/>
      <c r="C76" s="365"/>
      <c r="D76" s="365"/>
      <c r="E76" s="366"/>
      <c r="F76" s="47">
        <f>SUM(F67:F75)</f>
        <v>0</v>
      </c>
      <c r="G76" s="47">
        <f>SUM(G67:G75)</f>
        <v>0</v>
      </c>
      <c r="H76" s="47"/>
      <c r="I76" s="47">
        <f>SUM(I67:I75)</f>
        <v>0</v>
      </c>
    </row>
    <row r="77" spans="1:12" x14ac:dyDescent="0.25">
      <c r="C77" s="14"/>
      <c r="D77" s="40"/>
      <c r="E77" s="14"/>
      <c r="F77" s="48"/>
      <c r="G77" s="48"/>
      <c r="H77" s="48"/>
      <c r="I77" s="7"/>
    </row>
    <row r="78" spans="1:12" ht="15.75" thickBot="1" x14ac:dyDescent="0.3"/>
    <row r="79" spans="1:12" ht="16.5" thickBot="1" x14ac:dyDescent="0.3">
      <c r="A79" s="367" t="s">
        <v>27</v>
      </c>
      <c r="B79" s="368"/>
      <c r="C79" s="369"/>
      <c r="D79" s="90"/>
      <c r="E79" s="10"/>
      <c r="F79" s="10"/>
      <c r="G79" s="10"/>
      <c r="H79" s="10"/>
    </row>
    <row r="80" spans="1:12" ht="15.75" thickBot="1" x14ac:dyDescent="0.3">
      <c r="A80" s="58" t="s">
        <v>1</v>
      </c>
      <c r="B80" s="20" t="s">
        <v>17</v>
      </c>
      <c r="C80" s="20" t="s">
        <v>18</v>
      </c>
      <c r="D80" s="38" t="s">
        <v>7</v>
      </c>
      <c r="E80" s="20" t="s">
        <v>19</v>
      </c>
      <c r="F80" s="20" t="s">
        <v>8</v>
      </c>
      <c r="G80" s="20" t="s">
        <v>3</v>
      </c>
      <c r="H80" s="20" t="s">
        <v>4</v>
      </c>
    </row>
    <row r="81" spans="1:8" x14ac:dyDescent="0.25">
      <c r="A81" s="59"/>
      <c r="B81" s="17"/>
      <c r="C81" s="13"/>
      <c r="D81" s="35"/>
      <c r="E81" s="35" t="e">
        <f>VLOOKUP(D81,Configuracion!$A$4:$C$590,2,FALSE)</f>
        <v>#N/A</v>
      </c>
      <c r="F81" s="16">
        <f>H81/1.21</f>
        <v>0</v>
      </c>
      <c r="G81" s="16">
        <f>F81*0.21</f>
        <v>0</v>
      </c>
      <c r="H81" s="183"/>
    </row>
    <row r="82" spans="1:8" x14ac:dyDescent="0.25">
      <c r="A82" s="59"/>
      <c r="B82" s="17"/>
      <c r="C82" s="13"/>
      <c r="D82" s="35"/>
      <c r="E82" s="35" t="e">
        <f>VLOOKUP(D82,Configuracion!$A$4:$C$590,2,FALSE)</f>
        <v>#N/A</v>
      </c>
      <c r="F82" s="16">
        <f>H82/1.21</f>
        <v>0</v>
      </c>
      <c r="G82" s="16">
        <f>F82*0.21</f>
        <v>0</v>
      </c>
      <c r="H82" s="183"/>
    </row>
    <row r="83" spans="1:8" x14ac:dyDescent="0.25">
      <c r="A83" s="59"/>
      <c r="B83" s="17"/>
      <c r="C83" s="13"/>
      <c r="D83" s="35"/>
      <c r="E83" s="35" t="e">
        <f>VLOOKUP(D83,Configuracion!$A$4:$C$590,2,FALSE)</f>
        <v>#N/A</v>
      </c>
      <c r="F83" s="16">
        <f>H83/1.21</f>
        <v>0</v>
      </c>
      <c r="G83" s="16">
        <f>F83*0.21</f>
        <v>0</v>
      </c>
      <c r="H83" s="183"/>
    </row>
    <row r="84" spans="1:8" x14ac:dyDescent="0.25">
      <c r="A84" s="59"/>
      <c r="B84" s="17"/>
      <c r="C84" s="13"/>
      <c r="D84" s="35"/>
      <c r="E84" s="35" t="e">
        <f>VLOOKUP(D84,Configuracion!$A$4:$C$590,2,FALSE)</f>
        <v>#N/A</v>
      </c>
      <c r="F84" s="16">
        <f>H84/1.21</f>
        <v>0</v>
      </c>
      <c r="G84" s="16">
        <f>F84*0.21</f>
        <v>0</v>
      </c>
      <c r="H84" s="183"/>
    </row>
    <row r="85" spans="1:8" ht="15.75" thickBot="1" x14ac:dyDescent="0.3">
      <c r="A85" s="60"/>
      <c r="B85" s="24"/>
      <c r="C85" s="25"/>
      <c r="D85" s="39"/>
      <c r="E85" s="35" t="e">
        <f>VLOOKUP(D85,Configuracion!$A$4:$C$590,2,FALSE)</f>
        <v>#N/A</v>
      </c>
      <c r="F85" s="16">
        <f>H85/1.21</f>
        <v>0</v>
      </c>
      <c r="G85" s="16">
        <f>F85*0.21</f>
        <v>0</v>
      </c>
      <c r="H85" s="183"/>
    </row>
    <row r="86" spans="1:8" ht="15.75" thickBot="1" x14ac:dyDescent="0.3">
      <c r="A86" s="363" t="s">
        <v>4</v>
      </c>
      <c r="B86" s="364"/>
      <c r="C86" s="365"/>
      <c r="D86" s="365"/>
      <c r="E86" s="366"/>
      <c r="F86" s="47">
        <f>SUM(F81:F85)</f>
        <v>0</v>
      </c>
      <c r="G86" s="47">
        <f>SUM(G81:G85)</f>
        <v>0</v>
      </c>
      <c r="H86" s="47">
        <f>SUM(H81:H85)</f>
        <v>0</v>
      </c>
    </row>
    <row r="94" spans="1:8" x14ac:dyDescent="0.25">
      <c r="F94" s="205"/>
    </row>
    <row r="96" spans="1:8" x14ac:dyDescent="0.25">
      <c r="F96" s="196"/>
    </row>
    <row r="101" spans="1:6" x14ac:dyDescent="0.25">
      <c r="F101" s="214"/>
    </row>
    <row r="102" spans="1:6" x14ac:dyDescent="0.25">
      <c r="A102" s="195"/>
      <c r="B102" s="196"/>
      <c r="C102" s="196"/>
      <c r="D102" s="196"/>
      <c r="E102" s="196"/>
    </row>
  </sheetData>
  <sortState xmlns:xlrd2="http://schemas.microsoft.com/office/spreadsheetml/2017/richdata2" ref="A8:P90">
    <sortCondition ref="E8:E90"/>
  </sortState>
  <mergeCells count="29">
    <mergeCell ref="A1:I1"/>
    <mergeCell ref="B45:C45"/>
    <mergeCell ref="J1:N1"/>
    <mergeCell ref="A6:C6"/>
    <mergeCell ref="A21:C21"/>
    <mergeCell ref="A44:C44"/>
    <mergeCell ref="A4:N4"/>
    <mergeCell ref="A42:E42"/>
    <mergeCell ref="A18:E18"/>
    <mergeCell ref="G19:I19"/>
    <mergeCell ref="A86:E86"/>
    <mergeCell ref="B58:C58"/>
    <mergeCell ref="B57:C57"/>
    <mergeCell ref="A76:E76"/>
    <mergeCell ref="A79:C79"/>
    <mergeCell ref="A63:I63"/>
    <mergeCell ref="A59:E59"/>
    <mergeCell ref="A65:C65"/>
    <mergeCell ref="B46:C46"/>
    <mergeCell ref="B47:C47"/>
    <mergeCell ref="B48:C48"/>
    <mergeCell ref="B54:C54"/>
    <mergeCell ref="B55:C55"/>
    <mergeCell ref="B56:C56"/>
    <mergeCell ref="B49:C49"/>
    <mergeCell ref="B50:C50"/>
    <mergeCell ref="B51:C51"/>
    <mergeCell ref="B52:C52"/>
    <mergeCell ref="B53:C53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workbookViewId="0">
      <selection activeCell="G18" sqref="G18"/>
    </sheetView>
  </sheetViews>
  <sheetFormatPr baseColWidth="10" defaultRowHeight="15" x14ac:dyDescent="0.25"/>
  <cols>
    <col min="1" max="1" width="32.7109375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 x14ac:dyDescent="0.3">
      <c r="A1" s="96"/>
      <c r="B1" s="389" t="s">
        <v>90</v>
      </c>
      <c r="C1" s="390"/>
      <c r="D1" s="391"/>
      <c r="E1" s="97"/>
    </row>
    <row r="2" spans="1:8" ht="18.75" thickBot="1" x14ac:dyDescent="0.3">
      <c r="A2" s="98" t="s">
        <v>91</v>
      </c>
      <c r="B2" s="97"/>
      <c r="C2" s="96"/>
      <c r="D2" s="199">
        <v>45809</v>
      </c>
      <c r="E2" s="99"/>
    </row>
    <row r="3" spans="1:8" ht="18.75" thickBot="1" x14ac:dyDescent="0.3">
      <c r="A3" s="96"/>
      <c r="B3" s="100"/>
      <c r="C3" s="96"/>
      <c r="D3" s="96"/>
      <c r="E3" s="101"/>
    </row>
    <row r="4" spans="1:8" ht="15.75" thickBot="1" x14ac:dyDescent="0.3">
      <c r="A4" s="102"/>
      <c r="B4" s="103" t="s">
        <v>92</v>
      </c>
      <c r="C4" s="202"/>
      <c r="D4" s="104"/>
      <c r="E4" s="105"/>
    </row>
    <row r="5" spans="1:8" ht="15.75" thickBot="1" x14ac:dyDescent="0.3">
      <c r="A5" s="106"/>
      <c r="B5" s="107" t="s">
        <v>93</v>
      </c>
      <c r="C5" s="107" t="s">
        <v>94</v>
      </c>
      <c r="D5" s="108" t="s">
        <v>95</v>
      </c>
      <c r="E5" s="105"/>
    </row>
    <row r="6" spans="1:8" x14ac:dyDescent="0.25">
      <c r="A6" s="109" t="s">
        <v>96</v>
      </c>
      <c r="B6" s="110">
        <f>+'Ventas 07'!D4+'Ventas 07'!D5</f>
        <v>73784714.210000008</v>
      </c>
      <c r="C6" s="111">
        <f>+B6*0.21</f>
        <v>15494789.984100001</v>
      </c>
      <c r="D6" s="111">
        <f>+B6+C6</f>
        <v>89279504.194100007</v>
      </c>
      <c r="E6" s="197"/>
    </row>
    <row r="7" spans="1:8" x14ac:dyDescent="0.25">
      <c r="A7" s="109" t="s">
        <v>97</v>
      </c>
      <c r="B7" s="110">
        <f>+'Ventas 07'!D6+'Ventas 07'!D7+'Ventas 07'!D8</f>
        <v>43898012.86999996</v>
      </c>
      <c r="C7" s="111">
        <f>+B7*0.21</f>
        <v>9218582.7026999909</v>
      </c>
      <c r="D7" s="111">
        <f>+B7+C7</f>
        <v>53116595.572699949</v>
      </c>
      <c r="E7" s="6"/>
    </row>
    <row r="8" spans="1:8" ht="15.75" thickBot="1" x14ac:dyDescent="0.3">
      <c r="A8" s="112"/>
      <c r="B8" s="190">
        <f>SUM(B6:B7)</f>
        <v>117682727.07999997</v>
      </c>
      <c r="C8" s="190">
        <f>SUM(C6:C7)</f>
        <v>24713372.686799992</v>
      </c>
      <c r="D8" s="191">
        <f>SUM(D6:D7)</f>
        <v>142396099.76679996</v>
      </c>
      <c r="E8" s="200"/>
      <c r="G8" s="217"/>
      <c r="H8" s="154"/>
    </row>
    <row r="9" spans="1:8" x14ac:dyDescent="0.25">
      <c r="A9" s="112"/>
      <c r="B9" s="113"/>
      <c r="C9" s="113"/>
      <c r="D9" s="113"/>
      <c r="E9" s="6"/>
    </row>
    <row r="10" spans="1:8" ht="15.75" thickBot="1" x14ac:dyDescent="0.3">
      <c r="A10" s="112"/>
      <c r="B10" s="114"/>
      <c r="C10" s="114"/>
      <c r="D10" s="115"/>
      <c r="E10" s="6"/>
    </row>
    <row r="11" spans="1:8" ht="15.75" thickBot="1" x14ac:dyDescent="0.3">
      <c r="A11" s="116"/>
      <c r="B11" s="117" t="s">
        <v>98</v>
      </c>
      <c r="C11" s="104"/>
      <c r="D11" s="104"/>
      <c r="E11" s="6"/>
    </row>
    <row r="12" spans="1:8" ht="15.75" thickBot="1" x14ac:dyDescent="0.3">
      <c r="A12" s="116"/>
      <c r="B12" s="107" t="s">
        <v>93</v>
      </c>
      <c r="C12" s="107" t="s">
        <v>3</v>
      </c>
      <c r="D12" s="108" t="s">
        <v>95</v>
      </c>
      <c r="E12" s="6"/>
    </row>
    <row r="13" spans="1:8" x14ac:dyDescent="0.25">
      <c r="A13" s="251" t="s">
        <v>1126</v>
      </c>
      <c r="B13" s="216">
        <f>+'Compras 07'!G161+'Compras 07'!H161+'Compras 07'!I161</f>
        <v>69769155.231428608</v>
      </c>
      <c r="C13" s="216">
        <f>+'Compras 07'!L161</f>
        <v>13591497.300000004</v>
      </c>
      <c r="D13" s="218">
        <v>94654477.799999997</v>
      </c>
      <c r="E13" s="119"/>
      <c r="G13" s="222"/>
    </row>
    <row r="14" spans="1:8" x14ac:dyDescent="0.25">
      <c r="A14" s="251"/>
      <c r="B14" s="118"/>
      <c r="C14" s="118"/>
      <c r="D14" s="118"/>
      <c r="E14" s="119"/>
    </row>
    <row r="15" spans="1:8" x14ac:dyDescent="0.25">
      <c r="A15" s="251"/>
      <c r="B15" s="67"/>
      <c r="C15" s="295"/>
      <c r="D15" s="67"/>
      <c r="E15" s="119"/>
    </row>
    <row r="16" spans="1:8" ht="15.75" thickBot="1" x14ac:dyDescent="0.3">
      <c r="A16" s="112"/>
      <c r="B16" s="219">
        <f>SUM(B13:B15)</f>
        <v>69769155.231428608</v>
      </c>
      <c r="C16" s="220">
        <f>SUM(C13:C15)</f>
        <v>13591497.300000004</v>
      </c>
      <c r="D16" s="221">
        <f>SUM(D13:D15)</f>
        <v>94654477.799999997</v>
      </c>
      <c r="E16" s="6"/>
    </row>
    <row r="17" spans="1:5" x14ac:dyDescent="0.25">
      <c r="A17" s="112"/>
      <c r="B17" s="120"/>
      <c r="C17" s="120"/>
      <c r="D17" s="120"/>
      <c r="E17" s="6"/>
    </row>
    <row r="18" spans="1:5" ht="15.75" thickBot="1" x14ac:dyDescent="0.3">
      <c r="A18" s="112"/>
      <c r="C18" s="121"/>
      <c r="D18" s="121"/>
      <c r="E18" s="122"/>
    </row>
    <row r="19" spans="1:5" ht="15.75" thickBot="1" x14ac:dyDescent="0.3">
      <c r="A19" s="117" t="s">
        <v>22</v>
      </c>
      <c r="B19" s="123" t="s">
        <v>99</v>
      </c>
      <c r="C19" s="123" t="s">
        <v>100</v>
      </c>
      <c r="D19" s="123" t="s">
        <v>101</v>
      </c>
      <c r="E19" s="123" t="s">
        <v>102</v>
      </c>
    </row>
    <row r="20" spans="1:5" x14ac:dyDescent="0.25">
      <c r="A20" s="124" t="s">
        <v>103</v>
      </c>
      <c r="B20" s="125"/>
      <c r="C20" s="126"/>
      <c r="D20" s="127"/>
      <c r="E20" s="128"/>
    </row>
    <row r="21" spans="1:5" x14ac:dyDescent="0.25">
      <c r="A21" s="124"/>
      <c r="B21" s="129"/>
      <c r="C21" s="66"/>
      <c r="D21" s="127"/>
      <c r="E21" s="65"/>
    </row>
    <row r="22" spans="1:5" x14ac:dyDescent="0.25">
      <c r="A22" s="124"/>
      <c r="B22" s="129"/>
      <c r="C22" s="66"/>
      <c r="D22" s="127"/>
      <c r="E22" s="65"/>
    </row>
    <row r="23" spans="1:5" x14ac:dyDescent="0.25">
      <c r="A23" s="124"/>
      <c r="B23" s="129"/>
      <c r="C23" s="66"/>
      <c r="D23" s="127"/>
      <c r="E23" s="65"/>
    </row>
    <row r="24" spans="1:5" x14ac:dyDescent="0.25">
      <c r="A24" s="124"/>
      <c r="B24" s="129"/>
      <c r="C24" s="126"/>
      <c r="D24" s="127"/>
      <c r="E24" s="128"/>
    </row>
    <row r="25" spans="1:5" x14ac:dyDescent="0.25">
      <c r="A25" s="124"/>
      <c r="B25" s="129"/>
      <c r="C25" s="126"/>
      <c r="D25" s="127"/>
      <c r="E25" s="128"/>
    </row>
    <row r="26" spans="1:5" x14ac:dyDescent="0.25">
      <c r="A26" s="124"/>
      <c r="B26" s="129"/>
      <c r="C26" s="126"/>
      <c r="D26" s="127"/>
      <c r="E26" s="128"/>
    </row>
    <row r="27" spans="1:5" x14ac:dyDescent="0.25">
      <c r="A27" s="124"/>
      <c r="B27" s="129"/>
      <c r="C27" s="126"/>
      <c r="D27" s="127"/>
      <c r="E27" s="128"/>
    </row>
    <row r="28" spans="1:5" x14ac:dyDescent="0.25">
      <c r="A28" s="124"/>
      <c r="B28" s="129"/>
      <c r="C28" s="126"/>
      <c r="D28" s="127"/>
      <c r="E28" s="128"/>
    </row>
    <row r="29" spans="1:5" x14ac:dyDescent="0.25">
      <c r="A29" s="124"/>
      <c r="B29" s="129"/>
      <c r="C29" s="126"/>
      <c r="D29" s="127"/>
      <c r="E29" s="128"/>
    </row>
    <row r="30" spans="1:5" x14ac:dyDescent="0.25">
      <c r="A30" s="124"/>
      <c r="B30" s="129"/>
      <c r="C30" s="126"/>
      <c r="D30" s="127"/>
      <c r="E30" s="128"/>
    </row>
    <row r="31" spans="1:5" x14ac:dyDescent="0.25">
      <c r="A31" s="124"/>
      <c r="B31" s="129"/>
      <c r="C31" s="126"/>
      <c r="D31" s="127"/>
      <c r="E31" s="128"/>
    </row>
    <row r="32" spans="1:5" x14ac:dyDescent="0.25">
      <c r="A32" s="124"/>
      <c r="B32" s="129"/>
      <c r="C32" s="126"/>
      <c r="D32" s="127"/>
      <c r="E32" s="128"/>
    </row>
    <row r="33" spans="1:6" x14ac:dyDescent="0.25">
      <c r="A33" s="124"/>
      <c r="B33" s="129"/>
      <c r="C33" s="126"/>
      <c r="D33" s="127"/>
      <c r="E33" s="128"/>
    </row>
    <row r="34" spans="1:6" ht="15.75" thickBot="1" x14ac:dyDescent="0.3">
      <c r="A34" s="124"/>
      <c r="B34" s="129"/>
      <c r="C34" s="130"/>
      <c r="D34" s="131"/>
      <c r="E34" s="128"/>
      <c r="F34" t="s">
        <v>104</v>
      </c>
    </row>
    <row r="35" spans="1:6" ht="15.75" thickBot="1" x14ac:dyDescent="0.3">
      <c r="B35" s="6"/>
      <c r="C35" s="132">
        <f>+'Julio 25'!G59</f>
        <v>847837.15</v>
      </c>
      <c r="D35" s="6"/>
      <c r="E35" s="133"/>
    </row>
    <row r="36" spans="1:6" ht="15.75" thickBot="1" x14ac:dyDescent="0.3">
      <c r="B36" s="6"/>
      <c r="C36" s="115"/>
      <c r="D36" s="6"/>
    </row>
    <row r="37" spans="1:6" x14ac:dyDescent="0.25">
      <c r="A37" s="134" t="s">
        <v>105</v>
      </c>
      <c r="B37" s="135" t="s">
        <v>99</v>
      </c>
      <c r="C37" s="136" t="s">
        <v>100</v>
      </c>
      <c r="D37" s="135" t="s">
        <v>101</v>
      </c>
      <c r="E37" s="135" t="s">
        <v>102</v>
      </c>
    </row>
    <row r="38" spans="1:6" x14ac:dyDescent="0.25">
      <c r="A38" s="137"/>
      <c r="B38" s="138"/>
      <c r="C38" s="139"/>
      <c r="D38" s="130"/>
      <c r="E38" s="128"/>
    </row>
    <row r="39" spans="1:6" x14ac:dyDescent="0.25">
      <c r="A39" s="124"/>
      <c r="B39" s="140"/>
      <c r="C39" s="130"/>
      <c r="D39" s="130"/>
      <c r="E39" s="128"/>
    </row>
    <row r="40" spans="1:6" ht="15.75" thickBot="1" x14ac:dyDescent="0.3">
      <c r="A40" s="141"/>
      <c r="B40" s="142"/>
      <c r="C40" s="143"/>
      <c r="D40" s="144"/>
      <c r="E40" s="145"/>
    </row>
    <row r="41" spans="1:6" ht="15.75" thickBot="1" x14ac:dyDescent="0.3">
      <c r="B41" s="114"/>
      <c r="C41" s="146">
        <f>SUM(C38:C40)</f>
        <v>0</v>
      </c>
      <c r="D41" s="6"/>
      <c r="E41" s="133"/>
    </row>
    <row r="42" spans="1:6" x14ac:dyDescent="0.25">
      <c r="C42" s="115"/>
      <c r="E42" s="6"/>
    </row>
    <row r="43" spans="1:6" x14ac:dyDescent="0.25">
      <c r="A43" s="147" t="s">
        <v>106</v>
      </c>
      <c r="B43" s="148"/>
      <c r="C43" s="67">
        <f>+C41+C35</f>
        <v>847837.15</v>
      </c>
      <c r="E43" s="6"/>
    </row>
    <row r="44" spans="1:6" x14ac:dyDescent="0.25">
      <c r="A44" s="149"/>
      <c r="B44" s="149"/>
      <c r="C44" s="115"/>
      <c r="E44" s="6"/>
    </row>
    <row r="45" spans="1:6" x14ac:dyDescent="0.25">
      <c r="A45" s="149"/>
      <c r="B45" s="149"/>
      <c r="C45" s="115"/>
      <c r="E45" s="6"/>
    </row>
    <row r="46" spans="1:6" ht="15.75" thickBot="1" x14ac:dyDescent="0.3">
      <c r="C46" s="150" t="s">
        <v>107</v>
      </c>
      <c r="E46" s="6"/>
    </row>
    <row r="47" spans="1:6" x14ac:dyDescent="0.25">
      <c r="A47" s="151" t="s">
        <v>108</v>
      </c>
      <c r="B47" s="152"/>
      <c r="C47" s="153">
        <f>+C8-C16</f>
        <v>11121875.386799987</v>
      </c>
      <c r="D47" s="154"/>
      <c r="E47" s="6"/>
    </row>
    <row r="48" spans="1:6" x14ac:dyDescent="0.25">
      <c r="A48" s="155"/>
      <c r="B48" s="149"/>
      <c r="C48" s="156"/>
      <c r="D48" s="154"/>
      <c r="E48" s="6"/>
    </row>
    <row r="49" spans="1:5" x14ac:dyDescent="0.25">
      <c r="A49" s="157" t="s">
        <v>109</v>
      </c>
      <c r="B49" s="148"/>
      <c r="C49" s="158"/>
      <c r="D49" s="159" t="s">
        <v>110</v>
      </c>
      <c r="E49" s="6"/>
    </row>
    <row r="50" spans="1:5" ht="15.75" thickBot="1" x14ac:dyDescent="0.3">
      <c r="A50" s="155"/>
      <c r="B50" s="149"/>
      <c r="C50" s="156"/>
      <c r="D50" s="154"/>
      <c r="E50" s="6"/>
    </row>
    <row r="51" spans="1:5" ht="15.75" thickBot="1" x14ac:dyDescent="0.3">
      <c r="A51" s="160" t="s">
        <v>111</v>
      </c>
      <c r="B51" s="161"/>
      <c r="C51" s="162">
        <f>+C47-C49</f>
        <v>11121875.386799987</v>
      </c>
      <c r="D51" s="163"/>
      <c r="E51" s="164"/>
    </row>
    <row r="52" spans="1:5" x14ac:dyDescent="0.25">
      <c r="A52" s="165"/>
      <c r="B52" s="165"/>
      <c r="C52" s="166"/>
      <c r="D52" s="163"/>
      <c r="E52" s="164"/>
    </row>
    <row r="53" spans="1:5" x14ac:dyDescent="0.25">
      <c r="A53" s="165"/>
      <c r="B53" s="165"/>
      <c r="C53" s="166"/>
      <c r="D53" s="163"/>
      <c r="E53" s="164"/>
    </row>
    <row r="54" spans="1:5" ht="15.75" thickBot="1" x14ac:dyDescent="0.3">
      <c r="A54" s="165"/>
      <c r="B54" s="165"/>
      <c r="C54" s="166"/>
      <c r="D54" s="163"/>
      <c r="E54" s="164"/>
    </row>
    <row r="55" spans="1:5" x14ac:dyDescent="0.25">
      <c r="A55" s="167" t="s">
        <v>112</v>
      </c>
      <c r="B55" s="168"/>
      <c r="C55" s="169">
        <f>+C41+C35</f>
        <v>847837.15</v>
      </c>
      <c r="D55" s="154"/>
      <c r="E55" s="6"/>
    </row>
    <row r="56" spans="1:5" x14ac:dyDescent="0.25">
      <c r="A56" s="155"/>
      <c r="B56" s="149"/>
      <c r="C56" s="156"/>
      <c r="D56" s="154"/>
      <c r="E56" s="6"/>
    </row>
    <row r="57" spans="1:5" x14ac:dyDescent="0.25">
      <c r="A57" s="170" t="s">
        <v>113</v>
      </c>
      <c r="B57" s="171"/>
      <c r="C57" s="206"/>
      <c r="D57" s="6"/>
    </row>
    <row r="58" spans="1:5" ht="15.75" thickBot="1" x14ac:dyDescent="0.3">
      <c r="A58" s="172"/>
      <c r="B58" s="173"/>
      <c r="C58" s="156"/>
      <c r="D58" s="154"/>
      <c r="E58" s="6"/>
    </row>
    <row r="59" spans="1:5" ht="15.75" thickBot="1" x14ac:dyDescent="0.3">
      <c r="A59" s="160" t="s">
        <v>114</v>
      </c>
      <c r="B59" s="161"/>
      <c r="C59" s="162">
        <f>+C55+C57</f>
        <v>847837.15</v>
      </c>
      <c r="D59" s="154"/>
      <c r="E59" s="6"/>
    </row>
    <row r="60" spans="1:5" x14ac:dyDescent="0.25">
      <c r="A60" s="174"/>
      <c r="B60" s="112"/>
      <c r="C60" s="114"/>
      <c r="D60" s="154"/>
      <c r="E60" s="6"/>
    </row>
    <row r="61" spans="1:5" ht="15.75" thickBot="1" x14ac:dyDescent="0.3">
      <c r="A61" s="102"/>
      <c r="B61" s="112"/>
      <c r="C61" s="115"/>
      <c r="D61" s="154"/>
      <c r="E61" s="6"/>
    </row>
    <row r="62" spans="1:5" ht="18.75" thickBot="1" x14ac:dyDescent="0.3">
      <c r="A62" s="175" t="s">
        <v>115</v>
      </c>
      <c r="B62" s="176"/>
      <c r="C62" s="177">
        <f>+C51-C59</f>
        <v>10274038.236799987</v>
      </c>
      <c r="D62" s="178"/>
      <c r="E62" s="179"/>
    </row>
    <row r="63" spans="1:5" ht="18" x14ac:dyDescent="0.25">
      <c r="A63" s="180" t="s">
        <v>116</v>
      </c>
    </row>
    <row r="66" spans="3:3" x14ac:dyDescent="0.25">
      <c r="C66" s="328"/>
    </row>
    <row r="67" spans="3:3" x14ac:dyDescent="0.25">
      <c r="C67" s="328"/>
    </row>
    <row r="68" spans="3:3" x14ac:dyDescent="0.25">
      <c r="C68" s="328"/>
    </row>
    <row r="69" spans="3:3" x14ac:dyDescent="0.25">
      <c r="C69" s="328"/>
    </row>
    <row r="70" spans="3:3" x14ac:dyDescent="0.25">
      <c r="C70" s="328"/>
    </row>
    <row r="71" spans="3:3" x14ac:dyDescent="0.25">
      <c r="C71" s="328"/>
    </row>
    <row r="72" spans="3:3" x14ac:dyDescent="0.25">
      <c r="C72" s="328"/>
    </row>
    <row r="73" spans="3:3" x14ac:dyDescent="0.25">
      <c r="C73" s="329"/>
    </row>
    <row r="74" spans="3:3" x14ac:dyDescent="0.25">
      <c r="C74" s="330"/>
    </row>
    <row r="75" spans="3:3" x14ac:dyDescent="0.25">
      <c r="C75" s="330"/>
    </row>
    <row r="76" spans="3:3" x14ac:dyDescent="0.25">
      <c r="C76" s="330"/>
    </row>
    <row r="77" spans="3:3" x14ac:dyDescent="0.25">
      <c r="C77" s="115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124"/>
  <sheetViews>
    <sheetView topLeftCell="I1" workbookViewId="0">
      <selection activeCell="I117" sqref="I114:Q117"/>
    </sheetView>
  </sheetViews>
  <sheetFormatPr baseColWidth="10" defaultRowHeight="15" x14ac:dyDescent="0.2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 x14ac:dyDescent="0.25">
      <c r="A1" s="226" t="s">
        <v>102</v>
      </c>
      <c r="B1" s="226" t="s">
        <v>628</v>
      </c>
      <c r="C1" s="226" t="s">
        <v>629</v>
      </c>
      <c r="D1" s="226" t="s">
        <v>630</v>
      </c>
      <c r="E1" s="226" t="s">
        <v>631</v>
      </c>
      <c r="F1" s="226" t="s">
        <v>632</v>
      </c>
      <c r="G1" s="226" t="s">
        <v>633</v>
      </c>
      <c r="H1" s="226" t="s">
        <v>634</v>
      </c>
      <c r="I1" s="226" t="s">
        <v>635</v>
      </c>
      <c r="J1" s="226" t="s">
        <v>636</v>
      </c>
      <c r="K1" s="226" t="s">
        <v>637</v>
      </c>
      <c r="L1" s="226" t="s">
        <v>638</v>
      </c>
      <c r="M1" s="226" t="s">
        <v>639</v>
      </c>
      <c r="N1" s="226" t="s">
        <v>640</v>
      </c>
      <c r="O1" s="226" t="s">
        <v>641</v>
      </c>
      <c r="P1" s="226" t="s">
        <v>3</v>
      </c>
      <c r="Q1" s="226" t="s">
        <v>642</v>
      </c>
    </row>
    <row r="2" spans="1:17" hidden="1" x14ac:dyDescent="0.25">
      <c r="A2" s="223" t="s">
        <v>643</v>
      </c>
      <c r="B2" s="223" t="s">
        <v>644</v>
      </c>
      <c r="C2" s="224">
        <v>2189</v>
      </c>
      <c r="D2" s="224">
        <v>75919</v>
      </c>
      <c r="E2" s="223"/>
      <c r="F2" s="224">
        <v>74356447170423</v>
      </c>
      <c r="G2" s="223" t="s">
        <v>7</v>
      </c>
      <c r="H2" s="227">
        <v>30548083156</v>
      </c>
      <c r="I2" s="223" t="s">
        <v>645</v>
      </c>
      <c r="J2" s="224">
        <v>1</v>
      </c>
      <c r="K2" s="223" t="s">
        <v>646</v>
      </c>
      <c r="L2" s="225">
        <v>6462.61</v>
      </c>
      <c r="M2" s="224">
        <v>0</v>
      </c>
      <c r="N2" s="224">
        <v>0</v>
      </c>
      <c r="O2" s="225">
        <v>452.38</v>
      </c>
      <c r="P2" s="225">
        <v>1357.15</v>
      </c>
      <c r="Q2" s="225">
        <v>8272.14</v>
      </c>
    </row>
    <row r="3" spans="1:17" hidden="1" x14ac:dyDescent="0.25">
      <c r="A3" s="223" t="s">
        <v>647</v>
      </c>
      <c r="B3" s="223" t="s">
        <v>644</v>
      </c>
      <c r="C3" s="224">
        <v>500</v>
      </c>
      <c r="D3" s="224">
        <v>1611886</v>
      </c>
      <c r="E3" s="223"/>
      <c r="F3" s="224">
        <v>74357098226128</v>
      </c>
      <c r="G3" s="223" t="s">
        <v>7</v>
      </c>
      <c r="H3" s="227">
        <v>30654118767</v>
      </c>
      <c r="I3" s="223" t="s">
        <v>648</v>
      </c>
      <c r="J3" s="224">
        <v>1</v>
      </c>
      <c r="K3" s="223" t="s">
        <v>646</v>
      </c>
      <c r="L3" s="225">
        <v>89554.36</v>
      </c>
      <c r="M3" s="224">
        <v>0</v>
      </c>
      <c r="N3" s="224">
        <v>0</v>
      </c>
      <c r="O3" s="224">
        <v>0</v>
      </c>
      <c r="P3" s="225">
        <v>18806.419999999998</v>
      </c>
      <c r="Q3" s="225">
        <v>112850.92</v>
      </c>
    </row>
    <row r="4" spans="1:17" hidden="1" x14ac:dyDescent="0.25">
      <c r="A4" s="223" t="s">
        <v>647</v>
      </c>
      <c r="B4" s="223" t="s">
        <v>644</v>
      </c>
      <c r="C4" s="224">
        <v>1</v>
      </c>
      <c r="D4" s="224">
        <v>4517</v>
      </c>
      <c r="E4" s="223"/>
      <c r="F4" s="224">
        <v>74361573927319</v>
      </c>
      <c r="G4" s="223" t="s">
        <v>7</v>
      </c>
      <c r="H4" s="227">
        <v>30715141201</v>
      </c>
      <c r="I4" s="223" t="s">
        <v>649</v>
      </c>
      <c r="J4" s="224">
        <v>1</v>
      </c>
      <c r="K4" s="223" t="s">
        <v>646</v>
      </c>
      <c r="L4" s="224">
        <v>1216380</v>
      </c>
      <c r="M4" s="224">
        <v>0</v>
      </c>
      <c r="N4" s="224">
        <v>0</v>
      </c>
      <c r="O4" s="224">
        <v>0</v>
      </c>
      <c r="P4" s="223">
        <v>255439.8</v>
      </c>
      <c r="Q4" s="223">
        <v>1471819.8</v>
      </c>
    </row>
    <row r="5" spans="1:17" hidden="1" x14ac:dyDescent="0.25">
      <c r="A5" s="223" t="s">
        <v>647</v>
      </c>
      <c r="B5" s="223" t="s">
        <v>644</v>
      </c>
      <c r="C5" s="224">
        <v>5</v>
      </c>
      <c r="D5" s="224">
        <v>158399</v>
      </c>
      <c r="E5" s="223"/>
      <c r="F5" s="224">
        <v>74363528156508</v>
      </c>
      <c r="G5" s="223" t="s">
        <v>7</v>
      </c>
      <c r="H5" s="227">
        <v>30598960093</v>
      </c>
      <c r="I5" s="223" t="s">
        <v>650</v>
      </c>
      <c r="J5" s="224">
        <v>1</v>
      </c>
      <c r="K5" s="223" t="s">
        <v>646</v>
      </c>
      <c r="L5" s="223">
        <v>2376294.2000000002</v>
      </c>
      <c r="M5" s="224">
        <v>0</v>
      </c>
      <c r="N5" s="224">
        <v>0</v>
      </c>
      <c r="O5" s="224">
        <v>0</v>
      </c>
      <c r="P5" s="225">
        <v>337808.56</v>
      </c>
      <c r="Q5" s="225">
        <v>2832917.47</v>
      </c>
    </row>
    <row r="6" spans="1:17" hidden="1" x14ac:dyDescent="0.25">
      <c r="A6" s="223" t="s">
        <v>647</v>
      </c>
      <c r="B6" s="223" t="s">
        <v>644</v>
      </c>
      <c r="C6" s="224">
        <v>17</v>
      </c>
      <c r="D6" s="224">
        <v>2245</v>
      </c>
      <c r="E6" s="223"/>
      <c r="F6" s="224">
        <v>74361547632750</v>
      </c>
      <c r="G6" s="223" t="s">
        <v>7</v>
      </c>
      <c r="H6" s="227">
        <v>30711764921</v>
      </c>
      <c r="I6" s="223" t="s">
        <v>651</v>
      </c>
      <c r="J6" s="224">
        <v>1</v>
      </c>
      <c r="K6" s="223" t="s">
        <v>646</v>
      </c>
      <c r="L6" s="224">
        <v>93973</v>
      </c>
      <c r="M6" s="224">
        <v>0</v>
      </c>
      <c r="N6" s="224">
        <v>0</v>
      </c>
      <c r="O6" s="224">
        <v>0</v>
      </c>
      <c r="P6" s="225">
        <v>19734.330000000002</v>
      </c>
      <c r="Q6" s="225">
        <v>113707.33</v>
      </c>
    </row>
    <row r="7" spans="1:17" hidden="1" x14ac:dyDescent="0.25">
      <c r="A7" s="223" t="s">
        <v>647</v>
      </c>
      <c r="B7" s="223" t="s">
        <v>644</v>
      </c>
      <c r="C7" s="224">
        <v>3051</v>
      </c>
      <c r="D7" s="224">
        <v>801967</v>
      </c>
      <c r="E7" s="223"/>
      <c r="F7" s="224">
        <v>74367703518446</v>
      </c>
      <c r="G7" s="223" t="s">
        <v>7</v>
      </c>
      <c r="H7" s="227">
        <v>30678814357</v>
      </c>
      <c r="I7" s="223" t="s">
        <v>652</v>
      </c>
      <c r="J7" s="224">
        <v>1</v>
      </c>
      <c r="K7" s="223" t="s">
        <v>646</v>
      </c>
      <c r="L7" s="224">
        <v>14407</v>
      </c>
      <c r="M7" s="224">
        <v>0</v>
      </c>
      <c r="N7" s="224">
        <v>0</v>
      </c>
      <c r="O7" s="224">
        <v>0</v>
      </c>
      <c r="P7" s="225">
        <v>3889.89</v>
      </c>
      <c r="Q7" s="225">
        <v>20245.61</v>
      </c>
    </row>
    <row r="8" spans="1:17" hidden="1" x14ac:dyDescent="0.25">
      <c r="A8" s="223" t="s">
        <v>647</v>
      </c>
      <c r="B8" s="223" t="s">
        <v>644</v>
      </c>
      <c r="C8" s="224">
        <v>2</v>
      </c>
      <c r="D8" s="224">
        <v>248</v>
      </c>
      <c r="E8" s="223"/>
      <c r="F8" s="224">
        <v>74363494027429</v>
      </c>
      <c r="G8" s="223" t="s">
        <v>7</v>
      </c>
      <c r="H8" s="227">
        <v>27144282383</v>
      </c>
      <c r="I8" s="223" t="s">
        <v>653</v>
      </c>
      <c r="J8" s="224">
        <v>1</v>
      </c>
      <c r="K8" s="223" t="s">
        <v>646</v>
      </c>
      <c r="L8" s="224">
        <v>160000</v>
      </c>
      <c r="M8" s="224">
        <v>0</v>
      </c>
      <c r="N8" s="224">
        <v>0</v>
      </c>
      <c r="O8" s="224">
        <v>0</v>
      </c>
      <c r="P8" s="224">
        <v>33600</v>
      </c>
      <c r="Q8" s="224">
        <v>193600</v>
      </c>
    </row>
    <row r="9" spans="1:17" hidden="1" x14ac:dyDescent="0.25">
      <c r="A9" s="223" t="s">
        <v>647</v>
      </c>
      <c r="B9" s="223" t="s">
        <v>644</v>
      </c>
      <c r="C9" s="224">
        <v>5</v>
      </c>
      <c r="D9" s="224">
        <v>102</v>
      </c>
      <c r="E9" s="223"/>
      <c r="F9" s="224">
        <v>74367559790009</v>
      </c>
      <c r="G9" s="223" t="s">
        <v>7</v>
      </c>
      <c r="H9" s="227">
        <v>27329449357</v>
      </c>
      <c r="I9" s="223" t="s">
        <v>654</v>
      </c>
      <c r="J9" s="224">
        <v>1</v>
      </c>
      <c r="K9" s="223" t="s">
        <v>646</v>
      </c>
      <c r="L9" s="224">
        <v>64100</v>
      </c>
      <c r="M9" s="224">
        <v>16400</v>
      </c>
      <c r="N9" s="224">
        <v>0</v>
      </c>
      <c r="O9" s="224">
        <v>0</v>
      </c>
      <c r="P9" s="224">
        <v>13461</v>
      </c>
      <c r="Q9" s="224">
        <v>93961</v>
      </c>
    </row>
    <row r="10" spans="1:17" hidden="1" x14ac:dyDescent="0.25">
      <c r="A10" s="223" t="s">
        <v>647</v>
      </c>
      <c r="B10" s="223" t="s">
        <v>655</v>
      </c>
      <c r="C10" s="224">
        <v>3</v>
      </c>
      <c r="D10" s="224">
        <v>874</v>
      </c>
      <c r="E10" s="223"/>
      <c r="F10" s="224">
        <v>74363563144286</v>
      </c>
      <c r="G10" s="223" t="s">
        <v>7</v>
      </c>
      <c r="H10" s="227">
        <v>20086277523</v>
      </c>
      <c r="I10" s="223" t="s">
        <v>37</v>
      </c>
      <c r="J10" s="224">
        <v>1</v>
      </c>
      <c r="K10" s="223" t="s">
        <v>646</v>
      </c>
      <c r="L10" s="223"/>
      <c r="M10" s="223"/>
      <c r="N10" s="223"/>
      <c r="O10" s="224">
        <v>0</v>
      </c>
      <c r="P10" s="223"/>
      <c r="Q10" s="224">
        <v>275500</v>
      </c>
    </row>
    <row r="11" spans="1:17" hidden="1" x14ac:dyDescent="0.25">
      <c r="A11" s="223" t="s">
        <v>647</v>
      </c>
      <c r="B11" s="223" t="s">
        <v>655</v>
      </c>
      <c r="C11" s="224">
        <v>2</v>
      </c>
      <c r="D11" s="224">
        <v>302</v>
      </c>
      <c r="E11" s="223"/>
      <c r="F11" s="224">
        <v>74368278674869</v>
      </c>
      <c r="G11" s="223" t="s">
        <v>7</v>
      </c>
      <c r="H11" s="227">
        <v>27265832178</v>
      </c>
      <c r="I11" s="223" t="s">
        <v>470</v>
      </c>
      <c r="J11" s="224">
        <v>1</v>
      </c>
      <c r="K11" s="223" t="s">
        <v>646</v>
      </c>
      <c r="L11" s="223"/>
      <c r="M11" s="223"/>
      <c r="N11" s="223"/>
      <c r="O11" s="224">
        <v>0</v>
      </c>
      <c r="P11" s="223"/>
      <c r="Q11" s="224">
        <v>250000</v>
      </c>
    </row>
    <row r="12" spans="1:17" hidden="1" x14ac:dyDescent="0.25">
      <c r="A12" s="223" t="s">
        <v>656</v>
      </c>
      <c r="B12" s="223" t="s">
        <v>644</v>
      </c>
      <c r="C12" s="224">
        <v>629</v>
      </c>
      <c r="D12" s="224">
        <v>5407463</v>
      </c>
      <c r="E12" s="223"/>
      <c r="F12" s="224">
        <v>34353802937243</v>
      </c>
      <c r="G12" s="223" t="s">
        <v>7</v>
      </c>
      <c r="H12" s="227">
        <v>30663498513</v>
      </c>
      <c r="I12" s="223" t="s">
        <v>657</v>
      </c>
      <c r="J12" s="224">
        <v>1</v>
      </c>
      <c r="K12" s="223" t="s">
        <v>646</v>
      </c>
      <c r="L12" s="225">
        <v>2121.64</v>
      </c>
      <c r="M12" s="224">
        <v>0</v>
      </c>
      <c r="N12" s="224">
        <v>0</v>
      </c>
      <c r="O12" s="224">
        <v>0</v>
      </c>
      <c r="P12" s="225">
        <v>445.54</v>
      </c>
      <c r="Q12" s="225">
        <v>2673.26</v>
      </c>
    </row>
    <row r="13" spans="1:17" hidden="1" x14ac:dyDescent="0.25">
      <c r="A13" s="223" t="s">
        <v>656</v>
      </c>
      <c r="B13" s="223" t="s">
        <v>644</v>
      </c>
      <c r="C13" s="224">
        <v>711</v>
      </c>
      <c r="D13" s="224">
        <v>6097149</v>
      </c>
      <c r="E13" s="223"/>
      <c r="F13" s="224">
        <v>34359489663246</v>
      </c>
      <c r="G13" s="223" t="s">
        <v>7</v>
      </c>
      <c r="H13" s="227">
        <v>30677237119</v>
      </c>
      <c r="I13" s="223" t="s">
        <v>658</v>
      </c>
      <c r="J13" s="224">
        <v>1</v>
      </c>
      <c r="K13" s="223" t="s">
        <v>646</v>
      </c>
      <c r="L13" s="225">
        <v>7715.05</v>
      </c>
      <c r="M13" s="224">
        <v>0</v>
      </c>
      <c r="N13" s="225">
        <v>231.45</v>
      </c>
      <c r="O13" s="224">
        <v>0</v>
      </c>
      <c r="P13" s="225">
        <v>1620.16</v>
      </c>
      <c r="Q13" s="225">
        <v>9952.41</v>
      </c>
    </row>
    <row r="14" spans="1:17" hidden="1" x14ac:dyDescent="0.25">
      <c r="A14" s="223" t="s">
        <v>656</v>
      </c>
      <c r="B14" s="223" t="s">
        <v>644</v>
      </c>
      <c r="C14" s="224">
        <v>2635</v>
      </c>
      <c r="D14" s="224">
        <v>1369</v>
      </c>
      <c r="E14" s="223"/>
      <c r="F14" s="224">
        <v>34359844249451</v>
      </c>
      <c r="G14" s="223" t="s">
        <v>7</v>
      </c>
      <c r="H14" s="227">
        <v>33699685459</v>
      </c>
      <c r="I14" s="223" t="s">
        <v>325</v>
      </c>
      <c r="J14" s="224">
        <v>1</v>
      </c>
      <c r="K14" s="223" t="s">
        <v>646</v>
      </c>
      <c r="L14" s="223">
        <v>12449.6</v>
      </c>
      <c r="M14" s="224">
        <v>0</v>
      </c>
      <c r="N14" s="224">
        <v>0</v>
      </c>
      <c r="O14" s="224">
        <v>0</v>
      </c>
      <c r="P14" s="225">
        <v>2614.42</v>
      </c>
      <c r="Q14" s="225">
        <v>15064.02</v>
      </c>
    </row>
    <row r="15" spans="1:17" hidden="1" x14ac:dyDescent="0.25">
      <c r="A15" s="223" t="s">
        <v>656</v>
      </c>
      <c r="B15" s="223" t="s">
        <v>644</v>
      </c>
      <c r="C15" s="224">
        <v>2</v>
      </c>
      <c r="D15" s="224">
        <v>216</v>
      </c>
      <c r="E15" s="223"/>
      <c r="F15" s="224">
        <v>74362687536018</v>
      </c>
      <c r="G15" s="223" t="s">
        <v>7</v>
      </c>
      <c r="H15" s="227">
        <v>30605344352</v>
      </c>
      <c r="I15" s="223" t="s">
        <v>659</v>
      </c>
      <c r="J15" s="224">
        <v>1</v>
      </c>
      <c r="K15" s="223" t="s">
        <v>646</v>
      </c>
      <c r="L15" s="224">
        <v>834000</v>
      </c>
      <c r="M15" s="224">
        <v>0</v>
      </c>
      <c r="N15" s="224">
        <v>0</v>
      </c>
      <c r="O15" s="224">
        <v>0</v>
      </c>
      <c r="P15" s="224">
        <v>175140</v>
      </c>
      <c r="Q15" s="224">
        <v>1009140</v>
      </c>
    </row>
    <row r="16" spans="1:17" hidden="1" x14ac:dyDescent="0.25">
      <c r="A16" s="223" t="s">
        <v>660</v>
      </c>
      <c r="B16" s="223" t="s">
        <v>644</v>
      </c>
      <c r="C16" s="224">
        <v>17</v>
      </c>
      <c r="D16" s="224">
        <v>2255</v>
      </c>
      <c r="E16" s="223"/>
      <c r="F16" s="224">
        <v>74361803741207</v>
      </c>
      <c r="G16" s="223" t="s">
        <v>7</v>
      </c>
      <c r="H16" s="227">
        <v>30711764921</v>
      </c>
      <c r="I16" s="223" t="s">
        <v>651</v>
      </c>
      <c r="J16" s="224">
        <v>1</v>
      </c>
      <c r="K16" s="223" t="s">
        <v>646</v>
      </c>
      <c r="L16" s="224">
        <v>527580</v>
      </c>
      <c r="M16" s="224">
        <v>0</v>
      </c>
      <c r="N16" s="224">
        <v>0</v>
      </c>
      <c r="O16" s="224">
        <v>0</v>
      </c>
      <c r="P16" s="223">
        <v>110791.8</v>
      </c>
      <c r="Q16" s="223">
        <v>638371.80000000005</v>
      </c>
    </row>
    <row r="17" spans="1:17" hidden="1" x14ac:dyDescent="0.25">
      <c r="A17" s="223" t="s">
        <v>660</v>
      </c>
      <c r="B17" s="223" t="s">
        <v>644</v>
      </c>
      <c r="C17" s="224">
        <v>2</v>
      </c>
      <c r="D17" s="224">
        <v>50685</v>
      </c>
      <c r="E17" s="223"/>
      <c r="F17" s="224">
        <v>74365825946417</v>
      </c>
      <c r="G17" s="223" t="s">
        <v>7</v>
      </c>
      <c r="H17" s="227">
        <v>30595553535</v>
      </c>
      <c r="I17" s="223" t="s">
        <v>661</v>
      </c>
      <c r="J17" s="224">
        <v>1</v>
      </c>
      <c r="K17" s="223" t="s">
        <v>646</v>
      </c>
      <c r="L17" s="225">
        <v>4793.3900000000003</v>
      </c>
      <c r="M17" s="224">
        <v>0</v>
      </c>
      <c r="N17" s="224">
        <v>0</v>
      </c>
      <c r="O17" s="224">
        <v>0</v>
      </c>
      <c r="P17" s="225">
        <v>1006.61</v>
      </c>
      <c r="Q17" s="224">
        <v>5800</v>
      </c>
    </row>
    <row r="18" spans="1:17" hidden="1" x14ac:dyDescent="0.25">
      <c r="A18" s="223" t="s">
        <v>660</v>
      </c>
      <c r="B18" s="223" t="s">
        <v>644</v>
      </c>
      <c r="C18" s="224">
        <v>120</v>
      </c>
      <c r="D18" s="224">
        <v>4949</v>
      </c>
      <c r="E18" s="223"/>
      <c r="F18" s="224">
        <v>74365804898856</v>
      </c>
      <c r="G18" s="223" t="s">
        <v>7</v>
      </c>
      <c r="H18" s="227">
        <v>30587197215</v>
      </c>
      <c r="I18" s="223" t="s">
        <v>485</v>
      </c>
      <c r="J18" s="224">
        <v>1</v>
      </c>
      <c r="K18" s="223" t="s">
        <v>646</v>
      </c>
      <c r="L18" s="225">
        <v>68595.039999999994</v>
      </c>
      <c r="M18" s="224">
        <v>0</v>
      </c>
      <c r="N18" s="224">
        <v>0</v>
      </c>
      <c r="O18" s="224">
        <v>0</v>
      </c>
      <c r="P18" s="225">
        <v>14404.96</v>
      </c>
      <c r="Q18" s="225">
        <v>86429.75</v>
      </c>
    </row>
    <row r="19" spans="1:17" hidden="1" x14ac:dyDescent="0.25">
      <c r="A19" s="223" t="s">
        <v>660</v>
      </c>
      <c r="B19" s="223" t="s">
        <v>644</v>
      </c>
      <c r="C19" s="224">
        <v>7</v>
      </c>
      <c r="D19" s="224">
        <v>3241</v>
      </c>
      <c r="E19" s="223"/>
      <c r="F19" s="224">
        <v>74364799883128</v>
      </c>
      <c r="G19" s="223" t="s">
        <v>7</v>
      </c>
      <c r="H19" s="227">
        <v>20284183534</v>
      </c>
      <c r="I19" s="223" t="s">
        <v>440</v>
      </c>
      <c r="J19" s="224">
        <v>1</v>
      </c>
      <c r="K19" s="223" t="s">
        <v>646</v>
      </c>
      <c r="L19" s="223">
        <v>4545.5</v>
      </c>
      <c r="M19" s="224">
        <v>0</v>
      </c>
      <c r="N19" s="224">
        <v>0</v>
      </c>
      <c r="O19" s="224">
        <v>0</v>
      </c>
      <c r="P19" s="225">
        <v>954.56</v>
      </c>
      <c r="Q19" s="225">
        <v>5500.06</v>
      </c>
    </row>
    <row r="20" spans="1:17" hidden="1" x14ac:dyDescent="0.25">
      <c r="A20" s="223" t="s">
        <v>660</v>
      </c>
      <c r="B20" s="223" t="s">
        <v>644</v>
      </c>
      <c r="C20" s="224">
        <v>120</v>
      </c>
      <c r="D20" s="224">
        <v>4948</v>
      </c>
      <c r="E20" s="223"/>
      <c r="F20" s="224">
        <v>74365800262038</v>
      </c>
      <c r="G20" s="223" t="s">
        <v>7</v>
      </c>
      <c r="H20" s="227">
        <v>30587197215</v>
      </c>
      <c r="I20" s="223" t="s">
        <v>485</v>
      </c>
      <c r="J20" s="224">
        <v>1</v>
      </c>
      <c r="K20" s="223" t="s">
        <v>646</v>
      </c>
      <c r="L20" s="225">
        <v>68595.039999999994</v>
      </c>
      <c r="M20" s="224">
        <v>0</v>
      </c>
      <c r="N20" s="224">
        <v>0</v>
      </c>
      <c r="O20" s="224">
        <v>0</v>
      </c>
      <c r="P20" s="225">
        <v>14404.96</v>
      </c>
      <c r="Q20" s="225">
        <v>86429.75</v>
      </c>
    </row>
    <row r="21" spans="1:17" hidden="1" x14ac:dyDescent="0.25">
      <c r="A21" s="223" t="s">
        <v>660</v>
      </c>
      <c r="B21" s="223" t="s">
        <v>644</v>
      </c>
      <c r="C21" s="224">
        <v>401</v>
      </c>
      <c r="D21" s="224">
        <v>66</v>
      </c>
      <c r="E21" s="223"/>
      <c r="F21" s="224">
        <v>74364797895464</v>
      </c>
      <c r="G21" s="223" t="s">
        <v>7</v>
      </c>
      <c r="H21" s="227">
        <v>30716234114</v>
      </c>
      <c r="I21" s="223" t="s">
        <v>662</v>
      </c>
      <c r="J21" s="224">
        <v>1305</v>
      </c>
      <c r="K21" s="223" t="s">
        <v>663</v>
      </c>
      <c r="L21" s="223">
        <v>129.30000000000001</v>
      </c>
      <c r="M21" s="224">
        <v>0</v>
      </c>
      <c r="N21" s="224">
        <v>0</v>
      </c>
      <c r="O21" s="224">
        <v>0</v>
      </c>
      <c r="P21" s="225">
        <v>27.15</v>
      </c>
      <c r="Q21" s="225">
        <v>156.44999999999999</v>
      </c>
    </row>
    <row r="22" spans="1:17" hidden="1" x14ac:dyDescent="0.25">
      <c r="A22" s="223" t="s">
        <v>664</v>
      </c>
      <c r="B22" s="223" t="s">
        <v>644</v>
      </c>
      <c r="C22" s="224">
        <v>2</v>
      </c>
      <c r="D22" s="224">
        <v>760</v>
      </c>
      <c r="E22" s="223"/>
      <c r="F22" s="224">
        <v>74369961703669</v>
      </c>
      <c r="G22" s="223" t="s">
        <v>7</v>
      </c>
      <c r="H22" s="227">
        <v>20272865869</v>
      </c>
      <c r="I22" s="223" t="s">
        <v>617</v>
      </c>
      <c r="J22" s="224">
        <v>1</v>
      </c>
      <c r="K22" s="223" t="s">
        <v>646</v>
      </c>
      <c r="L22" s="224">
        <v>84450</v>
      </c>
      <c r="M22" s="224">
        <v>0</v>
      </c>
      <c r="N22" s="224">
        <v>0</v>
      </c>
      <c r="O22" s="224">
        <v>0</v>
      </c>
      <c r="P22" s="223">
        <v>17734.5</v>
      </c>
      <c r="Q22" s="223">
        <v>102184.5</v>
      </c>
    </row>
    <row r="23" spans="1:17" hidden="1" x14ac:dyDescent="0.25">
      <c r="A23" s="223" t="s">
        <v>664</v>
      </c>
      <c r="B23" s="223" t="s">
        <v>644</v>
      </c>
      <c r="C23" s="224">
        <v>5</v>
      </c>
      <c r="D23" s="224">
        <v>5331</v>
      </c>
      <c r="E23" s="223"/>
      <c r="F23" s="224">
        <v>74363959099503</v>
      </c>
      <c r="G23" s="223" t="s">
        <v>7</v>
      </c>
      <c r="H23" s="227">
        <v>30715833243</v>
      </c>
      <c r="I23" s="223" t="s">
        <v>665</v>
      </c>
      <c r="J23" s="224">
        <v>1</v>
      </c>
      <c r="K23" s="223" t="s">
        <v>646</v>
      </c>
      <c r="L23" s="225">
        <v>22238.59</v>
      </c>
      <c r="M23" s="224">
        <v>0</v>
      </c>
      <c r="N23" s="224">
        <v>0</v>
      </c>
      <c r="O23" s="224">
        <v>0</v>
      </c>
      <c r="P23" s="223">
        <v>4670.1000000000004</v>
      </c>
      <c r="Q23" s="225">
        <v>26908.69</v>
      </c>
    </row>
    <row r="24" spans="1:17" hidden="1" x14ac:dyDescent="0.25">
      <c r="A24" s="223" t="s">
        <v>664</v>
      </c>
      <c r="B24" s="223" t="s">
        <v>644</v>
      </c>
      <c r="C24" s="224">
        <v>5</v>
      </c>
      <c r="D24" s="224">
        <v>5332</v>
      </c>
      <c r="E24" s="223"/>
      <c r="F24" s="224">
        <v>74363959206879</v>
      </c>
      <c r="G24" s="223" t="s">
        <v>7</v>
      </c>
      <c r="H24" s="227">
        <v>30715833243</v>
      </c>
      <c r="I24" s="223" t="s">
        <v>665</v>
      </c>
      <c r="J24" s="224">
        <v>1</v>
      </c>
      <c r="K24" s="223" t="s">
        <v>646</v>
      </c>
      <c r="L24" s="225">
        <v>44477.18</v>
      </c>
      <c r="M24" s="224">
        <v>0</v>
      </c>
      <c r="N24" s="224">
        <v>0</v>
      </c>
      <c r="O24" s="224">
        <v>0</v>
      </c>
      <c r="P24" s="225">
        <v>9340.2099999999991</v>
      </c>
      <c r="Q24" s="225">
        <v>53817.39</v>
      </c>
    </row>
    <row r="25" spans="1:17" hidden="1" x14ac:dyDescent="0.25">
      <c r="A25" s="223" t="s">
        <v>664</v>
      </c>
      <c r="B25" s="223" t="s">
        <v>644</v>
      </c>
      <c r="C25" s="224">
        <v>5</v>
      </c>
      <c r="D25" s="224">
        <v>5328</v>
      </c>
      <c r="E25" s="223"/>
      <c r="F25" s="224">
        <v>74363948247842</v>
      </c>
      <c r="G25" s="223" t="s">
        <v>7</v>
      </c>
      <c r="H25" s="227">
        <v>30715833243</v>
      </c>
      <c r="I25" s="223" t="s">
        <v>665</v>
      </c>
      <c r="J25" s="224">
        <v>1</v>
      </c>
      <c r="K25" s="223" t="s">
        <v>646</v>
      </c>
      <c r="L25" s="225">
        <v>205349.64</v>
      </c>
      <c r="M25" s="224">
        <v>0</v>
      </c>
      <c r="N25" s="224">
        <v>0</v>
      </c>
      <c r="O25" s="224">
        <v>0</v>
      </c>
      <c r="P25" s="225">
        <v>43123.42</v>
      </c>
      <c r="Q25" s="225">
        <v>248473.06</v>
      </c>
    </row>
    <row r="26" spans="1:17" hidden="1" x14ac:dyDescent="0.25">
      <c r="A26" s="223" t="s">
        <v>664</v>
      </c>
      <c r="B26" s="223" t="s">
        <v>666</v>
      </c>
      <c r="C26" s="224">
        <v>5</v>
      </c>
      <c r="D26" s="224">
        <v>803</v>
      </c>
      <c r="E26" s="223"/>
      <c r="F26" s="224">
        <v>74363959149539</v>
      </c>
      <c r="G26" s="223" t="s">
        <v>7</v>
      </c>
      <c r="H26" s="227">
        <v>30715833243</v>
      </c>
      <c r="I26" s="223" t="s">
        <v>665</v>
      </c>
      <c r="J26" s="224">
        <v>1</v>
      </c>
      <c r="K26" s="223" t="s">
        <v>646</v>
      </c>
      <c r="L26" s="225">
        <v>22238.59</v>
      </c>
      <c r="M26" s="224">
        <v>0</v>
      </c>
      <c r="N26" s="224">
        <v>0</v>
      </c>
      <c r="O26" s="224">
        <v>0</v>
      </c>
      <c r="P26" s="223">
        <v>4670.1000000000004</v>
      </c>
      <c r="Q26" s="225">
        <v>26908.69</v>
      </c>
    </row>
    <row r="27" spans="1:17" hidden="1" x14ac:dyDescent="0.25">
      <c r="A27" s="223" t="s">
        <v>667</v>
      </c>
      <c r="B27" s="223" t="s">
        <v>644</v>
      </c>
      <c r="C27" s="224">
        <v>8</v>
      </c>
      <c r="D27" s="224">
        <v>306</v>
      </c>
      <c r="E27" s="223"/>
      <c r="F27" s="224">
        <v>74364088350892</v>
      </c>
      <c r="G27" s="223" t="s">
        <v>7</v>
      </c>
      <c r="H27" s="227">
        <v>30643518364</v>
      </c>
      <c r="I27" s="223" t="s">
        <v>668</v>
      </c>
      <c r="J27" s="224">
        <v>1</v>
      </c>
      <c r="K27" s="223" t="s">
        <v>646</v>
      </c>
      <c r="L27" s="224">
        <v>188610</v>
      </c>
      <c r="M27" s="224">
        <v>0</v>
      </c>
      <c r="N27" s="224">
        <v>0</v>
      </c>
      <c r="O27" s="224">
        <v>0</v>
      </c>
      <c r="P27" s="223">
        <v>39608.1</v>
      </c>
      <c r="Q27" s="223">
        <v>228218.1</v>
      </c>
    </row>
    <row r="28" spans="1:17" hidden="1" x14ac:dyDescent="0.25">
      <c r="A28" s="223" t="s">
        <v>667</v>
      </c>
      <c r="B28" s="223" t="s">
        <v>644</v>
      </c>
      <c r="C28" s="224">
        <v>5</v>
      </c>
      <c r="D28" s="224">
        <v>1901</v>
      </c>
      <c r="E28" s="223"/>
      <c r="F28" s="224">
        <v>74366066637327</v>
      </c>
      <c r="G28" s="223" t="s">
        <v>7</v>
      </c>
      <c r="H28" s="227">
        <v>30712187316</v>
      </c>
      <c r="I28" s="223" t="s">
        <v>68</v>
      </c>
      <c r="J28" s="224">
        <v>1</v>
      </c>
      <c r="K28" s="223" t="s">
        <v>646</v>
      </c>
      <c r="L28" s="225">
        <v>293619.94</v>
      </c>
      <c r="M28" s="224">
        <v>0</v>
      </c>
      <c r="N28" s="224">
        <v>0</v>
      </c>
      <c r="O28" s="224">
        <v>0</v>
      </c>
      <c r="P28" s="225">
        <v>61660.19</v>
      </c>
      <c r="Q28" s="225">
        <v>355280.13</v>
      </c>
    </row>
    <row r="29" spans="1:17" hidden="1" x14ac:dyDescent="0.25">
      <c r="A29" s="223" t="s">
        <v>667</v>
      </c>
      <c r="B29" s="223" t="s">
        <v>644</v>
      </c>
      <c r="C29" s="224">
        <v>700</v>
      </c>
      <c r="D29" s="224">
        <v>1905419</v>
      </c>
      <c r="E29" s="223"/>
      <c r="F29" s="224">
        <v>74372577628576</v>
      </c>
      <c r="G29" s="223" t="s">
        <v>7</v>
      </c>
      <c r="H29" s="227">
        <v>30715804812</v>
      </c>
      <c r="I29" s="223" t="s">
        <v>669</v>
      </c>
      <c r="J29" s="224">
        <v>1</v>
      </c>
      <c r="K29" s="223" t="s">
        <v>646</v>
      </c>
      <c r="L29" s="225">
        <v>3818.92</v>
      </c>
      <c r="M29" s="224">
        <v>0</v>
      </c>
      <c r="N29" s="224">
        <v>0</v>
      </c>
      <c r="O29" s="224">
        <v>0</v>
      </c>
      <c r="P29" s="225">
        <v>801.98</v>
      </c>
      <c r="Q29" s="225">
        <v>4811.8500000000004</v>
      </c>
    </row>
    <row r="30" spans="1:17" hidden="1" x14ac:dyDescent="0.25">
      <c r="A30" s="223" t="s">
        <v>670</v>
      </c>
      <c r="B30" s="223" t="s">
        <v>644</v>
      </c>
      <c r="C30" s="224">
        <v>5015</v>
      </c>
      <c r="D30" s="224">
        <v>643182</v>
      </c>
      <c r="E30" s="223"/>
      <c r="F30" s="224">
        <v>74364287628815</v>
      </c>
      <c r="G30" s="223" t="s">
        <v>7</v>
      </c>
      <c r="H30" s="227">
        <v>30574876474</v>
      </c>
      <c r="I30" s="223" t="s">
        <v>671</v>
      </c>
      <c r="J30" s="224">
        <v>1</v>
      </c>
      <c r="K30" s="223" t="s">
        <v>646</v>
      </c>
      <c r="L30" s="225">
        <v>14073.49</v>
      </c>
      <c r="M30" s="224">
        <v>0</v>
      </c>
      <c r="N30" s="224">
        <v>0</v>
      </c>
      <c r="O30" s="224">
        <v>0</v>
      </c>
      <c r="P30" s="225">
        <v>2955.43</v>
      </c>
      <c r="Q30" s="225">
        <v>18858.47</v>
      </c>
    </row>
    <row r="31" spans="1:17" x14ac:dyDescent="0.25">
      <c r="A31" s="247" t="s">
        <v>670</v>
      </c>
      <c r="B31" s="247" t="s">
        <v>644</v>
      </c>
      <c r="C31" s="248">
        <v>12</v>
      </c>
      <c r="D31" s="248">
        <v>1770378</v>
      </c>
      <c r="E31" s="247"/>
      <c r="F31" s="248">
        <v>74374364009998</v>
      </c>
      <c r="G31" s="247" t="s">
        <v>7</v>
      </c>
      <c r="H31" s="248">
        <v>30709776564</v>
      </c>
      <c r="I31" s="247" t="s">
        <v>672</v>
      </c>
      <c r="J31" s="224">
        <v>1</v>
      </c>
      <c r="K31" s="223" t="s">
        <v>646</v>
      </c>
      <c r="L31" s="224">
        <v>129241</v>
      </c>
      <c r="M31" s="224">
        <v>0</v>
      </c>
      <c r="N31" s="224">
        <v>0</v>
      </c>
      <c r="O31" s="224">
        <v>0</v>
      </c>
      <c r="P31" s="225">
        <v>27140.61</v>
      </c>
      <c r="Q31" s="225">
        <v>162843.68</v>
      </c>
    </row>
    <row r="32" spans="1:17" hidden="1" x14ac:dyDescent="0.25">
      <c r="A32" s="223" t="s">
        <v>673</v>
      </c>
      <c r="B32" s="223" t="s">
        <v>644</v>
      </c>
      <c r="C32" s="224">
        <v>6</v>
      </c>
      <c r="D32" s="224">
        <v>54121</v>
      </c>
      <c r="E32" s="223"/>
      <c r="F32" s="224">
        <v>74378439780493</v>
      </c>
      <c r="G32" s="223" t="s">
        <v>7</v>
      </c>
      <c r="H32" s="227">
        <v>30710177658</v>
      </c>
      <c r="I32" s="223" t="s">
        <v>674</v>
      </c>
      <c r="J32" s="224">
        <v>1</v>
      </c>
      <c r="K32" s="223" t="s">
        <v>646</v>
      </c>
      <c r="L32" s="223">
        <v>700742.4</v>
      </c>
      <c r="M32" s="224">
        <v>0</v>
      </c>
      <c r="N32" s="224">
        <v>0</v>
      </c>
      <c r="O32" s="224">
        <v>0</v>
      </c>
      <c r="P32" s="223">
        <v>147155.9</v>
      </c>
      <c r="Q32" s="223">
        <v>847898.3</v>
      </c>
    </row>
    <row r="33" spans="1:17" hidden="1" x14ac:dyDescent="0.25">
      <c r="A33" s="223" t="s">
        <v>673</v>
      </c>
      <c r="B33" s="223" t="s">
        <v>644</v>
      </c>
      <c r="C33" s="224">
        <v>5</v>
      </c>
      <c r="D33" s="224">
        <v>1908</v>
      </c>
      <c r="E33" s="223"/>
      <c r="F33" s="224">
        <v>74376416790528</v>
      </c>
      <c r="G33" s="223" t="s">
        <v>7</v>
      </c>
      <c r="H33" s="227">
        <v>30712187316</v>
      </c>
      <c r="I33" s="223" t="s">
        <v>68</v>
      </c>
      <c r="J33" s="224">
        <v>1</v>
      </c>
      <c r="K33" s="223" t="s">
        <v>646</v>
      </c>
      <c r="L33" s="225">
        <v>265780.37</v>
      </c>
      <c r="M33" s="224">
        <v>0</v>
      </c>
      <c r="N33" s="224">
        <v>0</v>
      </c>
      <c r="O33" s="224">
        <v>0</v>
      </c>
      <c r="P33" s="225">
        <v>55813.88</v>
      </c>
      <c r="Q33" s="225">
        <v>321594.25</v>
      </c>
    </row>
    <row r="34" spans="1:17" hidden="1" x14ac:dyDescent="0.25">
      <c r="A34" s="223" t="s">
        <v>673</v>
      </c>
      <c r="B34" s="223" t="s">
        <v>644</v>
      </c>
      <c r="C34" s="224">
        <v>3101</v>
      </c>
      <c r="D34" s="224">
        <v>161895</v>
      </c>
      <c r="E34" s="223"/>
      <c r="F34" s="224">
        <v>74377575713159</v>
      </c>
      <c r="G34" s="223" t="s">
        <v>7</v>
      </c>
      <c r="H34" s="227">
        <v>30678814357</v>
      </c>
      <c r="I34" s="223" t="s">
        <v>652</v>
      </c>
      <c r="J34" s="224">
        <v>1</v>
      </c>
      <c r="K34" s="223" t="s">
        <v>646</v>
      </c>
      <c r="L34" s="225">
        <v>58748.38</v>
      </c>
      <c r="M34" s="224">
        <v>0</v>
      </c>
      <c r="N34" s="224">
        <v>0</v>
      </c>
      <c r="O34" s="224">
        <v>0</v>
      </c>
      <c r="P34" s="225">
        <v>15862.06</v>
      </c>
      <c r="Q34" s="225">
        <v>79310.31</v>
      </c>
    </row>
    <row r="35" spans="1:17" hidden="1" x14ac:dyDescent="0.25">
      <c r="A35" s="223" t="s">
        <v>673</v>
      </c>
      <c r="B35" s="223" t="s">
        <v>666</v>
      </c>
      <c r="C35" s="224">
        <v>5</v>
      </c>
      <c r="D35" s="224">
        <v>192</v>
      </c>
      <c r="E35" s="223"/>
      <c r="F35" s="224">
        <v>74376416376753</v>
      </c>
      <c r="G35" s="223" t="s">
        <v>7</v>
      </c>
      <c r="H35" s="227">
        <v>30712187316</v>
      </c>
      <c r="I35" s="223" t="s">
        <v>68</v>
      </c>
      <c r="J35" s="224">
        <v>1</v>
      </c>
      <c r="K35" s="223" t="s">
        <v>646</v>
      </c>
      <c r="L35" s="225">
        <v>293619.94</v>
      </c>
      <c r="M35" s="224">
        <v>0</v>
      </c>
      <c r="N35" s="224">
        <v>0</v>
      </c>
      <c r="O35" s="224">
        <v>0</v>
      </c>
      <c r="P35" s="225">
        <v>61660.19</v>
      </c>
      <c r="Q35" s="225">
        <v>355280.13</v>
      </c>
    </row>
    <row r="36" spans="1:17" hidden="1" x14ac:dyDescent="0.25">
      <c r="A36" s="223" t="s">
        <v>673</v>
      </c>
      <c r="B36" s="223" t="s">
        <v>655</v>
      </c>
      <c r="C36" s="224">
        <v>1</v>
      </c>
      <c r="D36" s="224">
        <v>148</v>
      </c>
      <c r="E36" s="223"/>
      <c r="F36" s="224">
        <v>74370408397319</v>
      </c>
      <c r="G36" s="223" t="s">
        <v>7</v>
      </c>
      <c r="H36" s="227">
        <v>27338342840</v>
      </c>
      <c r="I36" s="223" t="s">
        <v>424</v>
      </c>
      <c r="J36" s="224">
        <v>1</v>
      </c>
      <c r="K36" s="223" t="s">
        <v>646</v>
      </c>
      <c r="L36" s="223"/>
      <c r="M36" s="223"/>
      <c r="N36" s="223"/>
      <c r="O36" s="224">
        <v>0</v>
      </c>
      <c r="P36" s="223"/>
      <c r="Q36" s="224">
        <v>276800</v>
      </c>
    </row>
    <row r="37" spans="1:17" hidden="1" x14ac:dyDescent="0.25">
      <c r="A37" s="223" t="s">
        <v>675</v>
      </c>
      <c r="B37" s="223" t="s">
        <v>644</v>
      </c>
      <c r="C37" s="224">
        <v>2</v>
      </c>
      <c r="D37" s="224">
        <v>8403</v>
      </c>
      <c r="E37" s="223"/>
      <c r="F37" s="224">
        <v>74372567359059</v>
      </c>
      <c r="G37" s="223" t="s">
        <v>7</v>
      </c>
      <c r="H37" s="227">
        <v>27363810182</v>
      </c>
      <c r="I37" s="223" t="s">
        <v>676</v>
      </c>
      <c r="J37" s="224">
        <v>1</v>
      </c>
      <c r="K37" s="223" t="s">
        <v>646</v>
      </c>
      <c r="L37" s="225">
        <v>3635.54</v>
      </c>
      <c r="M37" s="224">
        <v>0</v>
      </c>
      <c r="N37" s="224">
        <v>0</v>
      </c>
      <c r="O37" s="224">
        <v>0</v>
      </c>
      <c r="P37" s="225">
        <v>763.46</v>
      </c>
      <c r="Q37" s="224">
        <v>4399</v>
      </c>
    </row>
    <row r="38" spans="1:17" hidden="1" x14ac:dyDescent="0.25">
      <c r="A38" s="223" t="s">
        <v>675</v>
      </c>
      <c r="B38" s="223" t="s">
        <v>644</v>
      </c>
      <c r="C38" s="224">
        <v>5</v>
      </c>
      <c r="D38" s="224">
        <v>31858</v>
      </c>
      <c r="E38" s="223"/>
      <c r="F38" s="224">
        <v>74370525870493</v>
      </c>
      <c r="G38" s="223" t="s">
        <v>7</v>
      </c>
      <c r="H38" s="227">
        <v>30710804830</v>
      </c>
      <c r="I38" s="223" t="s">
        <v>677</v>
      </c>
      <c r="J38" s="224">
        <v>1</v>
      </c>
      <c r="K38" s="223" t="s">
        <v>646</v>
      </c>
      <c r="L38" s="225">
        <v>29410.86</v>
      </c>
      <c r="M38" s="224">
        <v>0</v>
      </c>
      <c r="N38" s="224">
        <v>0</v>
      </c>
      <c r="O38" s="224">
        <v>0</v>
      </c>
      <c r="P38" s="225">
        <v>3088.14</v>
      </c>
      <c r="Q38" s="224">
        <v>32499</v>
      </c>
    </row>
    <row r="39" spans="1:17" hidden="1" x14ac:dyDescent="0.25">
      <c r="A39" s="223" t="s">
        <v>675</v>
      </c>
      <c r="B39" s="223" t="s">
        <v>644</v>
      </c>
      <c r="C39" s="224">
        <v>8</v>
      </c>
      <c r="D39" s="224">
        <v>1684</v>
      </c>
      <c r="E39" s="223"/>
      <c r="F39" s="224">
        <v>74371529941038</v>
      </c>
      <c r="G39" s="223" t="s">
        <v>7</v>
      </c>
      <c r="H39" s="227">
        <v>30708973501</v>
      </c>
      <c r="I39" s="223" t="s">
        <v>678</v>
      </c>
      <c r="J39" s="224">
        <v>1</v>
      </c>
      <c r="K39" s="223" t="s">
        <v>646</v>
      </c>
      <c r="L39" s="224">
        <v>740255</v>
      </c>
      <c r="M39" s="224">
        <v>0</v>
      </c>
      <c r="N39" s="224">
        <v>0</v>
      </c>
      <c r="O39" s="224">
        <v>0</v>
      </c>
      <c r="P39" s="225">
        <v>155453.54999999999</v>
      </c>
      <c r="Q39" s="225">
        <v>895708.55</v>
      </c>
    </row>
    <row r="40" spans="1:17" hidden="1" x14ac:dyDescent="0.25">
      <c r="A40" s="223" t="s">
        <v>675</v>
      </c>
      <c r="B40" s="223" t="s">
        <v>644</v>
      </c>
      <c r="C40" s="224">
        <v>3</v>
      </c>
      <c r="D40" s="224">
        <v>4250</v>
      </c>
      <c r="E40" s="223"/>
      <c r="F40" s="224">
        <v>74378552751950</v>
      </c>
      <c r="G40" s="223" t="s">
        <v>7</v>
      </c>
      <c r="H40" s="227">
        <v>20184052858</v>
      </c>
      <c r="I40" s="223" t="s">
        <v>679</v>
      </c>
      <c r="J40" s="224">
        <v>1</v>
      </c>
      <c r="K40" s="223" t="s">
        <v>646</v>
      </c>
      <c r="L40" s="225">
        <v>16859.48</v>
      </c>
      <c r="M40" s="224">
        <v>0</v>
      </c>
      <c r="N40" s="224">
        <v>0</v>
      </c>
      <c r="O40" s="224">
        <v>0</v>
      </c>
      <c r="P40" s="225">
        <v>3540.49</v>
      </c>
      <c r="Q40" s="225">
        <v>20399.95</v>
      </c>
    </row>
    <row r="41" spans="1:17" hidden="1" x14ac:dyDescent="0.25">
      <c r="A41" s="223" t="s">
        <v>675</v>
      </c>
      <c r="B41" s="223" t="s">
        <v>655</v>
      </c>
      <c r="C41" s="224">
        <v>3</v>
      </c>
      <c r="D41" s="224">
        <v>986</v>
      </c>
      <c r="E41" s="223"/>
      <c r="F41" s="224">
        <v>74379527477577</v>
      </c>
      <c r="G41" s="223" t="s">
        <v>7</v>
      </c>
      <c r="H41" s="227">
        <v>20216451679</v>
      </c>
      <c r="I41" s="223" t="s">
        <v>469</v>
      </c>
      <c r="J41" s="224">
        <v>1</v>
      </c>
      <c r="K41" s="223" t="s">
        <v>646</v>
      </c>
      <c r="L41" s="223"/>
      <c r="M41" s="223"/>
      <c r="N41" s="223"/>
      <c r="O41" s="224">
        <v>0</v>
      </c>
      <c r="P41" s="223"/>
      <c r="Q41" s="224">
        <v>86000</v>
      </c>
    </row>
    <row r="42" spans="1:17" hidden="1" x14ac:dyDescent="0.25">
      <c r="A42" s="223" t="s">
        <v>680</v>
      </c>
      <c r="B42" s="223" t="s">
        <v>644</v>
      </c>
      <c r="C42" s="224">
        <v>1</v>
      </c>
      <c r="D42" s="224">
        <v>2468</v>
      </c>
      <c r="E42" s="223"/>
      <c r="F42" s="224">
        <v>74379681409704</v>
      </c>
      <c r="G42" s="223" t="s">
        <v>7</v>
      </c>
      <c r="H42" s="227">
        <v>30717179389</v>
      </c>
      <c r="I42" s="223" t="s">
        <v>681</v>
      </c>
      <c r="J42" s="224">
        <v>1</v>
      </c>
      <c r="K42" s="223" t="s">
        <v>646</v>
      </c>
      <c r="L42" s="225">
        <v>82644.62</v>
      </c>
      <c r="M42" s="224">
        <v>0</v>
      </c>
      <c r="N42" s="224">
        <v>0</v>
      </c>
      <c r="O42" s="224">
        <v>0</v>
      </c>
      <c r="P42" s="225">
        <v>17355.37</v>
      </c>
      <c r="Q42" s="225">
        <v>99999.99</v>
      </c>
    </row>
    <row r="43" spans="1:17" x14ac:dyDescent="0.25">
      <c r="A43" s="247" t="s">
        <v>680</v>
      </c>
      <c r="B43" s="247" t="s">
        <v>644</v>
      </c>
      <c r="C43" s="248">
        <v>5</v>
      </c>
      <c r="D43" s="248">
        <v>3378</v>
      </c>
      <c r="E43" s="247"/>
      <c r="F43" s="248">
        <v>74379704726153</v>
      </c>
      <c r="G43" s="247" t="s">
        <v>7</v>
      </c>
      <c r="H43" s="248">
        <v>30717179389</v>
      </c>
      <c r="I43" s="247" t="s">
        <v>681</v>
      </c>
      <c r="J43" s="248">
        <v>1</v>
      </c>
      <c r="K43" s="247" t="s">
        <v>646</v>
      </c>
      <c r="L43" s="249">
        <v>82644.63</v>
      </c>
      <c r="M43" s="224">
        <v>0</v>
      </c>
      <c r="N43" s="224">
        <v>0</v>
      </c>
      <c r="O43" s="224">
        <v>0</v>
      </c>
      <c r="P43" s="225">
        <v>17355.37</v>
      </c>
      <c r="Q43" s="224">
        <v>100000</v>
      </c>
    </row>
    <row r="44" spans="1:17" hidden="1" x14ac:dyDescent="0.25">
      <c r="A44" s="223" t="s">
        <v>680</v>
      </c>
      <c r="B44" s="223" t="s">
        <v>644</v>
      </c>
      <c r="C44" s="224">
        <v>3</v>
      </c>
      <c r="D44" s="224">
        <v>7676</v>
      </c>
      <c r="E44" s="223"/>
      <c r="F44" s="224">
        <v>74379686794320</v>
      </c>
      <c r="G44" s="223" t="s">
        <v>7</v>
      </c>
      <c r="H44" s="227">
        <v>33708218699</v>
      </c>
      <c r="I44" s="223" t="s">
        <v>682</v>
      </c>
      <c r="J44" s="224">
        <v>1</v>
      </c>
      <c r="K44" s="223" t="s">
        <v>646</v>
      </c>
      <c r="L44" s="224">
        <v>15000</v>
      </c>
      <c r="M44" s="224">
        <v>0</v>
      </c>
      <c r="N44" s="224">
        <v>0</v>
      </c>
      <c r="O44" s="224">
        <v>0</v>
      </c>
      <c r="P44" s="224">
        <v>3150</v>
      </c>
      <c r="Q44" s="224">
        <v>18150</v>
      </c>
    </row>
    <row r="45" spans="1:17" hidden="1" x14ac:dyDescent="0.25">
      <c r="A45" s="223" t="s">
        <v>680</v>
      </c>
      <c r="B45" s="223" t="s">
        <v>655</v>
      </c>
      <c r="C45" s="224">
        <v>1</v>
      </c>
      <c r="D45" s="224">
        <v>9</v>
      </c>
      <c r="E45" s="223"/>
      <c r="F45" s="224">
        <v>74373677716509</v>
      </c>
      <c r="G45" s="223" t="s">
        <v>7</v>
      </c>
      <c r="H45" s="227">
        <v>20464199633</v>
      </c>
      <c r="I45" s="223" t="s">
        <v>683</v>
      </c>
      <c r="J45" s="224">
        <v>1</v>
      </c>
      <c r="K45" s="223" t="s">
        <v>646</v>
      </c>
      <c r="L45" s="223"/>
      <c r="M45" s="223"/>
      <c r="N45" s="223"/>
      <c r="O45" s="224">
        <v>0</v>
      </c>
      <c r="P45" s="223"/>
      <c r="Q45" s="224">
        <v>499950</v>
      </c>
    </row>
    <row r="46" spans="1:17" hidden="1" x14ac:dyDescent="0.25">
      <c r="A46" s="223" t="s">
        <v>684</v>
      </c>
      <c r="B46" s="223" t="s">
        <v>644</v>
      </c>
      <c r="C46" s="224">
        <v>2</v>
      </c>
      <c r="D46" s="224">
        <v>778</v>
      </c>
      <c r="E46" s="223"/>
      <c r="F46" s="224">
        <v>74379814460759</v>
      </c>
      <c r="G46" s="223" t="s">
        <v>7</v>
      </c>
      <c r="H46" s="227">
        <v>20272865869</v>
      </c>
      <c r="I46" s="223" t="s">
        <v>617</v>
      </c>
      <c r="J46" s="224">
        <v>1</v>
      </c>
      <c r="K46" s="223" t="s">
        <v>646</v>
      </c>
      <c r="L46" s="224">
        <v>128100</v>
      </c>
      <c r="M46" s="224">
        <v>0</v>
      </c>
      <c r="N46" s="224">
        <v>0</v>
      </c>
      <c r="O46" s="224">
        <v>0</v>
      </c>
      <c r="P46" s="224">
        <v>26901</v>
      </c>
      <c r="Q46" s="224">
        <v>155001</v>
      </c>
    </row>
    <row r="47" spans="1:17" hidden="1" x14ac:dyDescent="0.25">
      <c r="A47" s="223" t="s">
        <v>684</v>
      </c>
      <c r="B47" s="223" t="s">
        <v>644</v>
      </c>
      <c r="C47" s="224">
        <v>4</v>
      </c>
      <c r="D47" s="224">
        <v>38394</v>
      </c>
      <c r="E47" s="223"/>
      <c r="F47" s="224">
        <v>74379814609856</v>
      </c>
      <c r="G47" s="223" t="s">
        <v>7</v>
      </c>
      <c r="H47" s="227">
        <v>20289111329</v>
      </c>
      <c r="I47" s="223" t="s">
        <v>685</v>
      </c>
      <c r="J47" s="224">
        <v>1</v>
      </c>
      <c r="K47" s="223" t="s">
        <v>646</v>
      </c>
      <c r="L47" s="223">
        <v>585730.80000000005</v>
      </c>
      <c r="M47" s="224">
        <v>0</v>
      </c>
      <c r="N47" s="224">
        <v>0</v>
      </c>
      <c r="O47" s="224">
        <v>0</v>
      </c>
      <c r="P47" s="225">
        <v>123003.47</v>
      </c>
      <c r="Q47" s="225">
        <v>708734.27</v>
      </c>
    </row>
    <row r="48" spans="1:17" hidden="1" x14ac:dyDescent="0.25">
      <c r="A48" s="223" t="s">
        <v>684</v>
      </c>
      <c r="B48" s="223" t="s">
        <v>644</v>
      </c>
      <c r="C48" s="224">
        <v>5</v>
      </c>
      <c r="D48" s="224">
        <v>1915</v>
      </c>
      <c r="E48" s="223"/>
      <c r="F48" s="224">
        <v>74376761404173</v>
      </c>
      <c r="G48" s="223" t="s">
        <v>7</v>
      </c>
      <c r="H48" s="227">
        <v>30712187316</v>
      </c>
      <c r="I48" s="223" t="s">
        <v>68</v>
      </c>
      <c r="J48" s="224">
        <v>1</v>
      </c>
      <c r="K48" s="223" t="s">
        <v>646</v>
      </c>
      <c r="L48" s="225">
        <v>254033.05</v>
      </c>
      <c r="M48" s="224">
        <v>0</v>
      </c>
      <c r="N48" s="224">
        <v>0</v>
      </c>
      <c r="O48" s="224">
        <v>0</v>
      </c>
      <c r="P48" s="225">
        <v>53346.94</v>
      </c>
      <c r="Q48" s="225">
        <v>307379.99</v>
      </c>
    </row>
    <row r="49" spans="1:17" hidden="1" x14ac:dyDescent="0.25">
      <c r="A49" s="223" t="s">
        <v>684</v>
      </c>
      <c r="B49" s="223" t="s">
        <v>644</v>
      </c>
      <c r="C49" s="224">
        <v>5</v>
      </c>
      <c r="D49" s="224">
        <v>1916</v>
      </c>
      <c r="E49" s="223"/>
      <c r="F49" s="224">
        <v>74376766353942</v>
      </c>
      <c r="G49" s="223" t="s">
        <v>7</v>
      </c>
      <c r="H49" s="227">
        <v>30712187316</v>
      </c>
      <c r="I49" s="223" t="s">
        <v>68</v>
      </c>
      <c r="J49" s="224">
        <v>1</v>
      </c>
      <c r="K49" s="223" t="s">
        <v>646</v>
      </c>
      <c r="L49" s="225">
        <v>472751.65</v>
      </c>
      <c r="M49" s="224">
        <v>0</v>
      </c>
      <c r="N49" s="224">
        <v>0</v>
      </c>
      <c r="O49" s="224">
        <v>0</v>
      </c>
      <c r="P49" s="225">
        <v>99277.85</v>
      </c>
      <c r="Q49" s="223">
        <v>572029.5</v>
      </c>
    </row>
    <row r="50" spans="1:17" hidden="1" x14ac:dyDescent="0.25">
      <c r="A50" s="223" t="s">
        <v>686</v>
      </c>
      <c r="B50" s="223" t="s">
        <v>644</v>
      </c>
      <c r="C50" s="224">
        <v>1</v>
      </c>
      <c r="D50" s="224">
        <v>4620</v>
      </c>
      <c r="E50" s="223"/>
      <c r="F50" s="224">
        <v>74371942773283</v>
      </c>
      <c r="G50" s="223" t="s">
        <v>7</v>
      </c>
      <c r="H50" s="227">
        <v>30715141201</v>
      </c>
      <c r="I50" s="223" t="s">
        <v>649</v>
      </c>
      <c r="J50" s="224">
        <v>1</v>
      </c>
      <c r="K50" s="223" t="s">
        <v>646</v>
      </c>
      <c r="L50" s="224">
        <v>29295</v>
      </c>
      <c r="M50" s="224">
        <v>0</v>
      </c>
      <c r="N50" s="224">
        <v>0</v>
      </c>
      <c r="O50" s="224">
        <v>0</v>
      </c>
      <c r="P50" s="225">
        <v>6151.95</v>
      </c>
      <c r="Q50" s="225">
        <v>35446.949999999997</v>
      </c>
    </row>
    <row r="51" spans="1:17" hidden="1" x14ac:dyDescent="0.25">
      <c r="A51" s="223" t="s">
        <v>686</v>
      </c>
      <c r="B51" s="223" t="s">
        <v>644</v>
      </c>
      <c r="C51" s="224">
        <v>5</v>
      </c>
      <c r="D51" s="224">
        <v>1920</v>
      </c>
      <c r="E51" s="223"/>
      <c r="F51" s="224">
        <v>74376932362480</v>
      </c>
      <c r="G51" s="223" t="s">
        <v>7</v>
      </c>
      <c r="H51" s="227">
        <v>30712187316</v>
      </c>
      <c r="I51" s="223" t="s">
        <v>68</v>
      </c>
      <c r="J51" s="224">
        <v>1</v>
      </c>
      <c r="K51" s="223" t="s">
        <v>646</v>
      </c>
      <c r="L51" s="223">
        <v>34718.6</v>
      </c>
      <c r="M51" s="224">
        <v>0</v>
      </c>
      <c r="N51" s="224">
        <v>0</v>
      </c>
      <c r="O51" s="224">
        <v>0</v>
      </c>
      <c r="P51" s="225">
        <v>7290.91</v>
      </c>
      <c r="Q51" s="225">
        <v>42009.51</v>
      </c>
    </row>
    <row r="52" spans="1:17" hidden="1" x14ac:dyDescent="0.25">
      <c r="A52" s="223" t="s">
        <v>686</v>
      </c>
      <c r="B52" s="223" t="s">
        <v>644</v>
      </c>
      <c r="C52" s="224">
        <v>2</v>
      </c>
      <c r="D52" s="224">
        <v>783</v>
      </c>
      <c r="E52" s="223"/>
      <c r="F52" s="224">
        <v>74379875047216</v>
      </c>
      <c r="G52" s="223" t="s">
        <v>7</v>
      </c>
      <c r="H52" s="227">
        <v>20272865869</v>
      </c>
      <c r="I52" s="223" t="s">
        <v>617</v>
      </c>
      <c r="J52" s="224">
        <v>1</v>
      </c>
      <c r="K52" s="223" t="s">
        <v>646</v>
      </c>
      <c r="L52" s="224">
        <v>9950</v>
      </c>
      <c r="M52" s="224">
        <v>0</v>
      </c>
      <c r="N52" s="224">
        <v>0</v>
      </c>
      <c r="O52" s="224">
        <v>0</v>
      </c>
      <c r="P52" s="223">
        <v>2089.5</v>
      </c>
      <c r="Q52" s="223">
        <v>12039.5</v>
      </c>
    </row>
    <row r="53" spans="1:17" hidden="1" x14ac:dyDescent="0.25">
      <c r="A53" s="223" t="s">
        <v>686</v>
      </c>
      <c r="B53" s="223" t="s">
        <v>644</v>
      </c>
      <c r="C53" s="224">
        <v>1</v>
      </c>
      <c r="D53" s="224">
        <v>4613</v>
      </c>
      <c r="E53" s="223"/>
      <c r="F53" s="224">
        <v>74371932408480</v>
      </c>
      <c r="G53" s="223" t="s">
        <v>7</v>
      </c>
      <c r="H53" s="227">
        <v>30715141201</v>
      </c>
      <c r="I53" s="223" t="s">
        <v>649</v>
      </c>
      <c r="J53" s="224">
        <v>1</v>
      </c>
      <c r="K53" s="223" t="s">
        <v>646</v>
      </c>
      <c r="L53" s="223">
        <v>3648847.5</v>
      </c>
      <c r="M53" s="224">
        <v>0</v>
      </c>
      <c r="N53" s="224">
        <v>0</v>
      </c>
      <c r="O53" s="224">
        <v>0</v>
      </c>
      <c r="P53" s="225">
        <v>766257.98</v>
      </c>
      <c r="Q53" s="225">
        <v>4415105.4800000004</v>
      </c>
    </row>
    <row r="54" spans="1:17" x14ac:dyDescent="0.25">
      <c r="A54" s="247" t="s">
        <v>686</v>
      </c>
      <c r="B54" s="247" t="s">
        <v>644</v>
      </c>
      <c r="C54" s="248">
        <v>503</v>
      </c>
      <c r="D54" s="248">
        <v>1469491</v>
      </c>
      <c r="E54" s="247"/>
      <c r="F54" s="248">
        <v>74372992481197</v>
      </c>
      <c r="G54" s="247" t="s">
        <v>7</v>
      </c>
      <c r="H54" s="248">
        <v>30639935872</v>
      </c>
      <c r="I54" s="247" t="s">
        <v>687</v>
      </c>
      <c r="J54" s="248">
        <v>1</v>
      </c>
      <c r="K54" s="223" t="s">
        <v>646</v>
      </c>
      <c r="L54" s="225">
        <v>2934.75</v>
      </c>
      <c r="M54" s="224">
        <v>0</v>
      </c>
      <c r="N54" s="224">
        <v>0</v>
      </c>
      <c r="O54" s="224">
        <v>0</v>
      </c>
      <c r="P54" s="223">
        <v>616.29999999999995</v>
      </c>
      <c r="Q54" s="225">
        <v>3697.79</v>
      </c>
    </row>
    <row r="55" spans="1:17" hidden="1" x14ac:dyDescent="0.25">
      <c r="A55" s="223" t="s">
        <v>686</v>
      </c>
      <c r="B55" s="223" t="s">
        <v>644</v>
      </c>
      <c r="C55" s="224">
        <v>2</v>
      </c>
      <c r="D55" s="224">
        <v>4940</v>
      </c>
      <c r="E55" s="223"/>
      <c r="F55" s="224">
        <v>74375873241825</v>
      </c>
      <c r="G55" s="223" t="s">
        <v>7</v>
      </c>
      <c r="H55" s="227">
        <v>27117233745</v>
      </c>
      <c r="I55" s="223" t="s">
        <v>688</v>
      </c>
      <c r="J55" s="224">
        <v>1</v>
      </c>
      <c r="K55" s="223" t="s">
        <v>646</v>
      </c>
      <c r="L55" s="224">
        <v>585519</v>
      </c>
      <c r="M55" s="224">
        <v>0</v>
      </c>
      <c r="N55" s="224">
        <v>0</v>
      </c>
      <c r="O55" s="224">
        <v>0</v>
      </c>
      <c r="P55" s="225">
        <v>122958.99</v>
      </c>
      <c r="Q55" s="225">
        <v>708477.99</v>
      </c>
    </row>
    <row r="56" spans="1:17" hidden="1" x14ac:dyDescent="0.25">
      <c r="A56" s="223" t="s">
        <v>686</v>
      </c>
      <c r="B56" s="223" t="s">
        <v>644</v>
      </c>
      <c r="C56" s="224">
        <v>3</v>
      </c>
      <c r="D56" s="224">
        <v>170</v>
      </c>
      <c r="E56" s="223"/>
      <c r="F56" s="224">
        <v>74383333330765</v>
      </c>
      <c r="G56" s="223" t="s">
        <v>7</v>
      </c>
      <c r="H56" s="227">
        <v>20334976433</v>
      </c>
      <c r="I56" s="223" t="s">
        <v>490</v>
      </c>
      <c r="J56" s="224">
        <v>1</v>
      </c>
      <c r="K56" s="223" t="s">
        <v>646</v>
      </c>
      <c r="L56" s="224">
        <v>188330</v>
      </c>
      <c r="M56" s="224">
        <v>0</v>
      </c>
      <c r="N56" s="224">
        <v>0</v>
      </c>
      <c r="O56" s="224">
        <v>0</v>
      </c>
      <c r="P56" s="223">
        <v>39549.300000000003</v>
      </c>
      <c r="Q56" s="223">
        <v>227879.3</v>
      </c>
    </row>
    <row r="57" spans="1:17" hidden="1" x14ac:dyDescent="0.25">
      <c r="A57" s="223" t="s">
        <v>686</v>
      </c>
      <c r="B57" s="223" t="s">
        <v>644</v>
      </c>
      <c r="C57" s="224">
        <v>3</v>
      </c>
      <c r="D57" s="224">
        <v>171</v>
      </c>
      <c r="E57" s="223"/>
      <c r="F57" s="224">
        <v>74383357920263</v>
      </c>
      <c r="G57" s="223" t="s">
        <v>7</v>
      </c>
      <c r="H57" s="227">
        <v>20334976433</v>
      </c>
      <c r="I57" s="223" t="s">
        <v>490</v>
      </c>
      <c r="J57" s="224">
        <v>1</v>
      </c>
      <c r="K57" s="223" t="s">
        <v>646</v>
      </c>
      <c r="L57" s="224">
        <v>153000</v>
      </c>
      <c r="M57" s="224">
        <v>0</v>
      </c>
      <c r="N57" s="224">
        <v>0</v>
      </c>
      <c r="O57" s="224">
        <v>0</v>
      </c>
      <c r="P57" s="224">
        <v>32130</v>
      </c>
      <c r="Q57" s="224">
        <v>185130</v>
      </c>
    </row>
    <row r="58" spans="1:17" hidden="1" x14ac:dyDescent="0.25">
      <c r="A58" s="223" t="s">
        <v>686</v>
      </c>
      <c r="B58" s="223" t="s">
        <v>666</v>
      </c>
      <c r="C58" s="224">
        <v>3</v>
      </c>
      <c r="D58" s="224">
        <v>17</v>
      </c>
      <c r="E58" s="223"/>
      <c r="F58" s="224">
        <v>74383351889267</v>
      </c>
      <c r="G58" s="223" t="s">
        <v>7</v>
      </c>
      <c r="H58" s="227">
        <v>20334976433</v>
      </c>
      <c r="I58" s="223" t="s">
        <v>490</v>
      </c>
      <c r="J58" s="224">
        <v>1</v>
      </c>
      <c r="K58" s="223" t="s">
        <v>646</v>
      </c>
      <c r="L58" s="224">
        <v>188330</v>
      </c>
      <c r="M58" s="224">
        <v>0</v>
      </c>
      <c r="N58" s="224">
        <v>0</v>
      </c>
      <c r="O58" s="224">
        <v>0</v>
      </c>
      <c r="P58" s="223">
        <v>39549.300000000003</v>
      </c>
      <c r="Q58" s="223">
        <v>227879.3</v>
      </c>
    </row>
    <row r="59" spans="1:17" x14ac:dyDescent="0.25">
      <c r="A59" s="247" t="s">
        <v>689</v>
      </c>
      <c r="B59" s="247" t="s">
        <v>644</v>
      </c>
      <c r="C59" s="248">
        <v>104</v>
      </c>
      <c r="D59" s="248">
        <v>6699395</v>
      </c>
      <c r="E59" s="247"/>
      <c r="F59" s="248">
        <v>74372033897848</v>
      </c>
      <c r="G59" s="247" t="s">
        <v>7</v>
      </c>
      <c r="H59" s="248">
        <v>30715804812</v>
      </c>
      <c r="I59" s="247" t="s">
        <v>669</v>
      </c>
      <c r="J59" s="224">
        <v>1</v>
      </c>
      <c r="K59" s="223" t="s">
        <v>646</v>
      </c>
      <c r="L59" s="223">
        <v>1675.3</v>
      </c>
      <c r="M59" s="224">
        <v>0</v>
      </c>
      <c r="N59" s="224">
        <v>0</v>
      </c>
      <c r="O59" s="224">
        <v>0</v>
      </c>
      <c r="P59" s="225">
        <v>351.81</v>
      </c>
      <c r="Q59" s="225">
        <v>2110.88</v>
      </c>
    </row>
    <row r="60" spans="1:17" x14ac:dyDescent="0.25">
      <c r="A60" s="247" t="s">
        <v>690</v>
      </c>
      <c r="B60" s="247" t="s">
        <v>644</v>
      </c>
      <c r="C60" s="248">
        <v>113</v>
      </c>
      <c r="D60" s="248">
        <v>3802250</v>
      </c>
      <c r="E60" s="247"/>
      <c r="F60" s="248">
        <v>74380483594334</v>
      </c>
      <c r="G60" s="247" t="s">
        <v>7</v>
      </c>
      <c r="H60" s="248">
        <v>30577207190</v>
      </c>
      <c r="I60" s="247" t="s">
        <v>691</v>
      </c>
      <c r="J60" s="248">
        <v>1</v>
      </c>
      <c r="K60" s="223" t="s">
        <v>646</v>
      </c>
      <c r="L60" s="225">
        <v>2975.21</v>
      </c>
      <c r="M60" s="224">
        <v>0</v>
      </c>
      <c r="N60" s="224">
        <v>0</v>
      </c>
      <c r="O60" s="224">
        <v>0</v>
      </c>
      <c r="P60" s="225">
        <v>624.79</v>
      </c>
      <c r="Q60" s="225">
        <v>3689.26</v>
      </c>
    </row>
    <row r="61" spans="1:17" x14ac:dyDescent="0.25">
      <c r="A61" s="247" t="s">
        <v>690</v>
      </c>
      <c r="B61" s="247" t="s">
        <v>655</v>
      </c>
      <c r="C61" s="248">
        <v>5</v>
      </c>
      <c r="D61" s="248">
        <v>168</v>
      </c>
      <c r="E61" s="247"/>
      <c r="F61" s="248">
        <v>74379160231271</v>
      </c>
      <c r="G61" s="247" t="s">
        <v>7</v>
      </c>
      <c r="H61" s="248">
        <v>27062343449</v>
      </c>
      <c r="I61" s="247" t="s">
        <v>396</v>
      </c>
      <c r="J61" s="224">
        <v>1</v>
      </c>
      <c r="K61" s="223" t="s">
        <v>646</v>
      </c>
      <c r="L61" s="223"/>
      <c r="M61" s="223"/>
      <c r="N61" s="223"/>
      <c r="O61" s="224">
        <v>0</v>
      </c>
      <c r="P61" s="223"/>
      <c r="Q61" s="224">
        <v>260000</v>
      </c>
    </row>
    <row r="62" spans="1:17" x14ac:dyDescent="0.25">
      <c r="A62" s="247" t="s">
        <v>690</v>
      </c>
      <c r="B62" s="247" t="s">
        <v>655</v>
      </c>
      <c r="C62" s="248">
        <v>5</v>
      </c>
      <c r="D62" s="248">
        <v>169</v>
      </c>
      <c r="E62" s="247"/>
      <c r="F62" s="248">
        <v>74379160368355</v>
      </c>
      <c r="G62" s="247" t="s">
        <v>7</v>
      </c>
      <c r="H62" s="248">
        <v>27062343449</v>
      </c>
      <c r="I62" s="247" t="s">
        <v>396</v>
      </c>
      <c r="J62" s="224">
        <v>1</v>
      </c>
      <c r="K62" s="223" t="s">
        <v>646</v>
      </c>
      <c r="L62" s="223"/>
      <c r="M62" s="223"/>
      <c r="N62" s="223"/>
      <c r="O62" s="224">
        <v>0</v>
      </c>
      <c r="P62" s="223"/>
      <c r="Q62" s="224">
        <v>35000</v>
      </c>
    </row>
    <row r="63" spans="1:17" hidden="1" x14ac:dyDescent="0.25">
      <c r="A63" s="223" t="s">
        <v>692</v>
      </c>
      <c r="B63" s="223" t="s">
        <v>644</v>
      </c>
      <c r="C63" s="224">
        <v>5015</v>
      </c>
      <c r="D63" s="224">
        <v>644558</v>
      </c>
      <c r="E63" s="223"/>
      <c r="F63" s="224">
        <v>74384236665042</v>
      </c>
      <c r="G63" s="223" t="s">
        <v>7</v>
      </c>
      <c r="H63" s="227">
        <v>30574876474</v>
      </c>
      <c r="I63" s="223" t="s">
        <v>671</v>
      </c>
      <c r="J63" s="224">
        <v>1</v>
      </c>
      <c r="K63" s="223" t="s">
        <v>646</v>
      </c>
      <c r="L63" s="225">
        <v>12702.19</v>
      </c>
      <c r="M63" s="224">
        <v>0</v>
      </c>
      <c r="N63" s="224">
        <v>0</v>
      </c>
      <c r="O63" s="224">
        <v>0</v>
      </c>
      <c r="P63" s="225">
        <v>2667.45</v>
      </c>
      <c r="Q63" s="225">
        <v>17020.919999999998</v>
      </c>
    </row>
    <row r="64" spans="1:17" hidden="1" x14ac:dyDescent="0.25">
      <c r="A64" s="223" t="s">
        <v>692</v>
      </c>
      <c r="B64" s="223" t="s">
        <v>644</v>
      </c>
      <c r="C64" s="224">
        <v>6</v>
      </c>
      <c r="D64" s="224">
        <v>40318</v>
      </c>
      <c r="E64" s="223"/>
      <c r="F64" s="224">
        <v>74389250556652</v>
      </c>
      <c r="G64" s="223" t="s">
        <v>7</v>
      </c>
      <c r="H64" s="227">
        <v>30709459399</v>
      </c>
      <c r="I64" s="223" t="s">
        <v>693</v>
      </c>
      <c r="J64" s="224">
        <v>1</v>
      </c>
      <c r="K64" s="223" t="s">
        <v>646</v>
      </c>
      <c r="L64" s="225">
        <v>11807.44</v>
      </c>
      <c r="M64" s="224">
        <v>0</v>
      </c>
      <c r="N64" s="224">
        <v>0</v>
      </c>
      <c r="O64" s="224">
        <v>0</v>
      </c>
      <c r="P64" s="225">
        <v>2479.56</v>
      </c>
      <c r="Q64" s="224">
        <v>14287</v>
      </c>
    </row>
    <row r="65" spans="1:17" hidden="1" x14ac:dyDescent="0.25">
      <c r="A65" s="223" t="s">
        <v>692</v>
      </c>
      <c r="B65" s="223" t="s">
        <v>644</v>
      </c>
      <c r="C65" s="224">
        <v>2002</v>
      </c>
      <c r="D65" s="224">
        <v>72231</v>
      </c>
      <c r="E65" s="223"/>
      <c r="F65" s="224">
        <v>74385199526054</v>
      </c>
      <c r="G65" s="223" t="s">
        <v>7</v>
      </c>
      <c r="H65" s="227">
        <v>30716425165</v>
      </c>
      <c r="I65" s="223" t="s">
        <v>694</v>
      </c>
      <c r="J65" s="224">
        <v>1</v>
      </c>
      <c r="K65" s="223" t="s">
        <v>646</v>
      </c>
      <c r="L65" s="225">
        <v>13842.98</v>
      </c>
      <c r="M65" s="224">
        <v>0</v>
      </c>
      <c r="N65" s="224">
        <v>0</v>
      </c>
      <c r="O65" s="224">
        <v>0</v>
      </c>
      <c r="P65" s="225">
        <v>2907.03</v>
      </c>
      <c r="Q65" s="224">
        <v>16750</v>
      </c>
    </row>
    <row r="66" spans="1:17" hidden="1" x14ac:dyDescent="0.25">
      <c r="A66" s="223" t="s">
        <v>692</v>
      </c>
      <c r="B66" s="223" t="s">
        <v>644</v>
      </c>
      <c r="C66" s="224">
        <v>2</v>
      </c>
      <c r="D66" s="224">
        <v>249</v>
      </c>
      <c r="E66" s="223"/>
      <c r="F66" s="224">
        <v>74383195124025</v>
      </c>
      <c r="G66" s="223" t="s">
        <v>7</v>
      </c>
      <c r="H66" s="227">
        <v>27144282383</v>
      </c>
      <c r="I66" s="223" t="s">
        <v>653</v>
      </c>
      <c r="J66" s="224">
        <v>1</v>
      </c>
      <c r="K66" s="223" t="s">
        <v>646</v>
      </c>
      <c r="L66" s="224">
        <v>320000</v>
      </c>
      <c r="M66" s="224">
        <v>0</v>
      </c>
      <c r="N66" s="224">
        <v>0</v>
      </c>
      <c r="O66" s="224">
        <v>0</v>
      </c>
      <c r="P66" s="224">
        <v>67200</v>
      </c>
      <c r="Q66" s="224">
        <v>387200</v>
      </c>
    </row>
    <row r="67" spans="1:17" hidden="1" x14ac:dyDescent="0.25">
      <c r="A67" s="223" t="s">
        <v>695</v>
      </c>
      <c r="B67" s="223" t="s">
        <v>644</v>
      </c>
      <c r="C67" s="224">
        <v>7</v>
      </c>
      <c r="D67" s="224">
        <v>524</v>
      </c>
      <c r="E67" s="223"/>
      <c r="F67" s="224">
        <v>74380369713013</v>
      </c>
      <c r="G67" s="223" t="s">
        <v>7</v>
      </c>
      <c r="H67" s="227">
        <v>30715630040</v>
      </c>
      <c r="I67" s="223" t="s">
        <v>696</v>
      </c>
      <c r="J67" s="224">
        <v>1</v>
      </c>
      <c r="K67" s="223" t="s">
        <v>646</v>
      </c>
      <c r="L67" s="225">
        <v>3517469.42</v>
      </c>
      <c r="M67" s="224">
        <v>0</v>
      </c>
      <c r="N67" s="224">
        <v>0</v>
      </c>
      <c r="O67" s="224">
        <v>0</v>
      </c>
      <c r="P67" s="225">
        <v>738668.58</v>
      </c>
      <c r="Q67" s="224">
        <v>4256138</v>
      </c>
    </row>
    <row r="68" spans="1:17" hidden="1" x14ac:dyDescent="0.25">
      <c r="A68" s="223" t="s">
        <v>695</v>
      </c>
      <c r="B68" s="223" t="s">
        <v>644</v>
      </c>
      <c r="C68" s="224">
        <v>711</v>
      </c>
      <c r="D68" s="224">
        <v>6155254</v>
      </c>
      <c r="E68" s="223"/>
      <c r="F68" s="224">
        <v>34379169789485</v>
      </c>
      <c r="G68" s="223" t="s">
        <v>7</v>
      </c>
      <c r="H68" s="227">
        <v>30677237119</v>
      </c>
      <c r="I68" s="223" t="s">
        <v>658</v>
      </c>
      <c r="J68" s="224">
        <v>1</v>
      </c>
      <c r="K68" s="223" t="s">
        <v>646</v>
      </c>
      <c r="L68" s="223">
        <v>5515.3</v>
      </c>
      <c r="M68" s="224">
        <v>0</v>
      </c>
      <c r="N68" s="225">
        <v>165.46</v>
      </c>
      <c r="O68" s="224">
        <v>0</v>
      </c>
      <c r="P68" s="225">
        <v>1158.23</v>
      </c>
      <c r="Q68" s="225">
        <v>7114.76</v>
      </c>
    </row>
    <row r="69" spans="1:17" hidden="1" x14ac:dyDescent="0.25">
      <c r="A69" s="223" t="s">
        <v>695</v>
      </c>
      <c r="B69" s="223" t="s">
        <v>644</v>
      </c>
      <c r="C69" s="224">
        <v>629</v>
      </c>
      <c r="D69" s="224">
        <v>5447412</v>
      </c>
      <c r="E69" s="223"/>
      <c r="F69" s="224">
        <v>34373728816629</v>
      </c>
      <c r="G69" s="223" t="s">
        <v>7</v>
      </c>
      <c r="H69" s="227">
        <v>30663498513</v>
      </c>
      <c r="I69" s="223" t="s">
        <v>657</v>
      </c>
      <c r="J69" s="224">
        <v>1</v>
      </c>
      <c r="K69" s="223" t="s">
        <v>646</v>
      </c>
      <c r="L69" s="225">
        <v>3440.74</v>
      </c>
      <c r="M69" s="224">
        <v>0</v>
      </c>
      <c r="N69" s="224">
        <v>0</v>
      </c>
      <c r="O69" s="224">
        <v>0</v>
      </c>
      <c r="P69" s="225">
        <v>722.56</v>
      </c>
      <c r="Q69" s="225">
        <v>4335.34</v>
      </c>
    </row>
    <row r="70" spans="1:17" hidden="1" x14ac:dyDescent="0.25">
      <c r="A70" s="223" t="s">
        <v>695</v>
      </c>
      <c r="B70" s="223" t="s">
        <v>644</v>
      </c>
      <c r="C70" s="224">
        <v>4264</v>
      </c>
      <c r="D70" s="224">
        <v>4388001</v>
      </c>
      <c r="E70" s="223"/>
      <c r="F70" s="224">
        <v>74388498673820</v>
      </c>
      <c r="G70" s="223" t="s">
        <v>7</v>
      </c>
      <c r="H70" s="227">
        <v>30639453738</v>
      </c>
      <c r="I70" s="223" t="s">
        <v>697</v>
      </c>
      <c r="J70" s="224">
        <v>1</v>
      </c>
      <c r="K70" s="223" t="s">
        <v>646</v>
      </c>
      <c r="L70" s="225">
        <v>24142.14</v>
      </c>
      <c r="M70" s="224">
        <v>0</v>
      </c>
      <c r="N70" s="224">
        <v>0</v>
      </c>
      <c r="O70" s="224">
        <v>0</v>
      </c>
      <c r="P70" s="225">
        <v>5069.8500000000004</v>
      </c>
      <c r="Q70" s="225">
        <v>30901.93</v>
      </c>
    </row>
    <row r="71" spans="1:17" hidden="1" x14ac:dyDescent="0.25">
      <c r="A71" s="223" t="s">
        <v>695</v>
      </c>
      <c r="B71" s="223" t="s">
        <v>655</v>
      </c>
      <c r="C71" s="224">
        <v>1</v>
      </c>
      <c r="D71" s="224">
        <v>248</v>
      </c>
      <c r="E71" s="223"/>
      <c r="F71" s="224">
        <v>74395443070489</v>
      </c>
      <c r="G71" s="223" t="s">
        <v>7</v>
      </c>
      <c r="H71" s="227">
        <v>27217606255</v>
      </c>
      <c r="I71" s="223" t="s">
        <v>352</v>
      </c>
      <c r="J71" s="224">
        <v>1</v>
      </c>
      <c r="K71" s="223" t="s">
        <v>646</v>
      </c>
      <c r="L71" s="223"/>
      <c r="M71" s="223"/>
      <c r="N71" s="223"/>
      <c r="O71" s="224">
        <v>0</v>
      </c>
      <c r="P71" s="223"/>
      <c r="Q71" s="225">
        <v>50223.03</v>
      </c>
    </row>
    <row r="72" spans="1:17" hidden="1" x14ac:dyDescent="0.25">
      <c r="A72" s="223" t="s">
        <v>695</v>
      </c>
      <c r="B72" s="223" t="s">
        <v>655</v>
      </c>
      <c r="C72" s="224">
        <v>1</v>
      </c>
      <c r="D72" s="224">
        <v>247</v>
      </c>
      <c r="E72" s="223"/>
      <c r="F72" s="224">
        <v>74395442076201</v>
      </c>
      <c r="G72" s="223" t="s">
        <v>7</v>
      </c>
      <c r="H72" s="227">
        <v>27217606255</v>
      </c>
      <c r="I72" s="223" t="s">
        <v>352</v>
      </c>
      <c r="J72" s="224">
        <v>1</v>
      </c>
      <c r="K72" s="223" t="s">
        <v>646</v>
      </c>
      <c r="L72" s="223"/>
      <c r="M72" s="223"/>
      <c r="N72" s="223"/>
      <c r="O72" s="224">
        <v>0</v>
      </c>
      <c r="P72" s="223"/>
      <c r="Q72" s="225">
        <v>56703.42</v>
      </c>
    </row>
    <row r="73" spans="1:17" hidden="1" x14ac:dyDescent="0.25">
      <c r="A73" s="223" t="s">
        <v>698</v>
      </c>
      <c r="B73" s="223" t="s">
        <v>644</v>
      </c>
      <c r="C73" s="224">
        <v>2</v>
      </c>
      <c r="D73" s="224">
        <v>4942</v>
      </c>
      <c r="E73" s="223"/>
      <c r="F73" s="224">
        <v>74385474906338</v>
      </c>
      <c r="G73" s="223" t="s">
        <v>7</v>
      </c>
      <c r="H73" s="227">
        <v>27117233745</v>
      </c>
      <c r="I73" s="223" t="s">
        <v>688</v>
      </c>
      <c r="J73" s="224">
        <v>1</v>
      </c>
      <c r="K73" s="223" t="s">
        <v>646</v>
      </c>
      <c r="L73" s="224">
        <v>585519</v>
      </c>
      <c r="M73" s="224">
        <v>0</v>
      </c>
      <c r="N73" s="224">
        <v>0</v>
      </c>
      <c r="O73" s="224">
        <v>0</v>
      </c>
      <c r="P73" s="225">
        <v>122958.99</v>
      </c>
      <c r="Q73" s="225">
        <v>708477.99</v>
      </c>
    </row>
    <row r="74" spans="1:17" hidden="1" x14ac:dyDescent="0.25">
      <c r="A74" s="223" t="s">
        <v>698</v>
      </c>
      <c r="B74" s="223" t="s">
        <v>655</v>
      </c>
      <c r="C74" s="224">
        <v>1</v>
      </c>
      <c r="D74" s="224">
        <v>70</v>
      </c>
      <c r="E74" s="223"/>
      <c r="F74" s="224">
        <v>74384470115890</v>
      </c>
      <c r="G74" s="223" t="s">
        <v>7</v>
      </c>
      <c r="H74" s="227">
        <v>23281233084</v>
      </c>
      <c r="I74" s="223" t="s">
        <v>184</v>
      </c>
      <c r="J74" s="224">
        <v>1</v>
      </c>
      <c r="K74" s="223" t="s">
        <v>646</v>
      </c>
      <c r="L74" s="223"/>
      <c r="M74" s="223"/>
      <c r="N74" s="223"/>
      <c r="O74" s="224">
        <v>0</v>
      </c>
      <c r="P74" s="223"/>
      <c r="Q74" s="224">
        <v>215000</v>
      </c>
    </row>
    <row r="75" spans="1:17" hidden="1" x14ac:dyDescent="0.25">
      <c r="A75" s="223" t="s">
        <v>698</v>
      </c>
      <c r="B75" s="223" t="s">
        <v>655</v>
      </c>
      <c r="C75" s="224">
        <v>1</v>
      </c>
      <c r="D75" s="224">
        <v>71</v>
      </c>
      <c r="E75" s="223"/>
      <c r="F75" s="224">
        <v>74384470845746</v>
      </c>
      <c r="G75" s="223" t="s">
        <v>7</v>
      </c>
      <c r="H75" s="227">
        <v>23281233084</v>
      </c>
      <c r="I75" s="223" t="s">
        <v>184</v>
      </c>
      <c r="J75" s="224">
        <v>1</v>
      </c>
      <c r="K75" s="223" t="s">
        <v>646</v>
      </c>
      <c r="L75" s="223"/>
      <c r="M75" s="223"/>
      <c r="N75" s="223"/>
      <c r="O75" s="224">
        <v>0</v>
      </c>
      <c r="P75" s="223"/>
      <c r="Q75" s="224">
        <v>215000</v>
      </c>
    </row>
    <row r="76" spans="1:17" hidden="1" x14ac:dyDescent="0.25">
      <c r="A76" s="223" t="s">
        <v>698</v>
      </c>
      <c r="B76" s="223" t="s">
        <v>655</v>
      </c>
      <c r="C76" s="224">
        <v>1</v>
      </c>
      <c r="D76" s="224">
        <v>249</v>
      </c>
      <c r="E76" s="223"/>
      <c r="F76" s="224">
        <v>74395443331023</v>
      </c>
      <c r="G76" s="223" t="s">
        <v>7</v>
      </c>
      <c r="H76" s="227">
        <v>27217606255</v>
      </c>
      <c r="I76" s="223" t="s">
        <v>352</v>
      </c>
      <c r="J76" s="224">
        <v>1</v>
      </c>
      <c r="K76" s="223" t="s">
        <v>646</v>
      </c>
      <c r="L76" s="223"/>
      <c r="M76" s="223"/>
      <c r="N76" s="223"/>
      <c r="O76" s="224">
        <v>0</v>
      </c>
      <c r="P76" s="223"/>
      <c r="Q76" s="225">
        <v>55083.32</v>
      </c>
    </row>
    <row r="77" spans="1:17" hidden="1" x14ac:dyDescent="0.25">
      <c r="A77" s="223" t="s">
        <v>698</v>
      </c>
      <c r="B77" s="223" t="s">
        <v>655</v>
      </c>
      <c r="C77" s="224">
        <v>1</v>
      </c>
      <c r="D77" s="224">
        <v>250</v>
      </c>
      <c r="E77" s="223"/>
      <c r="F77" s="224">
        <v>74395444517785</v>
      </c>
      <c r="G77" s="223" t="s">
        <v>7</v>
      </c>
      <c r="H77" s="227">
        <v>27217606255</v>
      </c>
      <c r="I77" s="223" t="s">
        <v>352</v>
      </c>
      <c r="J77" s="224">
        <v>1</v>
      </c>
      <c r="K77" s="223" t="s">
        <v>646</v>
      </c>
      <c r="L77" s="223"/>
      <c r="M77" s="223"/>
      <c r="N77" s="223"/>
      <c r="O77" s="224">
        <v>0</v>
      </c>
      <c r="P77" s="223"/>
      <c r="Q77" s="225">
        <v>148916.68</v>
      </c>
    </row>
    <row r="78" spans="1:17" hidden="1" x14ac:dyDescent="0.25">
      <c r="A78" s="223" t="s">
        <v>699</v>
      </c>
      <c r="B78" s="223" t="s">
        <v>644</v>
      </c>
      <c r="C78" s="224">
        <v>2</v>
      </c>
      <c r="D78" s="224">
        <v>796</v>
      </c>
      <c r="E78" s="223"/>
      <c r="F78" s="224">
        <v>74389604255613</v>
      </c>
      <c r="G78" s="223" t="s">
        <v>7</v>
      </c>
      <c r="H78" s="227">
        <v>20272865869</v>
      </c>
      <c r="I78" s="223" t="s">
        <v>617</v>
      </c>
      <c r="J78" s="224">
        <v>1</v>
      </c>
      <c r="K78" s="223" t="s">
        <v>646</v>
      </c>
      <c r="L78" s="224">
        <v>253100</v>
      </c>
      <c r="M78" s="224">
        <v>0</v>
      </c>
      <c r="N78" s="224">
        <v>0</v>
      </c>
      <c r="O78" s="224">
        <v>0</v>
      </c>
      <c r="P78" s="224">
        <v>53151</v>
      </c>
      <c r="Q78" s="224">
        <v>306251</v>
      </c>
    </row>
    <row r="79" spans="1:17" hidden="1" x14ac:dyDescent="0.25">
      <c r="A79" s="223" t="s">
        <v>699</v>
      </c>
      <c r="B79" s="223" t="s">
        <v>644</v>
      </c>
      <c r="C79" s="224">
        <v>7</v>
      </c>
      <c r="D79" s="224">
        <v>6066</v>
      </c>
      <c r="E79" s="223"/>
      <c r="F79" s="224">
        <v>74386569455318</v>
      </c>
      <c r="G79" s="223" t="s">
        <v>7</v>
      </c>
      <c r="H79" s="227">
        <v>20131067446</v>
      </c>
      <c r="I79" s="223" t="s">
        <v>409</v>
      </c>
      <c r="J79" s="224">
        <v>1</v>
      </c>
      <c r="K79" s="223" t="s">
        <v>646</v>
      </c>
      <c r="L79" s="223">
        <v>278865.59999999998</v>
      </c>
      <c r="M79" s="224">
        <v>0</v>
      </c>
      <c r="N79" s="224">
        <v>0</v>
      </c>
      <c r="O79" s="224">
        <v>0</v>
      </c>
      <c r="P79" s="225">
        <v>58561.78</v>
      </c>
      <c r="Q79" s="225">
        <v>337427.38</v>
      </c>
    </row>
    <row r="80" spans="1:17" x14ac:dyDescent="0.25">
      <c r="A80" s="247" t="s">
        <v>699</v>
      </c>
      <c r="B80" s="247" t="s">
        <v>644</v>
      </c>
      <c r="C80" s="248">
        <v>11</v>
      </c>
      <c r="D80" s="248">
        <v>91964</v>
      </c>
      <c r="E80" s="247"/>
      <c r="F80" s="248">
        <v>74384582154669</v>
      </c>
      <c r="G80" s="247" t="s">
        <v>7</v>
      </c>
      <c r="H80" s="248">
        <v>30526582884</v>
      </c>
      <c r="I80" s="247" t="s">
        <v>700</v>
      </c>
      <c r="J80" s="224">
        <v>1</v>
      </c>
      <c r="K80" s="223" t="s">
        <v>646</v>
      </c>
      <c r="L80" s="225">
        <v>4462.8100000000004</v>
      </c>
      <c r="M80" s="224">
        <v>0</v>
      </c>
      <c r="N80" s="224">
        <v>0</v>
      </c>
      <c r="O80" s="224">
        <v>0</v>
      </c>
      <c r="P80" s="225">
        <v>937.19</v>
      </c>
      <c r="Q80" s="224">
        <v>5400</v>
      </c>
    </row>
    <row r="81" spans="1:17" hidden="1" x14ac:dyDescent="0.25">
      <c r="A81" s="223" t="s">
        <v>699</v>
      </c>
      <c r="B81" s="223" t="s">
        <v>655</v>
      </c>
      <c r="C81" s="224">
        <v>3</v>
      </c>
      <c r="D81" s="224">
        <v>991</v>
      </c>
      <c r="E81" s="223"/>
      <c r="F81" s="224">
        <v>74389582435775</v>
      </c>
      <c r="G81" s="223" t="s">
        <v>7</v>
      </c>
      <c r="H81" s="227">
        <v>20216451679</v>
      </c>
      <c r="I81" s="223" t="s">
        <v>469</v>
      </c>
      <c r="J81" s="224">
        <v>1</v>
      </c>
      <c r="K81" s="223" t="s">
        <v>646</v>
      </c>
      <c r="L81" s="223"/>
      <c r="M81" s="223"/>
      <c r="N81" s="223"/>
      <c r="O81" s="224">
        <v>0</v>
      </c>
      <c r="P81" s="223"/>
      <c r="Q81" s="224">
        <v>160000</v>
      </c>
    </row>
    <row r="82" spans="1:17" hidden="1" x14ac:dyDescent="0.25">
      <c r="A82" s="223" t="s">
        <v>699</v>
      </c>
      <c r="B82" s="223" t="s">
        <v>655</v>
      </c>
      <c r="C82" s="224">
        <v>1</v>
      </c>
      <c r="D82" s="224">
        <v>251</v>
      </c>
      <c r="E82" s="223"/>
      <c r="F82" s="224">
        <v>74395444759490</v>
      </c>
      <c r="G82" s="223" t="s">
        <v>7</v>
      </c>
      <c r="H82" s="227">
        <v>27217606255</v>
      </c>
      <c r="I82" s="223" t="s">
        <v>352</v>
      </c>
      <c r="J82" s="224">
        <v>1</v>
      </c>
      <c r="K82" s="223" t="s">
        <v>646</v>
      </c>
      <c r="L82" s="223"/>
      <c r="M82" s="223"/>
      <c r="N82" s="223"/>
      <c r="O82" s="224">
        <v>0</v>
      </c>
      <c r="P82" s="223"/>
      <c r="Q82" s="225">
        <v>96357.85</v>
      </c>
    </row>
    <row r="83" spans="1:17" hidden="1" x14ac:dyDescent="0.25">
      <c r="A83" s="223" t="s">
        <v>699</v>
      </c>
      <c r="B83" s="223" t="s">
        <v>655</v>
      </c>
      <c r="C83" s="224">
        <v>1</v>
      </c>
      <c r="D83" s="224">
        <v>252</v>
      </c>
      <c r="E83" s="223"/>
      <c r="F83" s="224">
        <v>74395445013622</v>
      </c>
      <c r="G83" s="223" t="s">
        <v>7</v>
      </c>
      <c r="H83" s="227">
        <v>27217606255</v>
      </c>
      <c r="I83" s="223" t="s">
        <v>352</v>
      </c>
      <c r="J83" s="224">
        <v>1</v>
      </c>
      <c r="K83" s="223" t="s">
        <v>646</v>
      </c>
      <c r="L83" s="223"/>
      <c r="M83" s="223"/>
      <c r="N83" s="223"/>
      <c r="O83" s="224">
        <v>0</v>
      </c>
      <c r="P83" s="223"/>
      <c r="Q83" s="225">
        <v>105117.66</v>
      </c>
    </row>
    <row r="84" spans="1:17" x14ac:dyDescent="0.25">
      <c r="A84" s="247" t="s">
        <v>701</v>
      </c>
      <c r="B84" s="247" t="s">
        <v>644</v>
      </c>
      <c r="C84" s="248">
        <v>2171</v>
      </c>
      <c r="D84" s="248">
        <v>6478</v>
      </c>
      <c r="E84" s="247"/>
      <c r="F84" s="248">
        <v>74386729481785</v>
      </c>
      <c r="G84" s="247" t="s">
        <v>7</v>
      </c>
      <c r="H84" s="248">
        <v>30548083156</v>
      </c>
      <c r="I84" s="247" t="s">
        <v>645</v>
      </c>
      <c r="J84" s="224">
        <v>1</v>
      </c>
      <c r="K84" s="223" t="s">
        <v>646</v>
      </c>
      <c r="L84" s="225">
        <v>4109.47</v>
      </c>
      <c r="M84" s="224">
        <v>0</v>
      </c>
      <c r="N84" s="224">
        <v>0</v>
      </c>
      <c r="O84" s="225">
        <v>328.75</v>
      </c>
      <c r="P84" s="225">
        <v>862.99</v>
      </c>
      <c r="Q84" s="225">
        <v>5301.21</v>
      </c>
    </row>
    <row r="85" spans="1:17" hidden="1" x14ac:dyDescent="0.25">
      <c r="A85" s="223" t="s">
        <v>701</v>
      </c>
      <c r="B85" s="223" t="s">
        <v>644</v>
      </c>
      <c r="C85" s="224">
        <v>17</v>
      </c>
      <c r="D85" s="224">
        <v>2312</v>
      </c>
      <c r="E85" s="223"/>
      <c r="F85" s="224">
        <v>74381728297239</v>
      </c>
      <c r="G85" s="223" t="s">
        <v>7</v>
      </c>
      <c r="H85" s="227">
        <v>30711764921</v>
      </c>
      <c r="I85" s="223" t="s">
        <v>651</v>
      </c>
      <c r="J85" s="224">
        <v>1</v>
      </c>
      <c r="K85" s="223" t="s">
        <v>646</v>
      </c>
      <c r="L85" s="224">
        <v>21394</v>
      </c>
      <c r="M85" s="224">
        <v>0</v>
      </c>
      <c r="N85" s="224">
        <v>0</v>
      </c>
      <c r="O85" s="224">
        <v>0</v>
      </c>
      <c r="P85" s="225">
        <v>4492.74</v>
      </c>
      <c r="Q85" s="225">
        <v>25886.74</v>
      </c>
    </row>
    <row r="86" spans="1:17" hidden="1" x14ac:dyDescent="0.25">
      <c r="A86" s="223" t="s">
        <v>701</v>
      </c>
      <c r="B86" s="223" t="s">
        <v>644</v>
      </c>
      <c r="C86" s="224">
        <v>5</v>
      </c>
      <c r="D86" s="224">
        <v>3877</v>
      </c>
      <c r="E86" s="223"/>
      <c r="F86" s="224">
        <v>74380716025151</v>
      </c>
      <c r="G86" s="223" t="s">
        <v>7</v>
      </c>
      <c r="H86" s="227">
        <v>20348485580</v>
      </c>
      <c r="I86" s="223" t="s">
        <v>702</v>
      </c>
      <c r="J86" s="224">
        <v>1</v>
      </c>
      <c r="K86" s="223" t="s">
        <v>646</v>
      </c>
      <c r="L86" s="225">
        <v>29099.82</v>
      </c>
      <c r="M86" s="224">
        <v>0</v>
      </c>
      <c r="N86" s="224">
        <v>0</v>
      </c>
      <c r="O86" s="224">
        <v>0</v>
      </c>
      <c r="P86" s="225">
        <v>6110.96</v>
      </c>
      <c r="Q86" s="225">
        <v>35210.78</v>
      </c>
    </row>
    <row r="87" spans="1:17" hidden="1" x14ac:dyDescent="0.25">
      <c r="A87" s="223" t="s">
        <v>701</v>
      </c>
      <c r="B87" s="223" t="s">
        <v>644</v>
      </c>
      <c r="C87" s="224">
        <v>5</v>
      </c>
      <c r="D87" s="224">
        <v>1937</v>
      </c>
      <c r="E87" s="223"/>
      <c r="F87" s="224">
        <v>74386708279049</v>
      </c>
      <c r="G87" s="223" t="s">
        <v>7</v>
      </c>
      <c r="H87" s="227">
        <v>30712187316</v>
      </c>
      <c r="I87" s="223" t="s">
        <v>68</v>
      </c>
      <c r="J87" s="224">
        <v>1</v>
      </c>
      <c r="K87" s="223" t="s">
        <v>646</v>
      </c>
      <c r="L87" s="225">
        <v>213988.29</v>
      </c>
      <c r="M87" s="224">
        <v>0</v>
      </c>
      <c r="N87" s="224">
        <v>0</v>
      </c>
      <c r="O87" s="224">
        <v>0</v>
      </c>
      <c r="P87" s="225">
        <v>44937.54</v>
      </c>
      <c r="Q87" s="225">
        <v>258925.83</v>
      </c>
    </row>
    <row r="88" spans="1:17" hidden="1" x14ac:dyDescent="0.25">
      <c r="A88" s="223" t="s">
        <v>701</v>
      </c>
      <c r="B88" s="223" t="s">
        <v>644</v>
      </c>
      <c r="C88" s="224">
        <v>2</v>
      </c>
      <c r="D88" s="224">
        <v>250</v>
      </c>
      <c r="E88" s="223"/>
      <c r="F88" s="224">
        <v>74383655585682</v>
      </c>
      <c r="G88" s="223" t="s">
        <v>7</v>
      </c>
      <c r="H88" s="227">
        <v>27144282383</v>
      </c>
      <c r="I88" s="223" t="s">
        <v>653</v>
      </c>
      <c r="J88" s="224">
        <v>1</v>
      </c>
      <c r="K88" s="223" t="s">
        <v>646</v>
      </c>
      <c r="L88" s="224">
        <v>320000</v>
      </c>
      <c r="M88" s="224">
        <v>0</v>
      </c>
      <c r="N88" s="224">
        <v>0</v>
      </c>
      <c r="O88" s="224">
        <v>0</v>
      </c>
      <c r="P88" s="224">
        <v>67200</v>
      </c>
      <c r="Q88" s="224">
        <v>387200</v>
      </c>
    </row>
    <row r="89" spans="1:17" hidden="1" x14ac:dyDescent="0.25">
      <c r="A89" s="223" t="s">
        <v>701</v>
      </c>
      <c r="B89" s="223" t="s">
        <v>644</v>
      </c>
      <c r="C89" s="224">
        <v>4</v>
      </c>
      <c r="D89" s="224">
        <v>136</v>
      </c>
      <c r="E89" s="223"/>
      <c r="F89" s="224">
        <v>74386719534162</v>
      </c>
      <c r="G89" s="223" t="s">
        <v>7</v>
      </c>
      <c r="H89" s="227">
        <v>20317488476</v>
      </c>
      <c r="I89" s="223" t="s">
        <v>252</v>
      </c>
      <c r="J89" s="224">
        <v>1</v>
      </c>
      <c r="K89" s="223" t="s">
        <v>646</v>
      </c>
      <c r="L89" s="224">
        <v>1870000</v>
      </c>
      <c r="M89" s="224">
        <v>0</v>
      </c>
      <c r="N89" s="224">
        <v>0</v>
      </c>
      <c r="O89" s="224">
        <v>0</v>
      </c>
      <c r="P89" s="224">
        <v>392700</v>
      </c>
      <c r="Q89" s="224">
        <v>2262700</v>
      </c>
    </row>
    <row r="90" spans="1:17" hidden="1" x14ac:dyDescent="0.25">
      <c r="A90" s="223" t="s">
        <v>701</v>
      </c>
      <c r="B90" s="223" t="s">
        <v>655</v>
      </c>
      <c r="C90" s="224">
        <v>1</v>
      </c>
      <c r="D90" s="224">
        <v>253</v>
      </c>
      <c r="E90" s="223"/>
      <c r="F90" s="224">
        <v>74395446386733</v>
      </c>
      <c r="G90" s="223" t="s">
        <v>7</v>
      </c>
      <c r="H90" s="227">
        <v>27217606255</v>
      </c>
      <c r="I90" s="223" t="s">
        <v>352</v>
      </c>
      <c r="J90" s="224">
        <v>1</v>
      </c>
      <c r="K90" s="223" t="s">
        <v>646</v>
      </c>
      <c r="L90" s="223"/>
      <c r="M90" s="223"/>
      <c r="N90" s="223"/>
      <c r="O90" s="224">
        <v>0</v>
      </c>
      <c r="P90" s="223"/>
      <c r="Q90" s="225">
        <v>87598.05</v>
      </c>
    </row>
    <row r="91" spans="1:17" hidden="1" x14ac:dyDescent="0.25">
      <c r="A91" s="223" t="s">
        <v>703</v>
      </c>
      <c r="B91" s="223" t="s">
        <v>655</v>
      </c>
      <c r="C91" s="224">
        <v>1</v>
      </c>
      <c r="D91" s="224">
        <v>14</v>
      </c>
      <c r="E91" s="223"/>
      <c r="F91" s="224">
        <v>74395449158811</v>
      </c>
      <c r="G91" s="223" t="s">
        <v>7</v>
      </c>
      <c r="H91" s="227">
        <v>27443612705</v>
      </c>
      <c r="I91" s="223" t="s">
        <v>704</v>
      </c>
      <c r="J91" s="224">
        <v>1</v>
      </c>
      <c r="K91" s="223" t="s">
        <v>646</v>
      </c>
      <c r="L91" s="223"/>
      <c r="M91" s="223"/>
      <c r="N91" s="223"/>
      <c r="O91" s="224">
        <v>0</v>
      </c>
      <c r="P91" s="223"/>
      <c r="Q91" s="224">
        <v>600000</v>
      </c>
    </row>
    <row r="92" spans="1:17" hidden="1" x14ac:dyDescent="0.25">
      <c r="A92" s="223" t="s">
        <v>705</v>
      </c>
      <c r="B92" s="223" t="s">
        <v>644</v>
      </c>
      <c r="C92" s="224">
        <v>5</v>
      </c>
      <c r="D92" s="224">
        <v>3128526</v>
      </c>
      <c r="E92" s="223"/>
      <c r="F92" s="224">
        <v>74395012609092</v>
      </c>
      <c r="G92" s="223" t="s">
        <v>7</v>
      </c>
      <c r="H92" s="227">
        <v>30702652975</v>
      </c>
      <c r="I92" s="223" t="s">
        <v>706</v>
      </c>
      <c r="J92" s="224">
        <v>1</v>
      </c>
      <c r="K92" s="223" t="s">
        <v>646</v>
      </c>
      <c r="L92" s="225">
        <v>28530.17</v>
      </c>
      <c r="M92" s="224">
        <v>0</v>
      </c>
      <c r="N92" s="224">
        <v>0</v>
      </c>
      <c r="O92" s="224">
        <v>0</v>
      </c>
      <c r="P92" s="225">
        <v>5991.34</v>
      </c>
      <c r="Q92" s="225">
        <v>35948.01</v>
      </c>
    </row>
    <row r="93" spans="1:17" hidden="1" x14ac:dyDescent="0.25">
      <c r="A93" s="223" t="s">
        <v>705</v>
      </c>
      <c r="B93" s="223" t="s">
        <v>644</v>
      </c>
      <c r="C93" s="224">
        <v>5015</v>
      </c>
      <c r="D93" s="224">
        <v>648091</v>
      </c>
      <c r="E93" s="223"/>
      <c r="F93" s="224">
        <v>74394947432580</v>
      </c>
      <c r="G93" s="223" t="s">
        <v>7</v>
      </c>
      <c r="H93" s="227">
        <v>30574876474</v>
      </c>
      <c r="I93" s="223" t="s">
        <v>671</v>
      </c>
      <c r="J93" s="224">
        <v>1</v>
      </c>
      <c r="K93" s="223" t="s">
        <v>646</v>
      </c>
      <c r="L93" s="225">
        <v>17107.75</v>
      </c>
      <c r="M93" s="224">
        <v>0</v>
      </c>
      <c r="N93" s="224">
        <v>0</v>
      </c>
      <c r="O93" s="224">
        <v>0</v>
      </c>
      <c r="P93" s="225">
        <v>3592.62</v>
      </c>
      <c r="Q93" s="225">
        <v>22924.37</v>
      </c>
    </row>
    <row r="94" spans="1:17" hidden="1" x14ac:dyDescent="0.25">
      <c r="A94" s="223" t="s">
        <v>705</v>
      </c>
      <c r="B94" s="223" t="s">
        <v>644</v>
      </c>
      <c r="C94" s="224">
        <v>700</v>
      </c>
      <c r="D94" s="224">
        <v>1936359</v>
      </c>
      <c r="E94" s="223"/>
      <c r="F94" s="224">
        <v>74392989880786</v>
      </c>
      <c r="G94" s="223" t="s">
        <v>7</v>
      </c>
      <c r="H94" s="227">
        <v>30715804812</v>
      </c>
      <c r="I94" s="223" t="s">
        <v>669</v>
      </c>
      <c r="J94" s="224">
        <v>1</v>
      </c>
      <c r="K94" s="223" t="s">
        <v>646</v>
      </c>
      <c r="L94" s="225">
        <v>6246.93</v>
      </c>
      <c r="M94" s="224">
        <v>0</v>
      </c>
      <c r="N94" s="224">
        <v>0</v>
      </c>
      <c r="O94" s="224">
        <v>0</v>
      </c>
      <c r="P94" s="225">
        <v>1311.86</v>
      </c>
      <c r="Q94" s="225">
        <v>7871.14</v>
      </c>
    </row>
    <row r="95" spans="1:17" x14ac:dyDescent="0.25">
      <c r="A95" s="247" t="s">
        <v>705</v>
      </c>
      <c r="B95" s="247" t="s">
        <v>644</v>
      </c>
      <c r="C95" s="248">
        <v>700</v>
      </c>
      <c r="D95" s="248">
        <v>1936360</v>
      </c>
      <c r="E95" s="247"/>
      <c r="F95" s="248">
        <v>74392989880804</v>
      </c>
      <c r="G95" s="247" t="s">
        <v>7</v>
      </c>
      <c r="H95" s="248">
        <v>30715804812</v>
      </c>
      <c r="I95" s="247" t="s">
        <v>669</v>
      </c>
      <c r="J95" s="224">
        <v>1</v>
      </c>
      <c r="K95" s="223" t="s">
        <v>646</v>
      </c>
      <c r="L95" s="225">
        <v>728.62</v>
      </c>
      <c r="M95" s="224">
        <v>0</v>
      </c>
      <c r="N95" s="224">
        <v>0</v>
      </c>
      <c r="O95" s="224">
        <v>0</v>
      </c>
      <c r="P95" s="225">
        <v>153.01</v>
      </c>
      <c r="Q95" s="225">
        <v>881.63</v>
      </c>
    </row>
    <row r="96" spans="1:17" hidden="1" x14ac:dyDescent="0.25">
      <c r="A96" s="223" t="s">
        <v>705</v>
      </c>
      <c r="B96" s="223" t="s">
        <v>644</v>
      </c>
      <c r="C96" s="224">
        <v>6</v>
      </c>
      <c r="D96" s="224">
        <v>85435</v>
      </c>
      <c r="E96" s="223"/>
      <c r="F96" s="224">
        <v>74394006853805</v>
      </c>
      <c r="G96" s="223" t="s">
        <v>7</v>
      </c>
      <c r="H96" s="227">
        <v>30711553564</v>
      </c>
      <c r="I96" s="223" t="s">
        <v>233</v>
      </c>
      <c r="J96" s="224">
        <v>1</v>
      </c>
      <c r="K96" s="223" t="s">
        <v>646</v>
      </c>
      <c r="L96" s="224">
        <v>999126</v>
      </c>
      <c r="M96" s="224">
        <v>0</v>
      </c>
      <c r="N96" s="224">
        <v>0</v>
      </c>
      <c r="O96" s="224">
        <v>0</v>
      </c>
      <c r="P96" s="225">
        <v>209816.46</v>
      </c>
      <c r="Q96" s="225">
        <v>1208942.46</v>
      </c>
    </row>
    <row r="97" spans="1:17" hidden="1" x14ac:dyDescent="0.25">
      <c r="A97" s="223" t="s">
        <v>705</v>
      </c>
      <c r="B97" s="223" t="s">
        <v>644</v>
      </c>
      <c r="C97" s="224">
        <v>6</v>
      </c>
      <c r="D97" s="224">
        <v>54307</v>
      </c>
      <c r="E97" s="223"/>
      <c r="F97" s="224">
        <v>74398009565100</v>
      </c>
      <c r="G97" s="223" t="s">
        <v>7</v>
      </c>
      <c r="H97" s="227">
        <v>30710177658</v>
      </c>
      <c r="I97" s="223" t="s">
        <v>674</v>
      </c>
      <c r="J97" s="224">
        <v>1</v>
      </c>
      <c r="K97" s="223" t="s">
        <v>646</v>
      </c>
      <c r="L97" s="225">
        <v>122080.32000000001</v>
      </c>
      <c r="M97" s="224">
        <v>0</v>
      </c>
      <c r="N97" s="224">
        <v>0</v>
      </c>
      <c r="O97" s="224">
        <v>0</v>
      </c>
      <c r="P97" s="225">
        <v>25636.86</v>
      </c>
      <c r="Q97" s="225">
        <v>147717.18</v>
      </c>
    </row>
    <row r="98" spans="1:17" hidden="1" x14ac:dyDescent="0.25">
      <c r="A98" s="223" t="s">
        <v>707</v>
      </c>
      <c r="B98" s="223" t="s">
        <v>644</v>
      </c>
      <c r="C98" s="224">
        <v>1055</v>
      </c>
      <c r="D98" s="224">
        <v>854</v>
      </c>
      <c r="E98" s="223"/>
      <c r="F98" s="224">
        <v>74391072835510</v>
      </c>
      <c r="G98" s="223" t="s">
        <v>7</v>
      </c>
      <c r="H98" s="227">
        <v>30685849751</v>
      </c>
      <c r="I98" s="223" t="s">
        <v>708</v>
      </c>
      <c r="J98" s="224">
        <v>1</v>
      </c>
      <c r="K98" s="223" t="s">
        <v>646</v>
      </c>
      <c r="L98" s="225">
        <v>6165.28</v>
      </c>
      <c r="M98" s="224">
        <v>0</v>
      </c>
      <c r="N98" s="224">
        <v>0</v>
      </c>
      <c r="O98" s="224">
        <v>0</v>
      </c>
      <c r="P98" s="225">
        <v>1294.71</v>
      </c>
      <c r="Q98" s="225">
        <v>7768.25</v>
      </c>
    </row>
    <row r="99" spans="1:17" hidden="1" x14ac:dyDescent="0.25">
      <c r="A99" s="223" t="s">
        <v>707</v>
      </c>
      <c r="B99" s="223" t="s">
        <v>644</v>
      </c>
      <c r="C99" s="224">
        <v>2</v>
      </c>
      <c r="D99" s="224">
        <v>25</v>
      </c>
      <c r="E99" s="223"/>
      <c r="F99" s="224">
        <v>74395124728024</v>
      </c>
      <c r="G99" s="223" t="s">
        <v>7</v>
      </c>
      <c r="H99" s="227">
        <v>27243660535</v>
      </c>
      <c r="I99" s="223" t="s">
        <v>709</v>
      </c>
      <c r="J99" s="224">
        <v>1</v>
      </c>
      <c r="K99" s="223" t="s">
        <v>646</v>
      </c>
      <c r="L99" s="224">
        <v>360000</v>
      </c>
      <c r="M99" s="224">
        <v>0</v>
      </c>
      <c r="N99" s="224">
        <v>0</v>
      </c>
      <c r="O99" s="224">
        <v>0</v>
      </c>
      <c r="P99" s="224">
        <v>75600</v>
      </c>
      <c r="Q99" s="224">
        <v>435600</v>
      </c>
    </row>
    <row r="100" spans="1:17" hidden="1" x14ac:dyDescent="0.25">
      <c r="A100" s="223" t="s">
        <v>710</v>
      </c>
      <c r="B100" s="223" t="s">
        <v>644</v>
      </c>
      <c r="C100" s="224">
        <v>6</v>
      </c>
      <c r="D100" s="224">
        <v>54346</v>
      </c>
      <c r="E100" s="223"/>
      <c r="F100" s="224">
        <v>74398248406433</v>
      </c>
      <c r="G100" s="223" t="s">
        <v>7</v>
      </c>
      <c r="H100" s="227">
        <v>30710177658</v>
      </c>
      <c r="I100" s="223" t="s">
        <v>674</v>
      </c>
      <c r="J100" s="224">
        <v>1</v>
      </c>
      <c r="K100" s="223" t="s">
        <v>646</v>
      </c>
      <c r="L100" s="225">
        <v>356854.44</v>
      </c>
      <c r="M100" s="224">
        <v>0</v>
      </c>
      <c r="N100" s="224">
        <v>0</v>
      </c>
      <c r="O100" s="224">
        <v>0</v>
      </c>
      <c r="P100" s="225">
        <v>74939.44</v>
      </c>
      <c r="Q100" s="225">
        <v>431793.88</v>
      </c>
    </row>
    <row r="101" spans="1:17" hidden="1" x14ac:dyDescent="0.25">
      <c r="A101" s="223" t="s">
        <v>710</v>
      </c>
      <c r="B101" s="223" t="s">
        <v>644</v>
      </c>
      <c r="C101" s="224">
        <v>4</v>
      </c>
      <c r="D101" s="224">
        <v>71892</v>
      </c>
      <c r="E101" s="223"/>
      <c r="F101" s="224">
        <v>74399186438923</v>
      </c>
      <c r="G101" s="223" t="s">
        <v>7</v>
      </c>
      <c r="H101" s="227">
        <v>33709738459</v>
      </c>
      <c r="I101" s="223" t="s">
        <v>62</v>
      </c>
      <c r="J101" s="224">
        <v>1</v>
      </c>
      <c r="K101" s="223" t="s">
        <v>646</v>
      </c>
      <c r="L101" s="225">
        <v>655324.52</v>
      </c>
      <c r="M101" s="224">
        <v>0</v>
      </c>
      <c r="N101" s="224">
        <v>0</v>
      </c>
      <c r="O101" s="224">
        <v>0</v>
      </c>
      <c r="P101" s="225">
        <v>137618.15</v>
      </c>
      <c r="Q101" s="225">
        <v>792942.67</v>
      </c>
    </row>
    <row r="102" spans="1:17" hidden="1" x14ac:dyDescent="0.25">
      <c r="A102" s="223" t="s">
        <v>710</v>
      </c>
      <c r="B102" s="223" t="s">
        <v>644</v>
      </c>
      <c r="C102" s="224">
        <v>4</v>
      </c>
      <c r="D102" s="224">
        <v>137</v>
      </c>
      <c r="E102" s="223"/>
      <c r="F102" s="224">
        <v>74396233311030</v>
      </c>
      <c r="G102" s="223" t="s">
        <v>7</v>
      </c>
      <c r="H102" s="227">
        <v>20317488476</v>
      </c>
      <c r="I102" s="223" t="s">
        <v>252</v>
      </c>
      <c r="J102" s="224">
        <v>1</v>
      </c>
      <c r="K102" s="223" t="s">
        <v>646</v>
      </c>
      <c r="L102" s="224">
        <v>105000</v>
      </c>
      <c r="M102" s="224">
        <v>0</v>
      </c>
      <c r="N102" s="224">
        <v>0</v>
      </c>
      <c r="O102" s="224">
        <v>0</v>
      </c>
      <c r="P102" s="224">
        <v>22050</v>
      </c>
      <c r="Q102" s="224">
        <v>127050</v>
      </c>
    </row>
    <row r="103" spans="1:17" hidden="1" x14ac:dyDescent="0.25">
      <c r="A103" s="223" t="s">
        <v>711</v>
      </c>
      <c r="B103" s="223" t="s">
        <v>644</v>
      </c>
      <c r="C103" s="224">
        <v>6</v>
      </c>
      <c r="D103" s="224">
        <v>54365</v>
      </c>
      <c r="E103" s="223"/>
      <c r="F103" s="224">
        <v>74398371535029</v>
      </c>
      <c r="G103" s="223" t="s">
        <v>7</v>
      </c>
      <c r="H103" s="227">
        <v>30710177658</v>
      </c>
      <c r="I103" s="223" t="s">
        <v>674</v>
      </c>
      <c r="J103" s="224">
        <v>1</v>
      </c>
      <c r="K103" s="223" t="s">
        <v>646</v>
      </c>
      <c r="L103" s="224">
        <v>682125</v>
      </c>
      <c r="M103" s="224">
        <v>0</v>
      </c>
      <c r="N103" s="224">
        <v>0</v>
      </c>
      <c r="O103" s="224">
        <v>0</v>
      </c>
      <c r="P103" s="225">
        <v>143246.25</v>
      </c>
      <c r="Q103" s="225">
        <v>825371.25</v>
      </c>
    </row>
    <row r="104" spans="1:17" hidden="1" x14ac:dyDescent="0.25">
      <c r="A104" s="223" t="s">
        <v>711</v>
      </c>
      <c r="B104" s="223" t="s">
        <v>644</v>
      </c>
      <c r="C104" s="224">
        <v>2</v>
      </c>
      <c r="D104" s="224">
        <v>814</v>
      </c>
      <c r="E104" s="223"/>
      <c r="F104" s="224">
        <v>74399376744950</v>
      </c>
      <c r="G104" s="223" t="s">
        <v>7</v>
      </c>
      <c r="H104" s="227">
        <v>20272865869</v>
      </c>
      <c r="I104" s="223" t="s">
        <v>617</v>
      </c>
      <c r="J104" s="224">
        <v>1</v>
      </c>
      <c r="K104" s="223" t="s">
        <v>646</v>
      </c>
      <c r="L104" s="224">
        <v>149150</v>
      </c>
      <c r="M104" s="224">
        <v>0</v>
      </c>
      <c r="N104" s="224">
        <v>0</v>
      </c>
      <c r="O104" s="224">
        <v>0</v>
      </c>
      <c r="P104" s="223">
        <v>31321.5</v>
      </c>
      <c r="Q104" s="223">
        <v>180471.5</v>
      </c>
    </row>
    <row r="105" spans="1:17" hidden="1" x14ac:dyDescent="0.25">
      <c r="A105" s="223" t="s">
        <v>711</v>
      </c>
      <c r="B105" s="223" t="s">
        <v>644</v>
      </c>
      <c r="C105" s="224">
        <v>7</v>
      </c>
      <c r="D105" s="224">
        <v>3292</v>
      </c>
      <c r="E105" s="223"/>
      <c r="F105" s="224">
        <v>74394347552429</v>
      </c>
      <c r="G105" s="223" t="s">
        <v>7</v>
      </c>
      <c r="H105" s="227">
        <v>20284183534</v>
      </c>
      <c r="I105" s="223" t="s">
        <v>440</v>
      </c>
      <c r="J105" s="224">
        <v>1</v>
      </c>
      <c r="K105" s="223" t="s">
        <v>646</v>
      </c>
      <c r="L105" s="225">
        <v>9504.1299999999992</v>
      </c>
      <c r="M105" s="224">
        <v>0</v>
      </c>
      <c r="N105" s="224">
        <v>0</v>
      </c>
      <c r="O105" s="224">
        <v>0</v>
      </c>
      <c r="P105" s="225">
        <v>1995.87</v>
      </c>
      <c r="Q105" s="224">
        <v>11500</v>
      </c>
    </row>
    <row r="106" spans="1:17" hidden="1" x14ac:dyDescent="0.25">
      <c r="A106" s="223" t="s">
        <v>711</v>
      </c>
      <c r="B106" s="223" t="s">
        <v>644</v>
      </c>
      <c r="C106" s="224">
        <v>4</v>
      </c>
      <c r="D106" s="224">
        <v>751</v>
      </c>
      <c r="E106" s="223"/>
      <c r="F106" s="224">
        <v>74399321763743</v>
      </c>
      <c r="G106" s="223" t="s">
        <v>7</v>
      </c>
      <c r="H106" s="227">
        <v>33715005129</v>
      </c>
      <c r="I106" s="223" t="s">
        <v>712</v>
      </c>
      <c r="J106" s="224">
        <v>1</v>
      </c>
      <c r="K106" s="223" t="s">
        <v>646</v>
      </c>
      <c r="L106" s="225">
        <v>51074.38</v>
      </c>
      <c r="M106" s="224">
        <v>0</v>
      </c>
      <c r="N106" s="224">
        <v>0</v>
      </c>
      <c r="O106" s="224">
        <v>0</v>
      </c>
      <c r="P106" s="225">
        <v>10725.62</v>
      </c>
      <c r="Q106" s="224">
        <v>61800</v>
      </c>
    </row>
    <row r="107" spans="1:17" hidden="1" x14ac:dyDescent="0.25">
      <c r="A107" s="223" t="s">
        <v>711</v>
      </c>
      <c r="B107" s="223" t="s">
        <v>644</v>
      </c>
      <c r="C107" s="224">
        <v>2</v>
      </c>
      <c r="D107" s="224">
        <v>252</v>
      </c>
      <c r="E107" s="223"/>
      <c r="F107" s="224">
        <v>74393341884634</v>
      </c>
      <c r="G107" s="223" t="s">
        <v>7</v>
      </c>
      <c r="H107" s="227">
        <v>27144282383</v>
      </c>
      <c r="I107" s="223" t="s">
        <v>653</v>
      </c>
      <c r="J107" s="224">
        <v>1</v>
      </c>
      <c r="K107" s="223" t="s">
        <v>646</v>
      </c>
      <c r="L107" s="224">
        <v>300000</v>
      </c>
      <c r="M107" s="224">
        <v>0</v>
      </c>
      <c r="N107" s="224">
        <v>0</v>
      </c>
      <c r="O107" s="224">
        <v>0</v>
      </c>
      <c r="P107" s="224">
        <v>63000</v>
      </c>
      <c r="Q107" s="224">
        <v>363000</v>
      </c>
    </row>
    <row r="108" spans="1:17" hidden="1" x14ac:dyDescent="0.25">
      <c r="A108" s="223" t="s">
        <v>711</v>
      </c>
      <c r="B108" s="223" t="s">
        <v>644</v>
      </c>
      <c r="C108" s="224">
        <v>5</v>
      </c>
      <c r="D108" s="224">
        <v>32</v>
      </c>
      <c r="E108" s="223"/>
      <c r="F108" s="224">
        <v>74393302801751</v>
      </c>
      <c r="G108" s="223" t="s">
        <v>7</v>
      </c>
      <c r="H108" s="227">
        <v>20929183143</v>
      </c>
      <c r="I108" s="223" t="s">
        <v>461</v>
      </c>
      <c r="J108" s="224">
        <v>1</v>
      </c>
      <c r="K108" s="223" t="s">
        <v>646</v>
      </c>
      <c r="L108" s="224">
        <v>50000</v>
      </c>
      <c r="M108" s="224">
        <v>0</v>
      </c>
      <c r="N108" s="224">
        <v>0</v>
      </c>
      <c r="O108" s="224">
        <v>0</v>
      </c>
      <c r="P108" s="224">
        <v>10500</v>
      </c>
      <c r="Q108" s="224">
        <v>60500</v>
      </c>
    </row>
    <row r="109" spans="1:17" hidden="1" x14ac:dyDescent="0.25">
      <c r="A109" s="223" t="s">
        <v>711</v>
      </c>
      <c r="B109" s="223" t="s">
        <v>644</v>
      </c>
      <c r="C109" s="224">
        <v>3</v>
      </c>
      <c r="D109" s="224">
        <v>172</v>
      </c>
      <c r="E109" s="223"/>
      <c r="F109" s="224">
        <v>74393306239268</v>
      </c>
      <c r="G109" s="223" t="s">
        <v>7</v>
      </c>
      <c r="H109" s="227">
        <v>20334976433</v>
      </c>
      <c r="I109" s="223" t="s">
        <v>490</v>
      </c>
      <c r="J109" s="224">
        <v>1</v>
      </c>
      <c r="K109" s="223" t="s">
        <v>646</v>
      </c>
      <c r="L109" s="224">
        <v>90000</v>
      </c>
      <c r="M109" s="224">
        <v>0</v>
      </c>
      <c r="N109" s="224">
        <v>0</v>
      </c>
      <c r="O109" s="224">
        <v>0</v>
      </c>
      <c r="P109" s="224">
        <v>18900</v>
      </c>
      <c r="Q109" s="224">
        <v>108900</v>
      </c>
    </row>
    <row r="110" spans="1:17" hidden="1" x14ac:dyDescent="0.25">
      <c r="A110" s="223" t="s">
        <v>713</v>
      </c>
      <c r="B110" s="223" t="s">
        <v>644</v>
      </c>
      <c r="C110" s="224">
        <v>2</v>
      </c>
      <c r="D110" s="224">
        <v>816</v>
      </c>
      <c r="E110" s="223"/>
      <c r="F110" s="224">
        <v>74399426462758</v>
      </c>
      <c r="G110" s="223" t="s">
        <v>7</v>
      </c>
      <c r="H110" s="227">
        <v>20272865869</v>
      </c>
      <c r="I110" s="223" t="s">
        <v>617</v>
      </c>
      <c r="J110" s="224">
        <v>1</v>
      </c>
      <c r="K110" s="223" t="s">
        <v>646</v>
      </c>
      <c r="L110" s="224">
        <v>9800</v>
      </c>
      <c r="M110" s="224">
        <v>0</v>
      </c>
      <c r="N110" s="224">
        <v>0</v>
      </c>
      <c r="O110" s="224">
        <v>0</v>
      </c>
      <c r="P110" s="224">
        <v>2058</v>
      </c>
      <c r="Q110" s="224">
        <v>11858</v>
      </c>
    </row>
    <row r="111" spans="1:17" hidden="1" x14ac:dyDescent="0.25">
      <c r="A111" s="223" t="s">
        <v>713</v>
      </c>
      <c r="B111" s="223" t="s">
        <v>644</v>
      </c>
      <c r="C111" s="224">
        <v>3</v>
      </c>
      <c r="D111" s="224">
        <v>7702</v>
      </c>
      <c r="E111" s="223"/>
      <c r="F111" s="224">
        <v>74391443967683</v>
      </c>
      <c r="G111" s="223" t="s">
        <v>7</v>
      </c>
      <c r="H111" s="227">
        <v>30526492281</v>
      </c>
      <c r="I111" s="223" t="s">
        <v>714</v>
      </c>
      <c r="J111" s="224">
        <v>1</v>
      </c>
      <c r="K111" s="223" t="s">
        <v>646</v>
      </c>
      <c r="L111" s="224">
        <v>149600</v>
      </c>
      <c r="M111" s="224">
        <v>0</v>
      </c>
      <c r="N111" s="224">
        <v>0</v>
      </c>
      <c r="O111" s="224">
        <v>0</v>
      </c>
      <c r="P111" s="224">
        <v>31416</v>
      </c>
      <c r="Q111" s="224">
        <v>181016</v>
      </c>
    </row>
    <row r="112" spans="1:17" hidden="1" x14ac:dyDescent="0.25">
      <c r="A112" s="223" t="s">
        <v>713</v>
      </c>
      <c r="B112" s="223" t="s">
        <v>644</v>
      </c>
      <c r="C112" s="224">
        <v>2</v>
      </c>
      <c r="D112" s="224">
        <v>819</v>
      </c>
      <c r="E112" s="223"/>
      <c r="F112" s="224">
        <v>74399429730188</v>
      </c>
      <c r="G112" s="223" t="s">
        <v>7</v>
      </c>
      <c r="H112" s="227">
        <v>20272865869</v>
      </c>
      <c r="I112" s="223" t="s">
        <v>617</v>
      </c>
      <c r="J112" s="224">
        <v>1</v>
      </c>
      <c r="K112" s="223" t="s">
        <v>646</v>
      </c>
      <c r="L112" s="224">
        <v>105000</v>
      </c>
      <c r="M112" s="224">
        <v>0</v>
      </c>
      <c r="N112" s="224">
        <v>0</v>
      </c>
      <c r="O112" s="224">
        <v>0</v>
      </c>
      <c r="P112" s="224">
        <v>22050</v>
      </c>
      <c r="Q112" s="224">
        <v>127050</v>
      </c>
    </row>
    <row r="113" spans="1:17" hidden="1" x14ac:dyDescent="0.25">
      <c r="A113" s="223" t="s">
        <v>713</v>
      </c>
      <c r="B113" s="223" t="s">
        <v>655</v>
      </c>
      <c r="C113" s="224">
        <v>3</v>
      </c>
      <c r="D113" s="224">
        <v>995</v>
      </c>
      <c r="E113" s="223"/>
      <c r="F113" s="224">
        <v>74399453320296</v>
      </c>
      <c r="G113" s="223" t="s">
        <v>7</v>
      </c>
      <c r="H113" s="227">
        <v>20216451679</v>
      </c>
      <c r="I113" s="223" t="s">
        <v>469</v>
      </c>
      <c r="J113" s="224">
        <v>1</v>
      </c>
      <c r="K113" s="223" t="s">
        <v>646</v>
      </c>
      <c r="L113" s="223"/>
      <c r="M113" s="223"/>
      <c r="N113" s="223"/>
      <c r="O113" s="224">
        <v>0</v>
      </c>
      <c r="P113" s="223"/>
      <c r="Q113" s="224">
        <v>160000</v>
      </c>
    </row>
    <row r="114" spans="1:17" x14ac:dyDescent="0.25">
      <c r="A114" s="247" t="s">
        <v>715</v>
      </c>
      <c r="B114" s="247" t="s">
        <v>644</v>
      </c>
      <c r="C114" s="248">
        <v>2189</v>
      </c>
      <c r="D114" s="248">
        <v>77373</v>
      </c>
      <c r="E114" s="247"/>
      <c r="F114" s="248">
        <v>74396609730132</v>
      </c>
      <c r="G114" s="247" t="s">
        <v>7</v>
      </c>
      <c r="H114" s="248">
        <v>30548083156</v>
      </c>
      <c r="I114" s="247" t="s">
        <v>645</v>
      </c>
      <c r="J114" s="224">
        <v>1</v>
      </c>
      <c r="K114" s="223" t="s">
        <v>646</v>
      </c>
      <c r="L114" s="225">
        <v>3905.09</v>
      </c>
      <c r="M114" s="224">
        <v>0</v>
      </c>
      <c r="N114" s="224">
        <v>0</v>
      </c>
      <c r="O114" s="223">
        <v>312.39999999999998</v>
      </c>
      <c r="P114" s="225">
        <v>820.07</v>
      </c>
      <c r="Q114" s="225">
        <v>5037.5600000000004</v>
      </c>
    </row>
    <row r="115" spans="1:17" hidden="1" x14ac:dyDescent="0.25">
      <c r="A115" s="223" t="s">
        <v>715</v>
      </c>
      <c r="B115" s="223" t="s">
        <v>644</v>
      </c>
      <c r="C115" s="224">
        <v>2</v>
      </c>
      <c r="D115" s="224">
        <v>336</v>
      </c>
      <c r="E115" s="223"/>
      <c r="F115" s="224">
        <v>74409928953266</v>
      </c>
      <c r="G115" s="223" t="s">
        <v>7</v>
      </c>
      <c r="H115" s="227">
        <v>27251962559</v>
      </c>
      <c r="I115" s="223" t="s">
        <v>716</v>
      </c>
      <c r="J115" s="224">
        <v>1</v>
      </c>
      <c r="K115" s="223" t="s">
        <v>646</v>
      </c>
      <c r="L115" s="225">
        <v>42396.71</v>
      </c>
      <c r="M115" s="224">
        <v>0</v>
      </c>
      <c r="N115" s="224">
        <v>0</v>
      </c>
      <c r="O115" s="224">
        <v>0</v>
      </c>
      <c r="P115" s="225">
        <v>8903.31</v>
      </c>
      <c r="Q115" s="225">
        <v>51300.01</v>
      </c>
    </row>
    <row r="116" spans="1:17" hidden="1" x14ac:dyDescent="0.25">
      <c r="A116" s="223" t="s">
        <v>717</v>
      </c>
      <c r="B116" s="223" t="s">
        <v>644</v>
      </c>
      <c r="C116" s="224">
        <v>25</v>
      </c>
      <c r="D116" s="224">
        <v>2868796</v>
      </c>
      <c r="E116" s="223"/>
      <c r="F116" s="224">
        <v>74404735015283</v>
      </c>
      <c r="G116" s="223" t="s">
        <v>7</v>
      </c>
      <c r="H116" s="227">
        <v>30703088534</v>
      </c>
      <c r="I116" s="223" t="s">
        <v>718</v>
      </c>
      <c r="J116" s="224">
        <v>1</v>
      </c>
      <c r="K116" s="223" t="s">
        <v>646</v>
      </c>
      <c r="L116" s="225">
        <v>37574.04</v>
      </c>
      <c r="M116" s="224">
        <v>0</v>
      </c>
      <c r="N116" s="224">
        <v>0</v>
      </c>
      <c r="O116" s="225">
        <v>3005.92</v>
      </c>
      <c r="P116" s="225">
        <v>7890.55</v>
      </c>
      <c r="Q116" s="225">
        <v>48470.51</v>
      </c>
    </row>
    <row r="117" spans="1:17" x14ac:dyDescent="0.25">
      <c r="A117" s="247" t="s">
        <v>719</v>
      </c>
      <c r="B117" s="247" t="s">
        <v>644</v>
      </c>
      <c r="C117" s="248">
        <v>6</v>
      </c>
      <c r="D117" s="248">
        <v>17452146</v>
      </c>
      <c r="E117" s="247"/>
      <c r="F117" s="248">
        <v>74397511039418</v>
      </c>
      <c r="G117" s="247" t="s">
        <v>7</v>
      </c>
      <c r="H117" s="248">
        <v>30620177497</v>
      </c>
      <c r="I117" s="247" t="s">
        <v>720</v>
      </c>
      <c r="J117" s="224">
        <v>1</v>
      </c>
      <c r="K117" s="223" t="s">
        <v>646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</row>
    <row r="118" spans="1:17" x14ac:dyDescent="0.25">
      <c r="A118" s="247" t="s">
        <v>719</v>
      </c>
      <c r="B118" s="247" t="s">
        <v>644</v>
      </c>
      <c r="C118" s="248">
        <v>6</v>
      </c>
      <c r="D118" s="248">
        <v>17599524</v>
      </c>
      <c r="E118" s="247"/>
      <c r="F118" s="248">
        <v>74397542581741</v>
      </c>
      <c r="G118" s="247" t="s">
        <v>7</v>
      </c>
      <c r="H118" s="248">
        <v>30620177497</v>
      </c>
      <c r="I118" s="247" t="s">
        <v>720</v>
      </c>
      <c r="J118" s="224">
        <v>1</v>
      </c>
      <c r="K118" s="223" t="s">
        <v>646</v>
      </c>
      <c r="L118" s="225">
        <v>26164.14</v>
      </c>
      <c r="M118" s="224">
        <v>0</v>
      </c>
      <c r="N118" s="224">
        <v>0</v>
      </c>
      <c r="O118" s="224">
        <v>0</v>
      </c>
      <c r="P118" s="225">
        <v>5494.47</v>
      </c>
      <c r="Q118" s="225">
        <v>33751.74</v>
      </c>
    </row>
    <row r="119" spans="1:17" hidden="1" x14ac:dyDescent="0.25">
      <c r="A119" s="223" t="s">
        <v>719</v>
      </c>
      <c r="B119" s="223" t="s">
        <v>644</v>
      </c>
      <c r="C119" s="224">
        <v>5015</v>
      </c>
      <c r="D119" s="224">
        <v>650706</v>
      </c>
      <c r="E119" s="223"/>
      <c r="F119" s="224">
        <v>74404997363928</v>
      </c>
      <c r="G119" s="223" t="s">
        <v>7</v>
      </c>
      <c r="H119" s="227">
        <v>30574876474</v>
      </c>
      <c r="I119" s="223" t="s">
        <v>671</v>
      </c>
      <c r="J119" s="224">
        <v>1</v>
      </c>
      <c r="K119" s="223" t="s">
        <v>646</v>
      </c>
      <c r="L119" s="225">
        <v>24879.27</v>
      </c>
      <c r="M119" s="224">
        <v>0</v>
      </c>
      <c r="N119" s="224">
        <v>0</v>
      </c>
      <c r="O119" s="224">
        <v>0</v>
      </c>
      <c r="P119" s="225">
        <v>5224.63</v>
      </c>
      <c r="Q119" s="223">
        <v>33338.199999999997</v>
      </c>
    </row>
    <row r="120" spans="1:17" hidden="1" x14ac:dyDescent="0.25">
      <c r="A120" s="223" t="s">
        <v>719</v>
      </c>
      <c r="B120" s="223" t="s">
        <v>644</v>
      </c>
      <c r="C120" s="224">
        <v>20</v>
      </c>
      <c r="D120" s="224">
        <v>197792</v>
      </c>
      <c r="E120" s="223"/>
      <c r="F120" s="224">
        <v>74402907225580</v>
      </c>
      <c r="G120" s="223" t="s">
        <v>7</v>
      </c>
      <c r="H120" s="227">
        <v>30696850972</v>
      </c>
      <c r="I120" s="223" t="s">
        <v>721</v>
      </c>
      <c r="J120" s="224">
        <v>1</v>
      </c>
      <c r="K120" s="223" t="s">
        <v>646</v>
      </c>
      <c r="L120" s="225">
        <v>19732.580000000002</v>
      </c>
      <c r="M120" s="224">
        <v>0</v>
      </c>
      <c r="N120" s="224">
        <v>0</v>
      </c>
      <c r="O120" s="224">
        <v>0</v>
      </c>
      <c r="P120" s="223">
        <v>5327.8</v>
      </c>
      <c r="Q120" s="225">
        <v>26047.02</v>
      </c>
    </row>
    <row r="121" spans="1:17" hidden="1" x14ac:dyDescent="0.25">
      <c r="A121" s="223" t="s">
        <v>719</v>
      </c>
      <c r="B121" s="223" t="s">
        <v>644</v>
      </c>
      <c r="C121" s="224">
        <v>1</v>
      </c>
      <c r="D121" s="224">
        <v>591606</v>
      </c>
      <c r="E121" s="223"/>
      <c r="F121" s="224">
        <v>74409955268089</v>
      </c>
      <c r="G121" s="223" t="s">
        <v>7</v>
      </c>
      <c r="H121" s="227">
        <v>33716307749</v>
      </c>
      <c r="I121" s="223" t="s">
        <v>722</v>
      </c>
      <c r="J121" s="224">
        <v>1</v>
      </c>
      <c r="K121" s="223" t="s">
        <v>646</v>
      </c>
      <c r="L121" s="224">
        <v>318999</v>
      </c>
      <c r="M121" s="224">
        <v>0</v>
      </c>
      <c r="N121" s="224">
        <v>0</v>
      </c>
      <c r="O121" s="224">
        <v>0</v>
      </c>
      <c r="P121" s="225">
        <v>66989.789999999994</v>
      </c>
      <c r="Q121" s="225">
        <v>401938.74</v>
      </c>
    </row>
    <row r="122" spans="1:17" hidden="1" x14ac:dyDescent="0.25">
      <c r="A122" s="223" t="s">
        <v>719</v>
      </c>
      <c r="B122" s="223" t="s">
        <v>644</v>
      </c>
      <c r="C122" s="224">
        <v>3</v>
      </c>
      <c r="D122" s="224">
        <v>4276</v>
      </c>
      <c r="E122" s="223"/>
      <c r="F122" s="224">
        <v>74408785825637</v>
      </c>
      <c r="G122" s="223" t="s">
        <v>7</v>
      </c>
      <c r="H122" s="227">
        <v>20184052858</v>
      </c>
      <c r="I122" s="223" t="s">
        <v>679</v>
      </c>
      <c r="J122" s="224">
        <v>1</v>
      </c>
      <c r="K122" s="223" t="s">
        <v>646</v>
      </c>
      <c r="L122" s="225">
        <v>71074.33</v>
      </c>
      <c r="M122" s="224">
        <v>0</v>
      </c>
      <c r="N122" s="224">
        <v>0</v>
      </c>
      <c r="O122" s="224">
        <v>0</v>
      </c>
      <c r="P122" s="225">
        <v>14925.61</v>
      </c>
      <c r="Q122" s="225">
        <v>85999.91</v>
      </c>
    </row>
    <row r="123" spans="1:17" hidden="1" x14ac:dyDescent="0.25">
      <c r="A123" s="223" t="s">
        <v>719</v>
      </c>
      <c r="B123" s="223" t="s">
        <v>644</v>
      </c>
      <c r="C123" s="224">
        <v>2</v>
      </c>
      <c r="D123" s="224">
        <v>3548</v>
      </c>
      <c r="E123" s="223"/>
      <c r="F123" s="224">
        <v>74405740571811</v>
      </c>
      <c r="G123" s="223" t="s">
        <v>7</v>
      </c>
      <c r="H123" s="227">
        <v>30661498575</v>
      </c>
      <c r="I123" s="223" t="s">
        <v>201</v>
      </c>
      <c r="J123" s="224">
        <v>1</v>
      </c>
      <c r="K123" s="223" t="s">
        <v>646</v>
      </c>
      <c r="L123" s="225">
        <v>132396.71</v>
      </c>
      <c r="M123" s="224">
        <v>0</v>
      </c>
      <c r="N123" s="224">
        <v>0</v>
      </c>
      <c r="O123" s="224">
        <v>0</v>
      </c>
      <c r="P123" s="225">
        <v>27803.31</v>
      </c>
      <c r="Q123" s="224">
        <v>160200</v>
      </c>
    </row>
    <row r="124" spans="1:17" x14ac:dyDescent="0.25">
      <c r="A124" s="247" t="s">
        <v>719</v>
      </c>
      <c r="B124" s="247" t="s">
        <v>644</v>
      </c>
      <c r="C124" s="248">
        <v>6</v>
      </c>
      <c r="D124" s="248">
        <v>804</v>
      </c>
      <c r="E124" s="247"/>
      <c r="F124" s="248">
        <v>74407826876177</v>
      </c>
      <c r="G124" s="247" t="s">
        <v>7</v>
      </c>
      <c r="H124" s="248">
        <v>20214946867</v>
      </c>
      <c r="I124" s="247" t="s">
        <v>723</v>
      </c>
      <c r="J124" s="224">
        <v>1</v>
      </c>
      <c r="K124" s="223" t="s">
        <v>646</v>
      </c>
      <c r="L124" s="225">
        <v>37189.24</v>
      </c>
      <c r="M124" s="224">
        <v>0</v>
      </c>
      <c r="N124" s="224">
        <v>0</v>
      </c>
      <c r="O124" s="224">
        <v>0</v>
      </c>
      <c r="P124" s="225">
        <v>7809.74</v>
      </c>
      <c r="Q124" s="224">
        <v>44999</v>
      </c>
    </row>
  </sheetData>
  <autoFilter ref="A1:Q124" xr:uid="{00000000-0009-0000-0000-000003000000}">
    <filterColumn colId="8">
      <colorFilter dxfId="22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240"/>
  <sheetViews>
    <sheetView workbookViewId="0">
      <selection activeCell="F13" sqref="F13:F226"/>
    </sheetView>
  </sheetViews>
  <sheetFormatPr baseColWidth="10" defaultRowHeight="15" x14ac:dyDescent="0.2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 x14ac:dyDescent="0.25">
      <c r="A1" s="239" t="s">
        <v>908</v>
      </c>
      <c r="B1" s="239"/>
      <c r="C1" s="239"/>
      <c r="D1" s="239"/>
    </row>
    <row r="4" spans="1:7" x14ac:dyDescent="0.25">
      <c r="A4" s="228" t="s">
        <v>102</v>
      </c>
      <c r="B4" s="228" t="s">
        <v>724</v>
      </c>
      <c r="C4" s="228" t="s">
        <v>725</v>
      </c>
      <c r="D4" s="228" t="s">
        <v>726</v>
      </c>
      <c r="E4" s="228" t="s">
        <v>727</v>
      </c>
      <c r="F4" s="228" t="s">
        <v>728</v>
      </c>
      <c r="G4" s="228" t="s">
        <v>729</v>
      </c>
    </row>
    <row r="5" spans="1:7" hidden="1" x14ac:dyDescent="0.25">
      <c r="A5" s="242" t="s">
        <v>647</v>
      </c>
      <c r="B5" s="235" t="s">
        <v>750</v>
      </c>
      <c r="C5" s="233" t="s">
        <v>37</v>
      </c>
      <c r="D5" s="233" t="s">
        <v>749</v>
      </c>
      <c r="E5" s="233">
        <v>20086277523</v>
      </c>
      <c r="F5" s="243">
        <v>0</v>
      </c>
      <c r="G5" s="243">
        <v>275500</v>
      </c>
    </row>
    <row r="6" spans="1:7" hidden="1" x14ac:dyDescent="0.25">
      <c r="A6" s="234" t="s">
        <v>647</v>
      </c>
      <c r="B6" s="236">
        <v>874</v>
      </c>
      <c r="C6" s="234" t="s">
        <v>37</v>
      </c>
      <c r="D6" s="234"/>
      <c r="E6" s="236">
        <v>20086277523</v>
      </c>
      <c r="F6" s="234"/>
      <c r="G6" s="234"/>
    </row>
    <row r="7" spans="1:7" hidden="1" x14ac:dyDescent="0.25">
      <c r="A7" s="242" t="s">
        <v>699</v>
      </c>
      <c r="B7" s="235" t="s">
        <v>858</v>
      </c>
      <c r="C7" s="233" t="s">
        <v>859</v>
      </c>
      <c r="D7" s="233" t="s">
        <v>733</v>
      </c>
      <c r="E7" s="233">
        <v>20131067446</v>
      </c>
      <c r="F7" s="243">
        <v>278865.59999999998</v>
      </c>
      <c r="G7" s="243">
        <v>0</v>
      </c>
    </row>
    <row r="8" spans="1:7" hidden="1" x14ac:dyDescent="0.25">
      <c r="A8" s="234" t="s">
        <v>699</v>
      </c>
      <c r="B8" s="236">
        <v>6066</v>
      </c>
      <c r="C8" s="234" t="s">
        <v>409</v>
      </c>
      <c r="D8" s="234"/>
      <c r="E8" s="236">
        <v>20131067446</v>
      </c>
      <c r="F8" s="234">
        <v>278865.59999999998</v>
      </c>
      <c r="G8" s="236">
        <v>0</v>
      </c>
    </row>
    <row r="9" spans="1:7" hidden="1" x14ac:dyDescent="0.25">
      <c r="A9" s="242" t="s">
        <v>675</v>
      </c>
      <c r="B9" s="235" t="s">
        <v>800</v>
      </c>
      <c r="C9" s="233" t="s">
        <v>801</v>
      </c>
      <c r="D9" s="233" t="s">
        <v>733</v>
      </c>
      <c r="E9" s="233">
        <v>20184052858</v>
      </c>
      <c r="F9" s="243">
        <v>16859.46</v>
      </c>
      <c r="G9" s="243">
        <v>0</v>
      </c>
    </row>
    <row r="10" spans="1:7" hidden="1" x14ac:dyDescent="0.25">
      <c r="A10" s="242" t="s">
        <v>719</v>
      </c>
      <c r="B10" s="235" t="s">
        <v>905</v>
      </c>
      <c r="C10" s="233" t="s">
        <v>801</v>
      </c>
      <c r="D10" s="233" t="s">
        <v>733</v>
      </c>
      <c r="E10" s="233">
        <v>20184052858</v>
      </c>
      <c r="F10" s="243">
        <v>71074.3</v>
      </c>
      <c r="G10" s="243">
        <v>0</v>
      </c>
    </row>
    <row r="11" spans="1:7" hidden="1" x14ac:dyDescent="0.25">
      <c r="A11" s="234" t="s">
        <v>675</v>
      </c>
      <c r="B11" s="236">
        <v>4250</v>
      </c>
      <c r="C11" s="234" t="s">
        <v>679</v>
      </c>
      <c r="D11" s="234"/>
      <c r="E11" s="236">
        <v>20184052858</v>
      </c>
      <c r="F11" s="244">
        <v>16859.48</v>
      </c>
      <c r="G11" s="236">
        <v>0</v>
      </c>
    </row>
    <row r="12" spans="1:7" hidden="1" x14ac:dyDescent="0.25">
      <c r="A12" s="234" t="s">
        <v>719</v>
      </c>
      <c r="B12" s="236">
        <v>4276</v>
      </c>
      <c r="C12" s="234" t="s">
        <v>679</v>
      </c>
      <c r="D12" s="234"/>
      <c r="E12" s="236">
        <v>20184052858</v>
      </c>
      <c r="F12" s="244">
        <v>71074.33</v>
      </c>
      <c r="G12" s="236">
        <v>0</v>
      </c>
    </row>
    <row r="13" spans="1:7" x14ac:dyDescent="0.25">
      <c r="A13" s="237" t="s">
        <v>719</v>
      </c>
      <c r="B13" s="238">
        <v>804</v>
      </c>
      <c r="C13" s="237" t="s">
        <v>723</v>
      </c>
      <c r="D13" s="237"/>
      <c r="E13" s="238">
        <v>20214946867</v>
      </c>
      <c r="F13" s="241">
        <v>37189.24</v>
      </c>
      <c r="G13" s="238">
        <v>0</v>
      </c>
    </row>
    <row r="14" spans="1:7" hidden="1" x14ac:dyDescent="0.25">
      <c r="A14" s="242" t="s">
        <v>675</v>
      </c>
      <c r="B14" s="235" t="s">
        <v>798</v>
      </c>
      <c r="C14" s="233" t="s">
        <v>799</v>
      </c>
      <c r="D14" s="233" t="s">
        <v>749</v>
      </c>
      <c r="E14" s="233">
        <v>20216451679</v>
      </c>
      <c r="F14" s="243">
        <v>0</v>
      </c>
      <c r="G14" s="243">
        <v>86000</v>
      </c>
    </row>
    <row r="15" spans="1:7" hidden="1" x14ac:dyDescent="0.25">
      <c r="A15" s="242" t="s">
        <v>713</v>
      </c>
      <c r="B15" s="235" t="s">
        <v>897</v>
      </c>
      <c r="C15" s="233" t="s">
        <v>799</v>
      </c>
      <c r="D15" s="233" t="s">
        <v>749</v>
      </c>
      <c r="E15" s="233">
        <v>20216451679</v>
      </c>
      <c r="F15" s="243">
        <v>0</v>
      </c>
      <c r="G15" s="243">
        <v>160000</v>
      </c>
    </row>
    <row r="16" spans="1:7" hidden="1" x14ac:dyDescent="0.25">
      <c r="A16" s="234" t="s">
        <v>675</v>
      </c>
      <c r="B16" s="236">
        <v>986</v>
      </c>
      <c r="C16" s="234" t="s">
        <v>469</v>
      </c>
      <c r="D16" s="234"/>
      <c r="E16" s="236">
        <v>20216451679</v>
      </c>
      <c r="F16" s="234"/>
      <c r="G16" s="234"/>
    </row>
    <row r="17" spans="1:7" hidden="1" x14ac:dyDescent="0.25">
      <c r="A17" s="234" t="s">
        <v>699</v>
      </c>
      <c r="B17" s="236">
        <v>991</v>
      </c>
      <c r="C17" s="234" t="s">
        <v>469</v>
      </c>
      <c r="D17" s="234"/>
      <c r="E17" s="236">
        <v>20216451679</v>
      </c>
      <c r="F17" s="234"/>
      <c r="G17" s="234"/>
    </row>
    <row r="18" spans="1:7" hidden="1" x14ac:dyDescent="0.25">
      <c r="A18" s="234" t="s">
        <v>713</v>
      </c>
      <c r="B18" s="236">
        <v>995</v>
      </c>
      <c r="C18" s="234" t="s">
        <v>469</v>
      </c>
      <c r="D18" s="234"/>
      <c r="E18" s="236">
        <v>20216451679</v>
      </c>
      <c r="F18" s="234"/>
      <c r="G18" s="234"/>
    </row>
    <row r="19" spans="1:7" hidden="1" x14ac:dyDescent="0.25">
      <c r="A19" s="229" t="s">
        <v>684</v>
      </c>
      <c r="B19" s="235" t="s">
        <v>811</v>
      </c>
      <c r="C19" s="201" t="s">
        <v>812</v>
      </c>
      <c r="D19" s="201" t="s">
        <v>733</v>
      </c>
      <c r="E19" s="201">
        <v>20272865869</v>
      </c>
      <c r="F19" s="232">
        <v>128100</v>
      </c>
      <c r="G19" s="232">
        <v>0</v>
      </c>
    </row>
    <row r="20" spans="1:7" hidden="1" x14ac:dyDescent="0.25">
      <c r="A20" s="229" t="s">
        <v>686</v>
      </c>
      <c r="B20" s="235" t="s">
        <v>823</v>
      </c>
      <c r="C20" s="201" t="s">
        <v>812</v>
      </c>
      <c r="D20" s="201" t="s">
        <v>733</v>
      </c>
      <c r="E20" s="201">
        <v>20272865869</v>
      </c>
      <c r="F20" s="232">
        <v>9950</v>
      </c>
      <c r="G20" s="232">
        <v>0</v>
      </c>
    </row>
    <row r="21" spans="1:7" hidden="1" x14ac:dyDescent="0.25">
      <c r="A21" s="229" t="s">
        <v>699</v>
      </c>
      <c r="B21" s="235" t="s">
        <v>855</v>
      </c>
      <c r="C21" s="201" t="s">
        <v>812</v>
      </c>
      <c r="D21" s="201" t="s">
        <v>733</v>
      </c>
      <c r="E21" s="201">
        <v>20272865869</v>
      </c>
      <c r="F21" s="232">
        <v>253100</v>
      </c>
      <c r="G21" s="232">
        <v>0</v>
      </c>
    </row>
    <row r="22" spans="1:7" hidden="1" x14ac:dyDescent="0.25">
      <c r="A22" s="229" t="s">
        <v>713</v>
      </c>
      <c r="B22" s="235" t="s">
        <v>895</v>
      </c>
      <c r="C22" s="201" t="s">
        <v>812</v>
      </c>
      <c r="D22" s="201" t="s">
        <v>733</v>
      </c>
      <c r="E22" s="201">
        <v>20272865869</v>
      </c>
      <c r="F22" s="232">
        <v>9800</v>
      </c>
      <c r="G22" s="232">
        <v>0</v>
      </c>
    </row>
    <row r="23" spans="1:7" hidden="1" x14ac:dyDescent="0.25">
      <c r="A23" s="229" t="s">
        <v>713</v>
      </c>
      <c r="B23" s="235" t="s">
        <v>896</v>
      </c>
      <c r="C23" s="201" t="s">
        <v>812</v>
      </c>
      <c r="D23" s="201" t="s">
        <v>733</v>
      </c>
      <c r="E23" s="201">
        <v>20272865869</v>
      </c>
      <c r="F23" s="232">
        <v>105000</v>
      </c>
      <c r="G23" s="232">
        <v>0</v>
      </c>
    </row>
    <row r="24" spans="1:7" hidden="1" x14ac:dyDescent="0.25">
      <c r="A24" s="229" t="s">
        <v>719</v>
      </c>
      <c r="B24" s="235" t="s">
        <v>904</v>
      </c>
      <c r="C24" s="201" t="s">
        <v>812</v>
      </c>
      <c r="D24" s="201" t="s">
        <v>733</v>
      </c>
      <c r="E24" s="201">
        <v>20272865869</v>
      </c>
      <c r="F24" s="232">
        <v>149150</v>
      </c>
      <c r="G24" s="232">
        <v>0</v>
      </c>
    </row>
    <row r="25" spans="1:7" hidden="1" x14ac:dyDescent="0.25">
      <c r="A25" s="234" t="s">
        <v>664</v>
      </c>
      <c r="B25" s="236">
        <v>760</v>
      </c>
      <c r="C25" s="234" t="s">
        <v>617</v>
      </c>
      <c r="D25" s="234"/>
      <c r="E25" s="236">
        <v>20272865869</v>
      </c>
      <c r="F25" s="236">
        <v>84450</v>
      </c>
      <c r="G25" s="236">
        <v>0</v>
      </c>
    </row>
    <row r="26" spans="1:7" hidden="1" x14ac:dyDescent="0.25">
      <c r="A26" s="231" t="s">
        <v>684</v>
      </c>
      <c r="B26" s="236">
        <v>778</v>
      </c>
      <c r="C26" s="231" t="s">
        <v>617</v>
      </c>
      <c r="D26" s="231"/>
      <c r="E26" s="230">
        <v>20272865869</v>
      </c>
      <c r="F26" s="230">
        <v>128100</v>
      </c>
      <c r="G26" s="230">
        <v>0</v>
      </c>
    </row>
    <row r="27" spans="1:7" hidden="1" x14ac:dyDescent="0.25">
      <c r="A27" s="231" t="s">
        <v>686</v>
      </c>
      <c r="B27" s="236">
        <v>783</v>
      </c>
      <c r="C27" s="231" t="s">
        <v>617</v>
      </c>
      <c r="D27" s="231"/>
      <c r="E27" s="230">
        <v>20272865869</v>
      </c>
      <c r="F27" s="230">
        <v>9950</v>
      </c>
      <c r="G27" s="230">
        <v>0</v>
      </c>
    </row>
    <row r="28" spans="1:7" hidden="1" x14ac:dyDescent="0.25">
      <c r="A28" s="231" t="s">
        <v>699</v>
      </c>
      <c r="B28" s="236">
        <v>796</v>
      </c>
      <c r="C28" s="231" t="s">
        <v>617</v>
      </c>
      <c r="D28" s="231"/>
      <c r="E28" s="230">
        <v>20272865869</v>
      </c>
      <c r="F28" s="230">
        <v>253100</v>
      </c>
      <c r="G28" s="230">
        <v>0</v>
      </c>
    </row>
    <row r="29" spans="1:7" hidden="1" x14ac:dyDescent="0.25">
      <c r="A29" s="231" t="s">
        <v>711</v>
      </c>
      <c r="B29" s="236">
        <v>814</v>
      </c>
      <c r="C29" s="231" t="s">
        <v>617</v>
      </c>
      <c r="D29" s="231"/>
      <c r="E29" s="230">
        <v>20272865869</v>
      </c>
      <c r="F29" s="230">
        <v>149150</v>
      </c>
      <c r="G29" s="230">
        <v>0</v>
      </c>
    </row>
    <row r="30" spans="1:7" hidden="1" x14ac:dyDescent="0.25">
      <c r="A30" s="231" t="s">
        <v>713</v>
      </c>
      <c r="B30" s="236">
        <v>816</v>
      </c>
      <c r="C30" s="231" t="s">
        <v>617</v>
      </c>
      <c r="D30" s="231"/>
      <c r="E30" s="230">
        <v>20272865869</v>
      </c>
      <c r="F30" s="230">
        <v>9800</v>
      </c>
      <c r="G30" s="230">
        <v>0</v>
      </c>
    </row>
    <row r="31" spans="1:7" hidden="1" x14ac:dyDescent="0.25">
      <c r="A31" s="231" t="s">
        <v>713</v>
      </c>
      <c r="B31" s="236">
        <v>819</v>
      </c>
      <c r="C31" s="231" t="s">
        <v>617</v>
      </c>
      <c r="D31" s="231"/>
      <c r="E31" s="230">
        <v>20272865869</v>
      </c>
      <c r="F31" s="230">
        <v>105000</v>
      </c>
      <c r="G31" s="230">
        <v>0</v>
      </c>
    </row>
    <row r="32" spans="1:7" hidden="1" x14ac:dyDescent="0.25">
      <c r="A32" s="242" t="s">
        <v>660</v>
      </c>
      <c r="B32" s="235" t="s">
        <v>771</v>
      </c>
      <c r="C32" s="233" t="s">
        <v>772</v>
      </c>
      <c r="D32" s="233" t="s">
        <v>733</v>
      </c>
      <c r="E32" s="233">
        <v>20284183534</v>
      </c>
      <c r="F32" s="243">
        <v>4545.5</v>
      </c>
      <c r="G32" s="243">
        <v>0</v>
      </c>
    </row>
    <row r="33" spans="1:7" hidden="1" x14ac:dyDescent="0.25">
      <c r="A33" s="242" t="s">
        <v>711</v>
      </c>
      <c r="B33" s="235" t="s">
        <v>893</v>
      </c>
      <c r="C33" s="233" t="s">
        <v>772</v>
      </c>
      <c r="D33" s="233" t="s">
        <v>733</v>
      </c>
      <c r="E33" s="233">
        <v>20284183534</v>
      </c>
      <c r="F33" s="243">
        <v>9504.130000000001</v>
      </c>
      <c r="G33" s="243">
        <v>0</v>
      </c>
    </row>
    <row r="34" spans="1:7" hidden="1" x14ac:dyDescent="0.25">
      <c r="A34" s="234" t="s">
        <v>660</v>
      </c>
      <c r="B34" s="236">
        <v>3241</v>
      </c>
      <c r="C34" s="234" t="s">
        <v>440</v>
      </c>
      <c r="D34" s="234"/>
      <c r="E34" s="236">
        <v>20284183534</v>
      </c>
      <c r="F34" s="234">
        <v>4545.5</v>
      </c>
      <c r="G34" s="236">
        <v>0</v>
      </c>
    </row>
    <row r="35" spans="1:7" hidden="1" x14ac:dyDescent="0.25">
      <c r="A35" s="234" t="s">
        <v>711</v>
      </c>
      <c r="B35" s="236">
        <v>3292</v>
      </c>
      <c r="C35" s="234" t="s">
        <v>440</v>
      </c>
      <c r="D35" s="234"/>
      <c r="E35" s="236">
        <v>20284183534</v>
      </c>
      <c r="F35" s="244">
        <v>9504.1299999999992</v>
      </c>
      <c r="G35" s="236">
        <v>0</v>
      </c>
    </row>
    <row r="36" spans="1:7" hidden="1" x14ac:dyDescent="0.25">
      <c r="A36" s="242" t="s">
        <v>684</v>
      </c>
      <c r="B36" s="235" t="s">
        <v>813</v>
      </c>
      <c r="C36" s="233" t="s">
        <v>814</v>
      </c>
      <c r="D36" s="233" t="s">
        <v>733</v>
      </c>
      <c r="E36" s="233">
        <v>20289111329</v>
      </c>
      <c r="F36" s="243">
        <v>585730.80000000005</v>
      </c>
      <c r="G36" s="243">
        <v>0</v>
      </c>
    </row>
    <row r="37" spans="1:7" hidden="1" x14ac:dyDescent="0.25">
      <c r="A37" s="234" t="s">
        <v>684</v>
      </c>
      <c r="B37" s="236">
        <v>38394</v>
      </c>
      <c r="C37" s="234" t="s">
        <v>685</v>
      </c>
      <c r="D37" s="234"/>
      <c r="E37" s="236">
        <v>20289111329</v>
      </c>
      <c r="F37" s="234">
        <v>585730.80000000005</v>
      </c>
      <c r="G37" s="236">
        <v>0</v>
      </c>
    </row>
    <row r="38" spans="1:7" hidden="1" x14ac:dyDescent="0.25">
      <c r="A38" s="242" t="s">
        <v>701</v>
      </c>
      <c r="B38" s="235" t="s">
        <v>862</v>
      </c>
      <c r="C38" s="233" t="s">
        <v>863</v>
      </c>
      <c r="D38" s="233" t="s">
        <v>733</v>
      </c>
      <c r="E38" s="233">
        <v>20317488476</v>
      </c>
      <c r="F38" s="243">
        <v>1870000</v>
      </c>
      <c r="G38" s="243">
        <v>0</v>
      </c>
    </row>
    <row r="39" spans="1:7" hidden="1" x14ac:dyDescent="0.25">
      <c r="A39" s="242" t="s">
        <v>710</v>
      </c>
      <c r="B39" s="235" t="s">
        <v>885</v>
      </c>
      <c r="C39" s="233" t="s">
        <v>863</v>
      </c>
      <c r="D39" s="233" t="s">
        <v>733</v>
      </c>
      <c r="E39" s="233">
        <v>20317488476</v>
      </c>
      <c r="F39" s="243">
        <v>105000</v>
      </c>
      <c r="G39" s="243">
        <v>0</v>
      </c>
    </row>
    <row r="40" spans="1:7" hidden="1" x14ac:dyDescent="0.25">
      <c r="A40" s="234" t="s">
        <v>701</v>
      </c>
      <c r="B40" s="236">
        <v>136</v>
      </c>
      <c r="C40" s="234" t="s">
        <v>252</v>
      </c>
      <c r="D40" s="234"/>
      <c r="E40" s="236">
        <v>20317488476</v>
      </c>
      <c r="F40" s="236">
        <v>1870000</v>
      </c>
      <c r="G40" s="236">
        <v>0</v>
      </c>
    </row>
    <row r="41" spans="1:7" hidden="1" x14ac:dyDescent="0.25">
      <c r="A41" s="234" t="s">
        <v>710</v>
      </c>
      <c r="B41" s="236">
        <v>137</v>
      </c>
      <c r="C41" s="234" t="s">
        <v>252</v>
      </c>
      <c r="D41" s="234"/>
      <c r="E41" s="236">
        <v>20317488476</v>
      </c>
      <c r="F41" s="236">
        <v>105000</v>
      </c>
      <c r="G41" s="236">
        <v>0</v>
      </c>
    </row>
    <row r="42" spans="1:7" hidden="1" x14ac:dyDescent="0.25">
      <c r="A42" s="242" t="s">
        <v>686</v>
      </c>
      <c r="B42" s="235" t="s">
        <v>826</v>
      </c>
      <c r="C42" s="233" t="s">
        <v>827</v>
      </c>
      <c r="D42" s="233" t="s">
        <v>733</v>
      </c>
      <c r="E42" s="233">
        <v>20334976433</v>
      </c>
      <c r="F42" s="243">
        <v>-188330</v>
      </c>
      <c r="G42" s="243">
        <v>0</v>
      </c>
    </row>
    <row r="43" spans="1:7" hidden="1" x14ac:dyDescent="0.25">
      <c r="A43" s="242" t="s">
        <v>686</v>
      </c>
      <c r="B43" s="235" t="s">
        <v>828</v>
      </c>
      <c r="C43" s="233" t="s">
        <v>827</v>
      </c>
      <c r="D43" s="233" t="s">
        <v>733</v>
      </c>
      <c r="E43" s="233">
        <v>20334976433</v>
      </c>
      <c r="F43" s="243">
        <v>188330</v>
      </c>
      <c r="G43" s="243">
        <v>0</v>
      </c>
    </row>
    <row r="44" spans="1:7" hidden="1" x14ac:dyDescent="0.25">
      <c r="A44" s="242" t="s">
        <v>686</v>
      </c>
      <c r="B44" s="235" t="s">
        <v>829</v>
      </c>
      <c r="C44" s="233" t="s">
        <v>827</v>
      </c>
      <c r="D44" s="233" t="s">
        <v>733</v>
      </c>
      <c r="E44" s="233">
        <v>20334976433</v>
      </c>
      <c r="F44" s="243">
        <v>153000</v>
      </c>
      <c r="G44" s="243">
        <v>0</v>
      </c>
    </row>
    <row r="45" spans="1:7" hidden="1" x14ac:dyDescent="0.25">
      <c r="A45" s="242" t="s">
        <v>711</v>
      </c>
      <c r="B45" s="235" t="s">
        <v>890</v>
      </c>
      <c r="C45" s="233" t="s">
        <v>827</v>
      </c>
      <c r="D45" s="233" t="s">
        <v>733</v>
      </c>
      <c r="E45" s="233">
        <v>20334976433</v>
      </c>
      <c r="F45" s="243">
        <v>90000</v>
      </c>
      <c r="G45" s="243">
        <v>0</v>
      </c>
    </row>
    <row r="46" spans="1:7" hidden="1" x14ac:dyDescent="0.25">
      <c r="A46" s="234" t="s">
        <v>686</v>
      </c>
      <c r="B46" s="236">
        <v>170</v>
      </c>
      <c r="C46" s="234" t="s">
        <v>490</v>
      </c>
      <c r="D46" s="234"/>
      <c r="E46" s="236">
        <v>20334976433</v>
      </c>
      <c r="F46" s="236">
        <v>188330</v>
      </c>
      <c r="G46" s="236">
        <v>0</v>
      </c>
    </row>
    <row r="47" spans="1:7" hidden="1" x14ac:dyDescent="0.25">
      <c r="A47" s="234" t="s">
        <v>686</v>
      </c>
      <c r="B47" s="236">
        <v>171</v>
      </c>
      <c r="C47" s="234" t="s">
        <v>490</v>
      </c>
      <c r="D47" s="234"/>
      <c r="E47" s="236">
        <v>20334976433</v>
      </c>
      <c r="F47" s="236">
        <v>153000</v>
      </c>
      <c r="G47" s="236">
        <v>0</v>
      </c>
    </row>
    <row r="48" spans="1:7" hidden="1" x14ac:dyDescent="0.25">
      <c r="A48" s="234" t="s">
        <v>686</v>
      </c>
      <c r="B48" s="236">
        <v>17</v>
      </c>
      <c r="C48" s="234" t="s">
        <v>490</v>
      </c>
      <c r="D48" s="234"/>
      <c r="E48" s="236">
        <v>20334976433</v>
      </c>
      <c r="F48" s="236">
        <v>188330</v>
      </c>
      <c r="G48" s="236">
        <v>0</v>
      </c>
    </row>
    <row r="49" spans="1:7" hidden="1" x14ac:dyDescent="0.25">
      <c r="A49" s="234" t="s">
        <v>711</v>
      </c>
      <c r="B49" s="236">
        <v>172</v>
      </c>
      <c r="C49" s="234" t="s">
        <v>490</v>
      </c>
      <c r="D49" s="234"/>
      <c r="E49" s="236">
        <v>20334976433</v>
      </c>
      <c r="F49" s="236">
        <v>90000</v>
      </c>
      <c r="G49" s="236">
        <v>0</v>
      </c>
    </row>
    <row r="50" spans="1:7" hidden="1" x14ac:dyDescent="0.25">
      <c r="A50" s="242" t="s">
        <v>701</v>
      </c>
      <c r="B50" s="235" t="s">
        <v>865</v>
      </c>
      <c r="C50" s="233" t="s">
        <v>702</v>
      </c>
      <c r="D50" s="233" t="s">
        <v>733</v>
      </c>
      <c r="E50" s="233">
        <v>20348485580</v>
      </c>
      <c r="F50" s="243">
        <v>29099.82</v>
      </c>
      <c r="G50" s="243">
        <v>0</v>
      </c>
    </row>
    <row r="51" spans="1:7" hidden="1" x14ac:dyDescent="0.25">
      <c r="A51" s="234" t="s">
        <v>701</v>
      </c>
      <c r="B51" s="236">
        <v>3877</v>
      </c>
      <c r="C51" s="234" t="s">
        <v>702</v>
      </c>
      <c r="D51" s="234"/>
      <c r="E51" s="236">
        <v>20348485580</v>
      </c>
      <c r="F51" s="244">
        <v>29099.82</v>
      </c>
      <c r="G51" s="236">
        <v>0</v>
      </c>
    </row>
    <row r="52" spans="1:7" hidden="1" x14ac:dyDescent="0.25">
      <c r="A52" s="242" t="s">
        <v>680</v>
      </c>
      <c r="B52" s="235" t="s">
        <v>805</v>
      </c>
      <c r="C52" s="233" t="s">
        <v>806</v>
      </c>
      <c r="D52" s="233" t="s">
        <v>749</v>
      </c>
      <c r="E52" s="233">
        <v>20464199633</v>
      </c>
      <c r="F52" s="243">
        <v>0</v>
      </c>
      <c r="G52" s="243">
        <v>499950</v>
      </c>
    </row>
    <row r="53" spans="1:7" hidden="1" x14ac:dyDescent="0.25">
      <c r="A53" s="234" t="s">
        <v>680</v>
      </c>
      <c r="B53" s="236">
        <v>9</v>
      </c>
      <c r="C53" s="234" t="s">
        <v>683</v>
      </c>
      <c r="D53" s="234"/>
      <c r="E53" s="236">
        <v>20464199633</v>
      </c>
      <c r="F53" s="234"/>
      <c r="G53" s="234"/>
    </row>
    <row r="54" spans="1:7" hidden="1" x14ac:dyDescent="0.25">
      <c r="A54" s="242" t="s">
        <v>711</v>
      </c>
      <c r="B54" s="235" t="s">
        <v>891</v>
      </c>
      <c r="C54" s="233" t="s">
        <v>461</v>
      </c>
      <c r="D54" s="233" t="s">
        <v>733</v>
      </c>
      <c r="E54" s="233">
        <v>20929183143</v>
      </c>
      <c r="F54" s="243">
        <v>50000</v>
      </c>
      <c r="G54" s="243">
        <v>0</v>
      </c>
    </row>
    <row r="55" spans="1:7" hidden="1" x14ac:dyDescent="0.25">
      <c r="A55" s="234" t="s">
        <v>711</v>
      </c>
      <c r="B55" s="236">
        <v>32</v>
      </c>
      <c r="C55" s="234" t="s">
        <v>461</v>
      </c>
      <c r="D55" s="234"/>
      <c r="E55" s="236">
        <v>20929183143</v>
      </c>
      <c r="F55" s="236">
        <v>50000</v>
      </c>
      <c r="G55" s="236">
        <v>0</v>
      </c>
    </row>
    <row r="56" spans="1:7" hidden="1" x14ac:dyDescent="0.25">
      <c r="A56" s="242" t="s">
        <v>698</v>
      </c>
      <c r="B56" s="235" t="s">
        <v>846</v>
      </c>
      <c r="C56" s="233" t="s">
        <v>847</v>
      </c>
      <c r="D56" s="233" t="s">
        <v>749</v>
      </c>
      <c r="E56" s="233">
        <v>23281233084</v>
      </c>
      <c r="F56" s="243">
        <v>0</v>
      </c>
      <c r="G56" s="243">
        <v>215000</v>
      </c>
    </row>
    <row r="57" spans="1:7" hidden="1" x14ac:dyDescent="0.25">
      <c r="A57" s="242" t="s">
        <v>698</v>
      </c>
      <c r="B57" s="235" t="s">
        <v>848</v>
      </c>
      <c r="C57" s="233" t="s">
        <v>847</v>
      </c>
      <c r="D57" s="233" t="s">
        <v>749</v>
      </c>
      <c r="E57" s="233">
        <v>23281233084</v>
      </c>
      <c r="F57" s="243">
        <v>0</v>
      </c>
      <c r="G57" s="243">
        <v>215000</v>
      </c>
    </row>
    <row r="58" spans="1:7" hidden="1" x14ac:dyDescent="0.25">
      <c r="A58" s="234" t="s">
        <v>698</v>
      </c>
      <c r="B58" s="236">
        <v>70</v>
      </c>
      <c r="C58" s="234" t="s">
        <v>184</v>
      </c>
      <c r="D58" s="234"/>
      <c r="E58" s="236">
        <v>23281233084</v>
      </c>
      <c r="F58" s="234"/>
      <c r="G58" s="234"/>
    </row>
    <row r="59" spans="1:7" hidden="1" x14ac:dyDescent="0.25">
      <c r="A59" s="234" t="s">
        <v>698</v>
      </c>
      <c r="B59" s="236">
        <v>71</v>
      </c>
      <c r="C59" s="234" t="s">
        <v>184</v>
      </c>
      <c r="D59" s="234"/>
      <c r="E59" s="236">
        <v>23281233084</v>
      </c>
      <c r="F59" s="234"/>
      <c r="G59" s="234"/>
    </row>
    <row r="60" spans="1:7" x14ac:dyDescent="0.25">
      <c r="A60" s="237" t="s">
        <v>690</v>
      </c>
      <c r="B60" s="238">
        <v>168</v>
      </c>
      <c r="C60" s="237" t="s">
        <v>396</v>
      </c>
      <c r="D60" s="237"/>
      <c r="E60" s="238">
        <v>27062343449</v>
      </c>
      <c r="F60" s="237"/>
      <c r="G60" s="237"/>
    </row>
    <row r="61" spans="1:7" x14ac:dyDescent="0.25">
      <c r="A61" s="237" t="s">
        <v>690</v>
      </c>
      <c r="B61" s="238">
        <v>169</v>
      </c>
      <c r="C61" s="237" t="s">
        <v>396</v>
      </c>
      <c r="D61" s="237"/>
      <c r="E61" s="238">
        <v>27062343449</v>
      </c>
      <c r="F61" s="237"/>
      <c r="G61" s="237"/>
    </row>
    <row r="62" spans="1:7" hidden="1" x14ac:dyDescent="0.25">
      <c r="A62" s="242" t="s">
        <v>734</v>
      </c>
      <c r="B62" s="235" t="s">
        <v>735</v>
      </c>
      <c r="C62" s="233" t="s">
        <v>736</v>
      </c>
      <c r="D62" s="233" t="s">
        <v>733</v>
      </c>
      <c r="E62" s="233">
        <v>27114789033</v>
      </c>
      <c r="F62" s="243">
        <v>56363.64</v>
      </c>
      <c r="G62" s="243">
        <v>0</v>
      </c>
    </row>
    <row r="63" spans="1:7" hidden="1" x14ac:dyDescent="0.25">
      <c r="A63" s="242" t="s">
        <v>737</v>
      </c>
      <c r="B63" s="235" t="s">
        <v>738</v>
      </c>
      <c r="C63" s="233" t="s">
        <v>736</v>
      </c>
      <c r="D63" s="233" t="s">
        <v>733</v>
      </c>
      <c r="E63" s="233">
        <v>27114789033</v>
      </c>
      <c r="F63" s="243">
        <v>10991.74</v>
      </c>
      <c r="G63" s="243">
        <v>0</v>
      </c>
    </row>
    <row r="64" spans="1:7" hidden="1" x14ac:dyDescent="0.25">
      <c r="A64" s="242" t="s">
        <v>686</v>
      </c>
      <c r="B64" s="235" t="s">
        <v>824</v>
      </c>
      <c r="C64" s="233" t="s">
        <v>825</v>
      </c>
      <c r="D64" s="233" t="s">
        <v>733</v>
      </c>
      <c r="E64" s="233">
        <v>27117233745</v>
      </c>
      <c r="F64" s="243">
        <v>585519</v>
      </c>
      <c r="G64" s="243">
        <v>0</v>
      </c>
    </row>
    <row r="65" spans="1:7" hidden="1" x14ac:dyDescent="0.25">
      <c r="A65" s="242" t="s">
        <v>698</v>
      </c>
      <c r="B65" s="235" t="s">
        <v>851</v>
      </c>
      <c r="C65" s="233" t="s">
        <v>825</v>
      </c>
      <c r="D65" s="233" t="s">
        <v>733</v>
      </c>
      <c r="E65" s="233">
        <v>27117233745</v>
      </c>
      <c r="F65" s="243">
        <v>585519</v>
      </c>
      <c r="G65" s="243">
        <v>0</v>
      </c>
    </row>
    <row r="66" spans="1:7" hidden="1" x14ac:dyDescent="0.25">
      <c r="A66" s="234" t="s">
        <v>686</v>
      </c>
      <c r="B66" s="236">
        <v>4940</v>
      </c>
      <c r="C66" s="234" t="s">
        <v>688</v>
      </c>
      <c r="D66" s="234"/>
      <c r="E66" s="236">
        <v>27117233745</v>
      </c>
      <c r="F66" s="236">
        <v>585519</v>
      </c>
      <c r="G66" s="236">
        <v>0</v>
      </c>
    </row>
    <row r="67" spans="1:7" hidden="1" x14ac:dyDescent="0.25">
      <c r="A67" s="234" t="s">
        <v>698</v>
      </c>
      <c r="B67" s="236">
        <v>4942</v>
      </c>
      <c r="C67" s="234" t="s">
        <v>688</v>
      </c>
      <c r="D67" s="234"/>
      <c r="E67" s="236">
        <v>27117233745</v>
      </c>
      <c r="F67" s="236">
        <v>585519</v>
      </c>
      <c r="G67" s="236">
        <v>0</v>
      </c>
    </row>
    <row r="68" spans="1:7" hidden="1" x14ac:dyDescent="0.25">
      <c r="A68" s="242" t="s">
        <v>647</v>
      </c>
      <c r="B68" s="235" t="s">
        <v>745</v>
      </c>
      <c r="C68" s="233" t="s">
        <v>746</v>
      </c>
      <c r="D68" s="233" t="s">
        <v>733</v>
      </c>
      <c r="E68" s="233">
        <v>27144282383</v>
      </c>
      <c r="F68" s="243">
        <v>160000</v>
      </c>
      <c r="G68" s="243">
        <v>0</v>
      </c>
    </row>
    <row r="69" spans="1:7" hidden="1" x14ac:dyDescent="0.25">
      <c r="A69" s="242" t="s">
        <v>692</v>
      </c>
      <c r="B69" s="235" t="s">
        <v>831</v>
      </c>
      <c r="C69" s="233" t="s">
        <v>746</v>
      </c>
      <c r="D69" s="233" t="s">
        <v>733</v>
      </c>
      <c r="E69" s="233">
        <v>27144282383</v>
      </c>
      <c r="F69" s="243">
        <v>320000</v>
      </c>
      <c r="G69" s="243">
        <v>0</v>
      </c>
    </row>
    <row r="70" spans="1:7" hidden="1" x14ac:dyDescent="0.25">
      <c r="A70" s="242" t="s">
        <v>701</v>
      </c>
      <c r="B70" s="235" t="s">
        <v>861</v>
      </c>
      <c r="C70" s="233" t="s">
        <v>746</v>
      </c>
      <c r="D70" s="233" t="s">
        <v>733</v>
      </c>
      <c r="E70" s="233">
        <v>27144282383</v>
      </c>
      <c r="F70" s="243">
        <v>320000</v>
      </c>
      <c r="G70" s="243">
        <v>0</v>
      </c>
    </row>
    <row r="71" spans="1:7" hidden="1" x14ac:dyDescent="0.25">
      <c r="A71" s="242" t="s">
        <v>711</v>
      </c>
      <c r="B71" s="235" t="s">
        <v>889</v>
      </c>
      <c r="C71" s="233" t="s">
        <v>746</v>
      </c>
      <c r="D71" s="233" t="s">
        <v>733</v>
      </c>
      <c r="E71" s="233">
        <v>27144282383</v>
      </c>
      <c r="F71" s="243">
        <v>300000</v>
      </c>
      <c r="G71" s="243">
        <v>0</v>
      </c>
    </row>
    <row r="72" spans="1:7" hidden="1" x14ac:dyDescent="0.25">
      <c r="A72" s="234" t="s">
        <v>647</v>
      </c>
      <c r="B72" s="236">
        <v>248</v>
      </c>
      <c r="C72" s="234" t="s">
        <v>653</v>
      </c>
      <c r="D72" s="234"/>
      <c r="E72" s="236">
        <v>27144282383</v>
      </c>
      <c r="F72" s="236">
        <v>160000</v>
      </c>
      <c r="G72" s="236">
        <v>0</v>
      </c>
    </row>
    <row r="73" spans="1:7" hidden="1" x14ac:dyDescent="0.25">
      <c r="A73" s="234" t="s">
        <v>692</v>
      </c>
      <c r="B73" s="236">
        <v>249</v>
      </c>
      <c r="C73" s="234" t="s">
        <v>653</v>
      </c>
      <c r="D73" s="234"/>
      <c r="E73" s="236">
        <v>27144282383</v>
      </c>
      <c r="F73" s="236">
        <v>320000</v>
      </c>
      <c r="G73" s="236">
        <v>0</v>
      </c>
    </row>
    <row r="74" spans="1:7" hidden="1" x14ac:dyDescent="0.25">
      <c r="A74" s="234" t="s">
        <v>701</v>
      </c>
      <c r="B74" s="236">
        <v>250</v>
      </c>
      <c r="C74" s="234" t="s">
        <v>653</v>
      </c>
      <c r="D74" s="234"/>
      <c r="E74" s="236">
        <v>27144282383</v>
      </c>
      <c r="F74" s="236">
        <v>320000</v>
      </c>
      <c r="G74" s="236">
        <v>0</v>
      </c>
    </row>
    <row r="75" spans="1:7" hidden="1" x14ac:dyDescent="0.25">
      <c r="A75" s="234" t="s">
        <v>711</v>
      </c>
      <c r="B75" s="236">
        <v>252</v>
      </c>
      <c r="C75" s="234" t="s">
        <v>653</v>
      </c>
      <c r="D75" s="234"/>
      <c r="E75" s="236">
        <v>27144282383</v>
      </c>
      <c r="F75" s="236">
        <v>300000</v>
      </c>
      <c r="G75" s="236">
        <v>0</v>
      </c>
    </row>
    <row r="76" spans="1:7" hidden="1" x14ac:dyDescent="0.25">
      <c r="A76" s="242" t="s">
        <v>695</v>
      </c>
      <c r="B76" s="235" t="s">
        <v>837</v>
      </c>
      <c r="C76" s="233" t="s">
        <v>838</v>
      </c>
      <c r="D76" s="233" t="s">
        <v>749</v>
      </c>
      <c r="E76" s="233">
        <v>27217606255</v>
      </c>
      <c r="F76" s="243">
        <v>0</v>
      </c>
      <c r="G76" s="243">
        <v>56703.42</v>
      </c>
    </row>
    <row r="77" spans="1:7" hidden="1" x14ac:dyDescent="0.25">
      <c r="A77" s="242" t="s">
        <v>695</v>
      </c>
      <c r="B77" s="235" t="s">
        <v>839</v>
      </c>
      <c r="C77" s="233" t="s">
        <v>838</v>
      </c>
      <c r="D77" s="233" t="s">
        <v>749</v>
      </c>
      <c r="E77" s="233">
        <v>27217606255</v>
      </c>
      <c r="F77" s="243">
        <v>0</v>
      </c>
      <c r="G77" s="243">
        <v>50223.03</v>
      </c>
    </row>
    <row r="78" spans="1:7" hidden="1" x14ac:dyDescent="0.25">
      <c r="A78" s="242" t="s">
        <v>698</v>
      </c>
      <c r="B78" s="235" t="s">
        <v>849</v>
      </c>
      <c r="C78" s="233" t="s">
        <v>838</v>
      </c>
      <c r="D78" s="233" t="s">
        <v>749</v>
      </c>
      <c r="E78" s="233">
        <v>27217606255</v>
      </c>
      <c r="F78" s="243">
        <v>0</v>
      </c>
      <c r="G78" s="243">
        <v>55083.32</v>
      </c>
    </row>
    <row r="79" spans="1:7" hidden="1" x14ac:dyDescent="0.25">
      <c r="A79" s="242" t="s">
        <v>698</v>
      </c>
      <c r="B79" s="235" t="s">
        <v>850</v>
      </c>
      <c r="C79" s="233" t="s">
        <v>838</v>
      </c>
      <c r="D79" s="233" t="s">
        <v>749</v>
      </c>
      <c r="E79" s="233">
        <v>27217606255</v>
      </c>
      <c r="F79" s="243">
        <v>0</v>
      </c>
      <c r="G79" s="243">
        <v>148916.68</v>
      </c>
    </row>
    <row r="80" spans="1:7" hidden="1" x14ac:dyDescent="0.25">
      <c r="A80" s="242" t="s">
        <v>699</v>
      </c>
      <c r="B80" s="235" t="s">
        <v>853</v>
      </c>
      <c r="C80" s="233" t="s">
        <v>838</v>
      </c>
      <c r="D80" s="233" t="s">
        <v>749</v>
      </c>
      <c r="E80" s="233">
        <v>27217606255</v>
      </c>
      <c r="F80" s="243">
        <v>0</v>
      </c>
      <c r="G80" s="243">
        <v>96357.85</v>
      </c>
    </row>
    <row r="81" spans="1:7" hidden="1" x14ac:dyDescent="0.25">
      <c r="A81" s="242" t="s">
        <v>699</v>
      </c>
      <c r="B81" s="235" t="s">
        <v>854</v>
      </c>
      <c r="C81" s="233" t="s">
        <v>838</v>
      </c>
      <c r="D81" s="233" t="s">
        <v>749</v>
      </c>
      <c r="E81" s="233">
        <v>27217606255</v>
      </c>
      <c r="F81" s="243">
        <v>0</v>
      </c>
      <c r="G81" s="243">
        <v>105117.66</v>
      </c>
    </row>
    <row r="82" spans="1:7" hidden="1" x14ac:dyDescent="0.25">
      <c r="A82" s="242" t="s">
        <v>701</v>
      </c>
      <c r="B82" s="235" t="s">
        <v>860</v>
      </c>
      <c r="C82" s="233" t="s">
        <v>838</v>
      </c>
      <c r="D82" s="233" t="s">
        <v>749</v>
      </c>
      <c r="E82" s="233">
        <v>27217606255</v>
      </c>
      <c r="F82" s="243">
        <v>0</v>
      </c>
      <c r="G82" s="243">
        <v>87598.05</v>
      </c>
    </row>
    <row r="83" spans="1:7" hidden="1" x14ac:dyDescent="0.25">
      <c r="A83" s="234" t="s">
        <v>695</v>
      </c>
      <c r="B83" s="236">
        <v>248</v>
      </c>
      <c r="C83" s="234" t="s">
        <v>352</v>
      </c>
      <c r="D83" s="234"/>
      <c r="E83" s="236">
        <v>27217606255</v>
      </c>
      <c r="F83" s="234"/>
      <c r="G83" s="234"/>
    </row>
    <row r="84" spans="1:7" hidden="1" x14ac:dyDescent="0.25">
      <c r="A84" s="234" t="s">
        <v>695</v>
      </c>
      <c r="B84" s="236">
        <v>247</v>
      </c>
      <c r="C84" s="234" t="s">
        <v>352</v>
      </c>
      <c r="D84" s="234"/>
      <c r="E84" s="236">
        <v>27217606255</v>
      </c>
      <c r="F84" s="234"/>
      <c r="G84" s="234"/>
    </row>
    <row r="85" spans="1:7" hidden="1" x14ac:dyDescent="0.25">
      <c r="A85" s="234" t="s">
        <v>698</v>
      </c>
      <c r="B85" s="236">
        <v>249</v>
      </c>
      <c r="C85" s="234" t="s">
        <v>352</v>
      </c>
      <c r="D85" s="234"/>
      <c r="E85" s="236">
        <v>27217606255</v>
      </c>
      <c r="F85" s="234"/>
      <c r="G85" s="234"/>
    </row>
    <row r="86" spans="1:7" hidden="1" x14ac:dyDescent="0.25">
      <c r="A86" s="234" t="s">
        <v>698</v>
      </c>
      <c r="B86" s="236">
        <v>250</v>
      </c>
      <c r="C86" s="234" t="s">
        <v>352</v>
      </c>
      <c r="D86" s="234"/>
      <c r="E86" s="236">
        <v>27217606255</v>
      </c>
      <c r="F86" s="234"/>
      <c r="G86" s="234"/>
    </row>
    <row r="87" spans="1:7" hidden="1" x14ac:dyDescent="0.25">
      <c r="A87" s="234" t="s">
        <v>699</v>
      </c>
      <c r="B87" s="236">
        <v>251</v>
      </c>
      <c r="C87" s="234" t="s">
        <v>352</v>
      </c>
      <c r="D87" s="234"/>
      <c r="E87" s="236">
        <v>27217606255</v>
      </c>
      <c r="F87" s="234"/>
      <c r="G87" s="234"/>
    </row>
    <row r="88" spans="1:7" hidden="1" x14ac:dyDescent="0.25">
      <c r="A88" s="234" t="s">
        <v>699</v>
      </c>
      <c r="B88" s="236">
        <v>252</v>
      </c>
      <c r="C88" s="234" t="s">
        <v>352</v>
      </c>
      <c r="D88" s="234"/>
      <c r="E88" s="236">
        <v>27217606255</v>
      </c>
      <c r="F88" s="234"/>
      <c r="G88" s="234"/>
    </row>
    <row r="89" spans="1:7" hidden="1" x14ac:dyDescent="0.25">
      <c r="A89" s="234" t="s">
        <v>701</v>
      </c>
      <c r="B89" s="236">
        <v>253</v>
      </c>
      <c r="C89" s="234" t="s">
        <v>352</v>
      </c>
      <c r="D89" s="234"/>
      <c r="E89" s="236">
        <v>27217606255</v>
      </c>
      <c r="F89" s="234"/>
      <c r="G89" s="234"/>
    </row>
    <row r="90" spans="1:7" hidden="1" x14ac:dyDescent="0.25">
      <c r="A90" s="242" t="s">
        <v>707</v>
      </c>
      <c r="B90" s="235" t="s">
        <v>881</v>
      </c>
      <c r="C90" s="233" t="s">
        <v>882</v>
      </c>
      <c r="D90" s="233" t="s">
        <v>733</v>
      </c>
      <c r="E90" s="233">
        <v>27243660535</v>
      </c>
      <c r="F90" s="243">
        <v>360000</v>
      </c>
      <c r="G90" s="243">
        <v>0</v>
      </c>
    </row>
    <row r="91" spans="1:7" hidden="1" x14ac:dyDescent="0.25">
      <c r="A91" s="234" t="s">
        <v>707</v>
      </c>
      <c r="B91" s="236">
        <v>25</v>
      </c>
      <c r="C91" s="234" t="s">
        <v>709</v>
      </c>
      <c r="D91" s="234"/>
      <c r="E91" s="236">
        <v>27243660535</v>
      </c>
      <c r="F91" s="236">
        <v>360000</v>
      </c>
      <c r="G91" s="236">
        <v>0</v>
      </c>
    </row>
    <row r="92" spans="1:7" hidden="1" x14ac:dyDescent="0.25">
      <c r="A92" s="234" t="s">
        <v>715</v>
      </c>
      <c r="B92" s="236">
        <v>336</v>
      </c>
      <c r="C92" s="234" t="s">
        <v>716</v>
      </c>
      <c r="D92" s="234"/>
      <c r="E92" s="236">
        <v>27251962559</v>
      </c>
      <c r="F92" s="244">
        <v>42396.71</v>
      </c>
      <c r="G92" s="236">
        <v>0</v>
      </c>
    </row>
    <row r="93" spans="1:7" hidden="1" x14ac:dyDescent="0.25">
      <c r="A93" s="242" t="s">
        <v>647</v>
      </c>
      <c r="B93" s="235" t="s">
        <v>747</v>
      </c>
      <c r="C93" s="233" t="s">
        <v>748</v>
      </c>
      <c r="D93" s="233" t="s">
        <v>749</v>
      </c>
      <c r="E93" s="233">
        <v>27265832178</v>
      </c>
      <c r="F93" s="243">
        <v>0</v>
      </c>
      <c r="G93" s="243">
        <v>250000</v>
      </c>
    </row>
    <row r="94" spans="1:7" hidden="1" x14ac:dyDescent="0.25">
      <c r="A94" s="234" t="s">
        <v>647</v>
      </c>
      <c r="B94" s="236">
        <v>302</v>
      </c>
      <c r="C94" s="234" t="s">
        <v>470</v>
      </c>
      <c r="D94" s="234"/>
      <c r="E94" s="236">
        <v>27265832178</v>
      </c>
      <c r="F94" s="234"/>
      <c r="G94" s="234"/>
    </row>
    <row r="95" spans="1:7" hidden="1" x14ac:dyDescent="0.25">
      <c r="A95" s="242" t="s">
        <v>647</v>
      </c>
      <c r="B95" s="235" t="s">
        <v>751</v>
      </c>
      <c r="C95" s="233" t="s">
        <v>752</v>
      </c>
      <c r="D95" s="233" t="s">
        <v>733</v>
      </c>
      <c r="E95" s="233">
        <v>27329449357</v>
      </c>
      <c r="F95" s="243">
        <v>64100</v>
      </c>
      <c r="G95" s="243">
        <v>16400</v>
      </c>
    </row>
    <row r="96" spans="1:7" hidden="1" x14ac:dyDescent="0.25">
      <c r="A96" s="234" t="s">
        <v>647</v>
      </c>
      <c r="B96" s="236">
        <v>102</v>
      </c>
      <c r="C96" s="234" t="s">
        <v>654</v>
      </c>
      <c r="D96" s="234"/>
      <c r="E96" s="236">
        <v>27329449357</v>
      </c>
      <c r="F96" s="236">
        <v>64100</v>
      </c>
      <c r="G96" s="236">
        <v>16400</v>
      </c>
    </row>
    <row r="97" spans="1:7" hidden="1" x14ac:dyDescent="0.25">
      <c r="A97" s="242" t="s">
        <v>673</v>
      </c>
      <c r="B97" s="235" t="s">
        <v>789</v>
      </c>
      <c r="C97" s="233" t="s">
        <v>790</v>
      </c>
      <c r="D97" s="233" t="s">
        <v>749</v>
      </c>
      <c r="E97" s="233">
        <v>27338342840</v>
      </c>
      <c r="F97" s="243">
        <v>0</v>
      </c>
      <c r="G97" s="243">
        <v>276800</v>
      </c>
    </row>
    <row r="98" spans="1:7" hidden="1" x14ac:dyDescent="0.25">
      <c r="A98" s="234" t="s">
        <v>673</v>
      </c>
      <c r="B98" s="236">
        <v>148</v>
      </c>
      <c r="C98" s="234" t="s">
        <v>424</v>
      </c>
      <c r="D98" s="234"/>
      <c r="E98" s="236">
        <v>27338342840</v>
      </c>
      <c r="F98" s="234"/>
      <c r="G98" s="234"/>
    </row>
    <row r="99" spans="1:7" hidden="1" x14ac:dyDescent="0.25">
      <c r="A99" s="242" t="s">
        <v>675</v>
      </c>
      <c r="B99" s="235" t="s">
        <v>796</v>
      </c>
      <c r="C99" s="233" t="s">
        <v>797</v>
      </c>
      <c r="D99" s="233" t="s">
        <v>733</v>
      </c>
      <c r="E99" s="233">
        <v>27363810182</v>
      </c>
      <c r="F99" s="243">
        <v>3635.54</v>
      </c>
      <c r="G99" s="243">
        <v>0</v>
      </c>
    </row>
    <row r="100" spans="1:7" hidden="1" x14ac:dyDescent="0.25">
      <c r="A100" s="234" t="s">
        <v>675</v>
      </c>
      <c r="B100" s="236">
        <v>8403</v>
      </c>
      <c r="C100" s="234" t="s">
        <v>676</v>
      </c>
      <c r="D100" s="234"/>
      <c r="E100" s="236">
        <v>27363810182</v>
      </c>
      <c r="F100" s="244">
        <v>3635.54</v>
      </c>
      <c r="G100" s="236">
        <v>0</v>
      </c>
    </row>
    <row r="101" spans="1:7" hidden="1" x14ac:dyDescent="0.25">
      <c r="A101" s="242" t="s">
        <v>703</v>
      </c>
      <c r="B101" s="235" t="s">
        <v>867</v>
      </c>
      <c r="C101" s="233" t="s">
        <v>868</v>
      </c>
      <c r="D101" s="233" t="s">
        <v>749</v>
      </c>
      <c r="E101" s="233">
        <v>27443612705</v>
      </c>
      <c r="F101" s="243">
        <v>0</v>
      </c>
      <c r="G101" s="243">
        <v>600000</v>
      </c>
    </row>
    <row r="102" spans="1:7" hidden="1" x14ac:dyDescent="0.25">
      <c r="A102" s="234" t="s">
        <v>703</v>
      </c>
      <c r="B102" s="236">
        <v>14</v>
      </c>
      <c r="C102" s="234" t="s">
        <v>704</v>
      </c>
      <c r="D102" s="234"/>
      <c r="E102" s="236">
        <v>27443612705</v>
      </c>
      <c r="F102" s="234"/>
      <c r="G102" s="234"/>
    </row>
    <row r="103" spans="1:7" hidden="1" x14ac:dyDescent="0.25">
      <c r="A103" s="242" t="s">
        <v>713</v>
      </c>
      <c r="B103" s="235" t="s">
        <v>898</v>
      </c>
      <c r="C103" s="233" t="s">
        <v>899</v>
      </c>
      <c r="D103" s="233" t="s">
        <v>733</v>
      </c>
      <c r="E103" s="233">
        <v>30526492281</v>
      </c>
      <c r="F103" s="243">
        <v>149600</v>
      </c>
      <c r="G103" s="243">
        <v>0</v>
      </c>
    </row>
    <row r="104" spans="1:7" hidden="1" x14ac:dyDescent="0.25">
      <c r="A104" s="234" t="s">
        <v>713</v>
      </c>
      <c r="B104" s="236">
        <v>7702</v>
      </c>
      <c r="C104" s="234" t="s">
        <v>714</v>
      </c>
      <c r="D104" s="234"/>
      <c r="E104" s="236">
        <v>30526492281</v>
      </c>
      <c r="F104" s="236">
        <v>149600</v>
      </c>
      <c r="G104" s="236">
        <v>0</v>
      </c>
    </row>
    <row r="105" spans="1:7" x14ac:dyDescent="0.25">
      <c r="A105" s="237" t="s">
        <v>699</v>
      </c>
      <c r="B105" s="238">
        <v>91964</v>
      </c>
      <c r="C105" s="237" t="s">
        <v>700</v>
      </c>
      <c r="D105" s="237"/>
      <c r="E105" s="238">
        <v>30526582884</v>
      </c>
      <c r="F105" s="241">
        <v>4462.8100000000004</v>
      </c>
      <c r="G105" s="238">
        <v>0</v>
      </c>
    </row>
    <row r="106" spans="1:7" hidden="1" x14ac:dyDescent="0.25">
      <c r="A106" s="242" t="s">
        <v>643</v>
      </c>
      <c r="B106" s="235" t="s">
        <v>741</v>
      </c>
      <c r="C106" s="233" t="s">
        <v>742</v>
      </c>
      <c r="D106" s="233" t="s">
        <v>733</v>
      </c>
      <c r="E106" s="233">
        <v>30548083156</v>
      </c>
      <c r="F106" s="243">
        <v>6462.61</v>
      </c>
      <c r="G106" s="243">
        <v>0</v>
      </c>
    </row>
    <row r="107" spans="1:7" hidden="1" x14ac:dyDescent="0.25">
      <c r="A107" s="234" t="s">
        <v>643</v>
      </c>
      <c r="B107" s="236">
        <v>75919</v>
      </c>
      <c r="C107" s="234" t="s">
        <v>645</v>
      </c>
      <c r="D107" s="234"/>
      <c r="E107" s="236">
        <v>30548083156</v>
      </c>
      <c r="F107" s="244">
        <v>6462.61</v>
      </c>
      <c r="G107" s="236">
        <v>0</v>
      </c>
    </row>
    <row r="108" spans="1:7" x14ac:dyDescent="0.25">
      <c r="A108" s="237" t="s">
        <v>701</v>
      </c>
      <c r="B108" s="238">
        <v>6478</v>
      </c>
      <c r="C108" s="237" t="s">
        <v>645</v>
      </c>
      <c r="D108" s="237"/>
      <c r="E108" s="238">
        <v>30548083156</v>
      </c>
      <c r="F108" s="241">
        <v>4109.47</v>
      </c>
      <c r="G108" s="238">
        <v>0</v>
      </c>
    </row>
    <row r="109" spans="1:7" x14ac:dyDescent="0.25">
      <c r="A109" s="237" t="s">
        <v>715</v>
      </c>
      <c r="B109" s="238">
        <v>77373</v>
      </c>
      <c r="C109" s="237" t="s">
        <v>645</v>
      </c>
      <c r="D109" s="237"/>
      <c r="E109" s="238">
        <v>30548083156</v>
      </c>
      <c r="F109" s="241">
        <v>3905.09</v>
      </c>
      <c r="G109" s="238">
        <v>0</v>
      </c>
    </row>
    <row r="110" spans="1:7" hidden="1" x14ac:dyDescent="0.25">
      <c r="A110" s="242" t="s">
        <v>670</v>
      </c>
      <c r="B110" s="235" t="s">
        <v>787</v>
      </c>
      <c r="C110" s="233" t="s">
        <v>788</v>
      </c>
      <c r="D110" s="233" t="s">
        <v>733</v>
      </c>
      <c r="E110" s="233">
        <v>30574876474</v>
      </c>
      <c r="F110" s="243">
        <v>14073.48</v>
      </c>
      <c r="G110" s="243">
        <v>1.000000000021828E-2</v>
      </c>
    </row>
    <row r="111" spans="1:7" hidden="1" x14ac:dyDescent="0.25">
      <c r="A111" s="242" t="s">
        <v>692</v>
      </c>
      <c r="B111" s="235" t="s">
        <v>836</v>
      </c>
      <c r="C111" s="233" t="s">
        <v>788</v>
      </c>
      <c r="D111" s="233" t="s">
        <v>733</v>
      </c>
      <c r="E111" s="233">
        <v>30574876474</v>
      </c>
      <c r="F111" s="243">
        <v>12702.14</v>
      </c>
      <c r="G111" s="243">
        <v>5.0000000001091394E-2</v>
      </c>
    </row>
    <row r="112" spans="1:7" hidden="1" x14ac:dyDescent="0.25">
      <c r="A112" s="242" t="s">
        <v>705</v>
      </c>
      <c r="B112" s="235" t="s">
        <v>880</v>
      </c>
      <c r="C112" s="233" t="s">
        <v>788</v>
      </c>
      <c r="D112" s="233" t="s">
        <v>733</v>
      </c>
      <c r="E112" s="233">
        <v>30574876474</v>
      </c>
      <c r="F112" s="243">
        <v>17107.72</v>
      </c>
      <c r="G112" s="243">
        <v>2.999999999883585E-2</v>
      </c>
    </row>
    <row r="113" spans="1:7" hidden="1" x14ac:dyDescent="0.25">
      <c r="A113" s="234" t="s">
        <v>670</v>
      </c>
      <c r="B113" s="236">
        <v>643182</v>
      </c>
      <c r="C113" s="234" t="s">
        <v>671</v>
      </c>
      <c r="D113" s="234"/>
      <c r="E113" s="236">
        <v>30574876474</v>
      </c>
      <c r="F113" s="244">
        <v>14073.49</v>
      </c>
      <c r="G113" s="236">
        <v>0</v>
      </c>
    </row>
    <row r="114" spans="1:7" hidden="1" x14ac:dyDescent="0.25">
      <c r="A114" s="234" t="s">
        <v>692</v>
      </c>
      <c r="B114" s="236">
        <v>644558</v>
      </c>
      <c r="C114" s="234" t="s">
        <v>671</v>
      </c>
      <c r="D114" s="234"/>
      <c r="E114" s="236">
        <v>30574876474</v>
      </c>
      <c r="F114" s="244">
        <v>12702.19</v>
      </c>
      <c r="G114" s="236">
        <v>0</v>
      </c>
    </row>
    <row r="115" spans="1:7" hidden="1" x14ac:dyDescent="0.25">
      <c r="A115" s="234" t="s">
        <v>705</v>
      </c>
      <c r="B115" s="236">
        <v>648091</v>
      </c>
      <c r="C115" s="234" t="s">
        <v>671</v>
      </c>
      <c r="D115" s="234"/>
      <c r="E115" s="236">
        <v>30574876474</v>
      </c>
      <c r="F115" s="244">
        <v>17107.75</v>
      </c>
      <c r="G115" s="236">
        <v>0</v>
      </c>
    </row>
    <row r="116" spans="1:7" hidden="1" x14ac:dyDescent="0.25">
      <c r="A116" s="234" t="s">
        <v>719</v>
      </c>
      <c r="B116" s="236">
        <v>650706</v>
      </c>
      <c r="C116" s="234" t="s">
        <v>671</v>
      </c>
      <c r="D116" s="234"/>
      <c r="E116" s="236">
        <v>30574876474</v>
      </c>
      <c r="F116" s="244">
        <v>24879.27</v>
      </c>
      <c r="G116" s="236">
        <v>0</v>
      </c>
    </row>
    <row r="117" spans="1:7" x14ac:dyDescent="0.25">
      <c r="A117" s="237" t="s">
        <v>690</v>
      </c>
      <c r="B117" s="238">
        <v>3802250</v>
      </c>
      <c r="C117" s="237" t="s">
        <v>691</v>
      </c>
      <c r="D117" s="237"/>
      <c r="E117" s="238">
        <v>30577207190</v>
      </c>
      <c r="F117" s="241">
        <v>2975.21</v>
      </c>
      <c r="G117" s="238">
        <v>0</v>
      </c>
    </row>
    <row r="118" spans="1:7" hidden="1" x14ac:dyDescent="0.25">
      <c r="A118" s="242" t="s">
        <v>660</v>
      </c>
      <c r="B118" s="235" t="s">
        <v>774</v>
      </c>
      <c r="C118" s="233" t="s">
        <v>775</v>
      </c>
      <c r="D118" s="245" t="s">
        <v>733</v>
      </c>
      <c r="E118" s="233">
        <v>30587197215</v>
      </c>
      <c r="F118" s="243">
        <v>68595.040000000008</v>
      </c>
      <c r="G118" s="243">
        <v>0</v>
      </c>
    </row>
    <row r="119" spans="1:7" hidden="1" x14ac:dyDescent="0.25">
      <c r="A119" s="242" t="s">
        <v>660</v>
      </c>
      <c r="B119" s="235" t="s">
        <v>776</v>
      </c>
      <c r="C119" s="233" t="s">
        <v>775</v>
      </c>
      <c r="D119" s="245" t="s">
        <v>733</v>
      </c>
      <c r="E119" s="233">
        <v>30587197215</v>
      </c>
      <c r="F119" s="243">
        <v>68595.040000000008</v>
      </c>
      <c r="G119" s="243">
        <v>0</v>
      </c>
    </row>
    <row r="120" spans="1:7" hidden="1" x14ac:dyDescent="0.25">
      <c r="A120" s="234" t="s">
        <v>660</v>
      </c>
      <c r="B120" s="236">
        <v>4949</v>
      </c>
      <c r="C120" s="234" t="s">
        <v>485</v>
      </c>
      <c r="D120" s="246"/>
      <c r="E120" s="236">
        <v>30587197215</v>
      </c>
      <c r="F120" s="244">
        <v>68595.039999999994</v>
      </c>
      <c r="G120" s="236">
        <v>0</v>
      </c>
    </row>
    <row r="121" spans="1:7" hidden="1" x14ac:dyDescent="0.25">
      <c r="A121" s="234" t="s">
        <v>660</v>
      </c>
      <c r="B121" s="236">
        <v>4948</v>
      </c>
      <c r="C121" s="234" t="s">
        <v>485</v>
      </c>
      <c r="D121" s="246"/>
      <c r="E121" s="236">
        <v>30587197215</v>
      </c>
      <c r="F121" s="244">
        <v>68595.039999999994</v>
      </c>
      <c r="G121" s="236">
        <v>0</v>
      </c>
    </row>
    <row r="122" spans="1:7" hidden="1" x14ac:dyDescent="0.25">
      <c r="A122" s="242" t="s">
        <v>660</v>
      </c>
      <c r="B122" s="235" t="s">
        <v>769</v>
      </c>
      <c r="C122" s="233" t="s">
        <v>770</v>
      </c>
      <c r="D122" s="245" t="s">
        <v>733</v>
      </c>
      <c r="E122" s="233">
        <v>30595553535</v>
      </c>
      <c r="F122" s="243">
        <v>4793.3900000000003</v>
      </c>
      <c r="G122" s="243">
        <v>0</v>
      </c>
    </row>
    <row r="123" spans="1:7" hidden="1" x14ac:dyDescent="0.25">
      <c r="A123" s="234" t="s">
        <v>660</v>
      </c>
      <c r="B123" s="236">
        <v>50685</v>
      </c>
      <c r="C123" s="234" t="s">
        <v>661</v>
      </c>
      <c r="D123" s="246"/>
      <c r="E123" s="236">
        <v>30595553535</v>
      </c>
      <c r="F123" s="244">
        <v>4793.3900000000003</v>
      </c>
      <c r="G123" s="236">
        <v>0</v>
      </c>
    </row>
    <row r="124" spans="1:7" hidden="1" x14ac:dyDescent="0.25">
      <c r="A124" s="242" t="s">
        <v>647</v>
      </c>
      <c r="B124" s="235" t="s">
        <v>753</v>
      </c>
      <c r="C124" s="233" t="s">
        <v>754</v>
      </c>
      <c r="D124" s="245" t="s">
        <v>733</v>
      </c>
      <c r="E124" s="233">
        <v>30598960093</v>
      </c>
      <c r="F124" s="243">
        <v>2376294.19</v>
      </c>
      <c r="G124" s="243">
        <v>0</v>
      </c>
    </row>
    <row r="125" spans="1:7" hidden="1" x14ac:dyDescent="0.25">
      <c r="A125" s="234" t="s">
        <v>647</v>
      </c>
      <c r="B125" s="236">
        <v>158399</v>
      </c>
      <c r="C125" s="234" t="s">
        <v>650</v>
      </c>
      <c r="D125" s="246"/>
      <c r="E125" s="236">
        <v>30598960093</v>
      </c>
      <c r="F125" s="234">
        <v>2376294.2000000002</v>
      </c>
      <c r="G125" s="236">
        <v>0</v>
      </c>
    </row>
    <row r="126" spans="1:7" hidden="1" x14ac:dyDescent="0.25">
      <c r="A126" s="242" t="s">
        <v>656</v>
      </c>
      <c r="B126" s="235" t="s">
        <v>761</v>
      </c>
      <c r="C126" s="233" t="s">
        <v>762</v>
      </c>
      <c r="D126" s="245" t="s">
        <v>733</v>
      </c>
      <c r="E126" s="233">
        <v>30605344352</v>
      </c>
      <c r="F126" s="243">
        <v>834000</v>
      </c>
      <c r="G126" s="243">
        <v>0</v>
      </c>
    </row>
    <row r="127" spans="1:7" hidden="1" x14ac:dyDescent="0.25">
      <c r="A127" s="234" t="s">
        <v>656</v>
      </c>
      <c r="B127" s="236">
        <v>216</v>
      </c>
      <c r="C127" s="234" t="s">
        <v>659</v>
      </c>
      <c r="D127" s="246"/>
      <c r="E127" s="236">
        <v>30605344352</v>
      </c>
      <c r="F127" s="236">
        <v>834000</v>
      </c>
      <c r="G127" s="236">
        <v>0</v>
      </c>
    </row>
    <row r="128" spans="1:7" x14ac:dyDescent="0.25">
      <c r="A128" s="237" t="s">
        <v>719</v>
      </c>
      <c r="B128" s="238">
        <v>17452146</v>
      </c>
      <c r="C128" s="237" t="s">
        <v>720</v>
      </c>
      <c r="D128" s="240"/>
      <c r="E128" s="238">
        <v>30620177497</v>
      </c>
      <c r="F128" s="238">
        <v>0</v>
      </c>
      <c r="G128" s="238">
        <v>0</v>
      </c>
    </row>
    <row r="129" spans="1:7" x14ac:dyDescent="0.25">
      <c r="A129" s="237" t="s">
        <v>719</v>
      </c>
      <c r="B129" s="238">
        <v>17599524</v>
      </c>
      <c r="C129" s="237" t="s">
        <v>720</v>
      </c>
      <c r="D129" s="240"/>
      <c r="E129" s="238">
        <v>30620177497</v>
      </c>
      <c r="F129" s="241">
        <v>26164.14</v>
      </c>
      <c r="G129" s="238">
        <v>0</v>
      </c>
    </row>
    <row r="130" spans="1:7" hidden="1" x14ac:dyDescent="0.25">
      <c r="A130" s="242" t="s">
        <v>695</v>
      </c>
      <c r="B130" s="235" t="s">
        <v>844</v>
      </c>
      <c r="C130" s="233" t="s">
        <v>845</v>
      </c>
      <c r="D130" s="245" t="s">
        <v>733</v>
      </c>
      <c r="E130" s="233">
        <v>30639453738</v>
      </c>
      <c r="F130" s="243">
        <v>24142.14</v>
      </c>
      <c r="G130" s="243">
        <v>0</v>
      </c>
    </row>
    <row r="131" spans="1:7" hidden="1" x14ac:dyDescent="0.25">
      <c r="A131" s="234" t="s">
        <v>695</v>
      </c>
      <c r="B131" s="236">
        <v>4388001</v>
      </c>
      <c r="C131" s="234" t="s">
        <v>697</v>
      </c>
      <c r="D131" s="246"/>
      <c r="E131" s="236">
        <v>30639453738</v>
      </c>
      <c r="F131" s="244">
        <v>24142.14</v>
      </c>
      <c r="G131" s="236">
        <v>0</v>
      </c>
    </row>
    <row r="132" spans="1:7" x14ac:dyDescent="0.25">
      <c r="A132" s="237" t="s">
        <v>686</v>
      </c>
      <c r="B132" s="238">
        <v>1469491</v>
      </c>
      <c r="C132" s="237" t="s">
        <v>687</v>
      </c>
      <c r="D132" s="240"/>
      <c r="E132" s="238">
        <v>30639935872</v>
      </c>
      <c r="F132" s="241">
        <v>2934.75</v>
      </c>
      <c r="G132" s="238">
        <v>0</v>
      </c>
    </row>
    <row r="133" spans="1:7" hidden="1" x14ac:dyDescent="0.25">
      <c r="A133" s="242" t="s">
        <v>667</v>
      </c>
      <c r="B133" s="235" t="s">
        <v>782</v>
      </c>
      <c r="C133" s="233" t="s">
        <v>783</v>
      </c>
      <c r="D133" s="245" t="s">
        <v>733</v>
      </c>
      <c r="E133" s="233">
        <v>30643518364</v>
      </c>
      <c r="F133" s="243">
        <v>188610</v>
      </c>
      <c r="G133" s="243">
        <v>0</v>
      </c>
    </row>
    <row r="134" spans="1:7" hidden="1" x14ac:dyDescent="0.25">
      <c r="A134" s="234" t="s">
        <v>667</v>
      </c>
      <c r="B134" s="236">
        <v>306</v>
      </c>
      <c r="C134" s="234" t="s">
        <v>668</v>
      </c>
      <c r="D134" s="246"/>
      <c r="E134" s="236">
        <v>30643518364</v>
      </c>
      <c r="F134" s="236">
        <v>188610</v>
      </c>
      <c r="G134" s="236">
        <v>0</v>
      </c>
    </row>
    <row r="135" spans="1:7" hidden="1" x14ac:dyDescent="0.25">
      <c r="A135" s="242" t="s">
        <v>647</v>
      </c>
      <c r="B135" s="235" t="s">
        <v>757</v>
      </c>
      <c r="C135" s="233" t="s">
        <v>758</v>
      </c>
      <c r="D135" s="245" t="s">
        <v>733</v>
      </c>
      <c r="E135" s="233">
        <v>30654118767</v>
      </c>
      <c r="F135" s="243">
        <v>89554.36</v>
      </c>
      <c r="G135" s="243">
        <v>0</v>
      </c>
    </row>
    <row r="136" spans="1:7" hidden="1" x14ac:dyDescent="0.25">
      <c r="A136" s="234" t="s">
        <v>647</v>
      </c>
      <c r="B136" s="236">
        <v>1611886</v>
      </c>
      <c r="C136" s="234" t="s">
        <v>648</v>
      </c>
      <c r="D136" s="246"/>
      <c r="E136" s="236">
        <v>30654118767</v>
      </c>
      <c r="F136" s="244">
        <v>89554.36</v>
      </c>
      <c r="G136" s="236">
        <v>0</v>
      </c>
    </row>
    <row r="137" spans="1:7" hidden="1" x14ac:dyDescent="0.25">
      <c r="A137" s="234" t="s">
        <v>719</v>
      </c>
      <c r="B137" s="236">
        <v>3548</v>
      </c>
      <c r="C137" s="234" t="s">
        <v>201</v>
      </c>
      <c r="D137" s="246"/>
      <c r="E137" s="236">
        <v>30661498575</v>
      </c>
      <c r="F137" s="244">
        <v>132396.71</v>
      </c>
      <c r="G137" s="236">
        <v>0</v>
      </c>
    </row>
    <row r="138" spans="1:7" hidden="1" x14ac:dyDescent="0.25">
      <c r="A138" s="242" t="s">
        <v>656</v>
      </c>
      <c r="B138" s="235" t="s">
        <v>763</v>
      </c>
      <c r="C138" s="233" t="s">
        <v>764</v>
      </c>
      <c r="D138" s="245" t="s">
        <v>733</v>
      </c>
      <c r="E138" s="233">
        <v>30663498513</v>
      </c>
      <c r="F138" s="243">
        <v>2121.64</v>
      </c>
      <c r="G138" s="243">
        <v>0</v>
      </c>
    </row>
    <row r="139" spans="1:7" hidden="1" x14ac:dyDescent="0.25">
      <c r="A139" s="242" t="s">
        <v>695</v>
      </c>
      <c r="B139" s="235" t="s">
        <v>842</v>
      </c>
      <c r="C139" s="233" t="s">
        <v>764</v>
      </c>
      <c r="D139" s="245" t="s">
        <v>733</v>
      </c>
      <c r="E139" s="233">
        <v>30663498513</v>
      </c>
      <c r="F139" s="243">
        <v>3440.74</v>
      </c>
      <c r="G139" s="243">
        <v>0</v>
      </c>
    </row>
    <row r="140" spans="1:7" hidden="1" x14ac:dyDescent="0.25">
      <c r="A140" s="234" t="s">
        <v>656</v>
      </c>
      <c r="B140" s="236">
        <v>5407463</v>
      </c>
      <c r="C140" s="234" t="s">
        <v>657</v>
      </c>
      <c r="D140" s="246"/>
      <c r="E140" s="236">
        <v>30663498513</v>
      </c>
      <c r="F140" s="244">
        <v>2121.64</v>
      </c>
      <c r="G140" s="236">
        <v>0</v>
      </c>
    </row>
    <row r="141" spans="1:7" hidden="1" x14ac:dyDescent="0.25">
      <c r="A141" s="234" t="s">
        <v>695</v>
      </c>
      <c r="B141" s="236">
        <v>5447412</v>
      </c>
      <c r="C141" s="234" t="s">
        <v>657</v>
      </c>
      <c r="D141" s="246"/>
      <c r="E141" s="236">
        <v>30663498513</v>
      </c>
      <c r="F141" s="244">
        <v>3440.74</v>
      </c>
      <c r="G141" s="236">
        <v>0</v>
      </c>
    </row>
    <row r="142" spans="1:7" hidden="1" x14ac:dyDescent="0.25">
      <c r="A142" s="242" t="s">
        <v>656</v>
      </c>
      <c r="B142" s="235" t="s">
        <v>765</v>
      </c>
      <c r="C142" s="233" t="s">
        <v>766</v>
      </c>
      <c r="D142" s="245" t="s">
        <v>733</v>
      </c>
      <c r="E142" s="233">
        <v>30677237119</v>
      </c>
      <c r="F142" s="243">
        <v>7715.05</v>
      </c>
      <c r="G142" s="243">
        <v>0</v>
      </c>
    </row>
    <row r="143" spans="1:7" hidden="1" x14ac:dyDescent="0.25">
      <c r="A143" s="242" t="s">
        <v>695</v>
      </c>
      <c r="B143" s="235" t="s">
        <v>843</v>
      </c>
      <c r="C143" s="233" t="s">
        <v>766</v>
      </c>
      <c r="D143" s="245" t="s">
        <v>733</v>
      </c>
      <c r="E143" s="233">
        <v>30677237119</v>
      </c>
      <c r="F143" s="243">
        <v>5515.3</v>
      </c>
      <c r="G143" s="243">
        <v>0</v>
      </c>
    </row>
    <row r="144" spans="1:7" hidden="1" x14ac:dyDescent="0.25">
      <c r="A144" s="234" t="s">
        <v>656</v>
      </c>
      <c r="B144" s="236">
        <v>6097149</v>
      </c>
      <c r="C144" s="234" t="s">
        <v>658</v>
      </c>
      <c r="D144" s="246"/>
      <c r="E144" s="236">
        <v>30677237119</v>
      </c>
      <c r="F144" s="244">
        <v>7715.05</v>
      </c>
      <c r="G144" s="236">
        <v>0</v>
      </c>
    </row>
    <row r="145" spans="1:7" hidden="1" x14ac:dyDescent="0.25">
      <c r="A145" s="234" t="s">
        <v>695</v>
      </c>
      <c r="B145" s="236">
        <v>6155254</v>
      </c>
      <c r="C145" s="234" t="s">
        <v>658</v>
      </c>
      <c r="D145" s="246"/>
      <c r="E145" s="236">
        <v>30677237119</v>
      </c>
      <c r="F145" s="234">
        <v>5515.3</v>
      </c>
      <c r="G145" s="236">
        <v>0</v>
      </c>
    </row>
    <row r="146" spans="1:7" hidden="1" x14ac:dyDescent="0.25">
      <c r="A146" s="242" t="s">
        <v>647</v>
      </c>
      <c r="B146" s="235" t="s">
        <v>759</v>
      </c>
      <c r="C146" s="233" t="s">
        <v>760</v>
      </c>
      <c r="D146" s="245" t="s">
        <v>733</v>
      </c>
      <c r="E146" s="233">
        <v>30678814357</v>
      </c>
      <c r="F146" s="243">
        <v>14407</v>
      </c>
      <c r="G146" s="243">
        <v>0</v>
      </c>
    </row>
    <row r="147" spans="1:7" hidden="1" x14ac:dyDescent="0.25">
      <c r="A147" s="242" t="s">
        <v>673</v>
      </c>
      <c r="B147" s="235" t="s">
        <v>795</v>
      </c>
      <c r="C147" s="233" t="s">
        <v>760</v>
      </c>
      <c r="D147" s="245" t="s">
        <v>733</v>
      </c>
      <c r="E147" s="233">
        <v>30678814357</v>
      </c>
      <c r="F147" s="243">
        <v>58748.37</v>
      </c>
      <c r="G147" s="243">
        <v>0</v>
      </c>
    </row>
    <row r="148" spans="1:7" hidden="1" x14ac:dyDescent="0.25">
      <c r="A148" s="234" t="s">
        <v>647</v>
      </c>
      <c r="B148" s="236">
        <v>801967</v>
      </c>
      <c r="C148" s="234" t="s">
        <v>652</v>
      </c>
      <c r="D148" s="246"/>
      <c r="E148" s="236">
        <v>30678814357</v>
      </c>
      <c r="F148" s="236">
        <v>14407</v>
      </c>
      <c r="G148" s="236">
        <v>0</v>
      </c>
    </row>
    <row r="149" spans="1:7" hidden="1" x14ac:dyDescent="0.25">
      <c r="A149" s="234" t="s">
        <v>673</v>
      </c>
      <c r="B149" s="236">
        <v>161895</v>
      </c>
      <c r="C149" s="234" t="s">
        <v>652</v>
      </c>
      <c r="D149" s="246"/>
      <c r="E149" s="236">
        <v>30678814357</v>
      </c>
      <c r="F149" s="244">
        <v>58748.38</v>
      </c>
      <c r="G149" s="236">
        <v>0</v>
      </c>
    </row>
    <row r="150" spans="1:7" hidden="1" x14ac:dyDescent="0.25">
      <c r="A150" s="242" t="s">
        <v>707</v>
      </c>
      <c r="B150" s="235" t="s">
        <v>883</v>
      </c>
      <c r="C150" s="233" t="s">
        <v>884</v>
      </c>
      <c r="D150" s="245" t="s">
        <v>733</v>
      </c>
      <c r="E150" s="233">
        <v>30685849751</v>
      </c>
      <c r="F150" s="243">
        <v>6165.28</v>
      </c>
      <c r="G150" s="243">
        <v>0</v>
      </c>
    </row>
    <row r="151" spans="1:7" hidden="1" x14ac:dyDescent="0.25">
      <c r="A151" s="234" t="s">
        <v>707</v>
      </c>
      <c r="B151" s="236">
        <v>854</v>
      </c>
      <c r="C151" s="234" t="s">
        <v>708</v>
      </c>
      <c r="D151" s="246"/>
      <c r="E151" s="236">
        <v>30685849751</v>
      </c>
      <c r="F151" s="244">
        <v>6165.28</v>
      </c>
      <c r="G151" s="236">
        <v>0</v>
      </c>
    </row>
    <row r="152" spans="1:7" hidden="1" x14ac:dyDescent="0.25">
      <c r="A152" s="234" t="s">
        <v>719</v>
      </c>
      <c r="B152" s="236">
        <v>197792</v>
      </c>
      <c r="C152" s="234" t="s">
        <v>721</v>
      </c>
      <c r="D152" s="246"/>
      <c r="E152" s="236">
        <v>30696850972</v>
      </c>
      <c r="F152" s="244">
        <v>19732.580000000002</v>
      </c>
      <c r="G152" s="236">
        <v>0</v>
      </c>
    </row>
    <row r="153" spans="1:7" hidden="1" x14ac:dyDescent="0.25">
      <c r="A153" s="242" t="s">
        <v>705</v>
      </c>
      <c r="B153" s="235" t="s">
        <v>869</v>
      </c>
      <c r="C153" s="233" t="s">
        <v>870</v>
      </c>
      <c r="D153" s="245" t="s">
        <v>733</v>
      </c>
      <c r="E153" s="233">
        <v>30702652975</v>
      </c>
      <c r="F153" s="243">
        <v>28530.17</v>
      </c>
      <c r="G153" s="243">
        <v>0</v>
      </c>
    </row>
    <row r="154" spans="1:7" hidden="1" x14ac:dyDescent="0.25">
      <c r="A154" s="234" t="s">
        <v>705</v>
      </c>
      <c r="B154" s="236">
        <v>3128526</v>
      </c>
      <c r="C154" s="234" t="s">
        <v>706</v>
      </c>
      <c r="D154" s="246"/>
      <c r="E154" s="236">
        <v>30702652975</v>
      </c>
      <c r="F154" s="244">
        <v>28530.17</v>
      </c>
      <c r="G154" s="236">
        <v>0</v>
      </c>
    </row>
    <row r="155" spans="1:7" hidden="1" x14ac:dyDescent="0.25">
      <c r="A155" s="234" t="s">
        <v>717</v>
      </c>
      <c r="B155" s="236">
        <v>2868796</v>
      </c>
      <c r="C155" s="234" t="s">
        <v>718</v>
      </c>
      <c r="D155" s="246"/>
      <c r="E155" s="236">
        <v>30703088534</v>
      </c>
      <c r="F155" s="244">
        <v>37574.04</v>
      </c>
      <c r="G155" s="236">
        <v>0</v>
      </c>
    </row>
    <row r="156" spans="1:7" hidden="1" x14ac:dyDescent="0.25">
      <c r="A156" s="242" t="s">
        <v>643</v>
      </c>
      <c r="B156" s="235" t="s">
        <v>739</v>
      </c>
      <c r="C156" s="233" t="s">
        <v>740</v>
      </c>
      <c r="D156" s="245" t="s">
        <v>733</v>
      </c>
      <c r="E156" s="233">
        <v>30705740670</v>
      </c>
      <c r="F156" s="243">
        <v>69787.520000000004</v>
      </c>
      <c r="G156" s="243">
        <v>0</v>
      </c>
    </row>
    <row r="157" spans="1:7" hidden="1" x14ac:dyDescent="0.25">
      <c r="A157" s="242" t="s">
        <v>719</v>
      </c>
      <c r="B157" s="235" t="s">
        <v>907</v>
      </c>
      <c r="C157" s="233" t="s">
        <v>740</v>
      </c>
      <c r="D157" s="245" t="s">
        <v>733</v>
      </c>
      <c r="E157" s="233">
        <v>30705740670</v>
      </c>
      <c r="F157" s="243">
        <v>32023.57</v>
      </c>
      <c r="G157" s="243">
        <v>0</v>
      </c>
    </row>
    <row r="158" spans="1:7" hidden="1" x14ac:dyDescent="0.25">
      <c r="A158" s="242" t="s">
        <v>684</v>
      </c>
      <c r="B158" s="235" t="s">
        <v>819</v>
      </c>
      <c r="C158" s="233" t="s">
        <v>820</v>
      </c>
      <c r="D158" s="245" t="s">
        <v>733</v>
      </c>
      <c r="E158" s="233">
        <v>30708421983</v>
      </c>
      <c r="F158" s="243">
        <v>51735.54</v>
      </c>
      <c r="G158" s="243">
        <v>0</v>
      </c>
    </row>
    <row r="159" spans="1:7" hidden="1" x14ac:dyDescent="0.25">
      <c r="A159" s="242" t="s">
        <v>705</v>
      </c>
      <c r="B159" s="235" t="s">
        <v>879</v>
      </c>
      <c r="C159" s="233" t="s">
        <v>187</v>
      </c>
      <c r="D159" s="245" t="s">
        <v>733</v>
      </c>
      <c r="E159" s="233">
        <v>30708574836</v>
      </c>
      <c r="F159" s="243">
        <v>0</v>
      </c>
      <c r="G159" s="243">
        <v>13800</v>
      </c>
    </row>
    <row r="160" spans="1:7" hidden="1" x14ac:dyDescent="0.25">
      <c r="A160" s="242" t="s">
        <v>675</v>
      </c>
      <c r="B160" s="235" t="s">
        <v>804</v>
      </c>
      <c r="C160" s="233" t="s">
        <v>63</v>
      </c>
      <c r="D160" s="245" t="s">
        <v>733</v>
      </c>
      <c r="E160" s="233">
        <v>30708973501</v>
      </c>
      <c r="F160" s="243">
        <v>740255</v>
      </c>
      <c r="G160" s="243">
        <v>0</v>
      </c>
    </row>
    <row r="161" spans="1:7" hidden="1" x14ac:dyDescent="0.25">
      <c r="A161" s="234" t="s">
        <v>675</v>
      </c>
      <c r="B161" s="236">
        <v>1684</v>
      </c>
      <c r="C161" s="234" t="s">
        <v>678</v>
      </c>
      <c r="D161" s="246"/>
      <c r="E161" s="236">
        <v>30708973501</v>
      </c>
      <c r="F161" s="236">
        <v>740255</v>
      </c>
      <c r="G161" s="236">
        <v>0</v>
      </c>
    </row>
    <row r="162" spans="1:7" hidden="1" x14ac:dyDescent="0.25">
      <c r="A162" s="242" t="s">
        <v>692</v>
      </c>
      <c r="B162" s="235" t="s">
        <v>832</v>
      </c>
      <c r="C162" s="233" t="s">
        <v>833</v>
      </c>
      <c r="D162" s="245" t="s">
        <v>733</v>
      </c>
      <c r="E162" s="233">
        <v>30709459399</v>
      </c>
      <c r="F162" s="243">
        <v>11807.44</v>
      </c>
      <c r="G162" s="243">
        <v>0</v>
      </c>
    </row>
    <row r="163" spans="1:7" hidden="1" x14ac:dyDescent="0.25">
      <c r="A163" s="234" t="s">
        <v>692</v>
      </c>
      <c r="B163" s="236">
        <v>40318</v>
      </c>
      <c r="C163" s="234" t="s">
        <v>693</v>
      </c>
      <c r="D163" s="246"/>
      <c r="E163" s="236">
        <v>30709459399</v>
      </c>
      <c r="F163" s="244">
        <v>11807.44</v>
      </c>
      <c r="G163" s="236">
        <v>0</v>
      </c>
    </row>
    <row r="164" spans="1:7" x14ac:dyDescent="0.25">
      <c r="A164" s="237" t="s">
        <v>670</v>
      </c>
      <c r="B164" s="238">
        <v>1770378</v>
      </c>
      <c r="C164" s="237" t="s">
        <v>672</v>
      </c>
      <c r="D164" s="240"/>
      <c r="E164" s="238">
        <v>30709776564</v>
      </c>
      <c r="F164" s="238">
        <v>129241</v>
      </c>
      <c r="G164" s="238">
        <v>0</v>
      </c>
    </row>
    <row r="165" spans="1:7" hidden="1" x14ac:dyDescent="0.25">
      <c r="A165" s="242" t="s">
        <v>673</v>
      </c>
      <c r="B165" s="235" t="s">
        <v>793</v>
      </c>
      <c r="C165" s="233" t="s">
        <v>794</v>
      </c>
      <c r="D165" s="245" t="s">
        <v>733</v>
      </c>
      <c r="E165" s="233">
        <v>30710177658</v>
      </c>
      <c r="F165" s="243">
        <v>700742.4</v>
      </c>
      <c r="G165" s="243">
        <v>0</v>
      </c>
    </row>
    <row r="166" spans="1:7" hidden="1" x14ac:dyDescent="0.25">
      <c r="A166" s="242" t="s">
        <v>705</v>
      </c>
      <c r="B166" s="235" t="s">
        <v>872</v>
      </c>
      <c r="C166" s="233" t="s">
        <v>873</v>
      </c>
      <c r="D166" s="245" t="s">
        <v>733</v>
      </c>
      <c r="E166" s="233">
        <v>30710177658</v>
      </c>
      <c r="F166" s="243">
        <v>122080.32000000001</v>
      </c>
      <c r="G166" s="243">
        <v>0</v>
      </c>
    </row>
    <row r="167" spans="1:7" hidden="1" x14ac:dyDescent="0.25">
      <c r="A167" s="242" t="s">
        <v>710</v>
      </c>
      <c r="B167" s="235" t="s">
        <v>888</v>
      </c>
      <c r="C167" s="233" t="s">
        <v>873</v>
      </c>
      <c r="D167" s="245" t="s">
        <v>733</v>
      </c>
      <c r="E167" s="233">
        <v>30710177658</v>
      </c>
      <c r="F167" s="243">
        <v>356854.44</v>
      </c>
      <c r="G167" s="243">
        <v>0</v>
      </c>
    </row>
    <row r="168" spans="1:7" hidden="1" x14ac:dyDescent="0.25">
      <c r="A168" s="242" t="s">
        <v>711</v>
      </c>
      <c r="B168" s="235" t="s">
        <v>892</v>
      </c>
      <c r="C168" s="233" t="s">
        <v>794</v>
      </c>
      <c r="D168" s="245" t="s">
        <v>733</v>
      </c>
      <c r="E168" s="233">
        <v>30710177658</v>
      </c>
      <c r="F168" s="243">
        <v>682125</v>
      </c>
      <c r="G168" s="243">
        <v>0</v>
      </c>
    </row>
    <row r="169" spans="1:7" hidden="1" x14ac:dyDescent="0.25">
      <c r="A169" s="234" t="s">
        <v>673</v>
      </c>
      <c r="B169" s="236">
        <v>54121</v>
      </c>
      <c r="C169" s="234" t="s">
        <v>674</v>
      </c>
      <c r="D169" s="246"/>
      <c r="E169" s="236">
        <v>30710177658</v>
      </c>
      <c r="F169" s="234">
        <v>700742.4</v>
      </c>
      <c r="G169" s="236">
        <v>0</v>
      </c>
    </row>
    <row r="170" spans="1:7" hidden="1" x14ac:dyDescent="0.25">
      <c r="A170" s="234" t="s">
        <v>705</v>
      </c>
      <c r="B170" s="236">
        <v>54307</v>
      </c>
      <c r="C170" s="234" t="s">
        <v>674</v>
      </c>
      <c r="D170" s="246"/>
      <c r="E170" s="236">
        <v>30710177658</v>
      </c>
      <c r="F170" s="244">
        <v>122080.32000000001</v>
      </c>
      <c r="G170" s="236">
        <v>0</v>
      </c>
    </row>
    <row r="171" spans="1:7" hidden="1" x14ac:dyDescent="0.25">
      <c r="A171" s="234" t="s">
        <v>710</v>
      </c>
      <c r="B171" s="236">
        <v>54346</v>
      </c>
      <c r="C171" s="234" t="s">
        <v>674</v>
      </c>
      <c r="D171" s="246"/>
      <c r="E171" s="236">
        <v>30710177658</v>
      </c>
      <c r="F171" s="244">
        <v>356854.44</v>
      </c>
      <c r="G171" s="236">
        <v>0</v>
      </c>
    </row>
    <row r="172" spans="1:7" hidden="1" x14ac:dyDescent="0.25">
      <c r="A172" s="234" t="s">
        <v>711</v>
      </c>
      <c r="B172" s="236">
        <v>54365</v>
      </c>
      <c r="C172" s="234" t="s">
        <v>674</v>
      </c>
      <c r="D172" s="246"/>
      <c r="E172" s="236">
        <v>30710177658</v>
      </c>
      <c r="F172" s="236">
        <v>682125</v>
      </c>
      <c r="G172" s="236">
        <v>0</v>
      </c>
    </row>
    <row r="173" spans="1:7" hidden="1" x14ac:dyDescent="0.25">
      <c r="A173" s="242" t="s">
        <v>675</v>
      </c>
      <c r="B173" s="235" t="s">
        <v>802</v>
      </c>
      <c r="C173" s="233" t="s">
        <v>803</v>
      </c>
      <c r="D173" s="245" t="s">
        <v>733</v>
      </c>
      <c r="E173" s="233">
        <v>30710804830</v>
      </c>
      <c r="F173" s="243">
        <v>29410.86</v>
      </c>
      <c r="G173" s="243">
        <v>0</v>
      </c>
    </row>
    <row r="174" spans="1:7" hidden="1" x14ac:dyDescent="0.25">
      <c r="A174" s="234" t="s">
        <v>675</v>
      </c>
      <c r="B174" s="236">
        <v>31858</v>
      </c>
      <c r="C174" s="234" t="s">
        <v>677</v>
      </c>
      <c r="D174" s="246"/>
      <c r="E174" s="236">
        <v>30710804830</v>
      </c>
      <c r="F174" s="244">
        <v>29410.86</v>
      </c>
      <c r="G174" s="236">
        <v>0</v>
      </c>
    </row>
    <row r="175" spans="1:7" hidden="1" x14ac:dyDescent="0.25">
      <c r="A175" s="242" t="s">
        <v>705</v>
      </c>
      <c r="B175" s="235" t="s">
        <v>874</v>
      </c>
      <c r="C175" s="233" t="s">
        <v>875</v>
      </c>
      <c r="D175" s="245" t="s">
        <v>733</v>
      </c>
      <c r="E175" s="233">
        <v>30711553564</v>
      </c>
      <c r="F175" s="243">
        <v>999126</v>
      </c>
      <c r="G175" s="243">
        <v>0</v>
      </c>
    </row>
    <row r="176" spans="1:7" hidden="1" x14ac:dyDescent="0.25">
      <c r="A176" s="234" t="s">
        <v>705</v>
      </c>
      <c r="B176" s="236">
        <v>85435</v>
      </c>
      <c r="C176" s="234" t="s">
        <v>233</v>
      </c>
      <c r="D176" s="246"/>
      <c r="E176" s="236">
        <v>30711553564</v>
      </c>
      <c r="F176" s="236">
        <v>999126</v>
      </c>
      <c r="G176" s="236">
        <v>0</v>
      </c>
    </row>
    <row r="177" spans="1:7" hidden="1" x14ac:dyDescent="0.25">
      <c r="A177" s="242" t="s">
        <v>647</v>
      </c>
      <c r="B177" s="235" t="s">
        <v>755</v>
      </c>
      <c r="C177" s="233" t="s">
        <v>756</v>
      </c>
      <c r="D177" s="245" t="s">
        <v>733</v>
      </c>
      <c r="E177" s="233">
        <v>30711764921</v>
      </c>
      <c r="F177" s="243">
        <v>93973</v>
      </c>
      <c r="G177" s="243">
        <v>0</v>
      </c>
    </row>
    <row r="178" spans="1:7" hidden="1" x14ac:dyDescent="0.25">
      <c r="A178" s="242" t="s">
        <v>660</v>
      </c>
      <c r="B178" s="235" t="s">
        <v>773</v>
      </c>
      <c r="C178" s="233" t="s">
        <v>756</v>
      </c>
      <c r="D178" s="245" t="s">
        <v>733</v>
      </c>
      <c r="E178" s="233">
        <v>30711764921</v>
      </c>
      <c r="F178" s="243">
        <v>527580</v>
      </c>
      <c r="G178" s="243">
        <v>0</v>
      </c>
    </row>
    <row r="179" spans="1:7" hidden="1" x14ac:dyDescent="0.25">
      <c r="A179" s="242" t="s">
        <v>701</v>
      </c>
      <c r="B179" s="235" t="s">
        <v>866</v>
      </c>
      <c r="C179" s="233" t="s">
        <v>756</v>
      </c>
      <c r="D179" s="245" t="s">
        <v>733</v>
      </c>
      <c r="E179" s="233">
        <v>30711764921</v>
      </c>
      <c r="F179" s="243">
        <v>21394</v>
      </c>
      <c r="G179" s="243">
        <v>0</v>
      </c>
    </row>
    <row r="180" spans="1:7" hidden="1" x14ac:dyDescent="0.25">
      <c r="A180" s="234" t="s">
        <v>647</v>
      </c>
      <c r="B180" s="236">
        <v>2245</v>
      </c>
      <c r="C180" s="234" t="s">
        <v>651</v>
      </c>
      <c r="D180" s="246"/>
      <c r="E180" s="236">
        <v>30711764921</v>
      </c>
      <c r="F180" s="236">
        <v>93973</v>
      </c>
      <c r="G180" s="236">
        <v>0</v>
      </c>
    </row>
    <row r="181" spans="1:7" hidden="1" x14ac:dyDescent="0.25">
      <c r="A181" s="234" t="s">
        <v>660</v>
      </c>
      <c r="B181" s="236">
        <v>2255</v>
      </c>
      <c r="C181" s="234" t="s">
        <v>651</v>
      </c>
      <c r="D181" s="246"/>
      <c r="E181" s="236">
        <v>30711764921</v>
      </c>
      <c r="F181" s="236">
        <v>527580</v>
      </c>
      <c r="G181" s="236">
        <v>0</v>
      </c>
    </row>
    <row r="182" spans="1:7" hidden="1" x14ac:dyDescent="0.25">
      <c r="A182" s="234" t="s">
        <v>701</v>
      </c>
      <c r="B182" s="236">
        <v>2312</v>
      </c>
      <c r="C182" s="234" t="s">
        <v>651</v>
      </c>
      <c r="D182" s="246"/>
      <c r="E182" s="236">
        <v>30711764921</v>
      </c>
      <c r="F182" s="236">
        <v>21394</v>
      </c>
      <c r="G182" s="236">
        <v>0</v>
      </c>
    </row>
    <row r="183" spans="1:7" hidden="1" x14ac:dyDescent="0.25">
      <c r="A183" s="242" t="s">
        <v>705</v>
      </c>
      <c r="B183" s="235" t="s">
        <v>876</v>
      </c>
      <c r="C183" s="233" t="s">
        <v>877</v>
      </c>
      <c r="D183" s="245" t="s">
        <v>733</v>
      </c>
      <c r="E183" s="233">
        <v>30712155694</v>
      </c>
      <c r="F183" s="243">
        <v>24285.71</v>
      </c>
      <c r="G183" s="243">
        <v>0</v>
      </c>
    </row>
    <row r="184" spans="1:7" hidden="1" x14ac:dyDescent="0.25">
      <c r="A184" s="242" t="s">
        <v>673</v>
      </c>
      <c r="B184" s="235" t="s">
        <v>791</v>
      </c>
      <c r="C184" s="233" t="s">
        <v>792</v>
      </c>
      <c r="D184" s="245" t="s">
        <v>733</v>
      </c>
      <c r="E184" s="233">
        <v>30712187316</v>
      </c>
      <c r="F184" s="243">
        <v>265780.37</v>
      </c>
      <c r="G184" s="243">
        <v>0</v>
      </c>
    </row>
    <row r="185" spans="1:7" hidden="1" x14ac:dyDescent="0.25">
      <c r="A185" s="242" t="s">
        <v>684</v>
      </c>
      <c r="B185" s="235" t="s">
        <v>815</v>
      </c>
      <c r="C185" s="233" t="s">
        <v>792</v>
      </c>
      <c r="D185" s="245" t="s">
        <v>733</v>
      </c>
      <c r="E185" s="233">
        <v>30712187316</v>
      </c>
      <c r="F185" s="243">
        <v>254033.05</v>
      </c>
      <c r="G185" s="243">
        <v>0</v>
      </c>
    </row>
    <row r="186" spans="1:7" hidden="1" x14ac:dyDescent="0.25">
      <c r="A186" s="242" t="s">
        <v>684</v>
      </c>
      <c r="B186" s="235" t="s">
        <v>816</v>
      </c>
      <c r="C186" s="233" t="s">
        <v>792</v>
      </c>
      <c r="D186" s="245" t="s">
        <v>733</v>
      </c>
      <c r="E186" s="233">
        <v>30712187316</v>
      </c>
      <c r="F186" s="243">
        <v>472751.65</v>
      </c>
      <c r="G186" s="243">
        <v>0</v>
      </c>
    </row>
    <row r="187" spans="1:7" hidden="1" x14ac:dyDescent="0.25">
      <c r="A187" s="242" t="s">
        <v>686</v>
      </c>
      <c r="B187" s="235" t="s">
        <v>830</v>
      </c>
      <c r="C187" s="233" t="s">
        <v>792</v>
      </c>
      <c r="D187" s="245" t="s">
        <v>733</v>
      </c>
      <c r="E187" s="233">
        <v>30712187316</v>
      </c>
      <c r="F187" s="243">
        <v>34718.6</v>
      </c>
      <c r="G187" s="243">
        <v>0</v>
      </c>
    </row>
    <row r="188" spans="1:7" hidden="1" x14ac:dyDescent="0.25">
      <c r="A188" s="242" t="s">
        <v>701</v>
      </c>
      <c r="B188" s="235" t="s">
        <v>864</v>
      </c>
      <c r="C188" s="233" t="s">
        <v>792</v>
      </c>
      <c r="D188" s="245" t="s">
        <v>733</v>
      </c>
      <c r="E188" s="233">
        <v>30712187316</v>
      </c>
      <c r="F188" s="243">
        <v>213988.29</v>
      </c>
      <c r="G188" s="243">
        <v>0</v>
      </c>
    </row>
    <row r="189" spans="1:7" hidden="1" x14ac:dyDescent="0.25">
      <c r="A189" s="234" t="s">
        <v>667</v>
      </c>
      <c r="B189" s="236">
        <v>1901</v>
      </c>
      <c r="C189" s="234" t="s">
        <v>68</v>
      </c>
      <c r="D189" s="246"/>
      <c r="E189" s="236">
        <v>30712187316</v>
      </c>
      <c r="F189" s="244">
        <v>293619.94</v>
      </c>
      <c r="G189" s="236">
        <v>0</v>
      </c>
    </row>
    <row r="190" spans="1:7" hidden="1" x14ac:dyDescent="0.25">
      <c r="A190" s="234" t="s">
        <v>673</v>
      </c>
      <c r="B190" s="236">
        <v>1908</v>
      </c>
      <c r="C190" s="234" t="s">
        <v>68</v>
      </c>
      <c r="D190" s="246"/>
      <c r="E190" s="236">
        <v>30712187316</v>
      </c>
      <c r="F190" s="244">
        <v>265780.37</v>
      </c>
      <c r="G190" s="236">
        <v>0</v>
      </c>
    </row>
    <row r="191" spans="1:7" hidden="1" x14ac:dyDescent="0.25">
      <c r="A191" s="234" t="s">
        <v>673</v>
      </c>
      <c r="B191" s="236">
        <v>192</v>
      </c>
      <c r="C191" s="234" t="s">
        <v>68</v>
      </c>
      <c r="D191" s="246"/>
      <c r="E191" s="236">
        <v>30712187316</v>
      </c>
      <c r="F191" s="244">
        <v>-293619.94</v>
      </c>
      <c r="G191" s="236">
        <v>0</v>
      </c>
    </row>
    <row r="192" spans="1:7" hidden="1" x14ac:dyDescent="0.25">
      <c r="A192" s="234" t="s">
        <v>684</v>
      </c>
      <c r="B192" s="236">
        <v>1915</v>
      </c>
      <c r="C192" s="234" t="s">
        <v>68</v>
      </c>
      <c r="D192" s="246"/>
      <c r="E192" s="236">
        <v>30712187316</v>
      </c>
      <c r="F192" s="244">
        <v>254033.05</v>
      </c>
      <c r="G192" s="236">
        <v>0</v>
      </c>
    </row>
    <row r="193" spans="1:7" hidden="1" x14ac:dyDescent="0.25">
      <c r="A193" s="234" t="s">
        <v>684</v>
      </c>
      <c r="B193" s="236">
        <v>1916</v>
      </c>
      <c r="C193" s="234" t="s">
        <v>68</v>
      </c>
      <c r="D193" s="246"/>
      <c r="E193" s="236">
        <v>30712187316</v>
      </c>
      <c r="F193" s="244">
        <v>472751.65</v>
      </c>
      <c r="G193" s="236">
        <v>0</v>
      </c>
    </row>
    <row r="194" spans="1:7" hidden="1" x14ac:dyDescent="0.25">
      <c r="A194" s="234" t="s">
        <v>686</v>
      </c>
      <c r="B194" s="236">
        <v>1920</v>
      </c>
      <c r="C194" s="234" t="s">
        <v>68</v>
      </c>
      <c r="D194" s="246"/>
      <c r="E194" s="236">
        <v>30712187316</v>
      </c>
      <c r="F194" s="234">
        <v>34718.6</v>
      </c>
      <c r="G194" s="236">
        <v>0</v>
      </c>
    </row>
    <row r="195" spans="1:7" hidden="1" x14ac:dyDescent="0.25">
      <c r="A195" s="234" t="s">
        <v>701</v>
      </c>
      <c r="B195" s="236">
        <v>1937</v>
      </c>
      <c r="C195" s="234" t="s">
        <v>68</v>
      </c>
      <c r="D195" s="246"/>
      <c r="E195" s="236">
        <v>30712187316</v>
      </c>
      <c r="F195" s="244">
        <v>213988.29</v>
      </c>
      <c r="G195" s="236">
        <v>0</v>
      </c>
    </row>
    <row r="196" spans="1:7" hidden="1" x14ac:dyDescent="0.25">
      <c r="A196" s="242" t="s">
        <v>715</v>
      </c>
      <c r="B196" s="235" t="s">
        <v>900</v>
      </c>
      <c r="C196" s="233" t="s">
        <v>901</v>
      </c>
      <c r="D196" s="245" t="s">
        <v>733</v>
      </c>
      <c r="E196" s="233">
        <v>30714333093</v>
      </c>
      <c r="F196" s="243">
        <v>61652.89</v>
      </c>
      <c r="G196" s="243">
        <v>0</v>
      </c>
    </row>
    <row r="197" spans="1:7" hidden="1" x14ac:dyDescent="0.25">
      <c r="A197" s="242" t="s">
        <v>717</v>
      </c>
      <c r="B197" s="235" t="s">
        <v>902</v>
      </c>
      <c r="C197" s="233" t="s">
        <v>903</v>
      </c>
      <c r="D197" s="245" t="s">
        <v>733</v>
      </c>
      <c r="E197" s="233">
        <v>30714333093</v>
      </c>
      <c r="F197" s="243">
        <v>63139.65</v>
      </c>
      <c r="G197" s="243">
        <v>0</v>
      </c>
    </row>
    <row r="198" spans="1:7" hidden="1" x14ac:dyDescent="0.25">
      <c r="A198" s="242" t="s">
        <v>647</v>
      </c>
      <c r="B198" s="235" t="s">
        <v>743</v>
      </c>
      <c r="C198" s="233" t="s">
        <v>744</v>
      </c>
      <c r="D198" s="245" t="s">
        <v>733</v>
      </c>
      <c r="E198" s="233">
        <v>30715141201</v>
      </c>
      <c r="F198" s="243">
        <v>1216380</v>
      </c>
      <c r="G198" s="243">
        <v>0</v>
      </c>
    </row>
    <row r="199" spans="1:7" hidden="1" x14ac:dyDescent="0.25">
      <c r="A199" s="242" t="s">
        <v>686</v>
      </c>
      <c r="B199" s="235" t="s">
        <v>821</v>
      </c>
      <c r="C199" s="233" t="s">
        <v>744</v>
      </c>
      <c r="D199" s="245" t="s">
        <v>733</v>
      </c>
      <c r="E199" s="233">
        <v>30715141201</v>
      </c>
      <c r="F199" s="243">
        <v>3648847.5</v>
      </c>
      <c r="G199" s="243">
        <v>0</v>
      </c>
    </row>
    <row r="200" spans="1:7" hidden="1" x14ac:dyDescent="0.25">
      <c r="A200" s="242" t="s">
        <v>686</v>
      </c>
      <c r="B200" s="235" t="s">
        <v>822</v>
      </c>
      <c r="C200" s="233" t="s">
        <v>744</v>
      </c>
      <c r="D200" s="245" t="s">
        <v>733</v>
      </c>
      <c r="E200" s="233">
        <v>30715141201</v>
      </c>
      <c r="F200" s="243">
        <v>29295</v>
      </c>
      <c r="G200" s="243">
        <v>0</v>
      </c>
    </row>
    <row r="201" spans="1:7" hidden="1" x14ac:dyDescent="0.25">
      <c r="A201" s="234" t="s">
        <v>647</v>
      </c>
      <c r="B201" s="236">
        <v>4517</v>
      </c>
      <c r="C201" s="234" t="s">
        <v>649</v>
      </c>
      <c r="D201" s="246"/>
      <c r="E201" s="236">
        <v>30715141201</v>
      </c>
      <c r="F201" s="236">
        <v>1216380</v>
      </c>
      <c r="G201" s="236">
        <v>0</v>
      </c>
    </row>
    <row r="202" spans="1:7" hidden="1" x14ac:dyDescent="0.25">
      <c r="A202" s="234" t="s">
        <v>686</v>
      </c>
      <c r="B202" s="236">
        <v>4620</v>
      </c>
      <c r="C202" s="234" t="s">
        <v>649</v>
      </c>
      <c r="D202" s="246"/>
      <c r="E202" s="236">
        <v>30715141201</v>
      </c>
      <c r="F202" s="236">
        <v>29295</v>
      </c>
      <c r="G202" s="236">
        <v>0</v>
      </c>
    </row>
    <row r="203" spans="1:7" hidden="1" x14ac:dyDescent="0.25">
      <c r="A203" s="234" t="s">
        <v>686</v>
      </c>
      <c r="B203" s="236">
        <v>4613</v>
      </c>
      <c r="C203" s="234" t="s">
        <v>649</v>
      </c>
      <c r="D203" s="246"/>
      <c r="E203" s="236">
        <v>30715141201</v>
      </c>
      <c r="F203" s="234">
        <v>3648847.5</v>
      </c>
      <c r="G203" s="236">
        <v>0</v>
      </c>
    </row>
    <row r="204" spans="1:7" hidden="1" x14ac:dyDescent="0.25">
      <c r="A204" s="242" t="s">
        <v>695</v>
      </c>
      <c r="B204" s="235" t="s">
        <v>840</v>
      </c>
      <c r="C204" s="233" t="s">
        <v>841</v>
      </c>
      <c r="D204" s="245" t="s">
        <v>733</v>
      </c>
      <c r="E204" s="233">
        <v>30715630040</v>
      </c>
      <c r="F204" s="243">
        <v>3517469.41</v>
      </c>
      <c r="G204" s="243">
        <v>0</v>
      </c>
    </row>
    <row r="205" spans="1:7" hidden="1" x14ac:dyDescent="0.25">
      <c r="A205" s="234" t="s">
        <v>695</v>
      </c>
      <c r="B205" s="236">
        <v>524</v>
      </c>
      <c r="C205" s="234" t="s">
        <v>696</v>
      </c>
      <c r="D205" s="246"/>
      <c r="E205" s="236">
        <v>30715630040</v>
      </c>
      <c r="F205" s="244">
        <v>3517469.42</v>
      </c>
      <c r="G205" s="236">
        <v>0</v>
      </c>
    </row>
    <row r="206" spans="1:7" hidden="1" x14ac:dyDescent="0.25">
      <c r="A206" s="242" t="s">
        <v>730</v>
      </c>
      <c r="B206" s="235" t="s">
        <v>731</v>
      </c>
      <c r="C206" s="233" t="s">
        <v>732</v>
      </c>
      <c r="D206" s="245" t="s">
        <v>733</v>
      </c>
      <c r="E206" s="233">
        <v>30715804812</v>
      </c>
      <c r="F206" s="243">
        <v>867.94</v>
      </c>
      <c r="G206" s="243">
        <v>0</v>
      </c>
    </row>
    <row r="207" spans="1:7" hidden="1" x14ac:dyDescent="0.25">
      <c r="A207" s="242" t="s">
        <v>667</v>
      </c>
      <c r="B207" s="235" t="s">
        <v>786</v>
      </c>
      <c r="C207" s="233" t="s">
        <v>732</v>
      </c>
      <c r="D207" s="245" t="s">
        <v>733</v>
      </c>
      <c r="E207" s="233">
        <v>30715804812</v>
      </c>
      <c r="F207" s="243">
        <v>3818.92</v>
      </c>
      <c r="G207" s="243">
        <v>0</v>
      </c>
    </row>
    <row r="208" spans="1:7" hidden="1" x14ac:dyDescent="0.25">
      <c r="A208" s="242" t="s">
        <v>705</v>
      </c>
      <c r="B208" s="235" t="s">
        <v>878</v>
      </c>
      <c r="C208" s="233" t="s">
        <v>732</v>
      </c>
      <c r="D208" s="245" t="s">
        <v>733</v>
      </c>
      <c r="E208" s="233">
        <v>30715804812</v>
      </c>
      <c r="F208" s="243">
        <v>6246.93</v>
      </c>
      <c r="G208" s="243">
        <v>0</v>
      </c>
    </row>
    <row r="209" spans="1:7" hidden="1" x14ac:dyDescent="0.25">
      <c r="A209" s="234" t="s">
        <v>667</v>
      </c>
      <c r="B209" s="236">
        <v>1905419</v>
      </c>
      <c r="C209" s="234" t="s">
        <v>669</v>
      </c>
      <c r="D209" s="246"/>
      <c r="E209" s="236">
        <v>30715804812</v>
      </c>
      <c r="F209" s="244">
        <v>3818.92</v>
      </c>
      <c r="G209" s="236">
        <v>0</v>
      </c>
    </row>
    <row r="210" spans="1:7" x14ac:dyDescent="0.25">
      <c r="A210" s="237" t="s">
        <v>689</v>
      </c>
      <c r="B210" s="238">
        <v>6699395</v>
      </c>
      <c r="C210" s="237" t="s">
        <v>669</v>
      </c>
      <c r="D210" s="240"/>
      <c r="E210" s="238">
        <v>30715804812</v>
      </c>
      <c r="F210" s="237">
        <v>1675.3</v>
      </c>
      <c r="G210" s="238">
        <v>0</v>
      </c>
    </row>
    <row r="211" spans="1:7" hidden="1" x14ac:dyDescent="0.25">
      <c r="A211" s="234" t="s">
        <v>705</v>
      </c>
      <c r="B211" s="236">
        <v>1936359</v>
      </c>
      <c r="C211" s="234" t="s">
        <v>669</v>
      </c>
      <c r="D211" s="246"/>
      <c r="E211" s="236">
        <v>30715804812</v>
      </c>
      <c r="F211" s="244">
        <v>6246.93</v>
      </c>
      <c r="G211" s="236">
        <v>0</v>
      </c>
    </row>
    <row r="212" spans="1:7" x14ac:dyDescent="0.25">
      <c r="A212" s="237" t="s">
        <v>705</v>
      </c>
      <c r="B212" s="238">
        <v>1936360</v>
      </c>
      <c r="C212" s="237" t="s">
        <v>669</v>
      </c>
      <c r="D212" s="240"/>
      <c r="E212" s="238">
        <v>30715804812</v>
      </c>
      <c r="F212" s="241">
        <v>728.62</v>
      </c>
      <c r="G212" s="238">
        <v>0</v>
      </c>
    </row>
    <row r="213" spans="1:7" hidden="1" x14ac:dyDescent="0.25">
      <c r="A213" s="242" t="s">
        <v>664</v>
      </c>
      <c r="B213" s="235" t="s">
        <v>779</v>
      </c>
      <c r="C213" s="233" t="s">
        <v>780</v>
      </c>
      <c r="D213" s="245" t="s">
        <v>733</v>
      </c>
      <c r="E213" s="233">
        <v>30715833243</v>
      </c>
      <c r="F213" s="243">
        <v>205349.64</v>
      </c>
      <c r="G213" s="243">
        <v>0</v>
      </c>
    </row>
    <row r="214" spans="1:7" hidden="1" x14ac:dyDescent="0.25">
      <c r="A214" s="242" t="s">
        <v>664</v>
      </c>
      <c r="B214" s="235" t="s">
        <v>781</v>
      </c>
      <c r="C214" s="233" t="s">
        <v>780</v>
      </c>
      <c r="D214" s="245" t="s">
        <v>733</v>
      </c>
      <c r="E214" s="233">
        <v>30715833243</v>
      </c>
      <c r="F214" s="243">
        <v>44477.18</v>
      </c>
      <c r="G214" s="243">
        <v>0</v>
      </c>
    </row>
    <row r="215" spans="1:7" hidden="1" x14ac:dyDescent="0.25">
      <c r="A215" s="234" t="s">
        <v>664</v>
      </c>
      <c r="B215" s="236">
        <v>5331</v>
      </c>
      <c r="C215" s="234" t="s">
        <v>665</v>
      </c>
      <c r="D215" s="246"/>
      <c r="E215" s="236">
        <v>30715833243</v>
      </c>
      <c r="F215" s="244">
        <v>22238.59</v>
      </c>
      <c r="G215" s="236">
        <v>0</v>
      </c>
    </row>
    <row r="216" spans="1:7" hidden="1" x14ac:dyDescent="0.25">
      <c r="A216" s="234" t="s">
        <v>664</v>
      </c>
      <c r="B216" s="236">
        <v>5332</v>
      </c>
      <c r="C216" s="234" t="s">
        <v>665</v>
      </c>
      <c r="D216" s="246"/>
      <c r="E216" s="236">
        <v>30715833243</v>
      </c>
      <c r="F216" s="244">
        <v>44477.18</v>
      </c>
      <c r="G216" s="236">
        <v>0</v>
      </c>
    </row>
    <row r="217" spans="1:7" hidden="1" x14ac:dyDescent="0.25">
      <c r="A217" s="234" t="s">
        <v>664</v>
      </c>
      <c r="B217" s="236">
        <v>5328</v>
      </c>
      <c r="C217" s="234" t="s">
        <v>665</v>
      </c>
      <c r="D217" s="246"/>
      <c r="E217" s="236">
        <v>30715833243</v>
      </c>
      <c r="F217" s="244">
        <v>205349.64</v>
      </c>
      <c r="G217" s="236">
        <v>0</v>
      </c>
    </row>
    <row r="218" spans="1:7" hidden="1" x14ac:dyDescent="0.25">
      <c r="A218" s="234" t="s">
        <v>664</v>
      </c>
      <c r="B218" s="236">
        <v>803</v>
      </c>
      <c r="C218" s="234" t="s">
        <v>665</v>
      </c>
      <c r="D218" s="246"/>
      <c r="E218" s="236">
        <v>30715833243</v>
      </c>
      <c r="F218" s="244">
        <v>22238.59</v>
      </c>
      <c r="G218" s="236">
        <v>0</v>
      </c>
    </row>
    <row r="219" spans="1:7" hidden="1" x14ac:dyDescent="0.25">
      <c r="A219" s="242" t="s">
        <v>660</v>
      </c>
      <c r="B219" s="235" t="s">
        <v>777</v>
      </c>
      <c r="C219" s="233" t="s">
        <v>778</v>
      </c>
      <c r="D219" s="245" t="s">
        <v>733</v>
      </c>
      <c r="E219" s="233">
        <v>30716234114</v>
      </c>
      <c r="F219" s="243">
        <v>168736.5</v>
      </c>
      <c r="G219" s="243">
        <v>0</v>
      </c>
    </row>
    <row r="220" spans="1:7" hidden="1" x14ac:dyDescent="0.25">
      <c r="A220" s="234" t="s">
        <v>660</v>
      </c>
      <c r="B220" s="236">
        <v>66</v>
      </c>
      <c r="C220" s="234" t="s">
        <v>662</v>
      </c>
      <c r="D220" s="246"/>
      <c r="E220" s="236">
        <v>30716234114</v>
      </c>
      <c r="F220" s="234">
        <v>129.30000000000001</v>
      </c>
      <c r="G220" s="236">
        <v>0</v>
      </c>
    </row>
    <row r="221" spans="1:7" hidden="1" x14ac:dyDescent="0.25">
      <c r="A221" s="242" t="s">
        <v>692</v>
      </c>
      <c r="B221" s="235" t="s">
        <v>834</v>
      </c>
      <c r="C221" s="233" t="s">
        <v>835</v>
      </c>
      <c r="D221" s="245" t="s">
        <v>733</v>
      </c>
      <c r="E221" s="233">
        <v>30716425165</v>
      </c>
      <c r="F221" s="243">
        <v>13842.98</v>
      </c>
      <c r="G221" s="243">
        <v>0</v>
      </c>
    </row>
    <row r="222" spans="1:7" hidden="1" x14ac:dyDescent="0.25">
      <c r="A222" s="234" t="s">
        <v>692</v>
      </c>
      <c r="B222" s="236">
        <v>72231</v>
      </c>
      <c r="C222" s="234" t="s">
        <v>694</v>
      </c>
      <c r="D222" s="246"/>
      <c r="E222" s="236">
        <v>30716425165</v>
      </c>
      <c r="F222" s="244">
        <v>13842.98</v>
      </c>
      <c r="G222" s="236">
        <v>0</v>
      </c>
    </row>
    <row r="223" spans="1:7" hidden="1" x14ac:dyDescent="0.25">
      <c r="A223" s="242" t="s">
        <v>699</v>
      </c>
      <c r="B223" s="235" t="s">
        <v>856</v>
      </c>
      <c r="C223" s="233" t="s">
        <v>857</v>
      </c>
      <c r="D223" s="245" t="s">
        <v>733</v>
      </c>
      <c r="E223" s="233">
        <v>30716815710</v>
      </c>
      <c r="F223" s="243">
        <v>8500</v>
      </c>
      <c r="G223" s="243">
        <v>0</v>
      </c>
    </row>
    <row r="224" spans="1:7" hidden="1" x14ac:dyDescent="0.25">
      <c r="A224" s="242" t="s">
        <v>680</v>
      </c>
      <c r="B224" s="235" t="s">
        <v>807</v>
      </c>
      <c r="C224" s="233" t="s">
        <v>808</v>
      </c>
      <c r="D224" s="245" t="s">
        <v>733</v>
      </c>
      <c r="E224" s="233">
        <v>30717179389</v>
      </c>
      <c r="F224" s="243">
        <v>82644.62</v>
      </c>
      <c r="G224" s="243">
        <v>0</v>
      </c>
    </row>
    <row r="225" spans="1:7" hidden="1" x14ac:dyDescent="0.25">
      <c r="A225" s="234" t="s">
        <v>680</v>
      </c>
      <c r="B225" s="236">
        <v>2468</v>
      </c>
      <c r="C225" s="234" t="s">
        <v>681</v>
      </c>
      <c r="D225" s="246"/>
      <c r="E225" s="236">
        <v>30717179389</v>
      </c>
      <c r="F225" s="244">
        <v>82644.62</v>
      </c>
      <c r="G225" s="236">
        <v>0</v>
      </c>
    </row>
    <row r="226" spans="1:7" x14ac:dyDescent="0.25">
      <c r="A226" s="237" t="s">
        <v>680</v>
      </c>
      <c r="B226" s="238">
        <v>3378</v>
      </c>
      <c r="C226" s="237" t="s">
        <v>681</v>
      </c>
      <c r="D226" s="240"/>
      <c r="E226" s="238">
        <v>30717179389</v>
      </c>
      <c r="F226" s="241">
        <v>82644.63</v>
      </c>
      <c r="G226" s="238">
        <v>0</v>
      </c>
    </row>
    <row r="227" spans="1:7" hidden="1" x14ac:dyDescent="0.25">
      <c r="A227" s="242" t="s">
        <v>656</v>
      </c>
      <c r="B227" s="235" t="s">
        <v>767</v>
      </c>
      <c r="C227" s="233" t="s">
        <v>768</v>
      </c>
      <c r="D227" s="245" t="s">
        <v>733</v>
      </c>
      <c r="E227" s="233">
        <v>33699685459</v>
      </c>
      <c r="F227" s="243">
        <v>12449.6</v>
      </c>
      <c r="G227" s="243">
        <v>0</v>
      </c>
    </row>
    <row r="228" spans="1:7" hidden="1" x14ac:dyDescent="0.25">
      <c r="A228" s="234" t="s">
        <v>656</v>
      </c>
      <c r="B228" s="236">
        <v>1369</v>
      </c>
      <c r="C228" s="234" t="s">
        <v>325</v>
      </c>
      <c r="D228" s="246"/>
      <c r="E228" s="236">
        <v>33699685459</v>
      </c>
      <c r="F228" s="234">
        <v>12449.6</v>
      </c>
      <c r="G228" s="236">
        <v>0</v>
      </c>
    </row>
    <row r="229" spans="1:7" hidden="1" x14ac:dyDescent="0.25">
      <c r="A229" s="242" t="s">
        <v>680</v>
      </c>
      <c r="B229" s="235" t="s">
        <v>809</v>
      </c>
      <c r="C229" s="233" t="s">
        <v>810</v>
      </c>
      <c r="D229" s="245" t="s">
        <v>733</v>
      </c>
      <c r="E229" s="233">
        <v>33708218699</v>
      </c>
      <c r="F229" s="243">
        <v>15000</v>
      </c>
      <c r="G229" s="243">
        <v>0</v>
      </c>
    </row>
    <row r="230" spans="1:7" hidden="1" x14ac:dyDescent="0.25">
      <c r="A230" s="234" t="s">
        <v>680</v>
      </c>
      <c r="B230" s="236">
        <v>7676</v>
      </c>
      <c r="C230" s="234" t="s">
        <v>682</v>
      </c>
      <c r="D230" s="246"/>
      <c r="E230" s="236">
        <v>33708218699</v>
      </c>
      <c r="F230" s="236">
        <v>15000</v>
      </c>
      <c r="G230" s="236">
        <v>0</v>
      </c>
    </row>
    <row r="231" spans="1:7" hidden="1" x14ac:dyDescent="0.25">
      <c r="A231" s="242" t="s">
        <v>710</v>
      </c>
      <c r="B231" s="235" t="s">
        <v>886</v>
      </c>
      <c r="C231" s="233" t="s">
        <v>887</v>
      </c>
      <c r="D231" s="245" t="s">
        <v>733</v>
      </c>
      <c r="E231" s="233">
        <v>33709738459</v>
      </c>
      <c r="F231" s="243">
        <v>655324.52</v>
      </c>
      <c r="G231" s="243">
        <v>0</v>
      </c>
    </row>
    <row r="232" spans="1:7" hidden="1" x14ac:dyDescent="0.25">
      <c r="A232" s="234" t="s">
        <v>710</v>
      </c>
      <c r="B232" s="236">
        <v>71892</v>
      </c>
      <c r="C232" s="234" t="s">
        <v>62</v>
      </c>
      <c r="D232" s="246"/>
      <c r="E232" s="236">
        <v>33709738459</v>
      </c>
      <c r="F232" s="244">
        <v>655324.52</v>
      </c>
      <c r="G232" s="236">
        <v>0</v>
      </c>
    </row>
    <row r="233" spans="1:7" hidden="1" x14ac:dyDescent="0.25">
      <c r="A233" s="242" t="s">
        <v>667</v>
      </c>
      <c r="B233" s="235" t="s">
        <v>784</v>
      </c>
      <c r="C233" s="233" t="s">
        <v>785</v>
      </c>
      <c r="D233" s="245" t="s">
        <v>733</v>
      </c>
      <c r="E233" s="233">
        <v>33712276539</v>
      </c>
      <c r="F233" s="243">
        <v>71863.31</v>
      </c>
      <c r="G233" s="243">
        <v>0</v>
      </c>
    </row>
    <row r="234" spans="1:7" hidden="1" x14ac:dyDescent="0.25">
      <c r="A234" s="242" t="s">
        <v>719</v>
      </c>
      <c r="B234" s="235" t="s">
        <v>906</v>
      </c>
      <c r="C234" s="233" t="s">
        <v>712</v>
      </c>
      <c r="D234" s="245" t="s">
        <v>733</v>
      </c>
      <c r="E234" s="233">
        <v>33715005129</v>
      </c>
      <c r="F234" s="243">
        <v>51074.38</v>
      </c>
      <c r="G234" s="243">
        <v>0</v>
      </c>
    </row>
    <row r="235" spans="1:7" hidden="1" x14ac:dyDescent="0.25">
      <c r="A235" s="234" t="s">
        <v>711</v>
      </c>
      <c r="B235" s="236">
        <v>751</v>
      </c>
      <c r="C235" s="234" t="s">
        <v>712</v>
      </c>
      <c r="D235" s="246"/>
      <c r="E235" s="236">
        <v>33715005129</v>
      </c>
      <c r="F235" s="244">
        <v>51074.38</v>
      </c>
      <c r="G235" s="236">
        <v>0</v>
      </c>
    </row>
    <row r="236" spans="1:7" hidden="1" x14ac:dyDescent="0.25">
      <c r="A236" s="242" t="s">
        <v>684</v>
      </c>
      <c r="B236" s="235" t="s">
        <v>817</v>
      </c>
      <c r="C236" s="233" t="s">
        <v>818</v>
      </c>
      <c r="D236" s="245" t="s">
        <v>733</v>
      </c>
      <c r="E236" s="233">
        <v>33715594949</v>
      </c>
      <c r="F236" s="243">
        <v>56204.800000000003</v>
      </c>
      <c r="G236" s="243">
        <v>0</v>
      </c>
    </row>
    <row r="237" spans="1:7" hidden="1" x14ac:dyDescent="0.25">
      <c r="A237" s="242" t="s">
        <v>698</v>
      </c>
      <c r="B237" s="235" t="s">
        <v>852</v>
      </c>
      <c r="C237" s="233" t="s">
        <v>818</v>
      </c>
      <c r="D237" s="245" t="s">
        <v>733</v>
      </c>
      <c r="E237" s="233">
        <v>33715594949</v>
      </c>
      <c r="F237" s="243">
        <v>71317.95</v>
      </c>
      <c r="G237" s="243">
        <v>0</v>
      </c>
    </row>
    <row r="238" spans="1:7" hidden="1" x14ac:dyDescent="0.25">
      <c r="A238" s="242" t="s">
        <v>705</v>
      </c>
      <c r="B238" s="235" t="s">
        <v>871</v>
      </c>
      <c r="C238" s="233" t="s">
        <v>818</v>
      </c>
      <c r="D238" s="245" t="s">
        <v>733</v>
      </c>
      <c r="E238" s="233">
        <v>33715594949</v>
      </c>
      <c r="F238" s="243">
        <v>59235.76</v>
      </c>
      <c r="G238" s="243">
        <v>0</v>
      </c>
    </row>
    <row r="239" spans="1:7" hidden="1" x14ac:dyDescent="0.25">
      <c r="A239" s="242" t="s">
        <v>711</v>
      </c>
      <c r="B239" s="235" t="s">
        <v>894</v>
      </c>
      <c r="C239" s="233" t="s">
        <v>818</v>
      </c>
      <c r="D239" s="245" t="s">
        <v>733</v>
      </c>
      <c r="E239" s="233">
        <v>33715594949</v>
      </c>
      <c r="F239" s="243">
        <v>89089.35</v>
      </c>
      <c r="G239" s="243">
        <v>0</v>
      </c>
    </row>
    <row r="240" spans="1:7" hidden="1" x14ac:dyDescent="0.25">
      <c r="A240" s="234" t="s">
        <v>719</v>
      </c>
      <c r="B240" s="236">
        <v>591606</v>
      </c>
      <c r="C240" s="234" t="s">
        <v>722</v>
      </c>
      <c r="D240" s="246"/>
      <c r="E240" s="236">
        <v>33716307749</v>
      </c>
      <c r="F240" s="236">
        <v>318999</v>
      </c>
      <c r="G240" s="236">
        <v>0</v>
      </c>
    </row>
  </sheetData>
  <autoFilter ref="A4:G240" xr:uid="{00000000-0009-0000-0000-000004000000}">
    <filterColumn colId="2">
      <colorFilter dxfId="21"/>
    </filterColumn>
  </autoFilter>
  <sortState xmlns:xlrd2="http://schemas.microsoft.com/office/spreadsheetml/2017/richdata2" ref="A2:G237">
    <sortCondition ref="E2:E23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2:Q130"/>
  <sheetViews>
    <sheetView workbookViewId="0">
      <selection activeCell="A82" sqref="A82:A87"/>
    </sheetView>
  </sheetViews>
  <sheetFormatPr baseColWidth="10" defaultRowHeight="15" x14ac:dyDescent="0.25"/>
  <cols>
    <col min="1" max="1" width="13" customWidth="1"/>
    <col min="2" max="2" width="28.57031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2" spans="1:17" ht="15.75" thickBot="1" x14ac:dyDescent="0.3">
      <c r="A2" s="392" t="s">
        <v>923</v>
      </c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</row>
    <row r="3" spans="1:17" ht="16.5" thickTop="1" thickBot="1" x14ac:dyDescent="0.3">
      <c r="A3" s="252" t="s">
        <v>102</v>
      </c>
      <c r="B3" s="252" t="s">
        <v>628</v>
      </c>
      <c r="C3" s="252" t="s">
        <v>629</v>
      </c>
      <c r="D3" s="252" t="s">
        <v>630</v>
      </c>
      <c r="E3" s="252" t="s">
        <v>631</v>
      </c>
      <c r="F3" s="252" t="s">
        <v>632</v>
      </c>
      <c r="G3" s="252" t="s">
        <v>633</v>
      </c>
      <c r="H3" s="252" t="s">
        <v>634</v>
      </c>
      <c r="I3" s="252" t="s">
        <v>635</v>
      </c>
      <c r="J3" s="252" t="s">
        <v>636</v>
      </c>
      <c r="K3" s="252" t="s">
        <v>637</v>
      </c>
      <c r="L3" s="252" t="s">
        <v>638</v>
      </c>
      <c r="M3" s="252" t="s">
        <v>639</v>
      </c>
      <c r="N3" s="252" t="s">
        <v>640</v>
      </c>
      <c r="O3" s="252" t="s">
        <v>641</v>
      </c>
      <c r="P3" s="252" t="s">
        <v>3</v>
      </c>
      <c r="Q3" s="252" t="s">
        <v>642</v>
      </c>
    </row>
    <row r="4" spans="1:17" ht="15.75" hidden="1" thickTop="1" x14ac:dyDescent="0.25">
      <c r="A4" s="253" t="s">
        <v>925</v>
      </c>
      <c r="B4" s="253" t="s">
        <v>644</v>
      </c>
      <c r="C4" s="254">
        <v>500</v>
      </c>
      <c r="D4" s="254">
        <v>1655637</v>
      </c>
      <c r="E4" s="253"/>
      <c r="F4" s="254">
        <v>74487074766855</v>
      </c>
      <c r="G4" s="253" t="s">
        <v>7</v>
      </c>
      <c r="H4" s="254">
        <v>30654118767</v>
      </c>
      <c r="I4" s="253" t="s">
        <v>648</v>
      </c>
      <c r="J4" s="254">
        <v>1</v>
      </c>
      <c r="K4" s="253" t="s">
        <v>646</v>
      </c>
      <c r="L4" s="255">
        <v>105092.93</v>
      </c>
      <c r="M4" s="254">
        <v>0</v>
      </c>
      <c r="N4" s="254">
        <v>0</v>
      </c>
      <c r="O4" s="253">
        <v>5239.3</v>
      </c>
      <c r="P4" s="255">
        <v>22069.52</v>
      </c>
      <c r="Q4" s="255">
        <v>132401.75</v>
      </c>
    </row>
    <row r="5" spans="1:17" ht="15.75" hidden="1" thickTop="1" x14ac:dyDescent="0.25">
      <c r="A5" s="253" t="s">
        <v>925</v>
      </c>
      <c r="B5" s="253" t="s">
        <v>644</v>
      </c>
      <c r="C5" s="254">
        <v>6</v>
      </c>
      <c r="D5" s="254">
        <v>55227</v>
      </c>
      <c r="E5" s="253"/>
      <c r="F5" s="254">
        <v>74498346789752</v>
      </c>
      <c r="G5" s="253" t="s">
        <v>7</v>
      </c>
      <c r="H5" s="254">
        <v>30710177658</v>
      </c>
      <c r="I5" s="253" t="s">
        <v>674</v>
      </c>
      <c r="J5" s="254">
        <v>1</v>
      </c>
      <c r="K5" s="253" t="s">
        <v>646</v>
      </c>
      <c r="L5" s="254">
        <v>412110</v>
      </c>
      <c r="M5" s="254">
        <v>0</v>
      </c>
      <c r="N5" s="254">
        <v>0</v>
      </c>
      <c r="O5" s="254">
        <v>0</v>
      </c>
      <c r="P5" s="253">
        <v>86543.1</v>
      </c>
      <c r="Q5" s="253">
        <v>498653.1</v>
      </c>
    </row>
    <row r="6" spans="1:17" ht="15.75" hidden="1" thickTop="1" x14ac:dyDescent="0.25">
      <c r="A6" s="253" t="s">
        <v>925</v>
      </c>
      <c r="B6" s="253" t="s">
        <v>644</v>
      </c>
      <c r="C6" s="254">
        <v>4</v>
      </c>
      <c r="D6" s="254">
        <v>38976</v>
      </c>
      <c r="E6" s="253"/>
      <c r="F6" s="254">
        <v>74499359858810</v>
      </c>
      <c r="G6" s="253" t="s">
        <v>7</v>
      </c>
      <c r="H6" s="254">
        <v>20289111329</v>
      </c>
      <c r="I6" s="253" t="s">
        <v>685</v>
      </c>
      <c r="J6" s="254">
        <v>1</v>
      </c>
      <c r="K6" s="253" t="s">
        <v>646</v>
      </c>
      <c r="L6" s="255">
        <v>2174566.0099999998</v>
      </c>
      <c r="M6" s="254">
        <v>0</v>
      </c>
      <c r="N6" s="254">
        <v>0</v>
      </c>
      <c r="O6" s="254">
        <v>0</v>
      </c>
      <c r="P6" s="255">
        <v>456658.86</v>
      </c>
      <c r="Q6" s="255">
        <v>2631224.87</v>
      </c>
    </row>
    <row r="7" spans="1:17" ht="15.75" hidden="1" thickTop="1" x14ac:dyDescent="0.25">
      <c r="A7" s="253" t="s">
        <v>925</v>
      </c>
      <c r="B7" s="253" t="s">
        <v>644</v>
      </c>
      <c r="C7" s="254">
        <v>6</v>
      </c>
      <c r="D7" s="254">
        <v>55223</v>
      </c>
      <c r="E7" s="253"/>
      <c r="F7" s="254">
        <v>74498341856485</v>
      </c>
      <c r="G7" s="253" t="s">
        <v>7</v>
      </c>
      <c r="H7" s="254">
        <v>30710177658</v>
      </c>
      <c r="I7" s="253" t="s">
        <v>674</v>
      </c>
      <c r="J7" s="254">
        <v>1</v>
      </c>
      <c r="K7" s="253" t="s">
        <v>646</v>
      </c>
      <c r="L7" s="254">
        <v>3760920</v>
      </c>
      <c r="M7" s="254">
        <v>0</v>
      </c>
      <c r="N7" s="254">
        <v>0</v>
      </c>
      <c r="O7" s="253">
        <v>150436.79999999999</v>
      </c>
      <c r="P7" s="253">
        <v>789793.2</v>
      </c>
      <c r="Q7" s="254">
        <v>4701150</v>
      </c>
    </row>
    <row r="8" spans="1:17" ht="15.75" hidden="1" thickTop="1" x14ac:dyDescent="0.25">
      <c r="A8" s="263" t="s">
        <v>925</v>
      </c>
      <c r="B8" s="263" t="s">
        <v>644</v>
      </c>
      <c r="C8" s="264">
        <v>711</v>
      </c>
      <c r="D8" s="264">
        <v>6455819</v>
      </c>
      <c r="E8" s="263"/>
      <c r="F8" s="264">
        <v>34489322171051</v>
      </c>
      <c r="G8" s="263" t="s">
        <v>7</v>
      </c>
      <c r="H8" s="264">
        <v>30677237119</v>
      </c>
      <c r="I8" s="263" t="s">
        <v>658</v>
      </c>
      <c r="J8" s="264">
        <v>1</v>
      </c>
      <c r="K8" s="263" t="s">
        <v>646</v>
      </c>
      <c r="L8" s="265">
        <v>11433.18</v>
      </c>
      <c r="M8" s="250">
        <v>0</v>
      </c>
      <c r="N8" s="250">
        <v>343</v>
      </c>
      <c r="O8" s="154">
        <v>457.33</v>
      </c>
      <c r="P8" s="154">
        <v>2400.9299999999998</v>
      </c>
      <c r="Q8" s="154">
        <v>14634.44</v>
      </c>
    </row>
    <row r="9" spans="1:17" ht="15.75" hidden="1" thickTop="1" x14ac:dyDescent="0.25">
      <c r="A9" s="253" t="s">
        <v>925</v>
      </c>
      <c r="B9" s="253" t="s">
        <v>644</v>
      </c>
      <c r="C9" s="254">
        <v>101</v>
      </c>
      <c r="D9" s="254">
        <v>8845</v>
      </c>
      <c r="E9" s="253"/>
      <c r="F9" s="254">
        <v>74499306271092</v>
      </c>
      <c r="G9" s="253" t="s">
        <v>7</v>
      </c>
      <c r="H9" s="254">
        <v>33711430879</v>
      </c>
      <c r="I9" s="253" t="s">
        <v>926</v>
      </c>
      <c r="J9" s="254">
        <v>1</v>
      </c>
      <c r="K9" s="253" t="s">
        <v>646</v>
      </c>
      <c r="L9" s="254">
        <v>1328291</v>
      </c>
      <c r="M9" s="254">
        <v>0</v>
      </c>
      <c r="N9" s="254">
        <v>0</v>
      </c>
      <c r="O9" s="254">
        <v>0</v>
      </c>
      <c r="P9" s="255">
        <v>278941.11</v>
      </c>
      <c r="Q9" s="255">
        <v>1607232.11</v>
      </c>
    </row>
    <row r="10" spans="1:17" ht="15.75" hidden="1" thickTop="1" x14ac:dyDescent="0.25">
      <c r="A10" s="263" t="s">
        <v>925</v>
      </c>
      <c r="B10" s="263" t="s">
        <v>644</v>
      </c>
      <c r="C10" s="264">
        <v>629</v>
      </c>
      <c r="D10" s="264">
        <v>5656259</v>
      </c>
      <c r="E10" s="263"/>
      <c r="F10" s="264">
        <v>34483250539705</v>
      </c>
      <c r="G10" s="263" t="s">
        <v>7</v>
      </c>
      <c r="H10" s="264">
        <v>30663498513</v>
      </c>
      <c r="I10" s="263" t="s">
        <v>657</v>
      </c>
      <c r="J10" s="264">
        <v>1</v>
      </c>
      <c r="K10" s="263" t="s">
        <v>646</v>
      </c>
      <c r="L10" s="265">
        <v>558.01</v>
      </c>
      <c r="M10" s="250">
        <v>0</v>
      </c>
      <c r="N10" s="250">
        <v>0</v>
      </c>
      <c r="O10" s="154">
        <v>22.32</v>
      </c>
      <c r="P10" s="154">
        <v>117.18</v>
      </c>
      <c r="Q10" s="154">
        <v>697.51</v>
      </c>
    </row>
    <row r="11" spans="1:17" ht="15.75" hidden="1" thickTop="1" x14ac:dyDescent="0.25">
      <c r="A11" t="s">
        <v>925</v>
      </c>
      <c r="B11" t="s">
        <v>644</v>
      </c>
      <c r="C11" s="250">
        <v>3051</v>
      </c>
      <c r="D11" s="250">
        <v>844548</v>
      </c>
      <c r="F11" s="250">
        <v>74497516477337</v>
      </c>
      <c r="G11" t="s">
        <v>7</v>
      </c>
      <c r="H11" s="250">
        <v>30678814357</v>
      </c>
      <c r="I11" t="s">
        <v>652</v>
      </c>
      <c r="J11" s="250">
        <v>1</v>
      </c>
      <c r="K11" t="s">
        <v>646</v>
      </c>
      <c r="L11" s="250">
        <v>53954</v>
      </c>
      <c r="M11" s="250">
        <v>0</v>
      </c>
      <c r="N11" s="250">
        <v>0</v>
      </c>
      <c r="O11" s="154">
        <v>6730.02</v>
      </c>
      <c r="P11" s="154">
        <v>14567.58</v>
      </c>
      <c r="Q11">
        <v>75251.600000000006</v>
      </c>
    </row>
    <row r="12" spans="1:17" ht="15.75" hidden="1" thickTop="1" x14ac:dyDescent="0.25">
      <c r="A12" s="253" t="s">
        <v>925</v>
      </c>
      <c r="B12" s="253" t="s">
        <v>655</v>
      </c>
      <c r="C12" s="254">
        <v>3</v>
      </c>
      <c r="D12" s="254">
        <v>905</v>
      </c>
      <c r="E12" s="253"/>
      <c r="F12" s="254">
        <v>74493324806048</v>
      </c>
      <c r="G12" s="253" t="s">
        <v>7</v>
      </c>
      <c r="H12" s="254">
        <v>20086277523</v>
      </c>
      <c r="I12" s="253" t="s">
        <v>37</v>
      </c>
      <c r="J12" s="254">
        <v>1</v>
      </c>
      <c r="K12" s="253" t="s">
        <v>646</v>
      </c>
      <c r="L12" s="253"/>
      <c r="M12" s="253"/>
      <c r="N12" s="253"/>
      <c r="O12" s="254">
        <v>0</v>
      </c>
      <c r="P12" s="253"/>
      <c r="Q12" s="254">
        <v>275500</v>
      </c>
    </row>
    <row r="13" spans="1:17" ht="15.75" hidden="1" thickTop="1" x14ac:dyDescent="0.25">
      <c r="A13" s="253" t="s">
        <v>925</v>
      </c>
      <c r="B13" s="253" t="s">
        <v>655</v>
      </c>
      <c r="C13" s="254">
        <v>2</v>
      </c>
      <c r="D13" s="254">
        <v>319</v>
      </c>
      <c r="E13" s="253"/>
      <c r="F13" s="254">
        <v>74498730251438</v>
      </c>
      <c r="G13" s="253" t="s">
        <v>7</v>
      </c>
      <c r="H13" s="254">
        <v>27265832178</v>
      </c>
      <c r="I13" s="253" t="s">
        <v>470</v>
      </c>
      <c r="J13" s="254">
        <v>1</v>
      </c>
      <c r="K13" s="253" t="s">
        <v>646</v>
      </c>
      <c r="L13" s="253"/>
      <c r="M13" s="253"/>
      <c r="N13" s="253"/>
      <c r="O13" s="254">
        <v>0</v>
      </c>
      <c r="P13" s="253"/>
      <c r="Q13" s="254">
        <v>3200000</v>
      </c>
    </row>
    <row r="14" spans="1:17" ht="15.75" hidden="1" thickTop="1" x14ac:dyDescent="0.25">
      <c r="A14" s="253" t="s">
        <v>927</v>
      </c>
      <c r="B14" s="253" t="s">
        <v>644</v>
      </c>
      <c r="C14" s="254">
        <v>1</v>
      </c>
      <c r="D14" s="254">
        <v>109430</v>
      </c>
      <c r="E14" s="253"/>
      <c r="F14" s="254">
        <v>74499429713404</v>
      </c>
      <c r="G14" s="253" t="s">
        <v>7</v>
      </c>
      <c r="H14" s="254">
        <v>30714864269</v>
      </c>
      <c r="I14" s="253" t="s">
        <v>928</v>
      </c>
      <c r="J14" s="254">
        <v>1</v>
      </c>
      <c r="K14" s="253" t="s">
        <v>646</v>
      </c>
      <c r="L14" s="254">
        <v>139127</v>
      </c>
      <c r="M14" s="254">
        <v>0</v>
      </c>
      <c r="N14" s="254">
        <v>0</v>
      </c>
      <c r="O14" s="254">
        <v>0</v>
      </c>
      <c r="P14" s="255">
        <v>29216.67</v>
      </c>
      <c r="Q14" s="255">
        <v>168343.67</v>
      </c>
    </row>
    <row r="15" spans="1:17" ht="15.75" hidden="1" thickTop="1" x14ac:dyDescent="0.25">
      <c r="A15" s="253" t="s">
        <v>927</v>
      </c>
      <c r="B15" s="253" t="s">
        <v>644</v>
      </c>
      <c r="C15" s="254">
        <v>1</v>
      </c>
      <c r="D15" s="254">
        <v>5589</v>
      </c>
      <c r="E15" s="253"/>
      <c r="F15" s="254">
        <v>74491435507330</v>
      </c>
      <c r="G15" s="253" t="s">
        <v>7</v>
      </c>
      <c r="H15" s="254">
        <v>30715141201</v>
      </c>
      <c r="I15" s="253" t="s">
        <v>649</v>
      </c>
      <c r="J15" s="254">
        <v>1</v>
      </c>
      <c r="K15" s="253" t="s">
        <v>646</v>
      </c>
      <c r="L15" s="254">
        <v>139185</v>
      </c>
      <c r="M15" s="254">
        <v>0</v>
      </c>
      <c r="N15" s="254">
        <v>0</v>
      </c>
      <c r="O15" s="254">
        <v>0</v>
      </c>
      <c r="P15" s="255">
        <v>29228.85</v>
      </c>
      <c r="Q15" s="255">
        <v>168413.85</v>
      </c>
    </row>
    <row r="16" spans="1:17" ht="15.75" hidden="1" thickTop="1" x14ac:dyDescent="0.25">
      <c r="A16" s="253" t="s">
        <v>927</v>
      </c>
      <c r="B16" s="253" t="s">
        <v>644</v>
      </c>
      <c r="C16" s="254">
        <v>4</v>
      </c>
      <c r="D16" s="254">
        <v>38981</v>
      </c>
      <c r="E16" s="253"/>
      <c r="F16" s="254">
        <v>74499427712370</v>
      </c>
      <c r="G16" s="253" t="s">
        <v>7</v>
      </c>
      <c r="H16" s="254">
        <v>20289111329</v>
      </c>
      <c r="I16" s="253" t="s">
        <v>685</v>
      </c>
      <c r="J16" s="254">
        <v>1</v>
      </c>
      <c r="K16" s="253" t="s">
        <v>646</v>
      </c>
      <c r="L16" s="255">
        <v>727465.05</v>
      </c>
      <c r="M16" s="254">
        <v>0</v>
      </c>
      <c r="N16" s="254">
        <v>0</v>
      </c>
      <c r="O16" s="254">
        <v>0</v>
      </c>
      <c r="P16" s="255">
        <v>152767.66</v>
      </c>
      <c r="Q16" s="255">
        <v>880232.71</v>
      </c>
    </row>
    <row r="17" spans="1:17" ht="15.75" hidden="1" thickTop="1" x14ac:dyDescent="0.25">
      <c r="A17" s="253" t="s">
        <v>927</v>
      </c>
      <c r="B17" s="253" t="s">
        <v>644</v>
      </c>
      <c r="C17" s="254">
        <v>5</v>
      </c>
      <c r="D17" s="254">
        <v>161604</v>
      </c>
      <c r="E17" s="253"/>
      <c r="F17" s="254">
        <v>74493439495197</v>
      </c>
      <c r="G17" s="253" t="s">
        <v>7</v>
      </c>
      <c r="H17" s="254">
        <v>30598960093</v>
      </c>
      <c r="I17" s="253" t="s">
        <v>650</v>
      </c>
      <c r="J17" s="254">
        <v>1</v>
      </c>
      <c r="K17" s="253" t="s">
        <v>646</v>
      </c>
      <c r="L17" s="253">
        <v>2554513.5</v>
      </c>
      <c r="M17" s="254">
        <v>0</v>
      </c>
      <c r="N17" s="254">
        <v>0</v>
      </c>
      <c r="O17" s="255">
        <v>102180.54</v>
      </c>
      <c r="P17" s="255">
        <v>536447.84</v>
      </c>
      <c r="Q17" s="255">
        <v>3193141.88</v>
      </c>
    </row>
    <row r="18" spans="1:17" ht="15.75" hidden="1" thickTop="1" x14ac:dyDescent="0.25">
      <c r="A18" s="253" t="s">
        <v>927</v>
      </c>
      <c r="B18" s="253" t="s">
        <v>644</v>
      </c>
      <c r="C18" s="254">
        <v>2</v>
      </c>
      <c r="D18" s="254">
        <v>223</v>
      </c>
      <c r="E18" s="253"/>
      <c r="F18" s="254">
        <v>74492464692349</v>
      </c>
      <c r="G18" s="253" t="s">
        <v>7</v>
      </c>
      <c r="H18" s="254">
        <v>30605344352</v>
      </c>
      <c r="I18" s="253" t="s">
        <v>659</v>
      </c>
      <c r="J18" s="254">
        <v>1</v>
      </c>
      <c r="K18" s="253" t="s">
        <v>646</v>
      </c>
      <c r="L18" s="254">
        <v>834000</v>
      </c>
      <c r="M18" s="254">
        <v>0</v>
      </c>
      <c r="N18" s="254">
        <v>0</v>
      </c>
      <c r="O18" s="254">
        <v>0</v>
      </c>
      <c r="P18" s="254">
        <v>175140</v>
      </c>
      <c r="Q18" s="254">
        <v>1009140</v>
      </c>
    </row>
    <row r="19" spans="1:17" ht="15.75" hidden="1" thickTop="1" x14ac:dyDescent="0.25">
      <c r="A19" s="253" t="s">
        <v>927</v>
      </c>
      <c r="B19" s="253" t="s">
        <v>655</v>
      </c>
      <c r="C19" s="254">
        <v>3</v>
      </c>
      <c r="D19" s="254">
        <v>61</v>
      </c>
      <c r="E19" s="253"/>
      <c r="F19" s="254">
        <v>74499463827512</v>
      </c>
      <c r="G19" s="253" t="s">
        <v>7</v>
      </c>
      <c r="H19" s="254">
        <v>23163457369</v>
      </c>
      <c r="I19" s="253" t="s">
        <v>929</v>
      </c>
      <c r="J19" s="254">
        <v>1</v>
      </c>
      <c r="K19" s="253" t="s">
        <v>646</v>
      </c>
      <c r="L19" s="253"/>
      <c r="M19" s="253"/>
      <c r="N19" s="253"/>
      <c r="O19" s="254">
        <v>0</v>
      </c>
      <c r="P19" s="253"/>
      <c r="Q19" s="254">
        <v>450000</v>
      </c>
    </row>
    <row r="20" spans="1:17" ht="15.75" hidden="1" thickTop="1" x14ac:dyDescent="0.25">
      <c r="A20" s="253" t="s">
        <v>927</v>
      </c>
      <c r="B20" s="253" t="s">
        <v>655</v>
      </c>
      <c r="C20" s="254">
        <v>1</v>
      </c>
      <c r="D20" s="254">
        <v>162</v>
      </c>
      <c r="E20" s="253"/>
      <c r="F20" s="254">
        <v>74490436597806</v>
      </c>
      <c r="G20" s="253" t="s">
        <v>7</v>
      </c>
      <c r="H20" s="254">
        <v>27338342840</v>
      </c>
      <c r="I20" s="253" t="s">
        <v>424</v>
      </c>
      <c r="J20" s="254">
        <v>1</v>
      </c>
      <c r="K20" s="253" t="s">
        <v>646</v>
      </c>
      <c r="L20" s="253"/>
      <c r="M20" s="253"/>
      <c r="N20" s="253"/>
      <c r="O20" s="254">
        <v>0</v>
      </c>
      <c r="P20" s="253"/>
      <c r="Q20" s="254">
        <v>130800</v>
      </c>
    </row>
    <row r="21" spans="1:17" ht="15.75" hidden="1" thickTop="1" x14ac:dyDescent="0.25">
      <c r="A21" s="253" t="s">
        <v>930</v>
      </c>
      <c r="B21" s="253" t="s">
        <v>644</v>
      </c>
      <c r="C21" s="254">
        <v>4</v>
      </c>
      <c r="D21" s="254">
        <v>20038</v>
      </c>
      <c r="E21" s="253"/>
      <c r="F21" s="254">
        <v>74493616266425</v>
      </c>
      <c r="G21" s="253" t="s">
        <v>7</v>
      </c>
      <c r="H21" s="254">
        <v>30504854023</v>
      </c>
      <c r="I21" s="253" t="s">
        <v>931</v>
      </c>
      <c r="J21" s="254">
        <v>1</v>
      </c>
      <c r="K21" s="253" t="s">
        <v>646</v>
      </c>
      <c r="L21" s="254">
        <v>72100</v>
      </c>
      <c r="M21" s="254">
        <v>0</v>
      </c>
      <c r="N21" s="254">
        <v>0</v>
      </c>
      <c r="O21" s="254">
        <v>2884</v>
      </c>
      <c r="P21" s="254">
        <v>15141</v>
      </c>
      <c r="Q21" s="254">
        <v>90125</v>
      </c>
    </row>
    <row r="22" spans="1:17" ht="15.75" hidden="1" thickTop="1" x14ac:dyDescent="0.25">
      <c r="A22" s="253" t="s">
        <v>930</v>
      </c>
      <c r="B22" s="253" t="s">
        <v>644</v>
      </c>
      <c r="C22" s="254">
        <v>7</v>
      </c>
      <c r="D22" s="254">
        <v>26242</v>
      </c>
      <c r="E22" s="253"/>
      <c r="F22" s="254">
        <v>74497593058098</v>
      </c>
      <c r="G22" s="253" t="s">
        <v>7</v>
      </c>
      <c r="H22" s="254">
        <v>30710951647</v>
      </c>
      <c r="I22" s="253" t="s">
        <v>932</v>
      </c>
      <c r="J22" s="254">
        <v>1</v>
      </c>
      <c r="K22" s="253" t="s">
        <v>646</v>
      </c>
      <c r="L22" s="253">
        <v>156102.39999999999</v>
      </c>
      <c r="M22" s="254">
        <v>0</v>
      </c>
      <c r="N22" s="254">
        <v>0</v>
      </c>
      <c r="O22" s="255">
        <v>7805.12</v>
      </c>
      <c r="P22" s="255">
        <v>16390.75</v>
      </c>
      <c r="Q22" s="255">
        <v>180298.27</v>
      </c>
    </row>
    <row r="23" spans="1:17" ht="15.75" hidden="1" thickTop="1" x14ac:dyDescent="0.25">
      <c r="A23" s="263" t="s">
        <v>930</v>
      </c>
      <c r="B23" s="263" t="s">
        <v>644</v>
      </c>
      <c r="C23" s="264">
        <v>1</v>
      </c>
      <c r="D23" s="264">
        <v>666828</v>
      </c>
      <c r="E23" s="263"/>
      <c r="F23" s="264">
        <v>74499002078073</v>
      </c>
      <c r="G23" s="263" t="s">
        <v>7</v>
      </c>
      <c r="H23" s="264">
        <v>33716307749</v>
      </c>
      <c r="I23" s="263" t="s">
        <v>722</v>
      </c>
      <c r="J23" s="264">
        <v>1</v>
      </c>
      <c r="K23" s="263" t="s">
        <v>646</v>
      </c>
      <c r="L23" s="264">
        <v>41128</v>
      </c>
      <c r="M23" s="250">
        <v>0</v>
      </c>
      <c r="N23" s="250">
        <v>0</v>
      </c>
      <c r="O23" s="154">
        <v>1645.12</v>
      </c>
      <c r="P23" s="154">
        <v>8636.8799999999992</v>
      </c>
      <c r="Q23" s="250">
        <v>51410</v>
      </c>
    </row>
    <row r="24" spans="1:17" ht="15.75" hidden="1" thickTop="1" x14ac:dyDescent="0.25">
      <c r="A24" s="253" t="s">
        <v>930</v>
      </c>
      <c r="B24" s="253" t="s">
        <v>644</v>
      </c>
      <c r="C24" s="254">
        <v>4</v>
      </c>
      <c r="D24" s="254">
        <v>145</v>
      </c>
      <c r="E24" s="253"/>
      <c r="F24" s="254">
        <v>74496651400602</v>
      </c>
      <c r="G24" s="253" t="s">
        <v>7</v>
      </c>
      <c r="H24" s="254">
        <v>20317488476</v>
      </c>
      <c r="I24" s="253" t="s">
        <v>252</v>
      </c>
      <c r="J24" s="254">
        <v>1</v>
      </c>
      <c r="K24" s="253" t="s">
        <v>646</v>
      </c>
      <c r="L24" s="254">
        <v>1155000</v>
      </c>
      <c r="M24" s="254">
        <v>0</v>
      </c>
      <c r="N24" s="254">
        <v>0</v>
      </c>
      <c r="O24" s="254">
        <v>0</v>
      </c>
      <c r="P24" s="254">
        <v>242550</v>
      </c>
      <c r="Q24" s="254">
        <v>1397550</v>
      </c>
    </row>
    <row r="25" spans="1:17" ht="15.75" hidden="1" thickTop="1" x14ac:dyDescent="0.25">
      <c r="A25" s="253" t="s">
        <v>930</v>
      </c>
      <c r="B25" s="253" t="s">
        <v>666</v>
      </c>
      <c r="C25" s="254">
        <v>4</v>
      </c>
      <c r="D25" s="254">
        <v>3139</v>
      </c>
      <c r="E25" s="253"/>
      <c r="F25" s="254">
        <v>74499588156578</v>
      </c>
      <c r="G25" s="253" t="s">
        <v>7</v>
      </c>
      <c r="H25" s="254">
        <v>20289111329</v>
      </c>
      <c r="I25" s="253" t="s">
        <v>685</v>
      </c>
      <c r="J25" s="254">
        <v>1</v>
      </c>
      <c r="K25" s="253" t="s">
        <v>646</v>
      </c>
      <c r="L25" s="255">
        <v>727465.05</v>
      </c>
      <c r="M25" s="254">
        <v>0</v>
      </c>
      <c r="N25" s="254">
        <v>0</v>
      </c>
      <c r="O25" s="254">
        <v>0</v>
      </c>
      <c r="P25" s="255">
        <v>152767.66</v>
      </c>
      <c r="Q25" s="255">
        <v>880232.71</v>
      </c>
    </row>
    <row r="26" spans="1:17" ht="15.75" hidden="1" thickTop="1" x14ac:dyDescent="0.25">
      <c r="A26" s="253" t="s">
        <v>933</v>
      </c>
      <c r="B26" s="253" t="s">
        <v>644</v>
      </c>
      <c r="C26" s="254">
        <v>7</v>
      </c>
      <c r="D26" s="254">
        <v>19690</v>
      </c>
      <c r="E26" s="253"/>
      <c r="F26" s="254">
        <v>74498787252978</v>
      </c>
      <c r="G26" s="253" t="s">
        <v>7</v>
      </c>
      <c r="H26" s="254">
        <v>30709214078</v>
      </c>
      <c r="I26" s="253" t="s">
        <v>934</v>
      </c>
      <c r="J26" s="254">
        <v>1</v>
      </c>
      <c r="K26" s="253" t="s">
        <v>646</v>
      </c>
      <c r="L26" s="254">
        <v>192492</v>
      </c>
      <c r="M26" s="254">
        <v>0</v>
      </c>
      <c r="N26" s="254">
        <v>0</v>
      </c>
      <c r="O26" s="254">
        <v>0</v>
      </c>
      <c r="P26" s="255">
        <v>40423.32</v>
      </c>
      <c r="Q26" s="255">
        <v>232915.32</v>
      </c>
    </row>
    <row r="27" spans="1:17" ht="15.75" hidden="1" thickTop="1" x14ac:dyDescent="0.25">
      <c r="A27" s="253" t="s">
        <v>933</v>
      </c>
      <c r="B27" s="253" t="s">
        <v>644</v>
      </c>
      <c r="C27" s="254">
        <v>2</v>
      </c>
      <c r="D27" s="254">
        <v>963</v>
      </c>
      <c r="E27" s="253"/>
      <c r="F27" s="254">
        <v>74499785646902</v>
      </c>
      <c r="G27" s="253" t="s">
        <v>7</v>
      </c>
      <c r="H27" s="254">
        <v>20272865869</v>
      </c>
      <c r="I27" s="253" t="s">
        <v>617</v>
      </c>
      <c r="J27" s="254">
        <v>1</v>
      </c>
      <c r="K27" s="253" t="s">
        <v>646</v>
      </c>
      <c r="L27" s="255">
        <v>93200.04</v>
      </c>
      <c r="M27" s="254">
        <v>0</v>
      </c>
      <c r="N27" s="254">
        <v>0</v>
      </c>
      <c r="O27" s="254">
        <v>0</v>
      </c>
      <c r="P27" s="255">
        <v>19572.009999999998</v>
      </c>
      <c r="Q27" s="255">
        <v>112772.05</v>
      </c>
    </row>
    <row r="28" spans="1:17" ht="15.75" hidden="1" thickTop="1" x14ac:dyDescent="0.25">
      <c r="A28" s="253" t="s">
        <v>933</v>
      </c>
      <c r="B28" s="253" t="s">
        <v>644</v>
      </c>
      <c r="C28" s="254">
        <v>2</v>
      </c>
      <c r="D28" s="254">
        <v>26398</v>
      </c>
      <c r="E28" s="253"/>
      <c r="F28" s="254">
        <v>74498783507894</v>
      </c>
      <c r="G28" s="253" t="s">
        <v>7</v>
      </c>
      <c r="H28" s="254">
        <v>30642604488</v>
      </c>
      <c r="I28" s="253" t="s">
        <v>935</v>
      </c>
      <c r="J28" s="254">
        <v>1</v>
      </c>
      <c r="K28" s="253" t="s">
        <v>646</v>
      </c>
      <c r="L28" s="254">
        <v>67400</v>
      </c>
      <c r="M28" s="254">
        <v>0</v>
      </c>
      <c r="N28" s="254">
        <v>0</v>
      </c>
      <c r="O28" s="254">
        <v>0</v>
      </c>
      <c r="P28" s="254">
        <v>14154</v>
      </c>
      <c r="Q28" s="254">
        <v>81554</v>
      </c>
    </row>
    <row r="29" spans="1:17" ht="15.75" hidden="1" thickTop="1" x14ac:dyDescent="0.25">
      <c r="A29" s="253" t="s">
        <v>933</v>
      </c>
      <c r="B29" s="253" t="s">
        <v>644</v>
      </c>
      <c r="C29" s="254">
        <v>120</v>
      </c>
      <c r="D29" s="254">
        <v>5406</v>
      </c>
      <c r="E29" s="253"/>
      <c r="F29" s="254">
        <v>74495750310742</v>
      </c>
      <c r="G29" s="253" t="s">
        <v>7</v>
      </c>
      <c r="H29" s="254">
        <v>30587197215</v>
      </c>
      <c r="I29" s="253" t="s">
        <v>485</v>
      </c>
      <c r="J29" s="254">
        <v>1</v>
      </c>
      <c r="K29" s="253" t="s">
        <v>646</v>
      </c>
      <c r="L29" s="255">
        <v>95041.32</v>
      </c>
      <c r="M29" s="254">
        <v>0</v>
      </c>
      <c r="N29" s="254">
        <v>0</v>
      </c>
      <c r="O29" s="255">
        <v>3801.65</v>
      </c>
      <c r="P29" s="255">
        <v>19958.68</v>
      </c>
      <c r="Q29" s="255">
        <v>118801.65</v>
      </c>
    </row>
    <row r="30" spans="1:17" ht="15.75" hidden="1" thickTop="1" x14ac:dyDescent="0.25">
      <c r="A30" s="253" t="s">
        <v>933</v>
      </c>
      <c r="B30" s="253" t="s">
        <v>644</v>
      </c>
      <c r="C30" s="254">
        <v>2</v>
      </c>
      <c r="D30" s="254">
        <v>11064</v>
      </c>
      <c r="E30" s="253"/>
      <c r="F30" s="254">
        <v>74492783832650</v>
      </c>
      <c r="G30" s="253" t="s">
        <v>7</v>
      </c>
      <c r="H30" s="254">
        <v>30714331082</v>
      </c>
      <c r="I30" s="253" t="s">
        <v>936</v>
      </c>
      <c r="J30" s="254">
        <v>1</v>
      </c>
      <c r="K30" s="253" t="s">
        <v>646</v>
      </c>
      <c r="L30" s="255">
        <v>81488.509999999995</v>
      </c>
      <c r="M30" s="254">
        <v>0</v>
      </c>
      <c r="N30" s="254">
        <v>0</v>
      </c>
      <c r="O30" s="254">
        <v>0</v>
      </c>
      <c r="P30" s="255">
        <v>17112.59</v>
      </c>
      <c r="Q30" s="253">
        <v>98601.1</v>
      </c>
    </row>
    <row r="31" spans="1:17" ht="15.75" hidden="1" thickTop="1" x14ac:dyDescent="0.25">
      <c r="A31" s="253" t="s">
        <v>933</v>
      </c>
      <c r="B31" s="253" t="s">
        <v>666</v>
      </c>
      <c r="C31" s="254">
        <v>7</v>
      </c>
      <c r="D31" s="254">
        <v>1322</v>
      </c>
      <c r="E31" s="253"/>
      <c r="F31" s="254">
        <v>74498786515767</v>
      </c>
      <c r="G31" s="253" t="s">
        <v>7</v>
      </c>
      <c r="H31" s="254">
        <v>30709214078</v>
      </c>
      <c r="I31" s="253" t="s">
        <v>934</v>
      </c>
      <c r="J31" s="254">
        <v>1</v>
      </c>
      <c r="K31" s="253" t="s">
        <v>646</v>
      </c>
      <c r="L31" s="254">
        <v>59820</v>
      </c>
      <c r="M31" s="254">
        <v>0</v>
      </c>
      <c r="N31" s="254">
        <v>0</v>
      </c>
      <c r="O31" s="254">
        <v>0</v>
      </c>
      <c r="P31" s="253">
        <v>12562.2</v>
      </c>
      <c r="Q31" s="253">
        <v>72382.2</v>
      </c>
    </row>
    <row r="32" spans="1:17" ht="15.75" hidden="1" thickTop="1" x14ac:dyDescent="0.25">
      <c r="A32" t="s">
        <v>933</v>
      </c>
      <c r="B32" t="s">
        <v>655</v>
      </c>
      <c r="C32" s="250">
        <v>1</v>
      </c>
      <c r="D32" s="250">
        <v>10</v>
      </c>
      <c r="F32" s="250">
        <v>74493727645078</v>
      </c>
      <c r="G32" t="s">
        <v>7</v>
      </c>
      <c r="H32" s="250">
        <v>27443612713</v>
      </c>
      <c r="I32" t="s">
        <v>937</v>
      </c>
      <c r="J32" s="250">
        <v>1</v>
      </c>
      <c r="K32" t="s">
        <v>646</v>
      </c>
      <c r="O32" s="250">
        <v>0</v>
      </c>
      <c r="Q32" s="250">
        <v>750000</v>
      </c>
    </row>
    <row r="33" spans="1:17" ht="15.75" hidden="1" thickTop="1" x14ac:dyDescent="0.25">
      <c r="A33" t="s">
        <v>938</v>
      </c>
      <c r="B33" t="s">
        <v>644</v>
      </c>
      <c r="C33" s="250">
        <v>2189</v>
      </c>
      <c r="D33" s="250">
        <v>81012</v>
      </c>
      <c r="F33" s="250">
        <v>74496980568402</v>
      </c>
      <c r="G33" t="s">
        <v>7</v>
      </c>
      <c r="H33" s="250">
        <v>30548083156</v>
      </c>
      <c r="I33" t="s">
        <v>645</v>
      </c>
      <c r="J33" s="250">
        <v>1</v>
      </c>
      <c r="K33" t="s">
        <v>646</v>
      </c>
      <c r="L33" s="154">
        <v>7639.42</v>
      </c>
      <c r="M33" s="250">
        <v>0</v>
      </c>
      <c r="N33" s="250">
        <v>0</v>
      </c>
      <c r="O33" s="154">
        <v>534.76</v>
      </c>
      <c r="P33" s="154">
        <v>1604.28</v>
      </c>
      <c r="Q33" s="154">
        <v>9778.4599999999991</v>
      </c>
    </row>
    <row r="34" spans="1:17" ht="15.75" hidden="1" thickTop="1" x14ac:dyDescent="0.25">
      <c r="A34" s="253" t="s">
        <v>938</v>
      </c>
      <c r="B34" s="253" t="s">
        <v>644</v>
      </c>
      <c r="C34" s="254">
        <v>5</v>
      </c>
      <c r="D34" s="254">
        <v>2261</v>
      </c>
      <c r="E34" s="253"/>
      <c r="F34" s="254">
        <v>74498875569162</v>
      </c>
      <c r="G34" s="253" t="s">
        <v>7</v>
      </c>
      <c r="H34" s="254">
        <v>20242126158</v>
      </c>
      <c r="I34" s="253" t="s">
        <v>939</v>
      </c>
      <c r="J34" s="254">
        <v>1</v>
      </c>
      <c r="K34" s="253" t="s">
        <v>646</v>
      </c>
      <c r="L34" s="254">
        <v>16470</v>
      </c>
      <c r="M34" s="254">
        <v>0</v>
      </c>
      <c r="N34" s="254">
        <v>0</v>
      </c>
      <c r="O34" s="254">
        <v>0</v>
      </c>
      <c r="P34" s="253">
        <v>3458.7</v>
      </c>
      <c r="Q34" s="253">
        <v>19928.7</v>
      </c>
    </row>
    <row r="35" spans="1:17" ht="15.75" hidden="1" thickTop="1" x14ac:dyDescent="0.25">
      <c r="A35" s="253" t="s">
        <v>938</v>
      </c>
      <c r="B35" s="253" t="s">
        <v>644</v>
      </c>
      <c r="C35" s="254">
        <v>7</v>
      </c>
      <c r="D35" s="254">
        <v>19693</v>
      </c>
      <c r="E35" s="253"/>
      <c r="F35" s="254">
        <v>74498883622074</v>
      </c>
      <c r="G35" s="253" t="s">
        <v>7</v>
      </c>
      <c r="H35" s="254">
        <v>30709214078</v>
      </c>
      <c r="I35" s="253" t="s">
        <v>934</v>
      </c>
      <c r="J35" s="254">
        <v>1</v>
      </c>
      <c r="K35" s="253" t="s">
        <v>646</v>
      </c>
      <c r="L35" s="254">
        <v>151800</v>
      </c>
      <c r="M35" s="254">
        <v>0</v>
      </c>
      <c r="N35" s="254">
        <v>0</v>
      </c>
      <c r="O35" s="254">
        <v>0</v>
      </c>
      <c r="P35" s="254">
        <v>15939</v>
      </c>
      <c r="Q35" s="254">
        <v>167739</v>
      </c>
    </row>
    <row r="36" spans="1:17" ht="15.75" hidden="1" thickTop="1" x14ac:dyDescent="0.25">
      <c r="A36" s="253" t="s">
        <v>938</v>
      </c>
      <c r="B36" s="253" t="s">
        <v>644</v>
      </c>
      <c r="C36" s="254">
        <v>3</v>
      </c>
      <c r="D36" s="254">
        <v>197</v>
      </c>
      <c r="E36" s="253"/>
      <c r="F36" s="254">
        <v>74503230479910</v>
      </c>
      <c r="G36" s="253" t="s">
        <v>7</v>
      </c>
      <c r="H36" s="254">
        <v>20334976433</v>
      </c>
      <c r="I36" s="253" t="s">
        <v>490</v>
      </c>
      <c r="J36" s="254">
        <v>1</v>
      </c>
      <c r="K36" s="253" t="s">
        <v>646</v>
      </c>
      <c r="L36" s="254">
        <v>947800</v>
      </c>
      <c r="M36" s="254">
        <v>0</v>
      </c>
      <c r="N36" s="254">
        <v>0</v>
      </c>
      <c r="O36" s="254">
        <v>0</v>
      </c>
      <c r="P36" s="254">
        <v>199038</v>
      </c>
      <c r="Q36" s="254">
        <v>1146838</v>
      </c>
    </row>
    <row r="37" spans="1:17" ht="15.75" hidden="1" thickTop="1" x14ac:dyDescent="0.25">
      <c r="A37" s="253" t="s">
        <v>938</v>
      </c>
      <c r="B37" s="253" t="s">
        <v>655</v>
      </c>
      <c r="C37" s="254">
        <v>2</v>
      </c>
      <c r="D37" s="254">
        <v>1</v>
      </c>
      <c r="E37" s="253"/>
      <c r="F37" s="254">
        <v>74491890516333</v>
      </c>
      <c r="G37" s="253" t="s">
        <v>7</v>
      </c>
      <c r="H37" s="254">
        <v>27344304551</v>
      </c>
      <c r="I37" s="253" t="s">
        <v>940</v>
      </c>
      <c r="J37" s="254">
        <v>1</v>
      </c>
      <c r="K37" s="253" t="s">
        <v>646</v>
      </c>
      <c r="L37" s="253"/>
      <c r="M37" s="253"/>
      <c r="N37" s="253"/>
      <c r="O37" s="254">
        <v>0</v>
      </c>
      <c r="P37" s="253"/>
      <c r="Q37" s="254"/>
    </row>
    <row r="38" spans="1:17" ht="15.75" hidden="1" thickTop="1" x14ac:dyDescent="0.25">
      <c r="A38" s="263" t="s">
        <v>941</v>
      </c>
      <c r="B38" s="263" t="s">
        <v>644</v>
      </c>
      <c r="C38" s="264">
        <v>5015</v>
      </c>
      <c r="D38" s="264">
        <v>673036</v>
      </c>
      <c r="E38" s="263"/>
      <c r="F38" s="264">
        <v>74494155013792</v>
      </c>
      <c r="G38" s="263" t="s">
        <v>7</v>
      </c>
      <c r="H38" s="264">
        <v>30574876474</v>
      </c>
      <c r="I38" s="263" t="s">
        <v>671</v>
      </c>
      <c r="J38" s="264">
        <v>1</v>
      </c>
      <c r="K38" s="263" t="s">
        <v>646</v>
      </c>
      <c r="L38" s="265">
        <v>3329.43</v>
      </c>
      <c r="M38" s="250">
        <v>0</v>
      </c>
      <c r="N38" s="250">
        <v>0</v>
      </c>
      <c r="O38" s="154">
        <v>432.82</v>
      </c>
      <c r="P38" s="154">
        <v>699.17</v>
      </c>
      <c r="Q38" s="154">
        <v>4461.42</v>
      </c>
    </row>
    <row r="39" spans="1:17" ht="15.75" hidden="1" thickTop="1" x14ac:dyDescent="0.25">
      <c r="A39" s="253" t="s">
        <v>942</v>
      </c>
      <c r="B39" s="253" t="s">
        <v>644</v>
      </c>
      <c r="C39" s="254">
        <v>12</v>
      </c>
      <c r="D39" s="254">
        <v>40989</v>
      </c>
      <c r="E39" s="253"/>
      <c r="F39" s="254">
        <v>74504258923570</v>
      </c>
      <c r="G39" s="253" t="s">
        <v>7</v>
      </c>
      <c r="H39" s="254">
        <v>30526582884</v>
      </c>
      <c r="I39" s="253" t="s">
        <v>700</v>
      </c>
      <c r="J39" s="254">
        <v>1</v>
      </c>
      <c r="K39" s="253" t="s">
        <v>646</v>
      </c>
      <c r="L39" s="255">
        <v>96958.68</v>
      </c>
      <c r="M39" s="254">
        <v>0</v>
      </c>
      <c r="N39" s="254">
        <v>0</v>
      </c>
      <c r="O39" s="254">
        <v>0</v>
      </c>
      <c r="P39" s="255">
        <v>20361.32</v>
      </c>
      <c r="Q39" s="254">
        <v>117320</v>
      </c>
    </row>
    <row r="40" spans="1:17" ht="15.75" hidden="1" thickTop="1" x14ac:dyDescent="0.25">
      <c r="A40" s="253" t="s">
        <v>942</v>
      </c>
      <c r="B40" s="253" t="s">
        <v>644</v>
      </c>
      <c r="C40" s="254">
        <v>17</v>
      </c>
      <c r="D40" s="254">
        <v>11167</v>
      </c>
      <c r="E40" s="253"/>
      <c r="F40" s="254">
        <v>74500215673228</v>
      </c>
      <c r="G40" s="253" t="s">
        <v>7</v>
      </c>
      <c r="H40" s="254">
        <v>30661143610</v>
      </c>
      <c r="I40" s="253" t="s">
        <v>544</v>
      </c>
      <c r="J40" s="254">
        <v>1</v>
      </c>
      <c r="K40" s="253" t="s">
        <v>646</v>
      </c>
      <c r="L40" s="254">
        <v>1328690</v>
      </c>
      <c r="M40" s="254">
        <v>0</v>
      </c>
      <c r="N40" s="254">
        <v>0</v>
      </c>
      <c r="O40" s="253">
        <v>53147.6</v>
      </c>
      <c r="P40" s="253">
        <v>279024.90000000002</v>
      </c>
      <c r="Q40" s="253">
        <v>1660862.5</v>
      </c>
    </row>
    <row r="41" spans="1:17" ht="15.75" hidden="1" thickTop="1" x14ac:dyDescent="0.25">
      <c r="A41" s="253" t="s">
        <v>942</v>
      </c>
      <c r="B41" s="253" t="s">
        <v>644</v>
      </c>
      <c r="C41" s="254">
        <v>4</v>
      </c>
      <c r="D41" s="254">
        <v>39047</v>
      </c>
      <c r="E41" s="253"/>
      <c r="F41" s="254">
        <v>74509213670602</v>
      </c>
      <c r="G41" s="253" t="s">
        <v>7</v>
      </c>
      <c r="H41" s="254">
        <v>20289111329</v>
      </c>
      <c r="I41" s="253" t="s">
        <v>685</v>
      </c>
      <c r="J41" s="254">
        <v>1</v>
      </c>
      <c r="K41" s="253" t="s">
        <v>646</v>
      </c>
      <c r="L41" s="255">
        <v>585348.09</v>
      </c>
      <c r="M41" s="254">
        <v>0</v>
      </c>
      <c r="N41" s="254">
        <v>0</v>
      </c>
      <c r="O41" s="254">
        <v>0</v>
      </c>
      <c r="P41" s="253">
        <v>122923.1</v>
      </c>
      <c r="Q41" s="255">
        <v>708271.19</v>
      </c>
    </row>
    <row r="42" spans="1:17" ht="15.75" hidden="1" thickTop="1" x14ac:dyDescent="0.25">
      <c r="A42" s="253" t="s">
        <v>942</v>
      </c>
      <c r="B42" s="253" t="s">
        <v>644</v>
      </c>
      <c r="C42" s="254">
        <v>8</v>
      </c>
      <c r="D42" s="254">
        <v>350</v>
      </c>
      <c r="E42" s="253"/>
      <c r="F42" s="254">
        <v>74504260222768</v>
      </c>
      <c r="G42" s="253" t="s">
        <v>7</v>
      </c>
      <c r="H42" s="254">
        <v>30643518364</v>
      </c>
      <c r="I42" s="253" t="s">
        <v>668</v>
      </c>
      <c r="J42" s="254">
        <v>1</v>
      </c>
      <c r="K42" s="253" t="s">
        <v>646</v>
      </c>
      <c r="L42" s="254">
        <v>461140</v>
      </c>
      <c r="M42" s="254">
        <v>0</v>
      </c>
      <c r="N42" s="254">
        <v>0</v>
      </c>
      <c r="O42" s="254">
        <v>0</v>
      </c>
      <c r="P42" s="253">
        <v>96839.4</v>
      </c>
      <c r="Q42" s="253">
        <v>557979.4</v>
      </c>
    </row>
    <row r="43" spans="1:17" ht="15.75" hidden="1" thickTop="1" x14ac:dyDescent="0.25">
      <c r="A43" t="s">
        <v>942</v>
      </c>
      <c r="B43" t="s">
        <v>644</v>
      </c>
      <c r="C43" s="250">
        <v>11</v>
      </c>
      <c r="D43" s="250">
        <v>1741771</v>
      </c>
      <c r="F43" s="250">
        <v>74504343694122</v>
      </c>
      <c r="G43" t="s">
        <v>7</v>
      </c>
      <c r="H43" s="250">
        <v>30709776564</v>
      </c>
      <c r="I43" t="s">
        <v>672</v>
      </c>
      <c r="J43" s="250">
        <v>1</v>
      </c>
      <c r="K43" t="s">
        <v>646</v>
      </c>
      <c r="L43" s="250">
        <v>129241</v>
      </c>
      <c r="M43" s="250">
        <v>0</v>
      </c>
      <c r="N43" s="250">
        <v>0</v>
      </c>
      <c r="O43" s="154">
        <v>5169.6400000000003</v>
      </c>
      <c r="P43" s="154">
        <v>27140.61</v>
      </c>
      <c r="Q43" s="154">
        <v>161551.26999999999</v>
      </c>
    </row>
    <row r="44" spans="1:17" ht="15.75" hidden="1" thickTop="1" x14ac:dyDescent="0.25">
      <c r="A44" s="263" t="s">
        <v>942</v>
      </c>
      <c r="B44" s="263" t="s">
        <v>644</v>
      </c>
      <c r="C44" s="264">
        <v>700</v>
      </c>
      <c r="D44" s="264">
        <v>2110090</v>
      </c>
      <c r="E44" s="263"/>
      <c r="F44" s="264">
        <v>74502327313006</v>
      </c>
      <c r="G44" s="263" t="s">
        <v>7</v>
      </c>
      <c r="H44" s="264">
        <v>30715804812</v>
      </c>
      <c r="I44" s="263" t="s">
        <v>669</v>
      </c>
      <c r="J44" s="264">
        <v>1</v>
      </c>
      <c r="K44" s="263" t="s">
        <v>646</v>
      </c>
      <c r="L44" s="265">
        <v>9672.33</v>
      </c>
      <c r="M44" s="250">
        <v>0</v>
      </c>
      <c r="N44" s="250">
        <v>0</v>
      </c>
      <c r="O44" s="154">
        <v>386.89</v>
      </c>
      <c r="P44" s="154">
        <v>2031.19</v>
      </c>
      <c r="Q44" s="154">
        <v>12090.41</v>
      </c>
    </row>
    <row r="45" spans="1:17" ht="15.75" hidden="1" thickTop="1" x14ac:dyDescent="0.25">
      <c r="A45" s="253" t="s">
        <v>942</v>
      </c>
      <c r="B45" s="253" t="s">
        <v>644</v>
      </c>
      <c r="C45" s="254">
        <v>3101</v>
      </c>
      <c r="D45" s="254">
        <v>220773</v>
      </c>
      <c r="E45" s="253"/>
      <c r="F45" s="254">
        <v>74507410659421</v>
      </c>
      <c r="G45" s="253" t="s">
        <v>7</v>
      </c>
      <c r="H45" s="254">
        <v>30678814357</v>
      </c>
      <c r="I45" s="253" t="s">
        <v>652</v>
      </c>
      <c r="J45" s="254">
        <v>1</v>
      </c>
      <c r="K45" s="253" t="s">
        <v>646</v>
      </c>
      <c r="L45" s="255">
        <v>75670.63</v>
      </c>
      <c r="M45" s="254">
        <v>0</v>
      </c>
      <c r="N45" s="254">
        <v>0</v>
      </c>
      <c r="O45" s="255">
        <v>5296.95</v>
      </c>
      <c r="P45" s="255">
        <v>20431.07</v>
      </c>
      <c r="Q45" s="255">
        <v>101398.65</v>
      </c>
    </row>
    <row r="46" spans="1:17" ht="15.75" hidden="1" thickTop="1" x14ac:dyDescent="0.25">
      <c r="A46" s="253" t="s">
        <v>942</v>
      </c>
      <c r="B46" s="253" t="s">
        <v>644</v>
      </c>
      <c r="C46" s="254">
        <v>5</v>
      </c>
      <c r="D46" s="254">
        <v>52</v>
      </c>
      <c r="E46" s="253"/>
      <c r="F46" s="254">
        <v>74502194149412</v>
      </c>
      <c r="G46" s="253" t="s">
        <v>7</v>
      </c>
      <c r="H46" s="254">
        <v>30707370552</v>
      </c>
      <c r="I46" s="253" t="s">
        <v>943</v>
      </c>
      <c r="J46" s="254">
        <v>1</v>
      </c>
      <c r="K46" s="253" t="s">
        <v>646</v>
      </c>
      <c r="L46" s="254">
        <v>1050000</v>
      </c>
      <c r="M46" s="254">
        <v>0</v>
      </c>
      <c r="N46" s="254">
        <v>0</v>
      </c>
      <c r="O46" s="254">
        <v>0</v>
      </c>
      <c r="P46" s="254">
        <v>220500</v>
      </c>
      <c r="Q46" s="254" t="s">
        <v>944</v>
      </c>
    </row>
    <row r="47" spans="1:17" ht="15.75" hidden="1" thickTop="1" x14ac:dyDescent="0.25">
      <c r="A47" s="253" t="s">
        <v>945</v>
      </c>
      <c r="B47" s="253" t="s">
        <v>644</v>
      </c>
      <c r="C47" s="254">
        <v>5</v>
      </c>
      <c r="D47" s="254">
        <v>2269</v>
      </c>
      <c r="E47" s="253"/>
      <c r="F47" s="254">
        <v>74508359329607</v>
      </c>
      <c r="G47" s="253" t="s">
        <v>7</v>
      </c>
      <c r="H47" s="254">
        <v>20242126158</v>
      </c>
      <c r="I47" s="253" t="s">
        <v>939</v>
      </c>
      <c r="J47" s="254">
        <v>1</v>
      </c>
      <c r="K47" s="253" t="s">
        <v>646</v>
      </c>
      <c r="L47" s="254">
        <v>504360</v>
      </c>
      <c r="M47" s="254">
        <v>0</v>
      </c>
      <c r="N47" s="254">
        <v>0</v>
      </c>
      <c r="O47" s="254">
        <v>0</v>
      </c>
      <c r="P47" s="253">
        <v>105915.6</v>
      </c>
      <c r="Q47" s="253">
        <v>610275.6</v>
      </c>
    </row>
    <row r="48" spans="1:17" ht="15.75" hidden="1" thickTop="1" x14ac:dyDescent="0.25">
      <c r="A48" s="263" t="s">
        <v>945</v>
      </c>
      <c r="B48" s="263" t="s">
        <v>644</v>
      </c>
      <c r="C48" s="264">
        <v>7</v>
      </c>
      <c r="D48" s="264">
        <v>3497</v>
      </c>
      <c r="E48" s="263"/>
      <c r="F48" s="264">
        <v>74504362927933</v>
      </c>
      <c r="G48" s="263" t="s">
        <v>7</v>
      </c>
      <c r="H48" s="264">
        <v>20284183534</v>
      </c>
      <c r="I48" s="263" t="s">
        <v>440</v>
      </c>
      <c r="J48" s="250">
        <v>1</v>
      </c>
      <c r="K48" t="s">
        <v>646</v>
      </c>
      <c r="L48" s="154">
        <v>7727.27</v>
      </c>
      <c r="M48" s="250">
        <v>0</v>
      </c>
      <c r="N48" s="250">
        <v>0</v>
      </c>
      <c r="O48" s="250">
        <v>0</v>
      </c>
      <c r="P48" s="154">
        <v>1622.73</v>
      </c>
      <c r="Q48" s="250">
        <v>9350</v>
      </c>
    </row>
    <row r="49" spans="1:17" ht="15.75" hidden="1" thickTop="1" x14ac:dyDescent="0.25">
      <c r="A49" s="253" t="s">
        <v>945</v>
      </c>
      <c r="B49" s="253" t="s">
        <v>644</v>
      </c>
      <c r="C49" s="254">
        <v>47</v>
      </c>
      <c r="D49" s="254">
        <v>30782</v>
      </c>
      <c r="E49" s="253"/>
      <c r="F49" s="254">
        <v>74507384225200</v>
      </c>
      <c r="G49" s="253" t="s">
        <v>7</v>
      </c>
      <c r="H49" s="254">
        <v>30708847247</v>
      </c>
      <c r="I49" s="253" t="s">
        <v>946</v>
      </c>
      <c r="J49" s="254">
        <v>1</v>
      </c>
      <c r="K49" s="253" t="s">
        <v>646</v>
      </c>
      <c r="L49" s="255">
        <v>29908.48</v>
      </c>
      <c r="M49" s="254">
        <v>0</v>
      </c>
      <c r="N49" s="254">
        <v>0</v>
      </c>
      <c r="O49" s="255">
        <v>1196.3399999999999</v>
      </c>
      <c r="P49" s="255">
        <v>6280.78</v>
      </c>
      <c r="Q49" s="253">
        <v>37385.599999999999</v>
      </c>
    </row>
    <row r="50" spans="1:17" ht="15.75" hidden="1" thickTop="1" x14ac:dyDescent="0.25">
      <c r="A50" s="253" t="s">
        <v>945</v>
      </c>
      <c r="B50" s="253" t="s">
        <v>644</v>
      </c>
      <c r="C50" s="254">
        <v>3</v>
      </c>
      <c r="D50" s="254">
        <v>47165</v>
      </c>
      <c r="E50" s="253"/>
      <c r="F50" s="254">
        <v>74508408433094</v>
      </c>
      <c r="G50" s="253" t="s">
        <v>7</v>
      </c>
      <c r="H50" s="254">
        <v>30711454388</v>
      </c>
      <c r="I50" s="253" t="s">
        <v>947</v>
      </c>
      <c r="J50" s="254">
        <v>1</v>
      </c>
      <c r="K50" s="253" t="s">
        <v>646</v>
      </c>
      <c r="L50" s="255">
        <v>272569.92</v>
      </c>
      <c r="M50" s="254">
        <v>0</v>
      </c>
      <c r="N50" s="254">
        <v>0</v>
      </c>
      <c r="O50" s="254">
        <v>0</v>
      </c>
      <c r="P50" s="255">
        <v>57239.68</v>
      </c>
      <c r="Q50" s="253">
        <v>329809.59999999998</v>
      </c>
    </row>
    <row r="51" spans="1:17" ht="15.75" hidden="1" thickTop="1" x14ac:dyDescent="0.25">
      <c r="A51" s="253" t="s">
        <v>945</v>
      </c>
      <c r="B51" s="253" t="s">
        <v>644</v>
      </c>
      <c r="C51" s="254">
        <v>2</v>
      </c>
      <c r="D51" s="254">
        <v>30</v>
      </c>
      <c r="E51" s="253"/>
      <c r="F51" s="254">
        <v>74505399555513</v>
      </c>
      <c r="G51" s="253" t="s">
        <v>7</v>
      </c>
      <c r="H51" s="254">
        <v>27243660535</v>
      </c>
      <c r="I51" s="253" t="s">
        <v>709</v>
      </c>
      <c r="J51" s="254">
        <v>1</v>
      </c>
      <c r="K51" s="253" t="s">
        <v>646</v>
      </c>
      <c r="L51" s="254">
        <v>414537</v>
      </c>
      <c r="M51" s="254">
        <v>0</v>
      </c>
      <c r="N51" s="254">
        <v>0</v>
      </c>
      <c r="O51" s="254">
        <v>0</v>
      </c>
      <c r="P51" s="255">
        <v>87052.77</v>
      </c>
      <c r="Q51" s="255">
        <v>501589.77</v>
      </c>
    </row>
    <row r="52" spans="1:17" ht="15.75" hidden="1" thickTop="1" x14ac:dyDescent="0.25">
      <c r="A52" s="253" t="s">
        <v>945</v>
      </c>
      <c r="B52" s="253" t="s">
        <v>644</v>
      </c>
      <c r="C52" s="254">
        <v>3</v>
      </c>
      <c r="D52" s="254">
        <v>8119</v>
      </c>
      <c r="E52" s="253"/>
      <c r="F52" s="254">
        <v>74509385734160</v>
      </c>
      <c r="G52" s="253" t="s">
        <v>7</v>
      </c>
      <c r="H52" s="254">
        <v>33708218699</v>
      </c>
      <c r="I52" s="253" t="s">
        <v>682</v>
      </c>
      <c r="J52" s="254">
        <v>1</v>
      </c>
      <c r="K52" s="253" t="s">
        <v>646</v>
      </c>
      <c r="L52" s="254">
        <v>19000</v>
      </c>
      <c r="M52" s="254">
        <v>0</v>
      </c>
      <c r="N52" s="254">
        <v>0</v>
      </c>
      <c r="O52" s="254">
        <v>0</v>
      </c>
      <c r="P52" s="254">
        <v>3990</v>
      </c>
      <c r="Q52" s="254">
        <v>22990</v>
      </c>
    </row>
    <row r="53" spans="1:17" ht="15.75" hidden="1" thickTop="1" x14ac:dyDescent="0.25">
      <c r="A53" s="253" t="s">
        <v>948</v>
      </c>
      <c r="B53" s="253" t="s">
        <v>655</v>
      </c>
      <c r="C53" s="254">
        <v>1</v>
      </c>
      <c r="D53" s="254">
        <v>75</v>
      </c>
      <c r="E53" s="253"/>
      <c r="F53" s="254">
        <v>74504733890547</v>
      </c>
      <c r="G53" s="253" t="s">
        <v>7</v>
      </c>
      <c r="H53" s="254">
        <v>23281233084</v>
      </c>
      <c r="I53" s="253" t="s">
        <v>184</v>
      </c>
      <c r="J53" s="254">
        <v>1</v>
      </c>
      <c r="K53" s="253" t="s">
        <v>646</v>
      </c>
      <c r="L53" s="253"/>
      <c r="M53" s="253"/>
      <c r="N53" s="253"/>
      <c r="O53" s="254">
        <v>0</v>
      </c>
      <c r="P53" s="253"/>
      <c r="Q53" s="254">
        <v>240000</v>
      </c>
    </row>
    <row r="54" spans="1:17" ht="15.75" hidden="1" thickTop="1" x14ac:dyDescent="0.25">
      <c r="A54" s="253" t="s">
        <v>948</v>
      </c>
      <c r="B54" s="253" t="s">
        <v>655</v>
      </c>
      <c r="C54" s="254">
        <v>2</v>
      </c>
      <c r="D54" s="254">
        <v>116</v>
      </c>
      <c r="E54" s="253"/>
      <c r="F54" s="254">
        <v>74508716353823</v>
      </c>
      <c r="G54" s="253" t="s">
        <v>7</v>
      </c>
      <c r="H54" s="254">
        <v>27315710508</v>
      </c>
      <c r="I54" s="253" t="s">
        <v>949</v>
      </c>
      <c r="J54" s="254">
        <v>1</v>
      </c>
      <c r="K54" s="253" t="s">
        <v>646</v>
      </c>
      <c r="L54" s="253"/>
      <c r="M54" s="253"/>
      <c r="N54" s="253"/>
      <c r="O54" s="254">
        <v>0</v>
      </c>
      <c r="P54" s="253"/>
      <c r="Q54" s="254">
        <v>40000</v>
      </c>
    </row>
    <row r="55" spans="1:17" ht="15.75" hidden="1" thickTop="1" x14ac:dyDescent="0.25">
      <c r="A55" t="s">
        <v>950</v>
      </c>
      <c r="B55" t="s">
        <v>644</v>
      </c>
      <c r="C55" s="250">
        <v>6938</v>
      </c>
      <c r="D55" s="250">
        <v>25552</v>
      </c>
      <c r="F55" s="250">
        <v>74505868756208</v>
      </c>
      <c r="G55" t="s">
        <v>7</v>
      </c>
      <c r="H55" s="250">
        <v>30678774495</v>
      </c>
      <c r="I55" t="s">
        <v>951</v>
      </c>
      <c r="J55" s="250">
        <v>1</v>
      </c>
      <c r="K55" t="s">
        <v>646</v>
      </c>
      <c r="L55" s="154">
        <v>36348.74</v>
      </c>
      <c r="M55" s="250">
        <v>0</v>
      </c>
      <c r="N55" s="250">
        <v>0</v>
      </c>
      <c r="O55" s="154">
        <v>9528.0499999999993</v>
      </c>
      <c r="P55" s="154">
        <v>7633.24</v>
      </c>
      <c r="Q55" s="154">
        <v>53510.03</v>
      </c>
    </row>
    <row r="56" spans="1:17" ht="15.75" hidden="1" thickTop="1" x14ac:dyDescent="0.25">
      <c r="A56" s="253" t="s">
        <v>950</v>
      </c>
      <c r="B56" s="253" t="s">
        <v>644</v>
      </c>
      <c r="C56" s="254">
        <v>1</v>
      </c>
      <c r="D56" s="254">
        <v>822</v>
      </c>
      <c r="E56" s="253"/>
      <c r="F56" s="254">
        <v>74500758354097</v>
      </c>
      <c r="G56" s="253" t="s">
        <v>7</v>
      </c>
      <c r="H56" s="254">
        <v>30715568760</v>
      </c>
      <c r="I56" s="253" t="s">
        <v>952</v>
      </c>
      <c r="J56" s="254">
        <v>1</v>
      </c>
      <c r="K56" s="253" t="s">
        <v>646</v>
      </c>
      <c r="L56" s="254">
        <v>336000</v>
      </c>
      <c r="M56" s="254">
        <v>0</v>
      </c>
      <c r="N56" s="254">
        <v>0</v>
      </c>
      <c r="O56" s="254">
        <v>0</v>
      </c>
      <c r="P56" s="254">
        <v>70560</v>
      </c>
      <c r="Q56" s="254">
        <v>406560</v>
      </c>
    </row>
    <row r="57" spans="1:17" ht="15.75" hidden="1" thickTop="1" x14ac:dyDescent="0.25">
      <c r="A57" s="253" t="s">
        <v>950</v>
      </c>
      <c r="B57" s="253" t="s">
        <v>644</v>
      </c>
      <c r="C57" s="254">
        <v>8</v>
      </c>
      <c r="D57" s="254">
        <v>1728</v>
      </c>
      <c r="E57" s="253"/>
      <c r="F57" s="254">
        <v>74501799554650</v>
      </c>
      <c r="G57" s="253" t="s">
        <v>7</v>
      </c>
      <c r="H57" s="254">
        <v>30708973501</v>
      </c>
      <c r="I57" s="253" t="s">
        <v>678</v>
      </c>
      <c r="J57" s="254">
        <v>1</v>
      </c>
      <c r="K57" s="253" t="s">
        <v>646</v>
      </c>
      <c r="L57" s="254">
        <v>728960</v>
      </c>
      <c r="M57" s="254">
        <v>0</v>
      </c>
      <c r="N57" s="254">
        <v>0</v>
      </c>
      <c r="O57" s="254">
        <v>0</v>
      </c>
      <c r="P57" s="253">
        <v>153081.60000000001</v>
      </c>
      <c r="Q57" s="253">
        <v>882041.6</v>
      </c>
    </row>
    <row r="58" spans="1:17" ht="15.75" hidden="1" thickTop="1" x14ac:dyDescent="0.25">
      <c r="A58" s="253" t="s">
        <v>950</v>
      </c>
      <c r="B58" s="253" t="s">
        <v>644</v>
      </c>
      <c r="C58" s="254">
        <v>3</v>
      </c>
      <c r="D58" s="254">
        <v>204</v>
      </c>
      <c r="E58" s="253"/>
      <c r="F58" s="254">
        <v>74513165157083</v>
      </c>
      <c r="G58" s="253" t="s">
        <v>7</v>
      </c>
      <c r="H58" s="254">
        <v>20334976433</v>
      </c>
      <c r="I58" s="253" t="s">
        <v>490</v>
      </c>
      <c r="J58" s="254">
        <v>1</v>
      </c>
      <c r="K58" s="253" t="s">
        <v>646</v>
      </c>
      <c r="L58" s="254">
        <v>50000</v>
      </c>
      <c r="M58" s="254">
        <v>0</v>
      </c>
      <c r="N58" s="254">
        <v>0</v>
      </c>
      <c r="O58" s="254">
        <v>0</v>
      </c>
      <c r="P58" s="254">
        <v>10500</v>
      </c>
      <c r="Q58" s="254">
        <v>60500</v>
      </c>
    </row>
    <row r="59" spans="1:17" ht="15.75" hidden="1" thickTop="1" x14ac:dyDescent="0.25">
      <c r="A59" t="s">
        <v>953</v>
      </c>
      <c r="B59" t="s">
        <v>644</v>
      </c>
      <c r="C59" s="250">
        <v>113</v>
      </c>
      <c r="D59" s="250">
        <v>3966754</v>
      </c>
      <c r="F59" s="250">
        <v>74510356402034</v>
      </c>
      <c r="G59" t="s">
        <v>7</v>
      </c>
      <c r="H59" s="250">
        <v>30577207190</v>
      </c>
      <c r="I59" t="s">
        <v>691</v>
      </c>
      <c r="J59" s="250">
        <v>1</v>
      </c>
      <c r="K59" t="s">
        <v>646</v>
      </c>
      <c r="L59" s="154">
        <v>991.73</v>
      </c>
      <c r="M59" s="250">
        <v>0</v>
      </c>
      <c r="N59" s="250">
        <v>0</v>
      </c>
      <c r="O59" s="250">
        <v>0</v>
      </c>
      <c r="P59" s="154">
        <v>208.27</v>
      </c>
      <c r="Q59" s="250">
        <v>1200</v>
      </c>
    </row>
    <row r="60" spans="1:17" ht="15.75" hidden="1" thickTop="1" x14ac:dyDescent="0.25">
      <c r="A60" s="253" t="s">
        <v>954</v>
      </c>
      <c r="B60" s="253" t="s">
        <v>644</v>
      </c>
      <c r="C60" s="254">
        <v>6</v>
      </c>
      <c r="D60" s="254">
        <v>1283</v>
      </c>
      <c r="E60" s="253"/>
      <c r="F60" s="254">
        <v>74513179257709</v>
      </c>
      <c r="G60" s="253" t="s">
        <v>7</v>
      </c>
      <c r="H60" s="254">
        <v>20247225243</v>
      </c>
      <c r="I60" s="253" t="s">
        <v>45</v>
      </c>
      <c r="J60" s="254">
        <v>1</v>
      </c>
      <c r="K60" s="253" t="s">
        <v>646</v>
      </c>
      <c r="L60" s="254">
        <v>445238</v>
      </c>
      <c r="M60" s="254">
        <v>0</v>
      </c>
      <c r="N60" s="254">
        <v>0</v>
      </c>
      <c r="O60" s="254">
        <v>0</v>
      </c>
      <c r="P60" s="255">
        <v>93499.98</v>
      </c>
      <c r="Q60" s="256" t="s">
        <v>955</v>
      </c>
    </row>
    <row r="61" spans="1:17" ht="15.75" hidden="1" thickTop="1" x14ac:dyDescent="0.25">
      <c r="A61" s="253" t="s">
        <v>954</v>
      </c>
      <c r="B61" s="253" t="s">
        <v>644</v>
      </c>
      <c r="C61" s="254">
        <v>5</v>
      </c>
      <c r="D61" s="254">
        <v>161959</v>
      </c>
      <c r="E61" s="253"/>
      <c r="F61" s="254">
        <v>74513118401565</v>
      </c>
      <c r="G61" s="253" t="s">
        <v>7</v>
      </c>
      <c r="H61" s="254">
        <v>30598960093</v>
      </c>
      <c r="I61" s="253" t="s">
        <v>650</v>
      </c>
      <c r="J61" s="254">
        <v>1</v>
      </c>
      <c r="K61" s="253" t="s">
        <v>646</v>
      </c>
      <c r="L61" s="253">
        <v>2662681.5</v>
      </c>
      <c r="M61" s="254">
        <v>0</v>
      </c>
      <c r="N61" s="254">
        <v>0</v>
      </c>
      <c r="O61" s="255">
        <v>106507.26</v>
      </c>
      <c r="P61" s="255">
        <v>559163.12</v>
      </c>
      <c r="Q61" s="255">
        <v>3328351.88</v>
      </c>
    </row>
    <row r="62" spans="1:17" ht="15.75" hidden="1" thickTop="1" x14ac:dyDescent="0.25">
      <c r="A62" s="253" t="s">
        <v>954</v>
      </c>
      <c r="B62" s="253" t="s">
        <v>644</v>
      </c>
      <c r="C62" s="254">
        <v>6</v>
      </c>
      <c r="D62" s="254">
        <v>87588</v>
      </c>
      <c r="E62" s="253"/>
      <c r="F62" s="254">
        <v>74514172729758</v>
      </c>
      <c r="G62" s="253" t="s">
        <v>7</v>
      </c>
      <c r="H62" s="254">
        <v>30711553564</v>
      </c>
      <c r="I62" s="253" t="s">
        <v>233</v>
      </c>
      <c r="J62" s="254">
        <v>1</v>
      </c>
      <c r="K62" s="253" t="s">
        <v>646</v>
      </c>
      <c r="L62" s="254">
        <v>629391</v>
      </c>
      <c r="M62" s="254">
        <v>0</v>
      </c>
      <c r="N62" s="254">
        <v>0</v>
      </c>
      <c r="O62" s="254">
        <v>0</v>
      </c>
      <c r="P62" s="255">
        <v>132172.10999999999</v>
      </c>
      <c r="Q62" s="255">
        <v>761563.11</v>
      </c>
    </row>
    <row r="63" spans="1:17" ht="15.75" hidden="1" thickTop="1" x14ac:dyDescent="0.25">
      <c r="A63" t="s">
        <v>954</v>
      </c>
      <c r="B63" t="s">
        <v>644</v>
      </c>
      <c r="C63" s="250">
        <v>5009</v>
      </c>
      <c r="D63" s="250">
        <v>1102661</v>
      </c>
      <c r="F63" s="250">
        <v>74514250055586</v>
      </c>
      <c r="G63" t="s">
        <v>7</v>
      </c>
      <c r="H63" s="250">
        <v>30574876474</v>
      </c>
      <c r="I63" t="s">
        <v>671</v>
      </c>
      <c r="J63" s="250">
        <v>1</v>
      </c>
      <c r="K63" t="s">
        <v>646</v>
      </c>
      <c r="L63" s="154">
        <v>4000.71</v>
      </c>
      <c r="M63" s="250">
        <v>0</v>
      </c>
      <c r="N63" s="250">
        <v>0</v>
      </c>
      <c r="O63" s="154">
        <v>520.09</v>
      </c>
      <c r="P63" s="154">
        <v>840.15</v>
      </c>
      <c r="Q63" s="154">
        <v>5360.95</v>
      </c>
    </row>
    <row r="64" spans="1:17" ht="15.75" hidden="1" thickTop="1" x14ac:dyDescent="0.25">
      <c r="A64" s="263" t="s">
        <v>954</v>
      </c>
      <c r="B64" s="263" t="s">
        <v>644</v>
      </c>
      <c r="C64" s="264">
        <v>5015</v>
      </c>
      <c r="D64" s="264">
        <v>676181</v>
      </c>
      <c r="E64" s="263"/>
      <c r="F64" s="264">
        <v>74514225222766</v>
      </c>
      <c r="G64" s="263" t="s">
        <v>7</v>
      </c>
      <c r="H64" s="264">
        <v>30574876474</v>
      </c>
      <c r="I64" s="263" t="s">
        <v>671</v>
      </c>
      <c r="J64" s="264">
        <v>1</v>
      </c>
      <c r="K64" s="263" t="s">
        <v>646</v>
      </c>
      <c r="L64" s="265">
        <v>11734.83</v>
      </c>
      <c r="M64" s="250">
        <v>0</v>
      </c>
      <c r="N64" s="250">
        <v>0</v>
      </c>
      <c r="O64" s="154">
        <v>1525.52</v>
      </c>
      <c r="P64">
        <v>2464.3000000000002</v>
      </c>
      <c r="Q64" s="154">
        <v>15724.65</v>
      </c>
    </row>
    <row r="65" spans="1:17" ht="15.75" hidden="1" thickTop="1" x14ac:dyDescent="0.25">
      <c r="A65" s="263" t="s">
        <v>954</v>
      </c>
      <c r="B65" s="263" t="s">
        <v>644</v>
      </c>
      <c r="C65" s="264">
        <v>50</v>
      </c>
      <c r="D65" s="264">
        <v>3973434</v>
      </c>
      <c r="E65" s="263"/>
      <c r="F65" s="264">
        <v>74516238472772</v>
      </c>
      <c r="G65" s="263" t="s">
        <v>7</v>
      </c>
      <c r="H65" s="264">
        <v>30714112836</v>
      </c>
      <c r="I65" s="263" t="s">
        <v>956</v>
      </c>
      <c r="J65" s="264">
        <v>1</v>
      </c>
      <c r="K65" s="263" t="s">
        <v>646</v>
      </c>
      <c r="L65" s="265">
        <v>1074.3800000000001</v>
      </c>
      <c r="M65" s="250">
        <v>0</v>
      </c>
      <c r="N65" s="250">
        <v>0</v>
      </c>
      <c r="O65" s="250">
        <v>0</v>
      </c>
      <c r="P65" s="154">
        <v>225.62</v>
      </c>
      <c r="Q65" s="250">
        <v>1300</v>
      </c>
    </row>
    <row r="66" spans="1:17" ht="15.75" hidden="1" thickTop="1" x14ac:dyDescent="0.25">
      <c r="A66" t="s">
        <v>954</v>
      </c>
      <c r="B66" t="s">
        <v>644</v>
      </c>
      <c r="C66" s="250">
        <v>711</v>
      </c>
      <c r="D66" s="250">
        <v>6515693</v>
      </c>
      <c r="F66" s="250">
        <v>34509795539939</v>
      </c>
      <c r="G66" t="s">
        <v>7</v>
      </c>
      <c r="H66" s="250">
        <v>30677237119</v>
      </c>
      <c r="I66" t="s">
        <v>658</v>
      </c>
      <c r="J66" s="250">
        <v>1</v>
      </c>
      <c r="K66" t="s">
        <v>646</v>
      </c>
      <c r="L66" s="154">
        <v>5715.46</v>
      </c>
      <c r="M66" s="250">
        <v>0</v>
      </c>
      <c r="N66" s="154">
        <v>171.46</v>
      </c>
      <c r="O66" s="154">
        <v>228.62</v>
      </c>
      <c r="P66" s="154">
        <v>1200.24</v>
      </c>
      <c r="Q66" s="154">
        <v>7315.78</v>
      </c>
    </row>
    <row r="67" spans="1:17" ht="15.75" hidden="1" thickTop="1" x14ac:dyDescent="0.25">
      <c r="A67" s="263" t="s">
        <v>954</v>
      </c>
      <c r="B67" s="263" t="s">
        <v>644</v>
      </c>
      <c r="C67" s="264">
        <v>629</v>
      </c>
      <c r="D67" s="264">
        <v>5697193</v>
      </c>
      <c r="E67" s="263"/>
      <c r="F67" s="264">
        <v>34503377592129</v>
      </c>
      <c r="G67" s="263" t="s">
        <v>7</v>
      </c>
      <c r="H67" s="264">
        <v>30663498513</v>
      </c>
      <c r="I67" s="263" t="s">
        <v>657</v>
      </c>
      <c r="J67" s="264">
        <v>1</v>
      </c>
      <c r="K67" s="263" t="s">
        <v>646</v>
      </c>
      <c r="L67" s="265">
        <v>1362.95</v>
      </c>
      <c r="M67" s="250">
        <v>0</v>
      </c>
      <c r="N67" s="250">
        <v>0</v>
      </c>
      <c r="O67" s="154">
        <v>54.52</v>
      </c>
      <c r="P67" s="154">
        <v>286.22000000000003</v>
      </c>
      <c r="Q67" s="154">
        <v>1703.69</v>
      </c>
    </row>
    <row r="68" spans="1:17" ht="15.75" hidden="1" thickTop="1" x14ac:dyDescent="0.25">
      <c r="A68" s="253" t="s">
        <v>954</v>
      </c>
      <c r="B68" s="253" t="s">
        <v>644</v>
      </c>
      <c r="C68" s="254">
        <v>5</v>
      </c>
      <c r="D68" s="254">
        <v>35</v>
      </c>
      <c r="E68" s="253"/>
      <c r="F68" s="254">
        <v>74513130767020</v>
      </c>
      <c r="G68" s="253" t="s">
        <v>7</v>
      </c>
      <c r="H68" s="254">
        <v>20929183143</v>
      </c>
      <c r="I68" s="253" t="s">
        <v>461</v>
      </c>
      <c r="J68" s="254">
        <v>1</v>
      </c>
      <c r="K68" s="253" t="s">
        <v>646</v>
      </c>
      <c r="L68" s="254">
        <v>70000</v>
      </c>
      <c r="M68" s="254">
        <v>0</v>
      </c>
      <c r="N68" s="254">
        <v>0</v>
      </c>
      <c r="O68" s="254">
        <v>0</v>
      </c>
      <c r="P68" s="254">
        <v>14700</v>
      </c>
      <c r="Q68" s="254">
        <v>84700</v>
      </c>
    </row>
    <row r="69" spans="1:17" ht="15.75" hidden="1" thickTop="1" x14ac:dyDescent="0.25">
      <c r="A69" s="253" t="s">
        <v>954</v>
      </c>
      <c r="B69" s="253" t="s">
        <v>655</v>
      </c>
      <c r="C69" s="254">
        <v>1</v>
      </c>
      <c r="D69" s="254">
        <v>2</v>
      </c>
      <c r="E69" s="253"/>
      <c r="F69" s="254">
        <v>74511125686307</v>
      </c>
      <c r="G69" s="253" t="s">
        <v>7</v>
      </c>
      <c r="H69" s="254">
        <v>20236043631</v>
      </c>
      <c r="I69" s="253" t="s">
        <v>957</v>
      </c>
      <c r="J69" s="254">
        <v>1</v>
      </c>
      <c r="K69" s="253" t="s">
        <v>646</v>
      </c>
      <c r="L69" s="253"/>
      <c r="M69" s="253"/>
      <c r="N69" s="253"/>
      <c r="O69" s="254">
        <v>0</v>
      </c>
      <c r="P69" s="253"/>
      <c r="Q69" s="254">
        <v>500000</v>
      </c>
    </row>
    <row r="70" spans="1:17" ht="15.75" hidden="1" thickTop="1" x14ac:dyDescent="0.25">
      <c r="A70" s="253" t="s">
        <v>954</v>
      </c>
      <c r="B70" s="253" t="s">
        <v>655</v>
      </c>
      <c r="C70" s="254">
        <v>1</v>
      </c>
      <c r="D70" s="254">
        <v>272</v>
      </c>
      <c r="E70" s="253"/>
      <c r="F70" s="254">
        <v>74525396385388</v>
      </c>
      <c r="G70" s="253" t="s">
        <v>7</v>
      </c>
      <c r="H70" s="254">
        <v>27217606255</v>
      </c>
      <c r="I70" s="253" t="s">
        <v>352</v>
      </c>
      <c r="J70" s="254">
        <v>1</v>
      </c>
      <c r="K70" s="253" t="s">
        <v>646</v>
      </c>
      <c r="L70" s="253"/>
      <c r="M70" s="253"/>
      <c r="N70" s="253"/>
      <c r="O70" s="254">
        <v>0</v>
      </c>
      <c r="P70" s="253"/>
      <c r="Q70" s="255">
        <v>85055.12</v>
      </c>
    </row>
    <row r="71" spans="1:17" ht="15.75" hidden="1" thickTop="1" x14ac:dyDescent="0.25">
      <c r="A71" t="s">
        <v>958</v>
      </c>
      <c r="B71" t="s">
        <v>644</v>
      </c>
      <c r="C71" s="250">
        <v>5</v>
      </c>
      <c r="D71" s="250">
        <v>2299</v>
      </c>
      <c r="F71" s="250">
        <v>74518259898614</v>
      </c>
      <c r="G71" t="s">
        <v>7</v>
      </c>
      <c r="H71" s="250">
        <v>20242126158</v>
      </c>
      <c r="I71" t="s">
        <v>939</v>
      </c>
      <c r="J71" s="250">
        <v>1</v>
      </c>
      <c r="K71" t="s">
        <v>646</v>
      </c>
      <c r="L71" s="250">
        <v>49410</v>
      </c>
      <c r="M71" s="250">
        <v>0</v>
      </c>
      <c r="N71" s="250">
        <v>0</v>
      </c>
      <c r="O71" s="250">
        <v>0</v>
      </c>
      <c r="P71">
        <v>10376.1</v>
      </c>
      <c r="Q71">
        <v>59786.1</v>
      </c>
    </row>
    <row r="72" spans="1:17" ht="15.75" hidden="1" thickTop="1" x14ac:dyDescent="0.25">
      <c r="A72" s="253" t="s">
        <v>958</v>
      </c>
      <c r="B72" s="253" t="s">
        <v>644</v>
      </c>
      <c r="C72" s="254">
        <v>5</v>
      </c>
      <c r="D72" s="254">
        <v>1406</v>
      </c>
      <c r="E72" s="253"/>
      <c r="F72" s="254">
        <v>74515276633327</v>
      </c>
      <c r="G72" s="253" t="s">
        <v>7</v>
      </c>
      <c r="H72" s="254">
        <v>27265302225</v>
      </c>
      <c r="I72" s="253" t="s">
        <v>165</v>
      </c>
      <c r="J72" s="254">
        <v>1</v>
      </c>
      <c r="K72" s="253" t="s">
        <v>646</v>
      </c>
      <c r="L72" s="254">
        <v>750000</v>
      </c>
      <c r="M72" s="254">
        <v>0</v>
      </c>
      <c r="N72" s="254">
        <v>0</v>
      </c>
      <c r="O72" s="254">
        <v>0</v>
      </c>
      <c r="P72" s="254">
        <v>157500</v>
      </c>
      <c r="Q72" s="254">
        <v>907500</v>
      </c>
    </row>
    <row r="73" spans="1:17" ht="15.75" hidden="1" thickTop="1" x14ac:dyDescent="0.25">
      <c r="A73" t="s">
        <v>958</v>
      </c>
      <c r="B73" t="s">
        <v>655</v>
      </c>
      <c r="C73" s="250">
        <v>1</v>
      </c>
      <c r="D73" s="250">
        <v>11</v>
      </c>
      <c r="F73" s="250">
        <v>74528404797484</v>
      </c>
      <c r="G73" t="s">
        <v>7</v>
      </c>
      <c r="H73" s="250">
        <v>27950736858</v>
      </c>
      <c r="I73" t="s">
        <v>959</v>
      </c>
      <c r="J73" s="250">
        <v>1</v>
      </c>
      <c r="K73" t="s">
        <v>646</v>
      </c>
      <c r="O73" s="250">
        <v>0</v>
      </c>
      <c r="Q73" s="250">
        <v>750000</v>
      </c>
    </row>
    <row r="74" spans="1:17" ht="15.75" hidden="1" thickTop="1" x14ac:dyDescent="0.25">
      <c r="A74" s="253" t="s">
        <v>958</v>
      </c>
      <c r="B74" s="253" t="s">
        <v>655</v>
      </c>
      <c r="C74" s="254">
        <v>1</v>
      </c>
      <c r="D74" s="254">
        <v>273</v>
      </c>
      <c r="E74" s="253"/>
      <c r="F74" s="254">
        <v>74525396605047</v>
      </c>
      <c r="G74" s="253" t="s">
        <v>7</v>
      </c>
      <c r="H74" s="254">
        <v>27217606255</v>
      </c>
      <c r="I74" s="253" t="s">
        <v>352</v>
      </c>
      <c r="J74" s="254">
        <v>1</v>
      </c>
      <c r="K74" s="253" t="s">
        <v>646</v>
      </c>
      <c r="L74" s="253"/>
      <c r="M74" s="253"/>
      <c r="N74" s="253"/>
      <c r="O74" s="254">
        <v>0</v>
      </c>
      <c r="P74" s="253"/>
      <c r="Q74" s="255">
        <v>75334.539999999994</v>
      </c>
    </row>
    <row r="75" spans="1:17" ht="15.75" hidden="1" thickTop="1" x14ac:dyDescent="0.25">
      <c r="A75" s="266" t="s">
        <v>958</v>
      </c>
      <c r="B75" s="266" t="s">
        <v>960</v>
      </c>
      <c r="C75" s="267">
        <v>1</v>
      </c>
      <c r="D75" s="267">
        <v>1</v>
      </c>
      <c r="E75" s="266"/>
      <c r="F75" s="267">
        <v>74528405372070</v>
      </c>
      <c r="G75" s="266" t="s">
        <v>7</v>
      </c>
      <c r="H75" s="267">
        <v>27950736858</v>
      </c>
      <c r="I75" s="266" t="s">
        <v>959</v>
      </c>
      <c r="J75" s="267">
        <v>1</v>
      </c>
      <c r="K75" s="266" t="s">
        <v>646</v>
      </c>
      <c r="L75" s="266"/>
      <c r="O75" s="250">
        <v>0</v>
      </c>
      <c r="Q75" s="250">
        <v>-750000</v>
      </c>
    </row>
    <row r="76" spans="1:17" ht="15.75" hidden="1" thickTop="1" x14ac:dyDescent="0.25">
      <c r="A76" s="253" t="s">
        <v>961</v>
      </c>
      <c r="B76" s="253" t="s">
        <v>644</v>
      </c>
      <c r="C76" s="254">
        <v>2</v>
      </c>
      <c r="D76" s="254">
        <v>11142</v>
      </c>
      <c r="E76" s="253"/>
      <c r="F76" s="254">
        <v>74512443644571</v>
      </c>
      <c r="G76" s="253" t="s">
        <v>7</v>
      </c>
      <c r="H76" s="254">
        <v>30714331082</v>
      </c>
      <c r="I76" s="253" t="s">
        <v>936</v>
      </c>
      <c r="J76" s="254">
        <v>1</v>
      </c>
      <c r="K76" s="253" t="s">
        <v>646</v>
      </c>
      <c r="L76" s="255">
        <v>81488.509999999995</v>
      </c>
      <c r="M76" s="254">
        <v>0</v>
      </c>
      <c r="N76" s="254">
        <v>0</v>
      </c>
      <c r="O76" s="254">
        <v>0</v>
      </c>
      <c r="P76" s="255">
        <v>17112.59</v>
      </c>
      <c r="Q76" s="253">
        <v>98601.1</v>
      </c>
    </row>
    <row r="77" spans="1:17" ht="15.75" hidden="1" thickTop="1" x14ac:dyDescent="0.25">
      <c r="A77" s="253" t="s">
        <v>961</v>
      </c>
      <c r="B77" s="253" t="s">
        <v>644</v>
      </c>
      <c r="C77" s="254">
        <v>17</v>
      </c>
      <c r="D77" s="254">
        <v>11263</v>
      </c>
      <c r="E77" s="253"/>
      <c r="F77" s="254">
        <v>74510456950840</v>
      </c>
      <c r="G77" s="253" t="s">
        <v>7</v>
      </c>
      <c r="H77" s="254">
        <v>30661143610</v>
      </c>
      <c r="I77" s="253" t="s">
        <v>544</v>
      </c>
      <c r="J77" s="254">
        <v>1</v>
      </c>
      <c r="K77" s="253" t="s">
        <v>646</v>
      </c>
      <c r="L77" s="254">
        <v>614780</v>
      </c>
      <c r="M77" s="254">
        <v>0</v>
      </c>
      <c r="N77" s="254">
        <v>0</v>
      </c>
      <c r="O77" s="253">
        <v>24591.200000000001</v>
      </c>
      <c r="P77" s="253">
        <v>129103.8</v>
      </c>
      <c r="Q77" s="254">
        <v>768475</v>
      </c>
    </row>
    <row r="78" spans="1:17" ht="15.75" hidden="1" thickTop="1" x14ac:dyDescent="0.25">
      <c r="A78" s="253" t="s">
        <v>961</v>
      </c>
      <c r="B78" s="253" t="s">
        <v>644</v>
      </c>
      <c r="C78" s="254">
        <v>114</v>
      </c>
      <c r="D78" s="254">
        <v>3711</v>
      </c>
      <c r="E78" s="253"/>
      <c r="F78" s="254">
        <v>74519438888564</v>
      </c>
      <c r="G78" s="253" t="s">
        <v>7</v>
      </c>
      <c r="H78" s="254">
        <v>33546505729</v>
      </c>
      <c r="I78" s="253" t="s">
        <v>962</v>
      </c>
      <c r="J78" s="254">
        <v>1</v>
      </c>
      <c r="K78" s="253" t="s">
        <v>646</v>
      </c>
      <c r="L78" s="253">
        <v>9256.2000000000007</v>
      </c>
      <c r="M78" s="254">
        <v>0</v>
      </c>
      <c r="N78" s="254">
        <v>0</v>
      </c>
      <c r="O78" s="254">
        <v>0</v>
      </c>
      <c r="P78" s="253">
        <v>1943.8</v>
      </c>
      <c r="Q78" s="254">
        <v>11200</v>
      </c>
    </row>
    <row r="79" spans="1:17" ht="15.75" hidden="1" thickTop="1" x14ac:dyDescent="0.25">
      <c r="A79" s="253" t="s">
        <v>961</v>
      </c>
      <c r="B79" s="253" t="s">
        <v>644</v>
      </c>
      <c r="C79" s="254">
        <v>1</v>
      </c>
      <c r="D79" s="254">
        <v>5748</v>
      </c>
      <c r="E79" s="253"/>
      <c r="F79" s="254">
        <v>74511457475201</v>
      </c>
      <c r="G79" s="253" t="s">
        <v>7</v>
      </c>
      <c r="H79" s="254">
        <v>30715141201</v>
      </c>
      <c r="I79" s="253" t="s">
        <v>649</v>
      </c>
      <c r="J79" s="254">
        <v>1</v>
      </c>
      <c r="K79" s="253" t="s">
        <v>646</v>
      </c>
      <c r="L79" s="254">
        <v>166140</v>
      </c>
      <c r="M79" s="254">
        <v>0</v>
      </c>
      <c r="N79" s="254">
        <v>0</v>
      </c>
      <c r="O79" s="254">
        <v>0</v>
      </c>
      <c r="P79" s="253">
        <v>34889.4</v>
      </c>
      <c r="Q79" s="253">
        <v>201029.4</v>
      </c>
    </row>
    <row r="80" spans="1:17" ht="15.75" hidden="1" thickTop="1" x14ac:dyDescent="0.25">
      <c r="A80" s="253" t="s">
        <v>961</v>
      </c>
      <c r="B80" s="253" t="s">
        <v>644</v>
      </c>
      <c r="C80" s="254">
        <v>4264</v>
      </c>
      <c r="D80" s="254">
        <v>4790521</v>
      </c>
      <c r="E80" s="253"/>
      <c r="F80" s="254">
        <v>74518592669293</v>
      </c>
      <c r="G80" s="253" t="s">
        <v>7</v>
      </c>
      <c r="H80" s="254">
        <v>30639453738</v>
      </c>
      <c r="I80" s="253" t="s">
        <v>697</v>
      </c>
      <c r="J80" s="254">
        <v>1</v>
      </c>
      <c r="K80" s="253" t="s">
        <v>646</v>
      </c>
      <c r="L80" s="255">
        <v>26994.42</v>
      </c>
      <c r="M80" s="254">
        <v>0</v>
      </c>
      <c r="N80" s="254">
        <v>0</v>
      </c>
      <c r="O80" s="255">
        <v>2159.5500000000002</v>
      </c>
      <c r="P80" s="255">
        <v>5668.83</v>
      </c>
      <c r="Q80" s="253">
        <v>34822.800000000003</v>
      </c>
    </row>
    <row r="81" spans="1:17" ht="15.75" hidden="1" thickTop="1" x14ac:dyDescent="0.25">
      <c r="A81" s="266" t="s">
        <v>961</v>
      </c>
      <c r="B81" s="266" t="s">
        <v>666</v>
      </c>
      <c r="C81" s="267">
        <v>17</v>
      </c>
      <c r="D81" s="267">
        <v>701</v>
      </c>
      <c r="E81" s="266"/>
      <c r="F81" s="267">
        <v>74510526315780</v>
      </c>
      <c r="G81" s="266" t="s">
        <v>7</v>
      </c>
      <c r="H81" s="267">
        <v>30661143610</v>
      </c>
      <c r="I81" s="266" t="s">
        <v>544</v>
      </c>
      <c r="J81" s="267">
        <v>1</v>
      </c>
      <c r="K81" s="266" t="s">
        <v>646</v>
      </c>
      <c r="L81" s="267">
        <v>-1328690</v>
      </c>
      <c r="M81" s="250">
        <v>0</v>
      </c>
      <c r="N81" s="250">
        <v>0</v>
      </c>
      <c r="O81">
        <v>-53147.6</v>
      </c>
      <c r="P81">
        <v>-279024.90000000002</v>
      </c>
      <c r="Q81">
        <v>-1660862.5</v>
      </c>
    </row>
    <row r="82" spans="1:17" ht="15.75" hidden="1" thickTop="1" x14ac:dyDescent="0.25">
      <c r="A82" s="257" t="s">
        <v>961</v>
      </c>
      <c r="B82" s="257" t="s">
        <v>963</v>
      </c>
      <c r="C82" s="258">
        <v>21</v>
      </c>
      <c r="D82" s="258">
        <v>71212</v>
      </c>
      <c r="E82" s="257"/>
      <c r="F82" s="258">
        <v>74511506174184</v>
      </c>
      <c r="G82" s="257" t="s">
        <v>7</v>
      </c>
      <c r="H82" s="258">
        <v>20166808201</v>
      </c>
      <c r="I82" s="257" t="s">
        <v>964</v>
      </c>
      <c r="J82" s="258">
        <v>1</v>
      </c>
      <c r="K82" s="257" t="s">
        <v>646</v>
      </c>
      <c r="L82" s="258">
        <v>0</v>
      </c>
      <c r="M82" s="258">
        <v>0</v>
      </c>
      <c r="N82" s="258">
        <v>0</v>
      </c>
      <c r="O82" s="258">
        <v>0</v>
      </c>
      <c r="P82" s="258">
        <v>0</v>
      </c>
      <c r="Q82" s="259">
        <v>29638.76</v>
      </c>
    </row>
    <row r="83" spans="1:17" ht="15.75" hidden="1" thickTop="1" x14ac:dyDescent="0.25">
      <c r="A83" s="257" t="s">
        <v>961</v>
      </c>
      <c r="B83" s="257" t="s">
        <v>963</v>
      </c>
      <c r="C83" s="258">
        <v>21</v>
      </c>
      <c r="D83" s="258">
        <v>71213</v>
      </c>
      <c r="E83" s="257"/>
      <c r="F83" s="258">
        <v>74511506176631</v>
      </c>
      <c r="G83" s="257" t="s">
        <v>7</v>
      </c>
      <c r="H83" s="258">
        <v>20166808201</v>
      </c>
      <c r="I83" s="257" t="s">
        <v>964</v>
      </c>
      <c r="J83" s="258">
        <v>1</v>
      </c>
      <c r="K83" s="257" t="s">
        <v>646</v>
      </c>
      <c r="L83" s="258">
        <v>0</v>
      </c>
      <c r="M83" s="258">
        <v>0</v>
      </c>
      <c r="N83" s="258">
        <v>0</v>
      </c>
      <c r="O83" s="258">
        <v>0</v>
      </c>
      <c r="P83" s="258">
        <v>0</v>
      </c>
      <c r="Q83" s="259">
        <v>88916.28</v>
      </c>
    </row>
    <row r="84" spans="1:17" ht="15.75" hidden="1" thickTop="1" x14ac:dyDescent="0.25">
      <c r="A84" s="257" t="s">
        <v>961</v>
      </c>
      <c r="B84" s="257" t="s">
        <v>963</v>
      </c>
      <c r="C84" s="258">
        <v>21</v>
      </c>
      <c r="D84" s="258">
        <v>71214</v>
      </c>
      <c r="E84" s="257"/>
      <c r="F84" s="258">
        <v>74511506178793</v>
      </c>
      <c r="G84" s="257" t="s">
        <v>7</v>
      </c>
      <c r="H84" s="258">
        <v>20166808201</v>
      </c>
      <c r="I84" s="257" t="s">
        <v>964</v>
      </c>
      <c r="J84" s="258">
        <v>1</v>
      </c>
      <c r="K84" s="257" t="s">
        <v>646</v>
      </c>
      <c r="L84" s="258">
        <v>0</v>
      </c>
      <c r="M84" s="258">
        <v>0</v>
      </c>
      <c r="N84" s="258">
        <v>0</v>
      </c>
      <c r="O84" s="258">
        <v>0</v>
      </c>
      <c r="P84" s="258">
        <v>0</v>
      </c>
      <c r="Q84" s="259">
        <v>59277.52</v>
      </c>
    </row>
    <row r="85" spans="1:17" ht="15.75" hidden="1" thickTop="1" x14ac:dyDescent="0.25">
      <c r="A85" s="257" t="s">
        <v>961</v>
      </c>
      <c r="B85" s="257" t="s">
        <v>963</v>
      </c>
      <c r="C85" s="258">
        <v>21</v>
      </c>
      <c r="D85" s="258">
        <v>71215</v>
      </c>
      <c r="E85" s="257"/>
      <c r="F85" s="258">
        <v>74511506180777</v>
      </c>
      <c r="G85" s="257" t="s">
        <v>7</v>
      </c>
      <c r="H85" s="258">
        <v>20166808201</v>
      </c>
      <c r="I85" s="257" t="s">
        <v>964</v>
      </c>
      <c r="J85" s="258">
        <v>1</v>
      </c>
      <c r="K85" s="257" t="s">
        <v>646</v>
      </c>
      <c r="L85" s="258">
        <v>0</v>
      </c>
      <c r="M85" s="258">
        <v>0</v>
      </c>
      <c r="N85" s="258">
        <v>0</v>
      </c>
      <c r="O85" s="258">
        <v>0</v>
      </c>
      <c r="P85" s="258">
        <v>0</v>
      </c>
      <c r="Q85" s="259">
        <v>59277.52</v>
      </c>
    </row>
    <row r="86" spans="1:17" ht="15.75" hidden="1" thickTop="1" x14ac:dyDescent="0.25">
      <c r="A86" s="257" t="s">
        <v>961</v>
      </c>
      <c r="B86" s="257" t="s">
        <v>963</v>
      </c>
      <c r="C86" s="258">
        <v>21</v>
      </c>
      <c r="D86" s="258">
        <v>71217</v>
      </c>
      <c r="E86" s="257"/>
      <c r="F86" s="258">
        <v>74511506185463</v>
      </c>
      <c r="G86" s="257" t="s">
        <v>7</v>
      </c>
      <c r="H86" s="258">
        <v>20166808201</v>
      </c>
      <c r="I86" s="257" t="s">
        <v>964</v>
      </c>
      <c r="J86" s="258">
        <v>1</v>
      </c>
      <c r="K86" s="257" t="s">
        <v>646</v>
      </c>
      <c r="L86" s="258">
        <v>0</v>
      </c>
      <c r="M86" s="258">
        <v>0</v>
      </c>
      <c r="N86" s="258">
        <v>0</v>
      </c>
      <c r="O86" s="258">
        <v>0</v>
      </c>
      <c r="P86" s="258">
        <v>0</v>
      </c>
      <c r="Q86" s="259">
        <v>88916.28</v>
      </c>
    </row>
    <row r="87" spans="1:17" ht="15.75" hidden="1" thickTop="1" x14ac:dyDescent="0.25">
      <c r="A87" s="257" t="s">
        <v>961</v>
      </c>
      <c r="B87" s="257" t="s">
        <v>963</v>
      </c>
      <c r="C87" s="258">
        <v>21</v>
      </c>
      <c r="D87" s="258">
        <v>71218</v>
      </c>
      <c r="E87" s="257"/>
      <c r="F87" s="258">
        <v>74511506188806</v>
      </c>
      <c r="G87" s="257" t="s">
        <v>7</v>
      </c>
      <c r="H87" s="258">
        <v>20166808201</v>
      </c>
      <c r="I87" s="257" t="s">
        <v>964</v>
      </c>
      <c r="J87" s="258">
        <v>1</v>
      </c>
      <c r="K87" s="257" t="s">
        <v>646</v>
      </c>
      <c r="L87" s="258">
        <v>0</v>
      </c>
      <c r="M87" s="258">
        <v>0</v>
      </c>
      <c r="N87" s="258">
        <v>0</v>
      </c>
      <c r="O87" s="258">
        <v>0</v>
      </c>
      <c r="P87" s="258">
        <v>0</v>
      </c>
      <c r="Q87" s="259">
        <v>29638.76</v>
      </c>
    </row>
    <row r="88" spans="1:17" ht="15.75" hidden="1" thickTop="1" x14ac:dyDescent="0.25">
      <c r="A88" s="253" t="s">
        <v>961</v>
      </c>
      <c r="B88" s="253" t="s">
        <v>655</v>
      </c>
      <c r="C88" s="254">
        <v>1</v>
      </c>
      <c r="D88" s="254">
        <v>274</v>
      </c>
      <c r="E88" s="253"/>
      <c r="F88" s="254">
        <v>74525396786581</v>
      </c>
      <c r="G88" s="253" t="s">
        <v>7</v>
      </c>
      <c r="H88" s="254">
        <v>27217606255</v>
      </c>
      <c r="I88" s="253" t="s">
        <v>352</v>
      </c>
      <c r="J88" s="254">
        <v>1</v>
      </c>
      <c r="K88" s="253" t="s">
        <v>646</v>
      </c>
      <c r="L88" s="253"/>
      <c r="M88" s="253"/>
      <c r="N88" s="253"/>
      <c r="O88" s="254">
        <v>0</v>
      </c>
      <c r="P88" s="253"/>
      <c r="Q88" s="255">
        <v>82624.98</v>
      </c>
    </row>
    <row r="89" spans="1:17" ht="15.75" hidden="1" thickTop="1" x14ac:dyDescent="0.25">
      <c r="A89" t="s">
        <v>961</v>
      </c>
      <c r="B89" t="s">
        <v>655</v>
      </c>
      <c r="C89" s="250">
        <v>1</v>
      </c>
      <c r="D89" s="250">
        <v>18</v>
      </c>
      <c r="F89" s="250">
        <v>74525402646498</v>
      </c>
      <c r="G89" t="s">
        <v>7</v>
      </c>
      <c r="H89" s="250">
        <v>27443612705</v>
      </c>
      <c r="I89" t="s">
        <v>704</v>
      </c>
      <c r="J89" s="250">
        <v>1</v>
      </c>
      <c r="K89" t="s">
        <v>646</v>
      </c>
      <c r="O89" s="250">
        <v>0</v>
      </c>
      <c r="Q89" s="250">
        <v>900000</v>
      </c>
    </row>
    <row r="90" spans="1:17" ht="15.75" hidden="1" thickTop="1" x14ac:dyDescent="0.25">
      <c r="A90" s="253" t="s">
        <v>961</v>
      </c>
      <c r="B90" s="253" t="s">
        <v>655</v>
      </c>
      <c r="C90" s="254">
        <v>1</v>
      </c>
      <c r="D90" s="254">
        <v>275</v>
      </c>
      <c r="E90" s="253"/>
      <c r="F90" s="254">
        <v>74525397105548</v>
      </c>
      <c r="G90" s="253" t="s">
        <v>7</v>
      </c>
      <c r="H90" s="254">
        <v>27217606255</v>
      </c>
      <c r="I90" s="253" t="s">
        <v>352</v>
      </c>
      <c r="J90" s="254">
        <v>1</v>
      </c>
      <c r="K90" s="253" t="s">
        <v>646</v>
      </c>
      <c r="L90" s="253"/>
      <c r="M90" s="253"/>
      <c r="N90" s="253"/>
      <c r="O90" s="254">
        <v>0</v>
      </c>
      <c r="P90" s="253"/>
      <c r="Q90" s="255">
        <v>223375.02</v>
      </c>
    </row>
    <row r="91" spans="1:17" ht="15.75" hidden="1" thickTop="1" x14ac:dyDescent="0.25">
      <c r="A91" t="s">
        <v>961</v>
      </c>
      <c r="B91" t="s">
        <v>655</v>
      </c>
      <c r="C91" s="250">
        <v>1</v>
      </c>
      <c r="D91" s="250">
        <v>13</v>
      </c>
      <c r="F91" s="250">
        <v>74528405922763</v>
      </c>
      <c r="G91" t="s">
        <v>7</v>
      </c>
      <c r="H91" s="250">
        <v>27950736858</v>
      </c>
      <c r="I91" t="s">
        <v>959</v>
      </c>
      <c r="J91" s="250">
        <v>1</v>
      </c>
      <c r="K91" t="s">
        <v>646</v>
      </c>
      <c r="O91" s="250">
        <v>0</v>
      </c>
      <c r="Q91" s="250">
        <v>750000</v>
      </c>
    </row>
    <row r="92" spans="1:17" ht="15.75" hidden="1" thickTop="1" x14ac:dyDescent="0.25">
      <c r="A92" s="253" t="s">
        <v>961</v>
      </c>
      <c r="B92" s="253" t="s">
        <v>655</v>
      </c>
      <c r="C92" s="254">
        <v>1</v>
      </c>
      <c r="D92" s="254">
        <v>276</v>
      </c>
      <c r="E92" s="253"/>
      <c r="F92" s="254">
        <v>74525397262422</v>
      </c>
      <c r="G92" s="253" t="s">
        <v>7</v>
      </c>
      <c r="H92" s="254">
        <v>27217606255</v>
      </c>
      <c r="I92" s="253" t="s">
        <v>352</v>
      </c>
      <c r="J92" s="254">
        <v>1</v>
      </c>
      <c r="K92" s="253" t="s">
        <v>646</v>
      </c>
      <c r="L92" s="253"/>
      <c r="M92" s="253"/>
      <c r="N92" s="253"/>
      <c r="O92" s="254">
        <v>0</v>
      </c>
      <c r="P92" s="253"/>
      <c r="Q92" s="255">
        <v>144536.78</v>
      </c>
    </row>
    <row r="93" spans="1:17" ht="15.75" hidden="1" thickTop="1" x14ac:dyDescent="0.25">
      <c r="A93" t="s">
        <v>961</v>
      </c>
      <c r="B93" t="s">
        <v>960</v>
      </c>
      <c r="C93" s="250">
        <v>1</v>
      </c>
      <c r="D93" s="250">
        <v>2</v>
      </c>
      <c r="F93" s="250">
        <v>74528569113200</v>
      </c>
      <c r="G93" t="s">
        <v>7</v>
      </c>
      <c r="H93" s="250">
        <v>27950736858</v>
      </c>
      <c r="I93" t="s">
        <v>959</v>
      </c>
      <c r="J93" s="250">
        <v>1</v>
      </c>
      <c r="K93" t="s">
        <v>646</v>
      </c>
      <c r="O93" s="250">
        <v>0</v>
      </c>
      <c r="Q93" s="250">
        <v>750000</v>
      </c>
    </row>
    <row r="94" spans="1:17" ht="15.75" hidden="1" thickTop="1" x14ac:dyDescent="0.25">
      <c r="A94" s="253" t="s">
        <v>965</v>
      </c>
      <c r="B94" s="253" t="s">
        <v>644</v>
      </c>
      <c r="C94" s="254">
        <v>2</v>
      </c>
      <c r="D94" s="254">
        <v>994</v>
      </c>
      <c r="E94" s="253"/>
      <c r="F94" s="254">
        <v>74519605939541</v>
      </c>
      <c r="G94" s="253" t="s">
        <v>7</v>
      </c>
      <c r="H94" s="254">
        <v>20272865869</v>
      </c>
      <c r="I94" s="253" t="s">
        <v>617</v>
      </c>
      <c r="J94" s="254">
        <v>1</v>
      </c>
      <c r="K94" s="253" t="s">
        <v>646</v>
      </c>
      <c r="L94" s="254">
        <v>102700</v>
      </c>
      <c r="M94" s="254">
        <v>0</v>
      </c>
      <c r="N94" s="254">
        <v>0</v>
      </c>
      <c r="O94" s="254">
        <v>0</v>
      </c>
      <c r="P94" s="254">
        <v>21567</v>
      </c>
      <c r="Q94" s="254">
        <v>124267</v>
      </c>
    </row>
    <row r="95" spans="1:17" ht="15.75" hidden="1" thickTop="1" x14ac:dyDescent="0.25">
      <c r="A95" s="253" t="s">
        <v>965</v>
      </c>
      <c r="B95" s="253" t="s">
        <v>644</v>
      </c>
      <c r="C95" s="254">
        <v>2</v>
      </c>
      <c r="D95" s="254">
        <v>996</v>
      </c>
      <c r="E95" s="253"/>
      <c r="F95" s="254">
        <v>74519606038103</v>
      </c>
      <c r="G95" s="253" t="s">
        <v>7</v>
      </c>
      <c r="H95" s="254">
        <v>20272865869</v>
      </c>
      <c r="I95" s="253" t="s">
        <v>617</v>
      </c>
      <c r="J95" s="254">
        <v>1</v>
      </c>
      <c r="K95" s="253" t="s">
        <v>646</v>
      </c>
      <c r="L95" s="254">
        <v>38000</v>
      </c>
      <c r="M95" s="254">
        <v>0</v>
      </c>
      <c r="N95" s="254">
        <v>0</v>
      </c>
      <c r="O95" s="254">
        <v>0</v>
      </c>
      <c r="P95" s="254">
        <v>7980</v>
      </c>
      <c r="Q95" s="254">
        <v>45980</v>
      </c>
    </row>
    <row r="96" spans="1:17" ht="15.75" hidden="1" thickTop="1" x14ac:dyDescent="0.25">
      <c r="A96" s="253" t="s">
        <v>965</v>
      </c>
      <c r="B96" s="253" t="s">
        <v>644</v>
      </c>
      <c r="C96" s="254">
        <v>17</v>
      </c>
      <c r="D96" s="254">
        <v>2569</v>
      </c>
      <c r="E96" s="253"/>
      <c r="F96" s="254">
        <v>74511564571598</v>
      </c>
      <c r="G96" s="253" t="s">
        <v>7</v>
      </c>
      <c r="H96" s="254">
        <v>30711764921</v>
      </c>
      <c r="I96" s="253" t="s">
        <v>651</v>
      </c>
      <c r="J96" s="254">
        <v>1</v>
      </c>
      <c r="K96" s="253" t="s">
        <v>646</v>
      </c>
      <c r="L96" s="254">
        <v>187885</v>
      </c>
      <c r="M96" s="254">
        <v>0</v>
      </c>
      <c r="N96" s="254">
        <v>0</v>
      </c>
      <c r="O96" s="254">
        <v>0</v>
      </c>
      <c r="P96" s="255">
        <v>39455.85</v>
      </c>
      <c r="Q96" s="255">
        <v>227340.85</v>
      </c>
    </row>
    <row r="97" spans="1:17" ht="15.75" hidden="1" thickTop="1" x14ac:dyDescent="0.25">
      <c r="A97" s="253" t="s">
        <v>965</v>
      </c>
      <c r="B97" s="253" t="s">
        <v>644</v>
      </c>
      <c r="C97" s="254">
        <v>2</v>
      </c>
      <c r="D97" s="254">
        <v>992</v>
      </c>
      <c r="E97" s="253"/>
      <c r="F97" s="254">
        <v>74519600800067</v>
      </c>
      <c r="G97" s="253" t="s">
        <v>7</v>
      </c>
      <c r="H97" s="254">
        <v>20272865869</v>
      </c>
      <c r="I97" s="253" t="s">
        <v>617</v>
      </c>
      <c r="J97" s="254">
        <v>1</v>
      </c>
      <c r="K97" s="253" t="s">
        <v>646</v>
      </c>
      <c r="L97" s="255">
        <v>172314.47</v>
      </c>
      <c r="M97" s="254">
        <v>0</v>
      </c>
      <c r="N97" s="254">
        <v>0</v>
      </c>
      <c r="O97" s="254">
        <v>0</v>
      </c>
      <c r="P97" s="255">
        <v>36186.04</v>
      </c>
      <c r="Q97" s="255">
        <v>208500.51</v>
      </c>
    </row>
    <row r="98" spans="1:17" ht="15.75" hidden="1" thickTop="1" x14ac:dyDescent="0.25">
      <c r="A98" s="253" t="s">
        <v>965</v>
      </c>
      <c r="B98" s="253" t="s">
        <v>655</v>
      </c>
      <c r="C98" s="254">
        <v>1</v>
      </c>
      <c r="D98" s="254">
        <v>277</v>
      </c>
      <c r="E98" s="253"/>
      <c r="F98" s="254">
        <v>74525397431861</v>
      </c>
      <c r="G98" s="253" t="s">
        <v>7</v>
      </c>
      <c r="H98" s="254">
        <v>27217606255</v>
      </c>
      <c r="I98" s="253" t="s">
        <v>352</v>
      </c>
      <c r="J98" s="254">
        <v>1</v>
      </c>
      <c r="K98" s="253" t="s">
        <v>646</v>
      </c>
      <c r="L98" s="253"/>
      <c r="M98" s="253"/>
      <c r="N98" s="253"/>
      <c r="O98" s="254">
        <v>0</v>
      </c>
      <c r="P98" s="253"/>
      <c r="Q98" s="255">
        <v>157676.49</v>
      </c>
    </row>
    <row r="99" spans="1:17" ht="15.75" hidden="1" thickTop="1" x14ac:dyDescent="0.25">
      <c r="A99" s="253" t="s">
        <v>966</v>
      </c>
      <c r="B99" s="253" t="s">
        <v>644</v>
      </c>
      <c r="C99" s="254">
        <v>11</v>
      </c>
      <c r="D99" s="254">
        <v>67962</v>
      </c>
      <c r="E99" s="253"/>
      <c r="F99" s="254">
        <v>74512759148808</v>
      </c>
      <c r="G99" s="253" t="s">
        <v>7</v>
      </c>
      <c r="H99" s="254">
        <v>30711091552</v>
      </c>
      <c r="I99" s="253" t="s">
        <v>967</v>
      </c>
      <c r="J99" s="254">
        <v>1</v>
      </c>
      <c r="K99" s="253" t="s">
        <v>646</v>
      </c>
      <c r="L99" s="255">
        <v>140909.09</v>
      </c>
      <c r="M99" s="254">
        <v>0</v>
      </c>
      <c r="N99" s="254">
        <v>0</v>
      </c>
      <c r="O99" s="254">
        <v>0</v>
      </c>
      <c r="P99" s="255">
        <v>29590.91</v>
      </c>
      <c r="Q99" s="254">
        <v>170500</v>
      </c>
    </row>
    <row r="100" spans="1:17" ht="15.75" hidden="1" thickTop="1" x14ac:dyDescent="0.25">
      <c r="A100" s="253" t="s">
        <v>966</v>
      </c>
      <c r="B100" s="253" t="s">
        <v>644</v>
      </c>
      <c r="C100" s="254">
        <v>2</v>
      </c>
      <c r="D100" s="254">
        <v>997</v>
      </c>
      <c r="E100" s="253"/>
      <c r="F100" s="254">
        <v>74519671436659</v>
      </c>
      <c r="G100" s="253" t="s">
        <v>7</v>
      </c>
      <c r="H100" s="254">
        <v>20272865869</v>
      </c>
      <c r="I100" s="253" t="s">
        <v>617</v>
      </c>
      <c r="J100" s="254">
        <v>1</v>
      </c>
      <c r="K100" s="253" t="s">
        <v>646</v>
      </c>
      <c r="L100" s="254">
        <v>13070</v>
      </c>
      <c r="M100" s="254">
        <v>0</v>
      </c>
      <c r="N100" s="254">
        <v>0</v>
      </c>
      <c r="O100" s="254">
        <v>0</v>
      </c>
      <c r="P100" s="253">
        <v>2744.7</v>
      </c>
      <c r="Q100" s="253">
        <v>15814.7</v>
      </c>
    </row>
    <row r="101" spans="1:17" ht="15.75" hidden="1" thickTop="1" x14ac:dyDescent="0.25">
      <c r="A101" s="253" t="s">
        <v>966</v>
      </c>
      <c r="B101" s="253" t="s">
        <v>644</v>
      </c>
      <c r="C101" s="254">
        <v>3</v>
      </c>
      <c r="D101" s="254">
        <v>25</v>
      </c>
      <c r="E101" s="253"/>
      <c r="F101" s="254">
        <v>74512717044850</v>
      </c>
      <c r="G101" s="253" t="s">
        <v>7</v>
      </c>
      <c r="H101" s="254">
        <v>20216164262</v>
      </c>
      <c r="I101" s="253" t="s">
        <v>968</v>
      </c>
      <c r="J101" s="254">
        <v>1</v>
      </c>
      <c r="K101" s="253" t="s">
        <v>646</v>
      </c>
      <c r="L101" s="255">
        <v>727272.71</v>
      </c>
      <c r="M101" s="254">
        <v>0</v>
      </c>
      <c r="N101" s="254">
        <v>0</v>
      </c>
      <c r="O101" s="254">
        <v>0</v>
      </c>
      <c r="P101" s="255">
        <v>152727.26999999999</v>
      </c>
      <c r="Q101" s="254">
        <v>880000</v>
      </c>
    </row>
    <row r="102" spans="1:17" ht="15.75" hidden="1" thickTop="1" x14ac:dyDescent="0.25">
      <c r="A102" s="253" t="s">
        <v>966</v>
      </c>
      <c r="B102" s="253" t="s">
        <v>644</v>
      </c>
      <c r="C102" s="254">
        <v>3</v>
      </c>
      <c r="D102" s="254">
        <v>205</v>
      </c>
      <c r="E102" s="253"/>
      <c r="F102" s="254">
        <v>74533849002607</v>
      </c>
      <c r="G102" s="253" t="s">
        <v>7</v>
      </c>
      <c r="H102" s="254">
        <v>20334976433</v>
      </c>
      <c r="I102" s="253" t="s">
        <v>490</v>
      </c>
      <c r="J102" s="254">
        <v>1</v>
      </c>
      <c r="K102" s="253" t="s">
        <v>646</v>
      </c>
      <c r="L102" s="254">
        <v>160000</v>
      </c>
      <c r="M102" s="254">
        <v>0</v>
      </c>
      <c r="N102" s="254">
        <v>0</v>
      </c>
      <c r="O102" s="254">
        <v>0</v>
      </c>
      <c r="P102" s="254">
        <v>33600</v>
      </c>
      <c r="Q102" s="254">
        <v>193600</v>
      </c>
    </row>
    <row r="103" spans="1:17" ht="15.75" hidden="1" thickTop="1" x14ac:dyDescent="0.25">
      <c r="A103" s="253" t="s">
        <v>966</v>
      </c>
      <c r="B103" s="253" t="s">
        <v>644</v>
      </c>
      <c r="C103" s="254">
        <v>3</v>
      </c>
      <c r="D103" s="254">
        <v>206</v>
      </c>
      <c r="E103" s="253"/>
      <c r="F103" s="254">
        <v>74533849345658</v>
      </c>
      <c r="G103" s="253" t="s">
        <v>7</v>
      </c>
      <c r="H103" s="254">
        <v>20334976433</v>
      </c>
      <c r="I103" s="253" t="s">
        <v>490</v>
      </c>
      <c r="J103" s="254">
        <v>1</v>
      </c>
      <c r="K103" s="253" t="s">
        <v>646</v>
      </c>
      <c r="L103" s="254">
        <v>80000</v>
      </c>
      <c r="M103" s="254">
        <v>0</v>
      </c>
      <c r="N103" s="254">
        <v>0</v>
      </c>
      <c r="O103" s="254">
        <v>0</v>
      </c>
      <c r="P103" s="254">
        <v>16800</v>
      </c>
      <c r="Q103" s="254">
        <v>96800</v>
      </c>
    </row>
    <row r="104" spans="1:17" ht="15.75" hidden="1" thickTop="1" x14ac:dyDescent="0.25">
      <c r="A104" s="253" t="s">
        <v>966</v>
      </c>
      <c r="B104" s="253" t="s">
        <v>666</v>
      </c>
      <c r="C104" s="254">
        <v>2</v>
      </c>
      <c r="D104" s="254">
        <v>68</v>
      </c>
      <c r="E104" s="253"/>
      <c r="F104" s="254">
        <v>74519671367937</v>
      </c>
      <c r="G104" s="253" t="s">
        <v>7</v>
      </c>
      <c r="H104" s="254">
        <v>20272865869</v>
      </c>
      <c r="I104" s="253" t="s">
        <v>617</v>
      </c>
      <c r="J104" s="254">
        <v>1</v>
      </c>
      <c r="K104" s="253" t="s">
        <v>646</v>
      </c>
      <c r="L104" s="254">
        <v>12300</v>
      </c>
      <c r="M104" s="254">
        <v>0</v>
      </c>
      <c r="N104" s="254">
        <v>0</v>
      </c>
      <c r="O104" s="254">
        <v>0</v>
      </c>
      <c r="P104" s="254">
        <v>2583</v>
      </c>
      <c r="Q104" s="254">
        <v>14883</v>
      </c>
    </row>
    <row r="105" spans="1:17" ht="15.75" hidden="1" thickTop="1" x14ac:dyDescent="0.25">
      <c r="A105" t="s">
        <v>966</v>
      </c>
      <c r="B105" s="253" t="s">
        <v>655</v>
      </c>
      <c r="C105" s="254">
        <v>1</v>
      </c>
      <c r="D105" s="254">
        <v>278</v>
      </c>
      <c r="E105" s="253"/>
      <c r="F105" s="254">
        <v>74525397605645</v>
      </c>
      <c r="G105" s="253" t="s">
        <v>7</v>
      </c>
      <c r="H105" s="254">
        <v>27217606255</v>
      </c>
      <c r="I105" s="253" t="s">
        <v>352</v>
      </c>
      <c r="J105" s="254">
        <v>1</v>
      </c>
      <c r="K105" s="253" t="s">
        <v>646</v>
      </c>
      <c r="L105" s="253"/>
      <c r="M105" s="253"/>
      <c r="N105" s="253"/>
      <c r="O105" s="254">
        <v>0</v>
      </c>
      <c r="P105" s="253"/>
      <c r="Q105" s="255">
        <v>131397.07</v>
      </c>
    </row>
    <row r="106" spans="1:17" ht="15.75" hidden="1" thickTop="1" x14ac:dyDescent="0.25">
      <c r="A106" s="253" t="s">
        <v>969</v>
      </c>
      <c r="B106" s="253" t="s">
        <v>644</v>
      </c>
      <c r="C106" s="254">
        <v>5</v>
      </c>
      <c r="D106" s="254">
        <v>1411</v>
      </c>
      <c r="E106" s="253"/>
      <c r="F106" s="254">
        <v>74525107116175</v>
      </c>
      <c r="G106" s="253" t="s">
        <v>7</v>
      </c>
      <c r="H106" s="254">
        <v>27265302225</v>
      </c>
      <c r="I106" s="253" t="s">
        <v>165</v>
      </c>
      <c r="J106" s="254">
        <v>1</v>
      </c>
      <c r="K106" s="253" t="s">
        <v>646</v>
      </c>
      <c r="L106" s="254">
        <v>650000</v>
      </c>
      <c r="M106" s="254">
        <v>0</v>
      </c>
      <c r="N106" s="254">
        <v>0</v>
      </c>
      <c r="O106" s="254">
        <v>0</v>
      </c>
      <c r="P106" s="254">
        <v>136500</v>
      </c>
      <c r="Q106" s="254">
        <v>786500</v>
      </c>
    </row>
    <row r="107" spans="1:17" ht="15.75" hidden="1" thickTop="1" x14ac:dyDescent="0.25">
      <c r="A107" s="263" t="s">
        <v>969</v>
      </c>
      <c r="B107" s="263" t="s">
        <v>644</v>
      </c>
      <c r="C107" s="264">
        <v>5015</v>
      </c>
      <c r="D107" s="264">
        <v>693155</v>
      </c>
      <c r="E107" s="263"/>
      <c r="F107" s="264">
        <v>74524045465032</v>
      </c>
      <c r="G107" s="263" t="s">
        <v>7</v>
      </c>
      <c r="H107" s="264">
        <v>30574876474</v>
      </c>
      <c r="I107" s="263" t="s">
        <v>671</v>
      </c>
      <c r="J107" s="264">
        <v>1</v>
      </c>
      <c r="K107" s="263" t="s">
        <v>646</v>
      </c>
      <c r="L107" s="265">
        <v>11616.43</v>
      </c>
      <c r="M107" s="250">
        <v>0</v>
      </c>
      <c r="N107" s="250">
        <v>0</v>
      </c>
      <c r="O107" s="154">
        <v>1510.13</v>
      </c>
      <c r="P107" s="154">
        <v>2439.44</v>
      </c>
      <c r="Q107" s="250">
        <v>15566</v>
      </c>
    </row>
    <row r="108" spans="1:17" ht="15.75" hidden="1" thickTop="1" x14ac:dyDescent="0.25">
      <c r="A108" s="253" t="s">
        <v>969</v>
      </c>
      <c r="B108" s="253" t="s">
        <v>644</v>
      </c>
      <c r="C108" s="254">
        <v>7</v>
      </c>
      <c r="D108" s="254">
        <v>19809</v>
      </c>
      <c r="E108" s="253"/>
      <c r="F108" s="254">
        <v>74528130965656</v>
      </c>
      <c r="G108" s="253" t="s">
        <v>7</v>
      </c>
      <c r="H108" s="254">
        <v>30709214078</v>
      </c>
      <c r="I108" s="253" t="s">
        <v>934</v>
      </c>
      <c r="J108" s="254">
        <v>1</v>
      </c>
      <c r="K108" s="253" t="s">
        <v>646</v>
      </c>
      <c r="L108" s="254">
        <v>151800</v>
      </c>
      <c r="M108" s="254">
        <v>0</v>
      </c>
      <c r="N108" s="254">
        <v>0</v>
      </c>
      <c r="O108" s="254">
        <v>0</v>
      </c>
      <c r="P108" s="254">
        <v>15939</v>
      </c>
      <c r="Q108" s="254">
        <v>167739</v>
      </c>
    </row>
    <row r="109" spans="1:17" ht="15.75" hidden="1" thickTop="1" x14ac:dyDescent="0.25">
      <c r="A109" s="253" t="s">
        <v>969</v>
      </c>
      <c r="B109" s="253" t="s">
        <v>644</v>
      </c>
      <c r="C109" s="254">
        <v>4</v>
      </c>
      <c r="D109" s="254">
        <v>1274</v>
      </c>
      <c r="E109" s="253"/>
      <c r="F109" s="254">
        <v>74528105691325</v>
      </c>
      <c r="G109" s="253" t="s">
        <v>7</v>
      </c>
      <c r="H109" s="254">
        <v>20202500138</v>
      </c>
      <c r="I109" s="253" t="s">
        <v>123</v>
      </c>
      <c r="J109" s="254">
        <v>1</v>
      </c>
      <c r="K109" s="253" t="s">
        <v>646</v>
      </c>
      <c r="L109" s="255">
        <v>18181.82</v>
      </c>
      <c r="M109" s="254">
        <v>0</v>
      </c>
      <c r="N109" s="254">
        <v>0</v>
      </c>
      <c r="O109" s="254">
        <v>0</v>
      </c>
      <c r="P109" s="255">
        <v>3818.18</v>
      </c>
      <c r="Q109" s="254">
        <v>22000</v>
      </c>
    </row>
    <row r="110" spans="1:17" ht="15.75" hidden="1" thickTop="1" x14ac:dyDescent="0.25">
      <c r="A110" s="253" t="s">
        <v>969</v>
      </c>
      <c r="B110" s="253" t="s">
        <v>655</v>
      </c>
      <c r="C110" s="254">
        <v>2</v>
      </c>
      <c r="D110" s="254">
        <v>516</v>
      </c>
      <c r="E110" s="253"/>
      <c r="F110" s="254">
        <v>74521158569840</v>
      </c>
      <c r="G110" s="253" t="s">
        <v>7</v>
      </c>
      <c r="H110" s="254">
        <v>27299725761</v>
      </c>
      <c r="I110" s="253" t="s">
        <v>970</v>
      </c>
      <c r="J110" s="254">
        <v>1</v>
      </c>
      <c r="K110" s="253" t="s">
        <v>646</v>
      </c>
      <c r="L110" s="253"/>
      <c r="M110" s="253"/>
      <c r="N110" s="253"/>
      <c r="O110" s="254">
        <v>0</v>
      </c>
      <c r="P110" s="253"/>
      <c r="Q110" s="254">
        <v>850000</v>
      </c>
    </row>
    <row r="111" spans="1:17" ht="15.75" hidden="1" thickTop="1" x14ac:dyDescent="0.25">
      <c r="A111" s="253" t="s">
        <v>969</v>
      </c>
      <c r="B111" s="253" t="s">
        <v>655</v>
      </c>
      <c r="C111" s="254">
        <v>3</v>
      </c>
      <c r="D111" s="254">
        <v>1026</v>
      </c>
      <c r="E111" s="253"/>
      <c r="F111" s="254">
        <v>74529111448717</v>
      </c>
      <c r="G111" s="253" t="s">
        <v>7</v>
      </c>
      <c r="H111" s="254">
        <v>20216451679</v>
      </c>
      <c r="I111" s="253" t="s">
        <v>469</v>
      </c>
      <c r="J111" s="254">
        <v>1</v>
      </c>
      <c r="K111" s="253" t="s">
        <v>646</v>
      </c>
      <c r="L111" s="253"/>
      <c r="M111" s="253"/>
      <c r="N111" s="253"/>
      <c r="O111" s="254">
        <v>0</v>
      </c>
      <c r="P111" s="253"/>
      <c r="Q111" s="254">
        <v>394381</v>
      </c>
    </row>
    <row r="112" spans="1:17" ht="15.75" hidden="1" thickTop="1" x14ac:dyDescent="0.25">
      <c r="A112" s="253" t="s">
        <v>971</v>
      </c>
      <c r="B112" s="253" t="s">
        <v>644</v>
      </c>
      <c r="C112" s="254">
        <v>2</v>
      </c>
      <c r="D112" s="254">
        <v>41100</v>
      </c>
      <c r="E112" s="253"/>
      <c r="F112" s="254">
        <v>74520281045849</v>
      </c>
      <c r="G112" s="253" t="s">
        <v>7</v>
      </c>
      <c r="H112" s="254">
        <v>30717273520</v>
      </c>
      <c r="I112" s="253" t="s">
        <v>972</v>
      </c>
      <c r="J112" s="254">
        <v>1</v>
      </c>
      <c r="K112" s="253" t="s">
        <v>646</v>
      </c>
      <c r="L112" s="253">
        <v>6928.1</v>
      </c>
      <c r="M112" s="254">
        <v>0</v>
      </c>
      <c r="N112" s="254">
        <v>0</v>
      </c>
      <c r="O112" s="254">
        <v>0</v>
      </c>
      <c r="P112" s="253">
        <v>1454.9</v>
      </c>
      <c r="Q112" s="254">
        <v>8383</v>
      </c>
    </row>
    <row r="113" spans="1:17" ht="15.75" hidden="1" thickTop="1" x14ac:dyDescent="0.25">
      <c r="A113" s="253" t="s">
        <v>971</v>
      </c>
      <c r="B113" s="253" t="s">
        <v>644</v>
      </c>
      <c r="C113" s="254">
        <v>11</v>
      </c>
      <c r="D113" s="254">
        <v>68685</v>
      </c>
      <c r="E113" s="253"/>
      <c r="F113" s="254">
        <v>74522595033728</v>
      </c>
      <c r="G113" s="253" t="s">
        <v>7</v>
      </c>
      <c r="H113" s="254">
        <v>30711091552</v>
      </c>
      <c r="I113" s="253" t="s">
        <v>967</v>
      </c>
      <c r="J113" s="254">
        <v>1</v>
      </c>
      <c r="K113" s="253" t="s">
        <v>646</v>
      </c>
      <c r="L113" s="255">
        <v>221280.98</v>
      </c>
      <c r="M113" s="254">
        <v>0</v>
      </c>
      <c r="N113" s="254">
        <v>0</v>
      </c>
      <c r="O113" s="254">
        <v>0</v>
      </c>
      <c r="P113" s="255">
        <v>46469.01</v>
      </c>
      <c r="Q113" s="255">
        <v>267749.99</v>
      </c>
    </row>
    <row r="114" spans="1:17" ht="15.75" hidden="1" thickTop="1" x14ac:dyDescent="0.25">
      <c r="A114" s="260" t="s">
        <v>973</v>
      </c>
      <c r="B114" s="260" t="s">
        <v>644</v>
      </c>
      <c r="C114" s="261">
        <v>1</v>
      </c>
      <c r="D114" s="261">
        <v>5823</v>
      </c>
      <c r="E114" s="260"/>
      <c r="F114" s="261">
        <v>74521387288647</v>
      </c>
      <c r="G114" s="260" t="s">
        <v>7</v>
      </c>
      <c r="H114" s="261">
        <v>30715141201</v>
      </c>
      <c r="I114" s="260" t="s">
        <v>649</v>
      </c>
      <c r="J114" s="261">
        <v>1</v>
      </c>
      <c r="K114" s="260" t="s">
        <v>646</v>
      </c>
      <c r="L114" s="262">
        <v>684140.63</v>
      </c>
      <c r="M114" s="250">
        <v>0</v>
      </c>
      <c r="N114" s="250">
        <v>0</v>
      </c>
      <c r="O114" s="250">
        <v>0</v>
      </c>
      <c r="P114" s="154">
        <v>143669.53</v>
      </c>
      <c r="Q114" s="154">
        <v>827810.16</v>
      </c>
    </row>
    <row r="115" spans="1:17" ht="15.75" hidden="1" thickTop="1" x14ac:dyDescent="0.25">
      <c r="A115" s="253" t="s">
        <v>973</v>
      </c>
      <c r="B115" s="253" t="s">
        <v>644</v>
      </c>
      <c r="C115" s="254">
        <v>5</v>
      </c>
      <c r="D115" s="254">
        <v>3193012</v>
      </c>
      <c r="E115" s="253"/>
      <c r="F115" s="254">
        <v>74525433587393</v>
      </c>
      <c r="G115" s="253" t="s">
        <v>7</v>
      </c>
      <c r="H115" s="254">
        <v>30702652975</v>
      </c>
      <c r="I115" s="253" t="s">
        <v>706</v>
      </c>
      <c r="J115" s="254">
        <v>1</v>
      </c>
      <c r="K115" s="253" t="s">
        <v>646</v>
      </c>
      <c r="L115" s="253">
        <v>28528.6</v>
      </c>
      <c r="M115" s="254">
        <v>0</v>
      </c>
      <c r="N115" s="254">
        <v>0</v>
      </c>
      <c r="O115" s="255">
        <v>1141.1400000000001</v>
      </c>
      <c r="P115" s="255">
        <v>5991.01</v>
      </c>
      <c r="Q115" s="255">
        <v>35660.75</v>
      </c>
    </row>
    <row r="116" spans="1:17" ht="15.75" hidden="1" thickTop="1" x14ac:dyDescent="0.25">
      <c r="A116" s="260" t="s">
        <v>973</v>
      </c>
      <c r="B116" s="260" t="s">
        <v>644</v>
      </c>
      <c r="C116" s="261">
        <v>1</v>
      </c>
      <c r="D116" s="261">
        <v>5849</v>
      </c>
      <c r="E116" s="260"/>
      <c r="F116" s="261">
        <v>74521428428407</v>
      </c>
      <c r="G116" s="260" t="s">
        <v>7</v>
      </c>
      <c r="H116" s="261">
        <v>30715141201</v>
      </c>
      <c r="I116" s="260" t="s">
        <v>649</v>
      </c>
      <c r="J116" s="261">
        <v>1</v>
      </c>
      <c r="K116" s="260" t="s">
        <v>646</v>
      </c>
      <c r="L116" s="262">
        <v>2085611.17</v>
      </c>
      <c r="M116" s="250">
        <v>0</v>
      </c>
      <c r="N116" s="250">
        <v>0</v>
      </c>
      <c r="O116" s="250">
        <v>0</v>
      </c>
      <c r="P116" s="154">
        <v>437978.35</v>
      </c>
      <c r="Q116" s="154">
        <v>2523589.52</v>
      </c>
    </row>
    <row r="117" spans="1:17" ht="15.75" hidden="1" thickTop="1" x14ac:dyDescent="0.25">
      <c r="A117" s="253" t="s">
        <v>973</v>
      </c>
      <c r="B117" s="253" t="s">
        <v>644</v>
      </c>
      <c r="C117" s="254">
        <v>2</v>
      </c>
      <c r="D117" s="254">
        <v>1012</v>
      </c>
      <c r="E117" s="253"/>
      <c r="F117" s="254">
        <v>74529432111446</v>
      </c>
      <c r="G117" s="253" t="s">
        <v>7</v>
      </c>
      <c r="H117" s="254">
        <v>20272865869</v>
      </c>
      <c r="I117" s="253" t="s">
        <v>617</v>
      </c>
      <c r="J117" s="254">
        <v>1</v>
      </c>
      <c r="K117" s="253" t="s">
        <v>646</v>
      </c>
      <c r="L117" s="254">
        <v>94020</v>
      </c>
      <c r="M117" s="254">
        <v>0</v>
      </c>
      <c r="N117" s="254">
        <v>0</v>
      </c>
      <c r="O117" s="254">
        <v>0</v>
      </c>
      <c r="P117" s="253">
        <v>19744.2</v>
      </c>
      <c r="Q117" s="253">
        <v>113764.2</v>
      </c>
    </row>
    <row r="118" spans="1:17" ht="15.75" hidden="1" thickTop="1" x14ac:dyDescent="0.25">
      <c r="A118" s="263" t="s">
        <v>973</v>
      </c>
      <c r="B118" s="263" t="s">
        <v>644</v>
      </c>
      <c r="C118" s="264">
        <v>700</v>
      </c>
      <c r="D118" s="264">
        <v>2143617</v>
      </c>
      <c r="E118" s="263"/>
      <c r="F118" s="264">
        <v>74522492477880</v>
      </c>
      <c r="G118" s="263" t="s">
        <v>7</v>
      </c>
      <c r="H118" s="264">
        <v>30715804812</v>
      </c>
      <c r="I118" s="263" t="s">
        <v>669</v>
      </c>
      <c r="J118" s="264">
        <v>1</v>
      </c>
      <c r="K118" s="263" t="s">
        <v>646</v>
      </c>
      <c r="L118" s="263">
        <v>8700.2999999999993</v>
      </c>
      <c r="M118" s="250">
        <v>0</v>
      </c>
      <c r="N118" s="250">
        <v>0</v>
      </c>
      <c r="O118" s="154">
        <v>348.01</v>
      </c>
      <c r="P118" s="154">
        <v>1827.06</v>
      </c>
      <c r="Q118" s="154">
        <v>10875.37</v>
      </c>
    </row>
    <row r="119" spans="1:17" ht="15.75" hidden="1" thickTop="1" x14ac:dyDescent="0.25">
      <c r="A119" t="s">
        <v>973</v>
      </c>
      <c r="B119" t="s">
        <v>644</v>
      </c>
      <c r="C119" s="250">
        <v>700</v>
      </c>
      <c r="D119" s="250">
        <v>2143618</v>
      </c>
      <c r="F119" s="250">
        <v>74522492477893</v>
      </c>
      <c r="G119" t="s">
        <v>7</v>
      </c>
      <c r="H119" s="250">
        <v>30715804812</v>
      </c>
      <c r="I119" t="s">
        <v>669</v>
      </c>
      <c r="J119" s="250">
        <v>1</v>
      </c>
      <c r="K119" t="s">
        <v>646</v>
      </c>
      <c r="L119">
        <v>2812.4</v>
      </c>
      <c r="M119" s="250">
        <v>0</v>
      </c>
      <c r="N119" s="250">
        <v>0</v>
      </c>
      <c r="O119" s="250">
        <v>0</v>
      </c>
      <c r="P119">
        <v>590.6</v>
      </c>
      <c r="Q119" s="250">
        <v>3403</v>
      </c>
    </row>
    <row r="120" spans="1:17" ht="15.75" hidden="1" thickTop="1" x14ac:dyDescent="0.25">
      <c r="A120" t="s">
        <v>974</v>
      </c>
      <c r="B120" t="s">
        <v>644</v>
      </c>
      <c r="C120" s="250">
        <v>6870</v>
      </c>
      <c r="D120" s="250">
        <v>29207</v>
      </c>
      <c r="F120" s="250">
        <v>74525614053789</v>
      </c>
      <c r="G120" t="s">
        <v>7</v>
      </c>
      <c r="H120" s="250">
        <v>30678774495</v>
      </c>
      <c r="I120" t="s">
        <v>951</v>
      </c>
      <c r="J120" s="250">
        <v>1</v>
      </c>
      <c r="K120" t="s">
        <v>646</v>
      </c>
      <c r="L120" s="154">
        <v>38310.11</v>
      </c>
      <c r="M120" s="250">
        <v>0</v>
      </c>
      <c r="N120" s="250">
        <v>0</v>
      </c>
      <c r="O120" s="154">
        <v>10051.74</v>
      </c>
      <c r="P120" s="154">
        <v>8045.12</v>
      </c>
      <c r="Q120" s="154">
        <v>56406.97</v>
      </c>
    </row>
    <row r="121" spans="1:17" ht="15.75" hidden="1" thickTop="1" x14ac:dyDescent="0.25">
      <c r="A121" s="253" t="s">
        <v>974</v>
      </c>
      <c r="B121" s="253" t="s">
        <v>644</v>
      </c>
      <c r="C121" s="254">
        <v>4</v>
      </c>
      <c r="D121" s="254">
        <v>20128</v>
      </c>
      <c r="E121" s="253"/>
      <c r="F121" s="254">
        <v>74523581234950</v>
      </c>
      <c r="G121" s="253" t="s">
        <v>7</v>
      </c>
      <c r="H121" s="254">
        <v>30504854023</v>
      </c>
      <c r="I121" s="253" t="s">
        <v>931</v>
      </c>
      <c r="J121" s="254">
        <v>1</v>
      </c>
      <c r="K121" s="253" t="s">
        <v>646</v>
      </c>
      <c r="L121" s="254">
        <v>73570</v>
      </c>
      <c r="M121" s="254">
        <v>0</v>
      </c>
      <c r="N121" s="254">
        <v>0</v>
      </c>
      <c r="O121" s="253">
        <v>2942.8</v>
      </c>
      <c r="P121" s="253">
        <v>15449.7</v>
      </c>
      <c r="Q121" s="253">
        <v>91962.5</v>
      </c>
    </row>
    <row r="122" spans="1:17" ht="15.75" hidden="1" thickTop="1" x14ac:dyDescent="0.25">
      <c r="A122" s="253" t="s">
        <v>974</v>
      </c>
      <c r="B122" s="253" t="s">
        <v>644</v>
      </c>
      <c r="C122" s="254">
        <v>21</v>
      </c>
      <c r="D122" s="254">
        <v>878</v>
      </c>
      <c r="E122" s="253"/>
      <c r="F122" s="254">
        <v>74521612318530</v>
      </c>
      <c r="G122" s="253" t="s">
        <v>7</v>
      </c>
      <c r="H122" s="254">
        <v>20166808201</v>
      </c>
      <c r="I122" s="253" t="s">
        <v>964</v>
      </c>
      <c r="J122" s="254">
        <v>1</v>
      </c>
      <c r="K122" s="253" t="s">
        <v>646</v>
      </c>
      <c r="L122" s="255">
        <v>293938.08</v>
      </c>
      <c r="M122" s="254">
        <v>0</v>
      </c>
      <c r="N122" s="254">
        <v>0</v>
      </c>
      <c r="O122" s="255">
        <v>20575.66</v>
      </c>
      <c r="P122" s="254">
        <v>61727</v>
      </c>
      <c r="Q122" s="255">
        <v>376240.74</v>
      </c>
    </row>
    <row r="123" spans="1:17" ht="15.75" hidden="1" thickTop="1" x14ac:dyDescent="0.25">
      <c r="A123" s="253" t="s">
        <v>974</v>
      </c>
      <c r="B123" s="253" t="s">
        <v>644</v>
      </c>
      <c r="C123" s="254">
        <v>14</v>
      </c>
      <c r="D123" s="254">
        <v>1649</v>
      </c>
      <c r="E123" s="253"/>
      <c r="F123" s="254">
        <v>74524536395221</v>
      </c>
      <c r="G123" s="253" t="s">
        <v>7</v>
      </c>
      <c r="H123" s="254">
        <v>30693293754</v>
      </c>
      <c r="I123" s="253" t="s">
        <v>975</v>
      </c>
      <c r="J123" s="254">
        <v>1</v>
      </c>
      <c r="K123" s="253" t="s">
        <v>646</v>
      </c>
      <c r="L123" s="255">
        <v>46693.39</v>
      </c>
      <c r="M123" s="254">
        <v>0</v>
      </c>
      <c r="N123" s="254">
        <v>0</v>
      </c>
      <c r="O123" s="255">
        <v>1867.74</v>
      </c>
      <c r="P123" s="255">
        <v>9805.61</v>
      </c>
      <c r="Q123" s="255">
        <v>58366.74</v>
      </c>
    </row>
    <row r="124" spans="1:17" ht="15.75" hidden="1" thickTop="1" x14ac:dyDescent="0.25">
      <c r="A124" s="253" t="s">
        <v>974</v>
      </c>
      <c r="B124" s="253" t="s">
        <v>655</v>
      </c>
      <c r="C124" s="254">
        <v>1</v>
      </c>
      <c r="D124" s="254">
        <v>18</v>
      </c>
      <c r="E124" s="253"/>
      <c r="F124" s="254">
        <v>74523507809899</v>
      </c>
      <c r="G124" s="253" t="s">
        <v>7</v>
      </c>
      <c r="H124" s="254">
        <v>20464199633</v>
      </c>
      <c r="I124" s="253" t="s">
        <v>683</v>
      </c>
      <c r="J124" s="254">
        <v>1</v>
      </c>
      <c r="K124" s="253" t="s">
        <v>646</v>
      </c>
      <c r="L124" s="253"/>
      <c r="M124" s="253"/>
      <c r="N124" s="253"/>
      <c r="O124" s="254">
        <v>0</v>
      </c>
      <c r="P124" s="253"/>
      <c r="Q124" s="254">
        <v>444750</v>
      </c>
    </row>
    <row r="125" spans="1:17" ht="15.75" hidden="1" thickTop="1" x14ac:dyDescent="0.25">
      <c r="A125" t="s">
        <v>976</v>
      </c>
      <c r="B125" t="s">
        <v>644</v>
      </c>
      <c r="C125" s="250">
        <v>6</v>
      </c>
      <c r="D125" s="250">
        <v>4376</v>
      </c>
      <c r="F125" s="250">
        <v>74521768341587</v>
      </c>
      <c r="G125" t="s">
        <v>7</v>
      </c>
      <c r="H125" s="250">
        <v>20148864471</v>
      </c>
      <c r="I125" t="s">
        <v>977</v>
      </c>
      <c r="J125" s="250">
        <v>1</v>
      </c>
      <c r="K125" t="s">
        <v>646</v>
      </c>
      <c r="L125" s="154">
        <v>28098.35</v>
      </c>
      <c r="M125" s="250">
        <v>0</v>
      </c>
      <c r="N125" s="250">
        <v>0</v>
      </c>
      <c r="O125" s="250">
        <v>0</v>
      </c>
      <c r="P125" s="154">
        <v>5900.65</v>
      </c>
      <c r="Q125" s="250">
        <v>33999</v>
      </c>
    </row>
    <row r="126" spans="1:17" ht="15.75" thickTop="1" x14ac:dyDescent="0.25">
      <c r="A126" s="263" t="s">
        <v>976</v>
      </c>
      <c r="B126" s="263" t="s">
        <v>644</v>
      </c>
      <c r="C126" s="264">
        <v>63</v>
      </c>
      <c r="D126" s="264">
        <v>105559</v>
      </c>
      <c r="E126" s="263"/>
      <c r="F126" s="264">
        <v>74534961271430</v>
      </c>
      <c r="G126" s="263" t="s">
        <v>7</v>
      </c>
      <c r="H126" s="264">
        <v>30703088534</v>
      </c>
      <c r="I126" s="263" t="s">
        <v>718</v>
      </c>
      <c r="J126" s="250">
        <v>1</v>
      </c>
      <c r="K126" t="s">
        <v>646</v>
      </c>
      <c r="L126" s="154">
        <v>61436.94</v>
      </c>
      <c r="M126" s="250">
        <v>0</v>
      </c>
      <c r="N126" s="250">
        <v>0</v>
      </c>
      <c r="O126" s="154">
        <v>4300.58</v>
      </c>
      <c r="P126" s="154">
        <v>12901.76</v>
      </c>
      <c r="Q126" s="154">
        <v>78639.28</v>
      </c>
    </row>
    <row r="127" spans="1:17" hidden="1" x14ac:dyDescent="0.25">
      <c r="A127" s="263" t="s">
        <v>978</v>
      </c>
      <c r="B127" s="263" t="s">
        <v>644</v>
      </c>
      <c r="C127" s="264">
        <v>3</v>
      </c>
      <c r="D127" s="264">
        <v>3964</v>
      </c>
      <c r="E127" s="263"/>
      <c r="F127" s="264">
        <v>74537972707391</v>
      </c>
      <c r="G127" s="263" t="s">
        <v>7</v>
      </c>
      <c r="H127" s="264">
        <v>20182721787</v>
      </c>
      <c r="I127" s="263" t="s">
        <v>171</v>
      </c>
      <c r="J127" s="250">
        <v>1</v>
      </c>
      <c r="K127" t="s">
        <v>646</v>
      </c>
      <c r="L127" s="154">
        <v>44628.29</v>
      </c>
      <c r="M127" s="250">
        <v>0</v>
      </c>
      <c r="N127" s="250">
        <v>0</v>
      </c>
      <c r="O127" s="250">
        <v>0</v>
      </c>
      <c r="P127" s="154">
        <v>9371.94</v>
      </c>
      <c r="Q127" s="154">
        <v>54000.24</v>
      </c>
    </row>
    <row r="128" spans="1:17" hidden="1" x14ac:dyDescent="0.25">
      <c r="A128" t="s">
        <v>979</v>
      </c>
      <c r="B128" t="s">
        <v>644</v>
      </c>
      <c r="C128" s="250">
        <v>6</v>
      </c>
      <c r="D128" s="250">
        <v>18240679</v>
      </c>
      <c r="F128" s="250">
        <v>74537999724778</v>
      </c>
      <c r="G128" t="s">
        <v>7</v>
      </c>
      <c r="H128" s="250">
        <v>30620177497</v>
      </c>
      <c r="I128" t="s">
        <v>720</v>
      </c>
      <c r="J128" s="250">
        <v>1</v>
      </c>
      <c r="K128" t="s">
        <v>646</v>
      </c>
      <c r="L128" s="250">
        <v>0</v>
      </c>
      <c r="M128" s="250">
        <v>0</v>
      </c>
      <c r="N128" s="250">
        <v>0</v>
      </c>
      <c r="O128" s="250">
        <v>0</v>
      </c>
      <c r="P128" s="250">
        <v>0</v>
      </c>
      <c r="Q128" s="250">
        <v>0</v>
      </c>
    </row>
    <row r="129" spans="1:17" hidden="1" x14ac:dyDescent="0.25">
      <c r="A129" t="s">
        <v>979</v>
      </c>
      <c r="B129" t="s">
        <v>644</v>
      </c>
      <c r="C129" s="250">
        <v>6</v>
      </c>
      <c r="D129" s="250">
        <v>18370743</v>
      </c>
      <c r="F129" s="250">
        <v>74537013024531</v>
      </c>
      <c r="G129" t="s">
        <v>7</v>
      </c>
      <c r="H129" s="250">
        <v>30620177497</v>
      </c>
      <c r="I129" t="s">
        <v>720</v>
      </c>
      <c r="J129" s="250">
        <v>1</v>
      </c>
      <c r="K129" t="s">
        <v>646</v>
      </c>
      <c r="L129">
        <v>28979.1</v>
      </c>
      <c r="M129" s="250">
        <v>0</v>
      </c>
      <c r="N129" s="250">
        <v>0</v>
      </c>
      <c r="O129" s="154">
        <v>2028.53</v>
      </c>
      <c r="P129" s="154">
        <v>6085.61</v>
      </c>
      <c r="Q129" s="154">
        <v>37093.24</v>
      </c>
    </row>
    <row r="130" spans="1:17" hidden="1" x14ac:dyDescent="0.25">
      <c r="A130" t="s">
        <v>979</v>
      </c>
      <c r="B130" t="s">
        <v>644</v>
      </c>
      <c r="C130" s="250">
        <v>5015</v>
      </c>
      <c r="D130" s="250">
        <v>700320</v>
      </c>
      <c r="F130" s="250">
        <v>75014156060553</v>
      </c>
      <c r="G130" t="s">
        <v>7</v>
      </c>
      <c r="H130" s="250">
        <v>30574876474</v>
      </c>
      <c r="I130" t="s">
        <v>671</v>
      </c>
      <c r="J130" s="250">
        <v>1</v>
      </c>
      <c r="K130" t="s">
        <v>646</v>
      </c>
      <c r="L130" s="154">
        <v>13666.86</v>
      </c>
      <c r="M130" s="250">
        <v>0</v>
      </c>
      <c r="N130" s="250">
        <v>0</v>
      </c>
      <c r="O130" s="154">
        <v>1776.68</v>
      </c>
      <c r="P130" s="154">
        <v>2870.03</v>
      </c>
      <c r="Q130" s="154">
        <v>18313.57</v>
      </c>
    </row>
  </sheetData>
  <autoFilter ref="A3:Q130" xr:uid="{00000000-0009-0000-0000-000005000000}">
    <filterColumn colId="8">
      <customFilters>
        <customFilter val="*mercad*"/>
      </customFilters>
    </filterColumn>
  </autoFilter>
  <mergeCells count="1">
    <mergeCell ref="A2:Q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6:Q124"/>
  <sheetViews>
    <sheetView topLeftCell="A3" workbookViewId="0">
      <selection activeCell="D8" sqref="D8:D124"/>
    </sheetView>
  </sheetViews>
  <sheetFormatPr baseColWidth="10" defaultRowHeight="15" x14ac:dyDescent="0.25"/>
  <cols>
    <col min="2" max="2" width="11.140625" customWidth="1"/>
    <col min="3" max="3" width="6" customWidth="1"/>
    <col min="4" max="4" width="25.5703125" customWidth="1"/>
    <col min="5" max="5" width="12.7109375" customWidth="1"/>
    <col min="6" max="6" width="1.5703125" customWidth="1"/>
    <col min="7" max="7" width="4.5703125" customWidth="1"/>
    <col min="8" max="8" width="14.5703125" customWidth="1"/>
    <col min="9" max="10" width="0" hidden="1" customWidth="1"/>
    <col min="11" max="11" width="4.42578125" customWidth="1"/>
    <col min="13" max="14" width="0" hidden="1" customWidth="1"/>
  </cols>
  <sheetData>
    <row r="6" spans="1:17" ht="240" x14ac:dyDescent="0.25">
      <c r="A6" s="281" t="s">
        <v>102</v>
      </c>
      <c r="B6" s="281" t="s">
        <v>628</v>
      </c>
      <c r="C6" s="281" t="s">
        <v>629</v>
      </c>
      <c r="D6" s="281" t="s">
        <v>1125</v>
      </c>
      <c r="E6" s="281" t="s">
        <v>1124</v>
      </c>
      <c r="F6" s="281" t="s">
        <v>632</v>
      </c>
      <c r="G6" s="281" t="s">
        <v>633</v>
      </c>
      <c r="H6" s="281" t="s">
        <v>634</v>
      </c>
      <c r="I6" s="281" t="s">
        <v>635</v>
      </c>
      <c r="J6" s="281" t="s">
        <v>636</v>
      </c>
      <c r="K6" s="281" t="s">
        <v>637</v>
      </c>
      <c r="L6" s="281" t="s">
        <v>638</v>
      </c>
      <c r="M6" s="281" t="s">
        <v>639</v>
      </c>
      <c r="N6" s="281" t="s">
        <v>640</v>
      </c>
      <c r="O6" s="281" t="s">
        <v>641</v>
      </c>
      <c r="P6" s="281" t="s">
        <v>3</v>
      </c>
      <c r="Q6" s="281" t="s">
        <v>642</v>
      </c>
    </row>
    <row r="7" spans="1:17" hidden="1" x14ac:dyDescent="0.25">
      <c r="A7" s="283" t="s">
        <v>1077</v>
      </c>
      <c r="B7" s="283" t="s">
        <v>644</v>
      </c>
      <c r="C7" s="282">
        <v>1</v>
      </c>
      <c r="D7" s="283" t="s">
        <v>928</v>
      </c>
      <c r="E7" s="282">
        <v>116458</v>
      </c>
      <c r="F7" s="282">
        <v>75099180081192</v>
      </c>
      <c r="G7" s="283" t="s">
        <v>7</v>
      </c>
      <c r="H7" s="282">
        <v>30714864269</v>
      </c>
      <c r="I7" s="283" t="s">
        <v>928</v>
      </c>
      <c r="J7" s="282">
        <v>1</v>
      </c>
      <c r="K7" s="283" t="s">
        <v>646</v>
      </c>
      <c r="L7" s="282">
        <v>164170</v>
      </c>
      <c r="M7" s="273">
        <v>0</v>
      </c>
      <c r="N7" s="273">
        <v>0</v>
      </c>
      <c r="O7" s="273">
        <v>0</v>
      </c>
      <c r="P7" s="271">
        <v>34475.699999999997</v>
      </c>
      <c r="Q7" s="283">
        <v>198645.7</v>
      </c>
    </row>
    <row r="8" spans="1:17" x14ac:dyDescent="0.25">
      <c r="A8" s="271" t="s">
        <v>1098</v>
      </c>
      <c r="B8" s="271" t="s">
        <v>644</v>
      </c>
      <c r="C8" s="290">
        <v>50</v>
      </c>
      <c r="D8" s="271" t="s">
        <v>956</v>
      </c>
      <c r="E8" s="291">
        <v>4203840</v>
      </c>
      <c r="F8" s="273">
        <v>75116065667505</v>
      </c>
      <c r="G8" s="271" t="s">
        <v>7</v>
      </c>
      <c r="H8" s="273">
        <v>30714112836</v>
      </c>
      <c r="I8" s="271" t="s">
        <v>956</v>
      </c>
      <c r="J8" s="273">
        <v>1</v>
      </c>
      <c r="K8" s="271" t="s">
        <v>646</v>
      </c>
      <c r="L8" s="284">
        <v>1322.14</v>
      </c>
      <c r="M8" s="273">
        <v>0</v>
      </c>
      <c r="N8" s="273">
        <v>0</v>
      </c>
      <c r="O8" s="273">
        <v>0</v>
      </c>
      <c r="P8" s="293">
        <v>277.64999999999998</v>
      </c>
      <c r="Q8" s="284">
        <v>1599.79</v>
      </c>
    </row>
    <row r="9" spans="1:17" x14ac:dyDescent="0.25">
      <c r="A9" s="271" t="s">
        <v>1122</v>
      </c>
      <c r="B9" s="271" t="s">
        <v>644</v>
      </c>
      <c r="C9" s="290">
        <v>50</v>
      </c>
      <c r="D9" s="271" t="s">
        <v>956</v>
      </c>
      <c r="E9" s="291">
        <v>4240541</v>
      </c>
      <c r="F9" s="273">
        <v>75146078835131</v>
      </c>
      <c r="G9" s="271" t="s">
        <v>7</v>
      </c>
      <c r="H9" s="273">
        <v>30714112836</v>
      </c>
      <c r="I9" s="271" t="s">
        <v>956</v>
      </c>
      <c r="J9" s="273">
        <v>1</v>
      </c>
      <c r="K9" s="271" t="s">
        <v>646</v>
      </c>
      <c r="L9" s="284">
        <v>4888.16</v>
      </c>
      <c r="M9" s="273">
        <v>0</v>
      </c>
      <c r="N9" s="273">
        <v>0</v>
      </c>
      <c r="O9" s="274">
        <v>146.63999999999999</v>
      </c>
      <c r="P9" s="293">
        <v>1026.52</v>
      </c>
      <c r="Q9" s="284">
        <v>6061.32</v>
      </c>
    </row>
    <row r="10" spans="1:17" hidden="1" x14ac:dyDescent="0.25">
      <c r="A10" s="283" t="s">
        <v>1078</v>
      </c>
      <c r="B10" s="283" t="s">
        <v>644</v>
      </c>
      <c r="C10" s="282">
        <v>3051</v>
      </c>
      <c r="D10" s="283" t="s">
        <v>652</v>
      </c>
      <c r="E10" s="282">
        <v>885516</v>
      </c>
      <c r="F10" s="282">
        <v>75097440339951</v>
      </c>
      <c r="G10" s="283" t="s">
        <v>7</v>
      </c>
      <c r="H10" s="282">
        <v>30678814357</v>
      </c>
      <c r="I10" s="283" t="s">
        <v>652</v>
      </c>
      <c r="J10" s="282">
        <v>1</v>
      </c>
      <c r="K10" s="283" t="s">
        <v>646</v>
      </c>
      <c r="L10" s="282">
        <v>65394</v>
      </c>
      <c r="M10" s="273">
        <v>0</v>
      </c>
      <c r="N10" s="273">
        <v>0</v>
      </c>
      <c r="O10" s="273">
        <v>8157</v>
      </c>
      <c r="P10" s="274">
        <v>17656.38</v>
      </c>
      <c r="Q10" s="284">
        <v>91207.38</v>
      </c>
    </row>
    <row r="11" spans="1:17" hidden="1" x14ac:dyDescent="0.25">
      <c r="A11" s="283" t="s">
        <v>1079</v>
      </c>
      <c r="B11" s="283" t="s">
        <v>644</v>
      </c>
      <c r="C11" s="282">
        <v>500</v>
      </c>
      <c r="D11" s="283" t="s">
        <v>648</v>
      </c>
      <c r="E11" s="282">
        <v>1694216</v>
      </c>
      <c r="F11" s="282">
        <v>75097875516122</v>
      </c>
      <c r="G11" s="283" t="s">
        <v>7</v>
      </c>
      <c r="H11" s="282">
        <v>30654118767</v>
      </c>
      <c r="I11" s="283" t="s">
        <v>648</v>
      </c>
      <c r="J11" s="282">
        <v>1</v>
      </c>
      <c r="K11" s="283" t="s">
        <v>646</v>
      </c>
      <c r="L11" s="284">
        <v>117349.04</v>
      </c>
      <c r="M11" s="273">
        <v>0</v>
      </c>
      <c r="N11" s="273">
        <v>0</v>
      </c>
      <c r="O11" s="274">
        <v>5851.32</v>
      </c>
      <c r="P11" s="271">
        <v>24643.3</v>
      </c>
      <c r="Q11" s="284">
        <v>147843.66</v>
      </c>
    </row>
    <row r="12" spans="1:17" x14ac:dyDescent="0.25">
      <c r="A12" s="271" t="s">
        <v>1077</v>
      </c>
      <c r="B12" s="271" t="s">
        <v>644</v>
      </c>
      <c r="C12" s="290">
        <v>711</v>
      </c>
      <c r="D12" s="271" t="s">
        <v>658</v>
      </c>
      <c r="E12" s="291">
        <v>6809656</v>
      </c>
      <c r="F12" s="273">
        <v>35089654428747</v>
      </c>
      <c r="G12" s="271" t="s">
        <v>7</v>
      </c>
      <c r="H12" s="273">
        <v>30677237119</v>
      </c>
      <c r="I12" s="271" t="s">
        <v>658</v>
      </c>
      <c r="J12" s="273">
        <v>1</v>
      </c>
      <c r="K12" s="271" t="s">
        <v>646</v>
      </c>
      <c r="L12" s="284">
        <v>1155.52</v>
      </c>
      <c r="M12" s="273">
        <v>0</v>
      </c>
      <c r="N12" s="273">
        <v>0</v>
      </c>
      <c r="O12" s="274">
        <v>46.22</v>
      </c>
      <c r="P12" s="293">
        <v>242.66</v>
      </c>
      <c r="Q12" s="283">
        <v>1444.4</v>
      </c>
    </row>
    <row r="13" spans="1:17" hidden="1" x14ac:dyDescent="0.25">
      <c r="A13" s="287" t="s">
        <v>1079</v>
      </c>
      <c r="B13" s="287" t="s">
        <v>655</v>
      </c>
      <c r="C13" s="288">
        <v>2</v>
      </c>
      <c r="D13" s="287" t="s">
        <v>470</v>
      </c>
      <c r="E13" s="288">
        <v>338</v>
      </c>
      <c r="F13" s="288">
        <v>75108573083577</v>
      </c>
      <c r="G13" s="287" t="s">
        <v>7</v>
      </c>
      <c r="H13" s="288">
        <v>27265832178</v>
      </c>
      <c r="I13" s="287" t="s">
        <v>470</v>
      </c>
      <c r="J13" s="288">
        <v>1</v>
      </c>
      <c r="K13" s="287" t="s">
        <v>646</v>
      </c>
      <c r="L13" s="287"/>
      <c r="M13" s="287"/>
      <c r="N13" s="287"/>
      <c r="O13" s="288">
        <v>0</v>
      </c>
      <c r="P13" s="287"/>
      <c r="Q13" s="288">
        <v>3200000</v>
      </c>
    </row>
    <row r="14" spans="1:17" hidden="1" x14ac:dyDescent="0.25">
      <c r="A14" s="283" t="s">
        <v>1080</v>
      </c>
      <c r="B14" s="283" t="s">
        <v>644</v>
      </c>
      <c r="C14" s="282">
        <v>1</v>
      </c>
      <c r="D14" s="283" t="s">
        <v>722</v>
      </c>
      <c r="E14" s="282">
        <v>753841</v>
      </c>
      <c r="F14" s="282">
        <v>75109679292275</v>
      </c>
      <c r="G14" s="283" t="s">
        <v>7</v>
      </c>
      <c r="H14" s="282">
        <v>33716307749</v>
      </c>
      <c r="I14" s="283" t="s">
        <v>722</v>
      </c>
      <c r="J14" s="282">
        <v>1</v>
      </c>
      <c r="K14" s="283" t="s">
        <v>646</v>
      </c>
      <c r="L14" s="283">
        <v>49498.9</v>
      </c>
      <c r="M14" s="282">
        <v>0</v>
      </c>
      <c r="N14" s="282">
        <v>0</v>
      </c>
      <c r="O14" s="284">
        <v>1979.96</v>
      </c>
      <c r="P14" s="284">
        <v>10394.77</v>
      </c>
      <c r="Q14" s="284">
        <v>61873.63</v>
      </c>
    </row>
    <row r="15" spans="1:17" hidden="1" x14ac:dyDescent="0.25">
      <c r="A15" s="283" t="s">
        <v>1081</v>
      </c>
      <c r="B15" s="283" t="s">
        <v>644</v>
      </c>
      <c r="C15" s="282">
        <v>3</v>
      </c>
      <c r="D15" s="283" t="s">
        <v>968</v>
      </c>
      <c r="E15" s="282">
        <v>30</v>
      </c>
      <c r="F15" s="282">
        <v>75102640981500</v>
      </c>
      <c r="G15" s="283" t="s">
        <v>7</v>
      </c>
      <c r="H15" s="282">
        <v>20216164262</v>
      </c>
      <c r="I15" s="283" t="s">
        <v>968</v>
      </c>
      <c r="J15" s="282">
        <v>1</v>
      </c>
      <c r="K15" s="283" t="s">
        <v>646</v>
      </c>
      <c r="L15" s="282">
        <v>1166562</v>
      </c>
      <c r="M15" s="273">
        <v>0</v>
      </c>
      <c r="N15" s="273">
        <v>0</v>
      </c>
      <c r="O15" s="273">
        <v>0</v>
      </c>
      <c r="P15" s="274">
        <v>244978.02</v>
      </c>
      <c r="Q15" s="284">
        <v>1411540.02</v>
      </c>
    </row>
    <row r="16" spans="1:17" hidden="1" x14ac:dyDescent="0.25">
      <c r="A16" s="283" t="s">
        <v>1081</v>
      </c>
      <c r="B16" s="283" t="s">
        <v>655</v>
      </c>
      <c r="C16" s="282">
        <v>1</v>
      </c>
      <c r="D16" s="283" t="s">
        <v>184</v>
      </c>
      <c r="E16" s="282">
        <v>78</v>
      </c>
      <c r="F16" s="282">
        <v>75104661596492</v>
      </c>
      <c r="G16" s="283" t="s">
        <v>7</v>
      </c>
      <c r="H16" s="282">
        <v>23281233084</v>
      </c>
      <c r="I16" s="283" t="s">
        <v>184</v>
      </c>
      <c r="J16" s="282">
        <v>1</v>
      </c>
      <c r="K16" s="283" t="s">
        <v>646</v>
      </c>
      <c r="L16" s="283"/>
      <c r="M16" s="271"/>
      <c r="N16" s="271"/>
      <c r="O16" s="273">
        <v>0</v>
      </c>
      <c r="P16" s="271"/>
      <c r="Q16" s="282">
        <v>270000</v>
      </c>
    </row>
    <row r="17" spans="1:17" hidden="1" x14ac:dyDescent="0.25">
      <c r="A17" s="283" t="s">
        <v>1081</v>
      </c>
      <c r="B17" s="283" t="s">
        <v>655</v>
      </c>
      <c r="C17" s="282">
        <v>3</v>
      </c>
      <c r="D17" s="283" t="s">
        <v>37</v>
      </c>
      <c r="E17" s="282">
        <v>938</v>
      </c>
      <c r="F17" s="282">
        <v>75103578933928</v>
      </c>
      <c r="G17" s="283" t="s">
        <v>7</v>
      </c>
      <c r="H17" s="282">
        <v>20086277523</v>
      </c>
      <c r="I17" s="283" t="s">
        <v>37</v>
      </c>
      <c r="J17" s="273">
        <v>1</v>
      </c>
      <c r="K17" s="271" t="s">
        <v>646</v>
      </c>
      <c r="L17" s="283"/>
      <c r="M17" s="271"/>
      <c r="N17" s="271"/>
      <c r="O17" s="273">
        <v>0</v>
      </c>
      <c r="P17" s="271"/>
      <c r="Q17" s="282">
        <v>275500</v>
      </c>
    </row>
    <row r="18" spans="1:17" hidden="1" x14ac:dyDescent="0.25">
      <c r="A18" s="283" t="s">
        <v>1082</v>
      </c>
      <c r="B18" s="283" t="s">
        <v>644</v>
      </c>
      <c r="C18" s="282">
        <v>2</v>
      </c>
      <c r="D18" s="283" t="s">
        <v>617</v>
      </c>
      <c r="E18" s="282">
        <v>1132</v>
      </c>
      <c r="F18" s="282">
        <v>75109793481045</v>
      </c>
      <c r="G18" s="283" t="s">
        <v>7</v>
      </c>
      <c r="H18" s="282">
        <v>20272865869</v>
      </c>
      <c r="I18" s="283" t="s">
        <v>617</v>
      </c>
      <c r="J18" s="273">
        <v>1</v>
      </c>
      <c r="K18" s="271" t="s">
        <v>646</v>
      </c>
      <c r="L18" s="282">
        <v>155850</v>
      </c>
      <c r="M18" s="273">
        <v>0</v>
      </c>
      <c r="N18" s="273">
        <v>0</v>
      </c>
      <c r="O18" s="273">
        <v>0</v>
      </c>
      <c r="P18" s="271">
        <v>32728.5</v>
      </c>
      <c r="Q18" s="283">
        <v>188578.5</v>
      </c>
    </row>
    <row r="19" spans="1:17" x14ac:dyDescent="0.25">
      <c r="A19" s="271" t="s">
        <v>1098</v>
      </c>
      <c r="B19" s="271" t="s">
        <v>644</v>
      </c>
      <c r="C19" s="290">
        <v>5009</v>
      </c>
      <c r="D19" s="271" t="s">
        <v>671</v>
      </c>
      <c r="E19" s="291">
        <v>1272797</v>
      </c>
      <c r="F19" s="273">
        <v>75114998298974</v>
      </c>
      <c r="G19" s="271" t="s">
        <v>7</v>
      </c>
      <c r="H19" s="273">
        <v>30574876474</v>
      </c>
      <c r="I19" s="271" t="s">
        <v>671</v>
      </c>
      <c r="J19" s="273">
        <v>1</v>
      </c>
      <c r="K19" s="271" t="s">
        <v>646</v>
      </c>
      <c r="L19" s="284">
        <v>1820.64</v>
      </c>
      <c r="M19" s="273">
        <v>0</v>
      </c>
      <c r="N19" s="273">
        <v>0</v>
      </c>
      <c r="O19" s="274">
        <v>182.06</v>
      </c>
      <c r="P19" s="293">
        <v>382.33</v>
      </c>
      <c r="Q19" s="284">
        <v>2385.0300000000002</v>
      </c>
    </row>
    <row r="20" spans="1:17" x14ac:dyDescent="0.25">
      <c r="A20" s="271" t="s">
        <v>1122</v>
      </c>
      <c r="B20" s="271" t="s">
        <v>644</v>
      </c>
      <c r="C20" s="290">
        <v>5009</v>
      </c>
      <c r="D20" s="271" t="s">
        <v>671</v>
      </c>
      <c r="E20" s="291">
        <v>1316261</v>
      </c>
      <c r="F20" s="273">
        <v>75144039185661</v>
      </c>
      <c r="G20" s="271" t="s">
        <v>7</v>
      </c>
      <c r="H20" s="273">
        <v>30574876474</v>
      </c>
      <c r="I20" s="271" t="s">
        <v>671</v>
      </c>
      <c r="J20" s="273">
        <v>1</v>
      </c>
      <c r="K20" s="271" t="s">
        <v>646</v>
      </c>
      <c r="L20" s="284">
        <v>6798.01</v>
      </c>
      <c r="M20" s="273">
        <v>0</v>
      </c>
      <c r="N20" s="273">
        <v>0</v>
      </c>
      <c r="O20" s="274">
        <v>883.74</v>
      </c>
      <c r="P20" s="293">
        <v>1427.57</v>
      </c>
      <c r="Q20" s="284">
        <v>9109.32</v>
      </c>
    </row>
    <row r="21" spans="1:17" hidden="1" x14ac:dyDescent="0.25">
      <c r="A21" s="283" t="s">
        <v>1083</v>
      </c>
      <c r="B21" s="283" t="s">
        <v>644</v>
      </c>
      <c r="C21" s="282">
        <v>2</v>
      </c>
      <c r="D21" s="283" t="s">
        <v>617</v>
      </c>
      <c r="E21" s="282">
        <v>1133</v>
      </c>
      <c r="F21" s="282">
        <v>75109874477776</v>
      </c>
      <c r="G21" s="283" t="s">
        <v>7</v>
      </c>
      <c r="H21" s="282">
        <v>20272865869</v>
      </c>
      <c r="I21" s="283" t="s">
        <v>617</v>
      </c>
      <c r="J21" s="273">
        <v>1</v>
      </c>
      <c r="K21" s="271" t="s">
        <v>646</v>
      </c>
      <c r="L21" s="282">
        <v>39000</v>
      </c>
      <c r="M21" s="273">
        <v>0</v>
      </c>
      <c r="N21" s="273">
        <v>0</v>
      </c>
      <c r="O21" s="273">
        <v>0</v>
      </c>
      <c r="P21" s="273">
        <v>8190</v>
      </c>
      <c r="Q21" s="282">
        <v>47190</v>
      </c>
    </row>
    <row r="22" spans="1:17" hidden="1" x14ac:dyDescent="0.25">
      <c r="A22" s="283" t="s">
        <v>1083</v>
      </c>
      <c r="B22" s="283" t="s">
        <v>644</v>
      </c>
      <c r="C22" s="282">
        <v>2</v>
      </c>
      <c r="D22" s="283" t="s">
        <v>617</v>
      </c>
      <c r="E22" s="282">
        <v>1135</v>
      </c>
      <c r="F22" s="282">
        <v>75109882194137</v>
      </c>
      <c r="G22" s="283" t="s">
        <v>7</v>
      </c>
      <c r="H22" s="282">
        <v>20272865869</v>
      </c>
      <c r="I22" s="283" t="s">
        <v>617</v>
      </c>
      <c r="J22" s="273">
        <v>1</v>
      </c>
      <c r="K22" s="271" t="s">
        <v>646</v>
      </c>
      <c r="L22" s="284">
        <v>11006.61</v>
      </c>
      <c r="M22" s="273">
        <v>0</v>
      </c>
      <c r="N22" s="273">
        <v>0</v>
      </c>
      <c r="O22" s="273">
        <v>0</v>
      </c>
      <c r="P22" s="274">
        <v>2311.39</v>
      </c>
      <c r="Q22" s="282">
        <v>13318</v>
      </c>
    </row>
    <row r="23" spans="1:17" hidden="1" x14ac:dyDescent="0.25">
      <c r="A23" s="283" t="s">
        <v>1083</v>
      </c>
      <c r="B23" s="283" t="s">
        <v>644</v>
      </c>
      <c r="C23" s="282">
        <v>5</v>
      </c>
      <c r="D23" s="283" t="s">
        <v>650</v>
      </c>
      <c r="E23" s="282">
        <v>164287</v>
      </c>
      <c r="F23" s="282">
        <v>75103948936244</v>
      </c>
      <c r="G23" s="283" t="s">
        <v>7</v>
      </c>
      <c r="H23" s="282">
        <v>30598960093</v>
      </c>
      <c r="I23" s="283" t="s">
        <v>650</v>
      </c>
      <c r="J23" s="282">
        <v>1</v>
      </c>
      <c r="K23" s="283" t="s">
        <v>646</v>
      </c>
      <c r="L23" s="282">
        <v>2026728</v>
      </c>
      <c r="M23" s="273">
        <v>0</v>
      </c>
      <c r="N23" s="273">
        <v>0</v>
      </c>
      <c r="O23" s="274">
        <v>81069.119999999995</v>
      </c>
      <c r="P23" s="274">
        <v>425612.89</v>
      </c>
      <c r="Q23" s="284">
        <v>2533410.0099999998</v>
      </c>
    </row>
    <row r="24" spans="1:17" hidden="1" x14ac:dyDescent="0.25">
      <c r="A24" s="283" t="s">
        <v>1083</v>
      </c>
      <c r="B24" s="283" t="s">
        <v>644</v>
      </c>
      <c r="C24" s="282">
        <v>7</v>
      </c>
      <c r="D24" s="283" t="s">
        <v>1066</v>
      </c>
      <c r="E24" s="282">
        <v>27</v>
      </c>
      <c r="F24" s="282">
        <v>75103887647271</v>
      </c>
      <c r="G24" s="283" t="s">
        <v>7</v>
      </c>
      <c r="H24" s="282">
        <v>27325223273</v>
      </c>
      <c r="I24" s="283" t="s">
        <v>1066</v>
      </c>
      <c r="J24" s="282">
        <v>1</v>
      </c>
      <c r="K24" s="283" t="s">
        <v>646</v>
      </c>
      <c r="L24" s="282">
        <v>1650000</v>
      </c>
      <c r="M24" s="273">
        <v>0</v>
      </c>
      <c r="N24" s="273">
        <v>0</v>
      </c>
      <c r="O24" s="273">
        <v>0</v>
      </c>
      <c r="P24" s="273">
        <v>346500</v>
      </c>
      <c r="Q24" s="282">
        <v>1996500</v>
      </c>
    </row>
    <row r="25" spans="1:17" hidden="1" x14ac:dyDescent="0.25">
      <c r="A25" s="283" t="s">
        <v>1083</v>
      </c>
      <c r="B25" s="283" t="s">
        <v>644</v>
      </c>
      <c r="C25" s="282">
        <v>2</v>
      </c>
      <c r="D25" s="283" t="s">
        <v>1084</v>
      </c>
      <c r="E25" s="282">
        <v>487</v>
      </c>
      <c r="F25" s="282">
        <v>75106908089918</v>
      </c>
      <c r="G25" s="283" t="s">
        <v>7</v>
      </c>
      <c r="H25" s="282">
        <v>30711610096</v>
      </c>
      <c r="I25" s="283" t="s">
        <v>1084</v>
      </c>
      <c r="J25" s="282">
        <v>1</v>
      </c>
      <c r="K25" s="283" t="s">
        <v>646</v>
      </c>
      <c r="L25" s="282">
        <v>698000</v>
      </c>
      <c r="M25" s="273">
        <v>0</v>
      </c>
      <c r="N25" s="273">
        <v>0</v>
      </c>
      <c r="O25" s="273">
        <v>0</v>
      </c>
      <c r="P25" s="273">
        <v>146580</v>
      </c>
      <c r="Q25" s="282">
        <v>844580</v>
      </c>
    </row>
    <row r="26" spans="1:17" hidden="1" x14ac:dyDescent="0.25">
      <c r="A26" s="283" t="s">
        <v>1083</v>
      </c>
      <c r="B26" s="283" t="s">
        <v>655</v>
      </c>
      <c r="C26" s="282">
        <v>2</v>
      </c>
      <c r="D26" s="283" t="s">
        <v>949</v>
      </c>
      <c r="E26" s="282">
        <v>123</v>
      </c>
      <c r="F26" s="282">
        <v>75108978118375</v>
      </c>
      <c r="G26" s="283" t="s">
        <v>7</v>
      </c>
      <c r="H26" s="282">
        <v>27315710508</v>
      </c>
      <c r="I26" s="283" t="s">
        <v>949</v>
      </c>
      <c r="J26" s="273">
        <v>1</v>
      </c>
      <c r="K26" s="271" t="s">
        <v>646</v>
      </c>
      <c r="L26" s="283"/>
      <c r="M26" s="271"/>
      <c r="N26" s="271"/>
      <c r="O26" s="273">
        <v>0</v>
      </c>
      <c r="P26" s="271"/>
      <c r="Q26" s="282">
        <v>43200</v>
      </c>
    </row>
    <row r="27" spans="1:17" hidden="1" x14ac:dyDescent="0.25">
      <c r="A27" s="283" t="s">
        <v>1085</v>
      </c>
      <c r="B27" s="283" t="s">
        <v>644</v>
      </c>
      <c r="C27" s="282">
        <v>5015</v>
      </c>
      <c r="D27" s="283" t="s">
        <v>671</v>
      </c>
      <c r="E27" s="282">
        <v>778963</v>
      </c>
      <c r="F27" s="282">
        <v>75104071087297</v>
      </c>
      <c r="G27" s="283" t="s">
        <v>7</v>
      </c>
      <c r="H27" s="282">
        <v>30574876474</v>
      </c>
      <c r="I27" s="283" t="s">
        <v>671</v>
      </c>
      <c r="J27" s="282">
        <v>1</v>
      </c>
      <c r="K27" s="283" t="s">
        <v>646</v>
      </c>
      <c r="L27" s="284">
        <v>13213.87</v>
      </c>
      <c r="M27" s="273">
        <v>0</v>
      </c>
      <c r="N27" s="273">
        <v>0</v>
      </c>
      <c r="O27" s="274">
        <v>1717.79</v>
      </c>
      <c r="P27" s="271">
        <v>2774.9</v>
      </c>
      <c r="Q27" s="284">
        <v>17706.560000000001</v>
      </c>
    </row>
    <row r="28" spans="1:17" x14ac:dyDescent="0.25">
      <c r="A28" s="271" t="s">
        <v>1122</v>
      </c>
      <c r="B28" s="271" t="s">
        <v>644</v>
      </c>
      <c r="C28" s="290">
        <v>5015</v>
      </c>
      <c r="D28" s="271" t="s">
        <v>671</v>
      </c>
      <c r="E28" s="291">
        <v>801800</v>
      </c>
      <c r="F28" s="273">
        <v>75144032396028</v>
      </c>
      <c r="G28" s="271" t="s">
        <v>7</v>
      </c>
      <c r="H28" s="273">
        <v>30574876474</v>
      </c>
      <c r="I28" s="271" t="s">
        <v>671</v>
      </c>
      <c r="J28" s="273">
        <v>1</v>
      </c>
      <c r="K28" s="271" t="s">
        <v>646</v>
      </c>
      <c r="L28" s="284">
        <v>33681.65</v>
      </c>
      <c r="M28" s="273">
        <v>0</v>
      </c>
      <c r="N28" s="273">
        <v>0</v>
      </c>
      <c r="O28" s="274">
        <v>4378.57</v>
      </c>
      <c r="P28" s="293">
        <v>7073.11</v>
      </c>
      <c r="Q28" s="284">
        <v>45133.33</v>
      </c>
    </row>
    <row r="29" spans="1:17" hidden="1" x14ac:dyDescent="0.25">
      <c r="A29" s="283" t="s">
        <v>1086</v>
      </c>
      <c r="B29" s="283" t="s">
        <v>644</v>
      </c>
      <c r="C29" s="282">
        <v>3101</v>
      </c>
      <c r="D29" s="283" t="s">
        <v>652</v>
      </c>
      <c r="E29" s="282">
        <v>278864</v>
      </c>
      <c r="F29" s="282">
        <v>75107271721600</v>
      </c>
      <c r="G29" s="283" t="s">
        <v>7</v>
      </c>
      <c r="H29" s="282">
        <v>30678814357</v>
      </c>
      <c r="I29" s="283" t="s">
        <v>652</v>
      </c>
      <c r="J29" s="282">
        <v>1</v>
      </c>
      <c r="K29" s="283" t="s">
        <v>646</v>
      </c>
      <c r="L29" s="283">
        <v>82083.600000000006</v>
      </c>
      <c r="M29" s="273">
        <v>0</v>
      </c>
      <c r="N29" s="273">
        <v>0</v>
      </c>
      <c r="O29" s="274">
        <v>5745.85</v>
      </c>
      <c r="P29" s="274">
        <v>22162.57</v>
      </c>
      <c r="Q29" s="284">
        <v>109992.02</v>
      </c>
    </row>
    <row r="30" spans="1:17" hidden="1" x14ac:dyDescent="0.25">
      <c r="A30" s="283" t="s">
        <v>1087</v>
      </c>
      <c r="B30" s="283" t="s">
        <v>644</v>
      </c>
      <c r="C30" s="282">
        <v>2002</v>
      </c>
      <c r="D30" s="283" t="s">
        <v>694</v>
      </c>
      <c r="E30" s="282">
        <v>79578</v>
      </c>
      <c r="F30" s="282">
        <v>75105247782031</v>
      </c>
      <c r="G30" s="283" t="s">
        <v>7</v>
      </c>
      <c r="H30" s="282">
        <v>30716425165</v>
      </c>
      <c r="I30" s="283" t="s">
        <v>694</v>
      </c>
      <c r="J30" s="282">
        <v>1</v>
      </c>
      <c r="K30" s="283" t="s">
        <v>646</v>
      </c>
      <c r="L30" s="284">
        <v>4796.38</v>
      </c>
      <c r="M30" s="282">
        <v>0</v>
      </c>
      <c r="N30" s="273">
        <v>0</v>
      </c>
      <c r="O30" s="273">
        <v>0</v>
      </c>
      <c r="P30" s="274">
        <v>503.62</v>
      </c>
      <c r="Q30" s="282">
        <v>5300</v>
      </c>
    </row>
    <row r="31" spans="1:17" hidden="1" x14ac:dyDescent="0.25">
      <c r="A31" s="283" t="s">
        <v>1088</v>
      </c>
      <c r="B31" s="283" t="s">
        <v>644</v>
      </c>
      <c r="C31" s="282">
        <v>7</v>
      </c>
      <c r="D31" s="283" t="s">
        <v>1089</v>
      </c>
      <c r="E31" s="282">
        <v>268472</v>
      </c>
      <c r="F31" s="282">
        <v>75103434538841</v>
      </c>
      <c r="G31" s="283" t="s">
        <v>7</v>
      </c>
      <c r="H31" s="282">
        <v>30708395443</v>
      </c>
      <c r="I31" s="283" t="s">
        <v>1089</v>
      </c>
      <c r="J31" s="282">
        <v>1</v>
      </c>
      <c r="K31" s="283" t="s">
        <v>646</v>
      </c>
      <c r="L31" s="284">
        <v>132230.57999999999</v>
      </c>
      <c r="M31" s="273">
        <v>0</v>
      </c>
      <c r="N31" s="273">
        <v>0</v>
      </c>
      <c r="O31" s="273">
        <v>0</v>
      </c>
      <c r="P31" s="274">
        <v>27768.42</v>
      </c>
      <c r="Q31" s="282">
        <v>159999</v>
      </c>
    </row>
    <row r="32" spans="1:17" hidden="1" x14ac:dyDescent="0.25">
      <c r="A32" s="283" t="s">
        <v>1088</v>
      </c>
      <c r="B32" s="283" t="s">
        <v>644</v>
      </c>
      <c r="C32" s="282">
        <v>2</v>
      </c>
      <c r="D32" s="283" t="s">
        <v>936</v>
      </c>
      <c r="E32" s="282">
        <v>11604</v>
      </c>
      <c r="F32" s="282">
        <v>75102380894031</v>
      </c>
      <c r="G32" s="283" t="s">
        <v>7</v>
      </c>
      <c r="H32" s="282">
        <v>30714331082</v>
      </c>
      <c r="I32" s="283" t="s">
        <v>936</v>
      </c>
      <c r="J32" s="282">
        <v>1</v>
      </c>
      <c r="K32" s="283" t="s">
        <v>646</v>
      </c>
      <c r="L32" s="284">
        <v>423275.07</v>
      </c>
      <c r="M32" s="273">
        <v>0</v>
      </c>
      <c r="N32" s="273">
        <v>0</v>
      </c>
      <c r="O32" s="273">
        <v>0</v>
      </c>
      <c r="P32" s="274">
        <v>88887.76</v>
      </c>
      <c r="Q32" s="284">
        <v>512162.83</v>
      </c>
    </row>
    <row r="33" spans="1:17" hidden="1" x14ac:dyDescent="0.25">
      <c r="A33" s="285" t="s">
        <v>1088</v>
      </c>
      <c r="B33" s="285" t="s">
        <v>644</v>
      </c>
      <c r="C33" s="286">
        <v>120</v>
      </c>
      <c r="D33" s="285" t="s">
        <v>485</v>
      </c>
      <c r="E33" s="286">
        <v>5534</v>
      </c>
      <c r="F33" s="286">
        <v>75105438448648</v>
      </c>
      <c r="G33" s="285" t="s">
        <v>7</v>
      </c>
      <c r="H33" s="286">
        <v>30587197215</v>
      </c>
      <c r="I33" s="285" t="s">
        <v>485</v>
      </c>
      <c r="J33" s="286">
        <v>1</v>
      </c>
      <c r="K33" s="285" t="s">
        <v>646</v>
      </c>
      <c r="L33" s="289">
        <v>95041.32</v>
      </c>
      <c r="M33" s="286">
        <v>0</v>
      </c>
      <c r="N33" s="286">
        <v>0</v>
      </c>
      <c r="O33" s="289">
        <v>3801.65</v>
      </c>
      <c r="P33" s="289">
        <v>19958.68</v>
      </c>
      <c r="Q33" s="289">
        <v>118801.65</v>
      </c>
    </row>
    <row r="34" spans="1:17" hidden="1" x14ac:dyDescent="0.25">
      <c r="A34" s="283" t="s">
        <v>1088</v>
      </c>
      <c r="B34" s="283" t="s">
        <v>655</v>
      </c>
      <c r="C34" s="282">
        <v>1</v>
      </c>
      <c r="D34" s="283" t="s">
        <v>1090</v>
      </c>
      <c r="E34" s="282">
        <v>44</v>
      </c>
      <c r="F34" s="282">
        <v>75107404164811</v>
      </c>
      <c r="G34" s="283" t="s">
        <v>7</v>
      </c>
      <c r="H34" s="282">
        <v>20190742297</v>
      </c>
      <c r="I34" s="283" t="s">
        <v>1090</v>
      </c>
      <c r="J34" s="273">
        <v>1</v>
      </c>
      <c r="K34" s="271" t="s">
        <v>646</v>
      </c>
      <c r="L34" s="283"/>
      <c r="M34" s="271"/>
      <c r="N34" s="271"/>
      <c r="O34" s="273">
        <v>0</v>
      </c>
      <c r="P34" s="271"/>
      <c r="Q34" s="282">
        <v>150000</v>
      </c>
    </row>
    <row r="35" spans="1:17" hidden="1" x14ac:dyDescent="0.25">
      <c r="A35" s="283" t="s">
        <v>1088</v>
      </c>
      <c r="B35" s="283" t="s">
        <v>655</v>
      </c>
      <c r="C35" s="282">
        <v>1</v>
      </c>
      <c r="D35" s="283" t="s">
        <v>937</v>
      </c>
      <c r="E35" s="282">
        <v>12</v>
      </c>
      <c r="F35" s="282">
        <v>75103359390490</v>
      </c>
      <c r="G35" s="283" t="s">
        <v>7</v>
      </c>
      <c r="H35" s="282">
        <v>27443612713</v>
      </c>
      <c r="I35" s="283" t="s">
        <v>937</v>
      </c>
      <c r="J35" s="273">
        <v>1</v>
      </c>
      <c r="K35" s="271" t="s">
        <v>646</v>
      </c>
      <c r="L35" s="283"/>
      <c r="M35" s="271"/>
      <c r="N35" s="271"/>
      <c r="O35" s="273">
        <v>0</v>
      </c>
      <c r="P35" s="271"/>
      <c r="Q35" s="282">
        <v>850000</v>
      </c>
    </row>
    <row r="36" spans="1:17" hidden="1" x14ac:dyDescent="0.25">
      <c r="A36" s="283" t="s">
        <v>1091</v>
      </c>
      <c r="B36" s="283" t="s">
        <v>644</v>
      </c>
      <c r="C36" s="282">
        <v>4</v>
      </c>
      <c r="D36" s="283" t="s">
        <v>685</v>
      </c>
      <c r="E36" s="282">
        <v>39572</v>
      </c>
      <c r="F36" s="282">
        <v>75119506172639</v>
      </c>
      <c r="G36" s="283" t="s">
        <v>7</v>
      </c>
      <c r="H36" s="282">
        <v>20289111329</v>
      </c>
      <c r="I36" s="283" t="s">
        <v>685</v>
      </c>
      <c r="J36" s="282">
        <v>1</v>
      </c>
      <c r="K36" s="283" t="s">
        <v>646</v>
      </c>
      <c r="L36" s="284">
        <v>585348.09</v>
      </c>
      <c r="M36" s="273">
        <v>0</v>
      </c>
      <c r="N36" s="273">
        <v>0</v>
      </c>
      <c r="O36" s="273">
        <v>0</v>
      </c>
      <c r="P36" s="271">
        <v>122923.1</v>
      </c>
      <c r="Q36" s="284">
        <v>708271.19</v>
      </c>
    </row>
    <row r="37" spans="1:17" hidden="1" x14ac:dyDescent="0.25">
      <c r="A37" s="283" t="s">
        <v>1091</v>
      </c>
      <c r="B37" s="283" t="s">
        <v>644</v>
      </c>
      <c r="C37" s="282">
        <v>6</v>
      </c>
      <c r="D37" s="283" t="s">
        <v>233</v>
      </c>
      <c r="E37" s="282">
        <v>89635</v>
      </c>
      <c r="F37" s="282">
        <v>75114529251983</v>
      </c>
      <c r="G37" s="283" t="s">
        <v>7</v>
      </c>
      <c r="H37" s="282">
        <v>30711553564</v>
      </c>
      <c r="I37" s="283" t="s">
        <v>233</v>
      </c>
      <c r="J37" s="282">
        <v>1</v>
      </c>
      <c r="K37" s="283" t="s">
        <v>646</v>
      </c>
      <c r="L37" s="284">
        <v>846283.75</v>
      </c>
      <c r="M37" s="273">
        <v>0</v>
      </c>
      <c r="N37" s="273">
        <v>0</v>
      </c>
      <c r="O37" s="273">
        <v>0</v>
      </c>
      <c r="P37" s="274">
        <v>177719.59</v>
      </c>
      <c r="Q37" s="284">
        <v>1024003.34</v>
      </c>
    </row>
    <row r="38" spans="1:17" hidden="1" x14ac:dyDescent="0.25">
      <c r="A38" s="283" t="s">
        <v>1091</v>
      </c>
      <c r="B38" s="283" t="s">
        <v>644</v>
      </c>
      <c r="C38" s="282">
        <v>4</v>
      </c>
      <c r="D38" s="283" t="s">
        <v>685</v>
      </c>
      <c r="E38" s="282">
        <v>39574</v>
      </c>
      <c r="F38" s="282">
        <v>75119529929350</v>
      </c>
      <c r="G38" s="283" t="s">
        <v>7</v>
      </c>
      <c r="H38" s="282">
        <v>20289111329</v>
      </c>
      <c r="I38" s="283" t="s">
        <v>685</v>
      </c>
      <c r="J38" s="282">
        <v>1</v>
      </c>
      <c r="K38" s="283" t="s">
        <v>646</v>
      </c>
      <c r="L38" s="284">
        <v>292865.40999999997</v>
      </c>
      <c r="M38" s="273">
        <v>0</v>
      </c>
      <c r="N38" s="273">
        <v>0</v>
      </c>
      <c r="O38" s="273">
        <v>0</v>
      </c>
      <c r="P38" s="274">
        <v>61501.73</v>
      </c>
      <c r="Q38" s="284">
        <v>354367.14</v>
      </c>
    </row>
    <row r="39" spans="1:17" hidden="1" x14ac:dyDescent="0.25">
      <c r="A39" s="283" t="s">
        <v>1091</v>
      </c>
      <c r="B39" s="283" t="s">
        <v>655</v>
      </c>
      <c r="C39" s="282">
        <v>3</v>
      </c>
      <c r="D39" s="283" t="s">
        <v>137</v>
      </c>
      <c r="E39" s="282">
        <v>2395</v>
      </c>
      <c r="F39" s="282">
        <v>75111535985217</v>
      </c>
      <c r="G39" s="283" t="s">
        <v>7</v>
      </c>
      <c r="H39" s="282">
        <v>20182999661</v>
      </c>
      <c r="I39" s="283" t="s">
        <v>137</v>
      </c>
      <c r="J39" s="273">
        <v>1</v>
      </c>
      <c r="K39" s="271" t="s">
        <v>646</v>
      </c>
      <c r="L39" s="283"/>
      <c r="M39" s="271"/>
      <c r="N39" s="271"/>
      <c r="O39" s="273">
        <v>0</v>
      </c>
      <c r="P39" s="271"/>
      <c r="Q39" s="282">
        <v>57000</v>
      </c>
    </row>
    <row r="40" spans="1:17" hidden="1" x14ac:dyDescent="0.25">
      <c r="A40" s="283" t="s">
        <v>1091</v>
      </c>
      <c r="B40" s="283" t="s">
        <v>655</v>
      </c>
      <c r="C40" s="282">
        <v>1</v>
      </c>
      <c r="D40" s="283" t="s">
        <v>424</v>
      </c>
      <c r="E40" s="282">
        <v>167</v>
      </c>
      <c r="F40" s="282">
        <v>75110530978675</v>
      </c>
      <c r="G40" s="283" t="s">
        <v>7</v>
      </c>
      <c r="H40" s="282">
        <v>27338342840</v>
      </c>
      <c r="I40" s="283" t="s">
        <v>424</v>
      </c>
      <c r="J40" s="273">
        <v>1</v>
      </c>
      <c r="K40" s="271" t="s">
        <v>646</v>
      </c>
      <c r="L40" s="283"/>
      <c r="M40" s="271"/>
      <c r="N40" s="271"/>
      <c r="O40" s="273">
        <v>0</v>
      </c>
      <c r="P40" s="271"/>
      <c r="Q40" s="282">
        <v>652800</v>
      </c>
    </row>
    <row r="41" spans="1:17" hidden="1" x14ac:dyDescent="0.25">
      <c r="A41" s="283" t="s">
        <v>1092</v>
      </c>
      <c r="B41" s="283" t="s">
        <v>644</v>
      </c>
      <c r="C41" s="282">
        <v>3</v>
      </c>
      <c r="D41" s="283" t="s">
        <v>947</v>
      </c>
      <c r="E41" s="282">
        <v>48479</v>
      </c>
      <c r="F41" s="282">
        <v>75118687675469</v>
      </c>
      <c r="G41" s="283" t="s">
        <v>7</v>
      </c>
      <c r="H41" s="282">
        <v>30711454388</v>
      </c>
      <c r="I41" s="283" t="s">
        <v>947</v>
      </c>
      <c r="J41" s="282">
        <v>1</v>
      </c>
      <c r="K41" s="283" t="s">
        <v>646</v>
      </c>
      <c r="L41" s="282">
        <v>213732</v>
      </c>
      <c r="M41" s="273">
        <v>0</v>
      </c>
      <c r="N41" s="273">
        <v>0</v>
      </c>
      <c r="O41" s="273">
        <v>0</v>
      </c>
      <c r="P41" s="274">
        <v>44883.72</v>
      </c>
      <c r="Q41" s="284">
        <v>258615.72</v>
      </c>
    </row>
    <row r="42" spans="1:17" hidden="1" x14ac:dyDescent="0.25">
      <c r="A42" s="283" t="s">
        <v>1092</v>
      </c>
      <c r="B42" s="283" t="s">
        <v>644</v>
      </c>
      <c r="C42" s="282">
        <v>3</v>
      </c>
      <c r="D42" s="283" t="s">
        <v>947</v>
      </c>
      <c r="E42" s="282">
        <v>48480</v>
      </c>
      <c r="F42" s="282">
        <v>75118687920143</v>
      </c>
      <c r="G42" s="283" t="s">
        <v>7</v>
      </c>
      <c r="H42" s="282">
        <v>30711454388</v>
      </c>
      <c r="I42" s="283" t="s">
        <v>947</v>
      </c>
      <c r="J42" s="282">
        <v>1</v>
      </c>
      <c r="K42" s="283" t="s">
        <v>646</v>
      </c>
      <c r="L42" s="282">
        <v>137543</v>
      </c>
      <c r="M42" s="273">
        <v>0</v>
      </c>
      <c r="N42" s="273">
        <v>0</v>
      </c>
      <c r="O42" s="273">
        <v>0</v>
      </c>
      <c r="P42" s="274">
        <v>28884.03</v>
      </c>
      <c r="Q42" s="284">
        <v>166427.03</v>
      </c>
    </row>
    <row r="43" spans="1:17" hidden="1" x14ac:dyDescent="0.25">
      <c r="A43" s="283" t="s">
        <v>1092</v>
      </c>
      <c r="B43" s="283" t="s">
        <v>644</v>
      </c>
      <c r="C43" s="282">
        <v>2</v>
      </c>
      <c r="D43" s="283" t="s">
        <v>617</v>
      </c>
      <c r="E43" s="282">
        <v>1151</v>
      </c>
      <c r="F43" s="282">
        <v>75119693479565</v>
      </c>
      <c r="G43" s="283" t="s">
        <v>7</v>
      </c>
      <c r="H43" s="282">
        <v>20272865869</v>
      </c>
      <c r="I43" s="283" t="s">
        <v>617</v>
      </c>
      <c r="J43" s="273">
        <v>1</v>
      </c>
      <c r="K43" s="271" t="s">
        <v>646</v>
      </c>
      <c r="L43" s="282">
        <v>87550</v>
      </c>
      <c r="M43" s="273">
        <v>0</v>
      </c>
      <c r="N43" s="273">
        <v>0</v>
      </c>
      <c r="O43" s="273">
        <v>0</v>
      </c>
      <c r="P43" s="271">
        <v>18385.5</v>
      </c>
      <c r="Q43" s="283">
        <v>105935.5</v>
      </c>
    </row>
    <row r="44" spans="1:17" hidden="1" x14ac:dyDescent="0.25">
      <c r="A44" s="283" t="s">
        <v>1092</v>
      </c>
      <c r="B44" s="283" t="s">
        <v>644</v>
      </c>
      <c r="C44" s="282">
        <v>1000</v>
      </c>
      <c r="D44" s="283" t="s">
        <v>1093</v>
      </c>
      <c r="E44" s="282">
        <v>215377</v>
      </c>
      <c r="F44" s="282">
        <v>75113683028005</v>
      </c>
      <c r="G44" s="283" t="s">
        <v>7</v>
      </c>
      <c r="H44" s="282">
        <v>30715123483</v>
      </c>
      <c r="I44" s="283" t="s">
        <v>1093</v>
      </c>
      <c r="J44" s="282">
        <v>1</v>
      </c>
      <c r="K44" s="283" t="s">
        <v>646</v>
      </c>
      <c r="L44" s="284">
        <v>15170.24</v>
      </c>
      <c r="M44" s="273">
        <v>0</v>
      </c>
      <c r="N44" s="273">
        <v>0</v>
      </c>
      <c r="O44" s="274">
        <v>310.83999999999997</v>
      </c>
      <c r="P44" s="274">
        <v>3185.75</v>
      </c>
      <c r="Q44" s="284">
        <v>18666.830000000002</v>
      </c>
    </row>
    <row r="45" spans="1:17" hidden="1" x14ac:dyDescent="0.25">
      <c r="A45" s="283" t="s">
        <v>1092</v>
      </c>
      <c r="B45" s="283" t="s">
        <v>644</v>
      </c>
      <c r="C45" s="282">
        <v>5</v>
      </c>
      <c r="D45" s="283" t="s">
        <v>165</v>
      </c>
      <c r="E45" s="282">
        <v>1485</v>
      </c>
      <c r="F45" s="282">
        <v>75115688543714</v>
      </c>
      <c r="G45" s="283" t="s">
        <v>7</v>
      </c>
      <c r="H45" s="282">
        <v>27265302225</v>
      </c>
      <c r="I45" s="283" t="s">
        <v>165</v>
      </c>
      <c r="J45" s="282">
        <v>1</v>
      </c>
      <c r="K45" s="283" t="s">
        <v>646</v>
      </c>
      <c r="L45" s="282">
        <v>800000</v>
      </c>
      <c r="M45" s="273">
        <v>0</v>
      </c>
      <c r="N45" s="273">
        <v>0</v>
      </c>
      <c r="O45" s="273">
        <v>0</v>
      </c>
      <c r="P45" s="273">
        <v>168000</v>
      </c>
      <c r="Q45" s="282">
        <v>968000</v>
      </c>
    </row>
    <row r="46" spans="1:17" hidden="1" x14ac:dyDescent="0.25">
      <c r="A46" s="283" t="s">
        <v>1092</v>
      </c>
      <c r="B46" s="283" t="s">
        <v>644</v>
      </c>
      <c r="C46" s="282">
        <v>3</v>
      </c>
      <c r="D46" s="283" t="s">
        <v>682</v>
      </c>
      <c r="E46" s="282">
        <v>8664</v>
      </c>
      <c r="F46" s="282">
        <v>75119677712167</v>
      </c>
      <c r="G46" s="283" t="s">
        <v>7</v>
      </c>
      <c r="H46" s="282">
        <v>33708218699</v>
      </c>
      <c r="I46" s="283" t="s">
        <v>682</v>
      </c>
      <c r="J46" s="273">
        <v>1</v>
      </c>
      <c r="K46" s="271" t="s">
        <v>646</v>
      </c>
      <c r="L46" s="282">
        <v>24000</v>
      </c>
      <c r="M46" s="273">
        <v>0</v>
      </c>
      <c r="N46" s="273">
        <v>0</v>
      </c>
      <c r="O46" s="273">
        <v>0</v>
      </c>
      <c r="P46" s="273">
        <v>5040</v>
      </c>
      <c r="Q46" s="282">
        <v>29040</v>
      </c>
    </row>
    <row r="47" spans="1:17" hidden="1" x14ac:dyDescent="0.25">
      <c r="A47" s="283" t="s">
        <v>1092</v>
      </c>
      <c r="B47" s="283" t="s">
        <v>644</v>
      </c>
      <c r="C47" s="282">
        <v>8</v>
      </c>
      <c r="D47" s="283" t="s">
        <v>678</v>
      </c>
      <c r="E47" s="282">
        <v>1763</v>
      </c>
      <c r="F47" s="282">
        <v>75111675190378</v>
      </c>
      <c r="G47" s="283" t="s">
        <v>7</v>
      </c>
      <c r="H47" s="282">
        <v>30708973501</v>
      </c>
      <c r="I47" s="283" t="s">
        <v>678</v>
      </c>
      <c r="J47" s="282">
        <v>1</v>
      </c>
      <c r="K47" s="283" t="s">
        <v>646</v>
      </c>
      <c r="L47" s="282">
        <v>616271</v>
      </c>
      <c r="M47" s="273">
        <v>0</v>
      </c>
      <c r="N47" s="273">
        <v>0</v>
      </c>
      <c r="O47" s="273">
        <v>0</v>
      </c>
      <c r="P47" s="274">
        <v>129416.91</v>
      </c>
      <c r="Q47" s="284">
        <v>745687.91</v>
      </c>
    </row>
    <row r="48" spans="1:17" hidden="1" x14ac:dyDescent="0.25">
      <c r="A48" s="283" t="s">
        <v>1092</v>
      </c>
      <c r="B48" s="283" t="s">
        <v>655</v>
      </c>
      <c r="C48" s="282">
        <v>5</v>
      </c>
      <c r="D48" s="283" t="s">
        <v>396</v>
      </c>
      <c r="E48" s="282">
        <v>176</v>
      </c>
      <c r="F48" s="282">
        <v>75119666465613</v>
      </c>
      <c r="G48" s="283" t="s">
        <v>7</v>
      </c>
      <c r="H48" s="282">
        <v>27062343449</v>
      </c>
      <c r="I48" s="283" t="s">
        <v>396</v>
      </c>
      <c r="J48" s="282">
        <v>1</v>
      </c>
      <c r="K48" s="271" t="s">
        <v>646</v>
      </c>
      <c r="L48" s="283"/>
      <c r="M48" s="271"/>
      <c r="N48" s="271"/>
      <c r="O48" s="273">
        <v>0</v>
      </c>
      <c r="P48" s="271"/>
      <c r="Q48" s="282">
        <v>250000</v>
      </c>
    </row>
    <row r="49" spans="1:17" hidden="1" x14ac:dyDescent="0.25">
      <c r="A49" s="283" t="s">
        <v>1092</v>
      </c>
      <c r="B49" s="283" t="s">
        <v>655</v>
      </c>
      <c r="C49" s="282">
        <v>5</v>
      </c>
      <c r="D49" s="283" t="s">
        <v>396</v>
      </c>
      <c r="E49" s="282">
        <v>177</v>
      </c>
      <c r="F49" s="282">
        <v>75119666703965</v>
      </c>
      <c r="G49" s="283" t="s">
        <v>7</v>
      </c>
      <c r="H49" s="282">
        <v>27062343449</v>
      </c>
      <c r="I49" s="283" t="s">
        <v>396</v>
      </c>
      <c r="J49" s="282">
        <v>1</v>
      </c>
      <c r="K49" s="271" t="s">
        <v>646</v>
      </c>
      <c r="L49" s="283"/>
      <c r="M49" s="271"/>
      <c r="N49" s="271"/>
      <c r="O49" s="273">
        <v>0</v>
      </c>
      <c r="P49" s="271"/>
      <c r="Q49" s="282">
        <v>350000</v>
      </c>
    </row>
    <row r="50" spans="1:17" hidden="1" x14ac:dyDescent="0.25">
      <c r="A50" s="283" t="s">
        <v>1094</v>
      </c>
      <c r="B50" s="283" t="s">
        <v>644</v>
      </c>
      <c r="C50" s="282">
        <v>1</v>
      </c>
      <c r="D50" s="283" t="s">
        <v>649</v>
      </c>
      <c r="E50" s="282">
        <v>6677</v>
      </c>
      <c r="F50" s="282">
        <v>75111774652240</v>
      </c>
      <c r="G50" s="283" t="s">
        <v>7</v>
      </c>
      <c r="H50" s="282">
        <v>30715141201</v>
      </c>
      <c r="I50" s="283" t="s">
        <v>649</v>
      </c>
      <c r="J50" s="282">
        <v>1</v>
      </c>
      <c r="K50" s="283" t="s">
        <v>646</v>
      </c>
      <c r="L50" s="284">
        <v>529546.88</v>
      </c>
      <c r="M50" s="282">
        <v>0</v>
      </c>
      <c r="N50" s="282">
        <v>0</v>
      </c>
      <c r="O50" s="282">
        <v>0</v>
      </c>
      <c r="P50" s="284">
        <v>111204.84</v>
      </c>
      <c r="Q50" s="284">
        <v>640751.72</v>
      </c>
    </row>
    <row r="51" spans="1:17" hidden="1" x14ac:dyDescent="0.25">
      <c r="A51" s="283" t="s">
        <v>1094</v>
      </c>
      <c r="B51" s="283" t="s">
        <v>644</v>
      </c>
      <c r="C51" s="282">
        <v>2</v>
      </c>
      <c r="D51" s="283" t="s">
        <v>617</v>
      </c>
      <c r="E51" s="282">
        <v>1153</v>
      </c>
      <c r="F51" s="282">
        <v>75119760659695</v>
      </c>
      <c r="G51" s="283" t="s">
        <v>7</v>
      </c>
      <c r="H51" s="282">
        <v>20272865869</v>
      </c>
      <c r="I51" s="283" t="s">
        <v>617</v>
      </c>
      <c r="J51" s="273">
        <v>1</v>
      </c>
      <c r="K51" s="271" t="s">
        <v>646</v>
      </c>
      <c r="L51" s="282">
        <v>180000</v>
      </c>
      <c r="M51" s="273">
        <v>0</v>
      </c>
      <c r="N51" s="273">
        <v>0</v>
      </c>
      <c r="O51" s="273">
        <v>0</v>
      </c>
      <c r="P51" s="273">
        <v>37800</v>
      </c>
      <c r="Q51" s="282">
        <v>217800</v>
      </c>
    </row>
    <row r="52" spans="1:17" x14ac:dyDescent="0.25">
      <c r="A52" s="271" t="s">
        <v>1094</v>
      </c>
      <c r="B52" s="271" t="s">
        <v>644</v>
      </c>
      <c r="C52" s="290">
        <v>503</v>
      </c>
      <c r="D52" s="271" t="s">
        <v>687</v>
      </c>
      <c r="E52" s="291">
        <v>1763876</v>
      </c>
      <c r="F52" s="273">
        <v>75112746806984</v>
      </c>
      <c r="G52" s="271" t="s">
        <v>7</v>
      </c>
      <c r="H52" s="273">
        <v>30639935872</v>
      </c>
      <c r="I52" s="271" t="s">
        <v>687</v>
      </c>
      <c r="J52" s="273">
        <v>1</v>
      </c>
      <c r="K52" s="271" t="s">
        <v>646</v>
      </c>
      <c r="L52" s="284">
        <v>3471.36</v>
      </c>
      <c r="M52" s="273">
        <v>0</v>
      </c>
      <c r="N52" s="273">
        <v>0</v>
      </c>
      <c r="O52" s="274">
        <v>138.85</v>
      </c>
      <c r="P52" s="292">
        <v>729</v>
      </c>
      <c r="Q52" s="284">
        <v>4339.21</v>
      </c>
    </row>
    <row r="53" spans="1:17" hidden="1" x14ac:dyDescent="0.25">
      <c r="A53" s="283" t="s">
        <v>1094</v>
      </c>
      <c r="B53" s="283" t="s">
        <v>644</v>
      </c>
      <c r="C53" s="282">
        <v>7</v>
      </c>
      <c r="D53" s="283" t="s">
        <v>1095</v>
      </c>
      <c r="E53" s="282">
        <v>4517</v>
      </c>
      <c r="F53" s="282">
        <v>75119775037250</v>
      </c>
      <c r="G53" s="283" t="s">
        <v>7</v>
      </c>
      <c r="H53" s="282">
        <v>20307464269</v>
      </c>
      <c r="I53" s="283" t="s">
        <v>1095</v>
      </c>
      <c r="J53" s="273">
        <v>1</v>
      </c>
      <c r="K53" s="271" t="s">
        <v>646</v>
      </c>
      <c r="L53" s="284">
        <v>8146.58</v>
      </c>
      <c r="M53" s="273">
        <v>0</v>
      </c>
      <c r="N53" s="273">
        <v>0</v>
      </c>
      <c r="O53" s="273">
        <v>0</v>
      </c>
      <c r="P53" s="274">
        <v>1710.78</v>
      </c>
      <c r="Q53" s="284">
        <v>9857.36</v>
      </c>
    </row>
    <row r="54" spans="1:17" x14ac:dyDescent="0.25">
      <c r="A54" s="271" t="s">
        <v>1079</v>
      </c>
      <c r="B54" s="271" t="s">
        <v>644</v>
      </c>
      <c r="C54" s="290">
        <v>2</v>
      </c>
      <c r="D54" s="271" t="s">
        <v>659</v>
      </c>
      <c r="E54" s="291">
        <v>231</v>
      </c>
      <c r="F54" s="273">
        <v>75092415790665</v>
      </c>
      <c r="G54" s="271" t="s">
        <v>7</v>
      </c>
      <c r="H54" s="273">
        <v>30605344352</v>
      </c>
      <c r="I54" s="271" t="s">
        <v>659</v>
      </c>
      <c r="J54" s="273">
        <v>1</v>
      </c>
      <c r="K54" s="271" t="s">
        <v>646</v>
      </c>
      <c r="L54" s="282">
        <v>1200000</v>
      </c>
      <c r="M54" s="273">
        <v>0</v>
      </c>
      <c r="N54" s="273">
        <v>0</v>
      </c>
      <c r="O54" s="273">
        <v>0</v>
      </c>
      <c r="P54" s="292">
        <v>252000</v>
      </c>
      <c r="Q54" s="282">
        <v>1452000</v>
      </c>
    </row>
    <row r="55" spans="1:17" hidden="1" x14ac:dyDescent="0.25">
      <c r="A55" s="283" t="s">
        <v>1094</v>
      </c>
      <c r="B55" s="283" t="s">
        <v>644</v>
      </c>
      <c r="C55" s="282">
        <v>4</v>
      </c>
      <c r="D55" s="283" t="s">
        <v>685</v>
      </c>
      <c r="E55" s="282">
        <v>39596</v>
      </c>
      <c r="F55" s="282">
        <v>75119795896075</v>
      </c>
      <c r="G55" s="283" t="s">
        <v>7</v>
      </c>
      <c r="H55" s="282">
        <v>20289111329</v>
      </c>
      <c r="I55" s="283" t="s">
        <v>685</v>
      </c>
      <c r="J55" s="282">
        <v>1</v>
      </c>
      <c r="K55" s="283" t="s">
        <v>646</v>
      </c>
      <c r="L55" s="284">
        <v>585348.09</v>
      </c>
      <c r="M55" s="273">
        <v>0</v>
      </c>
      <c r="N55" s="273">
        <v>0</v>
      </c>
      <c r="O55" s="273">
        <v>0</v>
      </c>
      <c r="P55" s="271">
        <v>122923.1</v>
      </c>
      <c r="Q55" s="284">
        <v>708271.19</v>
      </c>
    </row>
    <row r="56" spans="1:17" hidden="1" x14ac:dyDescent="0.25">
      <c r="A56" s="283" t="s">
        <v>1094</v>
      </c>
      <c r="B56" s="283" t="s">
        <v>644</v>
      </c>
      <c r="C56" s="282">
        <v>4</v>
      </c>
      <c r="D56" s="283" t="s">
        <v>1067</v>
      </c>
      <c r="E56" s="282">
        <v>13184</v>
      </c>
      <c r="F56" s="282">
        <v>75119804573272</v>
      </c>
      <c r="G56" s="283" t="s">
        <v>7</v>
      </c>
      <c r="H56" s="282">
        <v>33711386179</v>
      </c>
      <c r="I56" s="283" t="s">
        <v>1067</v>
      </c>
      <c r="J56" s="282">
        <v>1</v>
      </c>
      <c r="K56" s="283" t="s">
        <v>646</v>
      </c>
      <c r="L56" s="283">
        <v>192187.6</v>
      </c>
      <c r="M56" s="273">
        <v>0</v>
      </c>
      <c r="N56" s="273">
        <v>0</v>
      </c>
      <c r="O56" s="273">
        <v>0</v>
      </c>
      <c r="P56" s="271">
        <v>40359.4</v>
      </c>
      <c r="Q56" s="282">
        <v>232547</v>
      </c>
    </row>
    <row r="57" spans="1:17" x14ac:dyDescent="0.25">
      <c r="A57" s="271" t="s">
        <v>1098</v>
      </c>
      <c r="B57" s="271" t="s">
        <v>644</v>
      </c>
      <c r="C57" s="290">
        <v>113</v>
      </c>
      <c r="D57" s="271" t="s">
        <v>691</v>
      </c>
      <c r="E57" s="291">
        <v>4122520</v>
      </c>
      <c r="F57" s="273">
        <v>75110167242664</v>
      </c>
      <c r="G57" s="271" t="s">
        <v>7</v>
      </c>
      <c r="H57" s="273">
        <v>30577207190</v>
      </c>
      <c r="I57" s="271" t="s">
        <v>691</v>
      </c>
      <c r="J57" s="273">
        <v>1</v>
      </c>
      <c r="K57" s="271" t="s">
        <v>646</v>
      </c>
      <c r="L57" s="284">
        <v>2479.34</v>
      </c>
      <c r="M57" s="273">
        <v>0</v>
      </c>
      <c r="N57" s="273">
        <v>0</v>
      </c>
      <c r="O57" s="274">
        <v>74.38</v>
      </c>
      <c r="P57" s="293">
        <v>520.66</v>
      </c>
      <c r="Q57" s="284">
        <v>3074.38</v>
      </c>
    </row>
    <row r="58" spans="1:17" hidden="1" x14ac:dyDescent="0.25">
      <c r="A58" s="283" t="s">
        <v>1094</v>
      </c>
      <c r="B58" s="283" t="s">
        <v>644</v>
      </c>
      <c r="C58" s="282">
        <v>3</v>
      </c>
      <c r="D58" s="283" t="s">
        <v>947</v>
      </c>
      <c r="E58" s="282">
        <v>48502</v>
      </c>
      <c r="F58" s="282">
        <v>75118827918183</v>
      </c>
      <c r="G58" s="283" t="s">
        <v>7</v>
      </c>
      <c r="H58" s="282">
        <v>30711454388</v>
      </c>
      <c r="I58" s="283" t="s">
        <v>947</v>
      </c>
      <c r="J58" s="282">
        <v>1</v>
      </c>
      <c r="K58" s="283" t="s">
        <v>646</v>
      </c>
      <c r="L58" s="282">
        <v>42275</v>
      </c>
      <c r="M58" s="273">
        <v>0</v>
      </c>
      <c r="N58" s="273">
        <v>0</v>
      </c>
      <c r="O58" s="273">
        <v>0</v>
      </c>
      <c r="P58" s="274">
        <v>8877.75</v>
      </c>
      <c r="Q58" s="284">
        <v>51152.75</v>
      </c>
    </row>
    <row r="59" spans="1:17" hidden="1" x14ac:dyDescent="0.25">
      <c r="A59" s="283" t="s">
        <v>1094</v>
      </c>
      <c r="B59" s="283" t="s">
        <v>644</v>
      </c>
      <c r="C59" s="282">
        <v>5</v>
      </c>
      <c r="D59" s="283" t="s">
        <v>68</v>
      </c>
      <c r="E59" s="282">
        <v>2281</v>
      </c>
      <c r="F59" s="282">
        <v>75116802843498</v>
      </c>
      <c r="G59" s="283" t="s">
        <v>7</v>
      </c>
      <c r="H59" s="282">
        <v>30712187316</v>
      </c>
      <c r="I59" s="283" t="s">
        <v>68</v>
      </c>
      <c r="J59" s="282">
        <v>1</v>
      </c>
      <c r="K59" s="283" t="s">
        <v>646</v>
      </c>
      <c r="L59" s="284">
        <v>294807.15000000002</v>
      </c>
      <c r="M59" s="273">
        <v>0</v>
      </c>
      <c r="N59" s="273">
        <v>0</v>
      </c>
      <c r="O59" s="273">
        <v>0</v>
      </c>
      <c r="P59" s="271">
        <v>61909.5</v>
      </c>
      <c r="Q59" s="284">
        <v>356716.65</v>
      </c>
    </row>
    <row r="60" spans="1:17" hidden="1" x14ac:dyDescent="0.25">
      <c r="A60" s="283" t="s">
        <v>1094</v>
      </c>
      <c r="B60" s="283" t="s">
        <v>644</v>
      </c>
      <c r="C60" s="282">
        <v>2</v>
      </c>
      <c r="D60" s="283" t="s">
        <v>1096</v>
      </c>
      <c r="E60" s="282">
        <v>2175</v>
      </c>
      <c r="F60" s="282">
        <v>75112803123104</v>
      </c>
      <c r="G60" s="283" t="s">
        <v>7</v>
      </c>
      <c r="H60" s="282">
        <v>20238470502</v>
      </c>
      <c r="I60" s="283" t="s">
        <v>1096</v>
      </c>
      <c r="J60" s="282">
        <v>1</v>
      </c>
      <c r="K60" s="283" t="s">
        <v>646</v>
      </c>
      <c r="L60" s="282">
        <v>2150000</v>
      </c>
      <c r="M60" s="273">
        <v>0</v>
      </c>
      <c r="N60" s="273">
        <v>0</v>
      </c>
      <c r="O60" s="273">
        <v>0</v>
      </c>
      <c r="P60" s="273">
        <v>451500</v>
      </c>
      <c r="Q60" s="282">
        <v>2601500</v>
      </c>
    </row>
    <row r="61" spans="1:17" hidden="1" x14ac:dyDescent="0.25">
      <c r="A61" s="283" t="s">
        <v>1094</v>
      </c>
      <c r="B61" s="283" t="s">
        <v>666</v>
      </c>
      <c r="C61" s="282">
        <v>2</v>
      </c>
      <c r="D61" s="283" t="s">
        <v>936</v>
      </c>
      <c r="E61" s="282">
        <v>476</v>
      </c>
      <c r="F61" s="282">
        <v>75112768392803</v>
      </c>
      <c r="G61" s="283" t="s">
        <v>7</v>
      </c>
      <c r="H61" s="282">
        <v>30714331082</v>
      </c>
      <c r="I61" s="283" t="s">
        <v>936</v>
      </c>
      <c r="J61" s="282">
        <v>1</v>
      </c>
      <c r="K61" s="283" t="s">
        <v>646</v>
      </c>
      <c r="L61" s="284">
        <v>423275.07</v>
      </c>
      <c r="M61" s="273">
        <v>0</v>
      </c>
      <c r="N61" s="273">
        <v>0</v>
      </c>
      <c r="O61" s="273">
        <v>0</v>
      </c>
      <c r="P61" s="274">
        <v>88887.76</v>
      </c>
      <c r="Q61" s="284">
        <v>512162.83</v>
      </c>
    </row>
    <row r="62" spans="1:17" hidden="1" x14ac:dyDescent="0.25">
      <c r="A62" s="283" t="s">
        <v>1094</v>
      </c>
      <c r="B62" s="283" t="s">
        <v>655</v>
      </c>
      <c r="C62" s="282">
        <v>1</v>
      </c>
      <c r="D62" s="283" t="s">
        <v>1097</v>
      </c>
      <c r="E62" s="282">
        <v>15</v>
      </c>
      <c r="F62" s="282">
        <v>75111831543124</v>
      </c>
      <c r="G62" s="283" t="s">
        <v>7</v>
      </c>
      <c r="H62" s="282">
        <v>20311855671</v>
      </c>
      <c r="I62" s="283" t="s">
        <v>1097</v>
      </c>
      <c r="J62" s="282">
        <v>1</v>
      </c>
      <c r="K62" s="271" t="s">
        <v>646</v>
      </c>
      <c r="L62" s="283"/>
      <c r="M62" s="271"/>
      <c r="N62" s="271"/>
      <c r="O62" s="273">
        <v>0</v>
      </c>
      <c r="P62" s="271"/>
      <c r="Q62" s="282">
        <v>110000</v>
      </c>
    </row>
    <row r="63" spans="1:17" x14ac:dyDescent="0.25">
      <c r="A63" s="271" t="s">
        <v>1122</v>
      </c>
      <c r="B63" s="271" t="s">
        <v>644</v>
      </c>
      <c r="C63" s="290">
        <v>113</v>
      </c>
      <c r="D63" s="271" t="s">
        <v>691</v>
      </c>
      <c r="E63" s="291">
        <v>4149140</v>
      </c>
      <c r="F63" s="273">
        <v>75140082904765</v>
      </c>
      <c r="G63" s="271" t="s">
        <v>7</v>
      </c>
      <c r="H63" s="273">
        <v>30577207190</v>
      </c>
      <c r="I63" s="271" t="s">
        <v>691</v>
      </c>
      <c r="J63" s="273">
        <v>1</v>
      </c>
      <c r="K63" s="271" t="s">
        <v>646</v>
      </c>
      <c r="L63" s="284">
        <v>3719.01</v>
      </c>
      <c r="M63" s="273">
        <v>0</v>
      </c>
      <c r="N63" s="273">
        <v>0</v>
      </c>
      <c r="O63" s="274">
        <v>111.57</v>
      </c>
      <c r="P63" s="293">
        <v>780.99</v>
      </c>
      <c r="Q63" s="284">
        <v>4611.57</v>
      </c>
    </row>
    <row r="64" spans="1:17" hidden="1" x14ac:dyDescent="0.25">
      <c r="A64" s="283" t="s">
        <v>1098</v>
      </c>
      <c r="B64" s="283" t="s">
        <v>644</v>
      </c>
      <c r="C64" s="282">
        <v>5015</v>
      </c>
      <c r="D64" s="283" t="s">
        <v>671</v>
      </c>
      <c r="E64" s="282">
        <v>781809</v>
      </c>
      <c r="F64" s="282">
        <v>75114995550139</v>
      </c>
      <c r="G64" s="283" t="s">
        <v>7</v>
      </c>
      <c r="H64" s="282">
        <v>30574876474</v>
      </c>
      <c r="I64" s="283" t="s">
        <v>671</v>
      </c>
      <c r="J64" s="282">
        <v>1</v>
      </c>
      <c r="K64" s="283" t="s">
        <v>646</v>
      </c>
      <c r="L64" s="284">
        <v>17603.13</v>
      </c>
      <c r="M64" s="273">
        <v>0</v>
      </c>
      <c r="N64" s="273">
        <v>0</v>
      </c>
      <c r="O64" s="274">
        <v>2288.39</v>
      </c>
      <c r="P64" s="274">
        <v>3696.64</v>
      </c>
      <c r="Q64" s="284">
        <v>23588.16</v>
      </c>
    </row>
    <row r="65" spans="1:17" hidden="1" x14ac:dyDescent="0.25">
      <c r="A65" s="283" t="s">
        <v>1098</v>
      </c>
      <c r="B65" s="283" t="s">
        <v>644</v>
      </c>
      <c r="C65" s="282">
        <v>50</v>
      </c>
      <c r="D65" s="283" t="s">
        <v>956</v>
      </c>
      <c r="E65" s="282">
        <v>4203839</v>
      </c>
      <c r="F65" s="282">
        <v>75116065667490</v>
      </c>
      <c r="G65" s="283" t="s">
        <v>7</v>
      </c>
      <c r="H65" s="282">
        <v>30714112836</v>
      </c>
      <c r="I65" s="283" t="s">
        <v>956</v>
      </c>
      <c r="J65" s="282">
        <v>1</v>
      </c>
      <c r="K65" s="271" t="s">
        <v>646</v>
      </c>
      <c r="L65" s="284">
        <v>4495.2700000000004</v>
      </c>
      <c r="M65" s="273">
        <v>0</v>
      </c>
      <c r="N65" s="273">
        <v>0</v>
      </c>
      <c r="O65" s="274">
        <v>134.86000000000001</v>
      </c>
      <c r="P65" s="273">
        <v>944</v>
      </c>
      <c r="Q65" s="284">
        <v>5574.13</v>
      </c>
    </row>
    <row r="66" spans="1:17" x14ac:dyDescent="0.25">
      <c r="A66" s="271" t="s">
        <v>1082</v>
      </c>
      <c r="B66" s="271" t="s">
        <v>644</v>
      </c>
      <c r="C66" s="290">
        <v>700</v>
      </c>
      <c r="D66" s="271" t="s">
        <v>669</v>
      </c>
      <c r="E66" s="291">
        <v>2313354</v>
      </c>
      <c r="F66" s="273">
        <v>75102875466023</v>
      </c>
      <c r="G66" s="271" t="s">
        <v>7</v>
      </c>
      <c r="H66" s="273">
        <v>30715804812</v>
      </c>
      <c r="I66" s="271" t="s">
        <v>669</v>
      </c>
      <c r="J66" s="273">
        <v>1</v>
      </c>
      <c r="K66" s="271" t="s">
        <v>646</v>
      </c>
      <c r="L66" s="284">
        <v>7695.87</v>
      </c>
      <c r="M66" s="273">
        <v>0</v>
      </c>
      <c r="N66" s="273">
        <v>0</v>
      </c>
      <c r="O66" s="274">
        <v>307.83</v>
      </c>
      <c r="P66" s="293">
        <v>1616.13</v>
      </c>
      <c r="Q66" s="284">
        <v>9619.83</v>
      </c>
    </row>
    <row r="67" spans="1:17" x14ac:dyDescent="0.25">
      <c r="A67" s="271" t="s">
        <v>1082</v>
      </c>
      <c r="B67" s="271" t="s">
        <v>644</v>
      </c>
      <c r="C67" s="290">
        <v>700</v>
      </c>
      <c r="D67" s="271" t="s">
        <v>669</v>
      </c>
      <c r="E67" s="291">
        <v>2313355</v>
      </c>
      <c r="F67" s="273">
        <v>75102875466036</v>
      </c>
      <c r="G67" s="271" t="s">
        <v>7</v>
      </c>
      <c r="H67" s="273">
        <v>30715804812</v>
      </c>
      <c r="I67" s="271" t="s">
        <v>669</v>
      </c>
      <c r="J67" s="273">
        <v>1</v>
      </c>
      <c r="K67" s="271" t="s">
        <v>646</v>
      </c>
      <c r="L67" s="284">
        <v>9151.84</v>
      </c>
      <c r="M67" s="273">
        <v>0</v>
      </c>
      <c r="N67" s="273">
        <v>0</v>
      </c>
      <c r="O67" s="274">
        <v>366.07</v>
      </c>
      <c r="P67" s="293">
        <v>1921.88</v>
      </c>
      <c r="Q67" s="284">
        <v>11439.79</v>
      </c>
    </row>
    <row r="68" spans="1:17" hidden="1" x14ac:dyDescent="0.25">
      <c r="A68" s="283" t="s">
        <v>1099</v>
      </c>
      <c r="B68" s="283" t="s">
        <v>644</v>
      </c>
      <c r="C68" s="282">
        <v>629</v>
      </c>
      <c r="D68" s="283" t="s">
        <v>657</v>
      </c>
      <c r="E68" s="282">
        <v>5940679</v>
      </c>
      <c r="F68" s="282">
        <v>35103299105733</v>
      </c>
      <c r="G68" s="283" t="s">
        <v>7</v>
      </c>
      <c r="H68" s="282">
        <v>30663498513</v>
      </c>
      <c r="I68" s="283" t="s">
        <v>657</v>
      </c>
      <c r="J68" s="282">
        <v>1</v>
      </c>
      <c r="K68" s="271" t="s">
        <v>646</v>
      </c>
      <c r="L68" s="284">
        <v>3813.27</v>
      </c>
      <c r="M68" s="273">
        <v>0</v>
      </c>
      <c r="N68" s="273">
        <v>0</v>
      </c>
      <c r="O68" s="274">
        <v>152.53</v>
      </c>
      <c r="P68" s="274">
        <v>800.79</v>
      </c>
      <c r="Q68" s="284">
        <v>4766.59</v>
      </c>
    </row>
    <row r="69" spans="1:17" hidden="1" x14ac:dyDescent="0.25">
      <c r="A69" s="283" t="s">
        <v>1099</v>
      </c>
      <c r="B69" s="283" t="s">
        <v>644</v>
      </c>
      <c r="C69" s="282">
        <v>711</v>
      </c>
      <c r="D69" s="283" t="s">
        <v>658</v>
      </c>
      <c r="E69" s="282">
        <v>6867805</v>
      </c>
      <c r="F69" s="282">
        <v>35109379688279</v>
      </c>
      <c r="G69" s="283" t="s">
        <v>7</v>
      </c>
      <c r="H69" s="282">
        <v>30677237119</v>
      </c>
      <c r="I69" s="283" t="s">
        <v>658</v>
      </c>
      <c r="J69" s="282">
        <v>1</v>
      </c>
      <c r="K69" s="271" t="s">
        <v>646</v>
      </c>
      <c r="L69" s="284">
        <v>4448.7700000000004</v>
      </c>
      <c r="M69" s="273">
        <v>0</v>
      </c>
      <c r="N69" s="274">
        <v>133.46</v>
      </c>
      <c r="O69" s="274">
        <v>177.95</v>
      </c>
      <c r="P69" s="274">
        <v>934.23</v>
      </c>
      <c r="Q69" s="284">
        <v>5694.41</v>
      </c>
    </row>
    <row r="70" spans="1:17" hidden="1" x14ac:dyDescent="0.25">
      <c r="A70" s="283" t="s">
        <v>1100</v>
      </c>
      <c r="B70" s="283" t="s">
        <v>644</v>
      </c>
      <c r="C70" s="282">
        <v>7</v>
      </c>
      <c r="D70" s="283" t="s">
        <v>440</v>
      </c>
      <c r="E70" s="282">
        <v>3750</v>
      </c>
      <c r="F70" s="282">
        <v>75114094443591</v>
      </c>
      <c r="G70" s="283" t="s">
        <v>7</v>
      </c>
      <c r="H70" s="282">
        <v>20284183534</v>
      </c>
      <c r="I70" s="283" t="s">
        <v>440</v>
      </c>
      <c r="J70" s="282">
        <v>1</v>
      </c>
      <c r="K70" s="283" t="s">
        <v>646</v>
      </c>
      <c r="L70" s="284">
        <v>7933.86</v>
      </c>
      <c r="M70" s="282">
        <v>0</v>
      </c>
      <c r="N70" s="282">
        <v>0</v>
      </c>
      <c r="O70" s="282">
        <v>0</v>
      </c>
      <c r="P70" s="284">
        <v>1666.11</v>
      </c>
      <c r="Q70" s="284">
        <v>9599.9699999999993</v>
      </c>
    </row>
    <row r="71" spans="1:17" hidden="1" x14ac:dyDescent="0.25">
      <c r="A71" s="283" t="s">
        <v>1100</v>
      </c>
      <c r="B71" s="283" t="s">
        <v>644</v>
      </c>
      <c r="C71" s="282">
        <v>4</v>
      </c>
      <c r="D71" s="283" t="s">
        <v>931</v>
      </c>
      <c r="E71" s="282">
        <v>20470</v>
      </c>
      <c r="F71" s="282">
        <v>75113087434861</v>
      </c>
      <c r="G71" s="283" t="s">
        <v>7</v>
      </c>
      <c r="H71" s="282">
        <v>30504854023</v>
      </c>
      <c r="I71" s="283" t="s">
        <v>931</v>
      </c>
      <c r="J71" s="282">
        <v>1</v>
      </c>
      <c r="K71" s="283" t="s">
        <v>646</v>
      </c>
      <c r="L71" s="282">
        <v>167552</v>
      </c>
      <c r="M71" s="273">
        <v>0</v>
      </c>
      <c r="N71" s="273">
        <v>0</v>
      </c>
      <c r="O71" s="274">
        <v>6702.08</v>
      </c>
      <c r="P71" s="274">
        <v>35185.919999999998</v>
      </c>
      <c r="Q71" s="282">
        <v>209440</v>
      </c>
    </row>
    <row r="72" spans="1:17" x14ac:dyDescent="0.25">
      <c r="A72" s="271" t="s">
        <v>1094</v>
      </c>
      <c r="B72" s="271" t="s">
        <v>644</v>
      </c>
      <c r="C72" s="290">
        <v>104</v>
      </c>
      <c r="D72" s="271" t="s">
        <v>669</v>
      </c>
      <c r="E72" s="291">
        <v>8464397</v>
      </c>
      <c r="F72" s="273">
        <v>75112789139613</v>
      </c>
      <c r="G72" s="271" t="s">
        <v>7</v>
      </c>
      <c r="H72" s="273">
        <v>30715804812</v>
      </c>
      <c r="I72" s="271" t="s">
        <v>669</v>
      </c>
      <c r="J72" s="273">
        <v>1</v>
      </c>
      <c r="K72" s="271" t="s">
        <v>646</v>
      </c>
      <c r="L72" s="283">
        <v>1804.5</v>
      </c>
      <c r="M72" s="273">
        <v>0</v>
      </c>
      <c r="N72" s="273">
        <v>0</v>
      </c>
      <c r="O72" s="274">
        <v>72.180000000000007</v>
      </c>
      <c r="P72" s="293">
        <v>378.95</v>
      </c>
      <c r="Q72" s="284">
        <v>2255.63</v>
      </c>
    </row>
    <row r="73" spans="1:17" hidden="1" x14ac:dyDescent="0.25">
      <c r="A73" s="283" t="s">
        <v>1100</v>
      </c>
      <c r="B73" s="283" t="s">
        <v>644</v>
      </c>
      <c r="C73" s="282">
        <v>2</v>
      </c>
      <c r="D73" s="283" t="s">
        <v>936</v>
      </c>
      <c r="E73" s="282">
        <v>11657</v>
      </c>
      <c r="F73" s="282">
        <v>75112111811653</v>
      </c>
      <c r="G73" s="283" t="s">
        <v>7</v>
      </c>
      <c r="H73" s="282">
        <v>30714331082</v>
      </c>
      <c r="I73" s="283" t="s">
        <v>936</v>
      </c>
      <c r="J73" s="282">
        <v>1</v>
      </c>
      <c r="K73" s="283" t="s">
        <v>646</v>
      </c>
      <c r="L73" s="284">
        <v>77787.649999999994</v>
      </c>
      <c r="M73" s="273">
        <v>0</v>
      </c>
      <c r="N73" s="273">
        <v>0</v>
      </c>
      <c r="O73" s="273">
        <v>0</v>
      </c>
      <c r="P73" s="274">
        <v>16335.41</v>
      </c>
      <c r="Q73" s="284">
        <v>94123.06</v>
      </c>
    </row>
    <row r="74" spans="1:17" hidden="1" x14ac:dyDescent="0.25">
      <c r="A74" s="271" t="s">
        <v>1100</v>
      </c>
      <c r="B74" s="283" t="s">
        <v>644</v>
      </c>
      <c r="C74" s="282">
        <v>5</v>
      </c>
      <c r="D74" s="283" t="s">
        <v>461</v>
      </c>
      <c r="E74" s="282">
        <v>40</v>
      </c>
      <c r="F74" s="282">
        <v>75113166622538</v>
      </c>
      <c r="G74" s="283" t="s">
        <v>7</v>
      </c>
      <c r="H74" s="282">
        <v>20929183143</v>
      </c>
      <c r="I74" s="283" t="s">
        <v>461</v>
      </c>
      <c r="J74" s="282">
        <v>1</v>
      </c>
      <c r="K74" s="283" t="s">
        <v>646</v>
      </c>
      <c r="L74" s="282">
        <v>70000</v>
      </c>
      <c r="M74" s="273">
        <v>0</v>
      </c>
      <c r="N74" s="273">
        <v>0</v>
      </c>
      <c r="O74" s="273">
        <v>0</v>
      </c>
      <c r="P74" s="273">
        <v>14700</v>
      </c>
      <c r="Q74" s="282">
        <v>84700</v>
      </c>
    </row>
    <row r="75" spans="1:17" hidden="1" x14ac:dyDescent="0.25">
      <c r="A75" s="283" t="s">
        <v>1101</v>
      </c>
      <c r="B75" s="283" t="s">
        <v>644</v>
      </c>
      <c r="C75" s="282">
        <v>1001</v>
      </c>
      <c r="D75" s="283" t="s">
        <v>943</v>
      </c>
      <c r="E75" s="282">
        <v>523</v>
      </c>
      <c r="F75" s="282">
        <v>75112279718540</v>
      </c>
      <c r="G75" s="283" t="s">
        <v>7</v>
      </c>
      <c r="H75" s="282">
        <v>30707370552</v>
      </c>
      <c r="I75" s="283" t="s">
        <v>943</v>
      </c>
      <c r="J75" s="282">
        <v>1</v>
      </c>
      <c r="K75" s="283" t="s">
        <v>646</v>
      </c>
      <c r="L75" s="284">
        <v>1198760.33</v>
      </c>
      <c r="M75" s="273">
        <v>0</v>
      </c>
      <c r="N75" s="273">
        <v>0</v>
      </c>
      <c r="O75" s="273">
        <v>0</v>
      </c>
      <c r="P75" s="274">
        <v>251739.67</v>
      </c>
      <c r="Q75" s="282">
        <v>1450500</v>
      </c>
    </row>
    <row r="76" spans="1:17" hidden="1" x14ac:dyDescent="0.25">
      <c r="A76" s="271" t="s">
        <v>1101</v>
      </c>
      <c r="B76" s="283" t="s">
        <v>644</v>
      </c>
      <c r="C76" s="282">
        <v>7</v>
      </c>
      <c r="D76" s="283" t="s">
        <v>934</v>
      </c>
      <c r="E76" s="282">
        <v>20461</v>
      </c>
      <c r="F76" s="282">
        <v>75118275252370</v>
      </c>
      <c r="G76" s="283" t="s">
        <v>7</v>
      </c>
      <c r="H76" s="282">
        <v>30709214078</v>
      </c>
      <c r="I76" s="283" t="s">
        <v>934</v>
      </c>
      <c r="J76" s="282">
        <v>1</v>
      </c>
      <c r="K76" s="283" t="s">
        <v>646</v>
      </c>
      <c r="L76" s="282">
        <v>303600</v>
      </c>
      <c r="M76" s="273">
        <v>0</v>
      </c>
      <c r="N76" s="273">
        <v>0</v>
      </c>
      <c r="O76" s="273">
        <v>0</v>
      </c>
      <c r="P76" s="273">
        <v>31878</v>
      </c>
      <c r="Q76" s="282">
        <v>335478</v>
      </c>
    </row>
    <row r="77" spans="1:17" hidden="1" x14ac:dyDescent="0.25">
      <c r="A77" s="283" t="s">
        <v>1101</v>
      </c>
      <c r="B77" s="283" t="s">
        <v>644</v>
      </c>
      <c r="C77" s="282">
        <v>13</v>
      </c>
      <c r="D77" s="283" t="s">
        <v>494</v>
      </c>
      <c r="E77" s="282">
        <v>7271</v>
      </c>
      <c r="F77" s="282">
        <v>75116267341528</v>
      </c>
      <c r="G77" s="283" t="s">
        <v>7</v>
      </c>
      <c r="H77" s="282">
        <v>27256759646</v>
      </c>
      <c r="I77" s="283" t="s">
        <v>494</v>
      </c>
      <c r="J77" s="282">
        <v>1</v>
      </c>
      <c r="K77" s="283" t="s">
        <v>646</v>
      </c>
      <c r="L77" s="284">
        <v>43899.17</v>
      </c>
      <c r="M77" s="273">
        <v>0</v>
      </c>
      <c r="N77" s="273">
        <v>0</v>
      </c>
      <c r="O77" s="273">
        <v>0</v>
      </c>
      <c r="P77" s="274">
        <v>9218.83</v>
      </c>
      <c r="Q77" s="282">
        <v>53118</v>
      </c>
    </row>
    <row r="78" spans="1:17" x14ac:dyDescent="0.25">
      <c r="A78" s="271" t="s">
        <v>1094</v>
      </c>
      <c r="B78" s="271" t="s">
        <v>644</v>
      </c>
      <c r="C78" s="290">
        <v>104</v>
      </c>
      <c r="D78" s="271" t="s">
        <v>669</v>
      </c>
      <c r="E78" s="291">
        <v>8427202</v>
      </c>
      <c r="F78" s="273">
        <v>75112759496143</v>
      </c>
      <c r="G78" s="271" t="s">
        <v>7</v>
      </c>
      <c r="H78" s="273">
        <v>30715804812</v>
      </c>
      <c r="I78" s="271" t="s">
        <v>669</v>
      </c>
      <c r="J78" s="273">
        <v>1</v>
      </c>
      <c r="K78" s="271" t="s">
        <v>646</v>
      </c>
      <c r="L78" s="284">
        <v>2079.9699999999998</v>
      </c>
      <c r="M78" s="273">
        <v>0</v>
      </c>
      <c r="N78" s="273">
        <v>0</v>
      </c>
      <c r="O78" s="271">
        <v>83.2</v>
      </c>
      <c r="P78" s="293">
        <v>436.79</v>
      </c>
      <c r="Q78" s="284">
        <v>2599.96</v>
      </c>
    </row>
    <row r="79" spans="1:17" hidden="1" x14ac:dyDescent="0.25">
      <c r="A79" s="283" t="s">
        <v>1101</v>
      </c>
      <c r="B79" s="283" t="s">
        <v>655</v>
      </c>
      <c r="C79" s="282">
        <v>1</v>
      </c>
      <c r="D79" s="283" t="s">
        <v>704</v>
      </c>
      <c r="E79" s="282">
        <v>22</v>
      </c>
      <c r="F79" s="282">
        <v>75115246156824</v>
      </c>
      <c r="G79" s="283" t="s">
        <v>7</v>
      </c>
      <c r="H79" s="282">
        <v>27443612705</v>
      </c>
      <c r="I79" s="283" t="s">
        <v>704</v>
      </c>
      <c r="J79" s="273">
        <v>1</v>
      </c>
      <c r="K79" s="271" t="s">
        <v>646</v>
      </c>
      <c r="L79" s="283"/>
      <c r="M79" s="271"/>
      <c r="N79" s="271"/>
      <c r="O79" s="273">
        <v>0</v>
      </c>
      <c r="P79" s="271"/>
      <c r="Q79" s="282">
        <v>120000</v>
      </c>
    </row>
    <row r="80" spans="1:17" hidden="1" x14ac:dyDescent="0.25">
      <c r="A80" s="283" t="s">
        <v>1101</v>
      </c>
      <c r="B80" s="283" t="s">
        <v>655</v>
      </c>
      <c r="C80" s="282">
        <v>1</v>
      </c>
      <c r="D80" s="283" t="s">
        <v>1097</v>
      </c>
      <c r="E80" s="282">
        <v>16</v>
      </c>
      <c r="F80" s="282">
        <v>75111262819399</v>
      </c>
      <c r="G80" s="283" t="s">
        <v>7</v>
      </c>
      <c r="H80" s="282">
        <v>20311855671</v>
      </c>
      <c r="I80" s="283" t="s">
        <v>1097</v>
      </c>
      <c r="J80" s="282">
        <v>1</v>
      </c>
      <c r="K80" s="271" t="s">
        <v>646</v>
      </c>
      <c r="L80" s="283"/>
      <c r="M80" s="271"/>
      <c r="N80" s="271"/>
      <c r="O80" s="273">
        <v>0</v>
      </c>
      <c r="P80" s="271"/>
      <c r="Q80" s="282">
        <v>326000</v>
      </c>
    </row>
    <row r="81" spans="1:17" hidden="1" x14ac:dyDescent="0.25">
      <c r="A81" s="283" t="s">
        <v>1101</v>
      </c>
      <c r="B81" s="283" t="s">
        <v>655</v>
      </c>
      <c r="C81" s="282">
        <v>1</v>
      </c>
      <c r="D81" s="283" t="s">
        <v>704</v>
      </c>
      <c r="E81" s="282">
        <v>23</v>
      </c>
      <c r="F81" s="282">
        <v>75135493137375</v>
      </c>
      <c r="G81" s="283" t="s">
        <v>7</v>
      </c>
      <c r="H81" s="282">
        <v>27443612705</v>
      </c>
      <c r="I81" s="283" t="s">
        <v>704</v>
      </c>
      <c r="J81" s="273">
        <v>1</v>
      </c>
      <c r="K81" s="271" t="s">
        <v>646</v>
      </c>
      <c r="L81" s="283"/>
      <c r="M81" s="271"/>
      <c r="N81" s="271"/>
      <c r="O81" s="273">
        <v>0</v>
      </c>
      <c r="P81" s="271"/>
      <c r="Q81" s="282">
        <v>900000</v>
      </c>
    </row>
    <row r="82" spans="1:17" hidden="1" x14ac:dyDescent="0.25">
      <c r="A82" s="283" t="s">
        <v>1102</v>
      </c>
      <c r="B82" s="283" t="s">
        <v>644</v>
      </c>
      <c r="C82" s="282">
        <v>6</v>
      </c>
      <c r="D82" s="283" t="s">
        <v>674</v>
      </c>
      <c r="E82" s="282">
        <v>56633</v>
      </c>
      <c r="F82" s="282">
        <v>75128399589438</v>
      </c>
      <c r="G82" s="283" t="s">
        <v>7</v>
      </c>
      <c r="H82" s="282">
        <v>30710177658</v>
      </c>
      <c r="I82" s="283" t="s">
        <v>674</v>
      </c>
      <c r="J82" s="282">
        <v>1</v>
      </c>
      <c r="K82" s="283" t="s">
        <v>646</v>
      </c>
      <c r="L82" s="282">
        <v>658080</v>
      </c>
      <c r="M82" s="273">
        <v>0</v>
      </c>
      <c r="N82" s="273">
        <v>0</v>
      </c>
      <c r="O82" s="273">
        <v>0</v>
      </c>
      <c r="P82" s="271">
        <v>138196.79999999999</v>
      </c>
      <c r="Q82" s="283">
        <v>796276.8</v>
      </c>
    </row>
    <row r="83" spans="1:17" hidden="1" x14ac:dyDescent="0.25">
      <c r="A83" s="283" t="s">
        <v>1102</v>
      </c>
      <c r="B83" s="283" t="s">
        <v>644</v>
      </c>
      <c r="C83" s="282">
        <v>32</v>
      </c>
      <c r="D83" s="283" t="s">
        <v>921</v>
      </c>
      <c r="E83" s="282">
        <v>14788</v>
      </c>
      <c r="F83" s="282">
        <v>75126397334504</v>
      </c>
      <c r="G83" s="283" t="s">
        <v>7</v>
      </c>
      <c r="H83" s="282">
        <v>30707304886</v>
      </c>
      <c r="I83" s="283" t="s">
        <v>921</v>
      </c>
      <c r="J83" s="282">
        <v>1</v>
      </c>
      <c r="K83" s="283" t="s">
        <v>646</v>
      </c>
      <c r="L83" s="284">
        <v>284107.44</v>
      </c>
      <c r="M83" s="273">
        <v>0</v>
      </c>
      <c r="N83" s="273">
        <v>0</v>
      </c>
      <c r="O83" s="271">
        <v>11364.3</v>
      </c>
      <c r="P83" s="274">
        <v>59662.559999999998</v>
      </c>
      <c r="Q83" s="283">
        <v>355134.3</v>
      </c>
    </row>
    <row r="84" spans="1:17" hidden="1" x14ac:dyDescent="0.25">
      <c r="A84" s="283" t="s">
        <v>1102</v>
      </c>
      <c r="B84" s="283" t="s">
        <v>644</v>
      </c>
      <c r="C84" s="282">
        <v>15</v>
      </c>
      <c r="D84" s="283" t="s">
        <v>1103</v>
      </c>
      <c r="E84" s="282">
        <v>4306</v>
      </c>
      <c r="F84" s="282">
        <v>75123362523958</v>
      </c>
      <c r="G84" s="283" t="s">
        <v>7</v>
      </c>
      <c r="H84" s="282">
        <v>30688140923</v>
      </c>
      <c r="I84" s="283" t="s">
        <v>1103</v>
      </c>
      <c r="J84" s="282">
        <v>1</v>
      </c>
      <c r="K84" s="283" t="s">
        <v>646</v>
      </c>
      <c r="L84" s="284">
        <v>528360.28</v>
      </c>
      <c r="M84" s="273">
        <v>0</v>
      </c>
      <c r="N84" s="273">
        <v>0</v>
      </c>
      <c r="O84" s="273">
        <v>0</v>
      </c>
      <c r="P84" s="274">
        <v>110955.66</v>
      </c>
      <c r="Q84" s="284">
        <v>639315.93999999994</v>
      </c>
    </row>
    <row r="85" spans="1:17" hidden="1" x14ac:dyDescent="0.25">
      <c r="A85" s="283" t="s">
        <v>1102</v>
      </c>
      <c r="B85" s="283" t="s">
        <v>644</v>
      </c>
      <c r="C85" s="282">
        <v>4264</v>
      </c>
      <c r="D85" s="283" t="s">
        <v>697</v>
      </c>
      <c r="E85" s="282">
        <v>5198709</v>
      </c>
      <c r="F85" s="282">
        <v>75128527435454</v>
      </c>
      <c r="G85" s="283" t="s">
        <v>7</v>
      </c>
      <c r="H85" s="282">
        <v>30639453738</v>
      </c>
      <c r="I85" s="283" t="s">
        <v>697</v>
      </c>
      <c r="J85" s="282">
        <v>1</v>
      </c>
      <c r="K85" s="283" t="s">
        <v>646</v>
      </c>
      <c r="L85" s="284">
        <v>42961.16</v>
      </c>
      <c r="M85" s="273">
        <v>0</v>
      </c>
      <c r="N85" s="273">
        <v>0</v>
      </c>
      <c r="O85" s="274">
        <v>3007.29</v>
      </c>
      <c r="P85" s="274">
        <v>9021.84</v>
      </c>
      <c r="Q85" s="284">
        <v>54990.29</v>
      </c>
    </row>
    <row r="86" spans="1:17" hidden="1" x14ac:dyDescent="0.25">
      <c r="A86" s="283" t="s">
        <v>1102</v>
      </c>
      <c r="B86" s="283" t="s">
        <v>655</v>
      </c>
      <c r="C86" s="282">
        <v>2</v>
      </c>
      <c r="D86" s="283" t="s">
        <v>940</v>
      </c>
      <c r="E86" s="282">
        <v>2</v>
      </c>
      <c r="F86" s="282">
        <v>75121379238304</v>
      </c>
      <c r="G86" s="283" t="s">
        <v>7</v>
      </c>
      <c r="H86" s="282">
        <v>27344304551</v>
      </c>
      <c r="I86" s="283" t="s">
        <v>940</v>
      </c>
      <c r="J86" s="273">
        <v>1</v>
      </c>
      <c r="K86" s="271" t="s">
        <v>646</v>
      </c>
      <c r="L86" s="283"/>
      <c r="M86" s="271"/>
      <c r="N86" s="271"/>
      <c r="O86" s="273">
        <v>0</v>
      </c>
      <c r="P86" s="271"/>
      <c r="Q86" s="282">
        <v>150000</v>
      </c>
    </row>
    <row r="87" spans="1:17" x14ac:dyDescent="0.25">
      <c r="A87" s="271" t="s">
        <v>1121</v>
      </c>
      <c r="B87" s="271" t="s">
        <v>644</v>
      </c>
      <c r="C87" s="290">
        <v>104</v>
      </c>
      <c r="D87" s="271" t="s">
        <v>669</v>
      </c>
      <c r="E87" s="291">
        <v>8683654</v>
      </c>
      <c r="F87" s="273">
        <v>75132601531264</v>
      </c>
      <c r="G87" s="271" t="s">
        <v>7</v>
      </c>
      <c r="H87" s="273">
        <v>30715804812</v>
      </c>
      <c r="I87" s="271" t="s">
        <v>669</v>
      </c>
      <c r="J87" s="273">
        <v>1</v>
      </c>
      <c r="K87" s="271" t="s">
        <v>646</v>
      </c>
      <c r="L87" s="284">
        <v>1039.98</v>
      </c>
      <c r="M87" s="273">
        <v>0</v>
      </c>
      <c r="N87" s="273">
        <v>0</v>
      </c>
      <c r="O87" s="271">
        <v>41.6</v>
      </c>
      <c r="P87" s="294">
        <v>218.4</v>
      </c>
      <c r="Q87" s="284">
        <v>1299.98</v>
      </c>
    </row>
    <row r="88" spans="1:17" hidden="1" x14ac:dyDescent="0.25">
      <c r="A88" s="283" t="s">
        <v>1104</v>
      </c>
      <c r="B88" s="283" t="s">
        <v>644</v>
      </c>
      <c r="C88" s="282">
        <v>2</v>
      </c>
      <c r="D88" s="283" t="s">
        <v>709</v>
      </c>
      <c r="E88" s="282">
        <v>35</v>
      </c>
      <c r="F88" s="282">
        <v>75125607221880</v>
      </c>
      <c r="G88" s="283" t="s">
        <v>7</v>
      </c>
      <c r="H88" s="282">
        <v>27243660535</v>
      </c>
      <c r="I88" s="283" t="s">
        <v>709</v>
      </c>
      <c r="J88" s="282">
        <v>1</v>
      </c>
      <c r="K88" s="283" t="s">
        <v>646</v>
      </c>
      <c r="L88" s="282">
        <v>414537</v>
      </c>
      <c r="M88" s="273">
        <v>0</v>
      </c>
      <c r="N88" s="273">
        <v>0</v>
      </c>
      <c r="O88" s="273">
        <v>0</v>
      </c>
      <c r="P88" s="274">
        <v>87052.77</v>
      </c>
      <c r="Q88" s="284">
        <v>501589.77</v>
      </c>
    </row>
    <row r="89" spans="1:17" hidden="1" x14ac:dyDescent="0.25">
      <c r="A89" s="283" t="s">
        <v>1105</v>
      </c>
      <c r="B89" s="283" t="s">
        <v>644</v>
      </c>
      <c r="C89" s="282">
        <v>13</v>
      </c>
      <c r="D89" s="283" t="s">
        <v>1106</v>
      </c>
      <c r="E89" s="282">
        <v>84832</v>
      </c>
      <c r="F89" s="282">
        <v>75120667539400</v>
      </c>
      <c r="G89" s="283" t="s">
        <v>7</v>
      </c>
      <c r="H89" s="282">
        <v>30709256420</v>
      </c>
      <c r="I89" s="283" t="s">
        <v>1106</v>
      </c>
      <c r="J89" s="282">
        <v>1</v>
      </c>
      <c r="K89" s="283" t="s">
        <v>646</v>
      </c>
      <c r="L89" s="284">
        <v>4485.9799999999996</v>
      </c>
      <c r="M89" s="273">
        <v>0</v>
      </c>
      <c r="N89" s="273">
        <v>0</v>
      </c>
      <c r="O89" s="273">
        <v>0</v>
      </c>
      <c r="P89" s="274">
        <v>942.06</v>
      </c>
      <c r="Q89" s="284">
        <v>5428.04</v>
      </c>
    </row>
    <row r="90" spans="1:17" hidden="1" x14ac:dyDescent="0.25">
      <c r="A90" s="283" t="s">
        <v>1105</v>
      </c>
      <c r="B90" s="283" t="s">
        <v>644</v>
      </c>
      <c r="C90" s="282">
        <v>13</v>
      </c>
      <c r="D90" s="283" t="s">
        <v>1106</v>
      </c>
      <c r="E90" s="282">
        <v>84834</v>
      </c>
      <c r="F90" s="282">
        <v>75120667545713</v>
      </c>
      <c r="G90" s="283" t="s">
        <v>7</v>
      </c>
      <c r="H90" s="282">
        <v>30709256420</v>
      </c>
      <c r="I90" s="283" t="s">
        <v>1106</v>
      </c>
      <c r="J90" s="282">
        <v>1</v>
      </c>
      <c r="K90" s="283" t="s">
        <v>646</v>
      </c>
      <c r="L90" s="284">
        <v>4704.55</v>
      </c>
      <c r="M90" s="273">
        <v>0</v>
      </c>
      <c r="N90" s="273">
        <v>0</v>
      </c>
      <c r="O90" s="273">
        <v>0</v>
      </c>
      <c r="P90" s="274">
        <v>987.96</v>
      </c>
      <c r="Q90" s="284">
        <v>5692.51</v>
      </c>
    </row>
    <row r="91" spans="1:17" x14ac:dyDescent="0.25">
      <c r="A91" s="271" t="s">
        <v>1121</v>
      </c>
      <c r="B91" s="271" t="s">
        <v>644</v>
      </c>
      <c r="C91" s="290">
        <v>104</v>
      </c>
      <c r="D91" s="271" t="s">
        <v>669</v>
      </c>
      <c r="E91" s="291">
        <v>8640520</v>
      </c>
      <c r="F91" s="273">
        <v>75132585920001</v>
      </c>
      <c r="G91" s="271" t="s">
        <v>7</v>
      </c>
      <c r="H91" s="273">
        <v>30715804812</v>
      </c>
      <c r="I91" s="271" t="s">
        <v>669</v>
      </c>
      <c r="J91" s="273">
        <v>1</v>
      </c>
      <c r="K91" s="271" t="s">
        <v>646</v>
      </c>
      <c r="L91" s="284">
        <v>2079.9699999999998</v>
      </c>
      <c r="M91" s="273">
        <v>0</v>
      </c>
      <c r="N91" s="273">
        <v>0</v>
      </c>
      <c r="O91" s="271">
        <v>83.2</v>
      </c>
      <c r="P91" s="293">
        <v>436.79</v>
      </c>
      <c r="Q91" s="284">
        <v>2599.96</v>
      </c>
    </row>
    <row r="92" spans="1:17" hidden="1" x14ac:dyDescent="0.25">
      <c r="A92" s="283" t="s">
        <v>1105</v>
      </c>
      <c r="B92" s="283" t="s">
        <v>644</v>
      </c>
      <c r="C92" s="282">
        <v>40</v>
      </c>
      <c r="D92" s="283" t="s">
        <v>967</v>
      </c>
      <c r="E92" s="282">
        <v>1480</v>
      </c>
      <c r="F92" s="282">
        <v>75122693768828</v>
      </c>
      <c r="G92" s="283" t="s">
        <v>7</v>
      </c>
      <c r="H92" s="282">
        <v>30711091552</v>
      </c>
      <c r="I92" s="283" t="s">
        <v>967</v>
      </c>
      <c r="J92" s="282">
        <v>1</v>
      </c>
      <c r="K92" s="283" t="s">
        <v>646</v>
      </c>
      <c r="L92" s="284">
        <v>70247.929999999993</v>
      </c>
      <c r="M92" s="273">
        <v>0</v>
      </c>
      <c r="N92" s="273">
        <v>0</v>
      </c>
      <c r="O92" s="273">
        <v>0</v>
      </c>
      <c r="P92" s="274">
        <v>14752.07</v>
      </c>
      <c r="Q92" s="282">
        <v>85000</v>
      </c>
    </row>
    <row r="93" spans="1:17" hidden="1" x14ac:dyDescent="0.25">
      <c r="A93" s="283" t="s">
        <v>1105</v>
      </c>
      <c r="B93" s="283" t="s">
        <v>644</v>
      </c>
      <c r="C93" s="282">
        <v>8</v>
      </c>
      <c r="D93" s="283" t="s">
        <v>1108</v>
      </c>
      <c r="E93" s="282">
        <v>42491</v>
      </c>
      <c r="F93" s="282">
        <v>75122657884630</v>
      </c>
      <c r="G93" s="283" t="s">
        <v>7</v>
      </c>
      <c r="H93" s="282">
        <v>30709953482</v>
      </c>
      <c r="I93" s="283" t="s">
        <v>1108</v>
      </c>
      <c r="J93" s="282">
        <v>1</v>
      </c>
      <c r="K93" s="283" t="s">
        <v>646</v>
      </c>
      <c r="L93" s="284">
        <v>1532.24</v>
      </c>
      <c r="M93" s="273">
        <v>0</v>
      </c>
      <c r="N93" s="273">
        <v>0</v>
      </c>
      <c r="O93" s="273">
        <v>0</v>
      </c>
      <c r="P93" s="274">
        <v>321.77</v>
      </c>
      <c r="Q93" s="284">
        <v>1854.01</v>
      </c>
    </row>
    <row r="94" spans="1:17" hidden="1" x14ac:dyDescent="0.25">
      <c r="A94" s="283" t="s">
        <v>1105</v>
      </c>
      <c r="B94" s="283" t="s">
        <v>644</v>
      </c>
      <c r="C94" s="282">
        <v>36</v>
      </c>
      <c r="D94" s="283" t="s">
        <v>1107</v>
      </c>
      <c r="E94" s="282">
        <v>57200</v>
      </c>
      <c r="F94" s="282">
        <v>75120646632404</v>
      </c>
      <c r="G94" s="283" t="s">
        <v>7</v>
      </c>
      <c r="H94" s="282">
        <v>30714769290</v>
      </c>
      <c r="I94" s="283" t="s">
        <v>1107</v>
      </c>
      <c r="J94" s="282">
        <v>1</v>
      </c>
      <c r="K94" s="283" t="s">
        <v>646</v>
      </c>
      <c r="L94" s="284">
        <v>6609.92</v>
      </c>
      <c r="M94" s="273">
        <v>0</v>
      </c>
      <c r="N94" s="273">
        <v>0</v>
      </c>
      <c r="O94" s="273">
        <v>0</v>
      </c>
      <c r="P94" s="274">
        <v>1388.08</v>
      </c>
      <c r="Q94" s="282">
        <v>7998</v>
      </c>
    </row>
    <row r="95" spans="1:17" hidden="1" x14ac:dyDescent="0.25">
      <c r="A95" s="283" t="s">
        <v>1105</v>
      </c>
      <c r="B95" s="283" t="s">
        <v>644</v>
      </c>
      <c r="C95" s="282">
        <v>2</v>
      </c>
      <c r="D95" s="283" t="s">
        <v>1109</v>
      </c>
      <c r="E95" s="282">
        <v>56906</v>
      </c>
      <c r="F95" s="282">
        <v>75122596703405</v>
      </c>
      <c r="G95" s="283" t="s">
        <v>7</v>
      </c>
      <c r="H95" s="282">
        <v>30717110052</v>
      </c>
      <c r="I95" s="283" t="s">
        <v>1109</v>
      </c>
      <c r="J95" s="282">
        <v>1</v>
      </c>
      <c r="K95" s="283" t="s">
        <v>646</v>
      </c>
      <c r="L95" s="284">
        <v>4421.49</v>
      </c>
      <c r="M95" s="273">
        <v>0</v>
      </c>
      <c r="N95" s="273">
        <v>0</v>
      </c>
      <c r="O95" s="273">
        <v>0</v>
      </c>
      <c r="P95" s="274">
        <v>928.51</v>
      </c>
      <c r="Q95" s="282">
        <v>5350</v>
      </c>
    </row>
    <row r="96" spans="1:17" hidden="1" x14ac:dyDescent="0.25">
      <c r="A96" s="283" t="s">
        <v>1105</v>
      </c>
      <c r="B96" s="283" t="s">
        <v>644</v>
      </c>
      <c r="C96" s="282">
        <v>10</v>
      </c>
      <c r="D96" s="283" t="s">
        <v>1110</v>
      </c>
      <c r="E96" s="282">
        <v>32746</v>
      </c>
      <c r="F96" s="282">
        <v>75126636557223</v>
      </c>
      <c r="G96" s="283" t="s">
        <v>7</v>
      </c>
      <c r="H96" s="282">
        <v>20373457796</v>
      </c>
      <c r="I96" s="283" t="s">
        <v>1110</v>
      </c>
      <c r="J96" s="282">
        <v>1</v>
      </c>
      <c r="K96" s="283" t="s">
        <v>646</v>
      </c>
      <c r="L96" s="284">
        <v>18619.830000000002</v>
      </c>
      <c r="M96" s="273">
        <v>0</v>
      </c>
      <c r="N96" s="273">
        <v>0</v>
      </c>
      <c r="O96" s="273">
        <v>0</v>
      </c>
      <c r="P96" s="274">
        <v>3910.16</v>
      </c>
      <c r="Q96" s="284">
        <v>22529.99</v>
      </c>
    </row>
    <row r="97" spans="1:17" hidden="1" x14ac:dyDescent="0.25">
      <c r="A97" s="283" t="s">
        <v>1105</v>
      </c>
      <c r="B97" s="283" t="s">
        <v>644</v>
      </c>
      <c r="C97" s="282">
        <v>700</v>
      </c>
      <c r="D97" s="283" t="s">
        <v>669</v>
      </c>
      <c r="E97" s="282">
        <v>2340948</v>
      </c>
      <c r="F97" s="282">
        <v>75122820196470</v>
      </c>
      <c r="G97" s="283" t="s">
        <v>7</v>
      </c>
      <c r="H97" s="282">
        <v>30715804812</v>
      </c>
      <c r="I97" s="283" t="s">
        <v>669</v>
      </c>
      <c r="J97" s="282">
        <v>1</v>
      </c>
      <c r="K97" s="283" t="s">
        <v>646</v>
      </c>
      <c r="L97" s="284">
        <v>8943.84</v>
      </c>
      <c r="M97" s="273">
        <v>0</v>
      </c>
      <c r="N97" s="273">
        <v>0</v>
      </c>
      <c r="O97" s="274">
        <v>357.75</v>
      </c>
      <c r="P97" s="271">
        <v>1878.2</v>
      </c>
      <c r="Q97" s="284">
        <v>11179.79</v>
      </c>
    </row>
    <row r="98" spans="1:17" hidden="1" x14ac:dyDescent="0.25">
      <c r="A98" s="283" t="s">
        <v>1105</v>
      </c>
      <c r="B98" s="283" t="s">
        <v>644</v>
      </c>
      <c r="C98" s="282">
        <v>700</v>
      </c>
      <c r="D98" s="283" t="s">
        <v>669</v>
      </c>
      <c r="E98" s="282">
        <v>2340949</v>
      </c>
      <c r="F98" s="282">
        <v>75122820196556</v>
      </c>
      <c r="G98" s="283" t="s">
        <v>7</v>
      </c>
      <c r="H98" s="282">
        <v>30715804812</v>
      </c>
      <c r="I98" s="283" t="s">
        <v>669</v>
      </c>
      <c r="J98" s="282">
        <v>1</v>
      </c>
      <c r="K98" s="283" t="s">
        <v>646</v>
      </c>
      <c r="L98" s="284">
        <v>831.98</v>
      </c>
      <c r="M98" s="273">
        <v>0</v>
      </c>
      <c r="N98" s="273">
        <v>0</v>
      </c>
      <c r="O98" s="273">
        <v>0</v>
      </c>
      <c r="P98" s="274">
        <v>174.72</v>
      </c>
      <c r="Q98" s="283">
        <v>1006.7</v>
      </c>
    </row>
    <row r="99" spans="1:17" x14ac:dyDescent="0.25">
      <c r="A99" s="271" t="s">
        <v>1086</v>
      </c>
      <c r="B99" s="271" t="s">
        <v>644</v>
      </c>
      <c r="C99" s="290">
        <v>2189</v>
      </c>
      <c r="D99" s="271" t="s">
        <v>645</v>
      </c>
      <c r="E99" s="291">
        <v>86551</v>
      </c>
      <c r="F99" s="273">
        <v>75106188792474</v>
      </c>
      <c r="G99" s="271" t="s">
        <v>7</v>
      </c>
      <c r="H99" s="273">
        <v>30548083156</v>
      </c>
      <c r="I99" s="271" t="s">
        <v>645</v>
      </c>
      <c r="J99" s="273">
        <v>1</v>
      </c>
      <c r="K99" s="271" t="s">
        <v>646</v>
      </c>
      <c r="L99" s="284">
        <v>7295.47</v>
      </c>
      <c r="M99" s="273">
        <v>0</v>
      </c>
      <c r="N99" s="273">
        <v>0</v>
      </c>
      <c r="O99" s="274">
        <v>510.68</v>
      </c>
      <c r="P99" s="293">
        <v>1532.05</v>
      </c>
      <c r="Q99" s="283">
        <v>9338.2000000000007</v>
      </c>
    </row>
    <row r="100" spans="1:17" hidden="1" x14ac:dyDescent="0.25">
      <c r="A100" s="283" t="s">
        <v>1111</v>
      </c>
      <c r="B100" s="283" t="s">
        <v>644</v>
      </c>
      <c r="C100" s="282">
        <v>7</v>
      </c>
      <c r="D100" s="283" t="s">
        <v>1112</v>
      </c>
      <c r="E100" s="282">
        <v>30784</v>
      </c>
      <c r="F100" s="282">
        <v>75122752113670</v>
      </c>
      <c r="G100" s="283" t="s">
        <v>7</v>
      </c>
      <c r="H100" s="282">
        <v>30710819552</v>
      </c>
      <c r="I100" s="283" t="s">
        <v>1112</v>
      </c>
      <c r="J100" s="282">
        <v>1</v>
      </c>
      <c r="K100" s="283" t="s">
        <v>646</v>
      </c>
      <c r="L100" s="284">
        <v>4705.78</v>
      </c>
      <c r="M100" s="273">
        <v>0</v>
      </c>
      <c r="N100" s="273">
        <v>0</v>
      </c>
      <c r="O100" s="273">
        <v>0</v>
      </c>
      <c r="P100" s="274">
        <v>988.21</v>
      </c>
      <c r="Q100" s="284">
        <v>5693.99</v>
      </c>
    </row>
    <row r="101" spans="1:17" hidden="1" x14ac:dyDescent="0.25">
      <c r="A101" s="283" t="s">
        <v>1113</v>
      </c>
      <c r="B101" s="283" t="s">
        <v>644</v>
      </c>
      <c r="C101" s="282">
        <v>5015</v>
      </c>
      <c r="D101" s="283" t="s">
        <v>671</v>
      </c>
      <c r="E101" s="282">
        <v>795207</v>
      </c>
      <c r="F101" s="282">
        <v>75124843642022</v>
      </c>
      <c r="G101" s="283" t="s">
        <v>7</v>
      </c>
      <c r="H101" s="282">
        <v>30574876474</v>
      </c>
      <c r="I101" s="283" t="s">
        <v>671</v>
      </c>
      <c r="J101" s="282">
        <v>1</v>
      </c>
      <c r="K101" s="283" t="s">
        <v>646</v>
      </c>
      <c r="L101" s="284">
        <v>30503.83</v>
      </c>
      <c r="M101" s="273">
        <v>0</v>
      </c>
      <c r="N101" s="273">
        <v>0</v>
      </c>
      <c r="O101" s="274">
        <v>3965.47</v>
      </c>
      <c r="P101" s="274">
        <v>6405.77</v>
      </c>
      <c r="Q101" s="284">
        <v>40875.07</v>
      </c>
    </row>
    <row r="102" spans="1:17" hidden="1" x14ac:dyDescent="0.25">
      <c r="A102" s="283" t="s">
        <v>1113</v>
      </c>
      <c r="B102" s="283" t="s">
        <v>644</v>
      </c>
      <c r="C102" s="282">
        <v>14</v>
      </c>
      <c r="D102" s="283" t="s">
        <v>1114</v>
      </c>
      <c r="E102" s="282">
        <v>86169</v>
      </c>
      <c r="F102" s="282">
        <v>75128038509041</v>
      </c>
      <c r="G102" s="283" t="s">
        <v>7</v>
      </c>
      <c r="H102" s="282">
        <v>20271822058</v>
      </c>
      <c r="I102" s="283" t="s">
        <v>1114</v>
      </c>
      <c r="J102" s="273">
        <v>1</v>
      </c>
      <c r="K102" s="271" t="s">
        <v>646</v>
      </c>
      <c r="L102" s="284">
        <v>3040.56</v>
      </c>
      <c r="M102" s="273">
        <v>0</v>
      </c>
      <c r="N102" s="273">
        <v>0</v>
      </c>
      <c r="O102" s="273">
        <v>0</v>
      </c>
      <c r="P102" s="274">
        <v>638.52</v>
      </c>
      <c r="Q102" s="284">
        <v>3679.08</v>
      </c>
    </row>
    <row r="103" spans="1:17" hidden="1" x14ac:dyDescent="0.25">
      <c r="A103" s="283" t="s">
        <v>1115</v>
      </c>
      <c r="B103" s="283" t="s">
        <v>644</v>
      </c>
      <c r="C103" s="282">
        <v>2</v>
      </c>
      <c r="D103" s="283" t="s">
        <v>1116</v>
      </c>
      <c r="E103" s="282">
        <v>1191</v>
      </c>
      <c r="F103" s="282">
        <v>75123009741752</v>
      </c>
      <c r="G103" s="283" t="s">
        <v>7</v>
      </c>
      <c r="H103" s="282">
        <v>30718601483</v>
      </c>
      <c r="I103" s="283" t="s">
        <v>1116</v>
      </c>
      <c r="J103" s="282">
        <v>1</v>
      </c>
      <c r="K103" s="283" t="s">
        <v>646</v>
      </c>
      <c r="L103" s="284">
        <v>17954.97</v>
      </c>
      <c r="M103" s="273">
        <v>0</v>
      </c>
      <c r="N103" s="273">
        <v>0</v>
      </c>
      <c r="O103" s="273">
        <v>0</v>
      </c>
      <c r="P103" s="274">
        <v>3770.54</v>
      </c>
      <c r="Q103" s="284">
        <v>21725.51</v>
      </c>
    </row>
    <row r="104" spans="1:17" hidden="1" x14ac:dyDescent="0.25">
      <c r="A104" s="283" t="s">
        <v>1115</v>
      </c>
      <c r="B104" s="283" t="s">
        <v>644</v>
      </c>
      <c r="C104" s="282">
        <v>5</v>
      </c>
      <c r="D104" s="283" t="s">
        <v>706</v>
      </c>
      <c r="E104" s="282">
        <v>3258632</v>
      </c>
      <c r="F104" s="282">
        <v>75125083588391</v>
      </c>
      <c r="G104" s="283" t="s">
        <v>7</v>
      </c>
      <c r="H104" s="282">
        <v>30702652975</v>
      </c>
      <c r="I104" s="283" t="s">
        <v>706</v>
      </c>
      <c r="J104" s="282">
        <v>1</v>
      </c>
      <c r="K104" s="283" t="s">
        <v>646</v>
      </c>
      <c r="L104" s="284">
        <v>28861.58</v>
      </c>
      <c r="M104" s="273">
        <v>0</v>
      </c>
      <c r="N104" s="273">
        <v>0</v>
      </c>
      <c r="O104" s="274">
        <v>1154.46</v>
      </c>
      <c r="P104" s="274">
        <v>6060.93</v>
      </c>
      <c r="Q104" s="284">
        <v>36076.97</v>
      </c>
    </row>
    <row r="105" spans="1:17" hidden="1" x14ac:dyDescent="0.25">
      <c r="A105" s="283" t="s">
        <v>1115</v>
      </c>
      <c r="B105" s="283" t="s">
        <v>644</v>
      </c>
      <c r="C105" s="282">
        <v>2007</v>
      </c>
      <c r="D105" s="283" t="s">
        <v>990</v>
      </c>
      <c r="E105" s="282">
        <v>41611</v>
      </c>
      <c r="F105" s="282">
        <v>75120057750533</v>
      </c>
      <c r="G105" s="283" t="s">
        <v>7</v>
      </c>
      <c r="H105" s="282">
        <v>30516186670</v>
      </c>
      <c r="I105" s="283" t="s">
        <v>990</v>
      </c>
      <c r="J105" s="282">
        <v>1</v>
      </c>
      <c r="K105" s="283" t="s">
        <v>646</v>
      </c>
      <c r="L105" s="284">
        <v>37022.31</v>
      </c>
      <c r="M105" s="273">
        <v>0</v>
      </c>
      <c r="N105" s="273">
        <v>0</v>
      </c>
      <c r="O105" s="274">
        <v>2591.56</v>
      </c>
      <c r="P105" s="274">
        <v>7774.69</v>
      </c>
      <c r="Q105" s="284">
        <v>47388.56</v>
      </c>
    </row>
    <row r="106" spans="1:17" hidden="1" x14ac:dyDescent="0.25">
      <c r="A106" s="283" t="s">
        <v>1117</v>
      </c>
      <c r="B106" s="283" t="s">
        <v>644</v>
      </c>
      <c r="C106" s="282">
        <v>14</v>
      </c>
      <c r="D106" s="283" t="s">
        <v>975</v>
      </c>
      <c r="E106" s="282">
        <v>7058</v>
      </c>
      <c r="F106" s="282">
        <v>75134197494736</v>
      </c>
      <c r="G106" s="283" t="s">
        <v>7</v>
      </c>
      <c r="H106" s="282">
        <v>30693293754</v>
      </c>
      <c r="I106" s="283" t="s">
        <v>975</v>
      </c>
      <c r="J106" s="282">
        <v>1</v>
      </c>
      <c r="K106" s="283" t="s">
        <v>646</v>
      </c>
      <c r="L106" s="284">
        <v>51569.42</v>
      </c>
      <c r="M106" s="273">
        <v>0</v>
      </c>
      <c r="N106" s="273">
        <v>0</v>
      </c>
      <c r="O106" s="274">
        <v>2062.7800000000002</v>
      </c>
      <c r="P106" s="274">
        <v>10829.58</v>
      </c>
      <c r="Q106" s="284">
        <v>64461.78</v>
      </c>
    </row>
    <row r="107" spans="1:17" hidden="1" x14ac:dyDescent="0.25">
      <c r="A107" s="283" t="s">
        <v>1117</v>
      </c>
      <c r="B107" s="283" t="s">
        <v>644</v>
      </c>
      <c r="C107" s="282">
        <v>7</v>
      </c>
      <c r="D107" s="283" t="s">
        <v>1118</v>
      </c>
      <c r="E107" s="282">
        <v>17982</v>
      </c>
      <c r="F107" s="282">
        <v>75139197700503</v>
      </c>
      <c r="G107" s="283" t="s">
        <v>7</v>
      </c>
      <c r="H107" s="282">
        <v>20308861059</v>
      </c>
      <c r="I107" s="283" t="s">
        <v>1118</v>
      </c>
      <c r="J107" s="282">
        <v>1</v>
      </c>
      <c r="K107" s="283" t="s">
        <v>646</v>
      </c>
      <c r="L107" s="284">
        <v>23552.15</v>
      </c>
      <c r="M107" s="273">
        <v>0</v>
      </c>
      <c r="N107" s="273">
        <v>0</v>
      </c>
      <c r="O107" s="273">
        <v>0</v>
      </c>
      <c r="P107" s="274">
        <v>4945.95</v>
      </c>
      <c r="Q107" s="283">
        <v>28498.1</v>
      </c>
    </row>
    <row r="108" spans="1:17" hidden="1" x14ac:dyDescent="0.25">
      <c r="A108" s="283" t="s">
        <v>1117</v>
      </c>
      <c r="B108" s="283" t="s">
        <v>644</v>
      </c>
      <c r="C108" s="282">
        <v>7</v>
      </c>
      <c r="D108" s="283" t="s">
        <v>1066</v>
      </c>
      <c r="E108" s="282">
        <v>28</v>
      </c>
      <c r="F108" s="282">
        <v>75133185531038</v>
      </c>
      <c r="G108" s="283" t="s">
        <v>7</v>
      </c>
      <c r="H108" s="282">
        <v>27325223273</v>
      </c>
      <c r="I108" s="283" t="s">
        <v>1066</v>
      </c>
      <c r="J108" s="282">
        <v>1</v>
      </c>
      <c r="K108" s="283" t="s">
        <v>646</v>
      </c>
      <c r="L108" s="282">
        <v>1050000</v>
      </c>
      <c r="M108" s="273">
        <v>0</v>
      </c>
      <c r="N108" s="273">
        <v>0</v>
      </c>
      <c r="O108" s="273">
        <v>0</v>
      </c>
      <c r="P108" s="273">
        <v>220500</v>
      </c>
      <c r="Q108" s="282">
        <v>1270500</v>
      </c>
    </row>
    <row r="109" spans="1:17" hidden="1" x14ac:dyDescent="0.25">
      <c r="A109" s="283" t="s">
        <v>1119</v>
      </c>
      <c r="B109" s="283" t="s">
        <v>644</v>
      </c>
      <c r="C109" s="282">
        <v>2</v>
      </c>
      <c r="D109" s="283" t="s">
        <v>617</v>
      </c>
      <c r="E109" s="282">
        <v>1173</v>
      </c>
      <c r="F109" s="282">
        <v>75139327922477</v>
      </c>
      <c r="G109" s="283" t="s">
        <v>7</v>
      </c>
      <c r="H109" s="282">
        <v>20272865869</v>
      </c>
      <c r="I109" s="283" t="s">
        <v>617</v>
      </c>
      <c r="J109" s="273">
        <v>1</v>
      </c>
      <c r="K109" s="271" t="s">
        <v>646</v>
      </c>
      <c r="L109" s="282">
        <v>106500</v>
      </c>
      <c r="M109" s="273">
        <v>0</v>
      </c>
      <c r="N109" s="273">
        <v>0</v>
      </c>
      <c r="O109" s="273">
        <v>0</v>
      </c>
      <c r="P109" s="273">
        <v>22365</v>
      </c>
      <c r="Q109" s="282">
        <v>128865</v>
      </c>
    </row>
    <row r="110" spans="1:17" hidden="1" x14ac:dyDescent="0.25">
      <c r="A110" s="283" t="s">
        <v>1119</v>
      </c>
      <c r="B110" s="283" t="s">
        <v>644</v>
      </c>
      <c r="C110" s="282">
        <v>2</v>
      </c>
      <c r="D110" s="283" t="s">
        <v>617</v>
      </c>
      <c r="E110" s="282">
        <v>1177</v>
      </c>
      <c r="F110" s="282">
        <v>75139339034277</v>
      </c>
      <c r="G110" s="283" t="s">
        <v>7</v>
      </c>
      <c r="H110" s="282">
        <v>20272865869</v>
      </c>
      <c r="I110" s="283" t="s">
        <v>617</v>
      </c>
      <c r="J110" s="273">
        <v>1</v>
      </c>
      <c r="K110" s="271" t="s">
        <v>646</v>
      </c>
      <c r="L110" s="282">
        <v>12500</v>
      </c>
      <c r="M110" s="273">
        <v>0</v>
      </c>
      <c r="N110" s="273">
        <v>0</v>
      </c>
      <c r="O110" s="273">
        <v>0</v>
      </c>
      <c r="P110" s="273">
        <v>2625</v>
      </c>
      <c r="Q110" s="282">
        <v>15125</v>
      </c>
    </row>
    <row r="111" spans="1:17" x14ac:dyDescent="0.25">
      <c r="A111" s="271" t="s">
        <v>1104</v>
      </c>
      <c r="B111" s="271" t="s">
        <v>644</v>
      </c>
      <c r="C111" s="290">
        <v>2</v>
      </c>
      <c r="D111" s="271" t="s">
        <v>617</v>
      </c>
      <c r="E111" s="291">
        <v>1161</v>
      </c>
      <c r="F111" s="273">
        <v>75129526301590</v>
      </c>
      <c r="G111" s="271" t="s">
        <v>7</v>
      </c>
      <c r="H111" s="273">
        <v>20272865869</v>
      </c>
      <c r="I111" s="271" t="s">
        <v>617</v>
      </c>
      <c r="J111" s="273">
        <v>1</v>
      </c>
      <c r="K111" s="271" t="s">
        <v>646</v>
      </c>
      <c r="L111" s="282">
        <v>78550</v>
      </c>
      <c r="M111" s="273">
        <v>0</v>
      </c>
      <c r="N111" s="273">
        <v>0</v>
      </c>
      <c r="O111" s="273">
        <v>0</v>
      </c>
      <c r="P111" s="294">
        <v>16495.5</v>
      </c>
      <c r="Q111" s="283">
        <v>95045.5</v>
      </c>
    </row>
    <row r="112" spans="1:17" hidden="1" x14ac:dyDescent="0.25">
      <c r="A112" s="283" t="s">
        <v>1119</v>
      </c>
      <c r="B112" s="283" t="s">
        <v>655</v>
      </c>
      <c r="C112" s="282">
        <v>2</v>
      </c>
      <c r="D112" s="283" t="s">
        <v>940</v>
      </c>
      <c r="E112" s="282">
        <v>3</v>
      </c>
      <c r="F112" s="282">
        <v>75131317003394</v>
      </c>
      <c r="G112" s="283" t="s">
        <v>7</v>
      </c>
      <c r="H112" s="282">
        <v>27344304551</v>
      </c>
      <c r="I112" s="283" t="s">
        <v>940</v>
      </c>
      <c r="J112" s="273">
        <v>1</v>
      </c>
      <c r="K112" s="271" t="s">
        <v>646</v>
      </c>
      <c r="L112" s="283"/>
      <c r="M112" s="271"/>
      <c r="N112" s="271"/>
      <c r="O112" s="273">
        <v>0</v>
      </c>
      <c r="P112" s="271"/>
      <c r="Q112" s="282">
        <v>150000</v>
      </c>
    </row>
    <row r="113" spans="1:17" hidden="1" x14ac:dyDescent="0.25">
      <c r="A113" s="283" t="s">
        <v>1121</v>
      </c>
      <c r="B113" s="283" t="s">
        <v>644</v>
      </c>
      <c r="C113" s="282">
        <v>10</v>
      </c>
      <c r="D113" s="283" t="s">
        <v>1068</v>
      </c>
      <c r="E113" s="282">
        <v>2722</v>
      </c>
      <c r="F113" s="282">
        <v>75132564079381</v>
      </c>
      <c r="G113" s="283" t="s">
        <v>7</v>
      </c>
      <c r="H113" s="282">
        <v>30716229552</v>
      </c>
      <c r="I113" s="283" t="s">
        <v>1068</v>
      </c>
      <c r="J113" s="282">
        <v>1</v>
      </c>
      <c r="K113" s="271" t="s">
        <v>646</v>
      </c>
      <c r="L113" s="284">
        <v>12396.69</v>
      </c>
      <c r="M113" s="273">
        <v>0</v>
      </c>
      <c r="N113" s="273">
        <v>0</v>
      </c>
      <c r="O113" s="273">
        <v>0</v>
      </c>
      <c r="P113" s="274">
        <v>2603.31</v>
      </c>
      <c r="Q113" s="282">
        <v>15000</v>
      </c>
    </row>
    <row r="114" spans="1:17" x14ac:dyDescent="0.25">
      <c r="A114" s="271" t="s">
        <v>1105</v>
      </c>
      <c r="B114" s="271" t="s">
        <v>644</v>
      </c>
      <c r="C114" s="290">
        <v>36</v>
      </c>
      <c r="D114" s="271" t="s">
        <v>1107</v>
      </c>
      <c r="E114" s="291">
        <v>57170</v>
      </c>
      <c r="F114" s="273">
        <v>75120617820543</v>
      </c>
      <c r="G114" s="271" t="s">
        <v>7</v>
      </c>
      <c r="H114" s="273">
        <v>30714769290</v>
      </c>
      <c r="I114" s="271" t="s">
        <v>1107</v>
      </c>
      <c r="J114" s="273">
        <v>1</v>
      </c>
      <c r="K114" s="271" t="s">
        <v>646</v>
      </c>
      <c r="L114" s="284">
        <v>6609.92</v>
      </c>
      <c r="M114" s="273">
        <v>0</v>
      </c>
      <c r="N114" s="273">
        <v>0</v>
      </c>
      <c r="O114" s="273">
        <v>0</v>
      </c>
      <c r="P114" s="293">
        <v>1388.08</v>
      </c>
      <c r="Q114" s="282">
        <v>7998</v>
      </c>
    </row>
    <row r="115" spans="1:17" x14ac:dyDescent="0.25">
      <c r="A115" s="271" t="s">
        <v>1105</v>
      </c>
      <c r="B115" s="271" t="s">
        <v>666</v>
      </c>
      <c r="C115" s="290">
        <v>36</v>
      </c>
      <c r="D115" s="271" t="s">
        <v>1107</v>
      </c>
      <c r="E115" s="291">
        <v>5376</v>
      </c>
      <c r="F115" s="273">
        <v>75120627279529</v>
      </c>
      <c r="G115" s="271" t="s">
        <v>7</v>
      </c>
      <c r="H115" s="273">
        <v>30714769290</v>
      </c>
      <c r="I115" s="271" t="s">
        <v>1107</v>
      </c>
      <c r="J115" s="273">
        <v>1</v>
      </c>
      <c r="K115" s="271" t="s">
        <v>646</v>
      </c>
      <c r="L115" s="284">
        <v>6609.92</v>
      </c>
      <c r="M115" s="273">
        <v>0</v>
      </c>
      <c r="N115" s="273">
        <v>0</v>
      </c>
      <c r="O115" s="273">
        <v>0</v>
      </c>
      <c r="P115" s="293">
        <v>1388.08</v>
      </c>
      <c r="Q115" s="282">
        <v>7998</v>
      </c>
    </row>
    <row r="116" spans="1:17" hidden="1" x14ac:dyDescent="0.25">
      <c r="A116" s="283" t="s">
        <v>1121</v>
      </c>
      <c r="B116" s="283" t="s">
        <v>644</v>
      </c>
      <c r="C116" s="282">
        <v>24</v>
      </c>
      <c r="D116" s="283" t="s">
        <v>718</v>
      </c>
      <c r="E116" s="282">
        <v>3066212</v>
      </c>
      <c r="F116" s="282">
        <v>75134687151308</v>
      </c>
      <c r="G116" s="283" t="s">
        <v>7</v>
      </c>
      <c r="H116" s="282">
        <v>30703088534</v>
      </c>
      <c r="I116" s="283" t="s">
        <v>718</v>
      </c>
      <c r="J116" s="282">
        <v>1</v>
      </c>
      <c r="K116" s="283" t="s">
        <v>646</v>
      </c>
      <c r="L116" s="284">
        <v>67805.64</v>
      </c>
      <c r="M116" s="273">
        <v>0</v>
      </c>
      <c r="N116" s="273">
        <v>0</v>
      </c>
      <c r="O116" s="271">
        <v>4746.3999999999996</v>
      </c>
      <c r="P116" s="274">
        <v>14239.18</v>
      </c>
      <c r="Q116" s="284">
        <v>86791.22</v>
      </c>
    </row>
    <row r="117" spans="1:17" x14ac:dyDescent="0.25">
      <c r="A117" s="271" t="s">
        <v>1077</v>
      </c>
      <c r="B117" s="271" t="s">
        <v>644</v>
      </c>
      <c r="C117" s="290">
        <v>629</v>
      </c>
      <c r="D117" s="271" t="s">
        <v>657</v>
      </c>
      <c r="E117" s="291">
        <v>5901502</v>
      </c>
      <c r="F117" s="273">
        <v>35083520478131</v>
      </c>
      <c r="G117" s="271" t="s">
        <v>7</v>
      </c>
      <c r="H117" s="273">
        <v>30663498513</v>
      </c>
      <c r="I117" s="271" t="s">
        <v>657</v>
      </c>
      <c r="J117" s="273">
        <v>1</v>
      </c>
      <c r="K117" s="271" t="s">
        <v>646</v>
      </c>
      <c r="L117" s="284">
        <v>1155.52</v>
      </c>
      <c r="M117" s="273">
        <v>0</v>
      </c>
      <c r="N117" s="273">
        <v>0</v>
      </c>
      <c r="O117" s="274">
        <v>46.22</v>
      </c>
      <c r="P117" s="293">
        <v>242.66</v>
      </c>
      <c r="Q117" s="283">
        <v>1444.4</v>
      </c>
    </row>
    <row r="118" spans="1:17" hidden="1" x14ac:dyDescent="0.25">
      <c r="A118" s="283" t="s">
        <v>1122</v>
      </c>
      <c r="B118" s="283" t="s">
        <v>644</v>
      </c>
      <c r="C118" s="282">
        <v>3</v>
      </c>
      <c r="D118" s="283" t="s">
        <v>1123</v>
      </c>
      <c r="E118" s="282">
        <v>3364</v>
      </c>
      <c r="F118" s="282">
        <v>75130837546977</v>
      </c>
      <c r="G118" s="283" t="s">
        <v>7</v>
      </c>
      <c r="H118" s="282">
        <v>20320131260</v>
      </c>
      <c r="I118" s="283" t="s">
        <v>1123</v>
      </c>
      <c r="J118" s="282">
        <v>1</v>
      </c>
      <c r="K118" s="271" t="s">
        <v>646</v>
      </c>
      <c r="L118" s="284">
        <v>3124.15</v>
      </c>
      <c r="M118" s="273">
        <v>0</v>
      </c>
      <c r="N118" s="273">
        <v>0</v>
      </c>
      <c r="O118" s="273">
        <v>0</v>
      </c>
      <c r="P118" s="274">
        <v>656.07</v>
      </c>
      <c r="Q118" s="284">
        <v>3780.22</v>
      </c>
    </row>
    <row r="119" spans="1:17" hidden="1" x14ac:dyDescent="0.25">
      <c r="A119" s="283" t="s">
        <v>1122</v>
      </c>
      <c r="B119" s="283" t="s">
        <v>644</v>
      </c>
      <c r="C119" s="282">
        <v>17</v>
      </c>
      <c r="D119" s="283" t="s">
        <v>544</v>
      </c>
      <c r="E119" s="282">
        <v>12116</v>
      </c>
      <c r="F119" s="282">
        <v>75130722989528</v>
      </c>
      <c r="G119" s="283" t="s">
        <v>7</v>
      </c>
      <c r="H119" s="282">
        <v>30661143610</v>
      </c>
      <c r="I119" s="283" t="s">
        <v>544</v>
      </c>
      <c r="J119" s="282">
        <v>1</v>
      </c>
      <c r="K119" s="283" t="s">
        <v>646</v>
      </c>
      <c r="L119" s="284">
        <v>1194454.6299999999</v>
      </c>
      <c r="M119" s="273">
        <v>0</v>
      </c>
      <c r="N119" s="273">
        <v>0</v>
      </c>
      <c r="O119" s="274">
        <v>47778.19</v>
      </c>
      <c r="P119" s="274">
        <v>250835.48</v>
      </c>
      <c r="Q119" s="283">
        <v>1493068.3</v>
      </c>
    </row>
    <row r="120" spans="1:17" x14ac:dyDescent="0.25">
      <c r="A120" s="271" t="s">
        <v>1119</v>
      </c>
      <c r="B120" s="271" t="s">
        <v>644</v>
      </c>
      <c r="C120" s="290">
        <v>1</v>
      </c>
      <c r="D120" s="271" t="s">
        <v>1120</v>
      </c>
      <c r="E120" s="291">
        <v>6469</v>
      </c>
      <c r="F120" s="273">
        <v>75139349226385</v>
      </c>
      <c r="G120" s="271" t="s">
        <v>7</v>
      </c>
      <c r="H120" s="273">
        <v>30715430769</v>
      </c>
      <c r="I120" s="271" t="s">
        <v>1120</v>
      </c>
      <c r="J120" s="273">
        <v>1</v>
      </c>
      <c r="K120" s="271" t="s">
        <v>646</v>
      </c>
      <c r="L120" s="284">
        <v>20698.669999999998</v>
      </c>
      <c r="M120" s="273">
        <v>0</v>
      </c>
      <c r="N120" s="273">
        <v>0</v>
      </c>
      <c r="O120" s="273">
        <v>0</v>
      </c>
      <c r="P120" s="293">
        <v>4346.72</v>
      </c>
      <c r="Q120" s="284">
        <v>25045.41</v>
      </c>
    </row>
    <row r="121" spans="1:17" hidden="1" x14ac:dyDescent="0.25">
      <c r="A121" s="283" t="s">
        <v>1122</v>
      </c>
      <c r="B121" s="283" t="s">
        <v>644</v>
      </c>
      <c r="C121" s="282">
        <v>11</v>
      </c>
      <c r="D121" s="283" t="s">
        <v>700</v>
      </c>
      <c r="E121" s="282">
        <v>95662</v>
      </c>
      <c r="F121" s="282">
        <v>75134744661381</v>
      </c>
      <c r="G121" s="283" t="s">
        <v>7</v>
      </c>
      <c r="H121" s="282">
        <v>30526582884</v>
      </c>
      <c r="I121" s="283" t="s">
        <v>700</v>
      </c>
      <c r="J121" s="282">
        <v>1</v>
      </c>
      <c r="K121" s="283" t="s">
        <v>646</v>
      </c>
      <c r="L121" s="284">
        <v>43545.45</v>
      </c>
      <c r="M121" s="273">
        <v>0</v>
      </c>
      <c r="N121" s="273">
        <v>0</v>
      </c>
      <c r="O121" s="273">
        <v>0</v>
      </c>
      <c r="P121" s="274">
        <v>9144.5499999999993</v>
      </c>
      <c r="Q121" s="282">
        <v>52690</v>
      </c>
    </row>
    <row r="122" spans="1:17" x14ac:dyDescent="0.25">
      <c r="A122" s="271" t="s">
        <v>1122</v>
      </c>
      <c r="B122" s="271" t="s">
        <v>644</v>
      </c>
      <c r="C122" s="290">
        <v>6</v>
      </c>
      <c r="D122" s="271" t="s">
        <v>720</v>
      </c>
      <c r="E122" s="291">
        <v>19159238</v>
      </c>
      <c r="F122" s="273">
        <v>75137816989679</v>
      </c>
      <c r="G122" s="271" t="s">
        <v>7</v>
      </c>
      <c r="H122" s="273">
        <v>30620177497</v>
      </c>
      <c r="I122" s="271" t="s">
        <v>720</v>
      </c>
      <c r="J122" s="273">
        <v>1</v>
      </c>
      <c r="K122" s="271" t="s">
        <v>646</v>
      </c>
      <c r="L122" s="284">
        <v>31146.28</v>
      </c>
      <c r="M122" s="273">
        <v>0</v>
      </c>
      <c r="N122" s="273">
        <v>0</v>
      </c>
      <c r="O122" s="274">
        <v>2180.2399999999998</v>
      </c>
      <c r="P122" s="293">
        <v>6540.72</v>
      </c>
      <c r="Q122" s="284">
        <v>39867.24</v>
      </c>
    </row>
    <row r="123" spans="1:17" x14ac:dyDescent="0.25">
      <c r="A123" s="271" t="s">
        <v>1100</v>
      </c>
      <c r="B123" s="271" t="s">
        <v>644</v>
      </c>
      <c r="C123" s="290">
        <v>7</v>
      </c>
      <c r="D123" s="271" t="s">
        <v>934</v>
      </c>
      <c r="E123" s="291">
        <v>20435</v>
      </c>
      <c r="F123" s="273">
        <v>75118093472558</v>
      </c>
      <c r="G123" s="271" t="s">
        <v>7</v>
      </c>
      <c r="H123" s="273">
        <v>30709214078</v>
      </c>
      <c r="I123" s="271" t="s">
        <v>934</v>
      </c>
      <c r="J123" s="273">
        <v>1</v>
      </c>
      <c r="K123" s="271" t="s">
        <v>646</v>
      </c>
      <c r="L123" s="282">
        <v>250800</v>
      </c>
      <c r="M123" s="273">
        <v>0</v>
      </c>
      <c r="N123" s="273">
        <v>0</v>
      </c>
      <c r="O123" s="273">
        <v>0</v>
      </c>
      <c r="P123" s="292">
        <v>26334</v>
      </c>
      <c r="Q123" s="282">
        <v>277134</v>
      </c>
    </row>
    <row r="124" spans="1:17" x14ac:dyDescent="0.25">
      <c r="A124" s="271" t="s">
        <v>1101</v>
      </c>
      <c r="B124" s="271" t="s">
        <v>666</v>
      </c>
      <c r="C124" s="290">
        <v>7</v>
      </c>
      <c r="D124" s="271" t="s">
        <v>934</v>
      </c>
      <c r="E124" s="291">
        <v>1375</v>
      </c>
      <c r="F124" s="273">
        <v>75118274418741</v>
      </c>
      <c r="G124" s="271" t="s">
        <v>7</v>
      </c>
      <c r="H124" s="273">
        <v>30709214078</v>
      </c>
      <c r="I124" s="271" t="s">
        <v>934</v>
      </c>
      <c r="J124" s="273">
        <v>1</v>
      </c>
      <c r="K124" s="271" t="s">
        <v>646</v>
      </c>
      <c r="L124" s="282">
        <v>250800</v>
      </c>
      <c r="M124" s="273">
        <v>0</v>
      </c>
      <c r="N124" s="273">
        <v>0</v>
      </c>
      <c r="O124" s="273">
        <v>0</v>
      </c>
      <c r="P124" s="292">
        <v>26334</v>
      </c>
      <c r="Q124" s="282">
        <v>277134</v>
      </c>
    </row>
  </sheetData>
  <autoFilter ref="A6:Q124" xr:uid="{00000000-0009-0000-0000-000007000000}">
    <filterColumn colId="4">
      <colorFilter dxfId="20"/>
    </filterColumn>
  </autoFilter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17"/>
  <sheetViews>
    <sheetView workbookViewId="0">
      <selection activeCell="L25" sqref="L25"/>
    </sheetView>
  </sheetViews>
  <sheetFormatPr baseColWidth="10" defaultRowHeight="15" x14ac:dyDescent="0.25"/>
  <cols>
    <col min="2" max="2" width="5.140625" customWidth="1"/>
    <col min="3" max="3" width="6.28515625" customWidth="1"/>
    <col min="4" max="4" width="10.42578125" customWidth="1"/>
    <col min="5" max="5" width="3.28515625" customWidth="1"/>
    <col min="6" max="6" width="2.140625" customWidth="1"/>
    <col min="7" max="7" width="3.85546875" customWidth="1"/>
    <col min="8" max="8" width="13.42578125" customWidth="1"/>
    <col min="9" max="9" width="24" customWidth="1"/>
    <col min="10" max="10" width="2.5703125" customWidth="1"/>
    <col min="11" max="11" width="3.7109375" customWidth="1"/>
    <col min="12" max="12" width="11.5703125" bestFit="1" customWidth="1"/>
    <col min="13" max="13" width="3.5703125" customWidth="1"/>
    <col min="14" max="14" width="9.42578125" customWidth="1"/>
    <col min="15" max="15" width="9" customWidth="1"/>
    <col min="16" max="16" width="9.42578125" customWidth="1"/>
    <col min="17" max="17" width="11.5703125" bestFit="1" customWidth="1"/>
  </cols>
  <sheetData>
    <row r="2" spans="1:17" x14ac:dyDescent="0.25">
      <c r="A2" s="296" t="s">
        <v>102</v>
      </c>
      <c r="B2" s="296" t="s">
        <v>628</v>
      </c>
      <c r="C2" s="296" t="s">
        <v>629</v>
      </c>
      <c r="D2" s="296" t="s">
        <v>1148</v>
      </c>
      <c r="E2" s="296" t="s">
        <v>631</v>
      </c>
      <c r="F2" s="296" t="s">
        <v>632</v>
      </c>
      <c r="G2" s="296" t="s">
        <v>633</v>
      </c>
      <c r="H2" s="296" t="s">
        <v>634</v>
      </c>
      <c r="I2" s="296" t="s">
        <v>635</v>
      </c>
      <c r="J2" s="296" t="s">
        <v>636</v>
      </c>
      <c r="K2" s="296" t="s">
        <v>637</v>
      </c>
      <c r="L2" s="296" t="s">
        <v>638</v>
      </c>
      <c r="M2" s="296" t="s">
        <v>639</v>
      </c>
      <c r="N2" s="296" t="s">
        <v>640</v>
      </c>
      <c r="O2" s="296" t="s">
        <v>641</v>
      </c>
      <c r="P2" s="296" t="s">
        <v>3</v>
      </c>
      <c r="Q2" s="296" t="s">
        <v>642</v>
      </c>
    </row>
    <row r="3" spans="1:17" x14ac:dyDescent="0.25">
      <c r="A3" s="294" t="s">
        <v>1136</v>
      </c>
      <c r="B3" s="271" t="s">
        <v>644</v>
      </c>
      <c r="C3" s="271">
        <v>3</v>
      </c>
      <c r="D3" s="271">
        <v>40</v>
      </c>
      <c r="E3" s="271"/>
      <c r="F3" s="271">
        <v>75155469337258</v>
      </c>
      <c r="G3" s="271" t="s">
        <v>7</v>
      </c>
      <c r="H3" s="297">
        <v>30716651165</v>
      </c>
      <c r="I3" s="271" t="s">
        <v>1145</v>
      </c>
      <c r="J3" s="271">
        <v>1</v>
      </c>
      <c r="K3" s="271" t="s">
        <v>646</v>
      </c>
      <c r="L3" s="299">
        <v>132230.57999999999</v>
      </c>
      <c r="M3" s="298">
        <v>0</v>
      </c>
      <c r="N3" s="298">
        <v>0</v>
      </c>
      <c r="O3" s="300">
        <v>0</v>
      </c>
      <c r="P3" s="299">
        <v>27768.42</v>
      </c>
      <c r="Q3" s="298">
        <v>159999</v>
      </c>
    </row>
    <row r="4" spans="1:17" x14ac:dyDescent="0.25">
      <c r="A4" s="294" t="s">
        <v>1143</v>
      </c>
      <c r="B4" s="271" t="s">
        <v>644</v>
      </c>
      <c r="C4" s="271">
        <v>50</v>
      </c>
      <c r="D4" s="271">
        <v>4308216</v>
      </c>
      <c r="E4" s="271"/>
      <c r="F4" s="271">
        <v>75186472119221</v>
      </c>
      <c r="G4" s="271" t="s">
        <v>7</v>
      </c>
      <c r="H4" s="297">
        <v>30714112836</v>
      </c>
      <c r="I4" s="271" t="s">
        <v>956</v>
      </c>
      <c r="J4" s="271">
        <v>1</v>
      </c>
      <c r="K4" s="271" t="s">
        <v>646</v>
      </c>
      <c r="L4" s="299">
        <v>8566.66</v>
      </c>
      <c r="M4" s="298">
        <v>0</v>
      </c>
      <c r="N4" s="298">
        <v>0</v>
      </c>
      <c r="O4" s="300">
        <v>257</v>
      </c>
      <c r="P4" s="299">
        <v>1799</v>
      </c>
      <c r="Q4" s="298">
        <v>10622.66</v>
      </c>
    </row>
    <row r="5" spans="1:17" x14ac:dyDescent="0.25">
      <c r="A5" s="294" t="s">
        <v>1134</v>
      </c>
      <c r="B5" s="271" t="s">
        <v>644</v>
      </c>
      <c r="C5" s="271">
        <v>711</v>
      </c>
      <c r="D5" s="271">
        <v>6930599</v>
      </c>
      <c r="E5" s="271"/>
      <c r="F5" s="271">
        <v>35139646397105</v>
      </c>
      <c r="G5" s="271" t="s">
        <v>7</v>
      </c>
      <c r="H5" s="302">
        <v>30677237119</v>
      </c>
      <c r="I5" s="301" t="s">
        <v>658</v>
      </c>
      <c r="J5" s="271">
        <v>1</v>
      </c>
      <c r="K5" s="271" t="s">
        <v>646</v>
      </c>
      <c r="L5" s="299">
        <v>9359.7800000000007</v>
      </c>
      <c r="M5" s="298">
        <v>0</v>
      </c>
      <c r="N5" s="300">
        <v>280.79000000000002</v>
      </c>
      <c r="O5" s="300">
        <v>374.39</v>
      </c>
      <c r="P5" s="299">
        <v>1965.56</v>
      </c>
      <c r="Q5" s="298">
        <v>11980.52</v>
      </c>
    </row>
    <row r="6" spans="1:17" x14ac:dyDescent="0.25">
      <c r="A6" s="294" t="s">
        <v>1136</v>
      </c>
      <c r="B6" s="271" t="s">
        <v>644</v>
      </c>
      <c r="C6" s="271">
        <v>5009</v>
      </c>
      <c r="D6" s="271">
        <v>1345646</v>
      </c>
      <c r="E6" s="271"/>
      <c r="F6" s="271">
        <v>75154574924153</v>
      </c>
      <c r="G6" s="271" t="s">
        <v>7</v>
      </c>
      <c r="H6" s="297">
        <v>30574876474</v>
      </c>
      <c r="I6" s="271" t="s">
        <v>671</v>
      </c>
      <c r="J6" s="271">
        <v>1</v>
      </c>
      <c r="K6" s="271" t="s">
        <v>646</v>
      </c>
      <c r="L6" s="299">
        <v>3801.48</v>
      </c>
      <c r="M6" s="298">
        <v>0</v>
      </c>
      <c r="N6" s="298">
        <v>0</v>
      </c>
      <c r="O6" s="300">
        <v>494.18</v>
      </c>
      <c r="P6" s="299">
        <v>798.31</v>
      </c>
      <c r="Q6" s="298">
        <v>5093.97</v>
      </c>
    </row>
    <row r="7" spans="1:17" x14ac:dyDescent="0.25">
      <c r="A7" s="294" t="s">
        <v>1143</v>
      </c>
      <c r="B7" s="271" t="s">
        <v>644</v>
      </c>
      <c r="C7" s="271">
        <v>5015</v>
      </c>
      <c r="D7" s="271">
        <v>832362</v>
      </c>
      <c r="E7" s="271"/>
      <c r="F7" s="271">
        <v>75184523307368</v>
      </c>
      <c r="G7" s="271" t="s">
        <v>7</v>
      </c>
      <c r="H7" s="297">
        <v>30574876474</v>
      </c>
      <c r="I7" s="271" t="s">
        <v>671</v>
      </c>
      <c r="J7" s="271">
        <v>1</v>
      </c>
      <c r="K7" s="271" t="s">
        <v>646</v>
      </c>
      <c r="L7" s="299">
        <v>82310.490000000005</v>
      </c>
      <c r="M7" s="298">
        <v>0</v>
      </c>
      <c r="N7" s="298">
        <v>0</v>
      </c>
      <c r="O7" s="300">
        <v>10700.35</v>
      </c>
      <c r="P7" s="299">
        <v>17285.14</v>
      </c>
      <c r="Q7" s="298">
        <v>110295.98</v>
      </c>
    </row>
    <row r="8" spans="1:17" x14ac:dyDescent="0.25">
      <c r="A8" s="294" t="s">
        <v>1137</v>
      </c>
      <c r="B8" s="271" t="s">
        <v>644</v>
      </c>
      <c r="C8" s="271">
        <v>113</v>
      </c>
      <c r="D8" s="271">
        <v>4177115</v>
      </c>
      <c r="E8" s="271"/>
      <c r="F8" s="271">
        <v>75160112855057</v>
      </c>
      <c r="G8" s="271" t="s">
        <v>7</v>
      </c>
      <c r="H8" s="302">
        <v>30577207190</v>
      </c>
      <c r="I8" s="301" t="s">
        <v>691</v>
      </c>
      <c r="J8" s="271">
        <v>1</v>
      </c>
      <c r="K8" s="271" t="s">
        <v>646</v>
      </c>
      <c r="L8" s="299">
        <v>3719.01</v>
      </c>
      <c r="M8" s="298">
        <v>0</v>
      </c>
      <c r="N8" s="298">
        <v>0</v>
      </c>
      <c r="O8" s="300">
        <v>111.57</v>
      </c>
      <c r="P8" s="299">
        <v>780.99</v>
      </c>
      <c r="Q8" s="298">
        <v>4611.57</v>
      </c>
    </row>
    <row r="9" spans="1:17" x14ac:dyDescent="0.25">
      <c r="A9" s="294" t="s">
        <v>1143</v>
      </c>
      <c r="B9" s="271" t="s">
        <v>644</v>
      </c>
      <c r="C9" s="271">
        <v>113</v>
      </c>
      <c r="D9" s="271">
        <v>4205467</v>
      </c>
      <c r="E9" s="271"/>
      <c r="F9" s="271">
        <v>75180616878598</v>
      </c>
      <c r="G9" s="271" t="s">
        <v>7</v>
      </c>
      <c r="H9" s="302">
        <v>30577207190</v>
      </c>
      <c r="I9" s="301" t="s">
        <v>691</v>
      </c>
      <c r="J9" s="271">
        <v>1</v>
      </c>
      <c r="K9" s="271" t="s">
        <v>646</v>
      </c>
      <c r="L9" s="299">
        <v>2479.34</v>
      </c>
      <c r="M9" s="298">
        <v>0</v>
      </c>
      <c r="N9" s="298">
        <v>0</v>
      </c>
      <c r="O9" s="300">
        <v>74.38</v>
      </c>
      <c r="P9" s="299">
        <v>520.66</v>
      </c>
      <c r="Q9" s="298">
        <v>3074.38</v>
      </c>
    </row>
    <row r="10" spans="1:17" x14ac:dyDescent="0.25">
      <c r="A10" s="294" t="s">
        <v>1135</v>
      </c>
      <c r="B10" s="271" t="s">
        <v>644</v>
      </c>
      <c r="C10" s="271">
        <v>700</v>
      </c>
      <c r="D10" s="271">
        <v>2376670</v>
      </c>
      <c r="E10" s="271"/>
      <c r="F10" s="271">
        <v>75142734003440</v>
      </c>
      <c r="G10" s="271" t="s">
        <v>7</v>
      </c>
      <c r="H10" s="297">
        <v>30715804812</v>
      </c>
      <c r="I10" s="271" t="s">
        <v>669</v>
      </c>
      <c r="J10" s="271">
        <v>1</v>
      </c>
      <c r="K10" s="271" t="s">
        <v>646</v>
      </c>
      <c r="L10" s="299">
        <v>1871.97</v>
      </c>
      <c r="M10" s="298">
        <v>0</v>
      </c>
      <c r="N10" s="298">
        <v>0</v>
      </c>
      <c r="O10" s="300">
        <v>0</v>
      </c>
      <c r="P10" s="299">
        <v>393.11</v>
      </c>
      <c r="Q10" s="298">
        <v>2265.08</v>
      </c>
    </row>
    <row r="11" spans="1:17" x14ac:dyDescent="0.25">
      <c r="A11" s="294" t="s">
        <v>1138</v>
      </c>
      <c r="B11" s="271" t="s">
        <v>644</v>
      </c>
      <c r="C11" s="271">
        <v>700</v>
      </c>
      <c r="D11" s="271">
        <v>2405995</v>
      </c>
      <c r="E11" s="271"/>
      <c r="F11" s="271">
        <v>75162438670778</v>
      </c>
      <c r="G11" s="271" t="s">
        <v>7</v>
      </c>
      <c r="H11" s="297">
        <v>30715804812</v>
      </c>
      <c r="I11" s="271" t="s">
        <v>669</v>
      </c>
      <c r="J11" s="271">
        <v>1</v>
      </c>
      <c r="K11" s="271" t="s">
        <v>646</v>
      </c>
      <c r="L11" s="299">
        <v>1663.97</v>
      </c>
      <c r="M11" s="298">
        <v>0</v>
      </c>
      <c r="N11" s="298">
        <v>0</v>
      </c>
      <c r="O11" s="300">
        <v>0</v>
      </c>
      <c r="P11" s="299">
        <v>349.43</v>
      </c>
      <c r="Q11" s="298">
        <v>2013.4</v>
      </c>
    </row>
    <row r="12" spans="1:17" x14ac:dyDescent="0.25">
      <c r="A12" s="294" t="s">
        <v>1142</v>
      </c>
      <c r="B12" s="271" t="s">
        <v>644</v>
      </c>
      <c r="C12" s="271">
        <v>104</v>
      </c>
      <c r="D12" s="271">
        <v>8983014</v>
      </c>
      <c r="E12" s="271"/>
      <c r="F12" s="271">
        <v>75172135088830</v>
      </c>
      <c r="G12" s="271" t="s">
        <v>7</v>
      </c>
      <c r="H12" s="297">
        <v>30715804812</v>
      </c>
      <c r="I12" s="271" t="s">
        <v>669</v>
      </c>
      <c r="J12" s="271">
        <v>1</v>
      </c>
      <c r="K12" s="271" t="s">
        <v>646</v>
      </c>
      <c r="L12" s="299">
        <v>2079.9699999999998</v>
      </c>
      <c r="M12" s="298">
        <v>0</v>
      </c>
      <c r="N12" s="298">
        <v>0</v>
      </c>
      <c r="O12" s="300">
        <v>83.2</v>
      </c>
      <c r="P12" s="299">
        <v>436.79</v>
      </c>
      <c r="Q12" s="298">
        <v>2599.96</v>
      </c>
    </row>
    <row r="13" spans="1:17" x14ac:dyDescent="0.25">
      <c r="A13" s="294" t="s">
        <v>1134</v>
      </c>
      <c r="B13" s="271" t="s">
        <v>644</v>
      </c>
      <c r="C13" s="271">
        <v>629</v>
      </c>
      <c r="D13" s="271">
        <v>5982817</v>
      </c>
      <c r="E13" s="271"/>
      <c r="F13" s="271">
        <v>35133402229824</v>
      </c>
      <c r="G13" s="271" t="s">
        <v>7</v>
      </c>
      <c r="H13" s="302">
        <v>30663498513</v>
      </c>
      <c r="I13" s="301" t="s">
        <v>657</v>
      </c>
      <c r="J13" s="271">
        <v>1</v>
      </c>
      <c r="K13" s="271" t="s">
        <v>646</v>
      </c>
      <c r="L13" s="299">
        <v>5662.12</v>
      </c>
      <c r="M13" s="298">
        <v>0</v>
      </c>
      <c r="N13" s="298">
        <v>0</v>
      </c>
      <c r="O13" s="300">
        <v>226.48</v>
      </c>
      <c r="P13" s="299">
        <v>1189.05</v>
      </c>
      <c r="Q13" s="298">
        <v>7077.65</v>
      </c>
    </row>
    <row r="14" spans="1:17" x14ac:dyDescent="0.25">
      <c r="A14" s="294" t="s">
        <v>1141</v>
      </c>
      <c r="B14" s="271" t="s">
        <v>644</v>
      </c>
      <c r="C14" s="271">
        <v>3</v>
      </c>
      <c r="D14" s="271">
        <v>8212</v>
      </c>
      <c r="E14" s="271"/>
      <c r="F14" s="271">
        <v>75178083793588</v>
      </c>
      <c r="G14" s="271" t="s">
        <v>7</v>
      </c>
      <c r="H14" s="297">
        <v>30710449658</v>
      </c>
      <c r="I14" s="271" t="s">
        <v>1144</v>
      </c>
      <c r="J14" s="271">
        <v>1</v>
      </c>
      <c r="K14" s="271" t="s">
        <v>646</v>
      </c>
      <c r="L14" s="299">
        <v>260330.52</v>
      </c>
      <c r="M14" s="298">
        <v>0</v>
      </c>
      <c r="N14" s="298">
        <v>0</v>
      </c>
      <c r="O14" s="300">
        <v>0</v>
      </c>
      <c r="P14" s="299">
        <v>54669.41</v>
      </c>
      <c r="Q14" s="298">
        <v>314999.93</v>
      </c>
    </row>
    <row r="15" spans="1:17" x14ac:dyDescent="0.25">
      <c r="A15" s="294" t="s">
        <v>1143</v>
      </c>
      <c r="B15" s="271" t="s">
        <v>644</v>
      </c>
      <c r="C15" s="271">
        <v>6</v>
      </c>
      <c r="D15" s="271">
        <v>19419509</v>
      </c>
      <c r="E15" s="271"/>
      <c r="F15" s="271">
        <v>75187254397826</v>
      </c>
      <c r="G15" s="271" t="s">
        <v>7</v>
      </c>
      <c r="H15" s="302">
        <v>30620177497</v>
      </c>
      <c r="I15" s="301" t="s">
        <v>720</v>
      </c>
      <c r="J15" s="271">
        <v>1</v>
      </c>
      <c r="K15" s="271" t="s">
        <v>646</v>
      </c>
      <c r="L15" s="299">
        <v>31893.79</v>
      </c>
      <c r="M15" s="298">
        <v>0</v>
      </c>
      <c r="N15" s="298">
        <v>0</v>
      </c>
      <c r="O15" s="300">
        <v>2232.56</v>
      </c>
      <c r="P15" s="299">
        <v>6697.7</v>
      </c>
      <c r="Q15" s="298">
        <v>40824.050000000003</v>
      </c>
    </row>
    <row r="16" spans="1:17" x14ac:dyDescent="0.25">
      <c r="A16" s="294" t="s">
        <v>1140</v>
      </c>
      <c r="B16" s="271" t="s">
        <v>644</v>
      </c>
      <c r="C16" s="271">
        <v>7</v>
      </c>
      <c r="D16" s="271">
        <v>28815</v>
      </c>
      <c r="E16" s="271"/>
      <c r="F16" s="271">
        <v>75173767862969</v>
      </c>
      <c r="G16" s="271" t="s">
        <v>7</v>
      </c>
      <c r="H16" s="297">
        <v>20271532483</v>
      </c>
      <c r="I16" s="271" t="s">
        <v>1147</v>
      </c>
      <c r="J16" s="271">
        <v>1</v>
      </c>
      <c r="K16" s="271" t="s">
        <v>646</v>
      </c>
      <c r="L16" s="299">
        <v>597088.11</v>
      </c>
      <c r="M16" s="298">
        <v>0</v>
      </c>
      <c r="N16" s="298">
        <v>0</v>
      </c>
      <c r="O16" s="300">
        <v>23883.52</v>
      </c>
      <c r="P16" s="299">
        <v>125388.5</v>
      </c>
      <c r="Q16" s="298">
        <v>746360.13</v>
      </c>
    </row>
    <row r="17" spans="1:17" x14ac:dyDescent="0.25">
      <c r="A17" s="294" t="s">
        <v>1139</v>
      </c>
      <c r="B17" s="271" t="s">
        <v>644</v>
      </c>
      <c r="C17" s="271">
        <v>20</v>
      </c>
      <c r="D17" s="271">
        <v>40132</v>
      </c>
      <c r="E17" s="271"/>
      <c r="F17" s="271">
        <v>75177648008643</v>
      </c>
      <c r="G17" s="271" t="s">
        <v>7</v>
      </c>
      <c r="H17" s="297">
        <v>30717210847</v>
      </c>
      <c r="I17" s="271" t="s">
        <v>1146</v>
      </c>
      <c r="J17" s="271">
        <v>1</v>
      </c>
      <c r="K17" s="271" t="s">
        <v>646</v>
      </c>
      <c r="L17" s="299">
        <v>7666.11</v>
      </c>
      <c r="M17" s="298">
        <v>0</v>
      </c>
      <c r="N17" s="298">
        <v>0</v>
      </c>
      <c r="O17" s="300">
        <v>0</v>
      </c>
      <c r="P17" s="299">
        <v>1609.89</v>
      </c>
      <c r="Q17" s="298">
        <v>9275.99</v>
      </c>
    </row>
  </sheetData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536"/>
  <sheetViews>
    <sheetView workbookViewId="0">
      <selection activeCell="D9" sqref="D9"/>
    </sheetView>
  </sheetViews>
  <sheetFormatPr baseColWidth="10" defaultRowHeight="15" x14ac:dyDescent="0.25"/>
  <cols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24.7109375" style="341" bestFit="1" customWidth="1"/>
    <col min="9" max="9" width="19.42578125" style="341" bestFit="1" customWidth="1"/>
    <col min="10" max="11" width="15.5703125" style="341" bestFit="1" customWidth="1"/>
    <col min="12" max="12" width="18.42578125" style="341" bestFit="1" customWidth="1"/>
  </cols>
  <sheetData>
    <row r="2" spans="1:12" ht="15.75" x14ac:dyDescent="0.25">
      <c r="C2" s="394" t="s">
        <v>1075</v>
      </c>
      <c r="D2" s="394"/>
      <c r="E2" s="394"/>
      <c r="F2" s="394"/>
      <c r="G2" s="394"/>
    </row>
    <row r="3" spans="1:12" x14ac:dyDescent="0.25">
      <c r="C3" s="275"/>
      <c r="D3" s="276" t="s">
        <v>1069</v>
      </c>
      <c r="E3" s="276" t="s">
        <v>3</v>
      </c>
      <c r="F3" s="276" t="s">
        <v>1070</v>
      </c>
      <c r="G3" s="276" t="s">
        <v>1071</v>
      </c>
    </row>
    <row r="4" spans="1:12" x14ac:dyDescent="0.25">
      <c r="C4" s="278" t="s">
        <v>20</v>
      </c>
      <c r="D4" s="277">
        <v>76792881.050000012</v>
      </c>
      <c r="E4" s="277">
        <f>+D4*0.21</f>
        <v>16126505.020500002</v>
      </c>
      <c r="F4" s="277"/>
      <c r="G4" s="277">
        <f>SUBTOTAL(9,D4:F4)</f>
        <v>92919386.070500016</v>
      </c>
    </row>
    <row r="5" spans="1:12" x14ac:dyDescent="0.25">
      <c r="C5" s="278" t="s">
        <v>1072</v>
      </c>
      <c r="D5" s="277">
        <v>-3008166.84</v>
      </c>
      <c r="E5" s="277">
        <f>+D5*0.21</f>
        <v>-631715.03639999998</v>
      </c>
      <c r="F5" s="277"/>
      <c r="G5" s="277">
        <f>SUBTOTAL(9,D5:F5)</f>
        <v>-3639881.8764</v>
      </c>
    </row>
    <row r="6" spans="1:12" x14ac:dyDescent="0.25">
      <c r="C6" s="279" t="s">
        <v>1073</v>
      </c>
      <c r="D6" s="277">
        <v>44738970.189999953</v>
      </c>
      <c r="E6" s="277">
        <f>+D6*0.21</f>
        <v>9395183.7398999892</v>
      </c>
      <c r="F6" s="277"/>
      <c r="G6" s="277">
        <f>SUBTOTAL(9,D6:F6)</f>
        <v>54134153.929899946</v>
      </c>
    </row>
    <row r="7" spans="1:12" x14ac:dyDescent="0.25">
      <c r="C7" s="279" t="s">
        <v>1074</v>
      </c>
      <c r="D7" s="277">
        <v>-3413336.0199999996</v>
      </c>
      <c r="E7" s="277">
        <f>+D7*0.21</f>
        <v>-716800.56419999991</v>
      </c>
      <c r="F7" s="277"/>
      <c r="G7" s="277">
        <f>SUBTOTAL(9,D7:F7)</f>
        <v>-4130136.5841999995</v>
      </c>
    </row>
    <row r="8" spans="1:12" x14ac:dyDescent="0.25">
      <c r="C8" s="279" t="s">
        <v>1177</v>
      </c>
      <c r="D8" s="277">
        <v>2572378.7000000002</v>
      </c>
      <c r="E8" s="277">
        <f>+D8*0.21</f>
        <v>540199.527</v>
      </c>
      <c r="F8" s="277"/>
      <c r="G8" s="277">
        <f>SUBTOTAL(9,D8:F8)</f>
        <v>3112578.227</v>
      </c>
    </row>
    <row r="9" spans="1:12" x14ac:dyDescent="0.25">
      <c r="C9" s="271"/>
      <c r="D9" s="280">
        <f>SUBTOTAL(9,D4:D8)</f>
        <v>117682727.07999997</v>
      </c>
      <c r="E9" s="280">
        <f>SUBTOTAL(9,E4:E8)</f>
        <v>24713372.686799992</v>
      </c>
      <c r="F9" s="280">
        <v>0</v>
      </c>
      <c r="G9" s="280">
        <f>+E9+D9</f>
        <v>142396099.76679996</v>
      </c>
      <c r="H9" s="353">
        <f>+SUBTOTAL(109,H14:H523)</f>
        <v>117498651.46000011</v>
      </c>
    </row>
    <row r="13" spans="1:12" x14ac:dyDescent="0.25">
      <c r="A13" s="318" t="s">
        <v>102</v>
      </c>
      <c r="B13" s="318" t="s">
        <v>982</v>
      </c>
      <c r="C13" s="318" t="s">
        <v>983</v>
      </c>
      <c r="D13" s="318" t="s">
        <v>986</v>
      </c>
      <c r="E13" s="318" t="s">
        <v>994</v>
      </c>
      <c r="F13" s="318" t="s">
        <v>992</v>
      </c>
      <c r="G13" s="318" t="s">
        <v>981</v>
      </c>
      <c r="H13" s="354" t="s">
        <v>995</v>
      </c>
      <c r="I13" s="354" t="s">
        <v>996</v>
      </c>
      <c r="J13" s="354" t="s">
        <v>993</v>
      </c>
      <c r="K13" s="354" t="s">
        <v>997</v>
      </c>
      <c r="L13" s="354" t="s">
        <v>985</v>
      </c>
    </row>
    <row r="14" spans="1:12" x14ac:dyDescent="0.25">
      <c r="A14" s="223" t="s">
        <v>1794</v>
      </c>
      <c r="B14" s="223" t="s">
        <v>1795</v>
      </c>
      <c r="C14" s="223" t="s">
        <v>1796</v>
      </c>
      <c r="D14" s="223" t="s">
        <v>988</v>
      </c>
      <c r="E14" s="223" t="s">
        <v>1061</v>
      </c>
      <c r="F14" s="223" t="s">
        <v>987</v>
      </c>
      <c r="G14" s="223" t="s">
        <v>1797</v>
      </c>
      <c r="H14" s="355">
        <v>55289.26</v>
      </c>
      <c r="I14" s="355">
        <v>0</v>
      </c>
      <c r="J14" s="355">
        <v>11610.74</v>
      </c>
      <c r="K14" s="357">
        <v>11610.74</v>
      </c>
      <c r="L14" s="355">
        <v>66900</v>
      </c>
    </row>
    <row r="15" spans="1:12" x14ac:dyDescent="0.25">
      <c r="A15" s="223" t="s">
        <v>1619</v>
      </c>
      <c r="B15" s="223" t="s">
        <v>73</v>
      </c>
      <c r="C15" s="223" t="s">
        <v>1009</v>
      </c>
      <c r="D15" s="223" t="s">
        <v>989</v>
      </c>
      <c r="E15" s="223" t="s">
        <v>998</v>
      </c>
      <c r="F15" s="223" t="s">
        <v>987</v>
      </c>
      <c r="G15" s="223" t="s">
        <v>1645</v>
      </c>
      <c r="H15" s="355">
        <v>17797801.210000001</v>
      </c>
      <c r="I15" s="355">
        <v>0</v>
      </c>
      <c r="J15" s="355">
        <v>3737538.25</v>
      </c>
      <c r="K15" s="357">
        <v>3737538.25</v>
      </c>
      <c r="L15" s="355">
        <v>21535339.460000001</v>
      </c>
    </row>
    <row r="16" spans="1:12" x14ac:dyDescent="0.25">
      <c r="A16" s="223" t="s">
        <v>1698</v>
      </c>
      <c r="B16" s="223" t="s">
        <v>73</v>
      </c>
      <c r="C16" s="223" t="s">
        <v>1009</v>
      </c>
      <c r="D16" s="223" t="s">
        <v>989</v>
      </c>
      <c r="E16" s="223" t="s">
        <v>998</v>
      </c>
      <c r="F16" s="223" t="s">
        <v>987</v>
      </c>
      <c r="G16" s="223" t="s">
        <v>1710</v>
      </c>
      <c r="H16" s="355">
        <v>5842842.9800000004</v>
      </c>
      <c r="I16" s="355">
        <v>0</v>
      </c>
      <c r="J16" s="355">
        <v>1226997.02</v>
      </c>
      <c r="K16" s="357">
        <v>1226997.02</v>
      </c>
      <c r="L16" s="355">
        <v>7069840</v>
      </c>
    </row>
    <row r="17" spans="1:12" x14ac:dyDescent="0.25">
      <c r="A17" s="223" t="s">
        <v>1712</v>
      </c>
      <c r="B17" s="223" t="s">
        <v>1006</v>
      </c>
      <c r="C17" s="223" t="s">
        <v>1007</v>
      </c>
      <c r="D17" s="223" t="s">
        <v>989</v>
      </c>
      <c r="E17" s="223" t="s">
        <v>998</v>
      </c>
      <c r="F17" s="223" t="s">
        <v>987</v>
      </c>
      <c r="G17" s="223" t="s">
        <v>1717</v>
      </c>
      <c r="H17" s="355">
        <v>4756361.5999999996</v>
      </c>
      <c r="I17" s="355">
        <v>0</v>
      </c>
      <c r="J17" s="355">
        <v>998835.94</v>
      </c>
      <c r="K17" s="357">
        <v>998835.94</v>
      </c>
      <c r="L17" s="355">
        <v>5755197.54</v>
      </c>
    </row>
    <row r="18" spans="1:12" x14ac:dyDescent="0.25">
      <c r="A18" s="223" t="s">
        <v>1744</v>
      </c>
      <c r="B18" s="223" t="s">
        <v>73</v>
      </c>
      <c r="C18" s="223" t="s">
        <v>1009</v>
      </c>
      <c r="D18" s="223" t="s">
        <v>989</v>
      </c>
      <c r="E18" s="223" t="s">
        <v>998</v>
      </c>
      <c r="F18" s="223" t="s">
        <v>987</v>
      </c>
      <c r="G18" s="223" t="s">
        <v>1776</v>
      </c>
      <c r="H18" s="355">
        <v>3305669.42</v>
      </c>
      <c r="I18" s="355">
        <v>0</v>
      </c>
      <c r="J18" s="355">
        <v>694190.58</v>
      </c>
      <c r="K18" s="357">
        <v>694190.58</v>
      </c>
      <c r="L18" s="355">
        <v>3999860</v>
      </c>
    </row>
    <row r="19" spans="1:12" x14ac:dyDescent="0.25">
      <c r="A19" s="223" t="s">
        <v>1905</v>
      </c>
      <c r="B19" s="223" t="s">
        <v>1056</v>
      </c>
      <c r="C19" s="223" t="s">
        <v>1934</v>
      </c>
      <c r="D19" s="223" t="s">
        <v>989</v>
      </c>
      <c r="E19" s="223" t="s">
        <v>998</v>
      </c>
      <c r="F19" s="223" t="s">
        <v>987</v>
      </c>
      <c r="G19" s="223" t="s">
        <v>1937</v>
      </c>
      <c r="H19" s="355">
        <v>8386363.6399999997</v>
      </c>
      <c r="I19" s="355">
        <v>0</v>
      </c>
      <c r="J19" s="355">
        <v>1761136.36</v>
      </c>
      <c r="K19" s="357">
        <v>1761136.36</v>
      </c>
      <c r="L19" s="355">
        <v>10147500</v>
      </c>
    </row>
    <row r="20" spans="1:12" x14ac:dyDescent="0.25">
      <c r="A20" s="223" t="s">
        <v>1939</v>
      </c>
      <c r="B20" s="223" t="s">
        <v>73</v>
      </c>
      <c r="C20" s="223" t="s">
        <v>1009</v>
      </c>
      <c r="D20" s="223" t="s">
        <v>989</v>
      </c>
      <c r="E20" s="223" t="s">
        <v>998</v>
      </c>
      <c r="F20" s="223" t="s">
        <v>987</v>
      </c>
      <c r="G20" s="223" t="s">
        <v>1951</v>
      </c>
      <c r="H20" s="355">
        <v>9725534.7100000009</v>
      </c>
      <c r="I20" s="355">
        <v>0</v>
      </c>
      <c r="J20" s="355">
        <v>2042362.29</v>
      </c>
      <c r="K20" s="357">
        <v>2042362.29</v>
      </c>
      <c r="L20" s="355">
        <v>11767897</v>
      </c>
    </row>
    <row r="21" spans="1:12" x14ac:dyDescent="0.25">
      <c r="A21" s="223" t="s">
        <v>2129</v>
      </c>
      <c r="B21" s="223" t="s">
        <v>73</v>
      </c>
      <c r="C21" s="223" t="s">
        <v>1009</v>
      </c>
      <c r="D21" s="223" t="s">
        <v>989</v>
      </c>
      <c r="E21" s="223" t="s">
        <v>998</v>
      </c>
      <c r="F21" s="223" t="s">
        <v>987</v>
      </c>
      <c r="G21" s="223" t="s">
        <v>2144</v>
      </c>
      <c r="H21" s="355">
        <v>11252776.859999999</v>
      </c>
      <c r="I21" s="355">
        <v>0</v>
      </c>
      <c r="J21" s="355">
        <v>2363083.14</v>
      </c>
      <c r="K21" s="357">
        <v>2363083.14</v>
      </c>
      <c r="L21" s="355">
        <v>13615860</v>
      </c>
    </row>
    <row r="22" spans="1:12" x14ac:dyDescent="0.25">
      <c r="A22" s="223" t="s">
        <v>1619</v>
      </c>
      <c r="B22" s="223" t="s">
        <v>73</v>
      </c>
      <c r="C22" s="223" t="s">
        <v>1009</v>
      </c>
      <c r="D22" s="223" t="s">
        <v>989</v>
      </c>
      <c r="E22" s="223" t="s">
        <v>998</v>
      </c>
      <c r="F22" s="223" t="s">
        <v>987</v>
      </c>
      <c r="G22" s="223" t="s">
        <v>1639</v>
      </c>
      <c r="H22" s="355">
        <v>2605258.27</v>
      </c>
      <c r="I22" s="355">
        <v>0</v>
      </c>
      <c r="J22" s="355">
        <v>547104.24</v>
      </c>
      <c r="K22" s="357">
        <v>547104.24</v>
      </c>
      <c r="L22" s="355">
        <v>3152362.51</v>
      </c>
    </row>
    <row r="23" spans="1:12" x14ac:dyDescent="0.25">
      <c r="A23" s="223" t="s">
        <v>1619</v>
      </c>
      <c r="B23" s="223" t="s">
        <v>73</v>
      </c>
      <c r="C23" s="223" t="s">
        <v>1009</v>
      </c>
      <c r="D23" s="223" t="s">
        <v>989</v>
      </c>
      <c r="E23" s="223" t="s">
        <v>998</v>
      </c>
      <c r="F23" s="223" t="s">
        <v>987</v>
      </c>
      <c r="G23" s="223" t="s">
        <v>1640</v>
      </c>
      <c r="H23" s="355">
        <v>184088.84</v>
      </c>
      <c r="I23" s="355">
        <v>0</v>
      </c>
      <c r="J23" s="355">
        <v>38658.660000000003</v>
      </c>
      <c r="K23" s="357">
        <v>38658.660000000003</v>
      </c>
      <c r="L23" s="355">
        <v>222747.5</v>
      </c>
    </row>
    <row r="24" spans="1:12" x14ac:dyDescent="0.25">
      <c r="A24" s="223" t="s">
        <v>1619</v>
      </c>
      <c r="B24" s="223" t="s">
        <v>73</v>
      </c>
      <c r="C24" s="223" t="s">
        <v>1009</v>
      </c>
      <c r="D24" s="223" t="s">
        <v>989</v>
      </c>
      <c r="E24" s="223" t="s">
        <v>998</v>
      </c>
      <c r="F24" s="223" t="s">
        <v>987</v>
      </c>
      <c r="G24" s="223" t="s">
        <v>1646</v>
      </c>
      <c r="H24" s="355">
        <v>1305528.69</v>
      </c>
      <c r="I24" s="355">
        <v>0</v>
      </c>
      <c r="J24" s="355">
        <v>274161.03000000003</v>
      </c>
      <c r="K24" s="357">
        <v>274161.03000000003</v>
      </c>
      <c r="L24" s="355">
        <v>1579689.72</v>
      </c>
    </row>
    <row r="25" spans="1:12" x14ac:dyDescent="0.25">
      <c r="A25" s="223" t="s">
        <v>1647</v>
      </c>
      <c r="B25" s="223" t="s">
        <v>73</v>
      </c>
      <c r="C25" s="223" t="s">
        <v>1009</v>
      </c>
      <c r="D25" s="223" t="s">
        <v>989</v>
      </c>
      <c r="E25" s="223" t="s">
        <v>998</v>
      </c>
      <c r="F25" s="223" t="s">
        <v>987</v>
      </c>
      <c r="G25" s="223" t="s">
        <v>1665</v>
      </c>
      <c r="H25" s="355">
        <v>1338683.26</v>
      </c>
      <c r="I25" s="355">
        <v>0</v>
      </c>
      <c r="J25" s="355">
        <v>281123.49</v>
      </c>
      <c r="K25" s="357">
        <v>281123.49</v>
      </c>
      <c r="L25" s="355">
        <v>1619806.75</v>
      </c>
    </row>
    <row r="26" spans="1:12" x14ac:dyDescent="0.25">
      <c r="A26" s="223" t="s">
        <v>1647</v>
      </c>
      <c r="B26" s="223" t="s">
        <v>73</v>
      </c>
      <c r="C26" s="223" t="s">
        <v>1009</v>
      </c>
      <c r="D26" s="223" t="s">
        <v>989</v>
      </c>
      <c r="E26" s="223" t="s">
        <v>998</v>
      </c>
      <c r="F26" s="223" t="s">
        <v>987</v>
      </c>
      <c r="G26" s="223" t="s">
        <v>1666</v>
      </c>
      <c r="H26" s="355">
        <v>77768.600000000006</v>
      </c>
      <c r="I26" s="355">
        <v>0</v>
      </c>
      <c r="J26" s="355">
        <v>16331.4</v>
      </c>
      <c r="K26" s="357">
        <v>16331.4</v>
      </c>
      <c r="L26" s="355">
        <v>94100</v>
      </c>
    </row>
    <row r="27" spans="1:12" x14ac:dyDescent="0.25">
      <c r="A27" s="223" t="s">
        <v>1676</v>
      </c>
      <c r="B27" s="223" t="s">
        <v>1006</v>
      </c>
      <c r="C27" s="223" t="s">
        <v>1007</v>
      </c>
      <c r="D27" s="223" t="s">
        <v>989</v>
      </c>
      <c r="E27" s="223" t="s">
        <v>998</v>
      </c>
      <c r="F27" s="223" t="s">
        <v>987</v>
      </c>
      <c r="G27" s="223" t="s">
        <v>1696</v>
      </c>
      <c r="H27" s="355">
        <v>264462.81</v>
      </c>
      <c r="I27" s="355">
        <v>0</v>
      </c>
      <c r="J27" s="355">
        <v>55537.19</v>
      </c>
      <c r="K27" s="357">
        <v>55537.19</v>
      </c>
      <c r="L27" s="355">
        <v>320000</v>
      </c>
    </row>
    <row r="28" spans="1:12" x14ac:dyDescent="0.25">
      <c r="A28" s="223" t="s">
        <v>1698</v>
      </c>
      <c r="B28" s="223" t="s">
        <v>1006</v>
      </c>
      <c r="C28" s="223" t="s">
        <v>1007</v>
      </c>
      <c r="D28" s="223" t="s">
        <v>989</v>
      </c>
      <c r="E28" s="223" t="s">
        <v>998</v>
      </c>
      <c r="F28" s="223" t="s">
        <v>987</v>
      </c>
      <c r="G28" s="223" t="s">
        <v>1702</v>
      </c>
      <c r="H28" s="355">
        <v>347107.44</v>
      </c>
      <c r="I28" s="355">
        <v>0</v>
      </c>
      <c r="J28" s="355">
        <v>72892.56</v>
      </c>
      <c r="K28" s="357">
        <v>72892.56</v>
      </c>
      <c r="L28" s="355">
        <v>420000</v>
      </c>
    </row>
    <row r="29" spans="1:12" x14ac:dyDescent="0.25">
      <c r="A29" s="223" t="s">
        <v>1698</v>
      </c>
      <c r="B29" s="223" t="s">
        <v>1509</v>
      </c>
      <c r="C29" s="223" t="s">
        <v>1510</v>
      </c>
      <c r="D29" s="223" t="s">
        <v>989</v>
      </c>
      <c r="E29" s="223" t="s">
        <v>998</v>
      </c>
      <c r="F29" s="223" t="s">
        <v>987</v>
      </c>
      <c r="G29" s="223" t="s">
        <v>1705</v>
      </c>
      <c r="H29" s="355">
        <v>59504.13</v>
      </c>
      <c r="I29" s="355">
        <v>0</v>
      </c>
      <c r="J29" s="355">
        <v>12495.87</v>
      </c>
      <c r="K29" s="357">
        <v>12495.87</v>
      </c>
      <c r="L29" s="355">
        <v>72000</v>
      </c>
    </row>
    <row r="30" spans="1:12" x14ac:dyDescent="0.25">
      <c r="A30" s="223" t="s">
        <v>1712</v>
      </c>
      <c r="B30" s="223" t="s">
        <v>1006</v>
      </c>
      <c r="C30" s="223" t="s">
        <v>1007</v>
      </c>
      <c r="D30" s="223" t="s">
        <v>989</v>
      </c>
      <c r="E30" s="223" t="s">
        <v>998</v>
      </c>
      <c r="F30" s="223" t="s">
        <v>987</v>
      </c>
      <c r="G30" s="223" t="s">
        <v>1716</v>
      </c>
      <c r="H30" s="355">
        <v>1594784.33</v>
      </c>
      <c r="I30" s="355">
        <v>0</v>
      </c>
      <c r="J30" s="355">
        <v>334904.71000000002</v>
      </c>
      <c r="K30" s="357">
        <v>334904.71000000002</v>
      </c>
      <c r="L30" s="355">
        <v>1929689.04</v>
      </c>
    </row>
    <row r="31" spans="1:12" x14ac:dyDescent="0.25">
      <c r="A31" s="223" t="s">
        <v>1712</v>
      </c>
      <c r="B31" s="223" t="s">
        <v>1004</v>
      </c>
      <c r="C31" s="223" t="s">
        <v>1005</v>
      </c>
      <c r="D31" s="223" t="s">
        <v>989</v>
      </c>
      <c r="E31" s="223" t="s">
        <v>998</v>
      </c>
      <c r="F31" s="223" t="s">
        <v>987</v>
      </c>
      <c r="G31" s="223" t="s">
        <v>1733</v>
      </c>
      <c r="H31" s="355">
        <v>407356.2</v>
      </c>
      <c r="I31" s="355">
        <v>0</v>
      </c>
      <c r="J31" s="355">
        <v>85544.8</v>
      </c>
      <c r="K31" s="357">
        <v>85544.8</v>
      </c>
      <c r="L31" s="355">
        <v>492901</v>
      </c>
    </row>
    <row r="32" spans="1:12" x14ac:dyDescent="0.25">
      <c r="A32" s="223" t="s">
        <v>1712</v>
      </c>
      <c r="B32" s="223" t="s">
        <v>1004</v>
      </c>
      <c r="C32" s="223" t="s">
        <v>1005</v>
      </c>
      <c r="D32" s="223" t="s">
        <v>989</v>
      </c>
      <c r="E32" s="223" t="s">
        <v>998</v>
      </c>
      <c r="F32" s="223" t="s">
        <v>987</v>
      </c>
      <c r="G32" s="223" t="s">
        <v>1735</v>
      </c>
      <c r="H32" s="355">
        <v>396692.47999999998</v>
      </c>
      <c r="I32" s="355">
        <v>0</v>
      </c>
      <c r="J32" s="355">
        <v>83305.42</v>
      </c>
      <c r="K32" s="357">
        <v>83305.42</v>
      </c>
      <c r="L32" s="355">
        <v>479997.9</v>
      </c>
    </row>
    <row r="33" spans="1:12" x14ac:dyDescent="0.25">
      <c r="A33" s="223" t="s">
        <v>1712</v>
      </c>
      <c r="B33" s="223" t="s">
        <v>1001</v>
      </c>
      <c r="C33" s="223" t="s">
        <v>1002</v>
      </c>
      <c r="D33" s="223" t="s">
        <v>988</v>
      </c>
      <c r="E33" s="223" t="s">
        <v>1003</v>
      </c>
      <c r="F33" s="223" t="s">
        <v>987</v>
      </c>
      <c r="G33" s="223" t="s">
        <v>1740</v>
      </c>
      <c r="H33" s="355">
        <v>514248.76</v>
      </c>
      <c r="I33" s="355">
        <v>0</v>
      </c>
      <c r="J33" s="355">
        <v>107992.24</v>
      </c>
      <c r="K33" s="357">
        <v>107992.24</v>
      </c>
      <c r="L33" s="355">
        <v>622241</v>
      </c>
    </row>
    <row r="34" spans="1:12" x14ac:dyDescent="0.25">
      <c r="A34" s="223" t="s">
        <v>1744</v>
      </c>
      <c r="B34" s="223" t="s">
        <v>75</v>
      </c>
      <c r="C34" s="223" t="s">
        <v>1161</v>
      </c>
      <c r="D34" s="223" t="s">
        <v>989</v>
      </c>
      <c r="E34" s="223" t="s">
        <v>998</v>
      </c>
      <c r="F34" s="223" t="s">
        <v>987</v>
      </c>
      <c r="G34" s="223" t="s">
        <v>1790</v>
      </c>
      <c r="H34" s="355">
        <v>66729.490000000005</v>
      </c>
      <c r="I34" s="355">
        <v>0</v>
      </c>
      <c r="J34" s="355">
        <v>14013.19</v>
      </c>
      <c r="K34" s="357">
        <v>14013.19</v>
      </c>
      <c r="L34" s="355">
        <v>80742.679999999993</v>
      </c>
    </row>
    <row r="35" spans="1:12" x14ac:dyDescent="0.25">
      <c r="A35" s="223" t="s">
        <v>1744</v>
      </c>
      <c r="B35" s="223" t="s">
        <v>1159</v>
      </c>
      <c r="C35" s="223" t="s">
        <v>1160</v>
      </c>
      <c r="D35" s="223" t="s">
        <v>989</v>
      </c>
      <c r="E35" s="223" t="s">
        <v>998</v>
      </c>
      <c r="F35" s="223" t="s">
        <v>987</v>
      </c>
      <c r="G35" s="223" t="s">
        <v>1791</v>
      </c>
      <c r="H35" s="355">
        <v>66729.490000000005</v>
      </c>
      <c r="I35" s="355">
        <v>0</v>
      </c>
      <c r="J35" s="355">
        <v>14013.19</v>
      </c>
      <c r="K35" s="357">
        <v>14013.19</v>
      </c>
      <c r="L35" s="355">
        <v>80742.679999999993</v>
      </c>
    </row>
    <row r="36" spans="1:12" x14ac:dyDescent="0.25">
      <c r="A36" s="223" t="s">
        <v>1823</v>
      </c>
      <c r="B36" s="223" t="s">
        <v>1824</v>
      </c>
      <c r="C36" s="223" t="s">
        <v>1825</v>
      </c>
      <c r="D36" s="223" t="s">
        <v>989</v>
      </c>
      <c r="E36" s="223" t="s">
        <v>998</v>
      </c>
      <c r="F36" s="223" t="s">
        <v>987</v>
      </c>
      <c r="G36" s="223" t="s">
        <v>1826</v>
      </c>
      <c r="H36" s="355">
        <v>320000</v>
      </c>
      <c r="I36" s="355">
        <v>0</v>
      </c>
      <c r="J36" s="355">
        <v>67200</v>
      </c>
      <c r="K36" s="357">
        <v>67200</v>
      </c>
      <c r="L36" s="355">
        <v>387200</v>
      </c>
    </row>
    <row r="37" spans="1:12" x14ac:dyDescent="0.25">
      <c r="A37" s="223" t="s">
        <v>1848</v>
      </c>
      <c r="B37" s="223" t="s">
        <v>1057</v>
      </c>
      <c r="C37" s="223" t="s">
        <v>1058</v>
      </c>
      <c r="D37" s="223" t="s">
        <v>989</v>
      </c>
      <c r="E37" s="223" t="s">
        <v>998</v>
      </c>
      <c r="F37" s="223" t="s">
        <v>987</v>
      </c>
      <c r="G37" s="223" t="s">
        <v>1850</v>
      </c>
      <c r="H37" s="355">
        <v>56198.35</v>
      </c>
      <c r="I37" s="355">
        <v>0</v>
      </c>
      <c r="J37" s="355">
        <v>11801.65</v>
      </c>
      <c r="K37" s="357">
        <v>11801.65</v>
      </c>
      <c r="L37" s="355">
        <v>68000</v>
      </c>
    </row>
    <row r="38" spans="1:12" x14ac:dyDescent="0.25">
      <c r="A38" s="223" t="s">
        <v>1848</v>
      </c>
      <c r="B38" s="223" t="s">
        <v>1057</v>
      </c>
      <c r="C38" s="223" t="s">
        <v>1058</v>
      </c>
      <c r="D38" s="223" t="s">
        <v>989</v>
      </c>
      <c r="E38" s="223" t="s">
        <v>998</v>
      </c>
      <c r="F38" s="223" t="s">
        <v>987</v>
      </c>
      <c r="G38" s="223" t="s">
        <v>1851</v>
      </c>
      <c r="H38" s="355">
        <v>18748.759999999998</v>
      </c>
      <c r="I38" s="355">
        <v>0</v>
      </c>
      <c r="J38" s="355">
        <v>3937.24</v>
      </c>
      <c r="K38" s="357">
        <v>3937.24</v>
      </c>
      <c r="L38" s="355">
        <v>22686</v>
      </c>
    </row>
    <row r="39" spans="1:12" x14ac:dyDescent="0.25">
      <c r="A39" s="223" t="s">
        <v>1848</v>
      </c>
      <c r="B39" s="223" t="s">
        <v>1057</v>
      </c>
      <c r="C39" s="223" t="s">
        <v>1058</v>
      </c>
      <c r="D39" s="223" t="s">
        <v>989</v>
      </c>
      <c r="E39" s="223" t="s">
        <v>998</v>
      </c>
      <c r="F39" s="223" t="s">
        <v>987</v>
      </c>
      <c r="G39" s="223" t="s">
        <v>1852</v>
      </c>
      <c r="H39" s="355">
        <v>100715.7</v>
      </c>
      <c r="I39" s="355">
        <v>0</v>
      </c>
      <c r="J39" s="355">
        <v>21150.3</v>
      </c>
      <c r="K39" s="357">
        <v>21150.3</v>
      </c>
      <c r="L39" s="355">
        <v>121866</v>
      </c>
    </row>
    <row r="40" spans="1:12" x14ac:dyDescent="0.25">
      <c r="A40" s="223" t="s">
        <v>1848</v>
      </c>
      <c r="B40" s="223" t="s">
        <v>1057</v>
      </c>
      <c r="C40" s="223" t="s">
        <v>1058</v>
      </c>
      <c r="D40" s="223" t="s">
        <v>989</v>
      </c>
      <c r="E40" s="223" t="s">
        <v>998</v>
      </c>
      <c r="F40" s="223" t="s">
        <v>987</v>
      </c>
      <c r="G40" s="223" t="s">
        <v>1853</v>
      </c>
      <c r="H40" s="355">
        <v>18748.759999999998</v>
      </c>
      <c r="I40" s="355">
        <v>0</v>
      </c>
      <c r="J40" s="355">
        <v>3937.24</v>
      </c>
      <c r="K40" s="357">
        <v>3937.24</v>
      </c>
      <c r="L40" s="355">
        <v>22686</v>
      </c>
    </row>
    <row r="41" spans="1:12" x14ac:dyDescent="0.25">
      <c r="A41" s="223" t="s">
        <v>1848</v>
      </c>
      <c r="B41" s="223" t="s">
        <v>1057</v>
      </c>
      <c r="C41" s="223" t="s">
        <v>1058</v>
      </c>
      <c r="D41" s="223" t="s">
        <v>989</v>
      </c>
      <c r="E41" s="223" t="s">
        <v>998</v>
      </c>
      <c r="F41" s="223" t="s">
        <v>987</v>
      </c>
      <c r="G41" s="223" t="s">
        <v>1854</v>
      </c>
      <c r="H41" s="355">
        <v>27057.02</v>
      </c>
      <c r="I41" s="355">
        <v>0</v>
      </c>
      <c r="J41" s="355">
        <v>5681.98</v>
      </c>
      <c r="K41" s="357">
        <v>5681.98</v>
      </c>
      <c r="L41" s="355">
        <v>32739</v>
      </c>
    </row>
    <row r="42" spans="1:12" x14ac:dyDescent="0.25">
      <c r="A42" s="223" t="s">
        <v>1848</v>
      </c>
      <c r="B42" s="223" t="s">
        <v>1057</v>
      </c>
      <c r="C42" s="223" t="s">
        <v>1058</v>
      </c>
      <c r="D42" s="223" t="s">
        <v>989</v>
      </c>
      <c r="E42" s="223" t="s">
        <v>998</v>
      </c>
      <c r="F42" s="223" t="s">
        <v>987</v>
      </c>
      <c r="G42" s="223" t="s">
        <v>1855</v>
      </c>
      <c r="H42" s="355">
        <v>18238.02</v>
      </c>
      <c r="I42" s="355">
        <v>0</v>
      </c>
      <c r="J42" s="355">
        <v>3829.98</v>
      </c>
      <c r="K42" s="357">
        <v>3829.98</v>
      </c>
      <c r="L42" s="355">
        <v>22068</v>
      </c>
    </row>
    <row r="43" spans="1:12" x14ac:dyDescent="0.25">
      <c r="A43" s="223" t="s">
        <v>1848</v>
      </c>
      <c r="B43" s="223" t="s">
        <v>1057</v>
      </c>
      <c r="C43" s="223" t="s">
        <v>1058</v>
      </c>
      <c r="D43" s="223" t="s">
        <v>989</v>
      </c>
      <c r="E43" s="223" t="s">
        <v>998</v>
      </c>
      <c r="F43" s="223" t="s">
        <v>987</v>
      </c>
      <c r="G43" s="223" t="s">
        <v>1856</v>
      </c>
      <c r="H43" s="355">
        <v>18748.759999999998</v>
      </c>
      <c r="I43" s="355">
        <v>0</v>
      </c>
      <c r="J43" s="355">
        <v>3937.24</v>
      </c>
      <c r="K43" s="357">
        <v>3937.24</v>
      </c>
      <c r="L43" s="355">
        <v>22686</v>
      </c>
    </row>
    <row r="44" spans="1:12" x14ac:dyDescent="0.25">
      <c r="A44" s="223" t="s">
        <v>1848</v>
      </c>
      <c r="B44" s="223" t="s">
        <v>1057</v>
      </c>
      <c r="C44" s="223" t="s">
        <v>1058</v>
      </c>
      <c r="D44" s="223" t="s">
        <v>989</v>
      </c>
      <c r="E44" s="223" t="s">
        <v>998</v>
      </c>
      <c r="F44" s="223" t="s">
        <v>987</v>
      </c>
      <c r="G44" s="223" t="s">
        <v>1857</v>
      </c>
      <c r="H44" s="355">
        <v>45805.79</v>
      </c>
      <c r="I44" s="355">
        <v>0</v>
      </c>
      <c r="J44" s="355">
        <v>9619.2099999999991</v>
      </c>
      <c r="K44" s="357">
        <v>9619.2099999999991</v>
      </c>
      <c r="L44" s="355">
        <v>55425</v>
      </c>
    </row>
    <row r="45" spans="1:12" x14ac:dyDescent="0.25">
      <c r="A45" s="223" t="s">
        <v>1848</v>
      </c>
      <c r="B45" s="223" t="s">
        <v>1057</v>
      </c>
      <c r="C45" s="223" t="s">
        <v>1058</v>
      </c>
      <c r="D45" s="223" t="s">
        <v>989</v>
      </c>
      <c r="E45" s="223" t="s">
        <v>998</v>
      </c>
      <c r="F45" s="223" t="s">
        <v>987</v>
      </c>
      <c r="G45" s="223" t="s">
        <v>1858</v>
      </c>
      <c r="H45" s="355">
        <v>62659.5</v>
      </c>
      <c r="I45" s="355">
        <v>0</v>
      </c>
      <c r="J45" s="355">
        <v>13158.5</v>
      </c>
      <c r="K45" s="357">
        <v>13158.5</v>
      </c>
      <c r="L45" s="355">
        <v>75818</v>
      </c>
    </row>
    <row r="46" spans="1:12" x14ac:dyDescent="0.25">
      <c r="A46" s="223" t="s">
        <v>1848</v>
      </c>
      <c r="B46" s="223" t="s">
        <v>1057</v>
      </c>
      <c r="C46" s="223" t="s">
        <v>1058</v>
      </c>
      <c r="D46" s="223" t="s">
        <v>989</v>
      </c>
      <c r="E46" s="223" t="s">
        <v>998</v>
      </c>
      <c r="F46" s="223" t="s">
        <v>987</v>
      </c>
      <c r="G46" s="223" t="s">
        <v>1859</v>
      </c>
      <c r="H46" s="355">
        <v>22555.37</v>
      </c>
      <c r="I46" s="355">
        <v>0</v>
      </c>
      <c r="J46" s="355">
        <v>4736.63</v>
      </c>
      <c r="K46" s="357">
        <v>4736.63</v>
      </c>
      <c r="L46" s="355">
        <v>27292</v>
      </c>
    </row>
    <row r="47" spans="1:12" x14ac:dyDescent="0.25">
      <c r="A47" s="223" t="s">
        <v>1848</v>
      </c>
      <c r="B47" s="223" t="s">
        <v>1057</v>
      </c>
      <c r="C47" s="223" t="s">
        <v>1058</v>
      </c>
      <c r="D47" s="223" t="s">
        <v>989</v>
      </c>
      <c r="E47" s="223" t="s">
        <v>998</v>
      </c>
      <c r="F47" s="223" t="s">
        <v>987</v>
      </c>
      <c r="G47" s="223" t="s">
        <v>1860</v>
      </c>
      <c r="H47" s="355">
        <v>15982.64</v>
      </c>
      <c r="I47" s="355">
        <v>0</v>
      </c>
      <c r="J47" s="355">
        <v>3356.36</v>
      </c>
      <c r="K47" s="357">
        <v>3356.36</v>
      </c>
      <c r="L47" s="355">
        <v>19339</v>
      </c>
    </row>
    <row r="48" spans="1:12" x14ac:dyDescent="0.25">
      <c r="A48" s="223" t="s">
        <v>1848</v>
      </c>
      <c r="B48" s="223" t="s">
        <v>1057</v>
      </c>
      <c r="C48" s="223" t="s">
        <v>1058</v>
      </c>
      <c r="D48" s="223" t="s">
        <v>989</v>
      </c>
      <c r="E48" s="223" t="s">
        <v>998</v>
      </c>
      <c r="F48" s="223" t="s">
        <v>987</v>
      </c>
      <c r="G48" s="223" t="s">
        <v>1861</v>
      </c>
      <c r="H48" s="355">
        <v>18748.759999999998</v>
      </c>
      <c r="I48" s="355">
        <v>0</v>
      </c>
      <c r="J48" s="355">
        <v>3937.24</v>
      </c>
      <c r="K48" s="357">
        <v>3937.24</v>
      </c>
      <c r="L48" s="355">
        <v>22686</v>
      </c>
    </row>
    <row r="49" spans="1:12" x14ac:dyDescent="0.25">
      <c r="A49" s="223" t="s">
        <v>1848</v>
      </c>
      <c r="B49" s="223" t="s">
        <v>1057</v>
      </c>
      <c r="C49" s="223" t="s">
        <v>1058</v>
      </c>
      <c r="D49" s="223" t="s">
        <v>989</v>
      </c>
      <c r="E49" s="223" t="s">
        <v>998</v>
      </c>
      <c r="F49" s="223" t="s">
        <v>987</v>
      </c>
      <c r="G49" s="223" t="s">
        <v>1862</v>
      </c>
      <c r="H49" s="355">
        <v>18748.759999999998</v>
      </c>
      <c r="I49" s="355">
        <v>0</v>
      </c>
      <c r="J49" s="355">
        <v>3937.24</v>
      </c>
      <c r="K49" s="357">
        <v>3937.24</v>
      </c>
      <c r="L49" s="355">
        <v>22686</v>
      </c>
    </row>
    <row r="50" spans="1:12" x14ac:dyDescent="0.25">
      <c r="A50" s="223" t="s">
        <v>1848</v>
      </c>
      <c r="B50" s="223" t="s">
        <v>1057</v>
      </c>
      <c r="C50" s="223" t="s">
        <v>1058</v>
      </c>
      <c r="D50" s="223" t="s">
        <v>989</v>
      </c>
      <c r="E50" s="223" t="s">
        <v>998</v>
      </c>
      <c r="F50" s="223" t="s">
        <v>987</v>
      </c>
      <c r="G50" s="223" t="s">
        <v>1863</v>
      </c>
      <c r="H50" s="355">
        <v>38061.160000000003</v>
      </c>
      <c r="I50" s="355">
        <v>0</v>
      </c>
      <c r="J50" s="355">
        <v>7992.84</v>
      </c>
      <c r="K50" s="357">
        <v>7992.84</v>
      </c>
      <c r="L50" s="355">
        <v>46054</v>
      </c>
    </row>
    <row r="51" spans="1:12" x14ac:dyDescent="0.25">
      <c r="A51" s="223" t="s">
        <v>1848</v>
      </c>
      <c r="B51" s="223" t="s">
        <v>1057</v>
      </c>
      <c r="C51" s="223" t="s">
        <v>1058</v>
      </c>
      <c r="D51" s="223" t="s">
        <v>989</v>
      </c>
      <c r="E51" s="223" t="s">
        <v>998</v>
      </c>
      <c r="F51" s="223" t="s">
        <v>987</v>
      </c>
      <c r="G51" s="223" t="s">
        <v>1867</v>
      </c>
      <c r="H51" s="355">
        <v>38061.160000000003</v>
      </c>
      <c r="I51" s="355">
        <v>0</v>
      </c>
      <c r="J51" s="355">
        <v>7992.84</v>
      </c>
      <c r="K51" s="357">
        <v>7992.84</v>
      </c>
      <c r="L51" s="355">
        <v>46054</v>
      </c>
    </row>
    <row r="52" spans="1:12" x14ac:dyDescent="0.25">
      <c r="A52" s="223" t="s">
        <v>1848</v>
      </c>
      <c r="B52" s="223" t="s">
        <v>1057</v>
      </c>
      <c r="C52" s="223" t="s">
        <v>1058</v>
      </c>
      <c r="D52" s="223" t="s">
        <v>989</v>
      </c>
      <c r="E52" s="223" t="s">
        <v>998</v>
      </c>
      <c r="F52" s="223" t="s">
        <v>987</v>
      </c>
      <c r="G52" s="223" t="s">
        <v>1868</v>
      </c>
      <c r="H52" s="355">
        <v>16223.14</v>
      </c>
      <c r="I52" s="355">
        <v>0</v>
      </c>
      <c r="J52" s="355">
        <v>3406.86</v>
      </c>
      <c r="K52" s="357">
        <v>3406.86</v>
      </c>
      <c r="L52" s="355">
        <v>19630</v>
      </c>
    </row>
    <row r="53" spans="1:12" x14ac:dyDescent="0.25">
      <c r="A53" s="223" t="s">
        <v>1848</v>
      </c>
      <c r="B53" s="223" t="s">
        <v>1057</v>
      </c>
      <c r="C53" s="223" t="s">
        <v>1058</v>
      </c>
      <c r="D53" s="223" t="s">
        <v>989</v>
      </c>
      <c r="E53" s="223" t="s">
        <v>998</v>
      </c>
      <c r="F53" s="223" t="s">
        <v>987</v>
      </c>
      <c r="G53" s="223" t="s">
        <v>1870</v>
      </c>
      <c r="H53" s="355">
        <v>11447.11</v>
      </c>
      <c r="I53" s="355">
        <v>0</v>
      </c>
      <c r="J53" s="355">
        <v>2403.89</v>
      </c>
      <c r="K53" s="357">
        <v>2403.89</v>
      </c>
      <c r="L53" s="355">
        <v>13851</v>
      </c>
    </row>
    <row r="54" spans="1:12" x14ac:dyDescent="0.25">
      <c r="A54" s="223" t="s">
        <v>1848</v>
      </c>
      <c r="B54" s="223" t="s">
        <v>1057</v>
      </c>
      <c r="C54" s="223" t="s">
        <v>1058</v>
      </c>
      <c r="D54" s="223" t="s">
        <v>989</v>
      </c>
      <c r="E54" s="223" t="s">
        <v>998</v>
      </c>
      <c r="F54" s="223" t="s">
        <v>987</v>
      </c>
      <c r="G54" s="223" t="s">
        <v>1871</v>
      </c>
      <c r="H54" s="355">
        <v>47444.63</v>
      </c>
      <c r="I54" s="355">
        <v>0</v>
      </c>
      <c r="J54" s="355">
        <v>9963.3700000000008</v>
      </c>
      <c r="K54" s="357">
        <v>9963.3700000000008</v>
      </c>
      <c r="L54" s="355">
        <v>57408</v>
      </c>
    </row>
    <row r="55" spans="1:12" x14ac:dyDescent="0.25">
      <c r="A55" s="223" t="s">
        <v>1848</v>
      </c>
      <c r="B55" s="223" t="s">
        <v>1057</v>
      </c>
      <c r="C55" s="223" t="s">
        <v>1058</v>
      </c>
      <c r="D55" s="223" t="s">
        <v>989</v>
      </c>
      <c r="E55" s="223" t="s">
        <v>998</v>
      </c>
      <c r="F55" s="223" t="s">
        <v>987</v>
      </c>
      <c r="G55" s="223" t="s">
        <v>1875</v>
      </c>
      <c r="H55" s="355">
        <v>18238.02</v>
      </c>
      <c r="I55" s="355">
        <v>0</v>
      </c>
      <c r="J55" s="355">
        <v>3829.98</v>
      </c>
      <c r="K55" s="357">
        <v>3829.98</v>
      </c>
      <c r="L55" s="355">
        <v>22068</v>
      </c>
    </row>
    <row r="56" spans="1:12" x14ac:dyDescent="0.25">
      <c r="A56" s="223" t="s">
        <v>1848</v>
      </c>
      <c r="B56" s="223" t="s">
        <v>1057</v>
      </c>
      <c r="C56" s="223" t="s">
        <v>1058</v>
      </c>
      <c r="D56" s="223" t="s">
        <v>989</v>
      </c>
      <c r="E56" s="223" t="s">
        <v>998</v>
      </c>
      <c r="F56" s="223" t="s">
        <v>987</v>
      </c>
      <c r="G56" s="223" t="s">
        <v>1877</v>
      </c>
      <c r="H56" s="355">
        <v>9374.3799999999992</v>
      </c>
      <c r="I56" s="355">
        <v>0</v>
      </c>
      <c r="J56" s="355">
        <v>1968.62</v>
      </c>
      <c r="K56" s="357">
        <v>1968.62</v>
      </c>
      <c r="L56" s="355">
        <v>11343</v>
      </c>
    </row>
    <row r="57" spans="1:12" x14ac:dyDescent="0.25">
      <c r="A57" s="223" t="s">
        <v>1848</v>
      </c>
      <c r="B57" s="223" t="s">
        <v>1057</v>
      </c>
      <c r="C57" s="223" t="s">
        <v>1058</v>
      </c>
      <c r="D57" s="223" t="s">
        <v>989</v>
      </c>
      <c r="E57" s="223" t="s">
        <v>998</v>
      </c>
      <c r="F57" s="223" t="s">
        <v>987</v>
      </c>
      <c r="G57" s="223" t="s">
        <v>1879</v>
      </c>
      <c r="H57" s="355">
        <v>46871.9</v>
      </c>
      <c r="I57" s="355">
        <v>0</v>
      </c>
      <c r="J57" s="355">
        <v>9843.1</v>
      </c>
      <c r="K57" s="357">
        <v>9843.1</v>
      </c>
      <c r="L57" s="355">
        <v>56715</v>
      </c>
    </row>
    <row r="58" spans="1:12" x14ac:dyDescent="0.25">
      <c r="A58" s="223" t="s">
        <v>1848</v>
      </c>
      <c r="B58" s="223" t="s">
        <v>1057</v>
      </c>
      <c r="C58" s="223" t="s">
        <v>1058</v>
      </c>
      <c r="D58" s="223" t="s">
        <v>989</v>
      </c>
      <c r="E58" s="223" t="s">
        <v>998</v>
      </c>
      <c r="F58" s="223" t="s">
        <v>987</v>
      </c>
      <c r="G58" s="223" t="s">
        <v>1881</v>
      </c>
      <c r="H58" s="355">
        <v>9374.3799999999992</v>
      </c>
      <c r="I58" s="355">
        <v>0</v>
      </c>
      <c r="J58" s="355">
        <v>1968.62</v>
      </c>
      <c r="K58" s="357">
        <v>1968.62</v>
      </c>
      <c r="L58" s="355">
        <v>11343</v>
      </c>
    </row>
    <row r="59" spans="1:12" x14ac:dyDescent="0.25">
      <c r="A59" s="223" t="s">
        <v>1848</v>
      </c>
      <c r="B59" s="223" t="s">
        <v>1057</v>
      </c>
      <c r="C59" s="223" t="s">
        <v>1058</v>
      </c>
      <c r="D59" s="223" t="s">
        <v>989</v>
      </c>
      <c r="E59" s="223" t="s">
        <v>998</v>
      </c>
      <c r="F59" s="223" t="s">
        <v>987</v>
      </c>
      <c r="G59" s="223" t="s">
        <v>1883</v>
      </c>
      <c r="H59" s="355">
        <v>9374.3799999999992</v>
      </c>
      <c r="I59" s="355">
        <v>0</v>
      </c>
      <c r="J59" s="355">
        <v>1968.62</v>
      </c>
      <c r="K59" s="357">
        <v>1968.62</v>
      </c>
      <c r="L59" s="355">
        <v>11343</v>
      </c>
    </row>
    <row r="60" spans="1:12" x14ac:dyDescent="0.25">
      <c r="A60" s="223" t="s">
        <v>1848</v>
      </c>
      <c r="B60" s="223" t="s">
        <v>1057</v>
      </c>
      <c r="C60" s="223" t="s">
        <v>1058</v>
      </c>
      <c r="D60" s="223" t="s">
        <v>989</v>
      </c>
      <c r="E60" s="223" t="s">
        <v>998</v>
      </c>
      <c r="F60" s="223" t="s">
        <v>987</v>
      </c>
      <c r="G60" s="223" t="s">
        <v>1884</v>
      </c>
      <c r="H60" s="355">
        <v>22902.89</v>
      </c>
      <c r="I60" s="355">
        <v>0</v>
      </c>
      <c r="J60" s="355">
        <v>4809.6099999999997</v>
      </c>
      <c r="K60" s="357">
        <v>4809.6099999999997</v>
      </c>
      <c r="L60" s="355">
        <v>27712.5</v>
      </c>
    </row>
    <row r="61" spans="1:12" x14ac:dyDescent="0.25">
      <c r="A61" s="223" t="s">
        <v>1848</v>
      </c>
      <c r="B61" s="223" t="s">
        <v>1057</v>
      </c>
      <c r="C61" s="223" t="s">
        <v>1058</v>
      </c>
      <c r="D61" s="223" t="s">
        <v>989</v>
      </c>
      <c r="E61" s="223" t="s">
        <v>998</v>
      </c>
      <c r="F61" s="223" t="s">
        <v>987</v>
      </c>
      <c r="G61" s="223" t="s">
        <v>1886</v>
      </c>
      <c r="H61" s="355">
        <v>18748.759999999998</v>
      </c>
      <c r="I61" s="355">
        <v>0</v>
      </c>
      <c r="J61" s="355">
        <v>3937.24</v>
      </c>
      <c r="K61" s="357">
        <v>3937.24</v>
      </c>
      <c r="L61" s="355">
        <v>22686</v>
      </c>
    </row>
    <row r="62" spans="1:12" x14ac:dyDescent="0.25">
      <c r="A62" s="223" t="s">
        <v>1848</v>
      </c>
      <c r="B62" s="223" t="s">
        <v>1057</v>
      </c>
      <c r="C62" s="223" t="s">
        <v>1058</v>
      </c>
      <c r="D62" s="223" t="s">
        <v>989</v>
      </c>
      <c r="E62" s="223" t="s">
        <v>998</v>
      </c>
      <c r="F62" s="223" t="s">
        <v>987</v>
      </c>
      <c r="G62" s="223" t="s">
        <v>1889</v>
      </c>
      <c r="H62" s="355">
        <v>9374.3799999999992</v>
      </c>
      <c r="I62" s="355">
        <v>0</v>
      </c>
      <c r="J62" s="355">
        <v>1968.62</v>
      </c>
      <c r="K62" s="357">
        <v>1968.62</v>
      </c>
      <c r="L62" s="355">
        <v>11343</v>
      </c>
    </row>
    <row r="63" spans="1:12" x14ac:dyDescent="0.25">
      <c r="A63" s="223" t="s">
        <v>1848</v>
      </c>
      <c r="B63" s="223" t="s">
        <v>1057</v>
      </c>
      <c r="C63" s="223" t="s">
        <v>1058</v>
      </c>
      <c r="D63" s="223" t="s">
        <v>989</v>
      </c>
      <c r="E63" s="223" t="s">
        <v>998</v>
      </c>
      <c r="F63" s="223" t="s">
        <v>987</v>
      </c>
      <c r="G63" s="223" t="s">
        <v>1890</v>
      </c>
      <c r="H63" s="355">
        <v>9374.3799999999992</v>
      </c>
      <c r="I63" s="355">
        <v>0</v>
      </c>
      <c r="J63" s="355">
        <v>1968.62</v>
      </c>
      <c r="K63" s="357">
        <v>1968.62</v>
      </c>
      <c r="L63" s="355">
        <v>11343</v>
      </c>
    </row>
    <row r="64" spans="1:12" x14ac:dyDescent="0.25">
      <c r="A64" s="223" t="s">
        <v>1848</v>
      </c>
      <c r="B64" s="223" t="s">
        <v>1507</v>
      </c>
      <c r="C64" s="223" t="s">
        <v>1508</v>
      </c>
      <c r="D64" s="223" t="s">
        <v>989</v>
      </c>
      <c r="E64" s="223" t="s">
        <v>998</v>
      </c>
      <c r="F64" s="223" t="s">
        <v>987</v>
      </c>
      <c r="G64" s="223" t="s">
        <v>1899</v>
      </c>
      <c r="H64" s="355">
        <v>13223.14</v>
      </c>
      <c r="I64" s="355">
        <v>0</v>
      </c>
      <c r="J64" s="355">
        <v>2776.86</v>
      </c>
      <c r="K64" s="357">
        <v>2776.86</v>
      </c>
      <c r="L64" s="355">
        <v>16000</v>
      </c>
    </row>
    <row r="65" spans="1:12" x14ac:dyDescent="0.25">
      <c r="A65" s="223" t="s">
        <v>1848</v>
      </c>
      <c r="B65" s="223" t="s">
        <v>1507</v>
      </c>
      <c r="C65" s="223" t="s">
        <v>1508</v>
      </c>
      <c r="D65" s="223" t="s">
        <v>989</v>
      </c>
      <c r="E65" s="223" t="s">
        <v>998</v>
      </c>
      <c r="F65" s="223" t="s">
        <v>987</v>
      </c>
      <c r="G65" s="223" t="s">
        <v>1900</v>
      </c>
      <c r="H65" s="355">
        <v>39669.42</v>
      </c>
      <c r="I65" s="355">
        <v>0</v>
      </c>
      <c r="J65" s="355">
        <v>8330.58</v>
      </c>
      <c r="K65" s="357">
        <v>8330.58</v>
      </c>
      <c r="L65" s="355">
        <v>48000</v>
      </c>
    </row>
    <row r="66" spans="1:12" x14ac:dyDescent="0.25">
      <c r="A66" s="223" t="s">
        <v>1848</v>
      </c>
      <c r="B66" s="223" t="s">
        <v>1507</v>
      </c>
      <c r="C66" s="223" t="s">
        <v>1508</v>
      </c>
      <c r="D66" s="223" t="s">
        <v>989</v>
      </c>
      <c r="E66" s="223" t="s">
        <v>998</v>
      </c>
      <c r="F66" s="223" t="s">
        <v>987</v>
      </c>
      <c r="G66" s="223" t="s">
        <v>1902</v>
      </c>
      <c r="H66" s="355">
        <v>39669.42</v>
      </c>
      <c r="I66" s="355">
        <v>0</v>
      </c>
      <c r="J66" s="355">
        <v>8330.58</v>
      </c>
      <c r="K66" s="357">
        <v>8330.58</v>
      </c>
      <c r="L66" s="355">
        <v>48000</v>
      </c>
    </row>
    <row r="67" spans="1:12" x14ac:dyDescent="0.25">
      <c r="A67" s="223" t="s">
        <v>1848</v>
      </c>
      <c r="B67" s="223" t="s">
        <v>1507</v>
      </c>
      <c r="C67" s="223" t="s">
        <v>1508</v>
      </c>
      <c r="D67" s="223" t="s">
        <v>989</v>
      </c>
      <c r="E67" s="223" t="s">
        <v>998</v>
      </c>
      <c r="F67" s="223" t="s">
        <v>987</v>
      </c>
      <c r="G67" s="223" t="s">
        <v>1903</v>
      </c>
      <c r="H67" s="355">
        <v>210743.8</v>
      </c>
      <c r="I67" s="355">
        <v>0</v>
      </c>
      <c r="J67" s="355">
        <v>44256.2</v>
      </c>
      <c r="K67" s="357">
        <v>44256.2</v>
      </c>
      <c r="L67" s="355">
        <v>255000</v>
      </c>
    </row>
    <row r="68" spans="1:12" x14ac:dyDescent="0.25">
      <c r="A68" s="223" t="s">
        <v>1905</v>
      </c>
      <c r="B68" s="223" t="s">
        <v>1507</v>
      </c>
      <c r="C68" s="223" t="s">
        <v>1508</v>
      </c>
      <c r="D68" s="223" t="s">
        <v>989</v>
      </c>
      <c r="E68" s="223" t="s">
        <v>998</v>
      </c>
      <c r="F68" s="223" t="s">
        <v>987</v>
      </c>
      <c r="G68" s="223" t="s">
        <v>1926</v>
      </c>
      <c r="H68" s="355">
        <v>95454.55</v>
      </c>
      <c r="I68" s="355">
        <v>0</v>
      </c>
      <c r="J68" s="355">
        <v>20045.45</v>
      </c>
      <c r="K68" s="357">
        <v>20045.45</v>
      </c>
      <c r="L68" s="355">
        <v>115500</v>
      </c>
    </row>
    <row r="69" spans="1:12" x14ac:dyDescent="0.25">
      <c r="A69" s="223" t="s">
        <v>1905</v>
      </c>
      <c r="B69" s="223" t="s">
        <v>1006</v>
      </c>
      <c r="C69" s="223" t="s">
        <v>1007</v>
      </c>
      <c r="D69" s="223" t="s">
        <v>989</v>
      </c>
      <c r="E69" s="223" t="s">
        <v>998</v>
      </c>
      <c r="F69" s="223" t="s">
        <v>987</v>
      </c>
      <c r="G69" s="223" t="s">
        <v>1929</v>
      </c>
      <c r="H69" s="355">
        <v>399586.78</v>
      </c>
      <c r="I69" s="355">
        <v>0</v>
      </c>
      <c r="J69" s="355">
        <v>83913.22</v>
      </c>
      <c r="K69" s="357">
        <v>83913.22</v>
      </c>
      <c r="L69" s="355">
        <v>483500</v>
      </c>
    </row>
    <row r="70" spans="1:12" x14ac:dyDescent="0.25">
      <c r="A70" s="223" t="s">
        <v>1905</v>
      </c>
      <c r="B70" s="223" t="s">
        <v>1006</v>
      </c>
      <c r="C70" s="223" t="s">
        <v>1007</v>
      </c>
      <c r="D70" s="223" t="s">
        <v>989</v>
      </c>
      <c r="E70" s="223" t="s">
        <v>998</v>
      </c>
      <c r="F70" s="223" t="s">
        <v>987</v>
      </c>
      <c r="G70" s="223" t="s">
        <v>1931</v>
      </c>
      <c r="H70" s="355">
        <v>78512.399999999994</v>
      </c>
      <c r="I70" s="355">
        <v>0</v>
      </c>
      <c r="J70" s="355">
        <v>16487.599999999999</v>
      </c>
      <c r="K70" s="357">
        <v>16487.599999999999</v>
      </c>
      <c r="L70" s="355">
        <v>95000</v>
      </c>
    </row>
    <row r="71" spans="1:12" x14ac:dyDescent="0.25">
      <c r="A71" s="223" t="s">
        <v>1905</v>
      </c>
      <c r="B71" s="223" t="s">
        <v>1056</v>
      </c>
      <c r="C71" s="223" t="s">
        <v>1934</v>
      </c>
      <c r="D71" s="223" t="s">
        <v>989</v>
      </c>
      <c r="E71" s="223" t="s">
        <v>998</v>
      </c>
      <c r="F71" s="223" t="s">
        <v>987</v>
      </c>
      <c r="G71" s="223" t="s">
        <v>1935</v>
      </c>
      <c r="H71" s="355">
        <v>354132.23</v>
      </c>
      <c r="I71" s="355">
        <v>0</v>
      </c>
      <c r="J71" s="355">
        <v>74367.77</v>
      </c>
      <c r="K71" s="357">
        <v>74367.77</v>
      </c>
      <c r="L71" s="355">
        <v>428500</v>
      </c>
    </row>
    <row r="72" spans="1:12" x14ac:dyDescent="0.25">
      <c r="A72" s="223" t="s">
        <v>1939</v>
      </c>
      <c r="B72" s="223" t="s">
        <v>73</v>
      </c>
      <c r="C72" s="223" t="s">
        <v>1009</v>
      </c>
      <c r="D72" s="223" t="s">
        <v>989</v>
      </c>
      <c r="E72" s="223" t="s">
        <v>998</v>
      </c>
      <c r="F72" s="223" t="s">
        <v>987</v>
      </c>
      <c r="G72" s="223" t="s">
        <v>1943</v>
      </c>
      <c r="H72" s="355">
        <v>448521.49</v>
      </c>
      <c r="I72" s="355">
        <v>0</v>
      </c>
      <c r="J72" s="355">
        <v>94189.51</v>
      </c>
      <c r="K72" s="357">
        <v>94189.51</v>
      </c>
      <c r="L72" s="355">
        <v>542711</v>
      </c>
    </row>
    <row r="73" spans="1:12" x14ac:dyDescent="0.25">
      <c r="A73" s="223" t="s">
        <v>1939</v>
      </c>
      <c r="B73" s="223" t="s">
        <v>1006</v>
      </c>
      <c r="C73" s="223" t="s">
        <v>1007</v>
      </c>
      <c r="D73" s="223" t="s">
        <v>989</v>
      </c>
      <c r="E73" s="223" t="s">
        <v>998</v>
      </c>
      <c r="F73" s="223" t="s">
        <v>987</v>
      </c>
      <c r="G73" s="223" t="s">
        <v>1949</v>
      </c>
      <c r="H73" s="355">
        <v>105619.83</v>
      </c>
      <c r="I73" s="355">
        <v>0</v>
      </c>
      <c r="J73" s="355">
        <v>22180.17</v>
      </c>
      <c r="K73" s="357">
        <v>22180.17</v>
      </c>
      <c r="L73" s="355">
        <v>127800</v>
      </c>
    </row>
    <row r="74" spans="1:12" x14ac:dyDescent="0.25">
      <c r="A74" s="223" t="s">
        <v>1939</v>
      </c>
      <c r="B74" s="223" t="s">
        <v>1006</v>
      </c>
      <c r="C74" s="223" t="s">
        <v>1007</v>
      </c>
      <c r="D74" s="223" t="s">
        <v>989</v>
      </c>
      <c r="E74" s="223" t="s">
        <v>998</v>
      </c>
      <c r="F74" s="223" t="s">
        <v>987</v>
      </c>
      <c r="G74" s="223" t="s">
        <v>1952</v>
      </c>
      <c r="H74" s="355">
        <v>731404.96</v>
      </c>
      <c r="I74" s="355">
        <v>0</v>
      </c>
      <c r="J74" s="355">
        <v>153595.04</v>
      </c>
      <c r="K74" s="357">
        <v>153595.04</v>
      </c>
      <c r="L74" s="355">
        <v>885000</v>
      </c>
    </row>
    <row r="75" spans="1:12" x14ac:dyDescent="0.25">
      <c r="A75" s="223" t="s">
        <v>1939</v>
      </c>
      <c r="B75" s="223" t="s">
        <v>73</v>
      </c>
      <c r="C75" s="223" t="s">
        <v>1009</v>
      </c>
      <c r="D75" s="223" t="s">
        <v>989</v>
      </c>
      <c r="E75" s="223" t="s">
        <v>998</v>
      </c>
      <c r="F75" s="223" t="s">
        <v>987</v>
      </c>
      <c r="G75" s="223" t="s">
        <v>1955</v>
      </c>
      <c r="H75" s="355">
        <v>826280.99</v>
      </c>
      <c r="I75" s="355">
        <v>0</v>
      </c>
      <c r="J75" s="355">
        <v>173519.01</v>
      </c>
      <c r="K75" s="357">
        <v>173519.01</v>
      </c>
      <c r="L75" s="355">
        <v>999800</v>
      </c>
    </row>
    <row r="76" spans="1:12" x14ac:dyDescent="0.25">
      <c r="A76" s="223" t="s">
        <v>2034</v>
      </c>
      <c r="B76" s="223" t="s">
        <v>1029</v>
      </c>
      <c r="C76" s="223" t="s">
        <v>1030</v>
      </c>
      <c r="D76" s="223" t="s">
        <v>989</v>
      </c>
      <c r="E76" s="223" t="s">
        <v>998</v>
      </c>
      <c r="F76" s="223" t="s">
        <v>987</v>
      </c>
      <c r="G76" s="223" t="s">
        <v>2036</v>
      </c>
      <c r="H76" s="355">
        <v>427560.6</v>
      </c>
      <c r="I76" s="355">
        <v>0</v>
      </c>
      <c r="J76" s="355">
        <v>89787.73</v>
      </c>
      <c r="K76" s="357">
        <v>89787.73</v>
      </c>
      <c r="L76" s="355">
        <v>517348.33</v>
      </c>
    </row>
    <row r="77" spans="1:12" x14ac:dyDescent="0.25">
      <c r="A77" s="223" t="s">
        <v>2087</v>
      </c>
      <c r="B77" s="223" t="s">
        <v>1006</v>
      </c>
      <c r="C77" s="223" t="s">
        <v>1007</v>
      </c>
      <c r="D77" s="223" t="s">
        <v>989</v>
      </c>
      <c r="E77" s="223" t="s">
        <v>998</v>
      </c>
      <c r="F77" s="223" t="s">
        <v>987</v>
      </c>
      <c r="G77" s="223" t="s">
        <v>2106</v>
      </c>
      <c r="H77" s="355">
        <v>582644.63</v>
      </c>
      <c r="I77" s="355">
        <v>0</v>
      </c>
      <c r="J77" s="355">
        <v>122355.37</v>
      </c>
      <c r="K77" s="357">
        <v>122355.37</v>
      </c>
      <c r="L77" s="355">
        <v>705000</v>
      </c>
    </row>
    <row r="78" spans="1:12" x14ac:dyDescent="0.25">
      <c r="A78" s="223" t="s">
        <v>2087</v>
      </c>
      <c r="B78" s="223" t="s">
        <v>1006</v>
      </c>
      <c r="C78" s="223" t="s">
        <v>1007</v>
      </c>
      <c r="D78" s="223" t="s">
        <v>989</v>
      </c>
      <c r="E78" s="223" t="s">
        <v>998</v>
      </c>
      <c r="F78" s="223" t="s">
        <v>987</v>
      </c>
      <c r="G78" s="223" t="s">
        <v>2107</v>
      </c>
      <c r="H78" s="355">
        <v>813223.14</v>
      </c>
      <c r="I78" s="355">
        <v>0</v>
      </c>
      <c r="J78" s="355">
        <v>170776.86</v>
      </c>
      <c r="K78" s="357">
        <v>170776.86</v>
      </c>
      <c r="L78" s="355">
        <v>984000</v>
      </c>
    </row>
    <row r="79" spans="1:12" x14ac:dyDescent="0.25">
      <c r="A79" s="223" t="s">
        <v>2146</v>
      </c>
      <c r="B79" s="223" t="s">
        <v>1031</v>
      </c>
      <c r="C79" s="223" t="s">
        <v>1032</v>
      </c>
      <c r="D79" s="223" t="s">
        <v>989</v>
      </c>
      <c r="E79" s="223" t="s">
        <v>998</v>
      </c>
      <c r="F79" s="223" t="s">
        <v>987</v>
      </c>
      <c r="G79" s="223" t="s">
        <v>2154</v>
      </c>
      <c r="H79" s="355">
        <v>74010.289999999994</v>
      </c>
      <c r="I79" s="355">
        <v>0</v>
      </c>
      <c r="J79" s="355">
        <v>15542.16</v>
      </c>
      <c r="K79" s="357">
        <v>15542.16</v>
      </c>
      <c r="L79" s="355">
        <v>89552.45</v>
      </c>
    </row>
    <row r="80" spans="1:12" x14ac:dyDescent="0.25">
      <c r="A80" s="223" t="s">
        <v>2146</v>
      </c>
      <c r="B80" s="223" t="s">
        <v>1057</v>
      </c>
      <c r="C80" s="223" t="s">
        <v>1058</v>
      </c>
      <c r="D80" s="223" t="s">
        <v>989</v>
      </c>
      <c r="E80" s="223" t="s">
        <v>998</v>
      </c>
      <c r="F80" s="223" t="s">
        <v>987</v>
      </c>
      <c r="G80" s="223" t="s">
        <v>2168</v>
      </c>
      <c r="H80" s="355">
        <v>133214.04999999999</v>
      </c>
      <c r="I80" s="355">
        <v>0</v>
      </c>
      <c r="J80" s="355">
        <v>27974.95</v>
      </c>
      <c r="K80" s="357">
        <v>27974.95</v>
      </c>
      <c r="L80" s="355">
        <v>161189</v>
      </c>
    </row>
    <row r="81" spans="1:12" x14ac:dyDescent="0.25">
      <c r="A81" s="223" t="s">
        <v>1516</v>
      </c>
      <c r="B81" s="223" t="s">
        <v>2185</v>
      </c>
      <c r="C81" s="223"/>
      <c r="D81" s="223" t="s">
        <v>989</v>
      </c>
      <c r="E81" s="223" t="s">
        <v>998</v>
      </c>
      <c r="F81" s="223" t="s">
        <v>991</v>
      </c>
      <c r="G81" s="223" t="s">
        <v>2187</v>
      </c>
      <c r="H81" s="355">
        <v>4328134</v>
      </c>
      <c r="I81" s="355"/>
      <c r="J81" s="357">
        <v>5206.6099999999997</v>
      </c>
      <c r="K81" s="355">
        <v>5206.6099999999997</v>
      </c>
      <c r="L81" s="355">
        <v>30000</v>
      </c>
    </row>
    <row r="82" spans="1:12" x14ac:dyDescent="0.25">
      <c r="A82" s="223" t="s">
        <v>1516</v>
      </c>
      <c r="B82" s="223" t="s">
        <v>999</v>
      </c>
      <c r="C82" s="223" t="s">
        <v>1000</v>
      </c>
      <c r="D82" s="223" t="s">
        <v>989</v>
      </c>
      <c r="E82" s="223" t="s">
        <v>998</v>
      </c>
      <c r="F82" s="223" t="s">
        <v>991</v>
      </c>
      <c r="G82" s="223" t="s">
        <v>1518</v>
      </c>
      <c r="H82" s="355">
        <v>16528.93</v>
      </c>
      <c r="I82" s="355">
        <v>0</v>
      </c>
      <c r="J82" s="357">
        <v>3471.07</v>
      </c>
      <c r="K82" s="355">
        <v>3471.07</v>
      </c>
      <c r="L82" s="355">
        <v>20000</v>
      </c>
    </row>
    <row r="83" spans="1:12" x14ac:dyDescent="0.25">
      <c r="A83" s="223" t="s">
        <v>1516</v>
      </c>
      <c r="B83" s="223" t="s">
        <v>1519</v>
      </c>
      <c r="C83" s="223" t="s">
        <v>1520</v>
      </c>
      <c r="D83" s="223" t="s">
        <v>989</v>
      </c>
      <c r="E83" s="223" t="s">
        <v>998</v>
      </c>
      <c r="F83" s="223" t="s">
        <v>991</v>
      </c>
      <c r="G83" s="223" t="s">
        <v>1521</v>
      </c>
      <c r="H83" s="355">
        <v>170661.16</v>
      </c>
      <c r="I83" s="355">
        <v>0</v>
      </c>
      <c r="J83" s="357">
        <v>35838.839999999997</v>
      </c>
      <c r="K83" s="355">
        <v>35838.839999999997</v>
      </c>
      <c r="L83" s="355">
        <v>206500</v>
      </c>
    </row>
    <row r="84" spans="1:12" x14ac:dyDescent="0.25">
      <c r="A84" s="223" t="s">
        <v>1516</v>
      </c>
      <c r="B84" s="223" t="s">
        <v>999</v>
      </c>
      <c r="C84" s="223" t="s">
        <v>1000</v>
      </c>
      <c r="D84" s="223" t="s">
        <v>989</v>
      </c>
      <c r="E84" s="223" t="s">
        <v>998</v>
      </c>
      <c r="F84" s="223" t="s">
        <v>991</v>
      </c>
      <c r="G84" s="223" t="s">
        <v>1522</v>
      </c>
      <c r="H84" s="355">
        <v>29752.07</v>
      </c>
      <c r="I84" s="355">
        <v>0</v>
      </c>
      <c r="J84" s="357">
        <v>6247.93</v>
      </c>
      <c r="K84" s="355">
        <v>6247.93</v>
      </c>
      <c r="L84" s="355">
        <v>36000</v>
      </c>
    </row>
    <row r="85" spans="1:12" x14ac:dyDescent="0.25">
      <c r="A85" s="223" t="s">
        <v>1516</v>
      </c>
      <c r="B85" s="223" t="s">
        <v>999</v>
      </c>
      <c r="C85" s="223" t="s">
        <v>1000</v>
      </c>
      <c r="D85" s="223" t="s">
        <v>989</v>
      </c>
      <c r="E85" s="223" t="s">
        <v>998</v>
      </c>
      <c r="F85" s="223" t="s">
        <v>991</v>
      </c>
      <c r="G85" s="223" t="s">
        <v>1531</v>
      </c>
      <c r="H85" s="355">
        <v>33471.07</v>
      </c>
      <c r="I85" s="355">
        <v>0</v>
      </c>
      <c r="J85" s="357">
        <v>7028.93</v>
      </c>
      <c r="K85" s="355">
        <v>7028.93</v>
      </c>
      <c r="L85" s="355">
        <v>40500</v>
      </c>
    </row>
    <row r="86" spans="1:12" x14ac:dyDescent="0.25">
      <c r="A86" s="223" t="s">
        <v>1516</v>
      </c>
      <c r="B86" s="223" t="s">
        <v>999</v>
      </c>
      <c r="C86" s="223" t="s">
        <v>1000</v>
      </c>
      <c r="D86" s="223" t="s">
        <v>989</v>
      </c>
      <c r="E86" s="223" t="s">
        <v>998</v>
      </c>
      <c r="F86" s="223" t="s">
        <v>991</v>
      </c>
      <c r="G86" s="223" t="s">
        <v>1532</v>
      </c>
      <c r="H86" s="355">
        <v>18181.82</v>
      </c>
      <c r="I86" s="355">
        <v>0</v>
      </c>
      <c r="J86" s="357">
        <v>3818.18</v>
      </c>
      <c r="K86" s="355">
        <v>3818.18</v>
      </c>
      <c r="L86" s="355">
        <v>22000</v>
      </c>
    </row>
    <row r="87" spans="1:12" x14ac:dyDescent="0.25">
      <c r="A87" s="223" t="s">
        <v>1516</v>
      </c>
      <c r="B87" s="223" t="s">
        <v>999</v>
      </c>
      <c r="C87" s="223" t="s">
        <v>1000</v>
      </c>
      <c r="D87" s="223" t="s">
        <v>989</v>
      </c>
      <c r="E87" s="223" t="s">
        <v>998</v>
      </c>
      <c r="F87" s="223" t="s">
        <v>991</v>
      </c>
      <c r="G87" s="223" t="s">
        <v>1533</v>
      </c>
      <c r="H87" s="355">
        <v>16528.93</v>
      </c>
      <c r="I87" s="355">
        <v>0</v>
      </c>
      <c r="J87" s="357">
        <v>3471.07</v>
      </c>
      <c r="K87" s="355">
        <v>3471.07</v>
      </c>
      <c r="L87" s="355">
        <v>20000</v>
      </c>
    </row>
    <row r="88" spans="1:12" x14ac:dyDescent="0.25">
      <c r="A88" s="223" t="s">
        <v>1516</v>
      </c>
      <c r="B88" s="223" t="s">
        <v>999</v>
      </c>
      <c r="C88" s="223" t="s">
        <v>1000</v>
      </c>
      <c r="D88" s="223" t="s">
        <v>989</v>
      </c>
      <c r="E88" s="223" t="s">
        <v>998</v>
      </c>
      <c r="F88" s="223" t="s">
        <v>991</v>
      </c>
      <c r="G88" s="223" t="s">
        <v>1534</v>
      </c>
      <c r="H88" s="355">
        <v>16528.93</v>
      </c>
      <c r="I88" s="355">
        <v>0</v>
      </c>
      <c r="J88" s="357">
        <v>3471.07</v>
      </c>
      <c r="K88" s="355">
        <v>3471.07</v>
      </c>
      <c r="L88" s="355">
        <v>20000</v>
      </c>
    </row>
    <row r="89" spans="1:12" x14ac:dyDescent="0.25">
      <c r="A89" s="223" t="s">
        <v>1516</v>
      </c>
      <c r="B89" s="223" t="s">
        <v>999</v>
      </c>
      <c r="C89" s="223" t="s">
        <v>1000</v>
      </c>
      <c r="D89" s="223" t="s">
        <v>989</v>
      </c>
      <c r="E89" s="223" t="s">
        <v>998</v>
      </c>
      <c r="F89" s="223" t="s">
        <v>991</v>
      </c>
      <c r="G89" s="223" t="s">
        <v>1550</v>
      </c>
      <c r="H89" s="355">
        <v>36363.64</v>
      </c>
      <c r="I89" s="355">
        <v>0</v>
      </c>
      <c r="J89" s="357">
        <v>7636.36</v>
      </c>
      <c r="K89" s="355">
        <v>7636.36</v>
      </c>
      <c r="L89" s="355">
        <v>44000</v>
      </c>
    </row>
    <row r="90" spans="1:12" x14ac:dyDescent="0.25">
      <c r="A90" s="223" t="s">
        <v>1516</v>
      </c>
      <c r="B90" s="223" t="s">
        <v>999</v>
      </c>
      <c r="C90" s="223" t="s">
        <v>1000</v>
      </c>
      <c r="D90" s="223" t="s">
        <v>989</v>
      </c>
      <c r="E90" s="223" t="s">
        <v>998</v>
      </c>
      <c r="F90" s="223" t="s">
        <v>991</v>
      </c>
      <c r="G90" s="223" t="s">
        <v>1551</v>
      </c>
      <c r="H90" s="355">
        <v>15702.48</v>
      </c>
      <c r="I90" s="355">
        <v>0</v>
      </c>
      <c r="J90" s="357">
        <v>3297.52</v>
      </c>
      <c r="K90" s="355">
        <v>3297.52</v>
      </c>
      <c r="L90" s="355">
        <v>19000</v>
      </c>
    </row>
    <row r="91" spans="1:12" x14ac:dyDescent="0.25">
      <c r="A91" s="223" t="s">
        <v>1516</v>
      </c>
      <c r="B91" s="223" t="s">
        <v>999</v>
      </c>
      <c r="C91" s="223" t="s">
        <v>1000</v>
      </c>
      <c r="D91" s="223" t="s">
        <v>989</v>
      </c>
      <c r="E91" s="223" t="s">
        <v>998</v>
      </c>
      <c r="F91" s="223" t="s">
        <v>991</v>
      </c>
      <c r="G91" s="223" t="s">
        <v>1552</v>
      </c>
      <c r="H91" s="355">
        <v>20661.16</v>
      </c>
      <c r="I91" s="355">
        <v>0</v>
      </c>
      <c r="J91" s="357">
        <v>4338.84</v>
      </c>
      <c r="K91" s="355">
        <v>4338.84</v>
      </c>
      <c r="L91" s="355">
        <v>25000</v>
      </c>
    </row>
    <row r="92" spans="1:12" x14ac:dyDescent="0.25">
      <c r="A92" s="223" t="s">
        <v>1516</v>
      </c>
      <c r="B92" s="223" t="s">
        <v>999</v>
      </c>
      <c r="C92" s="223" t="s">
        <v>1000</v>
      </c>
      <c r="D92" s="223" t="s">
        <v>989</v>
      </c>
      <c r="E92" s="223" t="s">
        <v>998</v>
      </c>
      <c r="F92" s="223" t="s">
        <v>991</v>
      </c>
      <c r="G92" s="223" t="s">
        <v>1560</v>
      </c>
      <c r="H92" s="355">
        <v>24793.39</v>
      </c>
      <c r="I92" s="355">
        <v>0</v>
      </c>
      <c r="J92" s="357">
        <v>5206.6099999999997</v>
      </c>
      <c r="K92" s="355">
        <v>5206.6099999999997</v>
      </c>
      <c r="L92" s="355">
        <v>30000</v>
      </c>
    </row>
    <row r="93" spans="1:12" x14ac:dyDescent="0.25">
      <c r="A93" s="223" t="s">
        <v>1516</v>
      </c>
      <c r="B93" s="223" t="s">
        <v>999</v>
      </c>
      <c r="C93" s="223" t="s">
        <v>1000</v>
      </c>
      <c r="D93" s="223" t="s">
        <v>989</v>
      </c>
      <c r="E93" s="223" t="s">
        <v>998</v>
      </c>
      <c r="F93" s="223" t="s">
        <v>991</v>
      </c>
      <c r="G93" s="223" t="s">
        <v>1577</v>
      </c>
      <c r="H93" s="355">
        <v>14876.03</v>
      </c>
      <c r="I93" s="355">
        <v>0</v>
      </c>
      <c r="J93" s="357">
        <v>3123.97</v>
      </c>
      <c r="K93" s="355">
        <v>3123.97</v>
      </c>
      <c r="L93" s="355">
        <v>18000</v>
      </c>
    </row>
    <row r="94" spans="1:12" x14ac:dyDescent="0.25">
      <c r="A94" s="223" t="s">
        <v>1516</v>
      </c>
      <c r="B94" s="223" t="s">
        <v>999</v>
      </c>
      <c r="C94" s="223" t="s">
        <v>1000</v>
      </c>
      <c r="D94" s="223" t="s">
        <v>989</v>
      </c>
      <c r="E94" s="223" t="s">
        <v>998</v>
      </c>
      <c r="F94" s="223" t="s">
        <v>991</v>
      </c>
      <c r="G94" s="223" t="s">
        <v>1583</v>
      </c>
      <c r="H94" s="355">
        <v>20661.16</v>
      </c>
      <c r="I94" s="355">
        <v>0</v>
      </c>
      <c r="J94" s="357">
        <v>4338.84</v>
      </c>
      <c r="K94" s="355">
        <v>4338.84</v>
      </c>
      <c r="L94" s="355">
        <v>25000</v>
      </c>
    </row>
    <row r="95" spans="1:12" x14ac:dyDescent="0.25">
      <c r="A95" s="223" t="s">
        <v>1516</v>
      </c>
      <c r="B95" s="223" t="s">
        <v>999</v>
      </c>
      <c r="C95" s="223" t="s">
        <v>1000</v>
      </c>
      <c r="D95" s="223" t="s">
        <v>989</v>
      </c>
      <c r="E95" s="223" t="s">
        <v>998</v>
      </c>
      <c r="F95" s="223" t="s">
        <v>991</v>
      </c>
      <c r="G95" s="223" t="s">
        <v>1587</v>
      </c>
      <c r="H95" s="355">
        <v>16528.93</v>
      </c>
      <c r="I95" s="355">
        <v>0</v>
      </c>
      <c r="J95" s="357">
        <v>3471.07</v>
      </c>
      <c r="K95" s="355">
        <v>3471.07</v>
      </c>
      <c r="L95" s="355">
        <v>20000</v>
      </c>
    </row>
    <row r="96" spans="1:12" x14ac:dyDescent="0.25">
      <c r="A96" s="223" t="s">
        <v>1516</v>
      </c>
      <c r="B96" s="223" t="s">
        <v>999</v>
      </c>
      <c r="C96" s="223" t="s">
        <v>1000</v>
      </c>
      <c r="D96" s="223" t="s">
        <v>989</v>
      </c>
      <c r="E96" s="223" t="s">
        <v>998</v>
      </c>
      <c r="F96" s="223" t="s">
        <v>991</v>
      </c>
      <c r="G96" s="223" t="s">
        <v>1588</v>
      </c>
      <c r="H96" s="355">
        <v>13223.14</v>
      </c>
      <c r="I96" s="355">
        <v>0</v>
      </c>
      <c r="J96" s="357">
        <v>2776.86</v>
      </c>
      <c r="K96" s="355">
        <v>2776.86</v>
      </c>
      <c r="L96" s="355">
        <v>16000</v>
      </c>
    </row>
    <row r="97" spans="1:12" x14ac:dyDescent="0.25">
      <c r="A97" s="223" t="s">
        <v>1516</v>
      </c>
      <c r="B97" s="223" t="s">
        <v>999</v>
      </c>
      <c r="C97" s="223" t="s">
        <v>1000</v>
      </c>
      <c r="D97" s="223" t="s">
        <v>989</v>
      </c>
      <c r="E97" s="223" t="s">
        <v>998</v>
      </c>
      <c r="F97" s="223" t="s">
        <v>991</v>
      </c>
      <c r="G97" s="223" t="s">
        <v>1595</v>
      </c>
      <c r="H97" s="355">
        <v>29752.07</v>
      </c>
      <c r="I97" s="355">
        <v>0</v>
      </c>
      <c r="J97" s="357">
        <v>6247.93</v>
      </c>
      <c r="K97" s="355">
        <v>6247.93</v>
      </c>
      <c r="L97" s="355">
        <v>36000</v>
      </c>
    </row>
    <row r="98" spans="1:12" x14ac:dyDescent="0.25">
      <c r="A98" s="223" t="s">
        <v>1516</v>
      </c>
      <c r="B98" s="223" t="s">
        <v>999</v>
      </c>
      <c r="C98" s="223" t="s">
        <v>1000</v>
      </c>
      <c r="D98" s="223" t="s">
        <v>989</v>
      </c>
      <c r="E98" s="223" t="s">
        <v>998</v>
      </c>
      <c r="F98" s="223" t="s">
        <v>991</v>
      </c>
      <c r="G98" s="223" t="s">
        <v>1597</v>
      </c>
      <c r="H98" s="355">
        <v>14462.81</v>
      </c>
      <c r="I98" s="355">
        <v>0</v>
      </c>
      <c r="J98" s="357">
        <v>3037.19</v>
      </c>
      <c r="K98" s="355">
        <v>3037.19</v>
      </c>
      <c r="L98" s="355">
        <v>17500</v>
      </c>
    </row>
    <row r="99" spans="1:12" x14ac:dyDescent="0.25">
      <c r="A99" s="223" t="s">
        <v>1516</v>
      </c>
      <c r="B99" s="223" t="s">
        <v>999</v>
      </c>
      <c r="C99" s="223" t="s">
        <v>1000</v>
      </c>
      <c r="D99" s="223" t="s">
        <v>989</v>
      </c>
      <c r="E99" s="223" t="s">
        <v>998</v>
      </c>
      <c r="F99" s="223" t="s">
        <v>991</v>
      </c>
      <c r="G99" s="223" t="s">
        <v>1517</v>
      </c>
      <c r="H99" s="355">
        <v>33884.300000000003</v>
      </c>
      <c r="I99" s="355">
        <v>0</v>
      </c>
      <c r="J99" s="357">
        <v>7115.7</v>
      </c>
      <c r="K99" s="355">
        <v>7115.7</v>
      </c>
      <c r="L99" s="355">
        <v>41000</v>
      </c>
    </row>
    <row r="100" spans="1:12" x14ac:dyDescent="0.25">
      <c r="A100" s="223" t="s">
        <v>1598</v>
      </c>
      <c r="B100" s="223" t="s">
        <v>999</v>
      </c>
      <c r="C100" s="223" t="s">
        <v>1000</v>
      </c>
      <c r="D100" s="223" t="s">
        <v>989</v>
      </c>
      <c r="E100" s="223" t="s">
        <v>998</v>
      </c>
      <c r="F100" s="223" t="s">
        <v>991</v>
      </c>
      <c r="G100" s="223" t="s">
        <v>1599</v>
      </c>
      <c r="H100" s="355">
        <v>10743.8</v>
      </c>
      <c r="I100" s="355">
        <v>0</v>
      </c>
      <c r="J100" s="357">
        <v>2256.1999999999998</v>
      </c>
      <c r="K100" s="355">
        <v>2256.1999999999998</v>
      </c>
      <c r="L100" s="355">
        <v>13000</v>
      </c>
    </row>
    <row r="101" spans="1:12" x14ac:dyDescent="0.25">
      <c r="A101" s="223" t="s">
        <v>1598</v>
      </c>
      <c r="B101" s="223" t="s">
        <v>999</v>
      </c>
      <c r="C101" s="223" t="s">
        <v>1000</v>
      </c>
      <c r="D101" s="223" t="s">
        <v>989</v>
      </c>
      <c r="E101" s="223" t="s">
        <v>998</v>
      </c>
      <c r="F101" s="223" t="s">
        <v>991</v>
      </c>
      <c r="G101" s="223" t="s">
        <v>1600</v>
      </c>
      <c r="H101" s="355">
        <v>17355.37</v>
      </c>
      <c r="I101" s="355">
        <v>0</v>
      </c>
      <c r="J101" s="357">
        <v>3644.63</v>
      </c>
      <c r="K101" s="355">
        <v>3644.63</v>
      </c>
      <c r="L101" s="355">
        <v>21000</v>
      </c>
    </row>
    <row r="102" spans="1:12" x14ac:dyDescent="0.25">
      <c r="A102" s="223" t="s">
        <v>1598</v>
      </c>
      <c r="B102" s="223" t="s">
        <v>999</v>
      </c>
      <c r="C102" s="223" t="s">
        <v>1000</v>
      </c>
      <c r="D102" s="223" t="s">
        <v>989</v>
      </c>
      <c r="E102" s="223" t="s">
        <v>998</v>
      </c>
      <c r="F102" s="223" t="s">
        <v>991</v>
      </c>
      <c r="G102" s="223" t="s">
        <v>1601</v>
      </c>
      <c r="H102" s="355">
        <v>17603.310000000001</v>
      </c>
      <c r="I102" s="355">
        <v>0</v>
      </c>
      <c r="J102" s="357">
        <v>3696.69</v>
      </c>
      <c r="K102" s="355">
        <v>3696.69</v>
      </c>
      <c r="L102" s="355">
        <v>21300</v>
      </c>
    </row>
    <row r="103" spans="1:12" x14ac:dyDescent="0.25">
      <c r="A103" s="223" t="s">
        <v>1598</v>
      </c>
      <c r="B103" s="223" t="s">
        <v>1285</v>
      </c>
      <c r="C103" s="223" t="s">
        <v>1286</v>
      </c>
      <c r="D103" s="223" t="s">
        <v>989</v>
      </c>
      <c r="E103" s="223" t="s">
        <v>998</v>
      </c>
      <c r="F103" s="223" t="s">
        <v>991</v>
      </c>
      <c r="G103" s="223" t="s">
        <v>1602</v>
      </c>
      <c r="H103" s="355">
        <v>14876.03</v>
      </c>
      <c r="I103" s="355">
        <v>0</v>
      </c>
      <c r="J103" s="357">
        <v>3123.97</v>
      </c>
      <c r="K103" s="355">
        <v>3123.97</v>
      </c>
      <c r="L103" s="355">
        <v>18000</v>
      </c>
    </row>
    <row r="104" spans="1:12" x14ac:dyDescent="0.25">
      <c r="A104" s="223" t="s">
        <v>1598</v>
      </c>
      <c r="B104" s="223" t="s">
        <v>999</v>
      </c>
      <c r="C104" s="223" t="s">
        <v>1000</v>
      </c>
      <c r="D104" s="223" t="s">
        <v>989</v>
      </c>
      <c r="E104" s="223" t="s">
        <v>998</v>
      </c>
      <c r="F104" s="223" t="s">
        <v>991</v>
      </c>
      <c r="G104" s="223" t="s">
        <v>1603</v>
      </c>
      <c r="H104" s="355">
        <v>30495.87</v>
      </c>
      <c r="I104" s="355">
        <v>0</v>
      </c>
      <c r="J104" s="357">
        <v>6404.13</v>
      </c>
      <c r="K104" s="355">
        <v>6404.13</v>
      </c>
      <c r="L104" s="355">
        <v>36900</v>
      </c>
    </row>
    <row r="105" spans="1:12" x14ac:dyDescent="0.25">
      <c r="A105" s="223" t="s">
        <v>1598</v>
      </c>
      <c r="B105" s="223" t="s">
        <v>999</v>
      </c>
      <c r="C105" s="223" t="s">
        <v>1000</v>
      </c>
      <c r="D105" s="223" t="s">
        <v>989</v>
      </c>
      <c r="E105" s="223" t="s">
        <v>998</v>
      </c>
      <c r="F105" s="223" t="s">
        <v>991</v>
      </c>
      <c r="G105" s="223" t="s">
        <v>1604</v>
      </c>
      <c r="H105" s="355">
        <v>29752.07</v>
      </c>
      <c r="I105" s="355">
        <v>0</v>
      </c>
      <c r="J105" s="357">
        <v>6247.93</v>
      </c>
      <c r="K105" s="355">
        <v>6247.93</v>
      </c>
      <c r="L105" s="355">
        <v>36000</v>
      </c>
    </row>
    <row r="106" spans="1:12" x14ac:dyDescent="0.25">
      <c r="A106" s="223" t="s">
        <v>1598</v>
      </c>
      <c r="B106" s="223" t="s">
        <v>999</v>
      </c>
      <c r="C106" s="223" t="s">
        <v>1000</v>
      </c>
      <c r="D106" s="223" t="s">
        <v>989</v>
      </c>
      <c r="E106" s="223" t="s">
        <v>998</v>
      </c>
      <c r="F106" s="223" t="s">
        <v>991</v>
      </c>
      <c r="G106" s="223" t="s">
        <v>1605</v>
      </c>
      <c r="H106" s="355">
        <v>14876.03</v>
      </c>
      <c r="I106" s="355">
        <v>0</v>
      </c>
      <c r="J106" s="357">
        <v>3123.97</v>
      </c>
      <c r="K106" s="355">
        <v>3123.97</v>
      </c>
      <c r="L106" s="355">
        <v>18000</v>
      </c>
    </row>
    <row r="107" spans="1:12" x14ac:dyDescent="0.25">
      <c r="A107" s="223" t="s">
        <v>1598</v>
      </c>
      <c r="B107" s="223" t="s">
        <v>999</v>
      </c>
      <c r="C107" s="223" t="s">
        <v>1000</v>
      </c>
      <c r="D107" s="223" t="s">
        <v>989</v>
      </c>
      <c r="E107" s="223" t="s">
        <v>998</v>
      </c>
      <c r="F107" s="223" t="s">
        <v>991</v>
      </c>
      <c r="G107" s="223" t="s">
        <v>1606</v>
      </c>
      <c r="H107" s="355">
        <v>12975.21</v>
      </c>
      <c r="I107" s="355">
        <v>0</v>
      </c>
      <c r="J107" s="357">
        <v>2724.79</v>
      </c>
      <c r="K107" s="355">
        <v>2724.79</v>
      </c>
      <c r="L107" s="355">
        <v>15700</v>
      </c>
    </row>
    <row r="108" spans="1:12" x14ac:dyDescent="0.25">
      <c r="A108" s="223" t="s">
        <v>1598</v>
      </c>
      <c r="B108" s="223" t="s">
        <v>999</v>
      </c>
      <c r="C108" s="223" t="s">
        <v>1000</v>
      </c>
      <c r="D108" s="223" t="s">
        <v>989</v>
      </c>
      <c r="E108" s="223" t="s">
        <v>998</v>
      </c>
      <c r="F108" s="223" t="s">
        <v>991</v>
      </c>
      <c r="G108" s="223" t="s">
        <v>1607</v>
      </c>
      <c r="H108" s="355">
        <v>15702.48</v>
      </c>
      <c r="I108" s="355">
        <v>0</v>
      </c>
      <c r="J108" s="357">
        <v>3297.52</v>
      </c>
      <c r="K108" s="355">
        <v>3297.52</v>
      </c>
      <c r="L108" s="355">
        <v>19000</v>
      </c>
    </row>
    <row r="109" spans="1:12" x14ac:dyDescent="0.25">
      <c r="A109" s="223" t="s">
        <v>1598</v>
      </c>
      <c r="B109" s="223" t="s">
        <v>999</v>
      </c>
      <c r="C109" s="223" t="s">
        <v>1000</v>
      </c>
      <c r="D109" s="223" t="s">
        <v>989</v>
      </c>
      <c r="E109" s="223" t="s">
        <v>998</v>
      </c>
      <c r="F109" s="223" t="s">
        <v>991</v>
      </c>
      <c r="G109" s="223" t="s">
        <v>1608</v>
      </c>
      <c r="H109" s="355">
        <v>16528.93</v>
      </c>
      <c r="I109" s="355">
        <v>0</v>
      </c>
      <c r="J109" s="357">
        <v>3471.07</v>
      </c>
      <c r="K109" s="355">
        <v>3471.07</v>
      </c>
      <c r="L109" s="355">
        <v>20000</v>
      </c>
    </row>
    <row r="110" spans="1:12" x14ac:dyDescent="0.25">
      <c r="A110" s="223" t="s">
        <v>1598</v>
      </c>
      <c r="B110" s="223" t="s">
        <v>999</v>
      </c>
      <c r="C110" s="223" t="s">
        <v>1000</v>
      </c>
      <c r="D110" s="223" t="s">
        <v>989</v>
      </c>
      <c r="E110" s="223" t="s">
        <v>998</v>
      </c>
      <c r="F110" s="223" t="s">
        <v>991</v>
      </c>
      <c r="G110" s="223" t="s">
        <v>1609</v>
      </c>
      <c r="H110" s="355">
        <v>312396.69</v>
      </c>
      <c r="I110" s="355">
        <v>0</v>
      </c>
      <c r="J110" s="357">
        <v>65603.31</v>
      </c>
      <c r="K110" s="355">
        <v>65603.31</v>
      </c>
      <c r="L110" s="355">
        <v>378000</v>
      </c>
    </row>
    <row r="111" spans="1:12" x14ac:dyDescent="0.25">
      <c r="A111" s="223" t="s">
        <v>1598</v>
      </c>
      <c r="B111" s="223" t="s">
        <v>999</v>
      </c>
      <c r="C111" s="223" t="s">
        <v>1000</v>
      </c>
      <c r="D111" s="223" t="s">
        <v>989</v>
      </c>
      <c r="E111" s="223" t="s">
        <v>998</v>
      </c>
      <c r="F111" s="223" t="s">
        <v>991</v>
      </c>
      <c r="G111" s="223" t="s">
        <v>1610</v>
      </c>
      <c r="H111" s="355">
        <v>107438.02</v>
      </c>
      <c r="I111" s="355">
        <v>0</v>
      </c>
      <c r="J111" s="357">
        <v>22561.98</v>
      </c>
      <c r="K111" s="355">
        <v>22561.98</v>
      </c>
      <c r="L111" s="355">
        <v>130000</v>
      </c>
    </row>
    <row r="112" spans="1:12" x14ac:dyDescent="0.25">
      <c r="A112" s="223" t="s">
        <v>1598</v>
      </c>
      <c r="B112" s="223" t="s">
        <v>999</v>
      </c>
      <c r="C112" s="223" t="s">
        <v>1000</v>
      </c>
      <c r="D112" s="223" t="s">
        <v>989</v>
      </c>
      <c r="E112" s="223" t="s">
        <v>998</v>
      </c>
      <c r="F112" s="223" t="s">
        <v>991</v>
      </c>
      <c r="G112" s="223" t="s">
        <v>1611</v>
      </c>
      <c r="H112" s="355">
        <v>33057.85</v>
      </c>
      <c r="I112" s="355">
        <v>0</v>
      </c>
      <c r="J112" s="357">
        <v>6942.15</v>
      </c>
      <c r="K112" s="355">
        <v>6942.15</v>
      </c>
      <c r="L112" s="355">
        <v>40000</v>
      </c>
    </row>
    <row r="113" spans="1:12" x14ac:dyDescent="0.25">
      <c r="A113" s="223" t="s">
        <v>1598</v>
      </c>
      <c r="B113" s="223" t="s">
        <v>999</v>
      </c>
      <c r="C113" s="223" t="s">
        <v>1000</v>
      </c>
      <c r="D113" s="223" t="s">
        <v>989</v>
      </c>
      <c r="E113" s="223" t="s">
        <v>998</v>
      </c>
      <c r="F113" s="223" t="s">
        <v>991</v>
      </c>
      <c r="G113" s="223" t="s">
        <v>1612</v>
      </c>
      <c r="H113" s="355">
        <v>20661.16</v>
      </c>
      <c r="I113" s="355">
        <v>0</v>
      </c>
      <c r="J113" s="357">
        <v>4338.84</v>
      </c>
      <c r="K113" s="355">
        <v>4338.84</v>
      </c>
      <c r="L113" s="355">
        <v>25000</v>
      </c>
    </row>
    <row r="114" spans="1:12" x14ac:dyDescent="0.25">
      <c r="A114" s="223" t="s">
        <v>1598</v>
      </c>
      <c r="B114" s="223" t="s">
        <v>999</v>
      </c>
      <c r="C114" s="223" t="s">
        <v>1000</v>
      </c>
      <c r="D114" s="223" t="s">
        <v>989</v>
      </c>
      <c r="E114" s="223" t="s">
        <v>998</v>
      </c>
      <c r="F114" s="223" t="s">
        <v>991</v>
      </c>
      <c r="G114" s="223" t="s">
        <v>1613</v>
      </c>
      <c r="H114" s="355">
        <v>16528.93</v>
      </c>
      <c r="I114" s="355">
        <v>0</v>
      </c>
      <c r="J114" s="357">
        <v>3471.07</v>
      </c>
      <c r="K114" s="355">
        <v>3471.07</v>
      </c>
      <c r="L114" s="355">
        <v>20000</v>
      </c>
    </row>
    <row r="115" spans="1:12" x14ac:dyDescent="0.25">
      <c r="A115" s="223" t="s">
        <v>1598</v>
      </c>
      <c r="B115" s="223" t="s">
        <v>999</v>
      </c>
      <c r="C115" s="223" t="s">
        <v>1000</v>
      </c>
      <c r="D115" s="223" t="s">
        <v>989</v>
      </c>
      <c r="E115" s="223" t="s">
        <v>998</v>
      </c>
      <c r="F115" s="223" t="s">
        <v>991</v>
      </c>
      <c r="G115" s="223" t="s">
        <v>1614</v>
      </c>
      <c r="H115" s="355">
        <v>14876.03</v>
      </c>
      <c r="I115" s="355">
        <v>0</v>
      </c>
      <c r="J115" s="357">
        <v>3123.97</v>
      </c>
      <c r="K115" s="355">
        <v>3123.97</v>
      </c>
      <c r="L115" s="355">
        <v>18000</v>
      </c>
    </row>
    <row r="116" spans="1:12" x14ac:dyDescent="0.25">
      <c r="A116" s="223" t="s">
        <v>1598</v>
      </c>
      <c r="B116" s="223" t="s">
        <v>999</v>
      </c>
      <c r="C116" s="223" t="s">
        <v>1000</v>
      </c>
      <c r="D116" s="223" t="s">
        <v>989</v>
      </c>
      <c r="E116" s="223" t="s">
        <v>998</v>
      </c>
      <c r="F116" s="223" t="s">
        <v>991</v>
      </c>
      <c r="G116" s="223" t="s">
        <v>1615</v>
      </c>
      <c r="H116" s="355">
        <v>21074.38</v>
      </c>
      <c r="I116" s="355">
        <v>0</v>
      </c>
      <c r="J116" s="357">
        <v>4425.62</v>
      </c>
      <c r="K116" s="355">
        <v>4425.62</v>
      </c>
      <c r="L116" s="355">
        <v>25500</v>
      </c>
    </row>
    <row r="117" spans="1:12" x14ac:dyDescent="0.25">
      <c r="A117" s="223" t="s">
        <v>1598</v>
      </c>
      <c r="B117" s="223" t="s">
        <v>1535</v>
      </c>
      <c r="C117" s="223" t="s">
        <v>1536</v>
      </c>
      <c r="D117" s="223" t="s">
        <v>989</v>
      </c>
      <c r="E117" s="223" t="s">
        <v>998</v>
      </c>
      <c r="F117" s="223" t="s">
        <v>991</v>
      </c>
      <c r="G117" s="223" t="s">
        <v>1616</v>
      </c>
      <c r="H117" s="355">
        <v>74380.17</v>
      </c>
      <c r="I117" s="355">
        <v>0</v>
      </c>
      <c r="J117" s="357">
        <v>15619.83</v>
      </c>
      <c r="K117" s="355">
        <v>15619.83</v>
      </c>
      <c r="L117" s="355">
        <v>90000</v>
      </c>
    </row>
    <row r="118" spans="1:12" x14ac:dyDescent="0.25">
      <c r="A118" s="223" t="s">
        <v>1598</v>
      </c>
      <c r="B118" s="223" t="s">
        <v>999</v>
      </c>
      <c r="C118" s="223" t="s">
        <v>1000</v>
      </c>
      <c r="D118" s="223" t="s">
        <v>989</v>
      </c>
      <c r="E118" s="223" t="s">
        <v>998</v>
      </c>
      <c r="F118" s="223" t="s">
        <v>991</v>
      </c>
      <c r="G118" s="223" t="s">
        <v>1617</v>
      </c>
      <c r="H118" s="355">
        <v>20661.16</v>
      </c>
      <c r="I118" s="355">
        <v>0</v>
      </c>
      <c r="J118" s="357">
        <v>4338.84</v>
      </c>
      <c r="K118" s="355">
        <v>4338.84</v>
      </c>
      <c r="L118" s="355">
        <v>25000</v>
      </c>
    </row>
    <row r="119" spans="1:12" x14ac:dyDescent="0.25">
      <c r="A119" s="223" t="s">
        <v>1598</v>
      </c>
      <c r="B119" s="223" t="s">
        <v>999</v>
      </c>
      <c r="C119" s="223" t="s">
        <v>1000</v>
      </c>
      <c r="D119" s="223" t="s">
        <v>989</v>
      </c>
      <c r="E119" s="223" t="s">
        <v>998</v>
      </c>
      <c r="F119" s="223" t="s">
        <v>991</v>
      </c>
      <c r="G119" s="223" t="s">
        <v>1618</v>
      </c>
      <c r="H119" s="355">
        <v>2396.69</v>
      </c>
      <c r="I119" s="355">
        <v>0</v>
      </c>
      <c r="J119" s="357">
        <v>503.31</v>
      </c>
      <c r="K119" s="355">
        <v>503.31</v>
      </c>
      <c r="L119" s="355">
        <v>2900</v>
      </c>
    </row>
    <row r="120" spans="1:12" x14ac:dyDescent="0.25">
      <c r="A120" s="223" t="s">
        <v>1619</v>
      </c>
      <c r="B120" s="223" t="s">
        <v>999</v>
      </c>
      <c r="C120" s="223" t="s">
        <v>1000</v>
      </c>
      <c r="D120" s="223" t="s">
        <v>989</v>
      </c>
      <c r="E120" s="223" t="s">
        <v>998</v>
      </c>
      <c r="F120" s="223" t="s">
        <v>991</v>
      </c>
      <c r="G120" s="223" t="s">
        <v>1620</v>
      </c>
      <c r="H120" s="355">
        <v>20661.16</v>
      </c>
      <c r="I120" s="355">
        <v>0</v>
      </c>
      <c r="J120" s="357">
        <v>4338.84</v>
      </c>
      <c r="K120" s="355">
        <v>4338.84</v>
      </c>
      <c r="L120" s="355">
        <v>25000</v>
      </c>
    </row>
    <row r="121" spans="1:12" x14ac:dyDescent="0.25">
      <c r="A121" s="223" t="s">
        <v>1619</v>
      </c>
      <c r="B121" s="223" t="s">
        <v>999</v>
      </c>
      <c r="C121" s="223" t="s">
        <v>1000</v>
      </c>
      <c r="D121" s="223" t="s">
        <v>989</v>
      </c>
      <c r="E121" s="223" t="s">
        <v>998</v>
      </c>
      <c r="F121" s="223" t="s">
        <v>991</v>
      </c>
      <c r="G121" s="223" t="s">
        <v>1627</v>
      </c>
      <c r="H121" s="355">
        <v>12396.69</v>
      </c>
      <c r="I121" s="355">
        <v>0</v>
      </c>
      <c r="J121" s="357">
        <v>2603.31</v>
      </c>
      <c r="K121" s="355">
        <v>2603.31</v>
      </c>
      <c r="L121" s="355">
        <v>15000</v>
      </c>
    </row>
    <row r="122" spans="1:12" x14ac:dyDescent="0.25">
      <c r="A122" s="223" t="s">
        <v>1619</v>
      </c>
      <c r="B122" s="223" t="s">
        <v>999</v>
      </c>
      <c r="C122" s="223" t="s">
        <v>1000</v>
      </c>
      <c r="D122" s="223" t="s">
        <v>989</v>
      </c>
      <c r="E122" s="223" t="s">
        <v>998</v>
      </c>
      <c r="F122" s="223" t="s">
        <v>991</v>
      </c>
      <c r="G122" s="223" t="s">
        <v>1629</v>
      </c>
      <c r="H122" s="355">
        <v>18595.04</v>
      </c>
      <c r="I122" s="355">
        <v>0</v>
      </c>
      <c r="J122" s="357">
        <v>3904.96</v>
      </c>
      <c r="K122" s="355">
        <v>3904.96</v>
      </c>
      <c r="L122" s="355">
        <v>22500</v>
      </c>
    </row>
    <row r="123" spans="1:12" x14ac:dyDescent="0.25">
      <c r="A123" s="223" t="s">
        <v>1619</v>
      </c>
      <c r="B123" s="223" t="s">
        <v>999</v>
      </c>
      <c r="C123" s="223" t="s">
        <v>1000</v>
      </c>
      <c r="D123" s="223" t="s">
        <v>989</v>
      </c>
      <c r="E123" s="223" t="s">
        <v>998</v>
      </c>
      <c r="F123" s="223" t="s">
        <v>991</v>
      </c>
      <c r="G123" s="223" t="s">
        <v>1630</v>
      </c>
      <c r="H123" s="355">
        <v>14049.59</v>
      </c>
      <c r="I123" s="355">
        <v>0</v>
      </c>
      <c r="J123" s="357">
        <v>2950.41</v>
      </c>
      <c r="K123" s="355">
        <v>2950.41</v>
      </c>
      <c r="L123" s="355">
        <v>17000</v>
      </c>
    </row>
    <row r="124" spans="1:12" x14ac:dyDescent="0.25">
      <c r="A124" s="223" t="s">
        <v>1619</v>
      </c>
      <c r="B124" s="223" t="s">
        <v>999</v>
      </c>
      <c r="C124" s="223" t="s">
        <v>1000</v>
      </c>
      <c r="D124" s="223" t="s">
        <v>989</v>
      </c>
      <c r="E124" s="223" t="s">
        <v>998</v>
      </c>
      <c r="F124" s="223" t="s">
        <v>991</v>
      </c>
      <c r="G124" s="223" t="s">
        <v>1631</v>
      </c>
      <c r="H124" s="355">
        <v>18595.04</v>
      </c>
      <c r="I124" s="355">
        <v>0</v>
      </c>
      <c r="J124" s="357">
        <v>3904.96</v>
      </c>
      <c r="K124" s="355">
        <v>3904.96</v>
      </c>
      <c r="L124" s="355">
        <v>22500</v>
      </c>
    </row>
    <row r="125" spans="1:12" x14ac:dyDescent="0.25">
      <c r="A125" s="223" t="s">
        <v>1619</v>
      </c>
      <c r="B125" s="223" t="s">
        <v>999</v>
      </c>
      <c r="C125" s="223" t="s">
        <v>1000</v>
      </c>
      <c r="D125" s="223" t="s">
        <v>989</v>
      </c>
      <c r="E125" s="223" t="s">
        <v>998</v>
      </c>
      <c r="F125" s="223" t="s">
        <v>991</v>
      </c>
      <c r="G125" s="223" t="s">
        <v>1632</v>
      </c>
      <c r="H125" s="355">
        <v>14049.59</v>
      </c>
      <c r="I125" s="355">
        <v>0</v>
      </c>
      <c r="J125" s="357">
        <v>2950.41</v>
      </c>
      <c r="K125" s="355">
        <v>2950.41</v>
      </c>
      <c r="L125" s="355">
        <v>17000</v>
      </c>
    </row>
    <row r="126" spans="1:12" x14ac:dyDescent="0.25">
      <c r="A126" s="223" t="s">
        <v>1619</v>
      </c>
      <c r="B126" s="223" t="s">
        <v>999</v>
      </c>
      <c r="C126" s="223" t="s">
        <v>1000</v>
      </c>
      <c r="D126" s="223" t="s">
        <v>989</v>
      </c>
      <c r="E126" s="223" t="s">
        <v>998</v>
      </c>
      <c r="F126" s="223" t="s">
        <v>991</v>
      </c>
      <c r="G126" s="223" t="s">
        <v>1633</v>
      </c>
      <c r="H126" s="355">
        <v>14876.03</v>
      </c>
      <c r="I126" s="355">
        <v>0</v>
      </c>
      <c r="J126" s="357">
        <v>3123.97</v>
      </c>
      <c r="K126" s="355">
        <v>3123.97</v>
      </c>
      <c r="L126" s="355">
        <v>18000</v>
      </c>
    </row>
    <row r="127" spans="1:12" x14ac:dyDescent="0.25">
      <c r="A127" s="223" t="s">
        <v>1619</v>
      </c>
      <c r="B127" s="223" t="s">
        <v>999</v>
      </c>
      <c r="C127" s="223" t="s">
        <v>1000</v>
      </c>
      <c r="D127" s="223" t="s">
        <v>989</v>
      </c>
      <c r="E127" s="223" t="s">
        <v>998</v>
      </c>
      <c r="F127" s="223" t="s">
        <v>991</v>
      </c>
      <c r="G127" s="223" t="s">
        <v>1634</v>
      </c>
      <c r="H127" s="355">
        <v>14876.03</v>
      </c>
      <c r="I127" s="355">
        <v>0</v>
      </c>
      <c r="J127" s="357">
        <v>3123.97</v>
      </c>
      <c r="K127" s="355">
        <v>3123.97</v>
      </c>
      <c r="L127" s="355">
        <v>18000</v>
      </c>
    </row>
    <row r="128" spans="1:12" x14ac:dyDescent="0.25">
      <c r="A128" s="223" t="s">
        <v>1619</v>
      </c>
      <c r="B128" s="223" t="s">
        <v>999</v>
      </c>
      <c r="C128" s="223" t="s">
        <v>1000</v>
      </c>
      <c r="D128" s="223" t="s">
        <v>989</v>
      </c>
      <c r="E128" s="223" t="s">
        <v>998</v>
      </c>
      <c r="F128" s="223" t="s">
        <v>991</v>
      </c>
      <c r="G128" s="223" t="s">
        <v>1635</v>
      </c>
      <c r="H128" s="355">
        <v>10743.8</v>
      </c>
      <c r="I128" s="355">
        <v>0</v>
      </c>
      <c r="J128" s="357">
        <v>2256.1999999999998</v>
      </c>
      <c r="K128" s="355">
        <v>2256.1999999999998</v>
      </c>
      <c r="L128" s="355">
        <v>13000</v>
      </c>
    </row>
    <row r="129" spans="1:12" x14ac:dyDescent="0.25">
      <c r="A129" s="223" t="s">
        <v>1619</v>
      </c>
      <c r="B129" s="223" t="s">
        <v>999</v>
      </c>
      <c r="C129" s="223" t="s">
        <v>1000</v>
      </c>
      <c r="D129" s="223" t="s">
        <v>989</v>
      </c>
      <c r="E129" s="223" t="s">
        <v>998</v>
      </c>
      <c r="F129" s="223" t="s">
        <v>991</v>
      </c>
      <c r="G129" s="223" t="s">
        <v>1636</v>
      </c>
      <c r="H129" s="355">
        <v>14462.81</v>
      </c>
      <c r="I129" s="355">
        <v>0</v>
      </c>
      <c r="J129" s="357">
        <v>3037.19</v>
      </c>
      <c r="K129" s="355">
        <v>3037.19</v>
      </c>
      <c r="L129" s="355">
        <v>17500</v>
      </c>
    </row>
    <row r="130" spans="1:12" x14ac:dyDescent="0.25">
      <c r="A130" s="223" t="s">
        <v>1619</v>
      </c>
      <c r="B130" s="223" t="s">
        <v>999</v>
      </c>
      <c r="C130" s="223" t="s">
        <v>1000</v>
      </c>
      <c r="D130" s="223" t="s">
        <v>989</v>
      </c>
      <c r="E130" s="223" t="s">
        <v>998</v>
      </c>
      <c r="F130" s="223" t="s">
        <v>991</v>
      </c>
      <c r="G130" s="223" t="s">
        <v>1637</v>
      </c>
      <c r="H130" s="355">
        <v>20661.16</v>
      </c>
      <c r="I130" s="355">
        <v>0</v>
      </c>
      <c r="J130" s="357">
        <v>4338.84</v>
      </c>
      <c r="K130" s="355">
        <v>4338.84</v>
      </c>
      <c r="L130" s="355">
        <v>25000</v>
      </c>
    </row>
    <row r="131" spans="1:12" x14ac:dyDescent="0.25">
      <c r="A131" s="223" t="s">
        <v>1619</v>
      </c>
      <c r="B131" s="223" t="s">
        <v>999</v>
      </c>
      <c r="C131" s="223" t="s">
        <v>1000</v>
      </c>
      <c r="D131" s="223" t="s">
        <v>989</v>
      </c>
      <c r="E131" s="223" t="s">
        <v>998</v>
      </c>
      <c r="F131" s="223" t="s">
        <v>991</v>
      </c>
      <c r="G131" s="223" t="s">
        <v>1638</v>
      </c>
      <c r="H131" s="355">
        <v>12644.63</v>
      </c>
      <c r="I131" s="355">
        <v>0</v>
      </c>
      <c r="J131" s="357">
        <v>2655.37</v>
      </c>
      <c r="K131" s="355">
        <v>2655.37</v>
      </c>
      <c r="L131" s="355">
        <v>15300</v>
      </c>
    </row>
    <row r="132" spans="1:12" x14ac:dyDescent="0.25">
      <c r="A132" s="223" t="s">
        <v>1619</v>
      </c>
      <c r="B132" s="223" t="s">
        <v>999</v>
      </c>
      <c r="C132" s="223" t="s">
        <v>1000</v>
      </c>
      <c r="D132" s="223" t="s">
        <v>989</v>
      </c>
      <c r="E132" s="223" t="s">
        <v>998</v>
      </c>
      <c r="F132" s="223" t="s">
        <v>991</v>
      </c>
      <c r="G132" s="223" t="s">
        <v>1641</v>
      </c>
      <c r="H132" s="355">
        <v>46280.99</v>
      </c>
      <c r="I132" s="355">
        <v>0</v>
      </c>
      <c r="J132" s="357">
        <v>9719.01</v>
      </c>
      <c r="K132" s="355">
        <v>9719.01</v>
      </c>
      <c r="L132" s="355">
        <v>56000</v>
      </c>
    </row>
    <row r="133" spans="1:12" x14ac:dyDescent="0.25">
      <c r="A133" s="223" t="s">
        <v>1619</v>
      </c>
      <c r="B133" s="223" t="s">
        <v>1642</v>
      </c>
      <c r="C133" s="223" t="s">
        <v>1643</v>
      </c>
      <c r="D133" s="223" t="s">
        <v>989</v>
      </c>
      <c r="E133" s="223" t="s">
        <v>998</v>
      </c>
      <c r="F133" s="223" t="s">
        <v>991</v>
      </c>
      <c r="G133" s="223" t="s">
        <v>1644</v>
      </c>
      <c r="H133" s="355">
        <v>41322.31</v>
      </c>
      <c r="I133" s="355">
        <v>0</v>
      </c>
      <c r="J133" s="357">
        <v>8677.69</v>
      </c>
      <c r="K133" s="355">
        <v>8677.69</v>
      </c>
      <c r="L133" s="355">
        <v>50000</v>
      </c>
    </row>
    <row r="134" spans="1:12" x14ac:dyDescent="0.25">
      <c r="A134" s="223" t="s">
        <v>1647</v>
      </c>
      <c r="B134" s="223" t="s">
        <v>999</v>
      </c>
      <c r="C134" s="223" t="s">
        <v>1000</v>
      </c>
      <c r="D134" s="223" t="s">
        <v>989</v>
      </c>
      <c r="E134" s="223" t="s">
        <v>998</v>
      </c>
      <c r="F134" s="223" t="s">
        <v>991</v>
      </c>
      <c r="G134" s="223" t="s">
        <v>1648</v>
      </c>
      <c r="H134" s="355">
        <v>29752.07</v>
      </c>
      <c r="I134" s="355">
        <v>0</v>
      </c>
      <c r="J134" s="357">
        <v>6247.93</v>
      </c>
      <c r="K134" s="355">
        <v>6247.93</v>
      </c>
      <c r="L134" s="355">
        <v>36000</v>
      </c>
    </row>
    <row r="135" spans="1:12" x14ac:dyDescent="0.25">
      <c r="A135" s="223" t="s">
        <v>1647</v>
      </c>
      <c r="B135" s="223" t="s">
        <v>999</v>
      </c>
      <c r="C135" s="223" t="s">
        <v>1000</v>
      </c>
      <c r="D135" s="223" t="s">
        <v>989</v>
      </c>
      <c r="E135" s="223" t="s">
        <v>998</v>
      </c>
      <c r="F135" s="223" t="s">
        <v>991</v>
      </c>
      <c r="G135" s="223" t="s">
        <v>1652</v>
      </c>
      <c r="H135" s="355">
        <v>28925.62</v>
      </c>
      <c r="I135" s="355">
        <v>0</v>
      </c>
      <c r="J135" s="357">
        <v>6074.38</v>
      </c>
      <c r="K135" s="355">
        <v>6074.38</v>
      </c>
      <c r="L135" s="355">
        <v>35000</v>
      </c>
    </row>
    <row r="136" spans="1:12" x14ac:dyDescent="0.25">
      <c r="A136" s="223" t="s">
        <v>1647</v>
      </c>
      <c r="B136" s="223" t="s">
        <v>999</v>
      </c>
      <c r="C136" s="223" t="s">
        <v>1000</v>
      </c>
      <c r="D136" s="223" t="s">
        <v>989</v>
      </c>
      <c r="E136" s="223" t="s">
        <v>998</v>
      </c>
      <c r="F136" s="223" t="s">
        <v>991</v>
      </c>
      <c r="G136" s="223" t="s">
        <v>1653</v>
      </c>
      <c r="H136" s="355">
        <v>5371.9</v>
      </c>
      <c r="I136" s="355">
        <v>0</v>
      </c>
      <c r="J136" s="357">
        <v>1128.0999999999999</v>
      </c>
      <c r="K136" s="355">
        <v>1128.0999999999999</v>
      </c>
      <c r="L136" s="355">
        <v>6500</v>
      </c>
    </row>
    <row r="137" spans="1:12" x14ac:dyDescent="0.25">
      <c r="A137" s="223" t="s">
        <v>1647</v>
      </c>
      <c r="B137" s="223" t="s">
        <v>999</v>
      </c>
      <c r="C137" s="223" t="s">
        <v>1000</v>
      </c>
      <c r="D137" s="223" t="s">
        <v>989</v>
      </c>
      <c r="E137" s="223" t="s">
        <v>998</v>
      </c>
      <c r="F137" s="223" t="s">
        <v>991</v>
      </c>
      <c r="G137" s="223" t="s">
        <v>1654</v>
      </c>
      <c r="H137" s="355">
        <v>36363.64</v>
      </c>
      <c r="I137" s="355">
        <v>0</v>
      </c>
      <c r="J137" s="357">
        <v>7636.36</v>
      </c>
      <c r="K137" s="355">
        <v>7636.36</v>
      </c>
      <c r="L137" s="355">
        <v>44000</v>
      </c>
    </row>
    <row r="138" spans="1:12" x14ac:dyDescent="0.25">
      <c r="A138" s="223" t="s">
        <v>1647</v>
      </c>
      <c r="B138" s="223" t="s">
        <v>999</v>
      </c>
      <c r="C138" s="223" t="s">
        <v>1000</v>
      </c>
      <c r="D138" s="223" t="s">
        <v>989</v>
      </c>
      <c r="E138" s="223" t="s">
        <v>998</v>
      </c>
      <c r="F138" s="223" t="s">
        <v>991</v>
      </c>
      <c r="G138" s="223" t="s">
        <v>1658</v>
      </c>
      <c r="H138" s="355">
        <v>18595.04</v>
      </c>
      <c r="I138" s="355">
        <v>0</v>
      </c>
      <c r="J138" s="357">
        <v>3904.96</v>
      </c>
      <c r="K138" s="355">
        <v>3904.96</v>
      </c>
      <c r="L138" s="355">
        <v>22500</v>
      </c>
    </row>
    <row r="139" spans="1:12" x14ac:dyDescent="0.25">
      <c r="A139" s="223" t="s">
        <v>1647</v>
      </c>
      <c r="B139" s="223" t="s">
        <v>999</v>
      </c>
      <c r="C139" s="223" t="s">
        <v>1000</v>
      </c>
      <c r="D139" s="223" t="s">
        <v>989</v>
      </c>
      <c r="E139" s="223" t="s">
        <v>998</v>
      </c>
      <c r="F139" s="223" t="s">
        <v>991</v>
      </c>
      <c r="G139" s="223" t="s">
        <v>1659</v>
      </c>
      <c r="H139" s="355">
        <v>24793.39</v>
      </c>
      <c r="I139" s="355">
        <v>0</v>
      </c>
      <c r="J139" s="357">
        <v>5206.6099999999997</v>
      </c>
      <c r="K139" s="355">
        <v>5206.6099999999997</v>
      </c>
      <c r="L139" s="355">
        <v>30000</v>
      </c>
    </row>
    <row r="140" spans="1:12" x14ac:dyDescent="0.25">
      <c r="A140" s="223" t="s">
        <v>1647</v>
      </c>
      <c r="B140" s="223" t="s">
        <v>999</v>
      </c>
      <c r="C140" s="223" t="s">
        <v>1000</v>
      </c>
      <c r="D140" s="223" t="s">
        <v>989</v>
      </c>
      <c r="E140" s="223" t="s">
        <v>998</v>
      </c>
      <c r="F140" s="223" t="s">
        <v>991</v>
      </c>
      <c r="G140" s="223" t="s">
        <v>1660</v>
      </c>
      <c r="H140" s="355">
        <v>29752.07</v>
      </c>
      <c r="I140" s="355">
        <v>0</v>
      </c>
      <c r="J140" s="357">
        <v>6247.93</v>
      </c>
      <c r="K140" s="355">
        <v>6247.93</v>
      </c>
      <c r="L140" s="355">
        <v>36000</v>
      </c>
    </row>
    <row r="141" spans="1:12" x14ac:dyDescent="0.25">
      <c r="A141" s="223" t="s">
        <v>1647</v>
      </c>
      <c r="B141" s="223" t="s">
        <v>1661</v>
      </c>
      <c r="C141" s="223" t="s">
        <v>1662</v>
      </c>
      <c r="D141" s="223" t="s">
        <v>989</v>
      </c>
      <c r="E141" s="223" t="s">
        <v>998</v>
      </c>
      <c r="F141" s="223" t="s">
        <v>991</v>
      </c>
      <c r="G141" s="223" t="s">
        <v>1663</v>
      </c>
      <c r="H141" s="355">
        <v>41322.31</v>
      </c>
      <c r="I141" s="355">
        <v>0</v>
      </c>
      <c r="J141" s="357">
        <v>8677.69</v>
      </c>
      <c r="K141" s="355">
        <v>8677.69</v>
      </c>
      <c r="L141" s="355">
        <v>50000</v>
      </c>
    </row>
    <row r="142" spans="1:12" x14ac:dyDescent="0.25">
      <c r="A142" s="223" t="s">
        <v>1647</v>
      </c>
      <c r="B142" s="223" t="s">
        <v>999</v>
      </c>
      <c r="C142" s="223" t="s">
        <v>1000</v>
      </c>
      <c r="D142" s="223" t="s">
        <v>989</v>
      </c>
      <c r="E142" s="223" t="s">
        <v>998</v>
      </c>
      <c r="F142" s="223" t="s">
        <v>991</v>
      </c>
      <c r="G142" s="223" t="s">
        <v>1664</v>
      </c>
      <c r="H142" s="355">
        <v>3305.79</v>
      </c>
      <c r="I142" s="355">
        <v>0</v>
      </c>
      <c r="J142" s="357">
        <v>694.21</v>
      </c>
      <c r="K142" s="355">
        <v>694.21</v>
      </c>
      <c r="L142" s="355">
        <v>4000</v>
      </c>
    </row>
    <row r="143" spans="1:12" x14ac:dyDescent="0.25">
      <c r="A143" s="223" t="s">
        <v>1647</v>
      </c>
      <c r="B143" s="223" t="s">
        <v>999</v>
      </c>
      <c r="C143" s="223" t="s">
        <v>1000</v>
      </c>
      <c r="D143" s="223" t="s">
        <v>989</v>
      </c>
      <c r="E143" s="223" t="s">
        <v>998</v>
      </c>
      <c r="F143" s="223" t="s">
        <v>991</v>
      </c>
      <c r="G143" s="223" t="s">
        <v>1670</v>
      </c>
      <c r="H143" s="355">
        <v>5785.12</v>
      </c>
      <c r="I143" s="355">
        <v>0</v>
      </c>
      <c r="J143" s="357">
        <v>1214.8800000000001</v>
      </c>
      <c r="K143" s="355">
        <v>1214.8800000000001</v>
      </c>
      <c r="L143" s="355">
        <v>7000</v>
      </c>
    </row>
    <row r="144" spans="1:12" x14ac:dyDescent="0.25">
      <c r="A144" s="223" t="s">
        <v>1647</v>
      </c>
      <c r="B144" s="223" t="s">
        <v>999</v>
      </c>
      <c r="C144" s="223" t="s">
        <v>1000</v>
      </c>
      <c r="D144" s="223" t="s">
        <v>989</v>
      </c>
      <c r="E144" s="223" t="s">
        <v>998</v>
      </c>
      <c r="F144" s="223" t="s">
        <v>991</v>
      </c>
      <c r="G144" s="223" t="s">
        <v>1671</v>
      </c>
      <c r="H144" s="355">
        <v>24793.39</v>
      </c>
      <c r="I144" s="355">
        <v>0</v>
      </c>
      <c r="J144" s="357">
        <v>5206.6099999999997</v>
      </c>
      <c r="K144" s="355">
        <v>5206.6099999999997</v>
      </c>
      <c r="L144" s="355">
        <v>30000</v>
      </c>
    </row>
    <row r="145" spans="1:12" x14ac:dyDescent="0.25">
      <c r="A145" s="223" t="s">
        <v>1647</v>
      </c>
      <c r="B145" s="223" t="s">
        <v>999</v>
      </c>
      <c r="C145" s="223" t="s">
        <v>1000</v>
      </c>
      <c r="D145" s="223" t="s">
        <v>989</v>
      </c>
      <c r="E145" s="223" t="s">
        <v>998</v>
      </c>
      <c r="F145" s="223" t="s">
        <v>991</v>
      </c>
      <c r="G145" s="223" t="s">
        <v>1672</v>
      </c>
      <c r="H145" s="355">
        <v>1652.89</v>
      </c>
      <c r="I145" s="355">
        <v>0</v>
      </c>
      <c r="J145" s="357">
        <v>347.11</v>
      </c>
      <c r="K145" s="355">
        <v>347.11</v>
      </c>
      <c r="L145" s="355">
        <v>2000</v>
      </c>
    </row>
    <row r="146" spans="1:12" x14ac:dyDescent="0.25">
      <c r="A146" s="223" t="s">
        <v>1647</v>
      </c>
      <c r="B146" s="223" t="s">
        <v>999</v>
      </c>
      <c r="C146" s="223" t="s">
        <v>1000</v>
      </c>
      <c r="D146" s="223" t="s">
        <v>989</v>
      </c>
      <c r="E146" s="223" t="s">
        <v>998</v>
      </c>
      <c r="F146" s="223" t="s">
        <v>991</v>
      </c>
      <c r="G146" s="223" t="s">
        <v>1673</v>
      </c>
      <c r="H146" s="355">
        <v>30578.51</v>
      </c>
      <c r="I146" s="355">
        <v>0</v>
      </c>
      <c r="J146" s="357">
        <v>6421.49</v>
      </c>
      <c r="K146" s="355">
        <v>6421.49</v>
      </c>
      <c r="L146" s="355">
        <v>37000</v>
      </c>
    </row>
    <row r="147" spans="1:12" x14ac:dyDescent="0.25">
      <c r="A147" s="223" t="s">
        <v>1647</v>
      </c>
      <c r="B147" s="223" t="s">
        <v>999</v>
      </c>
      <c r="C147" s="223" t="s">
        <v>1000</v>
      </c>
      <c r="D147" s="223" t="s">
        <v>989</v>
      </c>
      <c r="E147" s="223" t="s">
        <v>998</v>
      </c>
      <c r="F147" s="223" t="s">
        <v>991</v>
      </c>
      <c r="G147" s="223" t="s">
        <v>1674</v>
      </c>
      <c r="H147" s="355">
        <v>34710.74</v>
      </c>
      <c r="I147" s="355">
        <v>0</v>
      </c>
      <c r="J147" s="357">
        <v>7289.26</v>
      </c>
      <c r="K147" s="355">
        <v>7289.26</v>
      </c>
      <c r="L147" s="355">
        <v>42000</v>
      </c>
    </row>
    <row r="148" spans="1:12" x14ac:dyDescent="0.25">
      <c r="A148" s="223" t="s">
        <v>1647</v>
      </c>
      <c r="B148" s="223" t="s">
        <v>999</v>
      </c>
      <c r="C148" s="223" t="s">
        <v>1000</v>
      </c>
      <c r="D148" s="223" t="s">
        <v>989</v>
      </c>
      <c r="E148" s="223" t="s">
        <v>998</v>
      </c>
      <c r="F148" s="223" t="s">
        <v>991</v>
      </c>
      <c r="G148" s="223" t="s">
        <v>1675</v>
      </c>
      <c r="H148" s="355">
        <v>14876.03</v>
      </c>
      <c r="I148" s="355">
        <v>0</v>
      </c>
      <c r="J148" s="357">
        <v>3123.97</v>
      </c>
      <c r="K148" s="355">
        <v>3123.97</v>
      </c>
      <c r="L148" s="355">
        <v>18000</v>
      </c>
    </row>
    <row r="149" spans="1:12" x14ac:dyDescent="0.25">
      <c r="A149" s="223" t="s">
        <v>1676</v>
      </c>
      <c r="B149" s="223" t="s">
        <v>999</v>
      </c>
      <c r="C149" s="223" t="s">
        <v>1000</v>
      </c>
      <c r="D149" s="223" t="s">
        <v>989</v>
      </c>
      <c r="E149" s="223" t="s">
        <v>998</v>
      </c>
      <c r="F149" s="223" t="s">
        <v>991</v>
      </c>
      <c r="G149" s="223" t="s">
        <v>1677</v>
      </c>
      <c r="H149" s="355">
        <v>2892.56</v>
      </c>
      <c r="I149" s="355">
        <v>0</v>
      </c>
      <c r="J149" s="357">
        <v>607.44000000000005</v>
      </c>
      <c r="K149" s="355">
        <v>607.44000000000005</v>
      </c>
      <c r="L149" s="355">
        <v>3500</v>
      </c>
    </row>
    <row r="150" spans="1:12" x14ac:dyDescent="0.25">
      <c r="A150" s="223" t="s">
        <v>1676</v>
      </c>
      <c r="B150" s="223" t="s">
        <v>999</v>
      </c>
      <c r="C150" s="223" t="s">
        <v>1000</v>
      </c>
      <c r="D150" s="223" t="s">
        <v>989</v>
      </c>
      <c r="E150" s="223" t="s">
        <v>998</v>
      </c>
      <c r="F150" s="223" t="s">
        <v>991</v>
      </c>
      <c r="G150" s="223" t="s">
        <v>1678</v>
      </c>
      <c r="H150" s="355">
        <v>14876.03</v>
      </c>
      <c r="I150" s="355">
        <v>0</v>
      </c>
      <c r="J150" s="357">
        <v>3123.97</v>
      </c>
      <c r="K150" s="355">
        <v>3123.97</v>
      </c>
      <c r="L150" s="355">
        <v>18000</v>
      </c>
    </row>
    <row r="151" spans="1:12" x14ac:dyDescent="0.25">
      <c r="A151" s="223" t="s">
        <v>1676</v>
      </c>
      <c r="B151" s="223" t="s">
        <v>999</v>
      </c>
      <c r="C151" s="223" t="s">
        <v>1000</v>
      </c>
      <c r="D151" s="223" t="s">
        <v>989</v>
      </c>
      <c r="E151" s="223" t="s">
        <v>998</v>
      </c>
      <c r="F151" s="223" t="s">
        <v>991</v>
      </c>
      <c r="G151" s="223" t="s">
        <v>1680</v>
      </c>
      <c r="H151" s="355">
        <v>20661.16</v>
      </c>
      <c r="I151" s="355">
        <v>0</v>
      </c>
      <c r="J151" s="357">
        <v>4338.84</v>
      </c>
      <c r="K151" s="355">
        <v>4338.84</v>
      </c>
      <c r="L151" s="355">
        <v>25000</v>
      </c>
    </row>
    <row r="152" spans="1:12" x14ac:dyDescent="0.25">
      <c r="A152" s="223" t="s">
        <v>1676</v>
      </c>
      <c r="B152" s="223" t="s">
        <v>999</v>
      </c>
      <c r="C152" s="223" t="s">
        <v>1000</v>
      </c>
      <c r="D152" s="223" t="s">
        <v>989</v>
      </c>
      <c r="E152" s="223" t="s">
        <v>998</v>
      </c>
      <c r="F152" s="223" t="s">
        <v>991</v>
      </c>
      <c r="G152" s="223" t="s">
        <v>1681</v>
      </c>
      <c r="H152" s="355">
        <v>16528.93</v>
      </c>
      <c r="I152" s="355">
        <v>0</v>
      </c>
      <c r="J152" s="357">
        <v>3471.07</v>
      </c>
      <c r="K152" s="355">
        <v>3471.07</v>
      </c>
      <c r="L152" s="355">
        <v>20000</v>
      </c>
    </row>
    <row r="153" spans="1:12" x14ac:dyDescent="0.25">
      <c r="A153" s="223" t="s">
        <v>1676</v>
      </c>
      <c r="B153" s="223" t="s">
        <v>999</v>
      </c>
      <c r="C153" s="223" t="s">
        <v>1000</v>
      </c>
      <c r="D153" s="223" t="s">
        <v>989</v>
      </c>
      <c r="E153" s="223" t="s">
        <v>998</v>
      </c>
      <c r="F153" s="223" t="s">
        <v>991</v>
      </c>
      <c r="G153" s="223" t="s">
        <v>1682</v>
      </c>
      <c r="H153" s="355">
        <v>16528.93</v>
      </c>
      <c r="I153" s="355">
        <v>0</v>
      </c>
      <c r="J153" s="357">
        <v>3471.07</v>
      </c>
      <c r="K153" s="355">
        <v>3471.07</v>
      </c>
      <c r="L153" s="355">
        <v>20000</v>
      </c>
    </row>
    <row r="154" spans="1:12" x14ac:dyDescent="0.25">
      <c r="A154" s="223" t="s">
        <v>1676</v>
      </c>
      <c r="B154" s="223" t="s">
        <v>999</v>
      </c>
      <c r="C154" s="223" t="s">
        <v>1000</v>
      </c>
      <c r="D154" s="223" t="s">
        <v>989</v>
      </c>
      <c r="E154" s="223" t="s">
        <v>998</v>
      </c>
      <c r="F154" s="223" t="s">
        <v>991</v>
      </c>
      <c r="G154" s="223" t="s">
        <v>1683</v>
      </c>
      <c r="H154" s="355">
        <v>12396.69</v>
      </c>
      <c r="I154" s="355">
        <v>0</v>
      </c>
      <c r="J154" s="357">
        <v>2603.31</v>
      </c>
      <c r="K154" s="355">
        <v>2603.31</v>
      </c>
      <c r="L154" s="355">
        <v>15000</v>
      </c>
    </row>
    <row r="155" spans="1:12" x14ac:dyDescent="0.25">
      <c r="A155" s="223" t="s">
        <v>1676</v>
      </c>
      <c r="B155" s="223" t="s">
        <v>999</v>
      </c>
      <c r="C155" s="223" t="s">
        <v>1000</v>
      </c>
      <c r="D155" s="223" t="s">
        <v>989</v>
      </c>
      <c r="E155" s="223" t="s">
        <v>998</v>
      </c>
      <c r="F155" s="223" t="s">
        <v>991</v>
      </c>
      <c r="G155" s="223" t="s">
        <v>1685</v>
      </c>
      <c r="H155" s="355">
        <v>14876.03</v>
      </c>
      <c r="I155" s="355">
        <v>0</v>
      </c>
      <c r="J155" s="357">
        <v>3123.97</v>
      </c>
      <c r="K155" s="355">
        <v>3123.97</v>
      </c>
      <c r="L155" s="355">
        <v>18000</v>
      </c>
    </row>
    <row r="156" spans="1:12" x14ac:dyDescent="0.25">
      <c r="A156" s="223" t="s">
        <v>1676</v>
      </c>
      <c r="B156" s="223" t="s">
        <v>999</v>
      </c>
      <c r="C156" s="223" t="s">
        <v>1000</v>
      </c>
      <c r="D156" s="223" t="s">
        <v>989</v>
      </c>
      <c r="E156" s="223" t="s">
        <v>998</v>
      </c>
      <c r="F156" s="223" t="s">
        <v>991</v>
      </c>
      <c r="G156" s="223" t="s">
        <v>1686</v>
      </c>
      <c r="H156" s="355">
        <v>14876.03</v>
      </c>
      <c r="I156" s="355">
        <v>0</v>
      </c>
      <c r="J156" s="357">
        <v>3123.97</v>
      </c>
      <c r="K156" s="355">
        <v>3123.97</v>
      </c>
      <c r="L156" s="355">
        <v>18000</v>
      </c>
    </row>
    <row r="157" spans="1:12" x14ac:dyDescent="0.25">
      <c r="A157" s="223" t="s">
        <v>1676</v>
      </c>
      <c r="B157" s="223" t="s">
        <v>999</v>
      </c>
      <c r="C157" s="223" t="s">
        <v>1000</v>
      </c>
      <c r="D157" s="223" t="s">
        <v>989</v>
      </c>
      <c r="E157" s="223" t="s">
        <v>998</v>
      </c>
      <c r="F157" s="223" t="s">
        <v>991</v>
      </c>
      <c r="G157" s="223" t="s">
        <v>1687</v>
      </c>
      <c r="H157" s="355">
        <v>14876.03</v>
      </c>
      <c r="I157" s="355">
        <v>0</v>
      </c>
      <c r="J157" s="357">
        <v>3123.97</v>
      </c>
      <c r="K157" s="355">
        <v>3123.97</v>
      </c>
      <c r="L157" s="355">
        <v>18000</v>
      </c>
    </row>
    <row r="158" spans="1:12" x14ac:dyDescent="0.25">
      <c r="A158" s="223" t="s">
        <v>1676</v>
      </c>
      <c r="B158" s="223" t="s">
        <v>999</v>
      </c>
      <c r="C158" s="223" t="s">
        <v>1000</v>
      </c>
      <c r="D158" s="223" t="s">
        <v>989</v>
      </c>
      <c r="E158" s="223" t="s">
        <v>998</v>
      </c>
      <c r="F158" s="223" t="s">
        <v>991</v>
      </c>
      <c r="G158" s="223" t="s">
        <v>1688</v>
      </c>
      <c r="H158" s="355">
        <v>14876.03</v>
      </c>
      <c r="I158" s="355">
        <v>0</v>
      </c>
      <c r="J158" s="357">
        <v>3123.97</v>
      </c>
      <c r="K158" s="355">
        <v>3123.97</v>
      </c>
      <c r="L158" s="355">
        <v>18000</v>
      </c>
    </row>
    <row r="159" spans="1:12" x14ac:dyDescent="0.25">
      <c r="A159" s="223" t="s">
        <v>1676</v>
      </c>
      <c r="B159" s="223" t="s">
        <v>1689</v>
      </c>
      <c r="C159" s="223" t="s">
        <v>1690</v>
      </c>
      <c r="D159" s="223" t="s">
        <v>989</v>
      </c>
      <c r="E159" s="223" t="s">
        <v>998</v>
      </c>
      <c r="F159" s="223" t="s">
        <v>991</v>
      </c>
      <c r="G159" s="223" t="s">
        <v>1691</v>
      </c>
      <c r="H159" s="355">
        <v>41322.31</v>
      </c>
      <c r="I159" s="355">
        <v>0</v>
      </c>
      <c r="J159" s="357">
        <v>8677.69</v>
      </c>
      <c r="K159" s="355">
        <v>8677.69</v>
      </c>
      <c r="L159" s="355">
        <v>50000</v>
      </c>
    </row>
    <row r="160" spans="1:12" x14ac:dyDescent="0.25">
      <c r="A160" s="223" t="s">
        <v>1676</v>
      </c>
      <c r="B160" s="223" t="s">
        <v>999</v>
      </c>
      <c r="C160" s="223" t="s">
        <v>1000</v>
      </c>
      <c r="D160" s="223" t="s">
        <v>989</v>
      </c>
      <c r="E160" s="223" t="s">
        <v>998</v>
      </c>
      <c r="F160" s="223" t="s">
        <v>991</v>
      </c>
      <c r="G160" s="223" t="s">
        <v>1692</v>
      </c>
      <c r="H160" s="355">
        <v>12396.69</v>
      </c>
      <c r="I160" s="355">
        <v>0</v>
      </c>
      <c r="J160" s="357">
        <v>2603.31</v>
      </c>
      <c r="K160" s="355">
        <v>2603.31</v>
      </c>
      <c r="L160" s="355">
        <v>15000</v>
      </c>
    </row>
    <row r="161" spans="1:12" x14ac:dyDescent="0.25">
      <c r="A161" s="223" t="s">
        <v>1676</v>
      </c>
      <c r="B161" s="223" t="s">
        <v>999</v>
      </c>
      <c r="C161" s="223" t="s">
        <v>1000</v>
      </c>
      <c r="D161" s="223" t="s">
        <v>989</v>
      </c>
      <c r="E161" s="223" t="s">
        <v>998</v>
      </c>
      <c r="F161" s="223" t="s">
        <v>991</v>
      </c>
      <c r="G161" s="223" t="s">
        <v>1694</v>
      </c>
      <c r="H161" s="355">
        <v>41322.31</v>
      </c>
      <c r="I161" s="355">
        <v>0</v>
      </c>
      <c r="J161" s="357">
        <v>8677.69</v>
      </c>
      <c r="K161" s="355">
        <v>8677.69</v>
      </c>
      <c r="L161" s="355">
        <v>50000</v>
      </c>
    </row>
    <row r="162" spans="1:12" x14ac:dyDescent="0.25">
      <c r="A162" s="223" t="s">
        <v>1676</v>
      </c>
      <c r="B162" s="223" t="s">
        <v>999</v>
      </c>
      <c r="C162" s="223" t="s">
        <v>1000</v>
      </c>
      <c r="D162" s="223" t="s">
        <v>989</v>
      </c>
      <c r="E162" s="223" t="s">
        <v>998</v>
      </c>
      <c r="F162" s="223" t="s">
        <v>991</v>
      </c>
      <c r="G162" s="223" t="s">
        <v>1695</v>
      </c>
      <c r="H162" s="355">
        <v>20661.16</v>
      </c>
      <c r="I162" s="355">
        <v>0</v>
      </c>
      <c r="J162" s="357">
        <v>4338.84</v>
      </c>
      <c r="K162" s="355">
        <v>4338.84</v>
      </c>
      <c r="L162" s="355">
        <v>25000</v>
      </c>
    </row>
    <row r="163" spans="1:12" x14ac:dyDescent="0.25">
      <c r="A163" s="223" t="s">
        <v>1676</v>
      </c>
      <c r="B163" s="223" t="s">
        <v>999</v>
      </c>
      <c r="C163" s="223" t="s">
        <v>1000</v>
      </c>
      <c r="D163" s="223" t="s">
        <v>989</v>
      </c>
      <c r="E163" s="223" t="s">
        <v>998</v>
      </c>
      <c r="F163" s="223" t="s">
        <v>991</v>
      </c>
      <c r="G163" s="223" t="s">
        <v>1697</v>
      </c>
      <c r="H163" s="355">
        <v>2479.34</v>
      </c>
      <c r="I163" s="355">
        <v>0</v>
      </c>
      <c r="J163" s="357">
        <v>520.66</v>
      </c>
      <c r="K163" s="355">
        <v>520.66</v>
      </c>
      <c r="L163" s="355">
        <v>3000</v>
      </c>
    </row>
    <row r="164" spans="1:12" x14ac:dyDescent="0.25">
      <c r="A164" s="223" t="s">
        <v>1676</v>
      </c>
      <c r="B164" s="223" t="s">
        <v>999</v>
      </c>
      <c r="C164" s="223" t="s">
        <v>1000</v>
      </c>
      <c r="D164" s="223" t="s">
        <v>989</v>
      </c>
      <c r="E164" s="223" t="s">
        <v>998</v>
      </c>
      <c r="F164" s="223" t="s">
        <v>991</v>
      </c>
      <c r="G164" s="223" t="s">
        <v>1679</v>
      </c>
      <c r="H164" s="355">
        <v>34710.74</v>
      </c>
      <c r="I164" s="355">
        <v>0</v>
      </c>
      <c r="J164" s="357">
        <v>7289.26</v>
      </c>
      <c r="K164" s="355">
        <v>7289.26</v>
      </c>
      <c r="L164" s="355">
        <v>42000</v>
      </c>
    </row>
    <row r="165" spans="1:12" x14ac:dyDescent="0.25">
      <c r="A165" s="223" t="s">
        <v>1698</v>
      </c>
      <c r="B165" s="223" t="s">
        <v>999</v>
      </c>
      <c r="C165" s="223" t="s">
        <v>1000</v>
      </c>
      <c r="D165" s="223" t="s">
        <v>989</v>
      </c>
      <c r="E165" s="223" t="s">
        <v>998</v>
      </c>
      <c r="F165" s="223" t="s">
        <v>991</v>
      </c>
      <c r="G165" s="223" t="s">
        <v>1699</v>
      </c>
      <c r="H165" s="355">
        <v>41322.31</v>
      </c>
      <c r="I165" s="355">
        <v>0</v>
      </c>
      <c r="J165" s="357">
        <v>8677.69</v>
      </c>
      <c r="K165" s="355">
        <v>8677.69</v>
      </c>
      <c r="L165" s="355">
        <v>50000</v>
      </c>
    </row>
    <row r="166" spans="1:12" x14ac:dyDescent="0.25">
      <c r="A166" s="223" t="s">
        <v>1698</v>
      </c>
      <c r="B166" s="223" t="s">
        <v>999</v>
      </c>
      <c r="C166" s="223" t="s">
        <v>1000</v>
      </c>
      <c r="D166" s="223" t="s">
        <v>989</v>
      </c>
      <c r="E166" s="223" t="s">
        <v>998</v>
      </c>
      <c r="F166" s="223" t="s">
        <v>991</v>
      </c>
      <c r="G166" s="223" t="s">
        <v>1700</v>
      </c>
      <c r="H166" s="355">
        <v>16528.93</v>
      </c>
      <c r="I166" s="355">
        <v>0</v>
      </c>
      <c r="J166" s="357">
        <v>3471.07</v>
      </c>
      <c r="K166" s="355">
        <v>3471.07</v>
      </c>
      <c r="L166" s="355">
        <v>20000</v>
      </c>
    </row>
    <row r="167" spans="1:12" x14ac:dyDescent="0.25">
      <c r="A167" s="223" t="s">
        <v>1698</v>
      </c>
      <c r="B167" s="223" t="s">
        <v>999</v>
      </c>
      <c r="C167" s="223" t="s">
        <v>1000</v>
      </c>
      <c r="D167" s="223" t="s">
        <v>989</v>
      </c>
      <c r="E167" s="223" t="s">
        <v>998</v>
      </c>
      <c r="F167" s="223" t="s">
        <v>991</v>
      </c>
      <c r="G167" s="223" t="s">
        <v>1701</v>
      </c>
      <c r="H167" s="355">
        <v>5371.9</v>
      </c>
      <c r="I167" s="355">
        <v>0</v>
      </c>
      <c r="J167" s="357">
        <v>1128.0999999999999</v>
      </c>
      <c r="K167" s="355">
        <v>1128.0999999999999</v>
      </c>
      <c r="L167" s="355">
        <v>6500</v>
      </c>
    </row>
    <row r="168" spans="1:12" x14ac:dyDescent="0.25">
      <c r="A168" s="223" t="s">
        <v>1698</v>
      </c>
      <c r="B168" s="223" t="s">
        <v>999</v>
      </c>
      <c r="C168" s="223" t="s">
        <v>1000</v>
      </c>
      <c r="D168" s="223" t="s">
        <v>989</v>
      </c>
      <c r="E168" s="223" t="s">
        <v>998</v>
      </c>
      <c r="F168" s="223" t="s">
        <v>991</v>
      </c>
      <c r="G168" s="223" t="s">
        <v>1704</v>
      </c>
      <c r="H168" s="355">
        <v>29338.84</v>
      </c>
      <c r="I168" s="355">
        <v>0</v>
      </c>
      <c r="J168" s="357">
        <v>6161.16</v>
      </c>
      <c r="K168" s="355">
        <v>6161.16</v>
      </c>
      <c r="L168" s="355">
        <v>35500</v>
      </c>
    </row>
    <row r="169" spans="1:12" x14ac:dyDescent="0.25">
      <c r="A169" s="223" t="s">
        <v>1698</v>
      </c>
      <c r="B169" s="223" t="s">
        <v>1707</v>
      </c>
      <c r="C169" s="223" t="s">
        <v>1708</v>
      </c>
      <c r="D169" s="223" t="s">
        <v>989</v>
      </c>
      <c r="E169" s="223" t="s">
        <v>998</v>
      </c>
      <c r="F169" s="223" t="s">
        <v>991</v>
      </c>
      <c r="G169" s="223" t="s">
        <v>1709</v>
      </c>
      <c r="H169" s="355">
        <v>41322.31</v>
      </c>
      <c r="I169" s="355">
        <v>0</v>
      </c>
      <c r="J169" s="357">
        <v>8677.69</v>
      </c>
      <c r="K169" s="355">
        <v>8677.69</v>
      </c>
      <c r="L169" s="355">
        <v>50000</v>
      </c>
    </row>
    <row r="170" spans="1:12" x14ac:dyDescent="0.25">
      <c r="A170" s="223" t="s">
        <v>1698</v>
      </c>
      <c r="B170" s="223" t="s">
        <v>999</v>
      </c>
      <c r="C170" s="223" t="s">
        <v>1000</v>
      </c>
      <c r="D170" s="223" t="s">
        <v>989</v>
      </c>
      <c r="E170" s="223" t="s">
        <v>998</v>
      </c>
      <c r="F170" s="223" t="s">
        <v>991</v>
      </c>
      <c r="G170" s="223" t="s">
        <v>1711</v>
      </c>
      <c r="H170" s="355">
        <v>61157.02</v>
      </c>
      <c r="I170" s="355">
        <v>0</v>
      </c>
      <c r="J170" s="357">
        <v>12842.98</v>
      </c>
      <c r="K170" s="355">
        <v>12842.98</v>
      </c>
      <c r="L170" s="355">
        <v>74000</v>
      </c>
    </row>
    <row r="171" spans="1:12" x14ac:dyDescent="0.25">
      <c r="A171" s="223" t="s">
        <v>1712</v>
      </c>
      <c r="B171" s="223" t="s">
        <v>999</v>
      </c>
      <c r="C171" s="223" t="s">
        <v>1000</v>
      </c>
      <c r="D171" s="223" t="s">
        <v>989</v>
      </c>
      <c r="E171" s="223" t="s">
        <v>998</v>
      </c>
      <c r="F171" s="223" t="s">
        <v>991</v>
      </c>
      <c r="G171" s="223" t="s">
        <v>1713</v>
      </c>
      <c r="H171" s="355">
        <v>13719.01</v>
      </c>
      <c r="I171" s="355">
        <v>0</v>
      </c>
      <c r="J171" s="357">
        <v>2880.99</v>
      </c>
      <c r="K171" s="355">
        <v>2880.99</v>
      </c>
      <c r="L171" s="355">
        <v>16600</v>
      </c>
    </row>
    <row r="172" spans="1:12" x14ac:dyDescent="0.25">
      <c r="A172" s="223" t="s">
        <v>1712</v>
      </c>
      <c r="B172" s="223" t="s">
        <v>999</v>
      </c>
      <c r="C172" s="223" t="s">
        <v>1000</v>
      </c>
      <c r="D172" s="223" t="s">
        <v>989</v>
      </c>
      <c r="E172" s="223" t="s">
        <v>998</v>
      </c>
      <c r="F172" s="223" t="s">
        <v>991</v>
      </c>
      <c r="G172" s="223" t="s">
        <v>1714</v>
      </c>
      <c r="H172" s="355">
        <v>13223.14</v>
      </c>
      <c r="I172" s="355">
        <v>0</v>
      </c>
      <c r="J172" s="357">
        <v>2776.86</v>
      </c>
      <c r="K172" s="355">
        <v>2776.86</v>
      </c>
      <c r="L172" s="355">
        <v>16000</v>
      </c>
    </row>
    <row r="173" spans="1:12" x14ac:dyDescent="0.25">
      <c r="A173" s="223" t="s">
        <v>1712</v>
      </c>
      <c r="B173" s="223" t="s">
        <v>999</v>
      </c>
      <c r="C173" s="223" t="s">
        <v>1000</v>
      </c>
      <c r="D173" s="223" t="s">
        <v>989</v>
      </c>
      <c r="E173" s="223" t="s">
        <v>998</v>
      </c>
      <c r="F173" s="223" t="s">
        <v>991</v>
      </c>
      <c r="G173" s="223" t="s">
        <v>1715</v>
      </c>
      <c r="H173" s="355">
        <v>20661.16</v>
      </c>
      <c r="I173" s="355">
        <v>0</v>
      </c>
      <c r="J173" s="357">
        <v>4338.84</v>
      </c>
      <c r="K173" s="355">
        <v>4338.84</v>
      </c>
      <c r="L173" s="355">
        <v>25000</v>
      </c>
    </row>
    <row r="174" spans="1:12" x14ac:dyDescent="0.25">
      <c r="A174" s="223" t="s">
        <v>1712</v>
      </c>
      <c r="B174" s="223" t="s">
        <v>999</v>
      </c>
      <c r="C174" s="223" t="s">
        <v>1000</v>
      </c>
      <c r="D174" s="223" t="s">
        <v>989</v>
      </c>
      <c r="E174" s="223" t="s">
        <v>998</v>
      </c>
      <c r="F174" s="223" t="s">
        <v>991</v>
      </c>
      <c r="G174" s="223" t="s">
        <v>1718</v>
      </c>
      <c r="H174" s="355">
        <v>6942.15</v>
      </c>
      <c r="I174" s="355">
        <v>0</v>
      </c>
      <c r="J174" s="357">
        <v>1457.85</v>
      </c>
      <c r="K174" s="355">
        <v>1457.85</v>
      </c>
      <c r="L174" s="355">
        <v>8400</v>
      </c>
    </row>
    <row r="175" spans="1:12" x14ac:dyDescent="0.25">
      <c r="A175" s="223" t="s">
        <v>1712</v>
      </c>
      <c r="B175" s="223" t="s">
        <v>1719</v>
      </c>
      <c r="C175" s="223" t="s">
        <v>1720</v>
      </c>
      <c r="D175" s="223" t="s">
        <v>989</v>
      </c>
      <c r="E175" s="223" t="s">
        <v>998</v>
      </c>
      <c r="F175" s="223" t="s">
        <v>991</v>
      </c>
      <c r="G175" s="223" t="s">
        <v>1722</v>
      </c>
      <c r="H175" s="355">
        <v>121487.6</v>
      </c>
      <c r="I175" s="355">
        <v>0</v>
      </c>
      <c r="J175" s="357">
        <v>25512.400000000001</v>
      </c>
      <c r="K175" s="355">
        <v>25512.400000000001</v>
      </c>
      <c r="L175" s="355">
        <v>147000</v>
      </c>
    </row>
    <row r="176" spans="1:12" x14ac:dyDescent="0.25">
      <c r="A176" s="223" t="s">
        <v>1712</v>
      </c>
      <c r="B176" s="223" t="s">
        <v>999</v>
      </c>
      <c r="C176" s="223" t="s">
        <v>1000</v>
      </c>
      <c r="D176" s="223" t="s">
        <v>989</v>
      </c>
      <c r="E176" s="223" t="s">
        <v>998</v>
      </c>
      <c r="F176" s="223" t="s">
        <v>991</v>
      </c>
      <c r="G176" s="223" t="s">
        <v>1723</v>
      </c>
      <c r="H176" s="355">
        <v>6611.57</v>
      </c>
      <c r="I176" s="355">
        <v>0</v>
      </c>
      <c r="J176" s="357">
        <v>1388.43</v>
      </c>
      <c r="K176" s="355">
        <v>1388.43</v>
      </c>
      <c r="L176" s="355">
        <v>8000</v>
      </c>
    </row>
    <row r="177" spans="1:12" x14ac:dyDescent="0.25">
      <c r="A177" s="223" t="s">
        <v>1712</v>
      </c>
      <c r="B177" s="223" t="s">
        <v>999</v>
      </c>
      <c r="C177" s="223" t="s">
        <v>1000</v>
      </c>
      <c r="D177" s="223" t="s">
        <v>989</v>
      </c>
      <c r="E177" s="223" t="s">
        <v>998</v>
      </c>
      <c r="F177" s="223" t="s">
        <v>991</v>
      </c>
      <c r="G177" s="223" t="s">
        <v>1724</v>
      </c>
      <c r="H177" s="355">
        <v>27933.88</v>
      </c>
      <c r="I177" s="355">
        <v>0</v>
      </c>
      <c r="J177" s="357">
        <v>5866.12</v>
      </c>
      <c r="K177" s="355">
        <v>5866.12</v>
      </c>
      <c r="L177" s="355">
        <v>33800</v>
      </c>
    </row>
    <row r="178" spans="1:12" x14ac:dyDescent="0.25">
      <c r="A178" s="223" t="s">
        <v>1712</v>
      </c>
      <c r="B178" s="223" t="s">
        <v>999</v>
      </c>
      <c r="C178" s="223" t="s">
        <v>1000</v>
      </c>
      <c r="D178" s="223" t="s">
        <v>989</v>
      </c>
      <c r="E178" s="223" t="s">
        <v>998</v>
      </c>
      <c r="F178" s="223" t="s">
        <v>991</v>
      </c>
      <c r="G178" s="223" t="s">
        <v>1725</v>
      </c>
      <c r="H178" s="355">
        <v>16528.93</v>
      </c>
      <c r="I178" s="355">
        <v>0</v>
      </c>
      <c r="J178" s="357">
        <v>3471.07</v>
      </c>
      <c r="K178" s="355">
        <v>3471.07</v>
      </c>
      <c r="L178" s="355">
        <v>20000</v>
      </c>
    </row>
    <row r="179" spans="1:12" x14ac:dyDescent="0.25">
      <c r="A179" s="223" t="s">
        <v>1712</v>
      </c>
      <c r="B179" s="223" t="s">
        <v>999</v>
      </c>
      <c r="C179" s="223" t="s">
        <v>1000</v>
      </c>
      <c r="D179" s="223" t="s">
        <v>989</v>
      </c>
      <c r="E179" s="223" t="s">
        <v>998</v>
      </c>
      <c r="F179" s="223" t="s">
        <v>991</v>
      </c>
      <c r="G179" s="223" t="s">
        <v>1726</v>
      </c>
      <c r="H179" s="355">
        <v>18181.82</v>
      </c>
      <c r="I179" s="355">
        <v>0</v>
      </c>
      <c r="J179" s="357">
        <v>3818.18</v>
      </c>
      <c r="K179" s="355">
        <v>3818.18</v>
      </c>
      <c r="L179" s="355">
        <v>22000</v>
      </c>
    </row>
    <row r="180" spans="1:12" x14ac:dyDescent="0.25">
      <c r="A180" s="223" t="s">
        <v>1712</v>
      </c>
      <c r="B180" s="223" t="s">
        <v>999</v>
      </c>
      <c r="C180" s="223" t="s">
        <v>1000</v>
      </c>
      <c r="D180" s="223" t="s">
        <v>989</v>
      </c>
      <c r="E180" s="223" t="s">
        <v>998</v>
      </c>
      <c r="F180" s="223" t="s">
        <v>991</v>
      </c>
      <c r="G180" s="223" t="s">
        <v>1727</v>
      </c>
      <c r="H180" s="355">
        <v>20661.16</v>
      </c>
      <c r="I180" s="355">
        <v>0</v>
      </c>
      <c r="J180" s="357">
        <v>4338.84</v>
      </c>
      <c r="K180" s="355">
        <v>4338.84</v>
      </c>
      <c r="L180" s="355">
        <v>25000</v>
      </c>
    </row>
    <row r="181" spans="1:12" x14ac:dyDescent="0.25">
      <c r="A181" s="223" t="s">
        <v>1712</v>
      </c>
      <c r="B181" s="223" t="s">
        <v>999</v>
      </c>
      <c r="C181" s="223" t="s">
        <v>1000</v>
      </c>
      <c r="D181" s="223" t="s">
        <v>989</v>
      </c>
      <c r="E181" s="223" t="s">
        <v>998</v>
      </c>
      <c r="F181" s="223" t="s">
        <v>991</v>
      </c>
      <c r="G181" s="223" t="s">
        <v>1728</v>
      </c>
      <c r="H181" s="355">
        <v>123966.94</v>
      </c>
      <c r="I181" s="355">
        <v>0</v>
      </c>
      <c r="J181" s="357">
        <v>26033.06</v>
      </c>
      <c r="K181" s="355">
        <v>26033.06</v>
      </c>
      <c r="L181" s="355">
        <v>150000</v>
      </c>
    </row>
    <row r="182" spans="1:12" x14ac:dyDescent="0.25">
      <c r="A182" s="223" t="s">
        <v>1712</v>
      </c>
      <c r="B182" s="223" t="s">
        <v>999</v>
      </c>
      <c r="C182" s="223" t="s">
        <v>1000</v>
      </c>
      <c r="D182" s="223" t="s">
        <v>989</v>
      </c>
      <c r="E182" s="223" t="s">
        <v>998</v>
      </c>
      <c r="F182" s="223" t="s">
        <v>991</v>
      </c>
      <c r="G182" s="223" t="s">
        <v>1729</v>
      </c>
      <c r="H182" s="355">
        <v>28925.62</v>
      </c>
      <c r="I182" s="355">
        <v>0</v>
      </c>
      <c r="J182" s="357">
        <v>6074.38</v>
      </c>
      <c r="K182" s="355">
        <v>6074.38</v>
      </c>
      <c r="L182" s="355">
        <v>35000</v>
      </c>
    </row>
    <row r="183" spans="1:12" x14ac:dyDescent="0.25">
      <c r="A183" s="223" t="s">
        <v>1712</v>
      </c>
      <c r="B183" s="223" t="s">
        <v>999</v>
      </c>
      <c r="C183" s="223" t="s">
        <v>1000</v>
      </c>
      <c r="D183" s="223" t="s">
        <v>989</v>
      </c>
      <c r="E183" s="223" t="s">
        <v>998</v>
      </c>
      <c r="F183" s="223" t="s">
        <v>991</v>
      </c>
      <c r="G183" s="223" t="s">
        <v>1736</v>
      </c>
      <c r="H183" s="355">
        <v>27603.31</v>
      </c>
      <c r="I183" s="355">
        <v>0</v>
      </c>
      <c r="J183" s="357">
        <v>5796.69</v>
      </c>
      <c r="K183" s="355">
        <v>5796.69</v>
      </c>
      <c r="L183" s="355">
        <v>33400</v>
      </c>
    </row>
    <row r="184" spans="1:12" x14ac:dyDescent="0.25">
      <c r="A184" s="223" t="s">
        <v>1712</v>
      </c>
      <c r="B184" s="223" t="s">
        <v>999</v>
      </c>
      <c r="C184" s="223" t="s">
        <v>1000</v>
      </c>
      <c r="D184" s="223" t="s">
        <v>989</v>
      </c>
      <c r="E184" s="223" t="s">
        <v>998</v>
      </c>
      <c r="F184" s="223" t="s">
        <v>991</v>
      </c>
      <c r="G184" s="223" t="s">
        <v>1739</v>
      </c>
      <c r="H184" s="355">
        <v>92561.98</v>
      </c>
      <c r="I184" s="355">
        <v>0</v>
      </c>
      <c r="J184" s="357">
        <v>19438.02</v>
      </c>
      <c r="K184" s="355">
        <v>19438.02</v>
      </c>
      <c r="L184" s="355">
        <v>112000</v>
      </c>
    </row>
    <row r="185" spans="1:12" x14ac:dyDescent="0.25">
      <c r="A185" s="223" t="s">
        <v>1712</v>
      </c>
      <c r="B185" s="223" t="s">
        <v>999</v>
      </c>
      <c r="C185" s="223" t="s">
        <v>1000</v>
      </c>
      <c r="D185" s="223" t="s">
        <v>989</v>
      </c>
      <c r="E185" s="223" t="s">
        <v>998</v>
      </c>
      <c r="F185" s="223" t="s">
        <v>991</v>
      </c>
      <c r="G185" s="223" t="s">
        <v>1742</v>
      </c>
      <c r="H185" s="355">
        <v>20661.16</v>
      </c>
      <c r="I185" s="355">
        <v>0</v>
      </c>
      <c r="J185" s="357">
        <v>4338.84</v>
      </c>
      <c r="K185" s="355">
        <v>4338.84</v>
      </c>
      <c r="L185" s="355">
        <v>25000</v>
      </c>
    </row>
    <row r="186" spans="1:12" x14ac:dyDescent="0.25">
      <c r="A186" s="223" t="s">
        <v>1712</v>
      </c>
      <c r="B186" s="223" t="s">
        <v>999</v>
      </c>
      <c r="C186" s="223" t="s">
        <v>1000</v>
      </c>
      <c r="D186" s="223" t="s">
        <v>989</v>
      </c>
      <c r="E186" s="223" t="s">
        <v>998</v>
      </c>
      <c r="F186" s="223" t="s">
        <v>991</v>
      </c>
      <c r="G186" s="223" t="s">
        <v>1743</v>
      </c>
      <c r="H186" s="355">
        <v>27272.73</v>
      </c>
      <c r="I186" s="355">
        <v>0</v>
      </c>
      <c r="J186" s="357">
        <v>5727.27</v>
      </c>
      <c r="K186" s="355">
        <v>5727.27</v>
      </c>
      <c r="L186" s="355">
        <v>33000</v>
      </c>
    </row>
    <row r="187" spans="1:12" x14ac:dyDescent="0.25">
      <c r="A187" s="223" t="s">
        <v>1744</v>
      </c>
      <c r="B187" s="223" t="s">
        <v>999</v>
      </c>
      <c r="C187" s="223" t="s">
        <v>1000</v>
      </c>
      <c r="D187" s="223" t="s">
        <v>989</v>
      </c>
      <c r="E187" s="223" t="s">
        <v>998</v>
      </c>
      <c r="F187" s="223" t="s">
        <v>991</v>
      </c>
      <c r="G187" s="223" t="s">
        <v>1745</v>
      </c>
      <c r="H187" s="355">
        <v>18595.04</v>
      </c>
      <c r="I187" s="355">
        <v>0</v>
      </c>
      <c r="J187" s="357">
        <v>3904.96</v>
      </c>
      <c r="K187" s="355">
        <v>3904.96</v>
      </c>
      <c r="L187" s="355">
        <v>22500</v>
      </c>
    </row>
    <row r="188" spans="1:12" x14ac:dyDescent="0.25">
      <c r="A188" s="223" t="s">
        <v>1744</v>
      </c>
      <c r="B188" s="223" t="s">
        <v>999</v>
      </c>
      <c r="C188" s="223" t="s">
        <v>1000</v>
      </c>
      <c r="D188" s="223" t="s">
        <v>989</v>
      </c>
      <c r="E188" s="223" t="s">
        <v>998</v>
      </c>
      <c r="F188" s="223" t="s">
        <v>991</v>
      </c>
      <c r="G188" s="223" t="s">
        <v>1746</v>
      </c>
      <c r="H188" s="355">
        <v>29752.07</v>
      </c>
      <c r="I188" s="355">
        <v>0</v>
      </c>
      <c r="J188" s="357">
        <v>6247.93</v>
      </c>
      <c r="K188" s="355">
        <v>6247.93</v>
      </c>
      <c r="L188" s="355">
        <v>36000</v>
      </c>
    </row>
    <row r="189" spans="1:12" x14ac:dyDescent="0.25">
      <c r="A189" s="223" t="s">
        <v>1744</v>
      </c>
      <c r="B189" s="223" t="s">
        <v>999</v>
      </c>
      <c r="C189" s="223" t="s">
        <v>1000</v>
      </c>
      <c r="D189" s="223" t="s">
        <v>989</v>
      </c>
      <c r="E189" s="223" t="s">
        <v>998</v>
      </c>
      <c r="F189" s="223" t="s">
        <v>991</v>
      </c>
      <c r="G189" s="223" t="s">
        <v>1747</v>
      </c>
      <c r="H189" s="355">
        <v>29752.07</v>
      </c>
      <c r="I189" s="355">
        <v>0</v>
      </c>
      <c r="J189" s="357">
        <v>6247.93</v>
      </c>
      <c r="K189" s="355">
        <v>6247.93</v>
      </c>
      <c r="L189" s="355">
        <v>36000</v>
      </c>
    </row>
    <row r="190" spans="1:12" x14ac:dyDescent="0.25">
      <c r="A190" s="223" t="s">
        <v>1744</v>
      </c>
      <c r="B190" s="223" t="s">
        <v>999</v>
      </c>
      <c r="C190" s="223" t="s">
        <v>1000</v>
      </c>
      <c r="D190" s="223" t="s">
        <v>989</v>
      </c>
      <c r="E190" s="223" t="s">
        <v>998</v>
      </c>
      <c r="F190" s="223" t="s">
        <v>991</v>
      </c>
      <c r="G190" s="223" t="s">
        <v>1748</v>
      </c>
      <c r="H190" s="355">
        <v>19008.259999999998</v>
      </c>
      <c r="I190" s="355">
        <v>0</v>
      </c>
      <c r="J190" s="357">
        <v>3991.74</v>
      </c>
      <c r="K190" s="355">
        <v>3991.74</v>
      </c>
      <c r="L190" s="355">
        <v>23000</v>
      </c>
    </row>
    <row r="191" spans="1:12" x14ac:dyDescent="0.25">
      <c r="A191" s="223" t="s">
        <v>1744</v>
      </c>
      <c r="B191" s="223" t="s">
        <v>999</v>
      </c>
      <c r="C191" s="223" t="s">
        <v>1000</v>
      </c>
      <c r="D191" s="223" t="s">
        <v>989</v>
      </c>
      <c r="E191" s="223" t="s">
        <v>998</v>
      </c>
      <c r="F191" s="223" t="s">
        <v>991</v>
      </c>
      <c r="G191" s="223" t="s">
        <v>1749</v>
      </c>
      <c r="H191" s="355">
        <v>16528.93</v>
      </c>
      <c r="I191" s="355">
        <v>0</v>
      </c>
      <c r="J191" s="357">
        <v>3471.07</v>
      </c>
      <c r="K191" s="355">
        <v>3471.07</v>
      </c>
      <c r="L191" s="355">
        <v>20000</v>
      </c>
    </row>
    <row r="192" spans="1:12" x14ac:dyDescent="0.25">
      <c r="A192" s="223" t="s">
        <v>1744</v>
      </c>
      <c r="B192" s="223" t="s">
        <v>999</v>
      </c>
      <c r="C192" s="223" t="s">
        <v>1000</v>
      </c>
      <c r="D192" s="223" t="s">
        <v>989</v>
      </c>
      <c r="E192" s="223" t="s">
        <v>998</v>
      </c>
      <c r="F192" s="223" t="s">
        <v>991</v>
      </c>
      <c r="G192" s="223" t="s">
        <v>1751</v>
      </c>
      <c r="H192" s="355">
        <v>14876.03</v>
      </c>
      <c r="I192" s="355">
        <v>0</v>
      </c>
      <c r="J192" s="357">
        <v>3123.97</v>
      </c>
      <c r="K192" s="355">
        <v>3123.97</v>
      </c>
      <c r="L192" s="355">
        <v>18000</v>
      </c>
    </row>
    <row r="193" spans="1:12" x14ac:dyDescent="0.25">
      <c r="A193" s="223" t="s">
        <v>1744</v>
      </c>
      <c r="B193" s="223" t="s">
        <v>999</v>
      </c>
      <c r="C193" s="223" t="s">
        <v>1000</v>
      </c>
      <c r="D193" s="223" t="s">
        <v>989</v>
      </c>
      <c r="E193" s="223" t="s">
        <v>998</v>
      </c>
      <c r="F193" s="223" t="s">
        <v>991</v>
      </c>
      <c r="G193" s="223" t="s">
        <v>1752</v>
      </c>
      <c r="H193" s="355">
        <v>41322.31</v>
      </c>
      <c r="I193" s="355">
        <v>0</v>
      </c>
      <c r="J193" s="357">
        <v>8677.69</v>
      </c>
      <c r="K193" s="355">
        <v>8677.69</v>
      </c>
      <c r="L193" s="355">
        <v>50000</v>
      </c>
    </row>
    <row r="194" spans="1:12" x14ac:dyDescent="0.25">
      <c r="A194" s="223" t="s">
        <v>1744</v>
      </c>
      <c r="B194" s="223" t="s">
        <v>999</v>
      </c>
      <c r="C194" s="223" t="s">
        <v>1000</v>
      </c>
      <c r="D194" s="223" t="s">
        <v>989</v>
      </c>
      <c r="E194" s="223" t="s">
        <v>998</v>
      </c>
      <c r="F194" s="223" t="s">
        <v>991</v>
      </c>
      <c r="G194" s="223" t="s">
        <v>1753</v>
      </c>
      <c r="H194" s="355">
        <v>41322.31</v>
      </c>
      <c r="I194" s="355">
        <v>0</v>
      </c>
      <c r="J194" s="357">
        <v>8677.69</v>
      </c>
      <c r="K194" s="355">
        <v>8677.69</v>
      </c>
      <c r="L194" s="355">
        <v>50000</v>
      </c>
    </row>
    <row r="195" spans="1:12" x14ac:dyDescent="0.25">
      <c r="A195" s="223" t="s">
        <v>1744</v>
      </c>
      <c r="B195" s="223" t="s">
        <v>999</v>
      </c>
      <c r="C195" s="223" t="s">
        <v>1000</v>
      </c>
      <c r="D195" s="223" t="s">
        <v>989</v>
      </c>
      <c r="E195" s="223" t="s">
        <v>998</v>
      </c>
      <c r="F195" s="223" t="s">
        <v>991</v>
      </c>
      <c r="G195" s="223" t="s">
        <v>1754</v>
      </c>
      <c r="H195" s="355">
        <v>41322.31</v>
      </c>
      <c r="I195" s="355">
        <v>0</v>
      </c>
      <c r="J195" s="357">
        <v>8677.69</v>
      </c>
      <c r="K195" s="355">
        <v>8677.69</v>
      </c>
      <c r="L195" s="355">
        <v>50000</v>
      </c>
    </row>
    <row r="196" spans="1:12" x14ac:dyDescent="0.25">
      <c r="A196" s="223" t="s">
        <v>1744</v>
      </c>
      <c r="B196" s="223" t="s">
        <v>999</v>
      </c>
      <c r="C196" s="223" t="s">
        <v>1000</v>
      </c>
      <c r="D196" s="223" t="s">
        <v>989</v>
      </c>
      <c r="E196" s="223" t="s">
        <v>998</v>
      </c>
      <c r="F196" s="223" t="s">
        <v>991</v>
      </c>
      <c r="G196" s="223" t="s">
        <v>1755</v>
      </c>
      <c r="H196" s="355">
        <v>13223.14</v>
      </c>
      <c r="I196" s="355">
        <v>0</v>
      </c>
      <c r="J196" s="357">
        <v>2776.86</v>
      </c>
      <c r="K196" s="355">
        <v>2776.86</v>
      </c>
      <c r="L196" s="355">
        <v>16000</v>
      </c>
    </row>
    <row r="197" spans="1:12" x14ac:dyDescent="0.25">
      <c r="A197" s="223" t="s">
        <v>1744</v>
      </c>
      <c r="B197" s="223" t="s">
        <v>999</v>
      </c>
      <c r="C197" s="223" t="s">
        <v>1000</v>
      </c>
      <c r="D197" s="223" t="s">
        <v>989</v>
      </c>
      <c r="E197" s="223" t="s">
        <v>998</v>
      </c>
      <c r="F197" s="223" t="s">
        <v>991</v>
      </c>
      <c r="G197" s="223" t="s">
        <v>1759</v>
      </c>
      <c r="H197" s="355">
        <v>14049.59</v>
      </c>
      <c r="I197" s="355">
        <v>0</v>
      </c>
      <c r="J197" s="357">
        <v>2950.41</v>
      </c>
      <c r="K197" s="355">
        <v>2950.41</v>
      </c>
      <c r="L197" s="355">
        <v>17000</v>
      </c>
    </row>
    <row r="198" spans="1:12" x14ac:dyDescent="0.25">
      <c r="A198" s="223" t="s">
        <v>1744</v>
      </c>
      <c r="B198" s="223" t="s">
        <v>999</v>
      </c>
      <c r="C198" s="223" t="s">
        <v>1000</v>
      </c>
      <c r="D198" s="223" t="s">
        <v>989</v>
      </c>
      <c r="E198" s="223" t="s">
        <v>998</v>
      </c>
      <c r="F198" s="223" t="s">
        <v>991</v>
      </c>
      <c r="G198" s="223" t="s">
        <v>1760</v>
      </c>
      <c r="H198" s="355">
        <v>27520.66</v>
      </c>
      <c r="I198" s="355">
        <v>0</v>
      </c>
      <c r="J198" s="357">
        <v>5779.34</v>
      </c>
      <c r="K198" s="355">
        <v>5779.34</v>
      </c>
      <c r="L198" s="355">
        <v>33300</v>
      </c>
    </row>
    <row r="199" spans="1:12" x14ac:dyDescent="0.25">
      <c r="A199" s="223" t="s">
        <v>1744</v>
      </c>
      <c r="B199" s="223" t="s">
        <v>1761</v>
      </c>
      <c r="C199" s="223" t="s">
        <v>1762</v>
      </c>
      <c r="D199" s="223" t="s">
        <v>989</v>
      </c>
      <c r="E199" s="223" t="s">
        <v>998</v>
      </c>
      <c r="F199" s="223" t="s">
        <v>991</v>
      </c>
      <c r="G199" s="223" t="s">
        <v>1763</v>
      </c>
      <c r="H199" s="355">
        <v>76033.06</v>
      </c>
      <c r="I199" s="355">
        <v>0</v>
      </c>
      <c r="J199" s="357">
        <v>15966.94</v>
      </c>
      <c r="K199" s="355">
        <v>15966.94</v>
      </c>
      <c r="L199" s="355">
        <v>92000</v>
      </c>
    </row>
    <row r="200" spans="1:12" x14ac:dyDescent="0.25">
      <c r="A200" s="223" t="s">
        <v>1744</v>
      </c>
      <c r="B200" s="223" t="s">
        <v>999</v>
      </c>
      <c r="C200" s="223" t="s">
        <v>1000</v>
      </c>
      <c r="D200" s="223" t="s">
        <v>989</v>
      </c>
      <c r="E200" s="223" t="s">
        <v>998</v>
      </c>
      <c r="F200" s="223" t="s">
        <v>991</v>
      </c>
      <c r="G200" s="223" t="s">
        <v>1764</v>
      </c>
      <c r="H200" s="355">
        <v>73553.72</v>
      </c>
      <c r="I200" s="355">
        <v>0</v>
      </c>
      <c r="J200" s="357">
        <v>15446.28</v>
      </c>
      <c r="K200" s="355">
        <v>15446.28</v>
      </c>
      <c r="L200" s="355">
        <v>89000</v>
      </c>
    </row>
    <row r="201" spans="1:12" x14ac:dyDescent="0.25">
      <c r="A201" s="223" t="s">
        <v>1744</v>
      </c>
      <c r="B201" s="223" t="s">
        <v>999</v>
      </c>
      <c r="C201" s="223" t="s">
        <v>1000</v>
      </c>
      <c r="D201" s="223" t="s">
        <v>989</v>
      </c>
      <c r="E201" s="223" t="s">
        <v>998</v>
      </c>
      <c r="F201" s="223" t="s">
        <v>991</v>
      </c>
      <c r="G201" s="223" t="s">
        <v>1765</v>
      </c>
      <c r="H201" s="355">
        <v>18595.04</v>
      </c>
      <c r="I201" s="355">
        <v>0</v>
      </c>
      <c r="J201" s="357">
        <v>3904.96</v>
      </c>
      <c r="K201" s="355">
        <v>3904.96</v>
      </c>
      <c r="L201" s="355">
        <v>22500</v>
      </c>
    </row>
    <row r="202" spans="1:12" x14ac:dyDescent="0.25">
      <c r="A202" s="223" t="s">
        <v>1744</v>
      </c>
      <c r="B202" s="223" t="s">
        <v>999</v>
      </c>
      <c r="C202" s="223" t="s">
        <v>1000</v>
      </c>
      <c r="D202" s="223" t="s">
        <v>989</v>
      </c>
      <c r="E202" s="223" t="s">
        <v>998</v>
      </c>
      <c r="F202" s="223" t="s">
        <v>991</v>
      </c>
      <c r="G202" s="223" t="s">
        <v>1769</v>
      </c>
      <c r="H202" s="355">
        <v>23140.5</v>
      </c>
      <c r="I202" s="355">
        <v>0</v>
      </c>
      <c r="J202" s="357">
        <v>4859.5</v>
      </c>
      <c r="K202" s="355">
        <v>4859.5</v>
      </c>
      <c r="L202" s="355">
        <v>28000</v>
      </c>
    </row>
    <row r="203" spans="1:12" x14ac:dyDescent="0.25">
      <c r="A203" s="223" t="s">
        <v>1744</v>
      </c>
      <c r="B203" s="223" t="s">
        <v>1770</v>
      </c>
      <c r="C203" s="223" t="s">
        <v>1771</v>
      </c>
      <c r="D203" s="223" t="s">
        <v>989</v>
      </c>
      <c r="E203" s="223" t="s">
        <v>998</v>
      </c>
      <c r="F203" s="223" t="s">
        <v>991</v>
      </c>
      <c r="G203" s="223" t="s">
        <v>1772</v>
      </c>
      <c r="H203" s="355">
        <v>57851.24</v>
      </c>
      <c r="I203" s="355">
        <v>0</v>
      </c>
      <c r="J203" s="357">
        <v>12148.76</v>
      </c>
      <c r="K203" s="355">
        <v>12148.76</v>
      </c>
      <c r="L203" s="355">
        <v>70000</v>
      </c>
    </row>
    <row r="204" spans="1:12" x14ac:dyDescent="0.25">
      <c r="A204" s="223" t="s">
        <v>1744</v>
      </c>
      <c r="B204" s="223" t="s">
        <v>999</v>
      </c>
      <c r="C204" s="223" t="s">
        <v>1000</v>
      </c>
      <c r="D204" s="223" t="s">
        <v>989</v>
      </c>
      <c r="E204" s="223" t="s">
        <v>998</v>
      </c>
      <c r="F204" s="223" t="s">
        <v>991</v>
      </c>
      <c r="G204" s="223" t="s">
        <v>1773</v>
      </c>
      <c r="H204" s="355">
        <v>41322.31</v>
      </c>
      <c r="I204" s="355">
        <v>0</v>
      </c>
      <c r="J204" s="357">
        <v>8677.69</v>
      </c>
      <c r="K204" s="355">
        <v>8677.69</v>
      </c>
      <c r="L204" s="355">
        <v>50000</v>
      </c>
    </row>
    <row r="205" spans="1:12" x14ac:dyDescent="0.25">
      <c r="A205" s="223" t="s">
        <v>1744</v>
      </c>
      <c r="B205" s="223" t="s">
        <v>999</v>
      </c>
      <c r="C205" s="223" t="s">
        <v>1000</v>
      </c>
      <c r="D205" s="223" t="s">
        <v>989</v>
      </c>
      <c r="E205" s="223" t="s">
        <v>998</v>
      </c>
      <c r="F205" s="223" t="s">
        <v>991</v>
      </c>
      <c r="G205" s="223" t="s">
        <v>1774</v>
      </c>
      <c r="H205" s="355">
        <v>11570.25</v>
      </c>
      <c r="I205" s="355">
        <v>0</v>
      </c>
      <c r="J205" s="357">
        <v>2429.75</v>
      </c>
      <c r="K205" s="355">
        <v>2429.75</v>
      </c>
      <c r="L205" s="355">
        <v>14000</v>
      </c>
    </row>
    <row r="206" spans="1:12" x14ac:dyDescent="0.25">
      <c r="A206" s="223" t="s">
        <v>1744</v>
      </c>
      <c r="B206" s="223" t="s">
        <v>999</v>
      </c>
      <c r="C206" s="223" t="s">
        <v>1000</v>
      </c>
      <c r="D206" s="223" t="s">
        <v>989</v>
      </c>
      <c r="E206" s="223" t="s">
        <v>998</v>
      </c>
      <c r="F206" s="223" t="s">
        <v>991</v>
      </c>
      <c r="G206" s="223" t="s">
        <v>1775</v>
      </c>
      <c r="H206" s="355">
        <v>16528.93</v>
      </c>
      <c r="I206" s="355">
        <v>0</v>
      </c>
      <c r="J206" s="357">
        <v>3471.07</v>
      </c>
      <c r="K206" s="355">
        <v>3471.07</v>
      </c>
      <c r="L206" s="355">
        <v>20000</v>
      </c>
    </row>
    <row r="207" spans="1:12" x14ac:dyDescent="0.25">
      <c r="A207" s="223" t="s">
        <v>1744</v>
      </c>
      <c r="B207" s="223" t="s">
        <v>999</v>
      </c>
      <c r="C207" s="223" t="s">
        <v>1000</v>
      </c>
      <c r="D207" s="223" t="s">
        <v>989</v>
      </c>
      <c r="E207" s="223" t="s">
        <v>998</v>
      </c>
      <c r="F207" s="223" t="s">
        <v>991</v>
      </c>
      <c r="G207" s="223" t="s">
        <v>1777</v>
      </c>
      <c r="H207" s="355">
        <v>17355.37</v>
      </c>
      <c r="I207" s="355">
        <v>0</v>
      </c>
      <c r="J207" s="357">
        <v>3644.63</v>
      </c>
      <c r="K207" s="355">
        <v>3644.63</v>
      </c>
      <c r="L207" s="355">
        <v>21000</v>
      </c>
    </row>
    <row r="208" spans="1:12" x14ac:dyDescent="0.25">
      <c r="A208" s="223" t="s">
        <v>1744</v>
      </c>
      <c r="B208" s="223" t="s">
        <v>999</v>
      </c>
      <c r="C208" s="223" t="s">
        <v>1000</v>
      </c>
      <c r="D208" s="223" t="s">
        <v>989</v>
      </c>
      <c r="E208" s="223" t="s">
        <v>998</v>
      </c>
      <c r="F208" s="223" t="s">
        <v>991</v>
      </c>
      <c r="G208" s="223" t="s">
        <v>1778</v>
      </c>
      <c r="H208" s="355">
        <v>22314.05</v>
      </c>
      <c r="I208" s="355">
        <v>0</v>
      </c>
      <c r="J208" s="357">
        <v>4685.95</v>
      </c>
      <c r="K208" s="355">
        <v>4685.95</v>
      </c>
      <c r="L208" s="355">
        <v>27000</v>
      </c>
    </row>
    <row r="209" spans="1:12" x14ac:dyDescent="0.25">
      <c r="A209" s="223" t="s">
        <v>1744</v>
      </c>
      <c r="B209" s="223" t="s">
        <v>999</v>
      </c>
      <c r="C209" s="223" t="s">
        <v>1000</v>
      </c>
      <c r="D209" s="223" t="s">
        <v>989</v>
      </c>
      <c r="E209" s="223" t="s">
        <v>998</v>
      </c>
      <c r="F209" s="223" t="s">
        <v>991</v>
      </c>
      <c r="G209" s="223" t="s">
        <v>1779</v>
      </c>
      <c r="H209" s="355">
        <v>22314.05</v>
      </c>
      <c r="I209" s="355">
        <v>0</v>
      </c>
      <c r="J209" s="357">
        <v>4685.95</v>
      </c>
      <c r="K209" s="355">
        <v>4685.95</v>
      </c>
      <c r="L209" s="355">
        <v>27000</v>
      </c>
    </row>
    <row r="210" spans="1:12" x14ac:dyDescent="0.25">
      <c r="A210" s="223" t="s">
        <v>1744</v>
      </c>
      <c r="B210" s="223" t="s">
        <v>999</v>
      </c>
      <c r="C210" s="223" t="s">
        <v>1000</v>
      </c>
      <c r="D210" s="223" t="s">
        <v>989</v>
      </c>
      <c r="E210" s="223" t="s">
        <v>998</v>
      </c>
      <c r="F210" s="223" t="s">
        <v>991</v>
      </c>
      <c r="G210" s="223" t="s">
        <v>1780</v>
      </c>
      <c r="H210" s="355">
        <v>14876.03</v>
      </c>
      <c r="I210" s="355">
        <v>0</v>
      </c>
      <c r="J210" s="357">
        <v>3123.97</v>
      </c>
      <c r="K210" s="355">
        <v>3123.97</v>
      </c>
      <c r="L210" s="355">
        <v>18000</v>
      </c>
    </row>
    <row r="211" spans="1:12" x14ac:dyDescent="0.25">
      <c r="A211" s="223" t="s">
        <v>1744</v>
      </c>
      <c r="B211" s="223" t="s">
        <v>1781</v>
      </c>
      <c r="C211" s="223" t="s">
        <v>1782</v>
      </c>
      <c r="D211" s="223" t="s">
        <v>989</v>
      </c>
      <c r="E211" s="223" t="s">
        <v>998</v>
      </c>
      <c r="F211" s="223" t="s">
        <v>991</v>
      </c>
      <c r="G211" s="223" t="s">
        <v>1783</v>
      </c>
      <c r="H211" s="355">
        <v>14049.59</v>
      </c>
      <c r="I211" s="355">
        <v>0</v>
      </c>
      <c r="J211" s="357">
        <v>2950.41</v>
      </c>
      <c r="K211" s="355">
        <v>2950.41</v>
      </c>
      <c r="L211" s="355">
        <v>17000</v>
      </c>
    </row>
    <row r="212" spans="1:12" x14ac:dyDescent="0.25">
      <c r="A212" s="223" t="s">
        <v>1744</v>
      </c>
      <c r="B212" s="223" t="s">
        <v>999</v>
      </c>
      <c r="C212" s="223" t="s">
        <v>1000</v>
      </c>
      <c r="D212" s="223" t="s">
        <v>989</v>
      </c>
      <c r="E212" s="223" t="s">
        <v>998</v>
      </c>
      <c r="F212" s="223" t="s">
        <v>991</v>
      </c>
      <c r="G212" s="223" t="s">
        <v>1789</v>
      </c>
      <c r="H212" s="355">
        <v>20661.16</v>
      </c>
      <c r="I212" s="355">
        <v>0</v>
      </c>
      <c r="J212" s="357">
        <v>4338.84</v>
      </c>
      <c r="K212" s="355">
        <v>4338.84</v>
      </c>
      <c r="L212" s="355">
        <v>25000</v>
      </c>
    </row>
    <row r="213" spans="1:12" x14ac:dyDescent="0.25">
      <c r="A213" s="223" t="s">
        <v>1744</v>
      </c>
      <c r="B213" s="223" t="s">
        <v>999</v>
      </c>
      <c r="C213" s="223" t="s">
        <v>1000</v>
      </c>
      <c r="D213" s="223" t="s">
        <v>989</v>
      </c>
      <c r="E213" s="223" t="s">
        <v>998</v>
      </c>
      <c r="F213" s="223" t="s">
        <v>991</v>
      </c>
      <c r="G213" s="223" t="s">
        <v>1792</v>
      </c>
      <c r="H213" s="355">
        <v>18595.04</v>
      </c>
      <c r="I213" s="355">
        <v>0</v>
      </c>
      <c r="J213" s="357">
        <v>3904.96</v>
      </c>
      <c r="K213" s="355">
        <v>3904.96</v>
      </c>
      <c r="L213" s="355">
        <v>22500</v>
      </c>
    </row>
    <row r="214" spans="1:12" x14ac:dyDescent="0.25">
      <c r="A214" s="223" t="s">
        <v>1744</v>
      </c>
      <c r="B214" s="223" t="s">
        <v>999</v>
      </c>
      <c r="C214" s="223" t="s">
        <v>1000</v>
      </c>
      <c r="D214" s="223" t="s">
        <v>989</v>
      </c>
      <c r="E214" s="223" t="s">
        <v>998</v>
      </c>
      <c r="F214" s="223" t="s">
        <v>991</v>
      </c>
      <c r="G214" s="223" t="s">
        <v>1793</v>
      </c>
      <c r="H214" s="355">
        <v>16776.86</v>
      </c>
      <c r="I214" s="355">
        <v>0</v>
      </c>
      <c r="J214" s="357">
        <v>3523.14</v>
      </c>
      <c r="K214" s="355">
        <v>3523.14</v>
      </c>
      <c r="L214" s="355">
        <v>20300</v>
      </c>
    </row>
    <row r="215" spans="1:12" x14ac:dyDescent="0.25">
      <c r="A215" s="223" t="s">
        <v>1794</v>
      </c>
      <c r="B215" s="223" t="s">
        <v>999</v>
      </c>
      <c r="C215" s="223" t="s">
        <v>1000</v>
      </c>
      <c r="D215" s="223" t="s">
        <v>989</v>
      </c>
      <c r="E215" s="223" t="s">
        <v>998</v>
      </c>
      <c r="F215" s="223" t="s">
        <v>991</v>
      </c>
      <c r="G215" s="223" t="s">
        <v>1798</v>
      </c>
      <c r="H215" s="355">
        <v>20661.16</v>
      </c>
      <c r="I215" s="355">
        <v>0</v>
      </c>
      <c r="J215" s="357">
        <v>4338.84</v>
      </c>
      <c r="K215" s="355">
        <v>4338.84</v>
      </c>
      <c r="L215" s="355">
        <v>25000</v>
      </c>
    </row>
    <row r="216" spans="1:12" x14ac:dyDescent="0.25">
      <c r="A216" s="223" t="s">
        <v>1794</v>
      </c>
      <c r="B216" s="223" t="s">
        <v>999</v>
      </c>
      <c r="C216" s="223" t="s">
        <v>1000</v>
      </c>
      <c r="D216" s="223" t="s">
        <v>989</v>
      </c>
      <c r="E216" s="223" t="s">
        <v>998</v>
      </c>
      <c r="F216" s="223" t="s">
        <v>991</v>
      </c>
      <c r="G216" s="223" t="s">
        <v>1799</v>
      </c>
      <c r="H216" s="355">
        <v>28925.62</v>
      </c>
      <c r="I216" s="355">
        <v>0</v>
      </c>
      <c r="J216" s="357">
        <v>6074.38</v>
      </c>
      <c r="K216" s="355">
        <v>6074.38</v>
      </c>
      <c r="L216" s="355">
        <v>35000</v>
      </c>
    </row>
    <row r="217" spans="1:12" x14ac:dyDescent="0.25">
      <c r="A217" s="223" t="s">
        <v>1794</v>
      </c>
      <c r="B217" s="223" t="s">
        <v>999</v>
      </c>
      <c r="C217" s="223" t="s">
        <v>1000</v>
      </c>
      <c r="D217" s="223" t="s">
        <v>989</v>
      </c>
      <c r="E217" s="223" t="s">
        <v>998</v>
      </c>
      <c r="F217" s="223" t="s">
        <v>991</v>
      </c>
      <c r="G217" s="223" t="s">
        <v>1800</v>
      </c>
      <c r="H217" s="355">
        <v>16429.75</v>
      </c>
      <c r="I217" s="355">
        <v>0</v>
      </c>
      <c r="J217" s="357">
        <v>3450.25</v>
      </c>
      <c r="K217" s="355">
        <v>3450.25</v>
      </c>
      <c r="L217" s="355">
        <v>19880</v>
      </c>
    </row>
    <row r="218" spans="1:12" x14ac:dyDescent="0.25">
      <c r="A218" s="223" t="s">
        <v>1794</v>
      </c>
      <c r="B218" s="223" t="s">
        <v>999</v>
      </c>
      <c r="C218" s="223" t="s">
        <v>1000</v>
      </c>
      <c r="D218" s="223" t="s">
        <v>989</v>
      </c>
      <c r="E218" s="223" t="s">
        <v>998</v>
      </c>
      <c r="F218" s="223" t="s">
        <v>991</v>
      </c>
      <c r="G218" s="223" t="s">
        <v>1801</v>
      </c>
      <c r="H218" s="355">
        <v>34710.74</v>
      </c>
      <c r="I218" s="355">
        <v>0</v>
      </c>
      <c r="J218" s="357">
        <v>7289.26</v>
      </c>
      <c r="K218" s="355">
        <v>7289.26</v>
      </c>
      <c r="L218" s="355">
        <v>42000</v>
      </c>
    </row>
    <row r="219" spans="1:12" x14ac:dyDescent="0.25">
      <c r="A219" s="223" t="s">
        <v>1794</v>
      </c>
      <c r="B219" s="223" t="s">
        <v>999</v>
      </c>
      <c r="C219" s="223" t="s">
        <v>1000</v>
      </c>
      <c r="D219" s="223" t="s">
        <v>989</v>
      </c>
      <c r="E219" s="223" t="s">
        <v>998</v>
      </c>
      <c r="F219" s="223" t="s">
        <v>991</v>
      </c>
      <c r="G219" s="223" t="s">
        <v>1802</v>
      </c>
      <c r="H219" s="355">
        <v>34710.74</v>
      </c>
      <c r="I219" s="355">
        <v>0</v>
      </c>
      <c r="J219" s="357">
        <v>7289.26</v>
      </c>
      <c r="K219" s="355">
        <v>7289.26</v>
      </c>
      <c r="L219" s="355">
        <v>42000</v>
      </c>
    </row>
    <row r="220" spans="1:12" x14ac:dyDescent="0.25">
      <c r="A220" s="223" t="s">
        <v>1794</v>
      </c>
      <c r="B220" s="223" t="s">
        <v>999</v>
      </c>
      <c r="C220" s="223" t="s">
        <v>1000</v>
      </c>
      <c r="D220" s="223" t="s">
        <v>989</v>
      </c>
      <c r="E220" s="223" t="s">
        <v>998</v>
      </c>
      <c r="F220" s="223" t="s">
        <v>991</v>
      </c>
      <c r="G220" s="223" t="s">
        <v>1803</v>
      </c>
      <c r="H220" s="355">
        <v>7851.24</v>
      </c>
      <c r="I220" s="355">
        <v>0</v>
      </c>
      <c r="J220" s="357">
        <v>1648.76</v>
      </c>
      <c r="K220" s="355">
        <v>1648.76</v>
      </c>
      <c r="L220" s="355">
        <v>9500</v>
      </c>
    </row>
    <row r="221" spans="1:12" x14ac:dyDescent="0.25">
      <c r="A221" s="223" t="s">
        <v>1794</v>
      </c>
      <c r="B221" s="223" t="s">
        <v>999</v>
      </c>
      <c r="C221" s="223" t="s">
        <v>1000</v>
      </c>
      <c r="D221" s="223" t="s">
        <v>989</v>
      </c>
      <c r="E221" s="223" t="s">
        <v>998</v>
      </c>
      <c r="F221" s="223" t="s">
        <v>991</v>
      </c>
      <c r="G221" s="223" t="s">
        <v>1804</v>
      </c>
      <c r="H221" s="355">
        <v>18595.04</v>
      </c>
      <c r="I221" s="355">
        <v>0</v>
      </c>
      <c r="J221" s="357">
        <v>3904.96</v>
      </c>
      <c r="K221" s="355">
        <v>3904.96</v>
      </c>
      <c r="L221" s="355">
        <v>22500</v>
      </c>
    </row>
    <row r="222" spans="1:12" x14ac:dyDescent="0.25">
      <c r="A222" s="223" t="s">
        <v>1794</v>
      </c>
      <c r="B222" s="223" t="s">
        <v>999</v>
      </c>
      <c r="C222" s="223" t="s">
        <v>1000</v>
      </c>
      <c r="D222" s="223" t="s">
        <v>989</v>
      </c>
      <c r="E222" s="223" t="s">
        <v>998</v>
      </c>
      <c r="F222" s="223" t="s">
        <v>991</v>
      </c>
      <c r="G222" s="223" t="s">
        <v>1805</v>
      </c>
      <c r="H222" s="355">
        <v>16528.93</v>
      </c>
      <c r="I222" s="355">
        <v>0</v>
      </c>
      <c r="J222" s="357">
        <v>3471.07</v>
      </c>
      <c r="K222" s="355">
        <v>3471.07</v>
      </c>
      <c r="L222" s="355">
        <v>20000</v>
      </c>
    </row>
    <row r="223" spans="1:12" x14ac:dyDescent="0.25">
      <c r="A223" s="223" t="s">
        <v>1794</v>
      </c>
      <c r="B223" s="223" t="s">
        <v>999</v>
      </c>
      <c r="C223" s="223" t="s">
        <v>1000</v>
      </c>
      <c r="D223" s="223" t="s">
        <v>989</v>
      </c>
      <c r="E223" s="223" t="s">
        <v>998</v>
      </c>
      <c r="F223" s="223" t="s">
        <v>991</v>
      </c>
      <c r="G223" s="223" t="s">
        <v>1806</v>
      </c>
      <c r="H223" s="355">
        <v>63636.36</v>
      </c>
      <c r="I223" s="355">
        <v>0</v>
      </c>
      <c r="J223" s="357">
        <v>13363.64</v>
      </c>
      <c r="K223" s="355">
        <v>13363.64</v>
      </c>
      <c r="L223" s="355">
        <v>77000</v>
      </c>
    </row>
    <row r="224" spans="1:12" x14ac:dyDescent="0.25">
      <c r="A224" s="223" t="s">
        <v>1794</v>
      </c>
      <c r="B224" s="223" t="s">
        <v>999</v>
      </c>
      <c r="C224" s="223" t="s">
        <v>1000</v>
      </c>
      <c r="D224" s="223" t="s">
        <v>989</v>
      </c>
      <c r="E224" s="223" t="s">
        <v>998</v>
      </c>
      <c r="F224" s="223" t="s">
        <v>991</v>
      </c>
      <c r="G224" s="223" t="s">
        <v>1807</v>
      </c>
      <c r="H224" s="355">
        <v>16528.93</v>
      </c>
      <c r="I224" s="355">
        <v>0</v>
      </c>
      <c r="J224" s="357">
        <v>3471.07</v>
      </c>
      <c r="K224" s="355">
        <v>3471.07</v>
      </c>
      <c r="L224" s="355">
        <v>20000</v>
      </c>
    </row>
    <row r="225" spans="1:12" x14ac:dyDescent="0.25">
      <c r="A225" s="223" t="s">
        <v>1794</v>
      </c>
      <c r="B225" s="223" t="s">
        <v>999</v>
      </c>
      <c r="C225" s="223" t="s">
        <v>1000</v>
      </c>
      <c r="D225" s="223" t="s">
        <v>989</v>
      </c>
      <c r="E225" s="223" t="s">
        <v>998</v>
      </c>
      <c r="F225" s="223" t="s">
        <v>991</v>
      </c>
      <c r="G225" s="223" t="s">
        <v>1811</v>
      </c>
      <c r="H225" s="355">
        <v>6942.15</v>
      </c>
      <c r="I225" s="355">
        <v>0</v>
      </c>
      <c r="J225" s="357">
        <v>1457.85</v>
      </c>
      <c r="K225" s="355">
        <v>1457.85</v>
      </c>
      <c r="L225" s="355">
        <v>8400</v>
      </c>
    </row>
    <row r="226" spans="1:12" x14ac:dyDescent="0.25">
      <c r="A226" s="223" t="s">
        <v>1794</v>
      </c>
      <c r="B226" s="223" t="s">
        <v>999</v>
      </c>
      <c r="C226" s="223" t="s">
        <v>1000</v>
      </c>
      <c r="D226" s="223" t="s">
        <v>989</v>
      </c>
      <c r="E226" s="223" t="s">
        <v>998</v>
      </c>
      <c r="F226" s="223" t="s">
        <v>991</v>
      </c>
      <c r="G226" s="223" t="s">
        <v>1812</v>
      </c>
      <c r="H226" s="355">
        <v>20661.16</v>
      </c>
      <c r="I226" s="355">
        <v>0</v>
      </c>
      <c r="J226" s="357">
        <v>4338.84</v>
      </c>
      <c r="K226" s="355">
        <v>4338.84</v>
      </c>
      <c r="L226" s="355">
        <v>25000</v>
      </c>
    </row>
    <row r="227" spans="1:12" x14ac:dyDescent="0.25">
      <c r="A227" s="223" t="s">
        <v>1794</v>
      </c>
      <c r="B227" s="223" t="s">
        <v>999</v>
      </c>
      <c r="C227" s="223" t="s">
        <v>1000</v>
      </c>
      <c r="D227" s="223" t="s">
        <v>989</v>
      </c>
      <c r="E227" s="223" t="s">
        <v>998</v>
      </c>
      <c r="F227" s="223" t="s">
        <v>991</v>
      </c>
      <c r="G227" s="223" t="s">
        <v>1813</v>
      </c>
      <c r="H227" s="355">
        <v>29752.07</v>
      </c>
      <c r="I227" s="355">
        <v>0</v>
      </c>
      <c r="J227" s="357">
        <v>6247.93</v>
      </c>
      <c r="K227" s="355">
        <v>6247.93</v>
      </c>
      <c r="L227" s="355">
        <v>36000</v>
      </c>
    </row>
    <row r="228" spans="1:12" x14ac:dyDescent="0.25">
      <c r="A228" s="223" t="s">
        <v>1794</v>
      </c>
      <c r="B228" s="223" t="s">
        <v>999</v>
      </c>
      <c r="C228" s="223" t="s">
        <v>1000</v>
      </c>
      <c r="D228" s="223" t="s">
        <v>989</v>
      </c>
      <c r="E228" s="223" t="s">
        <v>998</v>
      </c>
      <c r="F228" s="223" t="s">
        <v>991</v>
      </c>
      <c r="G228" s="223" t="s">
        <v>1814</v>
      </c>
      <c r="H228" s="355">
        <v>18181.82</v>
      </c>
      <c r="I228" s="355">
        <v>0</v>
      </c>
      <c r="J228" s="357">
        <v>3818.18</v>
      </c>
      <c r="K228" s="355">
        <v>3818.18</v>
      </c>
      <c r="L228" s="355">
        <v>22000</v>
      </c>
    </row>
    <row r="229" spans="1:12" x14ac:dyDescent="0.25">
      <c r="A229" s="223" t="s">
        <v>1794</v>
      </c>
      <c r="B229" s="223" t="s">
        <v>999</v>
      </c>
      <c r="C229" s="223" t="s">
        <v>1000</v>
      </c>
      <c r="D229" s="223" t="s">
        <v>989</v>
      </c>
      <c r="E229" s="223" t="s">
        <v>998</v>
      </c>
      <c r="F229" s="223" t="s">
        <v>991</v>
      </c>
      <c r="G229" s="223" t="s">
        <v>1815</v>
      </c>
      <c r="H229" s="355">
        <v>33057.85</v>
      </c>
      <c r="I229" s="355">
        <v>0</v>
      </c>
      <c r="J229" s="357">
        <v>6942.15</v>
      </c>
      <c r="K229" s="355">
        <v>6942.15</v>
      </c>
      <c r="L229" s="355">
        <v>40000</v>
      </c>
    </row>
    <row r="230" spans="1:12" x14ac:dyDescent="0.25">
      <c r="A230" s="223" t="s">
        <v>1794</v>
      </c>
      <c r="B230" s="223" t="s">
        <v>999</v>
      </c>
      <c r="C230" s="223" t="s">
        <v>1000</v>
      </c>
      <c r="D230" s="223" t="s">
        <v>989</v>
      </c>
      <c r="E230" s="223" t="s">
        <v>998</v>
      </c>
      <c r="F230" s="223" t="s">
        <v>991</v>
      </c>
      <c r="G230" s="223" t="s">
        <v>1817</v>
      </c>
      <c r="H230" s="355">
        <v>11570.25</v>
      </c>
      <c r="I230" s="355">
        <v>0</v>
      </c>
      <c r="J230" s="357">
        <v>2429.75</v>
      </c>
      <c r="K230" s="355">
        <v>2429.75</v>
      </c>
      <c r="L230" s="355">
        <v>14000</v>
      </c>
    </row>
    <row r="231" spans="1:12" x14ac:dyDescent="0.25">
      <c r="A231" s="223" t="s">
        <v>1794</v>
      </c>
      <c r="B231" s="223" t="s">
        <v>999</v>
      </c>
      <c r="C231" s="223" t="s">
        <v>1000</v>
      </c>
      <c r="D231" s="223" t="s">
        <v>989</v>
      </c>
      <c r="E231" s="223" t="s">
        <v>998</v>
      </c>
      <c r="F231" s="223" t="s">
        <v>991</v>
      </c>
      <c r="G231" s="223" t="s">
        <v>1818</v>
      </c>
      <c r="H231" s="355">
        <v>23966.94</v>
      </c>
      <c r="I231" s="355">
        <v>0</v>
      </c>
      <c r="J231" s="357">
        <v>5033.0600000000004</v>
      </c>
      <c r="K231" s="355">
        <v>5033.0600000000004</v>
      </c>
      <c r="L231" s="355">
        <v>29000</v>
      </c>
    </row>
    <row r="232" spans="1:12" x14ac:dyDescent="0.25">
      <c r="A232" s="223" t="s">
        <v>1794</v>
      </c>
      <c r="B232" s="223" t="s">
        <v>999</v>
      </c>
      <c r="C232" s="223" t="s">
        <v>1000</v>
      </c>
      <c r="D232" s="223" t="s">
        <v>989</v>
      </c>
      <c r="E232" s="223" t="s">
        <v>998</v>
      </c>
      <c r="F232" s="223" t="s">
        <v>991</v>
      </c>
      <c r="G232" s="223" t="s">
        <v>1820</v>
      </c>
      <c r="H232" s="355">
        <v>23140.5</v>
      </c>
      <c r="I232" s="355">
        <v>0</v>
      </c>
      <c r="J232" s="357">
        <v>4859.5</v>
      </c>
      <c r="K232" s="355">
        <v>4859.5</v>
      </c>
      <c r="L232" s="355">
        <v>28000</v>
      </c>
    </row>
    <row r="233" spans="1:12" x14ac:dyDescent="0.25">
      <c r="A233" s="223" t="s">
        <v>1794</v>
      </c>
      <c r="B233" s="223" t="s">
        <v>999</v>
      </c>
      <c r="C233" s="223" t="s">
        <v>1000</v>
      </c>
      <c r="D233" s="223" t="s">
        <v>989</v>
      </c>
      <c r="E233" s="223" t="s">
        <v>998</v>
      </c>
      <c r="F233" s="223" t="s">
        <v>991</v>
      </c>
      <c r="G233" s="223" t="s">
        <v>1821</v>
      </c>
      <c r="H233" s="355">
        <v>31404.959999999999</v>
      </c>
      <c r="I233" s="355">
        <v>0</v>
      </c>
      <c r="J233" s="357">
        <v>6595.04</v>
      </c>
      <c r="K233" s="355">
        <v>6595.04</v>
      </c>
      <c r="L233" s="355">
        <v>38000</v>
      </c>
    </row>
    <row r="234" spans="1:12" x14ac:dyDescent="0.25">
      <c r="A234" s="223" t="s">
        <v>1823</v>
      </c>
      <c r="B234" s="223" t="s">
        <v>999</v>
      </c>
      <c r="C234" s="223" t="s">
        <v>1000</v>
      </c>
      <c r="D234" s="223" t="s">
        <v>989</v>
      </c>
      <c r="E234" s="223" t="s">
        <v>998</v>
      </c>
      <c r="F234" s="223" t="s">
        <v>991</v>
      </c>
      <c r="G234" s="223" t="s">
        <v>1827</v>
      </c>
      <c r="H234" s="355">
        <v>29752.07</v>
      </c>
      <c r="I234" s="355">
        <v>0</v>
      </c>
      <c r="J234" s="357">
        <v>6247.93</v>
      </c>
      <c r="K234" s="355">
        <v>6247.93</v>
      </c>
      <c r="L234" s="355">
        <v>36000</v>
      </c>
    </row>
    <row r="235" spans="1:12" x14ac:dyDescent="0.25">
      <c r="A235" s="223" t="s">
        <v>1823</v>
      </c>
      <c r="B235" s="223" t="s">
        <v>999</v>
      </c>
      <c r="C235" s="223" t="s">
        <v>1000</v>
      </c>
      <c r="D235" s="223" t="s">
        <v>989</v>
      </c>
      <c r="E235" s="223" t="s">
        <v>998</v>
      </c>
      <c r="F235" s="223" t="s">
        <v>991</v>
      </c>
      <c r="G235" s="223" t="s">
        <v>1828</v>
      </c>
      <c r="H235" s="355">
        <v>20661.16</v>
      </c>
      <c r="I235" s="355">
        <v>0</v>
      </c>
      <c r="J235" s="357">
        <v>4338.84</v>
      </c>
      <c r="K235" s="355">
        <v>4338.84</v>
      </c>
      <c r="L235" s="355">
        <v>25000</v>
      </c>
    </row>
    <row r="236" spans="1:12" x14ac:dyDescent="0.25">
      <c r="A236" s="223" t="s">
        <v>1823</v>
      </c>
      <c r="B236" s="223" t="s">
        <v>999</v>
      </c>
      <c r="C236" s="223" t="s">
        <v>1000</v>
      </c>
      <c r="D236" s="223" t="s">
        <v>989</v>
      </c>
      <c r="E236" s="223" t="s">
        <v>998</v>
      </c>
      <c r="F236" s="223" t="s">
        <v>991</v>
      </c>
      <c r="G236" s="223" t="s">
        <v>1829</v>
      </c>
      <c r="H236" s="355">
        <v>5785.12</v>
      </c>
      <c r="I236" s="355">
        <v>0</v>
      </c>
      <c r="J236" s="357">
        <v>1214.8800000000001</v>
      </c>
      <c r="K236" s="355">
        <v>1214.8800000000001</v>
      </c>
      <c r="L236" s="355">
        <v>7000</v>
      </c>
    </row>
    <row r="237" spans="1:12" x14ac:dyDescent="0.25">
      <c r="A237" s="223" t="s">
        <v>1823</v>
      </c>
      <c r="B237" s="223" t="s">
        <v>999</v>
      </c>
      <c r="C237" s="223" t="s">
        <v>1000</v>
      </c>
      <c r="D237" s="223" t="s">
        <v>989</v>
      </c>
      <c r="E237" s="223" t="s">
        <v>998</v>
      </c>
      <c r="F237" s="223" t="s">
        <v>991</v>
      </c>
      <c r="G237" s="223" t="s">
        <v>1834</v>
      </c>
      <c r="H237" s="355">
        <v>29752.07</v>
      </c>
      <c r="I237" s="355">
        <v>0</v>
      </c>
      <c r="J237" s="357">
        <v>6247.93</v>
      </c>
      <c r="K237" s="355">
        <v>6247.93</v>
      </c>
      <c r="L237" s="355">
        <v>36000</v>
      </c>
    </row>
    <row r="238" spans="1:12" x14ac:dyDescent="0.25">
      <c r="A238" s="223" t="s">
        <v>1823</v>
      </c>
      <c r="B238" s="223" t="s">
        <v>999</v>
      </c>
      <c r="C238" s="223" t="s">
        <v>1000</v>
      </c>
      <c r="D238" s="223" t="s">
        <v>989</v>
      </c>
      <c r="E238" s="223" t="s">
        <v>998</v>
      </c>
      <c r="F238" s="223" t="s">
        <v>991</v>
      </c>
      <c r="G238" s="223" t="s">
        <v>1835</v>
      </c>
      <c r="H238" s="355">
        <v>20661.16</v>
      </c>
      <c r="I238" s="355">
        <v>0</v>
      </c>
      <c r="J238" s="357">
        <v>4338.84</v>
      </c>
      <c r="K238" s="355">
        <v>4338.84</v>
      </c>
      <c r="L238" s="355">
        <v>25000</v>
      </c>
    </row>
    <row r="239" spans="1:12" x14ac:dyDescent="0.25">
      <c r="A239" s="223" t="s">
        <v>1823</v>
      </c>
      <c r="B239" s="223" t="s">
        <v>1836</v>
      </c>
      <c r="C239" s="223" t="s">
        <v>1837</v>
      </c>
      <c r="D239" s="223" t="s">
        <v>988</v>
      </c>
      <c r="E239" s="223" t="s">
        <v>1838</v>
      </c>
      <c r="F239" s="223" t="s">
        <v>991</v>
      </c>
      <c r="G239" s="223" t="s">
        <v>1839</v>
      </c>
      <c r="H239" s="355">
        <v>41322.31</v>
      </c>
      <c r="I239" s="355">
        <v>0</v>
      </c>
      <c r="J239" s="357">
        <v>8677.69</v>
      </c>
      <c r="K239" s="355">
        <v>8677.69</v>
      </c>
      <c r="L239" s="355">
        <v>50000</v>
      </c>
    </row>
    <row r="240" spans="1:12" x14ac:dyDescent="0.25">
      <c r="A240" s="223" t="s">
        <v>1823</v>
      </c>
      <c r="B240" s="223" t="s">
        <v>1841</v>
      </c>
      <c r="C240" s="223" t="s">
        <v>1842</v>
      </c>
      <c r="D240" s="223" t="s">
        <v>989</v>
      </c>
      <c r="E240" s="223" t="s">
        <v>998</v>
      </c>
      <c r="F240" s="223" t="s">
        <v>991</v>
      </c>
      <c r="G240" s="223" t="s">
        <v>1843</v>
      </c>
      <c r="H240" s="355">
        <v>33884.300000000003</v>
      </c>
      <c r="I240" s="355">
        <v>0</v>
      </c>
      <c r="J240" s="357">
        <v>7115.7</v>
      </c>
      <c r="K240" s="355">
        <v>7115.7</v>
      </c>
      <c r="L240" s="355">
        <v>41000</v>
      </c>
    </row>
    <row r="241" spans="1:12" x14ac:dyDescent="0.25">
      <c r="A241" s="223" t="s">
        <v>1823</v>
      </c>
      <c r="B241" s="223" t="s">
        <v>1844</v>
      </c>
      <c r="C241" s="223" t="s">
        <v>1845</v>
      </c>
      <c r="D241" s="223" t="s">
        <v>989</v>
      </c>
      <c r="E241" s="223" t="s">
        <v>998</v>
      </c>
      <c r="F241" s="223" t="s">
        <v>1008</v>
      </c>
      <c r="G241" s="223" t="s">
        <v>1846</v>
      </c>
      <c r="H241" s="355">
        <v>12644.63</v>
      </c>
      <c r="I241" s="355">
        <v>0</v>
      </c>
      <c r="J241" s="357">
        <v>2655.37</v>
      </c>
      <c r="K241" s="355">
        <v>2655.37</v>
      </c>
      <c r="L241" s="355">
        <v>15300</v>
      </c>
    </row>
    <row r="242" spans="1:12" x14ac:dyDescent="0.25">
      <c r="A242" s="223" t="s">
        <v>1823</v>
      </c>
      <c r="B242" s="223" t="s">
        <v>999</v>
      </c>
      <c r="C242" s="223" t="s">
        <v>1000</v>
      </c>
      <c r="D242" s="223" t="s">
        <v>989</v>
      </c>
      <c r="E242" s="223" t="s">
        <v>998</v>
      </c>
      <c r="F242" s="223" t="s">
        <v>991</v>
      </c>
      <c r="G242" s="223" t="s">
        <v>1847</v>
      </c>
      <c r="H242" s="355">
        <v>30578.51</v>
      </c>
      <c r="I242" s="355">
        <v>0</v>
      </c>
      <c r="J242" s="357">
        <v>6421.49</v>
      </c>
      <c r="K242" s="355">
        <v>6421.49</v>
      </c>
      <c r="L242" s="355">
        <v>37000</v>
      </c>
    </row>
    <row r="243" spans="1:12" x14ac:dyDescent="0.25">
      <c r="A243" s="223" t="s">
        <v>1848</v>
      </c>
      <c r="B243" s="223" t="s">
        <v>999</v>
      </c>
      <c r="C243" s="223" t="s">
        <v>1000</v>
      </c>
      <c r="D243" s="223" t="s">
        <v>989</v>
      </c>
      <c r="E243" s="223" t="s">
        <v>998</v>
      </c>
      <c r="F243" s="223" t="s">
        <v>991</v>
      </c>
      <c r="G243" s="223" t="s">
        <v>1869</v>
      </c>
      <c r="H243" s="355">
        <v>14049.59</v>
      </c>
      <c r="I243" s="355">
        <v>0</v>
      </c>
      <c r="J243" s="357">
        <v>2950.41</v>
      </c>
      <c r="K243" s="355">
        <v>2950.41</v>
      </c>
      <c r="L243" s="355">
        <v>17000</v>
      </c>
    </row>
    <row r="244" spans="1:12" x14ac:dyDescent="0.25">
      <c r="A244" s="223" t="s">
        <v>1848</v>
      </c>
      <c r="B244" s="223" t="s">
        <v>999</v>
      </c>
      <c r="C244" s="223" t="s">
        <v>1000</v>
      </c>
      <c r="D244" s="223" t="s">
        <v>989</v>
      </c>
      <c r="E244" s="223" t="s">
        <v>998</v>
      </c>
      <c r="F244" s="223" t="s">
        <v>991</v>
      </c>
      <c r="G244" s="223" t="s">
        <v>1874</v>
      </c>
      <c r="H244" s="355">
        <v>7272.73</v>
      </c>
      <c r="I244" s="355">
        <v>0</v>
      </c>
      <c r="J244" s="357">
        <v>1527.27</v>
      </c>
      <c r="K244" s="355">
        <v>1527.27</v>
      </c>
      <c r="L244" s="355">
        <v>8800</v>
      </c>
    </row>
    <row r="245" spans="1:12" x14ac:dyDescent="0.25">
      <c r="A245" s="223" t="s">
        <v>1848</v>
      </c>
      <c r="B245" s="223" t="s">
        <v>999</v>
      </c>
      <c r="C245" s="223" t="s">
        <v>1000</v>
      </c>
      <c r="D245" s="223" t="s">
        <v>989</v>
      </c>
      <c r="E245" s="223" t="s">
        <v>998</v>
      </c>
      <c r="F245" s="223" t="s">
        <v>991</v>
      </c>
      <c r="G245" s="223" t="s">
        <v>1878</v>
      </c>
      <c r="H245" s="355">
        <v>16528.93</v>
      </c>
      <c r="I245" s="355">
        <v>0</v>
      </c>
      <c r="J245" s="357">
        <v>3471.07</v>
      </c>
      <c r="K245" s="355">
        <v>3471.07</v>
      </c>
      <c r="L245" s="355">
        <v>20000</v>
      </c>
    </row>
    <row r="246" spans="1:12" x14ac:dyDescent="0.25">
      <c r="A246" s="223" t="s">
        <v>1848</v>
      </c>
      <c r="B246" s="223" t="s">
        <v>999</v>
      </c>
      <c r="C246" s="223" t="s">
        <v>1000</v>
      </c>
      <c r="D246" s="223" t="s">
        <v>989</v>
      </c>
      <c r="E246" s="223" t="s">
        <v>998</v>
      </c>
      <c r="F246" s="223" t="s">
        <v>991</v>
      </c>
      <c r="G246" s="223" t="s">
        <v>1882</v>
      </c>
      <c r="H246" s="355">
        <v>6198.35</v>
      </c>
      <c r="I246" s="355">
        <v>0</v>
      </c>
      <c r="J246" s="357">
        <v>1301.6500000000001</v>
      </c>
      <c r="K246" s="355">
        <v>1301.6500000000001</v>
      </c>
      <c r="L246" s="355">
        <v>7500</v>
      </c>
    </row>
    <row r="247" spans="1:12" x14ac:dyDescent="0.25">
      <c r="A247" s="223" t="s">
        <v>1848</v>
      </c>
      <c r="B247" s="223" t="s">
        <v>999</v>
      </c>
      <c r="C247" s="223" t="s">
        <v>1000</v>
      </c>
      <c r="D247" s="223" t="s">
        <v>989</v>
      </c>
      <c r="E247" s="223" t="s">
        <v>998</v>
      </c>
      <c r="F247" s="223" t="s">
        <v>991</v>
      </c>
      <c r="G247" s="223" t="s">
        <v>1885</v>
      </c>
      <c r="H247" s="355">
        <v>30578.51</v>
      </c>
      <c r="I247" s="355">
        <v>0</v>
      </c>
      <c r="J247" s="357">
        <v>6421.49</v>
      </c>
      <c r="K247" s="355">
        <v>6421.49</v>
      </c>
      <c r="L247" s="355">
        <v>37000</v>
      </c>
    </row>
    <row r="248" spans="1:12" x14ac:dyDescent="0.25">
      <c r="A248" s="223" t="s">
        <v>1848</v>
      </c>
      <c r="B248" s="223" t="s">
        <v>999</v>
      </c>
      <c r="C248" s="223" t="s">
        <v>1000</v>
      </c>
      <c r="D248" s="223" t="s">
        <v>989</v>
      </c>
      <c r="E248" s="223" t="s">
        <v>998</v>
      </c>
      <c r="F248" s="223" t="s">
        <v>991</v>
      </c>
      <c r="G248" s="223" t="s">
        <v>1888</v>
      </c>
      <c r="H248" s="355">
        <v>13223.14</v>
      </c>
      <c r="I248" s="355">
        <v>0</v>
      </c>
      <c r="J248" s="357">
        <v>2776.86</v>
      </c>
      <c r="K248" s="355">
        <v>2776.86</v>
      </c>
      <c r="L248" s="355">
        <v>16000</v>
      </c>
    </row>
    <row r="249" spans="1:12" x14ac:dyDescent="0.25">
      <c r="A249" s="223" t="s">
        <v>1848</v>
      </c>
      <c r="B249" s="223" t="s">
        <v>999</v>
      </c>
      <c r="C249" s="223" t="s">
        <v>1000</v>
      </c>
      <c r="D249" s="223" t="s">
        <v>989</v>
      </c>
      <c r="E249" s="223" t="s">
        <v>998</v>
      </c>
      <c r="F249" s="223" t="s">
        <v>991</v>
      </c>
      <c r="G249" s="223" t="s">
        <v>1894</v>
      </c>
      <c r="H249" s="355">
        <v>29752.07</v>
      </c>
      <c r="I249" s="355">
        <v>0</v>
      </c>
      <c r="J249" s="357">
        <v>6247.93</v>
      </c>
      <c r="K249" s="355">
        <v>6247.93</v>
      </c>
      <c r="L249" s="355">
        <v>36000</v>
      </c>
    </row>
    <row r="250" spans="1:12" x14ac:dyDescent="0.25">
      <c r="A250" s="223" t="s">
        <v>1848</v>
      </c>
      <c r="B250" s="223" t="s">
        <v>999</v>
      </c>
      <c r="C250" s="223" t="s">
        <v>1000</v>
      </c>
      <c r="D250" s="223" t="s">
        <v>989</v>
      </c>
      <c r="E250" s="223" t="s">
        <v>998</v>
      </c>
      <c r="F250" s="223" t="s">
        <v>991</v>
      </c>
      <c r="G250" s="223" t="s">
        <v>1904</v>
      </c>
      <c r="H250" s="355">
        <v>18181.82</v>
      </c>
      <c r="I250" s="355">
        <v>0</v>
      </c>
      <c r="J250" s="357">
        <v>3818.18</v>
      </c>
      <c r="K250" s="355">
        <v>3818.18</v>
      </c>
      <c r="L250" s="355">
        <v>22000</v>
      </c>
    </row>
    <row r="251" spans="1:12" x14ac:dyDescent="0.25">
      <c r="A251" s="223" t="s">
        <v>1848</v>
      </c>
      <c r="B251" s="223" t="s">
        <v>999</v>
      </c>
      <c r="C251" s="223" t="s">
        <v>1000</v>
      </c>
      <c r="D251" s="223" t="s">
        <v>989</v>
      </c>
      <c r="E251" s="223" t="s">
        <v>998</v>
      </c>
      <c r="F251" s="223" t="s">
        <v>991</v>
      </c>
      <c r="G251" s="223" t="s">
        <v>1849</v>
      </c>
      <c r="H251" s="355">
        <v>18595.04</v>
      </c>
      <c r="I251" s="355">
        <v>0</v>
      </c>
      <c r="J251" s="357">
        <v>3904.96</v>
      </c>
      <c r="K251" s="355">
        <v>3904.96</v>
      </c>
      <c r="L251" s="355">
        <v>22500</v>
      </c>
    </row>
    <row r="252" spans="1:12" x14ac:dyDescent="0.25">
      <c r="A252" s="223" t="s">
        <v>1905</v>
      </c>
      <c r="B252" s="223" t="s">
        <v>999</v>
      </c>
      <c r="C252" s="223" t="s">
        <v>1000</v>
      </c>
      <c r="D252" s="223" t="s">
        <v>989</v>
      </c>
      <c r="E252" s="223" t="s">
        <v>998</v>
      </c>
      <c r="F252" s="223" t="s">
        <v>991</v>
      </c>
      <c r="G252" s="223" t="s">
        <v>1906</v>
      </c>
      <c r="H252" s="355">
        <v>17355.37</v>
      </c>
      <c r="I252" s="355">
        <v>0</v>
      </c>
      <c r="J252" s="357">
        <v>3644.63</v>
      </c>
      <c r="K252" s="355">
        <v>3644.63</v>
      </c>
      <c r="L252" s="355">
        <v>21000</v>
      </c>
    </row>
    <row r="253" spans="1:12" x14ac:dyDescent="0.25">
      <c r="A253" s="223" t="s">
        <v>1905</v>
      </c>
      <c r="B253" s="223" t="s">
        <v>999</v>
      </c>
      <c r="C253" s="223" t="s">
        <v>1000</v>
      </c>
      <c r="D253" s="223" t="s">
        <v>989</v>
      </c>
      <c r="E253" s="223" t="s">
        <v>998</v>
      </c>
      <c r="F253" s="223" t="s">
        <v>991</v>
      </c>
      <c r="G253" s="223" t="s">
        <v>1909</v>
      </c>
      <c r="H253" s="355">
        <v>10743.8</v>
      </c>
      <c r="I253" s="355">
        <v>0</v>
      </c>
      <c r="J253" s="357">
        <v>2256.1999999999998</v>
      </c>
      <c r="K253" s="355">
        <v>2256.1999999999998</v>
      </c>
      <c r="L253" s="355">
        <v>13000</v>
      </c>
    </row>
    <row r="254" spans="1:12" x14ac:dyDescent="0.25">
      <c r="A254" s="223" t="s">
        <v>1905</v>
      </c>
      <c r="B254" s="223" t="s">
        <v>999</v>
      </c>
      <c r="C254" s="223" t="s">
        <v>1000</v>
      </c>
      <c r="D254" s="223" t="s">
        <v>989</v>
      </c>
      <c r="E254" s="223" t="s">
        <v>998</v>
      </c>
      <c r="F254" s="223" t="s">
        <v>991</v>
      </c>
      <c r="G254" s="223" t="s">
        <v>1914</v>
      </c>
      <c r="H254" s="355">
        <v>16528.93</v>
      </c>
      <c r="I254" s="355">
        <v>0</v>
      </c>
      <c r="J254" s="357">
        <v>3471.07</v>
      </c>
      <c r="K254" s="355">
        <v>3471.07</v>
      </c>
      <c r="L254" s="355">
        <v>20000</v>
      </c>
    </row>
    <row r="255" spans="1:12" x14ac:dyDescent="0.25">
      <c r="A255" s="223" t="s">
        <v>1905</v>
      </c>
      <c r="B255" s="223" t="s">
        <v>999</v>
      </c>
      <c r="C255" s="223" t="s">
        <v>1000</v>
      </c>
      <c r="D255" s="223" t="s">
        <v>989</v>
      </c>
      <c r="E255" s="223" t="s">
        <v>998</v>
      </c>
      <c r="F255" s="223" t="s">
        <v>991</v>
      </c>
      <c r="G255" s="223" t="s">
        <v>1918</v>
      </c>
      <c r="H255" s="355">
        <v>14462.81</v>
      </c>
      <c r="I255" s="355">
        <v>0</v>
      </c>
      <c r="J255" s="357">
        <v>3037.19</v>
      </c>
      <c r="K255" s="355">
        <v>3037.19</v>
      </c>
      <c r="L255" s="355">
        <v>17500</v>
      </c>
    </row>
    <row r="256" spans="1:12" x14ac:dyDescent="0.25">
      <c r="A256" s="223" t="s">
        <v>1905</v>
      </c>
      <c r="B256" s="223" t="s">
        <v>999</v>
      </c>
      <c r="C256" s="223" t="s">
        <v>1000</v>
      </c>
      <c r="D256" s="223" t="s">
        <v>989</v>
      </c>
      <c r="E256" s="223" t="s">
        <v>998</v>
      </c>
      <c r="F256" s="223" t="s">
        <v>991</v>
      </c>
      <c r="G256" s="223" t="s">
        <v>1919</v>
      </c>
      <c r="H256" s="355">
        <v>19008.259999999998</v>
      </c>
      <c r="I256" s="355">
        <v>0</v>
      </c>
      <c r="J256" s="357">
        <v>3991.74</v>
      </c>
      <c r="K256" s="355">
        <v>3991.74</v>
      </c>
      <c r="L256" s="355">
        <v>23000</v>
      </c>
    </row>
    <row r="257" spans="1:12" x14ac:dyDescent="0.25">
      <c r="A257" s="223" t="s">
        <v>1905</v>
      </c>
      <c r="B257" s="223" t="s">
        <v>999</v>
      </c>
      <c r="C257" s="223" t="s">
        <v>1000</v>
      </c>
      <c r="D257" s="223" t="s">
        <v>989</v>
      </c>
      <c r="E257" s="223" t="s">
        <v>998</v>
      </c>
      <c r="F257" s="223" t="s">
        <v>991</v>
      </c>
      <c r="G257" s="223" t="s">
        <v>1920</v>
      </c>
      <c r="H257" s="355">
        <v>22066.12</v>
      </c>
      <c r="I257" s="355">
        <v>0</v>
      </c>
      <c r="J257" s="357">
        <v>4633.88</v>
      </c>
      <c r="K257" s="355">
        <v>4633.88</v>
      </c>
      <c r="L257" s="355">
        <v>26700</v>
      </c>
    </row>
    <row r="258" spans="1:12" x14ac:dyDescent="0.25">
      <c r="A258" s="223" t="s">
        <v>1905</v>
      </c>
      <c r="B258" s="223" t="s">
        <v>999</v>
      </c>
      <c r="C258" s="223" t="s">
        <v>1000</v>
      </c>
      <c r="D258" s="223" t="s">
        <v>989</v>
      </c>
      <c r="E258" s="223" t="s">
        <v>998</v>
      </c>
      <c r="F258" s="223" t="s">
        <v>991</v>
      </c>
      <c r="G258" s="223" t="s">
        <v>1925</v>
      </c>
      <c r="H258" s="355">
        <v>14876.03</v>
      </c>
      <c r="I258" s="355">
        <v>0</v>
      </c>
      <c r="J258" s="357">
        <v>3123.97</v>
      </c>
      <c r="K258" s="355">
        <v>3123.97</v>
      </c>
      <c r="L258" s="355">
        <v>18000</v>
      </c>
    </row>
    <row r="259" spans="1:12" x14ac:dyDescent="0.25">
      <c r="A259" s="223" t="s">
        <v>1905</v>
      </c>
      <c r="B259" s="223" t="s">
        <v>999</v>
      </c>
      <c r="C259" s="223" t="s">
        <v>1000</v>
      </c>
      <c r="D259" s="223" t="s">
        <v>989</v>
      </c>
      <c r="E259" s="223" t="s">
        <v>998</v>
      </c>
      <c r="F259" s="223" t="s">
        <v>991</v>
      </c>
      <c r="G259" s="223" t="s">
        <v>1927</v>
      </c>
      <c r="H259" s="355">
        <v>12396.69</v>
      </c>
      <c r="I259" s="355">
        <v>0</v>
      </c>
      <c r="J259" s="357">
        <v>2603.31</v>
      </c>
      <c r="K259" s="355">
        <v>2603.31</v>
      </c>
      <c r="L259" s="355">
        <v>15000</v>
      </c>
    </row>
    <row r="260" spans="1:12" x14ac:dyDescent="0.25">
      <c r="A260" s="223" t="s">
        <v>1905</v>
      </c>
      <c r="B260" s="223" t="s">
        <v>999</v>
      </c>
      <c r="C260" s="223" t="s">
        <v>1000</v>
      </c>
      <c r="D260" s="223" t="s">
        <v>989</v>
      </c>
      <c r="E260" s="223" t="s">
        <v>998</v>
      </c>
      <c r="F260" s="223" t="s">
        <v>991</v>
      </c>
      <c r="G260" s="223" t="s">
        <v>1928</v>
      </c>
      <c r="H260" s="355">
        <v>30578.51</v>
      </c>
      <c r="I260" s="355">
        <v>0</v>
      </c>
      <c r="J260" s="357">
        <v>6421.49</v>
      </c>
      <c r="K260" s="355">
        <v>6421.49</v>
      </c>
      <c r="L260" s="355">
        <v>37000</v>
      </c>
    </row>
    <row r="261" spans="1:12" x14ac:dyDescent="0.25">
      <c r="A261" s="223" t="s">
        <v>1905</v>
      </c>
      <c r="B261" s="223" t="s">
        <v>999</v>
      </c>
      <c r="C261" s="223" t="s">
        <v>1000</v>
      </c>
      <c r="D261" s="223" t="s">
        <v>989</v>
      </c>
      <c r="E261" s="223" t="s">
        <v>998</v>
      </c>
      <c r="F261" s="223" t="s">
        <v>991</v>
      </c>
      <c r="G261" s="223" t="s">
        <v>1930</v>
      </c>
      <c r="H261" s="355">
        <v>57851.24</v>
      </c>
      <c r="I261" s="355">
        <v>0</v>
      </c>
      <c r="J261" s="357">
        <v>12148.76</v>
      </c>
      <c r="K261" s="355">
        <v>12148.76</v>
      </c>
      <c r="L261" s="355">
        <v>70000</v>
      </c>
    </row>
    <row r="262" spans="1:12" x14ac:dyDescent="0.25">
      <c r="A262" s="223" t="s">
        <v>1905</v>
      </c>
      <c r="B262" s="223" t="s">
        <v>999</v>
      </c>
      <c r="C262" s="223" t="s">
        <v>1000</v>
      </c>
      <c r="D262" s="223" t="s">
        <v>989</v>
      </c>
      <c r="E262" s="223" t="s">
        <v>998</v>
      </c>
      <c r="F262" s="223" t="s">
        <v>991</v>
      </c>
      <c r="G262" s="223" t="s">
        <v>1936</v>
      </c>
      <c r="H262" s="355">
        <v>22314.05</v>
      </c>
      <c r="I262" s="355">
        <v>0</v>
      </c>
      <c r="J262" s="357">
        <v>4685.95</v>
      </c>
      <c r="K262" s="355">
        <v>4685.95</v>
      </c>
      <c r="L262" s="355">
        <v>27000</v>
      </c>
    </row>
    <row r="263" spans="1:12" x14ac:dyDescent="0.25">
      <c r="A263" s="223" t="s">
        <v>1905</v>
      </c>
      <c r="B263" s="223" t="s">
        <v>999</v>
      </c>
      <c r="C263" s="223" t="s">
        <v>1000</v>
      </c>
      <c r="D263" s="223" t="s">
        <v>989</v>
      </c>
      <c r="E263" s="223" t="s">
        <v>998</v>
      </c>
      <c r="F263" s="223" t="s">
        <v>991</v>
      </c>
      <c r="G263" s="223" t="s">
        <v>1938</v>
      </c>
      <c r="H263" s="355">
        <v>29752.07</v>
      </c>
      <c r="I263" s="355">
        <v>0</v>
      </c>
      <c r="J263" s="357">
        <v>6247.93</v>
      </c>
      <c r="K263" s="355">
        <v>6247.93</v>
      </c>
      <c r="L263" s="355">
        <v>36000</v>
      </c>
    </row>
    <row r="264" spans="1:12" x14ac:dyDescent="0.25">
      <c r="A264" s="223" t="s">
        <v>1905</v>
      </c>
      <c r="B264" s="223" t="s">
        <v>999</v>
      </c>
      <c r="C264" s="223" t="s">
        <v>1000</v>
      </c>
      <c r="D264" s="223" t="s">
        <v>989</v>
      </c>
      <c r="E264" s="223" t="s">
        <v>998</v>
      </c>
      <c r="F264" s="223" t="s">
        <v>991</v>
      </c>
      <c r="G264" s="223" t="s">
        <v>1907</v>
      </c>
      <c r="H264" s="355">
        <v>28925.62</v>
      </c>
      <c r="I264" s="355">
        <v>0</v>
      </c>
      <c r="J264" s="357">
        <v>6074.38</v>
      </c>
      <c r="K264" s="355">
        <v>6074.38</v>
      </c>
      <c r="L264" s="355">
        <v>35000</v>
      </c>
    </row>
    <row r="265" spans="1:12" x14ac:dyDescent="0.25">
      <c r="A265" s="223" t="s">
        <v>1939</v>
      </c>
      <c r="B265" s="223" t="s">
        <v>999</v>
      </c>
      <c r="C265" s="223" t="s">
        <v>1000</v>
      </c>
      <c r="D265" s="223" t="s">
        <v>989</v>
      </c>
      <c r="E265" s="223" t="s">
        <v>998</v>
      </c>
      <c r="F265" s="223" t="s">
        <v>991</v>
      </c>
      <c r="G265" s="223" t="s">
        <v>1940</v>
      </c>
      <c r="H265" s="355">
        <v>21157.02</v>
      </c>
      <c r="I265" s="355">
        <v>0</v>
      </c>
      <c r="J265" s="357">
        <v>4442.9799999999996</v>
      </c>
      <c r="K265" s="355">
        <v>4442.9799999999996</v>
      </c>
      <c r="L265" s="355">
        <v>25600</v>
      </c>
    </row>
    <row r="266" spans="1:12" x14ac:dyDescent="0.25">
      <c r="A266" s="223" t="s">
        <v>1939</v>
      </c>
      <c r="B266" s="223" t="s">
        <v>999</v>
      </c>
      <c r="C266" s="223" t="s">
        <v>1000</v>
      </c>
      <c r="D266" s="223" t="s">
        <v>989</v>
      </c>
      <c r="E266" s="223" t="s">
        <v>998</v>
      </c>
      <c r="F266" s="223" t="s">
        <v>991</v>
      </c>
      <c r="G266" s="223" t="s">
        <v>1941</v>
      </c>
      <c r="H266" s="355">
        <v>29752.07</v>
      </c>
      <c r="I266" s="355">
        <v>0</v>
      </c>
      <c r="J266" s="357">
        <v>6247.93</v>
      </c>
      <c r="K266" s="355">
        <v>6247.93</v>
      </c>
      <c r="L266" s="355">
        <v>36000</v>
      </c>
    </row>
    <row r="267" spans="1:12" x14ac:dyDescent="0.25">
      <c r="A267" s="223" t="s">
        <v>1939</v>
      </c>
      <c r="B267" s="223" t="s">
        <v>999</v>
      </c>
      <c r="C267" s="223" t="s">
        <v>1000</v>
      </c>
      <c r="D267" s="223" t="s">
        <v>989</v>
      </c>
      <c r="E267" s="223" t="s">
        <v>998</v>
      </c>
      <c r="F267" s="223" t="s">
        <v>991</v>
      </c>
      <c r="G267" s="223" t="s">
        <v>1942</v>
      </c>
      <c r="H267" s="355">
        <v>60743.8</v>
      </c>
      <c r="I267" s="355">
        <v>0</v>
      </c>
      <c r="J267" s="357">
        <v>12756.2</v>
      </c>
      <c r="K267" s="355">
        <v>12756.2</v>
      </c>
      <c r="L267" s="355">
        <v>73500</v>
      </c>
    </row>
    <row r="268" spans="1:12" x14ac:dyDescent="0.25">
      <c r="A268" s="223" t="s">
        <v>1939</v>
      </c>
      <c r="B268" s="223" t="s">
        <v>999</v>
      </c>
      <c r="C268" s="223" t="s">
        <v>1000</v>
      </c>
      <c r="D268" s="223" t="s">
        <v>989</v>
      </c>
      <c r="E268" s="223" t="s">
        <v>998</v>
      </c>
      <c r="F268" s="223" t="s">
        <v>991</v>
      </c>
      <c r="G268" s="223" t="s">
        <v>1944</v>
      </c>
      <c r="H268" s="355">
        <v>16528.93</v>
      </c>
      <c r="I268" s="355">
        <v>0</v>
      </c>
      <c r="J268" s="357">
        <v>3471.07</v>
      </c>
      <c r="K268" s="355">
        <v>3471.07</v>
      </c>
      <c r="L268" s="355">
        <v>20000</v>
      </c>
    </row>
    <row r="269" spans="1:12" x14ac:dyDescent="0.25">
      <c r="A269" s="223" t="s">
        <v>1939</v>
      </c>
      <c r="B269" s="223" t="s">
        <v>999</v>
      </c>
      <c r="C269" s="223" t="s">
        <v>1000</v>
      </c>
      <c r="D269" s="223" t="s">
        <v>989</v>
      </c>
      <c r="E269" s="223" t="s">
        <v>998</v>
      </c>
      <c r="F269" s="223" t="s">
        <v>991</v>
      </c>
      <c r="G269" s="223" t="s">
        <v>1945</v>
      </c>
      <c r="H269" s="355">
        <v>18595.04</v>
      </c>
      <c r="I269" s="355">
        <v>0</v>
      </c>
      <c r="J269" s="357">
        <v>3904.96</v>
      </c>
      <c r="K269" s="355">
        <v>3904.96</v>
      </c>
      <c r="L269" s="355">
        <v>22500</v>
      </c>
    </row>
    <row r="270" spans="1:12" x14ac:dyDescent="0.25">
      <c r="A270" s="223" t="s">
        <v>1939</v>
      </c>
      <c r="B270" s="223" t="s">
        <v>1946</v>
      </c>
      <c r="C270" s="223" t="s">
        <v>1947</v>
      </c>
      <c r="D270" s="223" t="s">
        <v>989</v>
      </c>
      <c r="E270" s="223" t="s">
        <v>998</v>
      </c>
      <c r="F270" s="223" t="s">
        <v>991</v>
      </c>
      <c r="G270" s="223" t="s">
        <v>1948</v>
      </c>
      <c r="H270" s="355">
        <v>52066.12</v>
      </c>
      <c r="I270" s="355">
        <v>0</v>
      </c>
      <c r="J270" s="357">
        <v>10933.88</v>
      </c>
      <c r="K270" s="355">
        <v>10933.88</v>
      </c>
      <c r="L270" s="355">
        <v>63000</v>
      </c>
    </row>
    <row r="271" spans="1:12" x14ac:dyDescent="0.25">
      <c r="A271" s="223" t="s">
        <v>1939</v>
      </c>
      <c r="B271" s="223" t="s">
        <v>999</v>
      </c>
      <c r="C271" s="223" t="s">
        <v>1000</v>
      </c>
      <c r="D271" s="223" t="s">
        <v>989</v>
      </c>
      <c r="E271" s="223" t="s">
        <v>998</v>
      </c>
      <c r="F271" s="223" t="s">
        <v>991</v>
      </c>
      <c r="G271" s="223" t="s">
        <v>1950</v>
      </c>
      <c r="H271" s="355">
        <v>18595.04</v>
      </c>
      <c r="I271" s="355">
        <v>0</v>
      </c>
      <c r="J271" s="357">
        <v>3904.96</v>
      </c>
      <c r="K271" s="355">
        <v>3904.96</v>
      </c>
      <c r="L271" s="355">
        <v>22500</v>
      </c>
    </row>
    <row r="272" spans="1:12" x14ac:dyDescent="0.25">
      <c r="A272" s="223" t="s">
        <v>1956</v>
      </c>
      <c r="B272" s="223" t="s">
        <v>999</v>
      </c>
      <c r="C272" s="223" t="s">
        <v>1000</v>
      </c>
      <c r="D272" s="223" t="s">
        <v>989</v>
      </c>
      <c r="E272" s="223" t="s">
        <v>998</v>
      </c>
      <c r="F272" s="223" t="s">
        <v>991</v>
      </c>
      <c r="G272" s="223" t="s">
        <v>1960</v>
      </c>
      <c r="H272" s="355">
        <v>7438.02</v>
      </c>
      <c r="I272" s="355">
        <v>0</v>
      </c>
      <c r="J272" s="357">
        <v>1561.98</v>
      </c>
      <c r="K272" s="355">
        <v>1561.98</v>
      </c>
      <c r="L272" s="355">
        <v>9000</v>
      </c>
    </row>
    <row r="273" spans="1:12" x14ac:dyDescent="0.25">
      <c r="A273" s="223" t="s">
        <v>1956</v>
      </c>
      <c r="B273" s="223" t="s">
        <v>999</v>
      </c>
      <c r="C273" s="223" t="s">
        <v>1000</v>
      </c>
      <c r="D273" s="223" t="s">
        <v>989</v>
      </c>
      <c r="E273" s="223" t="s">
        <v>998</v>
      </c>
      <c r="F273" s="223" t="s">
        <v>991</v>
      </c>
      <c r="G273" s="223" t="s">
        <v>1961</v>
      </c>
      <c r="H273" s="355">
        <v>23801.65</v>
      </c>
      <c r="I273" s="355">
        <v>0</v>
      </c>
      <c r="J273" s="357">
        <v>4998.3500000000004</v>
      </c>
      <c r="K273" s="355">
        <v>4998.3500000000004</v>
      </c>
      <c r="L273" s="355">
        <v>28800</v>
      </c>
    </row>
    <row r="274" spans="1:12" x14ac:dyDescent="0.25">
      <c r="A274" s="223" t="s">
        <v>1956</v>
      </c>
      <c r="B274" s="223" t="s">
        <v>999</v>
      </c>
      <c r="C274" s="223" t="s">
        <v>1000</v>
      </c>
      <c r="D274" s="223" t="s">
        <v>989</v>
      </c>
      <c r="E274" s="223" t="s">
        <v>998</v>
      </c>
      <c r="F274" s="223" t="s">
        <v>991</v>
      </c>
      <c r="G274" s="223" t="s">
        <v>1962</v>
      </c>
      <c r="H274" s="355">
        <v>16528.93</v>
      </c>
      <c r="I274" s="355">
        <v>0</v>
      </c>
      <c r="J274" s="357">
        <v>3471.07</v>
      </c>
      <c r="K274" s="355">
        <v>3471.07</v>
      </c>
      <c r="L274" s="355">
        <v>20000</v>
      </c>
    </row>
    <row r="275" spans="1:12" x14ac:dyDescent="0.25">
      <c r="A275" s="223" t="s">
        <v>1956</v>
      </c>
      <c r="B275" s="223" t="s">
        <v>999</v>
      </c>
      <c r="C275" s="223" t="s">
        <v>1000</v>
      </c>
      <c r="D275" s="223" t="s">
        <v>989</v>
      </c>
      <c r="E275" s="223" t="s">
        <v>998</v>
      </c>
      <c r="F275" s="223" t="s">
        <v>991</v>
      </c>
      <c r="G275" s="223" t="s">
        <v>1963</v>
      </c>
      <c r="H275" s="355">
        <v>8429.75</v>
      </c>
      <c r="I275" s="355">
        <v>0</v>
      </c>
      <c r="J275" s="357">
        <v>1770.25</v>
      </c>
      <c r="K275" s="355">
        <v>1770.25</v>
      </c>
      <c r="L275" s="355">
        <v>10200</v>
      </c>
    </row>
    <row r="276" spans="1:12" x14ac:dyDescent="0.25">
      <c r="A276" s="223" t="s">
        <v>1956</v>
      </c>
      <c r="B276" s="223" t="s">
        <v>999</v>
      </c>
      <c r="C276" s="223" t="s">
        <v>1000</v>
      </c>
      <c r="D276" s="223" t="s">
        <v>989</v>
      </c>
      <c r="E276" s="223" t="s">
        <v>998</v>
      </c>
      <c r="F276" s="223" t="s">
        <v>991</v>
      </c>
      <c r="G276" s="223" t="s">
        <v>1964</v>
      </c>
      <c r="H276" s="355">
        <v>23801.65</v>
      </c>
      <c r="I276" s="355">
        <v>0</v>
      </c>
      <c r="J276" s="357">
        <v>4998.3500000000004</v>
      </c>
      <c r="K276" s="355">
        <v>4998.3500000000004</v>
      </c>
      <c r="L276" s="355">
        <v>28800</v>
      </c>
    </row>
    <row r="277" spans="1:12" x14ac:dyDescent="0.25">
      <c r="A277" s="223" t="s">
        <v>1956</v>
      </c>
      <c r="B277" s="223" t="s">
        <v>999</v>
      </c>
      <c r="C277" s="223" t="s">
        <v>1000</v>
      </c>
      <c r="D277" s="223" t="s">
        <v>989</v>
      </c>
      <c r="E277" s="223" t="s">
        <v>998</v>
      </c>
      <c r="F277" s="223" t="s">
        <v>991</v>
      </c>
      <c r="G277" s="223" t="s">
        <v>1965</v>
      </c>
      <c r="H277" s="355">
        <v>14876.03</v>
      </c>
      <c r="I277" s="355">
        <v>0</v>
      </c>
      <c r="J277" s="357">
        <v>3123.97</v>
      </c>
      <c r="K277" s="355">
        <v>3123.97</v>
      </c>
      <c r="L277" s="355">
        <v>18000</v>
      </c>
    </row>
    <row r="278" spans="1:12" x14ac:dyDescent="0.25">
      <c r="A278" s="223" t="s">
        <v>1956</v>
      </c>
      <c r="B278" s="223" t="s">
        <v>999</v>
      </c>
      <c r="C278" s="223" t="s">
        <v>1000</v>
      </c>
      <c r="D278" s="223" t="s">
        <v>989</v>
      </c>
      <c r="E278" s="223" t="s">
        <v>998</v>
      </c>
      <c r="F278" s="223" t="s">
        <v>991</v>
      </c>
      <c r="G278" s="223" t="s">
        <v>1966</v>
      </c>
      <c r="H278" s="355">
        <v>14876.03</v>
      </c>
      <c r="I278" s="355">
        <v>0</v>
      </c>
      <c r="J278" s="357">
        <v>3123.97</v>
      </c>
      <c r="K278" s="355">
        <v>3123.97</v>
      </c>
      <c r="L278" s="355">
        <v>18000</v>
      </c>
    </row>
    <row r="279" spans="1:12" x14ac:dyDescent="0.25">
      <c r="A279" s="223" t="s">
        <v>1956</v>
      </c>
      <c r="B279" s="223" t="s">
        <v>999</v>
      </c>
      <c r="C279" s="223" t="s">
        <v>1000</v>
      </c>
      <c r="D279" s="223" t="s">
        <v>989</v>
      </c>
      <c r="E279" s="223" t="s">
        <v>998</v>
      </c>
      <c r="F279" s="223" t="s">
        <v>991</v>
      </c>
      <c r="G279" s="223" t="s">
        <v>1967</v>
      </c>
      <c r="H279" s="355">
        <v>20661.16</v>
      </c>
      <c r="I279" s="355">
        <v>0</v>
      </c>
      <c r="J279" s="357">
        <v>4338.84</v>
      </c>
      <c r="K279" s="355">
        <v>4338.84</v>
      </c>
      <c r="L279" s="355">
        <v>25000</v>
      </c>
    </row>
    <row r="280" spans="1:12" x14ac:dyDescent="0.25">
      <c r="A280" s="223" t="s">
        <v>1956</v>
      </c>
      <c r="B280" s="223" t="s">
        <v>999</v>
      </c>
      <c r="C280" s="223" t="s">
        <v>1000</v>
      </c>
      <c r="D280" s="223" t="s">
        <v>989</v>
      </c>
      <c r="E280" s="223" t="s">
        <v>998</v>
      </c>
      <c r="F280" s="223" t="s">
        <v>991</v>
      </c>
      <c r="G280" s="223" t="s">
        <v>1968</v>
      </c>
      <c r="H280" s="355">
        <v>29752.07</v>
      </c>
      <c r="I280" s="355">
        <v>0</v>
      </c>
      <c r="J280" s="357">
        <v>6247.93</v>
      </c>
      <c r="K280" s="355">
        <v>6247.93</v>
      </c>
      <c r="L280" s="355">
        <v>36000</v>
      </c>
    </row>
    <row r="281" spans="1:12" x14ac:dyDescent="0.25">
      <c r="A281" s="223" t="s">
        <v>1956</v>
      </c>
      <c r="B281" s="223" t="s">
        <v>1970</v>
      </c>
      <c r="C281" s="223" t="s">
        <v>1971</v>
      </c>
      <c r="D281" s="223" t="s">
        <v>989</v>
      </c>
      <c r="E281" s="223" t="s">
        <v>998</v>
      </c>
      <c r="F281" s="223" t="s">
        <v>991</v>
      </c>
      <c r="G281" s="223" t="s">
        <v>1972</v>
      </c>
      <c r="H281" s="355">
        <v>29752.07</v>
      </c>
      <c r="I281" s="355">
        <v>0</v>
      </c>
      <c r="J281" s="357">
        <v>6247.93</v>
      </c>
      <c r="K281" s="355">
        <v>6247.93</v>
      </c>
      <c r="L281" s="355">
        <v>36000</v>
      </c>
    </row>
    <row r="282" spans="1:12" x14ac:dyDescent="0.25">
      <c r="A282" s="223" t="s">
        <v>1956</v>
      </c>
      <c r="B282" s="223" t="s">
        <v>999</v>
      </c>
      <c r="C282" s="223" t="s">
        <v>1000</v>
      </c>
      <c r="D282" s="223" t="s">
        <v>989</v>
      </c>
      <c r="E282" s="223" t="s">
        <v>998</v>
      </c>
      <c r="F282" s="223" t="s">
        <v>991</v>
      </c>
      <c r="G282" s="223" t="s">
        <v>1974</v>
      </c>
      <c r="H282" s="355">
        <v>28925.62</v>
      </c>
      <c r="I282" s="355">
        <v>0</v>
      </c>
      <c r="J282" s="357">
        <v>6074.38</v>
      </c>
      <c r="K282" s="355">
        <v>6074.38</v>
      </c>
      <c r="L282" s="355">
        <v>35000</v>
      </c>
    </row>
    <row r="283" spans="1:12" x14ac:dyDescent="0.25">
      <c r="A283" s="223" t="s">
        <v>1956</v>
      </c>
      <c r="B283" s="223" t="s">
        <v>999</v>
      </c>
      <c r="C283" s="223" t="s">
        <v>1000</v>
      </c>
      <c r="D283" s="223" t="s">
        <v>989</v>
      </c>
      <c r="E283" s="223" t="s">
        <v>998</v>
      </c>
      <c r="F283" s="223" t="s">
        <v>991</v>
      </c>
      <c r="G283" s="223" t="s">
        <v>1975</v>
      </c>
      <c r="H283" s="355">
        <v>28925.62</v>
      </c>
      <c r="I283" s="355">
        <v>0</v>
      </c>
      <c r="J283" s="357">
        <v>6074.38</v>
      </c>
      <c r="K283" s="355">
        <v>6074.38</v>
      </c>
      <c r="L283" s="355">
        <v>35000</v>
      </c>
    </row>
    <row r="284" spans="1:12" x14ac:dyDescent="0.25">
      <c r="A284" s="223" t="s">
        <v>1956</v>
      </c>
      <c r="B284" s="223" t="s">
        <v>999</v>
      </c>
      <c r="C284" s="223" t="s">
        <v>1000</v>
      </c>
      <c r="D284" s="223" t="s">
        <v>989</v>
      </c>
      <c r="E284" s="223" t="s">
        <v>998</v>
      </c>
      <c r="F284" s="223" t="s">
        <v>991</v>
      </c>
      <c r="G284" s="223" t="s">
        <v>1978</v>
      </c>
      <c r="H284" s="355">
        <v>14876.03</v>
      </c>
      <c r="I284" s="355">
        <v>0</v>
      </c>
      <c r="J284" s="357">
        <v>3123.97</v>
      </c>
      <c r="K284" s="355">
        <v>3123.97</v>
      </c>
      <c r="L284" s="355">
        <v>18000</v>
      </c>
    </row>
    <row r="285" spans="1:12" x14ac:dyDescent="0.25">
      <c r="A285" s="223" t="s">
        <v>1956</v>
      </c>
      <c r="B285" s="223" t="s">
        <v>999</v>
      </c>
      <c r="C285" s="223" t="s">
        <v>1000</v>
      </c>
      <c r="D285" s="223" t="s">
        <v>989</v>
      </c>
      <c r="E285" s="223" t="s">
        <v>998</v>
      </c>
      <c r="F285" s="223" t="s">
        <v>991</v>
      </c>
      <c r="G285" s="223" t="s">
        <v>1979</v>
      </c>
      <c r="H285" s="355">
        <v>41322.31</v>
      </c>
      <c r="I285" s="355">
        <v>0</v>
      </c>
      <c r="J285" s="357">
        <v>8677.69</v>
      </c>
      <c r="K285" s="355">
        <v>8677.69</v>
      </c>
      <c r="L285" s="355">
        <v>50000</v>
      </c>
    </row>
    <row r="286" spans="1:12" x14ac:dyDescent="0.25">
      <c r="A286" s="223" t="s">
        <v>1956</v>
      </c>
      <c r="B286" s="223" t="s">
        <v>999</v>
      </c>
      <c r="C286" s="223" t="s">
        <v>1000</v>
      </c>
      <c r="D286" s="223" t="s">
        <v>989</v>
      </c>
      <c r="E286" s="223" t="s">
        <v>998</v>
      </c>
      <c r="F286" s="223" t="s">
        <v>991</v>
      </c>
      <c r="G286" s="223" t="s">
        <v>1983</v>
      </c>
      <c r="H286" s="355">
        <v>23305.79</v>
      </c>
      <c r="I286" s="355">
        <v>0</v>
      </c>
      <c r="J286" s="357">
        <v>4894.21</v>
      </c>
      <c r="K286" s="355">
        <v>4894.21</v>
      </c>
      <c r="L286" s="355">
        <v>28200</v>
      </c>
    </row>
    <row r="287" spans="1:12" x14ac:dyDescent="0.25">
      <c r="A287" s="223" t="s">
        <v>1956</v>
      </c>
      <c r="B287" s="223" t="s">
        <v>999</v>
      </c>
      <c r="C287" s="223" t="s">
        <v>1000</v>
      </c>
      <c r="D287" s="223" t="s">
        <v>989</v>
      </c>
      <c r="E287" s="223" t="s">
        <v>998</v>
      </c>
      <c r="F287" s="223" t="s">
        <v>991</v>
      </c>
      <c r="G287" s="223" t="s">
        <v>1984</v>
      </c>
      <c r="H287" s="355">
        <v>14049.59</v>
      </c>
      <c r="I287" s="355">
        <v>0</v>
      </c>
      <c r="J287" s="357">
        <v>2950.41</v>
      </c>
      <c r="K287" s="355">
        <v>2950.41</v>
      </c>
      <c r="L287" s="355">
        <v>17000</v>
      </c>
    </row>
    <row r="288" spans="1:12" x14ac:dyDescent="0.25">
      <c r="A288" s="223" t="s">
        <v>1956</v>
      </c>
      <c r="B288" s="223" t="s">
        <v>999</v>
      </c>
      <c r="C288" s="223" t="s">
        <v>1000</v>
      </c>
      <c r="D288" s="223" t="s">
        <v>989</v>
      </c>
      <c r="E288" s="223" t="s">
        <v>998</v>
      </c>
      <c r="F288" s="223" t="s">
        <v>991</v>
      </c>
      <c r="G288" s="223" t="s">
        <v>1985</v>
      </c>
      <c r="H288" s="355">
        <v>8264.4599999999991</v>
      </c>
      <c r="I288" s="355">
        <v>0</v>
      </c>
      <c r="J288" s="357">
        <v>1735.54</v>
      </c>
      <c r="K288" s="355">
        <v>1735.54</v>
      </c>
      <c r="L288" s="355">
        <v>10000</v>
      </c>
    </row>
    <row r="289" spans="1:12" x14ac:dyDescent="0.25">
      <c r="A289" s="223" t="s">
        <v>1956</v>
      </c>
      <c r="B289" s="223" t="s">
        <v>999</v>
      </c>
      <c r="C289" s="223" t="s">
        <v>1000</v>
      </c>
      <c r="D289" s="223" t="s">
        <v>989</v>
      </c>
      <c r="E289" s="223" t="s">
        <v>998</v>
      </c>
      <c r="F289" s="223" t="s">
        <v>991</v>
      </c>
      <c r="G289" s="223" t="s">
        <v>1986</v>
      </c>
      <c r="H289" s="355">
        <v>12396.69</v>
      </c>
      <c r="I289" s="355">
        <v>0</v>
      </c>
      <c r="J289" s="357">
        <v>2603.31</v>
      </c>
      <c r="K289" s="355">
        <v>2603.31</v>
      </c>
      <c r="L289" s="355">
        <v>15000</v>
      </c>
    </row>
    <row r="290" spans="1:12" x14ac:dyDescent="0.25">
      <c r="A290" s="223" t="s">
        <v>1956</v>
      </c>
      <c r="B290" s="223" t="s">
        <v>999</v>
      </c>
      <c r="C290" s="223" t="s">
        <v>1000</v>
      </c>
      <c r="D290" s="223" t="s">
        <v>989</v>
      </c>
      <c r="E290" s="223" t="s">
        <v>998</v>
      </c>
      <c r="F290" s="223" t="s">
        <v>991</v>
      </c>
      <c r="G290" s="223" t="s">
        <v>1990</v>
      </c>
      <c r="H290" s="355">
        <v>15289.26</v>
      </c>
      <c r="I290" s="355">
        <v>0</v>
      </c>
      <c r="J290" s="357">
        <v>3210.74</v>
      </c>
      <c r="K290" s="355">
        <v>3210.74</v>
      </c>
      <c r="L290" s="355">
        <v>18500</v>
      </c>
    </row>
    <row r="291" spans="1:12" x14ac:dyDescent="0.25">
      <c r="A291" s="223" t="s">
        <v>1956</v>
      </c>
      <c r="B291" s="223" t="s">
        <v>999</v>
      </c>
      <c r="C291" s="223" t="s">
        <v>1000</v>
      </c>
      <c r="D291" s="223" t="s">
        <v>989</v>
      </c>
      <c r="E291" s="223" t="s">
        <v>998</v>
      </c>
      <c r="F291" s="223" t="s">
        <v>991</v>
      </c>
      <c r="G291" s="223" t="s">
        <v>1957</v>
      </c>
      <c r="H291" s="355">
        <v>14049.59</v>
      </c>
      <c r="I291" s="355">
        <v>0</v>
      </c>
      <c r="J291" s="357">
        <v>2950.41</v>
      </c>
      <c r="K291" s="355">
        <v>2950.41</v>
      </c>
      <c r="L291" s="355">
        <v>17000</v>
      </c>
    </row>
    <row r="292" spans="1:12" x14ac:dyDescent="0.25">
      <c r="A292" s="223" t="s">
        <v>1991</v>
      </c>
      <c r="B292" s="223" t="s">
        <v>999</v>
      </c>
      <c r="C292" s="223" t="s">
        <v>1000</v>
      </c>
      <c r="D292" s="223" t="s">
        <v>989</v>
      </c>
      <c r="E292" s="223" t="s">
        <v>998</v>
      </c>
      <c r="F292" s="223" t="s">
        <v>991</v>
      </c>
      <c r="G292" s="223" t="s">
        <v>1992</v>
      </c>
      <c r="H292" s="355">
        <v>33471.07</v>
      </c>
      <c r="I292" s="355">
        <v>0</v>
      </c>
      <c r="J292" s="357">
        <v>7028.93</v>
      </c>
      <c r="K292" s="355">
        <v>7028.93</v>
      </c>
      <c r="L292" s="355">
        <v>40500</v>
      </c>
    </row>
    <row r="293" spans="1:12" x14ac:dyDescent="0.25">
      <c r="A293" s="223" t="s">
        <v>1991</v>
      </c>
      <c r="B293" s="223" t="s">
        <v>999</v>
      </c>
      <c r="C293" s="223" t="s">
        <v>1000</v>
      </c>
      <c r="D293" s="223" t="s">
        <v>989</v>
      </c>
      <c r="E293" s="223" t="s">
        <v>998</v>
      </c>
      <c r="F293" s="223" t="s">
        <v>991</v>
      </c>
      <c r="G293" s="223" t="s">
        <v>1993</v>
      </c>
      <c r="H293" s="355">
        <v>23140.5</v>
      </c>
      <c r="I293" s="355">
        <v>0</v>
      </c>
      <c r="J293" s="357">
        <v>4859.5</v>
      </c>
      <c r="K293" s="355">
        <v>4859.5</v>
      </c>
      <c r="L293" s="355">
        <v>28000</v>
      </c>
    </row>
    <row r="294" spans="1:12" x14ac:dyDescent="0.25">
      <c r="A294" s="223" t="s">
        <v>1991</v>
      </c>
      <c r="B294" s="223" t="s">
        <v>999</v>
      </c>
      <c r="C294" s="223" t="s">
        <v>1000</v>
      </c>
      <c r="D294" s="223" t="s">
        <v>989</v>
      </c>
      <c r="E294" s="223" t="s">
        <v>998</v>
      </c>
      <c r="F294" s="223" t="s">
        <v>991</v>
      </c>
      <c r="G294" s="223" t="s">
        <v>1994</v>
      </c>
      <c r="H294" s="355">
        <v>65454.55</v>
      </c>
      <c r="I294" s="355">
        <v>0</v>
      </c>
      <c r="J294" s="357">
        <v>13745.45</v>
      </c>
      <c r="K294" s="355">
        <v>13745.45</v>
      </c>
      <c r="L294" s="355">
        <v>79200</v>
      </c>
    </row>
    <row r="295" spans="1:12" x14ac:dyDescent="0.25">
      <c r="A295" s="223" t="s">
        <v>1991</v>
      </c>
      <c r="B295" s="223" t="s">
        <v>999</v>
      </c>
      <c r="C295" s="223" t="s">
        <v>1000</v>
      </c>
      <c r="D295" s="223" t="s">
        <v>989</v>
      </c>
      <c r="E295" s="223" t="s">
        <v>998</v>
      </c>
      <c r="F295" s="223" t="s">
        <v>991</v>
      </c>
      <c r="G295" s="223" t="s">
        <v>1995</v>
      </c>
      <c r="H295" s="355">
        <v>20661.16</v>
      </c>
      <c r="I295" s="355">
        <v>0</v>
      </c>
      <c r="J295" s="357">
        <v>4338.84</v>
      </c>
      <c r="K295" s="355">
        <v>4338.84</v>
      </c>
      <c r="L295" s="355">
        <v>25000</v>
      </c>
    </row>
    <row r="296" spans="1:12" x14ac:dyDescent="0.25">
      <c r="A296" s="223" t="s">
        <v>1991</v>
      </c>
      <c r="B296" s="223" t="s">
        <v>999</v>
      </c>
      <c r="C296" s="223" t="s">
        <v>1000</v>
      </c>
      <c r="D296" s="223" t="s">
        <v>989</v>
      </c>
      <c r="E296" s="223" t="s">
        <v>998</v>
      </c>
      <c r="F296" s="223" t="s">
        <v>991</v>
      </c>
      <c r="G296" s="223" t="s">
        <v>1996</v>
      </c>
      <c r="H296" s="355">
        <v>24793.39</v>
      </c>
      <c r="I296" s="355">
        <v>0</v>
      </c>
      <c r="J296" s="357">
        <v>5206.6099999999997</v>
      </c>
      <c r="K296" s="355">
        <v>5206.6099999999997</v>
      </c>
      <c r="L296" s="355">
        <v>30000</v>
      </c>
    </row>
    <row r="297" spans="1:12" x14ac:dyDescent="0.25">
      <c r="A297" s="223" t="s">
        <v>1991</v>
      </c>
      <c r="B297" s="223" t="s">
        <v>999</v>
      </c>
      <c r="C297" s="223" t="s">
        <v>1000</v>
      </c>
      <c r="D297" s="223" t="s">
        <v>989</v>
      </c>
      <c r="E297" s="223" t="s">
        <v>998</v>
      </c>
      <c r="F297" s="223" t="s">
        <v>991</v>
      </c>
      <c r="G297" s="223" t="s">
        <v>1997</v>
      </c>
      <c r="H297" s="355">
        <v>23140.5</v>
      </c>
      <c r="I297" s="355">
        <v>0</v>
      </c>
      <c r="J297" s="357">
        <v>4859.5</v>
      </c>
      <c r="K297" s="355">
        <v>4859.5</v>
      </c>
      <c r="L297" s="355">
        <v>28000</v>
      </c>
    </row>
    <row r="298" spans="1:12" x14ac:dyDescent="0.25">
      <c r="A298" s="223" t="s">
        <v>1991</v>
      </c>
      <c r="B298" s="223" t="s">
        <v>999</v>
      </c>
      <c r="C298" s="223" t="s">
        <v>1000</v>
      </c>
      <c r="D298" s="223" t="s">
        <v>989</v>
      </c>
      <c r="E298" s="223" t="s">
        <v>998</v>
      </c>
      <c r="F298" s="223" t="s">
        <v>991</v>
      </c>
      <c r="G298" s="223" t="s">
        <v>1998</v>
      </c>
      <c r="H298" s="355">
        <v>29752.07</v>
      </c>
      <c r="I298" s="355">
        <v>0</v>
      </c>
      <c r="J298" s="357">
        <v>6247.93</v>
      </c>
      <c r="K298" s="355">
        <v>6247.93</v>
      </c>
      <c r="L298" s="355">
        <v>36000</v>
      </c>
    </row>
    <row r="299" spans="1:12" x14ac:dyDescent="0.25">
      <c r="A299" s="223" t="s">
        <v>1991</v>
      </c>
      <c r="B299" s="223" t="s">
        <v>999</v>
      </c>
      <c r="C299" s="223" t="s">
        <v>1000</v>
      </c>
      <c r="D299" s="223" t="s">
        <v>989</v>
      </c>
      <c r="E299" s="223" t="s">
        <v>998</v>
      </c>
      <c r="F299" s="223" t="s">
        <v>991</v>
      </c>
      <c r="G299" s="223" t="s">
        <v>1999</v>
      </c>
      <c r="H299" s="355">
        <v>20661.16</v>
      </c>
      <c r="I299" s="355">
        <v>0</v>
      </c>
      <c r="J299" s="357">
        <v>4338.84</v>
      </c>
      <c r="K299" s="355">
        <v>4338.84</v>
      </c>
      <c r="L299" s="355">
        <v>25000</v>
      </c>
    </row>
    <row r="300" spans="1:12" x14ac:dyDescent="0.25">
      <c r="A300" s="223" t="s">
        <v>1991</v>
      </c>
      <c r="B300" s="223" t="s">
        <v>999</v>
      </c>
      <c r="C300" s="223" t="s">
        <v>1000</v>
      </c>
      <c r="D300" s="223" t="s">
        <v>989</v>
      </c>
      <c r="E300" s="223" t="s">
        <v>998</v>
      </c>
      <c r="F300" s="223" t="s">
        <v>991</v>
      </c>
      <c r="G300" s="223" t="s">
        <v>2000</v>
      </c>
      <c r="H300" s="355">
        <v>20661.16</v>
      </c>
      <c r="I300" s="355">
        <v>0</v>
      </c>
      <c r="J300" s="357">
        <v>4338.84</v>
      </c>
      <c r="K300" s="355">
        <v>4338.84</v>
      </c>
      <c r="L300" s="355">
        <v>25000</v>
      </c>
    </row>
    <row r="301" spans="1:12" x14ac:dyDescent="0.25">
      <c r="A301" s="223" t="s">
        <v>1991</v>
      </c>
      <c r="B301" s="223" t="s">
        <v>999</v>
      </c>
      <c r="C301" s="223" t="s">
        <v>1000</v>
      </c>
      <c r="D301" s="223" t="s">
        <v>989</v>
      </c>
      <c r="E301" s="223" t="s">
        <v>998</v>
      </c>
      <c r="F301" s="223" t="s">
        <v>991</v>
      </c>
      <c r="G301" s="223" t="s">
        <v>2001</v>
      </c>
      <c r="H301" s="355">
        <v>15702.48</v>
      </c>
      <c r="I301" s="355">
        <v>0</v>
      </c>
      <c r="J301" s="357">
        <v>3297.52</v>
      </c>
      <c r="K301" s="355">
        <v>3297.52</v>
      </c>
      <c r="L301" s="355">
        <v>19000</v>
      </c>
    </row>
    <row r="302" spans="1:12" x14ac:dyDescent="0.25">
      <c r="A302" s="223" t="s">
        <v>1991</v>
      </c>
      <c r="B302" s="223" t="s">
        <v>999</v>
      </c>
      <c r="C302" s="223" t="s">
        <v>1000</v>
      </c>
      <c r="D302" s="223" t="s">
        <v>989</v>
      </c>
      <c r="E302" s="223" t="s">
        <v>998</v>
      </c>
      <c r="F302" s="223" t="s">
        <v>991</v>
      </c>
      <c r="G302" s="223" t="s">
        <v>2002</v>
      </c>
      <c r="H302" s="355">
        <v>33884.300000000003</v>
      </c>
      <c r="I302" s="355">
        <v>0</v>
      </c>
      <c r="J302" s="357">
        <v>7115.7</v>
      </c>
      <c r="K302" s="355">
        <v>7115.7</v>
      </c>
      <c r="L302" s="355">
        <v>41000</v>
      </c>
    </row>
    <row r="303" spans="1:12" x14ac:dyDescent="0.25">
      <c r="A303" s="223" t="s">
        <v>1991</v>
      </c>
      <c r="B303" s="223" t="s">
        <v>999</v>
      </c>
      <c r="C303" s="223" t="s">
        <v>1000</v>
      </c>
      <c r="D303" s="223" t="s">
        <v>989</v>
      </c>
      <c r="E303" s="223" t="s">
        <v>998</v>
      </c>
      <c r="F303" s="223" t="s">
        <v>991</v>
      </c>
      <c r="G303" s="223" t="s">
        <v>2003</v>
      </c>
      <c r="H303" s="355">
        <v>13223.14</v>
      </c>
      <c r="I303" s="355">
        <v>0</v>
      </c>
      <c r="J303" s="357">
        <v>2776.86</v>
      </c>
      <c r="K303" s="355">
        <v>2776.86</v>
      </c>
      <c r="L303" s="355">
        <v>16000</v>
      </c>
    </row>
    <row r="304" spans="1:12" x14ac:dyDescent="0.25">
      <c r="A304" s="223" t="s">
        <v>1991</v>
      </c>
      <c r="B304" s="223" t="s">
        <v>999</v>
      </c>
      <c r="C304" s="223" t="s">
        <v>1000</v>
      </c>
      <c r="D304" s="223" t="s">
        <v>989</v>
      </c>
      <c r="E304" s="223" t="s">
        <v>998</v>
      </c>
      <c r="F304" s="223" t="s">
        <v>991</v>
      </c>
      <c r="G304" s="223" t="s">
        <v>2004</v>
      </c>
      <c r="H304" s="355">
        <v>29752.07</v>
      </c>
      <c r="I304" s="355">
        <v>0</v>
      </c>
      <c r="J304" s="357">
        <v>6247.93</v>
      </c>
      <c r="K304" s="355">
        <v>6247.93</v>
      </c>
      <c r="L304" s="355">
        <v>36000</v>
      </c>
    </row>
    <row r="305" spans="1:12" x14ac:dyDescent="0.25">
      <c r="A305" s="223" t="s">
        <v>1991</v>
      </c>
      <c r="B305" s="223" t="s">
        <v>999</v>
      </c>
      <c r="C305" s="223" t="s">
        <v>1000</v>
      </c>
      <c r="D305" s="223" t="s">
        <v>989</v>
      </c>
      <c r="E305" s="223" t="s">
        <v>998</v>
      </c>
      <c r="F305" s="223" t="s">
        <v>991</v>
      </c>
      <c r="G305" s="223" t="s">
        <v>2005</v>
      </c>
      <c r="H305" s="355">
        <v>7272.73</v>
      </c>
      <c r="I305" s="355">
        <v>0</v>
      </c>
      <c r="J305" s="357">
        <v>1527.27</v>
      </c>
      <c r="K305" s="355">
        <v>1527.27</v>
      </c>
      <c r="L305" s="355">
        <v>8800</v>
      </c>
    </row>
    <row r="306" spans="1:12" x14ac:dyDescent="0.25">
      <c r="A306" s="223" t="s">
        <v>1991</v>
      </c>
      <c r="B306" s="223" t="s">
        <v>1045</v>
      </c>
      <c r="C306" s="223" t="s">
        <v>1046</v>
      </c>
      <c r="D306" s="223" t="s">
        <v>989</v>
      </c>
      <c r="E306" s="223" t="s">
        <v>998</v>
      </c>
      <c r="F306" s="223" t="s">
        <v>991</v>
      </c>
      <c r="G306" s="223" t="s">
        <v>2006</v>
      </c>
      <c r="H306" s="355">
        <v>28925.62</v>
      </c>
      <c r="I306" s="355">
        <v>0</v>
      </c>
      <c r="J306" s="357">
        <v>6074.38</v>
      </c>
      <c r="K306" s="355">
        <v>6074.38</v>
      </c>
      <c r="L306" s="355">
        <v>35000</v>
      </c>
    </row>
    <row r="307" spans="1:12" x14ac:dyDescent="0.25">
      <c r="A307" s="223" t="s">
        <v>1991</v>
      </c>
      <c r="B307" s="223" t="s">
        <v>999</v>
      </c>
      <c r="C307" s="223" t="s">
        <v>1000</v>
      </c>
      <c r="D307" s="223" t="s">
        <v>989</v>
      </c>
      <c r="E307" s="223" t="s">
        <v>998</v>
      </c>
      <c r="F307" s="223" t="s">
        <v>991</v>
      </c>
      <c r="G307" s="223" t="s">
        <v>2007</v>
      </c>
      <c r="H307" s="355">
        <v>14876.03</v>
      </c>
      <c r="I307" s="355">
        <v>0</v>
      </c>
      <c r="J307" s="357">
        <v>3123.97</v>
      </c>
      <c r="K307" s="355">
        <v>3123.97</v>
      </c>
      <c r="L307" s="355">
        <v>18000</v>
      </c>
    </row>
    <row r="308" spans="1:12" x14ac:dyDescent="0.25">
      <c r="A308" s="223" t="s">
        <v>1991</v>
      </c>
      <c r="B308" s="223" t="s">
        <v>999</v>
      </c>
      <c r="C308" s="223" t="s">
        <v>1000</v>
      </c>
      <c r="D308" s="223" t="s">
        <v>989</v>
      </c>
      <c r="E308" s="223" t="s">
        <v>998</v>
      </c>
      <c r="F308" s="223" t="s">
        <v>991</v>
      </c>
      <c r="G308" s="223" t="s">
        <v>2008</v>
      </c>
      <c r="H308" s="355">
        <v>25619.83</v>
      </c>
      <c r="I308" s="355">
        <v>0</v>
      </c>
      <c r="J308" s="357">
        <v>5380.17</v>
      </c>
      <c r="K308" s="355">
        <v>5380.17</v>
      </c>
      <c r="L308" s="355">
        <v>31000</v>
      </c>
    </row>
    <row r="309" spans="1:12" x14ac:dyDescent="0.25">
      <c r="A309" s="223" t="s">
        <v>1991</v>
      </c>
      <c r="B309" s="223" t="s">
        <v>999</v>
      </c>
      <c r="C309" s="223" t="s">
        <v>1000</v>
      </c>
      <c r="D309" s="223" t="s">
        <v>989</v>
      </c>
      <c r="E309" s="223" t="s">
        <v>998</v>
      </c>
      <c r="F309" s="223" t="s">
        <v>991</v>
      </c>
      <c r="G309" s="223" t="s">
        <v>2009</v>
      </c>
      <c r="H309" s="355">
        <v>18595.04</v>
      </c>
      <c r="I309" s="355">
        <v>0</v>
      </c>
      <c r="J309" s="357">
        <v>3904.96</v>
      </c>
      <c r="K309" s="355">
        <v>3904.96</v>
      </c>
      <c r="L309" s="355">
        <v>22500</v>
      </c>
    </row>
    <row r="310" spans="1:12" x14ac:dyDescent="0.25">
      <c r="A310" s="223" t="s">
        <v>1991</v>
      </c>
      <c r="B310" s="223" t="s">
        <v>999</v>
      </c>
      <c r="C310" s="223" t="s">
        <v>1000</v>
      </c>
      <c r="D310" s="223" t="s">
        <v>989</v>
      </c>
      <c r="E310" s="223" t="s">
        <v>998</v>
      </c>
      <c r="F310" s="223" t="s">
        <v>991</v>
      </c>
      <c r="G310" s="223" t="s">
        <v>2010</v>
      </c>
      <c r="H310" s="355">
        <v>31404.959999999999</v>
      </c>
      <c r="I310" s="355">
        <v>0</v>
      </c>
      <c r="J310" s="357">
        <v>6595.04</v>
      </c>
      <c r="K310" s="355">
        <v>6595.04</v>
      </c>
      <c r="L310" s="355">
        <v>38000</v>
      </c>
    </row>
    <row r="311" spans="1:12" x14ac:dyDescent="0.25">
      <c r="A311" s="223" t="s">
        <v>1991</v>
      </c>
      <c r="B311" s="223" t="s">
        <v>999</v>
      </c>
      <c r="C311" s="223" t="s">
        <v>1000</v>
      </c>
      <c r="D311" s="223" t="s">
        <v>989</v>
      </c>
      <c r="E311" s="223" t="s">
        <v>998</v>
      </c>
      <c r="F311" s="223" t="s">
        <v>991</v>
      </c>
      <c r="G311" s="223" t="s">
        <v>2011</v>
      </c>
      <c r="H311" s="355">
        <v>20661.16</v>
      </c>
      <c r="I311" s="355">
        <v>0</v>
      </c>
      <c r="J311" s="357">
        <v>4338.84</v>
      </c>
      <c r="K311" s="355">
        <v>4338.84</v>
      </c>
      <c r="L311" s="355">
        <v>25000</v>
      </c>
    </row>
    <row r="312" spans="1:12" x14ac:dyDescent="0.25">
      <c r="A312" s="223" t="s">
        <v>1991</v>
      </c>
      <c r="B312" s="223" t="s">
        <v>999</v>
      </c>
      <c r="C312" s="223" t="s">
        <v>1000</v>
      </c>
      <c r="D312" s="223" t="s">
        <v>989</v>
      </c>
      <c r="E312" s="223" t="s">
        <v>998</v>
      </c>
      <c r="F312" s="223" t="s">
        <v>991</v>
      </c>
      <c r="G312" s="223" t="s">
        <v>2012</v>
      </c>
      <c r="H312" s="355">
        <v>24380.17</v>
      </c>
      <c r="I312" s="355">
        <v>0</v>
      </c>
      <c r="J312" s="357">
        <v>5119.83</v>
      </c>
      <c r="K312" s="355">
        <v>5119.83</v>
      </c>
      <c r="L312" s="355">
        <v>29500</v>
      </c>
    </row>
    <row r="313" spans="1:12" x14ac:dyDescent="0.25">
      <c r="A313" s="223" t="s">
        <v>1991</v>
      </c>
      <c r="B313" s="223" t="s">
        <v>999</v>
      </c>
      <c r="C313" s="223" t="s">
        <v>1000</v>
      </c>
      <c r="D313" s="223" t="s">
        <v>989</v>
      </c>
      <c r="E313" s="223" t="s">
        <v>998</v>
      </c>
      <c r="F313" s="223" t="s">
        <v>991</v>
      </c>
      <c r="G313" s="223" t="s">
        <v>2013</v>
      </c>
      <c r="H313" s="355">
        <v>29752.07</v>
      </c>
      <c r="I313" s="355">
        <v>0</v>
      </c>
      <c r="J313" s="357">
        <v>6247.93</v>
      </c>
      <c r="K313" s="355">
        <v>6247.93</v>
      </c>
      <c r="L313" s="355">
        <v>36000</v>
      </c>
    </row>
    <row r="314" spans="1:12" x14ac:dyDescent="0.25">
      <c r="A314" s="223" t="s">
        <v>1991</v>
      </c>
      <c r="B314" s="223" t="s">
        <v>999</v>
      </c>
      <c r="C314" s="223" t="s">
        <v>1000</v>
      </c>
      <c r="D314" s="223" t="s">
        <v>989</v>
      </c>
      <c r="E314" s="223" t="s">
        <v>998</v>
      </c>
      <c r="F314" s="223" t="s">
        <v>991</v>
      </c>
      <c r="G314" s="223" t="s">
        <v>2018</v>
      </c>
      <c r="H314" s="355">
        <v>27272.73</v>
      </c>
      <c r="I314" s="355">
        <v>0</v>
      </c>
      <c r="J314" s="357">
        <v>5727.27</v>
      </c>
      <c r="K314" s="355">
        <v>5727.27</v>
      </c>
      <c r="L314" s="355">
        <v>33000</v>
      </c>
    </row>
    <row r="315" spans="1:12" x14ac:dyDescent="0.25">
      <c r="A315" s="223" t="s">
        <v>2019</v>
      </c>
      <c r="B315" s="223" t="s">
        <v>999</v>
      </c>
      <c r="C315" s="223" t="s">
        <v>1000</v>
      </c>
      <c r="D315" s="223" t="s">
        <v>989</v>
      </c>
      <c r="E315" s="223" t="s">
        <v>998</v>
      </c>
      <c r="F315" s="223" t="s">
        <v>991</v>
      </c>
      <c r="G315" s="223" t="s">
        <v>2020</v>
      </c>
      <c r="H315" s="355">
        <v>35537.19</v>
      </c>
      <c r="I315" s="355">
        <v>0</v>
      </c>
      <c r="J315" s="357">
        <v>7462.81</v>
      </c>
      <c r="K315" s="355">
        <v>7462.81</v>
      </c>
      <c r="L315" s="355">
        <v>43000</v>
      </c>
    </row>
    <row r="316" spans="1:12" x14ac:dyDescent="0.25">
      <c r="A316" s="223" t="s">
        <v>2019</v>
      </c>
      <c r="B316" s="223" t="s">
        <v>999</v>
      </c>
      <c r="C316" s="223" t="s">
        <v>1000</v>
      </c>
      <c r="D316" s="223" t="s">
        <v>989</v>
      </c>
      <c r="E316" s="223" t="s">
        <v>998</v>
      </c>
      <c r="F316" s="223" t="s">
        <v>991</v>
      </c>
      <c r="G316" s="223" t="s">
        <v>2024</v>
      </c>
      <c r="H316" s="355">
        <v>14876.03</v>
      </c>
      <c r="I316" s="355">
        <v>0</v>
      </c>
      <c r="J316" s="357">
        <v>3123.97</v>
      </c>
      <c r="K316" s="355">
        <v>3123.97</v>
      </c>
      <c r="L316" s="355">
        <v>18000</v>
      </c>
    </row>
    <row r="317" spans="1:12" x14ac:dyDescent="0.25">
      <c r="A317" s="223" t="s">
        <v>2019</v>
      </c>
      <c r="B317" s="223" t="s">
        <v>999</v>
      </c>
      <c r="C317" s="223" t="s">
        <v>1000</v>
      </c>
      <c r="D317" s="223" t="s">
        <v>989</v>
      </c>
      <c r="E317" s="223" t="s">
        <v>998</v>
      </c>
      <c r="F317" s="223" t="s">
        <v>991</v>
      </c>
      <c r="G317" s="223" t="s">
        <v>2026</v>
      </c>
      <c r="H317" s="355">
        <v>14876.03</v>
      </c>
      <c r="I317" s="355">
        <v>0</v>
      </c>
      <c r="J317" s="357">
        <v>3123.97</v>
      </c>
      <c r="K317" s="355">
        <v>3123.97</v>
      </c>
      <c r="L317" s="355">
        <v>18000</v>
      </c>
    </row>
    <row r="318" spans="1:12" x14ac:dyDescent="0.25">
      <c r="A318" s="223" t="s">
        <v>2019</v>
      </c>
      <c r="B318" s="223" t="s">
        <v>999</v>
      </c>
      <c r="C318" s="223" t="s">
        <v>1000</v>
      </c>
      <c r="D318" s="223" t="s">
        <v>989</v>
      </c>
      <c r="E318" s="223" t="s">
        <v>998</v>
      </c>
      <c r="F318" s="223" t="s">
        <v>991</v>
      </c>
      <c r="G318" s="223" t="s">
        <v>2027</v>
      </c>
      <c r="H318" s="355">
        <v>18181.82</v>
      </c>
      <c r="I318" s="355">
        <v>0</v>
      </c>
      <c r="J318" s="357">
        <v>3818.18</v>
      </c>
      <c r="K318" s="355">
        <v>3818.18</v>
      </c>
      <c r="L318" s="355">
        <v>22000</v>
      </c>
    </row>
    <row r="319" spans="1:12" x14ac:dyDescent="0.25">
      <c r="A319" s="223" t="s">
        <v>2019</v>
      </c>
      <c r="B319" s="223" t="s">
        <v>999</v>
      </c>
      <c r="C319" s="223" t="s">
        <v>1000</v>
      </c>
      <c r="D319" s="223" t="s">
        <v>989</v>
      </c>
      <c r="E319" s="223" t="s">
        <v>998</v>
      </c>
      <c r="F319" s="223" t="s">
        <v>991</v>
      </c>
      <c r="G319" s="223" t="s">
        <v>2028</v>
      </c>
      <c r="H319" s="355">
        <v>41322.31</v>
      </c>
      <c r="I319" s="355">
        <v>0</v>
      </c>
      <c r="J319" s="357">
        <v>8677.69</v>
      </c>
      <c r="K319" s="355">
        <v>8677.69</v>
      </c>
      <c r="L319" s="355">
        <v>50000</v>
      </c>
    </row>
    <row r="320" spans="1:12" x14ac:dyDescent="0.25">
      <c r="A320" s="223" t="s">
        <v>2019</v>
      </c>
      <c r="B320" s="223" t="s">
        <v>999</v>
      </c>
      <c r="C320" s="223" t="s">
        <v>1000</v>
      </c>
      <c r="D320" s="223" t="s">
        <v>989</v>
      </c>
      <c r="E320" s="223" t="s">
        <v>998</v>
      </c>
      <c r="F320" s="223" t="s">
        <v>991</v>
      </c>
      <c r="G320" s="223" t="s">
        <v>2029</v>
      </c>
      <c r="H320" s="355">
        <v>37190.080000000002</v>
      </c>
      <c r="I320" s="355">
        <v>0</v>
      </c>
      <c r="J320" s="357">
        <v>7809.92</v>
      </c>
      <c r="K320" s="355">
        <v>7809.92</v>
      </c>
      <c r="L320" s="355">
        <v>45000</v>
      </c>
    </row>
    <row r="321" spans="1:12" x14ac:dyDescent="0.25">
      <c r="A321" s="223" t="s">
        <v>2019</v>
      </c>
      <c r="B321" s="223" t="s">
        <v>999</v>
      </c>
      <c r="C321" s="223" t="s">
        <v>1000</v>
      </c>
      <c r="D321" s="223" t="s">
        <v>989</v>
      </c>
      <c r="E321" s="223" t="s">
        <v>998</v>
      </c>
      <c r="F321" s="223" t="s">
        <v>991</v>
      </c>
      <c r="G321" s="223" t="s">
        <v>2030</v>
      </c>
      <c r="H321" s="355">
        <v>26446.28</v>
      </c>
      <c r="I321" s="355">
        <v>0</v>
      </c>
      <c r="J321" s="357">
        <v>5553.72</v>
      </c>
      <c r="K321" s="355">
        <v>5553.72</v>
      </c>
      <c r="L321" s="355">
        <v>32000</v>
      </c>
    </row>
    <row r="322" spans="1:12" x14ac:dyDescent="0.25">
      <c r="A322" s="223" t="s">
        <v>2019</v>
      </c>
      <c r="B322" s="223" t="s">
        <v>999</v>
      </c>
      <c r="C322" s="223" t="s">
        <v>1000</v>
      </c>
      <c r="D322" s="223" t="s">
        <v>989</v>
      </c>
      <c r="E322" s="223" t="s">
        <v>998</v>
      </c>
      <c r="F322" s="223" t="s">
        <v>991</v>
      </c>
      <c r="G322" s="223" t="s">
        <v>2031</v>
      </c>
      <c r="H322" s="355">
        <v>20661.16</v>
      </c>
      <c r="I322" s="355">
        <v>0</v>
      </c>
      <c r="J322" s="357">
        <v>4338.84</v>
      </c>
      <c r="K322" s="355">
        <v>4338.84</v>
      </c>
      <c r="L322" s="355">
        <v>25000</v>
      </c>
    </row>
    <row r="323" spans="1:12" x14ac:dyDescent="0.25">
      <c r="A323" s="223" t="s">
        <v>2019</v>
      </c>
      <c r="B323" s="223" t="s">
        <v>999</v>
      </c>
      <c r="C323" s="223" t="s">
        <v>1000</v>
      </c>
      <c r="D323" s="223" t="s">
        <v>989</v>
      </c>
      <c r="E323" s="223" t="s">
        <v>998</v>
      </c>
      <c r="F323" s="223" t="s">
        <v>991</v>
      </c>
      <c r="G323" s="223" t="s">
        <v>2032</v>
      </c>
      <c r="H323" s="355">
        <v>16528.93</v>
      </c>
      <c r="I323" s="355">
        <v>0</v>
      </c>
      <c r="J323" s="357">
        <v>3471.07</v>
      </c>
      <c r="K323" s="355">
        <v>3471.07</v>
      </c>
      <c r="L323" s="355">
        <v>20000</v>
      </c>
    </row>
    <row r="324" spans="1:12" x14ac:dyDescent="0.25">
      <c r="A324" s="223" t="s">
        <v>2019</v>
      </c>
      <c r="B324" s="223" t="s">
        <v>999</v>
      </c>
      <c r="C324" s="223" t="s">
        <v>1000</v>
      </c>
      <c r="D324" s="223" t="s">
        <v>989</v>
      </c>
      <c r="E324" s="223" t="s">
        <v>998</v>
      </c>
      <c r="F324" s="223" t="s">
        <v>991</v>
      </c>
      <c r="G324" s="223" t="s">
        <v>2033</v>
      </c>
      <c r="H324" s="355">
        <v>29752.07</v>
      </c>
      <c r="I324" s="355">
        <v>0</v>
      </c>
      <c r="J324" s="357">
        <v>6247.93</v>
      </c>
      <c r="K324" s="355">
        <v>6247.93</v>
      </c>
      <c r="L324" s="355">
        <v>36000</v>
      </c>
    </row>
    <row r="325" spans="1:12" x14ac:dyDescent="0.25">
      <c r="A325" s="223" t="s">
        <v>2019</v>
      </c>
      <c r="B325" s="223" t="s">
        <v>999</v>
      </c>
      <c r="C325" s="223" t="s">
        <v>1000</v>
      </c>
      <c r="D325" s="223" t="s">
        <v>989</v>
      </c>
      <c r="E325" s="223" t="s">
        <v>998</v>
      </c>
      <c r="F325" s="223" t="s">
        <v>991</v>
      </c>
      <c r="G325" s="223" t="s">
        <v>2025</v>
      </c>
      <c r="H325" s="355">
        <v>26942.15</v>
      </c>
      <c r="I325" s="355">
        <v>0</v>
      </c>
      <c r="J325" s="357">
        <v>5657.85</v>
      </c>
      <c r="K325" s="355">
        <v>5657.85</v>
      </c>
      <c r="L325" s="355">
        <v>32600</v>
      </c>
    </row>
    <row r="326" spans="1:12" x14ac:dyDescent="0.25">
      <c r="A326" s="223" t="s">
        <v>2034</v>
      </c>
      <c r="B326" s="223" t="s">
        <v>999</v>
      </c>
      <c r="C326" s="223" t="s">
        <v>1000</v>
      </c>
      <c r="D326" s="223" t="s">
        <v>989</v>
      </c>
      <c r="E326" s="223" t="s">
        <v>998</v>
      </c>
      <c r="F326" s="223" t="s">
        <v>991</v>
      </c>
      <c r="G326" s="223" t="s">
        <v>2037</v>
      </c>
      <c r="H326" s="355">
        <v>24793.39</v>
      </c>
      <c r="I326" s="355">
        <v>0</v>
      </c>
      <c r="J326" s="357">
        <v>5206.6099999999997</v>
      </c>
      <c r="K326" s="355">
        <v>5206.6099999999997</v>
      </c>
      <c r="L326" s="355">
        <v>30000</v>
      </c>
    </row>
    <row r="327" spans="1:12" x14ac:dyDescent="0.25">
      <c r="A327" s="223" t="s">
        <v>2034</v>
      </c>
      <c r="B327" s="223" t="s">
        <v>999</v>
      </c>
      <c r="C327" s="223" t="s">
        <v>1000</v>
      </c>
      <c r="D327" s="223" t="s">
        <v>989</v>
      </c>
      <c r="E327" s="223" t="s">
        <v>998</v>
      </c>
      <c r="F327" s="223" t="s">
        <v>991</v>
      </c>
      <c r="G327" s="223" t="s">
        <v>2038</v>
      </c>
      <c r="H327" s="355">
        <v>20661.16</v>
      </c>
      <c r="I327" s="355">
        <v>0</v>
      </c>
      <c r="J327" s="357">
        <v>4338.84</v>
      </c>
      <c r="K327" s="355">
        <v>4338.84</v>
      </c>
      <c r="L327" s="355">
        <v>25000</v>
      </c>
    </row>
    <row r="328" spans="1:12" x14ac:dyDescent="0.25">
      <c r="A328" s="223" t="s">
        <v>2034</v>
      </c>
      <c r="B328" s="223" t="s">
        <v>999</v>
      </c>
      <c r="C328" s="223" t="s">
        <v>1000</v>
      </c>
      <c r="D328" s="223" t="s">
        <v>989</v>
      </c>
      <c r="E328" s="223" t="s">
        <v>998</v>
      </c>
      <c r="F328" s="223" t="s">
        <v>991</v>
      </c>
      <c r="G328" s="223" t="s">
        <v>2039</v>
      </c>
      <c r="H328" s="355">
        <v>29752.07</v>
      </c>
      <c r="I328" s="355">
        <v>0</v>
      </c>
      <c r="J328" s="357">
        <v>6247.93</v>
      </c>
      <c r="K328" s="355">
        <v>6247.93</v>
      </c>
      <c r="L328" s="355">
        <v>36000</v>
      </c>
    </row>
    <row r="329" spans="1:12" x14ac:dyDescent="0.25">
      <c r="A329" s="223" t="s">
        <v>2034</v>
      </c>
      <c r="B329" s="223" t="s">
        <v>999</v>
      </c>
      <c r="C329" s="223" t="s">
        <v>1000</v>
      </c>
      <c r="D329" s="223" t="s">
        <v>989</v>
      </c>
      <c r="E329" s="223" t="s">
        <v>998</v>
      </c>
      <c r="F329" s="223" t="s">
        <v>991</v>
      </c>
      <c r="G329" s="223" t="s">
        <v>2046</v>
      </c>
      <c r="H329" s="355">
        <v>20661.16</v>
      </c>
      <c r="I329" s="355">
        <v>0</v>
      </c>
      <c r="J329" s="357">
        <v>4338.84</v>
      </c>
      <c r="K329" s="355">
        <v>4338.84</v>
      </c>
      <c r="L329" s="355">
        <v>25000</v>
      </c>
    </row>
    <row r="330" spans="1:12" x14ac:dyDescent="0.25">
      <c r="A330" s="223" t="s">
        <v>2034</v>
      </c>
      <c r="B330" s="223" t="s">
        <v>999</v>
      </c>
      <c r="C330" s="223" t="s">
        <v>1000</v>
      </c>
      <c r="D330" s="223" t="s">
        <v>989</v>
      </c>
      <c r="E330" s="223" t="s">
        <v>998</v>
      </c>
      <c r="F330" s="223" t="s">
        <v>991</v>
      </c>
      <c r="G330" s="223" t="s">
        <v>2054</v>
      </c>
      <c r="H330" s="355">
        <v>28925.62</v>
      </c>
      <c r="I330" s="355">
        <v>0</v>
      </c>
      <c r="J330" s="357">
        <v>6074.38</v>
      </c>
      <c r="K330" s="355">
        <v>6074.38</v>
      </c>
      <c r="L330" s="355">
        <v>35000</v>
      </c>
    </row>
    <row r="331" spans="1:12" x14ac:dyDescent="0.25">
      <c r="A331" s="223" t="s">
        <v>2034</v>
      </c>
      <c r="B331" s="223" t="s">
        <v>999</v>
      </c>
      <c r="C331" s="223" t="s">
        <v>1000</v>
      </c>
      <c r="D331" s="223" t="s">
        <v>989</v>
      </c>
      <c r="E331" s="223" t="s">
        <v>998</v>
      </c>
      <c r="F331" s="223" t="s">
        <v>991</v>
      </c>
      <c r="G331" s="223" t="s">
        <v>2064</v>
      </c>
      <c r="H331" s="355">
        <v>20661.16</v>
      </c>
      <c r="I331" s="355">
        <v>0</v>
      </c>
      <c r="J331" s="357">
        <v>4338.84</v>
      </c>
      <c r="K331" s="355">
        <v>4338.84</v>
      </c>
      <c r="L331" s="355">
        <v>25000</v>
      </c>
    </row>
    <row r="332" spans="1:12" x14ac:dyDescent="0.25">
      <c r="A332" s="223" t="s">
        <v>2034</v>
      </c>
      <c r="B332" s="223" t="s">
        <v>999</v>
      </c>
      <c r="C332" s="223" t="s">
        <v>1000</v>
      </c>
      <c r="D332" s="223" t="s">
        <v>989</v>
      </c>
      <c r="E332" s="223" t="s">
        <v>998</v>
      </c>
      <c r="F332" s="223" t="s">
        <v>991</v>
      </c>
      <c r="G332" s="223" t="s">
        <v>2070</v>
      </c>
      <c r="H332" s="355">
        <v>29752.07</v>
      </c>
      <c r="I332" s="355">
        <v>0</v>
      </c>
      <c r="J332" s="357">
        <v>6247.93</v>
      </c>
      <c r="K332" s="355">
        <v>6247.93</v>
      </c>
      <c r="L332" s="355">
        <v>36000</v>
      </c>
    </row>
    <row r="333" spans="1:12" x14ac:dyDescent="0.25">
      <c r="A333" s="223" t="s">
        <v>2034</v>
      </c>
      <c r="B333" s="223" t="s">
        <v>999</v>
      </c>
      <c r="C333" s="223" t="s">
        <v>1000</v>
      </c>
      <c r="D333" s="223" t="s">
        <v>989</v>
      </c>
      <c r="E333" s="223" t="s">
        <v>998</v>
      </c>
      <c r="F333" s="223" t="s">
        <v>991</v>
      </c>
      <c r="G333" s="223" t="s">
        <v>2035</v>
      </c>
      <c r="H333" s="355">
        <v>14876.03</v>
      </c>
      <c r="I333" s="355">
        <v>0</v>
      </c>
      <c r="J333" s="357">
        <v>3123.97</v>
      </c>
      <c r="K333" s="355">
        <v>3123.97</v>
      </c>
      <c r="L333" s="355">
        <v>18000</v>
      </c>
    </row>
    <row r="334" spans="1:12" x14ac:dyDescent="0.25">
      <c r="A334" s="223" t="s">
        <v>2087</v>
      </c>
      <c r="B334" s="223" t="s">
        <v>999</v>
      </c>
      <c r="C334" s="223" t="s">
        <v>1000</v>
      </c>
      <c r="D334" s="223" t="s">
        <v>989</v>
      </c>
      <c r="E334" s="223" t="s">
        <v>998</v>
      </c>
      <c r="F334" s="223" t="s">
        <v>991</v>
      </c>
      <c r="G334" s="223" t="s">
        <v>2088</v>
      </c>
      <c r="H334" s="355">
        <v>29752.07</v>
      </c>
      <c r="I334" s="355">
        <v>0</v>
      </c>
      <c r="J334" s="357">
        <v>6247.93</v>
      </c>
      <c r="K334" s="355">
        <v>6247.93</v>
      </c>
      <c r="L334" s="355">
        <v>36000</v>
      </c>
    </row>
    <row r="335" spans="1:12" x14ac:dyDescent="0.25">
      <c r="A335" s="223" t="s">
        <v>2087</v>
      </c>
      <c r="B335" s="223" t="s">
        <v>999</v>
      </c>
      <c r="C335" s="223" t="s">
        <v>1000</v>
      </c>
      <c r="D335" s="223" t="s">
        <v>989</v>
      </c>
      <c r="E335" s="223" t="s">
        <v>998</v>
      </c>
      <c r="F335" s="223" t="s">
        <v>991</v>
      </c>
      <c r="G335" s="223" t="s">
        <v>2095</v>
      </c>
      <c r="H335" s="355">
        <v>14876.03</v>
      </c>
      <c r="I335" s="355">
        <v>0</v>
      </c>
      <c r="J335" s="357">
        <v>3123.97</v>
      </c>
      <c r="K335" s="355">
        <v>3123.97</v>
      </c>
      <c r="L335" s="355">
        <v>18000</v>
      </c>
    </row>
    <row r="336" spans="1:12" x14ac:dyDescent="0.25">
      <c r="A336" s="223" t="s">
        <v>2087</v>
      </c>
      <c r="B336" s="223" t="s">
        <v>999</v>
      </c>
      <c r="C336" s="223" t="s">
        <v>1000</v>
      </c>
      <c r="D336" s="223" t="s">
        <v>989</v>
      </c>
      <c r="E336" s="223" t="s">
        <v>998</v>
      </c>
      <c r="F336" s="223" t="s">
        <v>991</v>
      </c>
      <c r="G336" s="223" t="s">
        <v>2100</v>
      </c>
      <c r="H336" s="355">
        <v>43801.65</v>
      </c>
      <c r="I336" s="355">
        <v>0</v>
      </c>
      <c r="J336" s="357">
        <v>9198.35</v>
      </c>
      <c r="K336" s="355">
        <v>9198.35</v>
      </c>
      <c r="L336" s="355">
        <v>53000</v>
      </c>
    </row>
    <row r="337" spans="1:12" x14ac:dyDescent="0.25">
      <c r="A337" s="223" t="s">
        <v>2087</v>
      </c>
      <c r="B337" s="223" t="s">
        <v>999</v>
      </c>
      <c r="C337" s="223" t="s">
        <v>1000</v>
      </c>
      <c r="D337" s="223" t="s">
        <v>989</v>
      </c>
      <c r="E337" s="223" t="s">
        <v>998</v>
      </c>
      <c r="F337" s="223" t="s">
        <v>991</v>
      </c>
      <c r="G337" s="223" t="s">
        <v>2101</v>
      </c>
      <c r="H337" s="355">
        <v>14876.03</v>
      </c>
      <c r="I337" s="355">
        <v>0</v>
      </c>
      <c r="J337" s="357">
        <v>3123.97</v>
      </c>
      <c r="K337" s="355">
        <v>3123.97</v>
      </c>
      <c r="L337" s="355">
        <v>18000</v>
      </c>
    </row>
    <row r="338" spans="1:12" x14ac:dyDescent="0.25">
      <c r="A338" s="223" t="s">
        <v>2087</v>
      </c>
      <c r="B338" s="223" t="s">
        <v>999</v>
      </c>
      <c r="C338" s="223" t="s">
        <v>1000</v>
      </c>
      <c r="D338" s="223" t="s">
        <v>989</v>
      </c>
      <c r="E338" s="223" t="s">
        <v>998</v>
      </c>
      <c r="F338" s="223" t="s">
        <v>991</v>
      </c>
      <c r="G338" s="223" t="s">
        <v>2102</v>
      </c>
      <c r="H338" s="355">
        <v>35537.19</v>
      </c>
      <c r="I338" s="355">
        <v>0</v>
      </c>
      <c r="J338" s="357">
        <v>7462.81</v>
      </c>
      <c r="K338" s="355">
        <v>7462.81</v>
      </c>
      <c r="L338" s="355">
        <v>43000</v>
      </c>
    </row>
    <row r="339" spans="1:12" x14ac:dyDescent="0.25">
      <c r="A339" s="223" t="s">
        <v>2087</v>
      </c>
      <c r="B339" s="223" t="s">
        <v>999</v>
      </c>
      <c r="C339" s="223" t="s">
        <v>1000</v>
      </c>
      <c r="D339" s="223" t="s">
        <v>989</v>
      </c>
      <c r="E339" s="223" t="s">
        <v>998</v>
      </c>
      <c r="F339" s="223" t="s">
        <v>991</v>
      </c>
      <c r="G339" s="223" t="s">
        <v>2103</v>
      </c>
      <c r="H339" s="355">
        <v>41322.31</v>
      </c>
      <c r="I339" s="355">
        <v>0</v>
      </c>
      <c r="J339" s="357">
        <v>8677.69</v>
      </c>
      <c r="K339" s="355">
        <v>8677.69</v>
      </c>
      <c r="L339" s="355">
        <v>50000</v>
      </c>
    </row>
    <row r="340" spans="1:12" x14ac:dyDescent="0.25">
      <c r="A340" s="223" t="s">
        <v>2087</v>
      </c>
      <c r="B340" s="223" t="s">
        <v>999</v>
      </c>
      <c r="C340" s="223" t="s">
        <v>1000</v>
      </c>
      <c r="D340" s="223" t="s">
        <v>989</v>
      </c>
      <c r="E340" s="223" t="s">
        <v>998</v>
      </c>
      <c r="F340" s="223" t="s">
        <v>991</v>
      </c>
      <c r="G340" s="223" t="s">
        <v>2104</v>
      </c>
      <c r="H340" s="355">
        <v>18595.04</v>
      </c>
      <c r="I340" s="355">
        <v>0</v>
      </c>
      <c r="J340" s="357">
        <v>3904.96</v>
      </c>
      <c r="K340" s="355">
        <v>3904.96</v>
      </c>
      <c r="L340" s="355">
        <v>22500</v>
      </c>
    </row>
    <row r="341" spans="1:12" x14ac:dyDescent="0.25">
      <c r="A341" s="223" t="s">
        <v>2087</v>
      </c>
      <c r="B341" s="223" t="s">
        <v>999</v>
      </c>
      <c r="C341" s="223" t="s">
        <v>1000</v>
      </c>
      <c r="D341" s="223" t="s">
        <v>989</v>
      </c>
      <c r="E341" s="223" t="s">
        <v>998</v>
      </c>
      <c r="F341" s="223" t="s">
        <v>991</v>
      </c>
      <c r="G341" s="223" t="s">
        <v>2115</v>
      </c>
      <c r="H341" s="355">
        <v>53719.01</v>
      </c>
      <c r="I341" s="355">
        <v>0</v>
      </c>
      <c r="J341" s="357">
        <v>11280.99</v>
      </c>
      <c r="K341" s="355">
        <v>11280.99</v>
      </c>
      <c r="L341" s="355">
        <v>65000</v>
      </c>
    </row>
    <row r="342" spans="1:12" x14ac:dyDescent="0.25">
      <c r="A342" s="223" t="s">
        <v>2116</v>
      </c>
      <c r="B342" s="223" t="s">
        <v>999</v>
      </c>
      <c r="C342" s="223" t="s">
        <v>1000</v>
      </c>
      <c r="D342" s="223" t="s">
        <v>989</v>
      </c>
      <c r="E342" s="223" t="s">
        <v>998</v>
      </c>
      <c r="F342" s="223" t="s">
        <v>991</v>
      </c>
      <c r="G342" s="223" t="s">
        <v>2117</v>
      </c>
      <c r="H342" s="355">
        <v>13223.14</v>
      </c>
      <c r="I342" s="355">
        <v>0</v>
      </c>
      <c r="J342" s="357">
        <v>2776.86</v>
      </c>
      <c r="K342" s="355">
        <v>2776.86</v>
      </c>
      <c r="L342" s="355">
        <v>16000</v>
      </c>
    </row>
    <row r="343" spans="1:12" x14ac:dyDescent="0.25">
      <c r="A343" s="223" t="s">
        <v>2116</v>
      </c>
      <c r="B343" s="223" t="s">
        <v>2118</v>
      </c>
      <c r="C343" s="223" t="s">
        <v>2119</v>
      </c>
      <c r="D343" s="223" t="s">
        <v>989</v>
      </c>
      <c r="E343" s="223" t="s">
        <v>998</v>
      </c>
      <c r="F343" s="223" t="s">
        <v>991</v>
      </c>
      <c r="G343" s="223" t="s">
        <v>2120</v>
      </c>
      <c r="H343" s="355">
        <v>29752.07</v>
      </c>
      <c r="I343" s="355">
        <v>0</v>
      </c>
      <c r="J343" s="357">
        <v>6247.93</v>
      </c>
      <c r="K343" s="355">
        <v>6247.93</v>
      </c>
      <c r="L343" s="355">
        <v>36000</v>
      </c>
    </row>
    <row r="344" spans="1:12" x14ac:dyDescent="0.25">
      <c r="A344" s="223" t="s">
        <v>2116</v>
      </c>
      <c r="B344" s="223" t="s">
        <v>999</v>
      </c>
      <c r="C344" s="223" t="s">
        <v>1000</v>
      </c>
      <c r="D344" s="223" t="s">
        <v>989</v>
      </c>
      <c r="E344" s="223" t="s">
        <v>998</v>
      </c>
      <c r="F344" s="223" t="s">
        <v>991</v>
      </c>
      <c r="G344" s="223" t="s">
        <v>2121</v>
      </c>
      <c r="H344" s="355">
        <v>20661.16</v>
      </c>
      <c r="I344" s="355">
        <v>0</v>
      </c>
      <c r="J344" s="357">
        <v>4338.84</v>
      </c>
      <c r="K344" s="355">
        <v>4338.84</v>
      </c>
      <c r="L344" s="355">
        <v>25000</v>
      </c>
    </row>
    <row r="345" spans="1:12" x14ac:dyDescent="0.25">
      <c r="A345" s="223" t="s">
        <v>2116</v>
      </c>
      <c r="B345" s="223" t="s">
        <v>999</v>
      </c>
      <c r="C345" s="223" t="s">
        <v>1000</v>
      </c>
      <c r="D345" s="223" t="s">
        <v>989</v>
      </c>
      <c r="E345" s="223" t="s">
        <v>998</v>
      </c>
      <c r="F345" s="223" t="s">
        <v>991</v>
      </c>
      <c r="G345" s="223" t="s">
        <v>2125</v>
      </c>
      <c r="H345" s="355">
        <v>14876.03</v>
      </c>
      <c r="I345" s="355">
        <v>0</v>
      </c>
      <c r="J345" s="357">
        <v>3123.97</v>
      </c>
      <c r="K345" s="355">
        <v>3123.97</v>
      </c>
      <c r="L345" s="355">
        <v>18000</v>
      </c>
    </row>
    <row r="346" spans="1:12" x14ac:dyDescent="0.25">
      <c r="A346" s="223" t="s">
        <v>2116</v>
      </c>
      <c r="B346" s="223" t="s">
        <v>999</v>
      </c>
      <c r="C346" s="223" t="s">
        <v>1000</v>
      </c>
      <c r="D346" s="223" t="s">
        <v>989</v>
      </c>
      <c r="E346" s="223" t="s">
        <v>998</v>
      </c>
      <c r="F346" s="223" t="s">
        <v>991</v>
      </c>
      <c r="G346" s="223" t="s">
        <v>2126</v>
      </c>
      <c r="H346" s="355">
        <v>40082.639999999999</v>
      </c>
      <c r="I346" s="355">
        <v>0</v>
      </c>
      <c r="J346" s="357">
        <v>8417.36</v>
      </c>
      <c r="K346" s="355">
        <v>8417.36</v>
      </c>
      <c r="L346" s="355">
        <v>48500</v>
      </c>
    </row>
    <row r="347" spans="1:12" x14ac:dyDescent="0.25">
      <c r="A347" s="223" t="s">
        <v>2116</v>
      </c>
      <c r="B347" s="223" t="s">
        <v>999</v>
      </c>
      <c r="C347" s="223" t="s">
        <v>1000</v>
      </c>
      <c r="D347" s="223" t="s">
        <v>989</v>
      </c>
      <c r="E347" s="223" t="s">
        <v>998</v>
      </c>
      <c r="F347" s="223" t="s">
        <v>991</v>
      </c>
      <c r="G347" s="223" t="s">
        <v>2127</v>
      </c>
      <c r="H347" s="355">
        <v>10495.87</v>
      </c>
      <c r="I347" s="355">
        <v>0</v>
      </c>
      <c r="J347" s="357">
        <v>2204.13</v>
      </c>
      <c r="K347" s="355">
        <v>2204.13</v>
      </c>
      <c r="L347" s="355">
        <v>12700</v>
      </c>
    </row>
    <row r="348" spans="1:12" x14ac:dyDescent="0.25">
      <c r="A348" s="223" t="s">
        <v>2116</v>
      </c>
      <c r="B348" s="223" t="s">
        <v>999</v>
      </c>
      <c r="C348" s="223" t="s">
        <v>1000</v>
      </c>
      <c r="D348" s="223" t="s">
        <v>989</v>
      </c>
      <c r="E348" s="223" t="s">
        <v>998</v>
      </c>
      <c r="F348" s="223" t="s">
        <v>991</v>
      </c>
      <c r="G348" s="223" t="s">
        <v>2128</v>
      </c>
      <c r="H348" s="355">
        <v>36363.64</v>
      </c>
      <c r="I348" s="355">
        <v>0</v>
      </c>
      <c r="J348" s="357">
        <v>7636.36</v>
      </c>
      <c r="K348" s="355">
        <v>7636.36</v>
      </c>
      <c r="L348" s="355">
        <v>44000</v>
      </c>
    </row>
    <row r="349" spans="1:12" x14ac:dyDescent="0.25">
      <c r="A349" s="223" t="s">
        <v>2129</v>
      </c>
      <c r="B349" s="223" t="s">
        <v>999</v>
      </c>
      <c r="C349" s="223" t="s">
        <v>1000</v>
      </c>
      <c r="D349" s="223" t="s">
        <v>989</v>
      </c>
      <c r="E349" s="223" t="s">
        <v>998</v>
      </c>
      <c r="F349" s="223" t="s">
        <v>991</v>
      </c>
      <c r="G349" s="223" t="s">
        <v>2130</v>
      </c>
      <c r="H349" s="355">
        <v>18595.04</v>
      </c>
      <c r="I349" s="355">
        <v>0</v>
      </c>
      <c r="J349" s="357">
        <v>3904.96</v>
      </c>
      <c r="K349" s="355">
        <v>3904.96</v>
      </c>
      <c r="L349" s="355">
        <v>22500</v>
      </c>
    </row>
    <row r="350" spans="1:12" x14ac:dyDescent="0.25">
      <c r="A350" s="223" t="s">
        <v>2129</v>
      </c>
      <c r="B350" s="223" t="s">
        <v>999</v>
      </c>
      <c r="C350" s="223" t="s">
        <v>1000</v>
      </c>
      <c r="D350" s="223" t="s">
        <v>989</v>
      </c>
      <c r="E350" s="223" t="s">
        <v>998</v>
      </c>
      <c r="F350" s="223" t="s">
        <v>991</v>
      </c>
      <c r="G350" s="223" t="s">
        <v>2131</v>
      </c>
      <c r="H350" s="355">
        <v>14876.03</v>
      </c>
      <c r="I350" s="355">
        <v>0</v>
      </c>
      <c r="J350" s="357">
        <v>3123.97</v>
      </c>
      <c r="K350" s="355">
        <v>3123.97</v>
      </c>
      <c r="L350" s="355">
        <v>18000</v>
      </c>
    </row>
    <row r="351" spans="1:12" x14ac:dyDescent="0.25">
      <c r="A351" s="223" t="s">
        <v>2129</v>
      </c>
      <c r="B351" s="223" t="s">
        <v>999</v>
      </c>
      <c r="C351" s="223" t="s">
        <v>1000</v>
      </c>
      <c r="D351" s="223" t="s">
        <v>989</v>
      </c>
      <c r="E351" s="223" t="s">
        <v>998</v>
      </c>
      <c r="F351" s="223" t="s">
        <v>991</v>
      </c>
      <c r="G351" s="223" t="s">
        <v>2132</v>
      </c>
      <c r="H351" s="355">
        <v>8264.4599999999991</v>
      </c>
      <c r="I351" s="355">
        <v>0</v>
      </c>
      <c r="J351" s="357">
        <v>1735.54</v>
      </c>
      <c r="K351" s="355">
        <v>1735.54</v>
      </c>
      <c r="L351" s="355">
        <v>10000</v>
      </c>
    </row>
    <row r="352" spans="1:12" x14ac:dyDescent="0.25">
      <c r="A352" s="223" t="s">
        <v>2129</v>
      </c>
      <c r="B352" s="223" t="s">
        <v>999</v>
      </c>
      <c r="C352" s="223" t="s">
        <v>1000</v>
      </c>
      <c r="D352" s="223" t="s">
        <v>989</v>
      </c>
      <c r="E352" s="223" t="s">
        <v>998</v>
      </c>
      <c r="F352" s="223" t="s">
        <v>991</v>
      </c>
      <c r="G352" s="223" t="s">
        <v>2133</v>
      </c>
      <c r="H352" s="355">
        <v>9504.1299999999992</v>
      </c>
      <c r="I352" s="355">
        <v>0</v>
      </c>
      <c r="J352" s="357">
        <v>1995.87</v>
      </c>
      <c r="K352" s="355">
        <v>1995.87</v>
      </c>
      <c r="L352" s="355">
        <v>11500</v>
      </c>
    </row>
    <row r="353" spans="1:12" x14ac:dyDescent="0.25">
      <c r="A353" s="223" t="s">
        <v>2129</v>
      </c>
      <c r="B353" s="223" t="s">
        <v>999</v>
      </c>
      <c r="C353" s="223" t="s">
        <v>1000</v>
      </c>
      <c r="D353" s="223" t="s">
        <v>989</v>
      </c>
      <c r="E353" s="223" t="s">
        <v>998</v>
      </c>
      <c r="F353" s="223" t="s">
        <v>991</v>
      </c>
      <c r="G353" s="223" t="s">
        <v>2134</v>
      </c>
      <c r="H353" s="355">
        <v>70247.929999999993</v>
      </c>
      <c r="I353" s="355">
        <v>0</v>
      </c>
      <c r="J353" s="357">
        <v>14752.07</v>
      </c>
      <c r="K353" s="355">
        <v>14752.07</v>
      </c>
      <c r="L353" s="355">
        <v>85000</v>
      </c>
    </row>
    <row r="354" spans="1:12" x14ac:dyDescent="0.25">
      <c r="A354" s="223" t="s">
        <v>2129</v>
      </c>
      <c r="B354" s="223" t="s">
        <v>999</v>
      </c>
      <c r="C354" s="223" t="s">
        <v>1000</v>
      </c>
      <c r="D354" s="223" t="s">
        <v>989</v>
      </c>
      <c r="E354" s="223" t="s">
        <v>998</v>
      </c>
      <c r="F354" s="223" t="s">
        <v>991</v>
      </c>
      <c r="G354" s="223" t="s">
        <v>2135</v>
      </c>
      <c r="H354" s="355">
        <v>27272.73</v>
      </c>
      <c r="I354" s="355">
        <v>0</v>
      </c>
      <c r="J354" s="357">
        <v>5727.27</v>
      </c>
      <c r="K354" s="355">
        <v>5727.27</v>
      </c>
      <c r="L354" s="355">
        <v>33000</v>
      </c>
    </row>
    <row r="355" spans="1:12" x14ac:dyDescent="0.25">
      <c r="A355" s="223" t="s">
        <v>2129</v>
      </c>
      <c r="B355" s="223" t="s">
        <v>999</v>
      </c>
      <c r="C355" s="223" t="s">
        <v>1000</v>
      </c>
      <c r="D355" s="223" t="s">
        <v>989</v>
      </c>
      <c r="E355" s="223" t="s">
        <v>998</v>
      </c>
      <c r="F355" s="223" t="s">
        <v>991</v>
      </c>
      <c r="G355" s="223" t="s">
        <v>2136</v>
      </c>
      <c r="H355" s="355">
        <v>20826.45</v>
      </c>
      <c r="I355" s="355">
        <v>0</v>
      </c>
      <c r="J355" s="357">
        <v>4373.55</v>
      </c>
      <c r="K355" s="355">
        <v>4373.55</v>
      </c>
      <c r="L355" s="355">
        <v>25200</v>
      </c>
    </row>
    <row r="356" spans="1:12" x14ac:dyDescent="0.25">
      <c r="A356" s="223" t="s">
        <v>2129</v>
      </c>
      <c r="B356" s="223" t="s">
        <v>999</v>
      </c>
      <c r="C356" s="223" t="s">
        <v>1000</v>
      </c>
      <c r="D356" s="223" t="s">
        <v>989</v>
      </c>
      <c r="E356" s="223" t="s">
        <v>998</v>
      </c>
      <c r="F356" s="223" t="s">
        <v>991</v>
      </c>
      <c r="G356" s="223" t="s">
        <v>2137</v>
      </c>
      <c r="H356" s="355">
        <v>29752.07</v>
      </c>
      <c r="I356" s="355">
        <v>0</v>
      </c>
      <c r="J356" s="357">
        <v>6247.93</v>
      </c>
      <c r="K356" s="355">
        <v>6247.93</v>
      </c>
      <c r="L356" s="355">
        <v>36000</v>
      </c>
    </row>
    <row r="357" spans="1:12" x14ac:dyDescent="0.25">
      <c r="A357" s="223" t="s">
        <v>2129</v>
      </c>
      <c r="B357" s="223" t="s">
        <v>999</v>
      </c>
      <c r="C357" s="223" t="s">
        <v>1000</v>
      </c>
      <c r="D357" s="223" t="s">
        <v>989</v>
      </c>
      <c r="E357" s="223" t="s">
        <v>998</v>
      </c>
      <c r="F357" s="223" t="s">
        <v>991</v>
      </c>
      <c r="G357" s="223" t="s">
        <v>2138</v>
      </c>
      <c r="H357" s="355">
        <v>17355.37</v>
      </c>
      <c r="I357" s="355">
        <v>0</v>
      </c>
      <c r="J357" s="357">
        <v>3644.63</v>
      </c>
      <c r="K357" s="355">
        <v>3644.63</v>
      </c>
      <c r="L357" s="355">
        <v>21000</v>
      </c>
    </row>
    <row r="358" spans="1:12" x14ac:dyDescent="0.25">
      <c r="A358" s="223" t="s">
        <v>2129</v>
      </c>
      <c r="B358" s="223" t="s">
        <v>999</v>
      </c>
      <c r="C358" s="223" t="s">
        <v>1000</v>
      </c>
      <c r="D358" s="223" t="s">
        <v>989</v>
      </c>
      <c r="E358" s="223" t="s">
        <v>998</v>
      </c>
      <c r="F358" s="223" t="s">
        <v>991</v>
      </c>
      <c r="G358" s="223" t="s">
        <v>2139</v>
      </c>
      <c r="H358" s="355">
        <v>22314.05</v>
      </c>
      <c r="I358" s="355">
        <v>0</v>
      </c>
      <c r="J358" s="357">
        <v>4685.95</v>
      </c>
      <c r="K358" s="355">
        <v>4685.95</v>
      </c>
      <c r="L358" s="355">
        <v>27000</v>
      </c>
    </row>
    <row r="359" spans="1:12" x14ac:dyDescent="0.25">
      <c r="A359" s="223" t="s">
        <v>2129</v>
      </c>
      <c r="B359" s="223" t="s">
        <v>999</v>
      </c>
      <c r="C359" s="223" t="s">
        <v>1000</v>
      </c>
      <c r="D359" s="223" t="s">
        <v>989</v>
      </c>
      <c r="E359" s="223" t="s">
        <v>998</v>
      </c>
      <c r="F359" s="223" t="s">
        <v>991</v>
      </c>
      <c r="G359" s="223" t="s">
        <v>2140</v>
      </c>
      <c r="H359" s="355">
        <v>41322.31</v>
      </c>
      <c r="I359" s="355">
        <v>0</v>
      </c>
      <c r="J359" s="357">
        <v>8677.69</v>
      </c>
      <c r="K359" s="355">
        <v>8677.69</v>
      </c>
      <c r="L359" s="355">
        <v>50000</v>
      </c>
    </row>
    <row r="360" spans="1:12" x14ac:dyDescent="0.25">
      <c r="A360" s="223" t="s">
        <v>2129</v>
      </c>
      <c r="B360" s="223" t="s">
        <v>999</v>
      </c>
      <c r="C360" s="223" t="s">
        <v>1000</v>
      </c>
      <c r="D360" s="223" t="s">
        <v>989</v>
      </c>
      <c r="E360" s="223" t="s">
        <v>998</v>
      </c>
      <c r="F360" s="223" t="s">
        <v>991</v>
      </c>
      <c r="G360" s="223" t="s">
        <v>2141</v>
      </c>
      <c r="H360" s="355">
        <v>16528.93</v>
      </c>
      <c r="I360" s="355">
        <v>0</v>
      </c>
      <c r="J360" s="357">
        <v>3471.07</v>
      </c>
      <c r="K360" s="355">
        <v>3471.07</v>
      </c>
      <c r="L360" s="355">
        <v>20000</v>
      </c>
    </row>
    <row r="361" spans="1:12" x14ac:dyDescent="0.25">
      <c r="A361" s="223" t="s">
        <v>2129</v>
      </c>
      <c r="B361" s="223" t="s">
        <v>999</v>
      </c>
      <c r="C361" s="223" t="s">
        <v>1000</v>
      </c>
      <c r="D361" s="223" t="s">
        <v>989</v>
      </c>
      <c r="E361" s="223" t="s">
        <v>998</v>
      </c>
      <c r="F361" s="223" t="s">
        <v>991</v>
      </c>
      <c r="G361" s="223" t="s">
        <v>2142</v>
      </c>
      <c r="H361" s="355">
        <v>29752.07</v>
      </c>
      <c r="I361" s="355">
        <v>0</v>
      </c>
      <c r="J361" s="357">
        <v>6247.93</v>
      </c>
      <c r="K361" s="355">
        <v>6247.93</v>
      </c>
      <c r="L361" s="355">
        <v>36000</v>
      </c>
    </row>
    <row r="362" spans="1:12" x14ac:dyDescent="0.25">
      <c r="A362" s="223" t="s">
        <v>2129</v>
      </c>
      <c r="B362" s="223" t="s">
        <v>999</v>
      </c>
      <c r="C362" s="223" t="s">
        <v>1000</v>
      </c>
      <c r="D362" s="223" t="s">
        <v>989</v>
      </c>
      <c r="E362" s="223" t="s">
        <v>998</v>
      </c>
      <c r="F362" s="223" t="s">
        <v>991</v>
      </c>
      <c r="G362" s="223" t="s">
        <v>2143</v>
      </c>
      <c r="H362" s="355">
        <v>20661.16</v>
      </c>
      <c r="I362" s="355">
        <v>0</v>
      </c>
      <c r="J362" s="357">
        <v>4338.84</v>
      </c>
      <c r="K362" s="355">
        <v>4338.84</v>
      </c>
      <c r="L362" s="355">
        <v>25000</v>
      </c>
    </row>
    <row r="363" spans="1:12" x14ac:dyDescent="0.25">
      <c r="A363" s="223" t="s">
        <v>2129</v>
      </c>
      <c r="B363" s="223" t="s">
        <v>999</v>
      </c>
      <c r="C363" s="223" t="s">
        <v>1000</v>
      </c>
      <c r="D363" s="223" t="s">
        <v>989</v>
      </c>
      <c r="E363" s="223" t="s">
        <v>998</v>
      </c>
      <c r="F363" s="223" t="s">
        <v>991</v>
      </c>
      <c r="G363" s="223" t="s">
        <v>2145</v>
      </c>
      <c r="H363" s="355">
        <v>18181.82</v>
      </c>
      <c r="I363" s="355">
        <v>0</v>
      </c>
      <c r="J363" s="357">
        <v>3818.18</v>
      </c>
      <c r="K363" s="355">
        <v>3818.18</v>
      </c>
      <c r="L363" s="355">
        <v>22000</v>
      </c>
    </row>
    <row r="364" spans="1:12" x14ac:dyDescent="0.25">
      <c r="A364" s="223" t="s">
        <v>2146</v>
      </c>
      <c r="B364" s="223" t="s">
        <v>999</v>
      </c>
      <c r="C364" s="223" t="s">
        <v>1000</v>
      </c>
      <c r="D364" s="223" t="s">
        <v>989</v>
      </c>
      <c r="E364" s="223" t="s">
        <v>998</v>
      </c>
      <c r="F364" s="223" t="s">
        <v>991</v>
      </c>
      <c r="G364" s="223" t="s">
        <v>2147</v>
      </c>
      <c r="H364" s="355">
        <v>16528.93</v>
      </c>
      <c r="I364" s="355">
        <v>0</v>
      </c>
      <c r="J364" s="357">
        <v>3471.07</v>
      </c>
      <c r="K364" s="355">
        <v>3471.07</v>
      </c>
      <c r="L364" s="355">
        <v>20000</v>
      </c>
    </row>
    <row r="365" spans="1:12" x14ac:dyDescent="0.25">
      <c r="A365" s="223" t="s">
        <v>2146</v>
      </c>
      <c r="B365" s="223" t="s">
        <v>999</v>
      </c>
      <c r="C365" s="223" t="s">
        <v>1000</v>
      </c>
      <c r="D365" s="223" t="s">
        <v>989</v>
      </c>
      <c r="E365" s="223" t="s">
        <v>998</v>
      </c>
      <c r="F365" s="223" t="s">
        <v>991</v>
      </c>
      <c r="G365" s="223" t="s">
        <v>2150</v>
      </c>
      <c r="H365" s="355">
        <v>29752.07</v>
      </c>
      <c r="I365" s="355">
        <v>0</v>
      </c>
      <c r="J365" s="357">
        <v>6247.93</v>
      </c>
      <c r="K365" s="355">
        <v>6247.93</v>
      </c>
      <c r="L365" s="355">
        <v>36000</v>
      </c>
    </row>
    <row r="366" spans="1:12" x14ac:dyDescent="0.25">
      <c r="A366" s="223" t="s">
        <v>2146</v>
      </c>
      <c r="B366" s="223" t="s">
        <v>999</v>
      </c>
      <c r="C366" s="223" t="s">
        <v>1000</v>
      </c>
      <c r="D366" s="223" t="s">
        <v>989</v>
      </c>
      <c r="E366" s="223" t="s">
        <v>998</v>
      </c>
      <c r="F366" s="223" t="s">
        <v>991</v>
      </c>
      <c r="G366" s="223" t="s">
        <v>2152</v>
      </c>
      <c r="H366" s="355">
        <v>17355.37</v>
      </c>
      <c r="I366" s="355">
        <v>0</v>
      </c>
      <c r="J366" s="357">
        <v>3644.63</v>
      </c>
      <c r="K366" s="355">
        <v>3644.63</v>
      </c>
      <c r="L366" s="355">
        <v>21000</v>
      </c>
    </row>
    <row r="367" spans="1:12" x14ac:dyDescent="0.25">
      <c r="A367" s="223" t="s">
        <v>2146</v>
      </c>
      <c r="B367" s="223" t="s">
        <v>999</v>
      </c>
      <c r="C367" s="223" t="s">
        <v>1000</v>
      </c>
      <c r="D367" s="223" t="s">
        <v>989</v>
      </c>
      <c r="E367" s="223" t="s">
        <v>998</v>
      </c>
      <c r="F367" s="223" t="s">
        <v>991</v>
      </c>
      <c r="G367" s="223" t="s">
        <v>2155</v>
      </c>
      <c r="H367" s="355">
        <v>20661.16</v>
      </c>
      <c r="I367" s="355">
        <v>0</v>
      </c>
      <c r="J367" s="357">
        <v>4338.84</v>
      </c>
      <c r="K367" s="355">
        <v>4338.84</v>
      </c>
      <c r="L367" s="355">
        <v>25000</v>
      </c>
    </row>
    <row r="368" spans="1:12" x14ac:dyDescent="0.25">
      <c r="A368" s="223" t="s">
        <v>2146</v>
      </c>
      <c r="B368" s="223" t="s">
        <v>999</v>
      </c>
      <c r="C368" s="223" t="s">
        <v>1000</v>
      </c>
      <c r="D368" s="223" t="s">
        <v>989</v>
      </c>
      <c r="E368" s="223" t="s">
        <v>998</v>
      </c>
      <c r="F368" s="223" t="s">
        <v>991</v>
      </c>
      <c r="G368" s="223" t="s">
        <v>2156</v>
      </c>
      <c r="H368" s="355">
        <v>14876.03</v>
      </c>
      <c r="I368" s="355">
        <v>0</v>
      </c>
      <c r="J368" s="357">
        <v>3123.97</v>
      </c>
      <c r="K368" s="355">
        <v>3123.97</v>
      </c>
      <c r="L368" s="355">
        <v>18000</v>
      </c>
    </row>
    <row r="369" spans="1:12" x14ac:dyDescent="0.25">
      <c r="A369" s="223" t="s">
        <v>2146</v>
      </c>
      <c r="B369" s="223" t="s">
        <v>2157</v>
      </c>
      <c r="C369" s="223" t="s">
        <v>2158</v>
      </c>
      <c r="D369" s="223" t="s">
        <v>989</v>
      </c>
      <c r="E369" s="223" t="s">
        <v>998</v>
      </c>
      <c r="F369" s="223" t="s">
        <v>991</v>
      </c>
      <c r="G369" s="223" t="s">
        <v>2159</v>
      </c>
      <c r="H369" s="355">
        <v>33884.300000000003</v>
      </c>
      <c r="I369" s="355">
        <v>0</v>
      </c>
      <c r="J369" s="357">
        <v>7115.7</v>
      </c>
      <c r="K369" s="355">
        <v>7115.7</v>
      </c>
      <c r="L369" s="355">
        <v>41000</v>
      </c>
    </row>
    <row r="370" spans="1:12" x14ac:dyDescent="0.25">
      <c r="A370" s="223" t="s">
        <v>2146</v>
      </c>
      <c r="B370" s="223" t="s">
        <v>2160</v>
      </c>
      <c r="C370" s="223" t="s">
        <v>2161</v>
      </c>
      <c r="D370" s="223" t="s">
        <v>989</v>
      </c>
      <c r="E370" s="223" t="s">
        <v>998</v>
      </c>
      <c r="F370" s="223" t="s">
        <v>991</v>
      </c>
      <c r="G370" s="223" t="s">
        <v>2162</v>
      </c>
      <c r="H370" s="355">
        <v>45619.83</v>
      </c>
      <c r="I370" s="355">
        <v>0</v>
      </c>
      <c r="J370" s="357">
        <v>9580.17</v>
      </c>
      <c r="K370" s="355">
        <v>9580.17</v>
      </c>
      <c r="L370" s="355">
        <v>55200</v>
      </c>
    </row>
    <row r="371" spans="1:12" x14ac:dyDescent="0.25">
      <c r="A371" s="223" t="s">
        <v>2146</v>
      </c>
      <c r="B371" s="223" t="s">
        <v>999</v>
      </c>
      <c r="C371" s="223" t="s">
        <v>1000</v>
      </c>
      <c r="D371" s="223" t="s">
        <v>989</v>
      </c>
      <c r="E371" s="223" t="s">
        <v>998</v>
      </c>
      <c r="F371" s="223" t="s">
        <v>991</v>
      </c>
      <c r="G371" s="223" t="s">
        <v>2163</v>
      </c>
      <c r="H371" s="355">
        <v>19834.71</v>
      </c>
      <c r="I371" s="355">
        <v>0</v>
      </c>
      <c r="J371" s="357">
        <v>4165.29</v>
      </c>
      <c r="K371" s="355">
        <v>4165.29</v>
      </c>
      <c r="L371" s="355">
        <v>24000</v>
      </c>
    </row>
    <row r="372" spans="1:12" x14ac:dyDescent="0.25">
      <c r="A372" s="223" t="s">
        <v>2146</v>
      </c>
      <c r="B372" s="223" t="s">
        <v>999</v>
      </c>
      <c r="C372" s="223" t="s">
        <v>1000</v>
      </c>
      <c r="D372" s="223" t="s">
        <v>989</v>
      </c>
      <c r="E372" s="223" t="s">
        <v>998</v>
      </c>
      <c r="F372" s="223" t="s">
        <v>991</v>
      </c>
      <c r="G372" s="223" t="s">
        <v>2167</v>
      </c>
      <c r="H372" s="355">
        <v>29752.07</v>
      </c>
      <c r="I372" s="355">
        <v>0</v>
      </c>
      <c r="J372" s="357">
        <v>6247.93</v>
      </c>
      <c r="K372" s="355">
        <v>6247.93</v>
      </c>
      <c r="L372" s="355">
        <v>36000</v>
      </c>
    </row>
    <row r="373" spans="1:12" x14ac:dyDescent="0.25">
      <c r="A373" s="223" t="s">
        <v>2146</v>
      </c>
      <c r="B373" s="223" t="s">
        <v>999</v>
      </c>
      <c r="C373" s="223" t="s">
        <v>1000</v>
      </c>
      <c r="D373" s="223" t="s">
        <v>989</v>
      </c>
      <c r="E373" s="223" t="s">
        <v>998</v>
      </c>
      <c r="F373" s="223" t="s">
        <v>991</v>
      </c>
      <c r="G373" s="223" t="s">
        <v>2169</v>
      </c>
      <c r="H373" s="355">
        <v>29752.07</v>
      </c>
      <c r="I373" s="355">
        <v>0</v>
      </c>
      <c r="J373" s="357">
        <v>6247.93</v>
      </c>
      <c r="K373" s="355">
        <v>6247.93</v>
      </c>
      <c r="L373" s="355">
        <v>36000</v>
      </c>
    </row>
    <row r="374" spans="1:12" x14ac:dyDescent="0.25">
      <c r="A374" s="223" t="s">
        <v>2146</v>
      </c>
      <c r="B374" s="223" t="s">
        <v>999</v>
      </c>
      <c r="C374" s="223" t="s">
        <v>1000</v>
      </c>
      <c r="D374" s="223" t="s">
        <v>989</v>
      </c>
      <c r="E374" s="223" t="s">
        <v>998</v>
      </c>
      <c r="F374" s="223" t="s">
        <v>991</v>
      </c>
      <c r="G374" s="223" t="s">
        <v>2171</v>
      </c>
      <c r="H374" s="355">
        <v>14462.81</v>
      </c>
      <c r="I374" s="355">
        <v>0</v>
      </c>
      <c r="J374" s="357">
        <v>3037.19</v>
      </c>
      <c r="K374" s="355">
        <v>3037.19</v>
      </c>
      <c r="L374" s="355">
        <v>17500</v>
      </c>
    </row>
    <row r="375" spans="1:12" x14ac:dyDescent="0.25">
      <c r="A375" s="223" t="s">
        <v>2146</v>
      </c>
      <c r="B375" s="223" t="s">
        <v>999</v>
      </c>
      <c r="C375" s="223" t="s">
        <v>1000</v>
      </c>
      <c r="D375" s="223" t="s">
        <v>989</v>
      </c>
      <c r="E375" s="223" t="s">
        <v>998</v>
      </c>
      <c r="F375" s="223" t="s">
        <v>991</v>
      </c>
      <c r="G375" s="223" t="s">
        <v>2172</v>
      </c>
      <c r="H375" s="355">
        <v>99586.78</v>
      </c>
      <c r="I375" s="355">
        <v>0</v>
      </c>
      <c r="J375" s="357">
        <v>20913.22</v>
      </c>
      <c r="K375" s="355">
        <v>20913.22</v>
      </c>
      <c r="L375" s="355">
        <v>120500</v>
      </c>
    </row>
    <row r="376" spans="1:12" x14ac:dyDescent="0.25">
      <c r="A376" s="223" t="s">
        <v>2146</v>
      </c>
      <c r="B376" s="223" t="s">
        <v>999</v>
      </c>
      <c r="C376" s="223" t="s">
        <v>1000</v>
      </c>
      <c r="D376" s="223" t="s">
        <v>989</v>
      </c>
      <c r="E376" s="223" t="s">
        <v>998</v>
      </c>
      <c r="F376" s="223" t="s">
        <v>991</v>
      </c>
      <c r="G376" s="223" t="s">
        <v>2148</v>
      </c>
      <c r="H376" s="355">
        <v>18595.04</v>
      </c>
      <c r="I376" s="355">
        <v>0</v>
      </c>
      <c r="J376" s="357">
        <v>3904.96</v>
      </c>
      <c r="K376" s="355">
        <v>3904.96</v>
      </c>
      <c r="L376" s="355">
        <v>22500</v>
      </c>
    </row>
    <row r="377" spans="1:12" x14ac:dyDescent="0.25">
      <c r="A377" s="223" t="s">
        <v>2173</v>
      </c>
      <c r="B377" s="223" t="s">
        <v>999</v>
      </c>
      <c r="C377" s="223" t="s">
        <v>1000</v>
      </c>
      <c r="D377" s="223" t="s">
        <v>989</v>
      </c>
      <c r="E377" s="223" t="s">
        <v>998</v>
      </c>
      <c r="F377" s="223" t="s">
        <v>991</v>
      </c>
      <c r="G377" s="223" t="s">
        <v>2175</v>
      </c>
      <c r="H377" s="355">
        <v>18595.04</v>
      </c>
      <c r="I377" s="355">
        <v>0</v>
      </c>
      <c r="J377" s="357">
        <v>3904.96</v>
      </c>
      <c r="K377" s="355">
        <v>3904.96</v>
      </c>
      <c r="L377" s="355">
        <v>22500</v>
      </c>
    </row>
    <row r="378" spans="1:12" x14ac:dyDescent="0.25">
      <c r="A378" s="223" t="s">
        <v>2173</v>
      </c>
      <c r="B378" s="223" t="s">
        <v>999</v>
      </c>
      <c r="C378" s="223" t="s">
        <v>1000</v>
      </c>
      <c r="D378" s="223" t="s">
        <v>989</v>
      </c>
      <c r="E378" s="223" t="s">
        <v>998</v>
      </c>
      <c r="F378" s="223" t="s">
        <v>991</v>
      </c>
      <c r="G378" s="223" t="s">
        <v>2176</v>
      </c>
      <c r="H378" s="355">
        <v>11652.89</v>
      </c>
      <c r="I378" s="355">
        <v>0</v>
      </c>
      <c r="J378" s="357">
        <v>2447.11</v>
      </c>
      <c r="K378" s="355">
        <v>2447.11</v>
      </c>
      <c r="L378" s="355">
        <v>14100</v>
      </c>
    </row>
    <row r="379" spans="1:12" x14ac:dyDescent="0.25">
      <c r="A379" s="223" t="s">
        <v>2173</v>
      </c>
      <c r="B379" s="223" t="s">
        <v>999</v>
      </c>
      <c r="C379" s="223" t="s">
        <v>1000</v>
      </c>
      <c r="D379" s="223" t="s">
        <v>989</v>
      </c>
      <c r="E379" s="223" t="s">
        <v>998</v>
      </c>
      <c r="F379" s="223" t="s">
        <v>991</v>
      </c>
      <c r="G379" s="223" t="s">
        <v>2177</v>
      </c>
      <c r="H379" s="355">
        <v>9256.2000000000007</v>
      </c>
      <c r="I379" s="355">
        <v>0</v>
      </c>
      <c r="J379" s="357">
        <v>1943.8</v>
      </c>
      <c r="K379" s="355">
        <v>1943.8</v>
      </c>
      <c r="L379" s="355">
        <v>11200</v>
      </c>
    </row>
    <row r="380" spans="1:12" x14ac:dyDescent="0.25">
      <c r="A380" s="223" t="s">
        <v>2173</v>
      </c>
      <c r="B380" s="223" t="s">
        <v>999</v>
      </c>
      <c r="C380" s="223" t="s">
        <v>1000</v>
      </c>
      <c r="D380" s="223" t="s">
        <v>989</v>
      </c>
      <c r="E380" s="223" t="s">
        <v>998</v>
      </c>
      <c r="F380" s="223" t="s">
        <v>991</v>
      </c>
      <c r="G380" s="223" t="s">
        <v>2178</v>
      </c>
      <c r="H380" s="355">
        <v>29752.07</v>
      </c>
      <c r="I380" s="355">
        <v>0</v>
      </c>
      <c r="J380" s="357">
        <v>6247.93</v>
      </c>
      <c r="K380" s="355">
        <v>6247.93</v>
      </c>
      <c r="L380" s="355">
        <v>36000</v>
      </c>
    </row>
    <row r="381" spans="1:12" x14ac:dyDescent="0.25">
      <c r="A381" s="223" t="s">
        <v>2173</v>
      </c>
      <c r="B381" s="223" t="s">
        <v>999</v>
      </c>
      <c r="C381" s="223" t="s">
        <v>1000</v>
      </c>
      <c r="D381" s="223" t="s">
        <v>989</v>
      </c>
      <c r="E381" s="223" t="s">
        <v>998</v>
      </c>
      <c r="F381" s="223" t="s">
        <v>991</v>
      </c>
      <c r="G381" s="223" t="s">
        <v>2179</v>
      </c>
      <c r="H381" s="355">
        <v>14049.59</v>
      </c>
      <c r="I381" s="355">
        <v>0</v>
      </c>
      <c r="J381" s="357">
        <v>2950.41</v>
      </c>
      <c r="K381" s="355">
        <v>2950.41</v>
      </c>
      <c r="L381" s="355">
        <v>17000</v>
      </c>
    </row>
    <row r="382" spans="1:12" x14ac:dyDescent="0.25">
      <c r="A382" s="223" t="s">
        <v>2173</v>
      </c>
      <c r="B382" s="223" t="s">
        <v>999</v>
      </c>
      <c r="C382" s="223" t="s">
        <v>1000</v>
      </c>
      <c r="D382" s="223" t="s">
        <v>989</v>
      </c>
      <c r="E382" s="223" t="s">
        <v>998</v>
      </c>
      <c r="F382" s="223" t="s">
        <v>991</v>
      </c>
      <c r="G382" s="223" t="s">
        <v>2180</v>
      </c>
      <c r="H382" s="355">
        <v>28925.62</v>
      </c>
      <c r="I382" s="355">
        <v>0</v>
      </c>
      <c r="J382" s="357">
        <v>6074.38</v>
      </c>
      <c r="K382" s="355">
        <v>6074.38</v>
      </c>
      <c r="L382" s="355">
        <v>35000</v>
      </c>
    </row>
    <row r="383" spans="1:12" x14ac:dyDescent="0.25">
      <c r="A383" s="223" t="s">
        <v>2173</v>
      </c>
      <c r="B383" s="223" t="s">
        <v>999</v>
      </c>
      <c r="C383" s="223" t="s">
        <v>1000</v>
      </c>
      <c r="D383" s="223" t="s">
        <v>989</v>
      </c>
      <c r="E383" s="223" t="s">
        <v>998</v>
      </c>
      <c r="F383" s="223" t="s">
        <v>991</v>
      </c>
      <c r="G383" s="223" t="s">
        <v>2181</v>
      </c>
      <c r="H383" s="355">
        <v>4876.03</v>
      </c>
      <c r="I383" s="355">
        <v>0</v>
      </c>
      <c r="J383" s="357">
        <v>1023.97</v>
      </c>
      <c r="K383" s="355">
        <v>1023.97</v>
      </c>
      <c r="L383" s="355">
        <v>5900</v>
      </c>
    </row>
    <row r="384" spans="1:12" x14ac:dyDescent="0.25">
      <c r="A384" s="223" t="s">
        <v>2173</v>
      </c>
      <c r="B384" s="223" t="s">
        <v>999</v>
      </c>
      <c r="C384" s="223" t="s">
        <v>1000</v>
      </c>
      <c r="D384" s="223" t="s">
        <v>989</v>
      </c>
      <c r="E384" s="223" t="s">
        <v>998</v>
      </c>
      <c r="F384" s="223" t="s">
        <v>991</v>
      </c>
      <c r="G384" s="223" t="s">
        <v>2182</v>
      </c>
      <c r="H384" s="355">
        <v>40909.089999999997</v>
      </c>
      <c r="I384" s="355">
        <v>0</v>
      </c>
      <c r="J384" s="357">
        <v>8590.91</v>
      </c>
      <c r="K384" s="355">
        <v>8590.91</v>
      </c>
      <c r="L384" s="355">
        <v>49500</v>
      </c>
    </row>
    <row r="385" spans="1:12" x14ac:dyDescent="0.25">
      <c r="A385" s="223" t="s">
        <v>2173</v>
      </c>
      <c r="B385" s="223" t="s">
        <v>999</v>
      </c>
      <c r="C385" s="223" t="s">
        <v>1000</v>
      </c>
      <c r="D385" s="223" t="s">
        <v>989</v>
      </c>
      <c r="E385" s="223" t="s">
        <v>998</v>
      </c>
      <c r="F385" s="223" t="s">
        <v>991</v>
      </c>
      <c r="G385" s="223" t="s">
        <v>2183</v>
      </c>
      <c r="H385" s="355">
        <v>14876.03</v>
      </c>
      <c r="I385" s="355">
        <v>0</v>
      </c>
      <c r="J385" s="357">
        <v>3123.97</v>
      </c>
      <c r="K385" s="355">
        <v>3123.97</v>
      </c>
      <c r="L385" s="355">
        <v>18000</v>
      </c>
    </row>
    <row r="386" spans="1:12" x14ac:dyDescent="0.25">
      <c r="A386" s="223" t="s">
        <v>2173</v>
      </c>
      <c r="B386" s="223" t="s">
        <v>999</v>
      </c>
      <c r="C386" s="223" t="s">
        <v>1000</v>
      </c>
      <c r="D386" s="223" t="s">
        <v>989</v>
      </c>
      <c r="E386" s="223" t="s">
        <v>998</v>
      </c>
      <c r="F386" s="223" t="s">
        <v>991</v>
      </c>
      <c r="G386" s="223" t="s">
        <v>2184</v>
      </c>
      <c r="H386" s="355">
        <v>13553.72</v>
      </c>
      <c r="I386" s="355">
        <v>0</v>
      </c>
      <c r="J386" s="357">
        <v>2846.28</v>
      </c>
      <c r="K386" s="355">
        <v>2846.28</v>
      </c>
      <c r="L386" s="355">
        <v>16400</v>
      </c>
    </row>
    <row r="387" spans="1:12" x14ac:dyDescent="0.25">
      <c r="A387" s="223" t="s">
        <v>2173</v>
      </c>
      <c r="B387" s="223" t="s">
        <v>999</v>
      </c>
      <c r="C387" s="223" t="s">
        <v>1000</v>
      </c>
      <c r="D387" s="223" t="s">
        <v>989</v>
      </c>
      <c r="E387" s="223" t="s">
        <v>998</v>
      </c>
      <c r="F387" s="223" t="s">
        <v>991</v>
      </c>
      <c r="G387" s="223" t="s">
        <v>2174</v>
      </c>
      <c r="H387" s="355">
        <v>20661.16</v>
      </c>
      <c r="I387" s="355">
        <v>0</v>
      </c>
      <c r="J387" s="357">
        <v>4338.84</v>
      </c>
      <c r="K387" s="355">
        <v>4338.84</v>
      </c>
      <c r="L387" s="355">
        <v>25000</v>
      </c>
    </row>
    <row r="388" spans="1:12" x14ac:dyDescent="0.25">
      <c r="A388" s="223" t="s">
        <v>1516</v>
      </c>
      <c r="B388" s="223" t="s">
        <v>1523</v>
      </c>
      <c r="C388" s="223" t="s">
        <v>1524</v>
      </c>
      <c r="D388" s="223" t="s">
        <v>988</v>
      </c>
      <c r="E388" s="223" t="s">
        <v>1525</v>
      </c>
      <c r="F388" s="223" t="s">
        <v>991</v>
      </c>
      <c r="G388" s="223" t="s">
        <v>1526</v>
      </c>
      <c r="H388" s="355">
        <v>33057.85</v>
      </c>
      <c r="I388" s="355">
        <v>0</v>
      </c>
      <c r="J388" s="357">
        <v>6942.15</v>
      </c>
      <c r="K388" s="355">
        <v>6942.15</v>
      </c>
      <c r="L388" s="355">
        <v>40000</v>
      </c>
    </row>
    <row r="389" spans="1:12" x14ac:dyDescent="0.25">
      <c r="A389" s="223" t="s">
        <v>1516</v>
      </c>
      <c r="B389" s="223" t="s">
        <v>1527</v>
      </c>
      <c r="C389" s="223" t="s">
        <v>1528</v>
      </c>
      <c r="D389" s="223" t="s">
        <v>988</v>
      </c>
      <c r="E389" s="223" t="s">
        <v>1529</v>
      </c>
      <c r="F389" s="223" t="s">
        <v>991</v>
      </c>
      <c r="G389" s="223" t="s">
        <v>1530</v>
      </c>
      <c r="H389" s="355">
        <v>28925.62</v>
      </c>
      <c r="I389" s="355">
        <v>0</v>
      </c>
      <c r="J389" s="357">
        <v>6074.38</v>
      </c>
      <c r="K389" s="355">
        <v>6074.38</v>
      </c>
      <c r="L389" s="355">
        <v>35000</v>
      </c>
    </row>
    <row r="390" spans="1:12" x14ac:dyDescent="0.25">
      <c r="A390" s="223" t="s">
        <v>1516</v>
      </c>
      <c r="B390" s="223" t="s">
        <v>1535</v>
      </c>
      <c r="C390" s="223" t="s">
        <v>1536</v>
      </c>
      <c r="D390" s="223" t="s">
        <v>989</v>
      </c>
      <c r="E390" s="223" t="s">
        <v>998</v>
      </c>
      <c r="F390" s="223" t="s">
        <v>991</v>
      </c>
      <c r="G390" s="223" t="s">
        <v>1537</v>
      </c>
      <c r="H390" s="355">
        <v>32231.4</v>
      </c>
      <c r="I390" s="355">
        <v>0</v>
      </c>
      <c r="J390" s="357">
        <v>6768.6</v>
      </c>
      <c r="K390" s="355">
        <v>6768.6</v>
      </c>
      <c r="L390" s="355">
        <v>39000</v>
      </c>
    </row>
    <row r="391" spans="1:12" x14ac:dyDescent="0.25">
      <c r="A391" s="223" t="s">
        <v>1516</v>
      </c>
      <c r="B391" s="223" t="s">
        <v>1538</v>
      </c>
      <c r="C391" s="223" t="s">
        <v>1539</v>
      </c>
      <c r="D391" s="223" t="s">
        <v>988</v>
      </c>
      <c r="E391" s="223" t="s">
        <v>998</v>
      </c>
      <c r="F391" s="223" t="s">
        <v>991</v>
      </c>
      <c r="G391" s="223" t="s">
        <v>1540</v>
      </c>
      <c r="H391" s="355">
        <v>86776.86</v>
      </c>
      <c r="I391" s="355">
        <v>0</v>
      </c>
      <c r="J391" s="357">
        <v>18223.14</v>
      </c>
      <c r="K391" s="355">
        <v>18223.14</v>
      </c>
      <c r="L391" s="355">
        <v>105000</v>
      </c>
    </row>
    <row r="392" spans="1:12" x14ac:dyDescent="0.25">
      <c r="A392" s="223" t="s">
        <v>1516</v>
      </c>
      <c r="B392" s="223" t="s">
        <v>1541</v>
      </c>
      <c r="C392" s="223" t="s">
        <v>1542</v>
      </c>
      <c r="D392" s="223" t="s">
        <v>989</v>
      </c>
      <c r="E392" s="223" t="s">
        <v>998</v>
      </c>
      <c r="F392" s="223" t="s">
        <v>991</v>
      </c>
      <c r="G392" s="223" t="s">
        <v>1543</v>
      </c>
      <c r="H392" s="355">
        <v>24793.39</v>
      </c>
      <c r="I392" s="355">
        <v>0</v>
      </c>
      <c r="J392" s="357">
        <v>5206.6099999999997</v>
      </c>
      <c r="K392" s="355">
        <v>5206.6099999999997</v>
      </c>
      <c r="L392" s="355">
        <v>30000</v>
      </c>
    </row>
    <row r="393" spans="1:12" x14ac:dyDescent="0.25">
      <c r="A393" s="223" t="s">
        <v>1516</v>
      </c>
      <c r="B393" s="223" t="s">
        <v>1544</v>
      </c>
      <c r="C393" s="223" t="s">
        <v>1545</v>
      </c>
      <c r="D393" s="223" t="s">
        <v>989</v>
      </c>
      <c r="E393" s="223" t="s">
        <v>998</v>
      </c>
      <c r="F393" s="223" t="s">
        <v>991</v>
      </c>
      <c r="G393" s="223" t="s">
        <v>1546</v>
      </c>
      <c r="H393" s="355">
        <v>24793.39</v>
      </c>
      <c r="I393" s="355">
        <v>0</v>
      </c>
      <c r="J393" s="357">
        <v>5206.6099999999997</v>
      </c>
      <c r="K393" s="355">
        <v>5206.6099999999997</v>
      </c>
      <c r="L393" s="355">
        <v>30000</v>
      </c>
    </row>
    <row r="394" spans="1:12" x14ac:dyDescent="0.25">
      <c r="A394" s="223" t="s">
        <v>1516</v>
      </c>
      <c r="B394" s="223" t="s">
        <v>1547</v>
      </c>
      <c r="C394" s="223" t="s">
        <v>1548</v>
      </c>
      <c r="D394" s="223" t="s">
        <v>989</v>
      </c>
      <c r="E394" s="223" t="s">
        <v>998</v>
      </c>
      <c r="F394" s="223" t="s">
        <v>991</v>
      </c>
      <c r="G394" s="223" t="s">
        <v>1549</v>
      </c>
      <c r="H394" s="355">
        <v>22314.05</v>
      </c>
      <c r="I394" s="355">
        <v>0</v>
      </c>
      <c r="J394" s="357">
        <v>4685.95</v>
      </c>
      <c r="K394" s="355">
        <v>4685.95</v>
      </c>
      <c r="L394" s="355">
        <v>27000</v>
      </c>
    </row>
    <row r="395" spans="1:12" x14ac:dyDescent="0.25">
      <c r="A395" s="223" t="s">
        <v>1516</v>
      </c>
      <c r="B395" s="223" t="s">
        <v>1554</v>
      </c>
      <c r="C395" s="223" t="s">
        <v>1555</v>
      </c>
      <c r="D395" s="223" t="s">
        <v>989</v>
      </c>
      <c r="E395" s="223" t="s">
        <v>998</v>
      </c>
      <c r="F395" s="223" t="s">
        <v>991</v>
      </c>
      <c r="G395" s="223" t="s">
        <v>1556</v>
      </c>
      <c r="H395" s="355">
        <v>32231.4</v>
      </c>
      <c r="I395" s="355">
        <v>0</v>
      </c>
      <c r="J395" s="357">
        <v>6768.6</v>
      </c>
      <c r="K395" s="355">
        <v>6768.6</v>
      </c>
      <c r="L395" s="355">
        <v>39000</v>
      </c>
    </row>
    <row r="396" spans="1:12" x14ac:dyDescent="0.25">
      <c r="A396" s="223" t="s">
        <v>1516</v>
      </c>
      <c r="B396" s="223" t="s">
        <v>1557</v>
      </c>
      <c r="C396" s="223" t="s">
        <v>1558</v>
      </c>
      <c r="D396" s="223" t="s">
        <v>989</v>
      </c>
      <c r="E396" s="223" t="s">
        <v>998</v>
      </c>
      <c r="F396" s="223" t="s">
        <v>991</v>
      </c>
      <c r="G396" s="223" t="s">
        <v>1559</v>
      </c>
      <c r="H396" s="355">
        <v>17355.37</v>
      </c>
      <c r="I396" s="355">
        <v>0</v>
      </c>
      <c r="J396" s="357">
        <v>3644.63</v>
      </c>
      <c r="K396" s="355">
        <v>3644.63</v>
      </c>
      <c r="L396" s="355">
        <v>21000</v>
      </c>
    </row>
    <row r="397" spans="1:12" x14ac:dyDescent="0.25">
      <c r="A397" s="223" t="s">
        <v>1516</v>
      </c>
      <c r="B397" s="223" t="s">
        <v>1561</v>
      </c>
      <c r="C397" s="223" t="s">
        <v>1562</v>
      </c>
      <c r="D397" s="223" t="s">
        <v>989</v>
      </c>
      <c r="E397" s="223" t="s">
        <v>998</v>
      </c>
      <c r="F397" s="223" t="s">
        <v>991</v>
      </c>
      <c r="G397" s="223" t="s">
        <v>1563</v>
      </c>
      <c r="H397" s="355">
        <v>24793.39</v>
      </c>
      <c r="I397" s="355">
        <v>0</v>
      </c>
      <c r="J397" s="357">
        <v>5206.6099999999997</v>
      </c>
      <c r="K397" s="355">
        <v>5206.6099999999997</v>
      </c>
      <c r="L397" s="355">
        <v>30000</v>
      </c>
    </row>
    <row r="398" spans="1:12" x14ac:dyDescent="0.25">
      <c r="A398" s="223" t="s">
        <v>1516</v>
      </c>
      <c r="B398" s="223" t="s">
        <v>1564</v>
      </c>
      <c r="C398" s="223"/>
      <c r="D398" s="223" t="s">
        <v>989</v>
      </c>
      <c r="E398" s="223" t="s">
        <v>998</v>
      </c>
      <c r="F398" s="223" t="s">
        <v>991</v>
      </c>
      <c r="G398" s="223" t="s">
        <v>1565</v>
      </c>
      <c r="H398" s="355">
        <v>22314.05</v>
      </c>
      <c r="I398" s="355">
        <v>0</v>
      </c>
      <c r="J398" s="357">
        <v>4685.95</v>
      </c>
      <c r="K398" s="355">
        <v>4685.95</v>
      </c>
      <c r="L398" s="355">
        <v>27000</v>
      </c>
    </row>
    <row r="399" spans="1:12" x14ac:dyDescent="0.25">
      <c r="A399" s="223" t="s">
        <v>1516</v>
      </c>
      <c r="B399" s="223" t="s">
        <v>1566</v>
      </c>
      <c r="C399" s="223" t="s">
        <v>1567</v>
      </c>
      <c r="D399" s="223" t="s">
        <v>989</v>
      </c>
      <c r="E399" s="223" t="s">
        <v>998</v>
      </c>
      <c r="F399" s="223" t="s">
        <v>991</v>
      </c>
      <c r="G399" s="223" t="s">
        <v>1568</v>
      </c>
      <c r="H399" s="355">
        <v>17355.37</v>
      </c>
      <c r="I399" s="355">
        <v>0</v>
      </c>
      <c r="J399" s="357">
        <v>3644.63</v>
      </c>
      <c r="K399" s="355">
        <v>3644.63</v>
      </c>
      <c r="L399" s="355">
        <v>21000</v>
      </c>
    </row>
    <row r="400" spans="1:12" x14ac:dyDescent="0.25">
      <c r="A400" s="223" t="s">
        <v>1516</v>
      </c>
      <c r="B400" s="223" t="s">
        <v>1569</v>
      </c>
      <c r="C400" s="223"/>
      <c r="D400" s="223" t="s">
        <v>988</v>
      </c>
      <c r="E400" s="223" t="s">
        <v>998</v>
      </c>
      <c r="F400" s="223" t="s">
        <v>991</v>
      </c>
      <c r="G400" s="223" t="s">
        <v>1570</v>
      </c>
      <c r="H400" s="355">
        <v>21487.599999999999</v>
      </c>
      <c r="I400" s="355">
        <v>0</v>
      </c>
      <c r="J400" s="357">
        <v>4512.3999999999996</v>
      </c>
      <c r="K400" s="355">
        <v>4512.3999999999996</v>
      </c>
      <c r="L400" s="355">
        <v>26000</v>
      </c>
    </row>
    <row r="401" spans="1:12" x14ac:dyDescent="0.25">
      <c r="A401" s="223" t="s">
        <v>1516</v>
      </c>
      <c r="B401" s="223" t="s">
        <v>1571</v>
      </c>
      <c r="C401" s="223" t="s">
        <v>1572</v>
      </c>
      <c r="D401" s="223" t="s">
        <v>988</v>
      </c>
      <c r="E401" s="223" t="s">
        <v>998</v>
      </c>
      <c r="F401" s="223" t="s">
        <v>991</v>
      </c>
      <c r="G401" s="223" t="s">
        <v>1573</v>
      </c>
      <c r="H401" s="355">
        <v>28099.17</v>
      </c>
      <c r="I401" s="355">
        <v>0</v>
      </c>
      <c r="J401" s="357">
        <v>5900.83</v>
      </c>
      <c r="K401" s="355">
        <v>5900.83</v>
      </c>
      <c r="L401" s="355">
        <v>34000</v>
      </c>
    </row>
    <row r="402" spans="1:12" x14ac:dyDescent="0.25">
      <c r="A402" s="223" t="s">
        <v>1516</v>
      </c>
      <c r="B402" s="223" t="s">
        <v>1574</v>
      </c>
      <c r="C402" s="223" t="s">
        <v>1575</v>
      </c>
      <c r="D402" s="223" t="s">
        <v>988</v>
      </c>
      <c r="E402" s="223" t="s">
        <v>998</v>
      </c>
      <c r="F402" s="223" t="s">
        <v>991</v>
      </c>
      <c r="G402" s="223" t="s">
        <v>1576</v>
      </c>
      <c r="H402" s="355">
        <v>24793.39</v>
      </c>
      <c r="I402" s="355">
        <v>0</v>
      </c>
      <c r="J402" s="357">
        <v>5206.6099999999997</v>
      </c>
      <c r="K402" s="355">
        <v>5206.6099999999997</v>
      </c>
      <c r="L402" s="355">
        <v>30000</v>
      </c>
    </row>
    <row r="403" spans="1:12" x14ac:dyDescent="0.25">
      <c r="A403" s="223" t="s">
        <v>1516</v>
      </c>
      <c r="B403" s="223" t="s">
        <v>1574</v>
      </c>
      <c r="C403" s="223" t="s">
        <v>1575</v>
      </c>
      <c r="D403" s="223" t="s">
        <v>988</v>
      </c>
      <c r="E403" s="223" t="s">
        <v>998</v>
      </c>
      <c r="F403" s="223" t="s">
        <v>991</v>
      </c>
      <c r="G403" s="223" t="s">
        <v>1578</v>
      </c>
      <c r="H403" s="355">
        <v>24793.39</v>
      </c>
      <c r="I403" s="355">
        <v>0</v>
      </c>
      <c r="J403" s="357">
        <v>5206.6099999999997</v>
      </c>
      <c r="K403" s="355">
        <v>5206.6099999999997</v>
      </c>
      <c r="L403" s="355">
        <v>30000</v>
      </c>
    </row>
    <row r="404" spans="1:12" x14ac:dyDescent="0.25">
      <c r="A404" s="223" t="s">
        <v>1516</v>
      </c>
      <c r="B404" s="223" t="s">
        <v>1579</v>
      </c>
      <c r="C404" s="223" t="s">
        <v>1580</v>
      </c>
      <c r="D404" s="223" t="s">
        <v>988</v>
      </c>
      <c r="E404" s="223" t="s">
        <v>1581</v>
      </c>
      <c r="F404" s="223" t="s">
        <v>991</v>
      </c>
      <c r="G404" s="223" t="s">
        <v>1582</v>
      </c>
      <c r="H404" s="355">
        <v>28099.17</v>
      </c>
      <c r="I404" s="355">
        <v>0</v>
      </c>
      <c r="J404" s="357">
        <v>5900.83</v>
      </c>
      <c r="K404" s="355">
        <v>5900.83</v>
      </c>
      <c r="L404" s="355">
        <v>34000</v>
      </c>
    </row>
    <row r="405" spans="1:12" x14ac:dyDescent="0.25">
      <c r="A405" s="223" t="s">
        <v>1516</v>
      </c>
      <c r="B405" s="223" t="s">
        <v>1584</v>
      </c>
      <c r="C405" s="223" t="s">
        <v>1585</v>
      </c>
      <c r="D405" s="223" t="s">
        <v>988</v>
      </c>
      <c r="E405" s="223" t="s">
        <v>998</v>
      </c>
      <c r="F405" s="223" t="s">
        <v>991</v>
      </c>
      <c r="G405" s="223" t="s">
        <v>1586</v>
      </c>
      <c r="H405" s="355">
        <v>132231.4</v>
      </c>
      <c r="I405" s="355">
        <v>0</v>
      </c>
      <c r="J405" s="357">
        <v>27768.6</v>
      </c>
      <c r="K405" s="355">
        <v>27768.6</v>
      </c>
      <c r="L405" s="355">
        <v>160000</v>
      </c>
    </row>
    <row r="406" spans="1:12" x14ac:dyDescent="0.25">
      <c r="A406" s="223" t="s">
        <v>1516</v>
      </c>
      <c r="B406" s="223" t="s">
        <v>1547</v>
      </c>
      <c r="C406" s="223" t="s">
        <v>1548</v>
      </c>
      <c r="D406" s="223" t="s">
        <v>989</v>
      </c>
      <c r="E406" s="223" t="s">
        <v>998</v>
      </c>
      <c r="F406" s="223" t="s">
        <v>991</v>
      </c>
      <c r="G406" s="223" t="s">
        <v>1589</v>
      </c>
      <c r="H406" s="355">
        <v>22314.05</v>
      </c>
      <c r="I406" s="355">
        <v>0</v>
      </c>
      <c r="J406" s="357">
        <v>4685.95</v>
      </c>
      <c r="K406" s="355">
        <v>4685.95</v>
      </c>
      <c r="L406" s="355">
        <v>27000</v>
      </c>
    </row>
    <row r="407" spans="1:12" x14ac:dyDescent="0.25">
      <c r="A407" s="223" t="s">
        <v>1516</v>
      </c>
      <c r="B407" s="223" t="s">
        <v>1590</v>
      </c>
      <c r="C407" s="223" t="s">
        <v>1591</v>
      </c>
      <c r="D407" s="223" t="s">
        <v>988</v>
      </c>
      <c r="E407" s="223" t="s">
        <v>1592</v>
      </c>
      <c r="F407" s="223" t="s">
        <v>991</v>
      </c>
      <c r="G407" s="223" t="s">
        <v>1593</v>
      </c>
      <c r="H407" s="355">
        <v>181818.18</v>
      </c>
      <c r="I407" s="355">
        <v>0</v>
      </c>
      <c r="J407" s="357">
        <v>38181.82</v>
      </c>
      <c r="K407" s="355">
        <v>38181.82</v>
      </c>
      <c r="L407" s="355">
        <v>220000</v>
      </c>
    </row>
    <row r="408" spans="1:12" x14ac:dyDescent="0.25">
      <c r="A408" s="223" t="s">
        <v>1516</v>
      </c>
      <c r="B408" s="223" t="s">
        <v>1127</v>
      </c>
      <c r="C408" s="223" t="s">
        <v>1128</v>
      </c>
      <c r="D408" s="223" t="s">
        <v>988</v>
      </c>
      <c r="E408" s="223" t="s">
        <v>998</v>
      </c>
      <c r="F408" s="223" t="s">
        <v>991</v>
      </c>
      <c r="G408" s="223" t="s">
        <v>1594</v>
      </c>
      <c r="H408" s="355">
        <v>35537.19</v>
      </c>
      <c r="I408" s="355">
        <v>0</v>
      </c>
      <c r="J408" s="357">
        <v>7462.81</v>
      </c>
      <c r="K408" s="355">
        <v>7462.81</v>
      </c>
      <c r="L408" s="355">
        <v>43000</v>
      </c>
    </row>
    <row r="409" spans="1:12" x14ac:dyDescent="0.25">
      <c r="A409" s="223" t="s">
        <v>1516</v>
      </c>
      <c r="B409" s="223" t="s">
        <v>1272</v>
      </c>
      <c r="C409" s="223" t="s">
        <v>1273</v>
      </c>
      <c r="D409" s="223" t="s">
        <v>988</v>
      </c>
      <c r="E409" s="223" t="s">
        <v>998</v>
      </c>
      <c r="F409" s="223" t="s">
        <v>991</v>
      </c>
      <c r="G409" s="223" t="s">
        <v>1596</v>
      </c>
      <c r="H409" s="355">
        <v>18512.400000000001</v>
      </c>
      <c r="I409" s="355">
        <v>0</v>
      </c>
      <c r="J409" s="357">
        <v>3887.6</v>
      </c>
      <c r="K409" s="355">
        <v>3887.6</v>
      </c>
      <c r="L409" s="355">
        <v>22400</v>
      </c>
    </row>
    <row r="410" spans="1:12" x14ac:dyDescent="0.25">
      <c r="A410" s="223" t="s">
        <v>1619</v>
      </c>
      <c r="B410" s="223" t="s">
        <v>1623</v>
      </c>
      <c r="C410" s="223" t="s">
        <v>1624</v>
      </c>
      <c r="D410" s="223" t="s">
        <v>1625</v>
      </c>
      <c r="E410" s="223" t="s">
        <v>998</v>
      </c>
      <c r="F410" s="223" t="s">
        <v>991</v>
      </c>
      <c r="G410" s="223" t="s">
        <v>1626</v>
      </c>
      <c r="H410" s="355">
        <v>289256.2</v>
      </c>
      <c r="I410" s="355">
        <v>0</v>
      </c>
      <c r="J410" s="357">
        <v>60743.8</v>
      </c>
      <c r="K410" s="355">
        <v>60743.8</v>
      </c>
      <c r="L410" s="355">
        <v>350000</v>
      </c>
    </row>
    <row r="411" spans="1:12" x14ac:dyDescent="0.25">
      <c r="A411" s="223" t="s">
        <v>1619</v>
      </c>
      <c r="B411" s="223" t="s">
        <v>81</v>
      </c>
      <c r="C411" s="223" t="s">
        <v>1010</v>
      </c>
      <c r="D411" s="223" t="s">
        <v>1011</v>
      </c>
      <c r="E411" s="223" t="s">
        <v>1012</v>
      </c>
      <c r="F411" s="223" t="s">
        <v>1008</v>
      </c>
      <c r="G411" s="223" t="s">
        <v>1628</v>
      </c>
      <c r="H411" s="355">
        <v>2033735.3</v>
      </c>
      <c r="I411" s="355">
        <v>0</v>
      </c>
      <c r="J411" s="357">
        <v>427084.41</v>
      </c>
      <c r="K411" s="355">
        <v>427084.41</v>
      </c>
      <c r="L411" s="355">
        <v>2460819.71</v>
      </c>
    </row>
    <row r="412" spans="1:12" x14ac:dyDescent="0.25">
      <c r="A412" s="223" t="s">
        <v>1647</v>
      </c>
      <c r="B412" s="223" t="s">
        <v>1649</v>
      </c>
      <c r="C412" s="223" t="s">
        <v>1650</v>
      </c>
      <c r="D412" s="223" t="s">
        <v>989</v>
      </c>
      <c r="E412" s="223" t="s">
        <v>998</v>
      </c>
      <c r="F412" s="223" t="s">
        <v>991</v>
      </c>
      <c r="G412" s="223" t="s">
        <v>1651</v>
      </c>
      <c r="H412" s="355">
        <v>18595.04</v>
      </c>
      <c r="I412" s="355">
        <v>0</v>
      </c>
      <c r="J412" s="357">
        <v>3904.96</v>
      </c>
      <c r="K412" s="355">
        <v>3904.96</v>
      </c>
      <c r="L412" s="355">
        <v>22500</v>
      </c>
    </row>
    <row r="413" spans="1:12" x14ac:dyDescent="0.25">
      <c r="A413" s="223" t="s">
        <v>1647</v>
      </c>
      <c r="B413" s="223" t="s">
        <v>1655</v>
      </c>
      <c r="C413" s="223" t="s">
        <v>1656</v>
      </c>
      <c r="D413" s="223" t="s">
        <v>989</v>
      </c>
      <c r="E413" s="223" t="s">
        <v>998</v>
      </c>
      <c r="F413" s="223" t="s">
        <v>991</v>
      </c>
      <c r="G413" s="223" t="s">
        <v>1657</v>
      </c>
      <c r="H413" s="355">
        <v>322314.05</v>
      </c>
      <c r="I413" s="355">
        <v>0</v>
      </c>
      <c r="J413" s="357">
        <v>67685.95</v>
      </c>
      <c r="K413" s="355">
        <v>67685.95</v>
      </c>
      <c r="L413" s="355">
        <v>390000</v>
      </c>
    </row>
    <row r="414" spans="1:12" x14ac:dyDescent="0.25">
      <c r="A414" s="223" t="s">
        <v>1647</v>
      </c>
      <c r="B414" s="223" t="s">
        <v>1667</v>
      </c>
      <c r="C414" s="223" t="s">
        <v>1668</v>
      </c>
      <c r="D414" s="223" t="s">
        <v>989</v>
      </c>
      <c r="E414" s="223" t="s">
        <v>998</v>
      </c>
      <c r="F414" s="223" t="s">
        <v>991</v>
      </c>
      <c r="G414" s="223" t="s">
        <v>1669</v>
      </c>
      <c r="H414" s="355">
        <v>24793.39</v>
      </c>
      <c r="I414" s="355">
        <v>0</v>
      </c>
      <c r="J414" s="357">
        <v>5206.6099999999997</v>
      </c>
      <c r="K414" s="355">
        <v>5206.6099999999997</v>
      </c>
      <c r="L414" s="355">
        <v>30000</v>
      </c>
    </row>
    <row r="415" spans="1:12" x14ac:dyDescent="0.25">
      <c r="A415" s="223" t="s">
        <v>1676</v>
      </c>
      <c r="B415" s="223" t="s">
        <v>1265</v>
      </c>
      <c r="C415" s="223" t="s">
        <v>1266</v>
      </c>
      <c r="D415" s="223" t="s">
        <v>989</v>
      </c>
      <c r="E415" s="223" t="s">
        <v>998</v>
      </c>
      <c r="F415" s="223" t="s">
        <v>1008</v>
      </c>
      <c r="G415" s="223" t="s">
        <v>1693</v>
      </c>
      <c r="H415" s="355">
        <v>7320673.5499999998</v>
      </c>
      <c r="I415" s="355">
        <v>0</v>
      </c>
      <c r="J415" s="357">
        <v>1537341.45</v>
      </c>
      <c r="K415" s="355">
        <v>1537341.45</v>
      </c>
      <c r="L415" s="355">
        <v>8858015</v>
      </c>
    </row>
    <row r="416" spans="1:12" x14ac:dyDescent="0.25">
      <c r="A416" s="223" t="s">
        <v>1698</v>
      </c>
      <c r="B416" s="223" t="s">
        <v>81</v>
      </c>
      <c r="C416" s="223" t="s">
        <v>1010</v>
      </c>
      <c r="D416" s="223" t="s">
        <v>1011</v>
      </c>
      <c r="E416" s="223" t="s">
        <v>1012</v>
      </c>
      <c r="F416" s="223" t="s">
        <v>1008</v>
      </c>
      <c r="G416" s="223" t="s">
        <v>1703</v>
      </c>
      <c r="H416" s="355">
        <v>578512.4</v>
      </c>
      <c r="I416" s="355">
        <v>0</v>
      </c>
      <c r="J416" s="357">
        <v>121487.6</v>
      </c>
      <c r="K416" s="355">
        <v>121487.6</v>
      </c>
      <c r="L416" s="355">
        <v>700000</v>
      </c>
    </row>
    <row r="417" spans="1:12" x14ac:dyDescent="0.25">
      <c r="A417" s="223" t="s">
        <v>1698</v>
      </c>
      <c r="B417" s="223" t="s">
        <v>1027</v>
      </c>
      <c r="C417" s="223" t="s">
        <v>1028</v>
      </c>
      <c r="D417" s="223" t="s">
        <v>989</v>
      </c>
      <c r="E417" s="223" t="s">
        <v>998</v>
      </c>
      <c r="F417" s="223" t="s">
        <v>1008</v>
      </c>
      <c r="G417" s="223" t="s">
        <v>1706</v>
      </c>
      <c r="H417" s="355">
        <v>260330.58</v>
      </c>
      <c r="I417" s="355">
        <v>0</v>
      </c>
      <c r="J417" s="357">
        <v>54669.42</v>
      </c>
      <c r="K417" s="355">
        <v>54669.42</v>
      </c>
      <c r="L417" s="355">
        <v>315000</v>
      </c>
    </row>
    <row r="418" spans="1:12" x14ac:dyDescent="0.25">
      <c r="A418" s="223" t="s">
        <v>1712</v>
      </c>
      <c r="B418" s="223" t="s">
        <v>1719</v>
      </c>
      <c r="C418" s="223" t="s">
        <v>1720</v>
      </c>
      <c r="D418" s="223" t="s">
        <v>989</v>
      </c>
      <c r="E418" s="223" t="s">
        <v>998</v>
      </c>
      <c r="F418" s="223" t="s">
        <v>991</v>
      </c>
      <c r="G418" s="223" t="s">
        <v>1721</v>
      </c>
      <c r="H418" s="355">
        <v>14876.03</v>
      </c>
      <c r="I418" s="355">
        <v>0</v>
      </c>
      <c r="J418" s="357">
        <v>3123.97</v>
      </c>
      <c r="K418" s="355">
        <v>3123.97</v>
      </c>
      <c r="L418" s="355">
        <v>18000</v>
      </c>
    </row>
    <row r="419" spans="1:12" x14ac:dyDescent="0.25">
      <c r="A419" s="223" t="s">
        <v>1712</v>
      </c>
      <c r="B419" s="223" t="s">
        <v>1730</v>
      </c>
      <c r="C419" s="223" t="s">
        <v>1731</v>
      </c>
      <c r="D419" s="223" t="s">
        <v>989</v>
      </c>
      <c r="E419" s="223" t="s">
        <v>998</v>
      </c>
      <c r="F419" s="223" t="s">
        <v>991</v>
      </c>
      <c r="G419" s="223" t="s">
        <v>1732</v>
      </c>
      <c r="H419" s="355">
        <v>18595.04</v>
      </c>
      <c r="I419" s="355">
        <v>0</v>
      </c>
      <c r="J419" s="357">
        <v>3904.96</v>
      </c>
      <c r="K419" s="355">
        <v>3904.96</v>
      </c>
      <c r="L419" s="355">
        <v>22500</v>
      </c>
    </row>
    <row r="420" spans="1:12" x14ac:dyDescent="0.25">
      <c r="A420" s="223" t="s">
        <v>1712</v>
      </c>
      <c r="B420" s="223" t="s">
        <v>1023</v>
      </c>
      <c r="C420" s="223" t="s">
        <v>1024</v>
      </c>
      <c r="D420" s="223" t="s">
        <v>989</v>
      </c>
      <c r="E420" s="223" t="s">
        <v>998</v>
      </c>
      <c r="F420" s="223" t="s">
        <v>1008</v>
      </c>
      <c r="G420" s="223" t="s">
        <v>1737</v>
      </c>
      <c r="H420" s="355">
        <v>148599.17000000001</v>
      </c>
      <c r="I420" s="355">
        <v>0</v>
      </c>
      <c r="J420" s="357">
        <v>31205.83</v>
      </c>
      <c r="K420" s="355">
        <v>31205.83</v>
      </c>
      <c r="L420" s="355">
        <v>179805</v>
      </c>
    </row>
    <row r="421" spans="1:12" x14ac:dyDescent="0.25">
      <c r="A421" s="223" t="s">
        <v>1712</v>
      </c>
      <c r="B421" s="223" t="s">
        <v>1021</v>
      </c>
      <c r="C421" s="223" t="s">
        <v>1022</v>
      </c>
      <c r="D421" s="223" t="s">
        <v>989</v>
      </c>
      <c r="E421" s="223" t="s">
        <v>998</v>
      </c>
      <c r="F421" s="223" t="s">
        <v>1008</v>
      </c>
      <c r="G421" s="223" t="s">
        <v>1738</v>
      </c>
      <c r="H421" s="355">
        <v>581747.93000000005</v>
      </c>
      <c r="I421" s="355">
        <v>0</v>
      </c>
      <c r="J421" s="357">
        <v>122167.07</v>
      </c>
      <c r="K421" s="355">
        <v>122167.07</v>
      </c>
      <c r="L421" s="355">
        <v>703915</v>
      </c>
    </row>
    <row r="422" spans="1:12" x14ac:dyDescent="0.25">
      <c r="A422" s="223" t="s">
        <v>1712</v>
      </c>
      <c r="B422" s="223" t="s">
        <v>1019</v>
      </c>
      <c r="C422" s="223" t="s">
        <v>1020</v>
      </c>
      <c r="D422" s="223" t="s">
        <v>989</v>
      </c>
      <c r="E422" s="223" t="s">
        <v>998</v>
      </c>
      <c r="F422" s="223" t="s">
        <v>1008</v>
      </c>
      <c r="G422" s="223" t="s">
        <v>1741</v>
      </c>
      <c r="H422" s="355">
        <v>64994.21</v>
      </c>
      <c r="I422" s="355">
        <v>0</v>
      </c>
      <c r="J422" s="357">
        <v>13648.79</v>
      </c>
      <c r="K422" s="355">
        <v>13648.79</v>
      </c>
      <c r="L422" s="355">
        <v>78643</v>
      </c>
    </row>
    <row r="423" spans="1:12" x14ac:dyDescent="0.25">
      <c r="A423" s="223" t="s">
        <v>1744</v>
      </c>
      <c r="B423" s="223" t="s">
        <v>1302</v>
      </c>
      <c r="C423" s="223" t="s">
        <v>1303</v>
      </c>
      <c r="D423" s="223" t="s">
        <v>1304</v>
      </c>
      <c r="E423" s="223" t="s">
        <v>1305</v>
      </c>
      <c r="F423" s="223" t="s">
        <v>1008</v>
      </c>
      <c r="G423" s="223" t="s">
        <v>1750</v>
      </c>
      <c r="H423" s="355">
        <v>7838016.5300000003</v>
      </c>
      <c r="I423" s="355">
        <v>0</v>
      </c>
      <c r="J423" s="357">
        <v>1645983.47</v>
      </c>
      <c r="K423" s="355">
        <v>1645983.47</v>
      </c>
      <c r="L423" s="355">
        <v>9484000</v>
      </c>
    </row>
    <row r="424" spans="1:12" x14ac:dyDescent="0.25">
      <c r="A424" s="223" t="s">
        <v>1744</v>
      </c>
      <c r="B424" s="223" t="s">
        <v>1756</v>
      </c>
      <c r="C424" s="223" t="s">
        <v>1757</v>
      </c>
      <c r="D424" s="223" t="s">
        <v>989</v>
      </c>
      <c r="E424" s="223" t="s">
        <v>998</v>
      </c>
      <c r="F424" s="223" t="s">
        <v>991</v>
      </c>
      <c r="G424" s="223" t="s">
        <v>1758</v>
      </c>
      <c r="H424" s="355">
        <v>18595.04</v>
      </c>
      <c r="I424" s="355">
        <v>0</v>
      </c>
      <c r="J424" s="357">
        <v>3904.96</v>
      </c>
      <c r="K424" s="355">
        <v>3904.96</v>
      </c>
      <c r="L424" s="355">
        <v>22500</v>
      </c>
    </row>
    <row r="425" spans="1:12" x14ac:dyDescent="0.25">
      <c r="A425" s="223" t="s">
        <v>1744</v>
      </c>
      <c r="B425" s="223" t="s">
        <v>1766</v>
      </c>
      <c r="C425" s="223" t="s">
        <v>1767</v>
      </c>
      <c r="D425" s="223" t="s">
        <v>989</v>
      </c>
      <c r="E425" s="223" t="s">
        <v>998</v>
      </c>
      <c r="F425" s="223" t="s">
        <v>991</v>
      </c>
      <c r="G425" s="223" t="s">
        <v>1768</v>
      </c>
      <c r="H425" s="355">
        <v>115702.48</v>
      </c>
      <c r="I425" s="355">
        <v>0</v>
      </c>
      <c r="J425" s="357">
        <v>24297.52</v>
      </c>
      <c r="K425" s="355">
        <v>24297.52</v>
      </c>
      <c r="L425" s="355">
        <v>140000</v>
      </c>
    </row>
    <row r="426" spans="1:12" x14ac:dyDescent="0.25">
      <c r="A426" s="223" t="s">
        <v>1744</v>
      </c>
      <c r="B426" s="223" t="s">
        <v>1784</v>
      </c>
      <c r="C426" s="223" t="s">
        <v>1785</v>
      </c>
      <c r="D426" s="223" t="s">
        <v>1786</v>
      </c>
      <c r="E426" s="223" t="s">
        <v>1787</v>
      </c>
      <c r="F426" s="223" t="s">
        <v>991</v>
      </c>
      <c r="G426" s="223" t="s">
        <v>1788</v>
      </c>
      <c r="H426" s="355">
        <v>28099.17</v>
      </c>
      <c r="I426" s="355">
        <v>0</v>
      </c>
      <c r="J426" s="357">
        <v>5900.83</v>
      </c>
      <c r="K426" s="355">
        <v>5900.83</v>
      </c>
      <c r="L426" s="355">
        <v>34000</v>
      </c>
    </row>
    <row r="427" spans="1:12" x14ac:dyDescent="0.25">
      <c r="A427" s="223" t="s">
        <v>1794</v>
      </c>
      <c r="B427" s="223" t="s">
        <v>1808</v>
      </c>
      <c r="C427" s="223" t="s">
        <v>1809</v>
      </c>
      <c r="D427" s="223" t="s">
        <v>989</v>
      </c>
      <c r="E427" s="223" t="s">
        <v>998</v>
      </c>
      <c r="F427" s="223" t="s">
        <v>991</v>
      </c>
      <c r="G427" s="223" t="s">
        <v>1810</v>
      </c>
      <c r="H427" s="355">
        <v>24793.39</v>
      </c>
      <c r="I427" s="355">
        <v>0</v>
      </c>
      <c r="J427" s="357">
        <v>5206.6099999999997</v>
      </c>
      <c r="K427" s="355">
        <v>5206.6099999999997</v>
      </c>
      <c r="L427" s="355">
        <v>30000</v>
      </c>
    </row>
    <row r="428" spans="1:12" x14ac:dyDescent="0.25">
      <c r="A428" s="223" t="s">
        <v>1823</v>
      </c>
      <c r="B428" s="223" t="s">
        <v>1830</v>
      </c>
      <c r="C428" s="223" t="s">
        <v>1831</v>
      </c>
      <c r="D428" s="223" t="s">
        <v>988</v>
      </c>
      <c r="E428" s="223" t="s">
        <v>1832</v>
      </c>
      <c r="F428" s="223" t="s">
        <v>991</v>
      </c>
      <c r="G428" s="223" t="s">
        <v>1833</v>
      </c>
      <c r="H428" s="355">
        <v>18595.04</v>
      </c>
      <c r="I428" s="355">
        <v>0</v>
      </c>
      <c r="J428" s="357">
        <v>3904.96</v>
      </c>
      <c r="K428" s="355">
        <v>3904.96</v>
      </c>
      <c r="L428" s="355">
        <v>22500</v>
      </c>
    </row>
    <row r="429" spans="1:12" x14ac:dyDescent="0.25">
      <c r="A429" s="223" t="s">
        <v>1823</v>
      </c>
      <c r="B429" s="223" t="s">
        <v>1055</v>
      </c>
      <c r="C429" s="223"/>
      <c r="D429" s="223" t="s">
        <v>988</v>
      </c>
      <c r="E429" s="223" t="s">
        <v>998</v>
      </c>
      <c r="F429" s="223" t="s">
        <v>991</v>
      </c>
      <c r="G429" s="223" t="s">
        <v>1840</v>
      </c>
      <c r="H429" s="355">
        <v>33057.85</v>
      </c>
      <c r="I429" s="355">
        <v>0</v>
      </c>
      <c r="J429" s="357">
        <v>6942.15</v>
      </c>
      <c r="K429" s="355">
        <v>6942.15</v>
      </c>
      <c r="L429" s="355">
        <v>40000</v>
      </c>
    </row>
    <row r="430" spans="1:12" x14ac:dyDescent="0.25">
      <c r="A430" s="223" t="s">
        <v>1848</v>
      </c>
      <c r="B430" s="223" t="s">
        <v>1864</v>
      </c>
      <c r="C430" s="223" t="s">
        <v>1865</v>
      </c>
      <c r="D430" s="223" t="s">
        <v>989</v>
      </c>
      <c r="E430" s="223" t="s">
        <v>998</v>
      </c>
      <c r="F430" s="223" t="s">
        <v>991</v>
      </c>
      <c r="G430" s="223" t="s">
        <v>1866</v>
      </c>
      <c r="H430" s="355">
        <v>24793.39</v>
      </c>
      <c r="I430" s="355">
        <v>0</v>
      </c>
      <c r="J430" s="357">
        <v>5206.6099999999997</v>
      </c>
      <c r="K430" s="355">
        <v>5206.6099999999997</v>
      </c>
      <c r="L430" s="355">
        <v>30000</v>
      </c>
    </row>
    <row r="431" spans="1:12" x14ac:dyDescent="0.25">
      <c r="A431" s="223" t="s">
        <v>1848</v>
      </c>
      <c r="B431" s="223" t="s">
        <v>1034</v>
      </c>
      <c r="C431" s="223" t="s">
        <v>1035</v>
      </c>
      <c r="D431" s="223" t="s">
        <v>988</v>
      </c>
      <c r="E431" s="223" t="s">
        <v>1036</v>
      </c>
      <c r="F431" s="223" t="s">
        <v>991</v>
      </c>
      <c r="G431" s="223" t="s">
        <v>1872</v>
      </c>
      <c r="H431" s="355">
        <v>5475.21</v>
      </c>
      <c r="I431" s="355">
        <v>0</v>
      </c>
      <c r="J431" s="357">
        <v>1149.79</v>
      </c>
      <c r="K431" s="355">
        <v>1149.79</v>
      </c>
      <c r="L431" s="355">
        <v>6625</v>
      </c>
    </row>
    <row r="432" spans="1:12" x14ac:dyDescent="0.25">
      <c r="A432" s="223" t="s">
        <v>1848</v>
      </c>
      <c r="B432" s="223" t="s">
        <v>1062</v>
      </c>
      <c r="C432" s="223" t="s">
        <v>1063</v>
      </c>
      <c r="D432" s="223" t="s">
        <v>988</v>
      </c>
      <c r="E432" s="223" t="s">
        <v>1036</v>
      </c>
      <c r="F432" s="223" t="s">
        <v>991</v>
      </c>
      <c r="G432" s="223" t="s">
        <v>1873</v>
      </c>
      <c r="H432" s="355">
        <v>8177.69</v>
      </c>
      <c r="I432" s="355">
        <v>0</v>
      </c>
      <c r="J432" s="357">
        <v>1717.31</v>
      </c>
      <c r="K432" s="355">
        <v>1717.31</v>
      </c>
      <c r="L432" s="355">
        <v>9895</v>
      </c>
    </row>
    <row r="433" spans="1:12" x14ac:dyDescent="0.25">
      <c r="A433" s="223" t="s">
        <v>1848</v>
      </c>
      <c r="B433" s="223" t="s">
        <v>1891</v>
      </c>
      <c r="C433" s="223" t="s">
        <v>1892</v>
      </c>
      <c r="D433" s="223" t="s">
        <v>989</v>
      </c>
      <c r="E433" s="223" t="s">
        <v>998</v>
      </c>
      <c r="F433" s="223" t="s">
        <v>991</v>
      </c>
      <c r="G433" s="223" t="s">
        <v>1893</v>
      </c>
      <c r="H433" s="355">
        <v>18595.04</v>
      </c>
      <c r="I433" s="355">
        <v>0</v>
      </c>
      <c r="J433" s="357">
        <v>3904.96</v>
      </c>
      <c r="K433" s="355">
        <v>3904.96</v>
      </c>
      <c r="L433" s="355">
        <v>22500</v>
      </c>
    </row>
    <row r="434" spans="1:12" x14ac:dyDescent="0.25">
      <c r="A434" s="223" t="s">
        <v>1848</v>
      </c>
      <c r="B434" s="223" t="s">
        <v>1043</v>
      </c>
      <c r="C434" s="223" t="s">
        <v>1044</v>
      </c>
      <c r="D434" s="223" t="s">
        <v>988</v>
      </c>
      <c r="E434" s="223" t="s">
        <v>1036</v>
      </c>
      <c r="F434" s="223" t="s">
        <v>991</v>
      </c>
      <c r="G434" s="223" t="s">
        <v>1895</v>
      </c>
      <c r="H434" s="355">
        <v>8603.31</v>
      </c>
      <c r="I434" s="355">
        <v>0</v>
      </c>
      <c r="J434" s="357">
        <v>1806.69</v>
      </c>
      <c r="K434" s="355">
        <v>1806.69</v>
      </c>
      <c r="L434" s="355">
        <v>10410</v>
      </c>
    </row>
    <row r="435" spans="1:12" x14ac:dyDescent="0.25">
      <c r="A435" s="223" t="s">
        <v>1848</v>
      </c>
      <c r="B435" s="223" t="s">
        <v>1052</v>
      </c>
      <c r="C435" s="223" t="s">
        <v>1053</v>
      </c>
      <c r="D435" s="223" t="s">
        <v>989</v>
      </c>
      <c r="E435" s="223" t="s">
        <v>1054</v>
      </c>
      <c r="F435" s="223" t="s">
        <v>991</v>
      </c>
      <c r="G435" s="223" t="s">
        <v>1896</v>
      </c>
      <c r="H435" s="355">
        <v>20524.79</v>
      </c>
      <c r="I435" s="355">
        <v>0</v>
      </c>
      <c r="J435" s="357">
        <v>4310.21</v>
      </c>
      <c r="K435" s="355">
        <v>4310.21</v>
      </c>
      <c r="L435" s="355">
        <v>24835</v>
      </c>
    </row>
    <row r="436" spans="1:12" x14ac:dyDescent="0.25">
      <c r="A436" s="223" t="s">
        <v>1848</v>
      </c>
      <c r="B436" s="223" t="s">
        <v>1048</v>
      </c>
      <c r="C436" s="223" t="s">
        <v>1049</v>
      </c>
      <c r="D436" s="223" t="s">
        <v>988</v>
      </c>
      <c r="E436" s="223" t="s">
        <v>1050</v>
      </c>
      <c r="F436" s="223" t="s">
        <v>991</v>
      </c>
      <c r="G436" s="223" t="s">
        <v>1897</v>
      </c>
      <c r="H436" s="355">
        <v>8603.31</v>
      </c>
      <c r="I436" s="355">
        <v>0</v>
      </c>
      <c r="J436" s="357">
        <v>1806.69</v>
      </c>
      <c r="K436" s="355">
        <v>1806.69</v>
      </c>
      <c r="L436" s="355">
        <v>10410</v>
      </c>
    </row>
    <row r="437" spans="1:12" x14ac:dyDescent="0.25">
      <c r="A437" s="223" t="s">
        <v>1848</v>
      </c>
      <c r="B437" s="223" t="s">
        <v>1169</v>
      </c>
      <c r="C437" s="223" t="s">
        <v>1170</v>
      </c>
      <c r="D437" s="223" t="s">
        <v>989</v>
      </c>
      <c r="E437" s="223" t="s">
        <v>998</v>
      </c>
      <c r="F437" s="223" t="s">
        <v>991</v>
      </c>
      <c r="G437" s="223" t="s">
        <v>1898</v>
      </c>
      <c r="H437" s="355">
        <v>8793.39</v>
      </c>
      <c r="I437" s="355">
        <v>0</v>
      </c>
      <c r="J437" s="357">
        <v>1846.61</v>
      </c>
      <c r="K437" s="355">
        <v>1846.61</v>
      </c>
      <c r="L437" s="355">
        <v>10640</v>
      </c>
    </row>
    <row r="438" spans="1:12" x14ac:dyDescent="0.25">
      <c r="A438" s="223" t="s">
        <v>1905</v>
      </c>
      <c r="B438" s="223" t="s">
        <v>1538</v>
      </c>
      <c r="C438" s="223" t="s">
        <v>1539</v>
      </c>
      <c r="D438" s="223" t="s">
        <v>988</v>
      </c>
      <c r="E438" s="223" t="s">
        <v>998</v>
      </c>
      <c r="F438" s="223" t="s">
        <v>991</v>
      </c>
      <c r="G438" s="223" t="s">
        <v>1908</v>
      </c>
      <c r="H438" s="355">
        <v>28925.62</v>
      </c>
      <c r="I438" s="355">
        <v>0</v>
      </c>
      <c r="J438" s="357">
        <v>6074.38</v>
      </c>
      <c r="K438" s="355">
        <v>6074.38</v>
      </c>
      <c r="L438" s="355">
        <v>35000</v>
      </c>
    </row>
    <row r="439" spans="1:12" x14ac:dyDescent="0.25">
      <c r="A439" s="223" t="s">
        <v>1905</v>
      </c>
      <c r="B439" s="223" t="s">
        <v>1131</v>
      </c>
      <c r="C439" s="223" t="s">
        <v>1132</v>
      </c>
      <c r="D439" s="223" t="s">
        <v>989</v>
      </c>
      <c r="E439" s="223" t="s">
        <v>1133</v>
      </c>
      <c r="F439" s="223" t="s">
        <v>991</v>
      </c>
      <c r="G439" s="223" t="s">
        <v>1910</v>
      </c>
      <c r="H439" s="355">
        <v>17355.37</v>
      </c>
      <c r="I439" s="355">
        <v>0</v>
      </c>
      <c r="J439" s="357">
        <v>3644.63</v>
      </c>
      <c r="K439" s="355">
        <v>3644.63</v>
      </c>
      <c r="L439" s="355">
        <v>21000</v>
      </c>
    </row>
    <row r="440" spans="1:12" x14ac:dyDescent="0.25">
      <c r="A440" s="223" t="s">
        <v>1905</v>
      </c>
      <c r="B440" s="223" t="s">
        <v>1288</v>
      </c>
      <c r="C440" s="223" t="s">
        <v>1289</v>
      </c>
      <c r="D440" s="223" t="s">
        <v>989</v>
      </c>
      <c r="E440" s="223" t="s">
        <v>998</v>
      </c>
      <c r="F440" s="223" t="s">
        <v>991</v>
      </c>
      <c r="G440" s="223" t="s">
        <v>1911</v>
      </c>
      <c r="H440" s="355">
        <v>17355.37</v>
      </c>
      <c r="I440" s="355">
        <v>0</v>
      </c>
      <c r="J440" s="357">
        <v>3644.63</v>
      </c>
      <c r="K440" s="355">
        <v>3644.63</v>
      </c>
      <c r="L440" s="355">
        <v>21000</v>
      </c>
    </row>
    <row r="441" spans="1:12" x14ac:dyDescent="0.25">
      <c r="A441" s="223" t="s">
        <v>1905</v>
      </c>
      <c r="B441" s="223" t="s">
        <v>1290</v>
      </c>
      <c r="C441" s="223" t="s">
        <v>1291</v>
      </c>
      <c r="D441" s="223" t="s">
        <v>989</v>
      </c>
      <c r="E441" s="223" t="s">
        <v>998</v>
      </c>
      <c r="F441" s="223" t="s">
        <v>991</v>
      </c>
      <c r="G441" s="223" t="s">
        <v>1912</v>
      </c>
      <c r="H441" s="355">
        <v>46280.99</v>
      </c>
      <c r="I441" s="355">
        <v>0</v>
      </c>
      <c r="J441" s="357">
        <v>9719.01</v>
      </c>
      <c r="K441" s="355">
        <v>9719.01</v>
      </c>
      <c r="L441" s="355">
        <v>56000</v>
      </c>
    </row>
    <row r="442" spans="1:12" x14ac:dyDescent="0.25">
      <c r="A442" s="223" t="s">
        <v>1905</v>
      </c>
      <c r="B442" s="223" t="s">
        <v>1033</v>
      </c>
      <c r="C442" s="223"/>
      <c r="D442" s="223" t="s">
        <v>988</v>
      </c>
      <c r="E442" s="223" t="s">
        <v>998</v>
      </c>
      <c r="F442" s="223" t="s">
        <v>991</v>
      </c>
      <c r="G442" s="223" t="s">
        <v>1913</v>
      </c>
      <c r="H442" s="355">
        <v>47933.88</v>
      </c>
      <c r="I442" s="355">
        <v>0</v>
      </c>
      <c r="J442" s="357">
        <v>10066.120000000001</v>
      </c>
      <c r="K442" s="355">
        <v>10066.120000000001</v>
      </c>
      <c r="L442" s="355">
        <v>58000</v>
      </c>
    </row>
    <row r="443" spans="1:12" x14ac:dyDescent="0.25">
      <c r="A443" s="223" t="s">
        <v>1905</v>
      </c>
      <c r="B443" s="223" t="s">
        <v>1037</v>
      </c>
      <c r="C443" s="223" t="s">
        <v>1038</v>
      </c>
      <c r="D443" s="223" t="s">
        <v>989</v>
      </c>
      <c r="E443" s="223" t="s">
        <v>1039</v>
      </c>
      <c r="F443" s="223" t="s">
        <v>991</v>
      </c>
      <c r="G443" s="223" t="s">
        <v>1915</v>
      </c>
      <c r="H443" s="355">
        <v>28099.17</v>
      </c>
      <c r="I443" s="355">
        <v>0</v>
      </c>
      <c r="J443" s="357">
        <v>5900.83</v>
      </c>
      <c r="K443" s="355">
        <v>5900.83</v>
      </c>
      <c r="L443" s="355">
        <v>34000</v>
      </c>
    </row>
    <row r="444" spans="1:12" x14ac:dyDescent="0.25">
      <c r="A444" s="223" t="s">
        <v>1905</v>
      </c>
      <c r="B444" s="223" t="s">
        <v>1129</v>
      </c>
      <c r="C444" s="223" t="s">
        <v>1130</v>
      </c>
      <c r="D444" s="223" t="s">
        <v>988</v>
      </c>
      <c r="E444" s="223" t="s">
        <v>998</v>
      </c>
      <c r="F444" s="223" t="s">
        <v>991</v>
      </c>
      <c r="G444" s="223" t="s">
        <v>1916</v>
      </c>
      <c r="H444" s="355">
        <v>43801.65</v>
      </c>
      <c r="I444" s="355">
        <v>0</v>
      </c>
      <c r="J444" s="357">
        <v>9198.35</v>
      </c>
      <c r="K444" s="355">
        <v>9198.35</v>
      </c>
      <c r="L444" s="355">
        <v>53000</v>
      </c>
    </row>
    <row r="445" spans="1:12" x14ac:dyDescent="0.25">
      <c r="A445" s="223" t="s">
        <v>1905</v>
      </c>
      <c r="B445" s="223" t="s">
        <v>1041</v>
      </c>
      <c r="C445" s="223" t="s">
        <v>1042</v>
      </c>
      <c r="D445" s="223" t="s">
        <v>989</v>
      </c>
      <c r="E445" s="223" t="s">
        <v>998</v>
      </c>
      <c r="F445" s="223" t="s">
        <v>991</v>
      </c>
      <c r="G445" s="223" t="s">
        <v>1917</v>
      </c>
      <c r="H445" s="355">
        <v>32231.4</v>
      </c>
      <c r="I445" s="355">
        <v>0</v>
      </c>
      <c r="J445" s="357">
        <v>6768.6</v>
      </c>
      <c r="K445" s="355">
        <v>6768.6</v>
      </c>
      <c r="L445" s="355">
        <v>39000</v>
      </c>
    </row>
    <row r="446" spans="1:12" x14ac:dyDescent="0.25">
      <c r="A446" s="223" t="s">
        <v>1905</v>
      </c>
      <c r="B446" s="223" t="s">
        <v>1921</v>
      </c>
      <c r="C446" s="223" t="s">
        <v>1922</v>
      </c>
      <c r="D446" s="223" t="s">
        <v>988</v>
      </c>
      <c r="E446" s="223" t="s">
        <v>1923</v>
      </c>
      <c r="F446" s="223" t="s">
        <v>991</v>
      </c>
      <c r="G446" s="223" t="s">
        <v>1924</v>
      </c>
      <c r="H446" s="355">
        <v>231404.96</v>
      </c>
      <c r="I446" s="355">
        <v>0</v>
      </c>
      <c r="J446" s="357">
        <v>48595.040000000001</v>
      </c>
      <c r="K446" s="355">
        <v>48595.040000000001</v>
      </c>
      <c r="L446" s="355">
        <v>280000</v>
      </c>
    </row>
    <row r="447" spans="1:12" x14ac:dyDescent="0.25">
      <c r="A447" s="223" t="s">
        <v>1905</v>
      </c>
      <c r="B447" s="223" t="s">
        <v>1025</v>
      </c>
      <c r="C447" s="223" t="s">
        <v>1026</v>
      </c>
      <c r="D447" s="223" t="s">
        <v>989</v>
      </c>
      <c r="E447" s="223" t="s">
        <v>998</v>
      </c>
      <c r="F447" s="223" t="s">
        <v>1008</v>
      </c>
      <c r="G447" s="223" t="s">
        <v>1932</v>
      </c>
      <c r="H447" s="355">
        <v>1175206.6100000001</v>
      </c>
      <c r="I447" s="355">
        <v>0</v>
      </c>
      <c r="J447" s="357">
        <v>246793.39</v>
      </c>
      <c r="K447" s="355">
        <v>246793.39</v>
      </c>
      <c r="L447" s="355">
        <v>1422000</v>
      </c>
    </row>
    <row r="448" spans="1:12" x14ac:dyDescent="0.25">
      <c r="A448" s="223" t="s">
        <v>1905</v>
      </c>
      <c r="B448" s="223" t="s">
        <v>81</v>
      </c>
      <c r="C448" s="223" t="s">
        <v>1010</v>
      </c>
      <c r="D448" s="223" t="s">
        <v>1011</v>
      </c>
      <c r="E448" s="223" t="s">
        <v>1012</v>
      </c>
      <c r="F448" s="223" t="s">
        <v>1008</v>
      </c>
      <c r="G448" s="223" t="s">
        <v>1933</v>
      </c>
      <c r="H448" s="355">
        <v>83471.070000000007</v>
      </c>
      <c r="I448" s="355">
        <v>0</v>
      </c>
      <c r="J448" s="357">
        <v>17528.93</v>
      </c>
      <c r="K448" s="355">
        <v>17528.93</v>
      </c>
      <c r="L448" s="355">
        <v>101000</v>
      </c>
    </row>
    <row r="449" spans="1:12" x14ac:dyDescent="0.25">
      <c r="A449" s="223" t="s">
        <v>1939</v>
      </c>
      <c r="B449" s="223" t="s">
        <v>1025</v>
      </c>
      <c r="C449" s="223" t="s">
        <v>1026</v>
      </c>
      <c r="D449" s="223" t="s">
        <v>989</v>
      </c>
      <c r="E449" s="223" t="s">
        <v>998</v>
      </c>
      <c r="F449" s="223" t="s">
        <v>1008</v>
      </c>
      <c r="G449" s="223" t="s">
        <v>1953</v>
      </c>
      <c r="H449" s="355">
        <v>3295867.77</v>
      </c>
      <c r="I449" s="355">
        <v>0</v>
      </c>
      <c r="J449" s="357">
        <v>692132.23</v>
      </c>
      <c r="K449" s="355">
        <v>692132.23</v>
      </c>
      <c r="L449" s="355">
        <v>3988000</v>
      </c>
    </row>
    <row r="450" spans="1:12" x14ac:dyDescent="0.25">
      <c r="A450" s="223" t="s">
        <v>1939</v>
      </c>
      <c r="B450" s="223" t="s">
        <v>81</v>
      </c>
      <c r="C450" s="223" t="s">
        <v>1010</v>
      </c>
      <c r="D450" s="223" t="s">
        <v>1011</v>
      </c>
      <c r="E450" s="223" t="s">
        <v>1012</v>
      </c>
      <c r="F450" s="223" t="s">
        <v>1008</v>
      </c>
      <c r="G450" s="223" t="s">
        <v>1954</v>
      </c>
      <c r="H450" s="355">
        <v>865123.97</v>
      </c>
      <c r="I450" s="355">
        <v>0</v>
      </c>
      <c r="J450" s="357">
        <v>181676.03</v>
      </c>
      <c r="K450" s="355">
        <v>181676.03</v>
      </c>
      <c r="L450" s="355">
        <v>1046800</v>
      </c>
    </row>
    <row r="451" spans="1:12" x14ac:dyDescent="0.25">
      <c r="A451" s="223" t="s">
        <v>1956</v>
      </c>
      <c r="B451" s="223" t="s">
        <v>1027</v>
      </c>
      <c r="C451" s="223" t="s">
        <v>1028</v>
      </c>
      <c r="D451" s="223" t="s">
        <v>989</v>
      </c>
      <c r="E451" s="223" t="s">
        <v>998</v>
      </c>
      <c r="F451" s="223" t="s">
        <v>1008</v>
      </c>
      <c r="G451" s="223" t="s">
        <v>1973</v>
      </c>
      <c r="H451" s="355">
        <v>926446.28</v>
      </c>
      <c r="I451" s="355">
        <v>0</v>
      </c>
      <c r="J451" s="357">
        <v>194553.72</v>
      </c>
      <c r="K451" s="355">
        <v>194553.72</v>
      </c>
      <c r="L451" s="355">
        <v>1121000</v>
      </c>
    </row>
    <row r="452" spans="1:12" x14ac:dyDescent="0.25">
      <c r="A452" s="223" t="s">
        <v>1956</v>
      </c>
      <c r="B452" s="223" t="s">
        <v>1980</v>
      </c>
      <c r="C452" s="223" t="s">
        <v>1981</v>
      </c>
      <c r="D452" s="223" t="s">
        <v>989</v>
      </c>
      <c r="E452" s="223" t="s">
        <v>998</v>
      </c>
      <c r="F452" s="223" t="s">
        <v>991</v>
      </c>
      <c r="G452" s="223" t="s">
        <v>1982</v>
      </c>
      <c r="H452" s="355">
        <v>41322.31</v>
      </c>
      <c r="I452" s="355">
        <v>0</v>
      </c>
      <c r="J452" s="357">
        <v>8677.69</v>
      </c>
      <c r="K452" s="355">
        <v>8677.69</v>
      </c>
      <c r="L452" s="355">
        <v>50000</v>
      </c>
    </row>
    <row r="453" spans="1:12" x14ac:dyDescent="0.25">
      <c r="A453" s="223" t="s">
        <v>1956</v>
      </c>
      <c r="B453" s="223" t="s">
        <v>1987</v>
      </c>
      <c r="C453" s="223" t="s">
        <v>1988</v>
      </c>
      <c r="D453" s="223" t="s">
        <v>989</v>
      </c>
      <c r="E453" s="223" t="s">
        <v>998</v>
      </c>
      <c r="F453" s="223" t="s">
        <v>991</v>
      </c>
      <c r="G453" s="223" t="s">
        <v>1989</v>
      </c>
      <c r="H453" s="355">
        <v>24793.39</v>
      </c>
      <c r="I453" s="355">
        <v>0</v>
      </c>
      <c r="J453" s="357">
        <v>5206.6099999999997</v>
      </c>
      <c r="K453" s="355">
        <v>5206.6099999999997</v>
      </c>
      <c r="L453" s="355">
        <v>30000</v>
      </c>
    </row>
    <row r="454" spans="1:12" x14ac:dyDescent="0.25">
      <c r="A454" s="223" t="s">
        <v>1991</v>
      </c>
      <c r="B454" s="223" t="s">
        <v>2015</v>
      </c>
      <c r="C454" s="223" t="s">
        <v>2016</v>
      </c>
      <c r="D454" s="223" t="s">
        <v>988</v>
      </c>
      <c r="E454" s="223" t="s">
        <v>998</v>
      </c>
      <c r="F454" s="223" t="s">
        <v>991</v>
      </c>
      <c r="G454" s="223" t="s">
        <v>2017</v>
      </c>
      <c r="H454" s="355">
        <v>29752.07</v>
      </c>
      <c r="I454" s="355">
        <v>0</v>
      </c>
      <c r="J454" s="357">
        <v>6247.93</v>
      </c>
      <c r="K454" s="355">
        <v>6247.93</v>
      </c>
      <c r="L454" s="355">
        <v>36000</v>
      </c>
    </row>
    <row r="455" spans="1:12" x14ac:dyDescent="0.25">
      <c r="A455" s="223" t="s">
        <v>2019</v>
      </c>
      <c r="B455" s="223" t="s">
        <v>2021</v>
      </c>
      <c r="C455" s="223" t="s">
        <v>2022</v>
      </c>
      <c r="D455" s="223" t="s">
        <v>989</v>
      </c>
      <c r="E455" s="223" t="s">
        <v>998</v>
      </c>
      <c r="F455" s="223" t="s">
        <v>991</v>
      </c>
      <c r="G455" s="223" t="s">
        <v>2023</v>
      </c>
      <c r="H455" s="355">
        <v>35537.19</v>
      </c>
      <c r="I455" s="355">
        <v>0</v>
      </c>
      <c r="J455" s="357">
        <v>7462.81</v>
      </c>
      <c r="K455" s="355">
        <v>7462.81</v>
      </c>
      <c r="L455" s="355">
        <v>43000</v>
      </c>
    </row>
    <row r="456" spans="1:12" x14ac:dyDescent="0.25">
      <c r="A456" s="223" t="s">
        <v>2034</v>
      </c>
      <c r="B456" s="223" t="s">
        <v>1016</v>
      </c>
      <c r="C456" s="223" t="s">
        <v>1017</v>
      </c>
      <c r="D456" s="223" t="s">
        <v>988</v>
      </c>
      <c r="E456" s="223" t="s">
        <v>1018</v>
      </c>
      <c r="F456" s="223" t="s">
        <v>991</v>
      </c>
      <c r="G456" s="223" t="s">
        <v>2040</v>
      </c>
      <c r="H456" s="355">
        <v>15702.48</v>
      </c>
      <c r="I456" s="355">
        <v>0</v>
      </c>
      <c r="J456" s="357">
        <v>3297.52</v>
      </c>
      <c r="K456" s="355">
        <v>3297.52</v>
      </c>
      <c r="L456" s="355">
        <v>19000</v>
      </c>
    </row>
    <row r="457" spans="1:12" x14ac:dyDescent="0.25">
      <c r="A457" s="223" t="s">
        <v>2034</v>
      </c>
      <c r="B457" s="223" t="s">
        <v>1047</v>
      </c>
      <c r="C457" s="223"/>
      <c r="D457" s="223" t="s">
        <v>988</v>
      </c>
      <c r="E457" s="223" t="s">
        <v>998</v>
      </c>
      <c r="F457" s="223" t="s">
        <v>991</v>
      </c>
      <c r="G457" s="223" t="s">
        <v>2041</v>
      </c>
      <c r="H457" s="355">
        <v>19834.71</v>
      </c>
      <c r="I457" s="355">
        <v>0</v>
      </c>
      <c r="J457" s="357">
        <v>4165.29</v>
      </c>
      <c r="K457" s="355">
        <v>4165.29</v>
      </c>
      <c r="L457" s="355">
        <v>24000</v>
      </c>
    </row>
    <row r="458" spans="1:12" x14ac:dyDescent="0.25">
      <c r="A458" s="223" t="s">
        <v>2034</v>
      </c>
      <c r="B458" s="223" t="s">
        <v>1013</v>
      </c>
      <c r="C458" s="223" t="s">
        <v>1014</v>
      </c>
      <c r="D458" s="223" t="s">
        <v>988</v>
      </c>
      <c r="E458" s="223" t="s">
        <v>1015</v>
      </c>
      <c r="F458" s="223" t="s">
        <v>991</v>
      </c>
      <c r="G458" s="223" t="s">
        <v>2042</v>
      </c>
      <c r="H458" s="355">
        <v>19834.71</v>
      </c>
      <c r="I458" s="355">
        <v>0</v>
      </c>
      <c r="J458" s="357">
        <v>4165.29</v>
      </c>
      <c r="K458" s="355">
        <v>4165.29</v>
      </c>
      <c r="L458" s="355">
        <v>24000</v>
      </c>
    </row>
    <row r="459" spans="1:12" x14ac:dyDescent="0.25">
      <c r="A459" s="223" t="s">
        <v>2034</v>
      </c>
      <c r="B459" s="223" t="s">
        <v>1275</v>
      </c>
      <c r="C459" s="223" t="s">
        <v>1276</v>
      </c>
      <c r="D459" s="223" t="s">
        <v>989</v>
      </c>
      <c r="E459" s="223" t="s">
        <v>998</v>
      </c>
      <c r="F459" s="223" t="s">
        <v>991</v>
      </c>
      <c r="G459" s="223" t="s">
        <v>2043</v>
      </c>
      <c r="H459" s="355">
        <v>24793.39</v>
      </c>
      <c r="I459" s="355">
        <v>0</v>
      </c>
      <c r="J459" s="357">
        <v>5206.6099999999997</v>
      </c>
      <c r="K459" s="355">
        <v>5206.6099999999997</v>
      </c>
      <c r="L459" s="355">
        <v>30000</v>
      </c>
    </row>
    <row r="460" spans="1:12" x14ac:dyDescent="0.25">
      <c r="A460" s="223" t="s">
        <v>2034</v>
      </c>
      <c r="B460" s="223" t="s">
        <v>2044</v>
      </c>
      <c r="C460" s="223"/>
      <c r="D460" s="223" t="s">
        <v>989</v>
      </c>
      <c r="E460" s="223" t="s">
        <v>998</v>
      </c>
      <c r="F460" s="223" t="s">
        <v>991</v>
      </c>
      <c r="G460" s="223" t="s">
        <v>2045</v>
      </c>
      <c r="H460" s="355">
        <v>61983.47</v>
      </c>
      <c r="I460" s="355">
        <v>0</v>
      </c>
      <c r="J460" s="357">
        <v>13016.53</v>
      </c>
      <c r="K460" s="355">
        <v>13016.53</v>
      </c>
      <c r="L460" s="355">
        <v>75000</v>
      </c>
    </row>
    <row r="461" spans="1:12" x14ac:dyDescent="0.25">
      <c r="A461" s="223" t="s">
        <v>2034</v>
      </c>
      <c r="B461" s="223" t="s">
        <v>1165</v>
      </c>
      <c r="C461" s="223" t="s">
        <v>1166</v>
      </c>
      <c r="D461" s="223" t="s">
        <v>989</v>
      </c>
      <c r="E461" s="223" t="s">
        <v>998</v>
      </c>
      <c r="F461" s="223" t="s">
        <v>991</v>
      </c>
      <c r="G461" s="223" t="s">
        <v>2047</v>
      </c>
      <c r="H461" s="355">
        <v>33057.85</v>
      </c>
      <c r="I461" s="355">
        <v>0</v>
      </c>
      <c r="J461" s="357">
        <v>6942.15</v>
      </c>
      <c r="K461" s="355">
        <v>6942.15</v>
      </c>
      <c r="L461" s="355">
        <v>40000</v>
      </c>
    </row>
    <row r="462" spans="1:12" x14ac:dyDescent="0.25">
      <c r="A462" s="223" t="s">
        <v>2034</v>
      </c>
      <c r="B462" s="223" t="s">
        <v>1040</v>
      </c>
      <c r="C462" s="223"/>
      <c r="D462" s="223" t="s">
        <v>988</v>
      </c>
      <c r="E462" s="223" t="s">
        <v>998</v>
      </c>
      <c r="F462" s="223" t="s">
        <v>991</v>
      </c>
      <c r="G462" s="223" t="s">
        <v>2048</v>
      </c>
      <c r="H462" s="355">
        <v>50413.22</v>
      </c>
      <c r="I462" s="355">
        <v>0</v>
      </c>
      <c r="J462" s="357">
        <v>10586.78</v>
      </c>
      <c r="K462" s="355">
        <v>10586.78</v>
      </c>
      <c r="L462" s="355">
        <v>61000</v>
      </c>
    </row>
    <row r="463" spans="1:12" x14ac:dyDescent="0.25">
      <c r="A463" s="223" t="s">
        <v>2034</v>
      </c>
      <c r="B463" s="223" t="s">
        <v>1268</v>
      </c>
      <c r="C463" s="223" t="s">
        <v>1269</v>
      </c>
      <c r="D463" s="223" t="s">
        <v>989</v>
      </c>
      <c r="E463" s="223" t="s">
        <v>998</v>
      </c>
      <c r="F463" s="223" t="s">
        <v>991</v>
      </c>
      <c r="G463" s="223" t="s">
        <v>2049</v>
      </c>
      <c r="H463" s="355">
        <v>18595.04</v>
      </c>
      <c r="I463" s="355">
        <v>0</v>
      </c>
      <c r="J463" s="357">
        <v>3904.96</v>
      </c>
      <c r="K463" s="355">
        <v>3904.96</v>
      </c>
      <c r="L463" s="355">
        <v>22500</v>
      </c>
    </row>
    <row r="464" spans="1:12" x14ac:dyDescent="0.25">
      <c r="A464" s="223" t="s">
        <v>2034</v>
      </c>
      <c r="B464" s="223" t="s">
        <v>1511</v>
      </c>
      <c r="C464" s="223" t="s">
        <v>1512</v>
      </c>
      <c r="D464" s="223" t="s">
        <v>989</v>
      </c>
      <c r="E464" s="223" t="s">
        <v>998</v>
      </c>
      <c r="F464" s="223" t="s">
        <v>991</v>
      </c>
      <c r="G464" s="223" t="s">
        <v>2050</v>
      </c>
      <c r="H464" s="355">
        <v>32231.4</v>
      </c>
      <c r="I464" s="355">
        <v>0</v>
      </c>
      <c r="J464" s="357">
        <v>6768.6</v>
      </c>
      <c r="K464" s="355">
        <v>6768.6</v>
      </c>
      <c r="L464" s="355">
        <v>39000</v>
      </c>
    </row>
    <row r="465" spans="1:12" x14ac:dyDescent="0.25">
      <c r="A465" s="223" t="s">
        <v>2034</v>
      </c>
      <c r="B465" s="223" t="s">
        <v>1295</v>
      </c>
      <c r="C465" s="223" t="s">
        <v>1296</v>
      </c>
      <c r="D465" s="223" t="s">
        <v>989</v>
      </c>
      <c r="E465" s="223" t="s">
        <v>998</v>
      </c>
      <c r="F465" s="223" t="s">
        <v>991</v>
      </c>
      <c r="G465" s="223" t="s">
        <v>2051</v>
      </c>
      <c r="H465" s="355">
        <v>18181.82</v>
      </c>
      <c r="I465" s="355">
        <v>0</v>
      </c>
      <c r="J465" s="357">
        <v>3818.18</v>
      </c>
      <c r="K465" s="355">
        <v>3818.18</v>
      </c>
      <c r="L465" s="355">
        <v>22000</v>
      </c>
    </row>
    <row r="466" spans="1:12" x14ac:dyDescent="0.25">
      <c r="A466" s="223" t="s">
        <v>2034</v>
      </c>
      <c r="B466" s="223" t="s">
        <v>1281</v>
      </c>
      <c r="C466" s="223" t="s">
        <v>1282</v>
      </c>
      <c r="D466" s="223" t="s">
        <v>989</v>
      </c>
      <c r="E466" s="223" t="s">
        <v>998</v>
      </c>
      <c r="F466" s="223" t="s">
        <v>991</v>
      </c>
      <c r="G466" s="223" t="s">
        <v>2052</v>
      </c>
      <c r="H466" s="355">
        <v>14876.03</v>
      </c>
      <c r="I466" s="355">
        <v>0</v>
      </c>
      <c r="J466" s="357">
        <v>3123.97</v>
      </c>
      <c r="K466" s="355">
        <v>3123.97</v>
      </c>
      <c r="L466" s="355">
        <v>18000</v>
      </c>
    </row>
    <row r="467" spans="1:12" x14ac:dyDescent="0.25">
      <c r="A467" s="223" t="s">
        <v>2034</v>
      </c>
      <c r="B467" s="223" t="s">
        <v>1051</v>
      </c>
      <c r="C467" s="223"/>
      <c r="D467" s="223" t="s">
        <v>988</v>
      </c>
      <c r="E467" s="223" t="s">
        <v>998</v>
      </c>
      <c r="F467" s="223" t="s">
        <v>991</v>
      </c>
      <c r="G467" s="223" t="s">
        <v>2053</v>
      </c>
      <c r="H467" s="355">
        <v>25214.05</v>
      </c>
      <c r="I467" s="355">
        <v>0</v>
      </c>
      <c r="J467" s="357">
        <v>5294.95</v>
      </c>
      <c r="K467" s="355">
        <v>5294.95</v>
      </c>
      <c r="L467" s="355">
        <v>30509</v>
      </c>
    </row>
    <row r="468" spans="1:12" x14ac:dyDescent="0.25">
      <c r="A468" s="223" t="s">
        <v>2034</v>
      </c>
      <c r="B468" s="223" t="s">
        <v>1033</v>
      </c>
      <c r="C468" s="223"/>
      <c r="D468" s="223" t="s">
        <v>988</v>
      </c>
      <c r="E468" s="223" t="s">
        <v>998</v>
      </c>
      <c r="F468" s="223" t="s">
        <v>991</v>
      </c>
      <c r="G468" s="223" t="s">
        <v>2055</v>
      </c>
      <c r="H468" s="355">
        <v>24793.39</v>
      </c>
      <c r="I468" s="355">
        <v>0</v>
      </c>
      <c r="J468" s="357">
        <v>5206.6099999999997</v>
      </c>
      <c r="K468" s="355">
        <v>5206.6099999999997</v>
      </c>
      <c r="L468" s="355">
        <v>30000</v>
      </c>
    </row>
    <row r="469" spans="1:12" x14ac:dyDescent="0.25">
      <c r="A469" s="223" t="s">
        <v>2034</v>
      </c>
      <c r="B469" s="223" t="s">
        <v>2056</v>
      </c>
      <c r="C469" s="223" t="s">
        <v>2057</v>
      </c>
      <c r="D469" s="223" t="s">
        <v>989</v>
      </c>
      <c r="E469" s="223" t="s">
        <v>998</v>
      </c>
      <c r="F469" s="223" t="s">
        <v>991</v>
      </c>
      <c r="G469" s="223" t="s">
        <v>2058</v>
      </c>
      <c r="H469" s="355">
        <v>24793.39</v>
      </c>
      <c r="I469" s="355">
        <v>0</v>
      </c>
      <c r="J469" s="357">
        <v>5206.6099999999997</v>
      </c>
      <c r="K469" s="355">
        <v>5206.6099999999997</v>
      </c>
      <c r="L469" s="355">
        <v>30000</v>
      </c>
    </row>
    <row r="470" spans="1:12" x14ac:dyDescent="0.25">
      <c r="A470" s="223" t="s">
        <v>2034</v>
      </c>
      <c r="B470" s="223" t="s">
        <v>2059</v>
      </c>
      <c r="C470" s="223" t="s">
        <v>2060</v>
      </c>
      <c r="D470" s="223" t="s">
        <v>989</v>
      </c>
      <c r="E470" s="223" t="s">
        <v>998</v>
      </c>
      <c r="F470" s="223" t="s">
        <v>991</v>
      </c>
      <c r="G470" s="223" t="s">
        <v>2061</v>
      </c>
      <c r="H470" s="355">
        <v>32231.4</v>
      </c>
      <c r="I470" s="355">
        <v>0</v>
      </c>
      <c r="J470" s="357">
        <v>6768.6</v>
      </c>
      <c r="K470" s="355">
        <v>6768.6</v>
      </c>
      <c r="L470" s="355">
        <v>39000</v>
      </c>
    </row>
    <row r="471" spans="1:12" x14ac:dyDescent="0.25">
      <c r="A471" s="223" t="s">
        <v>2034</v>
      </c>
      <c r="B471" s="223" t="s">
        <v>1064</v>
      </c>
      <c r="C471" s="223" t="s">
        <v>1065</v>
      </c>
      <c r="D471" s="223" t="s">
        <v>989</v>
      </c>
      <c r="E471" s="223" t="s">
        <v>998</v>
      </c>
      <c r="F471" s="223" t="s">
        <v>991</v>
      </c>
      <c r="G471" s="223" t="s">
        <v>2062</v>
      </c>
      <c r="H471" s="355">
        <v>18181.82</v>
      </c>
      <c r="I471" s="355">
        <v>0</v>
      </c>
      <c r="J471" s="357">
        <v>3818.18</v>
      </c>
      <c r="K471" s="355">
        <v>3818.18</v>
      </c>
      <c r="L471" s="355">
        <v>22000</v>
      </c>
    </row>
    <row r="472" spans="1:12" x14ac:dyDescent="0.25">
      <c r="A472" s="223" t="s">
        <v>2034</v>
      </c>
      <c r="B472" s="223" t="s">
        <v>1513</v>
      </c>
      <c r="C472" s="223" t="s">
        <v>1514</v>
      </c>
      <c r="D472" s="223" t="s">
        <v>989</v>
      </c>
      <c r="E472" s="223" t="s">
        <v>1039</v>
      </c>
      <c r="F472" s="223" t="s">
        <v>991</v>
      </c>
      <c r="G472" s="223" t="s">
        <v>2063</v>
      </c>
      <c r="H472" s="355">
        <v>15702.48</v>
      </c>
      <c r="I472" s="355">
        <v>0</v>
      </c>
      <c r="J472" s="357">
        <v>3297.52</v>
      </c>
      <c r="K472" s="355">
        <v>3297.52</v>
      </c>
      <c r="L472" s="355">
        <v>19000</v>
      </c>
    </row>
    <row r="473" spans="1:12" x14ac:dyDescent="0.25">
      <c r="A473" s="223" t="s">
        <v>2034</v>
      </c>
      <c r="B473" s="223" t="s">
        <v>2065</v>
      </c>
      <c r="C473" s="223" t="s">
        <v>2066</v>
      </c>
      <c r="D473" s="223" t="s">
        <v>989</v>
      </c>
      <c r="E473" s="223" t="s">
        <v>998</v>
      </c>
      <c r="F473" s="223" t="s">
        <v>991</v>
      </c>
      <c r="G473" s="223" t="s">
        <v>2067</v>
      </c>
      <c r="H473" s="355">
        <v>32231.4</v>
      </c>
      <c r="I473" s="355">
        <v>0</v>
      </c>
      <c r="J473" s="357">
        <v>6768.6</v>
      </c>
      <c r="K473" s="355">
        <v>6768.6</v>
      </c>
      <c r="L473" s="355">
        <v>39000</v>
      </c>
    </row>
    <row r="474" spans="1:12" x14ac:dyDescent="0.25">
      <c r="A474" s="223" t="s">
        <v>2034</v>
      </c>
      <c r="B474" s="223" t="s">
        <v>1059</v>
      </c>
      <c r="C474" s="223" t="s">
        <v>1060</v>
      </c>
      <c r="D474" s="223" t="s">
        <v>988</v>
      </c>
      <c r="E474" s="223" t="s">
        <v>1061</v>
      </c>
      <c r="F474" s="223" t="s">
        <v>991</v>
      </c>
      <c r="G474" s="223" t="s">
        <v>2068</v>
      </c>
      <c r="H474" s="355">
        <v>17355.37</v>
      </c>
      <c r="I474" s="355">
        <v>0</v>
      </c>
      <c r="J474" s="357">
        <v>3644.63</v>
      </c>
      <c r="K474" s="355">
        <v>3644.63</v>
      </c>
      <c r="L474" s="355">
        <v>21000</v>
      </c>
    </row>
    <row r="475" spans="1:12" x14ac:dyDescent="0.25">
      <c r="A475" s="223" t="s">
        <v>2034</v>
      </c>
      <c r="B475" s="223" t="s">
        <v>1299</v>
      </c>
      <c r="C475" s="223" t="s">
        <v>1300</v>
      </c>
      <c r="D475" s="223" t="s">
        <v>989</v>
      </c>
      <c r="E475" s="223" t="s">
        <v>998</v>
      </c>
      <c r="F475" s="223" t="s">
        <v>991</v>
      </c>
      <c r="G475" s="223" t="s">
        <v>2069</v>
      </c>
      <c r="H475" s="355">
        <v>18181.82</v>
      </c>
      <c r="I475" s="355">
        <v>0</v>
      </c>
      <c r="J475" s="357">
        <v>3818.18</v>
      </c>
      <c r="K475" s="355">
        <v>3818.18</v>
      </c>
      <c r="L475" s="355">
        <v>22000</v>
      </c>
    </row>
    <row r="476" spans="1:12" x14ac:dyDescent="0.25">
      <c r="A476" s="223" t="s">
        <v>2034</v>
      </c>
      <c r="B476" s="223" t="s">
        <v>1523</v>
      </c>
      <c r="C476" s="223" t="s">
        <v>1524</v>
      </c>
      <c r="D476" s="223" t="s">
        <v>988</v>
      </c>
      <c r="E476" s="223" t="s">
        <v>1525</v>
      </c>
      <c r="F476" s="223" t="s">
        <v>991</v>
      </c>
      <c r="G476" s="223" t="s">
        <v>2071</v>
      </c>
      <c r="H476" s="355">
        <v>33057.85</v>
      </c>
      <c r="I476" s="355">
        <v>0</v>
      </c>
      <c r="J476" s="357">
        <v>6942.15</v>
      </c>
      <c r="K476" s="355">
        <v>6942.15</v>
      </c>
      <c r="L476" s="355">
        <v>40000</v>
      </c>
    </row>
    <row r="477" spans="1:12" x14ac:dyDescent="0.25">
      <c r="A477" s="223" t="s">
        <v>2034</v>
      </c>
      <c r="B477" s="223" t="s">
        <v>1527</v>
      </c>
      <c r="C477" s="223" t="s">
        <v>1528</v>
      </c>
      <c r="D477" s="223" t="s">
        <v>988</v>
      </c>
      <c r="E477" s="223" t="s">
        <v>1529</v>
      </c>
      <c r="F477" s="223" t="s">
        <v>991</v>
      </c>
      <c r="G477" s="223" t="s">
        <v>2072</v>
      </c>
      <c r="H477" s="355">
        <v>28925.62</v>
      </c>
      <c r="I477" s="355">
        <v>0</v>
      </c>
      <c r="J477" s="357">
        <v>6074.38</v>
      </c>
      <c r="K477" s="355">
        <v>6074.38</v>
      </c>
      <c r="L477" s="355">
        <v>35000</v>
      </c>
    </row>
    <row r="478" spans="1:12" x14ac:dyDescent="0.25">
      <c r="A478" s="223" t="s">
        <v>2034</v>
      </c>
      <c r="B478" s="223" t="s">
        <v>2073</v>
      </c>
      <c r="C478" s="223" t="s">
        <v>2074</v>
      </c>
      <c r="D478" s="223" t="s">
        <v>989</v>
      </c>
      <c r="E478" s="223" t="s">
        <v>1054</v>
      </c>
      <c r="F478" s="223" t="s">
        <v>991</v>
      </c>
      <c r="G478" s="223" t="s">
        <v>2075</v>
      </c>
      <c r="H478" s="355">
        <v>8177.69</v>
      </c>
      <c r="I478" s="355">
        <v>0</v>
      </c>
      <c r="J478" s="357">
        <v>1717.31</v>
      </c>
      <c r="K478" s="355">
        <v>1717.31</v>
      </c>
      <c r="L478" s="355">
        <v>9895</v>
      </c>
    </row>
    <row r="479" spans="1:12" x14ac:dyDescent="0.25">
      <c r="A479" s="223" t="s">
        <v>2034</v>
      </c>
      <c r="B479" s="223" t="s">
        <v>2073</v>
      </c>
      <c r="C479" s="223" t="s">
        <v>2074</v>
      </c>
      <c r="D479" s="223" t="s">
        <v>989</v>
      </c>
      <c r="E479" s="223" t="s">
        <v>1054</v>
      </c>
      <c r="F479" s="223" t="s">
        <v>991</v>
      </c>
      <c r="G479" s="223" t="s">
        <v>2076</v>
      </c>
      <c r="H479" s="355">
        <v>8177.69</v>
      </c>
      <c r="I479" s="355">
        <v>0</v>
      </c>
      <c r="J479" s="357">
        <v>1717.31</v>
      </c>
      <c r="K479" s="355">
        <v>1717.31</v>
      </c>
      <c r="L479" s="355">
        <v>9895</v>
      </c>
    </row>
    <row r="480" spans="1:12" x14ac:dyDescent="0.25">
      <c r="A480" s="223" t="s">
        <v>2034</v>
      </c>
      <c r="B480" s="223" t="s">
        <v>2077</v>
      </c>
      <c r="C480" s="223" t="s">
        <v>2078</v>
      </c>
      <c r="D480" s="223" t="s">
        <v>989</v>
      </c>
      <c r="E480" s="223" t="s">
        <v>1054</v>
      </c>
      <c r="F480" s="223" t="s">
        <v>991</v>
      </c>
      <c r="G480" s="223" t="s">
        <v>2079</v>
      </c>
      <c r="H480" s="355">
        <v>9595.0400000000009</v>
      </c>
      <c r="I480" s="355">
        <v>0</v>
      </c>
      <c r="J480" s="357">
        <v>2014.96</v>
      </c>
      <c r="K480" s="355">
        <v>2014.96</v>
      </c>
      <c r="L480" s="355">
        <v>11610</v>
      </c>
    </row>
    <row r="481" spans="1:12" x14ac:dyDescent="0.25">
      <c r="A481" s="223" t="s">
        <v>2034</v>
      </c>
      <c r="B481" s="223" t="s">
        <v>2077</v>
      </c>
      <c r="C481" s="223" t="s">
        <v>2078</v>
      </c>
      <c r="D481" s="223" t="s">
        <v>989</v>
      </c>
      <c r="E481" s="223" t="s">
        <v>1054</v>
      </c>
      <c r="F481" s="223" t="s">
        <v>991</v>
      </c>
      <c r="G481" s="223" t="s">
        <v>2080</v>
      </c>
      <c r="H481" s="355">
        <v>9595.0400000000009</v>
      </c>
      <c r="I481" s="355">
        <v>0</v>
      </c>
      <c r="J481" s="357">
        <v>2014.96</v>
      </c>
      <c r="K481" s="355">
        <v>2014.96</v>
      </c>
      <c r="L481" s="355">
        <v>11610</v>
      </c>
    </row>
    <row r="482" spans="1:12" x14ac:dyDescent="0.25">
      <c r="A482" s="223" t="s">
        <v>2034</v>
      </c>
      <c r="B482" s="223" t="s">
        <v>2081</v>
      </c>
      <c r="C482" s="223" t="s">
        <v>2082</v>
      </c>
      <c r="D482" s="223" t="s">
        <v>989</v>
      </c>
      <c r="E482" s="223" t="s">
        <v>998</v>
      </c>
      <c r="F482" s="223" t="s">
        <v>991</v>
      </c>
      <c r="G482" s="223" t="s">
        <v>2083</v>
      </c>
      <c r="H482" s="355">
        <v>24793.39</v>
      </c>
      <c r="I482" s="355">
        <v>0</v>
      </c>
      <c r="J482" s="357">
        <v>5206.6099999999997</v>
      </c>
      <c r="K482" s="355">
        <v>5206.6099999999997</v>
      </c>
      <c r="L482" s="355">
        <v>30000</v>
      </c>
    </row>
    <row r="483" spans="1:12" x14ac:dyDescent="0.25">
      <c r="A483" s="223" t="s">
        <v>2034</v>
      </c>
      <c r="B483" s="223" t="s">
        <v>2084</v>
      </c>
      <c r="C483" s="223" t="s">
        <v>2085</v>
      </c>
      <c r="D483" s="223" t="s">
        <v>989</v>
      </c>
      <c r="E483" s="223" t="s">
        <v>998</v>
      </c>
      <c r="F483" s="223" t="s">
        <v>991</v>
      </c>
      <c r="G483" s="223" t="s">
        <v>2086</v>
      </c>
      <c r="H483" s="355">
        <v>41322.31</v>
      </c>
      <c r="I483" s="355">
        <v>0</v>
      </c>
      <c r="J483" s="357">
        <v>8677.69</v>
      </c>
      <c r="K483" s="355">
        <v>8677.69</v>
      </c>
      <c r="L483" s="355">
        <v>50000</v>
      </c>
    </row>
    <row r="484" spans="1:12" x14ac:dyDescent="0.25">
      <c r="A484" s="223" t="s">
        <v>2087</v>
      </c>
      <c r="B484" s="223" t="s">
        <v>1064</v>
      </c>
      <c r="C484" s="223" t="s">
        <v>1065</v>
      </c>
      <c r="D484" s="223" t="s">
        <v>989</v>
      </c>
      <c r="E484" s="223" t="s">
        <v>998</v>
      </c>
      <c r="F484" s="223" t="s">
        <v>991</v>
      </c>
      <c r="G484" s="223" t="s">
        <v>2089</v>
      </c>
      <c r="H484" s="355">
        <v>32231.4</v>
      </c>
      <c r="I484" s="355">
        <v>0</v>
      </c>
      <c r="J484" s="357">
        <v>6768.6</v>
      </c>
      <c r="K484" s="355">
        <v>6768.6</v>
      </c>
      <c r="L484" s="355">
        <v>39000</v>
      </c>
    </row>
    <row r="485" spans="1:12" x14ac:dyDescent="0.25">
      <c r="A485" s="223" t="s">
        <v>2087</v>
      </c>
      <c r="B485" s="223" t="s">
        <v>1064</v>
      </c>
      <c r="C485" s="223" t="s">
        <v>1065</v>
      </c>
      <c r="D485" s="223" t="s">
        <v>989</v>
      </c>
      <c r="E485" s="223" t="s">
        <v>998</v>
      </c>
      <c r="F485" s="223" t="s">
        <v>991</v>
      </c>
      <c r="G485" s="223" t="s">
        <v>2090</v>
      </c>
      <c r="H485" s="355">
        <v>32231.4</v>
      </c>
      <c r="I485" s="355">
        <v>0</v>
      </c>
      <c r="J485" s="357">
        <v>6768.6</v>
      </c>
      <c r="K485" s="355">
        <v>6768.6</v>
      </c>
      <c r="L485" s="355">
        <v>39000</v>
      </c>
    </row>
    <row r="486" spans="1:12" x14ac:dyDescent="0.25">
      <c r="A486" s="223" t="s">
        <v>2087</v>
      </c>
      <c r="B486" s="223" t="s">
        <v>2091</v>
      </c>
      <c r="C486" s="223" t="s">
        <v>2092</v>
      </c>
      <c r="D486" s="223" t="s">
        <v>989</v>
      </c>
      <c r="E486" s="223" t="s">
        <v>998</v>
      </c>
      <c r="F486" s="223" t="s">
        <v>991</v>
      </c>
      <c r="G486" s="223" t="s">
        <v>2093</v>
      </c>
      <c r="H486" s="355">
        <v>158677.69</v>
      </c>
      <c r="I486" s="355">
        <v>0</v>
      </c>
      <c r="J486" s="357">
        <v>33322.31</v>
      </c>
      <c r="K486" s="355">
        <v>33322.31</v>
      </c>
      <c r="L486" s="355">
        <v>192000</v>
      </c>
    </row>
    <row r="487" spans="1:12" x14ac:dyDescent="0.25">
      <c r="A487" s="223" t="s">
        <v>2087</v>
      </c>
      <c r="B487" s="223" t="s">
        <v>1292</v>
      </c>
      <c r="C487" s="223" t="s">
        <v>1293</v>
      </c>
      <c r="D487" s="223" t="s">
        <v>989</v>
      </c>
      <c r="E487" s="223" t="s">
        <v>1294</v>
      </c>
      <c r="F487" s="223" t="s">
        <v>991</v>
      </c>
      <c r="G487" s="223" t="s">
        <v>2094</v>
      </c>
      <c r="H487" s="355">
        <v>44628.1</v>
      </c>
      <c r="I487" s="355">
        <v>0</v>
      </c>
      <c r="J487" s="357">
        <v>9371.9</v>
      </c>
      <c r="K487" s="355">
        <v>9371.9</v>
      </c>
      <c r="L487" s="355">
        <v>54000</v>
      </c>
    </row>
    <row r="488" spans="1:12" x14ac:dyDescent="0.25">
      <c r="A488" s="223" t="s">
        <v>2087</v>
      </c>
      <c r="B488" s="223" t="s">
        <v>1292</v>
      </c>
      <c r="C488" s="223" t="s">
        <v>1293</v>
      </c>
      <c r="D488" s="223" t="s">
        <v>989</v>
      </c>
      <c r="E488" s="223" t="s">
        <v>1294</v>
      </c>
      <c r="F488" s="223" t="s">
        <v>991</v>
      </c>
      <c r="G488" s="223" t="s">
        <v>2096</v>
      </c>
      <c r="H488" s="355">
        <v>25454.55</v>
      </c>
      <c r="I488" s="355">
        <v>0</v>
      </c>
      <c r="J488" s="357">
        <v>5345.45</v>
      </c>
      <c r="K488" s="355">
        <v>5345.45</v>
      </c>
      <c r="L488" s="355">
        <v>30800</v>
      </c>
    </row>
    <row r="489" spans="1:12" x14ac:dyDescent="0.25">
      <c r="A489" s="223" t="s">
        <v>2087</v>
      </c>
      <c r="B489" s="223" t="s">
        <v>1292</v>
      </c>
      <c r="C489" s="223" t="s">
        <v>1293</v>
      </c>
      <c r="D489" s="223" t="s">
        <v>989</v>
      </c>
      <c r="E489" s="223" t="s">
        <v>1294</v>
      </c>
      <c r="F489" s="223" t="s">
        <v>991</v>
      </c>
      <c r="G489" s="223" t="s">
        <v>2097</v>
      </c>
      <c r="H489" s="355">
        <v>14876.03</v>
      </c>
      <c r="I489" s="355">
        <v>0</v>
      </c>
      <c r="J489" s="357">
        <v>3123.97</v>
      </c>
      <c r="K489" s="355">
        <v>3123.97</v>
      </c>
      <c r="L489" s="355">
        <v>18000</v>
      </c>
    </row>
    <row r="490" spans="1:12" x14ac:dyDescent="0.25">
      <c r="A490" s="223" t="s">
        <v>2087</v>
      </c>
      <c r="B490" s="223" t="s">
        <v>1292</v>
      </c>
      <c r="C490" s="223" t="s">
        <v>1293</v>
      </c>
      <c r="D490" s="223" t="s">
        <v>989</v>
      </c>
      <c r="E490" s="223" t="s">
        <v>1294</v>
      </c>
      <c r="F490" s="223" t="s">
        <v>991</v>
      </c>
      <c r="G490" s="223" t="s">
        <v>2098</v>
      </c>
      <c r="H490" s="355">
        <v>10661.16</v>
      </c>
      <c r="I490" s="355">
        <v>0</v>
      </c>
      <c r="J490" s="357">
        <v>2238.84</v>
      </c>
      <c r="K490" s="355">
        <v>2238.84</v>
      </c>
      <c r="L490" s="355">
        <v>12900</v>
      </c>
    </row>
    <row r="491" spans="1:12" x14ac:dyDescent="0.25">
      <c r="A491" s="223" t="s">
        <v>2087</v>
      </c>
      <c r="B491" s="223" t="s">
        <v>1292</v>
      </c>
      <c r="C491" s="223" t="s">
        <v>1293</v>
      </c>
      <c r="D491" s="223" t="s">
        <v>989</v>
      </c>
      <c r="E491" s="223" t="s">
        <v>1294</v>
      </c>
      <c r="F491" s="223" t="s">
        <v>991</v>
      </c>
      <c r="G491" s="223" t="s">
        <v>2099</v>
      </c>
      <c r="H491" s="355">
        <v>15702.48</v>
      </c>
      <c r="I491" s="355">
        <v>0</v>
      </c>
      <c r="J491" s="357">
        <v>3297.52</v>
      </c>
      <c r="K491" s="355">
        <v>3297.52</v>
      </c>
      <c r="L491" s="355">
        <v>19000</v>
      </c>
    </row>
    <row r="492" spans="1:12" x14ac:dyDescent="0.25">
      <c r="A492" s="223" t="s">
        <v>2087</v>
      </c>
      <c r="B492" s="223" t="s">
        <v>1265</v>
      </c>
      <c r="C492" s="223" t="s">
        <v>1266</v>
      </c>
      <c r="D492" s="223" t="s">
        <v>989</v>
      </c>
      <c r="E492" s="223" t="s">
        <v>998</v>
      </c>
      <c r="F492" s="223" t="s">
        <v>1008</v>
      </c>
      <c r="G492" s="223" t="s">
        <v>2105</v>
      </c>
      <c r="H492" s="355">
        <v>1570247.93</v>
      </c>
      <c r="I492" s="355">
        <v>0</v>
      </c>
      <c r="J492" s="357">
        <v>329752.07</v>
      </c>
      <c r="K492" s="355">
        <v>329752.07</v>
      </c>
      <c r="L492" s="355">
        <v>1900000</v>
      </c>
    </row>
    <row r="493" spans="1:12" x14ac:dyDescent="0.25">
      <c r="A493" s="223" t="s">
        <v>2087</v>
      </c>
      <c r="B493" s="223" t="s">
        <v>2108</v>
      </c>
      <c r="C493" s="223" t="s">
        <v>2109</v>
      </c>
      <c r="D493" s="223" t="s">
        <v>989</v>
      </c>
      <c r="E493" s="223" t="s">
        <v>998</v>
      </c>
      <c r="F493" s="223" t="s">
        <v>1008</v>
      </c>
      <c r="G493" s="223" t="s">
        <v>2110</v>
      </c>
      <c r="H493" s="355">
        <v>1222727.27</v>
      </c>
      <c r="I493" s="355">
        <v>0</v>
      </c>
      <c r="J493" s="357">
        <v>256772.73</v>
      </c>
      <c r="K493" s="355">
        <v>256772.73</v>
      </c>
      <c r="L493" s="355">
        <v>1479500</v>
      </c>
    </row>
    <row r="494" spans="1:12" x14ac:dyDescent="0.25">
      <c r="A494" s="223" t="s">
        <v>2087</v>
      </c>
      <c r="B494" s="223" t="s">
        <v>1027</v>
      </c>
      <c r="C494" s="223" t="s">
        <v>1028</v>
      </c>
      <c r="D494" s="223" t="s">
        <v>989</v>
      </c>
      <c r="E494" s="223" t="s">
        <v>998</v>
      </c>
      <c r="F494" s="223" t="s">
        <v>1008</v>
      </c>
      <c r="G494" s="223" t="s">
        <v>2111</v>
      </c>
      <c r="H494" s="355">
        <v>138842.98000000001</v>
      </c>
      <c r="I494" s="355">
        <v>0</v>
      </c>
      <c r="J494" s="357">
        <v>29157.02</v>
      </c>
      <c r="K494" s="355">
        <v>29157.02</v>
      </c>
      <c r="L494" s="355">
        <v>168000</v>
      </c>
    </row>
    <row r="495" spans="1:12" x14ac:dyDescent="0.25">
      <c r="A495" s="223" t="s">
        <v>2087</v>
      </c>
      <c r="B495" s="223" t="s">
        <v>81</v>
      </c>
      <c r="C495" s="223" t="s">
        <v>1010</v>
      </c>
      <c r="D495" s="223" t="s">
        <v>1011</v>
      </c>
      <c r="E495" s="223" t="s">
        <v>1012</v>
      </c>
      <c r="F495" s="223" t="s">
        <v>1008</v>
      </c>
      <c r="G495" s="223" t="s">
        <v>2112</v>
      </c>
      <c r="H495" s="355">
        <v>363636.36</v>
      </c>
      <c r="I495" s="355">
        <v>0</v>
      </c>
      <c r="J495" s="357">
        <v>76363.64</v>
      </c>
      <c r="K495" s="355">
        <v>76363.64</v>
      </c>
      <c r="L495" s="355">
        <v>440000</v>
      </c>
    </row>
    <row r="496" spans="1:12" x14ac:dyDescent="0.25">
      <c r="A496" s="223" t="s">
        <v>2087</v>
      </c>
      <c r="B496" s="223" t="s">
        <v>81</v>
      </c>
      <c r="C496" s="223" t="s">
        <v>1010</v>
      </c>
      <c r="D496" s="223" t="s">
        <v>1011</v>
      </c>
      <c r="E496" s="223" t="s">
        <v>1012</v>
      </c>
      <c r="F496" s="223" t="s">
        <v>1008</v>
      </c>
      <c r="G496" s="223" t="s">
        <v>2113</v>
      </c>
      <c r="H496" s="355">
        <v>330413.21999999997</v>
      </c>
      <c r="I496" s="355">
        <v>0</v>
      </c>
      <c r="J496" s="357">
        <v>69386.78</v>
      </c>
      <c r="K496" s="355">
        <v>69386.78</v>
      </c>
      <c r="L496" s="355">
        <v>399800</v>
      </c>
    </row>
    <row r="497" spans="1:12" x14ac:dyDescent="0.25">
      <c r="A497" s="223" t="s">
        <v>2087</v>
      </c>
      <c r="B497" s="223" t="s">
        <v>1025</v>
      </c>
      <c r="C497" s="223" t="s">
        <v>1026</v>
      </c>
      <c r="D497" s="223" t="s">
        <v>989</v>
      </c>
      <c r="E497" s="223" t="s">
        <v>998</v>
      </c>
      <c r="F497" s="223" t="s">
        <v>1008</v>
      </c>
      <c r="G497" s="223" t="s">
        <v>2114</v>
      </c>
      <c r="H497" s="355">
        <v>33884.300000000003</v>
      </c>
      <c r="I497" s="355">
        <v>0</v>
      </c>
      <c r="J497" s="357">
        <v>7115.7</v>
      </c>
      <c r="K497" s="355">
        <v>7115.7</v>
      </c>
      <c r="L497" s="355">
        <v>41000</v>
      </c>
    </row>
    <row r="498" spans="1:12" x14ac:dyDescent="0.25">
      <c r="A498" s="223" t="s">
        <v>2116</v>
      </c>
      <c r="B498" s="223" t="s">
        <v>2122</v>
      </c>
      <c r="C498" s="223" t="s">
        <v>2123</v>
      </c>
      <c r="D498" s="223" t="s">
        <v>988</v>
      </c>
      <c r="E498" s="223" t="s">
        <v>1525</v>
      </c>
      <c r="F498" s="223" t="s">
        <v>991</v>
      </c>
      <c r="G498" s="223" t="s">
        <v>2124</v>
      </c>
      <c r="H498" s="355">
        <v>18595.04</v>
      </c>
      <c r="I498" s="355">
        <v>0</v>
      </c>
      <c r="J498" s="357">
        <v>3904.96</v>
      </c>
      <c r="K498" s="355">
        <v>3904.96</v>
      </c>
      <c r="L498" s="355">
        <v>22500</v>
      </c>
    </row>
    <row r="499" spans="1:12" x14ac:dyDescent="0.25">
      <c r="A499" s="223" t="s">
        <v>2146</v>
      </c>
      <c r="B499" s="223" t="s">
        <v>2164</v>
      </c>
      <c r="C499" s="223"/>
      <c r="D499" s="223" t="s">
        <v>989</v>
      </c>
      <c r="E499" s="223" t="s">
        <v>2165</v>
      </c>
      <c r="F499" s="223" t="s">
        <v>991</v>
      </c>
      <c r="G499" s="223" t="s">
        <v>2166</v>
      </c>
      <c r="H499" s="355">
        <v>21487.599999999999</v>
      </c>
      <c r="I499" s="355">
        <v>0</v>
      </c>
      <c r="J499" s="357">
        <v>4512.3999999999996</v>
      </c>
      <c r="K499" s="355">
        <v>4512.3999999999996</v>
      </c>
      <c r="L499" s="355">
        <v>26000</v>
      </c>
    </row>
    <row r="500" spans="1:12" x14ac:dyDescent="0.25">
      <c r="A500" s="223" t="s">
        <v>1794</v>
      </c>
      <c r="B500" s="223" t="s">
        <v>2186</v>
      </c>
      <c r="C500" s="223" t="s">
        <v>1009</v>
      </c>
      <c r="D500" s="223" t="s">
        <v>989</v>
      </c>
      <c r="E500" s="223" t="s">
        <v>998</v>
      </c>
      <c r="F500" s="223" t="s">
        <v>987</v>
      </c>
      <c r="G500" s="223" t="s">
        <v>2188</v>
      </c>
      <c r="H500" s="355">
        <v>-92037.81</v>
      </c>
      <c r="I500" s="355"/>
      <c r="J500" s="355">
        <v>-19327.939999999999</v>
      </c>
      <c r="K500" s="357">
        <v>-19327.939999999999</v>
      </c>
      <c r="L500" s="355">
        <v>111365.72</v>
      </c>
    </row>
    <row r="501" spans="1:12" x14ac:dyDescent="0.25">
      <c r="A501" s="223" t="s">
        <v>1794</v>
      </c>
      <c r="B501" s="223" t="s">
        <v>73</v>
      </c>
      <c r="C501" s="223" t="s">
        <v>1009</v>
      </c>
      <c r="D501" s="223" t="s">
        <v>989</v>
      </c>
      <c r="E501" s="223" t="s">
        <v>998</v>
      </c>
      <c r="F501" s="223" t="s">
        <v>987</v>
      </c>
      <c r="G501" s="223" t="s">
        <v>1816</v>
      </c>
      <c r="H501" s="355">
        <v>-43058.26</v>
      </c>
      <c r="I501" s="355">
        <v>0</v>
      </c>
      <c r="J501" s="355">
        <v>-9042.23</v>
      </c>
      <c r="K501" s="357">
        <v>-9042.23</v>
      </c>
      <c r="L501" s="355">
        <v>-52100.49</v>
      </c>
    </row>
    <row r="502" spans="1:12" x14ac:dyDescent="0.25">
      <c r="A502" s="223" t="s">
        <v>1794</v>
      </c>
      <c r="B502" s="223" t="s">
        <v>73</v>
      </c>
      <c r="C502" s="223" t="s">
        <v>1009</v>
      </c>
      <c r="D502" s="223" t="s">
        <v>989</v>
      </c>
      <c r="E502" s="223" t="s">
        <v>998</v>
      </c>
      <c r="F502" s="223" t="s">
        <v>987</v>
      </c>
      <c r="G502" s="223" t="s">
        <v>1822</v>
      </c>
      <c r="H502" s="355">
        <v>-260330.58</v>
      </c>
      <c r="I502" s="355">
        <v>0</v>
      </c>
      <c r="J502" s="355">
        <v>-54669.42</v>
      </c>
      <c r="K502" s="357">
        <v>-54669.42</v>
      </c>
      <c r="L502" s="355">
        <v>-315000</v>
      </c>
    </row>
    <row r="503" spans="1:12" x14ac:dyDescent="0.25">
      <c r="A503" s="223" t="s">
        <v>1794</v>
      </c>
      <c r="B503" s="223" t="s">
        <v>73</v>
      </c>
      <c r="C503" s="223" t="s">
        <v>1009</v>
      </c>
      <c r="D503" s="223" t="s">
        <v>989</v>
      </c>
      <c r="E503" s="223" t="s">
        <v>998</v>
      </c>
      <c r="F503" s="223" t="s">
        <v>987</v>
      </c>
      <c r="G503" s="223" t="s">
        <v>1819</v>
      </c>
      <c r="H503" s="355">
        <v>-2292377.79</v>
      </c>
      <c r="I503" s="355">
        <v>0</v>
      </c>
      <c r="J503" s="355">
        <v>-481399.34</v>
      </c>
      <c r="K503" s="357">
        <v>-481399.34</v>
      </c>
      <c r="L503" s="355">
        <v>-2773777.13</v>
      </c>
    </row>
    <row r="504" spans="1:12" x14ac:dyDescent="0.25">
      <c r="A504" s="223" t="s">
        <v>1712</v>
      </c>
      <c r="B504" s="223" t="s">
        <v>1004</v>
      </c>
      <c r="C504" s="223" t="s">
        <v>1005</v>
      </c>
      <c r="D504" s="223" t="s">
        <v>989</v>
      </c>
      <c r="E504" s="223" t="s">
        <v>998</v>
      </c>
      <c r="F504" s="223" t="s">
        <v>987</v>
      </c>
      <c r="G504" s="223" t="s">
        <v>1734</v>
      </c>
      <c r="H504" s="355">
        <v>-407356.2</v>
      </c>
      <c r="I504" s="355">
        <v>0</v>
      </c>
      <c r="J504" s="355">
        <v>-85544.8</v>
      </c>
      <c r="K504" s="357">
        <v>-85544.8</v>
      </c>
      <c r="L504" s="355">
        <v>-492901</v>
      </c>
    </row>
    <row r="505" spans="1:12" x14ac:dyDescent="0.25">
      <c r="A505" s="223" t="s">
        <v>1848</v>
      </c>
      <c r="B505" s="223" t="s">
        <v>1057</v>
      </c>
      <c r="C505" s="223" t="s">
        <v>1058</v>
      </c>
      <c r="D505" s="223" t="s">
        <v>989</v>
      </c>
      <c r="E505" s="223" t="s">
        <v>998</v>
      </c>
      <c r="F505" s="223" t="s">
        <v>987</v>
      </c>
      <c r="G505" s="223" t="s">
        <v>1876</v>
      </c>
      <c r="H505" s="355">
        <v>-18238.02</v>
      </c>
      <c r="I505" s="355">
        <v>0</v>
      </c>
      <c r="J505" s="355">
        <v>-3829.98</v>
      </c>
      <c r="K505" s="357">
        <v>-3829.98</v>
      </c>
      <c r="L505" s="355">
        <v>-22068</v>
      </c>
    </row>
    <row r="506" spans="1:12" x14ac:dyDescent="0.25">
      <c r="A506" s="223" t="s">
        <v>1848</v>
      </c>
      <c r="B506" s="223" t="s">
        <v>1057</v>
      </c>
      <c r="C506" s="223" t="s">
        <v>1058</v>
      </c>
      <c r="D506" s="223" t="s">
        <v>989</v>
      </c>
      <c r="E506" s="223" t="s">
        <v>998</v>
      </c>
      <c r="F506" s="223" t="s">
        <v>987</v>
      </c>
      <c r="G506" s="223" t="s">
        <v>1880</v>
      </c>
      <c r="H506" s="355">
        <v>-46871.9</v>
      </c>
      <c r="I506" s="355">
        <v>0</v>
      </c>
      <c r="J506" s="355">
        <v>-9843.1</v>
      </c>
      <c r="K506" s="357">
        <v>-9843.1</v>
      </c>
      <c r="L506" s="355">
        <v>-56715</v>
      </c>
    </row>
    <row r="507" spans="1:12" x14ac:dyDescent="0.25">
      <c r="A507" s="223" t="s">
        <v>1848</v>
      </c>
      <c r="B507" s="223" t="s">
        <v>1057</v>
      </c>
      <c r="C507" s="223" t="s">
        <v>1058</v>
      </c>
      <c r="D507" s="223" t="s">
        <v>989</v>
      </c>
      <c r="E507" s="223" t="s">
        <v>998</v>
      </c>
      <c r="F507" s="223" t="s">
        <v>987</v>
      </c>
      <c r="G507" s="223" t="s">
        <v>1887</v>
      </c>
      <c r="H507" s="355">
        <v>-18748.759999999998</v>
      </c>
      <c r="I507" s="355">
        <v>0</v>
      </c>
      <c r="J507" s="355">
        <v>-3937.24</v>
      </c>
      <c r="K507" s="357">
        <v>-3937.24</v>
      </c>
      <c r="L507" s="355">
        <v>-22686</v>
      </c>
    </row>
    <row r="508" spans="1:12" x14ac:dyDescent="0.25">
      <c r="A508" s="223" t="s">
        <v>1848</v>
      </c>
      <c r="B508" s="223" t="s">
        <v>1507</v>
      </c>
      <c r="C508" s="223" t="s">
        <v>1508</v>
      </c>
      <c r="D508" s="223" t="s">
        <v>989</v>
      </c>
      <c r="E508" s="223" t="s">
        <v>998</v>
      </c>
      <c r="F508" s="223" t="s">
        <v>987</v>
      </c>
      <c r="G508" s="223" t="s">
        <v>1901</v>
      </c>
      <c r="H508" s="355">
        <v>-13223.14</v>
      </c>
      <c r="I508" s="355">
        <v>0</v>
      </c>
      <c r="J508" s="355">
        <v>-2776.86</v>
      </c>
      <c r="K508" s="357">
        <v>-2776.86</v>
      </c>
      <c r="L508" s="355">
        <v>-16000</v>
      </c>
    </row>
    <row r="509" spans="1:12" x14ac:dyDescent="0.25">
      <c r="A509" s="223" t="s">
        <v>2146</v>
      </c>
      <c r="B509" s="223" t="s">
        <v>81</v>
      </c>
      <c r="C509" s="223" t="s">
        <v>1010</v>
      </c>
      <c r="D509" s="223" t="s">
        <v>1011</v>
      </c>
      <c r="E509" s="223" t="s">
        <v>1012</v>
      </c>
      <c r="F509" s="223" t="s">
        <v>1008</v>
      </c>
      <c r="G509" s="223" t="s">
        <v>2189</v>
      </c>
      <c r="H509" s="355">
        <v>0</v>
      </c>
      <c r="I509" s="355">
        <v>56625</v>
      </c>
      <c r="J509" s="355">
        <v>0</v>
      </c>
      <c r="K509" s="355">
        <v>0</v>
      </c>
      <c r="L509" s="355">
        <v>56625</v>
      </c>
    </row>
    <row r="510" spans="1:12" x14ac:dyDescent="0.25">
      <c r="A510" s="223" t="s">
        <v>1516</v>
      </c>
      <c r="B510" s="223" t="s">
        <v>999</v>
      </c>
      <c r="C510" s="223" t="s">
        <v>1000</v>
      </c>
      <c r="D510" s="223" t="s">
        <v>989</v>
      </c>
      <c r="E510" s="223" t="s">
        <v>998</v>
      </c>
      <c r="F510" s="223" t="s">
        <v>991</v>
      </c>
      <c r="G510" s="223" t="s">
        <v>1553</v>
      </c>
      <c r="H510" s="355">
        <v>-20661.16</v>
      </c>
      <c r="I510" s="355">
        <v>0</v>
      </c>
      <c r="J510" s="357">
        <v>-4338.84</v>
      </c>
      <c r="K510" s="355">
        <v>-4338.84</v>
      </c>
      <c r="L510" s="355">
        <v>-25000</v>
      </c>
    </row>
    <row r="511" spans="1:12" x14ac:dyDescent="0.25">
      <c r="A511" s="223" t="s">
        <v>1676</v>
      </c>
      <c r="B511" s="223" t="s">
        <v>999</v>
      </c>
      <c r="C511" s="223" t="s">
        <v>1000</v>
      </c>
      <c r="D511" s="223" t="s">
        <v>989</v>
      </c>
      <c r="E511" s="223" t="s">
        <v>998</v>
      </c>
      <c r="F511" s="223" t="s">
        <v>991</v>
      </c>
      <c r="G511" s="223" t="s">
        <v>1684</v>
      </c>
      <c r="H511" s="355">
        <v>-12396.69</v>
      </c>
      <c r="I511" s="355">
        <v>0</v>
      </c>
      <c r="J511" s="357">
        <v>-2603.31</v>
      </c>
      <c r="K511" s="355">
        <v>-2603.31</v>
      </c>
      <c r="L511" s="355">
        <v>-15000</v>
      </c>
    </row>
    <row r="512" spans="1:12" x14ac:dyDescent="0.25">
      <c r="A512" s="223" t="s">
        <v>1956</v>
      </c>
      <c r="B512" s="223" t="s">
        <v>999</v>
      </c>
      <c r="C512" s="223" t="s">
        <v>1000</v>
      </c>
      <c r="D512" s="223" t="s">
        <v>989</v>
      </c>
      <c r="E512" s="223" t="s">
        <v>998</v>
      </c>
      <c r="F512" s="223" t="s">
        <v>991</v>
      </c>
      <c r="G512" s="223" t="s">
        <v>1969</v>
      </c>
      <c r="H512" s="355">
        <v>-29752.07</v>
      </c>
      <c r="I512" s="355">
        <v>0</v>
      </c>
      <c r="J512" s="357">
        <v>-6247.93</v>
      </c>
      <c r="K512" s="355">
        <v>-6247.93</v>
      </c>
      <c r="L512" s="355">
        <v>-36000</v>
      </c>
    </row>
    <row r="513" spans="1:12" x14ac:dyDescent="0.25">
      <c r="A513" s="223" t="s">
        <v>1991</v>
      </c>
      <c r="B513" s="223" t="s">
        <v>999</v>
      </c>
      <c r="C513" s="223" t="s">
        <v>1000</v>
      </c>
      <c r="D513" s="223" t="s">
        <v>989</v>
      </c>
      <c r="E513" s="223" t="s">
        <v>998</v>
      </c>
      <c r="F513" s="223" t="s">
        <v>991</v>
      </c>
      <c r="G513" s="223" t="s">
        <v>2014</v>
      </c>
      <c r="H513" s="355">
        <v>-29752.07</v>
      </c>
      <c r="I513" s="355">
        <v>0</v>
      </c>
      <c r="J513" s="357">
        <v>-6247.93</v>
      </c>
      <c r="K513" s="355">
        <v>-6247.93</v>
      </c>
      <c r="L513" s="355">
        <v>-36000</v>
      </c>
    </row>
    <row r="514" spans="1:12" x14ac:dyDescent="0.25">
      <c r="A514" s="223" t="s">
        <v>1619</v>
      </c>
      <c r="B514" s="223" t="s">
        <v>81</v>
      </c>
      <c r="C514" s="223" t="s">
        <v>1010</v>
      </c>
      <c r="D514" s="223" t="s">
        <v>1011</v>
      </c>
      <c r="E514" s="223" t="s">
        <v>1012</v>
      </c>
      <c r="F514" s="223" t="s">
        <v>1008</v>
      </c>
      <c r="G514" s="223" t="s">
        <v>1621</v>
      </c>
      <c r="H514" s="355">
        <v>-347107.44</v>
      </c>
      <c r="I514" s="355">
        <v>0</v>
      </c>
      <c r="J514" s="357">
        <v>-72892.56</v>
      </c>
      <c r="K514" s="355">
        <v>-72892.56</v>
      </c>
      <c r="L514" s="355">
        <v>-420000</v>
      </c>
    </row>
    <row r="515" spans="1:12" x14ac:dyDescent="0.25">
      <c r="A515" s="223" t="s">
        <v>1619</v>
      </c>
      <c r="B515" s="223" t="s">
        <v>81</v>
      </c>
      <c r="C515" s="223" t="s">
        <v>1010</v>
      </c>
      <c r="D515" s="223" t="s">
        <v>1011</v>
      </c>
      <c r="E515" s="223" t="s">
        <v>1012</v>
      </c>
      <c r="F515" s="223" t="s">
        <v>1008</v>
      </c>
      <c r="G515" s="223" t="s">
        <v>1622</v>
      </c>
      <c r="H515" s="355">
        <v>-59504.13</v>
      </c>
      <c r="I515" s="355">
        <v>0</v>
      </c>
      <c r="J515" s="357">
        <v>-12495.87</v>
      </c>
      <c r="K515" s="355">
        <v>-12495.87</v>
      </c>
      <c r="L515" s="355">
        <v>-72000</v>
      </c>
    </row>
    <row r="516" spans="1:12" x14ac:dyDescent="0.25">
      <c r="A516" s="223" t="s">
        <v>1956</v>
      </c>
      <c r="B516" s="223" t="s">
        <v>999</v>
      </c>
      <c r="C516" s="223" t="s">
        <v>1000</v>
      </c>
      <c r="D516" s="223" t="s">
        <v>989</v>
      </c>
      <c r="E516" s="223" t="s">
        <v>998</v>
      </c>
      <c r="F516" s="223" t="s">
        <v>991</v>
      </c>
      <c r="G516" s="223" t="s">
        <v>1976</v>
      </c>
      <c r="H516" s="355">
        <v>-7438.02</v>
      </c>
      <c r="I516" s="355">
        <v>0</v>
      </c>
      <c r="J516" s="357">
        <v>-1561.98</v>
      </c>
      <c r="K516" s="355">
        <v>-1561.98</v>
      </c>
      <c r="L516" s="355">
        <v>-9000</v>
      </c>
    </row>
    <row r="517" spans="1:12" x14ac:dyDescent="0.25">
      <c r="A517" s="223" t="s">
        <v>1956</v>
      </c>
      <c r="B517" s="223" t="s">
        <v>999</v>
      </c>
      <c r="C517" s="223" t="s">
        <v>1000</v>
      </c>
      <c r="D517" s="223" t="s">
        <v>989</v>
      </c>
      <c r="E517" s="223" t="s">
        <v>998</v>
      </c>
      <c r="F517" s="223" t="s">
        <v>991</v>
      </c>
      <c r="G517" s="223" t="s">
        <v>1977</v>
      </c>
      <c r="H517" s="355">
        <v>-20661.16</v>
      </c>
      <c r="I517" s="355">
        <v>0</v>
      </c>
      <c r="J517" s="357">
        <v>-4338.84</v>
      </c>
      <c r="K517" s="355">
        <v>-4338.84</v>
      </c>
      <c r="L517" s="355">
        <v>-25000</v>
      </c>
    </row>
    <row r="518" spans="1:12" x14ac:dyDescent="0.25">
      <c r="A518" s="223" t="s">
        <v>2146</v>
      </c>
      <c r="B518" s="223" t="s">
        <v>81</v>
      </c>
      <c r="C518" s="223" t="s">
        <v>1010</v>
      </c>
      <c r="D518" s="223" t="s">
        <v>1011</v>
      </c>
      <c r="E518" s="223" t="s">
        <v>1012</v>
      </c>
      <c r="F518" s="223" t="s">
        <v>1008</v>
      </c>
      <c r="G518" s="223" t="s">
        <v>2149</v>
      </c>
      <c r="H518" s="355">
        <v>-2544279.52</v>
      </c>
      <c r="I518" s="355">
        <v>0</v>
      </c>
      <c r="J518" s="357">
        <v>-534298.69999999995</v>
      </c>
      <c r="K518" s="355">
        <v>-534298.69999999995</v>
      </c>
      <c r="L518" s="355">
        <v>-3078578.22</v>
      </c>
    </row>
    <row r="519" spans="1:12" x14ac:dyDescent="0.25">
      <c r="A519" s="223" t="s">
        <v>2146</v>
      </c>
      <c r="B519" s="223" t="s">
        <v>1023</v>
      </c>
      <c r="C519" s="223" t="s">
        <v>1024</v>
      </c>
      <c r="D519" s="223" t="s">
        <v>989</v>
      </c>
      <c r="E519" s="223" t="s">
        <v>998</v>
      </c>
      <c r="F519" s="223" t="s">
        <v>1008</v>
      </c>
      <c r="G519" s="223" t="s">
        <v>2151</v>
      </c>
      <c r="H519" s="355">
        <v>-11370.54</v>
      </c>
      <c r="I519" s="355">
        <v>0</v>
      </c>
      <c r="J519" s="357">
        <v>-2387.81</v>
      </c>
      <c r="K519" s="355">
        <v>-2387.81</v>
      </c>
      <c r="L519" s="355">
        <v>-13758.35</v>
      </c>
    </row>
    <row r="520" spans="1:12" x14ac:dyDescent="0.25">
      <c r="A520" s="223" t="s">
        <v>2146</v>
      </c>
      <c r="B520" s="223" t="s">
        <v>81</v>
      </c>
      <c r="C520" s="223" t="s">
        <v>1010</v>
      </c>
      <c r="D520" s="223" t="s">
        <v>1011</v>
      </c>
      <c r="E520" s="223" t="s">
        <v>1012</v>
      </c>
      <c r="F520" s="223" t="s">
        <v>1008</v>
      </c>
      <c r="G520" s="223" t="s">
        <v>2170</v>
      </c>
      <c r="H520" s="355">
        <v>-330413.21999999997</v>
      </c>
      <c r="I520" s="355">
        <v>0</v>
      </c>
      <c r="J520" s="357">
        <v>-69386.78</v>
      </c>
      <c r="K520" s="355">
        <v>-69386.78</v>
      </c>
      <c r="L520" s="355">
        <v>-399800</v>
      </c>
    </row>
    <row r="521" spans="1:12" x14ac:dyDescent="0.25">
      <c r="A521" s="223" t="s">
        <v>1956</v>
      </c>
      <c r="B521" s="223" t="s">
        <v>999</v>
      </c>
      <c r="C521" s="223" t="s">
        <v>1000</v>
      </c>
      <c r="D521" s="223" t="s">
        <v>989</v>
      </c>
      <c r="E521" s="223" t="s">
        <v>998</v>
      </c>
      <c r="F521" s="223" t="s">
        <v>991</v>
      </c>
      <c r="G521" s="223" t="s">
        <v>1958</v>
      </c>
      <c r="H521" s="355">
        <v>20661.16</v>
      </c>
      <c r="I521" s="355">
        <v>0</v>
      </c>
      <c r="J521" s="357">
        <v>4338.84</v>
      </c>
      <c r="K521" s="355">
        <v>4338.84</v>
      </c>
      <c r="L521" s="355">
        <v>25000</v>
      </c>
    </row>
    <row r="522" spans="1:12" x14ac:dyDescent="0.25">
      <c r="A522" s="223" t="s">
        <v>1956</v>
      </c>
      <c r="B522" s="223" t="s">
        <v>999</v>
      </c>
      <c r="C522" s="223" t="s">
        <v>1000</v>
      </c>
      <c r="D522" s="223" t="s">
        <v>989</v>
      </c>
      <c r="E522" s="223" t="s">
        <v>998</v>
      </c>
      <c r="F522" s="223" t="s">
        <v>991</v>
      </c>
      <c r="G522" s="223" t="s">
        <v>1959</v>
      </c>
      <c r="H522" s="355">
        <v>7438.02</v>
      </c>
      <c r="I522" s="355">
        <v>0</v>
      </c>
      <c r="J522" s="357">
        <v>1561.98</v>
      </c>
      <c r="K522" s="355">
        <v>1561.98</v>
      </c>
      <c r="L522" s="355">
        <v>9000</v>
      </c>
    </row>
    <row r="523" spans="1:12" x14ac:dyDescent="0.25">
      <c r="A523" s="223" t="s">
        <v>2146</v>
      </c>
      <c r="B523" s="223" t="s">
        <v>81</v>
      </c>
      <c r="C523" s="223" t="s">
        <v>1010</v>
      </c>
      <c r="D523" s="223" t="s">
        <v>1011</v>
      </c>
      <c r="E523" s="223" t="s">
        <v>1012</v>
      </c>
      <c r="F523" s="223" t="s">
        <v>1008</v>
      </c>
      <c r="G523" s="223" t="s">
        <v>2153</v>
      </c>
      <c r="H523" s="355">
        <v>2544279.52</v>
      </c>
      <c r="I523" s="355">
        <v>0</v>
      </c>
      <c r="J523" s="357">
        <v>534298.69999999995</v>
      </c>
      <c r="K523" s="355">
        <v>534298.69999999995</v>
      </c>
      <c r="L523" s="355">
        <v>3078578.22</v>
      </c>
    </row>
    <row r="524" spans="1:12" x14ac:dyDescent="0.25">
      <c r="H524" s="356">
        <f>SUM(H14:H523)</f>
        <v>117498651.46000011</v>
      </c>
      <c r="I524" s="356">
        <f>SUM(I14:I523)</f>
        <v>56625</v>
      </c>
      <c r="J524" s="356">
        <f>SUM(J14:J523)</f>
        <v>23771015.199999943</v>
      </c>
      <c r="K524" s="356">
        <f>SUM(K14:K523)</f>
        <v>23771015.199999943</v>
      </c>
      <c r="L524" s="356">
        <f>SUM(L14:L523)</f>
        <v>137245682.52000004</v>
      </c>
    </row>
    <row r="527" spans="1:12" x14ac:dyDescent="0.25">
      <c r="H527" s="337" t="s">
        <v>20</v>
      </c>
      <c r="I527" s="337" t="s">
        <v>2384</v>
      </c>
      <c r="J527" s="345"/>
      <c r="K527" s="345"/>
    </row>
    <row r="528" spans="1:12" x14ac:dyDescent="0.25">
      <c r="H528" s="337" t="s">
        <v>8</v>
      </c>
      <c r="I528" s="337">
        <v>73600638.590000004</v>
      </c>
      <c r="J528" s="345"/>
      <c r="K528" s="345"/>
    </row>
    <row r="529" spans="8:12" x14ac:dyDescent="0.25">
      <c r="H529" s="337" t="s">
        <v>3</v>
      </c>
      <c r="I529" s="337">
        <f>I528*0.21</f>
        <v>15456134.1039</v>
      </c>
      <c r="J529" s="345"/>
      <c r="K529" s="345"/>
    </row>
    <row r="530" spans="8:12" x14ac:dyDescent="0.25">
      <c r="J530" s="345"/>
      <c r="K530" s="345"/>
    </row>
    <row r="531" spans="8:12" x14ac:dyDescent="0.25">
      <c r="H531" s="337" t="s">
        <v>1073</v>
      </c>
      <c r="I531" s="337"/>
      <c r="J531" s="345"/>
      <c r="K531" s="345"/>
    </row>
    <row r="532" spans="8:12" x14ac:dyDescent="0.25">
      <c r="H532" s="337" t="s">
        <v>8</v>
      </c>
      <c r="I532" s="337">
        <f>I533*100/21</f>
        <v>39594671.904761903</v>
      </c>
      <c r="J532" s="345"/>
      <c r="K532" s="345"/>
    </row>
    <row r="533" spans="8:12" x14ac:dyDescent="0.25">
      <c r="H533" s="337" t="s">
        <v>3</v>
      </c>
      <c r="I533" s="337">
        <v>8314881.0999999996</v>
      </c>
      <c r="J533" s="345"/>
      <c r="K533" s="345"/>
    </row>
    <row r="534" spans="8:12" x14ac:dyDescent="0.25">
      <c r="H534" s="345"/>
      <c r="I534" s="345"/>
      <c r="K534"/>
      <c r="L534"/>
    </row>
    <row r="535" spans="8:12" x14ac:dyDescent="0.25">
      <c r="H535" s="271" t="s">
        <v>2389</v>
      </c>
      <c r="I535" s="358">
        <f>SUM(I529+I533)</f>
        <v>23771015.203900002</v>
      </c>
      <c r="K535"/>
      <c r="L535"/>
    </row>
    <row r="536" spans="8:12" x14ac:dyDescent="0.25">
      <c r="J536" s="345"/>
      <c r="K536" s="345"/>
    </row>
  </sheetData>
  <autoFilter ref="A13:L524" xr:uid="{00000000-0009-0000-0000-000009000000}">
    <sortState xmlns:xlrd2="http://schemas.microsoft.com/office/spreadsheetml/2017/richdata2" ref="A14:L508">
      <sortCondition ref="G13:G524"/>
    </sortState>
  </autoFilter>
  <mergeCells count="1">
    <mergeCell ref="C2:G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R103"/>
  <sheetViews>
    <sheetView workbookViewId="0">
      <selection activeCell="I77" sqref="I77"/>
    </sheetView>
  </sheetViews>
  <sheetFormatPr baseColWidth="10" defaultRowHeight="15" x14ac:dyDescent="0.25"/>
  <cols>
    <col min="2" max="2" width="14.42578125" customWidth="1"/>
    <col min="3" max="4" width="11.5703125" bestFit="1" customWidth="1"/>
    <col min="6" max="6" width="15" bestFit="1" customWidth="1"/>
    <col min="8" max="8" width="14.7109375" customWidth="1"/>
    <col min="9" max="9" width="27.7109375" customWidth="1"/>
    <col min="10" max="10" width="11.5703125" bestFit="1" customWidth="1"/>
    <col min="12" max="17" width="11.5703125" bestFit="1" customWidth="1"/>
  </cols>
  <sheetData>
    <row r="1" spans="1:17" x14ac:dyDescent="0.25">
      <c r="A1" s="392" t="s">
        <v>923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</row>
    <row r="2" spans="1:17" x14ac:dyDescent="0.25">
      <c r="A2" s="303" t="s">
        <v>102</v>
      </c>
      <c r="B2" s="303" t="s">
        <v>628</v>
      </c>
      <c r="C2" s="303" t="s">
        <v>629</v>
      </c>
      <c r="D2" s="303" t="s">
        <v>630</v>
      </c>
      <c r="E2" s="303" t="s">
        <v>631</v>
      </c>
      <c r="F2" s="303" t="s">
        <v>632</v>
      </c>
      <c r="G2" s="303" t="s">
        <v>633</v>
      </c>
      <c r="H2" s="303" t="s">
        <v>634</v>
      </c>
      <c r="I2" s="303" t="s">
        <v>635</v>
      </c>
      <c r="J2" s="303" t="s">
        <v>636</v>
      </c>
      <c r="K2" s="303" t="s">
        <v>637</v>
      </c>
      <c r="L2" s="303" t="s">
        <v>638</v>
      </c>
      <c r="M2" s="303" t="s">
        <v>639</v>
      </c>
      <c r="N2" s="303" t="s">
        <v>640</v>
      </c>
      <c r="O2" s="303" t="s">
        <v>641</v>
      </c>
      <c r="P2" s="303" t="s">
        <v>3</v>
      </c>
      <c r="Q2" s="303" t="s">
        <v>642</v>
      </c>
    </row>
    <row r="3" spans="1:17" hidden="1" x14ac:dyDescent="0.25">
      <c r="A3" s="271" t="s">
        <v>1149</v>
      </c>
      <c r="B3" s="271" t="s">
        <v>644</v>
      </c>
      <c r="C3" s="273">
        <v>1</v>
      </c>
      <c r="D3" s="273">
        <v>123356</v>
      </c>
      <c r="E3" s="271"/>
      <c r="F3" s="273">
        <v>75189399505180</v>
      </c>
      <c r="G3" s="271" t="s">
        <v>7</v>
      </c>
      <c r="H3" s="273">
        <v>30714864269</v>
      </c>
      <c r="I3" s="271" t="s">
        <v>928</v>
      </c>
      <c r="J3" s="273">
        <v>1</v>
      </c>
      <c r="K3" s="271" t="s">
        <v>646</v>
      </c>
      <c r="L3" s="273">
        <v>164170</v>
      </c>
      <c r="M3" s="273">
        <v>0</v>
      </c>
      <c r="N3" s="273">
        <v>0</v>
      </c>
      <c r="O3" s="273">
        <v>0</v>
      </c>
      <c r="P3" s="271">
        <v>34475.699999999997</v>
      </c>
      <c r="Q3" s="271">
        <v>198645.7</v>
      </c>
    </row>
    <row r="4" spans="1:17" hidden="1" x14ac:dyDescent="0.25">
      <c r="A4" s="271" t="s">
        <v>1149</v>
      </c>
      <c r="B4" s="271" t="s">
        <v>644</v>
      </c>
      <c r="C4" s="273">
        <v>4</v>
      </c>
      <c r="D4" s="273">
        <v>1518883</v>
      </c>
      <c r="E4" s="271"/>
      <c r="F4" s="273">
        <v>75184421857692</v>
      </c>
      <c r="G4" s="271" t="s">
        <v>7</v>
      </c>
      <c r="H4" s="273">
        <v>30716620634</v>
      </c>
      <c r="I4" s="271" t="s">
        <v>1178</v>
      </c>
      <c r="J4" s="273">
        <v>1</v>
      </c>
      <c r="K4" s="271" t="s">
        <v>646</v>
      </c>
      <c r="L4" s="274">
        <v>867767.77</v>
      </c>
      <c r="M4" s="273">
        <v>0</v>
      </c>
      <c r="N4" s="273">
        <v>0</v>
      </c>
      <c r="O4" s="274">
        <v>34710.71</v>
      </c>
      <c r="P4" s="274">
        <v>182231.23</v>
      </c>
      <c r="Q4" s="274">
        <v>1084709.71</v>
      </c>
    </row>
    <row r="5" spans="1:17" hidden="1" x14ac:dyDescent="0.25">
      <c r="A5" s="305" t="s">
        <v>1195</v>
      </c>
      <c r="B5" s="305" t="s">
        <v>644</v>
      </c>
      <c r="C5" s="306">
        <v>50</v>
      </c>
      <c r="D5" s="306">
        <v>4376000</v>
      </c>
      <c r="E5" s="312" t="s">
        <v>1251</v>
      </c>
      <c r="F5" s="306">
        <v>75226311242782</v>
      </c>
      <c r="G5" s="305" t="s">
        <v>7</v>
      </c>
      <c r="H5" s="306">
        <v>30714112836</v>
      </c>
      <c r="I5" s="305" t="s">
        <v>956</v>
      </c>
      <c r="J5" s="306">
        <v>1</v>
      </c>
      <c r="K5" s="305" t="s">
        <v>646</v>
      </c>
      <c r="L5" s="307">
        <v>2875.37</v>
      </c>
      <c r="M5" s="306">
        <v>0</v>
      </c>
      <c r="N5" s="306">
        <v>0</v>
      </c>
      <c r="O5" s="308">
        <v>86.26</v>
      </c>
      <c r="P5" s="308">
        <v>603.83000000000004</v>
      </c>
      <c r="Q5" s="308">
        <v>3565.46</v>
      </c>
    </row>
    <row r="6" spans="1:17" hidden="1" x14ac:dyDescent="0.25">
      <c r="A6" s="305" t="s">
        <v>1149</v>
      </c>
      <c r="B6" s="305" t="s">
        <v>644</v>
      </c>
      <c r="C6" s="306">
        <v>711</v>
      </c>
      <c r="D6" s="306">
        <v>7055586</v>
      </c>
      <c r="E6" s="312" t="s">
        <v>1251</v>
      </c>
      <c r="F6" s="306">
        <v>35179521470241</v>
      </c>
      <c r="G6" s="305" t="s">
        <v>7</v>
      </c>
      <c r="H6" s="306">
        <v>30677237119</v>
      </c>
      <c r="I6" s="305" t="s">
        <v>658</v>
      </c>
      <c r="J6" s="306">
        <v>1</v>
      </c>
      <c r="K6" s="305" t="s">
        <v>646</v>
      </c>
      <c r="L6" s="307">
        <v>14559.75</v>
      </c>
      <c r="M6" s="306">
        <v>0</v>
      </c>
      <c r="N6" s="308">
        <v>436.79</v>
      </c>
      <c r="O6" s="308">
        <v>582.39</v>
      </c>
      <c r="P6" s="308">
        <v>3057.56</v>
      </c>
      <c r="Q6" s="308">
        <v>18636.490000000002</v>
      </c>
    </row>
    <row r="7" spans="1:17" hidden="1" x14ac:dyDescent="0.25">
      <c r="A7" s="271" t="s">
        <v>1149</v>
      </c>
      <c r="B7" s="271" t="s">
        <v>655</v>
      </c>
      <c r="C7" s="273">
        <v>4</v>
      </c>
      <c r="D7" s="273">
        <v>11</v>
      </c>
      <c r="E7" s="271"/>
      <c r="F7" s="273">
        <v>75183419865716</v>
      </c>
      <c r="G7" s="271" t="s">
        <v>7</v>
      </c>
      <c r="H7" s="273">
        <v>20086277523</v>
      </c>
      <c r="I7" s="271" t="s">
        <v>37</v>
      </c>
      <c r="J7" s="273">
        <v>1</v>
      </c>
      <c r="K7" s="271" t="s">
        <v>646</v>
      </c>
      <c r="L7" s="271"/>
      <c r="M7" s="271"/>
      <c r="N7" s="271"/>
      <c r="O7" s="273">
        <v>0</v>
      </c>
      <c r="P7" s="271"/>
      <c r="Q7" s="273">
        <v>290000</v>
      </c>
    </row>
    <row r="8" spans="1:17" hidden="1" x14ac:dyDescent="0.25">
      <c r="A8" s="271" t="s">
        <v>1179</v>
      </c>
      <c r="B8" s="271" t="s">
        <v>644</v>
      </c>
      <c r="C8" s="273">
        <v>500</v>
      </c>
      <c r="D8" s="273">
        <v>1723166</v>
      </c>
      <c r="E8" s="271"/>
      <c r="F8" s="273">
        <v>75177133592830</v>
      </c>
      <c r="G8" s="271" t="s">
        <v>7</v>
      </c>
      <c r="H8" s="273">
        <v>30654118767</v>
      </c>
      <c r="I8" s="271" t="s">
        <v>648</v>
      </c>
      <c r="J8" s="273">
        <v>1</v>
      </c>
      <c r="K8" s="271" t="s">
        <v>646</v>
      </c>
      <c r="L8" s="274">
        <v>127126.59</v>
      </c>
      <c r="M8" s="273">
        <v>0</v>
      </c>
      <c r="N8" s="273">
        <v>0</v>
      </c>
      <c r="O8" s="274">
        <v>5085.07</v>
      </c>
      <c r="P8" s="274">
        <v>26696.58</v>
      </c>
      <c r="Q8" s="274">
        <v>158908.24</v>
      </c>
    </row>
    <row r="9" spans="1:17" hidden="1" x14ac:dyDescent="0.25">
      <c r="A9" s="271" t="s">
        <v>1179</v>
      </c>
      <c r="B9" s="271" t="s">
        <v>644</v>
      </c>
      <c r="C9" s="273">
        <v>3051</v>
      </c>
      <c r="D9" s="273">
        <v>911477</v>
      </c>
      <c r="E9" s="271"/>
      <c r="F9" s="273">
        <v>75187657875181</v>
      </c>
      <c r="G9" s="271" t="s">
        <v>7</v>
      </c>
      <c r="H9" s="273">
        <v>30678814357</v>
      </c>
      <c r="I9" s="271" t="s">
        <v>652</v>
      </c>
      <c r="J9" s="273">
        <v>1</v>
      </c>
      <c r="K9" s="271" t="s">
        <v>646</v>
      </c>
      <c r="L9" s="274">
        <v>88958.37</v>
      </c>
      <c r="M9" s="273">
        <v>0</v>
      </c>
      <c r="N9" s="273">
        <v>0</v>
      </c>
      <c r="O9" s="274">
        <v>10832.74</v>
      </c>
      <c r="P9" s="274">
        <v>24018.76</v>
      </c>
      <c r="Q9" s="274">
        <v>123809.87</v>
      </c>
    </row>
    <row r="10" spans="1:17" hidden="1" x14ac:dyDescent="0.25">
      <c r="A10" s="271" t="s">
        <v>1179</v>
      </c>
      <c r="B10" s="271" t="s">
        <v>644</v>
      </c>
      <c r="C10" s="273">
        <v>2</v>
      </c>
      <c r="D10" s="273">
        <v>239</v>
      </c>
      <c r="E10" s="271"/>
      <c r="F10" s="273">
        <v>75182528347539</v>
      </c>
      <c r="G10" s="271" t="s">
        <v>7</v>
      </c>
      <c r="H10" s="273">
        <v>30605344352</v>
      </c>
      <c r="I10" s="271" t="s">
        <v>659</v>
      </c>
      <c r="J10" s="273">
        <v>1</v>
      </c>
      <c r="K10" s="271" t="s">
        <v>646</v>
      </c>
      <c r="L10" s="273">
        <v>2000000</v>
      </c>
      <c r="M10" s="273">
        <v>0</v>
      </c>
      <c r="N10" s="273">
        <v>0</v>
      </c>
      <c r="O10" s="273">
        <v>0</v>
      </c>
      <c r="P10" s="273">
        <v>420000</v>
      </c>
      <c r="Q10" s="273">
        <v>2420000</v>
      </c>
    </row>
    <row r="11" spans="1:17" hidden="1" x14ac:dyDescent="0.25">
      <c r="A11" s="313" t="s">
        <v>1180</v>
      </c>
      <c r="B11" s="313" t="s">
        <v>644</v>
      </c>
      <c r="C11" s="314">
        <v>1</v>
      </c>
      <c r="D11" s="314">
        <v>827481</v>
      </c>
      <c r="E11" s="313"/>
      <c r="F11" s="314">
        <v>75199246715421</v>
      </c>
      <c r="G11" s="313" t="s">
        <v>7</v>
      </c>
      <c r="H11" s="314">
        <v>33716307749</v>
      </c>
      <c r="I11" s="313" t="s">
        <v>722</v>
      </c>
      <c r="J11" s="314">
        <v>1</v>
      </c>
      <c r="K11" s="313" t="s">
        <v>646</v>
      </c>
      <c r="L11" s="313">
        <v>53953.8</v>
      </c>
      <c r="M11" s="314">
        <v>0</v>
      </c>
      <c r="N11" s="314">
        <v>0</v>
      </c>
      <c r="O11" s="315">
        <v>2158.15</v>
      </c>
      <c r="P11" s="313">
        <v>11330.3</v>
      </c>
      <c r="Q11" s="315">
        <v>67442.25</v>
      </c>
    </row>
    <row r="12" spans="1:17" hidden="1" x14ac:dyDescent="0.25">
      <c r="A12" s="271" t="s">
        <v>1181</v>
      </c>
      <c r="B12" s="271" t="s">
        <v>655</v>
      </c>
      <c r="C12" s="273">
        <v>1</v>
      </c>
      <c r="D12" s="273">
        <v>24</v>
      </c>
      <c r="E12" s="271"/>
      <c r="F12" s="273">
        <v>75205029806246</v>
      </c>
      <c r="G12" s="271" t="s">
        <v>7</v>
      </c>
      <c r="H12" s="273">
        <v>27443612705</v>
      </c>
      <c r="I12" s="271" t="s">
        <v>704</v>
      </c>
      <c r="J12" s="273">
        <v>1</v>
      </c>
      <c r="K12" s="271" t="s">
        <v>646</v>
      </c>
      <c r="L12" s="271"/>
      <c r="M12" s="271"/>
      <c r="N12" s="271"/>
      <c r="O12" s="273">
        <v>0</v>
      </c>
      <c r="P12" s="271"/>
      <c r="Q12" s="273">
        <v>900000</v>
      </c>
    </row>
    <row r="13" spans="1:17" hidden="1" x14ac:dyDescent="0.25">
      <c r="A13" s="271" t="s">
        <v>1150</v>
      </c>
      <c r="B13" s="271" t="s">
        <v>644</v>
      </c>
      <c r="C13" s="273">
        <v>3</v>
      </c>
      <c r="D13" s="273">
        <v>37</v>
      </c>
      <c r="E13" s="271"/>
      <c r="F13" s="273">
        <v>75182868622117</v>
      </c>
      <c r="G13" s="271" t="s">
        <v>7</v>
      </c>
      <c r="H13" s="273">
        <v>20216164262</v>
      </c>
      <c r="I13" s="271" t="s">
        <v>968</v>
      </c>
      <c r="J13" s="273">
        <v>1</v>
      </c>
      <c r="K13" s="271" t="s">
        <v>646</v>
      </c>
      <c r="L13" s="273">
        <v>1500000</v>
      </c>
      <c r="M13" s="273">
        <v>0</v>
      </c>
      <c r="N13" s="273">
        <v>0</v>
      </c>
      <c r="O13" s="273">
        <v>0</v>
      </c>
      <c r="P13" s="273">
        <v>315000</v>
      </c>
      <c r="Q13" s="273">
        <v>1815000</v>
      </c>
    </row>
    <row r="14" spans="1:17" hidden="1" x14ac:dyDescent="0.25">
      <c r="A14" s="309" t="s">
        <v>1150</v>
      </c>
      <c r="B14" s="309" t="s">
        <v>655</v>
      </c>
      <c r="C14" s="310">
        <v>2</v>
      </c>
      <c r="D14" s="310">
        <v>127</v>
      </c>
      <c r="E14" s="309" t="s">
        <v>1251</v>
      </c>
      <c r="F14" s="310">
        <v>75188822266811</v>
      </c>
      <c r="G14" s="309" t="s">
        <v>7</v>
      </c>
      <c r="H14" s="310">
        <v>27315710508</v>
      </c>
      <c r="I14" s="309" t="s">
        <v>949</v>
      </c>
      <c r="J14" s="310">
        <v>1</v>
      </c>
      <c r="K14" s="309" t="s">
        <v>646</v>
      </c>
      <c r="L14" s="309"/>
      <c r="M14" s="309"/>
      <c r="N14" s="309"/>
      <c r="O14" s="310">
        <v>0</v>
      </c>
      <c r="P14" s="309"/>
      <c r="Q14" s="310">
        <v>48600</v>
      </c>
    </row>
    <row r="15" spans="1:17" hidden="1" x14ac:dyDescent="0.25">
      <c r="A15" s="271" t="s">
        <v>1150</v>
      </c>
      <c r="B15" s="271" t="s">
        <v>655</v>
      </c>
      <c r="C15" s="273">
        <v>1</v>
      </c>
      <c r="D15" s="273">
        <v>171</v>
      </c>
      <c r="E15" s="271"/>
      <c r="F15" s="273">
        <v>75180808654353</v>
      </c>
      <c r="G15" s="271" t="s">
        <v>7</v>
      </c>
      <c r="H15" s="273">
        <v>27338342840</v>
      </c>
      <c r="I15" s="271" t="s">
        <v>424</v>
      </c>
      <c r="J15" s="273">
        <v>1</v>
      </c>
      <c r="K15" s="271" t="s">
        <v>646</v>
      </c>
      <c r="L15" s="271"/>
      <c r="M15" s="271"/>
      <c r="N15" s="271"/>
      <c r="O15" s="273">
        <v>0</v>
      </c>
      <c r="P15" s="271"/>
      <c r="Q15" s="273">
        <v>236000</v>
      </c>
    </row>
    <row r="16" spans="1:17" hidden="1" x14ac:dyDescent="0.25">
      <c r="A16" s="271" t="s">
        <v>1150</v>
      </c>
      <c r="B16" s="271" t="s">
        <v>655</v>
      </c>
      <c r="C16" s="273">
        <v>2</v>
      </c>
      <c r="D16" s="273">
        <v>351</v>
      </c>
      <c r="E16" s="271"/>
      <c r="F16" s="273">
        <v>75188019259251</v>
      </c>
      <c r="G16" s="271" t="s">
        <v>7</v>
      </c>
      <c r="H16" s="273">
        <v>27265832178</v>
      </c>
      <c r="I16" s="271" t="s">
        <v>470</v>
      </c>
      <c r="J16" s="273">
        <v>1</v>
      </c>
      <c r="K16" s="271" t="s">
        <v>646</v>
      </c>
      <c r="L16" s="271"/>
      <c r="M16" s="271"/>
      <c r="N16" s="271"/>
      <c r="O16" s="273">
        <v>0</v>
      </c>
      <c r="P16" s="271"/>
      <c r="Q16" s="273">
        <v>3200000</v>
      </c>
    </row>
    <row r="17" spans="1:17" hidden="1" x14ac:dyDescent="0.25">
      <c r="A17" s="271" t="s">
        <v>1150</v>
      </c>
      <c r="B17" s="271" t="s">
        <v>655</v>
      </c>
      <c r="C17" s="273">
        <v>1</v>
      </c>
      <c r="D17" s="273">
        <v>25</v>
      </c>
      <c r="E17" s="271"/>
      <c r="F17" s="273">
        <v>75205030188537</v>
      </c>
      <c r="G17" s="271" t="s">
        <v>7</v>
      </c>
      <c r="H17" s="273">
        <v>27443612705</v>
      </c>
      <c r="I17" s="271" t="s">
        <v>704</v>
      </c>
      <c r="J17" s="273">
        <v>1</v>
      </c>
      <c r="K17" s="271" t="s">
        <v>646</v>
      </c>
      <c r="L17" s="271"/>
      <c r="M17" s="271"/>
      <c r="N17" s="271"/>
      <c r="O17" s="273">
        <v>0</v>
      </c>
      <c r="P17" s="271"/>
      <c r="Q17" s="273">
        <v>900000</v>
      </c>
    </row>
    <row r="18" spans="1:17" hidden="1" x14ac:dyDescent="0.25">
      <c r="A18" s="271" t="s">
        <v>1151</v>
      </c>
      <c r="B18" s="271" t="s">
        <v>644</v>
      </c>
      <c r="C18" s="273">
        <v>2</v>
      </c>
      <c r="D18" s="273">
        <v>11968</v>
      </c>
      <c r="E18" s="271"/>
      <c r="F18" s="273">
        <v>75182968852300</v>
      </c>
      <c r="G18" s="271" t="s">
        <v>7</v>
      </c>
      <c r="H18" s="273">
        <v>30714331082</v>
      </c>
      <c r="I18" s="271" t="s">
        <v>936</v>
      </c>
      <c r="J18" s="273">
        <v>1</v>
      </c>
      <c r="K18" s="271" t="s">
        <v>646</v>
      </c>
      <c r="L18" s="274">
        <v>493491.01</v>
      </c>
      <c r="M18" s="273">
        <v>0</v>
      </c>
      <c r="N18" s="273">
        <v>0</v>
      </c>
      <c r="O18" s="273">
        <v>0</v>
      </c>
      <c r="P18" s="274">
        <v>103633.11</v>
      </c>
      <c r="Q18" s="274">
        <v>597124.12</v>
      </c>
    </row>
    <row r="19" spans="1:17" hidden="1" x14ac:dyDescent="0.25">
      <c r="A19" s="271" t="s">
        <v>1151</v>
      </c>
      <c r="B19" s="271" t="s">
        <v>644</v>
      </c>
      <c r="C19" s="273">
        <v>5</v>
      </c>
      <c r="D19" s="273">
        <v>1525</v>
      </c>
      <c r="E19" s="271"/>
      <c r="F19" s="273">
        <v>75185012307446</v>
      </c>
      <c r="G19" s="271" t="s">
        <v>7</v>
      </c>
      <c r="H19" s="273">
        <v>27265302225</v>
      </c>
      <c r="I19" s="271" t="s">
        <v>165</v>
      </c>
      <c r="J19" s="273">
        <v>1</v>
      </c>
      <c r="K19" s="271" t="s">
        <v>646</v>
      </c>
      <c r="L19" s="273">
        <v>3500000</v>
      </c>
      <c r="M19" s="273">
        <v>0</v>
      </c>
      <c r="N19" s="273">
        <v>0</v>
      </c>
      <c r="O19" s="273">
        <v>0</v>
      </c>
      <c r="P19" s="273">
        <v>735000</v>
      </c>
      <c r="Q19" s="273">
        <v>4235000</v>
      </c>
    </row>
    <row r="20" spans="1:17" hidden="1" x14ac:dyDescent="0.25">
      <c r="A20" s="271" t="s">
        <v>1151</v>
      </c>
      <c r="B20" s="271" t="s">
        <v>644</v>
      </c>
      <c r="C20" s="273">
        <v>6</v>
      </c>
      <c r="D20" s="273">
        <v>57343</v>
      </c>
      <c r="E20" s="271"/>
      <c r="F20" s="273">
        <v>75188026619178</v>
      </c>
      <c r="G20" s="271" t="s">
        <v>7</v>
      </c>
      <c r="H20" s="273">
        <v>30710177658</v>
      </c>
      <c r="I20" s="271" t="s">
        <v>674</v>
      </c>
      <c r="J20" s="273">
        <v>1</v>
      </c>
      <c r="K20" s="271" t="s">
        <v>646</v>
      </c>
      <c r="L20" s="273">
        <v>3155460</v>
      </c>
      <c r="M20" s="273">
        <v>0</v>
      </c>
      <c r="N20" s="273">
        <v>0</v>
      </c>
      <c r="O20" s="271">
        <v>126218.4</v>
      </c>
      <c r="P20" s="271">
        <v>662646.6</v>
      </c>
      <c r="Q20" s="273">
        <v>3944325</v>
      </c>
    </row>
    <row r="21" spans="1:17" hidden="1" x14ac:dyDescent="0.25">
      <c r="A21" s="271" t="s">
        <v>1151</v>
      </c>
      <c r="B21" s="271" t="s">
        <v>644</v>
      </c>
      <c r="C21" s="273">
        <v>120</v>
      </c>
      <c r="D21" s="273">
        <v>5646</v>
      </c>
      <c r="E21" s="271"/>
      <c r="F21" s="273">
        <v>75185964379405</v>
      </c>
      <c r="G21" s="271" t="s">
        <v>7</v>
      </c>
      <c r="H21" s="273">
        <v>30587197215</v>
      </c>
      <c r="I21" s="271" t="s">
        <v>485</v>
      </c>
      <c r="J21" s="273">
        <v>1</v>
      </c>
      <c r="K21" s="271" t="s">
        <v>646</v>
      </c>
      <c r="L21" s="274">
        <v>95041.32</v>
      </c>
      <c r="M21" s="273">
        <v>0</v>
      </c>
      <c r="N21" s="273">
        <v>0</v>
      </c>
      <c r="O21" s="274">
        <v>5702.48</v>
      </c>
      <c r="P21" s="274">
        <v>19958.68</v>
      </c>
      <c r="Q21" s="274">
        <v>120702.48</v>
      </c>
    </row>
    <row r="22" spans="1:17" hidden="1" x14ac:dyDescent="0.25">
      <c r="A22" s="271" t="s">
        <v>1151</v>
      </c>
      <c r="B22" s="271" t="s">
        <v>644</v>
      </c>
      <c r="C22" s="273">
        <v>17</v>
      </c>
      <c r="D22" s="273">
        <v>12389</v>
      </c>
      <c r="E22" s="271"/>
      <c r="F22" s="273">
        <v>75180001470373</v>
      </c>
      <c r="G22" s="271" t="s">
        <v>7</v>
      </c>
      <c r="H22" s="273">
        <v>30661143610</v>
      </c>
      <c r="I22" s="271" t="s">
        <v>544</v>
      </c>
      <c r="J22" s="273">
        <v>1</v>
      </c>
      <c r="K22" s="271" t="s">
        <v>646</v>
      </c>
      <c r="L22" s="273">
        <v>1154300</v>
      </c>
      <c r="M22" s="273">
        <v>0</v>
      </c>
      <c r="N22" s="273">
        <v>0</v>
      </c>
      <c r="O22" s="273">
        <v>46172</v>
      </c>
      <c r="P22" s="273">
        <v>242403</v>
      </c>
      <c r="Q22" s="273">
        <v>1442875</v>
      </c>
    </row>
    <row r="23" spans="1:17" hidden="1" x14ac:dyDescent="0.25">
      <c r="A23" s="271" t="s">
        <v>1151</v>
      </c>
      <c r="B23" s="271" t="s">
        <v>644</v>
      </c>
      <c r="C23" s="273">
        <v>6</v>
      </c>
      <c r="D23" s="273">
        <v>50</v>
      </c>
      <c r="E23" s="271"/>
      <c r="F23" s="273">
        <v>75181011299005</v>
      </c>
      <c r="G23" s="271" t="s">
        <v>7</v>
      </c>
      <c r="H23" s="273">
        <v>30716401541</v>
      </c>
      <c r="I23" s="271" t="s">
        <v>1182</v>
      </c>
      <c r="J23" s="273">
        <v>1</v>
      </c>
      <c r="K23" s="271" t="s">
        <v>646</v>
      </c>
      <c r="L23" s="273">
        <v>3122441</v>
      </c>
      <c r="M23" s="273">
        <v>0</v>
      </c>
      <c r="N23" s="273">
        <v>0</v>
      </c>
      <c r="O23" s="273">
        <v>0</v>
      </c>
      <c r="P23" s="274">
        <v>655712.61</v>
      </c>
      <c r="Q23" s="274">
        <v>3778153.61</v>
      </c>
    </row>
    <row r="24" spans="1:17" x14ac:dyDescent="0.25">
      <c r="A24" s="271" t="s">
        <v>1151</v>
      </c>
      <c r="B24" s="271" t="s">
        <v>655</v>
      </c>
      <c r="C24" s="273">
        <v>2</v>
      </c>
      <c r="D24" s="273">
        <v>323</v>
      </c>
      <c r="E24" s="271"/>
      <c r="F24" s="273">
        <v>75182991008641</v>
      </c>
      <c r="G24" s="271" t="s">
        <v>7</v>
      </c>
      <c r="H24" s="273">
        <v>20326759792</v>
      </c>
      <c r="I24" s="271" t="s">
        <v>1183</v>
      </c>
      <c r="J24" s="273">
        <v>1</v>
      </c>
      <c r="K24" s="271" t="s">
        <v>646</v>
      </c>
      <c r="L24" s="271"/>
      <c r="M24" s="271"/>
      <c r="N24" s="271"/>
      <c r="O24" s="273">
        <v>0</v>
      </c>
      <c r="P24" s="271"/>
      <c r="Q24" s="273">
        <v>114000</v>
      </c>
    </row>
    <row r="25" spans="1:17" hidden="1" x14ac:dyDescent="0.25">
      <c r="A25" s="271" t="s">
        <v>1152</v>
      </c>
      <c r="B25" s="271" t="s">
        <v>644</v>
      </c>
      <c r="C25" s="273">
        <v>700</v>
      </c>
      <c r="D25" s="273">
        <v>2440062</v>
      </c>
      <c r="E25" s="271"/>
      <c r="F25" s="273">
        <v>75192224513566</v>
      </c>
      <c r="G25" s="271" t="s">
        <v>7</v>
      </c>
      <c r="H25" s="273">
        <v>30715804812</v>
      </c>
      <c r="I25" s="271" t="s">
        <v>669</v>
      </c>
      <c r="J25" s="273">
        <v>1</v>
      </c>
      <c r="K25" s="271" t="s">
        <v>646</v>
      </c>
      <c r="L25" s="274">
        <v>27663.52</v>
      </c>
      <c r="M25" s="273">
        <v>0</v>
      </c>
      <c r="N25" s="273">
        <v>0</v>
      </c>
      <c r="O25" s="274">
        <v>1106.54</v>
      </c>
      <c r="P25" s="274">
        <v>5809.34</v>
      </c>
      <c r="Q25" s="271">
        <v>34579.4</v>
      </c>
    </row>
    <row r="26" spans="1:17" hidden="1" x14ac:dyDescent="0.25">
      <c r="A26" s="271" t="s">
        <v>1153</v>
      </c>
      <c r="B26" s="271" t="s">
        <v>644</v>
      </c>
      <c r="C26" s="273">
        <v>4</v>
      </c>
      <c r="D26" s="273">
        <v>75883</v>
      </c>
      <c r="E26" s="271"/>
      <c r="F26" s="273">
        <v>75199233815483</v>
      </c>
      <c r="G26" s="271" t="s">
        <v>7</v>
      </c>
      <c r="H26" s="273">
        <v>33709738459</v>
      </c>
      <c r="I26" s="271" t="s">
        <v>62</v>
      </c>
      <c r="J26" s="273">
        <v>1</v>
      </c>
      <c r="K26" s="271" t="s">
        <v>646</v>
      </c>
      <c r="L26" s="271">
        <v>359845.2</v>
      </c>
      <c r="M26" s="273">
        <v>0</v>
      </c>
      <c r="N26" s="273">
        <v>0</v>
      </c>
      <c r="O26" s="273">
        <v>0</v>
      </c>
      <c r="P26" s="274">
        <v>75567.490000000005</v>
      </c>
      <c r="Q26" s="274">
        <v>435412.69</v>
      </c>
    </row>
    <row r="27" spans="1:17" hidden="1" x14ac:dyDescent="0.25">
      <c r="A27" s="271" t="s">
        <v>1153</v>
      </c>
      <c r="B27" s="271" t="s">
        <v>644</v>
      </c>
      <c r="C27" s="273">
        <v>8</v>
      </c>
      <c r="D27" s="273">
        <v>405</v>
      </c>
      <c r="E27" s="271"/>
      <c r="F27" s="273">
        <v>75194305707004</v>
      </c>
      <c r="G27" s="271" t="s">
        <v>7</v>
      </c>
      <c r="H27" s="273">
        <v>30643518364</v>
      </c>
      <c r="I27" s="271" t="s">
        <v>668</v>
      </c>
      <c r="J27" s="273">
        <v>1</v>
      </c>
      <c r="K27" s="271" t="s">
        <v>646</v>
      </c>
      <c r="L27" s="273">
        <v>492200</v>
      </c>
      <c r="M27" s="273">
        <v>0</v>
      </c>
      <c r="N27" s="273">
        <v>0</v>
      </c>
      <c r="O27" s="273">
        <v>0</v>
      </c>
      <c r="P27" s="273">
        <v>103362</v>
      </c>
      <c r="Q27" s="273">
        <v>595562</v>
      </c>
    </row>
    <row r="28" spans="1:17" hidden="1" x14ac:dyDescent="0.25">
      <c r="A28" s="305" t="s">
        <v>1157</v>
      </c>
      <c r="B28" s="305" t="s">
        <v>644</v>
      </c>
      <c r="C28" s="306">
        <v>5009</v>
      </c>
      <c r="D28" s="306">
        <v>1403394</v>
      </c>
      <c r="E28" s="312" t="s">
        <v>1251</v>
      </c>
      <c r="F28" s="306">
        <v>75204107232683</v>
      </c>
      <c r="G28" s="305" t="s">
        <v>7</v>
      </c>
      <c r="H28" s="306">
        <v>30574876474</v>
      </c>
      <c r="I28" s="305" t="s">
        <v>671</v>
      </c>
      <c r="J28" s="306">
        <v>1</v>
      </c>
      <c r="K28" s="305" t="s">
        <v>646</v>
      </c>
      <c r="L28" s="307">
        <v>4856.3</v>
      </c>
      <c r="M28" s="306">
        <v>0</v>
      </c>
      <c r="N28" s="306">
        <v>0</v>
      </c>
      <c r="O28" s="308">
        <v>631.32000000000005</v>
      </c>
      <c r="P28" s="308">
        <v>1019.82</v>
      </c>
      <c r="Q28" s="308">
        <v>6507.44</v>
      </c>
    </row>
    <row r="29" spans="1:17" hidden="1" x14ac:dyDescent="0.25">
      <c r="A29" s="271" t="s">
        <v>1154</v>
      </c>
      <c r="B29" s="271" t="s">
        <v>644</v>
      </c>
      <c r="C29" s="273">
        <v>2</v>
      </c>
      <c r="D29" s="273">
        <v>1260</v>
      </c>
      <c r="E29" s="271"/>
      <c r="F29" s="273">
        <v>75199376111288</v>
      </c>
      <c r="G29" s="271" t="s">
        <v>7</v>
      </c>
      <c r="H29" s="273">
        <v>20272865869</v>
      </c>
      <c r="I29" s="271" t="s">
        <v>617</v>
      </c>
      <c r="J29" s="273">
        <v>1</v>
      </c>
      <c r="K29" s="271" t="s">
        <v>646</v>
      </c>
      <c r="L29" s="273">
        <v>33000</v>
      </c>
      <c r="M29" s="273">
        <v>0</v>
      </c>
      <c r="N29" s="273">
        <v>0</v>
      </c>
      <c r="O29" s="273">
        <v>0</v>
      </c>
      <c r="P29" s="273">
        <v>6930</v>
      </c>
      <c r="Q29" s="273">
        <v>39930</v>
      </c>
    </row>
    <row r="30" spans="1:17" hidden="1" x14ac:dyDescent="0.25">
      <c r="A30" s="271" t="s">
        <v>1154</v>
      </c>
      <c r="B30" s="271" t="s">
        <v>644</v>
      </c>
      <c r="C30" s="273">
        <v>14</v>
      </c>
      <c r="D30" s="273">
        <v>77344</v>
      </c>
      <c r="E30" s="271"/>
      <c r="F30" s="273">
        <v>75190446175800</v>
      </c>
      <c r="G30" s="271" t="s">
        <v>7</v>
      </c>
      <c r="H30" s="273">
        <v>30711069360</v>
      </c>
      <c r="I30" s="271" t="s">
        <v>1184</v>
      </c>
      <c r="J30" s="273">
        <v>1</v>
      </c>
      <c r="K30" s="271" t="s">
        <v>646</v>
      </c>
      <c r="L30" s="274">
        <v>123966.12</v>
      </c>
      <c r="M30" s="273">
        <v>0</v>
      </c>
      <c r="N30" s="273">
        <v>0</v>
      </c>
      <c r="O30" s="273">
        <v>0</v>
      </c>
      <c r="P30" s="274">
        <v>26032.89</v>
      </c>
      <c r="Q30" s="273">
        <v>149999</v>
      </c>
    </row>
    <row r="31" spans="1:17" hidden="1" x14ac:dyDescent="0.25">
      <c r="A31" s="271" t="s">
        <v>1154</v>
      </c>
      <c r="B31" s="271" t="s">
        <v>644</v>
      </c>
      <c r="C31" s="273">
        <v>8</v>
      </c>
      <c r="D31" s="273">
        <v>406</v>
      </c>
      <c r="E31" s="271"/>
      <c r="F31" s="273">
        <v>75194431209519</v>
      </c>
      <c r="G31" s="271" t="s">
        <v>7</v>
      </c>
      <c r="H31" s="273">
        <v>30643518364</v>
      </c>
      <c r="I31" s="271" t="s">
        <v>668</v>
      </c>
      <c r="J31" s="273">
        <v>1</v>
      </c>
      <c r="K31" s="271" t="s">
        <v>646</v>
      </c>
      <c r="L31" s="273">
        <v>76975</v>
      </c>
      <c r="M31" s="273">
        <v>0</v>
      </c>
      <c r="N31" s="273">
        <v>0</v>
      </c>
      <c r="O31" s="273">
        <v>0</v>
      </c>
      <c r="P31" s="274">
        <v>16164.75</v>
      </c>
      <c r="Q31" s="274">
        <v>93139.75</v>
      </c>
    </row>
    <row r="32" spans="1:17" hidden="1" x14ac:dyDescent="0.25">
      <c r="A32" s="271" t="s">
        <v>1154</v>
      </c>
      <c r="B32" s="271" t="s">
        <v>644</v>
      </c>
      <c r="C32" s="273">
        <v>6</v>
      </c>
      <c r="D32" s="273">
        <v>57397</v>
      </c>
      <c r="E32" s="271"/>
      <c r="F32" s="273">
        <v>75198419380202</v>
      </c>
      <c r="G32" s="271" t="s">
        <v>7</v>
      </c>
      <c r="H32" s="273">
        <v>30710177658</v>
      </c>
      <c r="I32" s="271" t="s">
        <v>674</v>
      </c>
      <c r="J32" s="273">
        <v>1</v>
      </c>
      <c r="K32" s="271" t="s">
        <v>646</v>
      </c>
      <c r="L32" s="271">
        <v>475130.7</v>
      </c>
      <c r="M32" s="273">
        <v>0</v>
      </c>
      <c r="N32" s="273">
        <v>0</v>
      </c>
      <c r="O32" s="274">
        <v>19005.23</v>
      </c>
      <c r="P32" s="274">
        <v>99777.45</v>
      </c>
      <c r="Q32" s="274">
        <v>593913.38</v>
      </c>
    </row>
    <row r="33" spans="1:17" hidden="1" x14ac:dyDescent="0.25">
      <c r="A33" s="271" t="s">
        <v>1154</v>
      </c>
      <c r="B33" s="271" t="s">
        <v>644</v>
      </c>
      <c r="C33" s="273">
        <v>3101</v>
      </c>
      <c r="D33" s="273">
        <v>300145</v>
      </c>
      <c r="E33" s="271"/>
      <c r="F33" s="273">
        <v>75197562217991</v>
      </c>
      <c r="G33" s="271" t="s">
        <v>7</v>
      </c>
      <c r="H33" s="273">
        <v>30678814357</v>
      </c>
      <c r="I33" s="271" t="s">
        <v>652</v>
      </c>
      <c r="J33" s="273">
        <v>1</v>
      </c>
      <c r="K33" s="271" t="s">
        <v>646</v>
      </c>
      <c r="L33" s="274">
        <v>66966.83</v>
      </c>
      <c r="M33" s="273">
        <v>0</v>
      </c>
      <c r="N33" s="273">
        <v>0</v>
      </c>
      <c r="O33" s="274">
        <v>4687.67</v>
      </c>
      <c r="P33" s="274">
        <v>18081.04</v>
      </c>
      <c r="Q33" s="274">
        <v>89735.54</v>
      </c>
    </row>
    <row r="34" spans="1:17" hidden="1" x14ac:dyDescent="0.25">
      <c r="A34" s="271" t="s">
        <v>1154</v>
      </c>
      <c r="B34" s="271" t="s">
        <v>644</v>
      </c>
      <c r="C34" s="273">
        <v>2</v>
      </c>
      <c r="D34" s="273">
        <v>573</v>
      </c>
      <c r="E34" s="271"/>
      <c r="F34" s="273">
        <v>75196426881343</v>
      </c>
      <c r="G34" s="271" t="s">
        <v>7</v>
      </c>
      <c r="H34" s="273">
        <v>30711610096</v>
      </c>
      <c r="I34" s="271" t="s">
        <v>1084</v>
      </c>
      <c r="J34" s="273">
        <v>1</v>
      </c>
      <c r="K34" s="271" t="s">
        <v>646</v>
      </c>
      <c r="L34" s="273">
        <v>591900</v>
      </c>
      <c r="M34" s="273">
        <v>0</v>
      </c>
      <c r="N34" s="273">
        <v>0</v>
      </c>
      <c r="O34" s="273">
        <v>0</v>
      </c>
      <c r="P34" s="273">
        <v>124299</v>
      </c>
      <c r="Q34" s="273">
        <v>716199</v>
      </c>
    </row>
    <row r="35" spans="1:17" hidden="1" x14ac:dyDescent="0.25">
      <c r="A35" s="309" t="s">
        <v>1154</v>
      </c>
      <c r="B35" s="309" t="s">
        <v>655</v>
      </c>
      <c r="C35" s="310">
        <v>3</v>
      </c>
      <c r="D35" s="310">
        <v>2416</v>
      </c>
      <c r="E35" s="309" t="s">
        <v>1251</v>
      </c>
      <c r="F35" s="310">
        <v>75191428450203</v>
      </c>
      <c r="G35" s="309" t="s">
        <v>7</v>
      </c>
      <c r="H35" s="310">
        <v>20182999661</v>
      </c>
      <c r="I35" s="309" t="s">
        <v>137</v>
      </c>
      <c r="J35" s="310">
        <v>1</v>
      </c>
      <c r="K35" s="309" t="s">
        <v>646</v>
      </c>
      <c r="L35" s="309"/>
      <c r="M35" s="309"/>
      <c r="N35" s="309"/>
      <c r="O35" s="310">
        <v>0</v>
      </c>
      <c r="P35" s="309"/>
      <c r="Q35" s="310">
        <v>5900</v>
      </c>
    </row>
    <row r="36" spans="1:17" x14ac:dyDescent="0.25">
      <c r="A36" s="271" t="s">
        <v>1185</v>
      </c>
      <c r="B36" s="271" t="s">
        <v>655</v>
      </c>
      <c r="C36" s="273">
        <v>2</v>
      </c>
      <c r="D36" s="273">
        <v>325</v>
      </c>
      <c r="E36" s="271"/>
      <c r="F36" s="273">
        <v>75192564951113</v>
      </c>
      <c r="G36" s="271" t="s">
        <v>7</v>
      </c>
      <c r="H36" s="273">
        <v>20326759792</v>
      </c>
      <c r="I36" s="271" t="s">
        <v>1183</v>
      </c>
      <c r="J36" s="273">
        <v>1</v>
      </c>
      <c r="K36" s="271" t="s">
        <v>646</v>
      </c>
      <c r="L36" s="271"/>
      <c r="M36" s="271"/>
      <c r="N36" s="271"/>
      <c r="O36" s="273">
        <v>0</v>
      </c>
      <c r="P36" s="271"/>
      <c r="Q36" s="273">
        <v>114000</v>
      </c>
    </row>
    <row r="37" spans="1:17" hidden="1" x14ac:dyDescent="0.25">
      <c r="A37" s="271" t="s">
        <v>1155</v>
      </c>
      <c r="B37" s="271" t="s">
        <v>644</v>
      </c>
      <c r="C37" s="273">
        <v>3</v>
      </c>
      <c r="D37" s="273">
        <v>49512</v>
      </c>
      <c r="E37" s="271"/>
      <c r="F37" s="273">
        <v>75198779526939</v>
      </c>
      <c r="G37" s="271" t="s">
        <v>7</v>
      </c>
      <c r="H37" s="273">
        <v>30711454388</v>
      </c>
      <c r="I37" s="271" t="s">
        <v>947</v>
      </c>
      <c r="J37" s="273">
        <v>1</v>
      </c>
      <c r="K37" s="271" t="s">
        <v>646</v>
      </c>
      <c r="L37" s="273">
        <v>221868</v>
      </c>
      <c r="M37" s="273">
        <v>0</v>
      </c>
      <c r="N37" s="273">
        <v>0</v>
      </c>
      <c r="O37" s="273">
        <v>0</v>
      </c>
      <c r="P37" s="274">
        <v>46592.28</v>
      </c>
      <c r="Q37" s="274">
        <v>268460.28000000003</v>
      </c>
    </row>
    <row r="38" spans="1:17" hidden="1" x14ac:dyDescent="0.25">
      <c r="A38" s="271" t="s">
        <v>1155</v>
      </c>
      <c r="B38" s="271" t="s">
        <v>655</v>
      </c>
      <c r="C38" s="273">
        <v>1</v>
      </c>
      <c r="D38" s="273">
        <v>172</v>
      </c>
      <c r="E38" s="271"/>
      <c r="F38" s="273">
        <v>75190660006059</v>
      </c>
      <c r="G38" s="271" t="s">
        <v>7</v>
      </c>
      <c r="H38" s="273">
        <v>27338342840</v>
      </c>
      <c r="I38" s="271" t="s">
        <v>424</v>
      </c>
      <c r="J38" s="273">
        <v>1</v>
      </c>
      <c r="K38" s="271" t="s">
        <v>646</v>
      </c>
      <c r="L38" s="271"/>
      <c r="M38" s="271"/>
      <c r="N38" s="271"/>
      <c r="O38" s="273">
        <v>0</v>
      </c>
      <c r="P38" s="271"/>
      <c r="Q38" s="273">
        <v>920000</v>
      </c>
    </row>
    <row r="39" spans="1:17" x14ac:dyDescent="0.25">
      <c r="A39" s="271" t="s">
        <v>1155</v>
      </c>
      <c r="B39" s="271" t="s">
        <v>655</v>
      </c>
      <c r="C39" s="273">
        <v>2</v>
      </c>
      <c r="D39" s="273">
        <v>326</v>
      </c>
      <c r="E39" s="271"/>
      <c r="F39" s="273">
        <v>75192720154834</v>
      </c>
      <c r="G39" s="271" t="s">
        <v>7</v>
      </c>
      <c r="H39" s="273">
        <v>20326759792</v>
      </c>
      <c r="I39" s="271" t="s">
        <v>1183</v>
      </c>
      <c r="J39" s="273">
        <v>1</v>
      </c>
      <c r="K39" s="271" t="s">
        <v>646</v>
      </c>
      <c r="L39" s="271"/>
      <c r="M39" s="271"/>
      <c r="N39" s="271"/>
      <c r="O39" s="273">
        <v>0</v>
      </c>
      <c r="P39" s="271"/>
      <c r="Q39" s="273">
        <v>106600</v>
      </c>
    </row>
    <row r="40" spans="1:17" hidden="1" x14ac:dyDescent="0.25">
      <c r="A40" s="271" t="s">
        <v>1156</v>
      </c>
      <c r="B40" s="271" t="s">
        <v>644</v>
      </c>
      <c r="C40" s="273">
        <v>1001</v>
      </c>
      <c r="D40" s="273">
        <v>546</v>
      </c>
      <c r="E40" s="271"/>
      <c r="F40" s="273">
        <v>75192851423822</v>
      </c>
      <c r="G40" s="271" t="s">
        <v>7</v>
      </c>
      <c r="H40" s="273">
        <v>30707370552</v>
      </c>
      <c r="I40" s="271" t="s">
        <v>943</v>
      </c>
      <c r="J40" s="273">
        <v>1</v>
      </c>
      <c r="K40" s="271" t="s">
        <v>646</v>
      </c>
      <c r="L40" s="274">
        <v>1198760.33</v>
      </c>
      <c r="M40" s="273">
        <v>0</v>
      </c>
      <c r="N40" s="273">
        <v>0</v>
      </c>
      <c r="O40" s="273">
        <v>0</v>
      </c>
      <c r="P40" s="274">
        <v>251739.67</v>
      </c>
      <c r="Q40" s="273">
        <v>1450500</v>
      </c>
    </row>
    <row r="41" spans="1:17" hidden="1" x14ac:dyDescent="0.25">
      <c r="A41" s="271" t="s">
        <v>1156</v>
      </c>
      <c r="B41" s="271" t="s">
        <v>644</v>
      </c>
      <c r="C41" s="273">
        <v>1</v>
      </c>
      <c r="D41" s="273">
        <v>7227</v>
      </c>
      <c r="E41" s="271"/>
      <c r="F41" s="273">
        <v>75191838195535</v>
      </c>
      <c r="G41" s="271" t="s">
        <v>7</v>
      </c>
      <c r="H41" s="273">
        <v>30715141201</v>
      </c>
      <c r="I41" s="271" t="s">
        <v>649</v>
      </c>
      <c r="J41" s="273">
        <v>1</v>
      </c>
      <c r="K41" s="271" t="s">
        <v>646</v>
      </c>
      <c r="L41" s="273">
        <v>420360</v>
      </c>
      <c r="M41" s="273">
        <v>0</v>
      </c>
      <c r="N41" s="273">
        <v>0</v>
      </c>
      <c r="O41" s="273">
        <v>0</v>
      </c>
      <c r="P41" s="271">
        <v>88275.6</v>
      </c>
      <c r="Q41" s="271">
        <v>508635.6</v>
      </c>
    </row>
    <row r="42" spans="1:17" hidden="1" x14ac:dyDescent="0.25">
      <c r="A42" s="271" t="s">
        <v>1156</v>
      </c>
      <c r="B42" s="271" t="s">
        <v>655</v>
      </c>
      <c r="C42" s="273">
        <v>1</v>
      </c>
      <c r="D42" s="273">
        <v>26</v>
      </c>
      <c r="E42" s="271"/>
      <c r="F42" s="273">
        <v>75191855887221</v>
      </c>
      <c r="G42" s="271" t="s">
        <v>7</v>
      </c>
      <c r="H42" s="273">
        <v>20311855671</v>
      </c>
      <c r="I42" s="271" t="s">
        <v>1097</v>
      </c>
      <c r="J42" s="273">
        <v>1</v>
      </c>
      <c r="K42" s="271" t="s">
        <v>646</v>
      </c>
      <c r="L42" s="271"/>
      <c r="M42" s="271"/>
      <c r="N42" s="271"/>
      <c r="O42" s="273">
        <v>0</v>
      </c>
      <c r="P42" s="271"/>
      <c r="Q42" s="273">
        <v>290000</v>
      </c>
    </row>
    <row r="43" spans="1:17" hidden="1" x14ac:dyDescent="0.25">
      <c r="A43" s="271" t="s">
        <v>1156</v>
      </c>
      <c r="B43" s="271" t="s">
        <v>655</v>
      </c>
      <c r="C43" s="273">
        <v>1</v>
      </c>
      <c r="D43" s="273">
        <v>27</v>
      </c>
      <c r="E43" s="271"/>
      <c r="F43" s="273">
        <v>75191856398056</v>
      </c>
      <c r="G43" s="271" t="s">
        <v>7</v>
      </c>
      <c r="H43" s="273">
        <v>20311855671</v>
      </c>
      <c r="I43" s="271" t="s">
        <v>1097</v>
      </c>
      <c r="J43" s="273">
        <v>1</v>
      </c>
      <c r="K43" s="271" t="s">
        <v>646</v>
      </c>
      <c r="L43" s="271"/>
      <c r="M43" s="271"/>
      <c r="N43" s="271"/>
      <c r="O43" s="273">
        <v>0</v>
      </c>
      <c r="P43" s="271"/>
      <c r="Q43" s="273">
        <v>365000</v>
      </c>
    </row>
    <row r="44" spans="1:17" hidden="1" x14ac:dyDescent="0.25">
      <c r="A44" s="271" t="s">
        <v>1156</v>
      </c>
      <c r="B44" s="271" t="s">
        <v>655</v>
      </c>
      <c r="C44" s="273">
        <v>2</v>
      </c>
      <c r="D44" s="273">
        <v>4</v>
      </c>
      <c r="E44" s="271"/>
      <c r="F44" s="273">
        <v>75191879162589</v>
      </c>
      <c r="G44" s="271" t="s">
        <v>7</v>
      </c>
      <c r="H44" s="273">
        <v>27344304551</v>
      </c>
      <c r="I44" s="271" t="s">
        <v>940</v>
      </c>
      <c r="J44" s="273">
        <v>1</v>
      </c>
      <c r="K44" s="271" t="s">
        <v>646</v>
      </c>
      <c r="L44" s="271"/>
      <c r="M44" s="271"/>
      <c r="N44" s="271"/>
      <c r="O44" s="273">
        <v>0</v>
      </c>
      <c r="P44" s="271"/>
      <c r="Q44" s="273">
        <v>100000</v>
      </c>
    </row>
    <row r="45" spans="1:17" hidden="1" x14ac:dyDescent="0.25">
      <c r="A45" s="271" t="s">
        <v>1156</v>
      </c>
      <c r="B45" s="271" t="s">
        <v>655</v>
      </c>
      <c r="C45" s="273">
        <v>1</v>
      </c>
      <c r="D45" s="273">
        <v>25</v>
      </c>
      <c r="E45" s="271"/>
      <c r="F45" s="273">
        <v>75191855482139</v>
      </c>
      <c r="G45" s="271" t="s">
        <v>7</v>
      </c>
      <c r="H45" s="273">
        <v>20311855671</v>
      </c>
      <c r="I45" s="271" t="s">
        <v>1097</v>
      </c>
      <c r="J45" s="273">
        <v>1</v>
      </c>
      <c r="K45" s="271" t="s">
        <v>646</v>
      </c>
      <c r="L45" s="271"/>
      <c r="M45" s="271"/>
      <c r="N45" s="271"/>
      <c r="O45" s="273">
        <v>0</v>
      </c>
      <c r="P45" s="271"/>
      <c r="Q45" s="273">
        <v>290000</v>
      </c>
    </row>
    <row r="46" spans="1:17" hidden="1" x14ac:dyDescent="0.25">
      <c r="A46" s="305" t="s">
        <v>1195</v>
      </c>
      <c r="B46" s="305" t="s">
        <v>644</v>
      </c>
      <c r="C46" s="306">
        <v>5015</v>
      </c>
      <c r="D46" s="306">
        <v>873772</v>
      </c>
      <c r="E46" s="312" t="s">
        <v>1251</v>
      </c>
      <c r="F46" s="306">
        <v>75224271632180</v>
      </c>
      <c r="G46" s="305" t="s">
        <v>7</v>
      </c>
      <c r="H46" s="306">
        <v>30574876474</v>
      </c>
      <c r="I46" s="305" t="s">
        <v>1196</v>
      </c>
      <c r="J46" s="306">
        <v>1</v>
      </c>
      <c r="K46" s="305" t="s">
        <v>646</v>
      </c>
      <c r="L46" s="307">
        <v>76172.23</v>
      </c>
      <c r="M46" s="306">
        <v>0</v>
      </c>
      <c r="N46" s="306">
        <v>0</v>
      </c>
      <c r="O46" s="308">
        <v>9902.3700000000008</v>
      </c>
      <c r="P46" s="305">
        <v>15996.1</v>
      </c>
      <c r="Q46" s="305">
        <v>102070.7</v>
      </c>
    </row>
    <row r="47" spans="1:17" hidden="1" x14ac:dyDescent="0.25">
      <c r="A47" s="305" t="s">
        <v>1195</v>
      </c>
      <c r="B47" s="305" t="s">
        <v>644</v>
      </c>
      <c r="C47" s="306">
        <v>113</v>
      </c>
      <c r="D47" s="306">
        <v>4260847</v>
      </c>
      <c r="E47" s="312" t="s">
        <v>1251</v>
      </c>
      <c r="F47" s="306">
        <v>75220351343855</v>
      </c>
      <c r="G47" s="305" t="s">
        <v>7</v>
      </c>
      <c r="H47" s="306">
        <v>30577207190</v>
      </c>
      <c r="I47" s="305" t="s">
        <v>691</v>
      </c>
      <c r="J47" s="306">
        <v>1</v>
      </c>
      <c r="K47" s="305" t="s">
        <v>646</v>
      </c>
      <c r="L47" s="307">
        <v>2479.34</v>
      </c>
      <c r="M47" s="306">
        <v>0</v>
      </c>
      <c r="N47" s="306">
        <v>0</v>
      </c>
      <c r="O47" s="308">
        <v>74.38</v>
      </c>
      <c r="P47" s="308">
        <v>520.66</v>
      </c>
      <c r="Q47" s="308">
        <v>3074.38</v>
      </c>
    </row>
    <row r="48" spans="1:17" hidden="1" x14ac:dyDescent="0.25">
      <c r="A48" s="271" t="s">
        <v>1157</v>
      </c>
      <c r="B48" s="271" t="s">
        <v>644</v>
      </c>
      <c r="C48" s="273">
        <v>6</v>
      </c>
      <c r="D48" s="273">
        <v>91586</v>
      </c>
      <c r="E48" s="271"/>
      <c r="F48" s="273">
        <v>75204053253674</v>
      </c>
      <c r="G48" s="271" t="s">
        <v>7</v>
      </c>
      <c r="H48" s="273">
        <v>30711553564</v>
      </c>
      <c r="I48" s="271" t="s">
        <v>233</v>
      </c>
      <c r="J48" s="273">
        <v>1</v>
      </c>
      <c r="K48" s="271" t="s">
        <v>646</v>
      </c>
      <c r="L48" s="273">
        <v>927887</v>
      </c>
      <c r="M48" s="273">
        <v>0</v>
      </c>
      <c r="N48" s="273">
        <v>0</v>
      </c>
      <c r="O48" s="273">
        <v>0</v>
      </c>
      <c r="P48" s="274">
        <v>194856.27</v>
      </c>
      <c r="Q48" s="274">
        <v>1122743.27</v>
      </c>
    </row>
    <row r="49" spans="1:18" hidden="1" x14ac:dyDescent="0.25">
      <c r="A49" s="271" t="s">
        <v>1157</v>
      </c>
      <c r="B49" s="313" t="s">
        <v>644</v>
      </c>
      <c r="C49" s="314">
        <v>5015</v>
      </c>
      <c r="D49" s="314">
        <v>849565</v>
      </c>
      <c r="E49" s="313"/>
      <c r="F49" s="314">
        <v>75204098779142</v>
      </c>
      <c r="G49" s="313" t="s">
        <v>7</v>
      </c>
      <c r="H49" s="314">
        <v>30574876474</v>
      </c>
      <c r="I49" s="313" t="s">
        <v>671</v>
      </c>
      <c r="J49" s="273">
        <v>1</v>
      </c>
      <c r="K49" s="271" t="s">
        <v>646</v>
      </c>
      <c r="L49" s="274">
        <v>42078.11</v>
      </c>
      <c r="M49" s="273">
        <v>0</v>
      </c>
      <c r="N49" s="273">
        <v>0</v>
      </c>
      <c r="O49" s="274">
        <v>5470.14</v>
      </c>
      <c r="P49" s="274">
        <v>8836.36</v>
      </c>
      <c r="Q49" s="274">
        <v>56384.61</v>
      </c>
    </row>
    <row r="50" spans="1:18" hidden="1" x14ac:dyDescent="0.25">
      <c r="A50" s="305" t="s">
        <v>1157</v>
      </c>
      <c r="B50" s="305" t="s">
        <v>644</v>
      </c>
      <c r="C50" s="306">
        <v>104</v>
      </c>
      <c r="D50" s="306">
        <v>9230267</v>
      </c>
      <c r="E50" s="312" t="s">
        <v>1251</v>
      </c>
      <c r="F50" s="306">
        <v>75202986644330</v>
      </c>
      <c r="G50" s="305" t="s">
        <v>7</v>
      </c>
      <c r="H50" s="306">
        <v>30715804812</v>
      </c>
      <c r="I50" s="305" t="s">
        <v>669</v>
      </c>
      <c r="J50" s="306">
        <v>1</v>
      </c>
      <c r="K50" s="305" t="s">
        <v>646</v>
      </c>
      <c r="L50" s="307">
        <v>1804.5</v>
      </c>
      <c r="M50" s="306">
        <v>0</v>
      </c>
      <c r="N50" s="306">
        <v>0</v>
      </c>
      <c r="O50" s="308">
        <v>72.180000000000007</v>
      </c>
      <c r="P50" s="308">
        <v>378.95</v>
      </c>
      <c r="Q50" s="308">
        <v>2255.63</v>
      </c>
    </row>
    <row r="51" spans="1:18" hidden="1" x14ac:dyDescent="0.25">
      <c r="A51" s="271" t="s">
        <v>1157</v>
      </c>
      <c r="B51" s="271" t="s">
        <v>644</v>
      </c>
      <c r="C51" s="273">
        <v>2</v>
      </c>
      <c r="D51" s="273">
        <v>168</v>
      </c>
      <c r="E51" s="271"/>
      <c r="F51" s="273">
        <v>75206036891667</v>
      </c>
      <c r="G51" s="271" t="s">
        <v>7</v>
      </c>
      <c r="H51" s="273">
        <v>30718285026</v>
      </c>
      <c r="I51" s="271" t="s">
        <v>1186</v>
      </c>
      <c r="J51" s="273">
        <v>1</v>
      </c>
      <c r="K51" s="271" t="s">
        <v>646</v>
      </c>
      <c r="L51" s="274">
        <v>23181.14</v>
      </c>
      <c r="M51" s="273">
        <v>0</v>
      </c>
      <c r="N51" s="273">
        <v>0</v>
      </c>
      <c r="O51" s="273">
        <v>0</v>
      </c>
      <c r="P51" s="274">
        <v>4868.04</v>
      </c>
      <c r="Q51" s="274">
        <v>28049.16</v>
      </c>
    </row>
    <row r="52" spans="1:18" hidden="1" x14ac:dyDescent="0.25">
      <c r="A52" s="271" t="s">
        <v>1158</v>
      </c>
      <c r="B52" s="271" t="s">
        <v>644</v>
      </c>
      <c r="C52" s="273">
        <v>2</v>
      </c>
      <c r="D52" s="273">
        <v>1285</v>
      </c>
      <c r="E52" s="271"/>
      <c r="F52" s="273">
        <v>75209199741912</v>
      </c>
      <c r="G52" s="271" t="s">
        <v>7</v>
      </c>
      <c r="H52" s="273">
        <v>20272865869</v>
      </c>
      <c r="I52" s="271" t="s">
        <v>617</v>
      </c>
      <c r="J52" s="273">
        <v>1</v>
      </c>
      <c r="K52" s="271" t="s">
        <v>646</v>
      </c>
      <c r="L52" s="273">
        <v>324600</v>
      </c>
      <c r="M52" s="273">
        <v>0</v>
      </c>
      <c r="N52" s="273">
        <v>0</v>
      </c>
      <c r="O52" s="273">
        <v>0</v>
      </c>
      <c r="P52" s="273">
        <v>68166</v>
      </c>
      <c r="Q52" s="273">
        <v>392766</v>
      </c>
    </row>
    <row r="53" spans="1:18" hidden="1" x14ac:dyDescent="0.25">
      <c r="A53" s="271" t="s">
        <v>1158</v>
      </c>
      <c r="B53" s="313" t="s">
        <v>644</v>
      </c>
      <c r="C53" s="314">
        <v>50</v>
      </c>
      <c r="D53" s="314">
        <v>4341333</v>
      </c>
      <c r="E53" s="313"/>
      <c r="F53" s="314">
        <v>75206383969125</v>
      </c>
      <c r="G53" s="313" t="s">
        <v>7</v>
      </c>
      <c r="H53" s="314">
        <v>30714112836</v>
      </c>
      <c r="I53" s="313" t="s">
        <v>956</v>
      </c>
      <c r="J53" s="273">
        <v>1</v>
      </c>
      <c r="K53" s="271" t="s">
        <v>646</v>
      </c>
      <c r="L53" s="274">
        <v>2444.0700000000002</v>
      </c>
      <c r="M53" s="273">
        <v>0</v>
      </c>
      <c r="N53" s="273">
        <v>0</v>
      </c>
      <c r="O53" s="274">
        <v>73.319999999999993</v>
      </c>
      <c r="P53" s="274">
        <v>513.25</v>
      </c>
      <c r="Q53" s="274">
        <v>3030.64</v>
      </c>
    </row>
    <row r="54" spans="1:18" hidden="1" x14ac:dyDescent="0.25">
      <c r="A54" s="271" t="s">
        <v>1162</v>
      </c>
      <c r="B54" s="271" t="s">
        <v>644</v>
      </c>
      <c r="C54" s="273">
        <v>7</v>
      </c>
      <c r="D54" s="273">
        <v>1577</v>
      </c>
      <c r="E54" s="271"/>
      <c r="F54" s="273">
        <v>75206316960001</v>
      </c>
      <c r="G54" s="271" t="s">
        <v>7</v>
      </c>
      <c r="H54" s="273">
        <v>30712187316</v>
      </c>
      <c r="I54" s="271" t="s">
        <v>68</v>
      </c>
      <c r="J54" s="273">
        <v>1150</v>
      </c>
      <c r="K54" s="271" t="s">
        <v>663</v>
      </c>
      <c r="L54" s="274">
        <v>509.04</v>
      </c>
      <c r="M54" s="273">
        <v>0</v>
      </c>
      <c r="N54" s="273">
        <v>0</v>
      </c>
      <c r="O54" s="273">
        <v>0</v>
      </c>
      <c r="P54" s="271">
        <v>106.9</v>
      </c>
      <c r="Q54" s="274">
        <v>615.94000000000005</v>
      </c>
    </row>
    <row r="55" spans="1:18" hidden="1" x14ac:dyDescent="0.25">
      <c r="A55" s="313" t="s">
        <v>1162</v>
      </c>
      <c r="B55" s="313" t="s">
        <v>644</v>
      </c>
      <c r="C55" s="314">
        <v>4</v>
      </c>
      <c r="D55" s="314">
        <v>1073</v>
      </c>
      <c r="E55" s="313"/>
      <c r="F55" s="314">
        <v>75203285420000</v>
      </c>
      <c r="G55" s="313" t="s">
        <v>7</v>
      </c>
      <c r="H55" s="314">
        <v>30717874133</v>
      </c>
      <c r="I55" s="313" t="s">
        <v>1187</v>
      </c>
      <c r="J55" s="314">
        <v>1</v>
      </c>
      <c r="K55" s="313" t="s">
        <v>646</v>
      </c>
      <c r="L55" s="315">
        <v>124133.88</v>
      </c>
      <c r="M55" s="314">
        <v>0</v>
      </c>
      <c r="N55" s="314">
        <v>0</v>
      </c>
      <c r="O55" s="314">
        <v>0</v>
      </c>
      <c r="P55" s="315">
        <v>26068.12</v>
      </c>
      <c r="Q55" s="314">
        <v>150202</v>
      </c>
    </row>
    <row r="56" spans="1:18" hidden="1" x14ac:dyDescent="0.25">
      <c r="A56" s="271" t="s">
        <v>1162</v>
      </c>
      <c r="B56" s="271" t="s">
        <v>644</v>
      </c>
      <c r="C56" s="273">
        <v>1</v>
      </c>
      <c r="D56" s="273">
        <v>7301</v>
      </c>
      <c r="E56" s="271"/>
      <c r="F56" s="273">
        <v>75201305582767</v>
      </c>
      <c r="G56" s="271" t="s">
        <v>7</v>
      </c>
      <c r="H56" s="273">
        <v>30715141201</v>
      </c>
      <c r="I56" s="271" t="s">
        <v>649</v>
      </c>
      <c r="J56" s="273">
        <v>1</v>
      </c>
      <c r="K56" s="271" t="s">
        <v>646</v>
      </c>
      <c r="L56" s="273">
        <v>158700</v>
      </c>
      <c r="M56" s="273">
        <v>0</v>
      </c>
      <c r="N56" s="273">
        <v>0</v>
      </c>
      <c r="O56" s="273">
        <v>0</v>
      </c>
      <c r="P56" s="273">
        <v>33327</v>
      </c>
      <c r="Q56" s="273">
        <v>192027</v>
      </c>
    </row>
    <row r="57" spans="1:18" hidden="1" x14ac:dyDescent="0.25">
      <c r="A57" s="271" t="s">
        <v>1162</v>
      </c>
      <c r="B57" s="271" t="s">
        <v>644</v>
      </c>
      <c r="C57" s="273">
        <v>5</v>
      </c>
      <c r="D57" s="273">
        <v>2421</v>
      </c>
      <c r="E57" s="271"/>
      <c r="F57" s="273">
        <v>75206316726496</v>
      </c>
      <c r="G57" s="271" t="s">
        <v>7</v>
      </c>
      <c r="H57" s="273">
        <v>30712187316</v>
      </c>
      <c r="I57" s="271" t="s">
        <v>68</v>
      </c>
      <c r="J57" s="273">
        <v>1150</v>
      </c>
      <c r="K57" s="271" t="s">
        <v>663</v>
      </c>
      <c r="L57" s="274">
        <v>779.25</v>
      </c>
      <c r="M57" s="273">
        <v>0</v>
      </c>
      <c r="N57" s="273">
        <v>0</v>
      </c>
      <c r="O57" s="273">
        <v>0</v>
      </c>
      <c r="P57" s="274">
        <v>163.63999999999999</v>
      </c>
      <c r="Q57" s="274">
        <v>942.89</v>
      </c>
    </row>
    <row r="58" spans="1:18" hidden="1" x14ac:dyDescent="0.25">
      <c r="A58" s="271" t="s">
        <v>1162</v>
      </c>
      <c r="B58" s="271" t="s">
        <v>644</v>
      </c>
      <c r="C58" s="273">
        <v>629</v>
      </c>
      <c r="D58" s="273">
        <v>6111053</v>
      </c>
      <c r="E58" s="271"/>
      <c r="F58" s="273">
        <v>35193120201379</v>
      </c>
      <c r="G58" s="271" t="s">
        <v>7</v>
      </c>
      <c r="H58" s="273">
        <v>30663498513</v>
      </c>
      <c r="I58" s="271" t="s">
        <v>657</v>
      </c>
      <c r="J58" s="273">
        <v>1</v>
      </c>
      <c r="K58" s="271" t="s">
        <v>646</v>
      </c>
      <c r="L58" s="274">
        <v>2542.1799999999998</v>
      </c>
      <c r="M58" s="273">
        <v>0</v>
      </c>
      <c r="N58" s="273">
        <v>0</v>
      </c>
      <c r="O58" s="274">
        <v>101.69</v>
      </c>
      <c r="P58" s="274">
        <v>533.86</v>
      </c>
      <c r="Q58" s="274">
        <v>3177.73</v>
      </c>
    </row>
    <row r="59" spans="1:18" hidden="1" x14ac:dyDescent="0.25">
      <c r="A59" s="271" t="s">
        <v>1162</v>
      </c>
      <c r="B59" s="271" t="s">
        <v>644</v>
      </c>
      <c r="C59" s="273">
        <v>711</v>
      </c>
      <c r="D59" s="273">
        <v>7116239</v>
      </c>
      <c r="E59" s="271"/>
      <c r="F59" s="273">
        <v>35199666575201</v>
      </c>
      <c r="G59" s="271" t="s">
        <v>7</v>
      </c>
      <c r="H59" s="273">
        <v>30677237119</v>
      </c>
      <c r="I59" s="271" t="s">
        <v>658</v>
      </c>
      <c r="J59" s="273">
        <v>1</v>
      </c>
      <c r="K59" s="271" t="s">
        <v>646</v>
      </c>
      <c r="L59" s="274">
        <v>10053.15</v>
      </c>
      <c r="M59" s="273">
        <v>0</v>
      </c>
      <c r="N59" s="274">
        <v>301.58999999999997</v>
      </c>
      <c r="O59" s="274">
        <v>402.13</v>
      </c>
      <c r="P59" s="274">
        <v>2111.17</v>
      </c>
      <c r="Q59" s="274">
        <v>12868.04</v>
      </c>
    </row>
    <row r="60" spans="1:18" hidden="1" x14ac:dyDescent="0.25">
      <c r="A60" s="309" t="s">
        <v>1163</v>
      </c>
      <c r="B60" s="309" t="s">
        <v>644</v>
      </c>
      <c r="C60" s="310">
        <v>44</v>
      </c>
      <c r="D60" s="310">
        <v>19653</v>
      </c>
      <c r="E60" s="309" t="s">
        <v>1251</v>
      </c>
      <c r="F60" s="310">
        <v>75207593896654</v>
      </c>
      <c r="G60" s="309" t="s">
        <v>7</v>
      </c>
      <c r="H60" s="310">
        <v>30708847247</v>
      </c>
      <c r="I60" s="309" t="s">
        <v>946</v>
      </c>
      <c r="J60" s="310">
        <v>1</v>
      </c>
      <c r="K60" s="309" t="s">
        <v>646</v>
      </c>
      <c r="L60" s="311">
        <v>43853.86</v>
      </c>
      <c r="M60" s="310">
        <v>0</v>
      </c>
      <c r="N60" s="310">
        <v>0</v>
      </c>
      <c r="O60" s="311">
        <v>1754.15</v>
      </c>
      <c r="P60" s="311">
        <v>9209.31</v>
      </c>
      <c r="Q60" s="311">
        <v>54817.32</v>
      </c>
      <c r="R60">
        <f>+L60*0.04</f>
        <v>1754.1544000000001</v>
      </c>
    </row>
    <row r="61" spans="1:18" hidden="1" x14ac:dyDescent="0.25">
      <c r="A61" s="271" t="s">
        <v>1163</v>
      </c>
      <c r="B61" s="271" t="s">
        <v>644</v>
      </c>
      <c r="C61" s="273">
        <v>6</v>
      </c>
      <c r="D61" s="273">
        <v>57</v>
      </c>
      <c r="E61" s="271"/>
      <c r="F61" s="273">
        <v>75201584443143</v>
      </c>
      <c r="G61" s="271" t="s">
        <v>7</v>
      </c>
      <c r="H61" s="273">
        <v>30716401541</v>
      </c>
      <c r="I61" s="271" t="s">
        <v>1182</v>
      </c>
      <c r="J61" s="273">
        <v>1</v>
      </c>
      <c r="K61" s="271" t="s">
        <v>646</v>
      </c>
      <c r="L61" s="273">
        <v>1015000</v>
      </c>
      <c r="M61" s="273">
        <v>0</v>
      </c>
      <c r="N61" s="273">
        <v>0</v>
      </c>
      <c r="O61" s="273">
        <v>0</v>
      </c>
      <c r="P61" s="273">
        <v>213150</v>
      </c>
      <c r="Q61" s="273">
        <v>1228150</v>
      </c>
    </row>
    <row r="62" spans="1:18" hidden="1" x14ac:dyDescent="0.25">
      <c r="A62" s="271" t="s">
        <v>1163</v>
      </c>
      <c r="B62" s="271" t="s">
        <v>644</v>
      </c>
      <c r="C62" s="273">
        <v>5</v>
      </c>
      <c r="D62" s="273">
        <v>48</v>
      </c>
      <c r="E62" s="271"/>
      <c r="F62" s="273">
        <v>75203668853596</v>
      </c>
      <c r="G62" s="271" t="s">
        <v>7</v>
      </c>
      <c r="H62" s="273">
        <v>20929183143</v>
      </c>
      <c r="I62" s="271" t="s">
        <v>461</v>
      </c>
      <c r="J62" s="273">
        <v>1</v>
      </c>
      <c r="K62" s="271" t="s">
        <v>646</v>
      </c>
      <c r="L62" s="273">
        <v>85000</v>
      </c>
      <c r="M62" s="273">
        <v>0</v>
      </c>
      <c r="N62" s="273">
        <v>0</v>
      </c>
      <c r="O62" s="273">
        <v>0</v>
      </c>
      <c r="P62" s="273">
        <v>17850</v>
      </c>
      <c r="Q62" s="273">
        <v>102850</v>
      </c>
    </row>
    <row r="63" spans="1:18" hidden="1" x14ac:dyDescent="0.25">
      <c r="A63" s="271" t="s">
        <v>1164</v>
      </c>
      <c r="B63" s="271" t="s">
        <v>644</v>
      </c>
      <c r="C63" s="273">
        <v>5</v>
      </c>
      <c r="D63" s="273">
        <v>166975</v>
      </c>
      <c r="E63" s="271"/>
      <c r="F63" s="273">
        <v>75203702773962</v>
      </c>
      <c r="G63" s="271" t="s">
        <v>7</v>
      </c>
      <c r="H63" s="273">
        <v>30598960093</v>
      </c>
      <c r="I63" s="271" t="s">
        <v>650</v>
      </c>
      <c r="J63" s="273">
        <v>1</v>
      </c>
      <c r="K63" s="271" t="s">
        <v>646</v>
      </c>
      <c r="L63" s="274">
        <v>760465.65</v>
      </c>
      <c r="M63" s="273">
        <v>0</v>
      </c>
      <c r="N63" s="273">
        <v>0</v>
      </c>
      <c r="O63" s="274">
        <v>30418.63</v>
      </c>
      <c r="P63" s="274">
        <v>131577.34</v>
      </c>
      <c r="Q63" s="274">
        <v>922461.62</v>
      </c>
    </row>
    <row r="64" spans="1:18" hidden="1" x14ac:dyDescent="0.25">
      <c r="A64" s="271" t="s">
        <v>1164</v>
      </c>
      <c r="B64" s="271" t="s">
        <v>644</v>
      </c>
      <c r="C64" s="273">
        <v>12</v>
      </c>
      <c r="D64" s="273">
        <v>42634</v>
      </c>
      <c r="E64" s="271"/>
      <c r="F64" s="273">
        <v>75204734833632</v>
      </c>
      <c r="G64" s="271" t="s">
        <v>7</v>
      </c>
      <c r="H64" s="273">
        <v>30526582884</v>
      </c>
      <c r="I64" s="271" t="s">
        <v>700</v>
      </c>
      <c r="J64" s="273">
        <v>1</v>
      </c>
      <c r="K64" s="271" t="s">
        <v>646</v>
      </c>
      <c r="L64" s="274">
        <v>155355.37</v>
      </c>
      <c r="M64" s="273">
        <v>0</v>
      </c>
      <c r="N64" s="273">
        <v>0</v>
      </c>
      <c r="O64" s="273">
        <v>0</v>
      </c>
      <c r="P64" s="274">
        <v>32624.63</v>
      </c>
      <c r="Q64" s="273">
        <v>187980</v>
      </c>
    </row>
    <row r="65" spans="1:17" hidden="1" x14ac:dyDescent="0.25">
      <c r="A65" s="271" t="s">
        <v>1164</v>
      </c>
      <c r="B65" s="271" t="s">
        <v>655</v>
      </c>
      <c r="C65" s="273">
        <v>1</v>
      </c>
      <c r="D65" s="273">
        <v>9</v>
      </c>
      <c r="E65" s="271"/>
      <c r="F65" s="273">
        <v>75201732106411</v>
      </c>
      <c r="G65" s="271" t="s">
        <v>7</v>
      </c>
      <c r="H65" s="273">
        <v>27122903201</v>
      </c>
      <c r="I65" s="271" t="s">
        <v>1188</v>
      </c>
      <c r="J65" s="273">
        <v>1</v>
      </c>
      <c r="K65" s="271" t="s">
        <v>646</v>
      </c>
      <c r="L65" s="271"/>
      <c r="M65" s="271"/>
      <c r="N65" s="271"/>
      <c r="O65" s="273">
        <v>0</v>
      </c>
      <c r="P65" s="271"/>
      <c r="Q65" s="273">
        <v>2000000</v>
      </c>
    </row>
    <row r="66" spans="1:17" hidden="1" x14ac:dyDescent="0.25">
      <c r="A66" s="271" t="s">
        <v>1167</v>
      </c>
      <c r="B66" s="271" t="s">
        <v>644</v>
      </c>
      <c r="C66" s="273">
        <v>5</v>
      </c>
      <c r="D66" s="273">
        <v>3300761</v>
      </c>
      <c r="E66" s="271"/>
      <c r="F66" s="273">
        <v>75215872264683</v>
      </c>
      <c r="G66" s="271" t="s">
        <v>7</v>
      </c>
      <c r="H66" s="273">
        <v>30702652975</v>
      </c>
      <c r="I66" s="271" t="s">
        <v>706</v>
      </c>
      <c r="J66" s="273">
        <v>1</v>
      </c>
      <c r="K66" s="271" t="s">
        <v>646</v>
      </c>
      <c r="L66" s="274">
        <v>35660.75</v>
      </c>
      <c r="M66" s="273">
        <v>0</v>
      </c>
      <c r="N66" s="273">
        <v>0</v>
      </c>
      <c r="O66" s="274">
        <v>1426.43</v>
      </c>
      <c r="P66" s="274">
        <v>7488.76</v>
      </c>
      <c r="Q66" s="274">
        <v>44575.94</v>
      </c>
    </row>
    <row r="67" spans="1:17" hidden="1" x14ac:dyDescent="0.25">
      <c r="A67" s="271" t="s">
        <v>1167</v>
      </c>
      <c r="B67" s="271" t="s">
        <v>644</v>
      </c>
      <c r="C67" s="273">
        <v>4264</v>
      </c>
      <c r="D67" s="273">
        <v>5471712</v>
      </c>
      <c r="E67" s="271"/>
      <c r="F67" s="273">
        <v>75218986009028</v>
      </c>
      <c r="G67" s="271" t="s">
        <v>7</v>
      </c>
      <c r="H67" s="273">
        <v>30639453738</v>
      </c>
      <c r="I67" s="271" t="s">
        <v>697</v>
      </c>
      <c r="J67" s="273">
        <v>1</v>
      </c>
      <c r="K67" s="271" t="s">
        <v>646</v>
      </c>
      <c r="L67" s="274">
        <v>46199.59</v>
      </c>
      <c r="M67" s="273">
        <v>0</v>
      </c>
      <c r="N67" s="273">
        <v>0</v>
      </c>
      <c r="O67" s="274">
        <v>3233.97</v>
      </c>
      <c r="P67" s="274">
        <v>9701.91</v>
      </c>
      <c r="Q67" s="274">
        <v>59135.47</v>
      </c>
    </row>
    <row r="68" spans="1:17" hidden="1" x14ac:dyDescent="0.25">
      <c r="A68" s="271" t="s">
        <v>1167</v>
      </c>
      <c r="B68" s="271" t="s">
        <v>644</v>
      </c>
      <c r="C68" s="273">
        <v>6</v>
      </c>
      <c r="D68" s="273">
        <v>59</v>
      </c>
      <c r="E68" s="271"/>
      <c r="F68" s="273">
        <v>75211862068571</v>
      </c>
      <c r="G68" s="271" t="s">
        <v>7</v>
      </c>
      <c r="H68" s="273">
        <v>30716401541</v>
      </c>
      <c r="I68" s="271" t="s">
        <v>1182</v>
      </c>
      <c r="J68" s="273">
        <v>1</v>
      </c>
      <c r="K68" s="271" t="s">
        <v>646</v>
      </c>
      <c r="L68" s="273">
        <v>386280</v>
      </c>
      <c r="M68" s="273">
        <v>0</v>
      </c>
      <c r="N68" s="273">
        <v>0</v>
      </c>
      <c r="O68" s="273">
        <v>0</v>
      </c>
      <c r="P68" s="271">
        <v>81118.8</v>
      </c>
      <c r="Q68" s="271">
        <v>467398.8</v>
      </c>
    </row>
    <row r="69" spans="1:17" hidden="1" x14ac:dyDescent="0.25">
      <c r="A69" s="271" t="s">
        <v>1167</v>
      </c>
      <c r="B69" s="271" t="s">
        <v>655</v>
      </c>
      <c r="C69" s="273">
        <v>1</v>
      </c>
      <c r="D69" s="273">
        <v>80</v>
      </c>
      <c r="E69" s="271"/>
      <c r="F69" s="273">
        <v>75214862192180</v>
      </c>
      <c r="G69" s="271" t="s">
        <v>7</v>
      </c>
      <c r="H69" s="273">
        <v>23281233084</v>
      </c>
      <c r="I69" s="271" t="s">
        <v>184</v>
      </c>
      <c r="J69" s="273">
        <v>1</v>
      </c>
      <c r="K69" s="271" t="s">
        <v>646</v>
      </c>
      <c r="L69" s="271"/>
      <c r="M69" s="271"/>
      <c r="N69" s="271"/>
      <c r="O69" s="273">
        <v>0</v>
      </c>
      <c r="P69" s="271"/>
      <c r="Q69" s="273">
        <v>300000</v>
      </c>
    </row>
    <row r="70" spans="1:17" hidden="1" x14ac:dyDescent="0.25">
      <c r="A70" s="271" t="s">
        <v>1168</v>
      </c>
      <c r="B70" s="271" t="s">
        <v>644</v>
      </c>
      <c r="C70" s="273">
        <v>15</v>
      </c>
      <c r="D70" s="273">
        <v>4537</v>
      </c>
      <c r="E70" s="271"/>
      <c r="F70" s="273">
        <v>75213952936400</v>
      </c>
      <c r="G70" s="271" t="s">
        <v>7</v>
      </c>
      <c r="H70" s="273">
        <v>30688140923</v>
      </c>
      <c r="I70" s="271" t="s">
        <v>1103</v>
      </c>
      <c r="J70" s="273">
        <v>1</v>
      </c>
      <c r="K70" s="271" t="s">
        <v>646</v>
      </c>
      <c r="L70" s="271">
        <v>382425.59999999998</v>
      </c>
      <c r="M70" s="273">
        <v>0</v>
      </c>
      <c r="N70" s="273">
        <v>0</v>
      </c>
      <c r="O70" s="273">
        <v>0</v>
      </c>
      <c r="P70" s="274">
        <v>80309.38</v>
      </c>
      <c r="Q70" s="274">
        <v>462734.98</v>
      </c>
    </row>
    <row r="71" spans="1:17" hidden="1" x14ac:dyDescent="0.25">
      <c r="A71" s="309" t="s">
        <v>1168</v>
      </c>
      <c r="B71" s="309" t="s">
        <v>644</v>
      </c>
      <c r="C71" s="310">
        <v>7</v>
      </c>
      <c r="D71" s="310">
        <v>7572</v>
      </c>
      <c r="E71" s="309" t="s">
        <v>1251</v>
      </c>
      <c r="F71" s="310">
        <v>75218979071367</v>
      </c>
      <c r="G71" s="309" t="s">
        <v>7</v>
      </c>
      <c r="H71" s="310">
        <v>20312058368</v>
      </c>
      <c r="I71" s="309" t="s">
        <v>1189</v>
      </c>
      <c r="J71" s="310">
        <v>1</v>
      </c>
      <c r="K71" s="309" t="s">
        <v>646</v>
      </c>
      <c r="L71" s="311">
        <v>49421.49</v>
      </c>
      <c r="M71" s="310">
        <v>0</v>
      </c>
      <c r="N71" s="310">
        <v>0</v>
      </c>
      <c r="O71" s="310">
        <v>0</v>
      </c>
      <c r="P71" s="311">
        <v>10378.51</v>
      </c>
      <c r="Q71" s="310">
        <v>59800</v>
      </c>
    </row>
    <row r="72" spans="1:17" hidden="1" x14ac:dyDescent="0.25">
      <c r="A72" s="271" t="s">
        <v>1168</v>
      </c>
      <c r="B72" s="271" t="s">
        <v>644</v>
      </c>
      <c r="C72" s="273">
        <v>2</v>
      </c>
      <c r="D72" s="273">
        <v>1304</v>
      </c>
      <c r="E72" s="271"/>
      <c r="F72" s="273">
        <v>75219997093395</v>
      </c>
      <c r="G72" s="271" t="s">
        <v>7</v>
      </c>
      <c r="H72" s="273">
        <v>20272865869</v>
      </c>
      <c r="I72" s="271" t="s">
        <v>617</v>
      </c>
      <c r="J72" s="273">
        <v>1</v>
      </c>
      <c r="K72" s="271" t="s">
        <v>646</v>
      </c>
      <c r="L72" s="273">
        <v>207100</v>
      </c>
      <c r="M72" s="273">
        <v>0</v>
      </c>
      <c r="N72" s="273">
        <v>0</v>
      </c>
      <c r="O72" s="273">
        <v>0</v>
      </c>
      <c r="P72" s="273">
        <v>43491</v>
      </c>
      <c r="Q72" s="273">
        <v>250591</v>
      </c>
    </row>
    <row r="73" spans="1:17" hidden="1" x14ac:dyDescent="0.25">
      <c r="A73" s="271" t="s">
        <v>1168</v>
      </c>
      <c r="B73" s="271" t="s">
        <v>644</v>
      </c>
      <c r="C73" s="273">
        <v>700</v>
      </c>
      <c r="D73" s="273">
        <v>2467338</v>
      </c>
      <c r="E73" s="271"/>
      <c r="F73" s="273">
        <v>75212040906337</v>
      </c>
      <c r="G73" s="271" t="s">
        <v>7</v>
      </c>
      <c r="H73" s="273">
        <v>30715804812</v>
      </c>
      <c r="I73" s="271" t="s">
        <v>669</v>
      </c>
      <c r="J73" s="273">
        <v>1</v>
      </c>
      <c r="K73" s="271" t="s">
        <v>646</v>
      </c>
      <c r="L73" s="274">
        <v>20175.650000000001</v>
      </c>
      <c r="M73" s="273">
        <v>0</v>
      </c>
      <c r="N73" s="273">
        <v>0</v>
      </c>
      <c r="O73" s="274">
        <v>807.02</v>
      </c>
      <c r="P73" s="274">
        <v>4236.8900000000003</v>
      </c>
      <c r="Q73" s="274">
        <v>25219.56</v>
      </c>
    </row>
    <row r="74" spans="1:17" hidden="1" x14ac:dyDescent="0.25">
      <c r="A74" s="305" t="s">
        <v>1157</v>
      </c>
      <c r="B74" s="305" t="s">
        <v>644</v>
      </c>
      <c r="C74" s="306">
        <v>104</v>
      </c>
      <c r="D74" s="306">
        <v>9128311</v>
      </c>
      <c r="E74" s="312" t="s">
        <v>1251</v>
      </c>
      <c r="F74" s="306">
        <v>75202967142711</v>
      </c>
      <c r="G74" s="305" t="s">
        <v>7</v>
      </c>
      <c r="H74" s="306">
        <v>30715804812</v>
      </c>
      <c r="I74" s="305" t="s">
        <v>669</v>
      </c>
      <c r="J74" s="306">
        <v>1</v>
      </c>
      <c r="K74" s="305" t="s">
        <v>646</v>
      </c>
      <c r="L74" s="307">
        <v>2079.9699999999998</v>
      </c>
      <c r="M74" s="306">
        <v>0</v>
      </c>
      <c r="N74" s="306">
        <v>0</v>
      </c>
      <c r="O74" s="305">
        <v>83.2</v>
      </c>
      <c r="P74" s="308">
        <v>436.79</v>
      </c>
      <c r="Q74" s="308">
        <v>2599.96</v>
      </c>
    </row>
    <row r="75" spans="1:17" hidden="1" x14ac:dyDescent="0.25">
      <c r="A75" s="271" t="s">
        <v>1171</v>
      </c>
      <c r="B75" s="271" t="s">
        <v>644</v>
      </c>
      <c r="C75" s="273">
        <v>2</v>
      </c>
      <c r="D75" s="273">
        <v>12089</v>
      </c>
      <c r="E75" s="271"/>
      <c r="F75" s="273">
        <v>75212050971859</v>
      </c>
      <c r="G75" s="271" t="s">
        <v>7</v>
      </c>
      <c r="H75" s="273">
        <v>30714331082</v>
      </c>
      <c r="I75" s="271" t="s">
        <v>936</v>
      </c>
      <c r="J75" s="273">
        <v>1</v>
      </c>
      <c r="K75" s="271" t="s">
        <v>646</v>
      </c>
      <c r="L75" s="274">
        <v>1325320.6299999999</v>
      </c>
      <c r="M75" s="273">
        <v>0</v>
      </c>
      <c r="N75" s="273">
        <v>0</v>
      </c>
      <c r="O75" s="273">
        <v>0</v>
      </c>
      <c r="P75" s="274">
        <v>278317.33</v>
      </c>
      <c r="Q75" s="274">
        <v>1603637.96</v>
      </c>
    </row>
    <row r="76" spans="1:17" hidden="1" x14ac:dyDescent="0.25">
      <c r="A76" s="271" t="s">
        <v>1171</v>
      </c>
      <c r="B76" s="271" t="s">
        <v>644</v>
      </c>
      <c r="C76" s="273">
        <v>2</v>
      </c>
      <c r="D76" s="273">
        <v>1305</v>
      </c>
      <c r="E76" s="271"/>
      <c r="F76" s="273">
        <v>75219048529515</v>
      </c>
      <c r="G76" s="271" t="s">
        <v>7</v>
      </c>
      <c r="H76" s="273">
        <v>20272865869</v>
      </c>
      <c r="I76" s="271" t="s">
        <v>617</v>
      </c>
      <c r="J76" s="273">
        <v>1</v>
      </c>
      <c r="K76" s="271" t="s">
        <v>646</v>
      </c>
      <c r="L76" s="273">
        <v>45000</v>
      </c>
      <c r="M76" s="273">
        <v>0</v>
      </c>
      <c r="N76" s="273">
        <v>0</v>
      </c>
      <c r="O76" s="273">
        <v>0</v>
      </c>
      <c r="P76" s="273">
        <v>9450</v>
      </c>
      <c r="Q76" s="273">
        <v>54450</v>
      </c>
    </row>
    <row r="77" spans="1:17" hidden="1" x14ac:dyDescent="0.25">
      <c r="A77" s="271" t="s">
        <v>1171</v>
      </c>
      <c r="B77" s="271" t="s">
        <v>644</v>
      </c>
      <c r="C77" s="273">
        <v>2</v>
      </c>
      <c r="D77" s="273">
        <v>12090</v>
      </c>
      <c r="E77" s="271"/>
      <c r="F77" s="273">
        <v>75212051388934</v>
      </c>
      <c r="G77" s="271" t="s">
        <v>7</v>
      </c>
      <c r="H77" s="273">
        <v>30714331082</v>
      </c>
      <c r="I77" s="271" t="s">
        <v>936</v>
      </c>
      <c r="J77" s="273">
        <v>1</v>
      </c>
      <c r="K77" s="271" t="s">
        <v>646</v>
      </c>
      <c r="L77" s="274">
        <v>472360.62</v>
      </c>
      <c r="M77" s="273">
        <v>0</v>
      </c>
      <c r="N77" s="273">
        <v>0</v>
      </c>
      <c r="O77" s="273">
        <v>0</v>
      </c>
      <c r="P77" s="274">
        <v>99195.73</v>
      </c>
      <c r="Q77" s="274">
        <v>571556.35</v>
      </c>
    </row>
    <row r="78" spans="1:17" hidden="1" x14ac:dyDescent="0.25">
      <c r="A78" s="271" t="s">
        <v>1171</v>
      </c>
      <c r="B78" s="271" t="s">
        <v>644</v>
      </c>
      <c r="C78" s="273">
        <v>2</v>
      </c>
      <c r="D78" s="273">
        <v>12091</v>
      </c>
      <c r="E78" s="271"/>
      <c r="F78" s="273">
        <v>75212051805898</v>
      </c>
      <c r="G78" s="271" t="s">
        <v>7</v>
      </c>
      <c r="H78" s="273">
        <v>30714331082</v>
      </c>
      <c r="I78" s="271" t="s">
        <v>936</v>
      </c>
      <c r="J78" s="273">
        <v>1</v>
      </c>
      <c r="K78" s="271" t="s">
        <v>646</v>
      </c>
      <c r="L78" s="274">
        <v>579315.54</v>
      </c>
      <c r="M78" s="273">
        <v>0</v>
      </c>
      <c r="N78" s="273">
        <v>0</v>
      </c>
      <c r="O78" s="273">
        <v>0</v>
      </c>
      <c r="P78" s="274">
        <v>121656.26</v>
      </c>
      <c r="Q78" s="271">
        <v>700971.8</v>
      </c>
    </row>
    <row r="79" spans="1:17" hidden="1" x14ac:dyDescent="0.25">
      <c r="A79" s="271" t="s">
        <v>1171</v>
      </c>
      <c r="B79" s="271" t="s">
        <v>644</v>
      </c>
      <c r="C79" s="273">
        <v>210</v>
      </c>
      <c r="D79" s="273">
        <v>548</v>
      </c>
      <c r="E79" s="271"/>
      <c r="F79" s="273">
        <v>75212110337517</v>
      </c>
      <c r="G79" s="271" t="s">
        <v>7</v>
      </c>
      <c r="H79" s="273">
        <v>30592097482</v>
      </c>
      <c r="I79" s="271" t="s">
        <v>1190</v>
      </c>
      <c r="J79" s="273">
        <v>1</v>
      </c>
      <c r="K79" s="271" t="s">
        <v>646</v>
      </c>
      <c r="L79" s="274">
        <v>54418.18</v>
      </c>
      <c r="M79" s="273">
        <v>0</v>
      </c>
      <c r="N79" s="273">
        <v>0</v>
      </c>
      <c r="O79" s="274">
        <v>2176.73</v>
      </c>
      <c r="P79" s="274">
        <v>11427.82</v>
      </c>
      <c r="Q79" s="274">
        <v>68022.73</v>
      </c>
    </row>
    <row r="80" spans="1:17" hidden="1" x14ac:dyDescent="0.25">
      <c r="A80" s="271" t="s">
        <v>1171</v>
      </c>
      <c r="B80" s="271" t="s">
        <v>644</v>
      </c>
      <c r="C80" s="273">
        <v>2</v>
      </c>
      <c r="D80" s="273">
        <v>38</v>
      </c>
      <c r="E80" s="271"/>
      <c r="F80" s="273">
        <v>75215512508104</v>
      </c>
      <c r="G80" s="271" t="s">
        <v>7</v>
      </c>
      <c r="H80" s="273">
        <v>27243660535</v>
      </c>
      <c r="I80" s="271" t="s">
        <v>709</v>
      </c>
      <c r="J80" s="273">
        <v>1</v>
      </c>
      <c r="K80" s="271" t="s">
        <v>646</v>
      </c>
      <c r="L80" s="273">
        <v>414537</v>
      </c>
      <c r="M80" s="273">
        <v>0</v>
      </c>
      <c r="N80" s="273">
        <v>0</v>
      </c>
      <c r="O80" s="273">
        <v>0</v>
      </c>
      <c r="P80" s="274">
        <v>87052.77</v>
      </c>
      <c r="Q80" s="274">
        <v>501589.77</v>
      </c>
    </row>
    <row r="81" spans="1:17" hidden="1" x14ac:dyDescent="0.25">
      <c r="A81" s="309" t="s">
        <v>1172</v>
      </c>
      <c r="B81" s="309" t="s">
        <v>644</v>
      </c>
      <c r="C81" s="310">
        <v>5</v>
      </c>
      <c r="D81" s="310">
        <v>3349</v>
      </c>
      <c r="E81" s="309" t="s">
        <v>1251</v>
      </c>
      <c r="F81" s="310">
        <v>75219386499174</v>
      </c>
      <c r="G81" s="309" t="s">
        <v>7</v>
      </c>
      <c r="H81" s="310">
        <v>30518532959</v>
      </c>
      <c r="I81" s="309" t="s">
        <v>1191</v>
      </c>
      <c r="J81" s="310">
        <v>1</v>
      </c>
      <c r="K81" s="309" t="s">
        <v>646</v>
      </c>
      <c r="L81" s="311">
        <v>33637.019999999997</v>
      </c>
      <c r="M81" s="310">
        <v>0</v>
      </c>
      <c r="N81" s="310">
        <v>0</v>
      </c>
      <c r="O81" s="310">
        <v>0</v>
      </c>
      <c r="P81" s="311">
        <v>7063.77</v>
      </c>
      <c r="Q81" s="311">
        <v>40700.79</v>
      </c>
    </row>
    <row r="82" spans="1:17" hidden="1" x14ac:dyDescent="0.25">
      <c r="A82" s="271" t="s">
        <v>1172</v>
      </c>
      <c r="B82" s="271" t="s">
        <v>666</v>
      </c>
      <c r="C82" s="273">
        <v>2</v>
      </c>
      <c r="D82" s="273">
        <v>496</v>
      </c>
      <c r="E82" s="271"/>
      <c r="F82" s="273">
        <v>75212349207233</v>
      </c>
      <c r="G82" s="271" t="s">
        <v>7</v>
      </c>
      <c r="H82" s="273">
        <v>30714331082</v>
      </c>
      <c r="I82" s="271" t="s">
        <v>936</v>
      </c>
      <c r="J82" s="273">
        <v>1</v>
      </c>
      <c r="K82" s="271" t="s">
        <v>646</v>
      </c>
      <c r="L82" s="274">
        <v>579315.54</v>
      </c>
      <c r="M82" s="273">
        <v>0</v>
      </c>
      <c r="N82" s="273">
        <v>0</v>
      </c>
      <c r="O82" s="273">
        <v>0</v>
      </c>
      <c r="P82" s="274">
        <v>121656.26</v>
      </c>
      <c r="Q82" s="271">
        <v>700971.8</v>
      </c>
    </row>
    <row r="83" spans="1:17" hidden="1" x14ac:dyDescent="0.25">
      <c r="A83" s="305" t="s">
        <v>1168</v>
      </c>
      <c r="B83" s="305" t="s">
        <v>644</v>
      </c>
      <c r="C83" s="306">
        <v>700</v>
      </c>
      <c r="D83" s="306">
        <v>2467339</v>
      </c>
      <c r="E83" s="312" t="s">
        <v>1251</v>
      </c>
      <c r="F83" s="306">
        <v>75212040906340</v>
      </c>
      <c r="G83" s="305" t="s">
        <v>7</v>
      </c>
      <c r="H83" s="306">
        <v>30715804812</v>
      </c>
      <c r="I83" s="305" t="s">
        <v>669</v>
      </c>
      <c r="J83" s="306">
        <v>1</v>
      </c>
      <c r="K83" s="305" t="s">
        <v>646</v>
      </c>
      <c r="L83" s="307">
        <v>1871.97</v>
      </c>
      <c r="M83" s="306">
        <v>0</v>
      </c>
      <c r="N83" s="306">
        <v>0</v>
      </c>
      <c r="O83" s="306">
        <v>0</v>
      </c>
      <c r="P83" s="308">
        <v>393.11</v>
      </c>
      <c r="Q83" s="308">
        <v>2265.08</v>
      </c>
    </row>
    <row r="84" spans="1:17" hidden="1" x14ac:dyDescent="0.25">
      <c r="A84" s="271" t="s">
        <v>1173</v>
      </c>
      <c r="B84" s="271" t="s">
        <v>655</v>
      </c>
      <c r="C84" s="273">
        <v>1</v>
      </c>
      <c r="D84" s="273">
        <v>28</v>
      </c>
      <c r="E84" s="271"/>
      <c r="F84" s="273">
        <v>75211527497423</v>
      </c>
      <c r="G84" s="271" t="s">
        <v>7</v>
      </c>
      <c r="H84" s="273">
        <v>20311855671</v>
      </c>
      <c r="I84" s="271" t="s">
        <v>1097</v>
      </c>
      <c r="J84" s="273">
        <v>1</v>
      </c>
      <c r="K84" s="271" t="s">
        <v>646</v>
      </c>
      <c r="L84" s="271"/>
      <c r="M84" s="271"/>
      <c r="N84" s="271"/>
      <c r="O84" s="273">
        <v>0</v>
      </c>
      <c r="P84" s="271"/>
      <c r="Q84" s="273">
        <v>145000</v>
      </c>
    </row>
    <row r="85" spans="1:17" hidden="1" x14ac:dyDescent="0.25">
      <c r="A85" s="305" t="s">
        <v>1149</v>
      </c>
      <c r="B85" s="305" t="s">
        <v>644</v>
      </c>
      <c r="C85" s="306">
        <v>629</v>
      </c>
      <c r="D85" s="306">
        <v>6069001</v>
      </c>
      <c r="E85" s="312" t="s">
        <v>1251</v>
      </c>
      <c r="F85" s="306">
        <v>35173338641243</v>
      </c>
      <c r="G85" s="305" t="s">
        <v>7</v>
      </c>
      <c r="H85" s="306">
        <v>30663498513</v>
      </c>
      <c r="I85" s="305" t="s">
        <v>657</v>
      </c>
      <c r="J85" s="306">
        <v>1</v>
      </c>
      <c r="K85" s="305" t="s">
        <v>646</v>
      </c>
      <c r="L85" s="307">
        <v>4391.03</v>
      </c>
      <c r="M85" s="306">
        <v>0</v>
      </c>
      <c r="N85" s="306">
        <v>0</v>
      </c>
      <c r="O85" s="308">
        <v>175.64</v>
      </c>
      <c r="P85" s="308">
        <v>922.12</v>
      </c>
      <c r="Q85" s="308">
        <v>5488.79</v>
      </c>
    </row>
    <row r="86" spans="1:17" hidden="1" x14ac:dyDescent="0.25">
      <c r="A86" s="305" t="s">
        <v>1173</v>
      </c>
      <c r="B86" s="305" t="s">
        <v>644</v>
      </c>
      <c r="C86" s="306">
        <v>16</v>
      </c>
      <c r="D86" s="306">
        <v>386</v>
      </c>
      <c r="E86" s="312" t="s">
        <v>1251</v>
      </c>
      <c r="F86" s="306">
        <v>75215527916158</v>
      </c>
      <c r="G86" s="305" t="s">
        <v>7</v>
      </c>
      <c r="H86" s="306">
        <v>30715626515</v>
      </c>
      <c r="I86" s="305" t="s">
        <v>1192</v>
      </c>
      <c r="J86" s="306">
        <v>1</v>
      </c>
      <c r="K86" s="305" t="s">
        <v>646</v>
      </c>
      <c r="L86" s="307">
        <v>27026.44</v>
      </c>
      <c r="M86" s="306">
        <v>0</v>
      </c>
      <c r="N86" s="306">
        <v>0</v>
      </c>
      <c r="O86" s="306">
        <v>0</v>
      </c>
      <c r="P86" s="308">
        <v>5675.55</v>
      </c>
      <c r="Q86" s="308">
        <v>32701.99</v>
      </c>
    </row>
    <row r="87" spans="1:17" hidden="1" x14ac:dyDescent="0.25">
      <c r="A87" s="271" t="s">
        <v>1174</v>
      </c>
      <c r="B87" s="271" t="s">
        <v>655</v>
      </c>
      <c r="C87" s="273">
        <v>1</v>
      </c>
      <c r="D87" s="273">
        <v>29</v>
      </c>
      <c r="E87" s="271"/>
      <c r="F87" s="273">
        <v>75221662372707</v>
      </c>
      <c r="G87" s="271" t="s">
        <v>7</v>
      </c>
      <c r="H87" s="273">
        <v>20311855671</v>
      </c>
      <c r="I87" s="271" t="s">
        <v>1097</v>
      </c>
      <c r="J87" s="273">
        <v>1</v>
      </c>
      <c r="K87" s="271" t="s">
        <v>646</v>
      </c>
      <c r="L87" s="271"/>
      <c r="M87" s="271"/>
      <c r="N87" s="271"/>
      <c r="O87" s="273">
        <v>0</v>
      </c>
      <c r="P87" s="271"/>
      <c r="Q87" s="273">
        <v>355000</v>
      </c>
    </row>
    <row r="88" spans="1:17" hidden="1" x14ac:dyDescent="0.25">
      <c r="A88" s="305" t="s">
        <v>1153</v>
      </c>
      <c r="B88" s="305" t="s">
        <v>655</v>
      </c>
      <c r="C88" s="306">
        <v>1</v>
      </c>
      <c r="D88" s="306">
        <v>14</v>
      </c>
      <c r="E88" s="312" t="s">
        <v>1251</v>
      </c>
      <c r="F88" s="306">
        <v>75193233202026</v>
      </c>
      <c r="G88" s="305" t="s">
        <v>7</v>
      </c>
      <c r="H88" s="306">
        <v>27443612713</v>
      </c>
      <c r="I88" s="305" t="s">
        <v>937</v>
      </c>
      <c r="J88" s="306">
        <v>1</v>
      </c>
      <c r="K88" s="305" t="s">
        <v>646</v>
      </c>
      <c r="L88" s="307"/>
      <c r="M88" s="305"/>
      <c r="N88" s="305"/>
      <c r="O88" s="306">
        <v>0</v>
      </c>
      <c r="P88" s="305"/>
      <c r="Q88" s="306">
        <v>850000</v>
      </c>
    </row>
    <row r="89" spans="1:17" hidden="1" x14ac:dyDescent="0.25">
      <c r="A89" s="271" t="s">
        <v>1175</v>
      </c>
      <c r="B89" s="271" t="s">
        <v>644</v>
      </c>
      <c r="C89" s="273">
        <v>2</v>
      </c>
      <c r="D89" s="273">
        <v>1315</v>
      </c>
      <c r="E89" s="271"/>
      <c r="F89" s="273">
        <v>75229781588794</v>
      </c>
      <c r="G89" s="271" t="s">
        <v>7</v>
      </c>
      <c r="H89" s="273">
        <v>20272865869</v>
      </c>
      <c r="I89" s="271" t="s">
        <v>617</v>
      </c>
      <c r="J89" s="273">
        <v>1</v>
      </c>
      <c r="K89" s="271" t="s">
        <v>646</v>
      </c>
      <c r="L89" s="273">
        <v>64550</v>
      </c>
      <c r="M89" s="273">
        <v>0</v>
      </c>
      <c r="N89" s="273">
        <v>0</v>
      </c>
      <c r="O89" s="273">
        <v>0</v>
      </c>
      <c r="P89" s="271">
        <v>13555.5</v>
      </c>
      <c r="Q89" s="271">
        <v>78105.5</v>
      </c>
    </row>
    <row r="90" spans="1:17" hidden="1" x14ac:dyDescent="0.25">
      <c r="A90" s="271" t="s">
        <v>1175</v>
      </c>
      <c r="B90" s="271" t="s">
        <v>644</v>
      </c>
      <c r="C90" s="273">
        <v>73</v>
      </c>
      <c r="D90" s="273">
        <v>274433</v>
      </c>
      <c r="E90" s="271"/>
      <c r="F90" s="273">
        <v>75224912928612</v>
      </c>
      <c r="G90" s="271" t="s">
        <v>7</v>
      </c>
      <c r="H90" s="273">
        <v>30703088534</v>
      </c>
      <c r="I90" s="271" t="s">
        <v>718</v>
      </c>
      <c r="J90" s="273">
        <v>1</v>
      </c>
      <c r="K90" s="271" t="s">
        <v>646</v>
      </c>
      <c r="L90" s="274">
        <v>89907.19</v>
      </c>
      <c r="M90" s="273">
        <v>0</v>
      </c>
      <c r="N90" s="273">
        <v>0</v>
      </c>
      <c r="O90" s="274">
        <v>6293.51</v>
      </c>
      <c r="P90" s="274">
        <v>18880.509999999998</v>
      </c>
      <c r="Q90" s="274">
        <v>115081.21</v>
      </c>
    </row>
    <row r="91" spans="1:17" hidden="1" x14ac:dyDescent="0.25">
      <c r="A91" s="271" t="s">
        <v>1175</v>
      </c>
      <c r="B91" s="271" t="s">
        <v>666</v>
      </c>
      <c r="C91" s="273">
        <v>65</v>
      </c>
      <c r="D91" s="273">
        <v>4961</v>
      </c>
      <c r="E91" s="271"/>
      <c r="F91" s="273">
        <v>75224925902773</v>
      </c>
      <c r="G91" s="271" t="s">
        <v>7</v>
      </c>
      <c r="H91" s="273">
        <v>30703088534</v>
      </c>
      <c r="I91" s="271" t="s">
        <v>718</v>
      </c>
      <c r="J91" s="273">
        <v>1</v>
      </c>
      <c r="K91" s="271" t="s">
        <v>646</v>
      </c>
      <c r="L91" s="274">
        <v>1016.53</v>
      </c>
      <c r="M91" s="273">
        <v>0</v>
      </c>
      <c r="N91" s="273">
        <v>0</v>
      </c>
      <c r="O91" s="271">
        <v>30.5</v>
      </c>
      <c r="P91" s="274">
        <v>213.47</v>
      </c>
      <c r="Q91" s="271">
        <v>1260.5</v>
      </c>
    </row>
    <row r="92" spans="1:17" hidden="1" x14ac:dyDescent="0.25">
      <c r="A92" s="271" t="s">
        <v>1176</v>
      </c>
      <c r="B92" s="271" t="s">
        <v>644</v>
      </c>
      <c r="C92" s="273">
        <v>1</v>
      </c>
      <c r="D92" s="273">
        <v>7503</v>
      </c>
      <c r="E92" s="271"/>
      <c r="F92" s="273">
        <v>75221887125791</v>
      </c>
      <c r="G92" s="271" t="s">
        <v>7</v>
      </c>
      <c r="H92" s="273">
        <v>30715141201</v>
      </c>
      <c r="I92" s="271" t="s">
        <v>649</v>
      </c>
      <c r="J92" s="273">
        <v>1</v>
      </c>
      <c r="K92" s="271" t="s">
        <v>646</v>
      </c>
      <c r="L92" s="273">
        <v>61770</v>
      </c>
      <c r="M92" s="273">
        <v>0</v>
      </c>
      <c r="N92" s="273">
        <v>0</v>
      </c>
      <c r="O92" s="273">
        <v>0</v>
      </c>
      <c r="P92" s="271">
        <v>12971.7</v>
      </c>
      <c r="Q92" s="271">
        <v>74741.7</v>
      </c>
    </row>
    <row r="93" spans="1:17" hidden="1" x14ac:dyDescent="0.25">
      <c r="A93" s="271" t="s">
        <v>1176</v>
      </c>
      <c r="B93" s="271" t="s">
        <v>644</v>
      </c>
      <c r="C93" s="273">
        <v>7</v>
      </c>
      <c r="D93" s="273">
        <v>37</v>
      </c>
      <c r="E93" s="271"/>
      <c r="F93" s="273">
        <v>75223908075229</v>
      </c>
      <c r="G93" s="271" t="s">
        <v>7</v>
      </c>
      <c r="H93" s="273">
        <v>27325223273</v>
      </c>
      <c r="I93" s="271" t="s">
        <v>1066</v>
      </c>
      <c r="J93" s="273">
        <v>1</v>
      </c>
      <c r="K93" s="271" t="s">
        <v>646</v>
      </c>
      <c r="L93" s="273">
        <v>1950000</v>
      </c>
      <c r="M93" s="273">
        <v>0</v>
      </c>
      <c r="N93" s="273">
        <v>0</v>
      </c>
      <c r="O93" s="273">
        <v>0</v>
      </c>
      <c r="P93" s="273">
        <v>409500</v>
      </c>
      <c r="Q93" s="273">
        <v>2359500</v>
      </c>
    </row>
    <row r="94" spans="1:17" hidden="1" x14ac:dyDescent="0.25">
      <c r="A94" s="305" t="s">
        <v>1174</v>
      </c>
      <c r="B94" s="305" t="s">
        <v>644</v>
      </c>
      <c r="C94" s="306">
        <v>7</v>
      </c>
      <c r="D94" s="306">
        <v>1359</v>
      </c>
      <c r="E94" s="312" t="s">
        <v>1251</v>
      </c>
      <c r="F94" s="306">
        <v>75222633147779</v>
      </c>
      <c r="G94" s="305" t="s">
        <v>7</v>
      </c>
      <c r="H94" s="306">
        <v>30677420622</v>
      </c>
      <c r="I94" s="305" t="s">
        <v>1193</v>
      </c>
      <c r="J94" s="306">
        <v>1</v>
      </c>
      <c r="K94" s="305" t="s">
        <v>646</v>
      </c>
      <c r="L94" s="307">
        <v>29834.71</v>
      </c>
      <c r="M94" s="306">
        <v>0</v>
      </c>
      <c r="N94" s="306">
        <v>0</v>
      </c>
      <c r="O94" s="306">
        <v>0</v>
      </c>
      <c r="P94" s="308">
        <v>6265.29</v>
      </c>
      <c r="Q94" s="306">
        <v>36100</v>
      </c>
    </row>
    <row r="95" spans="1:17" hidden="1" x14ac:dyDescent="0.25">
      <c r="A95" s="305" t="s">
        <v>1174</v>
      </c>
      <c r="B95" s="305" t="s">
        <v>644</v>
      </c>
      <c r="C95" s="306">
        <v>7</v>
      </c>
      <c r="D95" s="306">
        <v>1357</v>
      </c>
      <c r="E95" s="312" t="s">
        <v>1251</v>
      </c>
      <c r="F95" s="306">
        <v>75222621409493</v>
      </c>
      <c r="G95" s="305" t="s">
        <v>7</v>
      </c>
      <c r="H95" s="306">
        <v>30677420622</v>
      </c>
      <c r="I95" s="305" t="s">
        <v>1193</v>
      </c>
      <c r="J95" s="306">
        <v>1</v>
      </c>
      <c r="K95" s="305" t="s">
        <v>646</v>
      </c>
      <c r="L95" s="307">
        <v>90727.27</v>
      </c>
      <c r="M95" s="306">
        <v>0</v>
      </c>
      <c r="N95" s="306">
        <v>0</v>
      </c>
      <c r="O95" s="306">
        <v>0</v>
      </c>
      <c r="P95" s="308">
        <v>19052.73</v>
      </c>
      <c r="Q95" s="306">
        <v>109780</v>
      </c>
    </row>
    <row r="96" spans="1:17" hidden="1" x14ac:dyDescent="0.25">
      <c r="A96" s="305" t="s">
        <v>1195</v>
      </c>
      <c r="B96" s="305" t="s">
        <v>644</v>
      </c>
      <c r="C96" s="306">
        <v>6</v>
      </c>
      <c r="D96" s="306">
        <v>19671130</v>
      </c>
      <c r="E96" s="312" t="s">
        <v>1251</v>
      </c>
      <c r="F96" s="306">
        <v>75227848831450</v>
      </c>
      <c r="G96" s="305" t="s">
        <v>7</v>
      </c>
      <c r="H96" s="306">
        <v>30620177497</v>
      </c>
      <c r="I96" s="305" t="s">
        <v>720</v>
      </c>
      <c r="J96" s="306">
        <v>1</v>
      </c>
      <c r="K96" s="305" t="s">
        <v>646</v>
      </c>
      <c r="L96" s="307">
        <v>33073.86</v>
      </c>
      <c r="M96" s="306">
        <v>0</v>
      </c>
      <c r="N96" s="306">
        <v>0</v>
      </c>
      <c r="O96" s="308">
        <v>2315.17</v>
      </c>
      <c r="P96" s="308">
        <v>6945.51</v>
      </c>
      <c r="Q96" s="308">
        <v>42334.54</v>
      </c>
    </row>
    <row r="97" spans="1:17" hidden="1" x14ac:dyDescent="0.25">
      <c r="A97" s="305" t="s">
        <v>1175</v>
      </c>
      <c r="B97" s="305" t="s">
        <v>644</v>
      </c>
      <c r="C97" s="306">
        <v>9</v>
      </c>
      <c r="D97" s="306">
        <v>10088</v>
      </c>
      <c r="E97" s="312" t="s">
        <v>1251</v>
      </c>
      <c r="F97" s="306">
        <v>75225741025209</v>
      </c>
      <c r="G97" s="305" t="s">
        <v>7</v>
      </c>
      <c r="H97" s="306">
        <v>27185947675</v>
      </c>
      <c r="I97" s="305" t="s">
        <v>1194</v>
      </c>
      <c r="J97" s="306">
        <v>1</v>
      </c>
      <c r="K97" s="305" t="s">
        <v>646</v>
      </c>
      <c r="L97" s="307">
        <v>10000.4</v>
      </c>
      <c r="M97" s="306">
        <v>0</v>
      </c>
      <c r="N97" s="306">
        <v>0</v>
      </c>
      <c r="O97" s="306">
        <v>0</v>
      </c>
      <c r="P97" s="308">
        <v>2100.09</v>
      </c>
      <c r="Q97" s="308">
        <v>12100.49</v>
      </c>
    </row>
    <row r="99" spans="1:17" x14ac:dyDescent="0.25">
      <c r="H99" t="s">
        <v>1259</v>
      </c>
      <c r="I99">
        <v>7</v>
      </c>
    </row>
    <row r="100" spans="1:17" x14ac:dyDescent="0.25">
      <c r="H100" s="271" t="s">
        <v>1251</v>
      </c>
      <c r="I100" s="271">
        <v>95</v>
      </c>
    </row>
    <row r="101" spans="1:17" x14ac:dyDescent="0.25">
      <c r="H101" s="271" t="s">
        <v>1252</v>
      </c>
      <c r="I101" s="271">
        <f>80-7</f>
        <v>73</v>
      </c>
    </row>
    <row r="102" spans="1:17" x14ac:dyDescent="0.25">
      <c r="I102">
        <v>15</v>
      </c>
    </row>
    <row r="103" spans="1:17" x14ac:dyDescent="0.25">
      <c r="H103" s="304" t="s">
        <v>1253</v>
      </c>
      <c r="I103" s="304">
        <f>+I100-I101-I102</f>
        <v>7</v>
      </c>
    </row>
  </sheetData>
  <autoFilter ref="A2:Q97" xr:uid="{00000000-0009-0000-0000-00000A000000}">
    <filterColumn colId="8">
      <customFilters>
        <customFilter val="*villalta*"/>
      </customFilters>
    </filterColumn>
  </autoFilter>
  <mergeCells count="1">
    <mergeCell ref="A1:Q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49"/>
  <sheetViews>
    <sheetView topLeftCell="A223" workbookViewId="0">
      <selection activeCell="I103" sqref="I103"/>
    </sheetView>
  </sheetViews>
  <sheetFormatPr baseColWidth="10" defaultRowHeight="15" x14ac:dyDescent="0.25"/>
  <cols>
    <col min="2" max="2" width="14.28515625" customWidth="1"/>
    <col min="3" max="3" width="20.85546875" customWidth="1"/>
    <col min="6" max="6" width="18.28515625" customWidth="1"/>
    <col min="8" max="8" width="14" customWidth="1"/>
    <col min="9" max="9" width="44.85546875" customWidth="1"/>
    <col min="10" max="10" width="12.42578125" customWidth="1"/>
    <col min="11" max="11" width="11" customWidth="1"/>
    <col min="12" max="12" width="12.85546875" bestFit="1" customWidth="1"/>
    <col min="16" max="16" width="13" bestFit="1" customWidth="1"/>
    <col min="17" max="17" width="14.5703125" bestFit="1" customWidth="1"/>
  </cols>
  <sheetData>
    <row r="1" spans="1:21" x14ac:dyDescent="0.25">
      <c r="A1" s="395" t="s">
        <v>923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</row>
    <row r="2" spans="1:21" x14ac:dyDescent="0.25">
      <c r="A2" s="296" t="s">
        <v>102</v>
      </c>
      <c r="B2" s="296" t="s">
        <v>628</v>
      </c>
      <c r="C2" s="296" t="s">
        <v>629</v>
      </c>
      <c r="D2" s="296" t="s">
        <v>630</v>
      </c>
      <c r="E2" s="296" t="s">
        <v>631</v>
      </c>
      <c r="F2" s="296" t="s">
        <v>632</v>
      </c>
      <c r="G2" s="296" t="s">
        <v>633</v>
      </c>
      <c r="H2" s="296" t="s">
        <v>634</v>
      </c>
      <c r="I2" s="296" t="s">
        <v>635</v>
      </c>
      <c r="J2" s="296" t="s">
        <v>636</v>
      </c>
      <c r="K2" s="296" t="s">
        <v>637</v>
      </c>
      <c r="L2" s="296" t="s">
        <v>638</v>
      </c>
      <c r="M2" s="296" t="s">
        <v>639</v>
      </c>
      <c r="N2" s="296" t="s">
        <v>640</v>
      </c>
      <c r="O2" s="296" t="s">
        <v>641</v>
      </c>
      <c r="P2" s="296" t="s">
        <v>3</v>
      </c>
      <c r="Q2" s="296" t="s">
        <v>642</v>
      </c>
      <c r="R2" s="296" t="s">
        <v>642</v>
      </c>
      <c r="S2" s="296" t="s">
        <v>642</v>
      </c>
      <c r="T2" s="296" t="s">
        <v>642</v>
      </c>
      <c r="U2" s="296" t="s">
        <v>642</v>
      </c>
    </row>
    <row r="3" spans="1:21" x14ac:dyDescent="0.25">
      <c r="A3" s="316" t="s">
        <v>1283</v>
      </c>
      <c r="B3" s="316" t="s">
        <v>644</v>
      </c>
      <c r="C3" s="317">
        <v>3</v>
      </c>
      <c r="D3" s="317">
        <v>5908</v>
      </c>
      <c r="E3" s="316"/>
      <c r="F3" s="317">
        <v>75240681441573</v>
      </c>
      <c r="G3" s="316" t="s">
        <v>7</v>
      </c>
      <c r="H3" s="317">
        <v>20045368670</v>
      </c>
      <c r="I3" s="316" t="s">
        <v>1448</v>
      </c>
      <c r="J3" s="273">
        <v>1</v>
      </c>
      <c r="K3" s="271" t="s">
        <v>646</v>
      </c>
      <c r="L3" s="319">
        <v>24284.29</v>
      </c>
      <c r="M3" s="273">
        <v>0</v>
      </c>
      <c r="N3" s="273">
        <v>0</v>
      </c>
      <c r="O3" s="273">
        <v>0</v>
      </c>
      <c r="P3" s="271">
        <v>5099.7</v>
      </c>
      <c r="Q3" s="273">
        <v>29384</v>
      </c>
      <c r="R3" s="271"/>
      <c r="S3" s="271"/>
      <c r="T3" s="271"/>
      <c r="U3" s="271"/>
    </row>
    <row r="4" spans="1:21" x14ac:dyDescent="0.25">
      <c r="A4" s="324" t="s">
        <v>1283</v>
      </c>
      <c r="B4" s="324" t="s">
        <v>1283</v>
      </c>
      <c r="C4" s="324" t="s">
        <v>1393</v>
      </c>
      <c r="D4" s="324" t="s">
        <v>1394</v>
      </c>
      <c r="E4" s="324" t="s">
        <v>1395</v>
      </c>
      <c r="F4" s="324" t="s">
        <v>987</v>
      </c>
      <c r="G4" s="324">
        <v>0</v>
      </c>
      <c r="H4" s="324" t="s">
        <v>1395</v>
      </c>
      <c r="I4" s="324" t="s">
        <v>1394</v>
      </c>
      <c r="J4" s="320">
        <v>24284.3</v>
      </c>
      <c r="K4" s="320">
        <v>0</v>
      </c>
      <c r="L4" s="271">
        <v>0</v>
      </c>
      <c r="M4" s="271">
        <v>0</v>
      </c>
      <c r="N4" s="271">
        <v>5099.7</v>
      </c>
      <c r="O4" s="271">
        <v>0</v>
      </c>
      <c r="P4" s="271">
        <v>0</v>
      </c>
      <c r="Q4" s="271">
        <v>0</v>
      </c>
      <c r="R4" s="271">
        <v>0</v>
      </c>
      <c r="S4" s="271">
        <v>0</v>
      </c>
      <c r="T4" s="271">
        <v>0</v>
      </c>
      <c r="U4" s="271">
        <v>29384</v>
      </c>
    </row>
    <row r="5" spans="1:21" x14ac:dyDescent="0.25">
      <c r="A5" s="271" t="s">
        <v>1264</v>
      </c>
      <c r="B5" s="271" t="s">
        <v>655</v>
      </c>
      <c r="C5" s="273">
        <v>4</v>
      </c>
      <c r="D5" s="273">
        <v>21</v>
      </c>
      <c r="E5" s="271"/>
      <c r="F5" s="273">
        <v>75223226799702</v>
      </c>
      <c r="G5" s="271" t="s">
        <v>7</v>
      </c>
      <c r="H5" s="273">
        <v>20086277523</v>
      </c>
      <c r="I5" s="316" t="s">
        <v>37</v>
      </c>
      <c r="J5" s="273">
        <v>1</v>
      </c>
      <c r="K5" s="271" t="s">
        <v>646</v>
      </c>
      <c r="L5" s="319"/>
      <c r="M5" s="271"/>
      <c r="N5" s="271"/>
      <c r="O5" s="273">
        <v>0</v>
      </c>
      <c r="P5" s="271"/>
      <c r="Q5" s="273">
        <v>290000</v>
      </c>
      <c r="R5" s="271"/>
      <c r="S5" s="271"/>
      <c r="T5" s="271"/>
      <c r="U5" s="271"/>
    </row>
    <row r="6" spans="1:21" x14ac:dyDescent="0.25">
      <c r="A6" s="323" t="s">
        <v>1264</v>
      </c>
      <c r="B6" s="323" t="s">
        <v>1264</v>
      </c>
      <c r="C6" s="323" t="s">
        <v>1310</v>
      </c>
      <c r="D6" s="323" t="s">
        <v>1212</v>
      </c>
      <c r="E6" s="323" t="s">
        <v>1213</v>
      </c>
      <c r="F6" s="323" t="s">
        <v>1214</v>
      </c>
      <c r="G6" s="323">
        <v>0</v>
      </c>
      <c r="H6" s="323" t="s">
        <v>1213</v>
      </c>
      <c r="I6" s="324" t="s">
        <v>1212</v>
      </c>
      <c r="J6" s="320">
        <v>0</v>
      </c>
      <c r="K6" s="320">
        <v>0</v>
      </c>
      <c r="L6" s="271">
        <v>0</v>
      </c>
      <c r="M6" s="271">
        <v>290000</v>
      </c>
      <c r="N6" s="271">
        <v>0</v>
      </c>
      <c r="O6" s="271">
        <v>0</v>
      </c>
      <c r="P6" s="271">
        <v>0</v>
      </c>
      <c r="Q6" s="271">
        <v>0</v>
      </c>
      <c r="R6" s="271">
        <v>0</v>
      </c>
      <c r="S6" s="271">
        <v>0</v>
      </c>
      <c r="T6" s="271">
        <v>0</v>
      </c>
      <c r="U6" s="271">
        <v>290000</v>
      </c>
    </row>
    <row r="7" spans="1:21" x14ac:dyDescent="0.25">
      <c r="A7" s="271" t="s">
        <v>1298</v>
      </c>
      <c r="B7" s="271" t="s">
        <v>644</v>
      </c>
      <c r="C7" s="273">
        <v>4</v>
      </c>
      <c r="D7" s="273">
        <v>4840</v>
      </c>
      <c r="E7" s="271"/>
      <c r="F7" s="273">
        <v>75257740618200</v>
      </c>
      <c r="G7" s="271" t="s">
        <v>7</v>
      </c>
      <c r="H7" s="273">
        <v>20129871947</v>
      </c>
      <c r="I7" s="316" t="s">
        <v>1451</v>
      </c>
      <c r="J7" s="273">
        <v>1</v>
      </c>
      <c r="K7" s="271" t="s">
        <v>646</v>
      </c>
      <c r="L7" s="319">
        <v>114724.45</v>
      </c>
      <c r="M7" s="273">
        <v>0</v>
      </c>
      <c r="N7" s="273">
        <v>0</v>
      </c>
      <c r="O7" s="273">
        <v>0</v>
      </c>
      <c r="P7" s="274">
        <v>24092.13</v>
      </c>
      <c r="Q7" s="274">
        <v>138816.57999999999</v>
      </c>
      <c r="R7" s="271"/>
      <c r="S7" s="271"/>
      <c r="T7" s="271"/>
      <c r="U7" s="271"/>
    </row>
    <row r="8" spans="1:21" x14ac:dyDescent="0.25">
      <c r="A8" s="323" t="s">
        <v>1298</v>
      </c>
      <c r="B8" s="323" t="s">
        <v>1298</v>
      </c>
      <c r="C8" s="323" t="s">
        <v>1427</v>
      </c>
      <c r="D8" s="323" t="s">
        <v>211</v>
      </c>
      <c r="E8" s="323" t="s">
        <v>1428</v>
      </c>
      <c r="F8" s="323" t="s">
        <v>987</v>
      </c>
      <c r="G8" s="323">
        <v>0</v>
      </c>
      <c r="H8" s="323" t="s">
        <v>1428</v>
      </c>
      <c r="I8" s="324" t="s">
        <v>211</v>
      </c>
      <c r="J8" s="320">
        <v>114724.45</v>
      </c>
      <c r="K8" s="320">
        <v>0</v>
      </c>
      <c r="L8" s="271">
        <v>0</v>
      </c>
      <c r="M8" s="271">
        <v>0</v>
      </c>
      <c r="N8" s="271">
        <v>24092.13</v>
      </c>
      <c r="O8" s="271">
        <v>0</v>
      </c>
      <c r="P8" s="271">
        <v>0</v>
      </c>
      <c r="Q8" s="271">
        <v>0</v>
      </c>
      <c r="R8" s="271">
        <v>0</v>
      </c>
      <c r="S8" s="271">
        <v>0</v>
      </c>
      <c r="T8" s="271">
        <v>0</v>
      </c>
      <c r="U8" s="271">
        <v>138816.57999999999</v>
      </c>
    </row>
    <row r="9" spans="1:21" x14ac:dyDescent="0.25">
      <c r="A9" s="316" t="s">
        <v>1277</v>
      </c>
      <c r="B9" s="316" t="s">
        <v>644</v>
      </c>
      <c r="C9" s="317">
        <v>4</v>
      </c>
      <c r="D9" s="317">
        <v>49</v>
      </c>
      <c r="E9" s="316"/>
      <c r="F9" s="317">
        <v>75246088491040</v>
      </c>
      <c r="G9" s="316" t="s">
        <v>7</v>
      </c>
      <c r="H9" s="317">
        <v>20174004146</v>
      </c>
      <c r="I9" s="316" t="s">
        <v>389</v>
      </c>
      <c r="J9" s="273">
        <v>1</v>
      </c>
      <c r="K9" s="271" t="s">
        <v>646</v>
      </c>
      <c r="L9" s="319">
        <v>210000</v>
      </c>
      <c r="M9" s="273">
        <v>0</v>
      </c>
      <c r="N9" s="273">
        <v>0</v>
      </c>
      <c r="O9" s="273">
        <v>0</v>
      </c>
      <c r="P9" s="273">
        <v>44100</v>
      </c>
      <c r="Q9" s="273">
        <v>254100</v>
      </c>
      <c r="R9" s="271"/>
      <c r="S9" s="271"/>
      <c r="T9" s="271"/>
      <c r="U9" s="271"/>
    </row>
    <row r="10" spans="1:21" x14ac:dyDescent="0.25">
      <c r="A10" s="271" t="s">
        <v>1297</v>
      </c>
      <c r="B10" s="271" t="s">
        <v>644</v>
      </c>
      <c r="C10" s="273">
        <v>3</v>
      </c>
      <c r="D10" s="273">
        <v>4173</v>
      </c>
      <c r="E10" s="271"/>
      <c r="F10" s="273">
        <v>75257348383820</v>
      </c>
      <c r="G10" s="271" t="s">
        <v>7</v>
      </c>
      <c r="H10" s="273">
        <v>20182721787</v>
      </c>
      <c r="I10" s="316" t="s">
        <v>171</v>
      </c>
      <c r="J10" s="273">
        <v>1</v>
      </c>
      <c r="K10" s="271" t="s">
        <v>646</v>
      </c>
      <c r="L10" s="319">
        <v>33057.86</v>
      </c>
      <c r="M10" s="273">
        <v>0</v>
      </c>
      <c r="N10" s="273">
        <v>0</v>
      </c>
      <c r="O10" s="273">
        <v>0</v>
      </c>
      <c r="P10" s="274">
        <v>6942.15</v>
      </c>
      <c r="Q10" s="274">
        <v>40000.01</v>
      </c>
      <c r="R10" s="271"/>
      <c r="S10" s="271"/>
      <c r="T10" s="271"/>
      <c r="U10" s="271"/>
    </row>
    <row r="11" spans="1:21" x14ac:dyDescent="0.25">
      <c r="A11" s="323" t="s">
        <v>1297</v>
      </c>
      <c r="B11" s="323" t="s">
        <v>1297</v>
      </c>
      <c r="C11" s="323" t="s">
        <v>1413</v>
      </c>
      <c r="D11" s="323" t="s">
        <v>1414</v>
      </c>
      <c r="E11" s="323" t="s">
        <v>1415</v>
      </c>
      <c r="F11" s="323" t="s">
        <v>987</v>
      </c>
      <c r="G11" s="323">
        <v>0</v>
      </c>
      <c r="H11" s="323" t="s">
        <v>1415</v>
      </c>
      <c r="I11" s="324" t="s">
        <v>1414</v>
      </c>
      <c r="J11" s="320">
        <v>33057.86</v>
      </c>
      <c r="K11" s="320">
        <v>0</v>
      </c>
      <c r="L11" s="271">
        <v>0</v>
      </c>
      <c r="M11" s="271">
        <v>0</v>
      </c>
      <c r="N11" s="271">
        <v>6942.15</v>
      </c>
      <c r="O11" s="271">
        <v>0</v>
      </c>
      <c r="P11" s="271">
        <v>0</v>
      </c>
      <c r="Q11" s="271">
        <v>0</v>
      </c>
      <c r="R11" s="271">
        <v>0</v>
      </c>
      <c r="S11" s="271">
        <v>0</v>
      </c>
      <c r="T11" s="271">
        <v>0</v>
      </c>
      <c r="U11" s="271">
        <v>40000.01</v>
      </c>
    </row>
    <row r="12" spans="1:21" x14ac:dyDescent="0.25">
      <c r="A12" s="271" t="s">
        <v>1264</v>
      </c>
      <c r="B12" s="271" t="s">
        <v>644</v>
      </c>
      <c r="C12" s="273">
        <v>6</v>
      </c>
      <c r="D12" s="273">
        <v>1449</v>
      </c>
      <c r="E12" s="271"/>
      <c r="F12" s="273">
        <v>75223281664206</v>
      </c>
      <c r="G12" s="271" t="s">
        <v>7</v>
      </c>
      <c r="H12" s="273">
        <v>20247225243</v>
      </c>
      <c r="I12" s="316" t="s">
        <v>45</v>
      </c>
      <c r="J12" s="273">
        <v>1</v>
      </c>
      <c r="K12" s="271" t="s">
        <v>646</v>
      </c>
      <c r="L12" s="319">
        <v>140244</v>
      </c>
      <c r="M12" s="273">
        <v>0</v>
      </c>
      <c r="N12" s="273">
        <v>0</v>
      </c>
      <c r="O12" s="273">
        <v>0</v>
      </c>
      <c r="P12" s="274">
        <v>29451.24</v>
      </c>
      <c r="Q12" s="274">
        <v>169695.24</v>
      </c>
      <c r="R12" s="271"/>
      <c r="S12" s="271"/>
      <c r="T12" s="271"/>
      <c r="U12" s="271"/>
    </row>
    <row r="13" spans="1:21" x14ac:dyDescent="0.25">
      <c r="A13" s="323" t="s">
        <v>1264</v>
      </c>
      <c r="B13" s="323" t="s">
        <v>1264</v>
      </c>
      <c r="C13" s="323" t="s">
        <v>1315</v>
      </c>
      <c r="D13" s="323" t="s">
        <v>1316</v>
      </c>
      <c r="E13" s="323" t="s">
        <v>1317</v>
      </c>
      <c r="F13" s="323" t="s">
        <v>987</v>
      </c>
      <c r="G13" s="323">
        <v>0</v>
      </c>
      <c r="H13" s="323" t="s">
        <v>1317</v>
      </c>
      <c r="I13" s="324" t="s">
        <v>1316</v>
      </c>
      <c r="J13" s="320">
        <v>140244</v>
      </c>
      <c r="K13" s="320">
        <v>0</v>
      </c>
      <c r="L13" s="271">
        <v>0</v>
      </c>
      <c r="M13" s="271">
        <v>0</v>
      </c>
      <c r="N13" s="271">
        <v>29451.24</v>
      </c>
      <c r="O13" s="271">
        <v>0</v>
      </c>
      <c r="P13" s="271">
        <v>0</v>
      </c>
      <c r="Q13" s="271">
        <v>0</v>
      </c>
      <c r="R13" s="271">
        <v>0</v>
      </c>
      <c r="S13" s="271">
        <v>0</v>
      </c>
      <c r="T13" s="271">
        <v>0</v>
      </c>
      <c r="U13" s="271">
        <v>169695.24</v>
      </c>
    </row>
    <row r="14" spans="1:21" x14ac:dyDescent="0.25">
      <c r="A14" s="271" t="s">
        <v>1454</v>
      </c>
      <c r="B14" s="271" t="s">
        <v>644</v>
      </c>
      <c r="C14" s="273">
        <v>4</v>
      </c>
      <c r="D14" s="273">
        <v>473</v>
      </c>
      <c r="E14" s="271"/>
      <c r="F14" s="273">
        <v>75262216658353</v>
      </c>
      <c r="G14" s="271" t="s">
        <v>7</v>
      </c>
      <c r="H14" s="273">
        <v>20253515512</v>
      </c>
      <c r="I14" s="316" t="s">
        <v>1455</v>
      </c>
      <c r="J14" s="273">
        <v>1</v>
      </c>
      <c r="K14" s="271" t="s">
        <v>646</v>
      </c>
      <c r="L14" s="319">
        <v>1487603.32</v>
      </c>
      <c r="M14" s="273">
        <v>0</v>
      </c>
      <c r="N14" s="273">
        <v>0</v>
      </c>
      <c r="O14" s="273">
        <v>0</v>
      </c>
      <c r="P14" s="271">
        <v>312396.7</v>
      </c>
      <c r="Q14" s="274">
        <v>1800000.02</v>
      </c>
      <c r="R14" s="271"/>
      <c r="S14" s="271"/>
      <c r="T14" s="271"/>
      <c r="U14" s="271"/>
    </row>
    <row r="15" spans="1:21" x14ac:dyDescent="0.25">
      <c r="A15" s="271" t="s">
        <v>1454</v>
      </c>
      <c r="B15" s="271" t="s">
        <v>666</v>
      </c>
      <c r="C15" s="273">
        <v>4</v>
      </c>
      <c r="D15" s="273">
        <v>31</v>
      </c>
      <c r="E15" s="271"/>
      <c r="F15" s="273">
        <v>75262216836197</v>
      </c>
      <c r="G15" s="271" t="s">
        <v>7</v>
      </c>
      <c r="H15" s="273">
        <v>20253515512</v>
      </c>
      <c r="I15" s="316" t="s">
        <v>1455</v>
      </c>
      <c r="J15" s="273">
        <v>1</v>
      </c>
      <c r="K15" s="271" t="s">
        <v>646</v>
      </c>
      <c r="L15" s="319">
        <v>1487603.32</v>
      </c>
      <c r="M15" s="273">
        <v>0</v>
      </c>
      <c r="N15" s="273">
        <v>0</v>
      </c>
      <c r="O15" s="273">
        <v>0</v>
      </c>
      <c r="P15" s="271">
        <v>312396.7</v>
      </c>
      <c r="Q15" s="274">
        <v>1800000.02</v>
      </c>
      <c r="R15" s="271"/>
      <c r="S15" s="271"/>
      <c r="T15" s="271"/>
      <c r="U15" s="271"/>
    </row>
    <row r="16" spans="1:21" x14ac:dyDescent="0.25">
      <c r="A16" s="271" t="s">
        <v>1459</v>
      </c>
      <c r="B16" s="271" t="s">
        <v>644</v>
      </c>
      <c r="C16" s="273">
        <v>4</v>
      </c>
      <c r="D16" s="273">
        <v>475</v>
      </c>
      <c r="E16" s="271"/>
      <c r="F16" s="273">
        <v>75262533948216</v>
      </c>
      <c r="G16" s="271" t="s">
        <v>7</v>
      </c>
      <c r="H16" s="273">
        <v>20253515512</v>
      </c>
      <c r="I16" s="316" t="s">
        <v>1455</v>
      </c>
      <c r="J16" s="273">
        <v>1</v>
      </c>
      <c r="K16" s="271" t="s">
        <v>646</v>
      </c>
      <c r="L16" s="319">
        <v>1487603.32</v>
      </c>
      <c r="M16" s="273">
        <v>0</v>
      </c>
      <c r="N16" s="273">
        <v>0</v>
      </c>
      <c r="O16" s="273">
        <v>0</v>
      </c>
      <c r="P16" s="271">
        <v>312396.7</v>
      </c>
      <c r="Q16" s="274">
        <v>1800000.02</v>
      </c>
      <c r="R16" s="271"/>
      <c r="S16" s="271"/>
      <c r="T16" s="271"/>
      <c r="U16" s="271"/>
    </row>
    <row r="17" spans="1:21" x14ac:dyDescent="0.25">
      <c r="A17" s="323" t="s">
        <v>1459</v>
      </c>
      <c r="B17" s="323" t="s">
        <v>1459</v>
      </c>
      <c r="C17" s="323" t="s">
        <v>1501</v>
      </c>
      <c r="D17" s="323" t="s">
        <v>1502</v>
      </c>
      <c r="E17" s="323" t="s">
        <v>1503</v>
      </c>
      <c r="F17" s="323" t="s">
        <v>987</v>
      </c>
      <c r="G17" s="323">
        <v>0</v>
      </c>
      <c r="H17" s="323" t="s">
        <v>1503</v>
      </c>
      <c r="I17" s="324" t="s">
        <v>1502</v>
      </c>
      <c r="J17" s="320">
        <v>1487603.32</v>
      </c>
      <c r="K17" s="320">
        <v>0</v>
      </c>
      <c r="L17" s="271">
        <v>0</v>
      </c>
      <c r="M17" s="271">
        <v>0</v>
      </c>
      <c r="N17" s="271">
        <v>312396.7</v>
      </c>
      <c r="O17" s="271">
        <v>0</v>
      </c>
      <c r="P17" s="271">
        <v>0</v>
      </c>
      <c r="Q17" s="271">
        <v>0</v>
      </c>
      <c r="R17" s="271">
        <v>0</v>
      </c>
      <c r="S17" s="271">
        <v>0</v>
      </c>
      <c r="T17" s="271">
        <v>0</v>
      </c>
      <c r="U17" s="271">
        <v>1800000.02</v>
      </c>
    </row>
    <row r="18" spans="1:21" x14ac:dyDescent="0.25">
      <c r="A18" s="316" t="s">
        <v>1454</v>
      </c>
      <c r="B18" s="316" t="s">
        <v>666</v>
      </c>
      <c r="C18" s="317">
        <v>7</v>
      </c>
      <c r="D18" s="317">
        <v>1002</v>
      </c>
      <c r="E18" s="316"/>
      <c r="F18" s="317">
        <v>75263220838146</v>
      </c>
      <c r="G18" s="316" t="s">
        <v>7</v>
      </c>
      <c r="H18" s="317">
        <v>20271532483</v>
      </c>
      <c r="I18" s="316" t="s">
        <v>1147</v>
      </c>
      <c r="J18" s="273">
        <v>1</v>
      </c>
      <c r="K18" s="271" t="s">
        <v>646</v>
      </c>
      <c r="L18" s="319">
        <v>23299.61</v>
      </c>
      <c r="M18" s="273">
        <v>0</v>
      </c>
      <c r="N18" s="273">
        <v>0</v>
      </c>
      <c r="O18" s="273">
        <v>0</v>
      </c>
      <c r="P18" s="274">
        <v>4892.92</v>
      </c>
      <c r="Q18" s="274">
        <v>28192.53</v>
      </c>
      <c r="R18" s="271"/>
      <c r="S18" s="271"/>
      <c r="T18" s="271"/>
      <c r="U18" s="271"/>
    </row>
    <row r="19" spans="1:21" x14ac:dyDescent="0.25">
      <c r="A19" s="271" t="s">
        <v>1307</v>
      </c>
      <c r="B19" s="271" t="s">
        <v>644</v>
      </c>
      <c r="C19" s="273">
        <v>2</v>
      </c>
      <c r="D19" s="273">
        <v>1374</v>
      </c>
      <c r="E19" s="271"/>
      <c r="F19" s="273">
        <v>75269153968000</v>
      </c>
      <c r="G19" s="271" t="s">
        <v>7</v>
      </c>
      <c r="H19" s="273">
        <v>20272865869</v>
      </c>
      <c r="I19" s="316" t="s">
        <v>617</v>
      </c>
      <c r="J19" s="273">
        <v>1</v>
      </c>
      <c r="K19" s="271" t="s">
        <v>646</v>
      </c>
      <c r="L19" s="319">
        <v>40300</v>
      </c>
      <c r="M19" s="273">
        <v>0</v>
      </c>
      <c r="N19" s="273">
        <v>0</v>
      </c>
      <c r="O19" s="273">
        <v>0</v>
      </c>
      <c r="P19" s="273">
        <v>8463</v>
      </c>
      <c r="Q19" s="273">
        <v>48763</v>
      </c>
      <c r="R19" s="271"/>
      <c r="S19" s="271"/>
      <c r="T19" s="271"/>
      <c r="U19" s="271"/>
    </row>
    <row r="20" spans="1:21" x14ac:dyDescent="0.25">
      <c r="A20" s="271" t="s">
        <v>1287</v>
      </c>
      <c r="B20" s="271" t="s">
        <v>644</v>
      </c>
      <c r="C20" s="273">
        <v>2</v>
      </c>
      <c r="D20" s="273">
        <v>1360</v>
      </c>
      <c r="E20" s="271"/>
      <c r="F20" s="273">
        <v>75259262153593</v>
      </c>
      <c r="G20" s="271" t="s">
        <v>7</v>
      </c>
      <c r="H20" s="273">
        <v>20272865869</v>
      </c>
      <c r="I20" s="316" t="s">
        <v>617</v>
      </c>
      <c r="J20" s="273">
        <v>1</v>
      </c>
      <c r="K20" s="271" t="s">
        <v>646</v>
      </c>
      <c r="L20" s="319">
        <v>125521.49</v>
      </c>
      <c r="M20" s="273">
        <v>0</v>
      </c>
      <c r="N20" s="273">
        <v>0</v>
      </c>
      <c r="O20" s="273">
        <v>0</v>
      </c>
      <c r="P20" s="274">
        <v>26359.51</v>
      </c>
      <c r="Q20" s="273">
        <v>151881</v>
      </c>
      <c r="R20" s="271"/>
      <c r="S20" s="271"/>
      <c r="T20" s="271"/>
      <c r="U20" s="271"/>
    </row>
    <row r="21" spans="1:21" x14ac:dyDescent="0.25">
      <c r="A21" s="271" t="s">
        <v>1271</v>
      </c>
      <c r="B21" s="271" t="s">
        <v>644</v>
      </c>
      <c r="C21" s="273">
        <v>2</v>
      </c>
      <c r="D21" s="273">
        <v>1336</v>
      </c>
      <c r="E21" s="271"/>
      <c r="F21" s="273">
        <v>75239699473466</v>
      </c>
      <c r="G21" s="271" t="s">
        <v>7</v>
      </c>
      <c r="H21" s="273">
        <v>20272865869</v>
      </c>
      <c r="I21" s="316" t="s">
        <v>617</v>
      </c>
      <c r="J21" s="273">
        <v>1</v>
      </c>
      <c r="K21" s="271" t="s">
        <v>646</v>
      </c>
      <c r="L21" s="319">
        <v>209700</v>
      </c>
      <c r="M21" s="273">
        <v>0</v>
      </c>
      <c r="N21" s="273">
        <v>0</v>
      </c>
      <c r="O21" s="273">
        <v>0</v>
      </c>
      <c r="P21" s="273">
        <v>44037</v>
      </c>
      <c r="Q21" s="273">
        <v>253737</v>
      </c>
      <c r="R21" s="271"/>
      <c r="S21" s="271"/>
      <c r="T21" s="271"/>
      <c r="U21" s="271"/>
    </row>
    <row r="22" spans="1:21" x14ac:dyDescent="0.25">
      <c r="A22" s="271" t="s">
        <v>1280</v>
      </c>
      <c r="B22" s="271" t="s">
        <v>644</v>
      </c>
      <c r="C22" s="273">
        <v>2</v>
      </c>
      <c r="D22" s="273">
        <v>1350</v>
      </c>
      <c r="E22" s="271"/>
      <c r="F22" s="273">
        <v>75249603550416</v>
      </c>
      <c r="G22" s="271" t="s">
        <v>7</v>
      </c>
      <c r="H22" s="273">
        <v>20272865869</v>
      </c>
      <c r="I22" s="316" t="s">
        <v>617</v>
      </c>
      <c r="J22" s="273">
        <v>1</v>
      </c>
      <c r="K22" s="271" t="s">
        <v>646</v>
      </c>
      <c r="L22" s="319">
        <v>212300</v>
      </c>
      <c r="M22" s="273">
        <v>0</v>
      </c>
      <c r="N22" s="273">
        <v>0</v>
      </c>
      <c r="O22" s="273">
        <v>0</v>
      </c>
      <c r="P22" s="273">
        <v>44583</v>
      </c>
      <c r="Q22" s="273">
        <v>256883</v>
      </c>
      <c r="R22" s="271"/>
      <c r="S22" s="271"/>
      <c r="T22" s="271"/>
      <c r="U22" s="271"/>
    </row>
    <row r="23" spans="1:21" x14ac:dyDescent="0.25">
      <c r="A23" s="323" t="s">
        <v>1271</v>
      </c>
      <c r="B23" s="323" t="s">
        <v>1271</v>
      </c>
      <c r="C23" s="323" t="s">
        <v>1342</v>
      </c>
      <c r="D23" s="323" t="s">
        <v>1226</v>
      </c>
      <c r="E23" s="323" t="s">
        <v>1227</v>
      </c>
      <c r="F23" s="323" t="s">
        <v>987</v>
      </c>
      <c r="G23" s="323">
        <v>0</v>
      </c>
      <c r="H23" s="323" t="s">
        <v>1227</v>
      </c>
      <c r="I23" s="324" t="s">
        <v>1226</v>
      </c>
      <c r="J23" s="320">
        <v>209700</v>
      </c>
      <c r="K23" s="320">
        <v>0</v>
      </c>
      <c r="L23" s="271">
        <v>0</v>
      </c>
      <c r="M23" s="271">
        <v>0</v>
      </c>
      <c r="N23" s="271">
        <v>44037</v>
      </c>
      <c r="O23" s="271">
        <v>0</v>
      </c>
      <c r="P23" s="271">
        <v>0</v>
      </c>
      <c r="Q23" s="271">
        <v>0</v>
      </c>
      <c r="R23" s="271">
        <v>0</v>
      </c>
      <c r="S23" s="271">
        <v>0</v>
      </c>
      <c r="T23" s="271">
        <v>0</v>
      </c>
      <c r="U23" s="271">
        <v>253737</v>
      </c>
    </row>
    <row r="24" spans="1:21" x14ac:dyDescent="0.25">
      <c r="A24" s="323" t="s">
        <v>1280</v>
      </c>
      <c r="B24" s="323" t="s">
        <v>1280</v>
      </c>
      <c r="C24" s="323" t="s">
        <v>1387</v>
      </c>
      <c r="D24" s="323" t="s">
        <v>1226</v>
      </c>
      <c r="E24" s="323" t="s">
        <v>1227</v>
      </c>
      <c r="F24" s="323" t="s">
        <v>987</v>
      </c>
      <c r="G24" s="323">
        <v>0</v>
      </c>
      <c r="H24" s="323" t="s">
        <v>1227</v>
      </c>
      <c r="I24" s="324" t="s">
        <v>1226</v>
      </c>
      <c r="J24" s="320">
        <v>212300</v>
      </c>
      <c r="K24" s="320">
        <v>0</v>
      </c>
      <c r="L24" s="271">
        <v>0</v>
      </c>
      <c r="M24" s="271">
        <v>0</v>
      </c>
      <c r="N24" s="271">
        <v>44583</v>
      </c>
      <c r="O24" s="271">
        <v>0</v>
      </c>
      <c r="P24" s="271">
        <v>0</v>
      </c>
      <c r="Q24" s="271">
        <v>0</v>
      </c>
      <c r="R24" s="271">
        <v>0</v>
      </c>
      <c r="S24" s="271">
        <v>0</v>
      </c>
      <c r="T24" s="271">
        <v>0</v>
      </c>
      <c r="U24" s="271">
        <v>256883</v>
      </c>
    </row>
    <row r="25" spans="1:21" x14ac:dyDescent="0.25">
      <c r="A25" s="323" t="s">
        <v>1287</v>
      </c>
      <c r="B25" s="323" t="s">
        <v>1287</v>
      </c>
      <c r="C25" s="323" t="s">
        <v>1476</v>
      </c>
      <c r="D25" s="323" t="s">
        <v>1226</v>
      </c>
      <c r="E25" s="323" t="s">
        <v>1227</v>
      </c>
      <c r="F25" s="323" t="s">
        <v>987</v>
      </c>
      <c r="G25" s="323">
        <v>0</v>
      </c>
      <c r="H25" s="323" t="s">
        <v>1227</v>
      </c>
      <c r="I25" s="324" t="s">
        <v>1226</v>
      </c>
      <c r="J25" s="320">
        <v>125521</v>
      </c>
      <c r="K25" s="320">
        <v>0</v>
      </c>
      <c r="L25" s="271">
        <v>0</v>
      </c>
      <c r="M25" s="271">
        <v>0</v>
      </c>
      <c r="N25" s="271">
        <v>26359.41</v>
      </c>
      <c r="O25" s="271">
        <v>0</v>
      </c>
      <c r="P25" s="271">
        <v>0</v>
      </c>
      <c r="Q25" s="271">
        <v>0</v>
      </c>
      <c r="R25" s="271">
        <v>0</v>
      </c>
      <c r="S25" s="271">
        <v>0</v>
      </c>
      <c r="T25" s="271">
        <v>0</v>
      </c>
      <c r="U25" s="271">
        <v>151880.41</v>
      </c>
    </row>
    <row r="26" spans="1:21" x14ac:dyDescent="0.25">
      <c r="A26" s="323" t="s">
        <v>1307</v>
      </c>
      <c r="B26" s="323" t="s">
        <v>1307</v>
      </c>
      <c r="C26" s="323" t="s">
        <v>1486</v>
      </c>
      <c r="D26" s="323" t="s">
        <v>1226</v>
      </c>
      <c r="E26" s="323" t="s">
        <v>1227</v>
      </c>
      <c r="F26" s="323" t="s">
        <v>987</v>
      </c>
      <c r="G26" s="323">
        <v>0</v>
      </c>
      <c r="H26" s="323" t="s">
        <v>1227</v>
      </c>
      <c r="I26" s="324" t="s">
        <v>1226</v>
      </c>
      <c r="J26" s="320">
        <v>40300</v>
      </c>
      <c r="K26" s="320">
        <v>0</v>
      </c>
      <c r="L26" s="271">
        <v>0</v>
      </c>
      <c r="M26" s="271">
        <v>0</v>
      </c>
      <c r="N26" s="271">
        <v>8463</v>
      </c>
      <c r="O26" s="271">
        <v>0</v>
      </c>
      <c r="P26" s="271">
        <v>0</v>
      </c>
      <c r="Q26" s="271">
        <v>0</v>
      </c>
      <c r="R26" s="271">
        <v>0</v>
      </c>
      <c r="S26" s="271">
        <v>0</v>
      </c>
      <c r="T26" s="271">
        <v>0</v>
      </c>
      <c r="U26" s="271">
        <v>48763</v>
      </c>
    </row>
    <row r="27" spans="1:21" x14ac:dyDescent="0.25">
      <c r="A27" s="316" t="s">
        <v>1307</v>
      </c>
      <c r="B27" s="316" t="s">
        <v>644</v>
      </c>
      <c r="C27" s="317">
        <v>7</v>
      </c>
      <c r="D27" s="317">
        <v>3973</v>
      </c>
      <c r="E27" s="316"/>
      <c r="F27" s="317">
        <v>75264115965680</v>
      </c>
      <c r="G27" s="316" t="s">
        <v>7</v>
      </c>
      <c r="H27" s="317">
        <v>20284183534</v>
      </c>
      <c r="I27" s="316" t="s">
        <v>440</v>
      </c>
      <c r="J27" s="317">
        <v>1</v>
      </c>
      <c r="K27" s="316" t="s">
        <v>646</v>
      </c>
      <c r="L27" s="321">
        <v>1900.83</v>
      </c>
      <c r="M27" s="273">
        <v>0</v>
      </c>
      <c r="N27" s="273">
        <v>0</v>
      </c>
      <c r="O27" s="273">
        <v>0</v>
      </c>
      <c r="P27" s="274">
        <v>399.17</v>
      </c>
      <c r="Q27" s="273">
        <v>2300</v>
      </c>
      <c r="R27" s="271"/>
      <c r="S27" s="271"/>
      <c r="T27" s="271"/>
      <c r="U27" s="271"/>
    </row>
    <row r="28" spans="1:21" x14ac:dyDescent="0.25">
      <c r="A28" s="316" t="s">
        <v>1307</v>
      </c>
      <c r="B28" s="316" t="s">
        <v>644</v>
      </c>
      <c r="C28" s="317">
        <v>7</v>
      </c>
      <c r="D28" s="317">
        <v>3974</v>
      </c>
      <c r="E28" s="316"/>
      <c r="F28" s="317">
        <v>75264116187002</v>
      </c>
      <c r="G28" s="316" t="s">
        <v>7</v>
      </c>
      <c r="H28" s="317">
        <v>20284183534</v>
      </c>
      <c r="I28" s="316" t="s">
        <v>440</v>
      </c>
      <c r="J28" s="317">
        <v>1</v>
      </c>
      <c r="K28" s="316" t="s">
        <v>646</v>
      </c>
      <c r="L28" s="321">
        <v>2644.63</v>
      </c>
      <c r="M28" s="273">
        <v>0</v>
      </c>
      <c r="N28" s="273">
        <v>0</v>
      </c>
      <c r="O28" s="273">
        <v>0</v>
      </c>
      <c r="P28" s="274">
        <v>555.37</v>
      </c>
      <c r="Q28" s="273">
        <v>3200</v>
      </c>
      <c r="R28" s="271"/>
      <c r="S28" s="271"/>
      <c r="T28" s="271"/>
      <c r="U28" s="271"/>
    </row>
    <row r="29" spans="1:21" x14ac:dyDescent="0.25">
      <c r="A29" s="271" t="s">
        <v>1454</v>
      </c>
      <c r="B29" s="271" t="s">
        <v>644</v>
      </c>
      <c r="C29" s="273">
        <v>5</v>
      </c>
      <c r="D29" s="273">
        <v>239</v>
      </c>
      <c r="E29" s="271"/>
      <c r="F29" s="273">
        <v>75262223380402</v>
      </c>
      <c r="G29" s="271" t="s">
        <v>7</v>
      </c>
      <c r="H29" s="273">
        <v>20291406212</v>
      </c>
      <c r="I29" s="316" t="s">
        <v>392</v>
      </c>
      <c r="J29" s="273">
        <v>1</v>
      </c>
      <c r="K29" s="271" t="s">
        <v>646</v>
      </c>
      <c r="L29" s="319">
        <v>1972033.1</v>
      </c>
      <c r="M29" s="273">
        <v>0</v>
      </c>
      <c r="N29" s="273">
        <v>0</v>
      </c>
      <c r="O29" s="273">
        <v>0</v>
      </c>
      <c r="P29" s="274">
        <v>414126.95</v>
      </c>
      <c r="Q29" s="274">
        <v>2386160.0499999998</v>
      </c>
      <c r="R29" s="271"/>
      <c r="S29" s="271"/>
      <c r="T29" s="271"/>
      <c r="U29" s="271"/>
    </row>
    <row r="30" spans="1:21" x14ac:dyDescent="0.25">
      <c r="A30" s="323" t="s">
        <v>1454</v>
      </c>
      <c r="B30" s="323" t="s">
        <v>1454</v>
      </c>
      <c r="C30" s="323" t="s">
        <v>1489</v>
      </c>
      <c r="D30" s="323" t="s">
        <v>1490</v>
      </c>
      <c r="E30" s="323" t="s">
        <v>1491</v>
      </c>
      <c r="F30" s="323" t="s">
        <v>987</v>
      </c>
      <c r="G30" s="323">
        <v>0</v>
      </c>
      <c r="H30" s="323" t="s">
        <v>1491</v>
      </c>
      <c r="I30" s="324" t="s">
        <v>1490</v>
      </c>
      <c r="J30" s="320">
        <v>1972033.1</v>
      </c>
      <c r="K30" s="320">
        <v>0</v>
      </c>
      <c r="L30" s="271">
        <v>0</v>
      </c>
      <c r="M30" s="271">
        <v>0</v>
      </c>
      <c r="N30" s="271">
        <v>414126.95</v>
      </c>
      <c r="O30" s="271">
        <v>0</v>
      </c>
      <c r="P30" s="271">
        <v>0</v>
      </c>
      <c r="Q30" s="271">
        <v>0</v>
      </c>
      <c r="R30" s="271">
        <v>0</v>
      </c>
      <c r="S30" s="271">
        <v>0</v>
      </c>
      <c r="T30" s="271">
        <v>0</v>
      </c>
      <c r="U30" s="271">
        <v>2386160.0499999998</v>
      </c>
    </row>
    <row r="31" spans="1:21" x14ac:dyDescent="0.25">
      <c r="A31" s="271" t="s">
        <v>1277</v>
      </c>
      <c r="B31" s="271" t="s">
        <v>644</v>
      </c>
      <c r="C31" s="273">
        <v>6</v>
      </c>
      <c r="D31" s="273">
        <v>1048</v>
      </c>
      <c r="E31" s="271"/>
      <c r="F31" s="273">
        <v>75239175665017</v>
      </c>
      <c r="G31" s="271" t="s">
        <v>7</v>
      </c>
      <c r="H31" s="273">
        <v>20295929309</v>
      </c>
      <c r="I31" s="316" t="s">
        <v>1445</v>
      </c>
      <c r="J31" s="273">
        <v>1</v>
      </c>
      <c r="K31" s="271" t="s">
        <v>646</v>
      </c>
      <c r="L31" s="319">
        <v>9979.34</v>
      </c>
      <c r="M31" s="273">
        <v>0</v>
      </c>
      <c r="N31" s="273">
        <v>0</v>
      </c>
      <c r="O31" s="273">
        <v>0</v>
      </c>
      <c r="P31" s="274">
        <v>2095.66</v>
      </c>
      <c r="Q31" s="273">
        <v>12075</v>
      </c>
      <c r="R31" s="271"/>
      <c r="S31" s="271"/>
      <c r="T31" s="271"/>
      <c r="U31" s="271"/>
    </row>
    <row r="32" spans="1:21" x14ac:dyDescent="0.25">
      <c r="A32" s="323" t="s">
        <v>1277</v>
      </c>
      <c r="B32" s="323" t="s">
        <v>1277</v>
      </c>
      <c r="C32" s="323" t="s">
        <v>1361</v>
      </c>
      <c r="D32" s="323" t="s">
        <v>1362</v>
      </c>
      <c r="E32" s="323" t="s">
        <v>1363</v>
      </c>
      <c r="F32" s="323" t="s">
        <v>987</v>
      </c>
      <c r="G32" s="323">
        <v>0</v>
      </c>
      <c r="H32" s="323" t="s">
        <v>1363</v>
      </c>
      <c r="I32" s="324" t="s">
        <v>1362</v>
      </c>
      <c r="J32" s="320">
        <v>9979.34</v>
      </c>
      <c r="K32" s="320">
        <v>0</v>
      </c>
      <c r="L32" s="271">
        <v>0</v>
      </c>
      <c r="M32" s="271">
        <v>0</v>
      </c>
      <c r="N32" s="271">
        <v>2095.66</v>
      </c>
      <c r="O32" s="271">
        <v>0</v>
      </c>
      <c r="P32" s="271">
        <v>0</v>
      </c>
      <c r="Q32" s="271">
        <v>0</v>
      </c>
      <c r="R32" s="271">
        <v>0</v>
      </c>
      <c r="S32" s="271">
        <v>0</v>
      </c>
      <c r="T32" s="271">
        <v>0</v>
      </c>
      <c r="U32" s="271">
        <v>12075</v>
      </c>
    </row>
    <row r="33" spans="1:21" x14ac:dyDescent="0.25">
      <c r="A33" s="271" t="s">
        <v>1280</v>
      </c>
      <c r="B33" s="271" t="s">
        <v>655</v>
      </c>
      <c r="C33" s="273">
        <v>3</v>
      </c>
      <c r="D33" s="273">
        <v>5</v>
      </c>
      <c r="E33" s="271"/>
      <c r="F33" s="273">
        <v>75240571600680</v>
      </c>
      <c r="G33" s="271" t="s">
        <v>7</v>
      </c>
      <c r="H33" s="273">
        <v>20310489930</v>
      </c>
      <c r="I33" s="316" t="s">
        <v>1447</v>
      </c>
      <c r="J33" s="273">
        <v>1</v>
      </c>
      <c r="K33" s="271" t="s">
        <v>646</v>
      </c>
      <c r="L33" s="319"/>
      <c r="M33" s="271"/>
      <c r="N33" s="271"/>
      <c r="O33" s="273">
        <v>0</v>
      </c>
      <c r="P33" s="271"/>
      <c r="Q33" s="273">
        <v>523331</v>
      </c>
      <c r="R33" s="271"/>
      <c r="S33" s="271"/>
      <c r="T33" s="271"/>
      <c r="U33" s="271"/>
    </row>
    <row r="34" spans="1:21" x14ac:dyDescent="0.25">
      <c r="A34" s="271" t="s">
        <v>1459</v>
      </c>
      <c r="B34" s="271" t="s">
        <v>655</v>
      </c>
      <c r="C34" s="273">
        <v>3</v>
      </c>
      <c r="D34" s="273">
        <v>6</v>
      </c>
      <c r="E34" s="271"/>
      <c r="F34" s="273">
        <v>75260584209902</v>
      </c>
      <c r="G34" s="271" t="s">
        <v>7</v>
      </c>
      <c r="H34" s="273">
        <v>20310489930</v>
      </c>
      <c r="I34" s="316" t="s">
        <v>1447</v>
      </c>
      <c r="J34" s="273">
        <v>1</v>
      </c>
      <c r="K34" s="271" t="s">
        <v>646</v>
      </c>
      <c r="L34" s="271"/>
      <c r="M34" s="271"/>
      <c r="N34" s="271"/>
      <c r="O34" s="273">
        <v>0</v>
      </c>
      <c r="P34" s="271"/>
      <c r="Q34" s="273">
        <v>678731</v>
      </c>
      <c r="R34" s="271"/>
      <c r="S34" s="271"/>
      <c r="T34" s="271"/>
      <c r="U34" s="271"/>
    </row>
    <row r="35" spans="1:21" x14ac:dyDescent="0.25">
      <c r="A35" s="323" t="s">
        <v>1280</v>
      </c>
      <c r="B35" s="323" t="s">
        <v>1280</v>
      </c>
      <c r="C35" s="323" t="s">
        <v>1381</v>
      </c>
      <c r="D35" s="323" t="s">
        <v>1382</v>
      </c>
      <c r="E35" s="323" t="s">
        <v>1383</v>
      </c>
      <c r="F35" s="323" t="s">
        <v>1214</v>
      </c>
      <c r="G35" s="323">
        <v>0</v>
      </c>
      <c r="H35" s="323" t="s">
        <v>1383</v>
      </c>
      <c r="I35" s="324" t="s">
        <v>1382</v>
      </c>
      <c r="J35" s="320">
        <v>0</v>
      </c>
      <c r="K35" s="320">
        <v>0</v>
      </c>
      <c r="L35" s="271">
        <v>0</v>
      </c>
      <c r="M35" s="271">
        <v>523331</v>
      </c>
      <c r="N35" s="271">
        <v>0</v>
      </c>
      <c r="O35" s="271">
        <v>0</v>
      </c>
      <c r="P35" s="271">
        <v>0</v>
      </c>
      <c r="Q35" s="271">
        <v>0</v>
      </c>
      <c r="R35" s="271">
        <v>0</v>
      </c>
      <c r="S35" s="271">
        <v>0</v>
      </c>
      <c r="T35" s="271">
        <v>0</v>
      </c>
      <c r="U35" s="271">
        <v>523331</v>
      </c>
    </row>
    <row r="36" spans="1:21" x14ac:dyDescent="0.25">
      <c r="A36" s="323" t="s">
        <v>1459</v>
      </c>
      <c r="B36" s="323" t="s">
        <v>1459</v>
      </c>
      <c r="C36" s="323" t="s">
        <v>1504</v>
      </c>
      <c r="D36" s="323" t="s">
        <v>1382</v>
      </c>
      <c r="E36" s="323" t="s">
        <v>1383</v>
      </c>
      <c r="F36" s="323" t="s">
        <v>1214</v>
      </c>
      <c r="G36" s="323">
        <v>0</v>
      </c>
      <c r="H36" s="323" t="s">
        <v>1383</v>
      </c>
      <c r="I36" s="324" t="s">
        <v>1382</v>
      </c>
      <c r="J36" s="320">
        <v>0</v>
      </c>
      <c r="K36" s="320">
        <v>0</v>
      </c>
      <c r="L36" s="271">
        <v>0</v>
      </c>
      <c r="M36" s="271">
        <v>678731</v>
      </c>
      <c r="N36" s="271">
        <v>0</v>
      </c>
      <c r="O36" s="271">
        <v>0</v>
      </c>
      <c r="P36" s="271">
        <v>0</v>
      </c>
      <c r="Q36" s="271">
        <v>0</v>
      </c>
      <c r="R36" s="271">
        <v>0</v>
      </c>
      <c r="S36" s="271">
        <v>0</v>
      </c>
      <c r="T36" s="271">
        <v>0</v>
      </c>
      <c r="U36" s="271">
        <v>678731</v>
      </c>
    </row>
    <row r="37" spans="1:21" x14ac:dyDescent="0.25">
      <c r="A37" s="271" t="s">
        <v>1279</v>
      </c>
      <c r="B37" s="271" t="s">
        <v>655</v>
      </c>
      <c r="C37" s="273">
        <v>1</v>
      </c>
      <c r="D37" s="273">
        <v>30</v>
      </c>
      <c r="E37" s="271"/>
      <c r="F37" s="273">
        <v>75241481687452</v>
      </c>
      <c r="G37" s="271" t="s">
        <v>7</v>
      </c>
      <c r="H37" s="273">
        <v>20311855671</v>
      </c>
      <c r="I37" s="316" t="s">
        <v>1097</v>
      </c>
      <c r="J37" s="273">
        <v>1</v>
      </c>
      <c r="K37" s="271" t="s">
        <v>646</v>
      </c>
      <c r="L37" s="319"/>
      <c r="M37" s="271"/>
      <c r="N37" s="271"/>
      <c r="O37" s="273">
        <v>0</v>
      </c>
      <c r="P37" s="271"/>
      <c r="Q37" s="273">
        <v>630000</v>
      </c>
      <c r="R37" s="271"/>
      <c r="S37" s="271"/>
      <c r="T37" s="271"/>
      <c r="U37" s="271"/>
    </row>
    <row r="38" spans="1:21" x14ac:dyDescent="0.25">
      <c r="A38" s="271" t="s">
        <v>1298</v>
      </c>
      <c r="B38" s="271" t="s">
        <v>655</v>
      </c>
      <c r="C38" s="273">
        <v>1</v>
      </c>
      <c r="D38" s="273">
        <v>31</v>
      </c>
      <c r="E38" s="271"/>
      <c r="F38" s="273">
        <v>75251746765231</v>
      </c>
      <c r="G38" s="271" t="s">
        <v>7</v>
      </c>
      <c r="H38" s="273">
        <v>20311855671</v>
      </c>
      <c r="I38" s="316" t="s">
        <v>1097</v>
      </c>
      <c r="J38" s="273">
        <v>1</v>
      </c>
      <c r="K38" s="271" t="s">
        <v>646</v>
      </c>
      <c r="L38" s="319"/>
      <c r="M38" s="271"/>
      <c r="N38" s="271"/>
      <c r="O38" s="273">
        <v>0</v>
      </c>
      <c r="P38" s="271"/>
      <c r="Q38" s="273">
        <v>350000</v>
      </c>
      <c r="R38" s="271"/>
      <c r="S38" s="271"/>
      <c r="T38" s="271"/>
      <c r="U38" s="271"/>
    </row>
    <row r="39" spans="1:21" x14ac:dyDescent="0.25">
      <c r="A39" s="323" t="s">
        <v>1279</v>
      </c>
      <c r="B39" s="323" t="s">
        <v>1279</v>
      </c>
      <c r="C39" s="323" t="s">
        <v>1374</v>
      </c>
      <c r="D39" s="323" t="s">
        <v>1237</v>
      </c>
      <c r="E39" s="323" t="s">
        <v>1238</v>
      </c>
      <c r="F39" s="323" t="s">
        <v>1214</v>
      </c>
      <c r="G39" s="323">
        <v>0</v>
      </c>
      <c r="H39" s="323" t="s">
        <v>1238</v>
      </c>
      <c r="I39" s="324" t="s">
        <v>1237</v>
      </c>
      <c r="J39" s="320">
        <v>0</v>
      </c>
      <c r="K39" s="320">
        <v>0</v>
      </c>
      <c r="L39" s="271">
        <v>0</v>
      </c>
      <c r="M39" s="271">
        <v>630000</v>
      </c>
      <c r="N39" s="271">
        <v>0</v>
      </c>
      <c r="O39" s="271">
        <v>0</v>
      </c>
      <c r="P39" s="271">
        <v>0</v>
      </c>
      <c r="Q39" s="271">
        <v>0</v>
      </c>
      <c r="R39" s="271">
        <v>0</v>
      </c>
      <c r="S39" s="271">
        <v>0</v>
      </c>
      <c r="T39" s="271">
        <v>0</v>
      </c>
      <c r="U39" s="271">
        <v>630000</v>
      </c>
    </row>
    <row r="40" spans="1:21" x14ac:dyDescent="0.25">
      <c r="A40" s="323" t="s">
        <v>1298</v>
      </c>
      <c r="B40" s="323" t="s">
        <v>1301</v>
      </c>
      <c r="C40" s="323" t="s">
        <v>1435</v>
      </c>
      <c r="D40" s="323" t="s">
        <v>1237</v>
      </c>
      <c r="E40" s="323" t="s">
        <v>1238</v>
      </c>
      <c r="F40" s="323" t="s">
        <v>1214</v>
      </c>
      <c r="G40" s="323">
        <v>0</v>
      </c>
      <c r="H40" s="323" t="s">
        <v>1238</v>
      </c>
      <c r="I40" s="324" t="s">
        <v>1237</v>
      </c>
      <c r="J40" s="320">
        <v>0</v>
      </c>
      <c r="K40" s="320">
        <v>0</v>
      </c>
      <c r="L40" s="271">
        <v>0</v>
      </c>
      <c r="M40" s="271">
        <v>350000</v>
      </c>
      <c r="N40" s="271">
        <v>0</v>
      </c>
      <c r="O40" s="271">
        <v>0</v>
      </c>
      <c r="P40" s="271">
        <v>0</v>
      </c>
      <c r="Q40" s="271">
        <v>0</v>
      </c>
      <c r="R40" s="271">
        <v>0</v>
      </c>
      <c r="S40" s="271">
        <v>0</v>
      </c>
      <c r="T40" s="271">
        <v>0</v>
      </c>
      <c r="U40" s="271">
        <v>350000</v>
      </c>
    </row>
    <row r="41" spans="1:21" x14ac:dyDescent="0.25">
      <c r="A41" s="324" t="s">
        <v>1277</v>
      </c>
      <c r="B41" s="324" t="s">
        <v>1277</v>
      </c>
      <c r="C41" s="324" t="s">
        <v>1353</v>
      </c>
      <c r="D41" s="324" t="s">
        <v>1354</v>
      </c>
      <c r="E41" s="324" t="s">
        <v>1355</v>
      </c>
      <c r="F41" s="324" t="s">
        <v>987</v>
      </c>
      <c r="G41" s="324">
        <v>0</v>
      </c>
      <c r="H41" s="324">
        <v>20174004146</v>
      </c>
      <c r="I41" s="324" t="s">
        <v>389</v>
      </c>
      <c r="J41" s="320">
        <v>210000</v>
      </c>
      <c r="K41" s="320">
        <v>0</v>
      </c>
      <c r="L41" s="271">
        <v>0</v>
      </c>
      <c r="M41" s="271">
        <v>0</v>
      </c>
      <c r="N41" s="271">
        <v>44100</v>
      </c>
      <c r="O41" s="271">
        <v>0</v>
      </c>
      <c r="P41" s="271">
        <v>0</v>
      </c>
      <c r="Q41" s="271">
        <v>0</v>
      </c>
      <c r="R41" s="271">
        <v>0</v>
      </c>
      <c r="S41" s="271">
        <v>0</v>
      </c>
      <c r="T41" s="271">
        <v>0</v>
      </c>
      <c r="U41" s="271">
        <v>254100</v>
      </c>
    </row>
    <row r="42" spans="1:21" x14ac:dyDescent="0.25">
      <c r="A42" s="271" t="s">
        <v>1306</v>
      </c>
      <c r="B42" s="271" t="s">
        <v>644</v>
      </c>
      <c r="C42" s="273">
        <v>5</v>
      </c>
      <c r="D42" s="273">
        <v>55</v>
      </c>
      <c r="E42" s="271"/>
      <c r="F42" s="273">
        <v>75263064964225</v>
      </c>
      <c r="G42" s="271" t="s">
        <v>7</v>
      </c>
      <c r="H42" s="273">
        <v>20929183143</v>
      </c>
      <c r="I42" s="316" t="s">
        <v>461</v>
      </c>
      <c r="J42" s="273">
        <v>1</v>
      </c>
      <c r="K42" s="271" t="s">
        <v>646</v>
      </c>
      <c r="L42" s="319">
        <v>85000</v>
      </c>
      <c r="M42" s="273">
        <v>0</v>
      </c>
      <c r="N42" s="273">
        <v>0</v>
      </c>
      <c r="O42" s="273">
        <v>0</v>
      </c>
      <c r="P42" s="273">
        <v>17850</v>
      </c>
      <c r="Q42" s="273">
        <v>102850</v>
      </c>
      <c r="R42" s="271"/>
      <c r="S42" s="271"/>
      <c r="T42" s="271"/>
      <c r="U42" s="271"/>
    </row>
    <row r="43" spans="1:21" x14ac:dyDescent="0.25">
      <c r="A43" s="323" t="s">
        <v>1306</v>
      </c>
      <c r="B43" s="323" t="s">
        <v>1306</v>
      </c>
      <c r="C43" s="323" t="s">
        <v>1438</v>
      </c>
      <c r="D43" s="323" t="s">
        <v>1243</v>
      </c>
      <c r="E43" s="323" t="s">
        <v>1244</v>
      </c>
      <c r="F43" s="323" t="s">
        <v>987</v>
      </c>
      <c r="G43" s="323">
        <v>0</v>
      </c>
      <c r="H43" s="323" t="s">
        <v>1244</v>
      </c>
      <c r="I43" s="324" t="s">
        <v>1243</v>
      </c>
      <c r="J43" s="320">
        <v>85000</v>
      </c>
      <c r="K43" s="320">
        <v>0</v>
      </c>
      <c r="L43" s="271">
        <v>0</v>
      </c>
      <c r="M43" s="271">
        <v>0</v>
      </c>
      <c r="N43" s="271">
        <v>17850</v>
      </c>
      <c r="O43" s="271">
        <v>0</v>
      </c>
      <c r="P43" s="271">
        <v>0</v>
      </c>
      <c r="Q43" s="271">
        <v>0</v>
      </c>
      <c r="R43" s="271">
        <v>0</v>
      </c>
      <c r="S43" s="271">
        <v>0</v>
      </c>
      <c r="T43" s="271">
        <v>0</v>
      </c>
      <c r="U43" s="271">
        <v>102850</v>
      </c>
    </row>
    <row r="44" spans="1:21" x14ac:dyDescent="0.25">
      <c r="A44" s="271" t="s">
        <v>1287</v>
      </c>
      <c r="B44" s="271" t="s">
        <v>644</v>
      </c>
      <c r="C44" s="273">
        <v>3</v>
      </c>
      <c r="D44" s="273">
        <v>913</v>
      </c>
      <c r="E44" s="271"/>
      <c r="F44" s="273">
        <v>75259218311081</v>
      </c>
      <c r="G44" s="271" t="s">
        <v>7</v>
      </c>
      <c r="H44" s="273">
        <v>23076996989</v>
      </c>
      <c r="I44" s="316" t="s">
        <v>229</v>
      </c>
      <c r="J44" s="273">
        <v>1</v>
      </c>
      <c r="K44" s="271" t="s">
        <v>646</v>
      </c>
      <c r="L44" s="319">
        <v>10413.24</v>
      </c>
      <c r="M44" s="273">
        <v>0</v>
      </c>
      <c r="N44" s="273">
        <v>0</v>
      </c>
      <c r="O44" s="273">
        <v>0</v>
      </c>
      <c r="P44" s="274">
        <v>2186.7800000000002</v>
      </c>
      <c r="Q44" s="273">
        <v>12600</v>
      </c>
      <c r="R44" s="271"/>
      <c r="S44" s="271"/>
      <c r="T44" s="271"/>
      <c r="U44" s="271"/>
    </row>
    <row r="45" spans="1:21" x14ac:dyDescent="0.25">
      <c r="A45" s="323" t="s">
        <v>1287</v>
      </c>
      <c r="B45" s="323" t="s">
        <v>1287</v>
      </c>
      <c r="C45" s="323" t="s">
        <v>1408</v>
      </c>
      <c r="D45" s="323" t="s">
        <v>1409</v>
      </c>
      <c r="E45" s="323" t="s">
        <v>1410</v>
      </c>
      <c r="F45" s="323" t="s">
        <v>987</v>
      </c>
      <c r="G45" s="323">
        <v>0</v>
      </c>
      <c r="H45" s="323" t="s">
        <v>1410</v>
      </c>
      <c r="I45" s="324" t="s">
        <v>1409</v>
      </c>
      <c r="J45" s="320">
        <v>10413.219999999999</v>
      </c>
      <c r="K45" s="320">
        <v>0</v>
      </c>
      <c r="L45" s="271">
        <v>0</v>
      </c>
      <c r="M45" s="271">
        <v>0</v>
      </c>
      <c r="N45" s="271">
        <v>2186.7800000000002</v>
      </c>
      <c r="O45" s="271">
        <v>0</v>
      </c>
      <c r="P45" s="271">
        <v>0</v>
      </c>
      <c r="Q45" s="271">
        <v>0</v>
      </c>
      <c r="R45" s="271">
        <v>0</v>
      </c>
      <c r="S45" s="271">
        <v>0</v>
      </c>
      <c r="T45" s="271">
        <v>0</v>
      </c>
      <c r="U45" s="271">
        <v>12600</v>
      </c>
    </row>
    <row r="46" spans="1:21" x14ac:dyDescent="0.25">
      <c r="A46" s="271" t="s">
        <v>1278</v>
      </c>
      <c r="B46" s="271" t="s">
        <v>644</v>
      </c>
      <c r="C46" s="273">
        <v>2</v>
      </c>
      <c r="D46" s="273">
        <v>26504</v>
      </c>
      <c r="E46" s="271"/>
      <c r="F46" s="273">
        <v>75239332605962</v>
      </c>
      <c r="G46" s="271" t="s">
        <v>7</v>
      </c>
      <c r="H46" s="273">
        <v>23233422029</v>
      </c>
      <c r="I46" s="316" t="s">
        <v>1446</v>
      </c>
      <c r="J46" s="273">
        <v>1</v>
      </c>
      <c r="K46" s="271" t="s">
        <v>646</v>
      </c>
      <c r="L46" s="319">
        <v>205205.72</v>
      </c>
      <c r="M46" s="273">
        <v>0</v>
      </c>
      <c r="N46" s="273">
        <v>0</v>
      </c>
      <c r="O46" s="273">
        <v>0</v>
      </c>
      <c r="P46" s="271">
        <v>43093.2</v>
      </c>
      <c r="Q46" s="274">
        <v>248298.92</v>
      </c>
      <c r="R46" s="271"/>
      <c r="S46" s="271"/>
      <c r="T46" s="271"/>
      <c r="U46" s="271"/>
    </row>
    <row r="47" spans="1:21" x14ac:dyDescent="0.25">
      <c r="A47" s="323" t="s">
        <v>1278</v>
      </c>
      <c r="B47" s="323" t="s">
        <v>1278</v>
      </c>
      <c r="C47" s="323" t="s">
        <v>1365</v>
      </c>
      <c r="D47" s="323" t="s">
        <v>1366</v>
      </c>
      <c r="E47" s="323" t="s">
        <v>1367</v>
      </c>
      <c r="F47" s="323" t="s">
        <v>987</v>
      </c>
      <c r="G47" s="323">
        <v>0</v>
      </c>
      <c r="H47" s="323" t="s">
        <v>1367</v>
      </c>
      <c r="I47" s="324" t="s">
        <v>1366</v>
      </c>
      <c r="J47" s="320">
        <v>205205.72</v>
      </c>
      <c r="K47" s="320">
        <v>0</v>
      </c>
      <c r="L47" s="271">
        <v>0</v>
      </c>
      <c r="M47" s="271">
        <v>0</v>
      </c>
      <c r="N47" s="271">
        <v>43093.2</v>
      </c>
      <c r="O47" s="271">
        <v>0</v>
      </c>
      <c r="P47" s="271">
        <v>0</v>
      </c>
      <c r="Q47" s="271">
        <v>0</v>
      </c>
      <c r="R47" s="271">
        <v>0</v>
      </c>
      <c r="S47" s="271">
        <v>0</v>
      </c>
      <c r="T47" s="271">
        <v>0</v>
      </c>
      <c r="U47" s="271">
        <v>248298.92</v>
      </c>
    </row>
    <row r="48" spans="1:21" x14ac:dyDescent="0.25">
      <c r="A48" s="271" t="s">
        <v>1284</v>
      </c>
      <c r="B48" s="271" t="s">
        <v>655</v>
      </c>
      <c r="C48" s="273">
        <v>1</v>
      </c>
      <c r="D48" s="273">
        <v>81</v>
      </c>
      <c r="E48" s="271"/>
      <c r="F48" s="273">
        <v>75244165079293</v>
      </c>
      <c r="G48" s="271" t="s">
        <v>7</v>
      </c>
      <c r="H48" s="273">
        <v>23281233084</v>
      </c>
      <c r="I48" s="316" t="s">
        <v>184</v>
      </c>
      <c r="J48" s="273">
        <v>1</v>
      </c>
      <c r="K48" s="271" t="s">
        <v>646</v>
      </c>
      <c r="L48" s="319"/>
      <c r="M48" s="271"/>
      <c r="N48" s="271"/>
      <c r="O48" s="273">
        <v>0</v>
      </c>
      <c r="P48" s="271"/>
      <c r="Q48" s="273">
        <v>300000</v>
      </c>
      <c r="R48" s="271"/>
      <c r="S48" s="271"/>
      <c r="T48" s="271"/>
      <c r="U48" s="271"/>
    </row>
    <row r="49" spans="1:21" x14ac:dyDescent="0.25">
      <c r="A49" s="323" t="s">
        <v>1284</v>
      </c>
      <c r="B49" s="323" t="s">
        <v>1284</v>
      </c>
      <c r="C49" s="323" t="s">
        <v>1401</v>
      </c>
      <c r="D49" s="323" t="s">
        <v>1246</v>
      </c>
      <c r="E49" s="323" t="s">
        <v>1247</v>
      </c>
      <c r="F49" s="323" t="s">
        <v>1214</v>
      </c>
      <c r="G49" s="323">
        <v>0</v>
      </c>
      <c r="H49" s="323" t="s">
        <v>1247</v>
      </c>
      <c r="I49" s="324" t="s">
        <v>1246</v>
      </c>
      <c r="J49" s="320">
        <v>0</v>
      </c>
      <c r="K49" s="320">
        <v>0</v>
      </c>
      <c r="L49" s="271">
        <v>0</v>
      </c>
      <c r="M49" s="271">
        <v>300000</v>
      </c>
      <c r="N49" s="271">
        <v>0</v>
      </c>
      <c r="O49" s="271">
        <v>0</v>
      </c>
      <c r="P49" s="271">
        <v>0</v>
      </c>
      <c r="Q49" s="271">
        <v>0</v>
      </c>
      <c r="R49" s="271">
        <v>0</v>
      </c>
      <c r="S49" s="271">
        <v>0</v>
      </c>
      <c r="T49" s="271">
        <v>0</v>
      </c>
      <c r="U49" s="271">
        <v>300000</v>
      </c>
    </row>
    <row r="50" spans="1:21" x14ac:dyDescent="0.25">
      <c r="A50" s="271" t="s">
        <v>1270</v>
      </c>
      <c r="B50" s="271" t="s">
        <v>644</v>
      </c>
      <c r="C50" s="273">
        <v>2</v>
      </c>
      <c r="D50" s="273">
        <v>273</v>
      </c>
      <c r="E50" s="271"/>
      <c r="F50" s="273">
        <v>75233505922163</v>
      </c>
      <c r="G50" s="271" t="s">
        <v>7</v>
      </c>
      <c r="H50" s="273">
        <v>27144282383</v>
      </c>
      <c r="I50" s="316" t="s">
        <v>653</v>
      </c>
      <c r="J50" s="273">
        <v>1</v>
      </c>
      <c r="K50" s="271" t="s">
        <v>646</v>
      </c>
      <c r="L50" s="319">
        <v>1020000</v>
      </c>
      <c r="M50" s="273">
        <v>0</v>
      </c>
      <c r="N50" s="273">
        <v>0</v>
      </c>
      <c r="O50" s="273">
        <v>0</v>
      </c>
      <c r="P50" s="273">
        <v>214200</v>
      </c>
      <c r="Q50" s="273">
        <v>1234200</v>
      </c>
      <c r="R50" s="271"/>
      <c r="S50" s="271"/>
      <c r="T50" s="271"/>
      <c r="U50" s="271"/>
    </row>
    <row r="51" spans="1:21" x14ac:dyDescent="0.25">
      <c r="A51" s="323" t="s">
        <v>1270</v>
      </c>
      <c r="B51" s="323" t="s">
        <v>1270</v>
      </c>
      <c r="C51" s="323" t="s">
        <v>1334</v>
      </c>
      <c r="D51" s="323" t="s">
        <v>653</v>
      </c>
      <c r="E51" s="323" t="s">
        <v>1335</v>
      </c>
      <c r="F51" s="323" t="s">
        <v>987</v>
      </c>
      <c r="G51" s="323">
        <v>0</v>
      </c>
      <c r="H51" s="323" t="s">
        <v>1335</v>
      </c>
      <c r="I51" s="324" t="s">
        <v>653</v>
      </c>
      <c r="J51" s="320">
        <v>1020000</v>
      </c>
      <c r="K51" s="320">
        <v>0</v>
      </c>
      <c r="L51" s="271">
        <v>0</v>
      </c>
      <c r="M51" s="271">
        <v>0</v>
      </c>
      <c r="N51" s="271">
        <v>214200</v>
      </c>
      <c r="O51" s="271">
        <v>0</v>
      </c>
      <c r="P51" s="271">
        <v>0</v>
      </c>
      <c r="Q51" s="271">
        <v>0</v>
      </c>
      <c r="R51" s="271">
        <v>0</v>
      </c>
      <c r="S51" s="271">
        <v>0</v>
      </c>
      <c r="T51" s="271">
        <v>0</v>
      </c>
      <c r="U51" s="271">
        <v>1234200</v>
      </c>
    </row>
    <row r="52" spans="1:21" x14ac:dyDescent="0.25">
      <c r="A52" s="316" t="s">
        <v>1306</v>
      </c>
      <c r="B52" s="316" t="s">
        <v>644</v>
      </c>
      <c r="C52" s="317">
        <v>2</v>
      </c>
      <c r="D52" s="317">
        <v>40</v>
      </c>
      <c r="E52" s="316"/>
      <c r="F52" s="317">
        <v>75265280996941</v>
      </c>
      <c r="G52" s="316" t="s">
        <v>7</v>
      </c>
      <c r="H52" s="317">
        <v>27243660535</v>
      </c>
      <c r="I52" s="316" t="s">
        <v>709</v>
      </c>
      <c r="J52" s="317">
        <v>1</v>
      </c>
      <c r="K52" s="316" t="s">
        <v>646</v>
      </c>
      <c r="L52" s="321">
        <v>414537</v>
      </c>
      <c r="M52" s="273">
        <v>0</v>
      </c>
      <c r="N52" s="273">
        <v>0</v>
      </c>
      <c r="O52" s="273">
        <v>0</v>
      </c>
      <c r="P52" s="274">
        <v>87052.77</v>
      </c>
      <c r="Q52" s="274">
        <v>501589.77</v>
      </c>
      <c r="R52" s="271"/>
      <c r="S52" s="271"/>
      <c r="T52" s="271"/>
      <c r="U52" s="271"/>
    </row>
    <row r="53" spans="1:21" x14ac:dyDescent="0.25">
      <c r="A53" s="271" t="s">
        <v>1267</v>
      </c>
      <c r="B53" s="271" t="s">
        <v>644</v>
      </c>
      <c r="C53" s="273">
        <v>5</v>
      </c>
      <c r="D53" s="273">
        <v>1555</v>
      </c>
      <c r="E53" s="271"/>
      <c r="F53" s="273">
        <v>75225445831549</v>
      </c>
      <c r="G53" s="271" t="s">
        <v>7</v>
      </c>
      <c r="H53" s="273">
        <v>27265302225</v>
      </c>
      <c r="I53" s="316" t="s">
        <v>165</v>
      </c>
      <c r="J53" s="273">
        <v>1</v>
      </c>
      <c r="K53" s="271" t="s">
        <v>646</v>
      </c>
      <c r="L53" s="319">
        <v>1200000</v>
      </c>
      <c r="M53" s="273">
        <v>0</v>
      </c>
      <c r="N53" s="273">
        <v>0</v>
      </c>
      <c r="O53" s="273">
        <v>0</v>
      </c>
      <c r="P53" s="273">
        <v>252000</v>
      </c>
      <c r="Q53" s="273">
        <v>1452000</v>
      </c>
      <c r="R53" s="271"/>
      <c r="S53" s="271"/>
      <c r="T53" s="271"/>
      <c r="U53" s="271"/>
    </row>
    <row r="54" spans="1:21" x14ac:dyDescent="0.25">
      <c r="A54" s="271" t="s">
        <v>1270</v>
      </c>
      <c r="B54" s="271" t="s">
        <v>644</v>
      </c>
      <c r="C54" s="273">
        <v>5</v>
      </c>
      <c r="D54" s="273">
        <v>1557</v>
      </c>
      <c r="E54" s="271"/>
      <c r="F54" s="273">
        <v>75235533191292</v>
      </c>
      <c r="G54" s="271" t="s">
        <v>7</v>
      </c>
      <c r="H54" s="273">
        <v>27265302225</v>
      </c>
      <c r="I54" s="316" t="s">
        <v>165</v>
      </c>
      <c r="J54" s="273">
        <v>1</v>
      </c>
      <c r="K54" s="271" t="s">
        <v>646</v>
      </c>
      <c r="L54" s="319">
        <v>1500000</v>
      </c>
      <c r="M54" s="273">
        <v>0</v>
      </c>
      <c r="N54" s="273">
        <v>0</v>
      </c>
      <c r="O54" s="273">
        <v>0</v>
      </c>
      <c r="P54" s="273">
        <v>315000</v>
      </c>
      <c r="Q54" s="273">
        <v>1815000</v>
      </c>
      <c r="R54" s="271"/>
      <c r="S54" s="271"/>
      <c r="T54" s="271"/>
      <c r="U54" s="271"/>
    </row>
    <row r="55" spans="1:21" x14ac:dyDescent="0.25">
      <c r="A55" s="271" t="s">
        <v>1287</v>
      </c>
      <c r="B55" s="271" t="s">
        <v>644</v>
      </c>
      <c r="C55" s="273">
        <v>5</v>
      </c>
      <c r="D55" s="273">
        <v>1569</v>
      </c>
      <c r="E55" s="271"/>
      <c r="F55" s="273">
        <v>75255228267096</v>
      </c>
      <c r="G55" s="271" t="s">
        <v>7</v>
      </c>
      <c r="H55" s="273">
        <v>27265302225</v>
      </c>
      <c r="I55" s="316" t="s">
        <v>165</v>
      </c>
      <c r="J55" s="273">
        <v>1</v>
      </c>
      <c r="K55" s="271" t="s">
        <v>646</v>
      </c>
      <c r="L55" s="319">
        <v>2500000</v>
      </c>
      <c r="M55" s="273">
        <v>0</v>
      </c>
      <c r="N55" s="273">
        <v>0</v>
      </c>
      <c r="O55" s="273">
        <v>0</v>
      </c>
      <c r="P55" s="273">
        <v>525000</v>
      </c>
      <c r="Q55" s="273">
        <v>3025000</v>
      </c>
      <c r="R55" s="271"/>
      <c r="S55" s="271"/>
      <c r="T55" s="271"/>
      <c r="U55" s="271"/>
    </row>
    <row r="56" spans="1:21" x14ac:dyDescent="0.25">
      <c r="A56" s="271" t="s">
        <v>1298</v>
      </c>
      <c r="B56" s="271" t="s">
        <v>644</v>
      </c>
      <c r="C56" s="273">
        <v>5</v>
      </c>
      <c r="D56" s="273">
        <v>1572</v>
      </c>
      <c r="E56" s="271"/>
      <c r="F56" s="273">
        <v>75255731247213</v>
      </c>
      <c r="G56" s="271" t="s">
        <v>7</v>
      </c>
      <c r="H56" s="273">
        <v>27265302225</v>
      </c>
      <c r="I56" s="316" t="s">
        <v>165</v>
      </c>
      <c r="J56" s="273">
        <v>1</v>
      </c>
      <c r="K56" s="271" t="s">
        <v>646</v>
      </c>
      <c r="L56" s="319">
        <v>2500000</v>
      </c>
      <c r="M56" s="273">
        <v>0</v>
      </c>
      <c r="N56" s="273">
        <v>0</v>
      </c>
      <c r="O56" s="273">
        <v>0</v>
      </c>
      <c r="P56" s="273">
        <v>525000</v>
      </c>
      <c r="Q56" s="273">
        <v>3025000</v>
      </c>
      <c r="R56" s="271"/>
      <c r="S56" s="271"/>
      <c r="T56" s="271"/>
      <c r="U56" s="271"/>
    </row>
    <row r="57" spans="1:21" x14ac:dyDescent="0.25">
      <c r="A57" s="323" t="s">
        <v>1267</v>
      </c>
      <c r="B57" s="323" t="s">
        <v>1267</v>
      </c>
      <c r="C57" s="323" t="s">
        <v>1327</v>
      </c>
      <c r="D57" s="323" t="s">
        <v>1234</v>
      </c>
      <c r="E57" s="323" t="s">
        <v>1235</v>
      </c>
      <c r="F57" s="323" t="s">
        <v>987</v>
      </c>
      <c r="G57" s="323">
        <v>0</v>
      </c>
      <c r="H57" s="323" t="s">
        <v>1235</v>
      </c>
      <c r="I57" s="324" t="s">
        <v>1234</v>
      </c>
      <c r="J57" s="320">
        <v>1200000</v>
      </c>
      <c r="K57" s="320">
        <v>0</v>
      </c>
      <c r="L57" s="271">
        <v>0</v>
      </c>
      <c r="M57" s="271">
        <v>0</v>
      </c>
      <c r="N57" s="271">
        <v>252000</v>
      </c>
      <c r="O57" s="271">
        <v>0</v>
      </c>
      <c r="P57" s="271">
        <v>0</v>
      </c>
      <c r="Q57" s="271">
        <v>0</v>
      </c>
      <c r="R57" s="271">
        <v>0</v>
      </c>
      <c r="S57" s="271">
        <v>0</v>
      </c>
      <c r="T57" s="271">
        <v>0</v>
      </c>
      <c r="U57" s="271">
        <v>1452000</v>
      </c>
    </row>
    <row r="58" spans="1:21" x14ac:dyDescent="0.25">
      <c r="A58" s="323" t="s">
        <v>1270</v>
      </c>
      <c r="B58" s="323" t="s">
        <v>1270</v>
      </c>
      <c r="C58" s="323" t="s">
        <v>1339</v>
      </c>
      <c r="D58" s="323" t="s">
        <v>1234</v>
      </c>
      <c r="E58" s="323" t="s">
        <v>1235</v>
      </c>
      <c r="F58" s="323" t="s">
        <v>987</v>
      </c>
      <c r="G58" s="323">
        <v>0</v>
      </c>
      <c r="H58" s="323" t="s">
        <v>1235</v>
      </c>
      <c r="I58" s="324" t="s">
        <v>1234</v>
      </c>
      <c r="J58" s="320">
        <v>1500000</v>
      </c>
      <c r="K58" s="320">
        <v>0</v>
      </c>
      <c r="L58" s="271">
        <v>0</v>
      </c>
      <c r="M58" s="271">
        <v>0</v>
      </c>
      <c r="N58" s="271">
        <v>315000</v>
      </c>
      <c r="O58" s="271">
        <v>0</v>
      </c>
      <c r="P58" s="271">
        <v>0</v>
      </c>
      <c r="Q58" s="271">
        <v>0</v>
      </c>
      <c r="R58" s="271">
        <v>0</v>
      </c>
      <c r="S58" s="271">
        <v>0</v>
      </c>
      <c r="T58" s="271">
        <v>0</v>
      </c>
      <c r="U58" s="271">
        <v>1815000</v>
      </c>
    </row>
    <row r="59" spans="1:21" x14ac:dyDescent="0.25">
      <c r="A59" s="323" t="s">
        <v>1287</v>
      </c>
      <c r="B59" s="323" t="s">
        <v>1287</v>
      </c>
      <c r="C59" s="323" t="s">
        <v>1407</v>
      </c>
      <c r="D59" s="323" t="s">
        <v>1234</v>
      </c>
      <c r="E59" s="323" t="s">
        <v>1235</v>
      </c>
      <c r="F59" s="323" t="s">
        <v>987</v>
      </c>
      <c r="G59" s="323">
        <v>0</v>
      </c>
      <c r="H59" s="323" t="s">
        <v>1235</v>
      </c>
      <c r="I59" s="324" t="s">
        <v>1234</v>
      </c>
      <c r="J59" s="320">
        <v>2500000</v>
      </c>
      <c r="K59" s="320">
        <v>0</v>
      </c>
      <c r="L59" s="271">
        <v>0</v>
      </c>
      <c r="M59" s="271">
        <v>0</v>
      </c>
      <c r="N59" s="271">
        <v>525000</v>
      </c>
      <c r="O59" s="271">
        <v>0</v>
      </c>
      <c r="P59" s="271">
        <v>0</v>
      </c>
      <c r="Q59" s="271">
        <v>0</v>
      </c>
      <c r="R59" s="271">
        <v>0</v>
      </c>
      <c r="S59" s="271">
        <v>0</v>
      </c>
      <c r="T59" s="271">
        <v>0</v>
      </c>
      <c r="U59" s="271">
        <v>3025000</v>
      </c>
    </row>
    <row r="60" spans="1:21" x14ac:dyDescent="0.25">
      <c r="A60" s="323" t="s">
        <v>1298</v>
      </c>
      <c r="B60" s="323" t="s">
        <v>1298</v>
      </c>
      <c r="C60" s="323" t="s">
        <v>1426</v>
      </c>
      <c r="D60" s="323" t="s">
        <v>1234</v>
      </c>
      <c r="E60" s="323" t="s">
        <v>1235</v>
      </c>
      <c r="F60" s="323" t="s">
        <v>987</v>
      </c>
      <c r="G60" s="323">
        <v>0</v>
      </c>
      <c r="H60" s="323" t="s">
        <v>1235</v>
      </c>
      <c r="I60" s="324" t="s">
        <v>1234</v>
      </c>
      <c r="J60" s="320">
        <v>2500000</v>
      </c>
      <c r="K60" s="320">
        <v>0</v>
      </c>
      <c r="L60" s="271">
        <v>0</v>
      </c>
      <c r="M60" s="271">
        <v>0</v>
      </c>
      <c r="N60" s="271">
        <v>525000</v>
      </c>
      <c r="O60" s="271">
        <v>0</v>
      </c>
      <c r="P60" s="271">
        <v>0</v>
      </c>
      <c r="Q60" s="271">
        <v>0</v>
      </c>
      <c r="R60" s="271">
        <v>0</v>
      </c>
      <c r="S60" s="271">
        <v>0</v>
      </c>
      <c r="T60" s="271">
        <v>0</v>
      </c>
      <c r="U60" s="271">
        <v>3025000</v>
      </c>
    </row>
    <row r="61" spans="1:21" x14ac:dyDescent="0.25">
      <c r="A61" s="271" t="s">
        <v>1264</v>
      </c>
      <c r="B61" s="271" t="s">
        <v>655</v>
      </c>
      <c r="C61" s="273">
        <v>2</v>
      </c>
      <c r="D61" s="273">
        <v>357</v>
      </c>
      <c r="E61" s="271"/>
      <c r="F61" s="273">
        <v>75228233602517</v>
      </c>
      <c r="G61" s="271" t="s">
        <v>7</v>
      </c>
      <c r="H61" s="273">
        <v>27265832178</v>
      </c>
      <c r="I61" s="316" t="s">
        <v>470</v>
      </c>
      <c r="J61" s="273">
        <v>1</v>
      </c>
      <c r="K61" s="271" t="s">
        <v>646</v>
      </c>
      <c r="L61" s="319"/>
      <c r="M61" s="271"/>
      <c r="N61" s="271"/>
      <c r="O61" s="273">
        <v>0</v>
      </c>
      <c r="P61" s="271"/>
      <c r="Q61" s="273">
        <v>3200000</v>
      </c>
      <c r="R61" s="271"/>
      <c r="S61" s="271"/>
      <c r="T61" s="271"/>
      <c r="U61" s="271"/>
    </row>
    <row r="62" spans="1:21" x14ac:dyDescent="0.25">
      <c r="A62" s="323" t="s">
        <v>1264</v>
      </c>
      <c r="B62" s="323" t="s">
        <v>1264</v>
      </c>
      <c r="C62" s="323" t="s">
        <v>1318</v>
      </c>
      <c r="D62" s="323" t="s">
        <v>1232</v>
      </c>
      <c r="E62" s="323" t="s">
        <v>1233</v>
      </c>
      <c r="F62" s="323" t="s">
        <v>1214</v>
      </c>
      <c r="G62" s="323">
        <v>0</v>
      </c>
      <c r="H62" s="323" t="s">
        <v>1233</v>
      </c>
      <c r="I62" s="324" t="s">
        <v>1232</v>
      </c>
      <c r="J62" s="320">
        <v>0</v>
      </c>
      <c r="K62" s="320">
        <v>0</v>
      </c>
      <c r="L62" s="271">
        <v>0</v>
      </c>
      <c r="M62" s="271">
        <v>3200000</v>
      </c>
      <c r="N62" s="271">
        <v>0</v>
      </c>
      <c r="O62" s="271">
        <v>0</v>
      </c>
      <c r="P62" s="271">
        <v>0</v>
      </c>
      <c r="Q62" s="271">
        <v>0</v>
      </c>
      <c r="R62" s="271">
        <v>0</v>
      </c>
      <c r="S62" s="271">
        <v>0</v>
      </c>
      <c r="T62" s="271">
        <v>0</v>
      </c>
      <c r="U62" s="271">
        <v>3200000</v>
      </c>
    </row>
    <row r="63" spans="1:21" x14ac:dyDescent="0.25">
      <c r="A63" s="316" t="s">
        <v>1298</v>
      </c>
      <c r="B63" s="316" t="s">
        <v>644</v>
      </c>
      <c r="C63" s="317">
        <v>16</v>
      </c>
      <c r="D63" s="317">
        <v>49</v>
      </c>
      <c r="E63" s="316"/>
      <c r="F63" s="317">
        <v>75253774462485</v>
      </c>
      <c r="G63" s="316" t="s">
        <v>7</v>
      </c>
      <c r="H63" s="317">
        <v>27310367813</v>
      </c>
      <c r="I63" s="316" t="s">
        <v>556</v>
      </c>
      <c r="J63" s="317">
        <v>1</v>
      </c>
      <c r="K63" s="316" t="s">
        <v>646</v>
      </c>
      <c r="L63" s="321">
        <v>152023.28</v>
      </c>
      <c r="M63" s="273">
        <v>0</v>
      </c>
      <c r="N63" s="273">
        <v>0</v>
      </c>
      <c r="O63" s="273">
        <v>0</v>
      </c>
      <c r="P63" s="274">
        <v>31924.89</v>
      </c>
      <c r="Q63" s="274">
        <v>183948.17</v>
      </c>
      <c r="R63" s="271"/>
      <c r="S63" s="271"/>
      <c r="T63" s="271"/>
      <c r="U63" s="271"/>
    </row>
    <row r="64" spans="1:21" x14ac:dyDescent="0.25">
      <c r="A64" s="271" t="s">
        <v>1271</v>
      </c>
      <c r="B64" s="271" t="s">
        <v>655</v>
      </c>
      <c r="C64" s="273">
        <v>2</v>
      </c>
      <c r="D64" s="273">
        <v>129</v>
      </c>
      <c r="E64" s="271"/>
      <c r="F64" s="273">
        <v>75238661775227</v>
      </c>
      <c r="G64" s="271" t="s">
        <v>7</v>
      </c>
      <c r="H64" s="273">
        <v>27315710508</v>
      </c>
      <c r="I64" s="316" t="s">
        <v>949</v>
      </c>
      <c r="J64" s="273">
        <v>1</v>
      </c>
      <c r="K64" s="271" t="s">
        <v>646</v>
      </c>
      <c r="L64" s="319"/>
      <c r="M64" s="271"/>
      <c r="N64" s="271"/>
      <c r="O64" s="273">
        <v>0</v>
      </c>
      <c r="P64" s="271"/>
      <c r="Q64" s="273">
        <v>48600</v>
      </c>
      <c r="R64" s="271"/>
      <c r="S64" s="271"/>
      <c r="T64" s="271"/>
      <c r="U64" s="271"/>
    </row>
    <row r="65" spans="1:21" x14ac:dyDescent="0.25">
      <c r="A65" s="323" t="s">
        <v>1271</v>
      </c>
      <c r="B65" s="323" t="s">
        <v>1271</v>
      </c>
      <c r="C65" s="323" t="s">
        <v>1341</v>
      </c>
      <c r="D65" s="323" t="s">
        <v>1255</v>
      </c>
      <c r="E65" s="323" t="s">
        <v>1256</v>
      </c>
      <c r="F65" s="323" t="s">
        <v>1214</v>
      </c>
      <c r="G65" s="323">
        <v>0</v>
      </c>
      <c r="H65" s="323" t="s">
        <v>1256</v>
      </c>
      <c r="I65" s="324" t="s">
        <v>1255</v>
      </c>
      <c r="J65" s="320">
        <v>0</v>
      </c>
      <c r="K65" s="320">
        <v>0</v>
      </c>
      <c r="L65" s="271">
        <v>0</v>
      </c>
      <c r="M65" s="271">
        <v>48600</v>
      </c>
      <c r="N65" s="271">
        <v>0</v>
      </c>
      <c r="O65" s="271">
        <v>0</v>
      </c>
      <c r="P65" s="271">
        <v>0</v>
      </c>
      <c r="Q65" s="271">
        <v>0</v>
      </c>
      <c r="R65" s="271">
        <v>0</v>
      </c>
      <c r="S65" s="271">
        <v>0</v>
      </c>
      <c r="T65" s="271">
        <v>0</v>
      </c>
      <c r="U65" s="271">
        <v>48600</v>
      </c>
    </row>
    <row r="66" spans="1:21" x14ac:dyDescent="0.25">
      <c r="A66" s="271" t="s">
        <v>1297</v>
      </c>
      <c r="B66" s="271" t="s">
        <v>644</v>
      </c>
      <c r="C66" s="273">
        <v>7</v>
      </c>
      <c r="D66" s="273">
        <v>41</v>
      </c>
      <c r="E66" s="271"/>
      <c r="F66" s="273">
        <v>75253394208187</v>
      </c>
      <c r="G66" s="271" t="s">
        <v>7</v>
      </c>
      <c r="H66" s="273">
        <v>27325223273</v>
      </c>
      <c r="I66" s="316" t="s">
        <v>1066</v>
      </c>
      <c r="J66" s="273">
        <v>1</v>
      </c>
      <c r="K66" s="271" t="s">
        <v>646</v>
      </c>
      <c r="L66" s="319">
        <v>1702000</v>
      </c>
      <c r="M66" s="273">
        <v>0</v>
      </c>
      <c r="N66" s="273">
        <v>0</v>
      </c>
      <c r="O66" s="273">
        <v>0</v>
      </c>
      <c r="P66" s="273">
        <v>357420</v>
      </c>
      <c r="Q66" s="273">
        <v>2059420</v>
      </c>
      <c r="R66" s="271"/>
      <c r="S66" s="271"/>
      <c r="T66" s="271"/>
      <c r="U66" s="271"/>
    </row>
    <row r="67" spans="1:21" x14ac:dyDescent="0.25">
      <c r="A67" s="323" t="s">
        <v>1297</v>
      </c>
      <c r="B67" s="323" t="s">
        <v>1297</v>
      </c>
      <c r="C67" s="323" t="s">
        <v>1416</v>
      </c>
      <c r="D67" s="323" t="s">
        <v>1249</v>
      </c>
      <c r="E67" s="323" t="s">
        <v>1250</v>
      </c>
      <c r="F67" s="323" t="s">
        <v>987</v>
      </c>
      <c r="G67" s="323">
        <v>0</v>
      </c>
      <c r="H67" s="323" t="s">
        <v>1250</v>
      </c>
      <c r="I67" s="324" t="s">
        <v>1249</v>
      </c>
      <c r="J67" s="320">
        <v>1702000</v>
      </c>
      <c r="K67" s="320">
        <v>0</v>
      </c>
      <c r="L67" s="271">
        <v>0</v>
      </c>
      <c r="M67" s="271">
        <v>0</v>
      </c>
      <c r="N67" s="271">
        <v>357420</v>
      </c>
      <c r="O67" s="271">
        <v>0</v>
      </c>
      <c r="P67" s="271">
        <v>0</v>
      </c>
      <c r="Q67" s="271">
        <v>0</v>
      </c>
      <c r="R67" s="271">
        <v>0</v>
      </c>
      <c r="S67" s="271">
        <v>0</v>
      </c>
      <c r="T67" s="271">
        <v>0</v>
      </c>
      <c r="U67" s="271">
        <v>2059420</v>
      </c>
    </row>
    <row r="68" spans="1:21" x14ac:dyDescent="0.25">
      <c r="A68" s="271" t="s">
        <v>1279</v>
      </c>
      <c r="B68" s="271" t="s">
        <v>655</v>
      </c>
      <c r="C68" s="273">
        <v>1</v>
      </c>
      <c r="D68" s="273">
        <v>181</v>
      </c>
      <c r="E68" s="271"/>
      <c r="F68" s="273">
        <v>75240481952451</v>
      </c>
      <c r="G68" s="271" t="s">
        <v>7</v>
      </c>
      <c r="H68" s="273">
        <v>27338342840</v>
      </c>
      <c r="I68" s="316" t="s">
        <v>424</v>
      </c>
      <c r="J68" s="273">
        <v>1</v>
      </c>
      <c r="K68" s="271" t="s">
        <v>646</v>
      </c>
      <c r="L68" s="319"/>
      <c r="M68" s="271"/>
      <c r="N68" s="271"/>
      <c r="O68" s="273">
        <v>0</v>
      </c>
      <c r="P68" s="271"/>
      <c r="Q68" s="273">
        <v>330000</v>
      </c>
      <c r="R68" s="271"/>
      <c r="S68" s="271"/>
      <c r="T68" s="271"/>
      <c r="U68" s="271"/>
    </row>
    <row r="69" spans="1:21" x14ac:dyDescent="0.25">
      <c r="A69" s="323" t="s">
        <v>1279</v>
      </c>
      <c r="B69" s="323" t="s">
        <v>1279</v>
      </c>
      <c r="C69" s="323" t="s">
        <v>1373</v>
      </c>
      <c r="D69" s="323" t="s">
        <v>1220</v>
      </c>
      <c r="E69" s="323" t="s">
        <v>1221</v>
      </c>
      <c r="F69" s="323" t="s">
        <v>1214</v>
      </c>
      <c r="G69" s="323">
        <v>0</v>
      </c>
      <c r="H69" s="323" t="s">
        <v>1221</v>
      </c>
      <c r="I69" s="324" t="s">
        <v>1220</v>
      </c>
      <c r="J69" s="320">
        <v>0</v>
      </c>
      <c r="K69" s="320">
        <v>0</v>
      </c>
      <c r="L69" s="271">
        <v>0</v>
      </c>
      <c r="M69" s="271">
        <v>330000</v>
      </c>
      <c r="N69" s="271">
        <v>0</v>
      </c>
      <c r="O69" s="271">
        <v>0</v>
      </c>
      <c r="P69" s="271">
        <v>0</v>
      </c>
      <c r="Q69" s="271">
        <v>0</v>
      </c>
      <c r="R69" s="271">
        <v>0</v>
      </c>
      <c r="S69" s="271">
        <v>0</v>
      </c>
      <c r="T69" s="271">
        <v>0</v>
      </c>
      <c r="U69" s="271">
        <v>330000</v>
      </c>
    </row>
    <row r="70" spans="1:21" x14ac:dyDescent="0.25">
      <c r="A70" s="271" t="s">
        <v>1280</v>
      </c>
      <c r="B70" s="271" t="s">
        <v>655</v>
      </c>
      <c r="C70" s="273">
        <v>1</v>
      </c>
      <c r="D70" s="273">
        <v>26</v>
      </c>
      <c r="E70" s="271"/>
      <c r="F70" s="273">
        <v>75245530563845</v>
      </c>
      <c r="G70" s="271" t="s">
        <v>7</v>
      </c>
      <c r="H70" s="273">
        <v>27443612705</v>
      </c>
      <c r="I70" s="316" t="s">
        <v>704</v>
      </c>
      <c r="J70" s="273">
        <v>1</v>
      </c>
      <c r="K70" s="271" t="s">
        <v>646</v>
      </c>
      <c r="L70" s="319"/>
      <c r="M70" s="271"/>
      <c r="N70" s="271"/>
      <c r="O70" s="273">
        <v>0</v>
      </c>
      <c r="P70" s="271"/>
      <c r="Q70" s="273">
        <v>900000</v>
      </c>
      <c r="R70" s="271"/>
      <c r="S70" s="271"/>
      <c r="T70" s="271"/>
      <c r="U70" s="271"/>
    </row>
    <row r="71" spans="1:21" x14ac:dyDescent="0.25">
      <c r="A71" s="323" t="s">
        <v>1280</v>
      </c>
      <c r="B71" s="323" t="s">
        <v>1280</v>
      </c>
      <c r="C71" s="323" t="s">
        <v>1239</v>
      </c>
      <c r="D71" s="323" t="s">
        <v>1217</v>
      </c>
      <c r="E71" s="323" t="s">
        <v>1218</v>
      </c>
      <c r="F71" s="323" t="s">
        <v>1214</v>
      </c>
      <c r="G71" s="323">
        <v>0</v>
      </c>
      <c r="H71" s="323" t="s">
        <v>1218</v>
      </c>
      <c r="I71" s="324" t="s">
        <v>1217</v>
      </c>
      <c r="J71" s="320">
        <v>0</v>
      </c>
      <c r="K71" s="320">
        <v>0</v>
      </c>
      <c r="L71" s="271">
        <v>0</v>
      </c>
      <c r="M71" s="271">
        <v>900000</v>
      </c>
      <c r="N71" s="271">
        <v>0</v>
      </c>
      <c r="O71" s="271">
        <v>0</v>
      </c>
      <c r="P71" s="271">
        <v>0</v>
      </c>
      <c r="Q71" s="271">
        <v>0</v>
      </c>
      <c r="R71" s="271">
        <v>0</v>
      </c>
      <c r="S71" s="271">
        <v>0</v>
      </c>
      <c r="T71" s="271">
        <v>0</v>
      </c>
      <c r="U71" s="271">
        <v>900000</v>
      </c>
    </row>
    <row r="72" spans="1:21" x14ac:dyDescent="0.25">
      <c r="A72" s="316" t="s">
        <v>1267</v>
      </c>
      <c r="B72" s="316" t="s">
        <v>655</v>
      </c>
      <c r="C72" s="317">
        <v>1</v>
      </c>
      <c r="D72" s="317">
        <v>15</v>
      </c>
      <c r="E72" s="316"/>
      <c r="F72" s="317">
        <v>75223471719934</v>
      </c>
      <c r="G72" s="316" t="s">
        <v>7</v>
      </c>
      <c r="H72" s="317">
        <v>27443612713</v>
      </c>
      <c r="I72" s="316" t="s">
        <v>937</v>
      </c>
      <c r="J72" s="317">
        <v>1</v>
      </c>
      <c r="K72" s="316" t="s">
        <v>646</v>
      </c>
      <c r="L72" s="321"/>
      <c r="M72" s="271"/>
      <c r="N72" s="271"/>
      <c r="O72" s="273">
        <v>0</v>
      </c>
      <c r="P72" s="271"/>
      <c r="Q72" s="273">
        <v>870000</v>
      </c>
      <c r="R72" s="271"/>
      <c r="S72" s="271"/>
      <c r="T72" s="271"/>
      <c r="U72" s="271"/>
    </row>
    <row r="73" spans="1:21" x14ac:dyDescent="0.25">
      <c r="A73" s="271" t="s">
        <v>1274</v>
      </c>
      <c r="B73" s="271" t="s">
        <v>644</v>
      </c>
      <c r="C73" s="273">
        <v>2036</v>
      </c>
      <c r="D73" s="273">
        <v>81824</v>
      </c>
      <c r="E73" s="271"/>
      <c r="F73" s="273">
        <v>75230865461219</v>
      </c>
      <c r="G73" s="271" t="s">
        <v>7</v>
      </c>
      <c r="H73" s="273">
        <v>30516186670</v>
      </c>
      <c r="I73" s="316" t="s">
        <v>990</v>
      </c>
      <c r="J73" s="317">
        <v>1</v>
      </c>
      <c r="K73" s="316" t="s">
        <v>646</v>
      </c>
      <c r="L73" s="321">
        <v>43366.12</v>
      </c>
      <c r="M73" s="273">
        <v>0</v>
      </c>
      <c r="N73" s="273">
        <v>0</v>
      </c>
      <c r="O73" s="274">
        <v>3035.63</v>
      </c>
      <c r="P73" s="274">
        <v>9106.8799999999992</v>
      </c>
      <c r="Q73" s="274">
        <v>55508.63</v>
      </c>
      <c r="R73" s="271"/>
      <c r="S73" s="271"/>
      <c r="T73" s="271"/>
      <c r="U73" s="271"/>
    </row>
    <row r="74" spans="1:21" x14ac:dyDescent="0.25">
      <c r="A74" s="323" t="s">
        <v>1274</v>
      </c>
      <c r="B74" s="323" t="s">
        <v>1274</v>
      </c>
      <c r="C74" s="323" t="s">
        <v>1345</v>
      </c>
      <c r="D74" s="323" t="s">
        <v>990</v>
      </c>
      <c r="E74" s="323" t="s">
        <v>1346</v>
      </c>
      <c r="F74" s="323" t="s">
        <v>987</v>
      </c>
      <c r="G74" s="323">
        <v>0</v>
      </c>
      <c r="H74" s="323" t="s">
        <v>1346</v>
      </c>
      <c r="I74" s="324" t="s">
        <v>990</v>
      </c>
      <c r="J74" s="320">
        <v>43366.12</v>
      </c>
      <c r="K74" s="320">
        <v>0</v>
      </c>
      <c r="L74" s="271">
        <v>0</v>
      </c>
      <c r="M74" s="271">
        <v>0</v>
      </c>
      <c r="N74" s="271">
        <v>9106.89</v>
      </c>
      <c r="O74" s="271">
        <v>0</v>
      </c>
      <c r="P74" s="271">
        <v>0</v>
      </c>
      <c r="Q74" s="271">
        <v>0</v>
      </c>
      <c r="R74" s="271">
        <v>0</v>
      </c>
      <c r="S74" s="271">
        <v>1300.98</v>
      </c>
      <c r="T74" s="271">
        <v>1734.64</v>
      </c>
      <c r="U74" s="271">
        <v>55508.63</v>
      </c>
    </row>
    <row r="75" spans="1:21" x14ac:dyDescent="0.25">
      <c r="A75" s="271" t="s">
        <v>1264</v>
      </c>
      <c r="B75" s="271" t="s">
        <v>644</v>
      </c>
      <c r="C75" s="273">
        <v>11</v>
      </c>
      <c r="D75" s="273">
        <v>96840</v>
      </c>
      <c r="E75" s="271"/>
      <c r="F75" s="273">
        <v>75224269050863</v>
      </c>
      <c r="G75" s="271" t="s">
        <v>7</v>
      </c>
      <c r="H75" s="273">
        <v>30526582884</v>
      </c>
      <c r="I75" s="316" t="s">
        <v>700</v>
      </c>
      <c r="J75" s="273">
        <v>1</v>
      </c>
      <c r="K75" s="271" t="s">
        <v>646</v>
      </c>
      <c r="L75" s="319">
        <v>14834.71</v>
      </c>
      <c r="M75" s="273">
        <v>0</v>
      </c>
      <c r="N75" s="273">
        <v>0</v>
      </c>
      <c r="O75" s="273">
        <v>0</v>
      </c>
      <c r="P75" s="274">
        <v>3115.29</v>
      </c>
      <c r="Q75" s="273">
        <v>17950</v>
      </c>
      <c r="R75" s="271"/>
      <c r="S75" s="271"/>
      <c r="T75" s="271"/>
      <c r="U75" s="271"/>
    </row>
    <row r="76" spans="1:21" x14ac:dyDescent="0.25">
      <c r="A76" s="271" t="s">
        <v>1267</v>
      </c>
      <c r="B76" s="271" t="s">
        <v>644</v>
      </c>
      <c r="C76" s="273">
        <v>12</v>
      </c>
      <c r="D76" s="273">
        <v>42816</v>
      </c>
      <c r="E76" s="271"/>
      <c r="F76" s="273">
        <v>75224420681440</v>
      </c>
      <c r="G76" s="271" t="s">
        <v>7</v>
      </c>
      <c r="H76" s="273">
        <v>30526582884</v>
      </c>
      <c r="I76" s="316" t="s">
        <v>700</v>
      </c>
      <c r="J76" s="273">
        <v>1</v>
      </c>
      <c r="K76" s="271" t="s">
        <v>646</v>
      </c>
      <c r="L76" s="319">
        <v>48231.4</v>
      </c>
      <c r="M76" s="273">
        <v>0</v>
      </c>
      <c r="N76" s="273">
        <v>0</v>
      </c>
      <c r="O76" s="273">
        <v>0</v>
      </c>
      <c r="P76" s="271">
        <v>10128.6</v>
      </c>
      <c r="Q76" s="273">
        <v>58360</v>
      </c>
      <c r="R76" s="271"/>
      <c r="S76" s="271"/>
      <c r="T76" s="271"/>
      <c r="U76" s="271"/>
    </row>
    <row r="77" spans="1:21" x14ac:dyDescent="0.25">
      <c r="A77" s="271" t="s">
        <v>1264</v>
      </c>
      <c r="B77" s="271" t="s">
        <v>644</v>
      </c>
      <c r="C77" s="273">
        <v>11</v>
      </c>
      <c r="D77" s="273">
        <v>96841</v>
      </c>
      <c r="E77" s="271"/>
      <c r="F77" s="273">
        <v>75224269748231</v>
      </c>
      <c r="G77" s="271" t="s">
        <v>7</v>
      </c>
      <c r="H77" s="273">
        <v>30526582884</v>
      </c>
      <c r="I77" s="316" t="s">
        <v>700</v>
      </c>
      <c r="J77" s="273">
        <v>1</v>
      </c>
      <c r="K77" s="271" t="s">
        <v>646</v>
      </c>
      <c r="L77" s="319">
        <v>112520.66</v>
      </c>
      <c r="M77" s="273">
        <v>0</v>
      </c>
      <c r="N77" s="273">
        <v>0</v>
      </c>
      <c r="O77" s="273">
        <v>0</v>
      </c>
      <c r="P77" s="274">
        <v>23629.34</v>
      </c>
      <c r="Q77" s="273">
        <v>136150</v>
      </c>
      <c r="R77" s="271"/>
      <c r="S77" s="271"/>
      <c r="T77" s="271"/>
      <c r="U77" s="271"/>
    </row>
    <row r="78" spans="1:21" x14ac:dyDescent="0.25">
      <c r="A78" s="323" t="s">
        <v>1264</v>
      </c>
      <c r="B78" s="323" t="s">
        <v>1264</v>
      </c>
      <c r="C78" s="323" t="s">
        <v>1320</v>
      </c>
      <c r="D78" s="323" t="s">
        <v>700</v>
      </c>
      <c r="E78" s="323" t="s">
        <v>1248</v>
      </c>
      <c r="F78" s="323" t="s">
        <v>987</v>
      </c>
      <c r="G78" s="323">
        <v>0</v>
      </c>
      <c r="H78" s="323" t="s">
        <v>1248</v>
      </c>
      <c r="I78" s="324" t="s">
        <v>700</v>
      </c>
      <c r="J78" s="320">
        <v>14834.71</v>
      </c>
      <c r="K78" s="320">
        <v>0</v>
      </c>
      <c r="L78" s="271">
        <v>0</v>
      </c>
      <c r="M78" s="271">
        <v>0</v>
      </c>
      <c r="N78" s="271">
        <v>3115.29</v>
      </c>
      <c r="O78" s="271">
        <v>0</v>
      </c>
      <c r="P78" s="271">
        <v>0</v>
      </c>
      <c r="Q78" s="271">
        <v>0</v>
      </c>
      <c r="R78" s="271">
        <v>0</v>
      </c>
      <c r="S78" s="271">
        <v>0</v>
      </c>
      <c r="T78" s="271">
        <v>0</v>
      </c>
      <c r="U78" s="271">
        <v>17950</v>
      </c>
    </row>
    <row r="79" spans="1:21" x14ac:dyDescent="0.25">
      <c r="A79" s="323" t="s">
        <v>1264</v>
      </c>
      <c r="B79" s="323" t="s">
        <v>1264</v>
      </c>
      <c r="C79" s="323" t="s">
        <v>1321</v>
      </c>
      <c r="D79" s="323" t="s">
        <v>700</v>
      </c>
      <c r="E79" s="323" t="s">
        <v>1248</v>
      </c>
      <c r="F79" s="323" t="s">
        <v>987</v>
      </c>
      <c r="G79" s="323">
        <v>0</v>
      </c>
      <c r="H79" s="323" t="s">
        <v>1248</v>
      </c>
      <c r="I79" s="324" t="s">
        <v>700</v>
      </c>
      <c r="J79" s="320">
        <v>112520.66</v>
      </c>
      <c r="K79" s="320">
        <v>0</v>
      </c>
      <c r="L79" s="271">
        <v>0</v>
      </c>
      <c r="M79" s="271">
        <v>0</v>
      </c>
      <c r="N79" s="271">
        <v>23629.34</v>
      </c>
      <c r="O79" s="271">
        <v>0</v>
      </c>
      <c r="P79" s="271">
        <v>0</v>
      </c>
      <c r="Q79" s="271">
        <v>0</v>
      </c>
      <c r="R79" s="271">
        <v>0</v>
      </c>
      <c r="S79" s="271">
        <v>0</v>
      </c>
      <c r="T79" s="271">
        <v>0</v>
      </c>
      <c r="U79" s="271">
        <v>136150</v>
      </c>
    </row>
    <row r="80" spans="1:21" x14ac:dyDescent="0.25">
      <c r="A80" s="323" t="s">
        <v>1267</v>
      </c>
      <c r="B80" s="323" t="s">
        <v>1267</v>
      </c>
      <c r="C80" s="323" t="s">
        <v>1326</v>
      </c>
      <c r="D80" s="323" t="s">
        <v>700</v>
      </c>
      <c r="E80" s="323" t="s">
        <v>1248</v>
      </c>
      <c r="F80" s="323" t="s">
        <v>987</v>
      </c>
      <c r="G80" s="323">
        <v>0</v>
      </c>
      <c r="H80" s="323" t="s">
        <v>1248</v>
      </c>
      <c r="I80" s="324" t="s">
        <v>700</v>
      </c>
      <c r="J80" s="320">
        <v>48231.4</v>
      </c>
      <c r="K80" s="320">
        <v>0</v>
      </c>
      <c r="L80" s="271">
        <v>0</v>
      </c>
      <c r="M80" s="271">
        <v>0</v>
      </c>
      <c r="N80" s="271">
        <v>10128.59</v>
      </c>
      <c r="O80" s="271">
        <v>0</v>
      </c>
      <c r="P80" s="271">
        <v>0</v>
      </c>
      <c r="Q80" s="271">
        <v>0</v>
      </c>
      <c r="R80" s="271">
        <v>0</v>
      </c>
      <c r="S80" s="271">
        <v>0</v>
      </c>
      <c r="T80" s="271">
        <v>0</v>
      </c>
      <c r="U80" s="271">
        <v>58359.99</v>
      </c>
    </row>
    <row r="81" spans="1:21" x14ac:dyDescent="0.25">
      <c r="A81" s="316" t="s">
        <v>1459</v>
      </c>
      <c r="B81" s="316" t="s">
        <v>644</v>
      </c>
      <c r="C81" s="317">
        <v>5015</v>
      </c>
      <c r="D81" s="317">
        <v>906955</v>
      </c>
      <c r="E81" s="316"/>
      <c r="F81" s="317">
        <v>75274847526244</v>
      </c>
      <c r="G81" s="316" t="s">
        <v>7</v>
      </c>
      <c r="H81" s="317">
        <v>30574876474</v>
      </c>
      <c r="I81" s="316" t="s">
        <v>1196</v>
      </c>
      <c r="J81" s="317">
        <v>1</v>
      </c>
      <c r="K81" s="316" t="s">
        <v>646</v>
      </c>
      <c r="L81" s="321">
        <v>72938.16</v>
      </c>
      <c r="M81" s="317">
        <v>0</v>
      </c>
      <c r="N81" s="317">
        <v>0</v>
      </c>
      <c r="O81" s="325">
        <v>9481.94</v>
      </c>
      <c r="P81" s="325">
        <v>15316.97</v>
      </c>
      <c r="Q81" s="325">
        <v>97737.07</v>
      </c>
      <c r="R81" s="271"/>
      <c r="S81" s="271"/>
      <c r="T81" s="271"/>
      <c r="U81" s="271"/>
    </row>
    <row r="82" spans="1:21" x14ac:dyDescent="0.25">
      <c r="A82" s="316" t="s">
        <v>1396</v>
      </c>
      <c r="B82" s="316" t="s">
        <v>644</v>
      </c>
      <c r="C82" s="317">
        <v>5015</v>
      </c>
      <c r="D82" s="317">
        <v>889481</v>
      </c>
      <c r="E82" s="316"/>
      <c r="F82" s="317">
        <v>75244984368791</v>
      </c>
      <c r="G82" s="316" t="s">
        <v>7</v>
      </c>
      <c r="H82" s="317">
        <v>30574876474</v>
      </c>
      <c r="I82" s="316" t="s">
        <v>1196</v>
      </c>
      <c r="J82" s="273">
        <v>1</v>
      </c>
      <c r="K82" s="271" t="s">
        <v>646</v>
      </c>
      <c r="L82" s="319">
        <v>80368.61</v>
      </c>
      <c r="M82" s="273">
        <v>0</v>
      </c>
      <c r="N82" s="273">
        <v>0</v>
      </c>
      <c r="O82" s="274">
        <v>10447.89</v>
      </c>
      <c r="P82" s="274">
        <v>16877.37</v>
      </c>
      <c r="Q82" s="274">
        <v>107693.87</v>
      </c>
      <c r="R82" s="271"/>
      <c r="S82" s="271"/>
      <c r="T82" s="271"/>
      <c r="U82" s="271"/>
    </row>
    <row r="83" spans="1:21" x14ac:dyDescent="0.25">
      <c r="A83" s="323" t="s">
        <v>1396</v>
      </c>
      <c r="B83" s="323" t="s">
        <v>1396</v>
      </c>
      <c r="C83" s="323" t="s">
        <v>1468</v>
      </c>
      <c r="D83" s="323" t="s">
        <v>363</v>
      </c>
      <c r="E83" s="323" t="s">
        <v>1469</v>
      </c>
      <c r="F83" s="323" t="s">
        <v>987</v>
      </c>
      <c r="G83" s="323">
        <v>0</v>
      </c>
      <c r="H83" s="323" t="s">
        <v>1469</v>
      </c>
      <c r="I83" s="324" t="s">
        <v>363</v>
      </c>
      <c r="J83" s="320">
        <v>80368.429999999993</v>
      </c>
      <c r="K83" s="320">
        <v>0</v>
      </c>
      <c r="L83" s="271">
        <v>0</v>
      </c>
      <c r="M83" s="271">
        <v>0</v>
      </c>
      <c r="N83" s="271">
        <v>16877.37</v>
      </c>
      <c r="O83" s="271">
        <v>2411.0500000000002</v>
      </c>
      <c r="P83" s="271">
        <v>0</v>
      </c>
      <c r="Q83" s="271">
        <v>0</v>
      </c>
      <c r="R83" s="271">
        <v>8036.84</v>
      </c>
      <c r="S83" s="271">
        <v>0</v>
      </c>
      <c r="T83" s="271">
        <v>0</v>
      </c>
      <c r="U83" s="271">
        <v>107693.69</v>
      </c>
    </row>
    <row r="84" spans="1:21" x14ac:dyDescent="0.25">
      <c r="A84" s="316" t="s">
        <v>1396</v>
      </c>
      <c r="B84" s="316" t="s">
        <v>644</v>
      </c>
      <c r="C84" s="317">
        <v>113</v>
      </c>
      <c r="D84" s="317">
        <v>4288291</v>
      </c>
      <c r="E84" s="316"/>
      <c r="F84" s="317">
        <v>75250195766310</v>
      </c>
      <c r="G84" s="316" t="s">
        <v>7</v>
      </c>
      <c r="H84" s="317">
        <v>30577207190</v>
      </c>
      <c r="I84" s="316" t="s">
        <v>691</v>
      </c>
      <c r="J84" s="317">
        <v>1</v>
      </c>
      <c r="K84" s="316" t="s">
        <v>646</v>
      </c>
      <c r="L84" s="321">
        <v>1487.6</v>
      </c>
      <c r="M84" s="317">
        <v>0</v>
      </c>
      <c r="N84" s="317">
        <v>0</v>
      </c>
      <c r="O84" s="317">
        <v>0</v>
      </c>
      <c r="P84" s="316">
        <v>312.39999999999998</v>
      </c>
      <c r="Q84" s="317">
        <v>1800</v>
      </c>
      <c r="R84" s="271"/>
      <c r="S84" s="271"/>
      <c r="T84" s="271"/>
      <c r="U84" s="271"/>
    </row>
    <row r="85" spans="1:21" x14ac:dyDescent="0.25">
      <c r="A85" s="271" t="s">
        <v>1284</v>
      </c>
      <c r="B85" s="271" t="s">
        <v>644</v>
      </c>
      <c r="C85" s="273">
        <v>3</v>
      </c>
      <c r="D85" s="273">
        <v>54088</v>
      </c>
      <c r="E85" s="271"/>
      <c r="F85" s="273">
        <v>75249133409515</v>
      </c>
      <c r="G85" s="271" t="s">
        <v>7</v>
      </c>
      <c r="H85" s="273">
        <v>30577744579</v>
      </c>
      <c r="I85" s="316" t="s">
        <v>1404</v>
      </c>
      <c r="J85" s="273">
        <v>1</v>
      </c>
      <c r="K85" s="271" t="s">
        <v>646</v>
      </c>
      <c r="L85" s="319">
        <v>20926.88</v>
      </c>
      <c r="M85" s="273">
        <v>0</v>
      </c>
      <c r="N85" s="273">
        <v>0</v>
      </c>
      <c r="O85" s="273">
        <v>0</v>
      </c>
      <c r="P85" s="274">
        <v>4394.6400000000003</v>
      </c>
      <c r="Q85" s="274">
        <v>25321.52</v>
      </c>
      <c r="R85" s="271"/>
      <c r="S85" s="271"/>
      <c r="T85" s="271"/>
      <c r="U85" s="271"/>
    </row>
    <row r="86" spans="1:21" x14ac:dyDescent="0.25">
      <c r="A86" s="323" t="s">
        <v>1284</v>
      </c>
      <c r="B86" s="323" t="s">
        <v>1284</v>
      </c>
      <c r="C86" s="323" t="s">
        <v>1403</v>
      </c>
      <c r="D86" s="323" t="s">
        <v>1404</v>
      </c>
      <c r="E86" s="323" t="s">
        <v>1405</v>
      </c>
      <c r="F86" s="323" t="s">
        <v>987</v>
      </c>
      <c r="G86" s="323">
        <v>0</v>
      </c>
      <c r="H86" s="323" t="s">
        <v>1405</v>
      </c>
      <c r="I86" s="324" t="s">
        <v>1404</v>
      </c>
      <c r="J86" s="320">
        <v>20926.88</v>
      </c>
      <c r="K86" s="320">
        <v>0</v>
      </c>
      <c r="L86" s="271">
        <v>0</v>
      </c>
      <c r="M86" s="271">
        <v>0</v>
      </c>
      <c r="N86" s="271">
        <v>4394.6400000000003</v>
      </c>
      <c r="O86" s="271">
        <v>0</v>
      </c>
      <c r="P86" s="271">
        <v>0</v>
      </c>
      <c r="Q86" s="271">
        <v>0</v>
      </c>
      <c r="R86" s="271">
        <v>0</v>
      </c>
      <c r="S86" s="271">
        <v>0</v>
      </c>
      <c r="T86" s="271">
        <v>0</v>
      </c>
      <c r="U86" s="271">
        <v>25321.52</v>
      </c>
    </row>
    <row r="87" spans="1:21" x14ac:dyDescent="0.25">
      <c r="A87" s="271" t="s">
        <v>1270</v>
      </c>
      <c r="B87" s="271" t="s">
        <v>644</v>
      </c>
      <c r="C87" s="273">
        <v>120</v>
      </c>
      <c r="D87" s="273">
        <v>5714</v>
      </c>
      <c r="E87" s="271"/>
      <c r="F87" s="273">
        <v>75235504008979</v>
      </c>
      <c r="G87" s="271" t="s">
        <v>7</v>
      </c>
      <c r="H87" s="273">
        <v>30587197215</v>
      </c>
      <c r="I87" s="316" t="s">
        <v>485</v>
      </c>
      <c r="J87" s="273">
        <v>1</v>
      </c>
      <c r="K87" s="271" t="s">
        <v>646</v>
      </c>
      <c r="L87" s="319">
        <v>148760.32999999999</v>
      </c>
      <c r="M87" s="273">
        <v>0</v>
      </c>
      <c r="N87" s="273">
        <v>0</v>
      </c>
      <c r="O87" s="274">
        <v>8925.6200000000008</v>
      </c>
      <c r="P87" s="274">
        <v>31239.67</v>
      </c>
      <c r="Q87" s="274">
        <v>188925.62</v>
      </c>
      <c r="R87" s="271"/>
      <c r="S87" s="271"/>
      <c r="T87" s="271"/>
      <c r="U87" s="271"/>
    </row>
    <row r="88" spans="1:21" x14ac:dyDescent="0.25">
      <c r="A88" s="323" t="s">
        <v>1270</v>
      </c>
      <c r="B88" s="323" t="s">
        <v>1270</v>
      </c>
      <c r="C88" s="323" t="s">
        <v>1338</v>
      </c>
      <c r="D88" s="323" t="s">
        <v>485</v>
      </c>
      <c r="E88" s="323" t="s">
        <v>1236</v>
      </c>
      <c r="F88" s="323" t="s">
        <v>987</v>
      </c>
      <c r="G88" s="323">
        <v>0</v>
      </c>
      <c r="H88" s="323" t="s">
        <v>1236</v>
      </c>
      <c r="I88" s="324" t="s">
        <v>485</v>
      </c>
      <c r="J88" s="320">
        <v>148760.32999999999</v>
      </c>
      <c r="K88" s="320">
        <v>0</v>
      </c>
      <c r="L88" s="271">
        <v>0</v>
      </c>
      <c r="M88" s="271">
        <v>0</v>
      </c>
      <c r="N88" s="271">
        <v>31239.67</v>
      </c>
      <c r="O88" s="271">
        <v>0</v>
      </c>
      <c r="P88" s="271">
        <v>0</v>
      </c>
      <c r="Q88" s="271">
        <v>0</v>
      </c>
      <c r="R88" s="271">
        <v>0</v>
      </c>
      <c r="S88" s="271">
        <v>0</v>
      </c>
      <c r="T88" s="271">
        <v>8925.6200000000008</v>
      </c>
      <c r="U88" s="271">
        <v>188925.62</v>
      </c>
    </row>
    <row r="89" spans="1:21" x14ac:dyDescent="0.25">
      <c r="A89" s="271" t="s">
        <v>1278</v>
      </c>
      <c r="B89" s="271" t="s">
        <v>666</v>
      </c>
      <c r="C89" s="273">
        <v>5</v>
      </c>
      <c r="D89" s="273">
        <v>11109</v>
      </c>
      <c r="E89" s="271"/>
      <c r="F89" s="273">
        <v>75233279370446</v>
      </c>
      <c r="G89" s="271" t="s">
        <v>7</v>
      </c>
      <c r="H89" s="273">
        <v>30598960093</v>
      </c>
      <c r="I89" s="316" t="s">
        <v>650</v>
      </c>
      <c r="J89" s="273">
        <v>1</v>
      </c>
      <c r="K89" s="271" t="s">
        <v>646</v>
      </c>
      <c r="L89" s="319">
        <v>497159.25</v>
      </c>
      <c r="M89" s="273">
        <v>0</v>
      </c>
      <c r="N89" s="273">
        <v>0</v>
      </c>
      <c r="O89" s="273">
        <v>0</v>
      </c>
      <c r="P89" s="274">
        <v>104403.44</v>
      </c>
      <c r="Q89" s="274">
        <v>601562.68999999994</v>
      </c>
      <c r="R89" s="271"/>
      <c r="S89" s="271"/>
      <c r="T89" s="271"/>
      <c r="U89" s="271"/>
    </row>
    <row r="90" spans="1:21" x14ac:dyDescent="0.25">
      <c r="A90" s="271" t="s">
        <v>1278</v>
      </c>
      <c r="B90" s="271" t="s">
        <v>644</v>
      </c>
      <c r="C90" s="273">
        <v>5</v>
      </c>
      <c r="D90" s="273">
        <v>168011</v>
      </c>
      <c r="E90" s="271"/>
      <c r="F90" s="273">
        <v>75233328483049</v>
      </c>
      <c r="G90" s="271" t="s">
        <v>7</v>
      </c>
      <c r="H90" s="273">
        <v>30598960093</v>
      </c>
      <c r="I90" s="316" t="s">
        <v>650</v>
      </c>
      <c r="J90" s="273">
        <v>1</v>
      </c>
      <c r="K90" s="271" t="s">
        <v>646</v>
      </c>
      <c r="L90" s="319">
        <v>919586.25</v>
      </c>
      <c r="M90" s="273">
        <v>0</v>
      </c>
      <c r="N90" s="273">
        <v>0</v>
      </c>
      <c r="O90" s="274">
        <v>36783.449999999997</v>
      </c>
      <c r="P90" s="274">
        <v>193113.11</v>
      </c>
      <c r="Q90" s="274">
        <v>1149482.81</v>
      </c>
      <c r="R90" s="271"/>
      <c r="S90" s="271"/>
      <c r="T90" s="271"/>
      <c r="U90" s="271"/>
    </row>
    <row r="91" spans="1:21" x14ac:dyDescent="0.25">
      <c r="A91" s="271" t="s">
        <v>1274</v>
      </c>
      <c r="B91" s="271" t="s">
        <v>644</v>
      </c>
      <c r="C91" s="273">
        <v>5</v>
      </c>
      <c r="D91" s="273">
        <v>167824</v>
      </c>
      <c r="E91" s="271"/>
      <c r="F91" s="273">
        <v>75233769970561</v>
      </c>
      <c r="G91" s="271" t="s">
        <v>7</v>
      </c>
      <c r="H91" s="273">
        <v>30598960093</v>
      </c>
      <c r="I91" s="316" t="s">
        <v>650</v>
      </c>
      <c r="J91" s="273">
        <v>1</v>
      </c>
      <c r="K91" s="271" t="s">
        <v>646</v>
      </c>
      <c r="L91" s="319">
        <v>2043414</v>
      </c>
      <c r="M91" s="273">
        <v>0</v>
      </c>
      <c r="N91" s="273">
        <v>0</v>
      </c>
      <c r="O91" s="274">
        <v>81736.56</v>
      </c>
      <c r="P91" s="274">
        <v>429116.94</v>
      </c>
      <c r="Q91" s="271">
        <v>2554267.5</v>
      </c>
      <c r="R91" s="271"/>
      <c r="S91" s="271"/>
      <c r="T91" s="271"/>
      <c r="U91" s="271"/>
    </row>
    <row r="92" spans="1:21" x14ac:dyDescent="0.25">
      <c r="A92" s="323" t="s">
        <v>1274</v>
      </c>
      <c r="B92" s="323" t="s">
        <v>1274</v>
      </c>
      <c r="C92" s="323" t="s">
        <v>1347</v>
      </c>
      <c r="D92" s="323" t="s">
        <v>650</v>
      </c>
      <c r="E92" s="323" t="s">
        <v>1245</v>
      </c>
      <c r="F92" s="323" t="s">
        <v>987</v>
      </c>
      <c r="G92" s="323">
        <v>0</v>
      </c>
      <c r="H92" s="323" t="s">
        <v>1245</v>
      </c>
      <c r="I92" s="324" t="s">
        <v>650</v>
      </c>
      <c r="J92" s="320">
        <v>2043414</v>
      </c>
      <c r="K92" s="320">
        <v>0</v>
      </c>
      <c r="L92" s="271">
        <v>0</v>
      </c>
      <c r="M92" s="271">
        <v>0</v>
      </c>
      <c r="N92" s="271">
        <v>429116.94</v>
      </c>
      <c r="O92" s="271">
        <v>0</v>
      </c>
      <c r="P92" s="271">
        <v>0</v>
      </c>
      <c r="Q92" s="271">
        <v>0</v>
      </c>
      <c r="R92" s="271">
        <v>0</v>
      </c>
      <c r="S92" s="271">
        <v>0</v>
      </c>
      <c r="T92" s="271">
        <v>81736.56</v>
      </c>
      <c r="U92" s="271">
        <v>2554267.5</v>
      </c>
    </row>
    <row r="93" spans="1:21" x14ac:dyDescent="0.25">
      <c r="A93" s="323" t="s">
        <v>1278</v>
      </c>
      <c r="B93" s="323" t="s">
        <v>1278</v>
      </c>
      <c r="C93" s="323" t="s">
        <v>1364</v>
      </c>
      <c r="D93" s="323" t="s">
        <v>650</v>
      </c>
      <c r="E93" s="323" t="s">
        <v>1245</v>
      </c>
      <c r="F93" s="323" t="s">
        <v>987</v>
      </c>
      <c r="G93" s="323">
        <v>0</v>
      </c>
      <c r="H93" s="323" t="s">
        <v>1245</v>
      </c>
      <c r="I93" s="324" t="s">
        <v>650</v>
      </c>
      <c r="J93" s="320">
        <v>919586.25</v>
      </c>
      <c r="K93" s="320">
        <v>0</v>
      </c>
      <c r="L93" s="271">
        <v>0</v>
      </c>
      <c r="M93" s="271">
        <v>0</v>
      </c>
      <c r="N93" s="271">
        <v>193113.11</v>
      </c>
      <c r="O93" s="271">
        <v>0</v>
      </c>
      <c r="P93" s="271">
        <v>0</v>
      </c>
      <c r="Q93" s="271">
        <v>0</v>
      </c>
      <c r="R93" s="271">
        <v>0</v>
      </c>
      <c r="S93" s="271">
        <v>0</v>
      </c>
      <c r="T93" s="271">
        <v>36783.449999999997</v>
      </c>
      <c r="U93" s="271">
        <v>1149482.81</v>
      </c>
    </row>
    <row r="94" spans="1:21" x14ac:dyDescent="0.25">
      <c r="A94" s="323" t="s">
        <v>1278</v>
      </c>
      <c r="B94" s="323" t="s">
        <v>1278</v>
      </c>
      <c r="C94" s="323" t="s">
        <v>1372</v>
      </c>
      <c r="D94" s="323" t="s">
        <v>650</v>
      </c>
      <c r="E94" s="323" t="s">
        <v>1245</v>
      </c>
      <c r="F94" s="323" t="s">
        <v>987</v>
      </c>
      <c r="G94" s="323">
        <v>0</v>
      </c>
      <c r="H94" s="323" t="s">
        <v>1245</v>
      </c>
      <c r="I94" s="324" t="s">
        <v>650</v>
      </c>
      <c r="J94" s="320">
        <v>-497159.25</v>
      </c>
      <c r="K94" s="320">
        <v>0</v>
      </c>
      <c r="L94" s="271">
        <v>0</v>
      </c>
      <c r="M94" s="271">
        <v>0</v>
      </c>
      <c r="N94" s="271">
        <v>-104403.44</v>
      </c>
      <c r="O94" s="271">
        <v>0</v>
      </c>
      <c r="P94" s="271">
        <v>0</v>
      </c>
      <c r="Q94" s="271">
        <v>0</v>
      </c>
      <c r="R94" s="271">
        <v>0</v>
      </c>
      <c r="S94" s="271">
        <v>0</v>
      </c>
      <c r="T94" s="271">
        <v>0</v>
      </c>
      <c r="U94" s="271">
        <v>-601562.68999999994</v>
      </c>
    </row>
    <row r="95" spans="1:21" x14ac:dyDescent="0.25">
      <c r="A95" s="271" t="s">
        <v>1264</v>
      </c>
      <c r="B95" s="271" t="s">
        <v>644</v>
      </c>
      <c r="C95" s="273">
        <v>2</v>
      </c>
      <c r="D95" s="273">
        <v>241</v>
      </c>
      <c r="E95" s="271"/>
      <c r="F95" s="273">
        <v>75222257570701</v>
      </c>
      <c r="G95" s="271" t="s">
        <v>7</v>
      </c>
      <c r="H95" s="273">
        <v>30605344352</v>
      </c>
      <c r="I95" s="316" t="s">
        <v>659</v>
      </c>
      <c r="J95" s="273">
        <v>1</v>
      </c>
      <c r="K95" s="271" t="s">
        <v>646</v>
      </c>
      <c r="L95" s="319">
        <v>2000000</v>
      </c>
      <c r="M95" s="273">
        <v>0</v>
      </c>
      <c r="N95" s="273">
        <v>0</v>
      </c>
      <c r="O95" s="273">
        <v>0</v>
      </c>
      <c r="P95" s="273">
        <v>420000</v>
      </c>
      <c r="Q95" s="273">
        <v>2420000</v>
      </c>
      <c r="R95" s="271"/>
      <c r="S95" s="271"/>
      <c r="T95" s="271"/>
      <c r="U95" s="271"/>
    </row>
    <row r="96" spans="1:21" x14ac:dyDescent="0.25">
      <c r="A96" s="323" t="s">
        <v>1264</v>
      </c>
      <c r="B96" s="323" t="s">
        <v>1264</v>
      </c>
      <c r="C96" s="323" t="s">
        <v>1319</v>
      </c>
      <c r="D96" s="323" t="s">
        <v>49</v>
      </c>
      <c r="E96" s="323" t="s">
        <v>1215</v>
      </c>
      <c r="F96" s="323" t="s">
        <v>987</v>
      </c>
      <c r="G96" s="323">
        <v>0</v>
      </c>
      <c r="H96" s="323" t="s">
        <v>1215</v>
      </c>
      <c r="I96" s="324" t="s">
        <v>49</v>
      </c>
      <c r="J96" s="320">
        <v>2000000</v>
      </c>
      <c r="K96" s="320">
        <v>0</v>
      </c>
      <c r="L96" s="271">
        <v>0</v>
      </c>
      <c r="M96" s="271">
        <v>0</v>
      </c>
      <c r="N96" s="271">
        <v>420000</v>
      </c>
      <c r="O96" s="271">
        <v>0</v>
      </c>
      <c r="P96" s="271">
        <v>0</v>
      </c>
      <c r="Q96" s="271">
        <v>0</v>
      </c>
      <c r="R96" s="271">
        <v>0</v>
      </c>
      <c r="S96" s="271">
        <v>0</v>
      </c>
      <c r="T96" s="271">
        <v>0</v>
      </c>
      <c r="U96" s="271">
        <v>2420000</v>
      </c>
    </row>
    <row r="97" spans="1:21" x14ac:dyDescent="0.25">
      <c r="A97" s="271" t="s">
        <v>1396</v>
      </c>
      <c r="B97" s="271" t="s">
        <v>644</v>
      </c>
      <c r="C97" s="273">
        <v>2033</v>
      </c>
      <c r="D97" s="273">
        <v>84766</v>
      </c>
      <c r="E97" s="271"/>
      <c r="F97" s="273">
        <v>75249926228757</v>
      </c>
      <c r="G97" s="271" t="s">
        <v>7</v>
      </c>
      <c r="H97" s="273">
        <v>30607371799</v>
      </c>
      <c r="I97" s="316" t="s">
        <v>1398</v>
      </c>
      <c r="J97" s="317">
        <v>1</v>
      </c>
      <c r="K97" s="316" t="s">
        <v>646</v>
      </c>
      <c r="L97" s="321">
        <v>285157.28999999998</v>
      </c>
      <c r="M97" s="273">
        <v>0</v>
      </c>
      <c r="N97" s="273">
        <v>0</v>
      </c>
      <c r="O97" s="274">
        <v>31185.040000000001</v>
      </c>
      <c r="P97" s="274">
        <v>59279.22</v>
      </c>
      <c r="Q97" s="274">
        <v>375621.55</v>
      </c>
      <c r="R97" s="271"/>
      <c r="S97" s="271"/>
      <c r="T97" s="271"/>
      <c r="U97" s="271"/>
    </row>
    <row r="98" spans="1:21" x14ac:dyDescent="0.25">
      <c r="A98" s="323" t="s">
        <v>1396</v>
      </c>
      <c r="B98" s="323" t="s">
        <v>1396</v>
      </c>
      <c r="C98" s="323" t="s">
        <v>1397</v>
      </c>
      <c r="D98" s="323" t="s">
        <v>1398</v>
      </c>
      <c r="E98" s="323" t="s">
        <v>1399</v>
      </c>
      <c r="F98" s="323" t="s">
        <v>987</v>
      </c>
      <c r="G98" s="323">
        <v>0</v>
      </c>
      <c r="H98" s="323" t="s">
        <v>1399</v>
      </c>
      <c r="I98" s="324" t="s">
        <v>1398</v>
      </c>
      <c r="J98" s="320">
        <v>279406.7</v>
      </c>
      <c r="K98" s="320">
        <v>0</v>
      </c>
      <c r="L98" s="271">
        <v>0</v>
      </c>
      <c r="M98" s="271">
        <v>0</v>
      </c>
      <c r="N98" s="271">
        <v>59279.22</v>
      </c>
      <c r="O98" s="271">
        <v>0</v>
      </c>
      <c r="P98" s="271">
        <v>0</v>
      </c>
      <c r="Q98" s="271">
        <v>0</v>
      </c>
      <c r="R98" s="271">
        <v>0</v>
      </c>
      <c r="S98" s="271">
        <v>8468.4599999999991</v>
      </c>
      <c r="T98" s="271">
        <v>22716.58</v>
      </c>
      <c r="U98" s="271">
        <v>375621.55</v>
      </c>
    </row>
    <row r="99" spans="1:21" x14ac:dyDescent="0.25">
      <c r="A99" s="316" t="s">
        <v>1459</v>
      </c>
      <c r="B99" s="316" t="s">
        <v>644</v>
      </c>
      <c r="C99" s="317">
        <v>6</v>
      </c>
      <c r="D99" s="317">
        <v>19841674</v>
      </c>
      <c r="E99" s="316"/>
      <c r="F99" s="317">
        <v>75267203549199</v>
      </c>
      <c r="G99" s="316" t="s">
        <v>7</v>
      </c>
      <c r="H99" s="317">
        <v>30620177497</v>
      </c>
      <c r="I99" s="316" t="s">
        <v>720</v>
      </c>
      <c r="J99" s="317">
        <v>1</v>
      </c>
      <c r="K99" s="316" t="s">
        <v>646</v>
      </c>
      <c r="L99" s="321">
        <v>0</v>
      </c>
      <c r="M99" s="317">
        <v>0</v>
      </c>
      <c r="N99" s="317">
        <v>0</v>
      </c>
      <c r="O99" s="317">
        <v>0</v>
      </c>
      <c r="P99" s="317">
        <v>0</v>
      </c>
      <c r="Q99" s="317">
        <v>0</v>
      </c>
      <c r="R99" s="271"/>
      <c r="S99" s="271"/>
      <c r="T99" s="271"/>
      <c r="U99" s="271"/>
    </row>
    <row r="100" spans="1:21" x14ac:dyDescent="0.25">
      <c r="A100" s="316" t="s">
        <v>1459</v>
      </c>
      <c r="B100" s="316" t="s">
        <v>644</v>
      </c>
      <c r="C100" s="317">
        <v>6</v>
      </c>
      <c r="D100" s="317">
        <v>19963386</v>
      </c>
      <c r="E100" s="316"/>
      <c r="F100" s="317">
        <v>75267213449375</v>
      </c>
      <c r="G100" s="316" t="s">
        <v>7</v>
      </c>
      <c r="H100" s="317">
        <v>30620177497</v>
      </c>
      <c r="I100" s="316" t="s">
        <v>720</v>
      </c>
      <c r="J100" s="317">
        <v>1</v>
      </c>
      <c r="K100" s="316" t="s">
        <v>646</v>
      </c>
      <c r="L100" s="321">
        <v>33999.93</v>
      </c>
      <c r="M100" s="317">
        <v>0</v>
      </c>
      <c r="N100" s="317">
        <v>0</v>
      </c>
      <c r="O100" s="317">
        <v>2380</v>
      </c>
      <c r="P100" s="325">
        <v>7139.99</v>
      </c>
      <c r="Q100" s="325">
        <v>43519.92</v>
      </c>
      <c r="R100" s="271"/>
      <c r="S100" s="271"/>
      <c r="T100" s="271"/>
      <c r="U100" s="271"/>
    </row>
    <row r="101" spans="1:21" x14ac:dyDescent="0.25">
      <c r="A101" s="271" t="s">
        <v>1287</v>
      </c>
      <c r="B101" s="271" t="s">
        <v>644</v>
      </c>
      <c r="C101" s="273">
        <v>4264</v>
      </c>
      <c r="D101" s="273">
        <v>5608634</v>
      </c>
      <c r="E101" s="271"/>
      <c r="F101" s="273">
        <v>75258381337870</v>
      </c>
      <c r="G101" s="271" t="s">
        <v>7</v>
      </c>
      <c r="H101" s="273">
        <v>30639453738</v>
      </c>
      <c r="I101" s="316" t="s">
        <v>697</v>
      </c>
      <c r="J101" s="273">
        <v>1</v>
      </c>
      <c r="K101" s="271" t="s">
        <v>646</v>
      </c>
      <c r="L101" s="319">
        <v>47798.76</v>
      </c>
      <c r="M101" s="273">
        <v>0</v>
      </c>
      <c r="N101" s="273">
        <v>0</v>
      </c>
      <c r="O101" s="274">
        <v>3345.91</v>
      </c>
      <c r="P101" s="274">
        <v>10037.74</v>
      </c>
      <c r="Q101" s="274">
        <v>61182.41</v>
      </c>
      <c r="R101" s="271"/>
      <c r="S101" s="271"/>
      <c r="T101" s="271"/>
      <c r="U101" s="271"/>
    </row>
    <row r="102" spans="1:21" x14ac:dyDescent="0.25">
      <c r="A102" s="323" t="s">
        <v>1287</v>
      </c>
      <c r="B102" s="323" t="s">
        <v>1287</v>
      </c>
      <c r="C102" s="323" t="s">
        <v>1474</v>
      </c>
      <c r="D102" s="323" t="s">
        <v>140</v>
      </c>
      <c r="E102" s="323" t="s">
        <v>1475</v>
      </c>
      <c r="F102" s="323" t="s">
        <v>987</v>
      </c>
      <c r="G102" s="323">
        <v>0</v>
      </c>
      <c r="H102" s="323" t="s">
        <v>1475</v>
      </c>
      <c r="I102" s="324" t="s">
        <v>140</v>
      </c>
      <c r="J102" s="320">
        <v>47798.76</v>
      </c>
      <c r="K102" s="320">
        <v>0</v>
      </c>
      <c r="L102" s="271">
        <v>0</v>
      </c>
      <c r="M102" s="271">
        <v>0</v>
      </c>
      <c r="N102" s="271">
        <v>10037.74</v>
      </c>
      <c r="O102" s="271">
        <v>0</v>
      </c>
      <c r="P102" s="271">
        <v>0</v>
      </c>
      <c r="Q102" s="271">
        <v>0</v>
      </c>
      <c r="R102" s="271">
        <v>0</v>
      </c>
      <c r="S102" s="271">
        <v>1433.96</v>
      </c>
      <c r="T102" s="271">
        <v>1911.95</v>
      </c>
      <c r="U102" s="271">
        <v>61182.41</v>
      </c>
    </row>
    <row r="103" spans="1:21" x14ac:dyDescent="0.25">
      <c r="A103" s="323" t="s">
        <v>1270</v>
      </c>
      <c r="B103" s="323" t="s">
        <v>1270</v>
      </c>
      <c r="C103" s="323" t="s">
        <v>1333</v>
      </c>
      <c r="D103" s="323" t="s">
        <v>668</v>
      </c>
      <c r="E103" s="323" t="s">
        <v>1224</v>
      </c>
      <c r="F103" s="323" t="s">
        <v>987</v>
      </c>
      <c r="G103" s="323">
        <v>0</v>
      </c>
      <c r="H103" s="323" t="s">
        <v>1224</v>
      </c>
      <c r="I103" s="324" t="s">
        <v>668</v>
      </c>
      <c r="J103" s="320">
        <v>5041.32</v>
      </c>
      <c r="K103" s="320">
        <v>0</v>
      </c>
      <c r="L103" s="271">
        <v>0</v>
      </c>
      <c r="M103" s="271">
        <v>0</v>
      </c>
      <c r="N103" s="271">
        <v>1058.68</v>
      </c>
      <c r="O103" s="271">
        <v>0</v>
      </c>
      <c r="P103" s="271">
        <v>0</v>
      </c>
      <c r="Q103" s="271">
        <v>0</v>
      </c>
      <c r="R103" s="271">
        <v>0</v>
      </c>
      <c r="S103" s="271">
        <v>151.24</v>
      </c>
      <c r="T103" s="271">
        <v>0</v>
      </c>
      <c r="U103" s="271">
        <v>6251.24</v>
      </c>
    </row>
    <row r="104" spans="1:21" x14ac:dyDescent="0.25">
      <c r="A104" s="271" t="s">
        <v>1264</v>
      </c>
      <c r="B104" s="271" t="s">
        <v>644</v>
      </c>
      <c r="C104" s="273">
        <v>500</v>
      </c>
      <c r="D104" s="273">
        <v>1737399</v>
      </c>
      <c r="E104" s="271"/>
      <c r="F104" s="273">
        <v>75227968053105</v>
      </c>
      <c r="G104" s="271" t="s">
        <v>7</v>
      </c>
      <c r="H104" s="273">
        <v>30654118767</v>
      </c>
      <c r="I104" s="316" t="s">
        <v>648</v>
      </c>
      <c r="J104" s="273">
        <v>1</v>
      </c>
      <c r="K104" s="271" t="s">
        <v>646</v>
      </c>
      <c r="L104" s="319">
        <v>122506.01</v>
      </c>
      <c r="M104" s="273">
        <v>0</v>
      </c>
      <c r="N104" s="273">
        <v>0</v>
      </c>
      <c r="O104" s="274">
        <v>4900.24</v>
      </c>
      <c r="P104" s="274">
        <v>25726.26</v>
      </c>
      <c r="Q104" s="274">
        <v>153132.51</v>
      </c>
      <c r="R104" s="271"/>
      <c r="S104" s="271"/>
      <c r="T104" s="271"/>
      <c r="U104" s="271"/>
    </row>
    <row r="105" spans="1:21" x14ac:dyDescent="0.25">
      <c r="A105" s="323" t="s">
        <v>1264</v>
      </c>
      <c r="B105" s="323" t="s">
        <v>1264</v>
      </c>
      <c r="C105" s="323" t="s">
        <v>1313</v>
      </c>
      <c r="D105" s="323" t="s">
        <v>261</v>
      </c>
      <c r="E105" s="323" t="s">
        <v>1216</v>
      </c>
      <c r="F105" s="323" t="s">
        <v>987</v>
      </c>
      <c r="G105" s="323">
        <v>0</v>
      </c>
      <c r="H105" s="323" t="s">
        <v>1216</v>
      </c>
      <c r="I105" s="324" t="s">
        <v>261</v>
      </c>
      <c r="J105" s="320">
        <v>122506.01</v>
      </c>
      <c r="K105" s="320">
        <v>0</v>
      </c>
      <c r="L105" s="271">
        <v>0</v>
      </c>
      <c r="M105" s="271">
        <v>0</v>
      </c>
      <c r="N105" s="271">
        <v>25726.26</v>
      </c>
      <c r="O105" s="271">
        <v>0</v>
      </c>
      <c r="P105" s="271">
        <v>0</v>
      </c>
      <c r="Q105" s="271">
        <v>0</v>
      </c>
      <c r="R105" s="271">
        <v>0</v>
      </c>
      <c r="S105" s="271">
        <v>0</v>
      </c>
      <c r="T105" s="271">
        <v>4900.24</v>
      </c>
      <c r="U105" s="271">
        <v>153132.51</v>
      </c>
    </row>
    <row r="106" spans="1:21" x14ac:dyDescent="0.25">
      <c r="A106" s="271" t="s">
        <v>1297</v>
      </c>
      <c r="B106" s="271" t="s">
        <v>644</v>
      </c>
      <c r="C106" s="273">
        <v>17</v>
      </c>
      <c r="D106" s="273">
        <v>12802</v>
      </c>
      <c r="E106" s="271"/>
      <c r="F106" s="273">
        <v>75250339125113</v>
      </c>
      <c r="G106" s="271" t="s">
        <v>7</v>
      </c>
      <c r="H106" s="273">
        <v>30661143610</v>
      </c>
      <c r="I106" s="316" t="s">
        <v>544</v>
      </c>
      <c r="J106" s="273">
        <v>1</v>
      </c>
      <c r="K106" s="271" t="s">
        <v>646</v>
      </c>
      <c r="L106" s="319">
        <v>545100</v>
      </c>
      <c r="M106" s="273">
        <v>0</v>
      </c>
      <c r="N106" s="273">
        <v>0</v>
      </c>
      <c r="O106" s="273">
        <v>21804</v>
      </c>
      <c r="P106" s="273">
        <v>114471</v>
      </c>
      <c r="Q106" s="273">
        <v>681375</v>
      </c>
      <c r="R106" s="271"/>
      <c r="S106" s="271"/>
      <c r="T106" s="271"/>
      <c r="U106" s="271"/>
    </row>
    <row r="107" spans="1:21" x14ac:dyDescent="0.25">
      <c r="A107" s="323" t="s">
        <v>1297</v>
      </c>
      <c r="B107" s="323" t="s">
        <v>1297</v>
      </c>
      <c r="C107" s="323" t="s">
        <v>1417</v>
      </c>
      <c r="D107" s="323" t="s">
        <v>544</v>
      </c>
      <c r="E107" s="323" t="s">
        <v>1223</v>
      </c>
      <c r="F107" s="323" t="s">
        <v>987</v>
      </c>
      <c r="G107" s="323">
        <v>0</v>
      </c>
      <c r="H107" s="323" t="s">
        <v>1223</v>
      </c>
      <c r="I107" s="324" t="s">
        <v>544</v>
      </c>
      <c r="J107" s="320">
        <v>545100</v>
      </c>
      <c r="K107" s="320">
        <v>0</v>
      </c>
      <c r="L107" s="271">
        <v>0</v>
      </c>
      <c r="M107" s="271">
        <v>0</v>
      </c>
      <c r="N107" s="271">
        <v>114471</v>
      </c>
      <c r="O107" s="271">
        <v>0</v>
      </c>
      <c r="P107" s="271">
        <v>0</v>
      </c>
      <c r="Q107" s="271">
        <v>0</v>
      </c>
      <c r="R107" s="271">
        <v>0</v>
      </c>
      <c r="S107" s="271">
        <v>0</v>
      </c>
      <c r="T107" s="271">
        <v>21804</v>
      </c>
      <c r="U107" s="271">
        <v>681375</v>
      </c>
    </row>
    <row r="108" spans="1:21" x14ac:dyDescent="0.25">
      <c r="A108" s="316" t="s">
        <v>1308</v>
      </c>
      <c r="B108" s="316" t="s">
        <v>644</v>
      </c>
      <c r="C108" s="317">
        <v>629</v>
      </c>
      <c r="D108" s="317">
        <v>6154364</v>
      </c>
      <c r="E108" s="316"/>
      <c r="F108" s="317">
        <v>35213144396396</v>
      </c>
      <c r="G108" s="316" t="s">
        <v>7</v>
      </c>
      <c r="H108" s="317">
        <v>30663498513</v>
      </c>
      <c r="I108" s="316" t="s">
        <v>657</v>
      </c>
      <c r="J108" s="317">
        <v>1</v>
      </c>
      <c r="K108" s="316" t="s">
        <v>646</v>
      </c>
      <c r="L108" s="321">
        <v>3004.37</v>
      </c>
      <c r="M108" s="317">
        <v>0</v>
      </c>
      <c r="N108" s="317">
        <v>0</v>
      </c>
      <c r="O108" s="325">
        <v>120.17</v>
      </c>
      <c r="P108" s="325">
        <v>630.91999999999996</v>
      </c>
      <c r="Q108" s="325">
        <v>3755.46</v>
      </c>
      <c r="R108" s="271"/>
      <c r="S108" s="271"/>
      <c r="T108" s="271"/>
      <c r="U108" s="271"/>
    </row>
    <row r="109" spans="1:21" x14ac:dyDescent="0.25">
      <c r="A109" s="316" t="s">
        <v>1450</v>
      </c>
      <c r="B109" s="316" t="s">
        <v>644</v>
      </c>
      <c r="C109" s="317">
        <v>629</v>
      </c>
      <c r="D109" s="317">
        <v>6196350</v>
      </c>
      <c r="E109" s="316"/>
      <c r="F109" s="317">
        <v>35243746586321</v>
      </c>
      <c r="G109" s="316" t="s">
        <v>7</v>
      </c>
      <c r="H109" s="317">
        <v>30663498513</v>
      </c>
      <c r="I109" s="316" t="s">
        <v>657</v>
      </c>
      <c r="J109" s="317">
        <v>1</v>
      </c>
      <c r="K109" s="316" t="s">
        <v>646</v>
      </c>
      <c r="L109" s="321">
        <v>3235.51</v>
      </c>
      <c r="M109" s="273">
        <v>0</v>
      </c>
      <c r="N109" s="273">
        <v>0</v>
      </c>
      <c r="O109" s="274">
        <v>129.41999999999999</v>
      </c>
      <c r="P109" s="274">
        <v>679.46</v>
      </c>
      <c r="Q109" s="274">
        <v>4044.39</v>
      </c>
      <c r="R109" s="271"/>
      <c r="S109" s="271"/>
      <c r="T109" s="271"/>
      <c r="U109" s="271"/>
    </row>
    <row r="110" spans="1:21" x14ac:dyDescent="0.25">
      <c r="A110" s="323" t="s">
        <v>1450</v>
      </c>
      <c r="B110" s="323" t="s">
        <v>1450</v>
      </c>
      <c r="C110" s="323" t="s">
        <v>1472</v>
      </c>
      <c r="D110" s="323" t="s">
        <v>422</v>
      </c>
      <c r="E110" s="323" t="s">
        <v>1473</v>
      </c>
      <c r="F110" s="323" t="s">
        <v>987</v>
      </c>
      <c r="G110" s="323">
        <v>0</v>
      </c>
      <c r="H110" s="323" t="s">
        <v>1473</v>
      </c>
      <c r="I110" s="324" t="s">
        <v>422</v>
      </c>
      <c r="J110" s="320">
        <v>3235.51</v>
      </c>
      <c r="K110" s="320">
        <v>0</v>
      </c>
      <c r="L110" s="271">
        <v>0</v>
      </c>
      <c r="M110" s="271">
        <v>0</v>
      </c>
      <c r="N110" s="271">
        <v>679.46</v>
      </c>
      <c r="O110" s="271">
        <v>0</v>
      </c>
      <c r="P110" s="271">
        <v>0</v>
      </c>
      <c r="Q110" s="271">
        <v>0</v>
      </c>
      <c r="R110" s="271">
        <v>0</v>
      </c>
      <c r="S110" s="271">
        <v>0</v>
      </c>
      <c r="T110" s="271">
        <v>129.41999999999999</v>
      </c>
      <c r="U110" s="271">
        <v>4044.39</v>
      </c>
    </row>
    <row r="111" spans="1:21" x14ac:dyDescent="0.25">
      <c r="A111" s="316" t="s">
        <v>1308</v>
      </c>
      <c r="B111" s="316" t="s">
        <v>644</v>
      </c>
      <c r="C111" s="317">
        <v>711</v>
      </c>
      <c r="D111" s="317">
        <v>7178560</v>
      </c>
      <c r="E111" s="316"/>
      <c r="F111" s="317">
        <v>35219667860371</v>
      </c>
      <c r="G111" s="316" t="s">
        <v>7</v>
      </c>
      <c r="H111" s="317">
        <v>30677237119</v>
      </c>
      <c r="I111" s="316" t="s">
        <v>658</v>
      </c>
      <c r="J111" s="317">
        <v>1</v>
      </c>
      <c r="K111" s="316" t="s">
        <v>646</v>
      </c>
      <c r="L111" s="321">
        <v>5315.46</v>
      </c>
      <c r="M111" s="317">
        <v>0</v>
      </c>
      <c r="N111" s="325">
        <v>159.46</v>
      </c>
      <c r="O111" s="325">
        <v>212.62</v>
      </c>
      <c r="P111" s="325">
        <v>1116.25</v>
      </c>
      <c r="Q111" s="325">
        <v>6803.79</v>
      </c>
      <c r="R111" s="271"/>
      <c r="S111" s="271"/>
      <c r="T111" s="271"/>
      <c r="U111" s="271"/>
    </row>
    <row r="112" spans="1:21" x14ac:dyDescent="0.25">
      <c r="A112" s="316" t="s">
        <v>1450</v>
      </c>
      <c r="B112" s="316" t="s">
        <v>644</v>
      </c>
      <c r="C112" s="317">
        <v>711</v>
      </c>
      <c r="D112" s="317">
        <v>7238482</v>
      </c>
      <c r="E112" s="316"/>
      <c r="F112" s="317">
        <v>35249414742404</v>
      </c>
      <c r="G112" s="316" t="s">
        <v>7</v>
      </c>
      <c r="H112" s="317">
        <v>30677237119</v>
      </c>
      <c r="I112" s="316" t="s">
        <v>658</v>
      </c>
      <c r="J112" s="273">
        <v>1</v>
      </c>
      <c r="K112" s="271" t="s">
        <v>646</v>
      </c>
      <c r="L112" s="319">
        <v>10284.200000000001</v>
      </c>
      <c r="M112" s="273">
        <v>0</v>
      </c>
      <c r="N112" s="274">
        <v>308.52999999999997</v>
      </c>
      <c r="O112" s="274">
        <v>411.37</v>
      </c>
      <c r="P112" s="274">
        <v>2159.6799999999998</v>
      </c>
      <c r="Q112" s="274">
        <v>13163.78</v>
      </c>
      <c r="R112" s="271"/>
      <c r="S112" s="271"/>
      <c r="T112" s="271"/>
      <c r="U112" s="271"/>
    </row>
    <row r="113" spans="1:21" x14ac:dyDescent="0.25">
      <c r="A113" s="323" t="s">
        <v>1450</v>
      </c>
      <c r="B113" s="323" t="s">
        <v>1450</v>
      </c>
      <c r="C113" s="323" t="s">
        <v>1470</v>
      </c>
      <c r="D113" s="323" t="s">
        <v>421</v>
      </c>
      <c r="E113" s="323" t="s">
        <v>1471</v>
      </c>
      <c r="F113" s="323" t="s">
        <v>987</v>
      </c>
      <c r="G113" s="323">
        <v>0</v>
      </c>
      <c r="H113" s="323" t="s">
        <v>1471</v>
      </c>
      <c r="I113" s="324" t="s">
        <v>421</v>
      </c>
      <c r="J113" s="320">
        <v>10284.200000000001</v>
      </c>
      <c r="K113" s="320">
        <v>0</v>
      </c>
      <c r="L113" s="271">
        <v>0</v>
      </c>
      <c r="M113" s="271">
        <v>0</v>
      </c>
      <c r="N113" s="271">
        <v>2159.6799999999998</v>
      </c>
      <c r="O113" s="271">
        <v>0</v>
      </c>
      <c r="P113" s="271">
        <v>0</v>
      </c>
      <c r="Q113" s="271">
        <v>0</v>
      </c>
      <c r="R113" s="271">
        <v>0</v>
      </c>
      <c r="S113" s="271">
        <v>308.52999999999997</v>
      </c>
      <c r="T113" s="271">
        <v>411.37</v>
      </c>
      <c r="U113" s="271">
        <v>13163.78</v>
      </c>
    </row>
    <row r="114" spans="1:21" x14ac:dyDescent="0.25">
      <c r="A114" s="271" t="s">
        <v>1306</v>
      </c>
      <c r="B114" s="271" t="s">
        <v>644</v>
      </c>
      <c r="C114" s="273">
        <v>7</v>
      </c>
      <c r="D114" s="273">
        <v>1372</v>
      </c>
      <c r="E114" s="271"/>
      <c r="F114" s="273">
        <v>75262966193196</v>
      </c>
      <c r="G114" s="271" t="s">
        <v>7</v>
      </c>
      <c r="H114" s="273">
        <v>30677420622</v>
      </c>
      <c r="I114" s="316" t="s">
        <v>1193</v>
      </c>
      <c r="J114" s="273">
        <v>1</v>
      </c>
      <c r="K114" s="271" t="s">
        <v>646</v>
      </c>
      <c r="L114" s="319">
        <v>7438.02</v>
      </c>
      <c r="M114" s="273">
        <v>0</v>
      </c>
      <c r="N114" s="273">
        <v>0</v>
      </c>
      <c r="O114" s="273">
        <v>0</v>
      </c>
      <c r="P114" s="274">
        <v>1561.98</v>
      </c>
      <c r="Q114" s="273">
        <v>9000</v>
      </c>
      <c r="R114" s="271"/>
      <c r="S114" s="271"/>
      <c r="T114" s="271"/>
      <c r="U114" s="271"/>
    </row>
    <row r="115" spans="1:21" x14ac:dyDescent="0.25">
      <c r="A115" s="323" t="s">
        <v>1306</v>
      </c>
      <c r="B115" s="323" t="s">
        <v>1306</v>
      </c>
      <c r="C115" s="323" t="s">
        <v>1439</v>
      </c>
      <c r="D115" s="323" t="s">
        <v>1193</v>
      </c>
      <c r="E115" s="323" t="s">
        <v>1258</v>
      </c>
      <c r="F115" s="323" t="s">
        <v>987</v>
      </c>
      <c r="G115" s="323">
        <v>0</v>
      </c>
      <c r="H115" s="323" t="s">
        <v>1258</v>
      </c>
      <c r="I115" s="324" t="s">
        <v>1193</v>
      </c>
      <c r="J115" s="320">
        <v>7438.02</v>
      </c>
      <c r="K115" s="320">
        <v>0</v>
      </c>
      <c r="L115" s="271">
        <v>0</v>
      </c>
      <c r="M115" s="271">
        <v>0</v>
      </c>
      <c r="N115" s="271">
        <v>1561.98</v>
      </c>
      <c r="O115" s="271">
        <v>0</v>
      </c>
      <c r="P115" s="271">
        <v>0</v>
      </c>
      <c r="Q115" s="271">
        <v>0</v>
      </c>
      <c r="R115" s="271">
        <v>0</v>
      </c>
      <c r="S115" s="271">
        <v>0</v>
      </c>
      <c r="T115" s="271">
        <v>0</v>
      </c>
      <c r="U115" s="271">
        <v>9000</v>
      </c>
    </row>
    <row r="116" spans="1:21" x14ac:dyDescent="0.25">
      <c r="A116" s="271" t="s">
        <v>1443</v>
      </c>
      <c r="B116" s="271" t="s">
        <v>644</v>
      </c>
      <c r="C116" s="273">
        <v>9060</v>
      </c>
      <c r="D116" s="273">
        <v>34087</v>
      </c>
      <c r="E116" s="271"/>
      <c r="F116" s="273">
        <v>75235981411934</v>
      </c>
      <c r="G116" s="271" t="s">
        <v>7</v>
      </c>
      <c r="H116" s="273">
        <v>30678774495</v>
      </c>
      <c r="I116" s="316" t="s">
        <v>951</v>
      </c>
      <c r="J116" s="273">
        <v>1</v>
      </c>
      <c r="K116" s="271" t="s">
        <v>646</v>
      </c>
      <c r="L116" s="319">
        <v>68976.87</v>
      </c>
      <c r="M116" s="273">
        <v>0</v>
      </c>
      <c r="N116" s="273">
        <v>0</v>
      </c>
      <c r="O116" s="274">
        <v>12629.06</v>
      </c>
      <c r="P116" s="274">
        <v>14485.14</v>
      </c>
      <c r="Q116" s="274">
        <v>96091.07</v>
      </c>
      <c r="R116" s="271"/>
      <c r="S116" s="271"/>
      <c r="T116" s="271"/>
      <c r="U116" s="271"/>
    </row>
    <row r="117" spans="1:21" x14ac:dyDescent="0.25">
      <c r="A117" s="323" t="s">
        <v>1443</v>
      </c>
      <c r="B117" s="323" t="s">
        <v>1443</v>
      </c>
      <c r="C117" s="323" t="s">
        <v>1465</v>
      </c>
      <c r="D117" s="323" t="s">
        <v>951</v>
      </c>
      <c r="E117" s="323" t="s">
        <v>1466</v>
      </c>
      <c r="F117" s="323" t="s">
        <v>987</v>
      </c>
      <c r="G117" s="323">
        <v>0</v>
      </c>
      <c r="H117" s="323" t="s">
        <v>1466</v>
      </c>
      <c r="I117" s="324" t="s">
        <v>951</v>
      </c>
      <c r="J117" s="320">
        <v>68976.87</v>
      </c>
      <c r="K117" s="320">
        <v>0</v>
      </c>
      <c r="L117" s="271">
        <v>12629.06</v>
      </c>
      <c r="M117" s="271">
        <v>0</v>
      </c>
      <c r="N117" s="271">
        <v>14485.14</v>
      </c>
      <c r="O117" s="271">
        <v>0</v>
      </c>
      <c r="P117" s="271">
        <v>0</v>
      </c>
      <c r="Q117" s="271">
        <v>0</v>
      </c>
      <c r="R117" s="271">
        <v>0</v>
      </c>
      <c r="S117" s="271">
        <v>0</v>
      </c>
      <c r="T117" s="271">
        <v>0</v>
      </c>
      <c r="U117" s="271">
        <v>96091.07</v>
      </c>
    </row>
    <row r="118" spans="1:21" x14ac:dyDescent="0.25">
      <c r="A118" s="271" t="s">
        <v>1264</v>
      </c>
      <c r="B118" s="271" t="s">
        <v>644</v>
      </c>
      <c r="C118" s="273">
        <v>3051</v>
      </c>
      <c r="D118" s="273">
        <v>925025</v>
      </c>
      <c r="E118" s="271"/>
      <c r="F118" s="273">
        <v>75227409034711</v>
      </c>
      <c r="G118" s="271" t="s">
        <v>7</v>
      </c>
      <c r="H118" s="273">
        <v>30678814357</v>
      </c>
      <c r="I118" s="316" t="s">
        <v>652</v>
      </c>
      <c r="J118" s="273">
        <v>1</v>
      </c>
      <c r="K118" s="271" t="s">
        <v>646</v>
      </c>
      <c r="L118" s="319">
        <v>78184</v>
      </c>
      <c r="M118" s="273">
        <v>0</v>
      </c>
      <c r="N118" s="273">
        <v>0</v>
      </c>
      <c r="O118" s="274">
        <v>9752.3799999999992</v>
      </c>
      <c r="P118" s="274">
        <v>21109.68</v>
      </c>
      <c r="Q118" s="274">
        <v>109046.06</v>
      </c>
      <c r="R118" s="271"/>
      <c r="S118" s="271"/>
      <c r="T118" s="271"/>
      <c r="U118" s="271"/>
    </row>
    <row r="119" spans="1:21" x14ac:dyDescent="0.25">
      <c r="A119" s="271" t="s">
        <v>1277</v>
      </c>
      <c r="B119" s="271" t="s">
        <v>644</v>
      </c>
      <c r="C119" s="273">
        <v>3101</v>
      </c>
      <c r="D119" s="273">
        <v>325625</v>
      </c>
      <c r="E119" s="271"/>
      <c r="F119" s="273">
        <v>75237266815345</v>
      </c>
      <c r="G119" s="271" t="s">
        <v>7</v>
      </c>
      <c r="H119" s="273">
        <v>30678814357</v>
      </c>
      <c r="I119" s="316" t="s">
        <v>652</v>
      </c>
      <c r="J119" s="273">
        <v>1</v>
      </c>
      <c r="K119" s="271" t="s">
        <v>646</v>
      </c>
      <c r="L119" s="319">
        <v>83090.95</v>
      </c>
      <c r="M119" s="273">
        <v>0</v>
      </c>
      <c r="N119" s="273">
        <v>0</v>
      </c>
      <c r="O119" s="274">
        <v>5816.37</v>
      </c>
      <c r="P119" s="274">
        <v>22434.560000000001</v>
      </c>
      <c r="Q119" s="274">
        <v>111341.88</v>
      </c>
      <c r="R119" s="271"/>
      <c r="S119" s="271"/>
      <c r="T119" s="271"/>
      <c r="U119" s="271"/>
    </row>
    <row r="120" spans="1:21" x14ac:dyDescent="0.25">
      <c r="A120" s="323" t="s">
        <v>1264</v>
      </c>
      <c r="B120" s="323" t="s">
        <v>1264</v>
      </c>
      <c r="C120" s="323" t="s">
        <v>1461</v>
      </c>
      <c r="D120" s="323" t="s">
        <v>117</v>
      </c>
      <c r="E120" s="323" t="s">
        <v>1462</v>
      </c>
      <c r="F120" s="323" t="s">
        <v>987</v>
      </c>
      <c r="G120" s="323">
        <v>0</v>
      </c>
      <c r="H120" s="323" t="s">
        <v>1462</v>
      </c>
      <c r="I120" s="324" t="s">
        <v>117</v>
      </c>
      <c r="J120" s="320">
        <v>0</v>
      </c>
      <c r="K120" s="320">
        <v>78184</v>
      </c>
      <c r="L120" s="271">
        <v>0</v>
      </c>
      <c r="M120" s="271">
        <v>0</v>
      </c>
      <c r="N120" s="271">
        <v>21109.68</v>
      </c>
      <c r="O120" s="271">
        <v>4114.8999999999996</v>
      </c>
      <c r="P120" s="271">
        <v>0</v>
      </c>
      <c r="Q120" s="271">
        <v>0</v>
      </c>
      <c r="R120" s="271">
        <v>0</v>
      </c>
      <c r="S120" s="271">
        <v>2345.52</v>
      </c>
      <c r="T120" s="271">
        <v>3291.96</v>
      </c>
      <c r="U120" s="271">
        <v>109046.06</v>
      </c>
    </row>
    <row r="121" spans="1:21" x14ac:dyDescent="0.25">
      <c r="A121" s="323" t="s">
        <v>1277</v>
      </c>
      <c r="B121" s="323" t="s">
        <v>1277</v>
      </c>
      <c r="C121" s="323" t="s">
        <v>1467</v>
      </c>
      <c r="D121" s="323" t="s">
        <v>117</v>
      </c>
      <c r="E121" s="323" t="s">
        <v>1462</v>
      </c>
      <c r="F121" s="323" t="s">
        <v>987</v>
      </c>
      <c r="G121" s="323">
        <v>0</v>
      </c>
      <c r="H121" s="323" t="s">
        <v>1462</v>
      </c>
      <c r="I121" s="324" t="s">
        <v>117</v>
      </c>
      <c r="J121" s="320">
        <v>0</v>
      </c>
      <c r="K121" s="320">
        <v>83090.95</v>
      </c>
      <c r="L121" s="271">
        <v>0</v>
      </c>
      <c r="M121" s="271">
        <v>0</v>
      </c>
      <c r="N121" s="271">
        <v>22434.560000000001</v>
      </c>
      <c r="O121" s="271">
        <v>0</v>
      </c>
      <c r="P121" s="271">
        <v>0</v>
      </c>
      <c r="Q121" s="271">
        <v>0</v>
      </c>
      <c r="R121" s="271">
        <v>0</v>
      </c>
      <c r="S121" s="271">
        <v>2492.73</v>
      </c>
      <c r="T121" s="271">
        <v>3323.64</v>
      </c>
      <c r="U121" s="271">
        <v>111341.88</v>
      </c>
    </row>
    <row r="122" spans="1:21" x14ac:dyDescent="0.25">
      <c r="A122" s="271" t="s">
        <v>1277</v>
      </c>
      <c r="B122" s="271" t="s">
        <v>644</v>
      </c>
      <c r="C122" s="273">
        <v>22</v>
      </c>
      <c r="D122" s="273">
        <v>6309</v>
      </c>
      <c r="E122" s="271"/>
      <c r="F122" s="273">
        <v>35210763536142</v>
      </c>
      <c r="G122" s="271" t="s">
        <v>7</v>
      </c>
      <c r="H122" s="273">
        <v>30688173430</v>
      </c>
      <c r="I122" s="316" t="s">
        <v>1357</v>
      </c>
      <c r="J122" s="273">
        <v>1</v>
      </c>
      <c r="K122" s="271" t="s">
        <v>646</v>
      </c>
      <c r="L122" s="319">
        <v>29624.21</v>
      </c>
      <c r="M122" s="273">
        <v>0</v>
      </c>
      <c r="N122" s="273">
        <v>0</v>
      </c>
      <c r="O122" s="271">
        <v>4154.7</v>
      </c>
      <c r="P122" s="274">
        <v>6221.09</v>
      </c>
      <c r="Q122" s="273">
        <v>40000</v>
      </c>
      <c r="R122" s="271"/>
      <c r="S122" s="271"/>
      <c r="T122" s="271"/>
      <c r="U122" s="271"/>
    </row>
    <row r="123" spans="1:21" x14ac:dyDescent="0.25">
      <c r="A123" s="323" t="s">
        <v>1277</v>
      </c>
      <c r="B123" s="323" t="s">
        <v>1277</v>
      </c>
      <c r="C123" s="323" t="s">
        <v>1356</v>
      </c>
      <c r="D123" s="323" t="s">
        <v>1357</v>
      </c>
      <c r="E123" s="323" t="s">
        <v>1358</v>
      </c>
      <c r="F123" s="323" t="s">
        <v>987</v>
      </c>
      <c r="G123" s="323">
        <v>0</v>
      </c>
      <c r="H123" s="323" t="s">
        <v>1358</v>
      </c>
      <c r="I123" s="324" t="s">
        <v>1357</v>
      </c>
      <c r="J123" s="320">
        <v>29624.21</v>
      </c>
      <c r="K123" s="320">
        <v>0</v>
      </c>
      <c r="L123" s="271">
        <v>0</v>
      </c>
      <c r="M123" s="271">
        <v>0</v>
      </c>
      <c r="N123" s="271">
        <v>6221.08</v>
      </c>
      <c r="O123" s="271">
        <v>0</v>
      </c>
      <c r="P123" s="271">
        <v>0</v>
      </c>
      <c r="Q123" s="271">
        <v>0</v>
      </c>
      <c r="R123" s="271">
        <v>0</v>
      </c>
      <c r="S123" s="271">
        <v>0</v>
      </c>
      <c r="T123" s="271">
        <v>0</v>
      </c>
      <c r="U123" s="271">
        <v>35845.29</v>
      </c>
    </row>
    <row r="124" spans="1:21" x14ac:dyDescent="0.25">
      <c r="A124" s="271" t="s">
        <v>1298</v>
      </c>
      <c r="B124" s="271" t="s">
        <v>644</v>
      </c>
      <c r="C124" s="273">
        <v>32</v>
      </c>
      <c r="D124" s="273">
        <v>1004</v>
      </c>
      <c r="E124" s="271"/>
      <c r="F124" s="273">
        <v>75253803671345</v>
      </c>
      <c r="G124" s="271" t="s">
        <v>7</v>
      </c>
      <c r="H124" s="273">
        <v>30695243673</v>
      </c>
      <c r="I124" s="316" t="s">
        <v>1431</v>
      </c>
      <c r="J124" s="273">
        <v>1</v>
      </c>
      <c r="K124" s="271" t="s">
        <v>646</v>
      </c>
      <c r="L124" s="319">
        <v>82775.11</v>
      </c>
      <c r="M124" s="273">
        <v>0</v>
      </c>
      <c r="N124" s="273">
        <v>0</v>
      </c>
      <c r="O124" s="271">
        <v>15660.1</v>
      </c>
      <c r="P124" s="274">
        <v>17382.77</v>
      </c>
      <c r="Q124" s="274">
        <v>115817.98</v>
      </c>
      <c r="R124" s="271"/>
      <c r="S124" s="271"/>
      <c r="T124" s="271"/>
      <c r="U124" s="271"/>
    </row>
    <row r="125" spans="1:21" x14ac:dyDescent="0.25">
      <c r="A125" s="323" t="s">
        <v>1298</v>
      </c>
      <c r="B125" s="323" t="s">
        <v>1298</v>
      </c>
      <c r="C125" s="323" t="s">
        <v>1430</v>
      </c>
      <c r="D125" s="323" t="s">
        <v>1431</v>
      </c>
      <c r="E125" s="323" t="s">
        <v>1432</v>
      </c>
      <c r="F125" s="323" t="s">
        <v>987</v>
      </c>
      <c r="G125" s="323">
        <v>0</v>
      </c>
      <c r="H125" s="323" t="s">
        <v>1432</v>
      </c>
      <c r="I125" s="324" t="s">
        <v>1431</v>
      </c>
      <c r="J125" s="320">
        <v>82775.11</v>
      </c>
      <c r="K125" s="320">
        <v>0</v>
      </c>
      <c r="L125" s="271">
        <v>0</v>
      </c>
      <c r="M125" s="271">
        <v>0</v>
      </c>
      <c r="N125" s="271">
        <v>17382.77</v>
      </c>
      <c r="O125" s="271">
        <v>1263.49</v>
      </c>
      <c r="P125" s="271">
        <v>0</v>
      </c>
      <c r="Q125" s="271">
        <v>0</v>
      </c>
      <c r="R125" s="271">
        <v>11085.06</v>
      </c>
      <c r="S125" s="271">
        <v>0</v>
      </c>
      <c r="T125" s="271">
        <v>3311</v>
      </c>
      <c r="U125" s="271">
        <v>115817.43</v>
      </c>
    </row>
    <row r="126" spans="1:21" x14ac:dyDescent="0.25">
      <c r="A126" s="316" t="s">
        <v>1454</v>
      </c>
      <c r="B126" s="316" t="s">
        <v>644</v>
      </c>
      <c r="C126" s="317">
        <v>5</v>
      </c>
      <c r="D126" s="317">
        <v>1904</v>
      </c>
      <c r="E126" s="316"/>
      <c r="F126" s="317">
        <v>75268239550278</v>
      </c>
      <c r="G126" s="316" t="s">
        <v>7</v>
      </c>
      <c r="H126" s="317">
        <v>30695554628</v>
      </c>
      <c r="I126" s="316" t="s">
        <v>1457</v>
      </c>
      <c r="J126" s="317">
        <v>1</v>
      </c>
      <c r="K126" s="316" t="s">
        <v>646</v>
      </c>
      <c r="L126" s="321">
        <v>1203516.74</v>
      </c>
      <c r="M126" s="273">
        <v>0</v>
      </c>
      <c r="N126" s="273">
        <v>0</v>
      </c>
      <c r="O126" s="273">
        <v>0</v>
      </c>
      <c r="P126" s="326">
        <v>126369.26</v>
      </c>
      <c r="Q126" s="326">
        <v>1329886</v>
      </c>
      <c r="R126" s="271"/>
      <c r="S126" s="271"/>
      <c r="T126" s="271"/>
      <c r="U126" s="271"/>
    </row>
    <row r="127" spans="1:21" x14ac:dyDescent="0.25">
      <c r="A127" s="271" t="s">
        <v>1298</v>
      </c>
      <c r="B127" s="271" t="s">
        <v>644</v>
      </c>
      <c r="C127" s="273">
        <v>5</v>
      </c>
      <c r="D127" s="273">
        <v>3318846</v>
      </c>
      <c r="E127" s="271"/>
      <c r="F127" s="273">
        <v>75255836092849</v>
      </c>
      <c r="G127" s="271" t="s">
        <v>7</v>
      </c>
      <c r="H127" s="273">
        <v>30702652975</v>
      </c>
      <c r="I127" s="316" t="s">
        <v>706</v>
      </c>
      <c r="J127" s="273">
        <v>1</v>
      </c>
      <c r="K127" s="271" t="s">
        <v>646</v>
      </c>
      <c r="L127" s="319">
        <v>35660.75</v>
      </c>
      <c r="M127" s="273">
        <v>0</v>
      </c>
      <c r="N127" s="273">
        <v>0</v>
      </c>
      <c r="O127" s="274">
        <v>1426.43</v>
      </c>
      <c r="P127" s="274">
        <v>7488.76</v>
      </c>
      <c r="Q127" s="274">
        <v>44575.94</v>
      </c>
      <c r="R127" s="271"/>
      <c r="S127" s="271"/>
      <c r="T127" s="271"/>
      <c r="U127" s="271"/>
    </row>
    <row r="128" spans="1:21" x14ac:dyDescent="0.25">
      <c r="A128" s="323" t="s">
        <v>1298</v>
      </c>
      <c r="B128" s="323" t="s">
        <v>1298</v>
      </c>
      <c r="C128" s="323" t="s">
        <v>1480</v>
      </c>
      <c r="D128" s="323" t="s">
        <v>296</v>
      </c>
      <c r="E128" s="323" t="s">
        <v>1481</v>
      </c>
      <c r="F128" s="323" t="s">
        <v>987</v>
      </c>
      <c r="G128" s="323">
        <v>0</v>
      </c>
      <c r="H128" s="323" t="s">
        <v>1481</v>
      </c>
      <c r="I128" s="324" t="s">
        <v>296</v>
      </c>
      <c r="J128" s="320">
        <v>35660.75</v>
      </c>
      <c r="K128" s="320">
        <v>0</v>
      </c>
      <c r="L128" s="271">
        <v>0</v>
      </c>
      <c r="M128" s="271">
        <v>0</v>
      </c>
      <c r="N128" s="271">
        <v>7488.76</v>
      </c>
      <c r="O128" s="271">
        <v>0</v>
      </c>
      <c r="P128" s="271">
        <v>0</v>
      </c>
      <c r="Q128" s="271">
        <v>0</v>
      </c>
      <c r="R128" s="271">
        <v>0</v>
      </c>
      <c r="S128" s="271">
        <v>0</v>
      </c>
      <c r="T128" s="271">
        <v>1426.43</v>
      </c>
      <c r="U128" s="271">
        <v>44575.94</v>
      </c>
    </row>
    <row r="129" spans="1:21" x14ac:dyDescent="0.25">
      <c r="A129" s="271" t="s">
        <v>1458</v>
      </c>
      <c r="B129" s="271" t="s">
        <v>644</v>
      </c>
      <c r="C129" s="273">
        <v>72</v>
      </c>
      <c r="D129" s="273">
        <v>309224</v>
      </c>
      <c r="E129" s="271"/>
      <c r="F129" s="273">
        <v>75264601671139</v>
      </c>
      <c r="G129" s="271" t="s">
        <v>7</v>
      </c>
      <c r="H129" s="273">
        <v>30703088534</v>
      </c>
      <c r="I129" s="316" t="s">
        <v>718</v>
      </c>
      <c r="J129" s="273">
        <v>1</v>
      </c>
      <c r="K129" s="271" t="s">
        <v>646</v>
      </c>
      <c r="L129" s="319">
        <v>67083.27</v>
      </c>
      <c r="M129" s="273">
        <v>0</v>
      </c>
      <c r="N129" s="273">
        <v>0</v>
      </c>
      <c r="O129" s="274">
        <v>4695.83</v>
      </c>
      <c r="P129" s="274">
        <v>14087.49</v>
      </c>
      <c r="Q129" s="274">
        <v>85866.59</v>
      </c>
      <c r="R129" s="271"/>
      <c r="S129" s="271"/>
      <c r="T129" s="271"/>
      <c r="U129" s="271"/>
    </row>
    <row r="130" spans="1:21" x14ac:dyDescent="0.25">
      <c r="A130" s="323" t="s">
        <v>1458</v>
      </c>
      <c r="B130" s="323" t="s">
        <v>1458</v>
      </c>
      <c r="C130" s="323" t="s">
        <v>1496</v>
      </c>
      <c r="D130" s="323" t="s">
        <v>718</v>
      </c>
      <c r="E130" s="323" t="s">
        <v>1497</v>
      </c>
      <c r="F130" s="323" t="s">
        <v>987</v>
      </c>
      <c r="G130" s="323">
        <v>0</v>
      </c>
      <c r="H130" s="323" t="s">
        <v>1497</v>
      </c>
      <c r="I130" s="324" t="s">
        <v>718</v>
      </c>
      <c r="J130" s="320">
        <v>67083.27</v>
      </c>
      <c r="K130" s="320">
        <v>0</v>
      </c>
      <c r="L130" s="271">
        <v>0</v>
      </c>
      <c r="M130" s="271">
        <v>0</v>
      </c>
      <c r="N130" s="271">
        <v>14087.49</v>
      </c>
      <c r="O130" s="271">
        <v>0</v>
      </c>
      <c r="P130" s="271">
        <v>0</v>
      </c>
      <c r="Q130" s="271">
        <v>0</v>
      </c>
      <c r="R130" s="271">
        <v>0</v>
      </c>
      <c r="S130" s="271">
        <v>2012.5</v>
      </c>
      <c r="T130" s="271">
        <v>2683.33</v>
      </c>
      <c r="U130" s="271">
        <v>85866.59</v>
      </c>
    </row>
    <row r="131" spans="1:21" x14ac:dyDescent="0.25">
      <c r="A131" s="323" t="s">
        <v>1267</v>
      </c>
      <c r="B131" s="323" t="s">
        <v>1267</v>
      </c>
      <c r="C131" s="323" t="s">
        <v>1324</v>
      </c>
      <c r="D131" s="323" t="s">
        <v>315</v>
      </c>
      <c r="E131" s="323" t="s">
        <v>1325</v>
      </c>
      <c r="F131" s="323" t="s">
        <v>987</v>
      </c>
      <c r="G131" s="323">
        <v>0</v>
      </c>
      <c r="H131" s="323" t="s">
        <v>1325</v>
      </c>
      <c r="I131" s="324" t="s">
        <v>315</v>
      </c>
      <c r="J131" s="320">
        <v>67870.36</v>
      </c>
      <c r="K131" s="320">
        <v>0</v>
      </c>
      <c r="L131" s="271">
        <v>0</v>
      </c>
      <c r="M131" s="271">
        <v>0</v>
      </c>
      <c r="N131" s="271">
        <v>14252.78</v>
      </c>
      <c r="O131" s="271">
        <v>11908.86</v>
      </c>
      <c r="P131" s="271">
        <v>0</v>
      </c>
      <c r="Q131" s="271">
        <v>0</v>
      </c>
      <c r="R131" s="271">
        <v>0</v>
      </c>
      <c r="S131" s="271">
        <v>0</v>
      </c>
      <c r="T131" s="271">
        <v>0</v>
      </c>
      <c r="U131" s="271">
        <v>94032</v>
      </c>
    </row>
    <row r="132" spans="1:21" x14ac:dyDescent="0.25">
      <c r="A132" s="323" t="s">
        <v>1278</v>
      </c>
      <c r="B132" s="323" t="s">
        <v>1278</v>
      </c>
      <c r="C132" s="323" t="s">
        <v>1370</v>
      </c>
      <c r="D132" s="323" t="s">
        <v>315</v>
      </c>
      <c r="E132" s="323" t="s">
        <v>1325</v>
      </c>
      <c r="F132" s="323" t="s">
        <v>987</v>
      </c>
      <c r="G132" s="323">
        <v>0</v>
      </c>
      <c r="H132" s="323" t="s">
        <v>1325</v>
      </c>
      <c r="I132" s="324" t="s">
        <v>315</v>
      </c>
      <c r="J132" s="320">
        <v>30314.74</v>
      </c>
      <c r="K132" s="320">
        <v>0</v>
      </c>
      <c r="L132" s="271">
        <v>0</v>
      </c>
      <c r="M132" s="271">
        <v>0</v>
      </c>
      <c r="N132" s="271">
        <v>6366.1</v>
      </c>
      <c r="O132" s="271">
        <v>5319.17</v>
      </c>
      <c r="P132" s="271">
        <v>0</v>
      </c>
      <c r="Q132" s="271">
        <v>0</v>
      </c>
      <c r="R132" s="271">
        <v>0</v>
      </c>
      <c r="S132" s="271">
        <v>0</v>
      </c>
      <c r="T132" s="271">
        <v>0</v>
      </c>
      <c r="U132" s="271">
        <v>42000.01</v>
      </c>
    </row>
    <row r="133" spans="1:21" x14ac:dyDescent="0.25">
      <c r="A133" s="323" t="s">
        <v>1284</v>
      </c>
      <c r="B133" s="323" t="s">
        <v>1284</v>
      </c>
      <c r="C133" s="323" t="s">
        <v>1402</v>
      </c>
      <c r="D133" s="323" t="s">
        <v>315</v>
      </c>
      <c r="E133" s="323" t="s">
        <v>1325</v>
      </c>
      <c r="F133" s="323" t="s">
        <v>987</v>
      </c>
      <c r="G133" s="323">
        <v>0</v>
      </c>
      <c r="H133" s="323" t="s">
        <v>1325</v>
      </c>
      <c r="I133" s="324" t="s">
        <v>315</v>
      </c>
      <c r="J133" s="320">
        <v>46925.77</v>
      </c>
      <c r="K133" s="320">
        <v>0</v>
      </c>
      <c r="L133" s="271">
        <v>0</v>
      </c>
      <c r="M133" s="271">
        <v>0</v>
      </c>
      <c r="N133" s="271">
        <v>9854.41</v>
      </c>
      <c r="O133" s="271">
        <v>0</v>
      </c>
      <c r="P133" s="271">
        <v>0</v>
      </c>
      <c r="Q133" s="271">
        <v>0</v>
      </c>
      <c r="R133" s="271">
        <v>8233.81</v>
      </c>
      <c r="S133" s="271">
        <v>0</v>
      </c>
      <c r="T133" s="271">
        <v>0</v>
      </c>
      <c r="U133" s="271">
        <v>65013.99</v>
      </c>
    </row>
    <row r="134" spans="1:21" x14ac:dyDescent="0.25">
      <c r="A134" s="316" t="s">
        <v>1277</v>
      </c>
      <c r="B134" s="316" t="s">
        <v>644</v>
      </c>
      <c r="C134" s="317">
        <v>67</v>
      </c>
      <c r="D134" s="317">
        <v>69237</v>
      </c>
      <c r="E134" s="316"/>
      <c r="F134" s="317">
        <v>75231157275395</v>
      </c>
      <c r="G134" s="316" t="s">
        <v>7</v>
      </c>
      <c r="H134" s="317">
        <v>30707946241</v>
      </c>
      <c r="I134" s="316" t="s">
        <v>1444</v>
      </c>
      <c r="J134" s="317">
        <v>1</v>
      </c>
      <c r="K134" s="316" t="s">
        <v>646</v>
      </c>
      <c r="L134" s="321">
        <v>12892.22</v>
      </c>
      <c r="M134" s="273">
        <v>0</v>
      </c>
      <c r="N134" s="273">
        <v>0</v>
      </c>
      <c r="O134" s="273">
        <v>0</v>
      </c>
      <c r="P134" s="274">
        <v>2707.37</v>
      </c>
      <c r="Q134" s="274">
        <v>15599.59</v>
      </c>
      <c r="R134" s="271"/>
      <c r="S134" s="271"/>
      <c r="T134" s="271"/>
      <c r="U134" s="271"/>
    </row>
    <row r="135" spans="1:21" x14ac:dyDescent="0.25">
      <c r="A135" s="316" t="s">
        <v>1459</v>
      </c>
      <c r="B135" s="316" t="s">
        <v>644</v>
      </c>
      <c r="C135" s="317">
        <v>4</v>
      </c>
      <c r="D135" s="317">
        <v>9026</v>
      </c>
      <c r="E135" s="316"/>
      <c r="F135" s="317">
        <v>75275896416898</v>
      </c>
      <c r="G135" s="316" t="s">
        <v>7</v>
      </c>
      <c r="H135" s="317">
        <v>30708649755</v>
      </c>
      <c r="I135" s="316" t="s">
        <v>1460</v>
      </c>
      <c r="J135" s="317">
        <v>1</v>
      </c>
      <c r="K135" s="316" t="s">
        <v>646</v>
      </c>
      <c r="L135" s="321">
        <v>31441.86</v>
      </c>
      <c r="M135" s="273">
        <v>0</v>
      </c>
      <c r="N135" s="273">
        <v>0</v>
      </c>
      <c r="O135" s="274">
        <v>1257.56</v>
      </c>
      <c r="P135" s="271">
        <v>3301.4</v>
      </c>
      <c r="Q135" s="273">
        <v>36000</v>
      </c>
      <c r="R135" s="271"/>
      <c r="S135" s="271"/>
      <c r="T135" s="271"/>
      <c r="U135" s="271"/>
    </row>
    <row r="136" spans="1:21" x14ac:dyDescent="0.25">
      <c r="A136" s="271" t="s">
        <v>1279</v>
      </c>
      <c r="B136" s="271" t="s">
        <v>644</v>
      </c>
      <c r="C136" s="273">
        <v>47</v>
      </c>
      <c r="D136" s="273">
        <v>44587</v>
      </c>
      <c r="E136" s="271"/>
      <c r="F136" s="273">
        <v>75247404416740</v>
      </c>
      <c r="G136" s="271" t="s">
        <v>7</v>
      </c>
      <c r="H136" s="273">
        <v>30708847247</v>
      </c>
      <c r="I136" s="316" t="s">
        <v>946</v>
      </c>
      <c r="J136" s="317">
        <v>1</v>
      </c>
      <c r="K136" s="316" t="s">
        <v>646</v>
      </c>
      <c r="L136" s="321">
        <v>10912.57</v>
      </c>
      <c r="M136" s="273">
        <v>0</v>
      </c>
      <c r="N136" s="273">
        <v>0</v>
      </c>
      <c r="O136" s="271">
        <v>436.5</v>
      </c>
      <c r="P136" s="274">
        <v>2291.64</v>
      </c>
      <c r="Q136" s="274">
        <v>13640.71</v>
      </c>
      <c r="R136" s="271"/>
      <c r="S136" s="271"/>
      <c r="T136" s="271"/>
      <c r="U136" s="271"/>
    </row>
    <row r="137" spans="1:21" x14ac:dyDescent="0.25">
      <c r="A137" s="271" t="s">
        <v>1270</v>
      </c>
      <c r="B137" s="271" t="s">
        <v>644</v>
      </c>
      <c r="C137" s="273">
        <v>47</v>
      </c>
      <c r="D137" s="273">
        <v>44102</v>
      </c>
      <c r="E137" s="271"/>
      <c r="F137" s="273">
        <v>75237504850135</v>
      </c>
      <c r="G137" s="271" t="s">
        <v>7</v>
      </c>
      <c r="H137" s="273">
        <v>30708847247</v>
      </c>
      <c r="I137" s="316" t="s">
        <v>946</v>
      </c>
      <c r="J137" s="317">
        <v>1</v>
      </c>
      <c r="K137" s="316" t="s">
        <v>646</v>
      </c>
      <c r="L137" s="321">
        <v>17117.52</v>
      </c>
      <c r="M137" s="273">
        <v>0</v>
      </c>
      <c r="N137" s="273">
        <v>0</v>
      </c>
      <c r="O137" s="271">
        <v>684.7</v>
      </c>
      <c r="P137" s="274">
        <v>3594.68</v>
      </c>
      <c r="Q137" s="271">
        <v>21396.9</v>
      </c>
      <c r="R137" s="271"/>
      <c r="S137" s="271"/>
      <c r="T137" s="271"/>
      <c r="U137" s="271"/>
    </row>
    <row r="138" spans="1:21" x14ac:dyDescent="0.25">
      <c r="A138" s="271" t="s">
        <v>1270</v>
      </c>
      <c r="B138" s="271" t="s">
        <v>644</v>
      </c>
      <c r="C138" s="273">
        <v>47</v>
      </c>
      <c r="D138" s="317">
        <v>44105</v>
      </c>
      <c r="E138" s="316"/>
      <c r="F138" s="317">
        <v>75237505727268</v>
      </c>
      <c r="G138" s="316" t="s">
        <v>7</v>
      </c>
      <c r="H138" s="317">
        <v>30708847247</v>
      </c>
      <c r="I138" s="316" t="s">
        <v>946</v>
      </c>
      <c r="J138" s="317">
        <v>1</v>
      </c>
      <c r="K138" s="316" t="s">
        <v>646</v>
      </c>
      <c r="L138" s="321">
        <v>17696.38</v>
      </c>
      <c r="M138" s="273">
        <v>0</v>
      </c>
      <c r="N138" s="273">
        <v>0</v>
      </c>
      <c r="O138" s="274">
        <v>707.85</v>
      </c>
      <c r="P138" s="274">
        <v>3716.24</v>
      </c>
      <c r="Q138" s="274">
        <v>22120.47</v>
      </c>
      <c r="R138" s="271"/>
      <c r="S138" s="271"/>
      <c r="T138" s="271"/>
      <c r="U138" s="271"/>
    </row>
    <row r="139" spans="1:21" x14ac:dyDescent="0.25">
      <c r="A139" s="271" t="s">
        <v>1270</v>
      </c>
      <c r="B139" s="271" t="s">
        <v>644</v>
      </c>
      <c r="C139" s="273">
        <v>47</v>
      </c>
      <c r="D139" s="317">
        <v>44101</v>
      </c>
      <c r="E139" s="316"/>
      <c r="F139" s="317">
        <v>75237504446020</v>
      </c>
      <c r="G139" s="316" t="s">
        <v>7</v>
      </c>
      <c r="H139" s="317">
        <v>30708847247</v>
      </c>
      <c r="I139" s="316" t="s">
        <v>946</v>
      </c>
      <c r="J139" s="317">
        <v>1</v>
      </c>
      <c r="K139" s="316" t="s">
        <v>646</v>
      </c>
      <c r="L139" s="321">
        <v>17696.38</v>
      </c>
      <c r="M139" s="273">
        <v>0</v>
      </c>
      <c r="N139" s="273">
        <v>0</v>
      </c>
      <c r="O139" s="274">
        <v>707.85</v>
      </c>
      <c r="P139" s="274">
        <v>3716.24</v>
      </c>
      <c r="Q139" s="274">
        <v>22120.47</v>
      </c>
      <c r="R139" s="271"/>
      <c r="S139" s="271"/>
      <c r="T139" s="271"/>
      <c r="U139" s="271"/>
    </row>
    <row r="140" spans="1:21" x14ac:dyDescent="0.25">
      <c r="A140" s="271" t="s">
        <v>1270</v>
      </c>
      <c r="B140" s="271" t="s">
        <v>666</v>
      </c>
      <c r="C140" s="273">
        <v>47</v>
      </c>
      <c r="D140" s="317">
        <v>1348</v>
      </c>
      <c r="E140" s="316"/>
      <c r="F140" s="317">
        <v>75237505394349</v>
      </c>
      <c r="G140" s="316" t="s">
        <v>7</v>
      </c>
      <c r="H140" s="317">
        <v>30708847247</v>
      </c>
      <c r="I140" s="316" t="s">
        <v>946</v>
      </c>
      <c r="J140" s="317">
        <v>1</v>
      </c>
      <c r="K140" s="316" t="s">
        <v>646</v>
      </c>
      <c r="L140" s="321">
        <v>17696.38</v>
      </c>
      <c r="M140" s="273">
        <v>0</v>
      </c>
      <c r="N140" s="273">
        <v>0</v>
      </c>
      <c r="O140" s="274">
        <v>707.85</v>
      </c>
      <c r="P140" s="274">
        <v>3716.24</v>
      </c>
      <c r="Q140" s="274">
        <v>22120.47</v>
      </c>
      <c r="R140" s="271"/>
      <c r="S140" s="271"/>
      <c r="T140" s="271"/>
      <c r="U140" s="271"/>
    </row>
    <row r="141" spans="1:21" x14ac:dyDescent="0.25">
      <c r="A141" s="271" t="s">
        <v>1298</v>
      </c>
      <c r="B141" s="271" t="s">
        <v>644</v>
      </c>
      <c r="C141" s="273">
        <v>47</v>
      </c>
      <c r="D141" s="317">
        <v>45532</v>
      </c>
      <c r="E141" s="316"/>
      <c r="F141" s="317">
        <v>75257746425663</v>
      </c>
      <c r="G141" s="316" t="s">
        <v>7</v>
      </c>
      <c r="H141" s="317">
        <v>30708847247</v>
      </c>
      <c r="I141" s="316" t="s">
        <v>946</v>
      </c>
      <c r="J141" s="317">
        <v>1</v>
      </c>
      <c r="K141" s="316" t="s">
        <v>646</v>
      </c>
      <c r="L141" s="321">
        <v>17696.38</v>
      </c>
      <c r="M141" s="273">
        <v>0</v>
      </c>
      <c r="N141" s="273">
        <v>0</v>
      </c>
      <c r="O141" s="274">
        <v>707.85</v>
      </c>
      <c r="P141" s="274">
        <v>3716.24</v>
      </c>
      <c r="Q141" s="274">
        <v>22120.47</v>
      </c>
      <c r="R141" s="271"/>
      <c r="S141" s="271"/>
      <c r="T141" s="271"/>
      <c r="U141" s="271"/>
    </row>
    <row r="142" spans="1:21" x14ac:dyDescent="0.25">
      <c r="A142" s="271" t="s">
        <v>1454</v>
      </c>
      <c r="B142" s="271" t="s">
        <v>644</v>
      </c>
      <c r="C142" s="273">
        <v>26</v>
      </c>
      <c r="D142" s="273">
        <v>210065</v>
      </c>
      <c r="E142" s="271"/>
      <c r="F142" s="273">
        <v>75267226391166</v>
      </c>
      <c r="G142" s="271" t="s">
        <v>7</v>
      </c>
      <c r="H142" s="273">
        <v>30708847247</v>
      </c>
      <c r="I142" s="316" t="s">
        <v>946</v>
      </c>
      <c r="J142" s="317">
        <v>1</v>
      </c>
      <c r="K142" s="316" t="s">
        <v>646</v>
      </c>
      <c r="L142" s="321">
        <v>19467.240000000002</v>
      </c>
      <c r="M142" s="273">
        <v>0</v>
      </c>
      <c r="N142" s="273">
        <v>0</v>
      </c>
      <c r="O142" s="274">
        <v>778.69</v>
      </c>
      <c r="P142" s="274">
        <v>4088.12</v>
      </c>
      <c r="Q142" s="274">
        <v>24334.05</v>
      </c>
      <c r="R142" s="271"/>
      <c r="S142" s="271"/>
      <c r="T142" s="271"/>
      <c r="U142" s="271"/>
    </row>
    <row r="143" spans="1:21" x14ac:dyDescent="0.25">
      <c r="A143" s="271" t="s">
        <v>1264</v>
      </c>
      <c r="B143" s="271" t="s">
        <v>644</v>
      </c>
      <c r="C143" s="273">
        <v>32</v>
      </c>
      <c r="D143" s="273">
        <v>163320</v>
      </c>
      <c r="E143" s="271"/>
      <c r="F143" s="317">
        <v>75227268937679</v>
      </c>
      <c r="G143" s="316" t="s">
        <v>7</v>
      </c>
      <c r="H143" s="317">
        <v>30708847247</v>
      </c>
      <c r="I143" s="316" t="s">
        <v>946</v>
      </c>
      <c r="J143" s="317">
        <v>1</v>
      </c>
      <c r="K143" s="316" t="s">
        <v>646</v>
      </c>
      <c r="L143" s="321">
        <v>312323.14</v>
      </c>
      <c r="M143" s="273">
        <v>0</v>
      </c>
      <c r="N143" s="273">
        <v>0</v>
      </c>
      <c r="O143" s="274">
        <v>12492.93</v>
      </c>
      <c r="P143" s="274">
        <v>65587.86</v>
      </c>
      <c r="Q143" s="274">
        <v>390403.93</v>
      </c>
      <c r="R143" s="271"/>
      <c r="S143" s="271"/>
      <c r="T143" s="271"/>
      <c r="U143" s="271"/>
    </row>
    <row r="144" spans="1:21" x14ac:dyDescent="0.25">
      <c r="A144" s="323" t="s">
        <v>1264</v>
      </c>
      <c r="B144" s="323" t="s">
        <v>1264</v>
      </c>
      <c r="C144" s="323" t="s">
        <v>1314</v>
      </c>
      <c r="D144" s="323" t="s">
        <v>598</v>
      </c>
      <c r="E144" s="323" t="s">
        <v>1257</v>
      </c>
      <c r="F144" s="324" t="s">
        <v>987</v>
      </c>
      <c r="G144" s="324">
        <v>0</v>
      </c>
      <c r="H144" s="324" t="s">
        <v>1257</v>
      </c>
      <c r="I144" s="324" t="s">
        <v>598</v>
      </c>
      <c r="J144" s="322">
        <v>312323.15000000002</v>
      </c>
      <c r="K144" s="320">
        <v>0</v>
      </c>
      <c r="L144" s="271">
        <v>0</v>
      </c>
      <c r="M144" s="271">
        <v>0</v>
      </c>
      <c r="N144" s="271">
        <v>65587.86</v>
      </c>
      <c r="O144" s="271">
        <v>0</v>
      </c>
      <c r="P144" s="271">
        <v>0</v>
      </c>
      <c r="Q144" s="271">
        <v>0</v>
      </c>
      <c r="R144" s="271">
        <v>0</v>
      </c>
      <c r="S144" s="271">
        <v>0</v>
      </c>
      <c r="T144" s="271">
        <v>12492.93</v>
      </c>
      <c r="U144" s="271">
        <v>390403.94</v>
      </c>
    </row>
    <row r="145" spans="1:21" x14ac:dyDescent="0.25">
      <c r="A145" s="323" t="s">
        <v>1270</v>
      </c>
      <c r="B145" s="323" t="s">
        <v>1270</v>
      </c>
      <c r="C145" s="324" t="s">
        <v>1332</v>
      </c>
      <c r="D145" s="324" t="s">
        <v>598</v>
      </c>
      <c r="E145" s="324" t="s">
        <v>1257</v>
      </c>
      <c r="F145" s="324" t="s">
        <v>987</v>
      </c>
      <c r="G145" s="324">
        <v>0</v>
      </c>
      <c r="H145" s="324" t="s">
        <v>1257</v>
      </c>
      <c r="I145" s="324" t="s">
        <v>598</v>
      </c>
      <c r="J145" s="322">
        <v>17696.36</v>
      </c>
      <c r="K145" s="320">
        <v>0</v>
      </c>
      <c r="L145" s="271">
        <v>0</v>
      </c>
      <c r="M145" s="271">
        <v>0</v>
      </c>
      <c r="N145" s="271">
        <v>3716.24</v>
      </c>
      <c r="O145" s="271">
        <v>0</v>
      </c>
      <c r="P145" s="271">
        <v>0</v>
      </c>
      <c r="Q145" s="271">
        <v>0</v>
      </c>
      <c r="R145" s="271">
        <v>0</v>
      </c>
      <c r="S145" s="271">
        <v>0</v>
      </c>
      <c r="T145" s="271">
        <v>707.85</v>
      </c>
      <c r="U145" s="271">
        <v>22120.45</v>
      </c>
    </row>
    <row r="146" spans="1:21" x14ac:dyDescent="0.25">
      <c r="A146" s="323" t="s">
        <v>1270</v>
      </c>
      <c r="B146" s="323" t="s">
        <v>1270</v>
      </c>
      <c r="C146" s="323" t="s">
        <v>1340</v>
      </c>
      <c r="D146" s="323" t="s">
        <v>598</v>
      </c>
      <c r="E146" s="323" t="s">
        <v>1257</v>
      </c>
      <c r="F146" s="323" t="s">
        <v>987</v>
      </c>
      <c r="G146" s="323">
        <v>0</v>
      </c>
      <c r="H146" s="323" t="s">
        <v>1257</v>
      </c>
      <c r="I146" s="324" t="s">
        <v>598</v>
      </c>
      <c r="J146" s="322">
        <v>17117.53</v>
      </c>
      <c r="K146" s="320">
        <v>0</v>
      </c>
      <c r="L146" s="271">
        <v>0</v>
      </c>
      <c r="M146" s="271">
        <v>0</v>
      </c>
      <c r="N146" s="271">
        <v>3594.68</v>
      </c>
      <c r="O146" s="271">
        <v>0</v>
      </c>
      <c r="P146" s="271">
        <v>0</v>
      </c>
      <c r="Q146" s="271">
        <v>0</v>
      </c>
      <c r="R146" s="271">
        <v>0</v>
      </c>
      <c r="S146" s="271">
        <v>0</v>
      </c>
      <c r="T146" s="271">
        <v>684.7</v>
      </c>
      <c r="U146" s="271">
        <v>21396.91</v>
      </c>
    </row>
    <row r="147" spans="1:21" x14ac:dyDescent="0.25">
      <c r="A147" s="323" t="s">
        <v>1279</v>
      </c>
      <c r="B147" s="323" t="s">
        <v>1279</v>
      </c>
      <c r="C147" s="323" t="s">
        <v>1377</v>
      </c>
      <c r="D147" s="323" t="s">
        <v>598</v>
      </c>
      <c r="E147" s="323" t="s">
        <v>1257</v>
      </c>
      <c r="F147" s="323" t="s">
        <v>987</v>
      </c>
      <c r="G147" s="323">
        <v>0</v>
      </c>
      <c r="H147" s="323" t="s">
        <v>1257</v>
      </c>
      <c r="I147" s="324" t="s">
        <v>598</v>
      </c>
      <c r="J147" s="322">
        <v>10912.56</v>
      </c>
      <c r="K147" s="320">
        <v>0</v>
      </c>
      <c r="L147" s="271">
        <v>0</v>
      </c>
      <c r="M147" s="271">
        <v>0</v>
      </c>
      <c r="N147" s="271">
        <v>2291.64</v>
      </c>
      <c r="O147" s="271">
        <v>0</v>
      </c>
      <c r="P147" s="271">
        <v>0</v>
      </c>
      <c r="Q147" s="271">
        <v>0</v>
      </c>
      <c r="R147" s="271">
        <v>0</v>
      </c>
      <c r="S147" s="271">
        <v>0</v>
      </c>
      <c r="T147" s="271">
        <v>436.5</v>
      </c>
      <c r="U147" s="271">
        <v>13640.7</v>
      </c>
    </row>
    <row r="148" spans="1:21" x14ac:dyDescent="0.25">
      <c r="A148" s="323" t="s">
        <v>1298</v>
      </c>
      <c r="B148" s="323" t="s">
        <v>1298</v>
      </c>
      <c r="C148" s="324" t="s">
        <v>1429</v>
      </c>
      <c r="D148" s="324" t="s">
        <v>598</v>
      </c>
      <c r="E148" s="324" t="s">
        <v>1257</v>
      </c>
      <c r="F148" s="324" t="s">
        <v>987</v>
      </c>
      <c r="G148" s="324">
        <v>0</v>
      </c>
      <c r="H148" s="324" t="s">
        <v>1257</v>
      </c>
      <c r="I148" s="324" t="s">
        <v>598</v>
      </c>
      <c r="J148" s="322">
        <v>17696.36</v>
      </c>
      <c r="K148" s="320">
        <v>0</v>
      </c>
      <c r="L148" s="271">
        <v>0</v>
      </c>
      <c r="M148" s="271">
        <v>0</v>
      </c>
      <c r="N148" s="271">
        <v>3716.24</v>
      </c>
      <c r="O148" s="271">
        <v>0</v>
      </c>
      <c r="P148" s="271">
        <v>0</v>
      </c>
      <c r="Q148" s="271">
        <v>0</v>
      </c>
      <c r="R148" s="271">
        <v>0</v>
      </c>
      <c r="S148" s="271">
        <v>0</v>
      </c>
      <c r="T148" s="271">
        <v>707.85</v>
      </c>
      <c r="U148" s="271">
        <v>22120.45</v>
      </c>
    </row>
    <row r="149" spans="1:21" x14ac:dyDescent="0.25">
      <c r="A149" s="323" t="s">
        <v>1454</v>
      </c>
      <c r="B149" s="323" t="s">
        <v>1454</v>
      </c>
      <c r="C149" s="323" t="s">
        <v>1493</v>
      </c>
      <c r="D149" s="323" t="s">
        <v>598</v>
      </c>
      <c r="E149" s="323" t="s">
        <v>1257</v>
      </c>
      <c r="F149" s="323" t="s">
        <v>987</v>
      </c>
      <c r="G149" s="323">
        <v>0</v>
      </c>
      <c r="H149" s="323" t="s">
        <v>1257</v>
      </c>
      <c r="I149" s="324" t="s">
        <v>598</v>
      </c>
      <c r="J149" s="322">
        <v>19467.240000000002</v>
      </c>
      <c r="K149" s="320">
        <v>0</v>
      </c>
      <c r="L149" s="271">
        <v>0</v>
      </c>
      <c r="M149" s="271">
        <v>0</v>
      </c>
      <c r="N149" s="271">
        <v>4088.12</v>
      </c>
      <c r="O149" s="271">
        <v>0</v>
      </c>
      <c r="P149" s="271">
        <v>0</v>
      </c>
      <c r="Q149" s="271">
        <v>0</v>
      </c>
      <c r="R149" s="271">
        <v>0</v>
      </c>
      <c r="S149" s="271">
        <v>0</v>
      </c>
      <c r="T149" s="271">
        <v>778.69</v>
      </c>
      <c r="U149" s="271">
        <v>24334.05</v>
      </c>
    </row>
    <row r="150" spans="1:21" x14ac:dyDescent="0.25">
      <c r="A150" s="323" t="s">
        <v>1168</v>
      </c>
      <c r="B150" s="323" t="s">
        <v>1306</v>
      </c>
      <c r="C150" s="323" t="s">
        <v>1440</v>
      </c>
      <c r="D150" s="323" t="s">
        <v>1229</v>
      </c>
      <c r="E150" s="323" t="s">
        <v>1230</v>
      </c>
      <c r="F150" s="323" t="s">
        <v>987</v>
      </c>
      <c r="G150" s="323">
        <v>0</v>
      </c>
      <c r="H150" s="323" t="s">
        <v>1230</v>
      </c>
      <c r="I150" s="324" t="s">
        <v>1229</v>
      </c>
      <c r="J150" s="320">
        <v>74887.789999999994</v>
      </c>
      <c r="K150" s="320">
        <v>0</v>
      </c>
      <c r="L150" s="271">
        <v>0</v>
      </c>
      <c r="M150" s="271">
        <v>0</v>
      </c>
      <c r="N150" s="271">
        <v>15726.44</v>
      </c>
      <c r="O150" s="271">
        <v>0</v>
      </c>
      <c r="P150" s="271">
        <v>0</v>
      </c>
      <c r="Q150" s="271">
        <v>0</v>
      </c>
      <c r="R150" s="271">
        <v>0</v>
      </c>
      <c r="S150" s="271">
        <v>0</v>
      </c>
      <c r="T150" s="271">
        <v>0</v>
      </c>
      <c r="U150" s="271">
        <v>90614.23</v>
      </c>
    </row>
    <row r="151" spans="1:21" x14ac:dyDescent="0.25">
      <c r="A151" s="323" t="s">
        <v>1175</v>
      </c>
      <c r="B151" s="323" t="s">
        <v>1306</v>
      </c>
      <c r="C151" s="323" t="s">
        <v>1442</v>
      </c>
      <c r="D151" s="323" t="s">
        <v>1229</v>
      </c>
      <c r="E151" s="323" t="s">
        <v>1230</v>
      </c>
      <c r="F151" s="323" t="s">
        <v>987</v>
      </c>
      <c r="G151" s="323">
        <v>0</v>
      </c>
      <c r="H151" s="323" t="s">
        <v>1230</v>
      </c>
      <c r="I151" s="324" t="s">
        <v>1229</v>
      </c>
      <c r="J151" s="320">
        <v>66589.88</v>
      </c>
      <c r="K151" s="320">
        <v>0</v>
      </c>
      <c r="L151" s="271">
        <v>0</v>
      </c>
      <c r="M151" s="271">
        <v>0</v>
      </c>
      <c r="N151" s="271">
        <v>13983.87</v>
      </c>
      <c r="O151" s="271">
        <v>9090.1200000000008</v>
      </c>
      <c r="P151" s="271">
        <v>0</v>
      </c>
      <c r="Q151" s="271">
        <v>0</v>
      </c>
      <c r="R151" s="271">
        <v>1036.07</v>
      </c>
      <c r="S151" s="271">
        <v>0</v>
      </c>
      <c r="T151" s="271">
        <v>0</v>
      </c>
      <c r="U151" s="271">
        <v>90699.94</v>
      </c>
    </row>
    <row r="152" spans="1:21" x14ac:dyDescent="0.25">
      <c r="A152" s="271" t="s">
        <v>1267</v>
      </c>
      <c r="B152" s="271" t="s">
        <v>644</v>
      </c>
      <c r="C152" s="273">
        <v>7</v>
      </c>
      <c r="D152" s="273">
        <v>21225</v>
      </c>
      <c r="E152" s="271"/>
      <c r="F152" s="273">
        <v>75228436880904</v>
      </c>
      <c r="G152" s="271" t="s">
        <v>7</v>
      </c>
      <c r="H152" s="273">
        <v>30709214078</v>
      </c>
      <c r="I152" s="316" t="s">
        <v>934</v>
      </c>
      <c r="J152" s="273">
        <v>1</v>
      </c>
      <c r="K152" s="271" t="s">
        <v>646</v>
      </c>
      <c r="L152" s="319">
        <v>382030</v>
      </c>
      <c r="M152" s="273">
        <v>0</v>
      </c>
      <c r="N152" s="273">
        <v>0</v>
      </c>
      <c r="O152" s="273">
        <v>0</v>
      </c>
      <c r="P152" s="271">
        <v>80226.3</v>
      </c>
      <c r="Q152" s="271">
        <v>462256.3</v>
      </c>
      <c r="R152" s="271"/>
      <c r="S152" s="271"/>
      <c r="T152" s="271"/>
      <c r="U152" s="271"/>
    </row>
    <row r="153" spans="1:21" x14ac:dyDescent="0.25">
      <c r="A153" s="323" t="s">
        <v>1267</v>
      </c>
      <c r="B153" s="323" t="s">
        <v>1267</v>
      </c>
      <c r="C153" s="323" t="s">
        <v>1330</v>
      </c>
      <c r="D153" s="323" t="s">
        <v>934</v>
      </c>
      <c r="E153" s="323" t="s">
        <v>1331</v>
      </c>
      <c r="F153" s="323" t="s">
        <v>987</v>
      </c>
      <c r="G153" s="323">
        <v>0</v>
      </c>
      <c r="H153" s="323" t="s">
        <v>1331</v>
      </c>
      <c r="I153" s="324" t="s">
        <v>934</v>
      </c>
      <c r="J153" s="320">
        <v>382030</v>
      </c>
      <c r="K153" s="320">
        <v>0</v>
      </c>
      <c r="L153" s="271">
        <v>0</v>
      </c>
      <c r="M153" s="271">
        <v>0</v>
      </c>
      <c r="N153" s="271">
        <v>80226.3</v>
      </c>
      <c r="O153" s="271">
        <v>0</v>
      </c>
      <c r="P153" s="271">
        <v>0</v>
      </c>
      <c r="Q153" s="271">
        <v>0</v>
      </c>
      <c r="R153" s="271">
        <v>0</v>
      </c>
      <c r="S153" s="271">
        <v>0</v>
      </c>
      <c r="T153" s="271">
        <v>0</v>
      </c>
      <c r="U153" s="271">
        <v>462256.3</v>
      </c>
    </row>
    <row r="154" spans="1:21" x14ac:dyDescent="0.25">
      <c r="A154" s="271" t="s">
        <v>1274</v>
      </c>
      <c r="B154" s="271" t="s">
        <v>644</v>
      </c>
      <c r="C154" s="273">
        <v>9</v>
      </c>
      <c r="D154" s="273">
        <v>13423</v>
      </c>
      <c r="E154" s="271"/>
      <c r="F154" s="273">
        <v>75230833124610</v>
      </c>
      <c r="G154" s="271" t="s">
        <v>7</v>
      </c>
      <c r="H154" s="273">
        <v>30709531960</v>
      </c>
      <c r="I154" s="316" t="s">
        <v>1350</v>
      </c>
      <c r="J154" s="273">
        <v>1</v>
      </c>
      <c r="K154" s="271" t="s">
        <v>646</v>
      </c>
      <c r="L154" s="319">
        <v>11990.8</v>
      </c>
      <c r="M154" s="273">
        <v>0</v>
      </c>
      <c r="N154" s="273">
        <v>0</v>
      </c>
      <c r="O154" s="274">
        <v>479.63</v>
      </c>
      <c r="P154" s="274">
        <v>2518.0700000000002</v>
      </c>
      <c r="Q154" s="271">
        <v>14988.5</v>
      </c>
      <c r="R154" s="271"/>
      <c r="S154" s="271"/>
      <c r="T154" s="271"/>
      <c r="U154" s="271"/>
    </row>
    <row r="155" spans="1:21" x14ac:dyDescent="0.25">
      <c r="A155" s="323" t="s">
        <v>1274</v>
      </c>
      <c r="B155" s="323" t="s">
        <v>1274</v>
      </c>
      <c r="C155" s="323" t="s">
        <v>1349</v>
      </c>
      <c r="D155" s="323" t="s">
        <v>1350</v>
      </c>
      <c r="E155" s="323" t="s">
        <v>1351</v>
      </c>
      <c r="F155" s="323" t="s">
        <v>987</v>
      </c>
      <c r="G155" s="323">
        <v>0</v>
      </c>
      <c r="H155" s="323" t="s">
        <v>1351</v>
      </c>
      <c r="I155" s="324" t="s">
        <v>1350</v>
      </c>
      <c r="J155" s="320">
        <v>11990.8</v>
      </c>
      <c r="K155" s="320">
        <v>0</v>
      </c>
      <c r="L155" s="271">
        <v>0</v>
      </c>
      <c r="M155" s="271">
        <v>0</v>
      </c>
      <c r="N155" s="271">
        <v>2518.0700000000002</v>
      </c>
      <c r="O155" s="271">
        <v>0</v>
      </c>
      <c r="P155" s="271">
        <v>0</v>
      </c>
      <c r="Q155" s="271">
        <v>0</v>
      </c>
      <c r="R155" s="271">
        <v>479.63</v>
      </c>
      <c r="S155" s="271">
        <v>0</v>
      </c>
      <c r="T155" s="271">
        <v>0</v>
      </c>
      <c r="U155" s="271">
        <v>14988.5</v>
      </c>
    </row>
    <row r="156" spans="1:21" x14ac:dyDescent="0.25">
      <c r="A156" s="271" t="s">
        <v>1264</v>
      </c>
      <c r="B156" s="271" t="s">
        <v>644</v>
      </c>
      <c r="C156" s="273">
        <v>6</v>
      </c>
      <c r="D156" s="273">
        <v>57748</v>
      </c>
      <c r="E156" s="271"/>
      <c r="F156" s="273">
        <v>75228285648509</v>
      </c>
      <c r="G156" s="271" t="s">
        <v>7</v>
      </c>
      <c r="H156" s="273">
        <v>30710177658</v>
      </c>
      <c r="I156" s="316" t="s">
        <v>674</v>
      </c>
      <c r="J156" s="273">
        <v>1</v>
      </c>
      <c r="K156" s="271" t="s">
        <v>646</v>
      </c>
      <c r="L156" s="319">
        <v>113400</v>
      </c>
      <c r="M156" s="273">
        <v>0</v>
      </c>
      <c r="N156" s="273">
        <v>0</v>
      </c>
      <c r="O156" s="273">
        <v>0</v>
      </c>
      <c r="P156" s="273">
        <v>23814</v>
      </c>
      <c r="Q156" s="273">
        <v>137214</v>
      </c>
      <c r="R156" s="271"/>
      <c r="S156" s="271"/>
      <c r="T156" s="271"/>
      <c r="U156" s="271"/>
    </row>
    <row r="157" spans="1:21" x14ac:dyDescent="0.25">
      <c r="A157" s="271" t="s">
        <v>1306</v>
      </c>
      <c r="B157" s="271" t="s">
        <v>644</v>
      </c>
      <c r="C157" s="273">
        <v>6</v>
      </c>
      <c r="D157" s="273">
        <v>58014</v>
      </c>
      <c r="E157" s="271"/>
      <c r="F157" s="273">
        <v>75268018543431</v>
      </c>
      <c r="G157" s="271" t="s">
        <v>7</v>
      </c>
      <c r="H157" s="273">
        <v>30710177658</v>
      </c>
      <c r="I157" s="316" t="s">
        <v>674</v>
      </c>
      <c r="J157" s="273">
        <v>1</v>
      </c>
      <c r="K157" s="271" t="s">
        <v>646</v>
      </c>
      <c r="L157" s="319">
        <v>1800000</v>
      </c>
      <c r="M157" s="273">
        <v>0</v>
      </c>
      <c r="N157" s="273">
        <v>0</v>
      </c>
      <c r="O157" s="273">
        <v>0</v>
      </c>
      <c r="P157" s="273">
        <v>189000</v>
      </c>
      <c r="Q157" s="273">
        <v>1989000</v>
      </c>
      <c r="R157" s="271"/>
      <c r="S157" s="271"/>
      <c r="T157" s="271"/>
      <c r="U157" s="271"/>
    </row>
    <row r="158" spans="1:21" x14ac:dyDescent="0.25">
      <c r="A158" s="323" t="s">
        <v>1264</v>
      </c>
      <c r="B158" s="323" t="s">
        <v>1264</v>
      </c>
      <c r="C158" s="323" t="s">
        <v>1312</v>
      </c>
      <c r="D158" s="323" t="s">
        <v>118</v>
      </c>
      <c r="E158" s="323" t="s">
        <v>1228</v>
      </c>
      <c r="F158" s="323" t="s">
        <v>987</v>
      </c>
      <c r="G158" s="323">
        <v>0</v>
      </c>
      <c r="H158" s="323" t="s">
        <v>1228</v>
      </c>
      <c r="I158" s="324" t="s">
        <v>118</v>
      </c>
      <c r="J158" s="320">
        <v>113400</v>
      </c>
      <c r="K158" s="320">
        <v>0</v>
      </c>
      <c r="L158" s="271">
        <v>0</v>
      </c>
      <c r="M158" s="271">
        <v>0</v>
      </c>
      <c r="N158" s="271">
        <v>23814</v>
      </c>
      <c r="O158" s="271">
        <v>0</v>
      </c>
      <c r="P158" s="271">
        <v>0</v>
      </c>
      <c r="Q158" s="271">
        <v>0</v>
      </c>
      <c r="R158" s="271">
        <v>0</v>
      </c>
      <c r="S158" s="271">
        <v>0</v>
      </c>
      <c r="T158" s="271">
        <v>0</v>
      </c>
      <c r="U158" s="271">
        <v>137214</v>
      </c>
    </row>
    <row r="159" spans="1:21" x14ac:dyDescent="0.25">
      <c r="A159" s="323" t="s">
        <v>1306</v>
      </c>
      <c r="B159" s="323" t="s">
        <v>1306</v>
      </c>
      <c r="C159" s="323" t="s">
        <v>1437</v>
      </c>
      <c r="D159" s="323" t="s">
        <v>118</v>
      </c>
      <c r="E159" s="323" t="s">
        <v>1228</v>
      </c>
      <c r="F159" s="323" t="s">
        <v>987</v>
      </c>
      <c r="G159" s="323">
        <v>0</v>
      </c>
      <c r="H159" s="323" t="s">
        <v>1228</v>
      </c>
      <c r="I159" s="324" t="s">
        <v>118</v>
      </c>
      <c r="J159" s="320">
        <v>0</v>
      </c>
      <c r="K159" s="320">
        <v>0</v>
      </c>
      <c r="L159" s="271">
        <v>0</v>
      </c>
      <c r="M159" s="271">
        <v>0</v>
      </c>
      <c r="N159" s="271">
        <v>189000</v>
      </c>
      <c r="O159" s="271">
        <v>0</v>
      </c>
      <c r="P159" s="271">
        <v>0</v>
      </c>
      <c r="Q159" s="271">
        <v>0</v>
      </c>
      <c r="R159" s="271">
        <v>0</v>
      </c>
      <c r="S159" s="271">
        <v>0</v>
      </c>
      <c r="T159" s="271">
        <v>0</v>
      </c>
      <c r="U159" s="271">
        <v>1989000</v>
      </c>
    </row>
    <row r="160" spans="1:21" x14ac:dyDescent="0.25">
      <c r="A160" s="271" t="s">
        <v>1280</v>
      </c>
      <c r="B160" s="271" t="s">
        <v>644</v>
      </c>
      <c r="C160" s="273">
        <v>11</v>
      </c>
      <c r="D160" s="273">
        <v>75307</v>
      </c>
      <c r="E160" s="271"/>
      <c r="F160" s="273">
        <v>75242582024096</v>
      </c>
      <c r="G160" s="271" t="s">
        <v>7</v>
      </c>
      <c r="H160" s="273">
        <v>30711091552</v>
      </c>
      <c r="I160" s="316" t="s">
        <v>967</v>
      </c>
      <c r="J160" s="317">
        <v>1</v>
      </c>
      <c r="K160" s="316" t="s">
        <v>646</v>
      </c>
      <c r="L160" s="321">
        <v>60991.74</v>
      </c>
      <c r="M160" s="273">
        <v>0</v>
      </c>
      <c r="N160" s="273">
        <v>0</v>
      </c>
      <c r="O160" s="273">
        <v>0</v>
      </c>
      <c r="P160" s="274">
        <v>12808.27</v>
      </c>
      <c r="Q160" s="274">
        <v>73800.009999999995</v>
      </c>
      <c r="R160" s="271"/>
      <c r="S160" s="271"/>
      <c r="T160" s="271"/>
      <c r="U160" s="271"/>
    </row>
    <row r="161" spans="1:21" x14ac:dyDescent="0.25">
      <c r="A161" s="323" t="s">
        <v>1280</v>
      </c>
      <c r="B161" s="323" t="s">
        <v>1280</v>
      </c>
      <c r="C161" s="323" t="s">
        <v>1388</v>
      </c>
      <c r="D161" s="323" t="s">
        <v>967</v>
      </c>
      <c r="E161" s="323" t="s">
        <v>1389</v>
      </c>
      <c r="F161" s="323" t="s">
        <v>987</v>
      </c>
      <c r="G161" s="323">
        <v>0</v>
      </c>
      <c r="H161" s="323" t="s">
        <v>1389</v>
      </c>
      <c r="I161" s="324" t="s">
        <v>967</v>
      </c>
      <c r="J161" s="320">
        <v>60991.74</v>
      </c>
      <c r="K161" s="320">
        <v>0</v>
      </c>
      <c r="L161" s="271">
        <v>0</v>
      </c>
      <c r="M161" s="271">
        <v>0</v>
      </c>
      <c r="N161" s="271">
        <v>12808.27</v>
      </c>
      <c r="O161" s="271">
        <v>0</v>
      </c>
      <c r="P161" s="271">
        <v>0</v>
      </c>
      <c r="Q161" s="271">
        <v>0</v>
      </c>
      <c r="R161" s="271">
        <v>0</v>
      </c>
      <c r="S161" s="271">
        <v>0</v>
      </c>
      <c r="T161" s="271">
        <v>0</v>
      </c>
      <c r="U161" s="271">
        <v>73800.009999999995</v>
      </c>
    </row>
    <row r="162" spans="1:21" x14ac:dyDescent="0.25">
      <c r="A162" s="271" t="s">
        <v>1306</v>
      </c>
      <c r="B162" s="271" t="s">
        <v>644</v>
      </c>
      <c r="C162" s="273">
        <v>3</v>
      </c>
      <c r="D162" s="273">
        <v>69</v>
      </c>
      <c r="E162" s="271"/>
      <c r="F162" s="273">
        <v>75260701113465</v>
      </c>
      <c r="G162" s="271" t="s">
        <v>7</v>
      </c>
      <c r="H162" s="273">
        <v>30711229090</v>
      </c>
      <c r="I162" s="316" t="s">
        <v>1453</v>
      </c>
      <c r="J162" s="273">
        <v>1</v>
      </c>
      <c r="K162" s="271" t="s">
        <v>646</v>
      </c>
      <c r="L162" s="319">
        <v>16363.62</v>
      </c>
      <c r="M162" s="273">
        <v>0</v>
      </c>
      <c r="N162" s="273">
        <v>0</v>
      </c>
      <c r="O162" s="273">
        <v>0</v>
      </c>
      <c r="P162" s="274">
        <v>3436.36</v>
      </c>
      <c r="Q162" s="273">
        <v>19800</v>
      </c>
      <c r="R162" s="271"/>
      <c r="S162" s="271"/>
      <c r="T162" s="271"/>
      <c r="U162" s="271"/>
    </row>
    <row r="163" spans="1:21" x14ac:dyDescent="0.25">
      <c r="A163" s="323" t="s">
        <v>1306</v>
      </c>
      <c r="B163" s="323" t="s">
        <v>1306</v>
      </c>
      <c r="C163" s="323" t="s">
        <v>1484</v>
      </c>
      <c r="D163" s="323" t="s">
        <v>1453</v>
      </c>
      <c r="E163" s="323" t="s">
        <v>1485</v>
      </c>
      <c r="F163" s="323" t="s">
        <v>987</v>
      </c>
      <c r="G163" s="323">
        <v>0</v>
      </c>
      <c r="H163" s="323" t="s">
        <v>1485</v>
      </c>
      <c r="I163" s="324" t="s">
        <v>1453</v>
      </c>
      <c r="J163" s="320">
        <v>16363.64</v>
      </c>
      <c r="K163" s="320">
        <v>0</v>
      </c>
      <c r="L163" s="271">
        <v>0</v>
      </c>
      <c r="M163" s="271">
        <v>0</v>
      </c>
      <c r="N163" s="271">
        <v>3436.36</v>
      </c>
      <c r="O163" s="271">
        <v>0</v>
      </c>
      <c r="P163" s="271">
        <v>0</v>
      </c>
      <c r="Q163" s="271">
        <v>0</v>
      </c>
      <c r="R163" s="271">
        <v>0</v>
      </c>
      <c r="S163" s="271">
        <v>0</v>
      </c>
      <c r="T163" s="271">
        <v>0</v>
      </c>
      <c r="U163" s="271">
        <v>19800</v>
      </c>
    </row>
    <row r="164" spans="1:21" x14ac:dyDescent="0.25">
      <c r="A164" s="271" t="s">
        <v>1277</v>
      </c>
      <c r="B164" s="271" t="s">
        <v>644</v>
      </c>
      <c r="C164" s="273">
        <v>3</v>
      </c>
      <c r="D164" s="273">
        <v>50019</v>
      </c>
      <c r="E164" s="271"/>
      <c r="F164" s="273">
        <v>75238188678974</v>
      </c>
      <c r="G164" s="271" t="s">
        <v>7</v>
      </c>
      <c r="H164" s="273">
        <v>30711454388</v>
      </c>
      <c r="I164" s="316" t="s">
        <v>947</v>
      </c>
      <c r="J164" s="273">
        <v>1</v>
      </c>
      <c r="K164" s="271" t="s">
        <v>646</v>
      </c>
      <c r="L164" s="319">
        <v>19614</v>
      </c>
      <c r="M164" s="273">
        <v>0</v>
      </c>
      <c r="N164" s="273">
        <v>0</v>
      </c>
      <c r="O164" s="273">
        <v>0</v>
      </c>
      <c r="P164" s="274">
        <v>4118.9399999999996</v>
      </c>
      <c r="Q164" s="274">
        <v>23732.94</v>
      </c>
      <c r="R164" s="271"/>
      <c r="S164" s="271"/>
      <c r="T164" s="271"/>
      <c r="U164" s="271"/>
    </row>
    <row r="165" spans="1:21" x14ac:dyDescent="0.25">
      <c r="A165" s="271" t="s">
        <v>1277</v>
      </c>
      <c r="B165" s="271" t="s">
        <v>644</v>
      </c>
      <c r="C165" s="273">
        <v>3</v>
      </c>
      <c r="D165" s="273">
        <v>50020</v>
      </c>
      <c r="E165" s="271"/>
      <c r="F165" s="273">
        <v>75238188802052</v>
      </c>
      <c r="G165" s="271" t="s">
        <v>7</v>
      </c>
      <c r="H165" s="273">
        <v>30711454388</v>
      </c>
      <c r="I165" s="316" t="s">
        <v>947</v>
      </c>
      <c r="J165" s="273">
        <v>1</v>
      </c>
      <c r="K165" s="271" t="s">
        <v>646</v>
      </c>
      <c r="L165" s="319">
        <v>92754</v>
      </c>
      <c r="M165" s="273">
        <v>0</v>
      </c>
      <c r="N165" s="273">
        <v>0</v>
      </c>
      <c r="O165" s="273">
        <v>0</v>
      </c>
      <c r="P165" s="274">
        <v>19478.34</v>
      </c>
      <c r="Q165" s="274">
        <v>112232.34</v>
      </c>
      <c r="R165" s="271"/>
      <c r="S165" s="271"/>
      <c r="T165" s="271"/>
      <c r="U165" s="271"/>
    </row>
    <row r="166" spans="1:21" x14ac:dyDescent="0.25">
      <c r="A166" s="271" t="s">
        <v>1278</v>
      </c>
      <c r="B166" s="271" t="s">
        <v>644</v>
      </c>
      <c r="C166" s="273">
        <v>3</v>
      </c>
      <c r="D166" s="273">
        <v>50038</v>
      </c>
      <c r="E166" s="271"/>
      <c r="F166" s="273">
        <v>75238328381294</v>
      </c>
      <c r="G166" s="271" t="s">
        <v>7</v>
      </c>
      <c r="H166" s="273">
        <v>30711454388</v>
      </c>
      <c r="I166" s="316" t="s">
        <v>947</v>
      </c>
      <c r="J166" s="273">
        <v>1</v>
      </c>
      <c r="K166" s="271" t="s">
        <v>646</v>
      </c>
      <c r="L166" s="319">
        <v>186576</v>
      </c>
      <c r="M166" s="273">
        <v>0</v>
      </c>
      <c r="N166" s="273">
        <v>0</v>
      </c>
      <c r="O166" s="273">
        <v>0</v>
      </c>
      <c r="P166" s="274">
        <v>39180.959999999999</v>
      </c>
      <c r="Q166" s="274">
        <v>225756.96</v>
      </c>
      <c r="R166" s="271"/>
      <c r="S166" s="271"/>
      <c r="T166" s="271"/>
      <c r="U166" s="271"/>
    </row>
    <row r="167" spans="1:21" x14ac:dyDescent="0.25">
      <c r="A167" s="271" t="s">
        <v>1459</v>
      </c>
      <c r="B167" s="271" t="s">
        <v>644</v>
      </c>
      <c r="C167" s="273">
        <v>3</v>
      </c>
      <c r="D167" s="273">
        <v>50365</v>
      </c>
      <c r="E167" s="271"/>
      <c r="F167" s="273">
        <v>75268533835834</v>
      </c>
      <c r="G167" s="271" t="s">
        <v>7</v>
      </c>
      <c r="H167" s="273">
        <v>30711454388</v>
      </c>
      <c r="I167" s="316" t="s">
        <v>947</v>
      </c>
      <c r="J167" s="273">
        <v>1</v>
      </c>
      <c r="K167" s="271" t="s">
        <v>646</v>
      </c>
      <c r="L167" s="319">
        <v>272682</v>
      </c>
      <c r="M167" s="273">
        <v>0</v>
      </c>
      <c r="N167" s="273">
        <v>0</v>
      </c>
      <c r="O167" s="273">
        <v>0</v>
      </c>
      <c r="P167" s="274">
        <v>57263.22</v>
      </c>
      <c r="Q167" s="274">
        <v>329945.21999999997</v>
      </c>
      <c r="R167" s="271"/>
      <c r="S167" s="271"/>
      <c r="T167" s="271"/>
      <c r="U167" s="271"/>
    </row>
    <row r="168" spans="1:21" x14ac:dyDescent="0.25">
      <c r="A168" s="323" t="s">
        <v>1277</v>
      </c>
      <c r="B168" s="323" t="s">
        <v>1277</v>
      </c>
      <c r="C168" s="323" t="s">
        <v>1359</v>
      </c>
      <c r="D168" s="323" t="s">
        <v>947</v>
      </c>
      <c r="E168" s="323" t="s">
        <v>1231</v>
      </c>
      <c r="F168" s="323" t="s">
        <v>987</v>
      </c>
      <c r="G168" s="323">
        <v>0</v>
      </c>
      <c r="H168" s="323" t="s">
        <v>1231</v>
      </c>
      <c r="I168" s="324" t="s">
        <v>947</v>
      </c>
      <c r="J168" s="320">
        <v>19614</v>
      </c>
      <c r="K168" s="320">
        <v>0</v>
      </c>
      <c r="L168" s="271">
        <v>0</v>
      </c>
      <c r="M168" s="271">
        <v>0</v>
      </c>
      <c r="N168" s="271">
        <v>4118.9399999999996</v>
      </c>
      <c r="O168" s="271">
        <v>0</v>
      </c>
      <c r="P168" s="271">
        <v>0</v>
      </c>
      <c r="Q168" s="271">
        <v>0</v>
      </c>
      <c r="R168" s="271">
        <v>0</v>
      </c>
      <c r="S168" s="271">
        <v>0</v>
      </c>
      <c r="T168" s="271">
        <v>0</v>
      </c>
      <c r="U168" s="271">
        <v>23732.94</v>
      </c>
    </row>
    <row r="169" spans="1:21" x14ac:dyDescent="0.25">
      <c r="A169" s="323" t="s">
        <v>1277</v>
      </c>
      <c r="B169" s="323" t="s">
        <v>1277</v>
      </c>
      <c r="C169" s="323" t="s">
        <v>1360</v>
      </c>
      <c r="D169" s="323" t="s">
        <v>947</v>
      </c>
      <c r="E169" s="323" t="s">
        <v>1231</v>
      </c>
      <c r="F169" s="323" t="s">
        <v>987</v>
      </c>
      <c r="G169" s="323">
        <v>0</v>
      </c>
      <c r="H169" s="323" t="s">
        <v>1231</v>
      </c>
      <c r="I169" s="324" t="s">
        <v>947</v>
      </c>
      <c r="J169" s="320">
        <v>92754</v>
      </c>
      <c r="K169" s="320">
        <v>0</v>
      </c>
      <c r="L169" s="271">
        <v>0</v>
      </c>
      <c r="M169" s="271">
        <v>0</v>
      </c>
      <c r="N169" s="271">
        <v>19478.34</v>
      </c>
      <c r="O169" s="271">
        <v>0</v>
      </c>
      <c r="P169" s="271">
        <v>0</v>
      </c>
      <c r="Q169" s="271">
        <v>0</v>
      </c>
      <c r="R169" s="271">
        <v>0</v>
      </c>
      <c r="S169" s="271">
        <v>0</v>
      </c>
      <c r="T169" s="271">
        <v>0</v>
      </c>
      <c r="U169" s="271">
        <v>112232.34</v>
      </c>
    </row>
    <row r="170" spans="1:21" x14ac:dyDescent="0.25">
      <c r="A170" s="323" t="s">
        <v>1278</v>
      </c>
      <c r="B170" s="323" t="s">
        <v>1278</v>
      </c>
      <c r="C170" s="323" t="s">
        <v>1371</v>
      </c>
      <c r="D170" s="323" t="s">
        <v>947</v>
      </c>
      <c r="E170" s="323" t="s">
        <v>1231</v>
      </c>
      <c r="F170" s="323" t="s">
        <v>987</v>
      </c>
      <c r="G170" s="323">
        <v>0</v>
      </c>
      <c r="H170" s="323" t="s">
        <v>1231</v>
      </c>
      <c r="I170" s="324" t="s">
        <v>947</v>
      </c>
      <c r="J170" s="320">
        <v>186576</v>
      </c>
      <c r="K170" s="320">
        <v>0</v>
      </c>
      <c r="L170" s="271">
        <v>0</v>
      </c>
      <c r="M170" s="271">
        <v>0</v>
      </c>
      <c r="N170" s="271">
        <v>39180.959999999999</v>
      </c>
      <c r="O170" s="271">
        <v>0</v>
      </c>
      <c r="P170" s="271">
        <v>0</v>
      </c>
      <c r="Q170" s="271">
        <v>0</v>
      </c>
      <c r="R170" s="271">
        <v>0</v>
      </c>
      <c r="S170" s="271">
        <v>0</v>
      </c>
      <c r="T170" s="271">
        <v>0</v>
      </c>
      <c r="U170" s="271">
        <v>225756.96</v>
      </c>
    </row>
    <row r="171" spans="1:21" x14ac:dyDescent="0.25">
      <c r="A171" s="323" t="s">
        <v>1459</v>
      </c>
      <c r="B171" s="323" t="s">
        <v>1459</v>
      </c>
      <c r="C171" s="323" t="s">
        <v>1498</v>
      </c>
      <c r="D171" s="323" t="s">
        <v>947</v>
      </c>
      <c r="E171" s="323" t="s">
        <v>1231</v>
      </c>
      <c r="F171" s="323" t="s">
        <v>987</v>
      </c>
      <c r="G171" s="323">
        <v>0</v>
      </c>
      <c r="H171" s="323" t="s">
        <v>1231</v>
      </c>
      <c r="I171" s="324" t="s">
        <v>947</v>
      </c>
      <c r="J171" s="320">
        <v>272682</v>
      </c>
      <c r="K171" s="320">
        <v>0</v>
      </c>
      <c r="L171" s="271">
        <v>0</v>
      </c>
      <c r="M171" s="271">
        <v>0</v>
      </c>
      <c r="N171" s="271">
        <v>57263.22</v>
      </c>
      <c r="O171" s="271">
        <v>0</v>
      </c>
      <c r="P171" s="271">
        <v>0</v>
      </c>
      <c r="Q171" s="271">
        <v>0</v>
      </c>
      <c r="R171" s="271">
        <v>0</v>
      </c>
      <c r="S171" s="271">
        <v>0</v>
      </c>
      <c r="T171" s="271">
        <v>0</v>
      </c>
      <c r="U171" s="271">
        <v>329945.21999999997</v>
      </c>
    </row>
    <row r="172" spans="1:21" x14ac:dyDescent="0.25">
      <c r="A172" s="271" t="s">
        <v>1297</v>
      </c>
      <c r="B172" s="271" t="s">
        <v>666</v>
      </c>
      <c r="C172" s="273">
        <v>6</v>
      </c>
      <c r="D172" s="273">
        <v>13163</v>
      </c>
      <c r="E172" s="271"/>
      <c r="F172" s="273">
        <v>75254323180531</v>
      </c>
      <c r="G172" s="271" t="s">
        <v>7</v>
      </c>
      <c r="H172" s="273">
        <v>30711553564</v>
      </c>
      <c r="I172" s="316" t="s">
        <v>233</v>
      </c>
      <c r="J172" s="273">
        <v>1</v>
      </c>
      <c r="K172" s="271" t="s">
        <v>646</v>
      </c>
      <c r="L172" s="319">
        <v>66848</v>
      </c>
      <c r="M172" s="273">
        <v>0</v>
      </c>
      <c r="N172" s="273">
        <v>0</v>
      </c>
      <c r="O172" s="273">
        <v>0</v>
      </c>
      <c r="P172" s="274">
        <v>14038.08</v>
      </c>
      <c r="Q172" s="274">
        <v>80886.080000000002</v>
      </c>
      <c r="R172" s="271"/>
      <c r="S172" s="271"/>
      <c r="T172" s="271"/>
      <c r="U172" s="271"/>
    </row>
    <row r="173" spans="1:21" x14ac:dyDescent="0.25">
      <c r="A173" s="271" t="s">
        <v>1279</v>
      </c>
      <c r="B173" s="271" t="s">
        <v>644</v>
      </c>
      <c r="C173" s="273">
        <v>6</v>
      </c>
      <c r="D173" s="273">
        <v>92580</v>
      </c>
      <c r="E173" s="271"/>
      <c r="F173" s="273">
        <v>75244462702646</v>
      </c>
      <c r="G173" s="271" t="s">
        <v>7</v>
      </c>
      <c r="H173" s="273">
        <v>30711553564</v>
      </c>
      <c r="I173" s="316" t="s">
        <v>233</v>
      </c>
      <c r="J173" s="273">
        <v>1</v>
      </c>
      <c r="K173" s="271" t="s">
        <v>646</v>
      </c>
      <c r="L173" s="319">
        <v>162786</v>
      </c>
      <c r="M173" s="273">
        <v>0</v>
      </c>
      <c r="N173" s="273">
        <v>0</v>
      </c>
      <c r="O173" s="273">
        <v>0</v>
      </c>
      <c r="P173" s="274">
        <v>34185.06</v>
      </c>
      <c r="Q173" s="274">
        <v>196971.06</v>
      </c>
      <c r="R173" s="271"/>
      <c r="S173" s="271"/>
      <c r="T173" s="271"/>
      <c r="U173" s="271"/>
    </row>
    <row r="174" spans="1:21" x14ac:dyDescent="0.25">
      <c r="A174" s="271" t="s">
        <v>1459</v>
      </c>
      <c r="B174" s="271" t="s">
        <v>644</v>
      </c>
      <c r="C174" s="273">
        <v>6</v>
      </c>
      <c r="D174" s="273">
        <v>93118</v>
      </c>
      <c r="E174" s="271"/>
      <c r="F174" s="273">
        <v>75264614542470</v>
      </c>
      <c r="G174" s="271" t="s">
        <v>7</v>
      </c>
      <c r="H174" s="273">
        <v>30711553564</v>
      </c>
      <c r="I174" s="316" t="s">
        <v>233</v>
      </c>
      <c r="J174" s="273">
        <v>1</v>
      </c>
      <c r="K174" s="271" t="s">
        <v>646</v>
      </c>
      <c r="L174" s="319">
        <v>485160</v>
      </c>
      <c r="M174" s="273">
        <v>0</v>
      </c>
      <c r="N174" s="273">
        <v>0</v>
      </c>
      <c r="O174" s="273">
        <v>0</v>
      </c>
      <c r="P174" s="271">
        <v>101883.6</v>
      </c>
      <c r="Q174" s="271">
        <v>587043.6</v>
      </c>
      <c r="R174" s="271"/>
      <c r="S174" s="271"/>
      <c r="T174" s="271"/>
      <c r="U174" s="271"/>
    </row>
    <row r="175" spans="1:21" x14ac:dyDescent="0.25">
      <c r="A175" s="271" t="s">
        <v>1287</v>
      </c>
      <c r="B175" s="271" t="s">
        <v>644</v>
      </c>
      <c r="C175" s="273">
        <v>6</v>
      </c>
      <c r="D175" s="273">
        <v>92797</v>
      </c>
      <c r="E175" s="271"/>
      <c r="F175" s="273">
        <v>75254265479382</v>
      </c>
      <c r="G175" s="271" t="s">
        <v>7</v>
      </c>
      <c r="H175" s="273">
        <v>30711553564</v>
      </c>
      <c r="I175" s="316" t="s">
        <v>233</v>
      </c>
      <c r="J175" s="273">
        <v>1</v>
      </c>
      <c r="K175" s="271" t="s">
        <v>646</v>
      </c>
      <c r="L175" s="319">
        <v>663938</v>
      </c>
      <c r="M175" s="273">
        <v>0</v>
      </c>
      <c r="N175" s="273">
        <v>0</v>
      </c>
      <c r="O175" s="273">
        <v>0</v>
      </c>
      <c r="P175" s="274">
        <v>139426.98000000001</v>
      </c>
      <c r="Q175" s="274">
        <v>803364.98</v>
      </c>
      <c r="R175" s="271"/>
      <c r="S175" s="271"/>
      <c r="T175" s="271"/>
      <c r="U175" s="271"/>
    </row>
    <row r="176" spans="1:21" x14ac:dyDescent="0.25">
      <c r="A176" s="323" t="s">
        <v>1279</v>
      </c>
      <c r="B176" s="323" t="s">
        <v>1279</v>
      </c>
      <c r="C176" s="323" t="s">
        <v>1375</v>
      </c>
      <c r="D176" s="323" t="s">
        <v>233</v>
      </c>
      <c r="E176" s="323" t="s">
        <v>1241</v>
      </c>
      <c r="F176" s="323" t="s">
        <v>987</v>
      </c>
      <c r="G176" s="323">
        <v>0</v>
      </c>
      <c r="H176" s="323" t="s">
        <v>1241</v>
      </c>
      <c r="I176" s="324" t="s">
        <v>233</v>
      </c>
      <c r="J176" s="320">
        <v>162786</v>
      </c>
      <c r="K176" s="320">
        <v>0</v>
      </c>
      <c r="L176" s="271">
        <v>0</v>
      </c>
      <c r="M176" s="271">
        <v>0</v>
      </c>
      <c r="N176" s="271">
        <v>34185.06</v>
      </c>
      <c r="O176" s="271">
        <v>0</v>
      </c>
      <c r="P176" s="271">
        <v>0</v>
      </c>
      <c r="Q176" s="271">
        <v>0</v>
      </c>
      <c r="R176" s="271">
        <v>0</v>
      </c>
      <c r="S176" s="271">
        <v>0</v>
      </c>
      <c r="T176" s="271">
        <v>0</v>
      </c>
      <c r="U176" s="271">
        <v>196971.06</v>
      </c>
    </row>
    <row r="177" spans="1:21" x14ac:dyDescent="0.25">
      <c r="A177" s="323" t="s">
        <v>1287</v>
      </c>
      <c r="B177" s="323" t="s">
        <v>1287</v>
      </c>
      <c r="C177" s="323" t="s">
        <v>1406</v>
      </c>
      <c r="D177" s="323" t="s">
        <v>233</v>
      </c>
      <c r="E177" s="323" t="s">
        <v>1241</v>
      </c>
      <c r="F177" s="323" t="s">
        <v>987</v>
      </c>
      <c r="G177" s="323">
        <v>0</v>
      </c>
      <c r="H177" s="323" t="s">
        <v>1241</v>
      </c>
      <c r="I177" s="324" t="s">
        <v>233</v>
      </c>
      <c r="J177" s="320">
        <v>663938</v>
      </c>
      <c r="K177" s="320">
        <v>0</v>
      </c>
      <c r="L177" s="271">
        <v>0</v>
      </c>
      <c r="M177" s="271">
        <v>0</v>
      </c>
      <c r="N177" s="271">
        <v>139426.98000000001</v>
      </c>
      <c r="O177" s="271">
        <v>0</v>
      </c>
      <c r="P177" s="271">
        <v>0</v>
      </c>
      <c r="Q177" s="271">
        <v>0</v>
      </c>
      <c r="R177" s="271">
        <v>0</v>
      </c>
      <c r="S177" s="271">
        <v>0</v>
      </c>
      <c r="T177" s="271">
        <v>0</v>
      </c>
      <c r="U177" s="271">
        <v>803364.98</v>
      </c>
    </row>
    <row r="178" spans="1:21" x14ac:dyDescent="0.25">
      <c r="A178" s="323" t="s">
        <v>1297</v>
      </c>
      <c r="B178" s="323" t="s">
        <v>1297</v>
      </c>
      <c r="C178" s="323" t="s">
        <v>1412</v>
      </c>
      <c r="D178" s="323" t="s">
        <v>233</v>
      </c>
      <c r="E178" s="323" t="s">
        <v>1241</v>
      </c>
      <c r="F178" s="323" t="s">
        <v>987</v>
      </c>
      <c r="G178" s="323">
        <v>0</v>
      </c>
      <c r="H178" s="323" t="s">
        <v>1241</v>
      </c>
      <c r="I178" s="324" t="s">
        <v>233</v>
      </c>
      <c r="J178" s="320">
        <v>-66848</v>
      </c>
      <c r="K178" s="320">
        <v>0</v>
      </c>
      <c r="L178" s="271">
        <v>0</v>
      </c>
      <c r="M178" s="271">
        <v>0</v>
      </c>
      <c r="N178" s="271">
        <v>-14038.08</v>
      </c>
      <c r="O178" s="271">
        <v>0</v>
      </c>
      <c r="P178" s="271">
        <v>0</v>
      </c>
      <c r="Q178" s="271">
        <v>0</v>
      </c>
      <c r="R178" s="271">
        <v>0</v>
      </c>
      <c r="S178" s="271">
        <v>0</v>
      </c>
      <c r="T178" s="271">
        <v>0</v>
      </c>
      <c r="U178" s="271">
        <v>-80886.080000000002</v>
      </c>
    </row>
    <row r="179" spans="1:21" x14ac:dyDescent="0.25">
      <c r="A179" s="323" t="s">
        <v>1459</v>
      </c>
      <c r="B179" s="323" t="s">
        <v>1459</v>
      </c>
      <c r="C179" s="323" t="s">
        <v>1499</v>
      </c>
      <c r="D179" s="323" t="s">
        <v>233</v>
      </c>
      <c r="E179" s="323" t="s">
        <v>1241</v>
      </c>
      <c r="F179" s="323" t="s">
        <v>987</v>
      </c>
      <c r="G179" s="323">
        <v>0</v>
      </c>
      <c r="H179" s="323" t="s">
        <v>1241</v>
      </c>
      <c r="I179" s="324" t="s">
        <v>233</v>
      </c>
      <c r="J179" s="320">
        <v>485160</v>
      </c>
      <c r="K179" s="320">
        <v>0</v>
      </c>
      <c r="L179" s="271">
        <v>0</v>
      </c>
      <c r="M179" s="271">
        <v>0</v>
      </c>
      <c r="N179" s="271">
        <v>101883.6</v>
      </c>
      <c r="O179" s="271">
        <v>0</v>
      </c>
      <c r="P179" s="271">
        <v>0</v>
      </c>
      <c r="Q179" s="271">
        <v>0</v>
      </c>
      <c r="R179" s="271">
        <v>0</v>
      </c>
      <c r="S179" s="271">
        <v>0</v>
      </c>
      <c r="T179" s="271">
        <v>0</v>
      </c>
      <c r="U179" s="271">
        <v>587043.6</v>
      </c>
    </row>
    <row r="180" spans="1:21" x14ac:dyDescent="0.25">
      <c r="A180" s="271" t="s">
        <v>1298</v>
      </c>
      <c r="B180" s="271" t="s">
        <v>644</v>
      </c>
      <c r="C180" s="273">
        <v>17</v>
      </c>
      <c r="D180" s="273">
        <v>3047</v>
      </c>
      <c r="E180" s="271"/>
      <c r="F180" s="273">
        <v>75251736714599</v>
      </c>
      <c r="G180" s="271" t="s">
        <v>7</v>
      </c>
      <c r="H180" s="273">
        <v>30711764921</v>
      </c>
      <c r="I180" s="316" t="s">
        <v>651</v>
      </c>
      <c r="J180" s="273">
        <v>1</v>
      </c>
      <c r="K180" s="271" t="s">
        <v>646</v>
      </c>
      <c r="L180" s="319">
        <v>40800</v>
      </c>
      <c r="M180" s="273">
        <v>0</v>
      </c>
      <c r="N180" s="273">
        <v>0</v>
      </c>
      <c r="O180" s="273">
        <v>0</v>
      </c>
      <c r="P180" s="273">
        <v>8568</v>
      </c>
      <c r="Q180" s="273">
        <v>49368</v>
      </c>
      <c r="R180" s="271"/>
      <c r="S180" s="271"/>
      <c r="T180" s="271"/>
      <c r="U180" s="271"/>
    </row>
    <row r="181" spans="1:21" x14ac:dyDescent="0.25">
      <c r="A181" s="271" t="s">
        <v>1274</v>
      </c>
      <c r="B181" s="271" t="s">
        <v>644</v>
      </c>
      <c r="C181" s="273">
        <v>17</v>
      </c>
      <c r="D181" s="273">
        <v>2996</v>
      </c>
      <c r="E181" s="271"/>
      <c r="F181" s="273">
        <v>75231806200168</v>
      </c>
      <c r="G181" s="271" t="s">
        <v>7</v>
      </c>
      <c r="H181" s="273">
        <v>30711764921</v>
      </c>
      <c r="I181" s="316" t="s">
        <v>651</v>
      </c>
      <c r="J181" s="273">
        <v>1</v>
      </c>
      <c r="K181" s="271" t="s">
        <v>646</v>
      </c>
      <c r="L181" s="319">
        <v>93310</v>
      </c>
      <c r="M181" s="273">
        <v>0</v>
      </c>
      <c r="N181" s="273">
        <v>0</v>
      </c>
      <c r="O181" s="273">
        <v>0</v>
      </c>
      <c r="P181" s="271">
        <v>19595.099999999999</v>
      </c>
      <c r="Q181" s="271">
        <v>112905.1</v>
      </c>
      <c r="R181" s="271"/>
      <c r="S181" s="271"/>
      <c r="T181" s="271"/>
      <c r="U181" s="271"/>
    </row>
    <row r="182" spans="1:21" x14ac:dyDescent="0.25">
      <c r="A182" s="271" t="s">
        <v>1454</v>
      </c>
      <c r="B182" s="271" t="s">
        <v>644</v>
      </c>
      <c r="C182" s="273">
        <v>17</v>
      </c>
      <c r="D182" s="273">
        <v>3055</v>
      </c>
      <c r="E182" s="271"/>
      <c r="F182" s="273">
        <v>75261242360876</v>
      </c>
      <c r="G182" s="271" t="s">
        <v>7</v>
      </c>
      <c r="H182" s="273">
        <v>30711764921</v>
      </c>
      <c r="I182" s="316" t="s">
        <v>651</v>
      </c>
      <c r="J182" s="273">
        <v>1</v>
      </c>
      <c r="K182" s="271" t="s">
        <v>646</v>
      </c>
      <c r="L182" s="319">
        <v>93681</v>
      </c>
      <c r="M182" s="273">
        <v>0</v>
      </c>
      <c r="N182" s="273">
        <v>0</v>
      </c>
      <c r="O182" s="273">
        <v>0</v>
      </c>
      <c r="P182" s="274">
        <v>19673.009999999998</v>
      </c>
      <c r="Q182" s="274">
        <v>113354.01</v>
      </c>
      <c r="R182" s="271"/>
      <c r="S182" s="271"/>
      <c r="T182" s="271"/>
      <c r="U182" s="271"/>
    </row>
    <row r="183" spans="1:21" x14ac:dyDescent="0.25">
      <c r="A183" s="271" t="s">
        <v>1267</v>
      </c>
      <c r="B183" s="271" t="s">
        <v>644</v>
      </c>
      <c r="C183" s="273">
        <v>17</v>
      </c>
      <c r="D183" s="273">
        <v>2985</v>
      </c>
      <c r="E183" s="271"/>
      <c r="F183" s="273">
        <v>75221409470159</v>
      </c>
      <c r="G183" s="271" t="s">
        <v>7</v>
      </c>
      <c r="H183" s="273">
        <v>30711764921</v>
      </c>
      <c r="I183" s="316" t="s">
        <v>651</v>
      </c>
      <c r="J183" s="273">
        <v>1</v>
      </c>
      <c r="K183" s="271" t="s">
        <v>646</v>
      </c>
      <c r="L183" s="319">
        <v>136572</v>
      </c>
      <c r="M183" s="273">
        <v>0</v>
      </c>
      <c r="N183" s="273">
        <v>0</v>
      </c>
      <c r="O183" s="273">
        <v>0</v>
      </c>
      <c r="P183" s="274">
        <v>28680.12</v>
      </c>
      <c r="Q183" s="274">
        <v>165252.12</v>
      </c>
      <c r="R183" s="271"/>
      <c r="S183" s="271"/>
      <c r="T183" s="271"/>
      <c r="U183" s="271"/>
    </row>
    <row r="184" spans="1:21" x14ac:dyDescent="0.25">
      <c r="A184" s="323" t="s">
        <v>1267</v>
      </c>
      <c r="B184" s="323" t="s">
        <v>1267</v>
      </c>
      <c r="C184" s="323" t="s">
        <v>1328</v>
      </c>
      <c r="D184" s="323" t="s">
        <v>651</v>
      </c>
      <c r="E184" s="323" t="s">
        <v>1329</v>
      </c>
      <c r="F184" s="323" t="s">
        <v>987</v>
      </c>
      <c r="G184" s="323">
        <v>0</v>
      </c>
      <c r="H184" s="323" t="s">
        <v>1329</v>
      </c>
      <c r="I184" s="324" t="s">
        <v>651</v>
      </c>
      <c r="J184" s="320">
        <v>136572</v>
      </c>
      <c r="K184" s="320">
        <v>0</v>
      </c>
      <c r="L184" s="271">
        <v>0</v>
      </c>
      <c r="M184" s="271">
        <v>0</v>
      </c>
      <c r="N184" s="271">
        <v>28680.12</v>
      </c>
      <c r="O184" s="271">
        <v>0</v>
      </c>
      <c r="P184" s="271">
        <v>0</v>
      </c>
      <c r="Q184" s="271">
        <v>0</v>
      </c>
      <c r="R184" s="271">
        <v>0</v>
      </c>
      <c r="S184" s="271">
        <v>0</v>
      </c>
      <c r="T184" s="271">
        <v>0</v>
      </c>
      <c r="U184" s="271">
        <v>165252.12</v>
      </c>
    </row>
    <row r="185" spans="1:21" x14ac:dyDescent="0.25">
      <c r="A185" s="323" t="s">
        <v>1274</v>
      </c>
      <c r="B185" s="323" t="s">
        <v>1274</v>
      </c>
      <c r="C185" s="323" t="s">
        <v>1348</v>
      </c>
      <c r="D185" s="323" t="s">
        <v>651</v>
      </c>
      <c r="E185" s="323" t="s">
        <v>1329</v>
      </c>
      <c r="F185" s="323" t="s">
        <v>987</v>
      </c>
      <c r="G185" s="323">
        <v>0</v>
      </c>
      <c r="H185" s="323" t="s">
        <v>1329</v>
      </c>
      <c r="I185" s="324" t="s">
        <v>651</v>
      </c>
      <c r="J185" s="320">
        <v>93310</v>
      </c>
      <c r="K185" s="320">
        <v>0</v>
      </c>
      <c r="L185" s="271">
        <v>0</v>
      </c>
      <c r="M185" s="271">
        <v>0</v>
      </c>
      <c r="N185" s="271">
        <v>19595.099999999999</v>
      </c>
      <c r="O185" s="271">
        <v>0</v>
      </c>
      <c r="P185" s="271">
        <v>0</v>
      </c>
      <c r="Q185" s="271">
        <v>0</v>
      </c>
      <c r="R185" s="271">
        <v>0</v>
      </c>
      <c r="S185" s="271">
        <v>0</v>
      </c>
      <c r="T185" s="271">
        <v>0</v>
      </c>
      <c r="U185" s="271">
        <v>112905.1</v>
      </c>
    </row>
    <row r="186" spans="1:21" x14ac:dyDescent="0.25">
      <c r="A186" s="323" t="s">
        <v>1298</v>
      </c>
      <c r="B186" s="323" t="s">
        <v>1298</v>
      </c>
      <c r="C186" s="323" t="s">
        <v>1433</v>
      </c>
      <c r="D186" s="323" t="s">
        <v>651</v>
      </c>
      <c r="E186" s="323" t="s">
        <v>1329</v>
      </c>
      <c r="F186" s="323" t="s">
        <v>987</v>
      </c>
      <c r="G186" s="323">
        <v>0</v>
      </c>
      <c r="H186" s="323" t="s">
        <v>1329</v>
      </c>
      <c r="I186" s="324" t="s">
        <v>651</v>
      </c>
      <c r="J186" s="320">
        <v>40800</v>
      </c>
      <c r="K186" s="320">
        <v>0</v>
      </c>
      <c r="L186" s="271">
        <v>0</v>
      </c>
      <c r="M186" s="271">
        <v>0</v>
      </c>
      <c r="N186" s="271">
        <v>8568</v>
      </c>
      <c r="O186" s="271">
        <v>0</v>
      </c>
      <c r="P186" s="271">
        <v>0</v>
      </c>
      <c r="Q186" s="271">
        <v>0</v>
      </c>
      <c r="R186" s="271">
        <v>0</v>
      </c>
      <c r="S186" s="271">
        <v>0</v>
      </c>
      <c r="T186" s="271">
        <v>0</v>
      </c>
      <c r="U186" s="271">
        <v>49368</v>
      </c>
    </row>
    <row r="187" spans="1:21" x14ac:dyDescent="0.25">
      <c r="A187" s="323" t="s">
        <v>1454</v>
      </c>
      <c r="B187" s="323" t="s">
        <v>1454</v>
      </c>
      <c r="C187" s="323" t="s">
        <v>1492</v>
      </c>
      <c r="D187" s="323" t="s">
        <v>651</v>
      </c>
      <c r="E187" s="323" t="s">
        <v>1329</v>
      </c>
      <c r="F187" s="323" t="s">
        <v>987</v>
      </c>
      <c r="G187" s="323">
        <v>0</v>
      </c>
      <c r="H187" s="323" t="s">
        <v>1329</v>
      </c>
      <c r="I187" s="324" t="s">
        <v>651</v>
      </c>
      <c r="J187" s="320">
        <v>93681</v>
      </c>
      <c r="K187" s="320">
        <v>0</v>
      </c>
      <c r="L187" s="271">
        <v>0</v>
      </c>
      <c r="M187" s="271">
        <v>0</v>
      </c>
      <c r="N187" s="271">
        <v>19673.009999999998</v>
      </c>
      <c r="O187" s="271">
        <v>0</v>
      </c>
      <c r="P187" s="271">
        <v>0</v>
      </c>
      <c r="Q187" s="271">
        <v>0</v>
      </c>
      <c r="R187" s="271">
        <v>0</v>
      </c>
      <c r="S187" s="271">
        <v>0</v>
      </c>
      <c r="T187" s="271">
        <v>0</v>
      </c>
      <c r="U187" s="271">
        <v>113354.01</v>
      </c>
    </row>
    <row r="188" spans="1:21" x14ac:dyDescent="0.25">
      <c r="A188" s="271" t="s">
        <v>1277</v>
      </c>
      <c r="B188" s="271" t="s">
        <v>644</v>
      </c>
      <c r="C188" s="273">
        <v>7</v>
      </c>
      <c r="D188" s="273">
        <v>1608</v>
      </c>
      <c r="E188" s="271"/>
      <c r="F188" s="273">
        <v>75236201853693</v>
      </c>
      <c r="G188" s="271" t="s">
        <v>7</v>
      </c>
      <c r="H188" s="273">
        <v>30712187316</v>
      </c>
      <c r="I188" s="316" t="s">
        <v>68</v>
      </c>
      <c r="J188" s="273">
        <v>1200</v>
      </c>
      <c r="K188" s="271" t="s">
        <v>663</v>
      </c>
      <c r="L188" s="319">
        <v>132.06</v>
      </c>
      <c r="M188" s="273">
        <v>0</v>
      </c>
      <c r="N188" s="273">
        <v>0</v>
      </c>
      <c r="O188" s="273">
        <v>0</v>
      </c>
      <c r="P188" s="274">
        <v>27.73</v>
      </c>
      <c r="Q188" s="274">
        <v>159.79</v>
      </c>
      <c r="R188" s="271"/>
      <c r="S188" s="271"/>
      <c r="T188" s="271"/>
      <c r="U188" s="271"/>
    </row>
    <row r="189" spans="1:21" x14ac:dyDescent="0.25">
      <c r="A189" s="271" t="s">
        <v>1277</v>
      </c>
      <c r="B189" s="271" t="s">
        <v>644</v>
      </c>
      <c r="C189" s="273">
        <v>7</v>
      </c>
      <c r="D189" s="273">
        <v>1610</v>
      </c>
      <c r="E189" s="271"/>
      <c r="F189" s="273">
        <v>75236203996273</v>
      </c>
      <c r="G189" s="271" t="s">
        <v>7</v>
      </c>
      <c r="H189" s="273">
        <v>30712187316</v>
      </c>
      <c r="I189" s="316" t="s">
        <v>68</v>
      </c>
      <c r="J189" s="273">
        <v>1200</v>
      </c>
      <c r="K189" s="271" t="s">
        <v>663</v>
      </c>
      <c r="L189" s="319">
        <v>132.06</v>
      </c>
      <c r="M189" s="273">
        <v>0</v>
      </c>
      <c r="N189" s="273">
        <v>0</v>
      </c>
      <c r="O189" s="273">
        <v>0</v>
      </c>
      <c r="P189" s="274">
        <v>27.73</v>
      </c>
      <c r="Q189" s="274">
        <v>159.79</v>
      </c>
      <c r="R189" s="271"/>
      <c r="S189" s="271"/>
      <c r="T189" s="271"/>
      <c r="U189" s="271"/>
    </row>
    <row r="190" spans="1:21" x14ac:dyDescent="0.25">
      <c r="A190" s="271" t="s">
        <v>1454</v>
      </c>
      <c r="B190" s="271" t="s">
        <v>644</v>
      </c>
      <c r="C190" s="273">
        <v>7</v>
      </c>
      <c r="D190" s="273">
        <v>1634</v>
      </c>
      <c r="E190" s="271"/>
      <c r="F190" s="273">
        <v>75266254276859</v>
      </c>
      <c r="G190" s="271" t="s">
        <v>7</v>
      </c>
      <c r="H190" s="273">
        <v>30712187316</v>
      </c>
      <c r="I190" s="316" t="s">
        <v>68</v>
      </c>
      <c r="J190" s="273">
        <v>1205</v>
      </c>
      <c r="K190" s="271" t="s">
        <v>663</v>
      </c>
      <c r="L190" s="319">
        <v>132.80000000000001</v>
      </c>
      <c r="M190" s="273">
        <v>0</v>
      </c>
      <c r="N190" s="273">
        <v>0</v>
      </c>
      <c r="O190" s="273">
        <v>0</v>
      </c>
      <c r="P190" s="274">
        <v>27.89</v>
      </c>
      <c r="Q190" s="274">
        <v>160.69</v>
      </c>
      <c r="R190" s="271"/>
      <c r="S190" s="271"/>
      <c r="T190" s="271"/>
      <c r="U190" s="271"/>
    </row>
    <row r="191" spans="1:21" x14ac:dyDescent="0.25">
      <c r="A191" s="271" t="s">
        <v>1297</v>
      </c>
      <c r="B191" s="271" t="s">
        <v>644</v>
      </c>
      <c r="C191" s="273">
        <v>7</v>
      </c>
      <c r="D191" s="273">
        <v>1623</v>
      </c>
      <c r="E191" s="271"/>
      <c r="F191" s="273">
        <v>75256378086706</v>
      </c>
      <c r="G191" s="271" t="s">
        <v>7</v>
      </c>
      <c r="H191" s="273">
        <v>30712187316</v>
      </c>
      <c r="I191" s="316" t="s">
        <v>68</v>
      </c>
      <c r="J191" s="273">
        <v>1180</v>
      </c>
      <c r="K191" s="271" t="s">
        <v>663</v>
      </c>
      <c r="L191" s="319">
        <v>143.29</v>
      </c>
      <c r="M191" s="273">
        <v>0</v>
      </c>
      <c r="N191" s="273">
        <v>0</v>
      </c>
      <c r="O191" s="273">
        <v>0</v>
      </c>
      <c r="P191" s="274">
        <v>30.09</v>
      </c>
      <c r="Q191" s="274">
        <v>173.38</v>
      </c>
      <c r="R191" s="271"/>
      <c r="S191" s="271"/>
      <c r="T191" s="271"/>
      <c r="U191" s="271"/>
    </row>
    <row r="192" spans="1:21" x14ac:dyDescent="0.25">
      <c r="A192" s="271" t="s">
        <v>1270</v>
      </c>
      <c r="B192" s="271" t="s">
        <v>644</v>
      </c>
      <c r="C192" s="273">
        <v>7</v>
      </c>
      <c r="D192" s="273">
        <v>1602</v>
      </c>
      <c r="E192" s="271"/>
      <c r="F192" s="273">
        <v>75236557962721</v>
      </c>
      <c r="G192" s="271" t="s">
        <v>7</v>
      </c>
      <c r="H192" s="273">
        <v>30712187316</v>
      </c>
      <c r="I192" s="316" t="s">
        <v>68</v>
      </c>
      <c r="J192" s="273">
        <v>1200</v>
      </c>
      <c r="K192" s="271" t="s">
        <v>663</v>
      </c>
      <c r="L192" s="319">
        <v>153.74</v>
      </c>
      <c r="M192" s="273">
        <v>0</v>
      </c>
      <c r="N192" s="273">
        <v>0</v>
      </c>
      <c r="O192" s="273">
        <v>0</v>
      </c>
      <c r="P192" s="274">
        <v>32.29</v>
      </c>
      <c r="Q192" s="274">
        <v>186.03</v>
      </c>
      <c r="R192" s="271"/>
      <c r="S192" s="271"/>
      <c r="T192" s="271"/>
      <c r="U192" s="271"/>
    </row>
    <row r="193" spans="1:21" x14ac:dyDescent="0.25">
      <c r="A193" s="271" t="s">
        <v>1278</v>
      </c>
      <c r="B193" s="271" t="s">
        <v>644</v>
      </c>
      <c r="C193" s="273">
        <v>7</v>
      </c>
      <c r="D193" s="273">
        <v>1611</v>
      </c>
      <c r="E193" s="271"/>
      <c r="F193" s="273">
        <v>75236337590727</v>
      </c>
      <c r="G193" s="271" t="s">
        <v>7</v>
      </c>
      <c r="H193" s="273">
        <v>30712187316</v>
      </c>
      <c r="I193" s="316" t="s">
        <v>68</v>
      </c>
      <c r="J193" s="273">
        <v>1200</v>
      </c>
      <c r="K193" s="271" t="s">
        <v>663</v>
      </c>
      <c r="L193" s="319">
        <v>153.74</v>
      </c>
      <c r="M193" s="273">
        <v>0</v>
      </c>
      <c r="N193" s="273">
        <v>0</v>
      </c>
      <c r="O193" s="273">
        <v>0</v>
      </c>
      <c r="P193" s="274">
        <v>32.29</v>
      </c>
      <c r="Q193" s="274">
        <v>186.03</v>
      </c>
      <c r="R193" s="271"/>
      <c r="S193" s="271"/>
      <c r="T193" s="271"/>
      <c r="U193" s="271"/>
    </row>
    <row r="194" spans="1:21" x14ac:dyDescent="0.25">
      <c r="A194" s="271" t="s">
        <v>1283</v>
      </c>
      <c r="B194" s="271" t="s">
        <v>644</v>
      </c>
      <c r="C194" s="273">
        <v>7</v>
      </c>
      <c r="D194" s="273">
        <v>1616</v>
      </c>
      <c r="E194" s="271"/>
      <c r="F194" s="273">
        <v>75246716022666</v>
      </c>
      <c r="G194" s="271" t="s">
        <v>7</v>
      </c>
      <c r="H194" s="273">
        <v>30712187316</v>
      </c>
      <c r="I194" s="316" t="s">
        <v>68</v>
      </c>
      <c r="J194" s="273">
        <v>1200</v>
      </c>
      <c r="K194" s="271" t="s">
        <v>663</v>
      </c>
      <c r="L194" s="319">
        <v>176.32</v>
      </c>
      <c r="M194" s="273">
        <v>0</v>
      </c>
      <c r="N194" s="273">
        <v>0</v>
      </c>
      <c r="O194" s="273">
        <v>0</v>
      </c>
      <c r="P194" s="274">
        <v>37.03</v>
      </c>
      <c r="Q194" s="274">
        <v>213.35</v>
      </c>
      <c r="R194" s="271"/>
      <c r="S194" s="271"/>
      <c r="T194" s="271"/>
      <c r="U194" s="271"/>
    </row>
    <row r="195" spans="1:21" x14ac:dyDescent="0.25">
      <c r="A195" s="271" t="s">
        <v>1270</v>
      </c>
      <c r="B195" s="271" t="s">
        <v>644</v>
      </c>
      <c r="C195" s="273">
        <v>7</v>
      </c>
      <c r="D195" s="273">
        <v>1601</v>
      </c>
      <c r="E195" s="271"/>
      <c r="F195" s="273">
        <v>75236545936091</v>
      </c>
      <c r="G195" s="271" t="s">
        <v>7</v>
      </c>
      <c r="H195" s="273">
        <v>30712187316</v>
      </c>
      <c r="I195" s="316" t="s">
        <v>68</v>
      </c>
      <c r="J195" s="273">
        <v>1200</v>
      </c>
      <c r="K195" s="271" t="s">
        <v>663</v>
      </c>
      <c r="L195" s="319">
        <v>231.76</v>
      </c>
      <c r="M195" s="273">
        <v>0</v>
      </c>
      <c r="N195" s="273">
        <v>0</v>
      </c>
      <c r="O195" s="273">
        <v>0</v>
      </c>
      <c r="P195" s="274">
        <v>48.67</v>
      </c>
      <c r="Q195" s="274">
        <v>280.43</v>
      </c>
      <c r="R195" s="271"/>
      <c r="S195" s="271"/>
      <c r="T195" s="271"/>
      <c r="U195" s="271"/>
    </row>
    <row r="196" spans="1:21" x14ac:dyDescent="0.25">
      <c r="A196" s="271" t="s">
        <v>1274</v>
      </c>
      <c r="B196" s="271" t="s">
        <v>644</v>
      </c>
      <c r="C196" s="273">
        <v>5</v>
      </c>
      <c r="D196" s="273">
        <v>2457</v>
      </c>
      <c r="E196" s="271"/>
      <c r="F196" s="273">
        <v>75236775873745</v>
      </c>
      <c r="G196" s="271" t="s">
        <v>7</v>
      </c>
      <c r="H196" s="273">
        <v>30712187316</v>
      </c>
      <c r="I196" s="316" t="s">
        <v>68</v>
      </c>
      <c r="J196" s="273">
        <v>1</v>
      </c>
      <c r="K196" s="271" t="s">
        <v>646</v>
      </c>
      <c r="L196" s="319">
        <v>12396.69</v>
      </c>
      <c r="M196" s="273">
        <v>0</v>
      </c>
      <c r="N196" s="273">
        <v>0</v>
      </c>
      <c r="O196" s="273">
        <v>0</v>
      </c>
      <c r="P196" s="271">
        <v>2603.3000000000002</v>
      </c>
      <c r="Q196" s="274">
        <v>14999.99</v>
      </c>
      <c r="R196" s="271"/>
      <c r="S196" s="271"/>
      <c r="T196" s="271"/>
      <c r="U196" s="271"/>
    </row>
    <row r="197" spans="1:21" x14ac:dyDescent="0.25">
      <c r="A197" s="271" t="s">
        <v>1301</v>
      </c>
      <c r="B197" s="271" t="s">
        <v>644</v>
      </c>
      <c r="C197" s="273">
        <v>7</v>
      </c>
      <c r="D197" s="273">
        <v>1628</v>
      </c>
      <c r="E197" s="271"/>
      <c r="F197" s="273">
        <v>75256896700465</v>
      </c>
      <c r="G197" s="271" t="s">
        <v>7</v>
      </c>
      <c r="H197" s="273">
        <v>30712187316</v>
      </c>
      <c r="I197" s="316" t="s">
        <v>68</v>
      </c>
      <c r="J197" s="273">
        <v>1</v>
      </c>
      <c r="K197" s="271" t="s">
        <v>646</v>
      </c>
      <c r="L197" s="319">
        <v>130414.87</v>
      </c>
      <c r="M197" s="273">
        <v>0</v>
      </c>
      <c r="N197" s="273">
        <v>0</v>
      </c>
      <c r="O197" s="273">
        <v>0</v>
      </c>
      <c r="P197" s="274">
        <v>27387.119999999999</v>
      </c>
      <c r="Q197" s="274">
        <v>157801.99</v>
      </c>
      <c r="R197" s="271"/>
      <c r="S197" s="271"/>
      <c r="T197" s="271"/>
      <c r="U197" s="271"/>
    </row>
    <row r="198" spans="1:21" x14ac:dyDescent="0.25">
      <c r="A198" s="323" t="s">
        <v>1270</v>
      </c>
      <c r="B198" s="323" t="s">
        <v>1270</v>
      </c>
      <c r="C198" s="323" t="s">
        <v>1336</v>
      </c>
      <c r="D198" s="323" t="s">
        <v>68</v>
      </c>
      <c r="E198" s="323" t="s">
        <v>1242</v>
      </c>
      <c r="F198" s="323" t="s">
        <v>987</v>
      </c>
      <c r="G198" s="323">
        <v>0</v>
      </c>
      <c r="H198" s="323" t="s">
        <v>1242</v>
      </c>
      <c r="I198" s="324" t="s">
        <v>68</v>
      </c>
      <c r="J198" s="320">
        <v>184488.69</v>
      </c>
      <c r="K198" s="320">
        <v>0</v>
      </c>
      <c r="L198" s="271">
        <v>0</v>
      </c>
      <c r="M198" s="271">
        <v>0</v>
      </c>
      <c r="N198" s="271">
        <v>38742.620000000003</v>
      </c>
      <c r="O198" s="271">
        <v>0</v>
      </c>
      <c r="P198" s="271">
        <v>0</v>
      </c>
      <c r="Q198" s="271">
        <v>0</v>
      </c>
      <c r="R198" s="271">
        <v>0</v>
      </c>
      <c r="S198" s="271">
        <v>0</v>
      </c>
      <c r="T198" s="271">
        <v>0</v>
      </c>
      <c r="U198" s="271">
        <v>223231.31</v>
      </c>
    </row>
    <row r="199" spans="1:21" x14ac:dyDescent="0.25">
      <c r="A199" s="323" t="s">
        <v>1270</v>
      </c>
      <c r="B199" s="323" t="s">
        <v>1270</v>
      </c>
      <c r="C199" s="323" t="s">
        <v>1337</v>
      </c>
      <c r="D199" s="323" t="s">
        <v>68</v>
      </c>
      <c r="E199" s="323" t="s">
        <v>1242</v>
      </c>
      <c r="F199" s="323" t="s">
        <v>987</v>
      </c>
      <c r="G199" s="323">
        <v>0</v>
      </c>
      <c r="H199" s="323" t="s">
        <v>1242</v>
      </c>
      <c r="I199" s="324" t="s">
        <v>68</v>
      </c>
      <c r="J199" s="320">
        <v>278112.69</v>
      </c>
      <c r="K199" s="320">
        <v>0</v>
      </c>
      <c r="L199" s="271">
        <v>0</v>
      </c>
      <c r="M199" s="271">
        <v>0</v>
      </c>
      <c r="N199" s="271">
        <v>58403.66</v>
      </c>
      <c r="O199" s="271">
        <v>0</v>
      </c>
      <c r="P199" s="271">
        <v>0</v>
      </c>
      <c r="Q199" s="271">
        <v>0</v>
      </c>
      <c r="R199" s="271">
        <v>0</v>
      </c>
      <c r="S199" s="271">
        <v>0</v>
      </c>
      <c r="T199" s="271">
        <v>0</v>
      </c>
      <c r="U199" s="271">
        <v>336516.35</v>
      </c>
    </row>
    <row r="200" spans="1:21" x14ac:dyDescent="0.25">
      <c r="A200" s="323" t="s">
        <v>1274</v>
      </c>
      <c r="B200" s="323" t="s">
        <v>1274</v>
      </c>
      <c r="C200" s="323" t="s">
        <v>1344</v>
      </c>
      <c r="D200" s="323" t="s">
        <v>68</v>
      </c>
      <c r="E200" s="323" t="s">
        <v>1242</v>
      </c>
      <c r="F200" s="323" t="s">
        <v>987</v>
      </c>
      <c r="G200" s="323">
        <v>0</v>
      </c>
      <c r="H200" s="323" t="s">
        <v>1242</v>
      </c>
      <c r="I200" s="324" t="s">
        <v>68</v>
      </c>
      <c r="J200" s="320">
        <v>12396.69</v>
      </c>
      <c r="K200" s="320">
        <v>0</v>
      </c>
      <c r="L200" s="271">
        <v>0</v>
      </c>
      <c r="M200" s="271">
        <v>0</v>
      </c>
      <c r="N200" s="271">
        <v>2603.3000000000002</v>
      </c>
      <c r="O200" s="271">
        <v>0</v>
      </c>
      <c r="P200" s="271">
        <v>0</v>
      </c>
      <c r="Q200" s="271">
        <v>0</v>
      </c>
      <c r="R200" s="271">
        <v>0</v>
      </c>
      <c r="S200" s="271">
        <v>0</v>
      </c>
      <c r="T200" s="271">
        <v>0</v>
      </c>
      <c r="U200" s="271">
        <v>14999.99</v>
      </c>
    </row>
    <row r="201" spans="1:21" x14ac:dyDescent="0.25">
      <c r="A201" s="323" t="s">
        <v>1277</v>
      </c>
      <c r="B201" s="323" t="s">
        <v>1277</v>
      </c>
      <c r="C201" s="323" t="s">
        <v>1352</v>
      </c>
      <c r="D201" s="323" t="s">
        <v>68</v>
      </c>
      <c r="E201" s="323" t="s">
        <v>1242</v>
      </c>
      <c r="F201" s="323" t="s">
        <v>987</v>
      </c>
      <c r="G201" s="323">
        <v>0</v>
      </c>
      <c r="H201" s="323" t="s">
        <v>1242</v>
      </c>
      <c r="I201" s="324" t="s">
        <v>68</v>
      </c>
      <c r="J201" s="320">
        <v>158472</v>
      </c>
      <c r="K201" s="320">
        <v>0</v>
      </c>
      <c r="L201" s="271">
        <v>0</v>
      </c>
      <c r="M201" s="271">
        <v>0</v>
      </c>
      <c r="N201" s="271">
        <v>33279.120000000003</v>
      </c>
      <c r="O201" s="271">
        <v>0</v>
      </c>
      <c r="P201" s="271">
        <v>0</v>
      </c>
      <c r="Q201" s="271">
        <v>0</v>
      </c>
      <c r="R201" s="271">
        <v>0</v>
      </c>
      <c r="S201" s="271">
        <v>0</v>
      </c>
      <c r="T201" s="271">
        <v>0</v>
      </c>
      <c r="U201" s="271">
        <v>191751.12</v>
      </c>
    </row>
    <row r="202" spans="1:21" x14ac:dyDescent="0.25">
      <c r="A202" s="323" t="s">
        <v>1278</v>
      </c>
      <c r="B202" s="323" t="s">
        <v>1278</v>
      </c>
      <c r="C202" s="323" t="s">
        <v>1368</v>
      </c>
      <c r="D202" s="323" t="s">
        <v>68</v>
      </c>
      <c r="E202" s="323" t="s">
        <v>1242</v>
      </c>
      <c r="F202" s="323" t="s">
        <v>987</v>
      </c>
      <c r="G202" s="323">
        <v>0</v>
      </c>
      <c r="H202" s="323" t="s">
        <v>1242</v>
      </c>
      <c r="I202" s="324" t="s">
        <v>68</v>
      </c>
      <c r="J202" s="320">
        <v>158472</v>
      </c>
      <c r="K202" s="320">
        <v>0</v>
      </c>
      <c r="L202" s="271">
        <v>0</v>
      </c>
      <c r="M202" s="271">
        <v>0</v>
      </c>
      <c r="N202" s="271">
        <v>33279.120000000003</v>
      </c>
      <c r="O202" s="271">
        <v>0</v>
      </c>
      <c r="P202" s="271">
        <v>0</v>
      </c>
      <c r="Q202" s="271">
        <v>0</v>
      </c>
      <c r="R202" s="271">
        <v>0</v>
      </c>
      <c r="S202" s="271">
        <v>0</v>
      </c>
      <c r="T202" s="271">
        <v>0</v>
      </c>
      <c r="U202" s="271">
        <v>191751.12</v>
      </c>
    </row>
    <row r="203" spans="1:21" x14ac:dyDescent="0.25">
      <c r="A203" s="323" t="s">
        <v>1278</v>
      </c>
      <c r="B203" s="323" t="s">
        <v>1278</v>
      </c>
      <c r="C203" s="323" t="s">
        <v>1369</v>
      </c>
      <c r="D203" s="323" t="s">
        <v>68</v>
      </c>
      <c r="E203" s="323" t="s">
        <v>1242</v>
      </c>
      <c r="F203" s="323" t="s">
        <v>987</v>
      </c>
      <c r="G203" s="323">
        <v>0</v>
      </c>
      <c r="H203" s="323" t="s">
        <v>1242</v>
      </c>
      <c r="I203" s="324" t="s">
        <v>68</v>
      </c>
      <c r="J203" s="320">
        <v>184488</v>
      </c>
      <c r="K203" s="320">
        <v>0</v>
      </c>
      <c r="L203" s="271">
        <v>0</v>
      </c>
      <c r="M203" s="271">
        <v>0</v>
      </c>
      <c r="N203" s="271">
        <v>38742.480000000003</v>
      </c>
      <c r="O203" s="271">
        <v>0</v>
      </c>
      <c r="P203" s="271">
        <v>0</v>
      </c>
      <c r="Q203" s="271">
        <v>0</v>
      </c>
      <c r="R203" s="271">
        <v>0</v>
      </c>
      <c r="S203" s="271">
        <v>0</v>
      </c>
      <c r="T203" s="271">
        <v>0</v>
      </c>
      <c r="U203" s="271">
        <v>223230.48</v>
      </c>
    </row>
    <row r="204" spans="1:21" x14ac:dyDescent="0.25">
      <c r="A204" s="323" t="s">
        <v>1283</v>
      </c>
      <c r="B204" s="323" t="s">
        <v>1283</v>
      </c>
      <c r="C204" s="323" t="s">
        <v>1390</v>
      </c>
      <c r="D204" s="323" t="s">
        <v>68</v>
      </c>
      <c r="E204" s="323" t="s">
        <v>1242</v>
      </c>
      <c r="F204" s="323" t="s">
        <v>987</v>
      </c>
      <c r="G204" s="323">
        <v>0</v>
      </c>
      <c r="H204" s="323" t="s">
        <v>1242</v>
      </c>
      <c r="I204" s="324" t="s">
        <v>68</v>
      </c>
      <c r="J204" s="320">
        <v>211584</v>
      </c>
      <c r="K204" s="320">
        <v>0</v>
      </c>
      <c r="L204" s="271">
        <v>0</v>
      </c>
      <c r="M204" s="271">
        <v>0</v>
      </c>
      <c r="N204" s="271">
        <v>44432.639999999999</v>
      </c>
      <c r="O204" s="271">
        <v>0</v>
      </c>
      <c r="P204" s="271">
        <v>0</v>
      </c>
      <c r="Q204" s="271">
        <v>0</v>
      </c>
      <c r="R204" s="271">
        <v>0</v>
      </c>
      <c r="S204" s="271">
        <v>0</v>
      </c>
      <c r="T204" s="271">
        <v>0</v>
      </c>
      <c r="U204" s="271">
        <v>256016.64000000001</v>
      </c>
    </row>
    <row r="205" spans="1:21" x14ac:dyDescent="0.25">
      <c r="A205" s="323" t="s">
        <v>1297</v>
      </c>
      <c r="B205" s="323" t="s">
        <v>1297</v>
      </c>
      <c r="C205" s="323" t="s">
        <v>1411</v>
      </c>
      <c r="D205" s="323" t="s">
        <v>68</v>
      </c>
      <c r="E205" s="323" t="s">
        <v>1242</v>
      </c>
      <c r="F205" s="323" t="s">
        <v>987</v>
      </c>
      <c r="G205" s="323">
        <v>0</v>
      </c>
      <c r="H205" s="323" t="s">
        <v>1242</v>
      </c>
      <c r="I205" s="324" t="s">
        <v>68</v>
      </c>
      <c r="J205" s="320">
        <v>169082.2</v>
      </c>
      <c r="K205" s="320">
        <v>0</v>
      </c>
      <c r="L205" s="271">
        <v>0</v>
      </c>
      <c r="M205" s="271">
        <v>0</v>
      </c>
      <c r="N205" s="271">
        <v>35507.26</v>
      </c>
      <c r="O205" s="271">
        <v>0</v>
      </c>
      <c r="P205" s="271">
        <v>0</v>
      </c>
      <c r="Q205" s="271">
        <v>0</v>
      </c>
      <c r="R205" s="271">
        <v>0</v>
      </c>
      <c r="S205" s="271">
        <v>0</v>
      </c>
      <c r="T205" s="271">
        <v>0</v>
      </c>
      <c r="U205" s="271">
        <v>204589.46</v>
      </c>
    </row>
    <row r="206" spans="1:21" x14ac:dyDescent="0.25">
      <c r="A206" s="323" t="s">
        <v>1301</v>
      </c>
      <c r="B206" s="323" t="s">
        <v>1301</v>
      </c>
      <c r="C206" s="323" t="s">
        <v>1436</v>
      </c>
      <c r="D206" s="323" t="s">
        <v>68</v>
      </c>
      <c r="E206" s="323" t="s">
        <v>1242</v>
      </c>
      <c r="F206" s="323" t="s">
        <v>987</v>
      </c>
      <c r="G206" s="323">
        <v>0</v>
      </c>
      <c r="H206" s="323" t="s">
        <v>1242</v>
      </c>
      <c r="I206" s="324" t="s">
        <v>68</v>
      </c>
      <c r="J206" s="320">
        <v>130414.87</v>
      </c>
      <c r="K206" s="320">
        <v>0</v>
      </c>
      <c r="L206" s="271">
        <v>0</v>
      </c>
      <c r="M206" s="271">
        <v>0</v>
      </c>
      <c r="N206" s="271">
        <v>27387.119999999999</v>
      </c>
      <c r="O206" s="271">
        <v>0</v>
      </c>
      <c r="P206" s="271">
        <v>0</v>
      </c>
      <c r="Q206" s="271">
        <v>0</v>
      </c>
      <c r="R206" s="271">
        <v>0</v>
      </c>
      <c r="S206" s="271">
        <v>0</v>
      </c>
      <c r="T206" s="271">
        <v>0</v>
      </c>
      <c r="U206" s="271">
        <v>157801.99</v>
      </c>
    </row>
    <row r="207" spans="1:21" x14ac:dyDescent="0.25">
      <c r="A207" s="323" t="s">
        <v>1454</v>
      </c>
      <c r="B207" s="323" t="s">
        <v>1454</v>
      </c>
      <c r="C207" s="323" t="s">
        <v>1494</v>
      </c>
      <c r="D207" s="323" t="s">
        <v>68</v>
      </c>
      <c r="E207" s="323" t="s">
        <v>1242</v>
      </c>
      <c r="F207" s="323" t="s">
        <v>987</v>
      </c>
      <c r="G207" s="323">
        <v>0</v>
      </c>
      <c r="H207" s="323" t="s">
        <v>1242</v>
      </c>
      <c r="I207" s="324" t="s">
        <v>68</v>
      </c>
      <c r="J207" s="320">
        <v>160022.24</v>
      </c>
      <c r="K207" s="320">
        <v>0</v>
      </c>
      <c r="L207" s="271">
        <v>0</v>
      </c>
      <c r="M207" s="271">
        <v>0</v>
      </c>
      <c r="N207" s="271">
        <v>33604.67</v>
      </c>
      <c r="O207" s="271">
        <v>0</v>
      </c>
      <c r="P207" s="271">
        <v>0</v>
      </c>
      <c r="Q207" s="271">
        <v>0</v>
      </c>
      <c r="R207" s="271">
        <v>0</v>
      </c>
      <c r="S207" s="271">
        <v>0</v>
      </c>
      <c r="T207" s="271">
        <v>0</v>
      </c>
      <c r="U207" s="271">
        <v>193626.91</v>
      </c>
    </row>
    <row r="208" spans="1:21" x14ac:dyDescent="0.25">
      <c r="A208" s="271" t="s">
        <v>1306</v>
      </c>
      <c r="B208" s="271" t="s">
        <v>644</v>
      </c>
      <c r="C208" s="273">
        <v>1002</v>
      </c>
      <c r="D208" s="273">
        <v>25376</v>
      </c>
      <c r="E208" s="271"/>
      <c r="F208" s="273">
        <v>75266035995699</v>
      </c>
      <c r="G208" s="271" t="s">
        <v>7</v>
      </c>
      <c r="H208" s="273">
        <v>30712289046</v>
      </c>
      <c r="I208" s="316" t="s">
        <v>1452</v>
      </c>
      <c r="J208" s="273">
        <v>1</v>
      </c>
      <c r="K208" s="271" t="s">
        <v>646</v>
      </c>
      <c r="L208" s="319">
        <v>22072.05</v>
      </c>
      <c r="M208" s="273">
        <v>0</v>
      </c>
      <c r="N208" s="273">
        <v>0</v>
      </c>
      <c r="O208" s="271">
        <v>3292.9</v>
      </c>
      <c r="P208" s="274">
        <v>4635.13</v>
      </c>
      <c r="Q208" s="274">
        <v>30000.080000000002</v>
      </c>
      <c r="R208" s="271"/>
      <c r="S208" s="271"/>
      <c r="T208" s="271"/>
      <c r="U208" s="271"/>
    </row>
    <row r="209" spans="1:21" x14ac:dyDescent="0.25">
      <c r="A209" s="271" t="s">
        <v>1298</v>
      </c>
      <c r="B209" s="271" t="s">
        <v>644</v>
      </c>
      <c r="C209" s="273">
        <v>1002</v>
      </c>
      <c r="D209" s="273">
        <v>25344</v>
      </c>
      <c r="E209" s="271"/>
      <c r="F209" s="273">
        <v>75256795421330</v>
      </c>
      <c r="G209" s="271" t="s">
        <v>7</v>
      </c>
      <c r="H209" s="273">
        <v>30712289046</v>
      </c>
      <c r="I209" s="316" t="s">
        <v>1452</v>
      </c>
      <c r="J209" s="273">
        <v>1</v>
      </c>
      <c r="K209" s="271" t="s">
        <v>646</v>
      </c>
      <c r="L209" s="319">
        <v>36786.71</v>
      </c>
      <c r="M209" s="273">
        <v>0</v>
      </c>
      <c r="N209" s="273">
        <v>0</v>
      </c>
      <c r="O209" s="274">
        <v>5488.16</v>
      </c>
      <c r="P209" s="274">
        <v>7725.21</v>
      </c>
      <c r="Q209" s="274">
        <v>50000.08</v>
      </c>
      <c r="R209" s="271"/>
      <c r="S209" s="271"/>
      <c r="T209" s="271"/>
      <c r="U209" s="271"/>
    </row>
    <row r="210" spans="1:21" x14ac:dyDescent="0.25">
      <c r="A210" s="323" t="s">
        <v>1298</v>
      </c>
      <c r="B210" s="323" t="s">
        <v>1298</v>
      </c>
      <c r="C210" s="323" t="s">
        <v>1477</v>
      </c>
      <c r="D210" s="323" t="s">
        <v>1478</v>
      </c>
      <c r="E210" s="323" t="s">
        <v>1479</v>
      </c>
      <c r="F210" s="323" t="s">
        <v>987</v>
      </c>
      <c r="G210" s="323">
        <v>0</v>
      </c>
      <c r="H210" s="323" t="s">
        <v>1479</v>
      </c>
      <c r="I210" s="324" t="s">
        <v>1478</v>
      </c>
      <c r="J210" s="320">
        <v>36786.71</v>
      </c>
      <c r="K210" s="320">
        <v>0</v>
      </c>
      <c r="L210" s="271">
        <v>5488.16</v>
      </c>
      <c r="M210" s="271">
        <v>0</v>
      </c>
      <c r="N210" s="271">
        <v>7725.21</v>
      </c>
      <c r="O210" s="271">
        <v>0</v>
      </c>
      <c r="P210" s="271">
        <v>0</v>
      </c>
      <c r="Q210" s="271">
        <v>0</v>
      </c>
      <c r="R210" s="271">
        <v>0</v>
      </c>
      <c r="S210" s="271">
        <v>0</v>
      </c>
      <c r="T210" s="271">
        <v>0</v>
      </c>
      <c r="U210" s="271">
        <v>50000.08</v>
      </c>
    </row>
    <row r="211" spans="1:21" x14ac:dyDescent="0.25">
      <c r="A211" s="323" t="s">
        <v>1306</v>
      </c>
      <c r="B211" s="323" t="s">
        <v>1306</v>
      </c>
      <c r="C211" s="323" t="s">
        <v>1483</v>
      </c>
      <c r="D211" s="323" t="s">
        <v>1478</v>
      </c>
      <c r="E211" s="323" t="s">
        <v>1479</v>
      </c>
      <c r="F211" s="323" t="s">
        <v>987</v>
      </c>
      <c r="G211" s="323">
        <v>0</v>
      </c>
      <c r="H211" s="323" t="s">
        <v>1479</v>
      </c>
      <c r="I211" s="324" t="s">
        <v>1478</v>
      </c>
      <c r="J211" s="320">
        <v>22072.05</v>
      </c>
      <c r="K211" s="320">
        <v>0</v>
      </c>
      <c r="L211" s="271">
        <v>3292.9</v>
      </c>
      <c r="M211" s="271">
        <v>0</v>
      </c>
      <c r="N211" s="271">
        <v>4635.13</v>
      </c>
      <c r="O211" s="271">
        <v>0</v>
      </c>
      <c r="P211" s="271">
        <v>0</v>
      </c>
      <c r="Q211" s="271">
        <v>0</v>
      </c>
      <c r="R211" s="271">
        <v>0</v>
      </c>
      <c r="S211" s="271">
        <v>0</v>
      </c>
      <c r="T211" s="271">
        <v>0</v>
      </c>
      <c r="U211" s="271">
        <v>30000.080000000002</v>
      </c>
    </row>
    <row r="212" spans="1:21" x14ac:dyDescent="0.25">
      <c r="A212" s="271" t="s">
        <v>1419</v>
      </c>
      <c r="B212" s="271" t="s">
        <v>644</v>
      </c>
      <c r="C212" s="273">
        <v>21</v>
      </c>
      <c r="D212" s="273">
        <v>1539</v>
      </c>
      <c r="E212" s="271"/>
      <c r="F212" s="273">
        <v>75251551967865</v>
      </c>
      <c r="G212" s="271" t="s">
        <v>7</v>
      </c>
      <c r="H212" s="273">
        <v>30714025631</v>
      </c>
      <c r="I212" s="316" t="s">
        <v>1421</v>
      </c>
      <c r="J212" s="317">
        <v>1</v>
      </c>
      <c r="K212" s="316" t="s">
        <v>646</v>
      </c>
      <c r="L212" s="321">
        <v>66983.47</v>
      </c>
      <c r="M212" s="273">
        <v>0</v>
      </c>
      <c r="N212" s="273">
        <v>0</v>
      </c>
      <c r="O212" s="273">
        <v>0</v>
      </c>
      <c r="P212" s="274">
        <v>14066.53</v>
      </c>
      <c r="Q212" s="273">
        <v>81050</v>
      </c>
      <c r="R212" s="271"/>
      <c r="S212" s="271"/>
      <c r="T212" s="271"/>
      <c r="U212" s="271"/>
    </row>
    <row r="213" spans="1:21" x14ac:dyDescent="0.25">
      <c r="A213" s="323" t="s">
        <v>1419</v>
      </c>
      <c r="B213" s="323" t="s">
        <v>1419</v>
      </c>
      <c r="C213" s="323" t="s">
        <v>1420</v>
      </c>
      <c r="D213" s="323" t="s">
        <v>1421</v>
      </c>
      <c r="E213" s="323" t="s">
        <v>1422</v>
      </c>
      <c r="F213" s="323" t="s">
        <v>987</v>
      </c>
      <c r="G213" s="323">
        <v>0</v>
      </c>
      <c r="H213" s="323" t="s">
        <v>1422</v>
      </c>
      <c r="I213" s="324" t="s">
        <v>1421</v>
      </c>
      <c r="J213" s="320">
        <v>66983.47</v>
      </c>
      <c r="K213" s="320">
        <v>0</v>
      </c>
      <c r="L213" s="271">
        <v>0</v>
      </c>
      <c r="M213" s="271">
        <v>0</v>
      </c>
      <c r="N213" s="271">
        <v>14066.53</v>
      </c>
      <c r="O213" s="271">
        <v>0</v>
      </c>
      <c r="P213" s="271">
        <v>0</v>
      </c>
      <c r="Q213" s="271">
        <v>0</v>
      </c>
      <c r="R213" s="271">
        <v>0</v>
      </c>
      <c r="S213" s="271">
        <v>0</v>
      </c>
      <c r="T213" s="271">
        <v>0</v>
      </c>
      <c r="U213" s="271">
        <v>81050</v>
      </c>
    </row>
    <row r="214" spans="1:21" x14ac:dyDescent="0.25">
      <c r="A214" s="271" t="s">
        <v>1301</v>
      </c>
      <c r="B214" s="271" t="s">
        <v>644</v>
      </c>
      <c r="C214" s="273">
        <v>2</v>
      </c>
      <c r="D214" s="273">
        <v>12282</v>
      </c>
      <c r="E214" s="271"/>
      <c r="F214" s="273">
        <v>75252864251742</v>
      </c>
      <c r="G214" s="271" t="s">
        <v>7</v>
      </c>
      <c r="H214" s="273">
        <v>30714331082</v>
      </c>
      <c r="I214" s="316" t="s">
        <v>936</v>
      </c>
      <c r="J214" s="273">
        <v>1</v>
      </c>
      <c r="K214" s="271" t="s">
        <v>646</v>
      </c>
      <c r="L214" s="319">
        <v>86808.33</v>
      </c>
      <c r="M214" s="273">
        <v>0</v>
      </c>
      <c r="N214" s="273">
        <v>0</v>
      </c>
      <c r="O214" s="273">
        <v>0</v>
      </c>
      <c r="P214" s="274">
        <v>18229.75</v>
      </c>
      <c r="Q214" s="274">
        <v>105038.08</v>
      </c>
      <c r="R214" s="271"/>
      <c r="S214" s="271"/>
      <c r="T214" s="271"/>
      <c r="U214" s="271"/>
    </row>
    <row r="215" spans="1:21" x14ac:dyDescent="0.25">
      <c r="A215" s="323" t="s">
        <v>1301</v>
      </c>
      <c r="B215" s="323" t="s">
        <v>1301</v>
      </c>
      <c r="C215" s="323" t="s">
        <v>1434</v>
      </c>
      <c r="D215" s="323" t="s">
        <v>936</v>
      </c>
      <c r="E215" s="323" t="s">
        <v>1222</v>
      </c>
      <c r="F215" s="323" t="s">
        <v>987</v>
      </c>
      <c r="G215" s="323">
        <v>0</v>
      </c>
      <c r="H215" s="323" t="s">
        <v>1222</v>
      </c>
      <c r="I215" s="324" t="s">
        <v>936</v>
      </c>
      <c r="J215" s="320">
        <v>86808.33</v>
      </c>
      <c r="K215" s="320">
        <v>0</v>
      </c>
      <c r="L215" s="271">
        <v>0</v>
      </c>
      <c r="M215" s="271">
        <v>0</v>
      </c>
      <c r="N215" s="271">
        <v>18229.75</v>
      </c>
      <c r="O215" s="271">
        <v>0</v>
      </c>
      <c r="P215" s="271">
        <v>0</v>
      </c>
      <c r="Q215" s="271">
        <v>0</v>
      </c>
      <c r="R215" s="271">
        <v>0</v>
      </c>
      <c r="S215" s="271">
        <v>0</v>
      </c>
      <c r="T215" s="271">
        <v>0</v>
      </c>
      <c r="U215" s="271">
        <v>105038.08</v>
      </c>
    </row>
    <row r="216" spans="1:21" x14ac:dyDescent="0.25">
      <c r="A216" s="271" t="s">
        <v>1264</v>
      </c>
      <c r="B216" s="271" t="s">
        <v>644</v>
      </c>
      <c r="C216" s="273">
        <v>1</v>
      </c>
      <c r="D216" s="273">
        <v>127599</v>
      </c>
      <c r="E216" s="271"/>
      <c r="F216" s="273">
        <v>75229188317042</v>
      </c>
      <c r="G216" s="271" t="s">
        <v>7</v>
      </c>
      <c r="H216" s="273">
        <v>30714864269</v>
      </c>
      <c r="I216" s="316" t="s">
        <v>928</v>
      </c>
      <c r="J216" s="273">
        <v>1</v>
      </c>
      <c r="K216" s="271" t="s">
        <v>646</v>
      </c>
      <c r="L216" s="319">
        <v>164170</v>
      </c>
      <c r="M216" s="273">
        <v>0</v>
      </c>
      <c r="N216" s="273">
        <v>0</v>
      </c>
      <c r="O216" s="273">
        <v>0</v>
      </c>
      <c r="P216" s="271">
        <v>34475.699999999997</v>
      </c>
      <c r="Q216" s="271">
        <v>198645.7</v>
      </c>
      <c r="R216" s="271"/>
      <c r="S216" s="271"/>
      <c r="T216" s="271"/>
      <c r="U216" s="271"/>
    </row>
    <row r="217" spans="1:21" x14ac:dyDescent="0.25">
      <c r="A217" s="323" t="s">
        <v>1264</v>
      </c>
      <c r="B217" s="323" t="s">
        <v>1264</v>
      </c>
      <c r="C217" s="323" t="s">
        <v>1309</v>
      </c>
      <c r="D217" s="323" t="s">
        <v>1208</v>
      </c>
      <c r="E217" s="323" t="s">
        <v>1209</v>
      </c>
      <c r="F217" s="323" t="s">
        <v>987</v>
      </c>
      <c r="G217" s="323">
        <v>0</v>
      </c>
      <c r="H217" s="323" t="s">
        <v>1209</v>
      </c>
      <c r="I217" s="324" t="s">
        <v>1208</v>
      </c>
      <c r="J217" s="320">
        <v>164170</v>
      </c>
      <c r="K217" s="320">
        <v>0</v>
      </c>
      <c r="L217" s="271">
        <v>0</v>
      </c>
      <c r="M217" s="271">
        <v>0</v>
      </c>
      <c r="N217" s="271">
        <v>34475.699999999997</v>
      </c>
      <c r="O217" s="271">
        <v>0</v>
      </c>
      <c r="P217" s="271">
        <v>0</v>
      </c>
      <c r="Q217" s="271">
        <v>0</v>
      </c>
      <c r="R217" s="271">
        <v>0</v>
      </c>
      <c r="S217" s="271">
        <v>0</v>
      </c>
      <c r="T217" s="271">
        <v>0</v>
      </c>
      <c r="U217" s="271">
        <v>198645.7</v>
      </c>
    </row>
    <row r="218" spans="1:21" x14ac:dyDescent="0.25">
      <c r="A218" s="271" t="s">
        <v>1279</v>
      </c>
      <c r="B218" s="316" t="s">
        <v>644</v>
      </c>
      <c r="C218" s="317">
        <v>1</v>
      </c>
      <c r="D218" s="317">
        <v>7627</v>
      </c>
      <c r="E218" s="316"/>
      <c r="F218" s="317">
        <v>75241400241049</v>
      </c>
      <c r="G218" s="316" t="s">
        <v>7</v>
      </c>
      <c r="H218" s="317">
        <v>30715141201</v>
      </c>
      <c r="I218" s="316" t="s">
        <v>649</v>
      </c>
      <c r="J218" s="317">
        <v>1</v>
      </c>
      <c r="K218" s="316" t="s">
        <v>646</v>
      </c>
      <c r="L218" s="321">
        <v>173700</v>
      </c>
      <c r="M218" s="273">
        <v>0</v>
      </c>
      <c r="N218" s="273">
        <v>0</v>
      </c>
      <c r="O218" s="273">
        <v>0</v>
      </c>
      <c r="P218" s="273">
        <v>36477</v>
      </c>
      <c r="Q218" s="273">
        <v>210177</v>
      </c>
      <c r="R218" s="271"/>
      <c r="S218" s="271"/>
      <c r="T218" s="271"/>
      <c r="U218" s="271"/>
    </row>
    <row r="219" spans="1:21" x14ac:dyDescent="0.25">
      <c r="A219" s="271" t="s">
        <v>1459</v>
      </c>
      <c r="B219" s="316" t="s">
        <v>666</v>
      </c>
      <c r="C219" s="317">
        <v>1</v>
      </c>
      <c r="D219" s="317">
        <v>218</v>
      </c>
      <c r="E219" s="316"/>
      <c r="F219" s="317">
        <v>75261547891629</v>
      </c>
      <c r="G219" s="316" t="s">
        <v>7</v>
      </c>
      <c r="H219" s="317">
        <v>30715141201</v>
      </c>
      <c r="I219" s="316" t="s">
        <v>649</v>
      </c>
      <c r="J219" s="317">
        <v>1</v>
      </c>
      <c r="K219" s="316" t="s">
        <v>646</v>
      </c>
      <c r="L219" s="321">
        <v>173700</v>
      </c>
      <c r="M219" s="273">
        <v>0</v>
      </c>
      <c r="N219" s="273">
        <v>0</v>
      </c>
      <c r="O219" s="273">
        <v>0</v>
      </c>
      <c r="P219" s="273">
        <v>36477</v>
      </c>
      <c r="Q219" s="273">
        <v>210177</v>
      </c>
      <c r="R219" s="271"/>
      <c r="S219" s="271"/>
      <c r="T219" s="271"/>
      <c r="U219" s="271"/>
    </row>
    <row r="220" spans="1:21" x14ac:dyDescent="0.25">
      <c r="A220" s="271" t="s">
        <v>1297</v>
      </c>
      <c r="B220" s="316" t="s">
        <v>644</v>
      </c>
      <c r="C220" s="317">
        <v>1</v>
      </c>
      <c r="D220" s="317">
        <v>7719</v>
      </c>
      <c r="E220" s="316"/>
      <c r="F220" s="317">
        <v>75251366350218</v>
      </c>
      <c r="G220" s="316" t="s">
        <v>7</v>
      </c>
      <c r="H220" s="317">
        <v>30715141201</v>
      </c>
      <c r="I220" s="316" t="s">
        <v>649</v>
      </c>
      <c r="J220" s="317">
        <v>1</v>
      </c>
      <c r="K220" s="316" t="s">
        <v>646</v>
      </c>
      <c r="L220" s="321">
        <v>353700</v>
      </c>
      <c r="M220" s="273">
        <v>0</v>
      </c>
      <c r="N220" s="273">
        <v>0</v>
      </c>
      <c r="O220" s="273">
        <v>0</v>
      </c>
      <c r="P220" s="273">
        <v>74277</v>
      </c>
      <c r="Q220" s="273">
        <v>427977</v>
      </c>
      <c r="R220" s="271"/>
      <c r="S220" s="271"/>
      <c r="T220" s="271"/>
      <c r="U220" s="271"/>
    </row>
    <row r="221" spans="1:21" x14ac:dyDescent="0.25">
      <c r="A221" s="271" t="s">
        <v>1307</v>
      </c>
      <c r="B221" s="316" t="s">
        <v>644</v>
      </c>
      <c r="C221" s="317">
        <v>1</v>
      </c>
      <c r="D221" s="317">
        <v>7773</v>
      </c>
      <c r="E221" s="316"/>
      <c r="F221" s="317">
        <v>75261123299154</v>
      </c>
      <c r="G221" s="316" t="s">
        <v>7</v>
      </c>
      <c r="H221" s="317">
        <v>30715141201</v>
      </c>
      <c r="I221" s="316" t="s">
        <v>649</v>
      </c>
      <c r="J221" s="317">
        <v>1</v>
      </c>
      <c r="K221" s="316" t="s">
        <v>646</v>
      </c>
      <c r="L221" s="321">
        <v>561948.75</v>
      </c>
      <c r="M221" s="273">
        <v>0</v>
      </c>
      <c r="N221" s="273">
        <v>0</v>
      </c>
      <c r="O221" s="273">
        <v>0</v>
      </c>
      <c r="P221" s="274">
        <v>118009.24</v>
      </c>
      <c r="Q221" s="274">
        <v>679957.99</v>
      </c>
      <c r="R221" s="271"/>
      <c r="S221" s="271"/>
      <c r="T221" s="271"/>
      <c r="U221" s="271"/>
    </row>
    <row r="222" spans="1:21" x14ac:dyDescent="0.25">
      <c r="A222" s="271" t="s">
        <v>1307</v>
      </c>
      <c r="B222" s="316" t="s">
        <v>644</v>
      </c>
      <c r="C222" s="317">
        <v>1</v>
      </c>
      <c r="D222" s="317">
        <v>7772</v>
      </c>
      <c r="E222" s="316"/>
      <c r="F222" s="317">
        <v>75261122025683</v>
      </c>
      <c r="G222" s="316" t="s">
        <v>7</v>
      </c>
      <c r="H222" s="317">
        <v>30715141201</v>
      </c>
      <c r="I222" s="316" t="s">
        <v>649</v>
      </c>
      <c r="J222" s="317">
        <v>1</v>
      </c>
      <c r="K222" s="316" t="s">
        <v>646</v>
      </c>
      <c r="L222" s="321">
        <v>5885673.75</v>
      </c>
      <c r="M222" s="273">
        <v>0</v>
      </c>
      <c r="N222" s="273">
        <v>0</v>
      </c>
      <c r="O222" s="273">
        <v>0</v>
      </c>
      <c r="P222" s="274">
        <v>1235991.49</v>
      </c>
      <c r="Q222" s="274">
        <v>7121665.2400000002</v>
      </c>
      <c r="R222" s="271"/>
      <c r="S222" s="271"/>
      <c r="T222" s="271"/>
      <c r="U222" s="271"/>
    </row>
    <row r="223" spans="1:21" x14ac:dyDescent="0.25">
      <c r="A223" s="323" t="s">
        <v>1279</v>
      </c>
      <c r="B223" s="324" t="s">
        <v>1279</v>
      </c>
      <c r="C223" s="324" t="s">
        <v>1376</v>
      </c>
      <c r="D223" s="324" t="s">
        <v>147</v>
      </c>
      <c r="E223" s="324" t="s">
        <v>1240</v>
      </c>
      <c r="F223" s="324" t="s">
        <v>987</v>
      </c>
      <c r="G223" s="324">
        <v>0</v>
      </c>
      <c r="H223" s="324" t="s">
        <v>1240</v>
      </c>
      <c r="I223" s="324" t="s">
        <v>147</v>
      </c>
      <c r="J223" s="322">
        <v>173700</v>
      </c>
      <c r="K223" s="320">
        <v>0</v>
      </c>
      <c r="L223" s="271">
        <v>0</v>
      </c>
      <c r="M223" s="271">
        <v>0</v>
      </c>
      <c r="N223" s="271">
        <v>36477</v>
      </c>
      <c r="O223" s="271">
        <v>0</v>
      </c>
      <c r="P223" s="271">
        <v>0</v>
      </c>
      <c r="Q223" s="271">
        <v>0</v>
      </c>
      <c r="R223" s="271">
        <v>0</v>
      </c>
      <c r="S223" s="271">
        <v>0</v>
      </c>
      <c r="T223" s="271">
        <v>0</v>
      </c>
      <c r="U223" s="271">
        <v>210177</v>
      </c>
    </row>
    <row r="224" spans="1:21" x14ac:dyDescent="0.25">
      <c r="A224" s="323" t="s">
        <v>1297</v>
      </c>
      <c r="B224" s="324" t="s">
        <v>1297</v>
      </c>
      <c r="C224" s="324" t="s">
        <v>1418</v>
      </c>
      <c r="D224" s="324" t="s">
        <v>147</v>
      </c>
      <c r="E224" s="324" t="s">
        <v>1240</v>
      </c>
      <c r="F224" s="324" t="s">
        <v>987</v>
      </c>
      <c r="G224" s="324">
        <v>0</v>
      </c>
      <c r="H224" s="324" t="s">
        <v>1240</v>
      </c>
      <c r="I224" s="324" t="s">
        <v>147</v>
      </c>
      <c r="J224" s="322">
        <v>353700</v>
      </c>
      <c r="K224" s="320">
        <v>0</v>
      </c>
      <c r="L224" s="271">
        <v>0</v>
      </c>
      <c r="M224" s="271">
        <v>0</v>
      </c>
      <c r="N224" s="271">
        <v>74277</v>
      </c>
      <c r="O224" s="271">
        <v>0</v>
      </c>
      <c r="P224" s="271">
        <v>0</v>
      </c>
      <c r="Q224" s="271">
        <v>0</v>
      </c>
      <c r="R224" s="271">
        <v>0</v>
      </c>
      <c r="S224" s="271">
        <v>0</v>
      </c>
      <c r="T224" s="271">
        <v>0</v>
      </c>
      <c r="U224" s="271">
        <v>427977</v>
      </c>
    </row>
    <row r="225" spans="1:21" x14ac:dyDescent="0.25">
      <c r="A225" s="323" t="s">
        <v>1307</v>
      </c>
      <c r="B225" s="324" t="s">
        <v>1307</v>
      </c>
      <c r="C225" s="324" t="s">
        <v>1487</v>
      </c>
      <c r="D225" s="324" t="s">
        <v>147</v>
      </c>
      <c r="E225" s="324" t="s">
        <v>1240</v>
      </c>
      <c r="F225" s="324" t="s">
        <v>987</v>
      </c>
      <c r="G225" s="324">
        <v>0</v>
      </c>
      <c r="H225" s="324" t="s">
        <v>1240</v>
      </c>
      <c r="I225" s="324" t="s">
        <v>147</v>
      </c>
      <c r="J225" s="322">
        <v>5885673.75</v>
      </c>
      <c r="K225" s="320">
        <v>0</v>
      </c>
      <c r="L225" s="271">
        <v>0</v>
      </c>
      <c r="M225" s="271">
        <v>0</v>
      </c>
      <c r="N225" s="271">
        <v>1235991.49</v>
      </c>
      <c r="O225" s="271">
        <v>0</v>
      </c>
      <c r="P225" s="271">
        <v>0</v>
      </c>
      <c r="Q225" s="271">
        <v>0</v>
      </c>
      <c r="R225" s="271">
        <v>0</v>
      </c>
      <c r="S225" s="271">
        <v>0</v>
      </c>
      <c r="T225" s="271">
        <v>0</v>
      </c>
      <c r="U225" s="271">
        <v>7121665.2400000002</v>
      </c>
    </row>
    <row r="226" spans="1:21" x14ac:dyDescent="0.25">
      <c r="A226" s="323" t="s">
        <v>1307</v>
      </c>
      <c r="B226" s="324" t="s">
        <v>1307</v>
      </c>
      <c r="C226" s="324" t="s">
        <v>1488</v>
      </c>
      <c r="D226" s="324" t="s">
        <v>147</v>
      </c>
      <c r="E226" s="324" t="s">
        <v>1240</v>
      </c>
      <c r="F226" s="324" t="s">
        <v>987</v>
      </c>
      <c r="G226" s="324">
        <v>0</v>
      </c>
      <c r="H226" s="324" t="s">
        <v>1240</v>
      </c>
      <c r="I226" s="324" t="s">
        <v>147</v>
      </c>
      <c r="J226" s="322">
        <v>561948.75</v>
      </c>
      <c r="K226" s="320">
        <v>0</v>
      </c>
      <c r="L226" s="271">
        <v>0</v>
      </c>
      <c r="M226" s="271">
        <v>0</v>
      </c>
      <c r="N226" s="271">
        <v>118009.24</v>
      </c>
      <c r="O226" s="271">
        <v>0</v>
      </c>
      <c r="P226" s="271">
        <v>0</v>
      </c>
      <c r="Q226" s="271">
        <v>0</v>
      </c>
      <c r="R226" s="271">
        <v>0</v>
      </c>
      <c r="S226" s="271">
        <v>0</v>
      </c>
      <c r="T226" s="271">
        <v>0</v>
      </c>
      <c r="U226" s="271">
        <v>679957.99</v>
      </c>
    </row>
    <row r="227" spans="1:21" x14ac:dyDescent="0.25">
      <c r="A227" s="324" t="s">
        <v>1454</v>
      </c>
      <c r="B227" s="324" t="s">
        <v>1454</v>
      </c>
      <c r="C227" s="324" t="s">
        <v>1495</v>
      </c>
      <c r="D227" s="324" t="s">
        <v>147</v>
      </c>
      <c r="E227" s="324" t="s">
        <v>1240</v>
      </c>
      <c r="F227" s="324" t="s">
        <v>987</v>
      </c>
      <c r="G227" s="324">
        <v>0</v>
      </c>
      <c r="H227" s="317">
        <v>20271532483</v>
      </c>
      <c r="I227" s="324" t="s">
        <v>1147</v>
      </c>
      <c r="J227" s="320">
        <v>-23299.61</v>
      </c>
      <c r="K227" s="320">
        <v>0</v>
      </c>
      <c r="L227" s="271">
        <v>0</v>
      </c>
      <c r="M227" s="271">
        <v>0</v>
      </c>
      <c r="N227" s="271">
        <v>-4892.92</v>
      </c>
      <c r="O227" s="271">
        <v>0</v>
      </c>
      <c r="P227" s="271">
        <v>0</v>
      </c>
      <c r="Q227" s="271">
        <v>0</v>
      </c>
      <c r="R227" s="271">
        <v>0</v>
      </c>
      <c r="S227" s="271">
        <v>0</v>
      </c>
      <c r="T227" s="271">
        <v>0</v>
      </c>
      <c r="U227" s="271">
        <v>-28192.53</v>
      </c>
    </row>
    <row r="228" spans="1:21" x14ac:dyDescent="0.25">
      <c r="A228" s="323" t="s">
        <v>1459</v>
      </c>
      <c r="B228" s="323" t="s">
        <v>1459</v>
      </c>
      <c r="C228" s="324" t="s">
        <v>1500</v>
      </c>
      <c r="D228" s="324" t="s">
        <v>147</v>
      </c>
      <c r="E228" s="324" t="s">
        <v>1240</v>
      </c>
      <c r="F228" s="324" t="s">
        <v>987</v>
      </c>
      <c r="G228" s="324">
        <v>0</v>
      </c>
      <c r="H228" s="324" t="s">
        <v>1240</v>
      </c>
      <c r="I228" s="324" t="s">
        <v>147</v>
      </c>
      <c r="J228" s="322">
        <v>-173700</v>
      </c>
      <c r="K228" s="320">
        <v>0</v>
      </c>
      <c r="L228" s="271">
        <v>0</v>
      </c>
      <c r="M228" s="271">
        <v>0</v>
      </c>
      <c r="N228" s="271">
        <v>-36477</v>
      </c>
      <c r="O228" s="271">
        <v>0</v>
      </c>
      <c r="P228" s="271">
        <v>0</v>
      </c>
      <c r="Q228" s="271">
        <v>0</v>
      </c>
      <c r="R228" s="271">
        <v>0</v>
      </c>
      <c r="S228" s="271">
        <v>0</v>
      </c>
      <c r="T228" s="271">
        <v>0</v>
      </c>
      <c r="U228" s="271">
        <v>-210177</v>
      </c>
    </row>
    <row r="229" spans="1:21" x14ac:dyDescent="0.25">
      <c r="A229" s="316" t="s">
        <v>1449</v>
      </c>
      <c r="B229" s="316" t="s">
        <v>644</v>
      </c>
      <c r="C229" s="317">
        <v>104</v>
      </c>
      <c r="D229" s="317">
        <v>9496485</v>
      </c>
      <c r="E229" s="316"/>
      <c r="F229" s="317">
        <v>75242792036442</v>
      </c>
      <c r="G229" s="316" t="s">
        <v>7</v>
      </c>
      <c r="H229" s="317">
        <v>30715804812</v>
      </c>
      <c r="I229" s="316" t="s">
        <v>669</v>
      </c>
      <c r="J229" s="317">
        <v>1</v>
      </c>
      <c r="K229" s="316" t="s">
        <v>646</v>
      </c>
      <c r="L229" s="321">
        <v>2079.9699999999998</v>
      </c>
      <c r="M229" s="317">
        <v>0</v>
      </c>
      <c r="N229" s="317">
        <v>0</v>
      </c>
      <c r="O229" s="316">
        <v>83.2</v>
      </c>
      <c r="P229" s="325">
        <v>436.79</v>
      </c>
      <c r="Q229" s="325">
        <v>2599.96</v>
      </c>
      <c r="R229" s="271"/>
      <c r="S229" s="271"/>
      <c r="T229" s="271"/>
      <c r="U229" s="271"/>
    </row>
    <row r="230" spans="1:21" x14ac:dyDescent="0.25">
      <c r="A230" s="316" t="s">
        <v>1274</v>
      </c>
      <c r="B230" s="316" t="s">
        <v>644</v>
      </c>
      <c r="C230" s="317">
        <v>700</v>
      </c>
      <c r="D230" s="317">
        <v>2502646</v>
      </c>
      <c r="E230" s="316"/>
      <c r="F230" s="317">
        <v>75232887801819</v>
      </c>
      <c r="G230" s="316" t="s">
        <v>7</v>
      </c>
      <c r="H230" s="317">
        <v>30715804812</v>
      </c>
      <c r="I230" s="316" t="s">
        <v>669</v>
      </c>
      <c r="J230" s="273">
        <v>1</v>
      </c>
      <c r="K230" s="271" t="s">
        <v>646</v>
      </c>
      <c r="L230" s="319">
        <v>17263.7</v>
      </c>
      <c r="M230" s="273">
        <v>0</v>
      </c>
      <c r="N230" s="273">
        <v>0</v>
      </c>
      <c r="O230" s="274">
        <v>690.55</v>
      </c>
      <c r="P230" s="274">
        <v>3625.38</v>
      </c>
      <c r="Q230" s="274">
        <v>21579.63</v>
      </c>
      <c r="R230" s="271"/>
      <c r="S230" s="271"/>
      <c r="T230" s="271"/>
      <c r="U230" s="271"/>
    </row>
    <row r="231" spans="1:21" x14ac:dyDescent="0.25">
      <c r="A231" s="316" t="s">
        <v>1301</v>
      </c>
      <c r="B231" s="316" t="s">
        <v>644</v>
      </c>
      <c r="C231" s="317">
        <v>700</v>
      </c>
      <c r="D231" s="317">
        <v>2529174</v>
      </c>
      <c r="E231" s="316"/>
      <c r="F231" s="317">
        <v>75262080163205</v>
      </c>
      <c r="G231" s="316" t="s">
        <v>7</v>
      </c>
      <c r="H231" s="317">
        <v>30715804812</v>
      </c>
      <c r="I231" s="316" t="s">
        <v>669</v>
      </c>
      <c r="J231" s="273">
        <v>1</v>
      </c>
      <c r="K231" s="271" t="s">
        <v>646</v>
      </c>
      <c r="L231" s="319">
        <v>30991.47</v>
      </c>
      <c r="M231" s="273">
        <v>0</v>
      </c>
      <c r="N231" s="273">
        <v>0</v>
      </c>
      <c r="O231" s="274">
        <v>1239.6500000000001</v>
      </c>
      <c r="P231" s="274">
        <v>6508.21</v>
      </c>
      <c r="Q231" s="274">
        <v>38739.33</v>
      </c>
      <c r="R231" s="271"/>
      <c r="S231" s="271"/>
      <c r="T231" s="271"/>
      <c r="U231" s="271"/>
    </row>
    <row r="232" spans="1:21" x14ac:dyDescent="0.25">
      <c r="A232" s="324" t="s">
        <v>1274</v>
      </c>
      <c r="B232" s="324" t="s">
        <v>1274</v>
      </c>
      <c r="C232" s="324" t="s">
        <v>1463</v>
      </c>
      <c r="D232" s="324" t="s">
        <v>919</v>
      </c>
      <c r="E232" s="324" t="s">
        <v>1464</v>
      </c>
      <c r="F232" s="324" t="s">
        <v>987</v>
      </c>
      <c r="G232" s="324">
        <v>0</v>
      </c>
      <c r="H232" s="324" t="s">
        <v>1464</v>
      </c>
      <c r="I232" s="324" t="s">
        <v>919</v>
      </c>
      <c r="J232" s="320">
        <v>17263.7</v>
      </c>
      <c r="K232" s="320">
        <v>0</v>
      </c>
      <c r="L232" s="271">
        <v>0</v>
      </c>
      <c r="M232" s="271">
        <v>0</v>
      </c>
      <c r="N232" s="271">
        <v>3625.38</v>
      </c>
      <c r="O232" s="271">
        <v>0</v>
      </c>
      <c r="P232" s="271">
        <v>0</v>
      </c>
      <c r="Q232" s="271">
        <v>0</v>
      </c>
      <c r="R232" s="271">
        <v>0</v>
      </c>
      <c r="S232" s="271">
        <v>0</v>
      </c>
      <c r="T232" s="271">
        <v>690.55</v>
      </c>
      <c r="U232" s="271">
        <v>21579.63</v>
      </c>
    </row>
    <row r="233" spans="1:21" x14ac:dyDescent="0.25">
      <c r="A233" s="324" t="s">
        <v>1301</v>
      </c>
      <c r="B233" s="324" t="s">
        <v>1301</v>
      </c>
      <c r="C233" s="324" t="s">
        <v>1482</v>
      </c>
      <c r="D233" s="324" t="s">
        <v>919</v>
      </c>
      <c r="E233" s="324" t="s">
        <v>1464</v>
      </c>
      <c r="F233" s="324" t="s">
        <v>987</v>
      </c>
      <c r="G233" s="324">
        <v>0</v>
      </c>
      <c r="H233" s="324" t="s">
        <v>1464</v>
      </c>
      <c r="I233" s="324" t="s">
        <v>919</v>
      </c>
      <c r="J233" s="320">
        <v>30991.47</v>
      </c>
      <c r="K233" s="320">
        <v>0</v>
      </c>
      <c r="L233" s="271">
        <v>0</v>
      </c>
      <c r="M233" s="271">
        <v>0</v>
      </c>
      <c r="N233" s="271">
        <v>6508.21</v>
      </c>
      <c r="O233" s="271">
        <v>0</v>
      </c>
      <c r="P233" s="271">
        <v>0</v>
      </c>
      <c r="Q233" s="271">
        <v>0</v>
      </c>
      <c r="R233" s="271">
        <v>0</v>
      </c>
      <c r="S233" s="271">
        <v>0</v>
      </c>
      <c r="T233" s="271">
        <v>1239.6500000000001</v>
      </c>
      <c r="U233" s="271">
        <v>38739.33</v>
      </c>
    </row>
    <row r="234" spans="1:21" x14ac:dyDescent="0.25">
      <c r="A234" s="316" t="s">
        <v>1454</v>
      </c>
      <c r="B234" s="316" t="s">
        <v>644</v>
      </c>
      <c r="C234" s="317">
        <v>1</v>
      </c>
      <c r="D234" s="317">
        <v>2488</v>
      </c>
      <c r="E234" s="316"/>
      <c r="F234" s="317">
        <v>75260246865377</v>
      </c>
      <c r="G234" s="316" t="s">
        <v>7</v>
      </c>
      <c r="H234" s="317">
        <v>30716566060</v>
      </c>
      <c r="I234" s="316" t="s">
        <v>1456</v>
      </c>
      <c r="J234" s="317">
        <v>1</v>
      </c>
      <c r="K234" s="316" t="s">
        <v>646</v>
      </c>
      <c r="L234" s="321">
        <v>223374.13</v>
      </c>
      <c r="M234" s="273">
        <v>0</v>
      </c>
      <c r="N234" s="273">
        <v>0</v>
      </c>
      <c r="O234" s="273">
        <v>0</v>
      </c>
      <c r="P234" s="274">
        <v>23454.28</v>
      </c>
      <c r="Q234" s="274">
        <v>246828.41</v>
      </c>
      <c r="R234" s="271"/>
      <c r="S234" s="271"/>
      <c r="T234" s="271"/>
      <c r="U234" s="271"/>
    </row>
    <row r="235" spans="1:21" x14ac:dyDescent="0.25">
      <c r="A235" s="324" t="s">
        <v>1264</v>
      </c>
      <c r="B235" s="324" t="s">
        <v>1264</v>
      </c>
      <c r="C235" s="324" t="s">
        <v>1311</v>
      </c>
      <c r="D235" s="324" t="s">
        <v>350</v>
      </c>
      <c r="E235" s="324" t="s">
        <v>1225</v>
      </c>
      <c r="F235" s="324" t="s">
        <v>987</v>
      </c>
      <c r="G235" s="324">
        <v>0</v>
      </c>
      <c r="H235" s="324" t="s">
        <v>1225</v>
      </c>
      <c r="I235" s="324" t="s">
        <v>350</v>
      </c>
      <c r="J235" s="320">
        <v>7500</v>
      </c>
      <c r="K235" s="320">
        <v>0</v>
      </c>
      <c r="L235" s="271">
        <v>0</v>
      </c>
      <c r="M235" s="271">
        <v>0</v>
      </c>
      <c r="N235" s="271">
        <v>1575</v>
      </c>
      <c r="O235" s="271">
        <v>0</v>
      </c>
      <c r="P235" s="271">
        <v>0</v>
      </c>
      <c r="Q235" s="271">
        <v>0</v>
      </c>
      <c r="R235" s="271">
        <v>0</v>
      </c>
      <c r="S235" s="271">
        <v>0</v>
      </c>
      <c r="T235" s="271">
        <v>0</v>
      </c>
      <c r="U235" s="271">
        <v>9075</v>
      </c>
    </row>
    <row r="236" spans="1:21" x14ac:dyDescent="0.25">
      <c r="A236" s="324" t="s">
        <v>1267</v>
      </c>
      <c r="B236" s="324" t="s">
        <v>1267</v>
      </c>
      <c r="C236" s="324" t="s">
        <v>1323</v>
      </c>
      <c r="D236" s="324" t="s">
        <v>350</v>
      </c>
      <c r="E236" s="324" t="s">
        <v>1225</v>
      </c>
      <c r="F236" s="324" t="s">
        <v>987</v>
      </c>
      <c r="G236" s="324">
        <v>0</v>
      </c>
      <c r="H236" s="324" t="s">
        <v>1225</v>
      </c>
      <c r="I236" s="324" t="s">
        <v>350</v>
      </c>
      <c r="J236" s="320">
        <v>14800</v>
      </c>
      <c r="K236" s="320">
        <v>0</v>
      </c>
      <c r="L236" s="271">
        <v>0</v>
      </c>
      <c r="M236" s="271">
        <v>0</v>
      </c>
      <c r="N236" s="271">
        <v>3108</v>
      </c>
      <c r="O236" s="271">
        <v>0</v>
      </c>
      <c r="P236" s="271">
        <v>0</v>
      </c>
      <c r="Q236" s="271">
        <v>0</v>
      </c>
      <c r="R236" s="271">
        <v>0</v>
      </c>
      <c r="S236" s="271">
        <v>0</v>
      </c>
      <c r="T236" s="271">
        <v>0</v>
      </c>
      <c r="U236" s="271">
        <v>17908</v>
      </c>
    </row>
    <row r="237" spans="1:21" x14ac:dyDescent="0.25">
      <c r="A237" s="324" t="s">
        <v>1274</v>
      </c>
      <c r="B237" s="324" t="s">
        <v>1274</v>
      </c>
      <c r="C237" s="324" t="s">
        <v>1343</v>
      </c>
      <c r="D237" s="324" t="s">
        <v>350</v>
      </c>
      <c r="E237" s="324" t="s">
        <v>1225</v>
      </c>
      <c r="F237" s="324" t="s">
        <v>987</v>
      </c>
      <c r="G237" s="324">
        <v>0</v>
      </c>
      <c r="H237" s="324" t="s">
        <v>1225</v>
      </c>
      <c r="I237" s="324" t="s">
        <v>350</v>
      </c>
      <c r="J237" s="320">
        <v>7200</v>
      </c>
      <c r="K237" s="320">
        <v>0</v>
      </c>
      <c r="L237" s="271">
        <v>0</v>
      </c>
      <c r="M237" s="271">
        <v>0</v>
      </c>
      <c r="N237" s="271">
        <v>1512</v>
      </c>
      <c r="O237" s="271">
        <v>0</v>
      </c>
      <c r="P237" s="271">
        <v>0</v>
      </c>
      <c r="Q237" s="271">
        <v>0</v>
      </c>
      <c r="R237" s="271">
        <v>0</v>
      </c>
      <c r="S237" s="271">
        <v>0</v>
      </c>
      <c r="T237" s="271">
        <v>0</v>
      </c>
      <c r="U237" s="271">
        <v>8712</v>
      </c>
    </row>
    <row r="238" spans="1:21" x14ac:dyDescent="0.25">
      <c r="A238" s="324" t="s">
        <v>1280</v>
      </c>
      <c r="B238" s="324" t="s">
        <v>1280</v>
      </c>
      <c r="C238" s="324" t="s">
        <v>1384</v>
      </c>
      <c r="D238" s="324" t="s">
        <v>350</v>
      </c>
      <c r="E238" s="324" t="s">
        <v>1225</v>
      </c>
      <c r="F238" s="324" t="s">
        <v>987</v>
      </c>
      <c r="G238" s="324">
        <v>0</v>
      </c>
      <c r="H238" s="324" t="s">
        <v>1225</v>
      </c>
      <c r="I238" s="324" t="s">
        <v>350</v>
      </c>
      <c r="J238" s="320">
        <v>2500</v>
      </c>
      <c r="K238" s="320">
        <v>0</v>
      </c>
      <c r="L238" s="271">
        <v>0</v>
      </c>
      <c r="M238" s="271">
        <v>0</v>
      </c>
      <c r="N238" s="271">
        <v>525</v>
      </c>
      <c r="O238" s="271">
        <v>0</v>
      </c>
      <c r="P238" s="271">
        <v>0</v>
      </c>
      <c r="Q238" s="271">
        <v>0</v>
      </c>
      <c r="R238" s="271">
        <v>0</v>
      </c>
      <c r="S238" s="271">
        <v>0</v>
      </c>
      <c r="T238" s="271">
        <v>0</v>
      </c>
      <c r="U238" s="271">
        <v>3025</v>
      </c>
    </row>
    <row r="239" spans="1:21" x14ac:dyDescent="0.25">
      <c r="A239" s="324" t="s">
        <v>1284</v>
      </c>
      <c r="B239" s="324" t="s">
        <v>1284</v>
      </c>
      <c r="C239" s="324" t="s">
        <v>1400</v>
      </c>
      <c r="D239" s="324" t="s">
        <v>350</v>
      </c>
      <c r="E239" s="324" t="s">
        <v>1225</v>
      </c>
      <c r="F239" s="324" t="s">
        <v>987</v>
      </c>
      <c r="G239" s="324">
        <v>0</v>
      </c>
      <c r="H239" s="324" t="s">
        <v>1225</v>
      </c>
      <c r="I239" s="324" t="s">
        <v>350</v>
      </c>
      <c r="J239" s="320">
        <v>9900</v>
      </c>
      <c r="K239" s="320">
        <v>0</v>
      </c>
      <c r="L239" s="271">
        <v>0</v>
      </c>
      <c r="M239" s="271">
        <v>0</v>
      </c>
      <c r="N239" s="271">
        <v>2079</v>
      </c>
      <c r="O239" s="271">
        <v>0</v>
      </c>
      <c r="P239" s="271">
        <v>0</v>
      </c>
      <c r="Q239" s="271">
        <v>0</v>
      </c>
      <c r="R239" s="271">
        <v>0</v>
      </c>
      <c r="S239" s="271">
        <v>0</v>
      </c>
      <c r="T239" s="271">
        <v>0</v>
      </c>
      <c r="U239" s="271">
        <v>11979</v>
      </c>
    </row>
    <row r="240" spans="1:21" x14ac:dyDescent="0.25">
      <c r="A240" s="324" t="s">
        <v>1176</v>
      </c>
      <c r="B240" s="324" t="s">
        <v>1306</v>
      </c>
      <c r="C240" s="324" t="s">
        <v>1441</v>
      </c>
      <c r="D240" s="324" t="s">
        <v>350</v>
      </c>
      <c r="E240" s="324" t="s">
        <v>1225</v>
      </c>
      <c r="F240" s="324" t="s">
        <v>987</v>
      </c>
      <c r="G240" s="324">
        <v>0</v>
      </c>
      <c r="H240" s="324" t="s">
        <v>1225</v>
      </c>
      <c r="I240" s="324" t="s">
        <v>350</v>
      </c>
      <c r="J240" s="320">
        <v>13600</v>
      </c>
      <c r="K240" s="320">
        <v>0</v>
      </c>
      <c r="L240" s="271">
        <v>0</v>
      </c>
      <c r="M240" s="271">
        <v>0</v>
      </c>
      <c r="N240" s="271">
        <v>2856</v>
      </c>
      <c r="O240" s="271">
        <v>0</v>
      </c>
      <c r="P240" s="271">
        <v>0</v>
      </c>
      <c r="Q240" s="271">
        <v>0</v>
      </c>
      <c r="R240" s="271">
        <v>0</v>
      </c>
      <c r="S240" s="271">
        <v>0</v>
      </c>
      <c r="T240" s="271">
        <v>0</v>
      </c>
      <c r="U240" s="271">
        <v>16456</v>
      </c>
    </row>
    <row r="241" spans="1:21" x14ac:dyDescent="0.25">
      <c r="A241" s="316" t="s">
        <v>1298</v>
      </c>
      <c r="B241" s="316" t="s">
        <v>644</v>
      </c>
      <c r="C241" s="317">
        <v>1</v>
      </c>
      <c r="D241" s="317">
        <v>284</v>
      </c>
      <c r="E241" s="316"/>
      <c r="F241" s="317">
        <v>75252715353882</v>
      </c>
      <c r="G241" s="316" t="s">
        <v>7</v>
      </c>
      <c r="H241" s="317">
        <v>30718885902</v>
      </c>
      <c r="I241" s="316" t="s">
        <v>1424</v>
      </c>
      <c r="J241" s="273">
        <v>1</v>
      </c>
      <c r="K241" s="271" t="s">
        <v>646</v>
      </c>
      <c r="L241" s="319">
        <v>155700</v>
      </c>
      <c r="M241" s="273">
        <v>0</v>
      </c>
      <c r="N241" s="273">
        <v>0</v>
      </c>
      <c r="O241" s="273">
        <v>0</v>
      </c>
      <c r="P241" s="273">
        <v>32697</v>
      </c>
      <c r="Q241" s="273">
        <v>188397</v>
      </c>
      <c r="R241" s="271"/>
      <c r="S241" s="271"/>
      <c r="T241" s="271"/>
      <c r="U241" s="271"/>
    </row>
    <row r="242" spans="1:21" x14ac:dyDescent="0.25">
      <c r="A242" s="324" t="s">
        <v>1298</v>
      </c>
      <c r="B242" s="324" t="s">
        <v>1298</v>
      </c>
      <c r="C242" s="324" t="s">
        <v>1423</v>
      </c>
      <c r="D242" s="324" t="s">
        <v>1424</v>
      </c>
      <c r="E242" s="324" t="s">
        <v>1425</v>
      </c>
      <c r="F242" s="324" t="s">
        <v>987</v>
      </c>
      <c r="G242" s="324">
        <v>0</v>
      </c>
      <c r="H242" s="324" t="s">
        <v>1425</v>
      </c>
      <c r="I242" s="324" t="s">
        <v>1424</v>
      </c>
      <c r="J242" s="320">
        <v>155700</v>
      </c>
      <c r="K242" s="320">
        <v>0</v>
      </c>
      <c r="L242" s="271">
        <v>0</v>
      </c>
      <c r="M242" s="271">
        <v>0</v>
      </c>
      <c r="N242" s="271">
        <v>32697</v>
      </c>
      <c r="O242" s="271">
        <v>0</v>
      </c>
      <c r="P242" s="271">
        <v>0</v>
      </c>
      <c r="Q242" s="271">
        <v>0</v>
      </c>
      <c r="R242" s="271">
        <v>0</v>
      </c>
      <c r="S242" s="271">
        <v>0</v>
      </c>
      <c r="T242" s="271">
        <v>0</v>
      </c>
      <c r="U242" s="271">
        <v>188397</v>
      </c>
    </row>
    <row r="243" spans="1:21" x14ac:dyDescent="0.25">
      <c r="A243" s="316" t="s">
        <v>1279</v>
      </c>
      <c r="B243" s="316" t="s">
        <v>644</v>
      </c>
      <c r="C243" s="317">
        <v>5</v>
      </c>
      <c r="D243" s="317">
        <v>4548</v>
      </c>
      <c r="E243" s="316"/>
      <c r="F243" s="317">
        <v>75249399205906</v>
      </c>
      <c r="G243" s="316" t="s">
        <v>7</v>
      </c>
      <c r="H243" s="317">
        <v>33693506099</v>
      </c>
      <c r="I243" s="316" t="s">
        <v>1379</v>
      </c>
      <c r="J243" s="273">
        <v>1</v>
      </c>
      <c r="K243" s="271" t="s">
        <v>646</v>
      </c>
      <c r="L243" s="319">
        <v>40903.879999999997</v>
      </c>
      <c r="M243" s="273">
        <v>0</v>
      </c>
      <c r="N243" s="273">
        <v>0</v>
      </c>
      <c r="O243" s="273">
        <v>0</v>
      </c>
      <c r="P243" s="274">
        <v>6901.29</v>
      </c>
      <c r="Q243" s="274">
        <v>47805.17</v>
      </c>
      <c r="R243" s="271"/>
      <c r="S243" s="271"/>
      <c r="T243" s="271"/>
      <c r="U243" s="271"/>
    </row>
    <row r="244" spans="1:21" x14ac:dyDescent="0.25">
      <c r="A244" s="324" t="s">
        <v>1279</v>
      </c>
      <c r="B244" s="324" t="s">
        <v>1279</v>
      </c>
      <c r="C244" s="324" t="s">
        <v>1378</v>
      </c>
      <c r="D244" s="324" t="s">
        <v>1379</v>
      </c>
      <c r="E244" s="324" t="s">
        <v>1380</v>
      </c>
      <c r="F244" s="324" t="s">
        <v>987</v>
      </c>
      <c r="G244" s="324">
        <v>0</v>
      </c>
      <c r="H244" s="324" t="s">
        <v>1380</v>
      </c>
      <c r="I244" s="324" t="s">
        <v>1379</v>
      </c>
      <c r="J244" s="320">
        <v>24822.73</v>
      </c>
      <c r="K244" s="320">
        <v>0</v>
      </c>
      <c r="L244" s="271">
        <v>0</v>
      </c>
      <c r="M244" s="271">
        <v>0</v>
      </c>
      <c r="N244" s="271">
        <v>6901.29</v>
      </c>
      <c r="O244" s="271">
        <v>0</v>
      </c>
      <c r="P244" s="271">
        <v>0</v>
      </c>
      <c r="Q244" s="271">
        <v>0</v>
      </c>
      <c r="R244" s="271">
        <v>0</v>
      </c>
      <c r="S244" s="271">
        <v>0</v>
      </c>
      <c r="T244" s="271">
        <v>0</v>
      </c>
      <c r="U244" s="271">
        <v>47805.17</v>
      </c>
    </row>
    <row r="245" spans="1:21" x14ac:dyDescent="0.25">
      <c r="A245" s="316" t="s">
        <v>1283</v>
      </c>
      <c r="B245" s="316" t="s">
        <v>644</v>
      </c>
      <c r="C245" s="317">
        <v>3</v>
      </c>
      <c r="D245" s="317">
        <v>9173</v>
      </c>
      <c r="E245" s="316"/>
      <c r="F245" s="317">
        <v>75249690121776</v>
      </c>
      <c r="G245" s="316" t="s">
        <v>7</v>
      </c>
      <c r="H245" s="317">
        <v>33708218699</v>
      </c>
      <c r="I245" s="316" t="s">
        <v>682</v>
      </c>
      <c r="J245" s="273">
        <v>1</v>
      </c>
      <c r="K245" s="271" t="s">
        <v>646</v>
      </c>
      <c r="L245" s="319">
        <v>30000</v>
      </c>
      <c r="M245" s="273">
        <v>0</v>
      </c>
      <c r="N245" s="273">
        <v>0</v>
      </c>
      <c r="O245" s="273">
        <v>0</v>
      </c>
      <c r="P245" s="273">
        <v>6300</v>
      </c>
      <c r="Q245" s="273">
        <v>36300</v>
      </c>
      <c r="R245" s="271"/>
      <c r="S245" s="271"/>
      <c r="T245" s="271"/>
      <c r="U245" s="271"/>
    </row>
    <row r="246" spans="1:21" x14ac:dyDescent="0.25">
      <c r="A246" s="324" t="s">
        <v>1283</v>
      </c>
      <c r="B246" s="324" t="s">
        <v>1283</v>
      </c>
      <c r="C246" s="324" t="s">
        <v>1391</v>
      </c>
      <c r="D246" s="324" t="s">
        <v>518</v>
      </c>
      <c r="E246" s="324" t="s">
        <v>1392</v>
      </c>
      <c r="F246" s="324" t="s">
        <v>987</v>
      </c>
      <c r="G246" s="324">
        <v>0</v>
      </c>
      <c r="H246" s="324" t="s">
        <v>1392</v>
      </c>
      <c r="I246" s="324" t="s">
        <v>518</v>
      </c>
      <c r="J246" s="320">
        <v>30000</v>
      </c>
      <c r="K246" s="320">
        <v>0</v>
      </c>
      <c r="L246" s="271">
        <v>0</v>
      </c>
      <c r="M246" s="271">
        <v>0</v>
      </c>
      <c r="N246" s="271">
        <v>6300</v>
      </c>
      <c r="O246" s="271">
        <v>0</v>
      </c>
      <c r="P246" s="271">
        <v>0</v>
      </c>
      <c r="Q246" s="271">
        <v>0</v>
      </c>
      <c r="R246" s="271">
        <v>0</v>
      </c>
      <c r="S246" s="271">
        <v>0</v>
      </c>
      <c r="T246" s="271">
        <v>0</v>
      </c>
      <c r="U246" s="271">
        <v>36300</v>
      </c>
    </row>
    <row r="247" spans="1:21" x14ac:dyDescent="0.25">
      <c r="A247" s="324" t="s">
        <v>1280</v>
      </c>
      <c r="B247" s="324" t="s">
        <v>1280</v>
      </c>
      <c r="C247" s="324" t="s">
        <v>1385</v>
      </c>
      <c r="D247" s="324" t="s">
        <v>345</v>
      </c>
      <c r="E247" s="324" t="s">
        <v>1386</v>
      </c>
      <c r="F247" s="324" t="s">
        <v>987</v>
      </c>
      <c r="G247" s="324">
        <v>0</v>
      </c>
      <c r="H247" s="324" t="s">
        <v>1386</v>
      </c>
      <c r="I247" s="324" t="s">
        <v>345</v>
      </c>
      <c r="J247" s="320">
        <v>51182.3</v>
      </c>
      <c r="K247" s="320">
        <v>0</v>
      </c>
      <c r="L247" s="271">
        <v>0</v>
      </c>
      <c r="M247" s="271">
        <v>0</v>
      </c>
      <c r="N247" s="271">
        <v>10748.28</v>
      </c>
      <c r="O247" s="271">
        <v>0</v>
      </c>
      <c r="P247" s="271">
        <v>0</v>
      </c>
      <c r="Q247" s="271">
        <v>0</v>
      </c>
      <c r="R247" s="271">
        <v>8069.46</v>
      </c>
      <c r="S247" s="271">
        <v>0</v>
      </c>
      <c r="T247" s="271">
        <v>2047.29</v>
      </c>
      <c r="U247" s="271">
        <v>72047.33</v>
      </c>
    </row>
    <row r="248" spans="1:21" x14ac:dyDescent="0.25">
      <c r="A248" s="316" t="s">
        <v>1267</v>
      </c>
      <c r="B248" s="316" t="s">
        <v>644</v>
      </c>
      <c r="C248" s="317">
        <v>1</v>
      </c>
      <c r="D248" s="317">
        <v>880549</v>
      </c>
      <c r="E248" s="316"/>
      <c r="F248" s="317">
        <v>75239958861499</v>
      </c>
      <c r="G248" s="316" t="s">
        <v>7</v>
      </c>
      <c r="H248" s="317">
        <v>33716307749</v>
      </c>
      <c r="I248" s="316" t="s">
        <v>722</v>
      </c>
      <c r="J248" s="273">
        <v>1</v>
      </c>
      <c r="K248" s="271" t="s">
        <v>646</v>
      </c>
      <c r="L248" s="319">
        <v>53953.8</v>
      </c>
      <c r="M248" s="273">
        <v>0</v>
      </c>
      <c r="N248" s="273">
        <v>0</v>
      </c>
      <c r="O248" s="274">
        <v>2158.15</v>
      </c>
      <c r="P248" s="271">
        <v>11330.3</v>
      </c>
      <c r="Q248" s="274">
        <v>67442.25</v>
      </c>
      <c r="R248" s="271"/>
      <c r="S248" s="271"/>
      <c r="T248" s="271"/>
      <c r="U248" s="271"/>
    </row>
    <row r="249" spans="1:21" x14ac:dyDescent="0.25">
      <c r="A249" s="324" t="s">
        <v>1267</v>
      </c>
      <c r="B249" s="324" t="s">
        <v>1267</v>
      </c>
      <c r="C249" s="324" t="s">
        <v>1322</v>
      </c>
      <c r="D249" s="324" t="s">
        <v>722</v>
      </c>
      <c r="E249" s="324" t="s">
        <v>1254</v>
      </c>
      <c r="F249" s="324" t="s">
        <v>987</v>
      </c>
      <c r="G249" s="324">
        <v>0</v>
      </c>
      <c r="H249" s="324" t="s">
        <v>1254</v>
      </c>
      <c r="I249" s="324" t="s">
        <v>722</v>
      </c>
      <c r="J249" s="320">
        <v>53953.8</v>
      </c>
      <c r="K249" s="320">
        <v>0</v>
      </c>
      <c r="L249" s="271">
        <v>0</v>
      </c>
      <c r="M249" s="271">
        <v>0</v>
      </c>
      <c r="N249" s="271">
        <v>11330.3</v>
      </c>
      <c r="O249" s="271">
        <v>0</v>
      </c>
      <c r="P249" s="271">
        <v>0</v>
      </c>
      <c r="Q249" s="271">
        <v>0</v>
      </c>
      <c r="R249" s="271">
        <v>2158.15</v>
      </c>
      <c r="S249" s="271">
        <v>0</v>
      </c>
      <c r="T249" s="271">
        <v>0</v>
      </c>
      <c r="U249" s="271">
        <v>67442.25</v>
      </c>
    </row>
  </sheetData>
  <autoFilter ref="A2:U249" xr:uid="{00000000-0009-0000-0000-00000B000000}"/>
  <sortState xmlns:xlrd2="http://schemas.microsoft.com/office/spreadsheetml/2017/richdata2" ref="A3:U249">
    <sortCondition ref="H3:H249"/>
  </sortState>
  <mergeCells count="1">
    <mergeCell ref="A1:Q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S169"/>
  <sheetViews>
    <sheetView tabSelected="1" zoomScaleNormal="100" workbookViewId="0">
      <selection activeCell="Q12" sqref="Q12"/>
    </sheetView>
  </sheetViews>
  <sheetFormatPr baseColWidth="10" defaultRowHeight="15" x14ac:dyDescent="0.25"/>
  <cols>
    <col min="3" max="3" width="19" customWidth="1"/>
    <col min="4" max="4" width="29.28515625" customWidth="1"/>
    <col min="5" max="5" width="15.42578125" customWidth="1"/>
    <col min="7" max="8" width="15.5703125" style="341" bestFit="1" customWidth="1"/>
    <col min="9" max="9" width="17.42578125" style="341" bestFit="1" customWidth="1"/>
    <col min="10" max="10" width="13" style="341" bestFit="1" customWidth="1"/>
    <col min="11" max="12" width="15.5703125" style="341" bestFit="1" customWidth="1"/>
    <col min="13" max="13" width="12" style="341" bestFit="1" customWidth="1"/>
    <col min="14" max="14" width="11" style="341" bestFit="1" customWidth="1"/>
    <col min="15" max="15" width="12" style="341" bestFit="1" customWidth="1"/>
    <col min="16" max="16" width="13" style="341" bestFit="1" customWidth="1"/>
    <col min="17" max="17" width="15.5703125" style="341" bestFit="1" customWidth="1"/>
  </cols>
  <sheetData>
    <row r="1" spans="1:19" x14ac:dyDescent="0.25">
      <c r="L1" s="397">
        <v>45839</v>
      </c>
      <c r="M1" s="398"/>
      <c r="N1" s="398"/>
      <c r="O1" s="398"/>
      <c r="P1" s="398"/>
      <c r="Q1" s="398"/>
      <c r="R1" s="398"/>
    </row>
    <row r="2" spans="1:19" x14ac:dyDescent="0.25">
      <c r="C2" s="349" t="s">
        <v>2375</v>
      </c>
      <c r="D2" s="257" t="s">
        <v>2376</v>
      </c>
      <c r="L2" s="399"/>
      <c r="M2" s="399"/>
      <c r="N2" s="399"/>
      <c r="O2" s="399"/>
      <c r="P2" s="399"/>
      <c r="Q2" s="399"/>
      <c r="R2" s="399"/>
    </row>
    <row r="3" spans="1:19" ht="45" x14ac:dyDescent="0.25">
      <c r="A3" s="272" t="s">
        <v>1197</v>
      </c>
      <c r="B3" s="272" t="s">
        <v>1198</v>
      </c>
      <c r="C3" s="272" t="s">
        <v>981</v>
      </c>
      <c r="D3" s="272" t="s">
        <v>982</v>
      </c>
      <c r="E3" s="272" t="s">
        <v>983</v>
      </c>
      <c r="F3" s="272" t="s">
        <v>1199</v>
      </c>
      <c r="G3" s="336" t="s">
        <v>1263</v>
      </c>
      <c r="H3" s="336" t="s">
        <v>1200</v>
      </c>
      <c r="I3" s="336" t="s">
        <v>1201</v>
      </c>
      <c r="J3" s="336" t="s">
        <v>1202</v>
      </c>
      <c r="K3" s="336" t="s">
        <v>1203</v>
      </c>
      <c r="L3" s="336" t="s">
        <v>1204</v>
      </c>
      <c r="M3" s="336" t="s">
        <v>1205</v>
      </c>
      <c r="N3" s="336" t="s">
        <v>1206</v>
      </c>
      <c r="O3" s="336" t="s">
        <v>984</v>
      </c>
      <c r="P3" s="336" t="s">
        <v>21</v>
      </c>
      <c r="Q3" s="336" t="s">
        <v>985</v>
      </c>
      <c r="R3" s="272" t="s">
        <v>1207</v>
      </c>
    </row>
    <row r="4" spans="1:19" x14ac:dyDescent="0.25">
      <c r="A4" s="271" t="s">
        <v>1794</v>
      </c>
      <c r="B4" s="271" t="s">
        <v>1794</v>
      </c>
      <c r="C4" s="271" t="s">
        <v>2256</v>
      </c>
      <c r="D4" s="271" t="s">
        <v>350</v>
      </c>
      <c r="E4" s="403">
        <v>30716815710</v>
      </c>
      <c r="F4" s="271" t="s">
        <v>987</v>
      </c>
      <c r="G4" s="337">
        <v>0</v>
      </c>
      <c r="H4" s="337">
        <v>17000</v>
      </c>
      <c r="I4" s="337">
        <v>0</v>
      </c>
      <c r="J4" s="337">
        <v>0</v>
      </c>
      <c r="K4" s="337">
        <v>0</v>
      </c>
      <c r="L4" s="337">
        <v>3570</v>
      </c>
      <c r="M4" s="337">
        <v>0</v>
      </c>
      <c r="N4" s="337">
        <v>0</v>
      </c>
      <c r="O4" s="337">
        <v>0</v>
      </c>
      <c r="P4" s="337">
        <v>0</v>
      </c>
      <c r="Q4" s="337">
        <f t="shared" ref="Q4:Q35" si="0">SUM(G4:P4)</f>
        <v>20570</v>
      </c>
      <c r="R4" t="s">
        <v>1211</v>
      </c>
    </row>
    <row r="5" spans="1:19" x14ac:dyDescent="0.25">
      <c r="A5" s="327" t="s">
        <v>1794</v>
      </c>
      <c r="B5" s="327" t="s">
        <v>1794</v>
      </c>
      <c r="C5" s="327" t="s">
        <v>2255</v>
      </c>
      <c r="D5" s="327" t="s">
        <v>681</v>
      </c>
      <c r="E5" s="404">
        <v>30717179389</v>
      </c>
      <c r="F5" s="327" t="s">
        <v>987</v>
      </c>
      <c r="G5" s="338">
        <v>0</v>
      </c>
      <c r="H5" s="338">
        <v>49586.78</v>
      </c>
      <c r="I5" s="338">
        <v>0</v>
      </c>
      <c r="J5" s="338">
        <v>0</v>
      </c>
      <c r="K5" s="338">
        <v>0</v>
      </c>
      <c r="L5" s="338">
        <v>10413.219999999999</v>
      </c>
      <c r="M5" s="338">
        <v>0</v>
      </c>
      <c r="N5" s="338">
        <v>0</v>
      </c>
      <c r="O5" s="338">
        <v>0</v>
      </c>
      <c r="P5" s="338">
        <v>0</v>
      </c>
      <c r="Q5" s="337">
        <f t="shared" si="0"/>
        <v>60000</v>
      </c>
      <c r="R5" t="s">
        <v>1211</v>
      </c>
    </row>
    <row r="6" spans="1:19" x14ac:dyDescent="0.25">
      <c r="A6" s="335" t="s">
        <v>1712</v>
      </c>
      <c r="B6" s="335" t="s">
        <v>1712</v>
      </c>
      <c r="C6" s="335" t="s">
        <v>2234</v>
      </c>
      <c r="D6" s="335" t="s">
        <v>147</v>
      </c>
      <c r="E6" s="405">
        <v>30715141201</v>
      </c>
      <c r="F6" s="335" t="s">
        <v>987</v>
      </c>
      <c r="G6" s="339">
        <v>0</v>
      </c>
      <c r="H6" s="339">
        <v>585457.93999999994</v>
      </c>
      <c r="I6" s="339">
        <v>0</v>
      </c>
      <c r="J6" s="339">
        <v>0</v>
      </c>
      <c r="K6" s="339">
        <v>0</v>
      </c>
      <c r="L6" s="339">
        <v>122946.17</v>
      </c>
      <c r="M6" s="339">
        <v>0</v>
      </c>
      <c r="N6" s="339">
        <v>0</v>
      </c>
      <c r="O6" s="339">
        <v>0</v>
      </c>
      <c r="P6" s="339">
        <v>0</v>
      </c>
      <c r="Q6" s="337">
        <f t="shared" si="0"/>
        <v>708404.11</v>
      </c>
      <c r="R6" s="335" t="s">
        <v>1211</v>
      </c>
      <c r="S6" s="335"/>
    </row>
    <row r="7" spans="1:19" x14ac:dyDescent="0.25">
      <c r="A7" s="335" t="s">
        <v>1712</v>
      </c>
      <c r="B7" s="335" t="s">
        <v>1712</v>
      </c>
      <c r="C7" s="335" t="s">
        <v>2235</v>
      </c>
      <c r="D7" s="335" t="s">
        <v>147</v>
      </c>
      <c r="E7" s="405">
        <v>30715141201</v>
      </c>
      <c r="F7" s="335" t="s">
        <v>987</v>
      </c>
      <c r="G7" s="339">
        <v>0</v>
      </c>
      <c r="H7" s="339">
        <v>330547.5</v>
      </c>
      <c r="I7" s="339">
        <v>0</v>
      </c>
      <c r="J7" s="339">
        <v>0</v>
      </c>
      <c r="K7" s="339">
        <v>0</v>
      </c>
      <c r="L7" s="339">
        <v>69414.98</v>
      </c>
      <c r="M7" s="339">
        <v>0</v>
      </c>
      <c r="N7" s="339">
        <v>0</v>
      </c>
      <c r="O7" s="339">
        <v>0</v>
      </c>
      <c r="P7" s="339">
        <v>0</v>
      </c>
      <c r="Q7" s="337">
        <f t="shared" si="0"/>
        <v>399962.48</v>
      </c>
      <c r="R7" s="335" t="s">
        <v>1211</v>
      </c>
      <c r="S7" s="335"/>
    </row>
    <row r="8" spans="1:19" x14ac:dyDescent="0.25">
      <c r="A8" s="335" t="s">
        <v>2034</v>
      </c>
      <c r="B8" s="335" t="s">
        <v>2034</v>
      </c>
      <c r="C8" s="335" t="s">
        <v>2303</v>
      </c>
      <c r="D8" s="335" t="s">
        <v>147</v>
      </c>
      <c r="E8" s="405">
        <v>30715141201</v>
      </c>
      <c r="F8" s="335" t="s">
        <v>987</v>
      </c>
      <c r="G8" s="339">
        <v>0</v>
      </c>
      <c r="H8" s="339">
        <v>2167818.75</v>
      </c>
      <c r="I8" s="339">
        <v>0</v>
      </c>
      <c r="J8" s="339">
        <v>0</v>
      </c>
      <c r="K8" s="339">
        <v>0</v>
      </c>
      <c r="L8" s="339">
        <v>455241.94</v>
      </c>
      <c r="M8" s="339">
        <v>0</v>
      </c>
      <c r="N8" s="339">
        <v>0</v>
      </c>
      <c r="O8" s="339">
        <v>0</v>
      </c>
      <c r="P8" s="339">
        <v>0</v>
      </c>
      <c r="Q8" s="337">
        <f t="shared" si="0"/>
        <v>2623060.69</v>
      </c>
      <c r="R8" s="335" t="s">
        <v>1211</v>
      </c>
      <c r="S8" s="335"/>
    </row>
    <row r="9" spans="1:19" x14ac:dyDescent="0.25">
      <c r="A9" s="335" t="s">
        <v>2034</v>
      </c>
      <c r="B9" s="335" t="s">
        <v>2034</v>
      </c>
      <c r="C9" s="335" t="s">
        <v>2304</v>
      </c>
      <c r="D9" s="335" t="s">
        <v>147</v>
      </c>
      <c r="E9" s="405">
        <v>30715141201</v>
      </c>
      <c r="F9" s="335" t="s">
        <v>987</v>
      </c>
      <c r="G9" s="339">
        <v>0</v>
      </c>
      <c r="H9" s="339">
        <v>3308625</v>
      </c>
      <c r="I9" s="339">
        <v>0</v>
      </c>
      <c r="J9" s="339">
        <v>0</v>
      </c>
      <c r="K9" s="339">
        <v>0</v>
      </c>
      <c r="L9" s="339">
        <v>694811.25</v>
      </c>
      <c r="M9" s="339">
        <v>0</v>
      </c>
      <c r="N9" s="339">
        <v>0</v>
      </c>
      <c r="O9" s="339">
        <v>0</v>
      </c>
      <c r="P9" s="339">
        <v>0</v>
      </c>
      <c r="Q9" s="337">
        <f t="shared" si="0"/>
        <v>4003436.25</v>
      </c>
      <c r="R9" s="335" t="s">
        <v>1211</v>
      </c>
      <c r="S9" s="335"/>
    </row>
    <row r="10" spans="1:19" x14ac:dyDescent="0.25">
      <c r="A10" s="335" t="s">
        <v>2034</v>
      </c>
      <c r="B10" s="335" t="s">
        <v>2034</v>
      </c>
      <c r="C10" s="335" t="s">
        <v>2305</v>
      </c>
      <c r="D10" s="335" t="s">
        <v>147</v>
      </c>
      <c r="E10" s="405">
        <v>30715141201</v>
      </c>
      <c r="F10" s="335" t="s">
        <v>987</v>
      </c>
      <c r="G10" s="339">
        <v>0</v>
      </c>
      <c r="H10" s="339">
        <v>810267.77</v>
      </c>
      <c r="I10" s="339">
        <v>0</v>
      </c>
      <c r="J10" s="339">
        <v>0</v>
      </c>
      <c r="K10" s="339">
        <v>0</v>
      </c>
      <c r="L10" s="339">
        <v>170156.23</v>
      </c>
      <c r="M10" s="339">
        <v>0</v>
      </c>
      <c r="N10" s="339">
        <v>0</v>
      </c>
      <c r="O10" s="339">
        <v>0</v>
      </c>
      <c r="P10" s="339">
        <v>0</v>
      </c>
      <c r="Q10" s="337">
        <f t="shared" si="0"/>
        <v>980424</v>
      </c>
      <c r="R10" s="335" t="s">
        <v>1211</v>
      </c>
      <c r="S10" s="335"/>
    </row>
    <row r="11" spans="1:19" x14ac:dyDescent="0.25">
      <c r="A11" s="335" t="s">
        <v>2087</v>
      </c>
      <c r="B11" s="335" t="s">
        <v>2087</v>
      </c>
      <c r="C11" s="335" t="s">
        <v>2312</v>
      </c>
      <c r="D11" s="335" t="s">
        <v>147</v>
      </c>
      <c r="E11" s="405">
        <v>30715141201</v>
      </c>
      <c r="F11" s="335" t="s">
        <v>987</v>
      </c>
      <c r="G11" s="339">
        <v>0</v>
      </c>
      <c r="H11" s="339">
        <v>857756.25</v>
      </c>
      <c r="I11" s="339">
        <v>0</v>
      </c>
      <c r="J11" s="339">
        <v>0</v>
      </c>
      <c r="K11" s="339">
        <v>0</v>
      </c>
      <c r="L11" s="339">
        <v>180128.81</v>
      </c>
      <c r="M11" s="339">
        <v>0</v>
      </c>
      <c r="N11" s="339">
        <v>0</v>
      </c>
      <c r="O11" s="339">
        <v>0</v>
      </c>
      <c r="P11" s="339">
        <v>0</v>
      </c>
      <c r="Q11" s="337">
        <f t="shared" si="0"/>
        <v>1037885.06</v>
      </c>
      <c r="R11" s="335" t="s">
        <v>1211</v>
      </c>
      <c r="S11" s="335"/>
    </row>
    <row r="12" spans="1:19" x14ac:dyDescent="0.25">
      <c r="A12" s="335" t="s">
        <v>1598</v>
      </c>
      <c r="B12" s="335" t="s">
        <v>1598</v>
      </c>
      <c r="C12" s="335" t="s">
        <v>2197</v>
      </c>
      <c r="D12" s="335" t="s">
        <v>1084</v>
      </c>
      <c r="E12" s="405">
        <v>30711610096</v>
      </c>
      <c r="F12" s="335" t="s">
        <v>987</v>
      </c>
      <c r="G12" s="339">
        <v>0</v>
      </c>
      <c r="H12" s="339">
        <v>591900</v>
      </c>
      <c r="I12" s="339">
        <v>0</v>
      </c>
      <c r="J12" s="339">
        <v>0</v>
      </c>
      <c r="K12" s="339">
        <v>0</v>
      </c>
      <c r="L12" s="339">
        <v>124299</v>
      </c>
      <c r="M12" s="339">
        <v>0</v>
      </c>
      <c r="N12" s="339">
        <v>0</v>
      </c>
      <c r="O12" s="339">
        <v>0</v>
      </c>
      <c r="P12" s="339">
        <v>0</v>
      </c>
      <c r="Q12" s="337">
        <f t="shared" si="0"/>
        <v>716199</v>
      </c>
      <c r="R12" s="335" t="s">
        <v>1211</v>
      </c>
      <c r="S12" s="335"/>
    </row>
    <row r="13" spans="1:19" x14ac:dyDescent="0.25">
      <c r="A13" s="335" t="s">
        <v>1619</v>
      </c>
      <c r="B13" s="335" t="s">
        <v>1619</v>
      </c>
      <c r="C13" s="335" t="s">
        <v>2204</v>
      </c>
      <c r="D13" s="335" t="s">
        <v>1226</v>
      </c>
      <c r="E13" s="405">
        <v>20272865869</v>
      </c>
      <c r="F13" s="335" t="s">
        <v>987</v>
      </c>
      <c r="G13" s="339">
        <v>0</v>
      </c>
      <c r="H13" s="339">
        <v>251308.26</v>
      </c>
      <c r="I13" s="339">
        <v>0</v>
      </c>
      <c r="J13" s="339">
        <v>0</v>
      </c>
      <c r="K13" s="339">
        <v>0</v>
      </c>
      <c r="L13" s="339">
        <v>52774.73</v>
      </c>
      <c r="M13" s="339">
        <v>0</v>
      </c>
      <c r="N13" s="339">
        <v>0</v>
      </c>
      <c r="O13" s="339">
        <v>0</v>
      </c>
      <c r="P13" s="339">
        <v>0</v>
      </c>
      <c r="Q13" s="337">
        <f t="shared" si="0"/>
        <v>304082.99</v>
      </c>
      <c r="R13" s="335" t="s">
        <v>1211</v>
      </c>
      <c r="S13" s="335"/>
    </row>
    <row r="14" spans="1:19" x14ac:dyDescent="0.25">
      <c r="A14" s="335" t="s">
        <v>1712</v>
      </c>
      <c r="B14" s="335" t="s">
        <v>1712</v>
      </c>
      <c r="C14" s="335" t="s">
        <v>2236</v>
      </c>
      <c r="D14" s="335" t="s">
        <v>1226</v>
      </c>
      <c r="E14" s="405">
        <v>20272865869</v>
      </c>
      <c r="F14" s="335" t="s">
        <v>987</v>
      </c>
      <c r="G14" s="339">
        <v>0</v>
      </c>
      <c r="H14" s="339">
        <v>136600</v>
      </c>
      <c r="I14" s="339">
        <v>0</v>
      </c>
      <c r="J14" s="339">
        <v>0</v>
      </c>
      <c r="K14" s="339">
        <v>0</v>
      </c>
      <c r="L14" s="339">
        <v>28686</v>
      </c>
      <c r="M14" s="339">
        <v>0</v>
      </c>
      <c r="N14" s="339">
        <v>0</v>
      </c>
      <c r="O14" s="339">
        <v>0</v>
      </c>
      <c r="P14" s="339">
        <v>0</v>
      </c>
      <c r="Q14" s="337">
        <f t="shared" si="0"/>
        <v>165286</v>
      </c>
      <c r="R14" s="335" t="s">
        <v>1211</v>
      </c>
      <c r="S14" s="335"/>
    </row>
    <row r="15" spans="1:19" x14ac:dyDescent="0.25">
      <c r="A15" s="335" t="s">
        <v>1956</v>
      </c>
      <c r="B15" s="335" t="s">
        <v>1956</v>
      </c>
      <c r="C15" s="335" t="s">
        <v>2292</v>
      </c>
      <c r="D15" s="335" t="s">
        <v>1226</v>
      </c>
      <c r="E15" s="405">
        <v>20272865869</v>
      </c>
      <c r="F15" s="335" t="s">
        <v>987</v>
      </c>
      <c r="G15" s="339">
        <v>0</v>
      </c>
      <c r="H15" s="339">
        <v>299000</v>
      </c>
      <c r="I15" s="339">
        <v>0</v>
      </c>
      <c r="J15" s="339">
        <v>0</v>
      </c>
      <c r="K15" s="339">
        <v>0</v>
      </c>
      <c r="L15" s="339">
        <v>62790</v>
      </c>
      <c r="M15" s="339">
        <v>0</v>
      </c>
      <c r="N15" s="339">
        <v>0</v>
      </c>
      <c r="O15" s="339">
        <v>0</v>
      </c>
      <c r="P15" s="339">
        <v>0</v>
      </c>
      <c r="Q15" s="337">
        <f t="shared" si="0"/>
        <v>361790</v>
      </c>
      <c r="R15" s="335" t="s">
        <v>1211</v>
      </c>
      <c r="S15" s="335"/>
    </row>
    <row r="16" spans="1:19" x14ac:dyDescent="0.25">
      <c r="A16" s="335" t="s">
        <v>2034</v>
      </c>
      <c r="B16" s="335" t="s">
        <v>2034</v>
      </c>
      <c r="C16" s="335" t="s">
        <v>2301</v>
      </c>
      <c r="D16" s="335" t="s">
        <v>1226</v>
      </c>
      <c r="E16" s="405">
        <v>20272865869</v>
      </c>
      <c r="F16" s="335" t="s">
        <v>987</v>
      </c>
      <c r="G16" s="339">
        <v>0</v>
      </c>
      <c r="H16" s="339">
        <v>126400</v>
      </c>
      <c r="I16" s="339">
        <v>0</v>
      </c>
      <c r="J16" s="339">
        <v>0</v>
      </c>
      <c r="K16" s="339">
        <v>0</v>
      </c>
      <c r="L16" s="339">
        <v>26544</v>
      </c>
      <c r="M16" s="339">
        <v>0</v>
      </c>
      <c r="N16" s="339">
        <v>0</v>
      </c>
      <c r="O16" s="339">
        <v>0</v>
      </c>
      <c r="P16" s="339">
        <v>0</v>
      </c>
      <c r="Q16" s="337">
        <f t="shared" si="0"/>
        <v>152944</v>
      </c>
      <c r="R16" s="335" t="s">
        <v>1211</v>
      </c>
      <c r="S16" s="335"/>
    </row>
    <row r="17" spans="1:19" x14ac:dyDescent="0.25">
      <c r="A17" s="335" t="s">
        <v>2087</v>
      </c>
      <c r="B17" s="335" t="s">
        <v>2087</v>
      </c>
      <c r="C17" s="335" t="s">
        <v>2311</v>
      </c>
      <c r="D17" s="335" t="s">
        <v>1226</v>
      </c>
      <c r="E17" s="405">
        <v>20272865869</v>
      </c>
      <c r="F17" s="335" t="s">
        <v>987</v>
      </c>
      <c r="G17" s="339">
        <v>0</v>
      </c>
      <c r="H17" s="339">
        <v>49000</v>
      </c>
      <c r="I17" s="339">
        <v>0</v>
      </c>
      <c r="J17" s="339">
        <v>0</v>
      </c>
      <c r="K17" s="339">
        <v>0</v>
      </c>
      <c r="L17" s="339">
        <v>10290</v>
      </c>
      <c r="M17" s="339">
        <v>0</v>
      </c>
      <c r="N17" s="339">
        <v>0</v>
      </c>
      <c r="O17" s="339">
        <v>0</v>
      </c>
      <c r="P17" s="339">
        <v>0</v>
      </c>
      <c r="Q17" s="337">
        <f t="shared" si="0"/>
        <v>59290</v>
      </c>
      <c r="R17" s="335" t="s">
        <v>1211</v>
      </c>
      <c r="S17" s="335"/>
    </row>
    <row r="18" spans="1:19" x14ac:dyDescent="0.25">
      <c r="A18" s="335" t="s">
        <v>2173</v>
      </c>
      <c r="B18" s="335" t="s">
        <v>2173</v>
      </c>
      <c r="C18" s="335" t="s">
        <v>2334</v>
      </c>
      <c r="D18" s="335" t="s">
        <v>1226</v>
      </c>
      <c r="E18" s="405">
        <v>20272865869</v>
      </c>
      <c r="F18" s="335" t="s">
        <v>987</v>
      </c>
      <c r="G18" s="339">
        <v>0</v>
      </c>
      <c r="H18" s="339">
        <v>144900</v>
      </c>
      <c r="I18" s="339">
        <v>0</v>
      </c>
      <c r="J18" s="339">
        <v>0</v>
      </c>
      <c r="K18" s="339">
        <v>0</v>
      </c>
      <c r="L18" s="339">
        <v>30429</v>
      </c>
      <c r="M18" s="339">
        <v>0</v>
      </c>
      <c r="N18" s="339">
        <v>0</v>
      </c>
      <c r="O18" s="339">
        <v>0</v>
      </c>
      <c r="P18" s="339">
        <v>0</v>
      </c>
      <c r="Q18" s="337">
        <f t="shared" si="0"/>
        <v>175329</v>
      </c>
      <c r="R18" s="335" t="s">
        <v>1211</v>
      </c>
      <c r="S18" s="335"/>
    </row>
    <row r="19" spans="1:19" x14ac:dyDescent="0.25">
      <c r="A19" s="335" t="s">
        <v>1744</v>
      </c>
      <c r="B19" s="335" t="s">
        <v>1744</v>
      </c>
      <c r="C19" s="335" t="s">
        <v>2243</v>
      </c>
      <c r="D19" s="335" t="s">
        <v>2244</v>
      </c>
      <c r="E19" s="405">
        <v>24253769951</v>
      </c>
      <c r="F19" s="335" t="s">
        <v>987</v>
      </c>
      <c r="G19" s="339">
        <v>0</v>
      </c>
      <c r="H19" s="339">
        <v>395449</v>
      </c>
      <c r="I19" s="339">
        <v>0</v>
      </c>
      <c r="J19" s="339">
        <v>0</v>
      </c>
      <c r="K19" s="339">
        <v>0</v>
      </c>
      <c r="L19" s="339">
        <v>83044.289999999994</v>
      </c>
      <c r="M19" s="339">
        <v>0</v>
      </c>
      <c r="N19" s="339">
        <v>0</v>
      </c>
      <c r="O19" s="339">
        <v>0</v>
      </c>
      <c r="P19" s="339">
        <v>0</v>
      </c>
      <c r="Q19" s="337">
        <f t="shared" si="0"/>
        <v>478493.29</v>
      </c>
      <c r="R19" s="335" t="s">
        <v>1211</v>
      </c>
      <c r="S19" s="335"/>
    </row>
    <row r="20" spans="1:19" x14ac:dyDescent="0.25">
      <c r="A20" s="335" t="s">
        <v>1848</v>
      </c>
      <c r="B20" s="335" t="s">
        <v>1905</v>
      </c>
      <c r="C20" s="335" t="s">
        <v>2279</v>
      </c>
      <c r="D20" s="335" t="s">
        <v>2280</v>
      </c>
      <c r="E20" s="405">
        <v>30694549817</v>
      </c>
      <c r="F20" s="335" t="s">
        <v>987</v>
      </c>
      <c r="G20" s="339">
        <v>0</v>
      </c>
      <c r="H20" s="339">
        <v>458553.2</v>
      </c>
      <c r="I20" s="339">
        <v>0</v>
      </c>
      <c r="J20" s="339">
        <v>0</v>
      </c>
      <c r="K20" s="339">
        <v>0</v>
      </c>
      <c r="L20" s="339">
        <v>96296.17</v>
      </c>
      <c r="M20" s="339">
        <v>0</v>
      </c>
      <c r="N20" s="339">
        <v>0</v>
      </c>
      <c r="O20" s="339">
        <v>0</v>
      </c>
      <c r="P20" s="339">
        <v>0</v>
      </c>
      <c r="Q20" s="337">
        <f t="shared" si="0"/>
        <v>554849.37</v>
      </c>
      <c r="R20" s="335" t="s">
        <v>1211</v>
      </c>
      <c r="S20" s="335"/>
    </row>
    <row r="21" spans="1:19" x14ac:dyDescent="0.25">
      <c r="A21" s="335" t="s">
        <v>1676</v>
      </c>
      <c r="B21" s="335" t="s">
        <v>1676</v>
      </c>
      <c r="C21" s="335" t="s">
        <v>2214</v>
      </c>
      <c r="D21" s="335" t="s">
        <v>936</v>
      </c>
      <c r="E21" s="405">
        <v>30714331082</v>
      </c>
      <c r="F21" s="335" t="s">
        <v>987</v>
      </c>
      <c r="G21" s="339">
        <v>0</v>
      </c>
      <c r="H21" s="339">
        <v>3407765.5</v>
      </c>
      <c r="I21" s="339">
        <v>0</v>
      </c>
      <c r="J21" s="339">
        <v>0</v>
      </c>
      <c r="K21" s="339">
        <v>0</v>
      </c>
      <c r="L21" s="339">
        <v>715630.76</v>
      </c>
      <c r="M21" s="339">
        <v>0</v>
      </c>
      <c r="N21" s="339">
        <v>0</v>
      </c>
      <c r="O21" s="339">
        <v>0</v>
      </c>
      <c r="P21" s="339">
        <v>0</v>
      </c>
      <c r="Q21" s="337">
        <f t="shared" si="0"/>
        <v>4123396.26</v>
      </c>
      <c r="R21" s="335" t="s">
        <v>1211</v>
      </c>
      <c r="S21" s="335"/>
    </row>
    <row r="22" spans="1:19" x14ac:dyDescent="0.25">
      <c r="A22" s="335" t="s">
        <v>1794</v>
      </c>
      <c r="B22" s="335" t="s">
        <v>1823</v>
      </c>
      <c r="C22" s="335" t="s">
        <v>2261</v>
      </c>
      <c r="D22" s="335" t="s">
        <v>936</v>
      </c>
      <c r="E22" s="405">
        <v>30714331082</v>
      </c>
      <c r="F22" s="335" t="s">
        <v>987</v>
      </c>
      <c r="G22" s="339">
        <v>0</v>
      </c>
      <c r="H22" s="339">
        <v>2929735.22</v>
      </c>
      <c r="I22" s="339">
        <v>0</v>
      </c>
      <c r="J22" s="339">
        <v>0</v>
      </c>
      <c r="K22" s="339">
        <v>0</v>
      </c>
      <c r="L22" s="339">
        <v>615244.4</v>
      </c>
      <c r="M22" s="339">
        <v>0</v>
      </c>
      <c r="N22" s="339">
        <v>0</v>
      </c>
      <c r="O22" s="339">
        <v>0</v>
      </c>
      <c r="P22" s="339">
        <v>0</v>
      </c>
      <c r="Q22" s="337">
        <f t="shared" si="0"/>
        <v>3544979.62</v>
      </c>
      <c r="R22" s="335" t="s">
        <v>1211</v>
      </c>
      <c r="S22" s="335"/>
    </row>
    <row r="23" spans="1:19" x14ac:dyDescent="0.25">
      <c r="A23" s="335" t="s">
        <v>1848</v>
      </c>
      <c r="B23" s="335" t="s">
        <v>1848</v>
      </c>
      <c r="C23" s="335" t="s">
        <v>2271</v>
      </c>
      <c r="D23" s="335" t="s">
        <v>936</v>
      </c>
      <c r="E23" s="405">
        <v>30714331082</v>
      </c>
      <c r="F23" s="335" t="s">
        <v>987</v>
      </c>
      <c r="G23" s="339">
        <v>515221.38</v>
      </c>
      <c r="H23" s="339">
        <v>0</v>
      </c>
      <c r="I23" s="339">
        <v>0</v>
      </c>
      <c r="J23" s="339">
        <v>0</v>
      </c>
      <c r="K23" s="339">
        <v>0</v>
      </c>
      <c r="L23" s="339">
        <v>54098.239999999998</v>
      </c>
      <c r="M23" s="339">
        <v>0</v>
      </c>
      <c r="N23" s="339">
        <v>0</v>
      </c>
      <c r="O23" s="339">
        <v>0</v>
      </c>
      <c r="P23" s="339">
        <v>0</v>
      </c>
      <c r="Q23" s="337">
        <f t="shared" si="0"/>
        <v>569319.62</v>
      </c>
      <c r="R23" s="335" t="s">
        <v>1211</v>
      </c>
      <c r="S23" s="335"/>
    </row>
    <row r="24" spans="1:19" x14ac:dyDescent="0.25">
      <c r="A24" s="335" t="s">
        <v>1905</v>
      </c>
      <c r="B24" s="335" t="s">
        <v>1905</v>
      </c>
      <c r="C24" s="335" t="s">
        <v>2282</v>
      </c>
      <c r="D24" s="335" t="s">
        <v>936</v>
      </c>
      <c r="E24" s="405">
        <v>30714331082</v>
      </c>
      <c r="F24" s="335" t="s">
        <v>987</v>
      </c>
      <c r="G24" s="339">
        <v>917813.57</v>
      </c>
      <c r="H24" s="339">
        <v>0</v>
      </c>
      <c r="I24" s="339">
        <v>0</v>
      </c>
      <c r="J24" s="339">
        <v>0</v>
      </c>
      <c r="K24" s="339">
        <v>0</v>
      </c>
      <c r="L24" s="339">
        <v>96370.42</v>
      </c>
      <c r="M24" s="339">
        <v>0</v>
      </c>
      <c r="N24" s="339">
        <v>0</v>
      </c>
      <c r="O24" s="339">
        <v>0</v>
      </c>
      <c r="P24" s="339">
        <v>0</v>
      </c>
      <c r="Q24" s="337">
        <f t="shared" si="0"/>
        <v>1014183.99</v>
      </c>
      <c r="R24" s="335" t="s">
        <v>1211</v>
      </c>
      <c r="S24" s="335"/>
    </row>
    <row r="25" spans="1:19" x14ac:dyDescent="0.25">
      <c r="A25" s="335" t="s">
        <v>2129</v>
      </c>
      <c r="B25" s="335" t="s">
        <v>2129</v>
      </c>
      <c r="C25" s="335" t="s">
        <v>2325</v>
      </c>
      <c r="D25" s="335" t="s">
        <v>936</v>
      </c>
      <c r="E25" s="405">
        <v>30714331082</v>
      </c>
      <c r="F25" s="335" t="s">
        <v>987</v>
      </c>
      <c r="G25" s="339">
        <v>0</v>
      </c>
      <c r="H25" s="339">
        <v>478014.47</v>
      </c>
      <c r="I25" s="339">
        <v>0</v>
      </c>
      <c r="J25" s="339">
        <v>0</v>
      </c>
      <c r="K25" s="339">
        <v>0</v>
      </c>
      <c r="L25" s="339">
        <v>100383.03999999999</v>
      </c>
      <c r="M25" s="339">
        <v>0</v>
      </c>
      <c r="N25" s="339">
        <v>0</v>
      </c>
      <c r="O25" s="339">
        <v>0</v>
      </c>
      <c r="P25" s="339">
        <v>0</v>
      </c>
      <c r="Q25" s="337">
        <f t="shared" si="0"/>
        <v>578397.51</v>
      </c>
      <c r="R25" s="335" t="s">
        <v>1211</v>
      </c>
      <c r="S25" s="335"/>
    </row>
    <row r="26" spans="1:19" x14ac:dyDescent="0.25">
      <c r="A26" s="335" t="s">
        <v>2129</v>
      </c>
      <c r="B26" s="335" t="s">
        <v>2129</v>
      </c>
      <c r="C26" s="335" t="s">
        <v>2324</v>
      </c>
      <c r="D26" s="335" t="s">
        <v>936</v>
      </c>
      <c r="E26" s="405">
        <v>30714331082</v>
      </c>
      <c r="F26" s="335" t="s">
        <v>987</v>
      </c>
      <c r="G26" s="339">
        <v>910906.9</v>
      </c>
      <c r="H26" s="339">
        <v>0</v>
      </c>
      <c r="I26" s="339">
        <v>0</v>
      </c>
      <c r="J26" s="339">
        <v>0</v>
      </c>
      <c r="K26" s="339">
        <v>0</v>
      </c>
      <c r="L26" s="339">
        <v>95645.22</v>
      </c>
      <c r="M26" s="339">
        <v>0</v>
      </c>
      <c r="N26" s="339">
        <v>0</v>
      </c>
      <c r="O26" s="339">
        <v>0</v>
      </c>
      <c r="P26" s="339">
        <v>0</v>
      </c>
      <c r="Q26" s="337">
        <f t="shared" si="0"/>
        <v>1006552.12</v>
      </c>
      <c r="R26" s="335" t="s">
        <v>1211</v>
      </c>
      <c r="S26" s="335"/>
    </row>
    <row r="27" spans="1:19" x14ac:dyDescent="0.25">
      <c r="A27" s="335" t="s">
        <v>2173</v>
      </c>
      <c r="B27" s="335" t="s">
        <v>2173</v>
      </c>
      <c r="C27" s="335" t="s">
        <v>2336</v>
      </c>
      <c r="D27" s="335" t="s">
        <v>936</v>
      </c>
      <c r="E27" s="405">
        <v>30714331082</v>
      </c>
      <c r="F27" s="335" t="s">
        <v>987</v>
      </c>
      <c r="G27" s="339">
        <v>1639632.42</v>
      </c>
      <c r="H27" s="339">
        <v>0</v>
      </c>
      <c r="I27" s="339">
        <v>0</v>
      </c>
      <c r="J27" s="339">
        <v>0</v>
      </c>
      <c r="K27" s="339">
        <v>0</v>
      </c>
      <c r="L27" s="339">
        <v>172161.4</v>
      </c>
      <c r="M27" s="339">
        <v>0</v>
      </c>
      <c r="N27" s="339">
        <v>0</v>
      </c>
      <c r="O27" s="339">
        <v>0</v>
      </c>
      <c r="P27" s="339">
        <v>0</v>
      </c>
      <c r="Q27" s="337">
        <f t="shared" si="0"/>
        <v>1811793.8199999998</v>
      </c>
      <c r="R27" s="335" t="s">
        <v>1211</v>
      </c>
      <c r="S27" s="335"/>
    </row>
    <row r="28" spans="1:19" x14ac:dyDescent="0.25">
      <c r="A28" s="335" t="s">
        <v>1516</v>
      </c>
      <c r="B28" s="335" t="s">
        <v>1516</v>
      </c>
      <c r="C28" s="335" t="s">
        <v>2190</v>
      </c>
      <c r="D28" s="335" t="s">
        <v>1366</v>
      </c>
      <c r="E28" s="405">
        <v>23233422029</v>
      </c>
      <c r="F28" s="335" t="s">
        <v>987</v>
      </c>
      <c r="G28" s="339">
        <v>0</v>
      </c>
      <c r="H28" s="339">
        <v>243548.67</v>
      </c>
      <c r="I28" s="339">
        <v>0</v>
      </c>
      <c r="J28" s="339">
        <v>0</v>
      </c>
      <c r="K28" s="339">
        <v>0</v>
      </c>
      <c r="L28" s="339">
        <v>51145.22</v>
      </c>
      <c r="M28" s="339">
        <v>0</v>
      </c>
      <c r="N28" s="339">
        <v>0</v>
      </c>
      <c r="O28" s="339">
        <v>0</v>
      </c>
      <c r="P28" s="339">
        <v>0</v>
      </c>
      <c r="Q28" s="337">
        <f t="shared" si="0"/>
        <v>294693.89</v>
      </c>
      <c r="R28" s="335" t="s">
        <v>1211</v>
      </c>
      <c r="S28" s="335"/>
    </row>
    <row r="29" spans="1:19" x14ac:dyDescent="0.25">
      <c r="A29" s="335" t="s">
        <v>1647</v>
      </c>
      <c r="B29" s="335" t="s">
        <v>1647</v>
      </c>
      <c r="C29" s="335" t="s">
        <v>2205</v>
      </c>
      <c r="D29" s="335" t="s">
        <v>2206</v>
      </c>
      <c r="E29" s="405">
        <v>30707986189</v>
      </c>
      <c r="F29" s="335" t="s">
        <v>987</v>
      </c>
      <c r="G29" s="339">
        <v>0</v>
      </c>
      <c r="H29" s="339">
        <v>83470.41</v>
      </c>
      <c r="I29" s="339">
        <v>0</v>
      </c>
      <c r="J29" s="339">
        <v>0</v>
      </c>
      <c r="K29" s="339">
        <v>0</v>
      </c>
      <c r="L29" s="339">
        <v>17528.79</v>
      </c>
      <c r="M29" s="339">
        <v>0</v>
      </c>
      <c r="N29" s="339">
        <v>0</v>
      </c>
      <c r="O29" s="339">
        <v>0</v>
      </c>
      <c r="P29" s="339">
        <v>0</v>
      </c>
      <c r="Q29" s="337">
        <f t="shared" si="0"/>
        <v>100999.20000000001</v>
      </c>
      <c r="R29" s="335" t="s">
        <v>1211</v>
      </c>
      <c r="S29" s="335"/>
    </row>
    <row r="30" spans="1:19" x14ac:dyDescent="0.25">
      <c r="A30" s="335" t="s">
        <v>1712</v>
      </c>
      <c r="B30" s="335" t="s">
        <v>1712</v>
      </c>
      <c r="C30" s="335" t="s">
        <v>2360</v>
      </c>
      <c r="D30" s="335" t="s">
        <v>2315</v>
      </c>
      <c r="E30" s="405">
        <v>20134815494</v>
      </c>
      <c r="F30" s="335" t="s">
        <v>987</v>
      </c>
      <c r="G30" s="339">
        <v>0</v>
      </c>
      <c r="H30" s="339">
        <v>39669.599999999999</v>
      </c>
      <c r="I30" s="339">
        <v>0</v>
      </c>
      <c r="J30" s="339">
        <v>0</v>
      </c>
      <c r="K30" s="339">
        <v>0</v>
      </c>
      <c r="L30" s="339">
        <v>8330.6200000000008</v>
      </c>
      <c r="M30" s="339">
        <v>0</v>
      </c>
      <c r="N30" s="339">
        <v>0</v>
      </c>
      <c r="O30" s="339">
        <v>0</v>
      </c>
      <c r="P30" s="339">
        <v>0</v>
      </c>
      <c r="Q30" s="337">
        <f t="shared" si="0"/>
        <v>48000.22</v>
      </c>
      <c r="R30" s="335" t="s">
        <v>1211</v>
      </c>
      <c r="S30" s="335"/>
    </row>
    <row r="31" spans="1:19" x14ac:dyDescent="0.25">
      <c r="A31" s="335" t="s">
        <v>2087</v>
      </c>
      <c r="B31" s="335" t="s">
        <v>2087</v>
      </c>
      <c r="C31" s="335" t="s">
        <v>2314</v>
      </c>
      <c r="D31" s="335" t="s">
        <v>2315</v>
      </c>
      <c r="E31" s="405">
        <v>20134815494</v>
      </c>
      <c r="F31" s="335" t="s">
        <v>987</v>
      </c>
      <c r="G31" s="339">
        <v>0</v>
      </c>
      <c r="H31" s="339">
        <v>39669.599999999999</v>
      </c>
      <c r="I31" s="339">
        <v>0</v>
      </c>
      <c r="J31" s="339">
        <v>0</v>
      </c>
      <c r="K31" s="339">
        <v>0</v>
      </c>
      <c r="L31" s="339">
        <v>8330.6200000000008</v>
      </c>
      <c r="M31" s="339">
        <v>0</v>
      </c>
      <c r="N31" s="339">
        <v>0</v>
      </c>
      <c r="O31" s="339">
        <v>0</v>
      </c>
      <c r="P31" s="339">
        <v>0</v>
      </c>
      <c r="Q31" s="337">
        <f t="shared" si="0"/>
        <v>48000.22</v>
      </c>
      <c r="R31" s="335" t="s">
        <v>1211</v>
      </c>
      <c r="S31" s="335"/>
    </row>
    <row r="32" spans="1:19" x14ac:dyDescent="0.25">
      <c r="A32" s="335" t="s">
        <v>1848</v>
      </c>
      <c r="B32" s="335" t="s">
        <v>1848</v>
      </c>
      <c r="C32" s="335" t="s">
        <v>2274</v>
      </c>
      <c r="D32" s="335" t="s">
        <v>2275</v>
      </c>
      <c r="E32" s="405">
        <v>30707042679</v>
      </c>
      <c r="F32" s="335" t="s">
        <v>987</v>
      </c>
      <c r="G32" s="339">
        <v>0</v>
      </c>
      <c r="H32" s="339">
        <v>1080000</v>
      </c>
      <c r="I32" s="339">
        <v>0</v>
      </c>
      <c r="J32" s="339">
        <v>0</v>
      </c>
      <c r="K32" s="339">
        <v>0</v>
      </c>
      <c r="L32" s="339">
        <v>226800</v>
      </c>
      <c r="M32" s="339">
        <v>0</v>
      </c>
      <c r="N32" s="339">
        <v>0</v>
      </c>
      <c r="O32" s="339">
        <v>0</v>
      </c>
      <c r="P32" s="339">
        <v>0</v>
      </c>
      <c r="Q32" s="337">
        <f t="shared" si="0"/>
        <v>1306800</v>
      </c>
      <c r="R32" s="335" t="s">
        <v>1211</v>
      </c>
      <c r="S32" s="335"/>
    </row>
    <row r="33" spans="1:19" x14ac:dyDescent="0.25">
      <c r="A33" s="335" t="s">
        <v>2087</v>
      </c>
      <c r="B33" s="335" t="s">
        <v>2087</v>
      </c>
      <c r="C33" s="335" t="s">
        <v>2313</v>
      </c>
      <c r="D33" s="335" t="s">
        <v>2275</v>
      </c>
      <c r="E33" s="405">
        <v>30707042679</v>
      </c>
      <c r="F33" s="335" t="s">
        <v>987</v>
      </c>
      <c r="G33" s="339">
        <v>0</v>
      </c>
      <c r="H33" s="339">
        <v>1344422</v>
      </c>
      <c r="I33" s="339">
        <v>0</v>
      </c>
      <c r="J33" s="339">
        <v>0</v>
      </c>
      <c r="K33" s="339">
        <v>0</v>
      </c>
      <c r="L33" s="339">
        <v>282328.62</v>
      </c>
      <c r="M33" s="339">
        <v>0</v>
      </c>
      <c r="N33" s="339">
        <v>0</v>
      </c>
      <c r="O33" s="339">
        <v>0</v>
      </c>
      <c r="P33" s="339">
        <v>0</v>
      </c>
      <c r="Q33" s="337">
        <f t="shared" si="0"/>
        <v>1626750.62</v>
      </c>
      <c r="R33" s="335" t="s">
        <v>1211</v>
      </c>
      <c r="S33" s="335"/>
    </row>
    <row r="34" spans="1:19" x14ac:dyDescent="0.25">
      <c r="A34" s="335" t="s">
        <v>2146</v>
      </c>
      <c r="B34" s="335" t="s">
        <v>2146</v>
      </c>
      <c r="C34" s="335" t="s">
        <v>2332</v>
      </c>
      <c r="D34" s="335" t="s">
        <v>714</v>
      </c>
      <c r="E34" s="405">
        <v>30526492281</v>
      </c>
      <c r="F34" s="335" t="s">
        <v>987</v>
      </c>
      <c r="G34" s="339">
        <v>0</v>
      </c>
      <c r="H34" s="339">
        <v>264794.40000000002</v>
      </c>
      <c r="I34" s="339">
        <v>0</v>
      </c>
      <c r="J34" s="339">
        <v>0</v>
      </c>
      <c r="K34" s="339">
        <v>0</v>
      </c>
      <c r="L34" s="339">
        <v>55606.82</v>
      </c>
      <c r="M34" s="339">
        <v>0</v>
      </c>
      <c r="N34" s="339">
        <v>0</v>
      </c>
      <c r="O34" s="339">
        <v>0</v>
      </c>
      <c r="P34" s="339">
        <v>0</v>
      </c>
      <c r="Q34" s="337">
        <f t="shared" si="0"/>
        <v>320401.22000000003</v>
      </c>
      <c r="R34" s="335" t="s">
        <v>1211</v>
      </c>
      <c r="S34" s="335"/>
    </row>
    <row r="35" spans="1:19" x14ac:dyDescent="0.25">
      <c r="A35" s="335" t="s">
        <v>2034</v>
      </c>
      <c r="B35" s="335" t="s">
        <v>2034</v>
      </c>
      <c r="C35" s="335" t="s">
        <v>2302</v>
      </c>
      <c r="D35" s="335" t="s">
        <v>947</v>
      </c>
      <c r="E35" s="405">
        <v>30711454388</v>
      </c>
      <c r="F35" s="335" t="s">
        <v>987</v>
      </c>
      <c r="G35" s="339">
        <v>0</v>
      </c>
      <c r="H35" s="339">
        <v>989124</v>
      </c>
      <c r="I35" s="339">
        <v>0</v>
      </c>
      <c r="J35" s="339">
        <v>0</v>
      </c>
      <c r="K35" s="339">
        <v>0</v>
      </c>
      <c r="L35" s="339">
        <v>207716.04</v>
      </c>
      <c r="M35" s="339">
        <v>0</v>
      </c>
      <c r="N35" s="339">
        <v>0</v>
      </c>
      <c r="O35" s="339">
        <v>0</v>
      </c>
      <c r="P35" s="339">
        <v>0</v>
      </c>
      <c r="Q35" s="337">
        <f t="shared" si="0"/>
        <v>1196840.04</v>
      </c>
      <c r="R35" s="335" t="s">
        <v>1211</v>
      </c>
      <c r="S35" s="335"/>
    </row>
    <row r="36" spans="1:19" x14ac:dyDescent="0.25">
      <c r="A36" s="335" t="s">
        <v>2116</v>
      </c>
      <c r="B36" s="335" t="s">
        <v>2116</v>
      </c>
      <c r="C36" s="335" t="s">
        <v>2319</v>
      </c>
      <c r="D36" s="335" t="s">
        <v>947</v>
      </c>
      <c r="E36" s="405">
        <v>30711454388</v>
      </c>
      <c r="F36" s="335" t="s">
        <v>987</v>
      </c>
      <c r="G36" s="339">
        <v>0</v>
      </c>
      <c r="H36" s="339">
        <v>573330</v>
      </c>
      <c r="I36" s="339">
        <v>0</v>
      </c>
      <c r="J36" s="339">
        <v>0</v>
      </c>
      <c r="K36" s="339">
        <v>0</v>
      </c>
      <c r="L36" s="339">
        <v>120399.3</v>
      </c>
      <c r="M36" s="339">
        <v>0</v>
      </c>
      <c r="N36" s="339">
        <v>0</v>
      </c>
      <c r="O36" s="339">
        <v>0</v>
      </c>
      <c r="P36" s="339">
        <v>0</v>
      </c>
      <c r="Q36" s="337">
        <f t="shared" ref="Q36:Q67" si="1">SUM(G36:P36)</f>
        <v>693729.3</v>
      </c>
      <c r="R36" s="335" t="s">
        <v>1211</v>
      </c>
      <c r="S36" s="335"/>
    </row>
    <row r="37" spans="1:19" x14ac:dyDescent="0.25">
      <c r="A37" s="335" t="s">
        <v>1712</v>
      </c>
      <c r="B37" s="335" t="s">
        <v>1712</v>
      </c>
      <c r="C37" s="335" t="s">
        <v>2228</v>
      </c>
      <c r="D37" s="335" t="s">
        <v>211</v>
      </c>
      <c r="E37" s="405">
        <v>20129871947</v>
      </c>
      <c r="F37" s="335" t="s">
        <v>987</v>
      </c>
      <c r="G37" s="339">
        <v>0</v>
      </c>
      <c r="H37" s="339">
        <v>118166.18</v>
      </c>
      <c r="I37" s="339">
        <v>0</v>
      </c>
      <c r="J37" s="339">
        <v>0</v>
      </c>
      <c r="K37" s="339">
        <v>0</v>
      </c>
      <c r="L37" s="339">
        <v>24814.9</v>
      </c>
      <c r="M37" s="339">
        <v>0</v>
      </c>
      <c r="N37" s="339">
        <v>0</v>
      </c>
      <c r="O37" s="339">
        <v>0</v>
      </c>
      <c r="P37" s="339">
        <v>0</v>
      </c>
      <c r="Q37" s="337">
        <f t="shared" si="1"/>
        <v>142981.07999999999</v>
      </c>
      <c r="R37" s="335" t="s">
        <v>1211</v>
      </c>
      <c r="S37" s="335"/>
    </row>
    <row r="38" spans="1:19" x14ac:dyDescent="0.25">
      <c r="A38" s="335" t="s">
        <v>1939</v>
      </c>
      <c r="B38" s="335" t="s">
        <v>1939</v>
      </c>
      <c r="C38" s="335" t="s">
        <v>2288</v>
      </c>
      <c r="D38" s="335" t="s">
        <v>2289</v>
      </c>
      <c r="E38" s="405">
        <v>20183882512</v>
      </c>
      <c r="F38" s="335" t="s">
        <v>987</v>
      </c>
      <c r="G38" s="339">
        <v>0</v>
      </c>
      <c r="H38" s="339">
        <v>120000</v>
      </c>
      <c r="I38" s="339">
        <v>0</v>
      </c>
      <c r="J38" s="339">
        <v>0</v>
      </c>
      <c r="K38" s="339">
        <v>0</v>
      </c>
      <c r="L38" s="339">
        <v>25200</v>
      </c>
      <c r="M38" s="339">
        <v>0</v>
      </c>
      <c r="N38" s="339">
        <v>0</v>
      </c>
      <c r="O38" s="339">
        <v>0</v>
      </c>
      <c r="P38" s="339">
        <v>0</v>
      </c>
      <c r="Q38" s="337">
        <f t="shared" si="1"/>
        <v>145200</v>
      </c>
      <c r="R38" s="335" t="s">
        <v>1211</v>
      </c>
      <c r="S38" s="335"/>
    </row>
    <row r="39" spans="1:19" x14ac:dyDescent="0.25">
      <c r="A39" s="335" t="s">
        <v>1939</v>
      </c>
      <c r="B39" s="335" t="s">
        <v>1939</v>
      </c>
      <c r="C39" s="335" t="s">
        <v>2286</v>
      </c>
      <c r="D39" s="335" t="s">
        <v>2287</v>
      </c>
      <c r="E39" s="405">
        <v>20289111329</v>
      </c>
      <c r="F39" s="335" t="s">
        <v>987</v>
      </c>
      <c r="G39" s="339">
        <v>0</v>
      </c>
      <c r="H39" s="339">
        <v>520168.01</v>
      </c>
      <c r="I39" s="339">
        <v>0</v>
      </c>
      <c r="J39" s="339">
        <v>0</v>
      </c>
      <c r="K39" s="339">
        <v>0</v>
      </c>
      <c r="L39" s="339">
        <v>109235.28</v>
      </c>
      <c r="M39" s="339">
        <v>0</v>
      </c>
      <c r="N39" s="339">
        <v>0</v>
      </c>
      <c r="O39" s="339">
        <v>0</v>
      </c>
      <c r="P39" s="339">
        <v>0</v>
      </c>
      <c r="Q39" s="337">
        <f t="shared" si="1"/>
        <v>629403.29</v>
      </c>
      <c r="R39" s="335" t="s">
        <v>1211</v>
      </c>
      <c r="S39" s="335"/>
    </row>
    <row r="40" spans="1:19" x14ac:dyDescent="0.25">
      <c r="A40" s="335" t="s">
        <v>1744</v>
      </c>
      <c r="B40" s="335" t="s">
        <v>1744</v>
      </c>
      <c r="C40" s="335" t="s">
        <v>2237</v>
      </c>
      <c r="D40" s="335" t="s">
        <v>1234</v>
      </c>
      <c r="E40" s="405">
        <v>27265302225</v>
      </c>
      <c r="F40" s="335" t="s">
        <v>987</v>
      </c>
      <c r="G40" s="339">
        <v>0</v>
      </c>
      <c r="H40" s="339">
        <v>800000</v>
      </c>
      <c r="I40" s="339">
        <v>0</v>
      </c>
      <c r="J40" s="339">
        <v>0</v>
      </c>
      <c r="K40" s="339">
        <v>0</v>
      </c>
      <c r="L40" s="339">
        <v>168000</v>
      </c>
      <c r="M40" s="339">
        <v>0</v>
      </c>
      <c r="N40" s="339">
        <v>0</v>
      </c>
      <c r="O40" s="339">
        <v>0</v>
      </c>
      <c r="P40" s="339">
        <v>0</v>
      </c>
      <c r="Q40" s="337">
        <f t="shared" si="1"/>
        <v>968000</v>
      </c>
      <c r="R40" s="335" t="s">
        <v>1211</v>
      </c>
      <c r="S40" s="335"/>
    </row>
    <row r="41" spans="1:19" x14ac:dyDescent="0.25">
      <c r="A41" s="335" t="s">
        <v>1744</v>
      </c>
      <c r="B41" s="335" t="s">
        <v>1744</v>
      </c>
      <c r="C41" s="335" t="s">
        <v>2248</v>
      </c>
      <c r="D41" s="335" t="s">
        <v>68</v>
      </c>
      <c r="E41" s="405">
        <v>30712187316</v>
      </c>
      <c r="F41" s="335" t="s">
        <v>987</v>
      </c>
      <c r="G41" s="339">
        <v>0</v>
      </c>
      <c r="H41" s="339">
        <v>662362.5</v>
      </c>
      <c r="I41" s="339">
        <v>0</v>
      </c>
      <c r="J41" s="339">
        <v>0</v>
      </c>
      <c r="K41" s="339">
        <v>0</v>
      </c>
      <c r="L41" s="339">
        <v>139096.13</v>
      </c>
      <c r="M41" s="339">
        <v>0</v>
      </c>
      <c r="N41" s="339">
        <v>0</v>
      </c>
      <c r="O41" s="339">
        <v>0</v>
      </c>
      <c r="P41" s="339">
        <v>0</v>
      </c>
      <c r="Q41" s="337">
        <f t="shared" si="1"/>
        <v>801458.63</v>
      </c>
      <c r="R41" s="335" t="s">
        <v>1211</v>
      </c>
      <c r="S41" s="335"/>
    </row>
    <row r="42" spans="1:19" x14ac:dyDescent="0.25">
      <c r="A42" s="335" t="s">
        <v>2116</v>
      </c>
      <c r="B42" s="335" t="s">
        <v>2116</v>
      </c>
      <c r="C42" s="335" t="s">
        <v>2321</v>
      </c>
      <c r="D42" s="335" t="s">
        <v>68</v>
      </c>
      <c r="E42" s="405">
        <v>30712187316</v>
      </c>
      <c r="F42" s="335" t="s">
        <v>987</v>
      </c>
      <c r="G42" s="339">
        <v>0</v>
      </c>
      <c r="H42" s="339">
        <v>12402.89</v>
      </c>
      <c r="I42" s="339">
        <v>0</v>
      </c>
      <c r="J42" s="339">
        <v>0</v>
      </c>
      <c r="K42" s="339">
        <v>0</v>
      </c>
      <c r="L42" s="339">
        <v>2604.61</v>
      </c>
      <c r="M42" s="339">
        <v>0</v>
      </c>
      <c r="N42" s="339">
        <v>0</v>
      </c>
      <c r="O42" s="339">
        <v>0</v>
      </c>
      <c r="P42" s="339">
        <v>0</v>
      </c>
      <c r="Q42" s="337">
        <f t="shared" si="1"/>
        <v>15007.5</v>
      </c>
      <c r="R42" s="335" t="s">
        <v>1211</v>
      </c>
      <c r="S42" s="335"/>
    </row>
    <row r="43" spans="1:19" x14ac:dyDescent="0.25">
      <c r="A43" s="335" t="s">
        <v>1794</v>
      </c>
      <c r="B43" s="335" t="s">
        <v>1823</v>
      </c>
      <c r="C43" s="335" t="s">
        <v>2267</v>
      </c>
      <c r="D43" s="335" t="s">
        <v>397</v>
      </c>
      <c r="E43" s="405">
        <v>30707267077</v>
      </c>
      <c r="F43" s="335" t="s">
        <v>987</v>
      </c>
      <c r="G43" s="339">
        <v>0</v>
      </c>
      <c r="H43" s="339">
        <v>1560000</v>
      </c>
      <c r="I43" s="339">
        <v>0</v>
      </c>
      <c r="J43" s="339">
        <v>0</v>
      </c>
      <c r="K43" s="339">
        <v>0</v>
      </c>
      <c r="L43" s="339">
        <v>327600</v>
      </c>
      <c r="M43" s="339">
        <v>0</v>
      </c>
      <c r="N43" s="339">
        <v>0</v>
      </c>
      <c r="O43" s="339">
        <v>0</v>
      </c>
      <c r="P43" s="339">
        <v>0</v>
      </c>
      <c r="Q43" s="337">
        <f t="shared" si="1"/>
        <v>1887600</v>
      </c>
      <c r="R43" s="335" t="s">
        <v>1211</v>
      </c>
      <c r="S43" s="335"/>
    </row>
    <row r="44" spans="1:19" x14ac:dyDescent="0.25">
      <c r="A44" s="335" t="s">
        <v>2223</v>
      </c>
      <c r="B44" s="335" t="s">
        <v>1823</v>
      </c>
      <c r="C44" s="347" t="s">
        <v>2263</v>
      </c>
      <c r="D44" s="335" t="s">
        <v>2264</v>
      </c>
      <c r="E44" s="405">
        <v>30716264382</v>
      </c>
      <c r="F44" s="335" t="s">
        <v>987</v>
      </c>
      <c r="G44" s="339">
        <v>0</v>
      </c>
      <c r="H44" s="339">
        <v>103388.52</v>
      </c>
      <c r="I44" s="339">
        <v>0</v>
      </c>
      <c r="J44" s="339">
        <v>0</v>
      </c>
      <c r="K44" s="339">
        <v>0</v>
      </c>
      <c r="L44" s="339">
        <v>21711.59</v>
      </c>
      <c r="M44" s="339">
        <v>0</v>
      </c>
      <c r="N44" s="339">
        <v>0</v>
      </c>
      <c r="O44" s="339">
        <v>0</v>
      </c>
      <c r="P44" s="339">
        <v>0</v>
      </c>
      <c r="Q44" s="337">
        <f t="shared" si="1"/>
        <v>125100.11</v>
      </c>
      <c r="R44" s="335" t="s">
        <v>1211</v>
      </c>
      <c r="S44" s="335"/>
    </row>
    <row r="45" spans="1:19" x14ac:dyDescent="0.25">
      <c r="A45" s="335" t="s">
        <v>1676</v>
      </c>
      <c r="B45" s="335" t="s">
        <v>1676</v>
      </c>
      <c r="C45" s="335" t="s">
        <v>2215</v>
      </c>
      <c r="D45" s="335" t="s">
        <v>650</v>
      </c>
      <c r="E45" s="405">
        <v>30598960093</v>
      </c>
      <c r="F45" s="335" t="s">
        <v>987</v>
      </c>
      <c r="G45" s="339">
        <v>0</v>
      </c>
      <c r="H45" s="339">
        <v>1332362.8999999999</v>
      </c>
      <c r="I45" s="339">
        <v>0</v>
      </c>
      <c r="J45" s="339">
        <v>0</v>
      </c>
      <c r="K45" s="339">
        <v>0</v>
      </c>
      <c r="L45" s="339">
        <v>279796.21000000002</v>
      </c>
      <c r="M45" s="339">
        <v>0</v>
      </c>
      <c r="N45" s="339">
        <v>0</v>
      </c>
      <c r="O45" s="339">
        <v>0</v>
      </c>
      <c r="P45" s="339">
        <v>53294.52</v>
      </c>
      <c r="Q45" s="337">
        <f t="shared" si="1"/>
        <v>1665453.63</v>
      </c>
      <c r="R45" s="335" t="s">
        <v>1211</v>
      </c>
      <c r="S45" s="335"/>
    </row>
    <row r="46" spans="1:19" x14ac:dyDescent="0.25">
      <c r="A46" s="335" t="s">
        <v>1744</v>
      </c>
      <c r="B46" s="335" t="s">
        <v>1744</v>
      </c>
      <c r="C46" s="335" t="s">
        <v>2251</v>
      </c>
      <c r="D46" s="335" t="s">
        <v>650</v>
      </c>
      <c r="E46" s="405">
        <v>30598960093</v>
      </c>
      <c r="F46" s="335" t="s">
        <v>987</v>
      </c>
      <c r="G46" s="339">
        <v>0</v>
      </c>
      <c r="H46" s="339">
        <v>367834.5</v>
      </c>
      <c r="I46" s="339">
        <v>0</v>
      </c>
      <c r="J46" s="339">
        <v>0</v>
      </c>
      <c r="K46" s="339">
        <v>0</v>
      </c>
      <c r="L46" s="339">
        <v>77245.25</v>
      </c>
      <c r="M46" s="339">
        <v>0</v>
      </c>
      <c r="N46" s="339">
        <v>0</v>
      </c>
      <c r="O46" s="339">
        <v>0</v>
      </c>
      <c r="P46" s="339">
        <v>14713.38</v>
      </c>
      <c r="Q46" s="337">
        <f t="shared" si="1"/>
        <v>459793.13</v>
      </c>
      <c r="R46" s="335" t="s">
        <v>1211</v>
      </c>
      <c r="S46" s="335"/>
    </row>
    <row r="47" spans="1:19" x14ac:dyDescent="0.25">
      <c r="A47" s="335" t="s">
        <v>1848</v>
      </c>
      <c r="B47" s="335" t="s">
        <v>1848</v>
      </c>
      <c r="C47" s="335" t="s">
        <v>2273</v>
      </c>
      <c r="D47" s="335" t="s">
        <v>650</v>
      </c>
      <c r="E47" s="405">
        <v>30598960093</v>
      </c>
      <c r="F47" s="335" t="s">
        <v>987</v>
      </c>
      <c r="G47" s="339">
        <v>0</v>
      </c>
      <c r="H47" s="339">
        <v>3068718.75</v>
      </c>
      <c r="I47" s="339">
        <v>0</v>
      </c>
      <c r="J47" s="339">
        <v>0</v>
      </c>
      <c r="K47" s="339">
        <v>0</v>
      </c>
      <c r="L47" s="339">
        <v>644430.93999999994</v>
      </c>
      <c r="M47" s="339">
        <v>0</v>
      </c>
      <c r="N47" s="339">
        <v>0</v>
      </c>
      <c r="O47" s="339">
        <v>0</v>
      </c>
      <c r="P47" s="339">
        <v>122748.75</v>
      </c>
      <c r="Q47" s="337">
        <f t="shared" si="1"/>
        <v>3835898.44</v>
      </c>
      <c r="R47" s="335" t="s">
        <v>1211</v>
      </c>
      <c r="S47" s="335"/>
    </row>
    <row r="48" spans="1:19" x14ac:dyDescent="0.25">
      <c r="A48" s="335" t="s">
        <v>1991</v>
      </c>
      <c r="B48" s="335" t="s">
        <v>1991</v>
      </c>
      <c r="C48" s="335" t="s">
        <v>2295</v>
      </c>
      <c r="D48" s="335" t="s">
        <v>650</v>
      </c>
      <c r="E48" s="405">
        <v>30598960093</v>
      </c>
      <c r="F48" s="335" t="s">
        <v>987</v>
      </c>
      <c r="G48" s="339">
        <v>0</v>
      </c>
      <c r="H48" s="339">
        <v>442466.5</v>
      </c>
      <c r="I48" s="339">
        <v>0</v>
      </c>
      <c r="J48" s="339">
        <v>0</v>
      </c>
      <c r="K48" s="339">
        <v>0</v>
      </c>
      <c r="L48" s="339">
        <v>92917.97</v>
      </c>
      <c r="M48" s="339">
        <v>0</v>
      </c>
      <c r="N48" s="339">
        <v>0</v>
      </c>
      <c r="O48" s="339">
        <v>0</v>
      </c>
      <c r="P48" s="339">
        <v>17698.66</v>
      </c>
      <c r="Q48" s="337">
        <f t="shared" si="1"/>
        <v>553083.13</v>
      </c>
      <c r="R48" s="335" t="s">
        <v>1211</v>
      </c>
      <c r="S48" s="335"/>
    </row>
    <row r="49" spans="1:19" x14ac:dyDescent="0.25">
      <c r="A49" s="335" t="s">
        <v>2116</v>
      </c>
      <c r="B49" s="335" t="s">
        <v>2116</v>
      </c>
      <c r="C49" s="335" t="s">
        <v>2320</v>
      </c>
      <c r="D49" s="335" t="s">
        <v>650</v>
      </c>
      <c r="E49" s="405">
        <v>30598960093</v>
      </c>
      <c r="F49" s="335" t="s">
        <v>987</v>
      </c>
      <c r="G49" s="339">
        <v>0</v>
      </c>
      <c r="H49" s="339">
        <v>23630.6</v>
      </c>
      <c r="I49" s="339">
        <v>0</v>
      </c>
      <c r="J49" s="339">
        <v>0</v>
      </c>
      <c r="K49" s="339">
        <v>0</v>
      </c>
      <c r="L49" s="339">
        <v>4962.43</v>
      </c>
      <c r="M49" s="339">
        <v>0</v>
      </c>
      <c r="N49" s="339">
        <v>0</v>
      </c>
      <c r="O49" s="339">
        <v>0</v>
      </c>
      <c r="P49" s="339">
        <v>945.22</v>
      </c>
      <c r="Q49" s="337">
        <f t="shared" si="1"/>
        <v>29538.25</v>
      </c>
      <c r="R49" s="335" t="s">
        <v>1211</v>
      </c>
      <c r="S49" s="335"/>
    </row>
    <row r="50" spans="1:19" x14ac:dyDescent="0.25">
      <c r="A50" s="335" t="s">
        <v>2129</v>
      </c>
      <c r="B50" s="335" t="s">
        <v>2129</v>
      </c>
      <c r="C50" s="335" t="s">
        <v>2326</v>
      </c>
      <c r="D50" s="335" t="s">
        <v>650</v>
      </c>
      <c r="E50" s="405">
        <v>30598960093</v>
      </c>
      <c r="F50" s="335" t="s">
        <v>987</v>
      </c>
      <c r="G50" s="339">
        <v>0</v>
      </c>
      <c r="H50" s="339">
        <v>642975.75</v>
      </c>
      <c r="I50" s="339">
        <v>0</v>
      </c>
      <c r="J50" s="339">
        <v>0</v>
      </c>
      <c r="K50" s="339">
        <v>0</v>
      </c>
      <c r="L50" s="339">
        <v>135024.91</v>
      </c>
      <c r="M50" s="339">
        <v>0</v>
      </c>
      <c r="N50" s="339">
        <v>0</v>
      </c>
      <c r="O50" s="339">
        <v>0</v>
      </c>
      <c r="P50" s="339">
        <v>25719.03</v>
      </c>
      <c r="Q50" s="337">
        <f t="shared" si="1"/>
        <v>803719.69000000006</v>
      </c>
      <c r="R50" s="335" t="s">
        <v>1211</v>
      </c>
      <c r="S50" s="335"/>
    </row>
    <row r="51" spans="1:19" x14ac:dyDescent="0.25">
      <c r="A51" s="335" t="s">
        <v>2146</v>
      </c>
      <c r="B51" s="335" t="s">
        <v>2146</v>
      </c>
      <c r="C51" s="335" t="s">
        <v>2333</v>
      </c>
      <c r="D51" s="335" t="s">
        <v>650</v>
      </c>
      <c r="E51" s="405">
        <v>30598960093</v>
      </c>
      <c r="F51" s="335" t="s">
        <v>987</v>
      </c>
      <c r="G51" s="339">
        <v>1745634</v>
      </c>
      <c r="H51" s="339">
        <v>2345820.75</v>
      </c>
      <c r="I51" s="339">
        <v>0</v>
      </c>
      <c r="J51" s="339">
        <v>0</v>
      </c>
      <c r="K51" s="339">
        <v>0</v>
      </c>
      <c r="L51" s="339">
        <v>675913.93</v>
      </c>
      <c r="M51" s="339">
        <v>0</v>
      </c>
      <c r="N51" s="339">
        <v>0</v>
      </c>
      <c r="O51" s="339">
        <v>0</v>
      </c>
      <c r="P51" s="339">
        <v>163658.19</v>
      </c>
      <c r="Q51" s="337">
        <f t="shared" si="1"/>
        <v>4931026.87</v>
      </c>
      <c r="R51" s="335" t="s">
        <v>1211</v>
      </c>
      <c r="S51" s="335"/>
    </row>
    <row r="52" spans="1:19" x14ac:dyDescent="0.25">
      <c r="A52" s="335" t="s">
        <v>2146</v>
      </c>
      <c r="B52" s="335" t="s">
        <v>2146</v>
      </c>
      <c r="C52" s="335" t="s">
        <v>2329</v>
      </c>
      <c r="D52" s="335" t="s">
        <v>1084</v>
      </c>
      <c r="E52" s="405">
        <v>30711610096</v>
      </c>
      <c r="F52" s="335" t="s">
        <v>987</v>
      </c>
      <c r="G52" s="339">
        <v>0</v>
      </c>
      <c r="H52" s="339">
        <v>887000</v>
      </c>
      <c r="I52" s="339">
        <v>0</v>
      </c>
      <c r="J52" s="339">
        <v>0</v>
      </c>
      <c r="K52" s="339">
        <v>0</v>
      </c>
      <c r="L52" s="339">
        <v>186270</v>
      </c>
      <c r="M52" s="339">
        <v>0</v>
      </c>
      <c r="N52" s="339">
        <v>0</v>
      </c>
      <c r="O52" s="339">
        <v>0</v>
      </c>
      <c r="P52" s="339">
        <v>0</v>
      </c>
      <c r="Q52" s="337">
        <f t="shared" si="1"/>
        <v>1073270</v>
      </c>
      <c r="R52" s="335" t="s">
        <v>1211</v>
      </c>
      <c r="S52" s="335"/>
    </row>
    <row r="53" spans="1:19" x14ac:dyDescent="0.25">
      <c r="A53" s="335" t="s">
        <v>1712</v>
      </c>
      <c r="B53" s="335" t="s">
        <v>1712</v>
      </c>
      <c r="C53" s="335" t="s">
        <v>2233</v>
      </c>
      <c r="D53" s="335" t="s">
        <v>1316</v>
      </c>
      <c r="E53" s="405">
        <v>20247225243</v>
      </c>
      <c r="F53" s="335" t="s">
        <v>987</v>
      </c>
      <c r="G53" s="339">
        <v>0</v>
      </c>
      <c r="H53" s="339">
        <v>55388</v>
      </c>
      <c r="I53" s="339">
        <v>0</v>
      </c>
      <c r="J53" s="339">
        <v>0</v>
      </c>
      <c r="K53" s="339">
        <v>0</v>
      </c>
      <c r="L53" s="339">
        <v>11631.48</v>
      </c>
      <c r="M53" s="339">
        <v>0</v>
      </c>
      <c r="N53" s="339">
        <v>0</v>
      </c>
      <c r="O53" s="339">
        <v>0</v>
      </c>
      <c r="P53" s="339">
        <v>0</v>
      </c>
      <c r="Q53" s="337">
        <f t="shared" si="1"/>
        <v>67019.48</v>
      </c>
      <c r="R53" s="335" t="s">
        <v>1211</v>
      </c>
      <c r="S53" s="335"/>
    </row>
    <row r="54" spans="1:19" x14ac:dyDescent="0.25">
      <c r="A54" s="335" t="s">
        <v>1647</v>
      </c>
      <c r="B54" s="335" t="s">
        <v>1647</v>
      </c>
      <c r="C54" s="347" t="s">
        <v>2207</v>
      </c>
      <c r="D54" s="335" t="s">
        <v>350</v>
      </c>
      <c r="E54" s="405">
        <v>30716815710</v>
      </c>
      <c r="F54" s="335" t="s">
        <v>987</v>
      </c>
      <c r="G54" s="339">
        <v>0</v>
      </c>
      <c r="H54" s="339">
        <v>28600</v>
      </c>
      <c r="I54" s="339">
        <v>0</v>
      </c>
      <c r="J54" s="339">
        <v>0</v>
      </c>
      <c r="K54" s="339">
        <v>0</v>
      </c>
      <c r="L54" s="339">
        <v>6006</v>
      </c>
      <c r="M54" s="339">
        <v>0</v>
      </c>
      <c r="N54" s="339">
        <v>0</v>
      </c>
      <c r="O54" s="339">
        <v>0</v>
      </c>
      <c r="P54" s="339">
        <v>0</v>
      </c>
      <c r="Q54" s="337">
        <f t="shared" si="1"/>
        <v>34606</v>
      </c>
      <c r="R54" s="335" t="s">
        <v>1211</v>
      </c>
      <c r="S54" s="335"/>
    </row>
    <row r="55" spans="1:19" x14ac:dyDescent="0.25">
      <c r="A55" s="335" t="s">
        <v>1712</v>
      </c>
      <c r="B55" s="335" t="s">
        <v>1823</v>
      </c>
      <c r="C55" s="335" t="s">
        <v>2265</v>
      </c>
      <c r="D55" s="335" t="s">
        <v>350</v>
      </c>
      <c r="E55" s="405">
        <v>30716815710</v>
      </c>
      <c r="F55" s="335" t="s">
        <v>987</v>
      </c>
      <c r="G55" s="339">
        <v>0</v>
      </c>
      <c r="H55" s="339">
        <v>7600</v>
      </c>
      <c r="I55" s="339">
        <v>0</v>
      </c>
      <c r="J55" s="339">
        <v>0</v>
      </c>
      <c r="K55" s="339">
        <v>0</v>
      </c>
      <c r="L55" s="339">
        <v>1596</v>
      </c>
      <c r="M55" s="339">
        <v>0</v>
      </c>
      <c r="N55" s="339">
        <v>0</v>
      </c>
      <c r="O55" s="339">
        <v>0</v>
      </c>
      <c r="P55" s="339">
        <v>0</v>
      </c>
      <c r="Q55" s="337">
        <f t="shared" si="1"/>
        <v>9196</v>
      </c>
      <c r="R55" s="335" t="s">
        <v>1211</v>
      </c>
      <c r="S55" s="335"/>
    </row>
    <row r="56" spans="1:19" x14ac:dyDescent="0.25">
      <c r="A56" s="335" t="s">
        <v>1619</v>
      </c>
      <c r="B56" s="335" t="s">
        <v>1619</v>
      </c>
      <c r="C56" s="335" t="s">
        <v>2198</v>
      </c>
      <c r="D56" s="335" t="s">
        <v>118</v>
      </c>
      <c r="E56" s="405">
        <v>30710177658</v>
      </c>
      <c r="F56" s="335" t="s">
        <v>987</v>
      </c>
      <c r="G56" s="339">
        <v>987480</v>
      </c>
      <c r="H56" s="339">
        <v>0</v>
      </c>
      <c r="I56" s="339">
        <v>0</v>
      </c>
      <c r="J56" s="339">
        <v>0</v>
      </c>
      <c r="K56" s="339">
        <v>0</v>
      </c>
      <c r="L56" s="339">
        <v>103685.4</v>
      </c>
      <c r="M56" s="339">
        <v>0</v>
      </c>
      <c r="N56" s="339">
        <v>0</v>
      </c>
      <c r="O56" s="339">
        <v>0</v>
      </c>
      <c r="P56" s="339">
        <v>0</v>
      </c>
      <c r="Q56" s="337">
        <f t="shared" si="1"/>
        <v>1091165.3999999999</v>
      </c>
      <c r="R56" s="335" t="s">
        <v>1211</v>
      </c>
      <c r="S56" s="335"/>
    </row>
    <row r="57" spans="1:19" x14ac:dyDescent="0.25">
      <c r="A57" s="335" t="s">
        <v>1698</v>
      </c>
      <c r="B57" s="335" t="s">
        <v>1698</v>
      </c>
      <c r="C57" s="335" t="s">
        <v>2221</v>
      </c>
      <c r="D57" s="335" t="s">
        <v>118</v>
      </c>
      <c r="E57" s="405">
        <v>30710177658</v>
      </c>
      <c r="F57" s="335" t="s">
        <v>987</v>
      </c>
      <c r="G57" s="339">
        <v>1974960</v>
      </c>
      <c r="H57" s="339">
        <v>0</v>
      </c>
      <c r="I57" s="339">
        <v>0</v>
      </c>
      <c r="J57" s="339">
        <v>0</v>
      </c>
      <c r="K57" s="339">
        <v>0</v>
      </c>
      <c r="L57" s="339">
        <v>207370.8</v>
      </c>
      <c r="M57" s="339">
        <v>0</v>
      </c>
      <c r="N57" s="339">
        <v>0</v>
      </c>
      <c r="O57" s="339">
        <v>0</v>
      </c>
      <c r="P57" s="339">
        <v>0</v>
      </c>
      <c r="Q57" s="337">
        <f t="shared" si="1"/>
        <v>2182330.7999999998</v>
      </c>
      <c r="R57" s="335" t="s">
        <v>1211</v>
      </c>
      <c r="S57" s="335"/>
    </row>
    <row r="58" spans="1:19" x14ac:dyDescent="0.25">
      <c r="A58" s="335" t="s">
        <v>2146</v>
      </c>
      <c r="B58" s="335" t="s">
        <v>2146</v>
      </c>
      <c r="C58" s="335" t="s">
        <v>2330</v>
      </c>
      <c r="D58" s="335" t="s">
        <v>118</v>
      </c>
      <c r="E58" s="405">
        <v>30710177658</v>
      </c>
      <c r="F58" s="335" t="s">
        <v>987</v>
      </c>
      <c r="G58" s="339">
        <v>0</v>
      </c>
      <c r="H58" s="339">
        <v>94530</v>
      </c>
      <c r="I58" s="339">
        <v>0</v>
      </c>
      <c r="J58" s="339">
        <v>0</v>
      </c>
      <c r="K58" s="339">
        <v>0</v>
      </c>
      <c r="L58" s="339">
        <v>19851.3</v>
      </c>
      <c r="M58" s="339">
        <v>0</v>
      </c>
      <c r="N58" s="339">
        <v>0</v>
      </c>
      <c r="O58" s="339">
        <v>0</v>
      </c>
      <c r="P58" s="339">
        <v>0</v>
      </c>
      <c r="Q58" s="337">
        <f t="shared" si="1"/>
        <v>114381.3</v>
      </c>
      <c r="R58" s="335" t="s">
        <v>1211</v>
      </c>
      <c r="S58" s="335"/>
    </row>
    <row r="59" spans="1:19" x14ac:dyDescent="0.25">
      <c r="A59" s="335" t="s">
        <v>2173</v>
      </c>
      <c r="B59" s="335" t="s">
        <v>2173</v>
      </c>
      <c r="C59" s="335" t="s">
        <v>2335</v>
      </c>
      <c r="D59" s="335" t="s">
        <v>118</v>
      </c>
      <c r="E59" s="405">
        <v>30710177658</v>
      </c>
      <c r="F59" s="335" t="s">
        <v>987</v>
      </c>
      <c r="G59" s="350">
        <v>0</v>
      </c>
      <c r="H59" s="350">
        <v>1228500</v>
      </c>
      <c r="I59" s="350">
        <v>0</v>
      </c>
      <c r="J59" s="350">
        <v>0</v>
      </c>
      <c r="K59" s="350">
        <v>0</v>
      </c>
      <c r="L59" s="350">
        <v>257985</v>
      </c>
      <c r="M59" s="350">
        <v>0</v>
      </c>
      <c r="N59" s="350">
        <v>0</v>
      </c>
      <c r="O59" s="350">
        <v>47340</v>
      </c>
      <c r="P59" s="350">
        <v>0</v>
      </c>
      <c r="Q59" s="337">
        <f t="shared" si="1"/>
        <v>1533825</v>
      </c>
      <c r="R59" s="335" t="s">
        <v>1211</v>
      </c>
      <c r="S59" s="335"/>
    </row>
    <row r="60" spans="1:19" x14ac:dyDescent="0.25">
      <c r="A60" s="335" t="s">
        <v>2116</v>
      </c>
      <c r="B60" s="335" t="s">
        <v>2116</v>
      </c>
      <c r="C60" s="335" t="s">
        <v>2317</v>
      </c>
      <c r="D60" s="335" t="s">
        <v>233</v>
      </c>
      <c r="E60" s="405">
        <v>30711553564</v>
      </c>
      <c r="F60" s="335" t="s">
        <v>987</v>
      </c>
      <c r="G60" s="339">
        <v>0</v>
      </c>
      <c r="H60" s="339">
        <v>1172570</v>
      </c>
      <c r="I60" s="339">
        <v>0</v>
      </c>
      <c r="J60" s="339">
        <v>0</v>
      </c>
      <c r="K60" s="339">
        <v>0</v>
      </c>
      <c r="L60" s="339">
        <v>246239.7</v>
      </c>
      <c r="M60" s="339">
        <v>0</v>
      </c>
      <c r="N60" s="339">
        <v>0</v>
      </c>
      <c r="O60" s="339">
        <v>0</v>
      </c>
      <c r="P60" s="339">
        <v>0</v>
      </c>
      <c r="Q60" s="337">
        <f t="shared" si="1"/>
        <v>1418809.7</v>
      </c>
      <c r="R60" s="335" t="s">
        <v>1211</v>
      </c>
      <c r="S60" s="335"/>
    </row>
    <row r="61" spans="1:19" x14ac:dyDescent="0.25">
      <c r="A61" s="335" t="s">
        <v>2116</v>
      </c>
      <c r="B61" s="335" t="s">
        <v>2116</v>
      </c>
      <c r="C61" s="335" t="s">
        <v>2316</v>
      </c>
      <c r="D61" s="335" t="s">
        <v>233</v>
      </c>
      <c r="E61" s="405">
        <v>30711553564</v>
      </c>
      <c r="F61" s="335" t="s">
        <v>987</v>
      </c>
      <c r="G61" s="339">
        <v>0</v>
      </c>
      <c r="H61" s="339">
        <v>643421</v>
      </c>
      <c r="I61" s="339">
        <v>0</v>
      </c>
      <c r="J61" s="339">
        <v>0</v>
      </c>
      <c r="K61" s="339">
        <v>0</v>
      </c>
      <c r="L61" s="339">
        <v>135118.41</v>
      </c>
      <c r="M61" s="339">
        <v>0</v>
      </c>
      <c r="N61" s="339">
        <v>0</v>
      </c>
      <c r="O61" s="339">
        <v>0</v>
      </c>
      <c r="P61" s="339">
        <v>0</v>
      </c>
      <c r="Q61" s="337">
        <f t="shared" si="1"/>
        <v>778539.41</v>
      </c>
      <c r="R61" s="335" t="s">
        <v>1211</v>
      </c>
      <c r="S61" s="335"/>
    </row>
    <row r="62" spans="1:19" x14ac:dyDescent="0.25">
      <c r="A62" s="335" t="s">
        <v>1698</v>
      </c>
      <c r="B62" s="335" t="s">
        <v>1698</v>
      </c>
      <c r="C62" s="335" t="s">
        <v>2217</v>
      </c>
      <c r="D62" s="335" t="s">
        <v>1249</v>
      </c>
      <c r="E62" s="405">
        <v>27325223273</v>
      </c>
      <c r="F62" s="335" t="s">
        <v>987</v>
      </c>
      <c r="G62" s="339">
        <v>0</v>
      </c>
      <c r="H62" s="339">
        <v>1506000</v>
      </c>
      <c r="I62" s="339">
        <v>0</v>
      </c>
      <c r="J62" s="339">
        <v>0</v>
      </c>
      <c r="K62" s="339">
        <v>0</v>
      </c>
      <c r="L62" s="339">
        <v>316260</v>
      </c>
      <c r="M62" s="339">
        <v>0</v>
      </c>
      <c r="N62" s="339">
        <v>0</v>
      </c>
      <c r="O62" s="339">
        <v>0</v>
      </c>
      <c r="P62" s="339">
        <v>0</v>
      </c>
      <c r="Q62" s="337">
        <f t="shared" si="1"/>
        <v>1822260</v>
      </c>
      <c r="R62" s="335" t="s">
        <v>1211</v>
      </c>
      <c r="S62" s="335"/>
    </row>
    <row r="63" spans="1:19" x14ac:dyDescent="0.25">
      <c r="A63" s="335" t="s">
        <v>2252</v>
      </c>
      <c r="B63" s="335" t="s">
        <v>2252</v>
      </c>
      <c r="C63" s="335" t="s">
        <v>2253</v>
      </c>
      <c r="D63" s="335" t="s">
        <v>2254</v>
      </c>
      <c r="E63" s="405">
        <v>30717409007</v>
      </c>
      <c r="F63" s="335" t="s">
        <v>987</v>
      </c>
      <c r="G63" s="339">
        <v>0</v>
      </c>
      <c r="H63" s="339">
        <v>128016.53</v>
      </c>
      <c r="I63" s="339">
        <v>0</v>
      </c>
      <c r="J63" s="339">
        <v>0</v>
      </c>
      <c r="K63" s="339">
        <v>0</v>
      </c>
      <c r="L63" s="339">
        <v>26883.47</v>
      </c>
      <c r="M63" s="339">
        <v>0</v>
      </c>
      <c r="N63" s="339">
        <v>0</v>
      </c>
      <c r="O63" s="339">
        <v>0</v>
      </c>
      <c r="P63" s="339">
        <v>0</v>
      </c>
      <c r="Q63" s="337">
        <f t="shared" si="1"/>
        <v>154900</v>
      </c>
      <c r="R63" s="335" t="s">
        <v>1211</v>
      </c>
      <c r="S63" s="335"/>
    </row>
    <row r="64" spans="1:19" x14ac:dyDescent="0.25">
      <c r="A64" s="335" t="s">
        <v>1956</v>
      </c>
      <c r="B64" s="335" t="s">
        <v>1956</v>
      </c>
      <c r="C64" s="335" t="s">
        <v>2363</v>
      </c>
      <c r="D64" s="335" t="s">
        <v>1193</v>
      </c>
      <c r="E64" s="405">
        <v>30677420622</v>
      </c>
      <c r="F64" s="335" t="s">
        <v>987</v>
      </c>
      <c r="G64" s="339">
        <v>0</v>
      </c>
      <c r="H64" s="339">
        <v>66363.64</v>
      </c>
      <c r="I64" s="339">
        <v>0</v>
      </c>
      <c r="J64" s="339">
        <v>0</v>
      </c>
      <c r="K64" s="339">
        <v>0</v>
      </c>
      <c r="L64" s="339">
        <v>13936.36</v>
      </c>
      <c r="M64" s="339">
        <v>0</v>
      </c>
      <c r="N64" s="339">
        <v>0</v>
      </c>
      <c r="O64" s="339">
        <v>0</v>
      </c>
      <c r="P64" s="339">
        <v>0</v>
      </c>
      <c r="Q64" s="337">
        <f t="shared" si="1"/>
        <v>80300</v>
      </c>
      <c r="R64" s="335" t="s">
        <v>1211</v>
      </c>
      <c r="S64" s="335"/>
    </row>
    <row r="65" spans="1:19" x14ac:dyDescent="0.25">
      <c r="A65" s="335" t="s">
        <v>1744</v>
      </c>
      <c r="B65" s="335" t="s">
        <v>1744</v>
      </c>
      <c r="C65" s="335" t="s">
        <v>2247</v>
      </c>
      <c r="D65" s="335" t="s">
        <v>68</v>
      </c>
      <c r="E65" s="405">
        <v>30712187316</v>
      </c>
      <c r="F65" s="335" t="s">
        <v>987</v>
      </c>
      <c r="G65" s="339">
        <v>0</v>
      </c>
      <c r="H65" s="339">
        <v>380944.5</v>
      </c>
      <c r="I65" s="339">
        <v>0</v>
      </c>
      <c r="J65" s="339">
        <v>0</v>
      </c>
      <c r="K65" s="339">
        <v>0</v>
      </c>
      <c r="L65" s="339">
        <v>79998.350000000006</v>
      </c>
      <c r="M65" s="339">
        <v>0</v>
      </c>
      <c r="N65" s="339">
        <v>0</v>
      </c>
      <c r="O65" s="339">
        <v>0</v>
      </c>
      <c r="P65" s="339">
        <v>0</v>
      </c>
      <c r="Q65" s="337">
        <f t="shared" si="1"/>
        <v>460942.85</v>
      </c>
      <c r="R65" s="335" t="s">
        <v>1211</v>
      </c>
      <c r="S65" s="335"/>
    </row>
    <row r="66" spans="1:19" x14ac:dyDescent="0.25">
      <c r="A66" s="335" t="s">
        <v>2034</v>
      </c>
      <c r="B66" s="335" t="s">
        <v>2034</v>
      </c>
      <c r="C66" s="335" t="s">
        <v>2299</v>
      </c>
      <c r="D66" s="335" t="s">
        <v>440</v>
      </c>
      <c r="E66" s="405">
        <v>20284183534</v>
      </c>
      <c r="F66" s="335" t="s">
        <v>987</v>
      </c>
      <c r="G66" s="339">
        <v>0</v>
      </c>
      <c r="H66" s="339">
        <v>19049.599999999999</v>
      </c>
      <c r="I66" s="339">
        <v>0</v>
      </c>
      <c r="J66" s="339">
        <v>0</v>
      </c>
      <c r="K66" s="339">
        <v>0</v>
      </c>
      <c r="L66" s="339">
        <v>4000.42</v>
      </c>
      <c r="M66" s="339">
        <v>0</v>
      </c>
      <c r="N66" s="339">
        <v>0</v>
      </c>
      <c r="O66" s="339">
        <v>0</v>
      </c>
      <c r="P66" s="339">
        <v>0</v>
      </c>
      <c r="Q66" s="337">
        <f t="shared" si="1"/>
        <v>23050.019999999997</v>
      </c>
      <c r="R66" s="335" t="s">
        <v>1211</v>
      </c>
      <c r="S66" s="335"/>
    </row>
    <row r="67" spans="1:19" x14ac:dyDescent="0.25">
      <c r="A67" s="335" t="s">
        <v>1823</v>
      </c>
      <c r="B67" s="335" t="s">
        <v>1823</v>
      </c>
      <c r="C67" s="335" t="s">
        <v>2266</v>
      </c>
      <c r="D67" s="335" t="s">
        <v>934</v>
      </c>
      <c r="E67" s="405">
        <v>30709214078</v>
      </c>
      <c r="F67" s="335" t="s">
        <v>987</v>
      </c>
      <c r="G67" s="339">
        <v>607200</v>
      </c>
      <c r="H67" s="339">
        <v>0</v>
      </c>
      <c r="I67" s="339">
        <v>0</v>
      </c>
      <c r="J67" s="339">
        <v>0</v>
      </c>
      <c r="K67" s="339">
        <v>0</v>
      </c>
      <c r="L67" s="339">
        <v>63756</v>
      </c>
      <c r="M67" s="339">
        <v>0</v>
      </c>
      <c r="N67" s="339">
        <v>0</v>
      </c>
      <c r="O67" s="339">
        <v>0</v>
      </c>
      <c r="P67" s="339">
        <v>0</v>
      </c>
      <c r="Q67" s="337">
        <f t="shared" si="1"/>
        <v>670956</v>
      </c>
      <c r="R67" s="335" t="s">
        <v>1211</v>
      </c>
      <c r="S67" s="335"/>
    </row>
    <row r="68" spans="1:19" x14ac:dyDescent="0.25">
      <c r="A68" s="335" t="s">
        <v>2034</v>
      </c>
      <c r="B68" s="335" t="s">
        <v>2034</v>
      </c>
      <c r="C68" s="335" t="s">
        <v>2300</v>
      </c>
      <c r="D68" s="335" t="s">
        <v>934</v>
      </c>
      <c r="E68" s="405">
        <v>30709214078</v>
      </c>
      <c r="F68" s="335" t="s">
        <v>987</v>
      </c>
      <c r="G68" s="339">
        <v>746350</v>
      </c>
      <c r="H68" s="339">
        <v>0</v>
      </c>
      <c r="I68" s="339">
        <v>0</v>
      </c>
      <c r="J68" s="339">
        <v>0</v>
      </c>
      <c r="K68" s="339">
        <v>0</v>
      </c>
      <c r="L68" s="339">
        <v>78366.75</v>
      </c>
      <c r="M68" s="339">
        <v>0</v>
      </c>
      <c r="N68" s="339">
        <v>0</v>
      </c>
      <c r="O68" s="339">
        <v>0</v>
      </c>
      <c r="P68" s="339">
        <v>0</v>
      </c>
      <c r="Q68" s="337">
        <f t="shared" ref="Q68:Q99" si="2">SUM(G68:P68)</f>
        <v>824716.75</v>
      </c>
      <c r="R68" s="335" t="s">
        <v>1211</v>
      </c>
      <c r="S68" s="335"/>
    </row>
    <row r="69" spans="1:19" x14ac:dyDescent="0.25">
      <c r="A69" s="335" t="s">
        <v>2087</v>
      </c>
      <c r="B69" s="335" t="s">
        <v>2087</v>
      </c>
      <c r="C69" s="335" t="s">
        <v>2310</v>
      </c>
      <c r="D69" s="335" t="s">
        <v>934</v>
      </c>
      <c r="E69" s="405">
        <v>30709214078</v>
      </c>
      <c r="F69" s="335" t="s">
        <v>987</v>
      </c>
      <c r="G69" s="339">
        <v>151800</v>
      </c>
      <c r="H69" s="339">
        <v>0</v>
      </c>
      <c r="I69" s="339">
        <v>0</v>
      </c>
      <c r="J69" s="339">
        <v>0</v>
      </c>
      <c r="K69" s="339">
        <v>0</v>
      </c>
      <c r="L69" s="339">
        <v>15939</v>
      </c>
      <c r="M69" s="339">
        <v>0</v>
      </c>
      <c r="N69" s="339">
        <v>0</v>
      </c>
      <c r="O69" s="339">
        <v>0</v>
      </c>
      <c r="P69" s="339">
        <v>0</v>
      </c>
      <c r="Q69" s="337">
        <f t="shared" si="2"/>
        <v>167739</v>
      </c>
      <c r="R69" s="335" t="s">
        <v>1211</v>
      </c>
      <c r="S69" s="335"/>
    </row>
    <row r="70" spans="1:19" x14ac:dyDescent="0.25">
      <c r="A70" s="335" t="s">
        <v>1698</v>
      </c>
      <c r="B70" s="335" t="s">
        <v>1698</v>
      </c>
      <c r="C70" s="335" t="s">
        <v>2222</v>
      </c>
      <c r="D70" s="335" t="s">
        <v>668</v>
      </c>
      <c r="E70" s="405">
        <v>30643518364</v>
      </c>
      <c r="F70" s="335" t="s">
        <v>987</v>
      </c>
      <c r="G70" s="339">
        <v>0</v>
      </c>
      <c r="H70" s="339">
        <v>813981.5</v>
      </c>
      <c r="I70" s="339">
        <v>0</v>
      </c>
      <c r="J70" s="339">
        <v>0</v>
      </c>
      <c r="K70" s="339">
        <v>0</v>
      </c>
      <c r="L70" s="339">
        <v>170936.12</v>
      </c>
      <c r="M70" s="339">
        <v>0</v>
      </c>
      <c r="N70" s="339">
        <v>0</v>
      </c>
      <c r="O70" s="339">
        <v>0</v>
      </c>
      <c r="P70" s="339">
        <v>0</v>
      </c>
      <c r="Q70" s="337">
        <f t="shared" si="2"/>
        <v>984917.62</v>
      </c>
      <c r="R70" s="335" t="s">
        <v>1211</v>
      </c>
      <c r="S70" s="335"/>
    </row>
    <row r="71" spans="1:19" x14ac:dyDescent="0.25">
      <c r="A71" s="335" t="s">
        <v>1698</v>
      </c>
      <c r="B71" s="335" t="s">
        <v>1698</v>
      </c>
      <c r="C71" s="335" t="s">
        <v>2358</v>
      </c>
      <c r="D71" s="335" t="s">
        <v>668</v>
      </c>
      <c r="E71" s="405">
        <v>30643518364</v>
      </c>
      <c r="F71" s="335" t="s">
        <v>987</v>
      </c>
      <c r="G71" s="339">
        <v>0</v>
      </c>
      <c r="H71" s="339">
        <v>207100</v>
      </c>
      <c r="I71" s="339">
        <v>0</v>
      </c>
      <c r="J71" s="339">
        <v>0</v>
      </c>
      <c r="K71" s="339">
        <v>0</v>
      </c>
      <c r="L71" s="339">
        <v>43491</v>
      </c>
      <c r="M71" s="339">
        <v>0</v>
      </c>
      <c r="N71" s="339">
        <v>0</v>
      </c>
      <c r="O71" s="339">
        <v>0</v>
      </c>
      <c r="P71" s="339">
        <v>0</v>
      </c>
      <c r="Q71" s="337">
        <f t="shared" si="2"/>
        <v>250591</v>
      </c>
      <c r="R71" s="335" t="s">
        <v>1211</v>
      </c>
      <c r="S71" s="335"/>
    </row>
    <row r="72" spans="1:19" x14ac:dyDescent="0.25">
      <c r="A72" s="335" t="s">
        <v>1712</v>
      </c>
      <c r="B72" s="335" t="s">
        <v>1712</v>
      </c>
      <c r="C72" s="335" t="s">
        <v>2231</v>
      </c>
      <c r="D72" s="335" t="s">
        <v>668</v>
      </c>
      <c r="E72" s="405">
        <v>30643518364</v>
      </c>
      <c r="F72" s="335" t="s">
        <v>987</v>
      </c>
      <c r="G72" s="339">
        <v>0</v>
      </c>
      <c r="H72" s="339">
        <v>73091.5</v>
      </c>
      <c r="I72" s="339">
        <v>0</v>
      </c>
      <c r="J72" s="339">
        <v>0</v>
      </c>
      <c r="K72" s="339">
        <v>0</v>
      </c>
      <c r="L72" s="339">
        <v>15349.22</v>
      </c>
      <c r="M72" s="339">
        <v>0</v>
      </c>
      <c r="N72" s="339">
        <v>0</v>
      </c>
      <c r="O72" s="339">
        <v>0</v>
      </c>
      <c r="P72" s="339">
        <v>0</v>
      </c>
      <c r="Q72" s="337">
        <f t="shared" si="2"/>
        <v>88440.72</v>
      </c>
      <c r="R72" s="335" t="s">
        <v>1211</v>
      </c>
      <c r="S72" s="335"/>
    </row>
    <row r="73" spans="1:19" x14ac:dyDescent="0.25">
      <c r="A73" s="335" t="s">
        <v>2087</v>
      </c>
      <c r="B73" s="335" t="s">
        <v>2087</v>
      </c>
      <c r="C73" s="335" t="s">
        <v>2307</v>
      </c>
      <c r="D73" s="335" t="s">
        <v>668</v>
      </c>
      <c r="E73" s="405">
        <v>30643518364</v>
      </c>
      <c r="F73" s="335" t="s">
        <v>987</v>
      </c>
      <c r="G73" s="339">
        <v>0</v>
      </c>
      <c r="H73" s="339">
        <v>429580</v>
      </c>
      <c r="I73" s="339">
        <v>0</v>
      </c>
      <c r="J73" s="339">
        <v>0</v>
      </c>
      <c r="K73" s="339">
        <v>0</v>
      </c>
      <c r="L73" s="339">
        <v>90211.8</v>
      </c>
      <c r="M73" s="339">
        <v>0</v>
      </c>
      <c r="N73" s="339">
        <v>0</v>
      </c>
      <c r="O73" s="339">
        <v>0</v>
      </c>
      <c r="P73" s="339">
        <v>0</v>
      </c>
      <c r="Q73" s="337">
        <f t="shared" si="2"/>
        <v>519791.8</v>
      </c>
      <c r="R73" s="335" t="s">
        <v>1211</v>
      </c>
      <c r="S73" s="335"/>
    </row>
    <row r="74" spans="1:19" x14ac:dyDescent="0.25">
      <c r="A74" s="335" t="s">
        <v>1848</v>
      </c>
      <c r="B74" s="335" t="s">
        <v>1848</v>
      </c>
      <c r="C74" s="335" t="s">
        <v>2270</v>
      </c>
      <c r="D74" s="335" t="s">
        <v>63</v>
      </c>
      <c r="E74" s="405">
        <v>30708973501</v>
      </c>
      <c r="F74" s="335" t="s">
        <v>987</v>
      </c>
      <c r="G74" s="339">
        <v>0</v>
      </c>
      <c r="H74" s="339">
        <v>453718</v>
      </c>
      <c r="I74" s="339">
        <v>0</v>
      </c>
      <c r="J74" s="339">
        <v>0</v>
      </c>
      <c r="K74" s="339">
        <v>0</v>
      </c>
      <c r="L74" s="339">
        <v>95280.78</v>
      </c>
      <c r="M74" s="339">
        <v>0</v>
      </c>
      <c r="N74" s="339">
        <v>0</v>
      </c>
      <c r="O74" s="339">
        <v>0</v>
      </c>
      <c r="P74" s="339">
        <v>0</v>
      </c>
      <c r="Q74" s="337">
        <f t="shared" si="2"/>
        <v>548998.78</v>
      </c>
      <c r="R74" s="335" t="s">
        <v>1211</v>
      </c>
      <c r="S74" s="335"/>
    </row>
    <row r="75" spans="1:19" x14ac:dyDescent="0.25">
      <c r="A75" s="335" t="s">
        <v>2129</v>
      </c>
      <c r="B75" s="335" t="s">
        <v>2129</v>
      </c>
      <c r="C75" s="335" t="s">
        <v>2323</v>
      </c>
      <c r="D75" s="335" t="s">
        <v>1506</v>
      </c>
      <c r="E75" s="405">
        <v>27310367813</v>
      </c>
      <c r="F75" s="335" t="s">
        <v>987</v>
      </c>
      <c r="G75" s="339">
        <v>0</v>
      </c>
      <c r="H75" s="339">
        <v>144297.51999999999</v>
      </c>
      <c r="I75" s="339">
        <v>0</v>
      </c>
      <c r="J75" s="339">
        <v>0</v>
      </c>
      <c r="K75" s="339">
        <v>0</v>
      </c>
      <c r="L75" s="339">
        <v>30302.48</v>
      </c>
      <c r="M75" s="339">
        <v>0</v>
      </c>
      <c r="N75" s="339">
        <v>0</v>
      </c>
      <c r="O75" s="339">
        <v>0</v>
      </c>
      <c r="P75" s="339">
        <v>0</v>
      </c>
      <c r="Q75" s="337">
        <f t="shared" si="2"/>
        <v>174600</v>
      </c>
      <c r="R75" s="335" t="s">
        <v>1211</v>
      </c>
      <c r="S75" s="335"/>
    </row>
    <row r="76" spans="1:19" x14ac:dyDescent="0.25">
      <c r="A76" s="335" t="s">
        <v>2019</v>
      </c>
      <c r="B76" s="335" t="s">
        <v>2019</v>
      </c>
      <c r="C76" s="335" t="s">
        <v>2296</v>
      </c>
      <c r="D76" s="335" t="s">
        <v>651</v>
      </c>
      <c r="E76" s="405">
        <v>30711764921</v>
      </c>
      <c r="F76" s="335" t="s">
        <v>987</v>
      </c>
      <c r="G76" s="339">
        <v>0</v>
      </c>
      <c r="H76" s="339">
        <v>218158.16</v>
      </c>
      <c r="I76" s="339">
        <v>0</v>
      </c>
      <c r="J76" s="339">
        <v>0</v>
      </c>
      <c r="K76" s="339">
        <v>0</v>
      </c>
      <c r="L76" s="339">
        <v>45813.21</v>
      </c>
      <c r="M76" s="339">
        <v>0</v>
      </c>
      <c r="N76" s="339">
        <v>0</v>
      </c>
      <c r="O76" s="339">
        <v>0</v>
      </c>
      <c r="P76" s="339">
        <v>0</v>
      </c>
      <c r="Q76" s="337">
        <f t="shared" si="2"/>
        <v>263971.37</v>
      </c>
      <c r="R76" s="335" t="s">
        <v>1211</v>
      </c>
      <c r="S76" s="335"/>
    </row>
    <row r="77" spans="1:19" x14ac:dyDescent="0.25">
      <c r="A77" s="335" t="s">
        <v>1905</v>
      </c>
      <c r="B77" s="335" t="s">
        <v>1905</v>
      </c>
      <c r="C77" s="335" t="s">
        <v>2277</v>
      </c>
      <c r="D77" s="335" t="s">
        <v>2278</v>
      </c>
      <c r="E77" s="405">
        <v>30516199292</v>
      </c>
      <c r="F77" s="335" t="s">
        <v>987</v>
      </c>
      <c r="G77" s="339">
        <v>0</v>
      </c>
      <c r="H77" s="339">
        <v>1159191.52</v>
      </c>
      <c r="I77" s="339">
        <v>0</v>
      </c>
      <c r="J77" s="339">
        <v>0</v>
      </c>
      <c r="K77" s="339">
        <v>0</v>
      </c>
      <c r="L77" s="339">
        <v>243430.22</v>
      </c>
      <c r="M77" s="339">
        <v>0</v>
      </c>
      <c r="N77" s="339">
        <v>0</v>
      </c>
      <c r="O77" s="339">
        <v>0</v>
      </c>
      <c r="P77" s="339">
        <v>46367.66</v>
      </c>
      <c r="Q77" s="337">
        <f t="shared" si="2"/>
        <v>1448989.4</v>
      </c>
      <c r="R77" s="335" t="s">
        <v>1211</v>
      </c>
      <c r="S77" s="335"/>
    </row>
    <row r="78" spans="1:19" x14ac:dyDescent="0.25">
      <c r="A78" s="335" t="s">
        <v>1823</v>
      </c>
      <c r="B78" s="335" t="s">
        <v>1823</v>
      </c>
      <c r="C78" s="335" t="s">
        <v>2260</v>
      </c>
      <c r="D78" s="335" t="s">
        <v>918</v>
      </c>
      <c r="E78" s="405">
        <v>30714112836</v>
      </c>
      <c r="F78" s="335" t="s">
        <v>987</v>
      </c>
      <c r="G78" s="339">
        <v>0</v>
      </c>
      <c r="H78" s="339">
        <v>4153.5200000000004</v>
      </c>
      <c r="I78" s="339">
        <v>0</v>
      </c>
      <c r="J78" s="339">
        <v>0</v>
      </c>
      <c r="K78" s="339">
        <v>0</v>
      </c>
      <c r="L78" s="339">
        <v>872.24</v>
      </c>
      <c r="M78" s="339">
        <v>0</v>
      </c>
      <c r="N78" s="339">
        <v>0</v>
      </c>
      <c r="O78" s="339">
        <v>124.61</v>
      </c>
      <c r="P78" s="339">
        <v>0</v>
      </c>
      <c r="Q78" s="337">
        <f t="shared" si="2"/>
        <v>5150.37</v>
      </c>
      <c r="R78" s="335" t="s">
        <v>1211</v>
      </c>
      <c r="S78" s="335"/>
    </row>
    <row r="79" spans="1:19" x14ac:dyDescent="0.25">
      <c r="A79" s="335" t="s">
        <v>1794</v>
      </c>
      <c r="B79" s="335" t="s">
        <v>1794</v>
      </c>
      <c r="C79" s="335" t="s">
        <v>2361</v>
      </c>
      <c r="D79" s="335" t="s">
        <v>919</v>
      </c>
      <c r="E79" s="405">
        <v>30715804812</v>
      </c>
      <c r="F79" s="335" t="s">
        <v>987</v>
      </c>
      <c r="G79" s="339">
        <v>0</v>
      </c>
      <c r="H79" s="339">
        <v>1039.98</v>
      </c>
      <c r="I79" s="339">
        <v>0</v>
      </c>
      <c r="J79" s="339">
        <v>0</v>
      </c>
      <c r="K79" s="339">
        <v>0</v>
      </c>
      <c r="L79" s="339">
        <v>218.4</v>
      </c>
      <c r="M79" s="339">
        <v>0</v>
      </c>
      <c r="N79" s="339">
        <v>0</v>
      </c>
      <c r="O79" s="339">
        <v>0</v>
      </c>
      <c r="P79" s="339">
        <v>41.6</v>
      </c>
      <c r="Q79" s="337">
        <f t="shared" si="2"/>
        <v>1299.98</v>
      </c>
      <c r="R79" s="335" t="s">
        <v>1211</v>
      </c>
      <c r="S79" s="335"/>
    </row>
    <row r="80" spans="1:19" x14ac:dyDescent="0.25">
      <c r="A80" s="335" t="s">
        <v>2129</v>
      </c>
      <c r="B80" s="335" t="s">
        <v>2129</v>
      </c>
      <c r="C80" s="335" t="s">
        <v>2365</v>
      </c>
      <c r="D80" s="335" t="s">
        <v>919</v>
      </c>
      <c r="E80" s="405">
        <v>30715804812</v>
      </c>
      <c r="F80" s="335" t="s">
        <v>987</v>
      </c>
      <c r="G80" s="350">
        <v>0</v>
      </c>
      <c r="H80" s="350">
        <v>1039.98</v>
      </c>
      <c r="I80" s="350">
        <v>0</v>
      </c>
      <c r="J80" s="350">
        <v>0</v>
      </c>
      <c r="K80" s="350">
        <v>0</v>
      </c>
      <c r="L80" s="350">
        <v>218.4</v>
      </c>
      <c r="M80" s="350">
        <v>0</v>
      </c>
      <c r="N80" s="350">
        <v>0</v>
      </c>
      <c r="O80" s="350">
        <v>41.6</v>
      </c>
      <c r="P80" s="350">
        <v>0</v>
      </c>
      <c r="Q80" s="337">
        <f t="shared" si="2"/>
        <v>1299.98</v>
      </c>
      <c r="R80" s="335" t="s">
        <v>1211</v>
      </c>
      <c r="S80" s="335"/>
    </row>
    <row r="81" spans="1:19" x14ac:dyDescent="0.25">
      <c r="A81" s="352">
        <v>45839</v>
      </c>
      <c r="B81" s="335" t="s">
        <v>1956</v>
      </c>
      <c r="C81" s="335" t="s">
        <v>2291</v>
      </c>
      <c r="D81" s="335" t="s">
        <v>261</v>
      </c>
      <c r="E81" s="405">
        <v>30654118767</v>
      </c>
      <c r="F81" s="335" t="s">
        <v>987</v>
      </c>
      <c r="G81" s="339">
        <v>0</v>
      </c>
      <c r="H81" s="339">
        <v>134425.88</v>
      </c>
      <c r="I81" s="339">
        <v>0</v>
      </c>
      <c r="J81" s="339">
        <v>0</v>
      </c>
      <c r="K81" s="339">
        <v>0</v>
      </c>
      <c r="L81" s="339">
        <v>28229.43</v>
      </c>
      <c r="M81" s="339">
        <v>0</v>
      </c>
      <c r="N81" s="339">
        <v>0</v>
      </c>
      <c r="O81" s="339">
        <v>0</v>
      </c>
      <c r="P81" s="339">
        <v>5377.04</v>
      </c>
      <c r="Q81" s="337">
        <f t="shared" si="2"/>
        <v>168032.35</v>
      </c>
      <c r="R81" s="335" t="s">
        <v>1211</v>
      </c>
      <c r="S81" s="335"/>
    </row>
    <row r="82" spans="1:19" x14ac:dyDescent="0.25">
      <c r="A82" s="335" t="s">
        <v>1698</v>
      </c>
      <c r="B82" s="335" t="s">
        <v>1698</v>
      </c>
      <c r="C82" s="335" t="s">
        <v>2216</v>
      </c>
      <c r="D82" s="335" t="s">
        <v>919</v>
      </c>
      <c r="E82" s="405">
        <v>30715804812</v>
      </c>
      <c r="F82" s="335" t="s">
        <v>987</v>
      </c>
      <c r="G82" s="339">
        <v>0</v>
      </c>
      <c r="H82" s="339">
        <v>19343.650000000001</v>
      </c>
      <c r="I82" s="339">
        <v>0</v>
      </c>
      <c r="J82" s="339">
        <v>0</v>
      </c>
      <c r="K82" s="339">
        <v>0</v>
      </c>
      <c r="L82" s="339">
        <v>4062.17</v>
      </c>
      <c r="M82" s="339">
        <v>0</v>
      </c>
      <c r="N82" s="339">
        <v>0</v>
      </c>
      <c r="O82" s="339">
        <v>0</v>
      </c>
      <c r="P82" s="339">
        <v>773.74</v>
      </c>
      <c r="Q82" s="337">
        <f t="shared" si="2"/>
        <v>24179.56</v>
      </c>
      <c r="R82" s="335" t="s">
        <v>1211</v>
      </c>
      <c r="S82" s="335"/>
    </row>
    <row r="83" spans="1:19" x14ac:dyDescent="0.25">
      <c r="A83" s="335" t="s">
        <v>1991</v>
      </c>
      <c r="B83" s="335" t="s">
        <v>1991</v>
      </c>
      <c r="C83" s="335" t="s">
        <v>2293</v>
      </c>
      <c r="D83" s="335" t="s">
        <v>919</v>
      </c>
      <c r="E83" s="405">
        <v>30715804812</v>
      </c>
      <c r="F83" s="335" t="s">
        <v>987</v>
      </c>
      <c r="G83" s="339">
        <v>0</v>
      </c>
      <c r="H83" s="339">
        <v>17471.669999999998</v>
      </c>
      <c r="I83" s="339">
        <v>0</v>
      </c>
      <c r="J83" s="339">
        <v>0</v>
      </c>
      <c r="K83" s="339">
        <v>0</v>
      </c>
      <c r="L83" s="339">
        <v>3669.05</v>
      </c>
      <c r="M83" s="339">
        <v>0</v>
      </c>
      <c r="N83" s="339">
        <v>0</v>
      </c>
      <c r="O83" s="339">
        <v>0</v>
      </c>
      <c r="P83" s="339">
        <v>698.86</v>
      </c>
      <c r="Q83" s="337">
        <f t="shared" si="2"/>
        <v>21839.579999999998</v>
      </c>
      <c r="R83" s="335" t="s">
        <v>1211</v>
      </c>
      <c r="S83" s="335"/>
    </row>
    <row r="84" spans="1:19" x14ac:dyDescent="0.25">
      <c r="A84" s="335" t="s">
        <v>1991</v>
      </c>
      <c r="B84" s="335" t="s">
        <v>1991</v>
      </c>
      <c r="C84" s="335" t="s">
        <v>2364</v>
      </c>
      <c r="D84" s="335" t="s">
        <v>919</v>
      </c>
      <c r="E84" s="405">
        <v>30715804812</v>
      </c>
      <c r="F84" s="335" t="s">
        <v>987</v>
      </c>
      <c r="G84" s="339">
        <v>0</v>
      </c>
      <c r="H84" s="339">
        <v>831.98</v>
      </c>
      <c r="I84" s="339">
        <v>0</v>
      </c>
      <c r="J84" s="339">
        <v>0</v>
      </c>
      <c r="K84" s="339">
        <v>0</v>
      </c>
      <c r="L84" s="339">
        <v>174.72</v>
      </c>
      <c r="M84" s="339">
        <v>0</v>
      </c>
      <c r="N84" s="339">
        <v>0</v>
      </c>
      <c r="O84" s="339">
        <v>0</v>
      </c>
      <c r="P84" s="339">
        <v>0</v>
      </c>
      <c r="Q84" s="337">
        <f t="shared" si="2"/>
        <v>1006.7</v>
      </c>
      <c r="R84" s="335" t="s">
        <v>1211</v>
      </c>
      <c r="S84" s="335"/>
    </row>
    <row r="85" spans="1:19" x14ac:dyDescent="0.25">
      <c r="A85" s="335" t="s">
        <v>1712</v>
      </c>
      <c r="B85" s="335" t="s">
        <v>1712</v>
      </c>
      <c r="C85" s="335" t="s">
        <v>2359</v>
      </c>
      <c r="D85" s="335" t="s">
        <v>1478</v>
      </c>
      <c r="E85" s="405">
        <v>30712289046</v>
      </c>
      <c r="F85" s="335" t="s">
        <v>987</v>
      </c>
      <c r="G85" s="339">
        <v>0</v>
      </c>
      <c r="H85" s="339">
        <v>36641.54</v>
      </c>
      <c r="I85" s="339">
        <v>0</v>
      </c>
      <c r="J85" s="339">
        <v>5663.81</v>
      </c>
      <c r="K85" s="339">
        <v>0</v>
      </c>
      <c r="L85" s="339">
        <v>7694.72</v>
      </c>
      <c r="M85" s="339">
        <v>0</v>
      </c>
      <c r="N85" s="339">
        <v>0</v>
      </c>
      <c r="O85" s="339">
        <v>0</v>
      </c>
      <c r="P85" s="339">
        <v>0</v>
      </c>
      <c r="Q85" s="337">
        <f t="shared" si="2"/>
        <v>50000.07</v>
      </c>
      <c r="R85" s="335" t="s">
        <v>1211</v>
      </c>
      <c r="S85" s="335"/>
    </row>
    <row r="86" spans="1:19" x14ac:dyDescent="0.25">
      <c r="A86" s="335" t="s">
        <v>2223</v>
      </c>
      <c r="B86" s="335" t="s">
        <v>2223</v>
      </c>
      <c r="C86" s="335" t="s">
        <v>2225</v>
      </c>
      <c r="D86" s="335" t="s">
        <v>951</v>
      </c>
      <c r="E86" s="405">
        <v>30678774495</v>
      </c>
      <c r="F86" s="335" t="s">
        <v>987</v>
      </c>
      <c r="G86" s="339">
        <v>0</v>
      </c>
      <c r="H86" s="339">
        <v>17506.57</v>
      </c>
      <c r="I86" s="339">
        <v>0</v>
      </c>
      <c r="J86" s="339">
        <v>5835.07</v>
      </c>
      <c r="K86" s="339">
        <v>0</v>
      </c>
      <c r="L86" s="339">
        <v>3676.38</v>
      </c>
      <c r="M86" s="339">
        <v>0</v>
      </c>
      <c r="N86" s="339">
        <v>0</v>
      </c>
      <c r="O86" s="339">
        <v>0</v>
      </c>
      <c r="P86" s="339">
        <v>0</v>
      </c>
      <c r="Q86" s="337">
        <f t="shared" si="2"/>
        <v>27018.02</v>
      </c>
      <c r="R86" s="335" t="s">
        <v>1211</v>
      </c>
      <c r="S86" s="335"/>
    </row>
    <row r="87" spans="1:19" hidden="1" x14ac:dyDescent="0.25">
      <c r="A87" s="335" t="s">
        <v>1712</v>
      </c>
      <c r="B87" s="335" t="s">
        <v>1712</v>
      </c>
      <c r="C87" s="335" t="s">
        <v>2226</v>
      </c>
      <c r="D87" s="335" t="s">
        <v>2227</v>
      </c>
      <c r="E87" s="405">
        <v>27122903201</v>
      </c>
      <c r="F87" s="335" t="s">
        <v>1214</v>
      </c>
      <c r="G87" s="339">
        <v>0</v>
      </c>
      <c r="H87" s="339">
        <v>0</v>
      </c>
      <c r="I87" s="339">
        <v>0</v>
      </c>
      <c r="J87" s="339">
        <v>0</v>
      </c>
      <c r="K87" s="339">
        <v>980000</v>
      </c>
      <c r="L87" s="339">
        <v>0</v>
      </c>
      <c r="M87" s="339">
        <v>0</v>
      </c>
      <c r="N87" s="339">
        <v>0</v>
      </c>
      <c r="O87" s="339">
        <v>0</v>
      </c>
      <c r="P87" s="339">
        <v>0</v>
      </c>
      <c r="Q87" s="337">
        <f t="shared" si="2"/>
        <v>980000</v>
      </c>
      <c r="R87" s="335" t="s">
        <v>2393</v>
      </c>
      <c r="S87" s="335"/>
    </row>
    <row r="88" spans="1:19" hidden="1" x14ac:dyDescent="0.25">
      <c r="A88" s="335" t="s">
        <v>1676</v>
      </c>
      <c r="B88" s="335" t="s">
        <v>1676</v>
      </c>
      <c r="C88" s="335" t="s">
        <v>2213</v>
      </c>
      <c r="D88" s="335" t="s">
        <v>1505</v>
      </c>
      <c r="E88" s="405">
        <v>27443612713</v>
      </c>
      <c r="F88" s="335" t="s">
        <v>1214</v>
      </c>
      <c r="G88" s="339">
        <v>0</v>
      </c>
      <c r="H88" s="339">
        <v>0</v>
      </c>
      <c r="I88" s="339">
        <v>0</v>
      </c>
      <c r="J88" s="339">
        <v>0</v>
      </c>
      <c r="K88" s="339">
        <v>870000</v>
      </c>
      <c r="L88" s="339">
        <v>0</v>
      </c>
      <c r="M88" s="339">
        <v>0</v>
      </c>
      <c r="N88" s="339">
        <v>0</v>
      </c>
      <c r="O88" s="339">
        <v>0</v>
      </c>
      <c r="P88" s="339">
        <v>0</v>
      </c>
      <c r="Q88" s="337">
        <f t="shared" si="2"/>
        <v>870000</v>
      </c>
      <c r="R88" s="335" t="s">
        <v>2394</v>
      </c>
      <c r="S88" s="335"/>
    </row>
    <row r="89" spans="1:19" hidden="1" x14ac:dyDescent="0.25">
      <c r="A89" s="335" t="s">
        <v>2210</v>
      </c>
      <c r="B89" s="335" t="s">
        <v>2210</v>
      </c>
      <c r="C89" s="335" t="s">
        <v>2211</v>
      </c>
      <c r="D89" s="335" t="s">
        <v>1237</v>
      </c>
      <c r="E89" s="405">
        <v>20311855671</v>
      </c>
      <c r="F89" s="335" t="s">
        <v>1214</v>
      </c>
      <c r="G89" s="339">
        <v>0</v>
      </c>
      <c r="H89" s="339">
        <v>0</v>
      </c>
      <c r="I89" s="339">
        <v>0</v>
      </c>
      <c r="J89" s="339">
        <v>0</v>
      </c>
      <c r="K89" s="339">
        <v>530000</v>
      </c>
      <c r="L89" s="339">
        <v>0</v>
      </c>
      <c r="M89" s="339">
        <v>0</v>
      </c>
      <c r="N89" s="339">
        <v>0</v>
      </c>
      <c r="O89" s="339">
        <v>0</v>
      </c>
      <c r="P89" s="339">
        <v>0</v>
      </c>
      <c r="Q89" s="337">
        <f t="shared" si="2"/>
        <v>530000</v>
      </c>
      <c r="R89" s="335" t="s">
        <v>2390</v>
      </c>
      <c r="S89" s="335"/>
    </row>
    <row r="90" spans="1:19" hidden="1" x14ac:dyDescent="0.25">
      <c r="A90" s="335" t="s">
        <v>1744</v>
      </c>
      <c r="B90" s="335" t="s">
        <v>1744</v>
      </c>
      <c r="C90" s="335" t="s">
        <v>2245</v>
      </c>
      <c r="D90" s="335" t="s">
        <v>1237</v>
      </c>
      <c r="E90" s="405">
        <v>20311855671</v>
      </c>
      <c r="F90" s="335" t="s">
        <v>1214</v>
      </c>
      <c r="G90" s="339">
        <v>0</v>
      </c>
      <c r="H90" s="339">
        <v>0</v>
      </c>
      <c r="I90" s="339">
        <v>0</v>
      </c>
      <c r="J90" s="339">
        <v>0</v>
      </c>
      <c r="K90" s="339">
        <v>145000</v>
      </c>
      <c r="L90" s="339">
        <v>0</v>
      </c>
      <c r="M90" s="339">
        <v>0</v>
      </c>
      <c r="N90" s="339">
        <v>0</v>
      </c>
      <c r="O90" s="339">
        <v>0</v>
      </c>
      <c r="P90" s="339">
        <v>0</v>
      </c>
      <c r="Q90" s="337">
        <f t="shared" si="2"/>
        <v>145000</v>
      </c>
      <c r="R90" s="335" t="s">
        <v>2390</v>
      </c>
      <c r="S90" s="335"/>
    </row>
    <row r="91" spans="1:19" hidden="1" x14ac:dyDescent="0.25">
      <c r="A91" s="335" t="s">
        <v>1744</v>
      </c>
      <c r="B91" s="335" t="s">
        <v>1744</v>
      </c>
      <c r="C91" s="335" t="s">
        <v>2246</v>
      </c>
      <c r="D91" s="335" t="s">
        <v>1237</v>
      </c>
      <c r="E91" s="405">
        <v>20311855671</v>
      </c>
      <c r="F91" s="335" t="s">
        <v>1214</v>
      </c>
      <c r="G91" s="339">
        <v>0</v>
      </c>
      <c r="H91" s="339">
        <v>0</v>
      </c>
      <c r="I91" s="339">
        <v>0</v>
      </c>
      <c r="J91" s="339">
        <v>0</v>
      </c>
      <c r="K91" s="339">
        <v>385000</v>
      </c>
      <c r="L91" s="339">
        <v>0</v>
      </c>
      <c r="M91" s="339">
        <v>0</v>
      </c>
      <c r="N91" s="339">
        <v>0</v>
      </c>
      <c r="O91" s="339">
        <v>0</v>
      </c>
      <c r="P91" s="339">
        <v>0</v>
      </c>
      <c r="Q91" s="337">
        <f t="shared" si="2"/>
        <v>385000</v>
      </c>
      <c r="R91" s="335" t="s">
        <v>2390</v>
      </c>
      <c r="S91" s="335"/>
    </row>
    <row r="92" spans="1:19" hidden="1" x14ac:dyDescent="0.25">
      <c r="A92" s="335" t="s">
        <v>1712</v>
      </c>
      <c r="B92" s="335" t="s">
        <v>1712</v>
      </c>
      <c r="C92" s="335" t="s">
        <v>2229</v>
      </c>
      <c r="D92" s="335" t="s">
        <v>2230</v>
      </c>
      <c r="E92" s="405">
        <v>20944494236</v>
      </c>
      <c r="F92" s="335" t="s">
        <v>1214</v>
      </c>
      <c r="G92" s="339">
        <v>0</v>
      </c>
      <c r="H92" s="339">
        <v>0</v>
      </c>
      <c r="I92" s="339">
        <v>0</v>
      </c>
      <c r="J92" s="339">
        <v>0</v>
      </c>
      <c r="K92" s="339">
        <v>246650</v>
      </c>
      <c r="L92" s="339">
        <v>0</v>
      </c>
      <c r="M92" s="339">
        <v>0</v>
      </c>
      <c r="N92" s="339">
        <v>0</v>
      </c>
      <c r="O92" s="339">
        <v>0</v>
      </c>
      <c r="P92" s="339">
        <v>0</v>
      </c>
      <c r="Q92" s="337">
        <f t="shared" si="2"/>
        <v>246650</v>
      </c>
      <c r="R92" s="335" t="s">
        <v>1211</v>
      </c>
      <c r="S92" s="335"/>
    </row>
    <row r="93" spans="1:19" hidden="1" x14ac:dyDescent="0.25">
      <c r="A93" s="335" t="s">
        <v>1991</v>
      </c>
      <c r="B93" s="335" t="s">
        <v>1991</v>
      </c>
      <c r="C93" s="335" t="s">
        <v>2294</v>
      </c>
      <c r="D93" s="335" t="s">
        <v>1220</v>
      </c>
      <c r="E93" s="405">
        <v>27338342840</v>
      </c>
      <c r="F93" s="335" t="s">
        <v>1214</v>
      </c>
      <c r="G93" s="339">
        <v>0</v>
      </c>
      <c r="H93" s="339">
        <v>0</v>
      </c>
      <c r="I93" s="339">
        <v>0</v>
      </c>
      <c r="J93" s="339">
        <v>0</v>
      </c>
      <c r="K93" s="339">
        <v>610000</v>
      </c>
      <c r="L93" s="339">
        <v>0</v>
      </c>
      <c r="M93" s="339">
        <v>0</v>
      </c>
      <c r="N93" s="339">
        <v>0</v>
      </c>
      <c r="O93" s="339">
        <v>0</v>
      </c>
      <c r="P93" s="339">
        <v>0</v>
      </c>
      <c r="Q93" s="337">
        <f t="shared" si="2"/>
        <v>610000</v>
      </c>
      <c r="R93" s="335" t="s">
        <v>2392</v>
      </c>
      <c r="S93" s="335"/>
    </row>
    <row r="94" spans="1:19" hidden="1" x14ac:dyDescent="0.25">
      <c r="A94" s="335" t="s">
        <v>1598</v>
      </c>
      <c r="B94" s="335" t="s">
        <v>1598</v>
      </c>
      <c r="C94" s="335" t="s">
        <v>2195</v>
      </c>
      <c r="D94" s="335" t="s">
        <v>1212</v>
      </c>
      <c r="E94" s="405">
        <v>20086277523</v>
      </c>
      <c r="F94" s="335" t="s">
        <v>1214</v>
      </c>
      <c r="G94" s="339">
        <v>0</v>
      </c>
      <c r="H94" s="339">
        <v>0</v>
      </c>
      <c r="I94" s="339">
        <v>0</v>
      </c>
      <c r="J94" s="339">
        <v>0</v>
      </c>
      <c r="K94" s="339">
        <v>290000</v>
      </c>
      <c r="L94" s="339">
        <v>0</v>
      </c>
      <c r="M94" s="339">
        <v>0</v>
      </c>
      <c r="N94" s="339">
        <v>0</v>
      </c>
      <c r="O94" s="339">
        <v>0</v>
      </c>
      <c r="P94" s="339">
        <v>0</v>
      </c>
      <c r="Q94" s="337">
        <f t="shared" si="2"/>
        <v>290000</v>
      </c>
      <c r="R94" s="335" t="s">
        <v>2391</v>
      </c>
      <c r="S94" s="335"/>
    </row>
    <row r="95" spans="1:19" hidden="1" x14ac:dyDescent="0.25">
      <c r="A95" s="335" t="s">
        <v>1823</v>
      </c>
      <c r="B95" s="335" t="s">
        <v>1823</v>
      </c>
      <c r="C95" s="335" t="s">
        <v>2262</v>
      </c>
      <c r="D95" s="335" t="s">
        <v>1212</v>
      </c>
      <c r="E95" s="405">
        <v>20086277523</v>
      </c>
      <c r="F95" s="335" t="s">
        <v>1214</v>
      </c>
      <c r="G95" s="339">
        <v>0</v>
      </c>
      <c r="H95" s="339">
        <v>0</v>
      </c>
      <c r="I95" s="339">
        <v>0</v>
      </c>
      <c r="J95" s="339">
        <v>0</v>
      </c>
      <c r="K95" s="339">
        <v>800000</v>
      </c>
      <c r="L95" s="339">
        <v>0</v>
      </c>
      <c r="M95" s="339">
        <v>0</v>
      </c>
      <c r="N95" s="339">
        <v>0</v>
      </c>
      <c r="O95" s="339">
        <v>0</v>
      </c>
      <c r="P95" s="339">
        <v>0</v>
      </c>
      <c r="Q95" s="337">
        <f t="shared" si="2"/>
        <v>800000</v>
      </c>
      <c r="R95" s="335" t="s">
        <v>2391</v>
      </c>
      <c r="S95" s="335"/>
    </row>
    <row r="96" spans="1:19" x14ac:dyDescent="0.25">
      <c r="A96" s="335" t="s">
        <v>2116</v>
      </c>
      <c r="B96" s="335" t="s">
        <v>2116</v>
      </c>
      <c r="C96" s="335" t="s">
        <v>2318</v>
      </c>
      <c r="D96" s="335" t="s">
        <v>233</v>
      </c>
      <c r="E96" s="405">
        <v>30711553564</v>
      </c>
      <c r="F96" s="335" t="s">
        <v>987</v>
      </c>
      <c r="G96" s="339">
        <v>0</v>
      </c>
      <c r="H96" s="339">
        <v>-22714.5</v>
      </c>
      <c r="I96" s="339">
        <v>0</v>
      </c>
      <c r="J96" s="339">
        <v>0</v>
      </c>
      <c r="K96" s="339">
        <v>0</v>
      </c>
      <c r="L96" s="339">
        <v>-4770.05</v>
      </c>
      <c r="M96" s="339">
        <v>0</v>
      </c>
      <c r="N96" s="339">
        <v>0</v>
      </c>
      <c r="O96" s="339">
        <v>0</v>
      </c>
      <c r="P96" s="339">
        <v>0</v>
      </c>
      <c r="Q96" s="337">
        <f t="shared" si="2"/>
        <v>-27484.55</v>
      </c>
      <c r="R96" s="335" t="s">
        <v>1211</v>
      </c>
      <c r="S96" s="335"/>
    </row>
    <row r="97" spans="1:19" x14ac:dyDescent="0.25">
      <c r="A97" s="359" t="s">
        <v>1516</v>
      </c>
      <c r="B97" s="359" t="s">
        <v>1516</v>
      </c>
      <c r="C97" s="359" t="s">
        <v>2193</v>
      </c>
      <c r="D97" s="359" t="s">
        <v>147</v>
      </c>
      <c r="E97" s="406">
        <v>30715141201</v>
      </c>
      <c r="F97" s="359" t="s">
        <v>987</v>
      </c>
      <c r="G97" s="360">
        <v>0</v>
      </c>
      <c r="H97" s="360">
        <v>0</v>
      </c>
      <c r="I97" s="360">
        <v>0</v>
      </c>
      <c r="J97" s="360">
        <v>3783</v>
      </c>
      <c r="K97" s="360">
        <v>0</v>
      </c>
      <c r="L97" s="360">
        <v>0</v>
      </c>
      <c r="M97" s="360">
        <v>0</v>
      </c>
      <c r="N97" s="360">
        <v>0</v>
      </c>
      <c r="O97" s="360">
        <v>0</v>
      </c>
      <c r="P97" s="360">
        <v>0</v>
      </c>
      <c r="Q97" s="361">
        <f t="shared" si="2"/>
        <v>3783</v>
      </c>
      <c r="R97" s="359" t="s">
        <v>1211</v>
      </c>
      <c r="S97" s="359"/>
    </row>
    <row r="98" spans="1:19" x14ac:dyDescent="0.25">
      <c r="A98" s="335" t="s">
        <v>1698</v>
      </c>
      <c r="B98" s="335" t="s">
        <v>1698</v>
      </c>
      <c r="C98" s="335" t="s">
        <v>2219</v>
      </c>
      <c r="D98" s="335" t="s">
        <v>252</v>
      </c>
      <c r="E98" s="405">
        <v>20317488476</v>
      </c>
      <c r="F98" s="335" t="s">
        <v>987</v>
      </c>
      <c r="G98" s="339">
        <v>0</v>
      </c>
      <c r="H98" s="339">
        <v>300000</v>
      </c>
      <c r="I98" s="339">
        <v>0</v>
      </c>
      <c r="J98" s="339">
        <v>0</v>
      </c>
      <c r="K98" s="339">
        <v>0</v>
      </c>
      <c r="L98" s="339">
        <v>63000</v>
      </c>
      <c r="M98" s="339">
        <v>0</v>
      </c>
      <c r="N98" s="339">
        <v>0</v>
      </c>
      <c r="O98" s="339">
        <v>0</v>
      </c>
      <c r="P98" s="339">
        <v>0</v>
      </c>
      <c r="Q98" s="337">
        <f t="shared" si="2"/>
        <v>363000</v>
      </c>
      <c r="R98" s="335" t="s">
        <v>2220</v>
      </c>
      <c r="S98" s="335"/>
    </row>
    <row r="99" spans="1:19" x14ac:dyDescent="0.25">
      <c r="A99" s="335" t="s">
        <v>2146</v>
      </c>
      <c r="B99" s="335" t="s">
        <v>2146</v>
      </c>
      <c r="C99" s="335" t="s">
        <v>2328</v>
      </c>
      <c r="D99" s="335" t="s">
        <v>252</v>
      </c>
      <c r="E99" s="405">
        <v>20317488476</v>
      </c>
      <c r="F99" s="335" t="s">
        <v>987</v>
      </c>
      <c r="G99" s="339">
        <v>0</v>
      </c>
      <c r="H99" s="339">
        <v>1260000</v>
      </c>
      <c r="I99" s="339">
        <v>0</v>
      </c>
      <c r="J99" s="339">
        <v>0</v>
      </c>
      <c r="K99" s="339">
        <v>0</v>
      </c>
      <c r="L99" s="339">
        <v>264600</v>
      </c>
      <c r="M99" s="339">
        <v>0</v>
      </c>
      <c r="N99" s="339">
        <v>0</v>
      </c>
      <c r="O99" s="339">
        <v>0</v>
      </c>
      <c r="P99" s="339">
        <v>0</v>
      </c>
      <c r="Q99" s="337">
        <f t="shared" si="2"/>
        <v>1524600</v>
      </c>
      <c r="R99" s="335" t="s">
        <v>2220</v>
      </c>
      <c r="S99" s="335"/>
    </row>
    <row r="100" spans="1:19" x14ac:dyDescent="0.25">
      <c r="A100" s="335" t="s">
        <v>2087</v>
      </c>
      <c r="B100" s="335" t="s">
        <v>2087</v>
      </c>
      <c r="C100" s="335" t="s">
        <v>2306</v>
      </c>
      <c r="D100" s="335" t="s">
        <v>709</v>
      </c>
      <c r="E100" s="405">
        <v>27243660535</v>
      </c>
      <c r="F100" s="335" t="s">
        <v>987</v>
      </c>
      <c r="G100" s="339">
        <v>0</v>
      </c>
      <c r="H100" s="339">
        <v>414537</v>
      </c>
      <c r="I100" s="339">
        <v>0</v>
      </c>
      <c r="J100" s="339">
        <v>0</v>
      </c>
      <c r="K100" s="339">
        <v>0</v>
      </c>
      <c r="L100" s="339">
        <v>87052.77</v>
      </c>
      <c r="M100" s="339">
        <v>0</v>
      </c>
      <c r="N100" s="339">
        <v>0</v>
      </c>
      <c r="O100" s="339">
        <v>0</v>
      </c>
      <c r="P100" s="339">
        <v>0</v>
      </c>
      <c r="Q100" s="337">
        <f t="shared" ref="Q100:Q131" si="3">SUM(G100:P100)</f>
        <v>501589.77</v>
      </c>
      <c r="R100" s="335" t="s">
        <v>1219</v>
      </c>
      <c r="S100" s="335"/>
    </row>
    <row r="101" spans="1:19" x14ac:dyDescent="0.25">
      <c r="A101" s="335" t="s">
        <v>1939</v>
      </c>
      <c r="B101" s="335" t="s">
        <v>1939</v>
      </c>
      <c r="C101" s="335" t="s">
        <v>2284</v>
      </c>
      <c r="D101" s="335" t="s">
        <v>518</v>
      </c>
      <c r="E101" s="405">
        <v>33708218699</v>
      </c>
      <c r="F101" s="335" t="s">
        <v>987</v>
      </c>
      <c r="G101" s="339">
        <v>0</v>
      </c>
      <c r="H101" s="339">
        <v>30000</v>
      </c>
      <c r="I101" s="339">
        <v>0</v>
      </c>
      <c r="J101" s="339">
        <v>0</v>
      </c>
      <c r="K101" s="339">
        <v>0</v>
      </c>
      <c r="L101" s="339">
        <v>6300</v>
      </c>
      <c r="M101" s="339">
        <v>0</v>
      </c>
      <c r="N101" s="339">
        <v>0</v>
      </c>
      <c r="O101" s="339">
        <v>0</v>
      </c>
      <c r="P101" s="339">
        <v>0</v>
      </c>
      <c r="Q101" s="337">
        <f t="shared" si="3"/>
        <v>36300</v>
      </c>
      <c r="R101" s="335" t="s">
        <v>1219</v>
      </c>
      <c r="S101" s="335"/>
    </row>
    <row r="102" spans="1:19" x14ac:dyDescent="0.25">
      <c r="A102" s="335" t="s">
        <v>1905</v>
      </c>
      <c r="B102" s="335" t="s">
        <v>1905</v>
      </c>
      <c r="C102" s="335" t="s">
        <v>2276</v>
      </c>
      <c r="D102" s="335" t="s">
        <v>421</v>
      </c>
      <c r="E102" s="405">
        <v>30677237119</v>
      </c>
      <c r="F102" s="335" t="s">
        <v>987</v>
      </c>
      <c r="G102" s="339">
        <v>0</v>
      </c>
      <c r="H102" s="339">
        <v>4391.03</v>
      </c>
      <c r="I102" s="339">
        <v>0</v>
      </c>
      <c r="J102" s="339">
        <v>0</v>
      </c>
      <c r="K102" s="339">
        <v>0</v>
      </c>
      <c r="L102" s="339">
        <v>922.12</v>
      </c>
      <c r="M102" s="339">
        <v>0</v>
      </c>
      <c r="N102" s="339">
        <v>0</v>
      </c>
      <c r="O102" s="339">
        <v>131.72999999999999</v>
      </c>
      <c r="P102" s="339">
        <v>175.64</v>
      </c>
      <c r="Q102" s="337">
        <f t="shared" si="3"/>
        <v>5620.5199999999995</v>
      </c>
      <c r="R102" s="335" t="s">
        <v>1219</v>
      </c>
      <c r="S102" s="335"/>
    </row>
    <row r="103" spans="1:19" x14ac:dyDescent="0.25">
      <c r="A103" s="335" t="s">
        <v>1794</v>
      </c>
      <c r="B103" s="335" t="s">
        <v>1794</v>
      </c>
      <c r="C103" s="335" t="s">
        <v>2257</v>
      </c>
      <c r="D103" s="335" t="s">
        <v>943</v>
      </c>
      <c r="E103" s="405">
        <v>30707370552</v>
      </c>
      <c r="F103" s="335" t="s">
        <v>987</v>
      </c>
      <c r="G103" s="339">
        <v>0</v>
      </c>
      <c r="H103" s="339">
        <v>2397520.66</v>
      </c>
      <c r="I103" s="339">
        <v>0</v>
      </c>
      <c r="J103" s="339">
        <v>0</v>
      </c>
      <c r="K103" s="339">
        <v>0</v>
      </c>
      <c r="L103" s="339">
        <v>503479.34</v>
      </c>
      <c r="M103" s="339">
        <v>0</v>
      </c>
      <c r="N103" s="339">
        <v>0</v>
      </c>
      <c r="O103" s="339">
        <v>0</v>
      </c>
      <c r="P103" s="339">
        <v>0</v>
      </c>
      <c r="Q103" s="337">
        <f t="shared" si="3"/>
        <v>2901000</v>
      </c>
      <c r="R103" s="335" t="s">
        <v>1219</v>
      </c>
      <c r="S103" s="335"/>
    </row>
    <row r="104" spans="1:19" x14ac:dyDescent="0.25">
      <c r="A104" s="335" t="s">
        <v>2146</v>
      </c>
      <c r="B104" s="335" t="s">
        <v>2146</v>
      </c>
      <c r="C104" s="335" t="s">
        <v>2331</v>
      </c>
      <c r="D104" s="335" t="s">
        <v>943</v>
      </c>
      <c r="E104" s="405">
        <v>30707370552</v>
      </c>
      <c r="F104" s="335" t="s">
        <v>987</v>
      </c>
      <c r="G104" s="339">
        <v>0</v>
      </c>
      <c r="H104" s="339">
        <v>5042250.41</v>
      </c>
      <c r="I104" s="339">
        <v>0</v>
      </c>
      <c r="J104" s="339">
        <v>0</v>
      </c>
      <c r="K104" s="339">
        <v>0</v>
      </c>
      <c r="L104" s="339">
        <v>1058872.5900000001</v>
      </c>
      <c r="M104" s="339">
        <v>0</v>
      </c>
      <c r="N104" s="339">
        <v>0</v>
      </c>
      <c r="O104" s="339">
        <v>0</v>
      </c>
      <c r="P104" s="339">
        <v>0</v>
      </c>
      <c r="Q104" s="337">
        <f t="shared" si="3"/>
        <v>6101123</v>
      </c>
      <c r="R104" s="335" t="s">
        <v>1219</v>
      </c>
      <c r="S104" s="335"/>
    </row>
    <row r="105" spans="1:19" hidden="1" x14ac:dyDescent="0.25">
      <c r="A105" s="335" t="s">
        <v>1698</v>
      </c>
      <c r="B105" s="335" t="s">
        <v>1698</v>
      </c>
      <c r="C105" s="335" t="s">
        <v>2218</v>
      </c>
      <c r="D105" s="335" t="s">
        <v>1217</v>
      </c>
      <c r="E105" s="405">
        <v>27443612705</v>
      </c>
      <c r="F105" s="335" t="s">
        <v>1214</v>
      </c>
      <c r="G105" s="339">
        <v>0</v>
      </c>
      <c r="H105" s="339">
        <v>0</v>
      </c>
      <c r="I105" s="339">
        <v>0</v>
      </c>
      <c r="J105" s="339">
        <v>0</v>
      </c>
      <c r="K105" s="339">
        <v>900000</v>
      </c>
      <c r="L105" s="339">
        <v>0</v>
      </c>
      <c r="M105" s="339">
        <v>0</v>
      </c>
      <c r="N105" s="339">
        <v>0</v>
      </c>
      <c r="O105" s="339">
        <v>0</v>
      </c>
      <c r="P105" s="339">
        <v>0</v>
      </c>
      <c r="Q105" s="337">
        <f t="shared" si="3"/>
        <v>900000</v>
      </c>
      <c r="R105" s="335" t="s">
        <v>1219</v>
      </c>
      <c r="S105" s="335"/>
    </row>
    <row r="106" spans="1:19" x14ac:dyDescent="0.25">
      <c r="A106" s="335" t="s">
        <v>1598</v>
      </c>
      <c r="B106" s="335" t="s">
        <v>1598</v>
      </c>
      <c r="C106" s="335" t="s">
        <v>2194</v>
      </c>
      <c r="D106" s="335" t="s">
        <v>1208</v>
      </c>
      <c r="E106" s="405">
        <v>30714864269</v>
      </c>
      <c r="F106" s="335" t="s">
        <v>987</v>
      </c>
      <c r="G106" s="339">
        <v>0</v>
      </c>
      <c r="H106" s="339">
        <v>184800</v>
      </c>
      <c r="I106" s="339">
        <v>0</v>
      </c>
      <c r="J106" s="339">
        <v>0</v>
      </c>
      <c r="K106" s="339">
        <v>0</v>
      </c>
      <c r="L106" s="339">
        <v>38808</v>
      </c>
      <c r="M106" s="339">
        <v>0</v>
      </c>
      <c r="N106" s="339">
        <v>0</v>
      </c>
      <c r="O106" s="339">
        <v>0</v>
      </c>
      <c r="P106" s="339">
        <v>0</v>
      </c>
      <c r="Q106" s="337">
        <f t="shared" si="3"/>
        <v>223608</v>
      </c>
      <c r="R106" s="335" t="s">
        <v>1210</v>
      </c>
      <c r="S106" s="335"/>
    </row>
    <row r="107" spans="1:19" x14ac:dyDescent="0.25">
      <c r="A107" s="335" t="s">
        <v>1619</v>
      </c>
      <c r="B107" s="335" t="s">
        <v>1619</v>
      </c>
      <c r="C107" s="335" t="s">
        <v>2203</v>
      </c>
      <c r="D107" s="335" t="s">
        <v>722</v>
      </c>
      <c r="E107" s="405">
        <v>33716307749</v>
      </c>
      <c r="F107" s="335" t="s">
        <v>987</v>
      </c>
      <c r="G107" s="339">
        <v>0</v>
      </c>
      <c r="H107" s="339">
        <v>58270.1</v>
      </c>
      <c r="I107" s="339">
        <v>0</v>
      </c>
      <c r="J107" s="339">
        <v>0</v>
      </c>
      <c r="K107" s="339">
        <v>0</v>
      </c>
      <c r="L107" s="339">
        <v>12236.72</v>
      </c>
      <c r="M107" s="339">
        <v>0</v>
      </c>
      <c r="N107" s="339">
        <v>2330.8000000000002</v>
      </c>
      <c r="O107" s="339">
        <v>0</v>
      </c>
      <c r="P107" s="339">
        <v>0</v>
      </c>
      <c r="Q107" s="337">
        <f t="shared" si="3"/>
        <v>72837.62</v>
      </c>
      <c r="R107" s="335" t="s">
        <v>1210</v>
      </c>
      <c r="S107" s="335"/>
    </row>
    <row r="108" spans="1:19" x14ac:dyDescent="0.25">
      <c r="A108" s="335" t="s">
        <v>1516</v>
      </c>
      <c r="B108" s="335" t="s">
        <v>1516</v>
      </c>
      <c r="C108" s="335" t="s">
        <v>2192</v>
      </c>
      <c r="D108" s="335" t="s">
        <v>49</v>
      </c>
      <c r="E108" s="405">
        <v>30605344352</v>
      </c>
      <c r="F108" s="335" t="s">
        <v>987</v>
      </c>
      <c r="G108" s="339">
        <v>0</v>
      </c>
      <c r="H108" s="339">
        <v>2000000</v>
      </c>
      <c r="I108" s="339">
        <v>0</v>
      </c>
      <c r="J108" s="339">
        <v>0</v>
      </c>
      <c r="K108" s="339">
        <v>0</v>
      </c>
      <c r="L108" s="339">
        <v>420000</v>
      </c>
      <c r="M108" s="339">
        <v>0</v>
      </c>
      <c r="N108" s="339">
        <v>0</v>
      </c>
      <c r="O108" s="339">
        <v>0</v>
      </c>
      <c r="P108" s="339">
        <v>0</v>
      </c>
      <c r="Q108" s="337">
        <f t="shared" si="3"/>
        <v>2420000</v>
      </c>
      <c r="R108" s="335" t="s">
        <v>1210</v>
      </c>
      <c r="S108" s="335"/>
    </row>
    <row r="109" spans="1:19" x14ac:dyDescent="0.25">
      <c r="A109" s="335" t="s">
        <v>1744</v>
      </c>
      <c r="B109" s="335" t="s">
        <v>1744</v>
      </c>
      <c r="C109" s="335" t="s">
        <v>2242</v>
      </c>
      <c r="D109" s="335" t="s">
        <v>1404</v>
      </c>
      <c r="E109" s="405">
        <v>30577744579</v>
      </c>
      <c r="F109" s="335" t="s">
        <v>987</v>
      </c>
      <c r="G109" s="339">
        <v>0</v>
      </c>
      <c r="H109" s="339">
        <v>89173</v>
      </c>
      <c r="I109" s="339">
        <v>0</v>
      </c>
      <c r="J109" s="339">
        <v>0</v>
      </c>
      <c r="K109" s="339">
        <v>0</v>
      </c>
      <c r="L109" s="339">
        <v>18726.330000000002</v>
      </c>
      <c r="M109" s="339">
        <v>0</v>
      </c>
      <c r="N109" s="339">
        <v>0</v>
      </c>
      <c r="O109" s="339">
        <v>0</v>
      </c>
      <c r="P109" s="339">
        <v>0</v>
      </c>
      <c r="Q109" s="337">
        <f t="shared" si="3"/>
        <v>107899.33</v>
      </c>
      <c r="R109" s="335" t="s">
        <v>1210</v>
      </c>
      <c r="S109" s="335"/>
    </row>
    <row r="110" spans="1:19" x14ac:dyDescent="0.25">
      <c r="A110" s="335" t="s">
        <v>2019</v>
      </c>
      <c r="B110" s="335" t="s">
        <v>2019</v>
      </c>
      <c r="C110" s="335" t="s">
        <v>2298</v>
      </c>
      <c r="D110" s="335" t="s">
        <v>1404</v>
      </c>
      <c r="E110" s="405">
        <v>30577744579</v>
      </c>
      <c r="F110" s="335" t="s">
        <v>987</v>
      </c>
      <c r="G110" s="339">
        <v>0</v>
      </c>
      <c r="H110" s="339">
        <v>72970.23</v>
      </c>
      <c r="I110" s="339">
        <v>0</v>
      </c>
      <c r="J110" s="339">
        <v>0</v>
      </c>
      <c r="K110" s="339">
        <v>0</v>
      </c>
      <c r="L110" s="339">
        <v>15323.75</v>
      </c>
      <c r="M110" s="339">
        <v>0</v>
      </c>
      <c r="N110" s="339">
        <v>0</v>
      </c>
      <c r="O110" s="339">
        <v>0</v>
      </c>
      <c r="P110" s="339">
        <v>0</v>
      </c>
      <c r="Q110" s="337">
        <f t="shared" si="3"/>
        <v>88293.98</v>
      </c>
      <c r="R110" s="335" t="s">
        <v>1210</v>
      </c>
      <c r="S110" s="335"/>
    </row>
    <row r="111" spans="1:19" x14ac:dyDescent="0.25">
      <c r="A111" s="335" t="s">
        <v>1848</v>
      </c>
      <c r="B111" s="335" t="s">
        <v>1848</v>
      </c>
      <c r="C111" s="335" t="s">
        <v>2362</v>
      </c>
      <c r="D111" s="335" t="s">
        <v>2344</v>
      </c>
      <c r="E111" s="405">
        <v>30712019359</v>
      </c>
      <c r="F111" s="335" t="s">
        <v>987</v>
      </c>
      <c r="G111" s="339">
        <v>0</v>
      </c>
      <c r="H111" s="339">
        <v>16528.099999999999</v>
      </c>
      <c r="I111" s="339">
        <v>0</v>
      </c>
      <c r="J111" s="339">
        <v>0</v>
      </c>
      <c r="K111" s="339">
        <v>0</v>
      </c>
      <c r="L111" s="339">
        <v>3470.9</v>
      </c>
      <c r="M111" s="339">
        <v>0</v>
      </c>
      <c r="N111" s="339">
        <v>0</v>
      </c>
      <c r="O111" s="339">
        <v>0</v>
      </c>
      <c r="P111" s="339">
        <v>661.13</v>
      </c>
      <c r="Q111" s="337">
        <f t="shared" si="3"/>
        <v>20660.13</v>
      </c>
      <c r="R111" s="335" t="s">
        <v>1210</v>
      </c>
      <c r="S111" s="335"/>
    </row>
    <row r="112" spans="1:19" x14ac:dyDescent="0.25">
      <c r="A112" s="335" t="s">
        <v>1744</v>
      </c>
      <c r="B112" s="335" t="s">
        <v>1744</v>
      </c>
      <c r="C112" s="335" t="s">
        <v>2249</v>
      </c>
      <c r="D112" s="335" t="s">
        <v>2250</v>
      </c>
      <c r="E112" s="405">
        <v>20174004146</v>
      </c>
      <c r="F112" s="335" t="s">
        <v>987</v>
      </c>
      <c r="G112" s="339">
        <v>0</v>
      </c>
      <c r="H112" s="339">
        <v>238000</v>
      </c>
      <c r="I112" s="339">
        <v>0</v>
      </c>
      <c r="J112" s="339">
        <v>0</v>
      </c>
      <c r="K112" s="339">
        <v>0</v>
      </c>
      <c r="L112" s="339">
        <v>49980</v>
      </c>
      <c r="M112" s="339">
        <v>0</v>
      </c>
      <c r="N112" s="339">
        <v>0</v>
      </c>
      <c r="O112" s="339">
        <v>0</v>
      </c>
      <c r="P112" s="339">
        <v>0</v>
      </c>
      <c r="Q112" s="337">
        <f t="shared" si="3"/>
        <v>287980</v>
      </c>
      <c r="R112" s="335" t="s">
        <v>1210</v>
      </c>
      <c r="S112" s="335"/>
    </row>
    <row r="113" spans="1:19" x14ac:dyDescent="0.25">
      <c r="A113" s="335" t="s">
        <v>1794</v>
      </c>
      <c r="B113" s="335" t="s">
        <v>1794</v>
      </c>
      <c r="C113" s="335" t="s">
        <v>2258</v>
      </c>
      <c r="D113" s="335" t="s">
        <v>2250</v>
      </c>
      <c r="E113" s="405">
        <v>20174004146</v>
      </c>
      <c r="F113" s="335" t="s">
        <v>987</v>
      </c>
      <c r="G113" s="339">
        <v>0</v>
      </c>
      <c r="H113" s="339">
        <v>196000</v>
      </c>
      <c r="I113" s="339">
        <v>0</v>
      </c>
      <c r="J113" s="339">
        <v>0</v>
      </c>
      <c r="K113" s="339">
        <v>0</v>
      </c>
      <c r="L113" s="339">
        <v>41160</v>
      </c>
      <c r="M113" s="339">
        <v>0</v>
      </c>
      <c r="N113" s="339">
        <v>0</v>
      </c>
      <c r="O113" s="339">
        <v>0</v>
      </c>
      <c r="P113" s="339">
        <v>0</v>
      </c>
      <c r="Q113" s="337">
        <f t="shared" si="3"/>
        <v>237160</v>
      </c>
      <c r="R113" s="335" t="s">
        <v>1210</v>
      </c>
      <c r="S113" s="335"/>
    </row>
    <row r="114" spans="1:19" x14ac:dyDescent="0.25">
      <c r="A114" s="335" t="s">
        <v>1823</v>
      </c>
      <c r="B114" s="335" t="s">
        <v>1823</v>
      </c>
      <c r="C114" s="335" t="s">
        <v>2268</v>
      </c>
      <c r="D114" s="335" t="s">
        <v>2250</v>
      </c>
      <c r="E114" s="405">
        <v>20174004146</v>
      </c>
      <c r="F114" s="335" t="s">
        <v>987</v>
      </c>
      <c r="G114" s="339">
        <v>0</v>
      </c>
      <c r="H114" s="339">
        <v>308000</v>
      </c>
      <c r="I114" s="339">
        <v>0</v>
      </c>
      <c r="J114" s="339">
        <v>0</v>
      </c>
      <c r="K114" s="339">
        <v>0</v>
      </c>
      <c r="L114" s="339">
        <v>64680</v>
      </c>
      <c r="M114" s="339">
        <v>0</v>
      </c>
      <c r="N114" s="339">
        <v>0</v>
      </c>
      <c r="O114" s="339">
        <v>0</v>
      </c>
      <c r="P114" s="339">
        <v>0</v>
      </c>
      <c r="Q114" s="337">
        <f t="shared" si="3"/>
        <v>372680</v>
      </c>
      <c r="R114" s="335" t="s">
        <v>1210</v>
      </c>
      <c r="S114" s="335"/>
    </row>
    <row r="115" spans="1:19" x14ac:dyDescent="0.25">
      <c r="A115" s="335" t="s">
        <v>1905</v>
      </c>
      <c r="B115" s="335" t="s">
        <v>1905</v>
      </c>
      <c r="C115" s="335" t="s">
        <v>2281</v>
      </c>
      <c r="D115" s="335" t="s">
        <v>2250</v>
      </c>
      <c r="E115" s="405">
        <v>20174004146</v>
      </c>
      <c r="F115" s="335" t="s">
        <v>987</v>
      </c>
      <c r="G115" s="339">
        <v>0</v>
      </c>
      <c r="H115" s="339">
        <v>224000</v>
      </c>
      <c r="I115" s="339">
        <v>0</v>
      </c>
      <c r="J115" s="339">
        <v>0</v>
      </c>
      <c r="K115" s="339">
        <v>0</v>
      </c>
      <c r="L115" s="339">
        <v>47040</v>
      </c>
      <c r="M115" s="339">
        <v>0</v>
      </c>
      <c r="N115" s="339">
        <v>0</v>
      </c>
      <c r="O115" s="339">
        <v>0</v>
      </c>
      <c r="P115" s="339">
        <v>0</v>
      </c>
      <c r="Q115" s="337">
        <f t="shared" si="3"/>
        <v>271040</v>
      </c>
      <c r="R115" s="335" t="s">
        <v>1210</v>
      </c>
      <c r="S115" s="335"/>
    </row>
    <row r="116" spans="1:19" x14ac:dyDescent="0.25">
      <c r="A116" s="335" t="s">
        <v>1939</v>
      </c>
      <c r="B116" s="335" t="s">
        <v>1939</v>
      </c>
      <c r="C116" s="335" t="s">
        <v>2283</v>
      </c>
      <c r="D116" s="335" t="s">
        <v>2250</v>
      </c>
      <c r="E116" s="405">
        <v>20174004146</v>
      </c>
      <c r="F116" s="335" t="s">
        <v>987</v>
      </c>
      <c r="G116" s="339">
        <v>0</v>
      </c>
      <c r="H116" s="339">
        <v>320000</v>
      </c>
      <c r="I116" s="339">
        <v>0</v>
      </c>
      <c r="J116" s="339">
        <v>0</v>
      </c>
      <c r="K116" s="339">
        <v>0</v>
      </c>
      <c r="L116" s="339">
        <v>67200</v>
      </c>
      <c r="M116" s="339">
        <v>0</v>
      </c>
      <c r="N116" s="339">
        <v>0</v>
      </c>
      <c r="O116" s="339">
        <v>0</v>
      </c>
      <c r="P116" s="339">
        <v>0</v>
      </c>
      <c r="Q116" s="337">
        <f t="shared" si="3"/>
        <v>387200</v>
      </c>
      <c r="R116" s="335" t="s">
        <v>1210</v>
      </c>
      <c r="S116" s="335"/>
    </row>
    <row r="117" spans="1:19" x14ac:dyDescent="0.25">
      <c r="A117" s="335" t="s">
        <v>2087</v>
      </c>
      <c r="B117" s="335" t="s">
        <v>2087</v>
      </c>
      <c r="C117" s="335" t="s">
        <v>2309</v>
      </c>
      <c r="D117" s="335" t="s">
        <v>2250</v>
      </c>
      <c r="E117" s="405">
        <v>20174004146</v>
      </c>
      <c r="F117" s="335" t="s">
        <v>987</v>
      </c>
      <c r="G117" s="339">
        <v>0</v>
      </c>
      <c r="H117" s="339">
        <v>336000</v>
      </c>
      <c r="I117" s="339">
        <v>0</v>
      </c>
      <c r="J117" s="339">
        <v>0</v>
      </c>
      <c r="K117" s="339">
        <v>0</v>
      </c>
      <c r="L117" s="339">
        <v>70560</v>
      </c>
      <c r="M117" s="339">
        <v>0</v>
      </c>
      <c r="N117" s="339">
        <v>0</v>
      </c>
      <c r="O117" s="339">
        <v>0</v>
      </c>
      <c r="P117" s="339">
        <v>0</v>
      </c>
      <c r="Q117" s="337">
        <f t="shared" si="3"/>
        <v>406560</v>
      </c>
      <c r="R117" s="335" t="s">
        <v>1210</v>
      </c>
      <c r="S117" s="335"/>
    </row>
    <row r="118" spans="1:19" x14ac:dyDescent="0.25">
      <c r="A118" s="335" t="s">
        <v>2087</v>
      </c>
      <c r="B118" s="335" t="s">
        <v>2087</v>
      </c>
      <c r="C118" s="335" t="s">
        <v>2308</v>
      </c>
      <c r="D118" s="335" t="s">
        <v>2250</v>
      </c>
      <c r="E118" s="405">
        <v>20174004146</v>
      </c>
      <c r="F118" s="335" t="s">
        <v>987</v>
      </c>
      <c r="G118" s="339">
        <v>0</v>
      </c>
      <c r="H118" s="339">
        <v>84000</v>
      </c>
      <c r="I118" s="339">
        <v>0</v>
      </c>
      <c r="J118" s="339">
        <v>0</v>
      </c>
      <c r="K118" s="339">
        <v>0</v>
      </c>
      <c r="L118" s="339">
        <v>17640</v>
      </c>
      <c r="M118" s="339">
        <v>0</v>
      </c>
      <c r="N118" s="339">
        <v>0</v>
      </c>
      <c r="O118" s="339">
        <v>0</v>
      </c>
      <c r="P118" s="339">
        <v>0</v>
      </c>
      <c r="Q118" s="337">
        <f t="shared" si="3"/>
        <v>101640</v>
      </c>
      <c r="R118" s="335" t="s">
        <v>1210</v>
      </c>
      <c r="S118" s="335"/>
    </row>
    <row r="119" spans="1:19" x14ac:dyDescent="0.25">
      <c r="A119" s="335" t="s">
        <v>2129</v>
      </c>
      <c r="B119" s="335" t="s">
        <v>2129</v>
      </c>
      <c r="C119" s="335" t="s">
        <v>2366</v>
      </c>
      <c r="D119" s="335" t="s">
        <v>2250</v>
      </c>
      <c r="E119" s="405">
        <v>20174004146</v>
      </c>
      <c r="F119" s="335" t="s">
        <v>987</v>
      </c>
      <c r="G119" s="339">
        <v>0</v>
      </c>
      <c r="H119" s="339">
        <v>84000</v>
      </c>
      <c r="I119" s="339">
        <v>0</v>
      </c>
      <c r="J119" s="339">
        <v>0</v>
      </c>
      <c r="K119" s="339">
        <v>0</v>
      </c>
      <c r="L119" s="339">
        <v>17640</v>
      </c>
      <c r="M119" s="339">
        <v>0</v>
      </c>
      <c r="N119" s="339">
        <v>0</v>
      </c>
      <c r="O119" s="339">
        <v>0</v>
      </c>
      <c r="P119" s="339">
        <v>0</v>
      </c>
      <c r="Q119" s="337">
        <f t="shared" si="3"/>
        <v>101640</v>
      </c>
      <c r="R119" s="335" t="s">
        <v>1210</v>
      </c>
      <c r="S119" s="335"/>
    </row>
    <row r="120" spans="1:19" x14ac:dyDescent="0.25">
      <c r="A120" s="335" t="s">
        <v>2146</v>
      </c>
      <c r="B120" s="335" t="s">
        <v>2146</v>
      </c>
      <c r="C120" s="335" t="s">
        <v>2367</v>
      </c>
      <c r="D120" s="335" t="s">
        <v>2250</v>
      </c>
      <c r="E120" s="405">
        <v>20174004146</v>
      </c>
      <c r="F120" s="335" t="s">
        <v>987</v>
      </c>
      <c r="G120" s="339">
        <v>0</v>
      </c>
      <c r="H120" s="339">
        <v>154000</v>
      </c>
      <c r="I120" s="339">
        <v>0</v>
      </c>
      <c r="J120" s="339">
        <v>0</v>
      </c>
      <c r="K120" s="339">
        <v>0</v>
      </c>
      <c r="L120" s="339">
        <v>32340</v>
      </c>
      <c r="M120" s="339">
        <v>0</v>
      </c>
      <c r="N120" s="339">
        <v>0</v>
      </c>
      <c r="O120" s="339">
        <v>0</v>
      </c>
      <c r="P120" s="339">
        <v>0</v>
      </c>
      <c r="Q120" s="337">
        <f t="shared" si="3"/>
        <v>186340</v>
      </c>
      <c r="R120" s="335" t="s">
        <v>1210</v>
      </c>
      <c r="S120" s="335"/>
    </row>
    <row r="121" spans="1:19" x14ac:dyDescent="0.25">
      <c r="A121" s="335" t="s">
        <v>2116</v>
      </c>
      <c r="B121" s="335" t="s">
        <v>2116</v>
      </c>
      <c r="C121" s="335" t="s">
        <v>2353</v>
      </c>
      <c r="D121" s="335" t="s">
        <v>415</v>
      </c>
      <c r="E121" s="405">
        <v>27415594742</v>
      </c>
      <c r="F121" s="335" t="s">
        <v>987</v>
      </c>
      <c r="G121" s="339">
        <v>0</v>
      </c>
      <c r="H121" s="339">
        <v>43731.97</v>
      </c>
      <c r="I121" s="339">
        <v>0</v>
      </c>
      <c r="J121" s="339">
        <v>0</v>
      </c>
      <c r="K121" s="339">
        <v>0</v>
      </c>
      <c r="L121" s="339">
        <v>9183.7099999999991</v>
      </c>
      <c r="M121" s="339">
        <v>0</v>
      </c>
      <c r="N121" s="339">
        <v>0</v>
      </c>
      <c r="O121" s="339">
        <v>0</v>
      </c>
      <c r="P121" s="339">
        <v>0</v>
      </c>
      <c r="Q121" s="337">
        <f t="shared" si="3"/>
        <v>52915.68</v>
      </c>
      <c r="R121" s="335" t="s">
        <v>1210</v>
      </c>
      <c r="S121" s="335"/>
    </row>
    <row r="122" spans="1:19" x14ac:dyDescent="0.25">
      <c r="A122" s="335" t="s">
        <v>1939</v>
      </c>
      <c r="B122" s="335" t="s">
        <v>1939</v>
      </c>
      <c r="C122" s="335" t="s">
        <v>2285</v>
      </c>
      <c r="D122" s="335" t="s">
        <v>1243</v>
      </c>
      <c r="E122" s="405">
        <v>20929183143</v>
      </c>
      <c r="F122" s="335" t="s">
        <v>987</v>
      </c>
      <c r="G122" s="339">
        <v>0</v>
      </c>
      <c r="H122" s="339">
        <v>85000</v>
      </c>
      <c r="I122" s="339">
        <v>0</v>
      </c>
      <c r="J122" s="339">
        <v>0</v>
      </c>
      <c r="K122" s="339">
        <v>0</v>
      </c>
      <c r="L122" s="339">
        <v>17850</v>
      </c>
      <c r="M122" s="339">
        <v>0</v>
      </c>
      <c r="N122" s="339">
        <v>0</v>
      </c>
      <c r="O122" s="339">
        <v>0</v>
      </c>
      <c r="P122" s="339">
        <v>0</v>
      </c>
      <c r="Q122" s="337">
        <f t="shared" si="3"/>
        <v>102850</v>
      </c>
      <c r="R122" s="335" t="s">
        <v>1210</v>
      </c>
      <c r="S122" s="335"/>
    </row>
    <row r="123" spans="1:19" x14ac:dyDescent="0.25">
      <c r="A123" s="335" t="s">
        <v>1956</v>
      </c>
      <c r="B123" s="335" t="s">
        <v>1956</v>
      </c>
      <c r="C123" s="335" t="s">
        <v>2290</v>
      </c>
      <c r="D123" s="335" t="s">
        <v>296</v>
      </c>
      <c r="E123" s="405">
        <v>30702652975</v>
      </c>
      <c r="F123" s="335" t="s">
        <v>987</v>
      </c>
      <c r="G123" s="339">
        <v>0</v>
      </c>
      <c r="H123" s="339">
        <v>35660.75</v>
      </c>
      <c r="I123" s="339">
        <v>0</v>
      </c>
      <c r="J123" s="339">
        <v>0</v>
      </c>
      <c r="K123" s="339">
        <v>0</v>
      </c>
      <c r="L123" s="339">
        <v>7488.76</v>
      </c>
      <c r="M123" s="339">
        <v>0</v>
      </c>
      <c r="N123" s="339">
        <v>0</v>
      </c>
      <c r="O123" s="339">
        <v>0</v>
      </c>
      <c r="P123" s="339">
        <v>1426.43</v>
      </c>
      <c r="Q123" s="337">
        <f t="shared" si="3"/>
        <v>44575.94</v>
      </c>
      <c r="R123" s="335" t="s">
        <v>1210</v>
      </c>
      <c r="S123" s="335"/>
    </row>
    <row r="124" spans="1:19" x14ac:dyDescent="0.25">
      <c r="A124" s="335" t="s">
        <v>2173</v>
      </c>
      <c r="B124" s="335" t="s">
        <v>2173</v>
      </c>
      <c r="C124" s="335" t="s">
        <v>2357</v>
      </c>
      <c r="D124" s="335" t="s">
        <v>720</v>
      </c>
      <c r="E124" s="405">
        <v>30620177497</v>
      </c>
      <c r="F124" s="335" t="s">
        <v>987</v>
      </c>
      <c r="G124" s="339">
        <v>0</v>
      </c>
      <c r="H124" s="339">
        <v>34509.93</v>
      </c>
      <c r="I124" s="339">
        <v>0</v>
      </c>
      <c r="J124" s="339">
        <v>0</v>
      </c>
      <c r="K124" s="339">
        <v>0</v>
      </c>
      <c r="L124" s="339">
        <v>7247.09</v>
      </c>
      <c r="M124" s="339">
        <v>2415.6999999999998</v>
      </c>
      <c r="N124" s="339">
        <v>0</v>
      </c>
      <c r="O124" s="339">
        <v>0</v>
      </c>
      <c r="P124" s="339">
        <v>0</v>
      </c>
      <c r="Q124" s="337">
        <f t="shared" si="3"/>
        <v>44172.72</v>
      </c>
      <c r="R124" s="335" t="s">
        <v>1210</v>
      </c>
      <c r="S124" s="335"/>
    </row>
    <row r="125" spans="1:19" x14ac:dyDescent="0.25">
      <c r="A125" s="335" t="s">
        <v>1676</v>
      </c>
      <c r="B125" s="335" t="s">
        <v>1676</v>
      </c>
      <c r="C125" s="335" t="s">
        <v>2350</v>
      </c>
      <c r="D125" s="335" t="s">
        <v>2338</v>
      </c>
      <c r="E125" s="405">
        <v>30708795174</v>
      </c>
      <c r="F125" s="335" t="s">
        <v>987</v>
      </c>
      <c r="G125" s="339">
        <v>0</v>
      </c>
      <c r="H125" s="339">
        <v>29322.720000000001</v>
      </c>
      <c r="I125" s="339">
        <v>0</v>
      </c>
      <c r="J125" s="339">
        <v>0</v>
      </c>
      <c r="K125" s="339">
        <v>0</v>
      </c>
      <c r="L125" s="339">
        <v>6157.77</v>
      </c>
      <c r="M125" s="339">
        <v>4519.51</v>
      </c>
      <c r="N125" s="339">
        <v>0</v>
      </c>
      <c r="O125" s="339">
        <v>0</v>
      </c>
      <c r="P125" s="339">
        <v>0</v>
      </c>
      <c r="Q125" s="337">
        <f t="shared" si="3"/>
        <v>40000.000000000007</v>
      </c>
      <c r="R125" s="335" t="s">
        <v>1210</v>
      </c>
      <c r="S125" s="335"/>
    </row>
    <row r="126" spans="1:19" x14ac:dyDescent="0.25">
      <c r="A126" s="335" t="s">
        <v>1939</v>
      </c>
      <c r="B126" s="335" t="s">
        <v>1939</v>
      </c>
      <c r="C126" s="335" t="s">
        <v>2352</v>
      </c>
      <c r="D126" s="335" t="s">
        <v>2345</v>
      </c>
      <c r="E126" s="405">
        <v>30586185922</v>
      </c>
      <c r="F126" s="335" t="s">
        <v>987</v>
      </c>
      <c r="G126" s="339">
        <v>0</v>
      </c>
      <c r="H126" s="339">
        <v>63341.31</v>
      </c>
      <c r="I126" s="339">
        <v>0</v>
      </c>
      <c r="J126" s="339">
        <v>0</v>
      </c>
      <c r="K126" s="339">
        <v>0</v>
      </c>
      <c r="L126" s="339">
        <v>13301.68</v>
      </c>
      <c r="M126" s="339">
        <v>0</v>
      </c>
      <c r="N126" s="339">
        <v>0</v>
      </c>
      <c r="O126" s="339">
        <v>0</v>
      </c>
      <c r="P126" s="339">
        <v>0</v>
      </c>
      <c r="Q126" s="337">
        <f t="shared" si="3"/>
        <v>76642.989999999991</v>
      </c>
      <c r="R126" s="335" t="s">
        <v>1210</v>
      </c>
      <c r="S126" s="335"/>
    </row>
    <row r="127" spans="1:19" x14ac:dyDescent="0.25">
      <c r="A127" s="335" t="s">
        <v>1516</v>
      </c>
      <c r="B127" s="335" t="s">
        <v>1516</v>
      </c>
      <c r="C127" s="335" t="s">
        <v>2191</v>
      </c>
      <c r="D127" s="335" t="s">
        <v>1208</v>
      </c>
      <c r="E127" s="405">
        <v>30714864269</v>
      </c>
      <c r="F127" s="335" t="s">
        <v>987</v>
      </c>
      <c r="G127" s="339">
        <v>0</v>
      </c>
      <c r="H127" s="339">
        <v>184800</v>
      </c>
      <c r="I127" s="339">
        <v>0</v>
      </c>
      <c r="J127" s="339">
        <v>0</v>
      </c>
      <c r="K127" s="339">
        <v>0</v>
      </c>
      <c r="L127" s="339">
        <v>38808</v>
      </c>
      <c r="M127" s="339">
        <v>0</v>
      </c>
      <c r="N127" s="339">
        <v>0</v>
      </c>
      <c r="O127" s="339">
        <v>0</v>
      </c>
      <c r="P127" s="339">
        <v>0</v>
      </c>
      <c r="Q127" s="337">
        <f t="shared" si="3"/>
        <v>223608</v>
      </c>
      <c r="R127" s="335" t="s">
        <v>1210</v>
      </c>
      <c r="S127" s="335"/>
    </row>
    <row r="128" spans="1:19" x14ac:dyDescent="0.25">
      <c r="A128" s="335" t="s">
        <v>2019</v>
      </c>
      <c r="B128" s="335" t="s">
        <v>2019</v>
      </c>
      <c r="C128" s="335" t="s">
        <v>2297</v>
      </c>
      <c r="D128" s="335" t="s">
        <v>598</v>
      </c>
      <c r="E128" s="405">
        <v>30708847247</v>
      </c>
      <c r="F128" s="335" t="s">
        <v>987</v>
      </c>
      <c r="G128" s="339">
        <v>0</v>
      </c>
      <c r="H128" s="339">
        <v>45513.93</v>
      </c>
      <c r="I128" s="339">
        <v>0</v>
      </c>
      <c r="J128" s="339">
        <v>0</v>
      </c>
      <c r="K128" s="339">
        <v>0</v>
      </c>
      <c r="L128" s="339">
        <v>9557.93</v>
      </c>
      <c r="M128" s="339">
        <v>0</v>
      </c>
      <c r="N128" s="339">
        <v>0</v>
      </c>
      <c r="O128" s="339">
        <v>0</v>
      </c>
      <c r="P128" s="339">
        <v>1820.56</v>
      </c>
      <c r="Q128" s="337">
        <f t="shared" si="3"/>
        <v>56892.42</v>
      </c>
      <c r="R128" s="335" t="s">
        <v>1210</v>
      </c>
      <c r="S128" s="335"/>
    </row>
    <row r="129" spans="1:19" x14ac:dyDescent="0.25">
      <c r="A129" s="335" t="s">
        <v>2173</v>
      </c>
      <c r="B129" s="335" t="s">
        <v>2173</v>
      </c>
      <c r="C129" s="335" t="s">
        <v>2354</v>
      </c>
      <c r="D129" s="335" t="s">
        <v>918</v>
      </c>
      <c r="E129" s="405">
        <v>30714112836</v>
      </c>
      <c r="F129" s="335" t="s">
        <v>987</v>
      </c>
      <c r="G129" s="339">
        <v>0</v>
      </c>
      <c r="H129" s="339">
        <v>3461.27</v>
      </c>
      <c r="I129" s="339">
        <v>0</v>
      </c>
      <c r="J129" s="339">
        <v>0</v>
      </c>
      <c r="K129" s="339">
        <v>0</v>
      </c>
      <c r="L129" s="339">
        <v>726.87</v>
      </c>
      <c r="M129" s="339">
        <v>103.84</v>
      </c>
      <c r="N129" s="339">
        <v>0</v>
      </c>
      <c r="O129" s="339">
        <v>0</v>
      </c>
      <c r="P129" s="339">
        <v>0</v>
      </c>
      <c r="Q129" s="337">
        <f t="shared" si="3"/>
        <v>4291.9800000000005</v>
      </c>
      <c r="R129" s="335" t="s">
        <v>1210</v>
      </c>
      <c r="S129" s="335"/>
    </row>
    <row r="130" spans="1:19" x14ac:dyDescent="0.25">
      <c r="A130" s="335" t="s">
        <v>2129</v>
      </c>
      <c r="B130" s="335" t="s">
        <v>2129</v>
      </c>
      <c r="C130" s="335" t="s">
        <v>2322</v>
      </c>
      <c r="D130" s="335" t="s">
        <v>718</v>
      </c>
      <c r="E130" s="405">
        <v>30703088534</v>
      </c>
      <c r="F130" s="335" t="s">
        <v>987</v>
      </c>
      <c r="G130" s="339">
        <v>0</v>
      </c>
      <c r="H130" s="339">
        <v>89663.97</v>
      </c>
      <c r="I130" s="339">
        <v>0</v>
      </c>
      <c r="J130" s="339">
        <v>0</v>
      </c>
      <c r="K130" s="339">
        <v>0</v>
      </c>
      <c r="L130" s="339">
        <v>18829.43</v>
      </c>
      <c r="M130" s="339">
        <v>0</v>
      </c>
      <c r="N130" s="339">
        <v>0</v>
      </c>
      <c r="O130" s="339">
        <v>2689.92</v>
      </c>
      <c r="P130" s="339">
        <v>3586.56</v>
      </c>
      <c r="Q130" s="337">
        <f t="shared" si="3"/>
        <v>114769.87999999999</v>
      </c>
      <c r="R130" s="335" t="s">
        <v>1210</v>
      </c>
      <c r="S130" s="335"/>
    </row>
    <row r="131" spans="1:19" x14ac:dyDescent="0.25">
      <c r="A131" s="335" t="s">
        <v>1598</v>
      </c>
      <c r="B131" s="335" t="s">
        <v>1598</v>
      </c>
      <c r="C131" s="335" t="s">
        <v>2196</v>
      </c>
      <c r="D131" s="335" t="s">
        <v>485</v>
      </c>
      <c r="E131" s="405">
        <v>30587197215</v>
      </c>
      <c r="F131" s="335" t="s">
        <v>987</v>
      </c>
      <c r="G131" s="339">
        <v>0</v>
      </c>
      <c r="H131" s="339">
        <v>148760.32999999999</v>
      </c>
      <c r="I131" s="339">
        <v>0</v>
      </c>
      <c r="J131" s="339">
        <v>0</v>
      </c>
      <c r="K131" s="339">
        <v>0</v>
      </c>
      <c r="L131" s="339">
        <v>31239.67</v>
      </c>
      <c r="M131" s="339">
        <v>0</v>
      </c>
      <c r="N131" s="339">
        <v>0</v>
      </c>
      <c r="O131" s="339">
        <v>0</v>
      </c>
      <c r="P131" s="339">
        <v>8925.6200000000008</v>
      </c>
      <c r="Q131" s="337">
        <f t="shared" si="3"/>
        <v>188925.62</v>
      </c>
      <c r="R131" s="335" t="s">
        <v>1210</v>
      </c>
      <c r="S131" s="335"/>
    </row>
    <row r="132" spans="1:19" x14ac:dyDescent="0.25">
      <c r="A132" s="335" t="s">
        <v>1516</v>
      </c>
      <c r="B132" s="335" t="s">
        <v>1516</v>
      </c>
      <c r="C132" s="335" t="s">
        <v>2348</v>
      </c>
      <c r="D132" s="335" t="s">
        <v>422</v>
      </c>
      <c r="E132" s="405">
        <v>30663498513</v>
      </c>
      <c r="F132" s="335" t="s">
        <v>987</v>
      </c>
      <c r="G132" s="339">
        <v>0</v>
      </c>
      <c r="H132" s="339">
        <v>1155.52</v>
      </c>
      <c r="I132" s="339">
        <v>0</v>
      </c>
      <c r="J132" s="339">
        <v>0</v>
      </c>
      <c r="K132" s="339">
        <v>0</v>
      </c>
      <c r="L132" s="339">
        <v>242.66</v>
      </c>
      <c r="M132" s="339">
        <v>46.22</v>
      </c>
      <c r="N132" s="339">
        <v>0</v>
      </c>
      <c r="O132" s="339">
        <v>0</v>
      </c>
      <c r="P132" s="339">
        <v>0</v>
      </c>
      <c r="Q132" s="337">
        <f t="shared" ref="Q132:Q163" si="4">SUM(G132:P132)</f>
        <v>1444.4</v>
      </c>
      <c r="R132" s="335" t="s">
        <v>1210</v>
      </c>
      <c r="S132" s="335"/>
    </row>
    <row r="133" spans="1:19" x14ac:dyDescent="0.25">
      <c r="A133" s="335" t="s">
        <v>1848</v>
      </c>
      <c r="B133" s="335" t="s">
        <v>1848</v>
      </c>
      <c r="C133" s="335" t="s">
        <v>2269</v>
      </c>
      <c r="D133" s="335" t="s">
        <v>422</v>
      </c>
      <c r="E133" s="405">
        <v>30663498513</v>
      </c>
      <c r="F133" s="335" t="s">
        <v>987</v>
      </c>
      <c r="G133" s="339">
        <v>0</v>
      </c>
      <c r="H133" s="339">
        <v>1155.52</v>
      </c>
      <c r="I133" s="339">
        <v>0</v>
      </c>
      <c r="J133" s="339">
        <v>0</v>
      </c>
      <c r="K133" s="339">
        <v>0</v>
      </c>
      <c r="L133" s="339">
        <v>242.66</v>
      </c>
      <c r="M133" s="339">
        <v>0</v>
      </c>
      <c r="N133" s="339">
        <v>0</v>
      </c>
      <c r="O133" s="339">
        <v>0</v>
      </c>
      <c r="P133" s="339">
        <v>46.22</v>
      </c>
      <c r="Q133" s="337">
        <f t="shared" si="4"/>
        <v>1444.4</v>
      </c>
      <c r="R133" s="335" t="s">
        <v>1210</v>
      </c>
      <c r="S133" s="335"/>
    </row>
    <row r="134" spans="1:19" x14ac:dyDescent="0.25">
      <c r="A134" s="335" t="s">
        <v>1516</v>
      </c>
      <c r="B134" s="335" t="s">
        <v>1516</v>
      </c>
      <c r="C134" s="335" t="s">
        <v>2347</v>
      </c>
      <c r="D134" s="335" t="s">
        <v>421</v>
      </c>
      <c r="E134" s="405">
        <v>30677237119</v>
      </c>
      <c r="F134" s="335" t="s">
        <v>987</v>
      </c>
      <c r="G134" s="339">
        <v>0</v>
      </c>
      <c r="H134" s="339">
        <v>5893.17</v>
      </c>
      <c r="I134" s="339">
        <v>0</v>
      </c>
      <c r="J134" s="339">
        <v>0</v>
      </c>
      <c r="K134" s="339">
        <v>0</v>
      </c>
      <c r="L134" s="339">
        <v>1237.57</v>
      </c>
      <c r="M134" s="339">
        <v>235.73</v>
      </c>
      <c r="N134" s="339">
        <v>0</v>
      </c>
      <c r="O134" s="339">
        <v>0</v>
      </c>
      <c r="P134" s="339">
        <v>0</v>
      </c>
      <c r="Q134" s="337">
        <f t="shared" si="4"/>
        <v>7366.4699999999993</v>
      </c>
      <c r="R134" s="335" t="s">
        <v>1210</v>
      </c>
      <c r="S134" s="335"/>
    </row>
    <row r="135" spans="1:19" x14ac:dyDescent="0.25">
      <c r="A135" s="335" t="s">
        <v>2208</v>
      </c>
      <c r="B135" s="335" t="s">
        <v>2208</v>
      </c>
      <c r="C135" s="335" t="s">
        <v>2209</v>
      </c>
      <c r="D135" s="335" t="s">
        <v>990</v>
      </c>
      <c r="E135" s="405">
        <v>30516186670</v>
      </c>
      <c r="F135" s="335" t="s">
        <v>987</v>
      </c>
      <c r="G135" s="339">
        <v>0</v>
      </c>
      <c r="H135" s="339">
        <v>47029.37</v>
      </c>
      <c r="I135" s="339">
        <v>0</v>
      </c>
      <c r="J135" s="339">
        <v>0</v>
      </c>
      <c r="K135" s="339">
        <v>0</v>
      </c>
      <c r="L135" s="339">
        <v>9876.17</v>
      </c>
      <c r="M135" s="339">
        <v>10838.53</v>
      </c>
      <c r="N135" s="339">
        <v>663.91</v>
      </c>
      <c r="O135" s="339">
        <v>1410.88</v>
      </c>
      <c r="P135" s="339">
        <v>2341.27</v>
      </c>
      <c r="Q135" s="337">
        <f t="shared" si="4"/>
        <v>72160.130000000019</v>
      </c>
      <c r="R135" s="335" t="s">
        <v>1210</v>
      </c>
      <c r="S135" s="335"/>
    </row>
    <row r="136" spans="1:19" x14ac:dyDescent="0.25">
      <c r="A136" s="335" t="s">
        <v>1744</v>
      </c>
      <c r="B136" s="335" t="s">
        <v>1744</v>
      </c>
      <c r="C136" s="347" t="s">
        <v>2241</v>
      </c>
      <c r="D136" s="335" t="s">
        <v>187</v>
      </c>
      <c r="E136" s="405">
        <v>30708574836</v>
      </c>
      <c r="F136" s="335" t="s">
        <v>987</v>
      </c>
      <c r="G136" s="339">
        <v>0</v>
      </c>
      <c r="H136" s="339">
        <v>0</v>
      </c>
      <c r="I136" s="339">
        <v>0</v>
      </c>
      <c r="J136" s="339">
        <v>35200</v>
      </c>
      <c r="K136" s="339">
        <v>0</v>
      </c>
      <c r="L136" s="339">
        <v>0</v>
      </c>
      <c r="M136" s="339">
        <v>0</v>
      </c>
      <c r="N136" s="339">
        <v>0</v>
      </c>
      <c r="O136" s="339">
        <v>0</v>
      </c>
      <c r="P136" s="339">
        <v>0</v>
      </c>
      <c r="Q136" s="337">
        <f t="shared" si="4"/>
        <v>35200</v>
      </c>
      <c r="R136" s="335" t="s">
        <v>1210</v>
      </c>
      <c r="S136" s="335"/>
    </row>
    <row r="137" spans="1:19" x14ac:dyDescent="0.25">
      <c r="A137" s="335" t="s">
        <v>1598</v>
      </c>
      <c r="B137" s="335" t="s">
        <v>1598</v>
      </c>
      <c r="C137" s="335" t="s">
        <v>2349</v>
      </c>
      <c r="D137" s="335" t="s">
        <v>117</v>
      </c>
      <c r="E137" s="405">
        <v>30678814357</v>
      </c>
      <c r="F137" s="335" t="s">
        <v>987</v>
      </c>
      <c r="G137" s="339">
        <v>0</v>
      </c>
      <c r="H137" s="339">
        <v>0</v>
      </c>
      <c r="I137" s="339">
        <v>83974.87</v>
      </c>
      <c r="J137" s="339">
        <v>0</v>
      </c>
      <c r="K137" s="339">
        <v>0</v>
      </c>
      <c r="L137" s="339">
        <v>22673.21</v>
      </c>
      <c r="M137" s="339">
        <v>4274.8999999999996</v>
      </c>
      <c r="N137" s="339">
        <v>0</v>
      </c>
      <c r="O137" s="339">
        <v>2519.25</v>
      </c>
      <c r="P137" s="339">
        <v>3529.99</v>
      </c>
      <c r="Q137" s="337">
        <f t="shared" si="4"/>
        <v>116972.21999999999</v>
      </c>
      <c r="R137" s="335" t="s">
        <v>1210</v>
      </c>
      <c r="S137" s="335"/>
    </row>
    <row r="138" spans="1:19" x14ac:dyDescent="0.25">
      <c r="A138" s="335" t="s">
        <v>2223</v>
      </c>
      <c r="B138" s="335" t="s">
        <v>2223</v>
      </c>
      <c r="C138" s="335" t="s">
        <v>2224</v>
      </c>
      <c r="D138" s="335" t="s">
        <v>117</v>
      </c>
      <c r="E138" s="405">
        <v>30678814357</v>
      </c>
      <c r="F138" s="335" t="s">
        <v>987</v>
      </c>
      <c r="G138" s="339">
        <v>0</v>
      </c>
      <c r="H138" s="339">
        <v>0</v>
      </c>
      <c r="I138" s="339">
        <v>93682.58</v>
      </c>
      <c r="J138" s="339">
        <v>0</v>
      </c>
      <c r="K138" s="339">
        <v>0</v>
      </c>
      <c r="L138" s="339">
        <v>25294.3</v>
      </c>
      <c r="M138" s="339">
        <v>0</v>
      </c>
      <c r="N138" s="339">
        <v>0</v>
      </c>
      <c r="O138" s="339">
        <v>2810.48</v>
      </c>
      <c r="P138" s="339">
        <v>3747.3</v>
      </c>
      <c r="Q138" s="337">
        <f t="shared" si="4"/>
        <v>125534.66</v>
      </c>
      <c r="R138" s="335" t="s">
        <v>1210</v>
      </c>
      <c r="S138" s="335"/>
    </row>
    <row r="139" spans="1:19" x14ac:dyDescent="0.25">
      <c r="A139" s="335" t="s">
        <v>1905</v>
      </c>
      <c r="B139" s="335" t="s">
        <v>1905</v>
      </c>
      <c r="C139" s="335" t="s">
        <v>2351</v>
      </c>
      <c r="D139" s="335" t="s">
        <v>140</v>
      </c>
      <c r="E139" s="405">
        <v>30639453738</v>
      </c>
      <c r="F139" s="335" t="s">
        <v>987</v>
      </c>
      <c r="G139" s="339">
        <v>0</v>
      </c>
      <c r="H139" s="339">
        <v>48761.16</v>
      </c>
      <c r="I139" s="339">
        <v>0</v>
      </c>
      <c r="J139" s="339">
        <v>0</v>
      </c>
      <c r="K139" s="339">
        <v>0</v>
      </c>
      <c r="L139" s="339">
        <v>10239.84</v>
      </c>
      <c r="M139" s="339">
        <v>3413.28</v>
      </c>
      <c r="N139" s="339">
        <v>0</v>
      </c>
      <c r="O139" s="339">
        <v>0</v>
      </c>
      <c r="P139" s="339">
        <v>0</v>
      </c>
      <c r="Q139" s="337">
        <f t="shared" si="4"/>
        <v>62414.28</v>
      </c>
      <c r="R139" s="335" t="s">
        <v>1210</v>
      </c>
      <c r="S139" s="335"/>
    </row>
    <row r="140" spans="1:19" x14ac:dyDescent="0.25">
      <c r="A140" s="335" t="s">
        <v>2173</v>
      </c>
      <c r="B140" s="335" t="s">
        <v>2173</v>
      </c>
      <c r="C140" s="335" t="s">
        <v>2355</v>
      </c>
      <c r="D140" s="335" t="s">
        <v>363</v>
      </c>
      <c r="E140" s="405">
        <v>30574876474</v>
      </c>
      <c r="F140" s="335" t="s">
        <v>987</v>
      </c>
      <c r="G140" s="339">
        <v>0</v>
      </c>
      <c r="H140" s="339">
        <v>14096.45</v>
      </c>
      <c r="I140" s="339">
        <v>0</v>
      </c>
      <c r="J140" s="339">
        <v>0</v>
      </c>
      <c r="K140" s="339">
        <v>0</v>
      </c>
      <c r="L140" s="339">
        <v>2960.25</v>
      </c>
      <c r="M140" s="339">
        <v>1832.53</v>
      </c>
      <c r="N140" s="339">
        <v>0</v>
      </c>
      <c r="O140" s="339">
        <v>0</v>
      </c>
      <c r="P140" s="339">
        <v>0</v>
      </c>
      <c r="Q140" s="337">
        <f t="shared" si="4"/>
        <v>18889.23</v>
      </c>
      <c r="R140" s="335" t="s">
        <v>1210</v>
      </c>
      <c r="S140" s="335"/>
    </row>
    <row r="141" spans="1:19" x14ac:dyDescent="0.25">
      <c r="A141" s="335" t="s">
        <v>1823</v>
      </c>
      <c r="B141" s="335" t="s">
        <v>1823</v>
      </c>
      <c r="C141" s="335" t="s">
        <v>2259</v>
      </c>
      <c r="D141" s="335" t="s">
        <v>363</v>
      </c>
      <c r="E141" s="405">
        <v>30574876474</v>
      </c>
      <c r="F141" s="335" t="s">
        <v>987</v>
      </c>
      <c r="G141" s="339">
        <v>0</v>
      </c>
      <c r="H141" s="339">
        <v>38953.519999999997</v>
      </c>
      <c r="I141" s="339">
        <v>0</v>
      </c>
      <c r="J141" s="339">
        <v>0</v>
      </c>
      <c r="K141" s="339">
        <v>0</v>
      </c>
      <c r="L141" s="339">
        <v>8180.24</v>
      </c>
      <c r="M141" s="339">
        <v>3895.34</v>
      </c>
      <c r="N141" s="339">
        <v>0</v>
      </c>
      <c r="O141" s="339">
        <v>1168.6099999999999</v>
      </c>
      <c r="P141" s="339">
        <v>0</v>
      </c>
      <c r="Q141" s="337">
        <f t="shared" si="4"/>
        <v>52197.709999999992</v>
      </c>
      <c r="R141" s="335" t="s">
        <v>1210</v>
      </c>
      <c r="S141" s="335"/>
    </row>
    <row r="142" spans="1:19" x14ac:dyDescent="0.25">
      <c r="A142" s="335" t="s">
        <v>2173</v>
      </c>
      <c r="B142" s="335" t="s">
        <v>2173</v>
      </c>
      <c r="C142" s="335" t="s">
        <v>2356</v>
      </c>
      <c r="D142" s="335" t="s">
        <v>363</v>
      </c>
      <c r="E142" s="405">
        <v>30574876474</v>
      </c>
      <c r="F142" s="335" t="s">
        <v>987</v>
      </c>
      <c r="G142" s="339">
        <v>0</v>
      </c>
      <c r="H142" s="339">
        <v>97035.27</v>
      </c>
      <c r="I142" s="339">
        <v>0</v>
      </c>
      <c r="J142" s="339">
        <v>0</v>
      </c>
      <c r="K142" s="339">
        <v>0</v>
      </c>
      <c r="L142" s="339">
        <v>20377.41</v>
      </c>
      <c r="M142" s="339">
        <v>12614.54</v>
      </c>
      <c r="N142" s="339">
        <v>0</v>
      </c>
      <c r="O142" s="339">
        <v>0</v>
      </c>
      <c r="P142" s="339">
        <v>0</v>
      </c>
      <c r="Q142" s="337">
        <f t="shared" si="4"/>
        <v>130027.22</v>
      </c>
      <c r="R142" s="335" t="s">
        <v>1210</v>
      </c>
      <c r="S142" s="335"/>
    </row>
    <row r="143" spans="1:19" hidden="1" x14ac:dyDescent="0.25">
      <c r="A143" s="335" t="s">
        <v>1744</v>
      </c>
      <c r="B143" s="335" t="s">
        <v>1744</v>
      </c>
      <c r="C143" s="335" t="s">
        <v>2238</v>
      </c>
      <c r="D143" s="335" t="s">
        <v>2239</v>
      </c>
      <c r="E143" s="335" t="s">
        <v>2240</v>
      </c>
      <c r="F143" s="335" t="s">
        <v>1214</v>
      </c>
      <c r="G143" s="339">
        <v>0</v>
      </c>
      <c r="H143" s="339">
        <v>0</v>
      </c>
      <c r="I143" s="339">
        <v>0</v>
      </c>
      <c r="J143" s="339">
        <v>0</v>
      </c>
      <c r="K143" s="339">
        <v>260000</v>
      </c>
      <c r="L143" s="339">
        <v>0</v>
      </c>
      <c r="M143" s="339">
        <v>0</v>
      </c>
      <c r="N143" s="339">
        <v>0</v>
      </c>
      <c r="O143" s="339">
        <v>0</v>
      </c>
      <c r="P143" s="339">
        <v>0</v>
      </c>
      <c r="Q143" s="337">
        <f t="shared" si="4"/>
        <v>260000</v>
      </c>
      <c r="R143" s="335" t="s">
        <v>1210</v>
      </c>
      <c r="S143" s="335"/>
    </row>
    <row r="144" spans="1:19" hidden="1" x14ac:dyDescent="0.25">
      <c r="A144" s="335" t="s">
        <v>1848</v>
      </c>
      <c r="B144" s="335" t="s">
        <v>1848</v>
      </c>
      <c r="C144" s="335" t="s">
        <v>2272</v>
      </c>
      <c r="D144" s="335" t="s">
        <v>1246</v>
      </c>
      <c r="E144" s="335" t="s">
        <v>1247</v>
      </c>
      <c r="F144" s="335" t="s">
        <v>1214</v>
      </c>
      <c r="G144" s="339">
        <v>0</v>
      </c>
      <c r="H144" s="339">
        <v>0</v>
      </c>
      <c r="I144" s="339">
        <v>0</v>
      </c>
      <c r="J144" s="339">
        <v>0</v>
      </c>
      <c r="K144" s="339">
        <v>300000</v>
      </c>
      <c r="L144" s="339">
        <v>0</v>
      </c>
      <c r="M144" s="339">
        <v>0</v>
      </c>
      <c r="N144" s="339">
        <v>0</v>
      </c>
      <c r="O144" s="339">
        <v>0</v>
      </c>
      <c r="P144" s="339">
        <v>0</v>
      </c>
      <c r="Q144" s="337">
        <f t="shared" si="4"/>
        <v>300000</v>
      </c>
      <c r="R144" s="335" t="s">
        <v>1210</v>
      </c>
      <c r="S144" s="335"/>
    </row>
    <row r="145" spans="1:19" hidden="1" x14ac:dyDescent="0.25">
      <c r="A145" s="335" t="s">
        <v>1619</v>
      </c>
      <c r="B145" s="335" t="s">
        <v>1619</v>
      </c>
      <c r="C145" s="335" t="s">
        <v>2199</v>
      </c>
      <c r="D145" s="335" t="s">
        <v>2200</v>
      </c>
      <c r="E145" s="335" t="s">
        <v>2201</v>
      </c>
      <c r="F145" s="335" t="s">
        <v>1214</v>
      </c>
      <c r="G145" s="339">
        <v>0</v>
      </c>
      <c r="H145" s="339">
        <v>0</v>
      </c>
      <c r="I145" s="339">
        <v>0</v>
      </c>
      <c r="J145" s="339">
        <v>0</v>
      </c>
      <c r="K145" s="339">
        <v>100000</v>
      </c>
      <c r="L145" s="339">
        <v>0</v>
      </c>
      <c r="M145" s="339">
        <v>0</v>
      </c>
      <c r="N145" s="339">
        <v>0</v>
      </c>
      <c r="O145" s="339">
        <v>0</v>
      </c>
      <c r="P145" s="339">
        <v>0</v>
      </c>
      <c r="Q145" s="337">
        <f t="shared" si="4"/>
        <v>100000</v>
      </c>
      <c r="R145" s="335" t="s">
        <v>1210</v>
      </c>
      <c r="S145" s="335"/>
    </row>
    <row r="146" spans="1:19" hidden="1" x14ac:dyDescent="0.25">
      <c r="A146" s="335" t="s">
        <v>1619</v>
      </c>
      <c r="B146" s="335" t="s">
        <v>1619</v>
      </c>
      <c r="C146" s="335" t="s">
        <v>2202</v>
      </c>
      <c r="D146" s="335" t="s">
        <v>2200</v>
      </c>
      <c r="E146" s="335" t="s">
        <v>2201</v>
      </c>
      <c r="F146" s="335" t="s">
        <v>1214</v>
      </c>
      <c r="G146" s="339">
        <v>0</v>
      </c>
      <c r="H146" s="339">
        <v>0</v>
      </c>
      <c r="I146" s="339">
        <v>0</v>
      </c>
      <c r="J146" s="339">
        <v>0</v>
      </c>
      <c r="K146" s="339">
        <v>800000</v>
      </c>
      <c r="L146" s="339">
        <v>0</v>
      </c>
      <c r="M146" s="339">
        <v>0</v>
      </c>
      <c r="N146" s="339">
        <v>0</v>
      </c>
      <c r="O146" s="339">
        <v>0</v>
      </c>
      <c r="P146" s="339">
        <v>0</v>
      </c>
      <c r="Q146" s="337">
        <f t="shared" si="4"/>
        <v>800000</v>
      </c>
      <c r="R146" s="335" t="s">
        <v>1210</v>
      </c>
      <c r="S146" s="335"/>
    </row>
    <row r="147" spans="1:19" hidden="1" x14ac:dyDescent="0.25">
      <c r="A147" s="335" t="s">
        <v>2146</v>
      </c>
      <c r="B147" s="335" t="s">
        <v>2146</v>
      </c>
      <c r="C147" s="335" t="s">
        <v>2327</v>
      </c>
      <c r="D147" s="335" t="s">
        <v>2200</v>
      </c>
      <c r="E147" s="335" t="s">
        <v>2201</v>
      </c>
      <c r="F147" s="335" t="s">
        <v>1214</v>
      </c>
      <c r="G147" s="339">
        <v>0</v>
      </c>
      <c r="H147" s="339">
        <v>0</v>
      </c>
      <c r="I147" s="339">
        <v>0</v>
      </c>
      <c r="J147" s="339">
        <v>0</v>
      </c>
      <c r="K147" s="339">
        <v>800000</v>
      </c>
      <c r="L147" s="339">
        <v>0</v>
      </c>
      <c r="M147" s="339">
        <v>0</v>
      </c>
      <c r="N147" s="339">
        <v>0</v>
      </c>
      <c r="O147" s="339">
        <v>0</v>
      </c>
      <c r="P147" s="339">
        <v>0</v>
      </c>
      <c r="Q147" s="337">
        <f t="shared" si="4"/>
        <v>800000</v>
      </c>
      <c r="R147" s="335" t="s">
        <v>1210</v>
      </c>
      <c r="S147" s="335"/>
    </row>
    <row r="148" spans="1:19" hidden="1" x14ac:dyDescent="0.25">
      <c r="A148" s="335" t="s">
        <v>1712</v>
      </c>
      <c r="B148" s="335" t="s">
        <v>1712</v>
      </c>
      <c r="C148" s="335" t="s">
        <v>2232</v>
      </c>
      <c r="D148" s="335" t="s">
        <v>1255</v>
      </c>
      <c r="E148" s="335" t="s">
        <v>1256</v>
      </c>
      <c r="F148" s="335" t="s">
        <v>1214</v>
      </c>
      <c r="G148" s="339">
        <v>0</v>
      </c>
      <c r="H148" s="339">
        <v>0</v>
      </c>
      <c r="I148" s="339">
        <v>0</v>
      </c>
      <c r="J148" s="339">
        <v>0</v>
      </c>
      <c r="K148" s="339">
        <v>48600</v>
      </c>
      <c r="L148" s="339">
        <v>0</v>
      </c>
      <c r="M148" s="339">
        <v>0</v>
      </c>
      <c r="N148" s="339">
        <v>0</v>
      </c>
      <c r="O148" s="339">
        <v>0</v>
      </c>
      <c r="P148" s="339">
        <v>0</v>
      </c>
      <c r="Q148" s="337">
        <f t="shared" si="4"/>
        <v>48600</v>
      </c>
      <c r="R148" s="335" t="s">
        <v>1210</v>
      </c>
      <c r="S148" s="335"/>
    </row>
    <row r="149" spans="1:19" hidden="1" x14ac:dyDescent="0.25">
      <c r="A149" s="335" t="s">
        <v>1676</v>
      </c>
      <c r="B149" s="335" t="s">
        <v>1676</v>
      </c>
      <c r="C149" s="335" t="s">
        <v>2212</v>
      </c>
      <c r="D149" s="335" t="s">
        <v>1232</v>
      </c>
      <c r="E149" s="335" t="s">
        <v>1233</v>
      </c>
      <c r="F149" s="335" t="s">
        <v>1214</v>
      </c>
      <c r="G149" s="339">
        <v>0</v>
      </c>
      <c r="H149" s="339">
        <v>0</v>
      </c>
      <c r="I149" s="339">
        <v>0</v>
      </c>
      <c r="J149" s="339">
        <v>0</v>
      </c>
      <c r="K149" s="339">
        <v>3200000</v>
      </c>
      <c r="L149" s="339">
        <v>0</v>
      </c>
      <c r="M149" s="339">
        <v>0</v>
      </c>
      <c r="N149" s="339">
        <v>0</v>
      </c>
      <c r="O149" s="339">
        <v>0</v>
      </c>
      <c r="P149" s="339">
        <v>0</v>
      </c>
      <c r="Q149" s="337">
        <f t="shared" si="4"/>
        <v>3200000</v>
      </c>
      <c r="R149" s="335" t="s">
        <v>1210</v>
      </c>
      <c r="S149" s="335"/>
    </row>
    <row r="150" spans="1:19" x14ac:dyDescent="0.25">
      <c r="A150" s="346" t="s">
        <v>2146</v>
      </c>
      <c r="B150" s="335"/>
      <c r="C150" s="348" t="s">
        <v>2372</v>
      </c>
      <c r="D150" s="335" t="s">
        <v>389</v>
      </c>
      <c r="E150" s="335">
        <v>20174004146</v>
      </c>
      <c r="F150" s="335"/>
      <c r="G150" s="339"/>
      <c r="H150" s="339">
        <v>84000</v>
      </c>
      <c r="I150" s="339"/>
      <c r="J150" s="339"/>
      <c r="K150" s="339"/>
      <c r="L150" s="339">
        <v>17640</v>
      </c>
      <c r="M150" s="339"/>
      <c r="N150" s="339"/>
      <c r="O150" s="339"/>
      <c r="P150" s="339"/>
      <c r="Q150" s="337">
        <f t="shared" si="4"/>
        <v>101640</v>
      </c>
      <c r="R150" s="335"/>
      <c r="S150" s="335"/>
    </row>
    <row r="151" spans="1:19" x14ac:dyDescent="0.25">
      <c r="A151" s="346" t="s">
        <v>2146</v>
      </c>
      <c r="B151" s="335"/>
      <c r="C151" s="348" t="s">
        <v>2371</v>
      </c>
      <c r="D151" s="335" t="s">
        <v>389</v>
      </c>
      <c r="E151" s="335">
        <v>20174004146</v>
      </c>
      <c r="F151" s="335"/>
      <c r="G151" s="339"/>
      <c r="H151" s="339">
        <v>154000</v>
      </c>
      <c r="I151" s="339"/>
      <c r="J151" s="339"/>
      <c r="K151" s="339"/>
      <c r="L151" s="339">
        <v>32340</v>
      </c>
      <c r="M151" s="339"/>
      <c r="N151" s="339"/>
      <c r="O151" s="339"/>
      <c r="P151" s="339"/>
      <c r="Q151" s="337">
        <f t="shared" si="4"/>
        <v>186340</v>
      </c>
      <c r="R151" s="335"/>
      <c r="S151" s="335"/>
    </row>
    <row r="152" spans="1:19" x14ac:dyDescent="0.25">
      <c r="A152" s="346" t="s">
        <v>2173</v>
      </c>
      <c r="B152" s="335"/>
      <c r="C152" s="348" t="s">
        <v>2373</v>
      </c>
      <c r="D152" s="335" t="s">
        <v>720</v>
      </c>
      <c r="E152" s="335">
        <v>30620177497</v>
      </c>
      <c r="F152" s="335"/>
      <c r="G152" s="339"/>
      <c r="H152" s="339" t="s">
        <v>2374</v>
      </c>
      <c r="I152" s="339"/>
      <c r="J152" s="339"/>
      <c r="K152" s="339"/>
      <c r="L152" s="339" t="s">
        <v>2374</v>
      </c>
      <c r="M152" s="339"/>
      <c r="N152" s="339"/>
      <c r="O152" s="339"/>
      <c r="P152" s="339"/>
      <c r="Q152" s="337">
        <f t="shared" si="4"/>
        <v>0</v>
      </c>
      <c r="R152" s="335"/>
      <c r="S152" s="335"/>
    </row>
    <row r="153" spans="1:19" x14ac:dyDescent="0.25">
      <c r="A153" s="346">
        <v>45869</v>
      </c>
      <c r="B153" s="335"/>
      <c r="C153" s="348" t="s">
        <v>2368</v>
      </c>
      <c r="D153" s="335" t="s">
        <v>691</v>
      </c>
      <c r="E153" s="335">
        <v>30577207190</v>
      </c>
      <c r="F153" s="335"/>
      <c r="G153" s="339"/>
      <c r="H153" s="339">
        <v>1487.6</v>
      </c>
      <c r="I153" s="339"/>
      <c r="J153" s="339"/>
      <c r="K153" s="339"/>
      <c r="L153" s="339">
        <v>312.39999999999998</v>
      </c>
      <c r="M153" s="339"/>
      <c r="N153" s="339"/>
      <c r="O153" s="339"/>
      <c r="P153" s="339"/>
      <c r="Q153" s="337">
        <f t="shared" si="4"/>
        <v>1800</v>
      </c>
      <c r="R153" s="335"/>
      <c r="S153" s="335"/>
    </row>
    <row r="154" spans="1:19" x14ac:dyDescent="0.25">
      <c r="A154" s="346">
        <v>45869</v>
      </c>
      <c r="B154" s="335"/>
      <c r="C154" s="348" t="s">
        <v>2369</v>
      </c>
      <c r="D154" s="335" t="s">
        <v>691</v>
      </c>
      <c r="E154" s="335">
        <v>30577207190</v>
      </c>
      <c r="F154" s="335"/>
      <c r="G154" s="339"/>
      <c r="H154" s="339">
        <v>1487.6</v>
      </c>
      <c r="I154" s="339"/>
      <c r="J154" s="339"/>
      <c r="K154" s="339"/>
      <c r="L154" s="339">
        <v>312.39999999999998</v>
      </c>
      <c r="M154" s="339"/>
      <c r="N154" s="339"/>
      <c r="O154" s="339"/>
      <c r="P154" s="339"/>
      <c r="Q154" s="337">
        <f t="shared" si="4"/>
        <v>1800</v>
      </c>
      <c r="R154" s="335"/>
      <c r="S154" s="335"/>
    </row>
    <row r="155" spans="1:19" x14ac:dyDescent="0.25">
      <c r="A155" s="346" t="s">
        <v>2381</v>
      </c>
      <c r="B155" s="335"/>
      <c r="C155" s="348" t="s">
        <v>2383</v>
      </c>
      <c r="D155" s="335" t="s">
        <v>2380</v>
      </c>
      <c r="E155" s="335">
        <v>33715594949</v>
      </c>
      <c r="F155" s="335"/>
      <c r="G155" s="339"/>
      <c r="H155" s="339">
        <v>36846.519999999997</v>
      </c>
      <c r="I155" s="339"/>
      <c r="J155" s="339"/>
      <c r="K155" s="339"/>
      <c r="L155" s="339">
        <v>7737.77</v>
      </c>
      <c r="M155" s="339"/>
      <c r="N155" s="339"/>
      <c r="O155" s="339"/>
      <c r="P155" s="339"/>
      <c r="Q155" s="337">
        <v>49999.96</v>
      </c>
      <c r="R155" s="335"/>
      <c r="S155" s="335"/>
    </row>
    <row r="156" spans="1:19" x14ac:dyDescent="0.25">
      <c r="A156" s="346" t="s">
        <v>2382</v>
      </c>
      <c r="B156" s="335"/>
      <c r="C156" s="348" t="s">
        <v>2370</v>
      </c>
      <c r="D156" s="335" t="s">
        <v>2380</v>
      </c>
      <c r="E156" s="335">
        <v>33715594949</v>
      </c>
      <c r="F156" s="335"/>
      <c r="G156" s="339"/>
      <c r="H156" s="339">
        <v>27679.81</v>
      </c>
      <c r="I156" s="339"/>
      <c r="J156" s="339"/>
      <c r="K156" s="339"/>
      <c r="L156" s="339">
        <v>5812.76</v>
      </c>
      <c r="M156" s="339"/>
      <c r="N156" s="339"/>
      <c r="O156" s="339"/>
      <c r="P156" s="339"/>
      <c r="Q156" s="337">
        <v>37560.94</v>
      </c>
      <c r="R156" s="335"/>
      <c r="S156" s="335"/>
    </row>
    <row r="157" spans="1:19" x14ac:dyDescent="0.25">
      <c r="A157" s="346">
        <v>45858</v>
      </c>
      <c r="B157" s="335"/>
      <c r="C157" s="348" t="s">
        <v>2377</v>
      </c>
      <c r="D157" s="335" t="s">
        <v>2378</v>
      </c>
      <c r="E157" s="351">
        <v>30688460644</v>
      </c>
      <c r="F157" s="335"/>
      <c r="G157" s="339"/>
      <c r="H157" s="339">
        <v>39599.57</v>
      </c>
      <c r="I157" s="339"/>
      <c r="J157" s="339"/>
      <c r="K157" s="339"/>
      <c r="L157" s="339">
        <v>8315.91</v>
      </c>
      <c r="M157" s="339"/>
      <c r="N157" s="339"/>
      <c r="O157" s="339">
        <v>532.29999999999995</v>
      </c>
      <c r="P157" s="339">
        <v>10590.2</v>
      </c>
      <c r="Q157" s="337">
        <v>59038</v>
      </c>
      <c r="R157" s="335"/>
      <c r="S157" s="335"/>
    </row>
    <row r="158" spans="1:19" x14ac:dyDescent="0.25">
      <c r="A158" s="346" t="s">
        <v>1823</v>
      </c>
      <c r="B158" s="335"/>
      <c r="C158" s="348" t="s">
        <v>2379</v>
      </c>
      <c r="D158" s="335" t="s">
        <v>2380</v>
      </c>
      <c r="E158" s="351">
        <v>33715594949</v>
      </c>
      <c r="F158" s="335"/>
      <c r="G158" s="339"/>
      <c r="H158" s="339">
        <v>22387.24</v>
      </c>
      <c r="I158" s="339"/>
      <c r="J158" s="339"/>
      <c r="K158" s="339"/>
      <c r="L158" s="339">
        <v>4701.32</v>
      </c>
      <c r="M158" s="339"/>
      <c r="N158" s="339"/>
      <c r="O158" s="339"/>
      <c r="P158" s="339"/>
      <c r="Q158" s="337">
        <v>30378.99</v>
      </c>
      <c r="R158" s="335"/>
      <c r="S158" s="335"/>
    </row>
    <row r="159" spans="1:19" x14ac:dyDescent="0.25">
      <c r="A159" s="342">
        <v>45868</v>
      </c>
      <c r="B159" s="342">
        <v>45868</v>
      </c>
      <c r="C159" s="343" t="s">
        <v>1260</v>
      </c>
      <c r="D159" s="343" t="s">
        <v>1261</v>
      </c>
      <c r="E159" s="335"/>
      <c r="F159" s="335"/>
      <c r="G159" s="339"/>
      <c r="H159" s="339">
        <f>L159*100/21</f>
        <v>53595.571428571428</v>
      </c>
      <c r="I159" s="339"/>
      <c r="J159" s="339"/>
      <c r="K159" s="339"/>
      <c r="L159" s="344">
        <f>1245+10010.07</f>
        <v>11255.07</v>
      </c>
      <c r="M159" s="339"/>
      <c r="N159" s="339"/>
      <c r="O159" s="339"/>
      <c r="P159" s="339"/>
      <c r="Q159" s="337">
        <f>SUM(G159:P159)</f>
        <v>64850.641428571427</v>
      </c>
      <c r="R159" s="335"/>
      <c r="S159" s="335"/>
    </row>
    <row r="160" spans="1:19" x14ac:dyDescent="0.25">
      <c r="A160" s="342">
        <v>45868</v>
      </c>
      <c r="B160" s="342">
        <v>45868</v>
      </c>
      <c r="C160" s="343" t="s">
        <v>1260</v>
      </c>
      <c r="D160" s="343" t="s">
        <v>1262</v>
      </c>
      <c r="E160" s="335"/>
      <c r="F160" s="335"/>
      <c r="G160" s="339"/>
      <c r="H160" s="339">
        <f>L160*100/21</f>
        <v>40275</v>
      </c>
      <c r="I160" s="339"/>
      <c r="J160" s="339"/>
      <c r="K160" s="339"/>
      <c r="L160" s="344">
        <f>7407.75+1050</f>
        <v>8457.75</v>
      </c>
      <c r="M160" s="339"/>
      <c r="N160" s="339"/>
      <c r="O160" s="339"/>
      <c r="P160" s="339"/>
      <c r="Q160" s="337">
        <f>SUM(G160:P160)</f>
        <v>48732.75</v>
      </c>
      <c r="R160" s="335"/>
      <c r="S160" s="335"/>
    </row>
    <row r="161" spans="7:17" x14ac:dyDescent="0.25">
      <c r="G161" s="340">
        <f t="shared" ref="G161:Q161" si="5">SUM(G4:G160)</f>
        <v>10196998.27</v>
      </c>
      <c r="H161" s="331">
        <f t="shared" si="5"/>
        <v>59394499.511428602</v>
      </c>
      <c r="I161" s="331">
        <f t="shared" si="5"/>
        <v>177657.45</v>
      </c>
      <c r="J161" s="331">
        <f t="shared" si="5"/>
        <v>50481.880000000005</v>
      </c>
      <c r="K161" s="331">
        <f t="shared" si="5"/>
        <v>11265250</v>
      </c>
      <c r="L161" s="331">
        <f t="shared" si="5"/>
        <v>13591497.300000004</v>
      </c>
      <c r="M161" s="331">
        <f t="shared" si="5"/>
        <v>44190.119999999995</v>
      </c>
      <c r="N161" s="331">
        <f t="shared" si="5"/>
        <v>2994.71</v>
      </c>
      <c r="O161" s="331">
        <f t="shared" si="5"/>
        <v>58769.380000000005</v>
      </c>
      <c r="P161" s="331">
        <f t="shared" si="5"/>
        <v>488887.56999999995</v>
      </c>
      <c r="Q161" s="331">
        <f t="shared" si="5"/>
        <v>95284000.681428537</v>
      </c>
    </row>
    <row r="165" spans="7:17" x14ac:dyDescent="0.25">
      <c r="H165" s="337"/>
      <c r="I165" s="337" t="s">
        <v>2384</v>
      </c>
      <c r="J165" s="337" t="s">
        <v>2385</v>
      </c>
      <c r="K165" s="337" t="s">
        <v>2386</v>
      </c>
    </row>
    <row r="166" spans="7:17" x14ac:dyDescent="0.25">
      <c r="H166" s="337" t="s">
        <v>8</v>
      </c>
      <c r="I166" s="337">
        <v>59394499.511428609</v>
      </c>
      <c r="J166" s="337">
        <v>177657.45</v>
      </c>
      <c r="K166" s="337">
        <v>10196998.27</v>
      </c>
    </row>
    <row r="167" spans="7:17" x14ac:dyDescent="0.25">
      <c r="H167" s="337" t="s">
        <v>3</v>
      </c>
      <c r="I167" s="337">
        <f>I166*0.21</f>
        <v>12472844.897400007</v>
      </c>
      <c r="J167" s="337">
        <f>J166*0.27</f>
        <v>47967.511500000008</v>
      </c>
      <c r="K167" s="337">
        <f>K166*0.105</f>
        <v>1070684.8183499998</v>
      </c>
    </row>
    <row r="168" spans="7:17" ht="15.75" x14ac:dyDescent="0.25">
      <c r="H168" s="337" t="s">
        <v>2387</v>
      </c>
      <c r="I168" s="400">
        <f>SUM(I166:K166)</f>
        <v>69769155.231428608</v>
      </c>
      <c r="J168" s="401"/>
      <c r="K168" s="402"/>
    </row>
    <row r="169" spans="7:17" ht="15.75" x14ac:dyDescent="0.25">
      <c r="H169" s="337" t="s">
        <v>2388</v>
      </c>
      <c r="I169" s="400">
        <f>SUM(I167:K167)</f>
        <v>13591497.227250006</v>
      </c>
      <c r="J169" s="401"/>
      <c r="K169" s="402"/>
    </row>
  </sheetData>
  <autoFilter ref="A3:R161" xr:uid="{00000000-0009-0000-0000-00000C000000}">
    <filterColumn colId="5">
      <filters blank="1">
        <filter val="RI"/>
      </filters>
    </filterColumn>
    <sortState xmlns:xlrd2="http://schemas.microsoft.com/office/spreadsheetml/2017/richdata2" ref="A4:R161">
      <sortCondition ref="C3:C161"/>
    </sortState>
  </autoFilter>
  <sortState xmlns:xlrd2="http://schemas.microsoft.com/office/spreadsheetml/2017/richdata2" ref="A4:R160">
    <sortCondition ref="R4:R160"/>
  </sortState>
  <mergeCells count="3">
    <mergeCell ref="L1:R2"/>
    <mergeCell ref="I168:K168"/>
    <mergeCell ref="I169:K169"/>
  </mergeCells>
  <phoneticPr fontId="7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54"/>
  <sheetViews>
    <sheetView topLeftCell="A129" workbookViewId="0">
      <selection activeCell="I154" sqref="I154"/>
    </sheetView>
  </sheetViews>
  <sheetFormatPr baseColWidth="10" defaultRowHeight="15" x14ac:dyDescent="0.25"/>
  <cols>
    <col min="4" max="4" width="10.140625" customWidth="1"/>
    <col min="5" max="5" width="7.140625" customWidth="1"/>
    <col min="6" max="6" width="6.28515625" customWidth="1"/>
    <col min="7" max="7" width="8.28515625" customWidth="1"/>
    <col min="8" max="8" width="5.7109375" customWidth="1"/>
    <col min="9" max="9" width="39" customWidth="1"/>
  </cols>
  <sheetData>
    <row r="1" spans="1:17" x14ac:dyDescent="0.25">
      <c r="A1" s="333" t="s">
        <v>102</v>
      </c>
      <c r="B1" s="333" t="s">
        <v>628</v>
      </c>
      <c r="C1" s="333" t="s">
        <v>629</v>
      </c>
      <c r="D1" s="333" t="s">
        <v>630</v>
      </c>
      <c r="E1" s="333" t="s">
        <v>631</v>
      </c>
      <c r="F1" s="333" t="s">
        <v>632</v>
      </c>
      <c r="G1" s="333" t="s">
        <v>633</v>
      </c>
      <c r="H1" s="333" t="s">
        <v>634</v>
      </c>
      <c r="I1" s="333" t="s">
        <v>635</v>
      </c>
      <c r="J1" s="333" t="s">
        <v>636</v>
      </c>
      <c r="K1" s="333" t="s">
        <v>637</v>
      </c>
      <c r="L1" s="333" t="s">
        <v>638</v>
      </c>
      <c r="M1" s="333" t="s">
        <v>639</v>
      </c>
      <c r="N1" s="333" t="s">
        <v>640</v>
      </c>
      <c r="O1" s="333" t="s">
        <v>641</v>
      </c>
      <c r="P1" s="333" t="s">
        <v>3</v>
      </c>
      <c r="Q1" s="333" t="s">
        <v>642</v>
      </c>
    </row>
    <row r="2" spans="1:17" x14ac:dyDescent="0.25">
      <c r="A2" s="223" t="s">
        <v>1516</v>
      </c>
      <c r="B2" s="223" t="s">
        <v>644</v>
      </c>
      <c r="C2" s="224">
        <v>500</v>
      </c>
      <c r="D2" s="224">
        <v>1752314</v>
      </c>
      <c r="E2" s="223"/>
      <c r="F2" s="224">
        <v>75267396210618</v>
      </c>
      <c r="G2" s="223" t="s">
        <v>7</v>
      </c>
      <c r="H2" s="224">
        <v>30654118767</v>
      </c>
      <c r="I2" s="223" t="s">
        <v>648</v>
      </c>
      <c r="J2" s="224">
        <v>1</v>
      </c>
      <c r="K2" s="223" t="s">
        <v>646</v>
      </c>
      <c r="L2" s="225">
        <v>134425.88</v>
      </c>
      <c r="M2" s="224">
        <v>0</v>
      </c>
      <c r="N2" s="224">
        <v>0</v>
      </c>
      <c r="O2" s="225">
        <v>5377.04</v>
      </c>
      <c r="P2" s="225">
        <v>28229.43</v>
      </c>
      <c r="Q2" s="225">
        <v>168032.35</v>
      </c>
    </row>
    <row r="3" spans="1:17" x14ac:dyDescent="0.25">
      <c r="A3" s="223" t="s">
        <v>1516</v>
      </c>
      <c r="B3" s="223" t="s">
        <v>644</v>
      </c>
      <c r="C3" s="224">
        <v>2</v>
      </c>
      <c r="D3" s="224">
        <v>26610</v>
      </c>
      <c r="E3" s="223"/>
      <c r="F3" s="224">
        <v>75269789142609</v>
      </c>
      <c r="G3" s="223" t="s">
        <v>7</v>
      </c>
      <c r="H3" s="224">
        <v>23233422029</v>
      </c>
      <c r="I3" s="223" t="s">
        <v>1446</v>
      </c>
      <c r="J3" s="224">
        <v>1</v>
      </c>
      <c r="K3" s="223" t="s">
        <v>646</v>
      </c>
      <c r="L3" s="225">
        <v>243548.67</v>
      </c>
      <c r="M3" s="224">
        <v>0</v>
      </c>
      <c r="N3" s="224">
        <v>0</v>
      </c>
      <c r="O3" s="224">
        <v>0</v>
      </c>
      <c r="P3" s="225">
        <v>51145.22</v>
      </c>
      <c r="Q3" s="225">
        <v>294693.89</v>
      </c>
    </row>
    <row r="4" spans="1:17" x14ac:dyDescent="0.25">
      <c r="A4" s="223" t="s">
        <v>1516</v>
      </c>
      <c r="B4" s="223" t="s">
        <v>644</v>
      </c>
      <c r="C4" s="224">
        <v>1</v>
      </c>
      <c r="D4" s="224">
        <v>131016</v>
      </c>
      <c r="E4" s="223"/>
      <c r="F4" s="224">
        <v>75269757212969</v>
      </c>
      <c r="G4" s="223" t="s">
        <v>7</v>
      </c>
      <c r="H4" s="224">
        <v>30714864269</v>
      </c>
      <c r="I4" s="223" t="s">
        <v>928</v>
      </c>
      <c r="J4" s="224">
        <v>1</v>
      </c>
      <c r="K4" s="223" t="s">
        <v>646</v>
      </c>
      <c r="L4" s="224">
        <v>184800</v>
      </c>
      <c r="M4" s="224">
        <v>0</v>
      </c>
      <c r="N4" s="224">
        <v>0</v>
      </c>
      <c r="O4" s="224">
        <v>0</v>
      </c>
      <c r="P4" s="224">
        <v>38808</v>
      </c>
      <c r="Q4" s="224">
        <v>223608</v>
      </c>
    </row>
    <row r="5" spans="1:17" x14ac:dyDescent="0.25">
      <c r="A5" s="223" t="s">
        <v>1516</v>
      </c>
      <c r="B5" s="223" t="s">
        <v>644</v>
      </c>
      <c r="C5" s="224">
        <v>711</v>
      </c>
      <c r="D5" s="224">
        <v>7299752</v>
      </c>
      <c r="E5" s="223"/>
      <c r="F5" s="224">
        <v>35269945169622</v>
      </c>
      <c r="G5" s="223" t="s">
        <v>7</v>
      </c>
      <c r="H5" s="224">
        <v>30677237119</v>
      </c>
      <c r="I5" s="223" t="s">
        <v>658</v>
      </c>
      <c r="J5" s="224">
        <v>1</v>
      </c>
      <c r="K5" s="223" t="s">
        <v>646</v>
      </c>
      <c r="L5" s="225">
        <v>5893.17</v>
      </c>
      <c r="M5" s="224">
        <v>0</v>
      </c>
      <c r="N5" s="223">
        <v>176.8</v>
      </c>
      <c r="O5" s="225">
        <v>235.73</v>
      </c>
      <c r="P5" s="225">
        <v>1237.57</v>
      </c>
      <c r="Q5" s="225">
        <v>7543.27</v>
      </c>
    </row>
    <row r="6" spans="1:17" x14ac:dyDescent="0.25">
      <c r="A6" s="223" t="s">
        <v>1516</v>
      </c>
      <c r="B6" s="223" t="s">
        <v>644</v>
      </c>
      <c r="C6" s="224">
        <v>629</v>
      </c>
      <c r="D6" s="224">
        <v>6239427</v>
      </c>
      <c r="E6" s="223"/>
      <c r="F6" s="224">
        <v>35263170451766</v>
      </c>
      <c r="G6" s="223" t="s">
        <v>7</v>
      </c>
      <c r="H6" s="224">
        <v>30663498513</v>
      </c>
      <c r="I6" s="223" t="s">
        <v>657</v>
      </c>
      <c r="J6" s="224">
        <v>1</v>
      </c>
      <c r="K6" s="223" t="s">
        <v>646</v>
      </c>
      <c r="L6" s="225">
        <v>1155.52</v>
      </c>
      <c r="M6" s="224">
        <v>0</v>
      </c>
      <c r="N6" s="224">
        <v>0</v>
      </c>
      <c r="O6" s="225">
        <v>46.22</v>
      </c>
      <c r="P6" s="225">
        <v>242.66</v>
      </c>
      <c r="Q6" s="223">
        <v>1444.4</v>
      </c>
    </row>
    <row r="7" spans="1:17" x14ac:dyDescent="0.25">
      <c r="A7" s="223" t="s">
        <v>1516</v>
      </c>
      <c r="B7" s="223" t="s">
        <v>644</v>
      </c>
      <c r="C7" s="224">
        <v>2</v>
      </c>
      <c r="D7" s="224">
        <v>243</v>
      </c>
      <c r="E7" s="223"/>
      <c r="F7" s="224">
        <v>75262762655199</v>
      </c>
      <c r="G7" s="223" t="s">
        <v>7</v>
      </c>
      <c r="H7" s="224">
        <v>30605344352</v>
      </c>
      <c r="I7" s="223" t="s">
        <v>659</v>
      </c>
      <c r="J7" s="224">
        <v>1</v>
      </c>
      <c r="K7" s="223" t="s">
        <v>646</v>
      </c>
      <c r="L7" s="224">
        <v>2000000</v>
      </c>
      <c r="M7" s="224">
        <v>0</v>
      </c>
      <c r="N7" s="224">
        <v>0</v>
      </c>
      <c r="O7" s="224">
        <v>0</v>
      </c>
      <c r="P7" s="224">
        <v>420000</v>
      </c>
      <c r="Q7" s="224">
        <v>2420000</v>
      </c>
    </row>
    <row r="8" spans="1:17" x14ac:dyDescent="0.25">
      <c r="A8" s="223" t="s">
        <v>1516</v>
      </c>
      <c r="B8" s="223" t="s">
        <v>2337</v>
      </c>
      <c r="C8" s="224">
        <v>1</v>
      </c>
      <c r="D8" s="224">
        <v>23</v>
      </c>
      <c r="E8" s="223"/>
      <c r="F8" s="224">
        <v>75261735325770</v>
      </c>
      <c r="G8" s="223" t="s">
        <v>7</v>
      </c>
      <c r="H8" s="224">
        <v>30715141201</v>
      </c>
      <c r="I8" s="223" t="s">
        <v>649</v>
      </c>
      <c r="J8" s="224">
        <v>1</v>
      </c>
      <c r="K8" s="223" t="s">
        <v>646</v>
      </c>
      <c r="L8" s="224">
        <v>0</v>
      </c>
      <c r="M8" s="224">
        <v>3783</v>
      </c>
      <c r="N8" s="224">
        <v>0</v>
      </c>
      <c r="O8" s="224">
        <v>0</v>
      </c>
      <c r="P8" s="224">
        <v>0</v>
      </c>
      <c r="Q8" s="224">
        <v>3783</v>
      </c>
    </row>
    <row r="9" spans="1:17" x14ac:dyDescent="0.25">
      <c r="A9" s="223" t="s">
        <v>1598</v>
      </c>
      <c r="B9" s="223" t="s">
        <v>644</v>
      </c>
      <c r="C9" s="224">
        <v>120</v>
      </c>
      <c r="D9" s="224">
        <v>5750</v>
      </c>
      <c r="E9" s="223"/>
      <c r="F9" s="224">
        <v>75275918730502</v>
      </c>
      <c r="G9" s="223" t="s">
        <v>7</v>
      </c>
      <c r="H9" s="224">
        <v>30587197215</v>
      </c>
      <c r="I9" s="223" t="s">
        <v>485</v>
      </c>
      <c r="J9" s="224">
        <v>1</v>
      </c>
      <c r="K9" s="223" t="s">
        <v>646</v>
      </c>
      <c r="L9" s="225">
        <v>148760.32999999999</v>
      </c>
      <c r="M9" s="224">
        <v>0</v>
      </c>
      <c r="N9" s="224">
        <v>0</v>
      </c>
      <c r="O9" s="225">
        <v>8925.6200000000008</v>
      </c>
      <c r="P9" s="225">
        <v>31239.67</v>
      </c>
      <c r="Q9" s="225">
        <v>188925.62</v>
      </c>
    </row>
    <row r="10" spans="1:17" x14ac:dyDescent="0.25">
      <c r="A10" s="223" t="s">
        <v>1598</v>
      </c>
      <c r="B10" s="223" t="s">
        <v>644</v>
      </c>
      <c r="C10" s="224">
        <v>1</v>
      </c>
      <c r="D10" s="224">
        <v>131488</v>
      </c>
      <c r="E10" s="223"/>
      <c r="F10" s="224">
        <v>75279878826181</v>
      </c>
      <c r="G10" s="223" t="s">
        <v>7</v>
      </c>
      <c r="H10" s="224">
        <v>30714864269</v>
      </c>
      <c r="I10" s="223" t="s">
        <v>928</v>
      </c>
      <c r="J10" s="224">
        <v>1</v>
      </c>
      <c r="K10" s="223" t="s">
        <v>646</v>
      </c>
      <c r="L10" s="224">
        <v>184800</v>
      </c>
      <c r="M10" s="224">
        <v>0</v>
      </c>
      <c r="N10" s="224">
        <v>0</v>
      </c>
      <c r="O10" s="224">
        <v>0</v>
      </c>
      <c r="P10" s="224">
        <v>38808</v>
      </c>
      <c r="Q10" s="224">
        <v>223608</v>
      </c>
    </row>
    <row r="11" spans="1:17" x14ac:dyDescent="0.25">
      <c r="A11" s="223" t="s">
        <v>1598</v>
      </c>
      <c r="B11" s="223" t="s">
        <v>644</v>
      </c>
      <c r="C11" s="224">
        <v>3051</v>
      </c>
      <c r="D11" s="224">
        <v>937439</v>
      </c>
      <c r="E11" s="223"/>
      <c r="F11" s="224">
        <v>75277185042295</v>
      </c>
      <c r="G11" s="223" t="s">
        <v>7</v>
      </c>
      <c r="H11" s="224">
        <v>30678814357</v>
      </c>
      <c r="I11" s="223" t="s">
        <v>652</v>
      </c>
      <c r="J11" s="224">
        <v>1</v>
      </c>
      <c r="K11" s="223" t="s">
        <v>646</v>
      </c>
      <c r="L11" s="225">
        <v>83974.87</v>
      </c>
      <c r="M11" s="224">
        <v>0</v>
      </c>
      <c r="N11" s="224">
        <v>0</v>
      </c>
      <c r="O11" s="225">
        <v>10324.14</v>
      </c>
      <c r="P11" s="225">
        <v>22673.21</v>
      </c>
      <c r="Q11" s="225">
        <v>116972.22</v>
      </c>
    </row>
    <row r="12" spans="1:17" x14ac:dyDescent="0.25">
      <c r="A12" s="223" t="s">
        <v>1598</v>
      </c>
      <c r="B12" s="223" t="s">
        <v>644</v>
      </c>
      <c r="C12" s="224">
        <v>2</v>
      </c>
      <c r="D12" s="224">
        <v>643</v>
      </c>
      <c r="E12" s="223"/>
      <c r="F12" s="224">
        <v>75276934618608</v>
      </c>
      <c r="G12" s="223" t="s">
        <v>7</v>
      </c>
      <c r="H12" s="224">
        <v>30711610096</v>
      </c>
      <c r="I12" s="223" t="s">
        <v>1084</v>
      </c>
      <c r="J12" s="224">
        <v>1</v>
      </c>
      <c r="K12" s="223" t="s">
        <v>646</v>
      </c>
      <c r="L12" s="224">
        <v>591900</v>
      </c>
      <c r="M12" s="224">
        <v>0</v>
      </c>
      <c r="N12" s="224">
        <v>0</v>
      </c>
      <c r="O12" s="224">
        <v>0</v>
      </c>
      <c r="P12" s="224">
        <v>124299</v>
      </c>
      <c r="Q12" s="224">
        <v>716199</v>
      </c>
    </row>
    <row r="13" spans="1:17" x14ac:dyDescent="0.25">
      <c r="A13" s="223" t="s">
        <v>1598</v>
      </c>
      <c r="B13" s="223" t="s">
        <v>655</v>
      </c>
      <c r="C13" s="224">
        <v>4</v>
      </c>
      <c r="D13" s="224">
        <v>31</v>
      </c>
      <c r="E13" s="223"/>
      <c r="F13" s="224">
        <v>75273871704348</v>
      </c>
      <c r="G13" s="223" t="s">
        <v>7</v>
      </c>
      <c r="H13" s="224">
        <v>20086277523</v>
      </c>
      <c r="I13" s="223" t="s">
        <v>37</v>
      </c>
      <c r="J13" s="224">
        <v>1</v>
      </c>
      <c r="K13" s="223" t="s">
        <v>646</v>
      </c>
      <c r="L13" s="223"/>
      <c r="M13" s="223"/>
      <c r="N13" s="223"/>
      <c r="O13" s="224">
        <v>0</v>
      </c>
      <c r="P13" s="223"/>
      <c r="Q13" s="224">
        <v>290000</v>
      </c>
    </row>
    <row r="14" spans="1:17" x14ac:dyDescent="0.25">
      <c r="A14" s="223" t="s">
        <v>1619</v>
      </c>
      <c r="B14" s="223" t="s">
        <v>644</v>
      </c>
      <c r="C14" s="224">
        <v>2</v>
      </c>
      <c r="D14" s="224">
        <v>1390</v>
      </c>
      <c r="E14" s="223"/>
      <c r="F14" s="224">
        <v>75279063278113</v>
      </c>
      <c r="G14" s="223" t="s">
        <v>7</v>
      </c>
      <c r="H14" s="224">
        <v>20272865869</v>
      </c>
      <c r="I14" s="223" t="s">
        <v>617</v>
      </c>
      <c r="J14" s="224">
        <v>1</v>
      </c>
      <c r="K14" s="223" t="s">
        <v>646</v>
      </c>
      <c r="L14" s="225">
        <v>251308.26</v>
      </c>
      <c r="M14" s="224">
        <v>0</v>
      </c>
      <c r="N14" s="224">
        <v>0</v>
      </c>
      <c r="O14" s="224">
        <v>0</v>
      </c>
      <c r="P14" s="225">
        <v>52774.73</v>
      </c>
      <c r="Q14" s="225">
        <v>304082.99</v>
      </c>
    </row>
    <row r="15" spans="1:17" x14ac:dyDescent="0.25">
      <c r="A15" s="223" t="s">
        <v>1619</v>
      </c>
      <c r="B15" s="223" t="s">
        <v>644</v>
      </c>
      <c r="C15" s="224">
        <v>6</v>
      </c>
      <c r="D15" s="224">
        <v>58183</v>
      </c>
      <c r="E15" s="223"/>
      <c r="F15" s="224">
        <v>75278069533021</v>
      </c>
      <c r="G15" s="223" t="s">
        <v>7</v>
      </c>
      <c r="H15" s="224">
        <v>30710177658</v>
      </c>
      <c r="I15" s="223" t="s">
        <v>674</v>
      </c>
      <c r="J15" s="224">
        <v>1</v>
      </c>
      <c r="K15" s="223" t="s">
        <v>646</v>
      </c>
      <c r="L15" s="224">
        <v>987480</v>
      </c>
      <c r="M15" s="224">
        <v>0</v>
      </c>
      <c r="N15" s="224">
        <v>0</v>
      </c>
      <c r="O15" s="224">
        <v>0</v>
      </c>
      <c r="P15" s="223">
        <v>103685.4</v>
      </c>
      <c r="Q15" s="223">
        <v>1091165.3999999999</v>
      </c>
    </row>
    <row r="16" spans="1:17" x14ac:dyDescent="0.25">
      <c r="A16" s="223" t="s">
        <v>1619</v>
      </c>
      <c r="B16" s="223" t="s">
        <v>644</v>
      </c>
      <c r="C16" s="224">
        <v>1</v>
      </c>
      <c r="D16" s="224">
        <v>921255</v>
      </c>
      <c r="E16" s="223"/>
      <c r="F16" s="224">
        <v>75289907062304</v>
      </c>
      <c r="G16" s="223" t="s">
        <v>7</v>
      </c>
      <c r="H16" s="224">
        <v>33716307749</v>
      </c>
      <c r="I16" s="223" t="s">
        <v>722</v>
      </c>
      <c r="J16" s="224">
        <v>1</v>
      </c>
      <c r="K16" s="223" t="s">
        <v>646</v>
      </c>
      <c r="L16" s="223">
        <v>58270.1</v>
      </c>
      <c r="M16" s="224">
        <v>0</v>
      </c>
      <c r="N16" s="224">
        <v>0</v>
      </c>
      <c r="O16" s="223">
        <v>2330.8000000000002</v>
      </c>
      <c r="P16" s="225">
        <v>12236.72</v>
      </c>
      <c r="Q16" s="225">
        <v>72837.62</v>
      </c>
    </row>
    <row r="17" spans="1:17" x14ac:dyDescent="0.25">
      <c r="A17" s="223" t="s">
        <v>1619</v>
      </c>
      <c r="B17" s="223" t="s">
        <v>655</v>
      </c>
      <c r="C17" s="224">
        <v>2</v>
      </c>
      <c r="D17" s="224">
        <v>5</v>
      </c>
      <c r="E17" s="223"/>
      <c r="F17" s="224">
        <v>75271097510744</v>
      </c>
      <c r="G17" s="223" t="s">
        <v>7</v>
      </c>
      <c r="H17" s="224">
        <v>27344304551</v>
      </c>
      <c r="I17" s="223" t="s">
        <v>940</v>
      </c>
      <c r="J17" s="224">
        <v>1</v>
      </c>
      <c r="K17" s="223" t="s">
        <v>646</v>
      </c>
      <c r="L17" s="223"/>
      <c r="M17" s="223"/>
      <c r="N17" s="223"/>
      <c r="O17" s="224">
        <v>0</v>
      </c>
      <c r="P17" s="223"/>
      <c r="Q17" s="224">
        <v>100000</v>
      </c>
    </row>
    <row r="18" spans="1:17" x14ac:dyDescent="0.25">
      <c r="A18" s="223" t="s">
        <v>1619</v>
      </c>
      <c r="B18" s="223" t="s">
        <v>655</v>
      </c>
      <c r="C18" s="224">
        <v>2</v>
      </c>
      <c r="D18" s="224">
        <v>6</v>
      </c>
      <c r="E18" s="223"/>
      <c r="F18" s="224">
        <v>75271099549061</v>
      </c>
      <c r="G18" s="223" t="s">
        <v>7</v>
      </c>
      <c r="H18" s="224">
        <v>27344304551</v>
      </c>
      <c r="I18" s="223" t="s">
        <v>940</v>
      </c>
      <c r="J18" s="224">
        <v>1</v>
      </c>
      <c r="K18" s="223" t="s">
        <v>646</v>
      </c>
      <c r="L18" s="223"/>
      <c r="M18" s="223"/>
      <c r="N18" s="223"/>
      <c r="O18" s="224">
        <v>0</v>
      </c>
      <c r="P18" s="223"/>
      <c r="Q18" s="224">
        <v>800000</v>
      </c>
    </row>
    <row r="19" spans="1:17" x14ac:dyDescent="0.25">
      <c r="A19" s="223" t="s">
        <v>1647</v>
      </c>
      <c r="B19" s="223" t="s">
        <v>644</v>
      </c>
      <c r="C19" s="224">
        <v>2</v>
      </c>
      <c r="D19" s="224">
        <v>57727</v>
      </c>
      <c r="E19" s="223"/>
      <c r="F19" s="224">
        <v>75279202091636</v>
      </c>
      <c r="G19" s="223" t="s">
        <v>7</v>
      </c>
      <c r="H19" s="224">
        <v>30707986189</v>
      </c>
      <c r="I19" s="223" t="s">
        <v>2206</v>
      </c>
      <c r="J19" s="224">
        <v>1</v>
      </c>
      <c r="K19" s="223" t="s">
        <v>646</v>
      </c>
      <c r="L19" s="225">
        <v>83470.41</v>
      </c>
      <c r="M19" s="224">
        <v>0</v>
      </c>
      <c r="N19" s="224">
        <v>0</v>
      </c>
      <c r="O19" s="224">
        <v>0</v>
      </c>
      <c r="P19" s="225">
        <v>17528.79</v>
      </c>
      <c r="Q19" s="223">
        <v>100999.2</v>
      </c>
    </row>
    <row r="20" spans="1:17" x14ac:dyDescent="0.25">
      <c r="A20" s="223" t="s">
        <v>2208</v>
      </c>
      <c r="B20" s="223" t="s">
        <v>644</v>
      </c>
      <c r="C20" s="224">
        <v>2019</v>
      </c>
      <c r="D20" s="224">
        <v>293272</v>
      </c>
      <c r="E20" s="223"/>
      <c r="F20" s="224">
        <v>75270339957195</v>
      </c>
      <c r="G20" s="223" t="s">
        <v>7</v>
      </c>
      <c r="H20" s="224">
        <v>30516186670</v>
      </c>
      <c r="I20" s="223" t="s">
        <v>990</v>
      </c>
      <c r="J20" s="224">
        <v>1</v>
      </c>
      <c r="K20" s="223" t="s">
        <v>646</v>
      </c>
      <c r="L20" s="225">
        <v>47029.37</v>
      </c>
      <c r="M20" s="224">
        <v>0</v>
      </c>
      <c r="N20" s="224">
        <v>0</v>
      </c>
      <c r="O20" s="223">
        <v>15254.6</v>
      </c>
      <c r="P20" s="225">
        <v>9876.17</v>
      </c>
      <c r="Q20" s="225">
        <v>72160.13</v>
      </c>
    </row>
    <row r="21" spans="1:17" x14ac:dyDescent="0.25">
      <c r="A21" s="223" t="s">
        <v>2210</v>
      </c>
      <c r="B21" s="223" t="s">
        <v>655</v>
      </c>
      <c r="C21" s="224">
        <v>1</v>
      </c>
      <c r="D21" s="224">
        <v>35</v>
      </c>
      <c r="E21" s="223"/>
      <c r="F21" s="224">
        <v>75271471481833</v>
      </c>
      <c r="G21" s="223" t="s">
        <v>7</v>
      </c>
      <c r="H21" s="224">
        <v>20311855671</v>
      </c>
      <c r="I21" s="223" t="s">
        <v>1097</v>
      </c>
      <c r="J21" s="224">
        <v>1</v>
      </c>
      <c r="K21" s="223" t="s">
        <v>646</v>
      </c>
      <c r="L21" s="223"/>
      <c r="M21" s="223"/>
      <c r="N21" s="223"/>
      <c r="O21" s="224">
        <v>0</v>
      </c>
      <c r="P21" s="223"/>
      <c r="Q21" s="224">
        <v>530000</v>
      </c>
    </row>
    <row r="22" spans="1:17" x14ac:dyDescent="0.25">
      <c r="A22" s="223" t="s">
        <v>1676</v>
      </c>
      <c r="B22" s="223" t="s">
        <v>644</v>
      </c>
      <c r="C22" s="224">
        <v>5</v>
      </c>
      <c r="D22" s="224">
        <v>169275</v>
      </c>
      <c r="E22" s="223"/>
      <c r="F22" s="224">
        <v>75273545479476</v>
      </c>
      <c r="G22" s="223" t="s">
        <v>7</v>
      </c>
      <c r="H22" s="224">
        <v>30598960093</v>
      </c>
      <c r="I22" s="223" t="s">
        <v>650</v>
      </c>
      <c r="J22" s="224">
        <v>1</v>
      </c>
      <c r="K22" s="223" t="s">
        <v>646</v>
      </c>
      <c r="L22" s="223">
        <v>1332362.8999999999</v>
      </c>
      <c r="M22" s="224">
        <v>0</v>
      </c>
      <c r="N22" s="224">
        <v>0</v>
      </c>
      <c r="O22" s="225">
        <v>53294.52</v>
      </c>
      <c r="P22" s="225">
        <v>279796.21000000002</v>
      </c>
      <c r="Q22" s="225">
        <v>1665453.63</v>
      </c>
    </row>
    <row r="23" spans="1:17" x14ac:dyDescent="0.25">
      <c r="A23" s="223" t="s">
        <v>1676</v>
      </c>
      <c r="B23" s="223" t="s">
        <v>644</v>
      </c>
      <c r="C23" s="224">
        <v>2</v>
      </c>
      <c r="D23" s="224">
        <v>12343</v>
      </c>
      <c r="E23" s="223"/>
      <c r="F23" s="224">
        <v>75272513361868</v>
      </c>
      <c r="G23" s="223" t="s">
        <v>7</v>
      </c>
      <c r="H23" s="224">
        <v>30714331082</v>
      </c>
      <c r="I23" s="223" t="s">
        <v>936</v>
      </c>
      <c r="J23" s="224">
        <v>1</v>
      </c>
      <c r="K23" s="223" t="s">
        <v>646</v>
      </c>
      <c r="L23" s="223">
        <v>3407765.5</v>
      </c>
      <c r="M23" s="224">
        <v>0</v>
      </c>
      <c r="N23" s="224">
        <v>0</v>
      </c>
      <c r="O23" s="224">
        <v>0</v>
      </c>
      <c r="P23" s="225">
        <v>715630.76</v>
      </c>
      <c r="Q23" s="225">
        <v>4123396.26</v>
      </c>
    </row>
    <row r="24" spans="1:17" x14ac:dyDescent="0.25">
      <c r="A24" s="223" t="s">
        <v>1676</v>
      </c>
      <c r="B24" s="223" t="s">
        <v>644</v>
      </c>
      <c r="C24" s="224">
        <v>8</v>
      </c>
      <c r="D24" s="224">
        <v>29773</v>
      </c>
      <c r="E24" s="223"/>
      <c r="F24" s="224">
        <v>35264802817813</v>
      </c>
      <c r="G24" s="223" t="s">
        <v>7</v>
      </c>
      <c r="H24" s="224">
        <v>30708795174</v>
      </c>
      <c r="I24" s="223" t="s">
        <v>2338</v>
      </c>
      <c r="J24" s="224">
        <v>1</v>
      </c>
      <c r="K24" s="223" t="s">
        <v>646</v>
      </c>
      <c r="L24" s="225">
        <v>29322.720000000001</v>
      </c>
      <c r="M24" s="224">
        <v>0</v>
      </c>
      <c r="N24" s="224">
        <v>0</v>
      </c>
      <c r="O24" s="225">
        <v>4519.51</v>
      </c>
      <c r="P24" s="225">
        <v>6157.77</v>
      </c>
      <c r="Q24" s="224">
        <v>40000</v>
      </c>
    </row>
    <row r="25" spans="1:17" x14ac:dyDescent="0.25">
      <c r="A25" s="223" t="s">
        <v>1676</v>
      </c>
      <c r="B25" s="223" t="s">
        <v>655</v>
      </c>
      <c r="C25" s="224">
        <v>1</v>
      </c>
      <c r="D25" s="224">
        <v>16</v>
      </c>
      <c r="E25" s="223"/>
      <c r="F25" s="224">
        <v>75273569271318</v>
      </c>
      <c r="G25" s="223" t="s">
        <v>7</v>
      </c>
      <c r="H25" s="224">
        <v>27443612713</v>
      </c>
      <c r="I25" s="223" t="s">
        <v>937</v>
      </c>
      <c r="J25" s="224">
        <v>1</v>
      </c>
      <c r="K25" s="223" t="s">
        <v>646</v>
      </c>
      <c r="L25" s="223"/>
      <c r="M25" s="223"/>
      <c r="N25" s="223"/>
      <c r="O25" s="224">
        <v>0</v>
      </c>
      <c r="P25" s="223"/>
      <c r="Q25" s="224">
        <v>870000</v>
      </c>
    </row>
    <row r="26" spans="1:17" x14ac:dyDescent="0.25">
      <c r="A26" s="223" t="s">
        <v>1676</v>
      </c>
      <c r="B26" s="223" t="s">
        <v>655</v>
      </c>
      <c r="C26" s="224">
        <v>2</v>
      </c>
      <c r="D26" s="224">
        <v>364</v>
      </c>
      <c r="E26" s="223"/>
      <c r="F26" s="224">
        <v>75278580885457</v>
      </c>
      <c r="G26" s="223" t="s">
        <v>7</v>
      </c>
      <c r="H26" s="224">
        <v>27265832178</v>
      </c>
      <c r="I26" s="223" t="s">
        <v>470</v>
      </c>
      <c r="J26" s="224">
        <v>1</v>
      </c>
      <c r="K26" s="223" t="s">
        <v>646</v>
      </c>
      <c r="L26" s="223"/>
      <c r="M26" s="223"/>
      <c r="N26" s="223"/>
      <c r="O26" s="224">
        <v>0</v>
      </c>
      <c r="P26" s="223"/>
      <c r="Q26" s="224">
        <v>3200000</v>
      </c>
    </row>
    <row r="27" spans="1:17" x14ac:dyDescent="0.25">
      <c r="A27" s="223" t="s">
        <v>1698</v>
      </c>
      <c r="B27" s="223" t="s">
        <v>644</v>
      </c>
      <c r="C27" s="224">
        <v>6</v>
      </c>
      <c r="D27" s="224">
        <v>58255</v>
      </c>
      <c r="E27" s="223"/>
      <c r="F27" s="224">
        <v>75278695418133</v>
      </c>
      <c r="G27" s="223" t="s">
        <v>7</v>
      </c>
      <c r="H27" s="224">
        <v>30710177658</v>
      </c>
      <c r="I27" s="223" t="s">
        <v>674</v>
      </c>
      <c r="J27" s="224">
        <v>1</v>
      </c>
      <c r="K27" s="223" t="s">
        <v>646</v>
      </c>
      <c r="L27" s="224">
        <v>1974960</v>
      </c>
      <c r="M27" s="224">
        <v>0</v>
      </c>
      <c r="N27" s="224">
        <v>0</v>
      </c>
      <c r="O27" s="224">
        <v>0</v>
      </c>
      <c r="P27" s="223">
        <v>207370.8</v>
      </c>
      <c r="Q27" s="223">
        <v>2182330.7999999998</v>
      </c>
    </row>
    <row r="28" spans="1:17" x14ac:dyDescent="0.25">
      <c r="A28" s="223" t="s">
        <v>1698</v>
      </c>
      <c r="B28" s="223" t="s">
        <v>644</v>
      </c>
      <c r="C28" s="224">
        <v>8</v>
      </c>
      <c r="D28" s="224">
        <v>435</v>
      </c>
      <c r="E28" s="223"/>
      <c r="F28" s="224">
        <v>75274675249569</v>
      </c>
      <c r="G28" s="223" t="s">
        <v>7</v>
      </c>
      <c r="H28" s="224">
        <v>30643518364</v>
      </c>
      <c r="I28" s="223" t="s">
        <v>668</v>
      </c>
      <c r="J28" s="224">
        <v>1</v>
      </c>
      <c r="K28" s="223" t="s">
        <v>646</v>
      </c>
      <c r="L28" s="223">
        <v>813981.5</v>
      </c>
      <c r="M28" s="224">
        <v>0</v>
      </c>
      <c r="N28" s="224">
        <v>0</v>
      </c>
      <c r="O28" s="224">
        <v>0</v>
      </c>
      <c r="P28" s="225">
        <v>170936.12</v>
      </c>
      <c r="Q28" s="225">
        <v>984917.62</v>
      </c>
    </row>
    <row r="29" spans="1:17" x14ac:dyDescent="0.25">
      <c r="A29" s="223" t="s">
        <v>1698</v>
      </c>
      <c r="B29" s="223" t="s">
        <v>644</v>
      </c>
      <c r="C29" s="224">
        <v>8</v>
      </c>
      <c r="D29" s="224">
        <v>436</v>
      </c>
      <c r="E29" s="223"/>
      <c r="F29" s="224">
        <v>75274691037647</v>
      </c>
      <c r="G29" s="223" t="s">
        <v>7</v>
      </c>
      <c r="H29" s="224">
        <v>30643518364</v>
      </c>
      <c r="I29" s="223" t="s">
        <v>668</v>
      </c>
      <c r="J29" s="224">
        <v>1</v>
      </c>
      <c r="K29" s="223" t="s">
        <v>646</v>
      </c>
      <c r="L29" s="224">
        <v>207100</v>
      </c>
      <c r="M29" s="224">
        <v>0</v>
      </c>
      <c r="N29" s="224">
        <v>0</v>
      </c>
      <c r="O29" s="224">
        <v>0</v>
      </c>
      <c r="P29" s="224">
        <v>43491</v>
      </c>
      <c r="Q29" s="224">
        <v>250591</v>
      </c>
    </row>
    <row r="30" spans="1:17" x14ac:dyDescent="0.25">
      <c r="A30" s="223" t="s">
        <v>1698</v>
      </c>
      <c r="B30" s="223" t="s">
        <v>644</v>
      </c>
      <c r="C30" s="224">
        <v>700</v>
      </c>
      <c r="D30" s="224">
        <v>2564759</v>
      </c>
      <c r="E30" s="223"/>
      <c r="F30" s="224">
        <v>75282904450798</v>
      </c>
      <c r="G30" s="223" t="s">
        <v>7</v>
      </c>
      <c r="H30" s="224">
        <v>30715804812</v>
      </c>
      <c r="I30" s="223" t="s">
        <v>669</v>
      </c>
      <c r="J30" s="224">
        <v>1</v>
      </c>
      <c r="K30" s="223" t="s">
        <v>646</v>
      </c>
      <c r="L30" s="225">
        <v>19343.650000000001</v>
      </c>
      <c r="M30" s="224">
        <v>0</v>
      </c>
      <c r="N30" s="224">
        <v>0</v>
      </c>
      <c r="O30" s="225">
        <v>773.74</v>
      </c>
      <c r="P30" s="225">
        <v>4062.17</v>
      </c>
      <c r="Q30" s="225">
        <v>24179.56</v>
      </c>
    </row>
    <row r="31" spans="1:17" x14ac:dyDescent="0.25">
      <c r="A31" s="223" t="s">
        <v>1698</v>
      </c>
      <c r="B31" s="223" t="s">
        <v>644</v>
      </c>
      <c r="C31" s="224">
        <v>7</v>
      </c>
      <c r="D31" s="224">
        <v>45</v>
      </c>
      <c r="E31" s="223"/>
      <c r="F31" s="224">
        <v>75273724843523</v>
      </c>
      <c r="G31" s="223" t="s">
        <v>7</v>
      </c>
      <c r="H31" s="224">
        <v>27325223273</v>
      </c>
      <c r="I31" s="223" t="s">
        <v>1066</v>
      </c>
      <c r="J31" s="224">
        <v>1</v>
      </c>
      <c r="K31" s="223" t="s">
        <v>646</v>
      </c>
      <c r="L31" s="224">
        <v>1506000</v>
      </c>
      <c r="M31" s="224">
        <v>0</v>
      </c>
      <c r="N31" s="224">
        <v>0</v>
      </c>
      <c r="O31" s="224">
        <v>0</v>
      </c>
      <c r="P31" s="224">
        <v>316260</v>
      </c>
      <c r="Q31" s="224">
        <v>1822260</v>
      </c>
    </row>
    <row r="32" spans="1:17" x14ac:dyDescent="0.25">
      <c r="A32" s="223" t="s">
        <v>1698</v>
      </c>
      <c r="B32" s="223" t="s">
        <v>644</v>
      </c>
      <c r="C32" s="224">
        <v>4</v>
      </c>
      <c r="D32" s="224">
        <v>164</v>
      </c>
      <c r="E32" s="223"/>
      <c r="F32" s="224">
        <v>75276676679178</v>
      </c>
      <c r="G32" s="223" t="s">
        <v>7</v>
      </c>
      <c r="H32" s="224">
        <v>20317488476</v>
      </c>
      <c r="I32" s="223" t="s">
        <v>252</v>
      </c>
      <c r="J32" s="224">
        <v>1</v>
      </c>
      <c r="K32" s="223" t="s">
        <v>646</v>
      </c>
      <c r="L32" s="224">
        <v>300000</v>
      </c>
      <c r="M32" s="224">
        <v>0</v>
      </c>
      <c r="N32" s="224">
        <v>0</v>
      </c>
      <c r="O32" s="224">
        <v>0</v>
      </c>
      <c r="P32" s="224">
        <v>63000</v>
      </c>
      <c r="Q32" s="224">
        <v>363000</v>
      </c>
    </row>
    <row r="33" spans="1:17" x14ac:dyDescent="0.25">
      <c r="A33" s="223" t="s">
        <v>1698</v>
      </c>
      <c r="B33" s="223" t="s">
        <v>655</v>
      </c>
      <c r="C33" s="224">
        <v>1</v>
      </c>
      <c r="D33" s="224">
        <v>27</v>
      </c>
      <c r="E33" s="223"/>
      <c r="F33" s="224">
        <v>75275690059142</v>
      </c>
      <c r="G33" s="223" t="s">
        <v>7</v>
      </c>
      <c r="H33" s="224">
        <v>27443612705</v>
      </c>
      <c r="I33" s="223" t="s">
        <v>704</v>
      </c>
      <c r="J33" s="224">
        <v>1</v>
      </c>
      <c r="K33" s="223" t="s">
        <v>646</v>
      </c>
      <c r="L33" s="223"/>
      <c r="M33" s="223"/>
      <c r="N33" s="223"/>
      <c r="O33" s="224">
        <v>0</v>
      </c>
      <c r="P33" s="223"/>
      <c r="Q33" s="224">
        <v>900000</v>
      </c>
    </row>
    <row r="34" spans="1:17" x14ac:dyDescent="0.25">
      <c r="A34" s="223" t="s">
        <v>2223</v>
      </c>
      <c r="B34" s="223" t="s">
        <v>644</v>
      </c>
      <c r="C34" s="224">
        <v>9058</v>
      </c>
      <c r="D34" s="224">
        <v>38326</v>
      </c>
      <c r="E34" s="223"/>
      <c r="F34" s="224">
        <v>75285829166110</v>
      </c>
      <c r="G34" s="223" t="s">
        <v>7</v>
      </c>
      <c r="H34" s="224">
        <v>30678774495</v>
      </c>
      <c r="I34" s="223" t="s">
        <v>951</v>
      </c>
      <c r="J34" s="224">
        <v>1</v>
      </c>
      <c r="K34" s="223" t="s">
        <v>646</v>
      </c>
      <c r="L34" s="225">
        <v>17506.560000000001</v>
      </c>
      <c r="M34" s="224">
        <v>0</v>
      </c>
      <c r="N34" s="224">
        <v>0</v>
      </c>
      <c r="O34" s="225">
        <v>5835.07</v>
      </c>
      <c r="P34" s="225">
        <v>3676.38</v>
      </c>
      <c r="Q34" s="225">
        <v>27018.01</v>
      </c>
    </row>
    <row r="35" spans="1:17" x14ac:dyDescent="0.25">
      <c r="A35" s="223" t="s">
        <v>2223</v>
      </c>
      <c r="B35" s="223" t="s">
        <v>644</v>
      </c>
      <c r="C35" s="224">
        <v>3101</v>
      </c>
      <c r="D35" s="224">
        <v>347323</v>
      </c>
      <c r="E35" s="223"/>
      <c r="F35" s="224">
        <v>75287964429683</v>
      </c>
      <c r="G35" s="223" t="s">
        <v>7</v>
      </c>
      <c r="H35" s="224">
        <v>30678814357</v>
      </c>
      <c r="I35" s="223" t="s">
        <v>652</v>
      </c>
      <c r="J35" s="224">
        <v>1</v>
      </c>
      <c r="K35" s="223" t="s">
        <v>646</v>
      </c>
      <c r="L35" s="225">
        <v>93682.58</v>
      </c>
      <c r="M35" s="224">
        <v>0</v>
      </c>
      <c r="N35" s="224">
        <v>0</v>
      </c>
      <c r="O35" s="225">
        <v>6557.78</v>
      </c>
      <c r="P35" s="223">
        <v>25294.3</v>
      </c>
      <c r="Q35" s="225">
        <v>125534.66</v>
      </c>
    </row>
    <row r="36" spans="1:17" x14ac:dyDescent="0.25">
      <c r="A36" s="223" t="s">
        <v>1712</v>
      </c>
      <c r="B36" s="223" t="s">
        <v>644</v>
      </c>
      <c r="C36" s="224">
        <v>4</v>
      </c>
      <c r="D36" s="224">
        <v>4861</v>
      </c>
      <c r="E36" s="223"/>
      <c r="F36" s="224">
        <v>75287928028324</v>
      </c>
      <c r="G36" s="223" t="s">
        <v>7</v>
      </c>
      <c r="H36" s="224">
        <v>20129871947</v>
      </c>
      <c r="I36" s="223" t="s">
        <v>1451</v>
      </c>
      <c r="J36" s="224">
        <v>1</v>
      </c>
      <c r="K36" s="223" t="s">
        <v>646</v>
      </c>
      <c r="L36" s="225">
        <v>118166.18</v>
      </c>
      <c r="M36" s="224">
        <v>0</v>
      </c>
      <c r="N36" s="224">
        <v>0</v>
      </c>
      <c r="O36" s="224">
        <v>0</v>
      </c>
      <c r="P36" s="223">
        <v>24814.9</v>
      </c>
      <c r="Q36" s="225">
        <v>142981.07999999999</v>
      </c>
    </row>
    <row r="37" spans="1:17" x14ac:dyDescent="0.25">
      <c r="A37" s="223" t="s">
        <v>1712</v>
      </c>
      <c r="B37" s="223" t="s">
        <v>644</v>
      </c>
      <c r="C37" s="224">
        <v>8</v>
      </c>
      <c r="D37" s="224">
        <v>437</v>
      </c>
      <c r="E37" s="223"/>
      <c r="F37" s="224">
        <v>75284896364027</v>
      </c>
      <c r="G37" s="223" t="s">
        <v>7</v>
      </c>
      <c r="H37" s="224">
        <v>30643518364</v>
      </c>
      <c r="I37" s="223" t="s">
        <v>668</v>
      </c>
      <c r="J37" s="224">
        <v>1</v>
      </c>
      <c r="K37" s="223" t="s">
        <v>646</v>
      </c>
      <c r="L37" s="223">
        <v>73091.5</v>
      </c>
      <c r="M37" s="224">
        <v>0</v>
      </c>
      <c r="N37" s="224">
        <v>0</v>
      </c>
      <c r="O37" s="224">
        <v>0</v>
      </c>
      <c r="P37" s="225">
        <v>15349.22</v>
      </c>
      <c r="Q37" s="225">
        <v>88440.72</v>
      </c>
    </row>
    <row r="38" spans="1:17" x14ac:dyDescent="0.25">
      <c r="A38" s="223" t="s">
        <v>1712</v>
      </c>
      <c r="B38" s="223" t="s">
        <v>644</v>
      </c>
      <c r="C38" s="224">
        <v>2</v>
      </c>
      <c r="D38" s="224">
        <v>1403</v>
      </c>
      <c r="E38" s="223"/>
      <c r="F38" s="224">
        <v>75289957350180</v>
      </c>
      <c r="G38" s="223" t="s">
        <v>7</v>
      </c>
      <c r="H38" s="224">
        <v>20272865869</v>
      </c>
      <c r="I38" s="223" t="s">
        <v>617</v>
      </c>
      <c r="J38" s="224">
        <v>1</v>
      </c>
      <c r="K38" s="223" t="s">
        <v>646</v>
      </c>
      <c r="L38" s="224">
        <v>136600</v>
      </c>
      <c r="M38" s="224">
        <v>0</v>
      </c>
      <c r="N38" s="224">
        <v>0</v>
      </c>
      <c r="O38" s="224">
        <v>0</v>
      </c>
      <c r="P38" s="224">
        <v>28686</v>
      </c>
      <c r="Q38" s="224">
        <v>165286</v>
      </c>
    </row>
    <row r="39" spans="1:17" x14ac:dyDescent="0.25">
      <c r="A39" s="223" t="s">
        <v>1712</v>
      </c>
      <c r="B39" s="223" t="s">
        <v>644</v>
      </c>
      <c r="C39" s="224">
        <v>1</v>
      </c>
      <c r="D39" s="224">
        <v>7885</v>
      </c>
      <c r="E39" s="223"/>
      <c r="F39" s="224">
        <v>75281891194235</v>
      </c>
      <c r="G39" s="223" t="s">
        <v>7</v>
      </c>
      <c r="H39" s="224">
        <v>30715141201</v>
      </c>
      <c r="I39" s="223" t="s">
        <v>649</v>
      </c>
      <c r="J39" s="224">
        <v>1</v>
      </c>
      <c r="K39" s="223" t="s">
        <v>646</v>
      </c>
      <c r="L39" s="223">
        <v>330547.5</v>
      </c>
      <c r="M39" s="224">
        <v>0</v>
      </c>
      <c r="N39" s="224">
        <v>0</v>
      </c>
      <c r="O39" s="224">
        <v>0</v>
      </c>
      <c r="P39" s="225">
        <v>69414.98</v>
      </c>
      <c r="Q39" s="225">
        <v>399962.48</v>
      </c>
    </row>
    <row r="40" spans="1:17" x14ac:dyDescent="0.25">
      <c r="A40" s="223" t="s">
        <v>1712</v>
      </c>
      <c r="B40" s="223" t="s">
        <v>644</v>
      </c>
      <c r="C40" s="224">
        <v>1</v>
      </c>
      <c r="D40" s="224">
        <v>7884</v>
      </c>
      <c r="E40" s="223"/>
      <c r="F40" s="224">
        <v>75281887042944</v>
      </c>
      <c r="G40" s="223" t="s">
        <v>7</v>
      </c>
      <c r="H40" s="224">
        <v>30715141201</v>
      </c>
      <c r="I40" s="223" t="s">
        <v>649</v>
      </c>
      <c r="J40" s="224">
        <v>1</v>
      </c>
      <c r="K40" s="223" t="s">
        <v>646</v>
      </c>
      <c r="L40" s="225">
        <v>585457.93999999994</v>
      </c>
      <c r="M40" s="224">
        <v>0</v>
      </c>
      <c r="N40" s="224">
        <v>0</v>
      </c>
      <c r="O40" s="224">
        <v>0</v>
      </c>
      <c r="P40" s="225">
        <v>122946.17</v>
      </c>
      <c r="Q40" s="225">
        <v>708404.11</v>
      </c>
    </row>
    <row r="41" spans="1:17" x14ac:dyDescent="0.25">
      <c r="A41" s="223" t="s">
        <v>1712</v>
      </c>
      <c r="B41" s="223" t="s">
        <v>644</v>
      </c>
      <c r="C41" s="224">
        <v>1002</v>
      </c>
      <c r="D41" s="224">
        <v>25719</v>
      </c>
      <c r="E41" s="223"/>
      <c r="F41" s="224">
        <v>75286881468498</v>
      </c>
      <c r="G41" s="223" t="s">
        <v>7</v>
      </c>
      <c r="H41" s="224">
        <v>30712289046</v>
      </c>
      <c r="I41" s="223" t="s">
        <v>1452</v>
      </c>
      <c r="J41" s="224">
        <v>1</v>
      </c>
      <c r="K41" s="223" t="s">
        <v>646</v>
      </c>
      <c r="L41" s="225">
        <v>36641.54</v>
      </c>
      <c r="M41" s="224">
        <v>0</v>
      </c>
      <c r="N41" s="224">
        <v>0</v>
      </c>
      <c r="O41" s="225">
        <v>5663.81</v>
      </c>
      <c r="P41" s="225">
        <v>7694.72</v>
      </c>
      <c r="Q41" s="225">
        <v>50000.07</v>
      </c>
    </row>
    <row r="42" spans="1:17" x14ac:dyDescent="0.25">
      <c r="A42" s="223" t="s">
        <v>1712</v>
      </c>
      <c r="B42" s="223" t="s">
        <v>644</v>
      </c>
      <c r="C42" s="224">
        <v>6</v>
      </c>
      <c r="D42" s="224">
        <v>1524</v>
      </c>
      <c r="E42" s="223"/>
      <c r="F42" s="224">
        <v>75283927592114</v>
      </c>
      <c r="G42" s="223" t="s">
        <v>7</v>
      </c>
      <c r="H42" s="224">
        <v>20247225243</v>
      </c>
      <c r="I42" s="223" t="s">
        <v>45</v>
      </c>
      <c r="J42" s="224">
        <v>1</v>
      </c>
      <c r="K42" s="223" t="s">
        <v>646</v>
      </c>
      <c r="L42" s="224">
        <v>55388</v>
      </c>
      <c r="M42" s="224">
        <v>0</v>
      </c>
      <c r="N42" s="224">
        <v>0</v>
      </c>
      <c r="O42" s="224">
        <v>0</v>
      </c>
      <c r="P42" s="225">
        <v>11631.48</v>
      </c>
      <c r="Q42" s="225">
        <v>67019.48</v>
      </c>
    </row>
    <row r="43" spans="1:17" x14ac:dyDescent="0.25">
      <c r="A43" s="223" t="s">
        <v>1712</v>
      </c>
      <c r="B43" s="223" t="s">
        <v>644</v>
      </c>
      <c r="C43" s="224">
        <v>3</v>
      </c>
      <c r="D43" s="224">
        <v>242</v>
      </c>
      <c r="E43" s="223"/>
      <c r="F43" s="224">
        <v>75284928269864</v>
      </c>
      <c r="G43" s="223" t="s">
        <v>7</v>
      </c>
      <c r="H43" s="224">
        <v>20134815494</v>
      </c>
      <c r="I43" s="223" t="s">
        <v>2339</v>
      </c>
      <c r="J43" s="224">
        <v>1</v>
      </c>
      <c r="K43" s="223" t="s">
        <v>646</v>
      </c>
      <c r="L43" s="225">
        <v>39669.620000000003</v>
      </c>
      <c r="M43" s="224">
        <v>0</v>
      </c>
      <c r="N43" s="224">
        <v>0</v>
      </c>
      <c r="O43" s="224">
        <v>0</v>
      </c>
      <c r="P43" s="225">
        <v>8330.6200000000008</v>
      </c>
      <c r="Q43" s="225">
        <v>48000.22</v>
      </c>
    </row>
    <row r="44" spans="1:17" x14ac:dyDescent="0.25">
      <c r="A44" s="223" t="s">
        <v>1712</v>
      </c>
      <c r="B44" s="223" t="s">
        <v>655</v>
      </c>
      <c r="C44" s="224">
        <v>1</v>
      </c>
      <c r="D44" s="224">
        <v>11</v>
      </c>
      <c r="E44" s="223"/>
      <c r="F44" s="224">
        <v>75281890285302</v>
      </c>
      <c r="G44" s="223" t="s">
        <v>7</v>
      </c>
      <c r="H44" s="224">
        <v>27122903201</v>
      </c>
      <c r="I44" s="223" t="s">
        <v>1188</v>
      </c>
      <c r="J44" s="224">
        <v>1</v>
      </c>
      <c r="K44" s="223" t="s">
        <v>646</v>
      </c>
      <c r="L44" s="223"/>
      <c r="M44" s="223"/>
      <c r="N44" s="223"/>
      <c r="O44" s="224">
        <v>0</v>
      </c>
      <c r="P44" s="223"/>
      <c r="Q44" s="224">
        <v>980000</v>
      </c>
    </row>
    <row r="45" spans="1:17" x14ac:dyDescent="0.25">
      <c r="A45" s="223" t="s">
        <v>1712</v>
      </c>
      <c r="B45" s="223" t="s">
        <v>655</v>
      </c>
      <c r="C45" s="224">
        <v>1</v>
      </c>
      <c r="D45" s="224">
        <v>46</v>
      </c>
      <c r="E45" s="223"/>
      <c r="F45" s="224">
        <v>75286914916367</v>
      </c>
      <c r="G45" s="223" t="s">
        <v>7</v>
      </c>
      <c r="H45" s="224">
        <v>20944494236</v>
      </c>
      <c r="I45" s="223" t="s">
        <v>2340</v>
      </c>
      <c r="J45" s="224">
        <v>1</v>
      </c>
      <c r="K45" s="223" t="s">
        <v>646</v>
      </c>
      <c r="L45" s="223"/>
      <c r="M45" s="223"/>
      <c r="N45" s="223"/>
      <c r="O45" s="224">
        <v>0</v>
      </c>
      <c r="P45" s="223"/>
      <c r="Q45" s="224">
        <v>246650</v>
      </c>
    </row>
    <row r="46" spans="1:17" x14ac:dyDescent="0.25">
      <c r="A46" s="223" t="s">
        <v>1712</v>
      </c>
      <c r="B46" s="223" t="s">
        <v>655</v>
      </c>
      <c r="C46" s="224">
        <v>2</v>
      </c>
      <c r="D46" s="224">
        <v>132</v>
      </c>
      <c r="E46" s="223"/>
      <c r="F46" s="224">
        <v>75288915321195</v>
      </c>
      <c r="G46" s="223" t="s">
        <v>7</v>
      </c>
      <c r="H46" s="224">
        <v>27315710508</v>
      </c>
      <c r="I46" s="223" t="s">
        <v>949</v>
      </c>
      <c r="J46" s="224">
        <v>1</v>
      </c>
      <c r="K46" s="223" t="s">
        <v>646</v>
      </c>
      <c r="L46" s="223"/>
      <c r="M46" s="223"/>
      <c r="N46" s="223"/>
      <c r="O46" s="224">
        <v>0</v>
      </c>
      <c r="P46" s="223"/>
      <c r="Q46" s="224">
        <v>48600</v>
      </c>
    </row>
    <row r="47" spans="1:17" x14ac:dyDescent="0.25">
      <c r="A47" s="223" t="s">
        <v>1744</v>
      </c>
      <c r="B47" s="223" t="s">
        <v>644</v>
      </c>
      <c r="C47" s="224">
        <v>3</v>
      </c>
      <c r="D47" s="224">
        <v>54323</v>
      </c>
      <c r="E47" s="223"/>
      <c r="F47" s="224">
        <v>75289070301081</v>
      </c>
      <c r="G47" s="223" t="s">
        <v>7</v>
      </c>
      <c r="H47" s="224">
        <v>30577744579</v>
      </c>
      <c r="I47" s="223" t="s">
        <v>1404</v>
      </c>
      <c r="J47" s="224">
        <v>1</v>
      </c>
      <c r="K47" s="223" t="s">
        <v>646</v>
      </c>
      <c r="L47" s="224">
        <v>89173</v>
      </c>
      <c r="M47" s="224">
        <v>0</v>
      </c>
      <c r="N47" s="224">
        <v>0</v>
      </c>
      <c r="O47" s="224">
        <v>0</v>
      </c>
      <c r="P47" s="225">
        <v>18726.330000000002</v>
      </c>
      <c r="Q47" s="225">
        <v>107899.33</v>
      </c>
    </row>
    <row r="48" spans="1:17" x14ac:dyDescent="0.25">
      <c r="A48" s="223" t="s">
        <v>1744</v>
      </c>
      <c r="B48" s="223" t="s">
        <v>644</v>
      </c>
      <c r="C48" s="224">
        <v>5</v>
      </c>
      <c r="D48" s="224">
        <v>1584</v>
      </c>
      <c r="E48" s="223"/>
      <c r="F48" s="224">
        <v>75285017141445</v>
      </c>
      <c r="G48" s="223" t="s">
        <v>7</v>
      </c>
      <c r="H48" s="224">
        <v>27265302225</v>
      </c>
      <c r="I48" s="223" t="s">
        <v>165</v>
      </c>
      <c r="J48" s="224">
        <v>1</v>
      </c>
      <c r="K48" s="223" t="s">
        <v>646</v>
      </c>
      <c r="L48" s="224">
        <v>800000</v>
      </c>
      <c r="M48" s="224">
        <v>0</v>
      </c>
      <c r="N48" s="224">
        <v>0</v>
      </c>
      <c r="O48" s="224">
        <v>0</v>
      </c>
      <c r="P48" s="224">
        <v>168000</v>
      </c>
      <c r="Q48" s="224">
        <v>968000</v>
      </c>
    </row>
    <row r="49" spans="1:17" x14ac:dyDescent="0.25">
      <c r="A49" s="223" t="s">
        <v>1744</v>
      </c>
      <c r="B49" s="223" t="s">
        <v>644</v>
      </c>
      <c r="C49" s="224">
        <v>5</v>
      </c>
      <c r="D49" s="224">
        <v>169488</v>
      </c>
      <c r="E49" s="223"/>
      <c r="F49" s="224">
        <v>75283097656552</v>
      </c>
      <c r="G49" s="223" t="s">
        <v>7</v>
      </c>
      <c r="H49" s="224">
        <v>30598960093</v>
      </c>
      <c r="I49" s="223" t="s">
        <v>650</v>
      </c>
      <c r="J49" s="224">
        <v>1</v>
      </c>
      <c r="K49" s="223" t="s">
        <v>646</v>
      </c>
      <c r="L49" s="223">
        <v>367834.5</v>
      </c>
      <c r="M49" s="224">
        <v>0</v>
      </c>
      <c r="N49" s="224">
        <v>0</v>
      </c>
      <c r="O49" s="225">
        <v>14713.38</v>
      </c>
      <c r="P49" s="225">
        <v>77245.240000000005</v>
      </c>
      <c r="Q49" s="225">
        <v>459793.12</v>
      </c>
    </row>
    <row r="50" spans="1:17" x14ac:dyDescent="0.25">
      <c r="A50" s="223" t="s">
        <v>1744</v>
      </c>
      <c r="B50" s="223" t="s">
        <v>644</v>
      </c>
      <c r="C50" s="224">
        <v>7</v>
      </c>
      <c r="D50" s="224">
        <v>1650</v>
      </c>
      <c r="E50" s="223"/>
      <c r="F50" s="224">
        <v>75286083812521</v>
      </c>
      <c r="G50" s="223" t="s">
        <v>7</v>
      </c>
      <c r="H50" s="224">
        <v>30712187316</v>
      </c>
      <c r="I50" s="223" t="s">
        <v>68</v>
      </c>
      <c r="J50" s="224">
        <v>1275</v>
      </c>
      <c r="K50" s="223" t="s">
        <v>663</v>
      </c>
      <c r="L50" s="225">
        <v>298.77999999999997</v>
      </c>
      <c r="M50" s="224">
        <v>0</v>
      </c>
      <c r="N50" s="224">
        <v>0</v>
      </c>
      <c r="O50" s="224">
        <v>0</v>
      </c>
      <c r="P50" s="225">
        <v>62.74</v>
      </c>
      <c r="Q50" s="225">
        <v>361.52</v>
      </c>
    </row>
    <row r="51" spans="1:17" x14ac:dyDescent="0.25">
      <c r="A51" s="223" t="s">
        <v>1744</v>
      </c>
      <c r="B51" s="223" t="s">
        <v>644</v>
      </c>
      <c r="C51" s="224">
        <v>5</v>
      </c>
      <c r="D51" s="224">
        <v>2548</v>
      </c>
      <c r="E51" s="223"/>
      <c r="F51" s="224">
        <v>75286084086521</v>
      </c>
      <c r="G51" s="223" t="s">
        <v>7</v>
      </c>
      <c r="H51" s="224">
        <v>30712187316</v>
      </c>
      <c r="I51" s="223" t="s">
        <v>68</v>
      </c>
      <c r="J51" s="224">
        <v>1275</v>
      </c>
      <c r="K51" s="223" t="s">
        <v>663</v>
      </c>
      <c r="L51" s="223">
        <v>519.5</v>
      </c>
      <c r="M51" s="224">
        <v>0</v>
      </c>
      <c r="N51" s="224">
        <v>0</v>
      </c>
      <c r="O51" s="224">
        <v>0</v>
      </c>
      <c r="P51" s="223">
        <v>109.1</v>
      </c>
      <c r="Q51" s="223">
        <v>628.6</v>
      </c>
    </row>
    <row r="52" spans="1:17" x14ac:dyDescent="0.25">
      <c r="A52" s="223" t="s">
        <v>1744</v>
      </c>
      <c r="B52" s="223" t="s">
        <v>644</v>
      </c>
      <c r="C52" s="224">
        <v>2</v>
      </c>
      <c r="D52" s="224">
        <v>5703</v>
      </c>
      <c r="E52" s="223"/>
      <c r="F52" s="224">
        <v>75281958024814</v>
      </c>
      <c r="G52" s="223" t="s">
        <v>7</v>
      </c>
      <c r="H52" s="224">
        <v>24253769951</v>
      </c>
      <c r="I52" s="223" t="s">
        <v>2341</v>
      </c>
      <c r="J52" s="224">
        <v>1</v>
      </c>
      <c r="K52" s="223" t="s">
        <v>646</v>
      </c>
      <c r="L52" s="224">
        <v>395449</v>
      </c>
      <c r="M52" s="224">
        <v>0</v>
      </c>
      <c r="N52" s="224">
        <v>0</v>
      </c>
      <c r="O52" s="224">
        <v>0</v>
      </c>
      <c r="P52" s="225">
        <v>83044.289999999994</v>
      </c>
      <c r="Q52" s="225">
        <v>478493.29</v>
      </c>
    </row>
    <row r="53" spans="1:17" x14ac:dyDescent="0.25">
      <c r="A53" s="223" t="s">
        <v>1744</v>
      </c>
      <c r="B53" s="223" t="s">
        <v>644</v>
      </c>
      <c r="C53" s="224">
        <v>4</v>
      </c>
      <c r="D53" s="224">
        <v>68</v>
      </c>
      <c r="E53" s="223"/>
      <c r="F53" s="224">
        <v>75296643585652</v>
      </c>
      <c r="G53" s="223" t="s">
        <v>7</v>
      </c>
      <c r="H53" s="224">
        <v>20174004146</v>
      </c>
      <c r="I53" s="223" t="s">
        <v>389</v>
      </c>
      <c r="J53" s="224">
        <v>1</v>
      </c>
      <c r="K53" s="223" t="s">
        <v>646</v>
      </c>
      <c r="L53" s="224">
        <v>238000</v>
      </c>
      <c r="M53" s="224">
        <v>0</v>
      </c>
      <c r="N53" s="224">
        <v>0</v>
      </c>
      <c r="O53" s="224">
        <v>0</v>
      </c>
      <c r="P53" s="224">
        <v>49980</v>
      </c>
      <c r="Q53" s="224">
        <v>287980</v>
      </c>
    </row>
    <row r="54" spans="1:17" x14ac:dyDescent="0.25">
      <c r="A54" s="223" t="s">
        <v>1744</v>
      </c>
      <c r="B54" s="223" t="s">
        <v>655</v>
      </c>
      <c r="C54" s="224">
        <v>1</v>
      </c>
      <c r="D54" s="224">
        <v>1</v>
      </c>
      <c r="E54" s="223"/>
      <c r="F54" s="224">
        <v>75282067165705</v>
      </c>
      <c r="G54" s="223" t="s">
        <v>7</v>
      </c>
      <c r="H54" s="224">
        <v>27380284052</v>
      </c>
      <c r="I54" s="223" t="s">
        <v>2342</v>
      </c>
      <c r="J54" s="224">
        <v>1</v>
      </c>
      <c r="K54" s="223" t="s">
        <v>646</v>
      </c>
      <c r="L54" s="223"/>
      <c r="M54" s="223"/>
      <c r="N54" s="223"/>
      <c r="O54" s="224">
        <v>0</v>
      </c>
      <c r="P54" s="223"/>
      <c r="Q54" s="224">
        <v>260000</v>
      </c>
    </row>
    <row r="55" spans="1:17" x14ac:dyDescent="0.25">
      <c r="A55" s="223" t="s">
        <v>1744</v>
      </c>
      <c r="B55" s="223" t="s">
        <v>655</v>
      </c>
      <c r="C55" s="224">
        <v>1</v>
      </c>
      <c r="D55" s="224">
        <v>36</v>
      </c>
      <c r="E55" s="223"/>
      <c r="F55" s="224">
        <v>75281095139501</v>
      </c>
      <c r="G55" s="223" t="s">
        <v>7</v>
      </c>
      <c r="H55" s="224">
        <v>20311855671</v>
      </c>
      <c r="I55" s="223" t="s">
        <v>1097</v>
      </c>
      <c r="J55" s="224">
        <v>1</v>
      </c>
      <c r="K55" s="223" t="s">
        <v>646</v>
      </c>
      <c r="L55" s="223"/>
      <c r="M55" s="223"/>
      <c r="N55" s="223"/>
      <c r="O55" s="224">
        <v>0</v>
      </c>
      <c r="P55" s="223"/>
      <c r="Q55" s="224">
        <v>145000</v>
      </c>
    </row>
    <row r="56" spans="1:17" x14ac:dyDescent="0.25">
      <c r="A56" s="223" t="s">
        <v>1744</v>
      </c>
      <c r="B56" s="223" t="s">
        <v>655</v>
      </c>
      <c r="C56" s="224">
        <v>1</v>
      </c>
      <c r="D56" s="224">
        <v>37</v>
      </c>
      <c r="E56" s="223"/>
      <c r="F56" s="224">
        <v>75281095568471</v>
      </c>
      <c r="G56" s="223" t="s">
        <v>7</v>
      </c>
      <c r="H56" s="224">
        <v>20311855671</v>
      </c>
      <c r="I56" s="223" t="s">
        <v>1097</v>
      </c>
      <c r="J56" s="224">
        <v>1</v>
      </c>
      <c r="K56" s="223" t="s">
        <v>646</v>
      </c>
      <c r="L56" s="223"/>
      <c r="M56" s="223"/>
      <c r="N56" s="223"/>
      <c r="O56" s="224">
        <v>0</v>
      </c>
      <c r="P56" s="223"/>
      <c r="Q56" s="224">
        <v>385000</v>
      </c>
    </row>
    <row r="57" spans="1:17" x14ac:dyDescent="0.25">
      <c r="A57" s="223" t="s">
        <v>2252</v>
      </c>
      <c r="B57" s="223" t="s">
        <v>644</v>
      </c>
      <c r="C57" s="224">
        <v>7</v>
      </c>
      <c r="D57" s="224">
        <v>593</v>
      </c>
      <c r="E57" s="223"/>
      <c r="F57" s="224">
        <v>75287196809562</v>
      </c>
      <c r="G57" s="223" t="s">
        <v>7</v>
      </c>
      <c r="H57" s="224">
        <v>30717409007</v>
      </c>
      <c r="I57" s="223" t="s">
        <v>2254</v>
      </c>
      <c r="J57" s="224">
        <v>1</v>
      </c>
      <c r="K57" s="223" t="s">
        <v>646</v>
      </c>
      <c r="L57" s="225">
        <v>128016.53</v>
      </c>
      <c r="M57" s="224">
        <v>0</v>
      </c>
      <c r="N57" s="224">
        <v>0</v>
      </c>
      <c r="O57" s="224">
        <v>0</v>
      </c>
      <c r="P57" s="225">
        <v>26883.47</v>
      </c>
      <c r="Q57" s="224">
        <v>154900</v>
      </c>
    </row>
    <row r="58" spans="1:17" x14ac:dyDescent="0.25">
      <c r="A58" s="223" t="s">
        <v>1794</v>
      </c>
      <c r="B58" s="223" t="s">
        <v>644</v>
      </c>
      <c r="C58" s="224">
        <v>1001</v>
      </c>
      <c r="D58" s="224">
        <v>561</v>
      </c>
      <c r="E58" s="223"/>
      <c r="F58" s="224">
        <v>75282417156123</v>
      </c>
      <c r="G58" s="223" t="s">
        <v>7</v>
      </c>
      <c r="H58" s="224">
        <v>30707370552</v>
      </c>
      <c r="I58" s="223" t="s">
        <v>943</v>
      </c>
      <c r="J58" s="224">
        <v>1</v>
      </c>
      <c r="K58" s="223" t="s">
        <v>646</v>
      </c>
      <c r="L58" s="225">
        <v>2397520.66</v>
      </c>
      <c r="M58" s="224">
        <v>0</v>
      </c>
      <c r="N58" s="224">
        <v>0</v>
      </c>
      <c r="O58" s="224">
        <v>0</v>
      </c>
      <c r="P58" s="225">
        <v>503479.34</v>
      </c>
      <c r="Q58" s="224">
        <v>2901000</v>
      </c>
    </row>
    <row r="59" spans="1:17" x14ac:dyDescent="0.25">
      <c r="A59" s="223" t="s">
        <v>1794</v>
      </c>
      <c r="B59" s="223" t="s">
        <v>644</v>
      </c>
      <c r="C59" s="224">
        <v>1</v>
      </c>
      <c r="D59" s="224">
        <v>3176</v>
      </c>
      <c r="E59" s="223"/>
      <c r="F59" s="224">
        <v>75289410189365</v>
      </c>
      <c r="G59" s="223" t="s">
        <v>7</v>
      </c>
      <c r="H59" s="224">
        <v>30717179389</v>
      </c>
      <c r="I59" s="223" t="s">
        <v>681</v>
      </c>
      <c r="J59" s="224">
        <v>1</v>
      </c>
      <c r="K59" s="223" t="s">
        <v>646</v>
      </c>
      <c r="L59" s="225">
        <v>49586.78</v>
      </c>
      <c r="M59" s="224">
        <v>0</v>
      </c>
      <c r="N59" s="224">
        <v>0</v>
      </c>
      <c r="O59" s="224">
        <v>0</v>
      </c>
      <c r="P59" s="225">
        <v>10413.219999999999</v>
      </c>
      <c r="Q59" s="224">
        <v>60000</v>
      </c>
    </row>
    <row r="60" spans="1:17" x14ac:dyDescent="0.25">
      <c r="A60" s="223" t="s">
        <v>1794</v>
      </c>
      <c r="B60" s="223" t="s">
        <v>644</v>
      </c>
      <c r="C60" s="224">
        <v>104</v>
      </c>
      <c r="D60" s="224">
        <v>9850740</v>
      </c>
      <c r="E60" s="223"/>
      <c r="F60" s="224">
        <v>75282468723721</v>
      </c>
      <c r="G60" s="223" t="s">
        <v>7</v>
      </c>
      <c r="H60" s="224">
        <v>30715804812</v>
      </c>
      <c r="I60" s="223" t="s">
        <v>669</v>
      </c>
      <c r="J60" s="224">
        <v>1</v>
      </c>
      <c r="K60" s="223" t="s">
        <v>646</v>
      </c>
      <c r="L60" s="225">
        <v>1039.98</v>
      </c>
      <c r="M60" s="224">
        <v>0</v>
      </c>
      <c r="N60" s="224">
        <v>0</v>
      </c>
      <c r="O60" s="223">
        <v>41.6</v>
      </c>
      <c r="P60" s="223">
        <v>218.4</v>
      </c>
      <c r="Q60" s="225">
        <v>1299.98</v>
      </c>
    </row>
    <row r="61" spans="1:17" x14ac:dyDescent="0.25">
      <c r="A61" s="223" t="s">
        <v>1794</v>
      </c>
      <c r="B61" s="223" t="s">
        <v>644</v>
      </c>
      <c r="C61" s="224">
        <v>2</v>
      </c>
      <c r="D61" s="224">
        <v>12376</v>
      </c>
      <c r="E61" s="223"/>
      <c r="F61" s="224">
        <v>75282386967814</v>
      </c>
      <c r="G61" s="223" t="s">
        <v>7</v>
      </c>
      <c r="H61" s="224">
        <v>30714331082</v>
      </c>
      <c r="I61" s="223" t="s">
        <v>936</v>
      </c>
      <c r="J61" s="224">
        <v>1</v>
      </c>
      <c r="K61" s="223" t="s">
        <v>646</v>
      </c>
      <c r="L61" s="225">
        <v>2929735.22</v>
      </c>
      <c r="M61" s="224">
        <v>0</v>
      </c>
      <c r="N61" s="224">
        <v>0</v>
      </c>
      <c r="O61" s="224">
        <v>0</v>
      </c>
      <c r="P61" s="223">
        <v>615244.4</v>
      </c>
      <c r="Q61" s="225">
        <v>3544979.62</v>
      </c>
    </row>
    <row r="62" spans="1:17" x14ac:dyDescent="0.25">
      <c r="A62" s="223" t="s">
        <v>1794</v>
      </c>
      <c r="B62" s="223" t="s">
        <v>644</v>
      </c>
      <c r="C62" s="224">
        <v>5</v>
      </c>
      <c r="D62" s="224">
        <v>3035</v>
      </c>
      <c r="E62" s="223"/>
      <c r="F62" s="224">
        <v>75287370223999</v>
      </c>
      <c r="G62" s="223" t="s">
        <v>7</v>
      </c>
      <c r="H62" s="224">
        <v>30707267077</v>
      </c>
      <c r="I62" s="223" t="s">
        <v>2343</v>
      </c>
      <c r="J62" s="224">
        <v>1</v>
      </c>
      <c r="K62" s="223" t="s">
        <v>646</v>
      </c>
      <c r="L62" s="224">
        <v>1560000</v>
      </c>
      <c r="M62" s="224">
        <v>0</v>
      </c>
      <c r="N62" s="224">
        <v>0</v>
      </c>
      <c r="O62" s="224">
        <v>0</v>
      </c>
      <c r="P62" s="224">
        <v>327600</v>
      </c>
      <c r="Q62" s="224">
        <v>1887600</v>
      </c>
    </row>
    <row r="63" spans="1:17" x14ac:dyDescent="0.25">
      <c r="A63" s="223" t="s">
        <v>1794</v>
      </c>
      <c r="B63" s="223" t="s">
        <v>644</v>
      </c>
      <c r="C63" s="224">
        <v>4</v>
      </c>
      <c r="D63" s="224">
        <v>69</v>
      </c>
      <c r="E63" s="223"/>
      <c r="F63" s="224">
        <v>75296643916024</v>
      </c>
      <c r="G63" s="223" t="s">
        <v>7</v>
      </c>
      <c r="H63" s="224">
        <v>20174004146</v>
      </c>
      <c r="I63" s="223" t="s">
        <v>389</v>
      </c>
      <c r="J63" s="224">
        <v>1</v>
      </c>
      <c r="K63" s="223" t="s">
        <v>646</v>
      </c>
      <c r="L63" s="224">
        <v>196000</v>
      </c>
      <c r="M63" s="224">
        <v>0</v>
      </c>
      <c r="N63" s="224">
        <v>0</v>
      </c>
      <c r="O63" s="224">
        <v>0</v>
      </c>
      <c r="P63" s="224">
        <v>41160</v>
      </c>
      <c r="Q63" s="224">
        <v>237160</v>
      </c>
    </row>
    <row r="64" spans="1:17" x14ac:dyDescent="0.25">
      <c r="A64" s="223" t="s">
        <v>1823</v>
      </c>
      <c r="B64" s="223" t="s">
        <v>644</v>
      </c>
      <c r="C64" s="224">
        <v>7</v>
      </c>
      <c r="D64" s="224">
        <v>21690</v>
      </c>
      <c r="E64" s="223"/>
      <c r="F64" s="224">
        <v>75288535082697</v>
      </c>
      <c r="G64" s="223" t="s">
        <v>7</v>
      </c>
      <c r="H64" s="224">
        <v>30709214078</v>
      </c>
      <c r="I64" s="223" t="s">
        <v>934</v>
      </c>
      <c r="J64" s="224">
        <v>1</v>
      </c>
      <c r="K64" s="223" t="s">
        <v>646</v>
      </c>
      <c r="L64" s="224">
        <v>607200</v>
      </c>
      <c r="M64" s="224">
        <v>0</v>
      </c>
      <c r="N64" s="224">
        <v>0</v>
      </c>
      <c r="O64" s="224">
        <v>0</v>
      </c>
      <c r="P64" s="224">
        <v>63756</v>
      </c>
      <c r="Q64" s="224">
        <v>670956</v>
      </c>
    </row>
    <row r="65" spans="1:17" x14ac:dyDescent="0.25">
      <c r="A65" s="223" t="s">
        <v>1823</v>
      </c>
      <c r="B65" s="223" t="s">
        <v>644</v>
      </c>
      <c r="C65" s="224">
        <v>5015</v>
      </c>
      <c r="D65" s="224">
        <v>923924</v>
      </c>
      <c r="E65" s="223"/>
      <c r="F65" s="224">
        <v>75294616216653</v>
      </c>
      <c r="G65" s="223" t="s">
        <v>7</v>
      </c>
      <c r="H65" s="224">
        <v>30574876474</v>
      </c>
      <c r="I65" s="223" t="s">
        <v>1196</v>
      </c>
      <c r="J65" s="224">
        <v>1</v>
      </c>
      <c r="K65" s="223" t="s">
        <v>646</v>
      </c>
      <c r="L65" s="225">
        <v>38953.67</v>
      </c>
      <c r="M65" s="224">
        <v>0</v>
      </c>
      <c r="N65" s="224">
        <v>0</v>
      </c>
      <c r="O65" s="225">
        <v>5063.95</v>
      </c>
      <c r="P65" s="225">
        <v>8180.24</v>
      </c>
      <c r="Q65" s="225">
        <v>52197.86</v>
      </c>
    </row>
    <row r="66" spans="1:17" x14ac:dyDescent="0.25">
      <c r="A66" s="223" t="s">
        <v>1823</v>
      </c>
      <c r="B66" s="223" t="s">
        <v>644</v>
      </c>
      <c r="C66" s="224">
        <v>50</v>
      </c>
      <c r="D66" s="224">
        <v>4470356</v>
      </c>
      <c r="E66" s="223"/>
      <c r="F66" s="224">
        <v>75296710412466</v>
      </c>
      <c r="G66" s="223" t="s">
        <v>7</v>
      </c>
      <c r="H66" s="224">
        <v>30714112836</v>
      </c>
      <c r="I66" s="223" t="s">
        <v>956</v>
      </c>
      <c r="J66" s="224">
        <v>1</v>
      </c>
      <c r="K66" s="223" t="s">
        <v>646</v>
      </c>
      <c r="L66" s="225">
        <v>4153.5200000000004</v>
      </c>
      <c r="M66" s="224">
        <v>0</v>
      </c>
      <c r="N66" s="224">
        <v>0</v>
      </c>
      <c r="O66" s="225">
        <v>124.61</v>
      </c>
      <c r="P66" s="225">
        <v>872.24</v>
      </c>
      <c r="Q66" s="225">
        <v>5150.37</v>
      </c>
    </row>
    <row r="67" spans="1:17" x14ac:dyDescent="0.25">
      <c r="A67" s="223" t="s">
        <v>1823</v>
      </c>
      <c r="B67" s="223" t="s">
        <v>644</v>
      </c>
      <c r="C67" s="224">
        <v>4</v>
      </c>
      <c r="D67" s="224">
        <v>70</v>
      </c>
      <c r="E67" s="223"/>
      <c r="F67" s="224">
        <v>75296644278283</v>
      </c>
      <c r="G67" s="223" t="s">
        <v>7</v>
      </c>
      <c r="H67" s="224">
        <v>20174004146</v>
      </c>
      <c r="I67" s="223" t="s">
        <v>389</v>
      </c>
      <c r="J67" s="224">
        <v>1</v>
      </c>
      <c r="K67" s="223" t="s">
        <v>646</v>
      </c>
      <c r="L67" s="224">
        <v>308000</v>
      </c>
      <c r="M67" s="224">
        <v>0</v>
      </c>
      <c r="N67" s="224">
        <v>0</v>
      </c>
      <c r="O67" s="224">
        <v>0</v>
      </c>
      <c r="P67" s="224">
        <v>64680</v>
      </c>
      <c r="Q67" s="224">
        <v>372680</v>
      </c>
    </row>
    <row r="68" spans="1:17" x14ac:dyDescent="0.25">
      <c r="A68" s="223" t="s">
        <v>1823</v>
      </c>
      <c r="B68" s="223" t="s">
        <v>655</v>
      </c>
      <c r="C68" s="224">
        <v>4</v>
      </c>
      <c r="D68" s="224">
        <v>41</v>
      </c>
      <c r="E68" s="223"/>
      <c r="F68" s="224">
        <v>75283527623181</v>
      </c>
      <c r="G68" s="223" t="s">
        <v>7</v>
      </c>
      <c r="H68" s="224">
        <v>20086277523</v>
      </c>
      <c r="I68" s="223" t="s">
        <v>37</v>
      </c>
      <c r="J68" s="224">
        <v>1</v>
      </c>
      <c r="K68" s="223" t="s">
        <v>646</v>
      </c>
      <c r="L68" s="223"/>
      <c r="M68" s="223"/>
      <c r="N68" s="223"/>
      <c r="O68" s="224">
        <v>0</v>
      </c>
      <c r="P68" s="223"/>
      <c r="Q68" s="224">
        <v>800000</v>
      </c>
    </row>
    <row r="69" spans="1:17" x14ac:dyDescent="0.25">
      <c r="A69" s="223" t="s">
        <v>1848</v>
      </c>
      <c r="B69" s="223" t="s">
        <v>644</v>
      </c>
      <c r="C69" s="224">
        <v>3</v>
      </c>
      <c r="D69" s="224">
        <v>3216303</v>
      </c>
      <c r="E69" s="223"/>
      <c r="F69" s="224">
        <v>75299680815470</v>
      </c>
      <c r="G69" s="223" t="s">
        <v>7</v>
      </c>
      <c r="H69" s="224">
        <v>30712019359</v>
      </c>
      <c r="I69" s="223" t="s">
        <v>2344</v>
      </c>
      <c r="J69" s="224">
        <v>1</v>
      </c>
      <c r="K69" s="223" t="s">
        <v>646</v>
      </c>
      <c r="L69" s="223">
        <v>16528.099999999999</v>
      </c>
      <c r="M69" s="224">
        <v>0</v>
      </c>
      <c r="N69" s="224">
        <v>0</v>
      </c>
      <c r="O69" s="225">
        <v>661.13</v>
      </c>
      <c r="P69" s="223">
        <v>3470.9</v>
      </c>
      <c r="Q69" s="225">
        <v>20660.13</v>
      </c>
    </row>
    <row r="70" spans="1:17" x14ac:dyDescent="0.25">
      <c r="A70" s="223" t="s">
        <v>1848</v>
      </c>
      <c r="B70" s="223" t="s">
        <v>644</v>
      </c>
      <c r="C70" s="224">
        <v>5</v>
      </c>
      <c r="D70" s="224">
        <v>169710</v>
      </c>
      <c r="E70" s="223"/>
      <c r="F70" s="224">
        <v>75293630628110</v>
      </c>
      <c r="G70" s="223" t="s">
        <v>7</v>
      </c>
      <c r="H70" s="224">
        <v>30598960093</v>
      </c>
      <c r="I70" s="223" t="s">
        <v>650</v>
      </c>
      <c r="J70" s="224">
        <v>1</v>
      </c>
      <c r="K70" s="223" t="s">
        <v>646</v>
      </c>
      <c r="L70" s="225">
        <v>3068718.75</v>
      </c>
      <c r="M70" s="224">
        <v>0</v>
      </c>
      <c r="N70" s="224">
        <v>0</v>
      </c>
      <c r="O70" s="225">
        <v>122748.75</v>
      </c>
      <c r="P70" s="225">
        <v>644430.93000000005</v>
      </c>
      <c r="Q70" s="225">
        <v>3835898.43</v>
      </c>
    </row>
    <row r="71" spans="1:17" x14ac:dyDescent="0.25">
      <c r="A71" s="223" t="s">
        <v>1848</v>
      </c>
      <c r="B71" s="223" t="s">
        <v>644</v>
      </c>
      <c r="C71" s="224">
        <v>2</v>
      </c>
      <c r="D71" s="224">
        <v>12394</v>
      </c>
      <c r="E71" s="223"/>
      <c r="F71" s="224">
        <v>75292643228832</v>
      </c>
      <c r="G71" s="223" t="s">
        <v>7</v>
      </c>
      <c r="H71" s="224">
        <v>30714331082</v>
      </c>
      <c r="I71" s="223" t="s">
        <v>936</v>
      </c>
      <c r="J71" s="224">
        <v>1</v>
      </c>
      <c r="K71" s="223" t="s">
        <v>646</v>
      </c>
      <c r="L71" s="225">
        <v>515221.38</v>
      </c>
      <c r="M71" s="224">
        <v>0</v>
      </c>
      <c r="N71" s="224">
        <v>0</v>
      </c>
      <c r="O71" s="224">
        <v>0</v>
      </c>
      <c r="P71" s="225">
        <v>54098.239999999998</v>
      </c>
      <c r="Q71" s="225">
        <v>569319.62</v>
      </c>
    </row>
    <row r="72" spans="1:17" x14ac:dyDescent="0.25">
      <c r="A72" s="223" t="s">
        <v>1848</v>
      </c>
      <c r="B72" s="223" t="s">
        <v>644</v>
      </c>
      <c r="C72" s="224">
        <v>2</v>
      </c>
      <c r="D72" s="224">
        <v>7912</v>
      </c>
      <c r="E72" s="223"/>
      <c r="F72" s="224">
        <v>75297651523996</v>
      </c>
      <c r="G72" s="223" t="s">
        <v>7</v>
      </c>
      <c r="H72" s="224">
        <v>30694549817</v>
      </c>
      <c r="I72" s="223" t="s">
        <v>2280</v>
      </c>
      <c r="J72" s="224">
        <v>1</v>
      </c>
      <c r="K72" s="223" t="s">
        <v>646</v>
      </c>
      <c r="L72" s="223">
        <v>458553.2</v>
      </c>
      <c r="M72" s="224">
        <v>0</v>
      </c>
      <c r="N72" s="224">
        <v>0</v>
      </c>
      <c r="O72" s="224">
        <v>0</v>
      </c>
      <c r="P72" s="225">
        <v>96296.17</v>
      </c>
      <c r="Q72" s="225">
        <v>554849.37</v>
      </c>
    </row>
    <row r="73" spans="1:17" x14ac:dyDescent="0.25">
      <c r="A73" s="223" t="s">
        <v>1848</v>
      </c>
      <c r="B73" s="223" t="s">
        <v>644</v>
      </c>
      <c r="C73" s="224">
        <v>629</v>
      </c>
      <c r="D73" s="224">
        <v>6280002</v>
      </c>
      <c r="E73" s="223"/>
      <c r="F73" s="224">
        <v>35283426391697</v>
      </c>
      <c r="G73" s="223" t="s">
        <v>7</v>
      </c>
      <c r="H73" s="224">
        <v>30663498513</v>
      </c>
      <c r="I73" s="223" t="s">
        <v>657</v>
      </c>
      <c r="J73" s="224">
        <v>1</v>
      </c>
      <c r="K73" s="223" t="s">
        <v>646</v>
      </c>
      <c r="L73" s="225">
        <v>1155.52</v>
      </c>
      <c r="M73" s="224">
        <v>0</v>
      </c>
      <c r="N73" s="224">
        <v>0</v>
      </c>
      <c r="O73" s="225">
        <v>46.22</v>
      </c>
      <c r="P73" s="225">
        <v>242.66</v>
      </c>
      <c r="Q73" s="223">
        <v>1444.4</v>
      </c>
    </row>
    <row r="74" spans="1:17" x14ac:dyDescent="0.25">
      <c r="A74" s="223" t="s">
        <v>1848</v>
      </c>
      <c r="B74" s="223" t="s">
        <v>644</v>
      </c>
      <c r="C74" s="224">
        <v>711</v>
      </c>
      <c r="D74" s="224">
        <v>7358779</v>
      </c>
      <c r="E74" s="223"/>
      <c r="F74" s="224">
        <v>35289849042259</v>
      </c>
      <c r="G74" s="223" t="s">
        <v>7</v>
      </c>
      <c r="H74" s="224">
        <v>30677237119</v>
      </c>
      <c r="I74" s="223" t="s">
        <v>658</v>
      </c>
      <c r="J74" s="224">
        <v>1</v>
      </c>
      <c r="K74" s="223" t="s">
        <v>646</v>
      </c>
      <c r="L74" s="225">
        <v>4391.03</v>
      </c>
      <c r="M74" s="224">
        <v>0</v>
      </c>
      <c r="N74" s="225">
        <v>131.72999999999999</v>
      </c>
      <c r="O74" s="225">
        <v>175.64</v>
      </c>
      <c r="P74" s="225">
        <v>922.12</v>
      </c>
      <c r="Q74" s="225">
        <v>5620.52</v>
      </c>
    </row>
    <row r="75" spans="1:17" x14ac:dyDescent="0.25">
      <c r="A75" s="223" t="s">
        <v>1848</v>
      </c>
      <c r="B75" s="223" t="s">
        <v>644</v>
      </c>
      <c r="C75" s="224">
        <v>8</v>
      </c>
      <c r="D75" s="224">
        <v>1832</v>
      </c>
      <c r="E75" s="223"/>
      <c r="F75" s="224">
        <v>75291689005125</v>
      </c>
      <c r="G75" s="223" t="s">
        <v>7</v>
      </c>
      <c r="H75" s="224">
        <v>30708973501</v>
      </c>
      <c r="I75" s="223" t="s">
        <v>678</v>
      </c>
      <c r="J75" s="224">
        <v>1</v>
      </c>
      <c r="K75" s="223" t="s">
        <v>646</v>
      </c>
      <c r="L75" s="224">
        <v>453718</v>
      </c>
      <c r="M75" s="224">
        <v>0</v>
      </c>
      <c r="N75" s="224">
        <v>0</v>
      </c>
      <c r="O75" s="224">
        <v>0</v>
      </c>
      <c r="P75" s="225">
        <v>95280.78</v>
      </c>
      <c r="Q75" s="225">
        <v>548998.78</v>
      </c>
    </row>
    <row r="76" spans="1:17" x14ac:dyDescent="0.25">
      <c r="A76" s="223" t="s">
        <v>1848</v>
      </c>
      <c r="B76" s="223" t="s">
        <v>644</v>
      </c>
      <c r="C76" s="224">
        <v>3</v>
      </c>
      <c r="D76" s="224">
        <v>6886</v>
      </c>
      <c r="E76" s="223"/>
      <c r="F76" s="224">
        <v>75299664615823</v>
      </c>
      <c r="G76" s="223" t="s">
        <v>7</v>
      </c>
      <c r="H76" s="224">
        <v>30707042679</v>
      </c>
      <c r="I76" s="223" t="s">
        <v>2275</v>
      </c>
      <c r="J76" s="224">
        <v>1</v>
      </c>
      <c r="K76" s="223" t="s">
        <v>646</v>
      </c>
      <c r="L76" s="224">
        <v>1080000</v>
      </c>
      <c r="M76" s="224">
        <v>0</v>
      </c>
      <c r="N76" s="224">
        <v>0</v>
      </c>
      <c r="O76" s="224">
        <v>0</v>
      </c>
      <c r="P76" s="224">
        <v>226800</v>
      </c>
      <c r="Q76" s="224">
        <v>1306800</v>
      </c>
    </row>
    <row r="77" spans="1:17" x14ac:dyDescent="0.25">
      <c r="A77" s="223" t="s">
        <v>1848</v>
      </c>
      <c r="B77" s="223" t="s">
        <v>655</v>
      </c>
      <c r="C77" s="224">
        <v>1</v>
      </c>
      <c r="D77" s="224">
        <v>82</v>
      </c>
      <c r="E77" s="223"/>
      <c r="F77" s="224">
        <v>75294660977647</v>
      </c>
      <c r="G77" s="223" t="s">
        <v>7</v>
      </c>
      <c r="H77" s="224">
        <v>23281233084</v>
      </c>
      <c r="I77" s="223" t="s">
        <v>184</v>
      </c>
      <c r="J77" s="224">
        <v>1</v>
      </c>
      <c r="K77" s="223" t="s">
        <v>646</v>
      </c>
      <c r="L77" s="223"/>
      <c r="M77" s="223"/>
      <c r="N77" s="223"/>
      <c r="O77" s="224">
        <v>0</v>
      </c>
      <c r="P77" s="223"/>
      <c r="Q77" s="224">
        <v>300000</v>
      </c>
    </row>
    <row r="78" spans="1:17" x14ac:dyDescent="0.25">
      <c r="A78" s="223" t="s">
        <v>1905</v>
      </c>
      <c r="B78" s="223" t="s">
        <v>644</v>
      </c>
      <c r="C78" s="224">
        <v>43</v>
      </c>
      <c r="D78" s="224">
        <v>1186</v>
      </c>
      <c r="E78" s="223"/>
      <c r="F78" s="224">
        <v>75292764466585</v>
      </c>
      <c r="G78" s="223" t="s">
        <v>7</v>
      </c>
      <c r="H78" s="224">
        <v>30516199292</v>
      </c>
      <c r="I78" s="223" t="s">
        <v>2278</v>
      </c>
      <c r="J78" s="224">
        <v>1</v>
      </c>
      <c r="K78" s="223" t="s">
        <v>646</v>
      </c>
      <c r="L78" s="225">
        <v>1159191.52</v>
      </c>
      <c r="M78" s="224">
        <v>0</v>
      </c>
      <c r="N78" s="224">
        <v>0</v>
      </c>
      <c r="O78" s="225">
        <v>46367.66</v>
      </c>
      <c r="P78" s="225">
        <v>243430.22</v>
      </c>
      <c r="Q78" s="223">
        <v>1448989.4</v>
      </c>
    </row>
    <row r="79" spans="1:17" x14ac:dyDescent="0.25">
      <c r="A79" s="223" t="s">
        <v>1905</v>
      </c>
      <c r="B79" s="223" t="s">
        <v>644</v>
      </c>
      <c r="C79" s="224">
        <v>2</v>
      </c>
      <c r="D79" s="224">
        <v>1421</v>
      </c>
      <c r="E79" s="223"/>
      <c r="F79" s="224">
        <v>75299818959547</v>
      </c>
      <c r="G79" s="223" t="s">
        <v>7</v>
      </c>
      <c r="H79" s="224">
        <v>20272865869</v>
      </c>
      <c r="I79" s="223" t="s">
        <v>617</v>
      </c>
      <c r="J79" s="224">
        <v>1</v>
      </c>
      <c r="K79" s="223" t="s">
        <v>646</v>
      </c>
      <c r="L79" s="224">
        <v>299000</v>
      </c>
      <c r="M79" s="224">
        <v>0</v>
      </c>
      <c r="N79" s="224">
        <v>0</v>
      </c>
      <c r="O79" s="224">
        <v>0</v>
      </c>
      <c r="P79" s="224">
        <v>62790</v>
      </c>
      <c r="Q79" s="224">
        <v>361790</v>
      </c>
    </row>
    <row r="80" spans="1:17" x14ac:dyDescent="0.25">
      <c r="A80" s="223" t="s">
        <v>1905</v>
      </c>
      <c r="B80" s="223" t="s">
        <v>644</v>
      </c>
      <c r="C80" s="224">
        <v>2</v>
      </c>
      <c r="D80" s="224">
        <v>12406</v>
      </c>
      <c r="E80" s="223"/>
      <c r="F80" s="224">
        <v>75292799242028</v>
      </c>
      <c r="G80" s="223" t="s">
        <v>7</v>
      </c>
      <c r="H80" s="224">
        <v>30714331082</v>
      </c>
      <c r="I80" s="223" t="s">
        <v>936</v>
      </c>
      <c r="J80" s="224">
        <v>1</v>
      </c>
      <c r="K80" s="223" t="s">
        <v>646</v>
      </c>
      <c r="L80" s="225">
        <v>917813.57</v>
      </c>
      <c r="M80" s="224">
        <v>0</v>
      </c>
      <c r="N80" s="224">
        <v>0</v>
      </c>
      <c r="O80" s="224">
        <v>0</v>
      </c>
      <c r="P80" s="225">
        <v>96370.42</v>
      </c>
      <c r="Q80" s="225">
        <v>1014183.99</v>
      </c>
    </row>
    <row r="81" spans="1:17" x14ac:dyDescent="0.25">
      <c r="A81" s="223" t="s">
        <v>1905</v>
      </c>
      <c r="B81" s="223" t="s">
        <v>644</v>
      </c>
      <c r="C81" s="224">
        <v>4264</v>
      </c>
      <c r="D81" s="224">
        <v>5745961</v>
      </c>
      <c r="E81" s="223"/>
      <c r="F81" s="224">
        <v>75298957750230</v>
      </c>
      <c r="G81" s="223" t="s">
        <v>7</v>
      </c>
      <c r="H81" s="224">
        <v>30639453738</v>
      </c>
      <c r="I81" s="223" t="s">
        <v>697</v>
      </c>
      <c r="J81" s="224">
        <v>1</v>
      </c>
      <c r="K81" s="223" t="s">
        <v>646</v>
      </c>
      <c r="L81" s="225">
        <v>48761.16</v>
      </c>
      <c r="M81" s="224">
        <v>0</v>
      </c>
      <c r="N81" s="224">
        <v>0</v>
      </c>
      <c r="O81" s="225">
        <v>3413.28</v>
      </c>
      <c r="P81" s="225">
        <v>10239.84</v>
      </c>
      <c r="Q81" s="225">
        <v>62414.28</v>
      </c>
    </row>
    <row r="82" spans="1:17" x14ac:dyDescent="0.25">
      <c r="A82" s="223" t="s">
        <v>1905</v>
      </c>
      <c r="B82" s="223" t="s">
        <v>644</v>
      </c>
      <c r="C82" s="224">
        <v>4</v>
      </c>
      <c r="D82" s="224">
        <v>72</v>
      </c>
      <c r="E82" s="223"/>
      <c r="F82" s="224">
        <v>75296256891743</v>
      </c>
      <c r="G82" s="223" t="s">
        <v>7</v>
      </c>
      <c r="H82" s="224">
        <v>20174004146</v>
      </c>
      <c r="I82" s="223" t="s">
        <v>389</v>
      </c>
      <c r="J82" s="224">
        <v>1</v>
      </c>
      <c r="K82" s="223" t="s">
        <v>646</v>
      </c>
      <c r="L82" s="224">
        <v>224000</v>
      </c>
      <c r="M82" s="224">
        <v>0</v>
      </c>
      <c r="N82" s="224">
        <v>0</v>
      </c>
      <c r="O82" s="224">
        <v>0</v>
      </c>
      <c r="P82" s="224">
        <v>47040</v>
      </c>
      <c r="Q82" s="224">
        <v>271040</v>
      </c>
    </row>
    <row r="83" spans="1:17" x14ac:dyDescent="0.25">
      <c r="A83" s="223" t="s">
        <v>1939</v>
      </c>
      <c r="B83" s="223" t="s">
        <v>644</v>
      </c>
      <c r="C83" s="224">
        <v>4</v>
      </c>
      <c r="D83" s="224">
        <v>40607</v>
      </c>
      <c r="E83" s="223"/>
      <c r="F83" s="224">
        <v>75299936001695</v>
      </c>
      <c r="G83" s="223" t="s">
        <v>7</v>
      </c>
      <c r="H83" s="224">
        <v>20289111329</v>
      </c>
      <c r="I83" s="223" t="s">
        <v>685</v>
      </c>
      <c r="J83" s="224">
        <v>1</v>
      </c>
      <c r="K83" s="223" t="s">
        <v>646</v>
      </c>
      <c r="L83" s="225">
        <v>520168.01</v>
      </c>
      <c r="M83" s="224">
        <v>0</v>
      </c>
      <c r="N83" s="224">
        <v>0</v>
      </c>
      <c r="O83" s="224">
        <v>0</v>
      </c>
      <c r="P83" s="225">
        <v>109235.28</v>
      </c>
      <c r="Q83" s="225">
        <v>629403.29</v>
      </c>
    </row>
    <row r="84" spans="1:17" x14ac:dyDescent="0.25">
      <c r="A84" s="223" t="s">
        <v>1939</v>
      </c>
      <c r="B84" s="223" t="s">
        <v>644</v>
      </c>
      <c r="C84" s="224">
        <v>15</v>
      </c>
      <c r="D84" s="224">
        <v>59174</v>
      </c>
      <c r="E84" s="223"/>
      <c r="F84" s="224">
        <v>75292904479322</v>
      </c>
      <c r="G84" s="223" t="s">
        <v>7</v>
      </c>
      <c r="H84" s="224">
        <v>30586185922</v>
      </c>
      <c r="I84" s="223" t="s">
        <v>2345</v>
      </c>
      <c r="J84" s="224">
        <v>1</v>
      </c>
      <c r="K84" s="223" t="s">
        <v>646</v>
      </c>
      <c r="L84" s="225">
        <v>63341.31</v>
      </c>
      <c r="M84" s="224">
        <v>0</v>
      </c>
      <c r="N84" s="224">
        <v>0</v>
      </c>
      <c r="O84" s="224">
        <v>0</v>
      </c>
      <c r="P84" s="225">
        <v>13301.68</v>
      </c>
      <c r="Q84" s="225">
        <v>76642.990000000005</v>
      </c>
    </row>
    <row r="85" spans="1:17" x14ac:dyDescent="0.25">
      <c r="A85" s="223" t="s">
        <v>1939</v>
      </c>
      <c r="B85" s="223" t="s">
        <v>644</v>
      </c>
      <c r="C85" s="224">
        <v>4</v>
      </c>
      <c r="D85" s="224">
        <v>7406</v>
      </c>
      <c r="E85" s="223"/>
      <c r="F85" s="224">
        <v>75292897237030</v>
      </c>
      <c r="G85" s="223" t="s">
        <v>7</v>
      </c>
      <c r="H85" s="224">
        <v>20183882512</v>
      </c>
      <c r="I85" s="223" t="s">
        <v>2346</v>
      </c>
      <c r="J85" s="224">
        <v>1</v>
      </c>
      <c r="K85" s="223" t="s">
        <v>646</v>
      </c>
      <c r="L85" s="224">
        <v>120000</v>
      </c>
      <c r="M85" s="224">
        <v>0</v>
      </c>
      <c r="N85" s="224">
        <v>0</v>
      </c>
      <c r="O85" s="224">
        <v>0</v>
      </c>
      <c r="P85" s="224">
        <v>25200</v>
      </c>
      <c r="Q85" s="224">
        <v>145200</v>
      </c>
    </row>
    <row r="86" spans="1:17" x14ac:dyDescent="0.25">
      <c r="A86" s="223" t="s">
        <v>1939</v>
      </c>
      <c r="B86" s="223" t="s">
        <v>644</v>
      </c>
      <c r="C86" s="224">
        <v>3</v>
      </c>
      <c r="D86" s="224">
        <v>9379</v>
      </c>
      <c r="E86" s="223"/>
      <c r="F86" s="224">
        <v>75299929932405</v>
      </c>
      <c r="G86" s="223" t="s">
        <v>7</v>
      </c>
      <c r="H86" s="224">
        <v>33708218699</v>
      </c>
      <c r="I86" s="223" t="s">
        <v>682</v>
      </c>
      <c r="J86" s="224">
        <v>1</v>
      </c>
      <c r="K86" s="223" t="s">
        <v>646</v>
      </c>
      <c r="L86" s="224">
        <v>30000</v>
      </c>
      <c r="M86" s="224">
        <v>0</v>
      </c>
      <c r="N86" s="224">
        <v>0</v>
      </c>
      <c r="O86" s="224">
        <v>0</v>
      </c>
      <c r="P86" s="224">
        <v>6300</v>
      </c>
      <c r="Q86" s="224">
        <v>36300</v>
      </c>
    </row>
    <row r="87" spans="1:17" x14ac:dyDescent="0.25">
      <c r="A87" s="223" t="s">
        <v>1939</v>
      </c>
      <c r="B87" s="223" t="s">
        <v>644</v>
      </c>
      <c r="C87" s="224">
        <v>5</v>
      </c>
      <c r="D87" s="224">
        <v>56</v>
      </c>
      <c r="E87" s="223"/>
      <c r="F87" s="224">
        <v>75293891442678</v>
      </c>
      <c r="G87" s="223" t="s">
        <v>7</v>
      </c>
      <c r="H87" s="224">
        <v>20929183143</v>
      </c>
      <c r="I87" s="223" t="s">
        <v>461</v>
      </c>
      <c r="J87" s="224">
        <v>1</v>
      </c>
      <c r="K87" s="223" t="s">
        <v>646</v>
      </c>
      <c r="L87" s="224">
        <v>85000</v>
      </c>
      <c r="M87" s="224">
        <v>0</v>
      </c>
      <c r="N87" s="224">
        <v>0</v>
      </c>
      <c r="O87" s="224">
        <v>0</v>
      </c>
      <c r="P87" s="224">
        <v>17850</v>
      </c>
      <c r="Q87" s="224">
        <v>102850</v>
      </c>
    </row>
    <row r="88" spans="1:17" x14ac:dyDescent="0.25">
      <c r="A88" s="223" t="s">
        <v>1939</v>
      </c>
      <c r="B88" s="223" t="s">
        <v>644</v>
      </c>
      <c r="C88" s="224">
        <v>4</v>
      </c>
      <c r="D88" s="224">
        <v>73</v>
      </c>
      <c r="E88" s="223"/>
      <c r="F88" s="224">
        <v>75296257227543</v>
      </c>
      <c r="G88" s="223" t="s">
        <v>7</v>
      </c>
      <c r="H88" s="224">
        <v>20174004146</v>
      </c>
      <c r="I88" s="223" t="s">
        <v>389</v>
      </c>
      <c r="J88" s="224">
        <v>1</v>
      </c>
      <c r="K88" s="223" t="s">
        <v>646</v>
      </c>
      <c r="L88" s="224">
        <v>320000</v>
      </c>
      <c r="M88" s="224">
        <v>0</v>
      </c>
      <c r="N88" s="224">
        <v>0</v>
      </c>
      <c r="O88" s="224">
        <v>0</v>
      </c>
      <c r="P88" s="224">
        <v>67200</v>
      </c>
      <c r="Q88" s="224">
        <v>387200</v>
      </c>
    </row>
    <row r="89" spans="1:17" x14ac:dyDescent="0.25">
      <c r="A89" s="223" t="s">
        <v>1956</v>
      </c>
      <c r="B89" s="223" t="s">
        <v>644</v>
      </c>
      <c r="C89" s="224">
        <v>5</v>
      </c>
      <c r="D89" s="224">
        <v>3341107</v>
      </c>
      <c r="E89" s="223"/>
      <c r="F89" s="224">
        <v>75295267128361</v>
      </c>
      <c r="G89" s="223" t="s">
        <v>7</v>
      </c>
      <c r="H89" s="224">
        <v>30702652975</v>
      </c>
      <c r="I89" s="223" t="s">
        <v>706</v>
      </c>
      <c r="J89" s="224">
        <v>1</v>
      </c>
      <c r="K89" s="223" t="s">
        <v>646</v>
      </c>
      <c r="L89" s="225">
        <v>35660.75</v>
      </c>
      <c r="M89" s="224">
        <v>0</v>
      </c>
      <c r="N89" s="224">
        <v>0</v>
      </c>
      <c r="O89" s="225">
        <v>1426.43</v>
      </c>
      <c r="P89" s="225">
        <v>7488.76</v>
      </c>
      <c r="Q89" s="225">
        <v>44575.94</v>
      </c>
    </row>
    <row r="90" spans="1:17" x14ac:dyDescent="0.25">
      <c r="A90" s="223" t="s">
        <v>1956</v>
      </c>
      <c r="B90" s="223" t="s">
        <v>644</v>
      </c>
      <c r="C90" s="224">
        <v>7</v>
      </c>
      <c r="D90" s="224">
        <v>1382</v>
      </c>
      <c r="E90" s="223"/>
      <c r="F90" s="224">
        <v>75292207048298</v>
      </c>
      <c r="G90" s="223" t="s">
        <v>7</v>
      </c>
      <c r="H90" s="224">
        <v>30677420622</v>
      </c>
      <c r="I90" s="223" t="s">
        <v>1193</v>
      </c>
      <c r="J90" s="224">
        <v>1</v>
      </c>
      <c r="K90" s="223" t="s">
        <v>646</v>
      </c>
      <c r="L90" s="225">
        <v>66363.64</v>
      </c>
      <c r="M90" s="224">
        <v>0</v>
      </c>
      <c r="N90" s="224">
        <v>0</v>
      </c>
      <c r="O90" s="224">
        <v>0</v>
      </c>
      <c r="P90" s="225">
        <v>13936.36</v>
      </c>
      <c r="Q90" s="224">
        <v>80300</v>
      </c>
    </row>
    <row r="91" spans="1:17" x14ac:dyDescent="0.25">
      <c r="A91" s="223" t="s">
        <v>1956</v>
      </c>
      <c r="B91" s="223" t="s">
        <v>644</v>
      </c>
      <c r="C91" s="224">
        <v>4</v>
      </c>
      <c r="D91" s="224">
        <v>78</v>
      </c>
      <c r="E91" s="223"/>
      <c r="F91" s="224">
        <v>75306724976310</v>
      </c>
      <c r="G91" s="223" t="s">
        <v>7</v>
      </c>
      <c r="H91" s="224">
        <v>20174004146</v>
      </c>
      <c r="I91" s="223" t="s">
        <v>389</v>
      </c>
      <c r="J91" s="224">
        <v>1</v>
      </c>
      <c r="K91" s="223" t="s">
        <v>646</v>
      </c>
      <c r="L91" s="224">
        <v>336000</v>
      </c>
      <c r="M91" s="224">
        <v>0</v>
      </c>
      <c r="N91" s="224">
        <v>0</v>
      </c>
      <c r="O91" s="224">
        <v>0</v>
      </c>
      <c r="P91" s="224">
        <v>70560</v>
      </c>
      <c r="Q91" s="224">
        <v>406560</v>
      </c>
    </row>
    <row r="92" spans="1:17" x14ac:dyDescent="0.25">
      <c r="A92" s="223" t="s">
        <v>1991</v>
      </c>
      <c r="B92" s="223" t="s">
        <v>644</v>
      </c>
      <c r="C92" s="224">
        <v>5</v>
      </c>
      <c r="D92" s="224">
        <v>170047</v>
      </c>
      <c r="E92" s="223"/>
      <c r="F92" s="224">
        <v>75293366924690</v>
      </c>
      <c r="G92" s="223" t="s">
        <v>7</v>
      </c>
      <c r="H92" s="224">
        <v>30598960093</v>
      </c>
      <c r="I92" s="223" t="s">
        <v>650</v>
      </c>
      <c r="J92" s="224">
        <v>1</v>
      </c>
      <c r="K92" s="223" t="s">
        <v>646</v>
      </c>
      <c r="L92" s="223">
        <v>442466.5</v>
      </c>
      <c r="M92" s="224">
        <v>0</v>
      </c>
      <c r="N92" s="224">
        <v>0</v>
      </c>
      <c r="O92" s="225">
        <v>17698.66</v>
      </c>
      <c r="P92" s="225">
        <v>92917.96</v>
      </c>
      <c r="Q92" s="225">
        <v>553083.12</v>
      </c>
    </row>
    <row r="93" spans="1:17" x14ac:dyDescent="0.25">
      <c r="A93" s="223" t="s">
        <v>1991</v>
      </c>
      <c r="B93" s="223" t="s">
        <v>644</v>
      </c>
      <c r="C93" s="224">
        <v>700</v>
      </c>
      <c r="D93" s="224">
        <v>2588871</v>
      </c>
      <c r="E93" s="223"/>
      <c r="F93" s="224">
        <v>75302454099139</v>
      </c>
      <c r="G93" s="223" t="s">
        <v>7</v>
      </c>
      <c r="H93" s="224">
        <v>30715804812</v>
      </c>
      <c r="I93" s="223" t="s">
        <v>669</v>
      </c>
      <c r="J93" s="224">
        <v>1</v>
      </c>
      <c r="K93" s="223" t="s">
        <v>646</v>
      </c>
      <c r="L93" s="225">
        <v>17471.669999999998</v>
      </c>
      <c r="M93" s="224">
        <v>0</v>
      </c>
      <c r="N93" s="224">
        <v>0</v>
      </c>
      <c r="O93" s="225">
        <v>698.86</v>
      </c>
      <c r="P93" s="225">
        <v>3669.05</v>
      </c>
      <c r="Q93" s="225">
        <v>21839.58</v>
      </c>
    </row>
    <row r="94" spans="1:17" x14ac:dyDescent="0.25">
      <c r="A94" s="223" t="s">
        <v>1991</v>
      </c>
      <c r="B94" s="223" t="s">
        <v>644</v>
      </c>
      <c r="C94" s="224">
        <v>700</v>
      </c>
      <c r="D94" s="224">
        <v>2588872</v>
      </c>
      <c r="E94" s="223"/>
      <c r="F94" s="224">
        <v>75302454099142</v>
      </c>
      <c r="G94" s="223" t="s">
        <v>7</v>
      </c>
      <c r="H94" s="224">
        <v>30715804812</v>
      </c>
      <c r="I94" s="223" t="s">
        <v>669</v>
      </c>
      <c r="J94" s="224">
        <v>1</v>
      </c>
      <c r="K94" s="223" t="s">
        <v>646</v>
      </c>
      <c r="L94" s="225">
        <v>831.98</v>
      </c>
      <c r="M94" s="224">
        <v>0</v>
      </c>
      <c r="N94" s="224">
        <v>0</v>
      </c>
      <c r="O94" s="224">
        <v>0</v>
      </c>
      <c r="P94" s="225">
        <v>174.72</v>
      </c>
      <c r="Q94" s="223">
        <v>1006.7</v>
      </c>
    </row>
    <row r="95" spans="1:17" x14ac:dyDescent="0.25">
      <c r="A95" s="223" t="s">
        <v>1991</v>
      </c>
      <c r="B95" s="223" t="s">
        <v>655</v>
      </c>
      <c r="C95" s="224">
        <v>1</v>
      </c>
      <c r="D95" s="224">
        <v>182</v>
      </c>
      <c r="E95" s="223"/>
      <c r="F95" s="224">
        <v>75290422075322</v>
      </c>
      <c r="G95" s="223" t="s">
        <v>7</v>
      </c>
      <c r="H95" s="224">
        <v>27338342840</v>
      </c>
      <c r="I95" s="223" t="s">
        <v>424</v>
      </c>
      <c r="J95" s="224">
        <v>1</v>
      </c>
      <c r="K95" s="223" t="s">
        <v>646</v>
      </c>
      <c r="L95" s="223"/>
      <c r="M95" s="223"/>
      <c r="N95" s="223"/>
      <c r="O95" s="224">
        <v>0</v>
      </c>
      <c r="P95" s="223"/>
      <c r="Q95" s="224">
        <v>610000</v>
      </c>
    </row>
    <row r="96" spans="1:17" x14ac:dyDescent="0.25">
      <c r="A96" s="223" t="s">
        <v>2019</v>
      </c>
      <c r="B96" s="223" t="s">
        <v>644</v>
      </c>
      <c r="C96" s="224">
        <v>32</v>
      </c>
      <c r="D96" s="224">
        <v>166389</v>
      </c>
      <c r="E96" s="223"/>
      <c r="F96" s="224">
        <v>75307501191061</v>
      </c>
      <c r="G96" s="223" t="s">
        <v>7</v>
      </c>
      <c r="H96" s="224">
        <v>30708847247</v>
      </c>
      <c r="I96" s="223" t="s">
        <v>946</v>
      </c>
      <c r="J96" s="224">
        <v>1</v>
      </c>
      <c r="K96" s="223" t="s">
        <v>646</v>
      </c>
      <c r="L96" s="225">
        <v>45513.95</v>
      </c>
      <c r="M96" s="224">
        <v>0</v>
      </c>
      <c r="N96" s="224">
        <v>0</v>
      </c>
      <c r="O96" s="225">
        <v>1820.56</v>
      </c>
      <c r="P96" s="225">
        <v>9557.93</v>
      </c>
      <c r="Q96" s="225">
        <v>56892.44</v>
      </c>
    </row>
    <row r="97" spans="1:17" x14ac:dyDescent="0.25">
      <c r="A97" s="223" t="s">
        <v>2019</v>
      </c>
      <c r="B97" s="223" t="s">
        <v>644</v>
      </c>
      <c r="C97" s="224">
        <v>17</v>
      </c>
      <c r="D97" s="224">
        <v>3152</v>
      </c>
      <c r="E97" s="223"/>
      <c r="F97" s="224">
        <v>75301487749803</v>
      </c>
      <c r="G97" s="223" t="s">
        <v>7</v>
      </c>
      <c r="H97" s="224">
        <v>30711764921</v>
      </c>
      <c r="I97" s="223" t="s">
        <v>651</v>
      </c>
      <c r="J97" s="224">
        <v>1</v>
      </c>
      <c r="K97" s="223" t="s">
        <v>646</v>
      </c>
      <c r="L97" s="225">
        <v>218158.16</v>
      </c>
      <c r="M97" s="224">
        <v>0</v>
      </c>
      <c r="N97" s="224">
        <v>0</v>
      </c>
      <c r="O97" s="224">
        <v>0</v>
      </c>
      <c r="P97" s="225">
        <v>45813.21</v>
      </c>
      <c r="Q97" s="225">
        <v>263971.37</v>
      </c>
    </row>
    <row r="98" spans="1:17" x14ac:dyDescent="0.25">
      <c r="A98" s="223" t="s">
        <v>2019</v>
      </c>
      <c r="B98" s="223" t="s">
        <v>644</v>
      </c>
      <c r="C98" s="224">
        <v>3</v>
      </c>
      <c r="D98" s="224">
        <v>54442</v>
      </c>
      <c r="E98" s="223"/>
      <c r="F98" s="224">
        <v>75309505073633</v>
      </c>
      <c r="G98" s="223" t="s">
        <v>7</v>
      </c>
      <c r="H98" s="224">
        <v>30577744579</v>
      </c>
      <c r="I98" s="223" t="s">
        <v>1404</v>
      </c>
      <c r="J98" s="224">
        <v>1</v>
      </c>
      <c r="K98" s="223" t="s">
        <v>646</v>
      </c>
      <c r="L98" s="225">
        <v>72970.23</v>
      </c>
      <c r="M98" s="224">
        <v>0</v>
      </c>
      <c r="N98" s="224">
        <v>0</v>
      </c>
      <c r="O98" s="224">
        <v>0</v>
      </c>
      <c r="P98" s="225">
        <v>15323.75</v>
      </c>
      <c r="Q98" s="225">
        <v>88293.98</v>
      </c>
    </row>
    <row r="99" spans="1:17" x14ac:dyDescent="0.25">
      <c r="A99" s="223" t="s">
        <v>2019</v>
      </c>
      <c r="B99" s="223" t="s">
        <v>644</v>
      </c>
      <c r="C99" s="224">
        <v>4</v>
      </c>
      <c r="D99" s="224">
        <v>79</v>
      </c>
      <c r="E99" s="223"/>
      <c r="F99" s="224">
        <v>75306725521677</v>
      </c>
      <c r="G99" s="223" t="s">
        <v>7</v>
      </c>
      <c r="H99" s="224">
        <v>20174004146</v>
      </c>
      <c r="I99" s="223" t="s">
        <v>389</v>
      </c>
      <c r="J99" s="224">
        <v>1</v>
      </c>
      <c r="K99" s="223" t="s">
        <v>646</v>
      </c>
      <c r="L99" s="224">
        <v>84000</v>
      </c>
      <c r="M99" s="224">
        <v>0</v>
      </c>
      <c r="N99" s="224">
        <v>0</v>
      </c>
      <c r="O99" s="224">
        <v>0</v>
      </c>
      <c r="P99" s="224">
        <v>17640</v>
      </c>
      <c r="Q99" s="224">
        <v>101640</v>
      </c>
    </row>
    <row r="100" spans="1:17" x14ac:dyDescent="0.25">
      <c r="A100" s="223" t="s">
        <v>2034</v>
      </c>
      <c r="B100" s="223" t="s">
        <v>644</v>
      </c>
      <c r="C100" s="224">
        <v>1</v>
      </c>
      <c r="D100" s="224">
        <v>8067</v>
      </c>
      <c r="E100" s="223"/>
      <c r="F100" s="224">
        <v>75301612348221</v>
      </c>
      <c r="G100" s="223" t="s">
        <v>7</v>
      </c>
      <c r="H100" s="224">
        <v>30715141201</v>
      </c>
      <c r="I100" s="223" t="s">
        <v>649</v>
      </c>
      <c r="J100" s="224">
        <v>1</v>
      </c>
      <c r="K100" s="223" t="s">
        <v>646</v>
      </c>
      <c r="L100" s="224">
        <v>3308625</v>
      </c>
      <c r="M100" s="224">
        <v>0</v>
      </c>
      <c r="N100" s="224">
        <v>0</v>
      </c>
      <c r="O100" s="224">
        <v>0</v>
      </c>
      <c r="P100" s="225">
        <v>694811.25</v>
      </c>
      <c r="Q100" s="225">
        <v>4003436.25</v>
      </c>
    </row>
    <row r="101" spans="1:17" x14ac:dyDescent="0.25">
      <c r="A101" s="223" t="s">
        <v>2034</v>
      </c>
      <c r="B101" s="223" t="s">
        <v>644</v>
      </c>
      <c r="C101" s="224">
        <v>2</v>
      </c>
      <c r="D101" s="224">
        <v>1428</v>
      </c>
      <c r="E101" s="223"/>
      <c r="F101" s="224">
        <v>75309640050549</v>
      </c>
      <c r="G101" s="223" t="s">
        <v>7</v>
      </c>
      <c r="H101" s="224">
        <v>20272865869</v>
      </c>
      <c r="I101" s="223" t="s">
        <v>617</v>
      </c>
      <c r="J101" s="224">
        <v>1</v>
      </c>
      <c r="K101" s="223" t="s">
        <v>646</v>
      </c>
      <c r="L101" s="224">
        <v>126400</v>
      </c>
      <c r="M101" s="224">
        <v>0</v>
      </c>
      <c r="N101" s="224">
        <v>0</v>
      </c>
      <c r="O101" s="224">
        <v>0</v>
      </c>
      <c r="P101" s="224">
        <v>26544</v>
      </c>
      <c r="Q101" s="224">
        <v>152944</v>
      </c>
    </row>
    <row r="102" spans="1:17" x14ac:dyDescent="0.25">
      <c r="A102" s="223" t="s">
        <v>2034</v>
      </c>
      <c r="B102" s="223" t="s">
        <v>644</v>
      </c>
      <c r="C102" s="224">
        <v>7</v>
      </c>
      <c r="D102" s="224">
        <v>4030</v>
      </c>
      <c r="E102" s="223"/>
      <c r="F102" s="224">
        <v>75304611220896</v>
      </c>
      <c r="G102" s="223" t="s">
        <v>7</v>
      </c>
      <c r="H102" s="224">
        <v>20284183534</v>
      </c>
      <c r="I102" s="223" t="s">
        <v>440</v>
      </c>
      <c r="J102" s="224">
        <v>1</v>
      </c>
      <c r="K102" s="223" t="s">
        <v>646</v>
      </c>
      <c r="L102" s="223">
        <v>19049.599999999999</v>
      </c>
      <c r="M102" s="224">
        <v>0</v>
      </c>
      <c r="N102" s="224">
        <v>0</v>
      </c>
      <c r="O102" s="224">
        <v>0</v>
      </c>
      <c r="P102" s="225">
        <v>4000.42</v>
      </c>
      <c r="Q102" s="225">
        <v>23050.02</v>
      </c>
    </row>
    <row r="103" spans="1:17" x14ac:dyDescent="0.25">
      <c r="A103" s="223" t="s">
        <v>2034</v>
      </c>
      <c r="B103" s="223" t="s">
        <v>644</v>
      </c>
      <c r="C103" s="224">
        <v>1</v>
      </c>
      <c r="D103" s="224">
        <v>8066</v>
      </c>
      <c r="E103" s="223"/>
      <c r="F103" s="224">
        <v>75301611241072</v>
      </c>
      <c r="G103" s="223" t="s">
        <v>7</v>
      </c>
      <c r="H103" s="224">
        <v>30715141201</v>
      </c>
      <c r="I103" s="223" t="s">
        <v>649</v>
      </c>
      <c r="J103" s="224">
        <v>1</v>
      </c>
      <c r="K103" s="223" t="s">
        <v>646</v>
      </c>
      <c r="L103" s="225">
        <v>2167818.75</v>
      </c>
      <c r="M103" s="224">
        <v>0</v>
      </c>
      <c r="N103" s="224">
        <v>0</v>
      </c>
      <c r="O103" s="224">
        <v>0</v>
      </c>
      <c r="P103" s="225">
        <v>455241.94</v>
      </c>
      <c r="Q103" s="225">
        <v>2623060.69</v>
      </c>
    </row>
    <row r="104" spans="1:17" x14ac:dyDescent="0.25">
      <c r="A104" s="223" t="s">
        <v>2034</v>
      </c>
      <c r="B104" s="223" t="s">
        <v>644</v>
      </c>
      <c r="C104" s="224">
        <v>1</v>
      </c>
      <c r="D104" s="224">
        <v>8069</v>
      </c>
      <c r="E104" s="223"/>
      <c r="F104" s="224">
        <v>75301616524169</v>
      </c>
      <c r="G104" s="223" t="s">
        <v>7</v>
      </c>
      <c r="H104" s="224">
        <v>30715141201</v>
      </c>
      <c r="I104" s="223" t="s">
        <v>649</v>
      </c>
      <c r="J104" s="224">
        <v>1</v>
      </c>
      <c r="K104" s="223" t="s">
        <v>646</v>
      </c>
      <c r="L104" s="225">
        <v>810267.77</v>
      </c>
      <c r="M104" s="224">
        <v>0</v>
      </c>
      <c r="N104" s="224">
        <v>0</v>
      </c>
      <c r="O104" s="224">
        <v>0</v>
      </c>
      <c r="P104" s="225">
        <v>170156.23</v>
      </c>
      <c r="Q104" s="224">
        <v>980424</v>
      </c>
    </row>
    <row r="105" spans="1:17" x14ac:dyDescent="0.25">
      <c r="A105" s="223" t="s">
        <v>2034</v>
      </c>
      <c r="B105" s="223" t="s">
        <v>644</v>
      </c>
      <c r="C105" s="224">
        <v>7</v>
      </c>
      <c r="D105" s="224">
        <v>21823</v>
      </c>
      <c r="E105" s="223"/>
      <c r="F105" s="224">
        <v>75308654291584</v>
      </c>
      <c r="G105" s="223" t="s">
        <v>7</v>
      </c>
      <c r="H105" s="224">
        <v>30709214078</v>
      </c>
      <c r="I105" s="223" t="s">
        <v>934</v>
      </c>
      <c r="J105" s="224">
        <v>1</v>
      </c>
      <c r="K105" s="223" t="s">
        <v>646</v>
      </c>
      <c r="L105" s="224">
        <v>746350</v>
      </c>
      <c r="M105" s="224">
        <v>0</v>
      </c>
      <c r="N105" s="224">
        <v>0</v>
      </c>
      <c r="O105" s="224">
        <v>0</v>
      </c>
      <c r="P105" s="225">
        <v>78366.75</v>
      </c>
      <c r="Q105" s="225">
        <v>824716.75</v>
      </c>
    </row>
    <row r="106" spans="1:17" x14ac:dyDescent="0.25">
      <c r="A106" s="223" t="s">
        <v>2034</v>
      </c>
      <c r="B106" s="223" t="s">
        <v>644</v>
      </c>
      <c r="C106" s="224">
        <v>3</v>
      </c>
      <c r="D106" s="224">
        <v>50810</v>
      </c>
      <c r="E106" s="223"/>
      <c r="F106" s="224">
        <v>75308651666323</v>
      </c>
      <c r="G106" s="223" t="s">
        <v>7</v>
      </c>
      <c r="H106" s="224">
        <v>30711454388</v>
      </c>
      <c r="I106" s="223" t="s">
        <v>947</v>
      </c>
      <c r="J106" s="224">
        <v>1</v>
      </c>
      <c r="K106" s="223" t="s">
        <v>646</v>
      </c>
      <c r="L106" s="224">
        <v>989124</v>
      </c>
      <c r="M106" s="224">
        <v>0</v>
      </c>
      <c r="N106" s="224">
        <v>0</v>
      </c>
      <c r="O106" s="224">
        <v>0</v>
      </c>
      <c r="P106" s="225">
        <v>207716.04</v>
      </c>
      <c r="Q106" s="225">
        <v>1196840.04</v>
      </c>
    </row>
    <row r="107" spans="1:17" x14ac:dyDescent="0.25">
      <c r="A107" s="223" t="s">
        <v>2087</v>
      </c>
      <c r="B107" s="223" t="s">
        <v>644</v>
      </c>
      <c r="C107" s="224">
        <v>1</v>
      </c>
      <c r="D107" s="224">
        <v>8083</v>
      </c>
      <c r="E107" s="223"/>
      <c r="F107" s="224">
        <v>75301748534126</v>
      </c>
      <c r="G107" s="223" t="s">
        <v>7</v>
      </c>
      <c r="H107" s="224">
        <v>30715141201</v>
      </c>
      <c r="I107" s="223" t="s">
        <v>649</v>
      </c>
      <c r="J107" s="224">
        <v>1</v>
      </c>
      <c r="K107" s="223" t="s">
        <v>646</v>
      </c>
      <c r="L107" s="225">
        <v>857756.25</v>
      </c>
      <c r="M107" s="224">
        <v>0</v>
      </c>
      <c r="N107" s="224">
        <v>0</v>
      </c>
      <c r="O107" s="224">
        <v>0</v>
      </c>
      <c r="P107" s="225">
        <v>180128.81</v>
      </c>
      <c r="Q107" s="225">
        <v>1037885.06</v>
      </c>
    </row>
    <row r="108" spans="1:17" x14ac:dyDescent="0.25">
      <c r="A108" s="223" t="s">
        <v>2087</v>
      </c>
      <c r="B108" s="223" t="s">
        <v>644</v>
      </c>
      <c r="C108" s="224">
        <v>2</v>
      </c>
      <c r="D108" s="224">
        <v>1432</v>
      </c>
      <c r="E108" s="223"/>
      <c r="F108" s="224">
        <v>75309711243072</v>
      </c>
      <c r="G108" s="223" t="s">
        <v>7</v>
      </c>
      <c r="H108" s="224">
        <v>20272865869</v>
      </c>
      <c r="I108" s="223" t="s">
        <v>617</v>
      </c>
      <c r="J108" s="224">
        <v>1</v>
      </c>
      <c r="K108" s="223" t="s">
        <v>646</v>
      </c>
      <c r="L108" s="224">
        <v>49000</v>
      </c>
      <c r="M108" s="224">
        <v>0</v>
      </c>
      <c r="N108" s="224">
        <v>0</v>
      </c>
      <c r="O108" s="224">
        <v>0</v>
      </c>
      <c r="P108" s="224">
        <v>10290</v>
      </c>
      <c r="Q108" s="224">
        <v>59290</v>
      </c>
    </row>
    <row r="109" spans="1:17" x14ac:dyDescent="0.25">
      <c r="A109" s="223" t="s">
        <v>2087</v>
      </c>
      <c r="B109" s="223" t="s">
        <v>644</v>
      </c>
      <c r="C109" s="224">
        <v>8</v>
      </c>
      <c r="D109" s="224">
        <v>446</v>
      </c>
      <c r="E109" s="223"/>
      <c r="F109" s="224">
        <v>75304721325499</v>
      </c>
      <c r="G109" s="223" t="s">
        <v>7</v>
      </c>
      <c r="H109" s="224">
        <v>30643518364</v>
      </c>
      <c r="I109" s="223" t="s">
        <v>668</v>
      </c>
      <c r="J109" s="224">
        <v>1</v>
      </c>
      <c r="K109" s="223" t="s">
        <v>646</v>
      </c>
      <c r="L109" s="224">
        <v>429580</v>
      </c>
      <c r="M109" s="224">
        <v>0</v>
      </c>
      <c r="N109" s="224">
        <v>0</v>
      </c>
      <c r="O109" s="224">
        <v>0</v>
      </c>
      <c r="P109" s="223">
        <v>90211.8</v>
      </c>
      <c r="Q109" s="223">
        <v>519791.8</v>
      </c>
    </row>
    <row r="110" spans="1:17" x14ac:dyDescent="0.25">
      <c r="A110" s="223" t="s">
        <v>2087</v>
      </c>
      <c r="B110" s="223" t="s">
        <v>644</v>
      </c>
      <c r="C110" s="224">
        <v>7</v>
      </c>
      <c r="D110" s="224">
        <v>21825</v>
      </c>
      <c r="E110" s="223"/>
      <c r="F110" s="224">
        <v>75308740108854</v>
      </c>
      <c r="G110" s="223" t="s">
        <v>7</v>
      </c>
      <c r="H110" s="224">
        <v>30709214078</v>
      </c>
      <c r="I110" s="223" t="s">
        <v>934</v>
      </c>
      <c r="J110" s="224">
        <v>1</v>
      </c>
      <c r="K110" s="223" t="s">
        <v>646</v>
      </c>
      <c r="L110" s="224">
        <v>151800</v>
      </c>
      <c r="M110" s="224">
        <v>0</v>
      </c>
      <c r="N110" s="224">
        <v>0</v>
      </c>
      <c r="O110" s="224">
        <v>0</v>
      </c>
      <c r="P110" s="224">
        <v>15939</v>
      </c>
      <c r="Q110" s="224">
        <v>167739</v>
      </c>
    </row>
    <row r="111" spans="1:17" x14ac:dyDescent="0.25">
      <c r="A111" s="223" t="s">
        <v>2087</v>
      </c>
      <c r="B111" s="223" t="s">
        <v>644</v>
      </c>
      <c r="C111" s="224">
        <v>3</v>
      </c>
      <c r="D111" s="224">
        <v>247</v>
      </c>
      <c r="E111" s="223"/>
      <c r="F111" s="224">
        <v>75304801610904</v>
      </c>
      <c r="G111" s="223" t="s">
        <v>7</v>
      </c>
      <c r="H111" s="224">
        <v>20134815494</v>
      </c>
      <c r="I111" s="223" t="s">
        <v>2339</v>
      </c>
      <c r="J111" s="224">
        <v>1</v>
      </c>
      <c r="K111" s="223" t="s">
        <v>646</v>
      </c>
      <c r="L111" s="225">
        <v>39669.620000000003</v>
      </c>
      <c r="M111" s="224">
        <v>0</v>
      </c>
      <c r="N111" s="224">
        <v>0</v>
      </c>
      <c r="O111" s="224">
        <v>0</v>
      </c>
      <c r="P111" s="225">
        <v>8330.6200000000008</v>
      </c>
      <c r="Q111" s="225">
        <v>48000.22</v>
      </c>
    </row>
    <row r="112" spans="1:17" x14ac:dyDescent="0.25">
      <c r="A112" s="223" t="s">
        <v>2087</v>
      </c>
      <c r="B112" s="223" t="s">
        <v>644</v>
      </c>
      <c r="C112" s="224">
        <v>3</v>
      </c>
      <c r="D112" s="224">
        <v>6895</v>
      </c>
      <c r="E112" s="223"/>
      <c r="F112" s="224">
        <v>75309759492662</v>
      </c>
      <c r="G112" s="223" t="s">
        <v>7</v>
      </c>
      <c r="H112" s="224">
        <v>30707042679</v>
      </c>
      <c r="I112" s="223" t="s">
        <v>2275</v>
      </c>
      <c r="J112" s="224">
        <v>1</v>
      </c>
      <c r="K112" s="223" t="s">
        <v>646</v>
      </c>
      <c r="L112" s="224">
        <v>1344422</v>
      </c>
      <c r="M112" s="224">
        <v>0</v>
      </c>
      <c r="N112" s="224">
        <v>0</v>
      </c>
      <c r="O112" s="224">
        <v>0</v>
      </c>
      <c r="P112" s="225">
        <v>282328.62</v>
      </c>
      <c r="Q112" s="225">
        <v>1626750.62</v>
      </c>
    </row>
    <row r="113" spans="1:17" x14ac:dyDescent="0.25">
      <c r="A113" s="223" t="s">
        <v>2087</v>
      </c>
      <c r="B113" s="223" t="s">
        <v>644</v>
      </c>
      <c r="C113" s="224">
        <v>2</v>
      </c>
      <c r="D113" s="224">
        <v>42</v>
      </c>
      <c r="E113" s="223"/>
      <c r="F113" s="224">
        <v>75305993787055</v>
      </c>
      <c r="G113" s="223" t="s">
        <v>7</v>
      </c>
      <c r="H113" s="224">
        <v>27243660535</v>
      </c>
      <c r="I113" s="223" t="s">
        <v>709</v>
      </c>
      <c r="J113" s="224">
        <v>1</v>
      </c>
      <c r="K113" s="223" t="s">
        <v>646</v>
      </c>
      <c r="L113" s="224">
        <v>414537</v>
      </c>
      <c r="M113" s="224">
        <v>0</v>
      </c>
      <c r="N113" s="224">
        <v>0</v>
      </c>
      <c r="O113" s="224">
        <v>0</v>
      </c>
      <c r="P113" s="225">
        <v>87052.77</v>
      </c>
      <c r="Q113" s="225">
        <v>501589.77</v>
      </c>
    </row>
    <row r="114" spans="1:17" x14ac:dyDescent="0.25">
      <c r="A114" s="223" t="s">
        <v>2116</v>
      </c>
      <c r="B114" s="223" t="s">
        <v>644</v>
      </c>
      <c r="C114" s="224">
        <v>3</v>
      </c>
      <c r="D114" s="224">
        <v>50854</v>
      </c>
      <c r="E114" s="223"/>
      <c r="F114" s="224">
        <v>75308068461034</v>
      </c>
      <c r="G114" s="223" t="s">
        <v>7</v>
      </c>
      <c r="H114" s="224">
        <v>30711454388</v>
      </c>
      <c r="I114" s="223" t="s">
        <v>947</v>
      </c>
      <c r="J114" s="224">
        <v>1</v>
      </c>
      <c r="K114" s="223" t="s">
        <v>646</v>
      </c>
      <c r="L114" s="224">
        <v>573330</v>
      </c>
      <c r="M114" s="224">
        <v>0</v>
      </c>
      <c r="N114" s="224">
        <v>0</v>
      </c>
      <c r="O114" s="224">
        <v>0</v>
      </c>
      <c r="P114" s="223">
        <v>120399.3</v>
      </c>
      <c r="Q114" s="223">
        <v>693729.3</v>
      </c>
    </row>
    <row r="115" spans="1:17" x14ac:dyDescent="0.25">
      <c r="A115" s="223" t="s">
        <v>2116</v>
      </c>
      <c r="B115" s="223" t="s">
        <v>644</v>
      </c>
      <c r="C115" s="224">
        <v>4</v>
      </c>
      <c r="D115" s="224">
        <v>4647</v>
      </c>
      <c r="E115" s="223"/>
      <c r="F115" s="224">
        <v>75302008260471</v>
      </c>
      <c r="G115" s="223" t="s">
        <v>7</v>
      </c>
      <c r="H115" s="224">
        <v>27415594742</v>
      </c>
      <c r="I115" s="223" t="s">
        <v>415</v>
      </c>
      <c r="J115" s="224">
        <v>1</v>
      </c>
      <c r="K115" s="223" t="s">
        <v>646</v>
      </c>
      <c r="L115" s="225">
        <v>43731.97</v>
      </c>
      <c r="M115" s="224">
        <v>0</v>
      </c>
      <c r="N115" s="224">
        <v>0</v>
      </c>
      <c r="O115" s="224">
        <v>0</v>
      </c>
      <c r="P115" s="225">
        <v>9183.7099999999991</v>
      </c>
      <c r="Q115" s="225">
        <v>52915.68</v>
      </c>
    </row>
    <row r="116" spans="1:17" x14ac:dyDescent="0.25">
      <c r="A116" s="223" t="s">
        <v>2116</v>
      </c>
      <c r="B116" s="223" t="s">
        <v>644</v>
      </c>
      <c r="C116" s="224">
        <v>6</v>
      </c>
      <c r="D116" s="224">
        <v>94063</v>
      </c>
      <c r="E116" s="223"/>
      <c r="F116" s="224">
        <v>75304073984028</v>
      </c>
      <c r="G116" s="223" t="s">
        <v>7</v>
      </c>
      <c r="H116" s="224">
        <v>30711553564</v>
      </c>
      <c r="I116" s="223" t="s">
        <v>233</v>
      </c>
      <c r="J116" s="224">
        <v>1</v>
      </c>
      <c r="K116" s="223" t="s">
        <v>646</v>
      </c>
      <c r="L116" s="224">
        <v>1172570</v>
      </c>
      <c r="M116" s="224">
        <v>0</v>
      </c>
      <c r="N116" s="224">
        <v>0</v>
      </c>
      <c r="O116" s="224">
        <v>0</v>
      </c>
      <c r="P116" s="223">
        <v>246239.7</v>
      </c>
      <c r="Q116" s="223">
        <v>1418809.7</v>
      </c>
    </row>
    <row r="117" spans="1:17" x14ac:dyDescent="0.25">
      <c r="A117" s="223" t="s">
        <v>2116</v>
      </c>
      <c r="B117" s="223" t="s">
        <v>644</v>
      </c>
      <c r="C117" s="224">
        <v>6</v>
      </c>
      <c r="D117" s="224">
        <v>94064</v>
      </c>
      <c r="E117" s="223"/>
      <c r="F117" s="224">
        <v>75304074054289</v>
      </c>
      <c r="G117" s="223" t="s">
        <v>7</v>
      </c>
      <c r="H117" s="224">
        <v>30711553564</v>
      </c>
      <c r="I117" s="223" t="s">
        <v>233</v>
      </c>
      <c r="J117" s="224">
        <v>1</v>
      </c>
      <c r="K117" s="223" t="s">
        <v>646</v>
      </c>
      <c r="L117" s="224">
        <v>643421</v>
      </c>
      <c r="M117" s="224">
        <v>0</v>
      </c>
      <c r="N117" s="224">
        <v>0</v>
      </c>
      <c r="O117" s="224">
        <v>0</v>
      </c>
      <c r="P117" s="225">
        <v>135118.41</v>
      </c>
      <c r="Q117" s="225">
        <v>778539.41</v>
      </c>
    </row>
    <row r="118" spans="1:17" x14ac:dyDescent="0.25">
      <c r="A118" s="223" t="s">
        <v>2116</v>
      </c>
      <c r="B118" s="223" t="s">
        <v>644</v>
      </c>
      <c r="C118" s="224">
        <v>5</v>
      </c>
      <c r="D118" s="224">
        <v>2581</v>
      </c>
      <c r="E118" s="223"/>
      <c r="F118" s="224">
        <v>75306063583020</v>
      </c>
      <c r="G118" s="223" t="s">
        <v>7</v>
      </c>
      <c r="H118" s="224">
        <v>30712187316</v>
      </c>
      <c r="I118" s="223" t="s">
        <v>68</v>
      </c>
      <c r="J118" s="224">
        <v>1305</v>
      </c>
      <c r="K118" s="223" t="s">
        <v>663</v>
      </c>
      <c r="L118" s="223">
        <v>9.5</v>
      </c>
      <c r="M118" s="224">
        <v>0</v>
      </c>
      <c r="N118" s="224">
        <v>0</v>
      </c>
      <c r="O118" s="224">
        <v>0</v>
      </c>
      <c r="P118" s="224">
        <v>2</v>
      </c>
      <c r="Q118" s="223">
        <v>11.5</v>
      </c>
    </row>
    <row r="119" spans="1:17" x14ac:dyDescent="0.25">
      <c r="A119" s="223" t="s">
        <v>2116</v>
      </c>
      <c r="B119" s="223" t="s">
        <v>644</v>
      </c>
      <c r="C119" s="224">
        <v>5</v>
      </c>
      <c r="D119" s="224">
        <v>170369</v>
      </c>
      <c r="E119" s="223"/>
      <c r="F119" s="224">
        <v>75303064877215</v>
      </c>
      <c r="G119" s="223" t="s">
        <v>7</v>
      </c>
      <c r="H119" s="224">
        <v>30598960093</v>
      </c>
      <c r="I119" s="223" t="s">
        <v>650</v>
      </c>
      <c r="J119" s="224">
        <v>1</v>
      </c>
      <c r="K119" s="223" t="s">
        <v>646</v>
      </c>
      <c r="L119" s="223">
        <v>23630.6</v>
      </c>
      <c r="M119" s="224">
        <v>0</v>
      </c>
      <c r="N119" s="224">
        <v>0</v>
      </c>
      <c r="O119" s="225">
        <v>945.22</v>
      </c>
      <c r="P119" s="225">
        <v>4962.43</v>
      </c>
      <c r="Q119" s="225">
        <v>29538.25</v>
      </c>
    </row>
    <row r="120" spans="1:17" x14ac:dyDescent="0.25">
      <c r="A120" s="223" t="s">
        <v>2116</v>
      </c>
      <c r="B120" s="223" t="s">
        <v>666</v>
      </c>
      <c r="C120" s="224">
        <v>6</v>
      </c>
      <c r="D120" s="224">
        <v>13434</v>
      </c>
      <c r="E120" s="223"/>
      <c r="F120" s="224">
        <v>75304087926607</v>
      </c>
      <c r="G120" s="223" t="s">
        <v>7</v>
      </c>
      <c r="H120" s="224">
        <v>30711553564</v>
      </c>
      <c r="I120" s="223" t="s">
        <v>233</v>
      </c>
      <c r="J120" s="224">
        <v>1</v>
      </c>
      <c r="K120" s="223" t="s">
        <v>646</v>
      </c>
      <c r="L120" s="223">
        <v>-22714.5</v>
      </c>
      <c r="M120" s="224">
        <v>0</v>
      </c>
      <c r="N120" s="224">
        <v>0</v>
      </c>
      <c r="O120" s="224">
        <v>0</v>
      </c>
      <c r="P120" s="225">
        <v>-4770.05</v>
      </c>
      <c r="Q120" s="225">
        <v>-27484.54</v>
      </c>
    </row>
    <row r="121" spans="1:17" x14ac:dyDescent="0.25">
      <c r="A121" s="223" t="s">
        <v>2129</v>
      </c>
      <c r="B121" s="223" t="s">
        <v>644</v>
      </c>
      <c r="C121" s="224">
        <v>2</v>
      </c>
      <c r="D121" s="224">
        <v>12482</v>
      </c>
      <c r="E121" s="223"/>
      <c r="F121" s="224">
        <v>75302143927717</v>
      </c>
      <c r="G121" s="223" t="s">
        <v>7</v>
      </c>
      <c r="H121" s="224">
        <v>30714331082</v>
      </c>
      <c r="I121" s="223" t="s">
        <v>936</v>
      </c>
      <c r="J121" s="224">
        <v>1</v>
      </c>
      <c r="K121" s="223" t="s">
        <v>646</v>
      </c>
      <c r="L121" s="225">
        <v>478014.47</v>
      </c>
      <c r="M121" s="224">
        <v>0</v>
      </c>
      <c r="N121" s="224">
        <v>0</v>
      </c>
      <c r="O121" s="224">
        <v>0</v>
      </c>
      <c r="P121" s="225">
        <v>100383.03999999999</v>
      </c>
      <c r="Q121" s="225">
        <v>578397.51</v>
      </c>
    </row>
    <row r="122" spans="1:17" x14ac:dyDescent="0.25">
      <c r="A122" s="223" t="s">
        <v>2129</v>
      </c>
      <c r="B122" s="223" t="s">
        <v>644</v>
      </c>
      <c r="C122" s="224">
        <v>2</v>
      </c>
      <c r="D122" s="224">
        <v>12483</v>
      </c>
      <c r="E122" s="223"/>
      <c r="F122" s="224">
        <v>75302144293538</v>
      </c>
      <c r="G122" s="223" t="s">
        <v>7</v>
      </c>
      <c r="H122" s="224">
        <v>30714331082</v>
      </c>
      <c r="I122" s="223" t="s">
        <v>936</v>
      </c>
      <c r="J122" s="224">
        <v>1</v>
      </c>
      <c r="K122" s="223" t="s">
        <v>646</v>
      </c>
      <c r="L122" s="223">
        <v>910906.9</v>
      </c>
      <c r="M122" s="224">
        <v>0</v>
      </c>
      <c r="N122" s="224">
        <v>0</v>
      </c>
      <c r="O122" s="224">
        <v>0</v>
      </c>
      <c r="P122" s="225">
        <v>95645.22</v>
      </c>
      <c r="Q122" s="225">
        <v>1006552.12</v>
      </c>
    </row>
    <row r="123" spans="1:17" x14ac:dyDescent="0.25">
      <c r="A123" s="223" t="s">
        <v>2129</v>
      </c>
      <c r="B123" s="223" t="s">
        <v>644</v>
      </c>
      <c r="C123" s="224">
        <v>104</v>
      </c>
      <c r="D123" s="224">
        <v>9989160</v>
      </c>
      <c r="E123" s="223"/>
      <c r="F123" s="224">
        <v>75302131871262</v>
      </c>
      <c r="G123" s="223" t="s">
        <v>7</v>
      </c>
      <c r="H123" s="224">
        <v>30715804812</v>
      </c>
      <c r="I123" s="223" t="s">
        <v>669</v>
      </c>
      <c r="J123" s="224">
        <v>1</v>
      </c>
      <c r="K123" s="223" t="s">
        <v>646</v>
      </c>
      <c r="L123" s="225">
        <v>1039.98</v>
      </c>
      <c r="M123" s="224">
        <v>0</v>
      </c>
      <c r="N123" s="224">
        <v>0</v>
      </c>
      <c r="O123" s="223">
        <v>41.6</v>
      </c>
      <c r="P123" s="223">
        <v>218.4</v>
      </c>
      <c r="Q123" s="225">
        <v>1299.98</v>
      </c>
    </row>
    <row r="124" spans="1:17" x14ac:dyDescent="0.25">
      <c r="A124" s="223" t="s">
        <v>2129</v>
      </c>
      <c r="B124" s="223" t="s">
        <v>644</v>
      </c>
      <c r="C124" s="224">
        <v>5</v>
      </c>
      <c r="D124" s="224">
        <v>170436</v>
      </c>
      <c r="E124" s="223"/>
      <c r="F124" s="224">
        <v>75303191656744</v>
      </c>
      <c r="G124" s="223" t="s">
        <v>7</v>
      </c>
      <c r="H124" s="224">
        <v>30598960093</v>
      </c>
      <c r="I124" s="223" t="s">
        <v>650</v>
      </c>
      <c r="J124" s="224">
        <v>1</v>
      </c>
      <c r="K124" s="223" t="s">
        <v>646</v>
      </c>
      <c r="L124" s="225">
        <v>642975.75</v>
      </c>
      <c r="M124" s="224">
        <v>0</v>
      </c>
      <c r="N124" s="224">
        <v>0</v>
      </c>
      <c r="O124" s="225">
        <v>25719.03</v>
      </c>
      <c r="P124" s="225">
        <v>135024.91</v>
      </c>
      <c r="Q124" s="225">
        <v>803719.69</v>
      </c>
    </row>
    <row r="125" spans="1:17" x14ac:dyDescent="0.25">
      <c r="A125" s="223" t="s">
        <v>2129</v>
      </c>
      <c r="B125" s="223" t="s">
        <v>644</v>
      </c>
      <c r="C125" s="224">
        <v>74</v>
      </c>
      <c r="D125" s="224">
        <v>343978</v>
      </c>
      <c r="E125" s="223"/>
      <c r="F125" s="224">
        <v>75314339196659</v>
      </c>
      <c r="G125" s="223" t="s">
        <v>7</v>
      </c>
      <c r="H125" s="224">
        <v>30703088534</v>
      </c>
      <c r="I125" s="223" t="s">
        <v>718</v>
      </c>
      <c r="J125" s="224">
        <v>1</v>
      </c>
      <c r="K125" s="223" t="s">
        <v>646</v>
      </c>
      <c r="L125" s="225">
        <v>89663.97</v>
      </c>
      <c r="M125" s="224">
        <v>0</v>
      </c>
      <c r="N125" s="224">
        <v>0</v>
      </c>
      <c r="O125" s="225">
        <v>6276.48</v>
      </c>
      <c r="P125" s="225">
        <v>18829.43</v>
      </c>
      <c r="Q125" s="225">
        <v>114769.88</v>
      </c>
    </row>
    <row r="126" spans="1:17" x14ac:dyDescent="0.25">
      <c r="A126" s="223" t="s">
        <v>2129</v>
      </c>
      <c r="B126" s="223" t="s">
        <v>644</v>
      </c>
      <c r="C126" s="224">
        <v>17</v>
      </c>
      <c r="D126" s="224">
        <v>128</v>
      </c>
      <c r="E126" s="223"/>
      <c r="F126" s="224">
        <v>75303220797789</v>
      </c>
      <c r="G126" s="223" t="s">
        <v>7</v>
      </c>
      <c r="H126" s="224">
        <v>27310367813</v>
      </c>
      <c r="I126" s="223" t="s">
        <v>556</v>
      </c>
      <c r="J126" s="224">
        <v>1</v>
      </c>
      <c r="K126" s="223" t="s">
        <v>646</v>
      </c>
      <c r="L126" s="225">
        <v>144297.51999999999</v>
      </c>
      <c r="M126" s="224">
        <v>0</v>
      </c>
      <c r="N126" s="224">
        <v>0</v>
      </c>
      <c r="O126" s="224">
        <v>0</v>
      </c>
      <c r="P126" s="225">
        <v>30302.48</v>
      </c>
      <c r="Q126" s="224">
        <v>174600</v>
      </c>
    </row>
    <row r="127" spans="1:17" x14ac:dyDescent="0.25">
      <c r="A127" s="223" t="s">
        <v>2129</v>
      </c>
      <c r="B127" s="223" t="s">
        <v>644</v>
      </c>
      <c r="C127" s="224">
        <v>4</v>
      </c>
      <c r="D127" s="224">
        <v>84</v>
      </c>
      <c r="E127" s="223"/>
      <c r="F127" s="224">
        <v>75316565448979</v>
      </c>
      <c r="G127" s="223" t="s">
        <v>7</v>
      </c>
      <c r="H127" s="224">
        <v>20174004146</v>
      </c>
      <c r="I127" s="223" t="s">
        <v>389</v>
      </c>
      <c r="J127" s="224">
        <v>1</v>
      </c>
      <c r="K127" s="223" t="s">
        <v>646</v>
      </c>
      <c r="L127" s="224">
        <v>84000</v>
      </c>
      <c r="M127" s="224">
        <v>0</v>
      </c>
      <c r="N127" s="224">
        <v>0</v>
      </c>
      <c r="O127" s="224">
        <v>0</v>
      </c>
      <c r="P127" s="224">
        <v>17640</v>
      </c>
      <c r="Q127" s="224">
        <v>101640</v>
      </c>
    </row>
    <row r="128" spans="1:17" x14ac:dyDescent="0.25">
      <c r="A128" s="223" t="s">
        <v>2146</v>
      </c>
      <c r="B128" s="223" t="s">
        <v>644</v>
      </c>
      <c r="C128" s="224">
        <v>6</v>
      </c>
      <c r="D128" s="224">
        <v>58519</v>
      </c>
      <c r="E128" s="223"/>
      <c r="F128" s="224">
        <v>75318337197736</v>
      </c>
      <c r="G128" s="223" t="s">
        <v>7</v>
      </c>
      <c r="H128" s="224">
        <v>30710177658</v>
      </c>
      <c r="I128" s="223" t="s">
        <v>674</v>
      </c>
      <c r="J128" s="224">
        <v>1</v>
      </c>
      <c r="K128" s="223" t="s">
        <v>646</v>
      </c>
      <c r="L128" s="224">
        <v>94530</v>
      </c>
      <c r="M128" s="224">
        <v>0</v>
      </c>
      <c r="N128" s="224">
        <v>0</v>
      </c>
      <c r="O128" s="224">
        <v>0</v>
      </c>
      <c r="P128" s="223">
        <v>19851.3</v>
      </c>
      <c r="Q128" s="223">
        <v>114381.3</v>
      </c>
    </row>
    <row r="129" spans="1:17" x14ac:dyDescent="0.25">
      <c r="A129" s="223" t="s">
        <v>2146</v>
      </c>
      <c r="B129" s="223" t="s">
        <v>644</v>
      </c>
      <c r="C129" s="224">
        <v>5</v>
      </c>
      <c r="D129" s="224">
        <v>170540</v>
      </c>
      <c r="E129" s="223"/>
      <c r="F129" s="224">
        <v>75313342588368</v>
      </c>
      <c r="G129" s="223" t="s">
        <v>7</v>
      </c>
      <c r="H129" s="224">
        <v>30598960093</v>
      </c>
      <c r="I129" s="223" t="s">
        <v>650</v>
      </c>
      <c r="J129" s="224">
        <v>1</v>
      </c>
      <c r="K129" s="223" t="s">
        <v>646</v>
      </c>
      <c r="L129" s="225">
        <v>4091454.75</v>
      </c>
      <c r="M129" s="224">
        <v>0</v>
      </c>
      <c r="N129" s="224">
        <v>0</v>
      </c>
      <c r="O129" s="225">
        <v>163658.19</v>
      </c>
      <c r="P129" s="225">
        <v>675913.93</v>
      </c>
      <c r="Q129" s="225">
        <v>4931026.87</v>
      </c>
    </row>
    <row r="130" spans="1:17" x14ac:dyDescent="0.25">
      <c r="A130" s="223" t="s">
        <v>2146</v>
      </c>
      <c r="B130" s="223" t="s">
        <v>644</v>
      </c>
      <c r="C130" s="224">
        <v>1001</v>
      </c>
      <c r="D130" s="224">
        <v>569</v>
      </c>
      <c r="E130" s="223"/>
      <c r="F130" s="224">
        <v>75312318566486</v>
      </c>
      <c r="G130" s="223" t="s">
        <v>7</v>
      </c>
      <c r="H130" s="224">
        <v>30707370552</v>
      </c>
      <c r="I130" s="223" t="s">
        <v>943</v>
      </c>
      <c r="J130" s="224">
        <v>1</v>
      </c>
      <c r="K130" s="223" t="s">
        <v>646</v>
      </c>
      <c r="L130" s="225">
        <v>5042250.41</v>
      </c>
      <c r="M130" s="224">
        <v>0</v>
      </c>
      <c r="N130" s="224">
        <v>0</v>
      </c>
      <c r="O130" s="224">
        <v>0</v>
      </c>
      <c r="P130" s="225">
        <v>1058872.5900000001</v>
      </c>
      <c r="Q130" s="224">
        <v>6101123</v>
      </c>
    </row>
    <row r="131" spans="1:17" x14ac:dyDescent="0.25">
      <c r="A131" s="223" t="s">
        <v>2146</v>
      </c>
      <c r="B131" s="223" t="s">
        <v>644</v>
      </c>
      <c r="C131" s="224">
        <v>3</v>
      </c>
      <c r="D131" s="224">
        <v>7955</v>
      </c>
      <c r="E131" s="223"/>
      <c r="F131" s="224">
        <v>75311300238814</v>
      </c>
      <c r="G131" s="223" t="s">
        <v>7</v>
      </c>
      <c r="H131" s="224">
        <v>30526492281</v>
      </c>
      <c r="I131" s="223" t="s">
        <v>714</v>
      </c>
      <c r="J131" s="224">
        <v>1</v>
      </c>
      <c r="K131" s="223" t="s">
        <v>646</v>
      </c>
      <c r="L131" s="223">
        <v>264794.40000000002</v>
      </c>
      <c r="M131" s="224">
        <v>0</v>
      </c>
      <c r="N131" s="224">
        <v>0</v>
      </c>
      <c r="O131" s="224">
        <v>0</v>
      </c>
      <c r="P131" s="225">
        <v>55606.82</v>
      </c>
      <c r="Q131" s="225">
        <v>320401.21999999997</v>
      </c>
    </row>
    <row r="132" spans="1:17" x14ac:dyDescent="0.25">
      <c r="A132" s="223" t="s">
        <v>2146</v>
      </c>
      <c r="B132" s="223" t="s">
        <v>644</v>
      </c>
      <c r="C132" s="224">
        <v>4</v>
      </c>
      <c r="D132" s="224">
        <v>166</v>
      </c>
      <c r="E132" s="223"/>
      <c r="F132" s="224">
        <v>75316325937375</v>
      </c>
      <c r="G132" s="223" t="s">
        <v>7</v>
      </c>
      <c r="H132" s="224">
        <v>20317488476</v>
      </c>
      <c r="I132" s="223" t="s">
        <v>252</v>
      </c>
      <c r="J132" s="224">
        <v>1</v>
      </c>
      <c r="K132" s="223" t="s">
        <v>646</v>
      </c>
      <c r="L132" s="224">
        <v>1260000</v>
      </c>
      <c r="M132" s="224">
        <v>0</v>
      </c>
      <c r="N132" s="224">
        <v>0</v>
      </c>
      <c r="O132" s="224">
        <v>0</v>
      </c>
      <c r="P132" s="224">
        <v>264600</v>
      </c>
      <c r="Q132" s="224">
        <v>1524600</v>
      </c>
    </row>
    <row r="133" spans="1:17" x14ac:dyDescent="0.25">
      <c r="A133" s="223" t="s">
        <v>2146</v>
      </c>
      <c r="B133" s="223" t="s">
        <v>644</v>
      </c>
      <c r="C133" s="224">
        <v>6</v>
      </c>
      <c r="D133" s="224">
        <v>21</v>
      </c>
      <c r="E133" s="223"/>
      <c r="F133" s="224">
        <v>75316279412612</v>
      </c>
      <c r="G133" s="223" t="s">
        <v>7</v>
      </c>
      <c r="H133" s="224">
        <v>30711610096</v>
      </c>
      <c r="I133" s="223" t="s">
        <v>1084</v>
      </c>
      <c r="J133" s="224">
        <v>1</v>
      </c>
      <c r="K133" s="223" t="s">
        <v>646</v>
      </c>
      <c r="L133" s="224">
        <v>887000</v>
      </c>
      <c r="M133" s="224">
        <v>0</v>
      </c>
      <c r="N133" s="224">
        <v>0</v>
      </c>
      <c r="O133" s="224">
        <v>0</v>
      </c>
      <c r="P133" s="224">
        <v>186270</v>
      </c>
      <c r="Q133" s="224">
        <v>1073270</v>
      </c>
    </row>
    <row r="134" spans="1:17" x14ac:dyDescent="0.25">
      <c r="A134" s="223" t="s">
        <v>2146</v>
      </c>
      <c r="B134" s="223" t="s">
        <v>644</v>
      </c>
      <c r="C134" s="224">
        <v>4</v>
      </c>
      <c r="D134" s="224">
        <v>85</v>
      </c>
      <c r="E134" s="223"/>
      <c r="F134" s="224">
        <v>75316565915626</v>
      </c>
      <c r="G134" s="223" t="s">
        <v>7</v>
      </c>
      <c r="H134" s="224">
        <v>20174004146</v>
      </c>
      <c r="I134" s="223" t="s">
        <v>389</v>
      </c>
      <c r="J134" s="224">
        <v>1</v>
      </c>
      <c r="K134" s="223" t="s">
        <v>646</v>
      </c>
      <c r="L134" s="224">
        <v>154000</v>
      </c>
      <c r="M134" s="224">
        <v>0</v>
      </c>
      <c r="N134" s="224">
        <v>0</v>
      </c>
      <c r="O134" s="224">
        <v>0</v>
      </c>
      <c r="P134" s="224">
        <v>32340</v>
      </c>
      <c r="Q134" s="224">
        <v>186340</v>
      </c>
    </row>
    <row r="135" spans="1:17" x14ac:dyDescent="0.25">
      <c r="A135" s="223" t="s">
        <v>2146</v>
      </c>
      <c r="B135" s="223" t="s">
        <v>655</v>
      </c>
      <c r="C135" s="224">
        <v>2</v>
      </c>
      <c r="D135" s="224">
        <v>7</v>
      </c>
      <c r="E135" s="223"/>
      <c r="F135" s="224">
        <v>75311372614084</v>
      </c>
      <c r="G135" s="223" t="s">
        <v>7</v>
      </c>
      <c r="H135" s="224">
        <v>27344304551</v>
      </c>
      <c r="I135" s="223" t="s">
        <v>940</v>
      </c>
      <c r="J135" s="224">
        <v>1</v>
      </c>
      <c r="K135" s="223" t="s">
        <v>646</v>
      </c>
      <c r="L135" s="223"/>
      <c r="M135" s="223"/>
      <c r="N135" s="223"/>
      <c r="O135" s="224">
        <v>0</v>
      </c>
      <c r="P135" s="223"/>
      <c r="Q135" s="224">
        <v>800000</v>
      </c>
    </row>
    <row r="136" spans="1:17" x14ac:dyDescent="0.25">
      <c r="A136" s="223" t="s">
        <v>2173</v>
      </c>
      <c r="B136" s="223" t="s">
        <v>644</v>
      </c>
      <c r="C136" s="224">
        <v>6</v>
      </c>
      <c r="D136" s="224">
        <v>20103913</v>
      </c>
      <c r="E136" s="223"/>
      <c r="F136" s="224">
        <v>75317264466630</v>
      </c>
      <c r="G136" s="223" t="s">
        <v>7</v>
      </c>
      <c r="H136" s="224">
        <v>30620177497</v>
      </c>
      <c r="I136" s="223" t="s">
        <v>720</v>
      </c>
      <c r="J136" s="224">
        <v>1</v>
      </c>
      <c r="K136" s="223" t="s">
        <v>646</v>
      </c>
      <c r="L136" s="224">
        <v>0</v>
      </c>
      <c r="M136" s="224">
        <v>0</v>
      </c>
      <c r="N136" s="224">
        <v>0</v>
      </c>
      <c r="O136" s="224">
        <v>0</v>
      </c>
      <c r="P136" s="224">
        <v>0</v>
      </c>
      <c r="Q136" s="224">
        <v>0</v>
      </c>
    </row>
    <row r="137" spans="1:17" x14ac:dyDescent="0.25">
      <c r="A137" s="223" t="s">
        <v>2173</v>
      </c>
      <c r="B137" s="223" t="s">
        <v>644</v>
      </c>
      <c r="C137" s="224">
        <v>6</v>
      </c>
      <c r="D137" s="224">
        <v>20222513</v>
      </c>
      <c r="E137" s="223"/>
      <c r="F137" s="224">
        <v>75317357254117</v>
      </c>
      <c r="G137" s="223" t="s">
        <v>7</v>
      </c>
      <c r="H137" s="224">
        <v>30620177497</v>
      </c>
      <c r="I137" s="223" t="s">
        <v>720</v>
      </c>
      <c r="J137" s="224">
        <v>1</v>
      </c>
      <c r="K137" s="223" t="s">
        <v>646</v>
      </c>
      <c r="L137" s="225">
        <v>34509.93</v>
      </c>
      <c r="M137" s="224">
        <v>0</v>
      </c>
      <c r="N137" s="224">
        <v>0</v>
      </c>
      <c r="O137" s="223">
        <v>2415.6999999999998</v>
      </c>
      <c r="P137" s="225">
        <v>7247.09</v>
      </c>
      <c r="Q137" s="225">
        <v>44172.72</v>
      </c>
    </row>
    <row r="138" spans="1:17" x14ac:dyDescent="0.25">
      <c r="A138" s="223" t="s">
        <v>2173</v>
      </c>
      <c r="B138" s="223" t="s">
        <v>644</v>
      </c>
      <c r="C138" s="224">
        <v>2</v>
      </c>
      <c r="D138" s="224">
        <v>12516</v>
      </c>
      <c r="E138" s="223"/>
      <c r="F138" s="224">
        <v>75312444409112</v>
      </c>
      <c r="G138" s="223" t="s">
        <v>7</v>
      </c>
      <c r="H138" s="224">
        <v>30714331082</v>
      </c>
      <c r="I138" s="223" t="s">
        <v>936</v>
      </c>
      <c r="J138" s="224">
        <v>1</v>
      </c>
      <c r="K138" s="223" t="s">
        <v>646</v>
      </c>
      <c r="L138" s="225">
        <v>1639632.42</v>
      </c>
      <c r="M138" s="224">
        <v>0</v>
      </c>
      <c r="N138" s="224">
        <v>0</v>
      </c>
      <c r="O138" s="224">
        <v>0</v>
      </c>
      <c r="P138" s="223">
        <v>172161.4</v>
      </c>
      <c r="Q138" s="225">
        <v>1811793.82</v>
      </c>
    </row>
    <row r="139" spans="1:17" x14ac:dyDescent="0.25">
      <c r="A139" s="223" t="s">
        <v>2173</v>
      </c>
      <c r="B139" s="223" t="s">
        <v>644</v>
      </c>
      <c r="C139" s="224">
        <v>2</v>
      </c>
      <c r="D139" s="224">
        <v>1448</v>
      </c>
      <c r="E139" s="223"/>
      <c r="F139" s="224">
        <v>75319483797105</v>
      </c>
      <c r="G139" s="223" t="s">
        <v>7</v>
      </c>
      <c r="H139" s="224">
        <v>20272865869</v>
      </c>
      <c r="I139" s="223" t="s">
        <v>617</v>
      </c>
      <c r="J139" s="224">
        <v>1</v>
      </c>
      <c r="K139" s="223" t="s">
        <v>646</v>
      </c>
      <c r="L139" s="224">
        <v>144900</v>
      </c>
      <c r="M139" s="224">
        <v>0</v>
      </c>
      <c r="N139" s="224">
        <v>0</v>
      </c>
      <c r="O139" s="224">
        <v>0</v>
      </c>
      <c r="P139" s="224">
        <v>30429</v>
      </c>
      <c r="Q139" s="224">
        <v>175329</v>
      </c>
    </row>
    <row r="140" spans="1:17" x14ac:dyDescent="0.25">
      <c r="A140" s="223" t="s">
        <v>2173</v>
      </c>
      <c r="B140" s="223" t="s">
        <v>644</v>
      </c>
      <c r="C140" s="224">
        <v>6</v>
      </c>
      <c r="D140" s="224">
        <v>58526</v>
      </c>
      <c r="E140" s="223"/>
      <c r="F140" s="224">
        <v>75318423420666</v>
      </c>
      <c r="G140" s="223" t="s">
        <v>7</v>
      </c>
      <c r="H140" s="224">
        <v>30710177658</v>
      </c>
      <c r="I140" s="223" t="s">
        <v>674</v>
      </c>
      <c r="J140" s="224">
        <v>1315</v>
      </c>
      <c r="K140" s="223" t="s">
        <v>663</v>
      </c>
      <c r="L140" s="224">
        <v>900</v>
      </c>
      <c r="M140" s="224">
        <v>0</v>
      </c>
      <c r="N140" s="224">
        <v>0</v>
      </c>
      <c r="O140" s="224">
        <v>36</v>
      </c>
      <c r="P140" s="224">
        <v>189</v>
      </c>
      <c r="Q140" s="224">
        <v>1125</v>
      </c>
    </row>
    <row r="141" spans="1:17" x14ac:dyDescent="0.25">
      <c r="A141" s="223" t="s">
        <v>2173</v>
      </c>
      <c r="B141" s="223" t="s">
        <v>644</v>
      </c>
      <c r="C141" s="224">
        <v>50</v>
      </c>
      <c r="D141" s="224">
        <v>4504060</v>
      </c>
      <c r="E141" s="223"/>
      <c r="F141" s="224">
        <v>75316704219194</v>
      </c>
      <c r="G141" s="223" t="s">
        <v>7</v>
      </c>
      <c r="H141" s="224">
        <v>30714112836</v>
      </c>
      <c r="I141" s="223" t="s">
        <v>956</v>
      </c>
      <c r="J141" s="224">
        <v>1</v>
      </c>
      <c r="K141" s="223" t="s">
        <v>646</v>
      </c>
      <c r="L141" s="225">
        <v>3461.27</v>
      </c>
      <c r="M141" s="224">
        <v>0</v>
      </c>
      <c r="N141" s="224">
        <v>0</v>
      </c>
      <c r="O141" s="225">
        <v>103.84</v>
      </c>
      <c r="P141" s="225">
        <v>726.86</v>
      </c>
      <c r="Q141" s="225">
        <v>4291.97</v>
      </c>
    </row>
    <row r="142" spans="1:17" x14ac:dyDescent="0.25">
      <c r="A142" s="223" t="s">
        <v>2173</v>
      </c>
      <c r="B142" s="223" t="s">
        <v>644</v>
      </c>
      <c r="C142" s="224">
        <v>5009</v>
      </c>
      <c r="D142" s="224">
        <v>1560656</v>
      </c>
      <c r="E142" s="223"/>
      <c r="F142" s="224">
        <v>75314818345949</v>
      </c>
      <c r="G142" s="223" t="s">
        <v>7</v>
      </c>
      <c r="H142" s="224">
        <v>30574876474</v>
      </c>
      <c r="I142" s="223" t="s">
        <v>1196</v>
      </c>
      <c r="J142" s="224">
        <v>1</v>
      </c>
      <c r="K142" s="223" t="s">
        <v>646</v>
      </c>
      <c r="L142" s="225">
        <v>14096.45</v>
      </c>
      <c r="M142" s="224">
        <v>0</v>
      </c>
      <c r="N142" s="224">
        <v>0</v>
      </c>
      <c r="O142" s="225">
        <v>1832.53</v>
      </c>
      <c r="P142" s="225">
        <v>2960.25</v>
      </c>
      <c r="Q142" s="225">
        <v>18889.23</v>
      </c>
    </row>
    <row r="143" spans="1:17" x14ac:dyDescent="0.25">
      <c r="A143" s="223" t="s">
        <v>2173</v>
      </c>
      <c r="B143" s="223" t="s">
        <v>644</v>
      </c>
      <c r="C143" s="224">
        <v>5015</v>
      </c>
      <c r="D143" s="224">
        <v>941676</v>
      </c>
      <c r="E143" s="223"/>
      <c r="F143" s="224">
        <v>75314813901270</v>
      </c>
      <c r="G143" s="223" t="s">
        <v>7</v>
      </c>
      <c r="H143" s="224">
        <v>30574876474</v>
      </c>
      <c r="I143" s="223" t="s">
        <v>1196</v>
      </c>
      <c r="J143" s="224">
        <v>1</v>
      </c>
      <c r="K143" s="223" t="s">
        <v>646</v>
      </c>
      <c r="L143" s="225">
        <v>97035.27</v>
      </c>
      <c r="M143" s="224">
        <v>0</v>
      </c>
      <c r="N143" s="224">
        <v>0</v>
      </c>
      <c r="O143" s="225">
        <v>12614.54</v>
      </c>
      <c r="P143" s="225">
        <v>20377.349999999999</v>
      </c>
      <c r="Q143" s="225">
        <v>130027.16</v>
      </c>
    </row>
    <row r="151" spans="9:9" x14ac:dyDescent="0.25">
      <c r="I151" s="334"/>
    </row>
    <row r="152" spans="9:9" x14ac:dyDescent="0.25">
      <c r="I152">
        <v>141</v>
      </c>
    </row>
    <row r="153" spans="9:9" x14ac:dyDescent="0.25">
      <c r="I153">
        <f>146-5</f>
        <v>141</v>
      </c>
    </row>
    <row r="154" spans="9:9" x14ac:dyDescent="0.25">
      <c r="I154" s="332">
        <f>+I153-I152-I151</f>
        <v>0</v>
      </c>
    </row>
  </sheetData>
  <autoFilter ref="A1:Q143" xr:uid="{00000000-0009-0000-0000-00000D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Configuracion</vt:lpstr>
      <vt:lpstr>Julio 25</vt:lpstr>
      <vt:lpstr>Calculo IVA</vt:lpstr>
      <vt:lpstr>afip</vt:lpstr>
      <vt:lpstr>Hoja3</vt:lpstr>
      <vt:lpstr>Hoja1</vt:lpstr>
      <vt:lpstr>Hoja2</vt:lpstr>
      <vt:lpstr>Comp No Recibidos</vt:lpstr>
      <vt:lpstr>Hoja5</vt:lpstr>
      <vt:lpstr>Ventas 07</vt:lpstr>
      <vt:lpstr>arca 05</vt:lpstr>
      <vt:lpstr>arca</vt:lpstr>
      <vt:lpstr>Compras 07</vt:lpstr>
      <vt:lpstr>ARCA07</vt:lpstr>
      <vt:lpstr>'Julio 25'!Área_de_impresión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2026-04-06T15:04:36Z</dcterms:modified>
</cp:coreProperties>
</file>