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Unidades compartidas\Compras - Ventas Clientes\ORTOPEDIA GEMINIS\CPRAS VTAS 2025\"/>
    </mc:Choice>
  </mc:AlternateContent>
  <xr:revisionPtr revIDLastSave="0" documentId="13_ncr:1_{5D0E5EF3-9E0A-4F06-A4B3-AB6B49E1CC1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08-2025" sheetId="2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5" i="27" l="1"/>
  <c r="C74" i="27"/>
  <c r="C73" i="27"/>
  <c r="C72" i="27"/>
  <c r="C71" i="27"/>
  <c r="C70" i="27"/>
  <c r="C69" i="27"/>
  <c r="C68" i="27"/>
  <c r="C67" i="27"/>
  <c r="C66" i="27"/>
  <c r="C65" i="27"/>
  <c r="C64" i="27"/>
  <c r="C63" i="27"/>
  <c r="C62" i="27"/>
  <c r="C61" i="27"/>
  <c r="C60" i="27"/>
  <c r="C59" i="27"/>
  <c r="C58" i="27"/>
  <c r="C57" i="27"/>
  <c r="V12" i="27"/>
  <c r="P13" i="27"/>
  <c r="J13" i="27"/>
  <c r="C17" i="27"/>
  <c r="AB12" i="27"/>
  <c r="AB13" i="27"/>
  <c r="AB14" i="27"/>
  <c r="AB15" i="27"/>
  <c r="AB16" i="27"/>
  <c r="AB17" i="27"/>
  <c r="AB18" i="27"/>
  <c r="AB19" i="27"/>
  <c r="AB20" i="27"/>
  <c r="AB21" i="27"/>
  <c r="AB22" i="27"/>
  <c r="AB23" i="27"/>
  <c r="AB24" i="27"/>
  <c r="AB25" i="27"/>
  <c r="AB26" i="27"/>
  <c r="AC27" i="27"/>
  <c r="AD27" i="27"/>
  <c r="AE27" i="27"/>
  <c r="AA27" i="27"/>
  <c r="K131" i="27"/>
  <c r="Q64" i="27"/>
  <c r="P63" i="27"/>
  <c r="P62" i="27"/>
  <c r="P61" i="27"/>
  <c r="P60" i="27"/>
  <c r="P59" i="27"/>
  <c r="P58" i="27"/>
  <c r="P57" i="27"/>
  <c r="P56" i="27"/>
  <c r="P55" i="27"/>
  <c r="P54" i="27"/>
  <c r="P53" i="27"/>
  <c r="P52" i="27"/>
  <c r="P51" i="27"/>
  <c r="P50" i="27"/>
  <c r="P49" i="27"/>
  <c r="P48" i="27"/>
  <c r="P47" i="27"/>
  <c r="P46" i="27"/>
  <c r="P45" i="27"/>
  <c r="P44" i="27"/>
  <c r="P43" i="27"/>
  <c r="P42" i="27"/>
  <c r="P41" i="27"/>
  <c r="P40" i="27"/>
  <c r="P39" i="27"/>
  <c r="P38" i="27"/>
  <c r="P37" i="27"/>
  <c r="P36" i="27"/>
  <c r="P35" i="27"/>
  <c r="P34" i="27"/>
  <c r="P33" i="27"/>
  <c r="P32" i="27"/>
  <c r="P31" i="27"/>
  <c r="P30" i="27"/>
  <c r="P29" i="27"/>
  <c r="P28" i="27"/>
  <c r="P27" i="27"/>
  <c r="P26" i="27"/>
  <c r="P25" i="27"/>
  <c r="P24" i="27"/>
  <c r="P23" i="27"/>
  <c r="P22" i="27"/>
  <c r="V13" i="27"/>
  <c r="W51" i="27"/>
  <c r="V50" i="27"/>
  <c r="V49" i="27"/>
  <c r="V48" i="27"/>
  <c r="V47" i="27"/>
  <c r="V46" i="27"/>
  <c r="V45" i="27"/>
  <c r="V44" i="27"/>
  <c r="V43" i="27"/>
  <c r="V42" i="27"/>
  <c r="V41" i="27"/>
  <c r="V40" i="27"/>
  <c r="V39" i="27"/>
  <c r="V38" i="27"/>
  <c r="V37" i="27"/>
  <c r="V36" i="27"/>
  <c r="V35" i="27"/>
  <c r="V34" i="27"/>
  <c r="V33" i="27"/>
  <c r="V32" i="27"/>
  <c r="V31" i="27"/>
  <c r="V30" i="27"/>
  <c r="V29" i="27"/>
  <c r="V28" i="27"/>
  <c r="V27" i="27"/>
  <c r="M131" i="27"/>
  <c r="L131" i="27"/>
  <c r="I131" i="27"/>
  <c r="J130" i="27"/>
  <c r="J118" i="27"/>
  <c r="J117" i="27"/>
  <c r="J116" i="27"/>
  <c r="J115" i="27"/>
  <c r="J114" i="27"/>
  <c r="J113" i="27"/>
  <c r="J112" i="27"/>
  <c r="J111" i="27"/>
  <c r="J110" i="27"/>
  <c r="J109" i="27"/>
  <c r="J108" i="27"/>
  <c r="J107" i="27"/>
  <c r="J106" i="27"/>
  <c r="J105" i="27"/>
  <c r="J104" i="27"/>
  <c r="J103" i="27"/>
  <c r="J102" i="27"/>
  <c r="J101" i="27"/>
  <c r="J100" i="27"/>
  <c r="J99" i="27"/>
  <c r="J98" i="27"/>
  <c r="J97" i="27"/>
  <c r="J96" i="27"/>
  <c r="J95" i="27"/>
  <c r="J94" i="27"/>
  <c r="J93" i="27"/>
  <c r="J92" i="27"/>
  <c r="J91" i="27"/>
  <c r="J90" i="27"/>
  <c r="J89" i="27"/>
  <c r="J88" i="27"/>
  <c r="J87" i="27"/>
  <c r="J86" i="27"/>
  <c r="J85" i="27"/>
  <c r="J84" i="27"/>
  <c r="J83" i="27"/>
  <c r="J82" i="27"/>
  <c r="J81" i="27"/>
  <c r="J80" i="27"/>
  <c r="J79" i="27"/>
  <c r="J78" i="27"/>
  <c r="J77" i="27"/>
  <c r="J76" i="27"/>
  <c r="J75" i="27"/>
  <c r="J74" i="27"/>
  <c r="J73" i="27"/>
  <c r="J72" i="27"/>
  <c r="J71" i="27"/>
  <c r="J70" i="27"/>
  <c r="J69" i="27"/>
  <c r="J68" i="27"/>
  <c r="J67" i="27"/>
  <c r="J66" i="27"/>
  <c r="J65" i="27"/>
  <c r="J64" i="27"/>
  <c r="J63" i="27"/>
  <c r="J62" i="27"/>
  <c r="J61" i="27"/>
  <c r="J60" i="27"/>
  <c r="J59" i="27"/>
  <c r="J58" i="27"/>
  <c r="J57" i="27"/>
  <c r="F76" i="27"/>
  <c r="E76" i="27"/>
  <c r="B76" i="27"/>
  <c r="J56" i="27"/>
  <c r="C56" i="27"/>
  <c r="J55" i="27"/>
  <c r="C55" i="27"/>
  <c r="J54" i="27"/>
  <c r="C54" i="27"/>
  <c r="J53" i="27"/>
  <c r="C53" i="27"/>
  <c r="J52" i="27"/>
  <c r="C52" i="27"/>
  <c r="J51" i="27"/>
  <c r="C51" i="27"/>
  <c r="J50" i="27"/>
  <c r="C50" i="27"/>
  <c r="J49" i="27"/>
  <c r="C49" i="27"/>
  <c r="J48" i="27"/>
  <c r="C48" i="27"/>
  <c r="J47" i="27"/>
  <c r="C47" i="27"/>
  <c r="J46" i="27"/>
  <c r="C46" i="27"/>
  <c r="J45" i="27"/>
  <c r="C45" i="27"/>
  <c r="J44" i="27"/>
  <c r="C44" i="27"/>
  <c r="J43" i="27"/>
  <c r="C43" i="27"/>
  <c r="J42" i="27"/>
  <c r="C42" i="27"/>
  <c r="J41" i="27"/>
  <c r="C41" i="27"/>
  <c r="J40" i="27"/>
  <c r="C40" i="27"/>
  <c r="J39" i="27"/>
  <c r="C39" i="27"/>
  <c r="J38" i="27"/>
  <c r="C38" i="27"/>
  <c r="J37" i="27"/>
  <c r="C37" i="27"/>
  <c r="J36" i="27"/>
  <c r="C36" i="27"/>
  <c r="J35" i="27"/>
  <c r="C35" i="27"/>
  <c r="J34" i="27"/>
  <c r="C34" i="27"/>
  <c r="J33" i="27"/>
  <c r="C33" i="27"/>
  <c r="J32" i="27"/>
  <c r="C32" i="27"/>
  <c r="J31" i="27"/>
  <c r="C31" i="27"/>
  <c r="J30" i="27"/>
  <c r="C30" i="27"/>
  <c r="J29" i="27"/>
  <c r="C29" i="27"/>
  <c r="J28" i="27"/>
  <c r="C28" i="27"/>
  <c r="Y51" i="27"/>
  <c r="X51" i="27"/>
  <c r="U51" i="27"/>
  <c r="J27" i="27"/>
  <c r="C27" i="27"/>
  <c r="V26" i="27"/>
  <c r="J26" i="27"/>
  <c r="C26" i="27"/>
  <c r="V25" i="27"/>
  <c r="J25" i="27"/>
  <c r="C25" i="27"/>
  <c r="V24" i="27"/>
  <c r="J24" i="27"/>
  <c r="C24" i="27"/>
  <c r="V23" i="27"/>
  <c r="J23" i="27"/>
  <c r="C23" i="27"/>
  <c r="V22" i="27"/>
  <c r="S64" i="27"/>
  <c r="R64" i="27"/>
  <c r="O64" i="27"/>
  <c r="J22" i="27"/>
  <c r="C22" i="27"/>
  <c r="V21" i="27"/>
  <c r="P21" i="27"/>
  <c r="J21" i="27"/>
  <c r="C21" i="27"/>
  <c r="V20" i="27"/>
  <c r="P20" i="27"/>
  <c r="J20" i="27"/>
  <c r="C20" i="27"/>
  <c r="V19" i="27"/>
  <c r="P19" i="27"/>
  <c r="J19" i="27"/>
  <c r="C19" i="27"/>
  <c r="V18" i="27"/>
  <c r="P18" i="27"/>
  <c r="J18" i="27"/>
  <c r="C18" i="27"/>
  <c r="V17" i="27"/>
  <c r="P17" i="27"/>
  <c r="J17" i="27"/>
  <c r="V16" i="27"/>
  <c r="P16" i="27"/>
  <c r="J16" i="27"/>
  <c r="C16" i="27"/>
  <c r="V15" i="27"/>
  <c r="P15" i="27"/>
  <c r="J15" i="27"/>
  <c r="C15" i="27"/>
  <c r="V14" i="27"/>
  <c r="P14" i="27"/>
  <c r="J14" i="27"/>
  <c r="C14" i="27"/>
  <c r="C13" i="27"/>
  <c r="P12" i="27"/>
  <c r="J12" i="27"/>
  <c r="C12" i="27"/>
  <c r="F8" i="27"/>
  <c r="E8" i="27"/>
  <c r="D8" i="27"/>
  <c r="C8" i="27"/>
  <c r="B4" i="27"/>
  <c r="B3" i="27"/>
  <c r="AB27" i="27" l="1"/>
  <c r="V51" i="27"/>
  <c r="P64" i="27"/>
  <c r="C76" i="27"/>
  <c r="D76" i="27"/>
  <c r="J131" i="27"/>
</calcChain>
</file>

<file path=xl/sharedStrings.xml><?xml version="1.0" encoding="utf-8"?>
<sst xmlns="http://schemas.openxmlformats.org/spreadsheetml/2006/main" count="80" uniqueCount="12">
  <si>
    <t>IVA 21</t>
  </si>
  <si>
    <t>IVA 10,5</t>
  </si>
  <si>
    <t>COMISIONES</t>
  </si>
  <si>
    <t>Ret IIBB Caba</t>
  </si>
  <si>
    <t>PERC IVA</t>
  </si>
  <si>
    <r>
      <rPr>
        <b/>
        <u/>
        <sz val="11"/>
        <color theme="1"/>
        <rFont val="Calibri"/>
        <family val="2"/>
        <scheme val="minor"/>
      </rPr>
      <t>EJEMPLO</t>
    </r>
    <r>
      <rPr>
        <sz val="11"/>
        <color theme="1"/>
        <rFont val="Calibri"/>
        <family val="2"/>
        <scheme val="minor"/>
      </rPr>
      <t xml:space="preserve"> </t>
    </r>
  </si>
  <si>
    <t xml:space="preserve"> </t>
  </si>
  <si>
    <t>Per IVA</t>
  </si>
  <si>
    <t>MASTER DEBITO</t>
  </si>
  <si>
    <t>MASTERCARD</t>
  </si>
  <si>
    <t>VISA</t>
  </si>
  <si>
    <t>CABAL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</si>
</sst>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40">
    <xf numFmtId="0" fontId="0" fillId="0" borderId="0" xfId="0"/>
    <xf numFmtId="4" fontId="0" fillId="0" borderId="0" xfId="0" applyNumberFormat="1"/>
    <xf numFmtId="39" fontId="0" fillId="0" borderId="0" xfId="0" applyNumberFormat="1"/>
    <xf numFmtId="43" fontId="0" fillId="0" borderId="0" xfId="1" applyFont="1"/>
    <xf numFmtId="39" fontId="3" fillId="3" borderId="0" xfId="0" applyNumberFormat="1" applyFont="1" applyFill="1"/>
    <xf numFmtId="0" fontId="0" fillId="0" borderId="0" xfId="0" applyAlignment="1">
      <alignment horizontal="center"/>
    </xf>
    <xf numFmtId="0" fontId="0" fillId="5" borderId="0" xfId="0" applyFill="1"/>
    <xf numFmtId="39" fontId="0" fillId="5" borderId="0" xfId="0" applyNumberFormat="1" applyFill="1" applyAlignment="1">
      <alignment horizontal="center"/>
    </xf>
    <xf numFmtId="39" fontId="0" fillId="5" borderId="0" xfId="0" applyNumberFormat="1" applyFill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wrapText="1"/>
    </xf>
    <xf numFmtId="43" fontId="0" fillId="0" borderId="1" xfId="1" applyFont="1" applyBorder="1"/>
    <xf numFmtId="0" fontId="6" fillId="2" borderId="0" xfId="0" applyFont="1" applyFill="1" applyAlignment="1">
      <alignment horizontal="center" wrapText="1"/>
    </xf>
    <xf numFmtId="0" fontId="6" fillId="2" borderId="0" xfId="0" applyFont="1" applyFill="1" applyAlignment="1">
      <alignment horizontal="center"/>
    </xf>
    <xf numFmtId="39" fontId="0" fillId="0" borderId="2" xfId="0" applyNumberFormat="1" applyBorder="1"/>
    <xf numFmtId="0" fontId="6" fillId="4" borderId="2" xfId="0" applyFont="1" applyFill="1" applyBorder="1" applyAlignment="1">
      <alignment horizontal="center" wrapText="1"/>
    </xf>
    <xf numFmtId="0" fontId="6" fillId="4" borderId="2" xfId="0" applyFont="1" applyFill="1" applyBorder="1" applyAlignment="1">
      <alignment horizontal="center"/>
    </xf>
    <xf numFmtId="43" fontId="8" fillId="0" borderId="1" xfId="1" applyFont="1" applyBorder="1"/>
    <xf numFmtId="43" fontId="0" fillId="0" borderId="0" xfId="0" applyNumberFormat="1"/>
    <xf numFmtId="43" fontId="9" fillId="0" borderId="0" xfId="1" applyFont="1" applyBorder="1"/>
    <xf numFmtId="0" fontId="1" fillId="5" borderId="2" xfId="0" applyFont="1" applyFill="1" applyBorder="1" applyAlignment="1">
      <alignment horizontal="left"/>
    </xf>
    <xf numFmtId="0" fontId="0" fillId="0" borderId="0" xfId="0" applyAlignment="1">
      <alignment horizontal="left"/>
    </xf>
    <xf numFmtId="39" fontId="1" fillId="5" borderId="0" xfId="0" applyNumberFormat="1" applyFont="1" applyFill="1" applyAlignment="1">
      <alignment horizontal="center"/>
    </xf>
    <xf numFmtId="0" fontId="1" fillId="5" borderId="3" xfId="0" applyFont="1" applyFill="1" applyBorder="1"/>
    <xf numFmtId="0" fontId="6" fillId="4" borderId="4" xfId="0" applyFont="1" applyFill="1" applyBorder="1" applyAlignment="1">
      <alignment horizontal="center"/>
    </xf>
    <xf numFmtId="39" fontId="0" fillId="0" borderId="4" xfId="0" applyNumberFormat="1" applyBorder="1"/>
    <xf numFmtId="0" fontId="4" fillId="0" borderId="0" xfId="0" applyFont="1" applyAlignment="1">
      <alignment horizontal="center"/>
    </xf>
    <xf numFmtId="43" fontId="11" fillId="0" borderId="1" xfId="1" applyFont="1" applyBorder="1"/>
    <xf numFmtId="43" fontId="11" fillId="0" borderId="1" xfId="1" applyFont="1" applyFill="1" applyBorder="1" applyAlignment="1">
      <alignment horizontal="center" wrapText="1"/>
    </xf>
    <xf numFmtId="43" fontId="11" fillId="0" borderId="1" xfId="1" applyFont="1" applyFill="1" applyBorder="1" applyAlignment="1">
      <alignment horizontal="center"/>
    </xf>
    <xf numFmtId="0" fontId="4" fillId="5" borderId="0" xfId="0" applyFont="1" applyFill="1" applyAlignment="1">
      <alignment horizontal="center"/>
    </xf>
    <xf numFmtId="0" fontId="6" fillId="5" borderId="0" xfId="0" applyFont="1" applyFill="1" applyAlignment="1">
      <alignment horizontal="center"/>
    </xf>
    <xf numFmtId="43" fontId="0" fillId="5" borderId="1" xfId="1" applyFont="1" applyFill="1" applyBorder="1"/>
    <xf numFmtId="43" fontId="11" fillId="5" borderId="1" xfId="1" applyFont="1" applyFill="1" applyBorder="1"/>
    <xf numFmtId="43" fontId="11" fillId="5" borderId="1" xfId="1" applyFont="1" applyFill="1" applyBorder="1" applyAlignment="1">
      <alignment horizontal="center"/>
    </xf>
    <xf numFmtId="43" fontId="11" fillId="5" borderId="0" xfId="1" applyFont="1" applyFill="1" applyBorder="1"/>
    <xf numFmtId="39" fontId="3" fillId="5" borderId="0" xfId="0" applyNumberFormat="1" applyFont="1" applyFill="1"/>
    <xf numFmtId="0" fontId="0" fillId="6" borderId="0" xfId="0" applyFill="1"/>
    <xf numFmtId="0" fontId="0" fillId="5" borderId="0" xfId="0" applyFill="1" applyAlignment="1">
      <alignment horizontal="center"/>
    </xf>
    <xf numFmtId="0" fontId="4" fillId="4" borderId="0" xfId="0" applyFont="1" applyFill="1" applyAlignment="1">
      <alignment horizontal="center"/>
    </xf>
  </cellXfs>
  <cellStyles count="2">
    <cellStyle name="Millares" xfId="1" builtinId="3"/>
    <cellStyle name="Normal" xfId="0" builtinId="0"/>
  </cellStyles>
  <dxfs count="6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numFmt numFmtId="7" formatCode="#,##0.00;\-#,##0.00"/>
    </dxf>
    <dxf>
      <numFmt numFmtId="35" formatCode="_-* #,##0.00_-;\-* #,##0.00_-;_-* &quot;-&quot;??_-;_-@_-"/>
    </dxf>
    <dxf>
      <numFmt numFmtId="7" formatCode="#,##0.00;\-#,##0.00"/>
    </dxf>
    <dxf>
      <numFmt numFmtId="7" formatCode="#,##0.00;\-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numFmt numFmtId="35" formatCode="_-* #,##0.00_-;\-* #,##0.00_-;_-* &quot;-&quot;??_-;_-@_-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7" formatCode="#,##0.00;\-#,##0.00"/>
      <fill>
        <patternFill patternType="solid">
          <fgColor rgb="FF000000"/>
          <bgColor rgb="FF0D0D0D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7" formatCode="#,##0.00;\-#,##0.00"/>
      <fill>
        <patternFill patternType="solid">
          <fgColor rgb="FF000000"/>
          <bgColor rgb="FF0D0D0D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7" formatCode="#,##0.00;\-#,##0.00"/>
      <fill>
        <patternFill patternType="solid">
          <fgColor rgb="FF000000"/>
          <bgColor rgb="FF0D0D0D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000000"/>
          <bgColor rgb="FF0D0D0D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57978</xdr:colOff>
      <xdr:row>3</xdr:row>
      <xdr:rowOff>116245</xdr:rowOff>
    </xdr:from>
    <xdr:to>
      <xdr:col>15</xdr:col>
      <xdr:colOff>10672</xdr:colOff>
      <xdr:row>8</xdr:row>
      <xdr:rowOff>164869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7C95147-45BC-4DCC-A0EB-1F2C2F7A31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33152" y="687745"/>
          <a:ext cx="5145890" cy="100112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659FAF6A-A7E1-4EAC-A2F9-B7486B5261F2}" name="Tabla131624322122233526272822122232425262" displayName="Tabla131624322122233526272822122232425262" ref="B11:F76" totalsRowCount="1" headerRowDxfId="59" totalsRowDxfId="58">
  <autoFilter ref="B11:F75" xr:uid="{00000000-0009-0000-0100-00000B000000}"/>
  <tableColumns count="5">
    <tableColumn id="1" xr3:uid="{DC1CA920-9709-45EE-8C20-DE4A61739C6A}" name="COMISIONES" totalsRowFunction="sum" dataDxfId="13" totalsRowDxfId="9"/>
    <tableColumn id="2" xr3:uid="{A28E69EB-3135-44AF-B89F-888C493AF935}" name="IVA 21" totalsRowFunction="sum" dataDxfId="12" totalsRowDxfId="8">
      <calculatedColumnFormula>Tabla131624322122233526272822122232425262[[#This Row],[COMISIONES]]*0.21</calculatedColumnFormula>
    </tableColumn>
    <tableColumn id="3" xr3:uid="{FB2E2103-F081-4066-9E8E-5D9909C46767}" name="IVA 10,5" totalsRowFunction="sum" dataDxfId="11" totalsRowDxfId="7">
      <calculatedColumnFormula>Tabla131624322122233526272822122232425262[[#This Row],[COMISIONES]]*0.105</calculatedColumnFormula>
    </tableColumn>
    <tableColumn id="4" xr3:uid="{ABB97589-BADB-4AF9-AEFC-CAFC63ED9A7C}" name="Ret IIBB Caba" totalsRowFunction="sum" dataDxfId="10" totalsRowDxfId="6"/>
    <tableColumn id="5" xr3:uid="{D5F38200-C11C-4A14-A361-058FF30D9C68}" name="PERC IVA" totalsRowFunction="sum" totalsRowDxfId="5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2D4FA8A6-41FF-4AB6-B85B-20DA76E1D4DF}" name="Tabla35101826364142444546474844142434445464" displayName="Tabla35101826364142444546474844142434445464" ref="I11:M131" totalsRowCount="1" headerRowDxfId="57" dataDxfId="56" totalsRowDxfId="54" tableBorderDxfId="55" dataCellStyle="Millares">
  <autoFilter ref="I11:M130" xr:uid="{00000000-0009-0000-0100-00000D000000}"/>
  <tableColumns count="5">
    <tableColumn id="1" xr3:uid="{7541598A-1776-488A-9BC4-DB0F65FF7582}" name="COMISIONES" totalsRowFunction="sum" dataDxfId="53" totalsRowDxfId="18" dataCellStyle="Millares"/>
    <tableColumn id="2" xr3:uid="{6CB41DE6-3F63-468A-869F-B33394ACFD08}" name="IVA 21" totalsRowFunction="sum" dataDxfId="52" totalsRowDxfId="17" dataCellStyle="Millares">
      <calculatedColumnFormula>Tabla35101826364142444546474844142434445464[[#This Row],[COMISIONES]]*0.21</calculatedColumnFormula>
    </tableColumn>
    <tableColumn id="3" xr3:uid="{91505D2C-9127-44E7-9C42-E1E553B5693F}" name="IVA 10,5" totalsRowFunction="sum" dataDxfId="51" totalsRowDxfId="16" dataCellStyle="Millares"/>
    <tableColumn id="4" xr3:uid="{D8402622-F8AE-444A-894D-3DD822B7F56E}" name="Ret IIBB Caba" totalsRowFunction="sum" dataDxfId="50" totalsRowDxfId="15" dataCellStyle="Millares"/>
    <tableColumn id="5" xr3:uid="{DA430EEA-1529-4802-A0B4-AF0CB28512FA}" name="PERC IVA" totalsRowFunction="sum" dataDxfId="49" totalsRowDxfId="14" dataCellStyle="Millares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D4BF4D43-2268-4047-BD1D-B85C72C225EA}" name="Tabla356813142230408182848586878888182838485868" displayName="Tabla356813142230408182848586878888182838485868" ref="O11:S64" totalsRowCount="1" headerRowDxfId="48" dataDxfId="47" totalsRowDxfId="45" tableBorderDxfId="46" dataCellStyle="Millares">
  <autoFilter ref="O11:S63" xr:uid="{00000000-0009-0000-0100-000011000000}"/>
  <tableColumns count="5">
    <tableColumn id="1" xr3:uid="{69F3EF36-3F91-4DAE-A5A0-189072BEAA39}" name="COMISIONES" totalsRowFunction="sum" dataDxfId="44" totalsRowDxfId="28" dataCellStyle="Millares"/>
    <tableColumn id="2" xr3:uid="{49FD5E8B-36D7-4342-88B9-EEC9EBCF0EE5}" name="IVA 21" totalsRowFunction="sum" dataDxfId="43" totalsRowDxfId="27" dataCellStyle="Millares">
      <calculatedColumnFormula>Tabla356813142230408182848586878888182838485868[[#This Row],[COMISIONES]]*0.21</calculatedColumnFormula>
    </tableColumn>
    <tableColumn id="3" xr3:uid="{446CCB92-09D3-482C-A3BD-776DDAE1B2BD}" name="IVA 10,5" totalsRowFunction="sum" dataDxfId="42" totalsRowDxfId="26" dataCellStyle="Millares"/>
    <tableColumn id="4" xr3:uid="{64349763-C5BF-4D09-8FF6-B39006950D8C}" name="Ret IIBB Caba" totalsRowFunction="sum" dataDxfId="41" totalsRowDxfId="25" dataCellStyle="Millares"/>
    <tableColumn id="5" xr3:uid="{1A52493A-651C-40C7-9D07-FB054F01E592}" name="PERC IVA" totalsRowFunction="sum" dataDxfId="40" totalsRowDxfId="24" dataCellStyle="Millares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AEADC1FC-467E-4A96-A3AC-91F1BF2EE3F5}" name="Tabla3561119273443112131516171819111213141516171" displayName="Tabla3561119273443112131516171819111213141516171" ref="U11:Y51" totalsRowCount="1" headerRowDxfId="39" dataDxfId="38" totalsRowDxfId="36" tableBorderDxfId="37" dataCellStyle="Millares">
  <autoFilter ref="U11:Y50" xr:uid="{00000000-0009-0000-0100-000014000000}"/>
  <tableColumns count="5">
    <tableColumn id="1" xr3:uid="{F0DD15C7-4B2C-4E6A-A00C-BA8078DC8BA9}" name="COMISIONES" totalsRowFunction="sum" dataDxfId="35" totalsRowDxfId="4" dataCellStyle="Millares"/>
    <tableColumn id="2" xr3:uid="{B8C4F1B5-B6E3-4424-891A-B6F510707B48}" name="IVA 21" totalsRowFunction="sum" dataDxfId="34" totalsRowDxfId="3" dataCellStyle="Millares">
      <calculatedColumnFormula>Tabla3561119273443112131516171819111213141516171[[#This Row],[COMISIONES]]*0.21</calculatedColumnFormula>
    </tableColumn>
    <tableColumn id="3" xr3:uid="{12F151D3-92CA-4F69-B6DF-3B30A998BD5C}" name="IVA 10,5" totalsRowFunction="sum" dataDxfId="33" totalsRowDxfId="2" dataCellStyle="Millares"/>
    <tableColumn id="4" xr3:uid="{A378DCCA-18A9-4D62-91D0-3DFEEF10F33A}" name="Ret IIBB Caba" totalsRowFunction="sum" dataDxfId="32" totalsRowDxfId="1" dataCellStyle="Millares"/>
    <tableColumn id="5" xr3:uid="{09B8FA1F-77A0-4D06-86D3-D124DFA74CC1}" name="PERC IVA" totalsRowFunction="sum" dataDxfId="31" totalsRowDxfId="0" dataCellStyle="Millares"/>
  </tableColumns>
  <tableStyleInfo name="TableStyleLight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4338895A-B9B3-47FE-87EA-0BF529E98819}" name="Tabla73" displayName="Tabla73" ref="AA11:AE27" totalsRowCount="1" headerRowDxfId="30" dataCellStyle="Millares">
  <autoFilter ref="AA11:AE26" xr:uid="{4338895A-B9B3-47FE-87EA-0BF529E98819}"/>
  <tableColumns count="5">
    <tableColumn id="1" xr3:uid="{7F4B7246-67C3-469F-BAAC-7CA46366261A}" name="COMISIONES" totalsRowFunction="custom" totalsRowDxfId="23" dataCellStyle="Millares">
      <totalsRowFormula>SUM(Tabla73[COMISIONES])</totalsRowFormula>
    </tableColumn>
    <tableColumn id="2" xr3:uid="{3077B4FE-A93D-469E-87EF-3A1479C5D49F}" name="IVA 21" totalsRowFunction="custom" dataDxfId="29" totalsRowDxfId="22" dataCellStyle="Millares">
      <calculatedColumnFormula>Tabla73[[#This Row],[COMISIONES]]*0.21</calculatedColumnFormula>
      <totalsRowFormula>SUM(Tabla73[IVA 21])</totalsRowFormula>
    </tableColumn>
    <tableColumn id="3" xr3:uid="{3567931F-37CE-43FD-B0D6-B7D721B2F5F7}" name="IVA 10,5" totalsRowFunction="custom" totalsRowDxfId="21" dataCellStyle="Millares">
      <totalsRowFormula>SUM(Tabla73[IVA 10,5])</totalsRowFormula>
    </tableColumn>
    <tableColumn id="4" xr3:uid="{02CEC5DF-2152-48D7-8342-C288A6608D23}" name="Ret IIBB Caba" totalsRowFunction="custom" totalsRowDxfId="20" dataCellStyle="Millares">
      <totalsRowFormula>SUM(Tabla73[Ret IIBB Caba])</totalsRowFormula>
    </tableColumn>
    <tableColumn id="5" xr3:uid="{70ADA41B-2263-4521-927E-E8E2836C2233}" name="PERC IVA" totalsRowFunction="custom" totalsRowDxfId="19" dataCellStyle="Millares">
      <totalsRowFormula>SUM(Tabla73[PERC IVA])</totalsRow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7" Type="http://schemas.openxmlformats.org/officeDocument/2006/relationships/table" Target="../tables/table5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4.xml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18580-1CFB-4995-B472-A1AF7B4CEA54}">
  <dimension ref="A1:AE249"/>
  <sheetViews>
    <sheetView showGridLines="0" tabSelected="1" zoomScale="115" zoomScaleNormal="115" workbookViewId="0">
      <selection activeCell="F6" sqref="F6"/>
    </sheetView>
  </sheetViews>
  <sheetFormatPr baseColWidth="10" defaultRowHeight="15" x14ac:dyDescent="0.25"/>
  <cols>
    <col min="1" max="1" width="4.5703125" customWidth="1"/>
    <col min="2" max="2" width="30.5703125" customWidth="1"/>
    <col min="3" max="3" width="14" bestFit="1" customWidth="1"/>
    <col min="4" max="4" width="12.140625" bestFit="1" customWidth="1"/>
    <col min="5" max="5" width="11.5703125" customWidth="1"/>
    <col min="6" max="6" width="13" bestFit="1" customWidth="1"/>
    <col min="7" max="7" width="13" customWidth="1"/>
    <col min="8" max="8" width="2.5703125" style="6" customWidth="1"/>
    <col min="9" max="9" width="12.7109375" customWidth="1"/>
    <col min="12" max="12" width="12.85546875" customWidth="1"/>
    <col min="14" max="14" width="2.5703125" style="6" customWidth="1"/>
    <col min="15" max="15" width="15.42578125" bestFit="1" customWidth="1"/>
    <col min="16" max="16" width="12.28515625" bestFit="1" customWidth="1"/>
    <col min="18" max="18" width="15.7109375" bestFit="1" customWidth="1"/>
    <col min="20" max="20" width="2.85546875" style="6" customWidth="1"/>
    <col min="26" max="26" width="3.140625" style="6" customWidth="1"/>
    <col min="27" max="27" width="13.85546875" customWidth="1"/>
    <col min="30" max="30" width="14" customWidth="1"/>
  </cols>
  <sheetData>
    <row r="1" spans="1:31" x14ac:dyDescent="0.25">
      <c r="H1"/>
      <c r="N1"/>
      <c r="T1" s="37"/>
      <c r="Z1" s="37"/>
    </row>
    <row r="2" spans="1:31" x14ac:dyDescent="0.25">
      <c r="C2" s="15" t="s">
        <v>2</v>
      </c>
      <c r="D2" s="16" t="s">
        <v>0</v>
      </c>
      <c r="E2" s="16" t="s">
        <v>1</v>
      </c>
      <c r="F2" s="16" t="s">
        <v>3</v>
      </c>
      <c r="G2" s="24" t="s">
        <v>7</v>
      </c>
      <c r="H2"/>
      <c r="N2"/>
      <c r="T2" s="37"/>
      <c r="Z2" s="37"/>
    </row>
    <row r="3" spans="1:31" x14ac:dyDescent="0.25">
      <c r="B3" s="20" t="str">
        <f>+B10</f>
        <v>MASTERCARD</v>
      </c>
      <c r="C3" s="14">
        <v>86990.62000000001</v>
      </c>
      <c r="D3" s="14">
        <v>18268.030199999997</v>
      </c>
      <c r="E3" s="14" t="s">
        <v>6</v>
      </c>
      <c r="F3" s="14">
        <v>84780.004000000001</v>
      </c>
      <c r="G3" s="25">
        <v>1537.3100000000002</v>
      </c>
      <c r="H3"/>
      <c r="I3" t="s">
        <v>5</v>
      </c>
      <c r="N3"/>
      <c r="T3" s="37"/>
      <c r="Z3" s="37"/>
    </row>
    <row r="4" spans="1:31" x14ac:dyDescent="0.25">
      <c r="B4" s="20" t="str">
        <f>+I10</f>
        <v>MASTER DEBITO</v>
      </c>
      <c r="C4" s="14">
        <v>6139.2</v>
      </c>
      <c r="D4" s="14">
        <v>1289.232</v>
      </c>
      <c r="E4" s="14" t="s">
        <v>6</v>
      </c>
      <c r="F4" s="14">
        <v>19031.52</v>
      </c>
      <c r="G4" s="25" t="s">
        <v>6</v>
      </c>
      <c r="H4"/>
      <c r="N4"/>
      <c r="T4" s="37"/>
      <c r="Z4" s="37"/>
    </row>
    <row r="5" spans="1:31" x14ac:dyDescent="0.25">
      <c r="B5" s="20" t="s">
        <v>10</v>
      </c>
      <c r="C5" s="14"/>
      <c r="D5" s="14"/>
      <c r="E5" s="14"/>
      <c r="F5" s="14"/>
      <c r="G5" s="14"/>
      <c r="H5"/>
      <c r="N5"/>
      <c r="T5" s="37"/>
      <c r="Z5" s="37"/>
    </row>
    <row r="6" spans="1:31" x14ac:dyDescent="0.25">
      <c r="B6" s="23" t="s">
        <v>11</v>
      </c>
      <c r="C6" s="14">
        <v>1044</v>
      </c>
      <c r="D6" s="14">
        <v>219.24</v>
      </c>
      <c r="E6" s="14" t="s">
        <v>6</v>
      </c>
      <c r="F6" s="14">
        <v>1671.17</v>
      </c>
      <c r="G6" s="25" t="s">
        <v>6</v>
      </c>
      <c r="H6"/>
      <c r="N6"/>
      <c r="T6" s="37"/>
      <c r="Z6" s="37"/>
    </row>
    <row r="7" spans="1:31" x14ac:dyDescent="0.25">
      <c r="B7" s="23"/>
      <c r="C7" s="14"/>
      <c r="D7" s="14"/>
      <c r="E7" s="14"/>
      <c r="F7" s="14"/>
      <c r="G7" s="25"/>
      <c r="H7"/>
      <c r="N7"/>
      <c r="T7" s="37"/>
      <c r="Z7" s="37"/>
    </row>
    <row r="8" spans="1:31" x14ac:dyDescent="0.25">
      <c r="A8" s="21"/>
      <c r="B8" s="21"/>
      <c r="C8" s="22">
        <f>SUM(C3:C7)</f>
        <v>94173.82</v>
      </c>
      <c r="D8" s="22">
        <f>SUM(D3:D7)</f>
        <v>19776.502199999999</v>
      </c>
      <c r="E8" s="22">
        <f>SUM(E3:E7)</f>
        <v>0</v>
      </c>
      <c r="F8" s="22">
        <f>SUM(F3:F7)</f>
        <v>105482.694</v>
      </c>
      <c r="G8" s="22"/>
      <c r="H8"/>
      <c r="N8"/>
      <c r="T8" s="37"/>
      <c r="Z8" s="37"/>
    </row>
    <row r="9" spans="1:31" x14ac:dyDescent="0.25">
      <c r="A9" s="21"/>
      <c r="B9" s="21"/>
      <c r="H9"/>
      <c r="N9"/>
      <c r="T9" s="37"/>
      <c r="Z9" s="37"/>
    </row>
    <row r="10" spans="1:31" ht="16.5" customHeight="1" x14ac:dyDescent="0.3">
      <c r="B10" s="39" t="s">
        <v>9</v>
      </c>
      <c r="C10" s="39"/>
      <c r="D10" s="39"/>
      <c r="E10" s="39"/>
      <c r="F10" s="39"/>
      <c r="G10" s="26"/>
      <c r="I10" s="39" t="s">
        <v>8</v>
      </c>
      <c r="J10" s="39"/>
      <c r="K10" s="39"/>
      <c r="L10" s="39"/>
      <c r="M10" s="39"/>
      <c r="O10" s="39" t="s">
        <v>10</v>
      </c>
      <c r="P10" s="39"/>
      <c r="Q10" s="39"/>
      <c r="R10" s="39"/>
      <c r="S10" s="39"/>
      <c r="T10" s="30"/>
      <c r="U10" s="39" t="s">
        <v>11</v>
      </c>
      <c r="V10" s="39"/>
      <c r="W10" s="39"/>
      <c r="X10" s="39"/>
      <c r="Y10" s="39"/>
      <c r="AA10" s="39" t="s">
        <v>6</v>
      </c>
      <c r="AB10" s="39"/>
      <c r="AC10" s="39"/>
      <c r="AD10" s="39"/>
      <c r="AE10" s="39"/>
    </row>
    <row r="11" spans="1:31" s="5" customFormat="1" x14ac:dyDescent="0.25">
      <c r="B11" s="10" t="s">
        <v>2</v>
      </c>
      <c r="C11" s="9" t="s">
        <v>0</v>
      </c>
      <c r="D11" s="9" t="s">
        <v>1</v>
      </c>
      <c r="E11" s="9" t="s">
        <v>3</v>
      </c>
      <c r="F11" s="9" t="s">
        <v>4</v>
      </c>
      <c r="G11" s="9"/>
      <c r="H11" s="7"/>
      <c r="I11" s="12" t="s">
        <v>2</v>
      </c>
      <c r="J11" s="13" t="s">
        <v>0</v>
      </c>
      <c r="K11" s="13" t="s">
        <v>1</v>
      </c>
      <c r="L11" s="13" t="s">
        <v>3</v>
      </c>
      <c r="M11" s="13" t="s">
        <v>4</v>
      </c>
      <c r="N11" s="7"/>
      <c r="O11" s="12" t="s">
        <v>2</v>
      </c>
      <c r="P11" s="13" t="s">
        <v>0</v>
      </c>
      <c r="Q11" s="13" t="s">
        <v>1</v>
      </c>
      <c r="R11" s="13" t="s">
        <v>3</v>
      </c>
      <c r="S11" s="13" t="s">
        <v>4</v>
      </c>
      <c r="T11" s="31"/>
      <c r="U11" s="12" t="s">
        <v>2</v>
      </c>
      <c r="V11" s="13" t="s">
        <v>0</v>
      </c>
      <c r="W11" s="13" t="s">
        <v>1</v>
      </c>
      <c r="X11" s="13" t="s">
        <v>3</v>
      </c>
      <c r="Y11" s="13" t="s">
        <v>4</v>
      </c>
      <c r="Z11" s="38"/>
      <c r="AA11" s="5" t="s">
        <v>2</v>
      </c>
      <c r="AB11" s="5" t="s">
        <v>0</v>
      </c>
      <c r="AC11" s="5" t="s">
        <v>1</v>
      </c>
      <c r="AD11" s="5" t="s">
        <v>3</v>
      </c>
      <c r="AE11" s="5" t="s">
        <v>4</v>
      </c>
    </row>
    <row r="12" spans="1:31" x14ac:dyDescent="0.25">
      <c r="B12" s="2">
        <v>900</v>
      </c>
      <c r="C12" s="2">
        <f>Tabla131624322122233526272822122232425262[[#This Row],[COMISIONES]]*0.21</f>
        <v>189</v>
      </c>
      <c r="D12" s="3" t="s">
        <v>6</v>
      </c>
      <c r="E12" s="3">
        <v>1227.5</v>
      </c>
      <c r="F12" s="1">
        <v>130.26</v>
      </c>
      <c r="G12" s="1"/>
      <c r="H12" s="8"/>
      <c r="I12" s="3">
        <v>888</v>
      </c>
      <c r="J12" s="11">
        <f>Tabla35101826364142444546474844142434445464[[#This Row],[COMISIONES]]*0.21</f>
        <v>186.48</v>
      </c>
      <c r="K12" s="11"/>
      <c r="L12" s="1">
        <v>2752.8</v>
      </c>
      <c r="N12" s="8"/>
      <c r="O12" s="3"/>
      <c r="P12" s="11">
        <f>Tabla356813142230408182848586878888182838485868[[#This Row],[COMISIONES]]*0.21</f>
        <v>0</v>
      </c>
      <c r="Q12" s="11"/>
      <c r="R12" s="1"/>
      <c r="S12" s="11"/>
      <c r="T12" s="32"/>
      <c r="U12" s="11">
        <v>144</v>
      </c>
      <c r="V12" s="11">
        <f>Tabla3561119273443112131516171819111213141516171[[#This Row],[COMISIONES]]*0.21</f>
        <v>30.24</v>
      </c>
      <c r="W12" s="11"/>
      <c r="X12" s="11">
        <v>445.64</v>
      </c>
      <c r="Y12" s="11"/>
      <c r="AA12" s="3"/>
      <c r="AB12" s="3">
        <f>Tabla73[[#This Row],[COMISIONES]]*0.21</f>
        <v>0</v>
      </c>
      <c r="AC12" s="3"/>
      <c r="AD12" s="3"/>
      <c r="AE12" s="3"/>
    </row>
    <row r="13" spans="1:31" x14ac:dyDescent="0.25">
      <c r="B13" s="3">
        <v>1602</v>
      </c>
      <c r="C13" s="2">
        <f>Tabla131624322122233526272822122232425262[[#This Row],[COMISIONES]]*0.21</f>
        <v>336.42</v>
      </c>
      <c r="D13" s="3" t="s">
        <v>6</v>
      </c>
      <c r="E13" s="3">
        <v>2184.9499999999998</v>
      </c>
      <c r="F13" s="3">
        <v>42.12</v>
      </c>
      <c r="G13" s="3"/>
      <c r="H13" s="8"/>
      <c r="I13" s="11">
        <v>1456</v>
      </c>
      <c r="J13" s="11">
        <f>Tabla35101826364142444546474844142434445464[[#This Row],[COMISIONES]]*0.21</f>
        <v>305.76</v>
      </c>
      <c r="K13" s="11"/>
      <c r="L13" s="1">
        <v>4513.6000000000004</v>
      </c>
      <c r="N13" s="8"/>
      <c r="O13" s="11"/>
      <c r="P13" s="11">
        <f>Tabla356813142230408182848586878888182838485868[[#This Row],[COMISIONES]]*0.21</f>
        <v>0</v>
      </c>
      <c r="Q13" s="11"/>
      <c r="R13" s="11"/>
      <c r="S13" s="11"/>
      <c r="T13" s="32"/>
      <c r="U13" s="11">
        <v>144</v>
      </c>
      <c r="V13" s="11">
        <f>Tabla3561119273443112131516171819111213141516171[[#This Row],[COMISIONES]]*0.21</f>
        <v>30.24</v>
      </c>
      <c r="W13" s="11"/>
      <c r="X13" s="11">
        <v>668.47</v>
      </c>
      <c r="Y13" s="11"/>
      <c r="AA13" s="3"/>
      <c r="AB13" s="3">
        <f>Tabla73[[#This Row],[COMISIONES]]*0.21</f>
        <v>0</v>
      </c>
      <c r="AC13" s="3"/>
      <c r="AD13" s="3"/>
      <c r="AE13" s="3"/>
    </row>
    <row r="14" spans="1:31" x14ac:dyDescent="0.25">
      <c r="B14" s="3">
        <v>1179</v>
      </c>
      <c r="C14" s="2">
        <f>Tabla131624322122233526272822122232425262[[#This Row],[COMISIONES]]*0.21</f>
        <v>247.59</v>
      </c>
      <c r="D14" s="3" t="s">
        <v>6</v>
      </c>
      <c r="E14" s="3">
        <v>1608.03</v>
      </c>
      <c r="F14" s="3">
        <v>551.08000000000004</v>
      </c>
      <c r="G14" s="3"/>
      <c r="I14" s="1">
        <v>464</v>
      </c>
      <c r="J14" s="11">
        <f>Tabla35101826364142444546474844142434445464[[#This Row],[COMISIONES]]*0.21</f>
        <v>97.44</v>
      </c>
      <c r="K14" s="11"/>
      <c r="L14" s="11">
        <v>1438.4</v>
      </c>
      <c r="M14" s="19"/>
      <c r="O14" s="11"/>
      <c r="P14" s="11">
        <f>Tabla356813142230408182848586878888182838485868[[#This Row],[COMISIONES]]*0.21</f>
        <v>0</v>
      </c>
      <c r="Q14" s="11"/>
      <c r="R14" s="11"/>
      <c r="S14" s="11"/>
      <c r="T14" s="32"/>
      <c r="U14" s="11">
        <v>180</v>
      </c>
      <c r="V14" s="11">
        <f>Tabla3561119273443112131516171819111213141516171[[#This Row],[COMISIONES]]*0.21</f>
        <v>37.799999999999997</v>
      </c>
      <c r="W14" s="11"/>
      <c r="X14" s="11">
        <v>557.05999999999995</v>
      </c>
      <c r="Y14" s="11"/>
      <c r="AA14" s="3"/>
      <c r="AB14" s="3">
        <f>Tabla73[[#This Row],[COMISIONES]]*0.21</f>
        <v>0</v>
      </c>
      <c r="AC14" s="3"/>
      <c r="AD14" s="3"/>
      <c r="AE14" s="3"/>
    </row>
    <row r="15" spans="1:31" x14ac:dyDescent="0.25">
      <c r="B15" s="3">
        <v>648</v>
      </c>
      <c r="C15" s="2">
        <f>Tabla131624322122233526272822122232425262[[#This Row],[COMISIONES]]*0.21</f>
        <v>136.07999999999998</v>
      </c>
      <c r="D15" s="3" t="s">
        <v>6</v>
      </c>
      <c r="E15" s="3">
        <v>883.8</v>
      </c>
      <c r="F15" s="3">
        <v>178.2</v>
      </c>
      <c r="G15" s="3"/>
      <c r="H15" s="8"/>
      <c r="I15" s="1">
        <v>288</v>
      </c>
      <c r="J15" s="11">
        <f>Tabla35101826364142444546474844142434445464[[#This Row],[COMISIONES]]*0.21</f>
        <v>60.48</v>
      </c>
      <c r="K15" s="11"/>
      <c r="L15" s="11">
        <v>892.8</v>
      </c>
      <c r="M15" s="19"/>
      <c r="N15" s="8"/>
      <c r="O15" s="11"/>
      <c r="P15" s="11">
        <f>Tabla356813142230408182848586878888182838485868[[#This Row],[COMISIONES]]*0.21</f>
        <v>0</v>
      </c>
      <c r="Q15" s="11"/>
      <c r="R15" s="11"/>
      <c r="S15" s="11"/>
      <c r="T15" s="32"/>
      <c r="U15" s="11">
        <v>216</v>
      </c>
      <c r="V15" s="11">
        <f>Tabla3561119273443112131516171819111213141516171[[#This Row],[COMISIONES]]*0.21</f>
        <v>45.36</v>
      </c>
      <c r="W15" s="11"/>
      <c r="X15" s="11"/>
      <c r="Y15" s="11"/>
      <c r="AA15" s="3"/>
      <c r="AB15" s="3">
        <f>Tabla73[[#This Row],[COMISIONES]]*0.21</f>
        <v>0</v>
      </c>
      <c r="AC15" s="3"/>
      <c r="AD15" s="3"/>
      <c r="AE15" s="3"/>
    </row>
    <row r="16" spans="1:31" x14ac:dyDescent="0.25">
      <c r="B16" s="3">
        <v>180</v>
      </c>
      <c r="C16" s="2">
        <f>Tabla131624322122233526272822122232425262[[#This Row],[COMISIONES]]*0.21</f>
        <v>37.799999999999997</v>
      </c>
      <c r="D16" s="3" t="s">
        <v>6</v>
      </c>
      <c r="E16" s="3">
        <v>245.5</v>
      </c>
      <c r="F16" s="3">
        <v>171.57</v>
      </c>
      <c r="G16" s="3"/>
      <c r="I16" s="1">
        <v>200</v>
      </c>
      <c r="J16" s="11">
        <f>Tabla35101826364142444546474844142434445464[[#This Row],[COMISIONES]]*0.21</f>
        <v>42</v>
      </c>
      <c r="K16" s="11"/>
      <c r="L16" s="11">
        <v>620</v>
      </c>
      <c r="M16" s="19"/>
      <c r="O16" s="11"/>
      <c r="P16" s="11">
        <f>Tabla356813142230408182848586878888182838485868[[#This Row],[COMISIONES]]*0.21</f>
        <v>0</v>
      </c>
      <c r="Q16" s="11"/>
      <c r="R16" s="11"/>
      <c r="S16" s="11"/>
      <c r="T16" s="32"/>
      <c r="U16" s="11">
        <v>180</v>
      </c>
      <c r="V16" s="11">
        <f>Tabla3561119273443112131516171819111213141516171[[#This Row],[COMISIONES]]*0.21</f>
        <v>37.799999999999997</v>
      </c>
      <c r="W16" s="11"/>
      <c r="X16" s="11"/>
      <c r="Y16" s="11"/>
      <c r="AA16" s="3"/>
      <c r="AB16" s="3">
        <f>Tabla73[[#This Row],[COMISIONES]]*0.21</f>
        <v>0</v>
      </c>
      <c r="AC16" s="3"/>
      <c r="AD16" s="3"/>
      <c r="AE16" s="3"/>
    </row>
    <row r="17" spans="2:31" x14ac:dyDescent="0.25">
      <c r="B17" s="3">
        <v>1404</v>
      </c>
      <c r="C17" s="2">
        <f>Tabla131624322122233526272822122232425262[[#This Row],[COMISIONES]]*0.21</f>
        <v>294.83999999999997</v>
      </c>
      <c r="D17" s="3" t="s">
        <v>6</v>
      </c>
      <c r="E17" s="3">
        <v>1788.81</v>
      </c>
      <c r="F17" s="3">
        <v>29.16</v>
      </c>
      <c r="G17" s="3"/>
      <c r="I17" s="11">
        <v>544</v>
      </c>
      <c r="J17" s="11">
        <f>Tabla35101826364142444546474844142434445464[[#This Row],[COMISIONES]]*0.21</f>
        <v>114.24</v>
      </c>
      <c r="K17" s="11"/>
      <c r="L17" s="11">
        <v>1686.4</v>
      </c>
      <c r="M17" s="11"/>
      <c r="O17" s="11"/>
      <c r="P17" s="11">
        <f>Tabla356813142230408182848586878888182838485868[[#This Row],[COMISIONES]]*0.21</f>
        <v>0</v>
      </c>
      <c r="Q17" s="11"/>
      <c r="R17" s="11"/>
      <c r="S17" s="11"/>
      <c r="T17" s="32"/>
      <c r="U17" s="11">
        <v>180</v>
      </c>
      <c r="V17" s="11">
        <f>Tabla3561119273443112131516171819111213141516171[[#This Row],[COMISIONES]]*0.21</f>
        <v>37.799999999999997</v>
      </c>
      <c r="W17" s="11"/>
      <c r="X17" s="11"/>
      <c r="Y17" s="11"/>
      <c r="AA17" s="3"/>
      <c r="AB17" s="3">
        <f>Tabla73[[#This Row],[COMISIONES]]*0.21</f>
        <v>0</v>
      </c>
      <c r="AC17" s="3"/>
      <c r="AD17" s="3"/>
      <c r="AE17" s="3"/>
    </row>
    <row r="18" spans="2:31" x14ac:dyDescent="0.25">
      <c r="B18" s="3">
        <v>702</v>
      </c>
      <c r="C18" s="2">
        <f>Tabla131624322122233526272822122232425262[[#This Row],[COMISIONES]]*0.21</f>
        <v>147.41999999999999</v>
      </c>
      <c r="D18" s="3" t="s">
        <v>6</v>
      </c>
      <c r="E18" s="3">
        <v>1104.75</v>
      </c>
      <c r="F18" s="3">
        <v>177.93</v>
      </c>
      <c r="G18" s="3"/>
      <c r="I18" s="11">
        <v>660</v>
      </c>
      <c r="J18" s="11">
        <f>Tabla35101826364142444546474844142434445464[[#This Row],[COMISIONES]]*0.21</f>
        <v>138.6</v>
      </c>
      <c r="K18" s="11"/>
      <c r="L18" s="11">
        <v>2046</v>
      </c>
      <c r="M18" s="11"/>
      <c r="O18" s="11"/>
      <c r="P18" s="11">
        <f>Tabla356813142230408182848586878888182838485868[[#This Row],[COMISIONES]]*0.21</f>
        <v>0</v>
      </c>
      <c r="Q18" s="11"/>
      <c r="R18" s="11"/>
      <c r="S18" s="11"/>
      <c r="T18" s="32"/>
      <c r="U18" s="11"/>
      <c r="V18" s="11">
        <f>Tabla3561119273443112131516171819111213141516171[[#This Row],[COMISIONES]]*0.21</f>
        <v>0</v>
      </c>
      <c r="W18" s="11"/>
      <c r="X18" s="11"/>
      <c r="Y18" s="11"/>
      <c r="AA18" s="3"/>
      <c r="AB18" s="3">
        <f>Tabla73[[#This Row],[COMISIONES]]*0.21</f>
        <v>0</v>
      </c>
      <c r="AC18" s="3"/>
      <c r="AD18" s="3"/>
      <c r="AE18" s="3"/>
    </row>
    <row r="19" spans="2:31" x14ac:dyDescent="0.25">
      <c r="B19" s="3">
        <v>810</v>
      </c>
      <c r="C19" s="2">
        <f>Tabla131624322122233526272822122232425262[[#This Row],[COMISIONES]]*0.21</f>
        <v>170.1</v>
      </c>
      <c r="D19" s="3" t="s">
        <v>6</v>
      </c>
      <c r="E19" s="3">
        <v>1890.35</v>
      </c>
      <c r="F19" s="3">
        <v>30.24</v>
      </c>
      <c r="G19" s="3"/>
      <c r="I19" s="11">
        <v>1008</v>
      </c>
      <c r="J19" s="11">
        <f>Tabla35101826364142444546474844142434445464[[#This Row],[COMISIONES]]*0.21</f>
        <v>211.67999999999998</v>
      </c>
      <c r="K19" s="11"/>
      <c r="L19" s="11">
        <v>3124.8</v>
      </c>
      <c r="M19" s="11"/>
      <c r="O19" s="11"/>
      <c r="P19" s="11">
        <f>Tabla356813142230408182848586878888182838485868[[#This Row],[COMISIONES]]*0.21</f>
        <v>0</v>
      </c>
      <c r="Q19" s="11"/>
      <c r="R19" s="11"/>
      <c r="S19" s="11"/>
      <c r="T19" s="32"/>
      <c r="U19" s="11"/>
      <c r="V19" s="11">
        <f>Tabla3561119273443112131516171819111213141516171[[#This Row],[COMISIONES]]*0.21</f>
        <v>0</v>
      </c>
      <c r="W19" s="11"/>
      <c r="X19" s="11"/>
      <c r="Y19" s="11"/>
      <c r="AA19" s="3"/>
      <c r="AB19" s="3">
        <f>Tabla73[[#This Row],[COMISIONES]]*0.21</f>
        <v>0</v>
      </c>
      <c r="AC19" s="3"/>
      <c r="AD19" s="3"/>
      <c r="AE19" s="3"/>
    </row>
    <row r="20" spans="2:31" x14ac:dyDescent="0.25">
      <c r="B20" s="3">
        <v>11.75</v>
      </c>
      <c r="C20" s="2">
        <f>Tabla131624322122233526272822122232425262[[#This Row],[COMISIONES]]*0.21</f>
        <v>2.4674999999999998</v>
      </c>
      <c r="D20" s="3" t="s">
        <v>6</v>
      </c>
      <c r="E20" s="3">
        <v>1055.6500000000001</v>
      </c>
      <c r="F20" s="3">
        <v>193.81</v>
      </c>
      <c r="G20" s="3"/>
      <c r="I20" s="11">
        <v>631.20000000000005</v>
      </c>
      <c r="J20" s="11">
        <f>Tabla35101826364142444546474844142434445464[[#This Row],[COMISIONES]]*0.21</f>
        <v>132.55199999999999</v>
      </c>
      <c r="K20" s="11"/>
      <c r="L20" s="11">
        <v>1956.72</v>
      </c>
      <c r="M20" s="11"/>
      <c r="O20" s="11"/>
      <c r="P20" s="11">
        <f>Tabla356813142230408182848586878888182838485868[[#This Row],[COMISIONES]]*0.21</f>
        <v>0</v>
      </c>
      <c r="Q20" s="11"/>
      <c r="R20" s="11"/>
      <c r="S20" s="11"/>
      <c r="T20" s="32"/>
      <c r="U20" s="11"/>
      <c r="V20" s="11">
        <f>Tabla3561119273443112131516171819111213141516171[[#This Row],[COMISIONES]]*0.21</f>
        <v>0</v>
      </c>
      <c r="W20" s="11"/>
      <c r="X20" s="11"/>
      <c r="Y20" s="11"/>
      <c r="AA20" s="3"/>
      <c r="AB20" s="3">
        <f>Tabla73[[#This Row],[COMISIONES]]*0.21</f>
        <v>0</v>
      </c>
      <c r="AC20" s="3"/>
      <c r="AD20" s="3"/>
      <c r="AE20" s="3"/>
    </row>
    <row r="21" spans="2:31" x14ac:dyDescent="0.25">
      <c r="B21" s="3">
        <v>1386</v>
      </c>
      <c r="C21" s="2">
        <f>Tabla131624322122233526272822122232425262[[#This Row],[COMISIONES]]*0.21</f>
        <v>291.06</v>
      </c>
      <c r="D21" s="3" t="s">
        <v>6</v>
      </c>
      <c r="E21" s="3">
        <v>1055.6500000000001</v>
      </c>
      <c r="F21" s="3">
        <v>32.94</v>
      </c>
      <c r="G21" s="3"/>
      <c r="I21" s="11"/>
      <c r="J21" s="11">
        <f>Tabla35101826364142444546474844142434445464[[#This Row],[COMISIONES]]*0.21</f>
        <v>0</v>
      </c>
      <c r="K21" s="11"/>
      <c r="L21" s="11"/>
      <c r="M21" s="11"/>
      <c r="O21" s="11"/>
      <c r="P21" s="11">
        <f>Tabla356813142230408182848586878888182838485868[[#This Row],[COMISIONES]]*0.21</f>
        <v>0</v>
      </c>
      <c r="Q21" s="11"/>
      <c r="R21" s="11"/>
      <c r="S21" s="11"/>
      <c r="T21" s="32"/>
      <c r="U21" s="11"/>
      <c r="V21" s="11">
        <f>Tabla3561119273443112131516171819111213141516171[[#This Row],[COMISIONES]]*0.21</f>
        <v>0</v>
      </c>
      <c r="W21" s="11"/>
      <c r="X21" s="11"/>
      <c r="Y21" s="11"/>
      <c r="AA21" s="3"/>
      <c r="AB21" s="3">
        <f>Tabla73[[#This Row],[COMISIONES]]*0.21</f>
        <v>0</v>
      </c>
      <c r="AC21" s="3"/>
      <c r="AD21" s="3"/>
      <c r="AE21" s="3"/>
    </row>
    <row r="22" spans="2:31" x14ac:dyDescent="0.25">
      <c r="B22" s="3">
        <v>774</v>
      </c>
      <c r="C22" s="2">
        <f>Tabla131624322122233526272822122232425262[[#This Row],[COMISIONES]]*0.21</f>
        <v>162.54</v>
      </c>
      <c r="D22" s="3" t="s">
        <v>6</v>
      </c>
      <c r="E22" s="3">
        <v>883.8</v>
      </c>
      <c r="F22" s="3"/>
      <c r="G22" s="3"/>
      <c r="I22" s="11"/>
      <c r="J22" s="11">
        <f>Tabla35101826364142444546474844142434445464[[#This Row],[COMISIONES]]*0.21</f>
        <v>0</v>
      </c>
      <c r="K22" s="11"/>
      <c r="L22" s="11"/>
      <c r="M22" s="11"/>
      <c r="O22" s="27"/>
      <c r="P22" s="27">
        <f>Tabla356813142230408182848586878888182838485868[[#This Row],[COMISIONES]]*0.21</f>
        <v>0</v>
      </c>
      <c r="Q22" s="27"/>
      <c r="R22" s="27"/>
      <c r="S22" s="27"/>
      <c r="T22" s="33"/>
      <c r="U22" s="11"/>
      <c r="V22" s="11">
        <f>Tabla3561119273443112131516171819111213141516171[[#This Row],[COMISIONES]]*0.21</f>
        <v>0</v>
      </c>
      <c r="W22" s="11"/>
      <c r="X22" s="11"/>
      <c r="Y22" s="11"/>
      <c r="AA22" s="3"/>
      <c r="AB22" s="3">
        <f>Tabla73[[#This Row],[COMISIONES]]*0.21</f>
        <v>0</v>
      </c>
      <c r="AC22" s="3"/>
      <c r="AD22" s="3"/>
      <c r="AE22" s="3"/>
    </row>
    <row r="23" spans="2:31" x14ac:dyDescent="0.25">
      <c r="B23" s="3">
        <v>774</v>
      </c>
      <c r="C23" s="2">
        <f>Tabla131624322122233526272822122232425262[[#This Row],[COMISIONES]]*0.21</f>
        <v>162.54</v>
      </c>
      <c r="D23" s="3" t="s">
        <v>6</v>
      </c>
      <c r="E23" s="3">
        <v>441.9</v>
      </c>
      <c r="F23" s="3"/>
      <c r="G23" s="3"/>
      <c r="I23" s="11"/>
      <c r="J23" s="11">
        <f>Tabla35101826364142444546474844142434445464[[#This Row],[COMISIONES]]*0.21</f>
        <v>0</v>
      </c>
      <c r="K23" s="11"/>
      <c r="L23" s="11"/>
      <c r="M23" s="11"/>
      <c r="O23" s="27"/>
      <c r="P23" s="27">
        <f>Tabla356813142230408182848586878888182838485868[[#This Row],[COMISIONES]]*0.21</f>
        <v>0</v>
      </c>
      <c r="Q23" s="27"/>
      <c r="R23" s="27"/>
      <c r="S23" s="27"/>
      <c r="T23" s="33"/>
      <c r="U23" s="11"/>
      <c r="V23" s="11">
        <f>Tabla3561119273443112131516171819111213141516171[[#This Row],[COMISIONES]]*0.21</f>
        <v>0</v>
      </c>
      <c r="W23" s="11"/>
      <c r="X23" s="11"/>
      <c r="Y23" s="11"/>
      <c r="AA23" s="3"/>
      <c r="AB23" s="3">
        <f>Tabla73[[#This Row],[COMISIONES]]*0.21</f>
        <v>0</v>
      </c>
      <c r="AC23" s="3"/>
      <c r="AD23" s="3"/>
      <c r="AE23" s="3"/>
    </row>
    <row r="24" spans="2:31" x14ac:dyDescent="0.25">
      <c r="B24" s="3">
        <v>648</v>
      </c>
      <c r="C24" s="2">
        <f>Tabla131624322122233526272822122232425262[[#This Row],[COMISIONES]]*0.21</f>
        <v>136.07999999999998</v>
      </c>
      <c r="D24" s="3" t="s">
        <v>6</v>
      </c>
      <c r="E24" s="3">
        <v>1743.0540000000001</v>
      </c>
      <c r="F24" s="3"/>
      <c r="G24" s="3"/>
      <c r="I24" s="11"/>
      <c r="J24" s="11">
        <f>Tabla35101826364142444546474844142434445464[[#This Row],[COMISIONES]]*0.21</f>
        <v>0</v>
      </c>
      <c r="K24" s="11"/>
      <c r="L24" s="11"/>
      <c r="M24" s="11"/>
      <c r="O24" s="27"/>
      <c r="P24" s="27">
        <f>Tabla356813142230408182848586878888182838485868[[#This Row],[COMISIONES]]*0.21</f>
        <v>0</v>
      </c>
      <c r="Q24" s="27"/>
      <c r="R24" s="27"/>
      <c r="S24" s="27"/>
      <c r="T24" s="33"/>
      <c r="U24" s="11"/>
      <c r="V24" s="11">
        <f>Tabla3561119273443112131516171819111213141516171[[#This Row],[COMISIONES]]*0.21</f>
        <v>0</v>
      </c>
      <c r="W24" s="11"/>
      <c r="X24" s="11"/>
      <c r="Y24" s="11"/>
      <c r="AA24" s="3"/>
      <c r="AB24" s="3">
        <f>Tabla73[[#This Row],[COMISIONES]]*0.21</f>
        <v>0</v>
      </c>
      <c r="AC24" s="3"/>
      <c r="AD24" s="3"/>
      <c r="AE24" s="3"/>
    </row>
    <row r="25" spans="2:31" x14ac:dyDescent="0.25">
      <c r="B25" s="3">
        <v>324</v>
      </c>
      <c r="C25" s="2">
        <f>Tabla131624322122233526272822122232425262[[#This Row],[COMISIONES]]*0.21</f>
        <v>68.039999999999992</v>
      </c>
      <c r="D25" s="3" t="s">
        <v>6</v>
      </c>
      <c r="E25" s="3">
        <v>1767.6</v>
      </c>
      <c r="F25" s="3"/>
      <c r="G25" s="3"/>
      <c r="I25" s="11"/>
      <c r="J25" s="11">
        <f>Tabla35101826364142444546474844142434445464[[#This Row],[COMISIONES]]*0.21</f>
        <v>0</v>
      </c>
      <c r="K25" s="11"/>
      <c r="L25" s="11"/>
      <c r="M25" s="11"/>
      <c r="O25" s="28"/>
      <c r="P25" s="29">
        <f>Tabla356813142230408182848586878888182838485868[[#This Row],[COMISIONES]]*0.21</f>
        <v>0</v>
      </c>
      <c r="Q25" s="29"/>
      <c r="R25" s="29"/>
      <c r="S25" s="29"/>
      <c r="T25" s="34"/>
      <c r="U25" s="17"/>
      <c r="V25" s="17">
        <f>Tabla3561119273443112131516171819111213141516171[[#This Row],[COMISIONES]]*0.21</f>
        <v>0</v>
      </c>
      <c r="W25" s="17"/>
      <c r="X25" s="17"/>
      <c r="Y25" s="17"/>
      <c r="AA25" s="3"/>
      <c r="AB25" s="3">
        <f>Tabla73[[#This Row],[COMISIONES]]*0.21</f>
        <v>0</v>
      </c>
      <c r="AC25" s="3"/>
      <c r="AD25" s="3"/>
      <c r="AE25" s="3"/>
    </row>
    <row r="26" spans="2:31" x14ac:dyDescent="0.25">
      <c r="B26" s="3">
        <v>1278</v>
      </c>
      <c r="C26" s="2">
        <f>Tabla131624322122233526272822122232425262[[#This Row],[COMISIONES]]*0.21</f>
        <v>268.38</v>
      </c>
      <c r="D26" s="3" t="s">
        <v>6</v>
      </c>
      <c r="E26" s="3">
        <v>859.25</v>
      </c>
      <c r="F26" s="3"/>
      <c r="G26" s="3"/>
      <c r="I26" s="11"/>
      <c r="J26" s="11">
        <f>Tabla35101826364142444546474844142434445464[[#This Row],[COMISIONES]]*0.21</f>
        <v>0</v>
      </c>
      <c r="K26" s="11"/>
      <c r="L26" s="11"/>
      <c r="M26" s="11"/>
      <c r="O26" s="27"/>
      <c r="P26" s="27">
        <f>Tabla356813142230408182848586878888182838485868[[#This Row],[COMISIONES]]*0.21</f>
        <v>0</v>
      </c>
      <c r="Q26" s="27"/>
      <c r="R26" s="27"/>
      <c r="S26" s="27"/>
      <c r="T26" s="33"/>
      <c r="U26" s="17"/>
      <c r="V26" s="17">
        <f>Tabla3561119273443112131516171819111213141516171[[#This Row],[COMISIONES]]*0.21</f>
        <v>0</v>
      </c>
      <c r="W26" s="17"/>
      <c r="X26" s="17"/>
      <c r="Y26" s="17"/>
      <c r="AA26" s="3"/>
      <c r="AB26" s="3">
        <f>Tabla73[[#This Row],[COMISIONES]]*0.21</f>
        <v>0</v>
      </c>
      <c r="AC26" s="3"/>
      <c r="AD26" s="3"/>
      <c r="AE26" s="3"/>
    </row>
    <row r="27" spans="2:31" x14ac:dyDescent="0.25">
      <c r="B27" s="3">
        <v>1296</v>
      </c>
      <c r="C27" s="2">
        <f>Tabla131624322122233526272822122232425262[[#This Row],[COMISIONES]]*0.21</f>
        <v>272.15999999999997</v>
      </c>
      <c r="D27" s="3" t="s">
        <v>6</v>
      </c>
      <c r="E27" s="1">
        <v>2381.35</v>
      </c>
      <c r="F27" s="3"/>
      <c r="G27" s="3"/>
      <c r="I27" s="11"/>
      <c r="J27" s="11">
        <f>Tabla35101826364142444546474844142434445464[[#This Row],[COMISIONES]]*0.21</f>
        <v>0</v>
      </c>
      <c r="K27" s="11"/>
      <c r="L27" s="11"/>
      <c r="M27" s="11"/>
      <c r="O27" s="27"/>
      <c r="P27" s="27">
        <f>Tabla356813142230408182848586878888182838485868[[#This Row],[COMISIONES]]*0.21</f>
        <v>0</v>
      </c>
      <c r="Q27" s="27"/>
      <c r="R27" s="27"/>
      <c r="S27" s="27"/>
      <c r="T27" s="33"/>
      <c r="U27" s="27"/>
      <c r="V27" s="27">
        <f>Tabla3561119273443112131516171819111213141516171[[#This Row],[COMISIONES]]*0.21</f>
        <v>0</v>
      </c>
      <c r="W27" s="27"/>
      <c r="X27" s="27"/>
      <c r="Y27" s="27"/>
      <c r="AA27" s="4">
        <f>SUM(Tabla73[COMISIONES])</f>
        <v>0</v>
      </c>
      <c r="AB27" s="4">
        <f>SUM(Tabla73[IVA 21])</f>
        <v>0</v>
      </c>
      <c r="AC27" s="4">
        <f>SUM(Tabla73[IVA 10,5])</f>
        <v>0</v>
      </c>
      <c r="AD27" s="4">
        <f>SUM(Tabla73[Ret IIBB Caba])</f>
        <v>0</v>
      </c>
      <c r="AE27" s="4">
        <f>SUM(Tabla73[PERC IVA])</f>
        <v>0</v>
      </c>
    </row>
    <row r="28" spans="2:31" x14ac:dyDescent="0.25">
      <c r="B28" s="3">
        <v>630</v>
      </c>
      <c r="C28" s="2">
        <f>Tabla131624322122233526272822122232425262[[#This Row],[COMISIONES]]*0.21</f>
        <v>132.29999999999998</v>
      </c>
      <c r="D28" s="3" t="s">
        <v>6</v>
      </c>
      <c r="E28" s="3">
        <v>7568.02</v>
      </c>
      <c r="F28" s="3"/>
      <c r="G28" s="3"/>
      <c r="I28" s="11"/>
      <c r="J28" s="11">
        <f>Tabla35101826364142444546474844142434445464[[#This Row],[COMISIONES]]*0.21</f>
        <v>0</v>
      </c>
      <c r="K28" s="11"/>
      <c r="L28" s="11"/>
      <c r="M28" s="11"/>
      <c r="O28" s="27"/>
      <c r="P28" s="27">
        <f>Tabla356813142230408182848586878888182838485868[[#This Row],[COMISIONES]]*0.21</f>
        <v>0</v>
      </c>
      <c r="Q28" s="27"/>
      <c r="R28" s="27"/>
      <c r="S28" s="27"/>
      <c r="T28" s="33"/>
      <c r="U28" s="27"/>
      <c r="V28" s="27">
        <f>Tabla3561119273443112131516171819111213141516171[[#This Row],[COMISIONES]]*0.21</f>
        <v>0</v>
      </c>
      <c r="W28" s="27"/>
      <c r="X28" s="27"/>
      <c r="Y28" s="27"/>
    </row>
    <row r="29" spans="2:31" x14ac:dyDescent="0.25">
      <c r="B29" s="3">
        <v>1746</v>
      </c>
      <c r="C29" s="2">
        <f>Tabla131624322122233526272822122232425262[[#This Row],[COMISIONES]]*0.21</f>
        <v>366.65999999999997</v>
      </c>
      <c r="D29" s="3" t="s">
        <v>6</v>
      </c>
      <c r="E29" s="3">
        <v>1227.5</v>
      </c>
      <c r="F29" s="3"/>
      <c r="G29" s="3"/>
      <c r="I29" s="11"/>
      <c r="J29" s="11">
        <f>Tabla35101826364142444546474844142434445464[[#This Row],[COMISIONES]]*0.21</f>
        <v>0</v>
      </c>
      <c r="K29" s="11"/>
      <c r="L29" s="11"/>
      <c r="M29" s="11"/>
      <c r="O29" s="27"/>
      <c r="P29" s="27">
        <f>Tabla356813142230408182848586878888182838485868[[#This Row],[COMISIONES]]*0.21</f>
        <v>0</v>
      </c>
      <c r="Q29" s="27"/>
      <c r="R29" s="27"/>
      <c r="S29" s="27"/>
      <c r="T29" s="33"/>
      <c r="U29" s="27"/>
      <c r="V29" s="27">
        <f>Tabla3561119273443112131516171819111213141516171[[#This Row],[COMISIONES]]*0.21</f>
        <v>0</v>
      </c>
      <c r="W29" s="27"/>
      <c r="X29" s="27"/>
      <c r="Y29" s="27"/>
    </row>
    <row r="30" spans="2:31" x14ac:dyDescent="0.25">
      <c r="B30" s="3">
        <v>5940</v>
      </c>
      <c r="C30" s="2">
        <f>Tabla131624322122233526272822122232425262[[#This Row],[COMISIONES]]*0.21</f>
        <v>1247.3999999999999</v>
      </c>
      <c r="D30" s="3" t="s">
        <v>6</v>
      </c>
      <c r="E30" s="3">
        <v>2700.5</v>
      </c>
      <c r="F30" s="3"/>
      <c r="G30" s="3"/>
      <c r="I30" s="11"/>
      <c r="J30" s="11">
        <f>Tabla35101826364142444546474844142434445464[[#This Row],[COMISIONES]]*0.21</f>
        <v>0</v>
      </c>
      <c r="K30" s="11"/>
      <c r="L30" s="11"/>
      <c r="M30" s="11"/>
      <c r="O30" s="27"/>
      <c r="P30" s="27">
        <f>Tabla356813142230408182848586878888182838485868[[#This Row],[COMISIONES]]*0.21</f>
        <v>0</v>
      </c>
      <c r="Q30" s="27"/>
      <c r="R30" s="27"/>
      <c r="S30" s="27"/>
      <c r="T30" s="33"/>
      <c r="U30" s="27"/>
      <c r="V30" s="27">
        <f>Tabla3561119273443112131516171819111213141516171[[#This Row],[COMISIONES]]*0.21</f>
        <v>0</v>
      </c>
      <c r="W30" s="27"/>
      <c r="X30" s="27"/>
      <c r="Y30" s="27"/>
    </row>
    <row r="31" spans="2:31" x14ac:dyDescent="0.25">
      <c r="B31" s="3">
        <v>2970</v>
      </c>
      <c r="C31" s="2">
        <f>Tabla131624322122233526272822122232425262[[#This Row],[COMISIONES]]*0.21</f>
        <v>623.69999999999993</v>
      </c>
      <c r="D31" s="3" t="s">
        <v>6</v>
      </c>
      <c r="E31" s="3">
        <v>883.8</v>
      </c>
      <c r="F31" s="3"/>
      <c r="G31" s="3"/>
      <c r="I31" s="11"/>
      <c r="J31" s="11">
        <f>Tabla35101826364142444546474844142434445464[[#This Row],[COMISIONES]]*0.21</f>
        <v>0</v>
      </c>
      <c r="K31" s="11"/>
      <c r="L31" s="11"/>
      <c r="M31" s="11"/>
      <c r="O31" s="27"/>
      <c r="P31" s="27">
        <f>Tabla356813142230408182848586878888182838485868[[#This Row],[COMISIONES]]*0.21</f>
        <v>0</v>
      </c>
      <c r="Q31" s="27"/>
      <c r="R31" s="27"/>
      <c r="S31" s="27"/>
      <c r="T31" s="33"/>
      <c r="U31" s="27"/>
      <c r="V31" s="27">
        <f>Tabla3561119273443112131516171819111213141516171[[#This Row],[COMISIONES]]*0.21</f>
        <v>0</v>
      </c>
      <c r="W31" s="27"/>
      <c r="X31" s="27"/>
      <c r="Y31" s="27"/>
    </row>
    <row r="32" spans="2:31" x14ac:dyDescent="0.25">
      <c r="B32" s="3">
        <v>18369.169999999998</v>
      </c>
      <c r="C32" s="2">
        <f>Tabla131624322122233526272822122232425262[[#This Row],[COMISIONES]]*0.21</f>
        <v>3857.5256999999997</v>
      </c>
      <c r="D32" s="3" t="s">
        <v>6</v>
      </c>
      <c r="E32" s="3">
        <v>1743.05</v>
      </c>
      <c r="F32" s="3"/>
      <c r="G32" s="3"/>
      <c r="I32" s="11"/>
      <c r="J32" s="11">
        <f>Tabla35101826364142444546474844142434445464[[#This Row],[COMISIONES]]*0.21</f>
        <v>0</v>
      </c>
      <c r="K32" s="11"/>
      <c r="L32" s="11"/>
      <c r="M32" s="11"/>
      <c r="O32" s="27"/>
      <c r="P32" s="27">
        <f>Tabla356813142230408182848586878888182838485868[[#This Row],[COMISIONES]]*0.21</f>
        <v>0</v>
      </c>
      <c r="Q32" s="27"/>
      <c r="R32" s="27"/>
      <c r="S32" s="27"/>
      <c r="T32" s="33"/>
      <c r="U32" s="27"/>
      <c r="V32" s="27">
        <f>Tabla3561119273443112131516171819111213141516171[[#This Row],[COMISIONES]]*0.21</f>
        <v>0</v>
      </c>
      <c r="W32" s="27"/>
      <c r="X32" s="27"/>
      <c r="Y32" s="27"/>
    </row>
    <row r="33" spans="1:25" x14ac:dyDescent="0.25">
      <c r="B33" s="3">
        <v>900</v>
      </c>
      <c r="C33" s="2">
        <f>Tabla131624322122233526272822122232425262[[#This Row],[COMISIONES]]*0.21</f>
        <v>189</v>
      </c>
      <c r="D33" s="3" t="s">
        <v>6</v>
      </c>
      <c r="E33" s="3">
        <v>412.44</v>
      </c>
      <c r="F33" s="3"/>
      <c r="G33" s="3"/>
      <c r="I33" s="11"/>
      <c r="J33" s="11">
        <f>Tabla35101826364142444546474844142434445464[[#This Row],[COMISIONES]]*0.21</f>
        <v>0</v>
      </c>
      <c r="K33" s="11"/>
      <c r="L33" s="11"/>
      <c r="M33" s="11"/>
      <c r="O33" s="27"/>
      <c r="P33" s="27">
        <f>Tabla356813142230408182848586878888182838485868[[#This Row],[COMISIONES]]*0.21</f>
        <v>0</v>
      </c>
      <c r="Q33" s="27"/>
      <c r="R33" s="27"/>
      <c r="S33" s="27"/>
      <c r="T33" s="33"/>
      <c r="U33" s="27"/>
      <c r="V33" s="27">
        <f>Tabla3561119273443112131516171819111213141516171[[#This Row],[COMISIONES]]*0.21</f>
        <v>0</v>
      </c>
      <c r="W33" s="27"/>
      <c r="X33" s="27"/>
      <c r="Y33" s="27"/>
    </row>
    <row r="34" spans="1:25" x14ac:dyDescent="0.25">
      <c r="B34" s="3">
        <v>1980</v>
      </c>
      <c r="C34" s="2">
        <f>Tabla131624322122233526272822122232425262[[#This Row],[COMISIONES]]*0.21</f>
        <v>415.8</v>
      </c>
      <c r="D34" s="3" t="s">
        <v>6</v>
      </c>
      <c r="E34" s="3">
        <v>1170.57</v>
      </c>
      <c r="F34" s="3"/>
      <c r="G34" s="3"/>
      <c r="I34" s="11"/>
      <c r="J34" s="11">
        <f>Tabla35101826364142444546474844142434445464[[#This Row],[COMISIONES]]*0.21</f>
        <v>0</v>
      </c>
      <c r="K34" s="11"/>
      <c r="L34" s="11"/>
      <c r="M34" s="11"/>
      <c r="O34" s="27"/>
      <c r="P34" s="27">
        <f>Tabla356813142230408182848586878888182838485868[[#This Row],[COMISIONES]]*0.21</f>
        <v>0</v>
      </c>
      <c r="Q34" s="27"/>
      <c r="R34" s="27"/>
      <c r="S34" s="27"/>
      <c r="T34" s="33"/>
      <c r="U34" s="27"/>
      <c r="V34" s="27">
        <f>Tabla3561119273443112131516171819111213141516171[[#This Row],[COMISIONES]]*0.21</f>
        <v>0</v>
      </c>
      <c r="W34" s="27"/>
      <c r="X34" s="27"/>
      <c r="Y34" s="27"/>
    </row>
    <row r="35" spans="1:25" x14ac:dyDescent="0.25">
      <c r="B35" s="3">
        <v>648</v>
      </c>
      <c r="C35" s="2">
        <f>Tabla131624322122233526272822122232425262[[#This Row],[COMISIONES]]*0.21</f>
        <v>136.07999999999998</v>
      </c>
      <c r="D35" s="3" t="s">
        <v>6</v>
      </c>
      <c r="E35" s="3">
        <v>1153.8499999999999</v>
      </c>
      <c r="F35" s="3"/>
      <c r="G35" s="3"/>
      <c r="I35" s="11"/>
      <c r="J35" s="11">
        <f>Tabla35101826364142444546474844142434445464[[#This Row],[COMISIONES]]*0.21</f>
        <v>0</v>
      </c>
      <c r="K35" s="11"/>
      <c r="L35" s="11"/>
      <c r="M35" s="11"/>
      <c r="O35" s="27"/>
      <c r="P35" s="27">
        <f>Tabla356813142230408182848586878888182838485868[[#This Row],[COMISIONES]]*0.21</f>
        <v>0</v>
      </c>
      <c r="Q35" s="27"/>
      <c r="R35" s="27"/>
      <c r="S35" s="27"/>
      <c r="T35" s="33"/>
      <c r="U35" s="27"/>
      <c r="V35" s="27">
        <f>Tabla3561119273443112131516171819111213141516171[[#This Row],[COMISIONES]]*0.21</f>
        <v>0</v>
      </c>
      <c r="W35" s="27"/>
      <c r="X35" s="27"/>
      <c r="Y35" s="27"/>
    </row>
    <row r="36" spans="1:25" x14ac:dyDescent="0.25">
      <c r="B36" s="3">
        <v>1278</v>
      </c>
      <c r="C36" s="2">
        <f>Tabla131624322122233526272822122232425262[[#This Row],[COMISIONES]]*0.21</f>
        <v>268.38</v>
      </c>
      <c r="D36" s="3" t="s">
        <v>6</v>
      </c>
      <c r="E36" s="3">
        <v>1213.93</v>
      </c>
      <c r="F36" s="3"/>
      <c r="G36" s="3"/>
      <c r="I36" s="11"/>
      <c r="J36" s="11">
        <f>Tabla35101826364142444546474844142434445464[[#This Row],[COMISIONES]]*0.21</f>
        <v>0</v>
      </c>
      <c r="K36" s="11"/>
      <c r="L36" s="11"/>
      <c r="M36" s="11"/>
      <c r="O36" s="27"/>
      <c r="P36" s="27">
        <f>Tabla356813142230408182848586878888182838485868[[#This Row],[COMISIONES]]*0.21</f>
        <v>0</v>
      </c>
      <c r="Q36" s="27"/>
      <c r="R36" s="27"/>
      <c r="S36" s="27"/>
      <c r="T36" s="33"/>
      <c r="U36" s="27"/>
      <c r="V36" s="27">
        <f>Tabla3561119273443112131516171819111213141516171[[#This Row],[COMISIONES]]*0.21</f>
        <v>0</v>
      </c>
      <c r="W36" s="27"/>
      <c r="X36" s="27"/>
      <c r="Y36" s="27"/>
    </row>
    <row r="37" spans="1:25" x14ac:dyDescent="0.25">
      <c r="B37" s="3">
        <v>302.39999999999998</v>
      </c>
      <c r="C37" s="2">
        <f>Tabla131624322122233526272822122232425262[[#This Row],[COMISIONES]]*0.21</f>
        <v>63.503999999999991</v>
      </c>
      <c r="D37" s="3" t="s">
        <v>6</v>
      </c>
      <c r="E37" s="3">
        <v>1117.03</v>
      </c>
      <c r="F37" s="3"/>
      <c r="G37" s="3"/>
      <c r="I37" s="11"/>
      <c r="J37" s="11">
        <f>Tabla35101826364142444546474844142434445464[[#This Row],[COMISIONES]]*0.21</f>
        <v>0</v>
      </c>
      <c r="K37" s="11"/>
      <c r="L37" s="11"/>
      <c r="M37" s="11"/>
      <c r="O37" s="27"/>
      <c r="P37" s="27">
        <f>Tabla356813142230408182848586878888182838485868[[#This Row],[COMISIONES]]*0.21</f>
        <v>0</v>
      </c>
      <c r="Q37" s="27"/>
      <c r="R37" s="27"/>
      <c r="S37" s="27"/>
      <c r="T37" s="33"/>
      <c r="U37" s="27"/>
      <c r="V37" s="27">
        <f>Tabla3561119273443112131516171819111213141516171[[#This Row],[COMISIONES]]*0.21</f>
        <v>0</v>
      </c>
      <c r="W37" s="27"/>
      <c r="X37" s="27"/>
      <c r="Y37" s="27"/>
    </row>
    <row r="38" spans="1:25" x14ac:dyDescent="0.25">
      <c r="B38" s="3">
        <v>972</v>
      </c>
      <c r="C38" s="2">
        <f>Tabla131624322122233526272822122232425262[[#This Row],[COMISIONES]]*0.21</f>
        <v>204.12</v>
      </c>
      <c r="D38" s="3" t="s">
        <v>6</v>
      </c>
      <c r="E38" s="3">
        <v>1322.31</v>
      </c>
      <c r="F38" s="3"/>
      <c r="G38" s="3"/>
      <c r="I38" s="11"/>
      <c r="J38" s="11">
        <f>Tabla35101826364142444546474844142434445464[[#This Row],[COMISIONES]]*0.21</f>
        <v>0</v>
      </c>
      <c r="K38" s="11"/>
      <c r="L38" s="11"/>
      <c r="M38" s="11"/>
      <c r="O38" s="27"/>
      <c r="P38" s="27">
        <f>Tabla356813142230408182848586878888182838485868[[#This Row],[COMISIONES]]*0.21</f>
        <v>0</v>
      </c>
      <c r="Q38" s="27"/>
      <c r="R38" s="27"/>
      <c r="S38" s="27"/>
      <c r="T38" s="33"/>
      <c r="U38" s="27"/>
      <c r="V38" s="27">
        <f>Tabla3561119273443112131516171819111213141516171[[#This Row],[COMISIONES]]*0.21</f>
        <v>0</v>
      </c>
      <c r="W38" s="27"/>
      <c r="X38" s="27"/>
      <c r="Y38" s="27"/>
    </row>
    <row r="39" spans="1:25" x14ac:dyDescent="0.25">
      <c r="B39" s="3">
        <v>486</v>
      </c>
      <c r="C39" s="2">
        <f>Tabla131624322122233526272822122232425262[[#This Row],[COMISIONES]]*0.21</f>
        <v>102.06</v>
      </c>
      <c r="D39" s="3" t="s">
        <v>6</v>
      </c>
      <c r="E39" s="3">
        <v>421.6</v>
      </c>
      <c r="F39" s="3"/>
      <c r="G39" s="3"/>
      <c r="H39" s="8"/>
      <c r="I39" s="11"/>
      <c r="J39" s="11">
        <f>Tabla35101826364142444546474844142434445464[[#This Row],[COMISIONES]]*0.21</f>
        <v>0</v>
      </c>
      <c r="K39" s="11"/>
      <c r="L39" s="11"/>
      <c r="M39" s="11"/>
      <c r="N39" s="8"/>
      <c r="O39" s="27"/>
      <c r="P39" s="27">
        <f>Tabla356813142230408182848586878888182838485868[[#This Row],[COMISIONES]]*0.21</f>
        <v>0</v>
      </c>
      <c r="Q39" s="27"/>
      <c r="R39" s="27"/>
      <c r="S39" s="27"/>
      <c r="T39" s="33"/>
      <c r="U39" s="27"/>
      <c r="V39" s="27">
        <f>Tabla3561119273443112131516171819111213141516171[[#This Row],[COMISIONES]]*0.21</f>
        <v>0</v>
      </c>
      <c r="W39" s="27"/>
      <c r="X39" s="27"/>
      <c r="Y39" s="27"/>
    </row>
    <row r="40" spans="1:25" x14ac:dyDescent="0.25">
      <c r="B40" s="3">
        <v>5719.12</v>
      </c>
      <c r="C40" s="2">
        <f>Tabla131624322122233526272822122232425262[[#This Row],[COMISIONES]]*0.21</f>
        <v>1201.0151999999998</v>
      </c>
      <c r="D40" s="3" t="s">
        <v>6</v>
      </c>
      <c r="E40" s="3">
        <v>620</v>
      </c>
      <c r="F40" s="3"/>
      <c r="G40" s="3"/>
      <c r="I40" s="11"/>
      <c r="J40" s="11">
        <f>Tabla35101826364142444546474844142434445464[[#This Row],[COMISIONES]]*0.21</f>
        <v>0</v>
      </c>
      <c r="K40" s="11"/>
      <c r="L40" s="11"/>
      <c r="M40" s="11"/>
      <c r="O40" s="27"/>
      <c r="P40" s="27">
        <f>Tabla356813142230408182848586878888182838485868[[#This Row],[COMISIONES]]*0.21</f>
        <v>0</v>
      </c>
      <c r="Q40" s="27"/>
      <c r="R40" s="27"/>
      <c r="S40" s="27"/>
      <c r="T40" s="33"/>
      <c r="U40" s="27"/>
      <c r="V40" s="27">
        <f>Tabla3561119273443112131516171819111213141516171[[#This Row],[COMISIONES]]*0.21</f>
        <v>0</v>
      </c>
      <c r="W40" s="27"/>
      <c r="X40" s="27"/>
      <c r="Y40" s="27"/>
    </row>
    <row r="41" spans="1:25" x14ac:dyDescent="0.25">
      <c r="B41" s="3">
        <v>846</v>
      </c>
      <c r="C41" s="2">
        <f>Tabla131624322122233526272822122232425262[[#This Row],[COMISIONES]]*0.21</f>
        <v>177.66</v>
      </c>
      <c r="D41" s="3" t="s">
        <v>6</v>
      </c>
      <c r="E41" s="3">
        <v>1863.97</v>
      </c>
      <c r="F41" s="3"/>
      <c r="G41" s="3"/>
      <c r="I41" s="11"/>
      <c r="J41" s="11">
        <f>Tabla35101826364142444546474844142434445464[[#This Row],[COMISIONES]]*0.21</f>
        <v>0</v>
      </c>
      <c r="K41" s="11"/>
      <c r="L41" s="11"/>
      <c r="M41" s="11"/>
      <c r="O41" s="27"/>
      <c r="P41" s="27">
        <f>Tabla356813142230408182848586878888182838485868[[#This Row],[COMISIONES]]*0.21</f>
        <v>0</v>
      </c>
      <c r="Q41" s="27"/>
      <c r="R41" s="27"/>
      <c r="S41" s="27"/>
      <c r="T41" s="33"/>
      <c r="U41" s="27"/>
      <c r="V41" s="27">
        <f>Tabla3561119273443112131516171819111213141516171[[#This Row],[COMISIONES]]*0.21</f>
        <v>0</v>
      </c>
      <c r="W41" s="27"/>
      <c r="X41" s="27"/>
      <c r="Y41" s="27"/>
    </row>
    <row r="42" spans="1:25" x14ac:dyDescent="0.25">
      <c r="B42" s="3">
        <v>1008</v>
      </c>
      <c r="C42" s="2">
        <f>Tabla131624322122233526272822122232425262[[#This Row],[COMISIONES]]*0.21</f>
        <v>211.67999999999998</v>
      </c>
      <c r="D42" s="3" t="s">
        <v>6</v>
      </c>
      <c r="E42" s="3">
        <v>1860</v>
      </c>
      <c r="F42" s="3"/>
      <c r="G42" s="3"/>
      <c r="I42" s="11"/>
      <c r="J42" s="11">
        <f>Tabla35101826364142444546474844142434445464[[#This Row],[COMISIONES]]*0.21</f>
        <v>0</v>
      </c>
      <c r="K42" s="11"/>
      <c r="L42" s="11"/>
      <c r="M42" s="11"/>
      <c r="O42" s="27"/>
      <c r="P42" s="27">
        <f>Tabla356813142230408182848586878888182838485868[[#This Row],[COMISIONES]]*0.21</f>
        <v>0</v>
      </c>
      <c r="Q42" s="27"/>
      <c r="R42" s="27"/>
      <c r="S42" s="27"/>
      <c r="T42" s="33"/>
      <c r="U42" s="27"/>
      <c r="V42" s="27">
        <f>Tabla3561119273443112131516171819111213141516171[[#This Row],[COMISIONES]]*0.21</f>
        <v>0</v>
      </c>
      <c r="W42" s="27"/>
      <c r="X42" s="27"/>
      <c r="Y42" s="27"/>
    </row>
    <row r="43" spans="1:25" x14ac:dyDescent="0.25">
      <c r="B43" s="3">
        <v>504</v>
      </c>
      <c r="C43" s="2">
        <f>Tabla131624322122233526272822122232425262[[#This Row],[COMISIONES]]*0.21</f>
        <v>105.83999999999999</v>
      </c>
      <c r="D43" s="3" t="s">
        <v>6</v>
      </c>
      <c r="E43" s="3">
        <v>558</v>
      </c>
      <c r="F43" s="3"/>
      <c r="G43" s="3"/>
      <c r="I43" s="11"/>
      <c r="J43" s="11">
        <f>Tabla35101826364142444546474844142434445464[[#This Row],[COMISIONES]]*0.21</f>
        <v>0</v>
      </c>
      <c r="K43" s="11"/>
      <c r="L43" s="11"/>
      <c r="M43" s="11"/>
      <c r="O43" s="27"/>
      <c r="P43" s="27">
        <f>Tabla356813142230408182848586878888182838485868[[#This Row],[COMISIONES]]*0.21</f>
        <v>0</v>
      </c>
      <c r="Q43" s="27"/>
      <c r="R43" s="27"/>
      <c r="S43" s="27"/>
      <c r="T43" s="33"/>
      <c r="U43" s="27"/>
      <c r="V43" s="27">
        <f>Tabla3561119273443112131516171819111213141516171[[#This Row],[COMISIONES]]*0.21</f>
        <v>0</v>
      </c>
      <c r="W43" s="27"/>
      <c r="X43" s="27"/>
      <c r="Y43" s="27"/>
    </row>
    <row r="44" spans="1:25" x14ac:dyDescent="0.25">
      <c r="B44" s="3">
        <v>5930.94</v>
      </c>
      <c r="C44" s="2">
        <f>Tabla131624322122233526272822122232425262[[#This Row],[COMISIONES]]*0.21</f>
        <v>1245.4974</v>
      </c>
      <c r="D44" s="3" t="s">
        <v>6</v>
      </c>
      <c r="E44" s="3">
        <v>1488</v>
      </c>
      <c r="F44" s="3"/>
      <c r="G44" s="3"/>
      <c r="I44" s="11"/>
      <c r="J44" s="11">
        <f>Tabla35101826364142444546474844142434445464[[#This Row],[COMISIONES]]*0.21</f>
        <v>0</v>
      </c>
      <c r="K44" s="11"/>
      <c r="L44" s="11"/>
      <c r="M44" s="11"/>
      <c r="O44" s="27"/>
      <c r="P44" s="27">
        <f>Tabla356813142230408182848586878888182838485868[[#This Row],[COMISIONES]]*0.21</f>
        <v>0</v>
      </c>
      <c r="Q44" s="27"/>
      <c r="R44" s="27"/>
      <c r="S44" s="27"/>
      <c r="T44" s="33"/>
      <c r="U44" s="27"/>
      <c r="V44" s="27">
        <f>Tabla3561119273443112131516171819111213141516171[[#This Row],[COMISIONES]]*0.21</f>
        <v>0</v>
      </c>
      <c r="W44" s="27"/>
      <c r="X44" s="27"/>
      <c r="Y44" s="27"/>
    </row>
    <row r="45" spans="1:25" x14ac:dyDescent="0.25">
      <c r="B45" s="3">
        <v>819</v>
      </c>
      <c r="C45" s="2">
        <f>Tabla131624322122233526272822122232425262[[#This Row],[COMISIONES]]*0.21</f>
        <v>171.98999999999998</v>
      </c>
      <c r="D45" s="3" t="s">
        <v>6</v>
      </c>
      <c r="E45" s="3">
        <v>954.8</v>
      </c>
      <c r="F45" s="3"/>
      <c r="G45" s="3"/>
      <c r="I45" s="11"/>
      <c r="J45" s="11">
        <f>Tabla35101826364142444546474844142434445464[[#This Row],[COMISIONES]]*0.21</f>
        <v>0</v>
      </c>
      <c r="K45" s="11"/>
      <c r="L45" s="11"/>
      <c r="M45" s="11"/>
      <c r="O45" s="27"/>
      <c r="P45" s="27">
        <f>Tabla356813142230408182848586878888182838485868[[#This Row],[COMISIONES]]*0.21</f>
        <v>0</v>
      </c>
      <c r="Q45" s="27"/>
      <c r="R45" s="27"/>
      <c r="S45" s="27"/>
      <c r="T45" s="33"/>
      <c r="U45" s="27"/>
      <c r="V45" s="27">
        <f>Tabla3561119273443112131516171819111213141516171[[#This Row],[COMISIONES]]*0.21</f>
        <v>0</v>
      </c>
      <c r="W45" s="27"/>
      <c r="X45" s="27"/>
      <c r="Y45" s="27"/>
    </row>
    <row r="46" spans="1:25" s="6" customFormat="1" x14ac:dyDescent="0.25">
      <c r="A46"/>
      <c r="B46" s="3">
        <v>1098</v>
      </c>
      <c r="C46" s="2">
        <f>Tabla131624322122233526272822122232425262[[#This Row],[COMISIONES]]*0.21</f>
        <v>230.57999999999998</v>
      </c>
      <c r="D46" s="3" t="s">
        <v>6</v>
      </c>
      <c r="E46" s="3">
        <v>4662.3999999999996</v>
      </c>
      <c r="F46" s="3"/>
      <c r="G46" s="3"/>
      <c r="I46" s="11"/>
      <c r="J46" s="11">
        <f>Tabla35101826364142444546474844142434445464[[#This Row],[COMISIONES]]*0.21</f>
        <v>0</v>
      </c>
      <c r="K46" s="11"/>
      <c r="L46" s="11"/>
      <c r="M46" s="11"/>
      <c r="O46" s="27"/>
      <c r="P46" s="27">
        <f>Tabla356813142230408182848586878888182838485868[[#This Row],[COMISIONES]]*0.21</f>
        <v>0</v>
      </c>
      <c r="Q46" s="27"/>
      <c r="R46" s="27"/>
      <c r="S46" s="27"/>
      <c r="T46" s="33"/>
      <c r="U46" s="27"/>
      <c r="V46" s="27">
        <f>Tabla3561119273443112131516171819111213141516171[[#This Row],[COMISIONES]]*0.21</f>
        <v>0</v>
      </c>
      <c r="W46" s="27"/>
      <c r="X46" s="27"/>
      <c r="Y46" s="27"/>
    </row>
    <row r="47" spans="1:25" s="6" customFormat="1" x14ac:dyDescent="0.25">
      <c r="A47"/>
      <c r="B47" s="2">
        <v>549</v>
      </c>
      <c r="C47" s="2">
        <f>Tabla131624322122233526272822122232425262[[#This Row],[COMISIONES]]*0.21</f>
        <v>115.28999999999999</v>
      </c>
      <c r="D47" s="2" t="s">
        <v>6</v>
      </c>
      <c r="E47" s="2">
        <v>2079.73</v>
      </c>
      <c r="F47"/>
      <c r="G47"/>
      <c r="I47" s="11"/>
      <c r="J47" s="11">
        <f>Tabla35101826364142444546474844142434445464[[#This Row],[COMISIONES]]*0.21</f>
        <v>0</v>
      </c>
      <c r="K47" s="11"/>
      <c r="L47" s="11"/>
      <c r="M47" s="11"/>
      <c r="O47" s="27"/>
      <c r="P47" s="27">
        <f>Tabla356813142230408182848586878888182838485868[[#This Row],[COMISIONES]]*0.21</f>
        <v>0</v>
      </c>
      <c r="Q47" s="27"/>
      <c r="R47" s="27"/>
      <c r="S47" s="27"/>
      <c r="T47" s="33"/>
      <c r="U47" s="27"/>
      <c r="V47" s="27">
        <f>Tabla3561119273443112131516171819111213141516171[[#This Row],[COMISIONES]]*0.21</f>
        <v>0</v>
      </c>
      <c r="W47" s="27"/>
      <c r="X47" s="27"/>
      <c r="Y47" s="27"/>
    </row>
    <row r="48" spans="1:25" s="6" customFormat="1" x14ac:dyDescent="0.25">
      <c r="A48"/>
      <c r="B48" s="2">
        <v>6460.48</v>
      </c>
      <c r="C48" s="2">
        <f>Tabla131624322122233526272822122232425262[[#This Row],[COMISIONES]]*0.21</f>
        <v>1356.7007999999998</v>
      </c>
      <c r="D48" s="2" t="s">
        <v>6</v>
      </c>
      <c r="E48" s="2">
        <v>3968</v>
      </c>
      <c r="F48"/>
      <c r="G48"/>
      <c r="I48" s="11"/>
      <c r="J48" s="11">
        <f>Tabla35101826364142444546474844142434445464[[#This Row],[COMISIONES]]*0.21</f>
        <v>0</v>
      </c>
      <c r="K48" s="11"/>
      <c r="L48" s="11"/>
      <c r="M48" s="11"/>
      <c r="O48" s="27"/>
      <c r="P48" s="27">
        <f>Tabla356813142230408182848586878888182838485868[[#This Row],[COMISIONES]]*0.21</f>
        <v>0</v>
      </c>
      <c r="Q48" s="27"/>
      <c r="R48" s="27"/>
      <c r="S48" s="27"/>
      <c r="T48" s="33"/>
      <c r="U48" s="27"/>
      <c r="V48" s="27">
        <f>Tabla3561119273443112131516171819111213141516171[[#This Row],[COMISIONES]]*0.21</f>
        <v>0</v>
      </c>
      <c r="W48" s="27"/>
      <c r="X48" s="27"/>
      <c r="Y48" s="27"/>
    </row>
    <row r="49" spans="1:25" s="6" customFormat="1" x14ac:dyDescent="0.25">
      <c r="A49"/>
      <c r="B49" s="2">
        <v>136</v>
      </c>
      <c r="C49" s="2">
        <f>Tabla131624322122233526272822122232425262[[#This Row],[COMISIONES]]*0.21</f>
        <v>28.56</v>
      </c>
      <c r="D49" s="2"/>
      <c r="E49" s="2">
        <v>4538.3999999999996</v>
      </c>
      <c r="F49"/>
      <c r="G49"/>
      <c r="I49" s="11"/>
      <c r="J49" s="11">
        <f>Tabla35101826364142444546474844142434445464[[#This Row],[COMISIONES]]*0.21</f>
        <v>0</v>
      </c>
      <c r="K49" s="11"/>
      <c r="L49" s="11"/>
      <c r="M49" s="11"/>
      <c r="O49" s="27"/>
      <c r="P49" s="27">
        <f>Tabla356813142230408182848586878888182838485868[[#This Row],[COMISIONES]]*0.21</f>
        <v>0</v>
      </c>
      <c r="Q49" s="27"/>
      <c r="R49" s="27"/>
      <c r="S49" s="27"/>
      <c r="T49" s="33"/>
      <c r="U49" s="27"/>
      <c r="V49" s="27">
        <f>Tabla3561119273443112131516171819111213141516171[[#This Row],[COMISIONES]]*0.21</f>
        <v>0</v>
      </c>
      <c r="W49" s="27"/>
      <c r="X49" s="27"/>
      <c r="Y49" s="27"/>
    </row>
    <row r="50" spans="1:25" s="6" customFormat="1" x14ac:dyDescent="0.25">
      <c r="A50"/>
      <c r="B50" s="2">
        <v>200</v>
      </c>
      <c r="C50" s="2">
        <f>Tabla131624322122233526272822122232425262[[#This Row],[COMISIONES]]*0.21</f>
        <v>42</v>
      </c>
      <c r="D50" s="2"/>
      <c r="E50" s="2">
        <v>2281.6</v>
      </c>
      <c r="F50"/>
      <c r="G50"/>
      <c r="I50" s="11"/>
      <c r="J50" s="11">
        <f>Tabla35101826364142444546474844142434445464[[#This Row],[COMISIONES]]*0.21</f>
        <v>0</v>
      </c>
      <c r="K50" s="11"/>
      <c r="L50" s="11"/>
      <c r="M50" s="11"/>
      <c r="O50" s="27"/>
      <c r="P50" s="27">
        <f>Tabla356813142230408182848586878888182838485868[[#This Row],[COMISIONES]]*0.21</f>
        <v>0</v>
      </c>
      <c r="Q50" s="27"/>
      <c r="R50" s="27"/>
      <c r="S50" s="27"/>
      <c r="T50" s="33"/>
      <c r="U50" s="27"/>
      <c r="V50" s="27">
        <f>Tabla3561119273443112131516171819111213141516171[[#This Row],[COMISIONES]]*0.21</f>
        <v>0</v>
      </c>
      <c r="W50" s="27"/>
      <c r="X50" s="27"/>
      <c r="Y50" s="27"/>
    </row>
    <row r="51" spans="1:25" s="6" customFormat="1" x14ac:dyDescent="0.25">
      <c r="A51"/>
      <c r="B51" s="2">
        <v>601.28</v>
      </c>
      <c r="C51" s="2">
        <f>Tabla131624322122233526272822122232425262[[#This Row],[COMISIONES]]*0.21</f>
        <v>126.26879999999998</v>
      </c>
      <c r="D51" s="2"/>
      <c r="E51" s="2">
        <v>421.6</v>
      </c>
      <c r="F51"/>
      <c r="G51"/>
      <c r="I51" s="11"/>
      <c r="J51" s="11">
        <f>Tabla35101826364142444546474844142434445464[[#This Row],[COMISIONES]]*0.21</f>
        <v>0</v>
      </c>
      <c r="K51" s="11"/>
      <c r="L51" s="11"/>
      <c r="M51" s="11"/>
      <c r="O51" s="27"/>
      <c r="P51" s="27">
        <f>Tabla356813142230408182848586878888182838485868[[#This Row],[COMISIONES]]*0.21</f>
        <v>0</v>
      </c>
      <c r="Q51" s="27"/>
      <c r="R51" s="27"/>
      <c r="S51" s="27"/>
      <c r="T51" s="35"/>
      <c r="U51" s="4">
        <f>SUBTOTAL(109,Tabla3561119273443112131516171819111213141516171[COMISIONES])</f>
        <v>1044</v>
      </c>
      <c r="V51" s="4">
        <f>SUBTOTAL(109,Tabla3561119273443112131516171819111213141516171[IVA 21])</f>
        <v>219.24</v>
      </c>
      <c r="W51" s="4">
        <f>SUBTOTAL(109,Tabla3561119273443112131516171819111213141516171[IVA 10,5])</f>
        <v>0</v>
      </c>
      <c r="X51" s="4">
        <f>SUBTOTAL(109,Tabla3561119273443112131516171819111213141516171[Ret IIBB Caba])</f>
        <v>1671.17</v>
      </c>
      <c r="Y51" s="4">
        <f>SUBTOTAL(109,Tabla3561119273443112131516171819111213141516171[PERC IVA])</f>
        <v>0</v>
      </c>
    </row>
    <row r="52" spans="1:25" s="6" customFormat="1" x14ac:dyDescent="0.25">
      <c r="A52"/>
      <c r="B52" s="2">
        <v>600</v>
      </c>
      <c r="C52" s="2">
        <f>Tabla131624322122233526272822122232425262[[#This Row],[COMISIONES]]*0.21</f>
        <v>126</v>
      </c>
      <c r="D52" s="2"/>
      <c r="E52" s="2">
        <v>1773.2</v>
      </c>
      <c r="F52"/>
      <c r="G52"/>
      <c r="I52" s="11"/>
      <c r="J52" s="11">
        <f>Tabla35101826364142444546474844142434445464[[#This Row],[COMISIONES]]*0.21</f>
        <v>0</v>
      </c>
      <c r="K52" s="11"/>
      <c r="L52" s="11"/>
      <c r="M52" s="11"/>
      <c r="O52" s="27"/>
      <c r="P52" s="27">
        <f>Tabla356813142230408182848586878888182838485868[[#This Row],[COMISIONES]]*0.21</f>
        <v>0</v>
      </c>
      <c r="Q52" s="27"/>
      <c r="R52" s="27"/>
      <c r="S52" s="27"/>
      <c r="T52" s="35"/>
      <c r="U52"/>
      <c r="V52"/>
      <c r="W52"/>
      <c r="X52"/>
      <c r="Y52"/>
    </row>
    <row r="53" spans="1:25" s="6" customFormat="1" x14ac:dyDescent="0.25">
      <c r="A53"/>
      <c r="B53" s="2">
        <v>180</v>
      </c>
      <c r="C53" s="2">
        <f>Tabla131624322122233526272822122232425262[[#This Row],[COMISIONES]]*0.21</f>
        <v>37.799999999999997</v>
      </c>
      <c r="D53" s="2"/>
      <c r="E53" s="2">
        <v>6229.76</v>
      </c>
      <c r="F53"/>
      <c r="G53"/>
      <c r="I53" s="11"/>
      <c r="J53" s="11">
        <f>Tabla35101826364142444546474844142434445464[[#This Row],[COMISIONES]]*0.21</f>
        <v>0</v>
      </c>
      <c r="K53" s="11"/>
      <c r="L53" s="11"/>
      <c r="M53" s="11"/>
      <c r="O53" s="27"/>
      <c r="P53" s="27">
        <f>Tabla356813142230408182848586878888182838485868[[#This Row],[COMISIONES]]*0.21</f>
        <v>0</v>
      </c>
      <c r="Q53" s="27"/>
      <c r="R53" s="27"/>
      <c r="S53" s="27"/>
      <c r="T53" s="35"/>
      <c r="U53"/>
      <c r="V53"/>
      <c r="W53"/>
      <c r="X53"/>
      <c r="Y53"/>
    </row>
    <row r="54" spans="1:25" s="6" customFormat="1" x14ac:dyDescent="0.25">
      <c r="A54"/>
      <c r="B54" s="2">
        <v>480</v>
      </c>
      <c r="C54" s="2">
        <f>Tabla131624322122233526272822122232425262[[#This Row],[COMISIONES]]*0.21</f>
        <v>100.8</v>
      </c>
      <c r="D54" s="1"/>
      <c r="E54" s="2">
        <v>3918.4</v>
      </c>
      <c r="F54"/>
      <c r="G54"/>
      <c r="I54" s="11"/>
      <c r="J54" s="11">
        <f>Tabla35101826364142444546474844142434445464[[#This Row],[COMISIONES]]*0.21</f>
        <v>0</v>
      </c>
      <c r="K54" s="11"/>
      <c r="L54" s="11"/>
      <c r="M54" s="11"/>
      <c r="O54" s="27"/>
      <c r="P54" s="27">
        <f>Tabla356813142230408182848586878888182838485868[[#This Row],[COMISIONES]]*0.21</f>
        <v>0</v>
      </c>
      <c r="Q54" s="27"/>
      <c r="R54" s="27"/>
      <c r="S54" s="27"/>
      <c r="T54" s="35"/>
      <c r="U54"/>
      <c r="V54"/>
      <c r="W54"/>
      <c r="X54"/>
      <c r="Y54"/>
    </row>
    <row r="55" spans="1:25" s="6" customFormat="1" x14ac:dyDescent="0.25">
      <c r="A55"/>
      <c r="B55" s="2">
        <v>308</v>
      </c>
      <c r="C55" s="2">
        <f>Tabla131624322122233526272822122232425262[[#This Row],[COMISIONES]]*0.21</f>
        <v>64.679999999999993</v>
      </c>
      <c r="D55" s="2"/>
      <c r="E55" s="2">
        <v>4526</v>
      </c>
      <c r="F55"/>
      <c r="G55"/>
      <c r="I55" s="11"/>
      <c r="J55" s="11">
        <f>Tabla35101826364142444546474844142434445464[[#This Row],[COMISIONES]]*0.21</f>
        <v>0</v>
      </c>
      <c r="K55" s="11"/>
      <c r="L55" s="11"/>
      <c r="M55" s="11"/>
      <c r="O55" s="27"/>
      <c r="P55" s="27">
        <f>Tabla356813142230408182848586878888182838485868[[#This Row],[COMISIONES]]*0.21</f>
        <v>0</v>
      </c>
      <c r="Q55" s="27"/>
      <c r="R55" s="27"/>
      <c r="S55" s="27"/>
      <c r="T55" s="35"/>
      <c r="U55"/>
      <c r="V55"/>
      <c r="W55"/>
      <c r="X55"/>
      <c r="Y55"/>
    </row>
    <row r="56" spans="1:25" s="6" customFormat="1" x14ac:dyDescent="0.25">
      <c r="A56"/>
      <c r="B56" s="2">
        <v>1504</v>
      </c>
      <c r="C56" s="2">
        <f>Tabla131624322122233526272822122232425262[[#This Row],[COMISIONES]]*0.21</f>
        <v>315.83999999999997</v>
      </c>
      <c r="D56" s="2"/>
      <c r="E56" s="2">
        <v>421.6</v>
      </c>
      <c r="F56"/>
      <c r="G56"/>
      <c r="I56" s="11"/>
      <c r="J56" s="11">
        <f>Tabla35101826364142444546474844142434445464[[#This Row],[COMISIONES]]*0.21</f>
        <v>0</v>
      </c>
      <c r="K56" s="11"/>
      <c r="L56" s="11"/>
      <c r="M56" s="11"/>
      <c r="O56" s="27"/>
      <c r="P56" s="27">
        <f>Tabla356813142230408182848586878888182838485868[[#This Row],[COMISIONES]]*0.21</f>
        <v>0</v>
      </c>
      <c r="Q56" s="27"/>
      <c r="R56" s="27"/>
      <c r="S56" s="27"/>
      <c r="T56" s="35"/>
      <c r="U56"/>
      <c r="V56"/>
      <c r="W56"/>
      <c r="X56"/>
      <c r="Y56"/>
    </row>
    <row r="57" spans="1:25" s="6" customFormat="1" x14ac:dyDescent="0.25">
      <c r="A57"/>
      <c r="B57" s="2">
        <v>670.88</v>
      </c>
      <c r="C57" s="2">
        <f>Tabla131624322122233526272822122232425262[[#This Row],[COMISIONES]]*0.21</f>
        <v>140.88479999999998</v>
      </c>
      <c r="D57" s="18"/>
      <c r="E57" s="2">
        <v>558</v>
      </c>
      <c r="F57"/>
      <c r="G57" s="4"/>
      <c r="I57" s="11"/>
      <c r="J57" s="11">
        <f>Tabla35101826364142444546474844142434445464[[#This Row],[COMISIONES]]*0.21</f>
        <v>0</v>
      </c>
      <c r="K57" s="11"/>
      <c r="L57" s="11"/>
      <c r="M57" s="11"/>
      <c r="O57" s="27"/>
      <c r="P57" s="27">
        <f>Tabla356813142230408182848586878888182838485868[[#This Row],[COMISIONES]]*0.21</f>
        <v>0</v>
      </c>
      <c r="Q57" s="27"/>
      <c r="R57" s="27"/>
      <c r="S57" s="27"/>
      <c r="T57" s="35"/>
      <c r="U57"/>
      <c r="V57"/>
      <c r="W57"/>
      <c r="X57"/>
      <c r="Y57"/>
    </row>
    <row r="58" spans="1:25" s="6" customFormat="1" x14ac:dyDescent="0.25">
      <c r="A58"/>
      <c r="B58" s="2">
        <v>1280</v>
      </c>
      <c r="C58" s="2">
        <f>Tabla131624322122233526272822122232425262[[#This Row],[COMISIONES]]*0.21</f>
        <v>268.8</v>
      </c>
      <c r="D58" s="18"/>
      <c r="E58" s="2"/>
      <c r="F58"/>
      <c r="G58"/>
      <c r="I58" s="11"/>
      <c r="J58" s="11">
        <f>Tabla35101826364142444546474844142434445464[[#This Row],[COMISIONES]]*0.21</f>
        <v>0</v>
      </c>
      <c r="K58" s="11"/>
      <c r="L58" s="11"/>
      <c r="M58" s="11"/>
      <c r="O58" s="27"/>
      <c r="P58" s="27">
        <f>Tabla356813142230408182848586878888182838485868[[#This Row],[COMISIONES]]*0.21</f>
        <v>0</v>
      </c>
      <c r="Q58" s="27"/>
      <c r="R58" s="27"/>
      <c r="S58" s="27"/>
      <c r="T58" s="35"/>
      <c r="U58"/>
      <c r="V58"/>
      <c r="W58"/>
      <c r="X58"/>
      <c r="Y58"/>
    </row>
    <row r="59" spans="1:25" s="6" customFormat="1" x14ac:dyDescent="0.25">
      <c r="A59"/>
      <c r="B59" s="2">
        <v>1464</v>
      </c>
      <c r="C59" s="2">
        <f>Tabla131624322122233526272822122232425262[[#This Row],[COMISIONES]]*0.21</f>
        <v>307.44</v>
      </c>
      <c r="D59" s="18"/>
      <c r="E59" s="2"/>
      <c r="F59"/>
      <c r="G59"/>
      <c r="I59" s="11"/>
      <c r="J59" s="11">
        <f>Tabla35101826364142444546474844142434445464[[#This Row],[COMISIONES]]*0.21</f>
        <v>0</v>
      </c>
      <c r="K59" s="11"/>
      <c r="L59" s="11"/>
      <c r="M59" s="11"/>
      <c r="O59" s="27"/>
      <c r="P59" s="27">
        <f>Tabla356813142230408182848586878888182838485868[[#This Row],[COMISIONES]]*0.21</f>
        <v>0</v>
      </c>
      <c r="Q59" s="27"/>
      <c r="R59" s="27"/>
      <c r="S59" s="27"/>
      <c r="T59" s="35"/>
      <c r="U59"/>
      <c r="V59"/>
      <c r="W59"/>
      <c r="X59"/>
      <c r="Y59"/>
    </row>
    <row r="60" spans="1:25" s="6" customFormat="1" x14ac:dyDescent="0.25">
      <c r="A60"/>
      <c r="B60" s="2">
        <v>736</v>
      </c>
      <c r="C60" s="2">
        <f>Tabla131624322122233526272822122232425262[[#This Row],[COMISIONES]]*0.21</f>
        <v>154.56</v>
      </c>
      <c r="D60" s="18"/>
      <c r="E60" s="2"/>
      <c r="F60"/>
      <c r="G60"/>
      <c r="I60" s="11"/>
      <c r="J60" s="11">
        <f>Tabla35101826364142444546474844142434445464[[#This Row],[COMISIONES]]*0.21</f>
        <v>0</v>
      </c>
      <c r="K60" s="11"/>
      <c r="L60" s="11"/>
      <c r="M60" s="11"/>
      <c r="O60" s="27"/>
      <c r="P60" s="27">
        <f>Tabla356813142230408182848586878888182838485868[[#This Row],[COMISIONES]]*0.21</f>
        <v>0</v>
      </c>
      <c r="Q60" s="27"/>
      <c r="R60" s="27"/>
      <c r="S60" s="27"/>
      <c r="T60" s="35"/>
      <c r="U60"/>
      <c r="V60"/>
      <c r="W60"/>
      <c r="X60"/>
      <c r="Y60"/>
    </row>
    <row r="61" spans="1:25" s="6" customFormat="1" x14ac:dyDescent="0.25">
      <c r="A61"/>
      <c r="B61" s="2">
        <v>136</v>
      </c>
      <c r="C61" s="2">
        <f>Tabla131624322122233526272822122232425262[[#This Row],[COMISIONES]]*0.21</f>
        <v>28.56</v>
      </c>
      <c r="D61" s="18"/>
      <c r="E61" s="2"/>
      <c r="F61"/>
      <c r="G61"/>
      <c r="I61" s="11"/>
      <c r="J61" s="11">
        <f>Tabla35101826364142444546474844142434445464[[#This Row],[COMISIONES]]*0.21</f>
        <v>0</v>
      </c>
      <c r="K61" s="11"/>
      <c r="L61" s="11"/>
      <c r="M61" s="11"/>
      <c r="O61" s="27"/>
      <c r="P61" s="27">
        <f>Tabla356813142230408182848586878888182838485868[[#This Row],[COMISIONES]]*0.21</f>
        <v>0</v>
      </c>
      <c r="Q61" s="27"/>
      <c r="R61" s="27"/>
      <c r="S61" s="27"/>
      <c r="T61" s="35"/>
      <c r="U61"/>
      <c r="V61"/>
      <c r="W61"/>
      <c r="X61"/>
      <c r="Y61"/>
    </row>
    <row r="62" spans="1:25" s="6" customFormat="1" x14ac:dyDescent="0.25">
      <c r="A62"/>
      <c r="B62" s="2">
        <v>572</v>
      </c>
      <c r="C62" s="2">
        <f>Tabla131624322122233526272822122232425262[[#This Row],[COMISIONES]]*0.21</f>
        <v>120.11999999999999</v>
      </c>
      <c r="D62" s="18"/>
      <c r="E62" s="2"/>
      <c r="F62"/>
      <c r="G62"/>
      <c r="I62" s="11"/>
      <c r="J62" s="11">
        <f>Tabla35101826364142444546474844142434445464[[#This Row],[COMISIONES]]*0.21</f>
        <v>0</v>
      </c>
      <c r="K62" s="11"/>
      <c r="L62" s="11"/>
      <c r="M62" s="11"/>
      <c r="O62" s="27"/>
      <c r="P62" s="27">
        <f>Tabla356813142230408182848586878888182838485868[[#This Row],[COMISIONES]]*0.21</f>
        <v>0</v>
      </c>
      <c r="Q62" s="27"/>
      <c r="R62" s="27"/>
      <c r="S62" s="27"/>
      <c r="T62" s="35"/>
      <c r="U62"/>
      <c r="V62"/>
      <c r="W62"/>
      <c r="X62"/>
      <c r="Y62"/>
    </row>
    <row r="63" spans="1:25" s="6" customFormat="1" x14ac:dyDescent="0.25">
      <c r="A63"/>
      <c r="B63" s="2">
        <v>2009.6</v>
      </c>
      <c r="C63" s="2">
        <f>Tabla131624322122233526272822122232425262[[#This Row],[COMISIONES]]*0.21</f>
        <v>422.01599999999996</v>
      </c>
      <c r="D63" s="18"/>
      <c r="E63" s="2"/>
      <c r="F63"/>
      <c r="G63"/>
      <c r="I63" s="17"/>
      <c r="J63" s="11">
        <f>Tabla35101826364142444546474844142434445464[[#This Row],[COMISIONES]]*0.21</f>
        <v>0</v>
      </c>
      <c r="K63" s="17"/>
      <c r="L63" s="17"/>
      <c r="M63" s="17"/>
      <c r="O63" s="27"/>
      <c r="P63" s="27">
        <f>Tabla356813142230408182848586878888182838485868[[#This Row],[COMISIONES]]*0.21</f>
        <v>0</v>
      </c>
      <c r="Q63" s="27"/>
      <c r="R63" s="27"/>
      <c r="S63" s="27"/>
      <c r="T63" s="35"/>
      <c r="U63"/>
      <c r="V63"/>
      <c r="W63"/>
      <c r="X63"/>
      <c r="Y63"/>
    </row>
    <row r="64" spans="1:25" s="6" customFormat="1" x14ac:dyDescent="0.25">
      <c r="A64"/>
      <c r="B64" s="2">
        <v>1264</v>
      </c>
      <c r="C64" s="2">
        <f>Tabla131624322122233526272822122232425262[[#This Row],[COMISIONES]]*0.21</f>
        <v>265.44</v>
      </c>
      <c r="D64" s="18"/>
      <c r="E64" s="2"/>
      <c r="F64"/>
      <c r="G64"/>
      <c r="I64" s="17"/>
      <c r="J64" s="11">
        <f>Tabla35101826364142444546474844142434445464[[#This Row],[COMISIONES]]*0.21</f>
        <v>0</v>
      </c>
      <c r="K64" s="17"/>
      <c r="L64" s="17"/>
      <c r="M64" s="17"/>
      <c r="O64" s="4">
        <f>SUBTOTAL(109,Tabla356813142230408182848586878888182838485868[COMISIONES])</f>
        <v>0</v>
      </c>
      <c r="P64" s="4">
        <f>SUBTOTAL(109,Tabla356813142230408182848586878888182838485868[IVA 21])</f>
        <v>0</v>
      </c>
      <c r="Q64" s="4">
        <f>SUBTOTAL(109,Tabla356813142230408182848586878888182838485868[IVA 10,5])</f>
        <v>0</v>
      </c>
      <c r="R64" s="4">
        <f>SUBTOTAL(109,Tabla356813142230408182848586878888182838485868[Ret IIBB Caba])</f>
        <v>0</v>
      </c>
      <c r="S64" s="4">
        <f>SUBTOTAL(109,Tabla356813142230408182848586878888182838485868[PERC IVA])</f>
        <v>0</v>
      </c>
      <c r="T64" s="36"/>
      <c r="U64"/>
      <c r="V64"/>
      <c r="W64"/>
      <c r="X64"/>
      <c r="Y64"/>
    </row>
    <row r="65" spans="1:25" s="6" customFormat="1" x14ac:dyDescent="0.25">
      <c r="A65"/>
      <c r="B65" s="2">
        <v>1460</v>
      </c>
      <c r="C65" s="2">
        <f>Tabla131624322122233526272822122232425262[[#This Row],[COMISIONES]]*0.21</f>
        <v>306.59999999999997</v>
      </c>
      <c r="D65" s="18"/>
      <c r="E65" s="2"/>
      <c r="F65"/>
      <c r="G65"/>
      <c r="I65" s="17"/>
      <c r="J65" s="11">
        <f>Tabla35101826364142444546474844142434445464[[#This Row],[COMISIONES]]*0.21</f>
        <v>0</v>
      </c>
      <c r="K65" s="17"/>
      <c r="L65" s="17"/>
      <c r="M65" s="17"/>
      <c r="O65"/>
      <c r="P65"/>
      <c r="Q65"/>
      <c r="R65"/>
      <c r="S65"/>
      <c r="U65"/>
      <c r="V65"/>
      <c r="W65"/>
      <c r="X65"/>
      <c r="Y65"/>
    </row>
    <row r="66" spans="1:25" s="6" customFormat="1" x14ac:dyDescent="0.25">
      <c r="A66"/>
      <c r="B66" s="2">
        <v>136</v>
      </c>
      <c r="C66" s="2">
        <f>Tabla131624322122233526272822122232425262[[#This Row],[COMISIONES]]*0.21</f>
        <v>28.56</v>
      </c>
      <c r="D66" s="18"/>
      <c r="E66" s="2"/>
      <c r="F66"/>
      <c r="G66"/>
      <c r="I66" s="17"/>
      <c r="J66" s="11">
        <f>Tabla35101826364142444546474844142434445464[[#This Row],[COMISIONES]]*0.21</f>
        <v>0</v>
      </c>
      <c r="K66" s="17"/>
      <c r="L66" s="17"/>
      <c r="M66" s="17"/>
      <c r="O66"/>
      <c r="P66"/>
      <c r="Q66"/>
      <c r="R66"/>
      <c r="S66"/>
      <c r="U66"/>
      <c r="V66"/>
      <c r="W66"/>
      <c r="X66"/>
      <c r="Y66"/>
    </row>
    <row r="67" spans="1:25" s="6" customFormat="1" x14ac:dyDescent="0.25">
      <c r="A67"/>
      <c r="B67" s="2">
        <v>180</v>
      </c>
      <c r="C67" s="2">
        <f>Tabla131624322122233526272822122232425262[[#This Row],[COMISIONES]]*0.21</f>
        <v>37.799999999999997</v>
      </c>
      <c r="D67" s="18"/>
      <c r="E67" s="2"/>
      <c r="F67"/>
      <c r="G67"/>
      <c r="I67" s="17"/>
      <c r="J67" s="11">
        <f>Tabla35101826364142444546474844142434445464[[#This Row],[COMISIONES]]*0.21</f>
        <v>0</v>
      </c>
      <c r="K67" s="17"/>
      <c r="L67" s="17"/>
      <c r="M67" s="17"/>
      <c r="O67"/>
      <c r="P67"/>
      <c r="Q67"/>
      <c r="R67"/>
      <c r="S67"/>
      <c r="U67"/>
      <c r="V67"/>
      <c r="W67"/>
      <c r="X67"/>
      <c r="Y67"/>
    </row>
    <row r="68" spans="1:25" s="6" customFormat="1" x14ac:dyDescent="0.25">
      <c r="A68"/>
      <c r="B68" s="2"/>
      <c r="C68" s="2">
        <f>Tabla131624322122233526272822122232425262[[#This Row],[COMISIONES]]*0.21</f>
        <v>0</v>
      </c>
      <c r="D68" s="18"/>
      <c r="E68" s="2"/>
      <c r="F68"/>
      <c r="G68"/>
      <c r="I68" s="17"/>
      <c r="J68" s="11">
        <f>Tabla35101826364142444546474844142434445464[[#This Row],[COMISIONES]]*0.21</f>
        <v>0</v>
      </c>
      <c r="K68" s="17"/>
      <c r="L68" s="17"/>
      <c r="M68" s="17"/>
      <c r="O68"/>
      <c r="P68"/>
      <c r="Q68"/>
      <c r="R68"/>
      <c r="S68"/>
      <c r="U68"/>
      <c r="V68"/>
      <c r="W68"/>
      <c r="X68"/>
      <c r="Y68"/>
    </row>
    <row r="69" spans="1:25" s="6" customFormat="1" x14ac:dyDescent="0.25">
      <c r="A69"/>
      <c r="B69" s="2"/>
      <c r="C69" s="2">
        <f>Tabla131624322122233526272822122232425262[[#This Row],[COMISIONES]]*0.21</f>
        <v>0</v>
      </c>
      <c r="D69" s="18"/>
      <c r="E69" s="2"/>
      <c r="F69"/>
      <c r="G69"/>
      <c r="I69" s="17"/>
      <c r="J69" s="11">
        <f>Tabla35101826364142444546474844142434445464[[#This Row],[COMISIONES]]*0.21</f>
        <v>0</v>
      </c>
      <c r="K69" s="17"/>
      <c r="L69" s="17"/>
      <c r="M69" s="17"/>
      <c r="O69"/>
      <c r="P69"/>
      <c r="Q69"/>
      <c r="R69"/>
      <c r="S69"/>
      <c r="U69"/>
      <c r="V69"/>
      <c r="W69"/>
      <c r="X69"/>
      <c r="Y69"/>
    </row>
    <row r="70" spans="1:25" s="6" customFormat="1" x14ac:dyDescent="0.25">
      <c r="A70"/>
      <c r="B70" s="2"/>
      <c r="C70" s="2">
        <f>Tabla131624322122233526272822122232425262[[#This Row],[COMISIONES]]*0.21</f>
        <v>0</v>
      </c>
      <c r="D70" s="18"/>
      <c r="E70" s="2"/>
      <c r="F70"/>
      <c r="G70"/>
      <c r="I70" s="17"/>
      <c r="J70" s="11">
        <f>Tabla35101826364142444546474844142434445464[[#This Row],[COMISIONES]]*0.21</f>
        <v>0</v>
      </c>
      <c r="K70" s="17"/>
      <c r="L70" s="17"/>
      <c r="M70" s="17"/>
      <c r="O70"/>
      <c r="P70"/>
      <c r="Q70"/>
      <c r="R70"/>
      <c r="S70"/>
      <c r="U70"/>
      <c r="V70"/>
      <c r="W70"/>
      <c r="X70"/>
      <c r="Y70"/>
    </row>
    <row r="71" spans="1:25" s="6" customFormat="1" x14ac:dyDescent="0.25">
      <c r="A71"/>
      <c r="B71" s="2"/>
      <c r="C71" s="2">
        <f>Tabla131624322122233526272822122232425262[[#This Row],[COMISIONES]]*0.21</f>
        <v>0</v>
      </c>
      <c r="D71" s="18"/>
      <c r="E71" s="2"/>
      <c r="F71"/>
      <c r="G71"/>
      <c r="I71" s="17"/>
      <c r="J71" s="11">
        <f>Tabla35101826364142444546474844142434445464[[#This Row],[COMISIONES]]*0.21</f>
        <v>0</v>
      </c>
      <c r="K71" s="17"/>
      <c r="L71" s="17"/>
      <c r="M71" s="17"/>
      <c r="O71"/>
      <c r="P71"/>
      <c r="Q71"/>
      <c r="R71"/>
      <c r="S71"/>
      <c r="U71"/>
      <c r="V71"/>
      <c r="W71"/>
      <c r="X71"/>
      <c r="Y71"/>
    </row>
    <row r="72" spans="1:25" s="6" customFormat="1" x14ac:dyDescent="0.25">
      <c r="A72"/>
      <c r="B72" s="2"/>
      <c r="C72" s="2">
        <f>Tabla131624322122233526272822122232425262[[#This Row],[COMISIONES]]*0.21</f>
        <v>0</v>
      </c>
      <c r="D72" s="18"/>
      <c r="E72" s="2"/>
      <c r="F72"/>
      <c r="G72"/>
      <c r="I72" s="17"/>
      <c r="J72" s="11">
        <f>Tabla35101826364142444546474844142434445464[[#This Row],[COMISIONES]]*0.21</f>
        <v>0</v>
      </c>
      <c r="K72" s="17"/>
      <c r="L72" s="17"/>
      <c r="M72" s="17"/>
      <c r="O72"/>
      <c r="P72"/>
      <c r="Q72"/>
      <c r="R72"/>
      <c r="S72"/>
      <c r="U72"/>
      <c r="V72"/>
      <c r="W72"/>
      <c r="X72"/>
      <c r="Y72"/>
    </row>
    <row r="73" spans="1:25" s="6" customFormat="1" x14ac:dyDescent="0.25">
      <c r="A73"/>
      <c r="B73" s="2"/>
      <c r="C73" s="2">
        <f>Tabla131624322122233526272822122232425262[[#This Row],[COMISIONES]]*0.21</f>
        <v>0</v>
      </c>
      <c r="D73" s="18"/>
      <c r="E73" s="2"/>
      <c r="F73"/>
      <c r="G73"/>
      <c r="I73" s="17"/>
      <c r="J73" s="11">
        <f>Tabla35101826364142444546474844142434445464[[#This Row],[COMISIONES]]*0.21</f>
        <v>0</v>
      </c>
      <c r="K73" s="17"/>
      <c r="L73" s="17"/>
      <c r="M73" s="17"/>
      <c r="O73"/>
      <c r="P73"/>
      <c r="Q73"/>
      <c r="R73"/>
      <c r="S73"/>
      <c r="U73"/>
      <c r="V73"/>
      <c r="W73"/>
      <c r="X73"/>
      <c r="Y73"/>
    </row>
    <row r="74" spans="1:25" s="6" customFormat="1" x14ac:dyDescent="0.25">
      <c r="A74"/>
      <c r="B74" s="2"/>
      <c r="C74" s="2">
        <f>Tabla131624322122233526272822122232425262[[#This Row],[COMISIONES]]*0.21</f>
        <v>0</v>
      </c>
      <c r="D74" s="18"/>
      <c r="E74" s="2"/>
      <c r="F74"/>
      <c r="G74"/>
      <c r="I74" s="17"/>
      <c r="J74" s="11">
        <f>Tabla35101826364142444546474844142434445464[[#This Row],[COMISIONES]]*0.21</f>
        <v>0</v>
      </c>
      <c r="K74" s="17"/>
      <c r="L74" s="17"/>
      <c r="M74" s="17"/>
      <c r="O74"/>
      <c r="P74"/>
      <c r="Q74"/>
      <c r="R74"/>
      <c r="S74"/>
      <c r="U74"/>
      <c r="V74"/>
      <c r="W74"/>
      <c r="X74"/>
      <c r="Y74"/>
    </row>
    <row r="75" spans="1:25" s="6" customFormat="1" x14ac:dyDescent="0.25">
      <c r="A75"/>
      <c r="B75" s="2"/>
      <c r="C75" s="2">
        <f>Tabla131624322122233526272822122232425262[[#This Row],[COMISIONES]]*0.21</f>
        <v>0</v>
      </c>
      <c r="D75" s="18"/>
      <c r="E75" s="2"/>
      <c r="F75"/>
      <c r="G75"/>
      <c r="I75" s="17"/>
      <c r="J75" s="11">
        <f>Tabla35101826364142444546474844142434445464[[#This Row],[COMISIONES]]*0.21</f>
        <v>0</v>
      </c>
      <c r="K75" s="17"/>
      <c r="L75" s="17"/>
      <c r="M75" s="17"/>
      <c r="O75"/>
      <c r="P75"/>
      <c r="Q75"/>
      <c r="R75"/>
      <c r="S75"/>
      <c r="U75"/>
      <c r="V75"/>
      <c r="W75"/>
      <c r="X75"/>
      <c r="Y75"/>
    </row>
    <row r="76" spans="1:25" s="6" customFormat="1" x14ac:dyDescent="0.25">
      <c r="A76"/>
      <c r="B76" s="4">
        <f>SUBTOTAL(109,Tabla131624322122233526272822122232425262[COMISIONES])</f>
        <v>86990.62000000001</v>
      </c>
      <c r="C76" s="4">
        <f>SUBTOTAL(109,Tabla131624322122233526272822122232425262[IVA 21])</f>
        <v>18268.030199999997</v>
      </c>
      <c r="D76" s="4">
        <f>SUBTOTAL(109,Tabla131624322122233526272822122232425262[IVA 10,5])</f>
        <v>0</v>
      </c>
      <c r="E76" s="4">
        <f>SUBTOTAL(109,Tabla131624322122233526272822122232425262[Ret IIBB Caba])</f>
        <v>84780.004000000001</v>
      </c>
      <c r="F76" s="4">
        <f>SUBTOTAL(109,Tabla131624322122233526272822122232425262[PERC IVA])</f>
        <v>1537.3100000000002</v>
      </c>
      <c r="G76"/>
      <c r="I76" s="17"/>
      <c r="J76" s="11">
        <f>Tabla35101826364142444546474844142434445464[[#This Row],[COMISIONES]]*0.21</f>
        <v>0</v>
      </c>
      <c r="K76" s="17"/>
      <c r="L76" s="17"/>
      <c r="M76" s="17"/>
      <c r="O76"/>
      <c r="P76"/>
      <c r="Q76"/>
      <c r="R76"/>
      <c r="S76"/>
      <c r="U76"/>
      <c r="V76"/>
      <c r="W76"/>
      <c r="X76"/>
      <c r="Y76"/>
    </row>
    <row r="77" spans="1:25" s="6" customFormat="1" x14ac:dyDescent="0.25">
      <c r="A77"/>
      <c r="B77"/>
      <c r="C77"/>
      <c r="D77"/>
      <c r="E77"/>
      <c r="F77"/>
      <c r="G77"/>
      <c r="I77" s="17"/>
      <c r="J77" s="11">
        <f>Tabla35101826364142444546474844142434445464[[#This Row],[COMISIONES]]*0.21</f>
        <v>0</v>
      </c>
      <c r="K77" s="17"/>
      <c r="L77" s="17"/>
      <c r="M77" s="17"/>
      <c r="O77"/>
      <c r="P77"/>
      <c r="Q77"/>
      <c r="R77"/>
      <c r="S77"/>
      <c r="U77"/>
      <c r="V77"/>
      <c r="W77"/>
      <c r="X77"/>
      <c r="Y77"/>
    </row>
    <row r="78" spans="1:25" s="6" customFormat="1" x14ac:dyDescent="0.25">
      <c r="A78"/>
      <c r="B78"/>
      <c r="C78"/>
      <c r="D78"/>
      <c r="E78"/>
      <c r="F78"/>
      <c r="G78"/>
      <c r="I78" s="17"/>
      <c r="J78" s="11">
        <f>Tabla35101826364142444546474844142434445464[[#This Row],[COMISIONES]]*0.21</f>
        <v>0</v>
      </c>
      <c r="K78" s="17"/>
      <c r="L78" s="17"/>
      <c r="M78" s="17"/>
      <c r="O78"/>
      <c r="P78"/>
      <c r="Q78"/>
      <c r="R78"/>
      <c r="S78"/>
      <c r="U78"/>
      <c r="V78"/>
      <c r="W78"/>
      <c r="X78"/>
      <c r="Y78"/>
    </row>
    <row r="79" spans="1:25" s="6" customFormat="1" x14ac:dyDescent="0.25">
      <c r="A79"/>
      <c r="B79"/>
      <c r="C79"/>
      <c r="D79"/>
      <c r="E79"/>
      <c r="F79"/>
      <c r="G79"/>
      <c r="I79" s="17"/>
      <c r="J79" s="11">
        <f>Tabla35101826364142444546474844142434445464[[#This Row],[COMISIONES]]*0.21</f>
        <v>0</v>
      </c>
      <c r="K79" s="17"/>
      <c r="L79" s="17"/>
      <c r="M79" s="17"/>
      <c r="O79"/>
      <c r="P79"/>
      <c r="Q79"/>
      <c r="R79"/>
      <c r="S79"/>
      <c r="U79"/>
      <c r="V79"/>
      <c r="W79"/>
      <c r="X79"/>
      <c r="Y79"/>
    </row>
    <row r="80" spans="1:25" s="6" customFormat="1" x14ac:dyDescent="0.25">
      <c r="A80"/>
      <c r="B80"/>
      <c r="C80"/>
      <c r="D80"/>
      <c r="E80"/>
      <c r="F80"/>
      <c r="G80"/>
      <c r="I80" s="17"/>
      <c r="J80" s="11">
        <f>Tabla35101826364142444546474844142434445464[[#This Row],[COMISIONES]]*0.21</f>
        <v>0</v>
      </c>
      <c r="K80" s="17"/>
      <c r="L80" s="17"/>
      <c r="M80" s="17"/>
      <c r="O80"/>
      <c r="P80"/>
      <c r="Q80"/>
      <c r="R80"/>
      <c r="S80"/>
      <c r="U80"/>
      <c r="V80"/>
      <c r="W80"/>
      <c r="X80"/>
      <c r="Y80"/>
    </row>
    <row r="81" spans="1:25" s="6" customFormat="1" x14ac:dyDescent="0.25">
      <c r="A81"/>
      <c r="B81"/>
      <c r="C81"/>
      <c r="D81"/>
      <c r="E81"/>
      <c r="F81"/>
      <c r="G81"/>
      <c r="I81" s="17"/>
      <c r="J81" s="11">
        <f>Tabla35101826364142444546474844142434445464[[#This Row],[COMISIONES]]*0.21</f>
        <v>0</v>
      </c>
      <c r="K81" s="17"/>
      <c r="L81" s="17"/>
      <c r="M81" s="17"/>
      <c r="O81"/>
      <c r="P81"/>
      <c r="Q81"/>
      <c r="R81"/>
      <c r="S81"/>
      <c r="U81"/>
      <c r="V81"/>
      <c r="W81"/>
      <c r="X81"/>
      <c r="Y81"/>
    </row>
    <row r="82" spans="1:25" s="6" customFormat="1" x14ac:dyDescent="0.25">
      <c r="A82"/>
      <c r="B82"/>
      <c r="C82"/>
      <c r="D82"/>
      <c r="E82"/>
      <c r="F82"/>
      <c r="G82"/>
      <c r="I82" s="17"/>
      <c r="J82" s="11">
        <f>Tabla35101826364142444546474844142434445464[[#This Row],[COMISIONES]]*0.21</f>
        <v>0</v>
      </c>
      <c r="K82" s="17"/>
      <c r="L82" s="17"/>
      <c r="M82" s="17"/>
      <c r="O82"/>
      <c r="P82"/>
      <c r="Q82"/>
      <c r="R82"/>
      <c r="S82"/>
      <c r="U82"/>
      <c r="V82"/>
      <c r="W82"/>
      <c r="X82"/>
      <c r="Y82"/>
    </row>
    <row r="83" spans="1:25" s="6" customFormat="1" x14ac:dyDescent="0.25">
      <c r="A83"/>
      <c r="B83"/>
      <c r="C83"/>
      <c r="D83"/>
      <c r="E83"/>
      <c r="F83"/>
      <c r="G83"/>
      <c r="I83" s="17"/>
      <c r="J83" s="11">
        <f>Tabla35101826364142444546474844142434445464[[#This Row],[COMISIONES]]*0.21</f>
        <v>0</v>
      </c>
      <c r="K83" s="17"/>
      <c r="L83" s="17"/>
      <c r="M83" s="17"/>
      <c r="O83"/>
      <c r="P83"/>
      <c r="Q83"/>
      <c r="R83"/>
      <c r="S83"/>
      <c r="U83"/>
      <c r="V83"/>
      <c r="W83"/>
      <c r="X83"/>
      <c r="Y83"/>
    </row>
    <row r="84" spans="1:25" s="6" customFormat="1" x14ac:dyDescent="0.25">
      <c r="A84"/>
      <c r="B84"/>
      <c r="C84"/>
      <c r="D84"/>
      <c r="E84"/>
      <c r="F84"/>
      <c r="G84"/>
      <c r="I84" s="17"/>
      <c r="J84" s="11">
        <f>Tabla35101826364142444546474844142434445464[[#This Row],[COMISIONES]]*0.21</f>
        <v>0</v>
      </c>
      <c r="K84" s="17"/>
      <c r="L84" s="17"/>
      <c r="M84" s="17"/>
      <c r="O84"/>
      <c r="P84"/>
      <c r="Q84"/>
      <c r="R84"/>
      <c r="S84"/>
      <c r="U84"/>
      <c r="V84"/>
      <c r="W84"/>
      <c r="X84"/>
      <c r="Y84"/>
    </row>
    <row r="85" spans="1:25" s="6" customFormat="1" x14ac:dyDescent="0.25">
      <c r="A85"/>
      <c r="B85"/>
      <c r="C85"/>
      <c r="D85"/>
      <c r="E85"/>
      <c r="F85"/>
      <c r="G85"/>
      <c r="I85" s="17"/>
      <c r="J85" s="11">
        <f>Tabla35101826364142444546474844142434445464[[#This Row],[COMISIONES]]*0.21</f>
        <v>0</v>
      </c>
      <c r="K85" s="17"/>
      <c r="L85" s="17"/>
      <c r="M85" s="17"/>
      <c r="O85"/>
      <c r="P85"/>
      <c r="Q85"/>
      <c r="R85"/>
      <c r="S85"/>
      <c r="U85"/>
      <c r="V85"/>
      <c r="W85"/>
      <c r="X85"/>
      <c r="Y85"/>
    </row>
    <row r="86" spans="1:25" s="6" customFormat="1" x14ac:dyDescent="0.25">
      <c r="A86"/>
      <c r="B86"/>
      <c r="C86"/>
      <c r="D86"/>
      <c r="E86"/>
      <c r="F86"/>
      <c r="G86"/>
      <c r="I86" s="17"/>
      <c r="J86" s="11">
        <f>Tabla35101826364142444546474844142434445464[[#This Row],[COMISIONES]]*0.21</f>
        <v>0</v>
      </c>
      <c r="K86" s="17"/>
      <c r="L86" s="17"/>
      <c r="M86" s="17"/>
      <c r="O86"/>
      <c r="P86"/>
      <c r="Q86"/>
      <c r="R86"/>
      <c r="S86"/>
      <c r="U86"/>
      <c r="V86"/>
      <c r="W86"/>
      <c r="X86"/>
      <c r="Y86"/>
    </row>
    <row r="87" spans="1:25" s="6" customFormat="1" x14ac:dyDescent="0.25">
      <c r="A87"/>
      <c r="B87"/>
      <c r="C87"/>
      <c r="D87"/>
      <c r="E87"/>
      <c r="F87"/>
      <c r="G87"/>
      <c r="I87" s="17"/>
      <c r="J87" s="11">
        <f>Tabla35101826364142444546474844142434445464[[#This Row],[COMISIONES]]*0.21</f>
        <v>0</v>
      </c>
      <c r="K87" s="17"/>
      <c r="L87" s="17"/>
      <c r="M87" s="17"/>
      <c r="O87"/>
      <c r="P87"/>
      <c r="Q87"/>
      <c r="R87"/>
      <c r="S87"/>
      <c r="U87"/>
      <c r="V87"/>
      <c r="W87"/>
      <c r="X87"/>
      <c r="Y87"/>
    </row>
    <row r="88" spans="1:25" s="6" customFormat="1" x14ac:dyDescent="0.25">
      <c r="A88"/>
      <c r="B88"/>
      <c r="C88"/>
      <c r="D88"/>
      <c r="E88"/>
      <c r="F88"/>
      <c r="G88"/>
      <c r="I88" s="17"/>
      <c r="J88" s="11">
        <f>Tabla35101826364142444546474844142434445464[[#This Row],[COMISIONES]]*0.21</f>
        <v>0</v>
      </c>
      <c r="K88" s="17"/>
      <c r="L88" s="17"/>
      <c r="M88" s="17"/>
      <c r="O88"/>
      <c r="P88"/>
      <c r="Q88"/>
      <c r="R88"/>
      <c r="S88"/>
      <c r="U88"/>
      <c r="V88"/>
      <c r="W88"/>
      <c r="X88"/>
      <c r="Y88"/>
    </row>
    <row r="89" spans="1:25" s="6" customFormat="1" x14ac:dyDescent="0.25">
      <c r="A89"/>
      <c r="B89"/>
      <c r="C89"/>
      <c r="D89"/>
      <c r="E89"/>
      <c r="F89"/>
      <c r="G89"/>
      <c r="I89" s="17"/>
      <c r="J89" s="11">
        <f>Tabla35101826364142444546474844142434445464[[#This Row],[COMISIONES]]*0.21</f>
        <v>0</v>
      </c>
      <c r="K89" s="17"/>
      <c r="L89" s="17"/>
      <c r="M89" s="17"/>
      <c r="O89"/>
      <c r="P89"/>
      <c r="Q89"/>
      <c r="R89"/>
      <c r="S89"/>
      <c r="U89"/>
      <c r="V89"/>
      <c r="W89"/>
      <c r="X89"/>
      <c r="Y89"/>
    </row>
    <row r="90" spans="1:25" s="6" customFormat="1" x14ac:dyDescent="0.25">
      <c r="A90"/>
      <c r="B90"/>
      <c r="C90"/>
      <c r="D90"/>
      <c r="E90"/>
      <c r="F90"/>
      <c r="G90"/>
      <c r="I90" s="17"/>
      <c r="J90" s="11">
        <f>Tabla35101826364142444546474844142434445464[[#This Row],[COMISIONES]]*0.21</f>
        <v>0</v>
      </c>
      <c r="K90" s="17"/>
      <c r="L90" s="17"/>
      <c r="M90" s="17"/>
      <c r="O90"/>
      <c r="P90"/>
      <c r="Q90"/>
      <c r="R90"/>
      <c r="S90"/>
      <c r="U90"/>
      <c r="V90"/>
      <c r="W90"/>
      <c r="X90"/>
      <c r="Y90"/>
    </row>
    <row r="91" spans="1:25" s="6" customFormat="1" x14ac:dyDescent="0.25">
      <c r="A91"/>
      <c r="B91"/>
      <c r="C91"/>
      <c r="D91"/>
      <c r="E91"/>
      <c r="F91"/>
      <c r="G91"/>
      <c r="I91" s="17"/>
      <c r="J91" s="11">
        <f>Tabla35101826364142444546474844142434445464[[#This Row],[COMISIONES]]*0.21</f>
        <v>0</v>
      </c>
      <c r="K91" s="17"/>
      <c r="L91" s="17"/>
      <c r="M91" s="17"/>
      <c r="O91"/>
      <c r="P91"/>
      <c r="Q91"/>
      <c r="R91"/>
      <c r="S91"/>
      <c r="U91"/>
      <c r="V91"/>
      <c r="W91"/>
      <c r="X91"/>
      <c r="Y91"/>
    </row>
    <row r="92" spans="1:25" s="6" customFormat="1" x14ac:dyDescent="0.25">
      <c r="A92"/>
      <c r="B92"/>
      <c r="C92"/>
      <c r="D92"/>
      <c r="E92"/>
      <c r="F92"/>
      <c r="G92"/>
      <c r="I92" s="17"/>
      <c r="J92" s="11">
        <f>Tabla35101826364142444546474844142434445464[[#This Row],[COMISIONES]]*0.21</f>
        <v>0</v>
      </c>
      <c r="K92" s="17"/>
      <c r="L92" s="17"/>
      <c r="M92" s="17"/>
      <c r="O92"/>
      <c r="P92"/>
      <c r="Q92"/>
      <c r="R92"/>
      <c r="S92"/>
      <c r="U92"/>
      <c r="V92"/>
      <c r="W92"/>
      <c r="X92"/>
      <c r="Y92"/>
    </row>
    <row r="93" spans="1:25" s="6" customFormat="1" x14ac:dyDescent="0.25">
      <c r="A93"/>
      <c r="B93"/>
      <c r="C93"/>
      <c r="D93"/>
      <c r="E93"/>
      <c r="F93"/>
      <c r="G93"/>
      <c r="I93" s="17"/>
      <c r="J93" s="11">
        <f>Tabla35101826364142444546474844142434445464[[#This Row],[COMISIONES]]*0.21</f>
        <v>0</v>
      </c>
      <c r="K93" s="17"/>
      <c r="L93" s="17"/>
      <c r="M93" s="17"/>
      <c r="O93"/>
      <c r="P93"/>
      <c r="Q93"/>
      <c r="R93"/>
      <c r="S93"/>
      <c r="U93"/>
      <c r="V93"/>
      <c r="W93"/>
      <c r="X93"/>
      <c r="Y93"/>
    </row>
    <row r="94" spans="1:25" s="6" customFormat="1" x14ac:dyDescent="0.25">
      <c r="A94"/>
      <c r="B94"/>
      <c r="C94"/>
      <c r="D94"/>
      <c r="E94"/>
      <c r="F94"/>
      <c r="G94"/>
      <c r="I94" s="17"/>
      <c r="J94" s="11">
        <f>Tabla35101826364142444546474844142434445464[[#This Row],[COMISIONES]]*0.21</f>
        <v>0</v>
      </c>
      <c r="K94" s="17"/>
      <c r="L94" s="17"/>
      <c r="M94" s="17"/>
      <c r="O94"/>
      <c r="P94"/>
      <c r="Q94"/>
      <c r="R94"/>
      <c r="S94"/>
      <c r="U94"/>
      <c r="V94"/>
      <c r="W94"/>
      <c r="X94"/>
      <c r="Y94"/>
    </row>
    <row r="95" spans="1:25" s="6" customFormat="1" x14ac:dyDescent="0.25">
      <c r="A95"/>
      <c r="B95"/>
      <c r="C95"/>
      <c r="D95"/>
      <c r="E95"/>
      <c r="F95"/>
      <c r="G95"/>
      <c r="I95" s="17"/>
      <c r="J95" s="11">
        <f>Tabla35101826364142444546474844142434445464[[#This Row],[COMISIONES]]*0.21</f>
        <v>0</v>
      </c>
      <c r="K95" s="17"/>
      <c r="L95" s="17"/>
      <c r="M95" s="17"/>
      <c r="O95"/>
      <c r="P95"/>
      <c r="Q95"/>
      <c r="R95"/>
      <c r="S95"/>
      <c r="U95"/>
      <c r="V95"/>
      <c r="W95"/>
      <c r="X95"/>
      <c r="Y95"/>
    </row>
    <row r="96" spans="1:25" s="6" customFormat="1" x14ac:dyDescent="0.25">
      <c r="A96"/>
      <c r="B96"/>
      <c r="C96"/>
      <c r="D96"/>
      <c r="E96"/>
      <c r="F96"/>
      <c r="G96"/>
      <c r="I96" s="17"/>
      <c r="J96" s="11">
        <f>Tabla35101826364142444546474844142434445464[[#This Row],[COMISIONES]]*0.21</f>
        <v>0</v>
      </c>
      <c r="K96" s="17"/>
      <c r="L96" s="17"/>
      <c r="M96" s="17"/>
      <c r="O96"/>
      <c r="P96"/>
      <c r="Q96"/>
      <c r="R96"/>
      <c r="S96"/>
      <c r="U96"/>
      <c r="V96"/>
      <c r="W96"/>
      <c r="X96"/>
      <c r="Y96"/>
    </row>
    <row r="97" spans="1:25" s="6" customFormat="1" x14ac:dyDescent="0.25">
      <c r="A97"/>
      <c r="B97"/>
      <c r="C97"/>
      <c r="D97"/>
      <c r="E97"/>
      <c r="F97"/>
      <c r="G97"/>
      <c r="I97" s="17"/>
      <c r="J97" s="11">
        <f>Tabla35101826364142444546474844142434445464[[#This Row],[COMISIONES]]*0.21</f>
        <v>0</v>
      </c>
      <c r="K97" s="17"/>
      <c r="L97" s="17"/>
      <c r="M97" s="17"/>
      <c r="O97"/>
      <c r="P97"/>
      <c r="Q97"/>
      <c r="R97"/>
      <c r="S97"/>
      <c r="U97"/>
      <c r="V97"/>
      <c r="W97"/>
      <c r="X97"/>
      <c r="Y97"/>
    </row>
    <row r="98" spans="1:25" s="6" customFormat="1" x14ac:dyDescent="0.25">
      <c r="A98"/>
      <c r="B98"/>
      <c r="C98"/>
      <c r="D98"/>
      <c r="E98"/>
      <c r="F98"/>
      <c r="G98"/>
      <c r="I98" s="17"/>
      <c r="J98" s="11">
        <f>Tabla35101826364142444546474844142434445464[[#This Row],[COMISIONES]]*0.21</f>
        <v>0</v>
      </c>
      <c r="K98" s="17"/>
      <c r="L98" s="17"/>
      <c r="M98" s="17"/>
      <c r="O98"/>
      <c r="P98"/>
      <c r="Q98"/>
      <c r="R98"/>
      <c r="S98"/>
      <c r="U98"/>
      <c r="V98"/>
      <c r="W98"/>
      <c r="X98"/>
      <c r="Y98"/>
    </row>
    <row r="99" spans="1:25" s="6" customFormat="1" x14ac:dyDescent="0.25">
      <c r="A99"/>
      <c r="B99"/>
      <c r="C99"/>
      <c r="D99"/>
      <c r="E99"/>
      <c r="F99"/>
      <c r="G99"/>
      <c r="I99" s="17"/>
      <c r="J99" s="11">
        <f>Tabla35101826364142444546474844142434445464[[#This Row],[COMISIONES]]*0.21</f>
        <v>0</v>
      </c>
      <c r="K99" s="17"/>
      <c r="L99" s="17"/>
      <c r="M99" s="17"/>
      <c r="O99"/>
      <c r="P99"/>
      <c r="Q99"/>
      <c r="R99"/>
      <c r="S99"/>
      <c r="U99"/>
      <c r="V99"/>
      <c r="W99"/>
      <c r="X99"/>
      <c r="Y99"/>
    </row>
    <row r="100" spans="1:25" s="6" customFormat="1" x14ac:dyDescent="0.25">
      <c r="A100"/>
      <c r="B100"/>
      <c r="C100"/>
      <c r="D100"/>
      <c r="E100"/>
      <c r="F100"/>
      <c r="G100"/>
      <c r="I100" s="17"/>
      <c r="J100" s="11">
        <f>Tabla35101826364142444546474844142434445464[[#This Row],[COMISIONES]]*0.21</f>
        <v>0</v>
      </c>
      <c r="K100" s="17"/>
      <c r="L100" s="17"/>
      <c r="M100" s="17"/>
      <c r="O100"/>
      <c r="P100"/>
      <c r="Q100"/>
      <c r="R100"/>
      <c r="S100"/>
      <c r="U100"/>
      <c r="V100"/>
      <c r="W100"/>
      <c r="X100"/>
      <c r="Y100"/>
    </row>
    <row r="101" spans="1:25" s="6" customFormat="1" x14ac:dyDescent="0.25">
      <c r="A101"/>
      <c r="B101"/>
      <c r="C101"/>
      <c r="D101"/>
      <c r="E101"/>
      <c r="F101"/>
      <c r="G101"/>
      <c r="I101" s="17"/>
      <c r="J101" s="11">
        <f>Tabla35101826364142444546474844142434445464[[#This Row],[COMISIONES]]*0.21</f>
        <v>0</v>
      </c>
      <c r="K101" s="17"/>
      <c r="L101" s="17"/>
      <c r="M101" s="17"/>
      <c r="O101"/>
      <c r="P101"/>
      <c r="Q101"/>
      <c r="R101"/>
      <c r="S101"/>
      <c r="U101"/>
      <c r="V101"/>
      <c r="W101"/>
      <c r="X101"/>
      <c r="Y101"/>
    </row>
    <row r="102" spans="1:25" s="6" customFormat="1" x14ac:dyDescent="0.25">
      <c r="A102"/>
      <c r="B102"/>
      <c r="C102"/>
      <c r="D102"/>
      <c r="E102"/>
      <c r="F102"/>
      <c r="G102"/>
      <c r="I102" s="17"/>
      <c r="J102" s="11">
        <f>Tabla35101826364142444546474844142434445464[[#This Row],[COMISIONES]]*0.21</f>
        <v>0</v>
      </c>
      <c r="K102" s="17"/>
      <c r="L102" s="17"/>
      <c r="M102" s="17"/>
      <c r="O102"/>
      <c r="P102"/>
      <c r="Q102"/>
      <c r="R102"/>
      <c r="S102"/>
      <c r="U102"/>
      <c r="V102"/>
      <c r="W102"/>
      <c r="X102"/>
      <c r="Y102"/>
    </row>
    <row r="103" spans="1:25" s="6" customFormat="1" x14ac:dyDescent="0.25">
      <c r="A103"/>
      <c r="B103"/>
      <c r="C103"/>
      <c r="D103"/>
      <c r="E103"/>
      <c r="F103"/>
      <c r="G103"/>
      <c r="I103" s="17"/>
      <c r="J103" s="11">
        <f>Tabla35101826364142444546474844142434445464[[#This Row],[COMISIONES]]*0.21</f>
        <v>0</v>
      </c>
      <c r="K103" s="17"/>
      <c r="L103" s="17"/>
      <c r="M103" s="17"/>
      <c r="O103"/>
      <c r="P103"/>
      <c r="Q103"/>
      <c r="R103"/>
      <c r="S103"/>
      <c r="U103"/>
      <c r="V103"/>
      <c r="W103"/>
      <c r="X103"/>
      <c r="Y103"/>
    </row>
    <row r="104" spans="1:25" s="6" customFormat="1" x14ac:dyDescent="0.25">
      <c r="A104"/>
      <c r="B104"/>
      <c r="C104"/>
      <c r="D104"/>
      <c r="E104"/>
      <c r="F104"/>
      <c r="G104"/>
      <c r="I104" s="17"/>
      <c r="J104" s="11">
        <f>Tabla35101826364142444546474844142434445464[[#This Row],[COMISIONES]]*0.21</f>
        <v>0</v>
      </c>
      <c r="K104" s="17"/>
      <c r="L104" s="17"/>
      <c r="M104" s="17"/>
      <c r="O104"/>
      <c r="P104"/>
      <c r="Q104"/>
      <c r="R104"/>
      <c r="S104"/>
      <c r="U104"/>
      <c r="V104"/>
      <c r="W104"/>
      <c r="X104"/>
      <c r="Y104"/>
    </row>
    <row r="105" spans="1:25" s="6" customFormat="1" x14ac:dyDescent="0.25">
      <c r="A105"/>
      <c r="B105"/>
      <c r="C105"/>
      <c r="D105"/>
      <c r="E105"/>
      <c r="F105"/>
      <c r="G105"/>
      <c r="I105" s="17"/>
      <c r="J105" s="11">
        <f>Tabla35101826364142444546474844142434445464[[#This Row],[COMISIONES]]*0.21</f>
        <v>0</v>
      </c>
      <c r="K105" s="17"/>
      <c r="L105" s="17"/>
      <c r="M105" s="17"/>
      <c r="O105"/>
      <c r="P105"/>
      <c r="Q105"/>
      <c r="R105"/>
      <c r="S105"/>
      <c r="U105"/>
      <c r="V105"/>
      <c r="W105"/>
      <c r="X105"/>
      <c r="Y105"/>
    </row>
    <row r="106" spans="1:25" s="6" customFormat="1" x14ac:dyDescent="0.25">
      <c r="A106"/>
      <c r="B106"/>
      <c r="C106"/>
      <c r="D106"/>
      <c r="E106"/>
      <c r="F106"/>
      <c r="G106"/>
      <c r="I106" s="17"/>
      <c r="J106" s="11">
        <f>Tabla35101826364142444546474844142434445464[[#This Row],[COMISIONES]]*0.21</f>
        <v>0</v>
      </c>
      <c r="K106" s="17"/>
      <c r="L106" s="17"/>
      <c r="M106" s="17"/>
      <c r="O106"/>
      <c r="P106"/>
      <c r="Q106"/>
      <c r="R106"/>
      <c r="S106"/>
      <c r="U106"/>
      <c r="V106"/>
      <c r="W106"/>
      <c r="X106"/>
      <c r="Y106"/>
    </row>
    <row r="107" spans="1:25" s="6" customFormat="1" x14ac:dyDescent="0.25">
      <c r="A107"/>
      <c r="B107"/>
      <c r="C107"/>
      <c r="D107"/>
      <c r="E107"/>
      <c r="F107"/>
      <c r="G107"/>
      <c r="I107" s="17"/>
      <c r="J107" s="11">
        <f>Tabla35101826364142444546474844142434445464[[#This Row],[COMISIONES]]*0.21</f>
        <v>0</v>
      </c>
      <c r="K107" s="17"/>
      <c r="L107" s="17"/>
      <c r="M107" s="17"/>
      <c r="O107"/>
      <c r="P107"/>
      <c r="Q107"/>
      <c r="R107"/>
      <c r="S107"/>
      <c r="U107"/>
      <c r="V107"/>
      <c r="W107"/>
      <c r="X107"/>
      <c r="Y107"/>
    </row>
    <row r="108" spans="1:25" s="6" customFormat="1" x14ac:dyDescent="0.25">
      <c r="A108"/>
      <c r="B108"/>
      <c r="C108"/>
      <c r="D108"/>
      <c r="E108"/>
      <c r="F108"/>
      <c r="G108"/>
      <c r="I108" s="17"/>
      <c r="J108" s="11">
        <f>Tabla35101826364142444546474844142434445464[[#This Row],[COMISIONES]]*0.21</f>
        <v>0</v>
      </c>
      <c r="K108" s="17"/>
      <c r="L108" s="17"/>
      <c r="M108" s="17"/>
      <c r="O108"/>
      <c r="P108"/>
      <c r="Q108"/>
      <c r="R108"/>
      <c r="S108"/>
      <c r="U108"/>
      <c r="V108"/>
      <c r="W108"/>
      <c r="X108"/>
      <c r="Y108"/>
    </row>
    <row r="109" spans="1:25" s="6" customFormat="1" x14ac:dyDescent="0.25">
      <c r="A109"/>
      <c r="B109"/>
      <c r="C109"/>
      <c r="D109"/>
      <c r="E109"/>
      <c r="F109"/>
      <c r="G109"/>
      <c r="I109" s="17"/>
      <c r="J109" s="11">
        <f>Tabla35101826364142444546474844142434445464[[#This Row],[COMISIONES]]*0.21</f>
        <v>0</v>
      </c>
      <c r="K109" s="17"/>
      <c r="L109" s="17"/>
      <c r="M109" s="17"/>
      <c r="O109"/>
      <c r="P109"/>
      <c r="Q109"/>
      <c r="R109"/>
      <c r="S109"/>
      <c r="U109"/>
      <c r="V109"/>
      <c r="W109"/>
      <c r="X109"/>
      <c r="Y109"/>
    </row>
    <row r="110" spans="1:25" s="6" customFormat="1" x14ac:dyDescent="0.25">
      <c r="A110"/>
      <c r="B110"/>
      <c r="C110"/>
      <c r="D110"/>
      <c r="E110"/>
      <c r="F110"/>
      <c r="G110"/>
      <c r="I110" s="17"/>
      <c r="J110" s="11">
        <f>Tabla35101826364142444546474844142434445464[[#This Row],[COMISIONES]]*0.21</f>
        <v>0</v>
      </c>
      <c r="K110" s="17"/>
      <c r="L110" s="17"/>
      <c r="M110" s="17"/>
      <c r="O110"/>
      <c r="P110"/>
      <c r="Q110"/>
      <c r="R110"/>
      <c r="S110"/>
      <c r="U110"/>
      <c r="V110"/>
      <c r="W110"/>
      <c r="X110"/>
      <c r="Y110"/>
    </row>
    <row r="111" spans="1:25" s="6" customFormat="1" x14ac:dyDescent="0.25">
      <c r="A111"/>
      <c r="B111"/>
      <c r="C111"/>
      <c r="D111"/>
      <c r="E111"/>
      <c r="F111"/>
      <c r="G111"/>
      <c r="I111" s="17"/>
      <c r="J111" s="11">
        <f>Tabla35101826364142444546474844142434445464[[#This Row],[COMISIONES]]*0.21</f>
        <v>0</v>
      </c>
      <c r="K111" s="17"/>
      <c r="L111" s="17"/>
      <c r="M111" s="17"/>
      <c r="O111"/>
      <c r="P111"/>
      <c r="Q111"/>
      <c r="R111"/>
      <c r="S111"/>
      <c r="U111"/>
      <c r="V111"/>
      <c r="W111"/>
      <c r="X111"/>
      <c r="Y111"/>
    </row>
    <row r="112" spans="1:25" s="6" customFormat="1" x14ac:dyDescent="0.25">
      <c r="A112"/>
      <c r="B112"/>
      <c r="C112"/>
      <c r="D112"/>
      <c r="E112"/>
      <c r="F112"/>
      <c r="G112"/>
      <c r="I112" s="17"/>
      <c r="J112" s="11">
        <f>Tabla35101826364142444546474844142434445464[[#This Row],[COMISIONES]]*0.21</f>
        <v>0</v>
      </c>
      <c r="K112" s="17"/>
      <c r="L112" s="17"/>
      <c r="M112" s="17"/>
      <c r="O112"/>
      <c r="P112"/>
      <c r="Q112"/>
      <c r="R112"/>
      <c r="S112"/>
      <c r="U112"/>
      <c r="V112"/>
      <c r="W112"/>
      <c r="X112"/>
      <c r="Y112"/>
    </row>
    <row r="113" spans="1:25" s="6" customFormat="1" x14ac:dyDescent="0.25">
      <c r="A113"/>
      <c r="B113"/>
      <c r="C113"/>
      <c r="D113"/>
      <c r="E113"/>
      <c r="F113"/>
      <c r="G113"/>
      <c r="I113" s="17"/>
      <c r="J113" s="11">
        <f>Tabla35101826364142444546474844142434445464[[#This Row],[COMISIONES]]*0.21</f>
        <v>0</v>
      </c>
      <c r="K113" s="17"/>
      <c r="L113" s="17"/>
      <c r="M113" s="17"/>
      <c r="O113"/>
      <c r="P113"/>
      <c r="Q113"/>
      <c r="R113"/>
      <c r="S113"/>
      <c r="U113"/>
      <c r="V113"/>
      <c r="W113"/>
      <c r="X113"/>
      <c r="Y113"/>
    </row>
    <row r="114" spans="1:25" s="6" customFormat="1" x14ac:dyDescent="0.25">
      <c r="A114"/>
      <c r="B114"/>
      <c r="C114"/>
      <c r="D114"/>
      <c r="E114"/>
      <c r="F114"/>
      <c r="G114"/>
      <c r="I114" s="17"/>
      <c r="J114" s="11">
        <f>Tabla35101826364142444546474844142434445464[[#This Row],[COMISIONES]]*0.21</f>
        <v>0</v>
      </c>
      <c r="K114" s="17"/>
      <c r="L114" s="17"/>
      <c r="M114" s="17"/>
      <c r="O114"/>
      <c r="P114"/>
      <c r="Q114"/>
      <c r="R114"/>
      <c r="S114"/>
      <c r="U114"/>
      <c r="V114"/>
      <c r="W114"/>
      <c r="X114"/>
      <c r="Y114"/>
    </row>
    <row r="115" spans="1:25" s="6" customFormat="1" x14ac:dyDescent="0.25">
      <c r="A115"/>
      <c r="B115"/>
      <c r="C115"/>
      <c r="D115"/>
      <c r="E115"/>
      <c r="F115"/>
      <c r="G115"/>
      <c r="I115" s="17"/>
      <c r="J115" s="11">
        <f>Tabla35101826364142444546474844142434445464[[#This Row],[COMISIONES]]*0.21</f>
        <v>0</v>
      </c>
      <c r="K115" s="17"/>
      <c r="L115" s="17"/>
      <c r="M115" s="17"/>
      <c r="O115"/>
      <c r="P115"/>
      <c r="Q115"/>
      <c r="R115"/>
      <c r="S115"/>
      <c r="U115"/>
      <c r="V115"/>
      <c r="W115"/>
      <c r="X115"/>
      <c r="Y115"/>
    </row>
    <row r="116" spans="1:25" s="6" customFormat="1" x14ac:dyDescent="0.25">
      <c r="A116"/>
      <c r="B116"/>
      <c r="C116"/>
      <c r="D116"/>
      <c r="E116"/>
      <c r="F116"/>
      <c r="G116"/>
      <c r="I116" s="17"/>
      <c r="J116" s="11">
        <f>Tabla35101826364142444546474844142434445464[[#This Row],[COMISIONES]]*0.21</f>
        <v>0</v>
      </c>
      <c r="K116" s="17"/>
      <c r="L116" s="17"/>
      <c r="M116" s="17"/>
      <c r="O116"/>
      <c r="P116"/>
      <c r="Q116"/>
      <c r="R116"/>
      <c r="S116"/>
      <c r="U116"/>
      <c r="V116"/>
      <c r="W116"/>
      <c r="X116"/>
      <c r="Y116"/>
    </row>
    <row r="117" spans="1:25" s="6" customFormat="1" x14ac:dyDescent="0.25">
      <c r="A117"/>
      <c r="B117"/>
      <c r="C117"/>
      <c r="D117"/>
      <c r="E117"/>
      <c r="F117"/>
      <c r="G117"/>
      <c r="I117" s="17"/>
      <c r="J117" s="11">
        <f>Tabla35101826364142444546474844142434445464[[#This Row],[COMISIONES]]*0.21</f>
        <v>0</v>
      </c>
      <c r="K117" s="17"/>
      <c r="L117" s="17"/>
      <c r="M117" s="17"/>
      <c r="O117"/>
      <c r="P117"/>
      <c r="Q117"/>
      <c r="R117"/>
      <c r="S117"/>
      <c r="U117"/>
      <c r="V117"/>
      <c r="W117"/>
      <c r="X117"/>
      <c r="Y117"/>
    </row>
    <row r="118" spans="1:25" s="6" customFormat="1" x14ac:dyDescent="0.25">
      <c r="A118"/>
      <c r="B118"/>
      <c r="C118"/>
      <c r="D118"/>
      <c r="E118"/>
      <c r="F118"/>
      <c r="G118"/>
      <c r="I118" s="17"/>
      <c r="J118" s="11">
        <f>Tabla35101826364142444546474844142434445464[[#This Row],[COMISIONES]]*0.21</f>
        <v>0</v>
      </c>
      <c r="K118" s="17"/>
      <c r="L118" s="17"/>
      <c r="M118" s="17"/>
      <c r="O118"/>
      <c r="P118"/>
      <c r="Q118"/>
      <c r="R118"/>
      <c r="S118"/>
      <c r="U118"/>
      <c r="V118"/>
      <c r="W118"/>
      <c r="X118"/>
      <c r="Y118"/>
    </row>
    <row r="119" spans="1:25" s="6" customFormat="1" x14ac:dyDescent="0.25">
      <c r="A119"/>
      <c r="B119"/>
      <c r="C119"/>
      <c r="D119"/>
      <c r="E119"/>
      <c r="F119"/>
      <c r="G119"/>
      <c r="I119" s="17"/>
      <c r="J119" s="17"/>
      <c r="K119" s="17"/>
      <c r="L119" s="17"/>
      <c r="M119" s="17"/>
      <c r="O119"/>
      <c r="P119"/>
      <c r="Q119"/>
      <c r="R119"/>
      <c r="S119"/>
      <c r="U119"/>
      <c r="V119"/>
      <c r="W119"/>
      <c r="X119"/>
      <c r="Y119"/>
    </row>
    <row r="120" spans="1:25" s="6" customFormat="1" x14ac:dyDescent="0.25">
      <c r="A120"/>
      <c r="B120"/>
      <c r="C120"/>
      <c r="D120"/>
      <c r="E120"/>
      <c r="F120"/>
      <c r="G120"/>
      <c r="I120" s="17"/>
      <c r="J120" s="17"/>
      <c r="K120" s="17"/>
      <c r="L120" s="17"/>
      <c r="M120" s="17"/>
      <c r="O120"/>
      <c r="P120"/>
      <c r="Q120"/>
      <c r="R120"/>
      <c r="S120"/>
      <c r="U120"/>
      <c r="V120"/>
      <c r="W120"/>
      <c r="X120"/>
      <c r="Y120"/>
    </row>
    <row r="121" spans="1:25" s="6" customFormat="1" x14ac:dyDescent="0.25">
      <c r="A121"/>
      <c r="B121"/>
      <c r="C121"/>
      <c r="D121"/>
      <c r="E121"/>
      <c r="F121"/>
      <c r="G121"/>
      <c r="I121" s="17"/>
      <c r="J121" s="17"/>
      <c r="K121" s="17"/>
      <c r="L121" s="17"/>
      <c r="M121" s="17"/>
      <c r="O121"/>
      <c r="P121"/>
      <c r="Q121"/>
      <c r="R121"/>
      <c r="S121"/>
      <c r="U121"/>
      <c r="V121"/>
      <c r="W121"/>
      <c r="X121"/>
      <c r="Y121"/>
    </row>
    <row r="122" spans="1:25" s="6" customFormat="1" x14ac:dyDescent="0.25">
      <c r="A122"/>
      <c r="B122"/>
      <c r="C122"/>
      <c r="D122"/>
      <c r="E122"/>
      <c r="F122"/>
      <c r="G122"/>
      <c r="I122" s="17"/>
      <c r="J122" s="17"/>
      <c r="K122" s="17"/>
      <c r="L122" s="17"/>
      <c r="M122" s="17"/>
      <c r="O122"/>
      <c r="P122"/>
      <c r="Q122"/>
      <c r="R122"/>
      <c r="S122"/>
      <c r="U122"/>
      <c r="V122"/>
      <c r="W122"/>
      <c r="X122"/>
      <c r="Y122"/>
    </row>
    <row r="123" spans="1:25" s="6" customFormat="1" x14ac:dyDescent="0.25">
      <c r="A123"/>
      <c r="B123"/>
      <c r="C123"/>
      <c r="D123"/>
      <c r="E123"/>
      <c r="F123"/>
      <c r="G123"/>
      <c r="I123" s="17"/>
      <c r="J123" s="17"/>
      <c r="K123" s="17"/>
      <c r="L123" s="17"/>
      <c r="M123" s="17"/>
      <c r="O123"/>
      <c r="P123"/>
      <c r="Q123"/>
      <c r="R123"/>
      <c r="S123"/>
      <c r="U123"/>
      <c r="V123"/>
      <c r="W123"/>
      <c r="X123"/>
      <c r="Y123"/>
    </row>
    <row r="124" spans="1:25" s="6" customFormat="1" x14ac:dyDescent="0.25">
      <c r="A124"/>
      <c r="B124"/>
      <c r="C124"/>
      <c r="D124"/>
      <c r="E124"/>
      <c r="F124"/>
      <c r="G124"/>
      <c r="I124" s="17"/>
      <c r="J124" s="17"/>
      <c r="K124" s="17"/>
      <c r="L124" s="17"/>
      <c r="M124" s="17"/>
      <c r="O124"/>
      <c r="P124"/>
      <c r="Q124"/>
      <c r="R124"/>
      <c r="S124"/>
      <c r="U124"/>
      <c r="V124"/>
      <c r="W124"/>
      <c r="X124"/>
      <c r="Y124"/>
    </row>
    <row r="125" spans="1:25" s="6" customFormat="1" x14ac:dyDescent="0.25">
      <c r="A125"/>
      <c r="B125"/>
      <c r="C125"/>
      <c r="D125"/>
      <c r="E125"/>
      <c r="F125"/>
      <c r="G125"/>
      <c r="I125" s="17"/>
      <c r="J125" s="17"/>
      <c r="K125" s="17"/>
      <c r="L125" s="17"/>
      <c r="M125" s="17"/>
      <c r="O125"/>
      <c r="P125"/>
      <c r="Q125"/>
      <c r="R125"/>
      <c r="S125"/>
      <c r="U125"/>
      <c r="V125"/>
      <c r="W125"/>
      <c r="X125"/>
      <c r="Y125"/>
    </row>
    <row r="126" spans="1:25" s="6" customFormat="1" x14ac:dyDescent="0.25">
      <c r="A126"/>
      <c r="B126"/>
      <c r="C126"/>
      <c r="D126"/>
      <c r="E126"/>
      <c r="F126"/>
      <c r="G126"/>
      <c r="I126" s="17"/>
      <c r="J126" s="17"/>
      <c r="K126" s="17"/>
      <c r="L126" s="17"/>
      <c r="M126" s="17"/>
      <c r="O126"/>
      <c r="P126"/>
      <c r="Q126"/>
      <c r="R126"/>
      <c r="S126"/>
      <c r="U126"/>
      <c r="V126"/>
      <c r="W126"/>
      <c r="X126"/>
      <c r="Y126"/>
    </row>
    <row r="127" spans="1:25" s="6" customFormat="1" x14ac:dyDescent="0.25">
      <c r="A127"/>
      <c r="B127"/>
      <c r="C127"/>
      <c r="D127"/>
      <c r="E127"/>
      <c r="F127"/>
      <c r="G127"/>
      <c r="I127" s="17"/>
      <c r="J127" s="17"/>
      <c r="K127" s="17"/>
      <c r="L127" s="17"/>
      <c r="M127" s="17"/>
      <c r="O127"/>
      <c r="P127"/>
      <c r="Q127"/>
      <c r="R127"/>
      <c r="S127"/>
      <c r="U127"/>
      <c r="V127"/>
      <c r="W127"/>
      <c r="X127"/>
      <c r="Y127"/>
    </row>
    <row r="128" spans="1:25" s="6" customFormat="1" x14ac:dyDescent="0.25">
      <c r="A128"/>
      <c r="B128"/>
      <c r="C128"/>
      <c r="D128"/>
      <c r="E128"/>
      <c r="F128"/>
      <c r="G128"/>
      <c r="I128" s="17"/>
      <c r="J128" s="17"/>
      <c r="K128" s="17"/>
      <c r="L128" s="17"/>
      <c r="M128" s="17"/>
      <c r="O128"/>
      <c r="P128"/>
      <c r="Q128"/>
      <c r="R128"/>
      <c r="S128"/>
      <c r="U128"/>
      <c r="V128"/>
      <c r="W128"/>
      <c r="X128"/>
      <c r="Y128"/>
    </row>
    <row r="129" spans="1:25" s="6" customFormat="1" x14ac:dyDescent="0.25">
      <c r="A129"/>
      <c r="B129"/>
      <c r="C129"/>
      <c r="D129"/>
      <c r="E129"/>
      <c r="F129"/>
      <c r="G129"/>
      <c r="I129" s="17"/>
      <c r="J129" s="17"/>
      <c r="K129" s="17"/>
      <c r="L129" s="17"/>
      <c r="M129" s="17"/>
      <c r="O129"/>
      <c r="P129"/>
      <c r="Q129"/>
      <c r="R129"/>
      <c r="S129"/>
      <c r="U129"/>
      <c r="V129"/>
      <c r="W129"/>
      <c r="X129"/>
      <c r="Y129"/>
    </row>
    <row r="130" spans="1:25" s="6" customFormat="1" x14ac:dyDescent="0.25">
      <c r="A130"/>
      <c r="B130"/>
      <c r="C130"/>
      <c r="D130"/>
      <c r="E130"/>
      <c r="F130"/>
      <c r="G130"/>
      <c r="I130" s="17"/>
      <c r="J130" s="17">
        <f>Tabla35101826364142444546474844142434445464[[#This Row],[COMISIONES]]*0.21</f>
        <v>0</v>
      </c>
      <c r="K130" s="17"/>
      <c r="L130" s="17"/>
      <c r="M130" s="17"/>
      <c r="O130"/>
      <c r="P130"/>
      <c r="Q130"/>
      <c r="R130"/>
      <c r="S130"/>
      <c r="U130"/>
      <c r="V130"/>
      <c r="W130"/>
      <c r="X130"/>
      <c r="Y130"/>
    </row>
    <row r="131" spans="1:25" s="6" customFormat="1" x14ac:dyDescent="0.25">
      <c r="A131"/>
      <c r="B131"/>
      <c r="C131"/>
      <c r="D131"/>
      <c r="E131"/>
      <c r="F131"/>
      <c r="G131"/>
      <c r="I131" s="4">
        <f>SUBTOTAL(109,Tabla35101826364142444546474844142434445464[COMISIONES])</f>
        <v>6139.2</v>
      </c>
      <c r="J131" s="4">
        <f>SUBTOTAL(109,Tabla35101826364142444546474844142434445464[IVA 21])</f>
        <v>1289.232</v>
      </c>
      <c r="K131" s="4">
        <f>SUBTOTAL(109,Tabla35101826364142444546474844142434445464[IVA 10,5])</f>
        <v>0</v>
      </c>
      <c r="L131" s="4">
        <f>SUBTOTAL(109,Tabla35101826364142444546474844142434445464[Ret IIBB Caba])</f>
        <v>19031.52</v>
      </c>
      <c r="M131" s="4">
        <f>SUBTOTAL(109,Tabla35101826364142444546474844142434445464[PERC IVA])</f>
        <v>0</v>
      </c>
      <c r="O131"/>
      <c r="P131"/>
      <c r="Q131"/>
      <c r="R131"/>
      <c r="S131"/>
      <c r="U131"/>
      <c r="V131"/>
      <c r="W131"/>
      <c r="X131"/>
      <c r="Y131"/>
    </row>
    <row r="132" spans="1:25" s="6" customFormat="1" x14ac:dyDescent="0.25">
      <c r="A132"/>
      <c r="B132"/>
      <c r="C132"/>
      <c r="D132"/>
      <c r="E132"/>
      <c r="F132"/>
      <c r="G132"/>
      <c r="I132"/>
      <c r="J132"/>
      <c r="K132"/>
      <c r="L132"/>
      <c r="M132"/>
      <c r="O132"/>
      <c r="P132"/>
      <c r="Q132"/>
      <c r="R132"/>
      <c r="S132"/>
      <c r="U132"/>
      <c r="V132"/>
      <c r="W132"/>
      <c r="X132"/>
      <c r="Y132"/>
    </row>
    <row r="133" spans="1:25" s="6" customFormat="1" x14ac:dyDescent="0.25">
      <c r="A133"/>
      <c r="B133"/>
      <c r="C133"/>
      <c r="D133"/>
      <c r="E133"/>
      <c r="F133"/>
      <c r="G133"/>
      <c r="I133"/>
      <c r="J133"/>
      <c r="K133"/>
      <c r="L133"/>
      <c r="M133"/>
      <c r="O133"/>
      <c r="P133"/>
      <c r="Q133"/>
      <c r="R133"/>
      <c r="S133"/>
      <c r="U133"/>
      <c r="V133"/>
      <c r="W133"/>
      <c r="X133"/>
      <c r="Y133"/>
    </row>
    <row r="134" spans="1:25" s="6" customFormat="1" x14ac:dyDescent="0.25">
      <c r="A134"/>
      <c r="B134"/>
      <c r="C134"/>
      <c r="D134"/>
      <c r="E134"/>
      <c r="F134"/>
      <c r="G134"/>
      <c r="I134"/>
      <c r="J134"/>
      <c r="K134"/>
      <c r="L134"/>
      <c r="M134"/>
      <c r="O134"/>
      <c r="P134"/>
      <c r="Q134"/>
      <c r="R134"/>
      <c r="S134"/>
      <c r="U134"/>
      <c r="V134"/>
      <c r="W134"/>
      <c r="X134"/>
      <c r="Y134"/>
    </row>
    <row r="135" spans="1:25" s="6" customFormat="1" x14ac:dyDescent="0.25">
      <c r="A135"/>
      <c r="B135"/>
      <c r="C135"/>
      <c r="D135"/>
      <c r="E135"/>
      <c r="F135"/>
      <c r="G135"/>
      <c r="I135"/>
      <c r="J135"/>
      <c r="K135"/>
      <c r="L135"/>
      <c r="M135"/>
      <c r="O135"/>
      <c r="P135"/>
      <c r="Q135"/>
      <c r="R135"/>
      <c r="S135"/>
      <c r="U135"/>
      <c r="V135"/>
      <c r="W135"/>
      <c r="X135"/>
      <c r="Y135"/>
    </row>
    <row r="136" spans="1:25" s="6" customFormat="1" x14ac:dyDescent="0.25">
      <c r="A136"/>
      <c r="B136"/>
      <c r="C136"/>
      <c r="D136"/>
      <c r="E136"/>
      <c r="F136"/>
      <c r="G136"/>
      <c r="I136"/>
      <c r="J136"/>
      <c r="K136"/>
      <c r="L136"/>
      <c r="M136"/>
      <c r="O136"/>
      <c r="P136"/>
      <c r="Q136"/>
      <c r="R136"/>
      <c r="S136"/>
      <c r="U136"/>
      <c r="V136"/>
      <c r="W136"/>
      <c r="X136"/>
      <c r="Y136"/>
    </row>
    <row r="137" spans="1:25" s="6" customFormat="1" x14ac:dyDescent="0.25">
      <c r="A137"/>
      <c r="B137"/>
      <c r="C137"/>
      <c r="D137"/>
      <c r="E137"/>
      <c r="F137"/>
      <c r="G137"/>
      <c r="I137"/>
      <c r="J137"/>
      <c r="K137"/>
      <c r="L137"/>
      <c r="M137"/>
      <c r="O137"/>
      <c r="P137"/>
      <c r="Q137"/>
      <c r="R137"/>
      <c r="S137"/>
      <c r="U137"/>
      <c r="V137"/>
      <c r="W137"/>
      <c r="X137"/>
      <c r="Y137"/>
    </row>
    <row r="138" spans="1:25" s="6" customFormat="1" x14ac:dyDescent="0.25">
      <c r="A138"/>
      <c r="B138"/>
      <c r="C138"/>
      <c r="D138"/>
      <c r="E138"/>
      <c r="F138"/>
      <c r="G138"/>
      <c r="I138"/>
      <c r="J138"/>
      <c r="K138"/>
      <c r="L138"/>
      <c r="M138"/>
      <c r="O138"/>
      <c r="P138"/>
      <c r="Q138"/>
      <c r="R138"/>
      <c r="S138"/>
      <c r="U138"/>
      <c r="V138"/>
      <c r="W138"/>
      <c r="X138"/>
      <c r="Y138"/>
    </row>
    <row r="139" spans="1:25" s="6" customFormat="1" x14ac:dyDescent="0.25">
      <c r="A139"/>
      <c r="B139"/>
      <c r="C139"/>
      <c r="D139"/>
      <c r="E139"/>
      <c r="F139"/>
      <c r="G139"/>
      <c r="I139"/>
      <c r="J139"/>
      <c r="K139"/>
      <c r="L139"/>
      <c r="M139"/>
      <c r="O139"/>
      <c r="P139"/>
      <c r="Q139"/>
      <c r="R139"/>
      <c r="S139"/>
      <c r="U139"/>
      <c r="V139"/>
      <c r="W139"/>
      <c r="X139"/>
      <c r="Y139"/>
    </row>
    <row r="140" spans="1:25" s="6" customFormat="1" x14ac:dyDescent="0.25">
      <c r="A140"/>
      <c r="B140"/>
      <c r="C140"/>
      <c r="D140"/>
      <c r="E140"/>
      <c r="F140"/>
      <c r="G140"/>
      <c r="I140"/>
      <c r="J140"/>
      <c r="K140"/>
      <c r="L140"/>
      <c r="M140"/>
      <c r="O140"/>
      <c r="P140"/>
      <c r="Q140"/>
      <c r="R140"/>
      <c r="S140"/>
      <c r="U140"/>
      <c r="V140"/>
      <c r="W140"/>
      <c r="X140"/>
      <c r="Y140"/>
    </row>
    <row r="141" spans="1:25" s="6" customFormat="1" x14ac:dyDescent="0.25">
      <c r="A141"/>
      <c r="B141"/>
      <c r="C141"/>
      <c r="D141"/>
      <c r="E141"/>
      <c r="F141"/>
      <c r="G141"/>
      <c r="I141"/>
      <c r="J141"/>
      <c r="K141"/>
      <c r="L141"/>
      <c r="M141"/>
      <c r="O141"/>
      <c r="P141"/>
      <c r="Q141"/>
      <c r="R141"/>
      <c r="S141"/>
      <c r="U141"/>
      <c r="V141"/>
      <c r="W141"/>
      <c r="X141"/>
      <c r="Y141"/>
    </row>
    <row r="142" spans="1:25" s="6" customFormat="1" x14ac:dyDescent="0.25">
      <c r="A142"/>
      <c r="B142"/>
      <c r="C142"/>
      <c r="D142"/>
      <c r="E142"/>
      <c r="F142"/>
      <c r="G142"/>
      <c r="I142"/>
      <c r="J142"/>
      <c r="K142"/>
      <c r="L142"/>
      <c r="M142"/>
      <c r="O142"/>
      <c r="P142"/>
      <c r="Q142"/>
      <c r="R142"/>
      <c r="S142"/>
      <c r="U142"/>
      <c r="V142"/>
      <c r="W142"/>
      <c r="X142"/>
      <c r="Y142"/>
    </row>
    <row r="143" spans="1:25" s="6" customFormat="1" x14ac:dyDescent="0.25">
      <c r="A143"/>
      <c r="B143"/>
      <c r="C143"/>
      <c r="D143"/>
      <c r="E143"/>
      <c r="F143"/>
      <c r="G143"/>
      <c r="I143"/>
      <c r="J143"/>
      <c r="K143"/>
      <c r="L143"/>
      <c r="M143"/>
      <c r="O143"/>
      <c r="P143"/>
      <c r="Q143"/>
      <c r="R143"/>
      <c r="S143"/>
      <c r="U143"/>
      <c r="V143"/>
      <c r="W143"/>
      <c r="X143"/>
      <c r="Y143"/>
    </row>
    <row r="144" spans="1:25" s="6" customFormat="1" x14ac:dyDescent="0.25">
      <c r="A144"/>
      <c r="B144"/>
      <c r="C144"/>
      <c r="D144"/>
      <c r="E144"/>
      <c r="F144"/>
      <c r="G144"/>
      <c r="I144"/>
      <c r="J144"/>
      <c r="K144"/>
      <c r="L144"/>
      <c r="M144"/>
      <c r="O144"/>
      <c r="P144"/>
      <c r="Q144"/>
      <c r="R144"/>
      <c r="S144"/>
      <c r="U144"/>
      <c r="V144"/>
      <c r="W144"/>
      <c r="X144"/>
      <c r="Y144"/>
    </row>
    <row r="145" spans="1:25" s="6" customFormat="1" x14ac:dyDescent="0.25">
      <c r="A145"/>
      <c r="B145"/>
      <c r="C145"/>
      <c r="D145"/>
      <c r="E145"/>
      <c r="F145"/>
      <c r="G145"/>
      <c r="I145"/>
      <c r="J145"/>
      <c r="K145"/>
      <c r="L145"/>
      <c r="M145"/>
      <c r="O145"/>
      <c r="P145"/>
      <c r="Q145"/>
      <c r="R145"/>
      <c r="S145"/>
      <c r="U145"/>
      <c r="V145"/>
      <c r="W145"/>
      <c r="X145"/>
      <c r="Y145"/>
    </row>
    <row r="146" spans="1:25" s="6" customFormat="1" x14ac:dyDescent="0.25">
      <c r="A146"/>
      <c r="B146"/>
      <c r="C146"/>
      <c r="D146"/>
      <c r="E146"/>
      <c r="F146"/>
      <c r="G146"/>
      <c r="I146"/>
      <c r="J146"/>
      <c r="K146"/>
      <c r="L146"/>
      <c r="M146"/>
      <c r="O146"/>
      <c r="P146"/>
      <c r="Q146"/>
      <c r="R146"/>
      <c r="S146"/>
      <c r="U146"/>
      <c r="V146"/>
      <c r="W146"/>
      <c r="X146"/>
      <c r="Y146"/>
    </row>
    <row r="147" spans="1:25" s="6" customFormat="1" x14ac:dyDescent="0.25">
      <c r="A147"/>
      <c r="B147"/>
      <c r="C147"/>
      <c r="D147"/>
      <c r="E147"/>
      <c r="F147"/>
      <c r="G147"/>
      <c r="I147"/>
      <c r="J147"/>
      <c r="K147"/>
      <c r="L147"/>
      <c r="M147"/>
      <c r="O147"/>
      <c r="P147"/>
      <c r="Q147"/>
      <c r="R147"/>
      <c r="S147"/>
      <c r="U147"/>
      <c r="V147"/>
      <c r="W147"/>
      <c r="X147"/>
      <c r="Y147"/>
    </row>
    <row r="148" spans="1:25" s="6" customFormat="1" x14ac:dyDescent="0.25">
      <c r="A148"/>
      <c r="B148"/>
      <c r="C148"/>
      <c r="D148"/>
      <c r="E148"/>
      <c r="F148"/>
      <c r="G148"/>
      <c r="I148"/>
      <c r="J148"/>
      <c r="K148"/>
      <c r="L148"/>
      <c r="M148"/>
      <c r="O148"/>
      <c r="P148"/>
      <c r="Q148"/>
      <c r="R148"/>
      <c r="S148"/>
      <c r="U148"/>
      <c r="V148"/>
      <c r="W148"/>
      <c r="X148"/>
      <c r="Y148"/>
    </row>
    <row r="149" spans="1:25" s="6" customFormat="1" x14ac:dyDescent="0.25">
      <c r="A149"/>
      <c r="B149"/>
      <c r="C149"/>
      <c r="D149"/>
      <c r="E149"/>
      <c r="F149"/>
      <c r="G149"/>
      <c r="I149"/>
      <c r="J149"/>
      <c r="K149"/>
      <c r="L149"/>
      <c r="M149"/>
      <c r="O149"/>
      <c r="P149"/>
      <c r="Q149"/>
      <c r="R149"/>
      <c r="S149"/>
      <c r="U149"/>
      <c r="V149"/>
      <c r="W149"/>
      <c r="X149"/>
      <c r="Y149"/>
    </row>
    <row r="150" spans="1:25" s="6" customFormat="1" x14ac:dyDescent="0.25">
      <c r="A150"/>
      <c r="B150"/>
      <c r="C150"/>
      <c r="D150"/>
      <c r="E150"/>
      <c r="F150"/>
      <c r="G150"/>
      <c r="I150"/>
      <c r="J150"/>
      <c r="K150"/>
      <c r="L150"/>
      <c r="M150"/>
      <c r="O150"/>
      <c r="P150"/>
      <c r="Q150"/>
      <c r="R150"/>
      <c r="S150"/>
      <c r="U150"/>
      <c r="V150"/>
      <c r="W150"/>
      <c r="X150"/>
      <c r="Y150"/>
    </row>
    <row r="151" spans="1:25" s="6" customFormat="1" x14ac:dyDescent="0.25">
      <c r="A151"/>
      <c r="B151"/>
      <c r="C151"/>
      <c r="D151"/>
      <c r="E151"/>
      <c r="F151"/>
      <c r="G151"/>
      <c r="I151"/>
      <c r="J151"/>
      <c r="K151"/>
      <c r="L151"/>
      <c r="M151"/>
      <c r="O151"/>
      <c r="P151"/>
      <c r="Q151"/>
      <c r="R151"/>
      <c r="S151"/>
      <c r="U151"/>
      <c r="V151"/>
      <c r="W151"/>
      <c r="X151"/>
      <c r="Y151"/>
    </row>
    <row r="152" spans="1:25" s="6" customFormat="1" x14ac:dyDescent="0.25">
      <c r="A152"/>
      <c r="B152"/>
      <c r="C152"/>
      <c r="D152"/>
      <c r="E152"/>
      <c r="F152"/>
      <c r="G152"/>
      <c r="I152"/>
      <c r="J152"/>
      <c r="K152"/>
      <c r="L152"/>
      <c r="M152"/>
      <c r="O152"/>
      <c r="P152"/>
      <c r="Q152"/>
      <c r="R152"/>
      <c r="S152"/>
      <c r="U152"/>
      <c r="V152"/>
      <c r="W152"/>
      <c r="X152"/>
      <c r="Y152"/>
    </row>
    <row r="153" spans="1:25" s="6" customFormat="1" x14ac:dyDescent="0.25">
      <c r="A153"/>
      <c r="B153"/>
      <c r="C153"/>
      <c r="D153"/>
      <c r="E153"/>
      <c r="F153"/>
      <c r="G153"/>
      <c r="I153"/>
      <c r="J153"/>
      <c r="K153"/>
      <c r="L153"/>
      <c r="M153"/>
      <c r="O153"/>
      <c r="P153"/>
      <c r="Q153"/>
      <c r="R153"/>
      <c r="S153"/>
      <c r="U153"/>
      <c r="V153"/>
      <c r="W153"/>
      <c r="X153"/>
      <c r="Y153"/>
    </row>
    <row r="154" spans="1:25" s="6" customFormat="1" x14ac:dyDescent="0.25">
      <c r="A154"/>
      <c r="B154"/>
      <c r="C154"/>
      <c r="D154"/>
      <c r="E154"/>
      <c r="F154"/>
      <c r="G154"/>
      <c r="I154"/>
      <c r="J154"/>
      <c r="K154"/>
      <c r="L154"/>
      <c r="M154"/>
      <c r="O154"/>
      <c r="P154"/>
      <c r="Q154"/>
      <c r="R154"/>
      <c r="S154"/>
      <c r="U154"/>
      <c r="V154"/>
      <c r="W154"/>
      <c r="X154"/>
      <c r="Y154"/>
    </row>
    <row r="155" spans="1:25" s="6" customFormat="1" x14ac:dyDescent="0.25">
      <c r="A155"/>
      <c r="B155"/>
      <c r="C155"/>
      <c r="D155"/>
      <c r="E155"/>
      <c r="F155"/>
      <c r="G155"/>
      <c r="I155"/>
      <c r="J155"/>
      <c r="K155"/>
      <c r="L155"/>
      <c r="M155"/>
      <c r="O155"/>
      <c r="P155"/>
      <c r="Q155"/>
      <c r="R155"/>
      <c r="S155"/>
      <c r="U155"/>
      <c r="V155"/>
      <c r="W155"/>
      <c r="X155"/>
      <c r="Y155"/>
    </row>
    <row r="156" spans="1:25" s="6" customFormat="1" x14ac:dyDescent="0.25">
      <c r="A156"/>
      <c r="B156"/>
      <c r="C156"/>
      <c r="D156"/>
      <c r="E156"/>
      <c r="F156"/>
      <c r="G156"/>
      <c r="I156"/>
      <c r="J156"/>
      <c r="K156"/>
      <c r="L156"/>
      <c r="M156"/>
      <c r="O156"/>
      <c r="P156"/>
      <c r="Q156"/>
      <c r="R156"/>
      <c r="S156"/>
      <c r="U156"/>
      <c r="V156"/>
      <c r="W156"/>
      <c r="X156"/>
      <c r="Y156"/>
    </row>
    <row r="157" spans="1:25" s="6" customFormat="1" x14ac:dyDescent="0.25">
      <c r="A157"/>
      <c r="B157"/>
      <c r="C157"/>
      <c r="D157"/>
      <c r="E157"/>
      <c r="F157"/>
      <c r="G157"/>
      <c r="I157"/>
      <c r="J157"/>
      <c r="K157"/>
      <c r="L157"/>
      <c r="M157"/>
      <c r="O157"/>
      <c r="P157"/>
      <c r="Q157"/>
      <c r="R157"/>
      <c r="S157"/>
      <c r="U157"/>
      <c r="V157"/>
      <c r="W157"/>
      <c r="X157"/>
      <c r="Y157"/>
    </row>
    <row r="158" spans="1:25" s="6" customFormat="1" x14ac:dyDescent="0.25">
      <c r="A158"/>
      <c r="B158"/>
      <c r="C158"/>
      <c r="D158"/>
      <c r="E158"/>
      <c r="F158"/>
      <c r="G158"/>
      <c r="I158"/>
      <c r="J158"/>
      <c r="K158"/>
      <c r="L158"/>
      <c r="M158"/>
      <c r="O158"/>
      <c r="P158"/>
      <c r="Q158"/>
      <c r="R158"/>
      <c r="S158"/>
      <c r="U158"/>
      <c r="V158"/>
      <c r="W158"/>
      <c r="X158"/>
      <c r="Y158"/>
    </row>
    <row r="159" spans="1:25" s="6" customFormat="1" x14ac:dyDescent="0.25">
      <c r="A159"/>
      <c r="B159"/>
      <c r="C159"/>
      <c r="D159"/>
      <c r="E159"/>
      <c r="F159"/>
      <c r="G159"/>
      <c r="I159"/>
      <c r="J159"/>
      <c r="K159"/>
      <c r="L159"/>
      <c r="M159"/>
      <c r="O159"/>
      <c r="P159"/>
      <c r="Q159"/>
      <c r="R159"/>
      <c r="S159"/>
      <c r="U159"/>
      <c r="V159"/>
      <c r="W159"/>
      <c r="X159"/>
      <c r="Y159"/>
    </row>
    <row r="160" spans="1:25" s="6" customFormat="1" x14ac:dyDescent="0.25">
      <c r="A160"/>
      <c r="B160"/>
      <c r="C160"/>
      <c r="D160"/>
      <c r="E160"/>
      <c r="F160"/>
      <c r="G160"/>
      <c r="I160"/>
      <c r="J160"/>
      <c r="K160"/>
      <c r="L160"/>
      <c r="M160"/>
      <c r="O160"/>
      <c r="P160"/>
      <c r="Q160"/>
      <c r="R160"/>
      <c r="S160"/>
      <c r="U160"/>
      <c r="V160"/>
      <c r="W160"/>
      <c r="X160"/>
      <c r="Y160"/>
    </row>
    <row r="161" spans="1:25" s="6" customFormat="1" x14ac:dyDescent="0.25">
      <c r="A161"/>
      <c r="B161"/>
      <c r="C161"/>
      <c r="D161"/>
      <c r="E161"/>
      <c r="F161"/>
      <c r="G161"/>
      <c r="I161"/>
      <c r="J161"/>
      <c r="K161"/>
      <c r="L161"/>
      <c r="M161"/>
      <c r="O161"/>
      <c r="P161"/>
      <c r="Q161"/>
      <c r="R161"/>
      <c r="S161"/>
      <c r="U161"/>
      <c r="V161"/>
      <c r="W161"/>
      <c r="X161"/>
      <c r="Y161"/>
    </row>
    <row r="162" spans="1:25" s="6" customFormat="1" x14ac:dyDescent="0.25">
      <c r="A162"/>
      <c r="B162"/>
      <c r="C162"/>
      <c r="D162"/>
      <c r="E162"/>
      <c r="F162"/>
      <c r="G162"/>
      <c r="I162"/>
      <c r="J162"/>
      <c r="K162"/>
      <c r="L162"/>
      <c r="M162"/>
      <c r="O162"/>
      <c r="P162"/>
      <c r="Q162"/>
      <c r="R162"/>
      <c r="S162"/>
      <c r="U162"/>
      <c r="V162"/>
      <c r="W162"/>
      <c r="X162"/>
      <c r="Y162"/>
    </row>
    <row r="163" spans="1:25" s="6" customFormat="1" x14ac:dyDescent="0.25">
      <c r="A163"/>
      <c r="B163"/>
      <c r="C163"/>
      <c r="D163"/>
      <c r="E163"/>
      <c r="F163"/>
      <c r="G163"/>
      <c r="I163"/>
      <c r="J163"/>
      <c r="K163"/>
      <c r="L163"/>
      <c r="M163"/>
      <c r="O163"/>
      <c r="P163"/>
      <c r="Q163"/>
      <c r="R163"/>
      <c r="S163"/>
      <c r="U163"/>
      <c r="V163"/>
      <c r="W163"/>
      <c r="X163"/>
      <c r="Y163"/>
    </row>
    <row r="164" spans="1:25" s="6" customFormat="1" x14ac:dyDescent="0.25">
      <c r="A164"/>
      <c r="B164"/>
      <c r="C164"/>
      <c r="D164"/>
      <c r="E164"/>
      <c r="F164"/>
      <c r="G164"/>
      <c r="I164"/>
      <c r="J164"/>
      <c r="K164"/>
      <c r="L164"/>
      <c r="M164"/>
      <c r="O164"/>
      <c r="P164"/>
      <c r="Q164"/>
      <c r="R164"/>
      <c r="S164"/>
      <c r="U164"/>
      <c r="V164"/>
      <c r="W164"/>
      <c r="X164"/>
      <c r="Y164"/>
    </row>
    <row r="165" spans="1:25" s="6" customFormat="1" x14ac:dyDescent="0.25">
      <c r="A165"/>
      <c r="B165"/>
      <c r="C165"/>
      <c r="D165"/>
      <c r="E165"/>
      <c r="F165"/>
      <c r="G165"/>
      <c r="I165"/>
      <c r="J165"/>
      <c r="K165"/>
      <c r="L165"/>
      <c r="M165"/>
      <c r="O165"/>
      <c r="P165"/>
      <c r="Q165"/>
      <c r="R165"/>
      <c r="S165"/>
      <c r="U165"/>
      <c r="V165"/>
      <c r="W165"/>
      <c r="X165"/>
      <c r="Y165"/>
    </row>
    <row r="237" spans="1:31" s="6" customFormat="1" x14ac:dyDescent="0.25">
      <c r="A237"/>
      <c r="B237"/>
      <c r="C237"/>
      <c r="D237"/>
      <c r="E237"/>
      <c r="F237"/>
      <c r="G237"/>
      <c r="I237"/>
      <c r="J237"/>
      <c r="K237"/>
      <c r="L237"/>
      <c r="M237"/>
      <c r="O237"/>
      <c r="P237"/>
      <c r="Q237"/>
      <c r="R237"/>
      <c r="S237"/>
      <c r="U237"/>
      <c r="V237"/>
      <c r="W237"/>
      <c r="X237"/>
      <c r="Y237"/>
      <c r="AA237"/>
      <c r="AB237"/>
      <c r="AC237"/>
      <c r="AD237"/>
      <c r="AE237"/>
    </row>
    <row r="238" spans="1:31" s="6" customFormat="1" x14ac:dyDescent="0.25">
      <c r="A238"/>
      <c r="B238"/>
      <c r="C238"/>
      <c r="D238"/>
      <c r="E238"/>
      <c r="F238"/>
      <c r="G238"/>
      <c r="I238"/>
      <c r="J238"/>
      <c r="K238"/>
      <c r="L238"/>
      <c r="M238"/>
      <c r="O238"/>
      <c r="P238"/>
      <c r="Q238"/>
      <c r="R238"/>
      <c r="S238"/>
      <c r="U238"/>
      <c r="V238"/>
      <c r="W238"/>
      <c r="X238"/>
      <c r="Y238"/>
      <c r="AA238"/>
      <c r="AB238"/>
      <c r="AC238"/>
      <c r="AD238"/>
      <c r="AE238"/>
    </row>
    <row r="239" spans="1:31" s="6" customFormat="1" x14ac:dyDescent="0.25">
      <c r="A239"/>
      <c r="B239"/>
      <c r="C239"/>
      <c r="D239"/>
      <c r="E239"/>
      <c r="F239"/>
      <c r="G239"/>
      <c r="I239"/>
      <c r="J239"/>
      <c r="K239"/>
      <c r="L239"/>
      <c r="M239"/>
      <c r="O239"/>
      <c r="P239"/>
      <c r="Q239"/>
      <c r="R239"/>
      <c r="S239"/>
      <c r="U239"/>
      <c r="V239"/>
      <c r="W239"/>
      <c r="X239"/>
      <c r="Y239"/>
      <c r="AA239"/>
      <c r="AB239"/>
      <c r="AC239"/>
      <c r="AD239"/>
      <c r="AE239"/>
    </row>
    <row r="240" spans="1:31" s="6" customFormat="1" x14ac:dyDescent="0.25">
      <c r="A240"/>
      <c r="B240"/>
      <c r="C240"/>
      <c r="D240"/>
      <c r="E240"/>
      <c r="F240"/>
      <c r="G240"/>
      <c r="I240"/>
      <c r="J240"/>
      <c r="K240"/>
      <c r="L240"/>
      <c r="M240"/>
      <c r="O240"/>
      <c r="P240"/>
      <c r="Q240"/>
      <c r="R240"/>
      <c r="S240"/>
      <c r="U240"/>
      <c r="V240"/>
      <c r="W240"/>
      <c r="X240"/>
      <c r="Y240"/>
      <c r="AA240"/>
      <c r="AB240"/>
      <c r="AC240"/>
      <c r="AD240"/>
      <c r="AE240"/>
    </row>
    <row r="241" spans="1:31" s="6" customFormat="1" x14ac:dyDescent="0.25">
      <c r="A241"/>
      <c r="B241"/>
      <c r="C241"/>
      <c r="D241"/>
      <c r="E241"/>
      <c r="F241"/>
      <c r="G241"/>
      <c r="I241"/>
      <c r="J241"/>
      <c r="K241"/>
      <c r="L241"/>
      <c r="M241"/>
      <c r="O241"/>
      <c r="P241"/>
      <c r="Q241"/>
      <c r="R241"/>
      <c r="S241"/>
      <c r="U241"/>
      <c r="V241"/>
      <c r="W241"/>
      <c r="X241"/>
      <c r="Y241"/>
      <c r="AA241"/>
      <c r="AB241"/>
      <c r="AC241"/>
      <c r="AD241"/>
      <c r="AE241"/>
    </row>
    <row r="242" spans="1:31" s="6" customFormat="1" x14ac:dyDescent="0.25">
      <c r="A242"/>
      <c r="B242"/>
      <c r="C242"/>
      <c r="D242"/>
      <c r="E242"/>
      <c r="F242"/>
      <c r="G242"/>
      <c r="I242"/>
      <c r="J242"/>
      <c r="K242"/>
      <c r="L242"/>
      <c r="M242"/>
      <c r="O242"/>
      <c r="P242"/>
      <c r="Q242"/>
      <c r="R242"/>
      <c r="S242"/>
      <c r="U242"/>
      <c r="V242"/>
      <c r="W242"/>
      <c r="X242"/>
      <c r="Y242"/>
      <c r="AA242"/>
      <c r="AB242"/>
      <c r="AC242"/>
      <c r="AD242"/>
      <c r="AE242"/>
    </row>
    <row r="243" spans="1:31" s="6" customFormat="1" x14ac:dyDescent="0.25">
      <c r="A243"/>
      <c r="B243"/>
      <c r="C243"/>
      <c r="D243"/>
      <c r="E243"/>
      <c r="F243"/>
      <c r="G243"/>
      <c r="I243"/>
      <c r="J243"/>
      <c r="K243"/>
      <c r="L243"/>
      <c r="M243"/>
      <c r="O243"/>
      <c r="P243"/>
      <c r="Q243"/>
      <c r="R243"/>
      <c r="S243"/>
      <c r="U243"/>
      <c r="V243"/>
      <c r="W243"/>
      <c r="X243"/>
      <c r="Y243"/>
      <c r="AA243"/>
      <c r="AB243"/>
      <c r="AC243"/>
      <c r="AD243"/>
      <c r="AE243"/>
    </row>
    <row r="244" spans="1:31" s="6" customFormat="1" x14ac:dyDescent="0.25">
      <c r="A244"/>
      <c r="B244"/>
      <c r="C244"/>
      <c r="D244"/>
      <c r="E244"/>
      <c r="F244"/>
      <c r="G244"/>
      <c r="I244"/>
      <c r="J244"/>
      <c r="K244"/>
      <c r="L244"/>
      <c r="M244"/>
      <c r="O244"/>
      <c r="P244"/>
      <c r="Q244"/>
      <c r="R244"/>
      <c r="S244"/>
      <c r="U244"/>
      <c r="V244"/>
      <c r="W244"/>
      <c r="X244"/>
      <c r="Y244"/>
      <c r="AA244"/>
      <c r="AB244"/>
      <c r="AC244"/>
      <c r="AD244"/>
      <c r="AE244"/>
    </row>
    <row r="245" spans="1:31" s="6" customFormat="1" x14ac:dyDescent="0.25">
      <c r="A245"/>
      <c r="B245"/>
      <c r="C245"/>
      <c r="D245"/>
      <c r="E245"/>
      <c r="F245"/>
      <c r="G245"/>
      <c r="I245"/>
      <c r="J245"/>
      <c r="K245"/>
      <c r="L245"/>
      <c r="M245"/>
      <c r="O245"/>
      <c r="P245"/>
      <c r="Q245"/>
      <c r="R245"/>
      <c r="S245"/>
      <c r="U245"/>
      <c r="V245"/>
      <c r="W245"/>
      <c r="X245"/>
      <c r="Y245"/>
      <c r="AA245"/>
      <c r="AB245"/>
      <c r="AC245"/>
      <c r="AD245"/>
      <c r="AE245"/>
    </row>
    <row r="246" spans="1:31" s="6" customFormat="1" x14ac:dyDescent="0.25">
      <c r="A246"/>
      <c r="B246"/>
      <c r="C246"/>
      <c r="D246"/>
      <c r="E246"/>
      <c r="F246"/>
      <c r="G246"/>
      <c r="I246"/>
      <c r="J246"/>
      <c r="K246"/>
      <c r="L246"/>
      <c r="M246"/>
      <c r="O246"/>
      <c r="P246"/>
      <c r="Q246"/>
      <c r="R246"/>
      <c r="S246"/>
      <c r="U246"/>
      <c r="V246"/>
      <c r="W246"/>
      <c r="X246"/>
      <c r="Y246"/>
      <c r="AA246"/>
      <c r="AB246"/>
      <c r="AC246"/>
      <c r="AD246"/>
      <c r="AE246"/>
    </row>
    <row r="247" spans="1:31" s="6" customFormat="1" x14ac:dyDescent="0.25">
      <c r="A247"/>
      <c r="B247"/>
      <c r="C247"/>
      <c r="D247"/>
      <c r="E247"/>
      <c r="F247"/>
      <c r="G247"/>
      <c r="I247"/>
      <c r="J247"/>
      <c r="K247"/>
      <c r="L247"/>
      <c r="M247"/>
      <c r="O247"/>
      <c r="P247"/>
      <c r="Q247"/>
      <c r="R247"/>
      <c r="S247"/>
      <c r="U247"/>
      <c r="V247"/>
      <c r="W247"/>
      <c r="X247"/>
      <c r="Y247"/>
      <c r="AA247"/>
      <c r="AB247"/>
      <c r="AC247"/>
      <c r="AD247"/>
      <c r="AE247"/>
    </row>
    <row r="248" spans="1:31" s="6" customFormat="1" x14ac:dyDescent="0.25">
      <c r="A248"/>
      <c r="B248"/>
      <c r="C248"/>
      <c r="D248"/>
      <c r="E248"/>
      <c r="F248"/>
      <c r="G248"/>
      <c r="I248"/>
      <c r="J248"/>
      <c r="K248"/>
      <c r="L248"/>
      <c r="M248"/>
      <c r="O248"/>
      <c r="P248"/>
      <c r="Q248"/>
      <c r="R248"/>
      <c r="S248"/>
      <c r="U248"/>
      <c r="V248"/>
      <c r="W248"/>
      <c r="X248"/>
      <c r="Y248"/>
      <c r="AA248"/>
      <c r="AB248"/>
      <c r="AC248"/>
      <c r="AD248"/>
      <c r="AE248"/>
    </row>
    <row r="249" spans="1:31" s="6" customFormat="1" x14ac:dyDescent="0.25">
      <c r="A249"/>
      <c r="B249"/>
      <c r="C249"/>
      <c r="D249"/>
      <c r="E249"/>
      <c r="F249"/>
      <c r="G249"/>
      <c r="I249"/>
      <c r="J249"/>
      <c r="K249"/>
      <c r="L249"/>
      <c r="M249"/>
      <c r="O249"/>
      <c r="P249"/>
      <c r="Q249"/>
      <c r="R249"/>
      <c r="S249"/>
      <c r="U249"/>
      <c r="V249"/>
      <c r="W249"/>
      <c r="X249"/>
      <c r="Y249"/>
      <c r="AA249"/>
      <c r="AB249"/>
      <c r="AC249"/>
      <c r="AD249"/>
      <c r="AE249"/>
    </row>
  </sheetData>
  <mergeCells count="5">
    <mergeCell ref="AA10:AE10"/>
    <mergeCell ref="O10:S10"/>
    <mergeCell ref="U10:Y10"/>
    <mergeCell ref="B10:F10"/>
    <mergeCell ref="I10:M10"/>
  </mergeCells>
  <phoneticPr fontId="10" type="noConversion"/>
  <pageMargins left="0.7" right="0.7" top="0.75" bottom="0.75" header="0.3" footer="0.3"/>
  <pageSetup paperSize="9" orientation="portrait" horizontalDpi="300" r:id="rId1"/>
  <drawing r:id="rId2"/>
  <tableParts count="5"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08-2025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xxx3</dc:creator>
  <cp:lastModifiedBy>Mercedes Botindari</cp:lastModifiedBy>
  <dcterms:created xsi:type="dcterms:W3CDTF">2019-12-17T14:01:30Z</dcterms:created>
  <dcterms:modified xsi:type="dcterms:W3CDTF">2025-09-18T15:21:50Z</dcterms:modified>
</cp:coreProperties>
</file>