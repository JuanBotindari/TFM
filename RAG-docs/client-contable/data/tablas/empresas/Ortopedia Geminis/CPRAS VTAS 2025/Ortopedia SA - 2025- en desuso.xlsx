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5\"/>
    </mc:Choice>
  </mc:AlternateContent>
  <xr:revisionPtr revIDLastSave="0" documentId="13_ncr:1_{7D24458C-AF2D-4E28-B5F5-22288D971D25}" xr6:coauthVersionLast="47" xr6:coauthVersionMax="47" xr10:uidLastSave="{00000000-0000-0000-0000-000000000000}"/>
  <bookViews>
    <workbookView xWindow="-45" yWindow="45" windowWidth="19800" windowHeight="15600" tabRatio="828" firstSheet="1" activeTab="12" xr2:uid="{00000000-000D-0000-FFFF-FFFF00000000}"/>
  </bookViews>
  <sheets>
    <sheet name="Lista_CUIT" sheetId="8" r:id="rId1"/>
    <sheet name="Ene-25" sheetId="2" r:id="rId2"/>
    <sheet name="Feb-25" sheetId="10" r:id="rId3"/>
    <sheet name="Mar-25" sheetId="11" r:id="rId4"/>
    <sheet name="Abr-25" sheetId="12" r:id="rId5"/>
    <sheet name="May-25" sheetId="16" r:id="rId6"/>
    <sheet name="Jun-25" sheetId="13" r:id="rId7"/>
    <sheet name="Jul-25" sheetId="15" r:id="rId8"/>
    <sheet name="Ago-25" sheetId="18" r:id="rId9"/>
    <sheet name="Sep-25" sheetId="19" r:id="rId10"/>
    <sheet name="Oct-25" sheetId="23" r:id="rId11"/>
    <sheet name="Nov-25" sheetId="21" r:id="rId12"/>
    <sheet name="Dic-25" sheetId="20" r:id="rId13"/>
    <sheet name="Asto-Cpras" sheetId="3" r:id="rId14"/>
    <sheet name="Asto-Vtas" sheetId="4" r:id="rId15"/>
    <sheet name="Hoja1" sheetId="22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8" i="20" l="1"/>
  <c r="J117" i="20"/>
  <c r="I116" i="20"/>
  <c r="K116" i="20"/>
  <c r="K115" i="20"/>
  <c r="K111" i="20"/>
  <c r="I111" i="20"/>
  <c r="K77" i="20"/>
  <c r="I77" i="20"/>
  <c r="K72" i="20"/>
  <c r="K71" i="20"/>
  <c r="K69" i="20"/>
  <c r="J65" i="20"/>
  <c r="K61" i="20"/>
  <c r="G91" i="20"/>
  <c r="G92" i="20"/>
  <c r="G93" i="20"/>
  <c r="G94" i="20"/>
  <c r="G95" i="20"/>
  <c r="G96" i="20"/>
  <c r="G97" i="20"/>
  <c r="G98" i="20"/>
  <c r="G99" i="20"/>
  <c r="G100" i="20"/>
  <c r="I91" i="20"/>
  <c r="P91" i="20" s="1"/>
  <c r="I92" i="20"/>
  <c r="P92" i="20" s="1"/>
  <c r="I93" i="20"/>
  <c r="P93" i="20" s="1"/>
  <c r="I94" i="20"/>
  <c r="P94" i="20" s="1"/>
  <c r="I95" i="20"/>
  <c r="P95" i="20" s="1"/>
  <c r="I96" i="20"/>
  <c r="P96" i="20" s="1"/>
  <c r="I97" i="20"/>
  <c r="P97" i="20" s="1"/>
  <c r="I98" i="20"/>
  <c r="P98" i="20" s="1"/>
  <c r="I99" i="20"/>
  <c r="P99" i="20" s="1"/>
  <c r="I100" i="20"/>
  <c r="P100" i="20" s="1"/>
  <c r="Q91" i="20"/>
  <c r="Q92" i="20"/>
  <c r="Q93" i="20"/>
  <c r="Q94" i="20"/>
  <c r="Q95" i="20"/>
  <c r="Q96" i="20"/>
  <c r="Q97" i="20"/>
  <c r="Q98" i="20"/>
  <c r="Q99" i="20"/>
  <c r="Q100" i="20"/>
  <c r="R91" i="20"/>
  <c r="R92" i="20"/>
  <c r="R93" i="20"/>
  <c r="R94" i="20"/>
  <c r="R95" i="20"/>
  <c r="R96" i="20"/>
  <c r="R97" i="20"/>
  <c r="R98" i="20"/>
  <c r="R99" i="20"/>
  <c r="R100" i="20"/>
  <c r="K126" i="21" l="1"/>
  <c r="I126" i="21"/>
  <c r="J117" i="21"/>
  <c r="J116" i="21"/>
  <c r="K110" i="21"/>
  <c r="K109" i="21"/>
  <c r="I110" i="21"/>
  <c r="I109" i="21"/>
  <c r="K103" i="21"/>
  <c r="I103" i="21"/>
  <c r="K101" i="21"/>
  <c r="I101" i="21"/>
  <c r="K63" i="21"/>
  <c r="K37" i="21"/>
  <c r="I37" i="21"/>
  <c r="G94" i="21"/>
  <c r="G95" i="21"/>
  <c r="G96" i="21"/>
  <c r="G97" i="21"/>
  <c r="G98" i="21"/>
  <c r="G99" i="21"/>
  <c r="G100" i="21"/>
  <c r="G101" i="21"/>
  <c r="G102" i="21"/>
  <c r="G103" i="21"/>
  <c r="G104" i="21"/>
  <c r="I94" i="21"/>
  <c r="P94" i="21" s="1"/>
  <c r="I95" i="21"/>
  <c r="P95" i="21" s="1"/>
  <c r="I96" i="21"/>
  <c r="P96" i="21" s="1"/>
  <c r="I97" i="21"/>
  <c r="I98" i="21"/>
  <c r="P98" i="21" s="1"/>
  <c r="I99" i="21"/>
  <c r="P99" i="21" s="1"/>
  <c r="I100" i="21"/>
  <c r="P100" i="21" s="1"/>
  <c r="P101" i="21"/>
  <c r="I102" i="21"/>
  <c r="P102" i="21" s="1"/>
  <c r="P103" i="21"/>
  <c r="I104" i="21"/>
  <c r="P104" i="21" s="1"/>
  <c r="P97" i="21"/>
  <c r="Q94" i="21"/>
  <c r="Q95" i="21"/>
  <c r="Q96" i="21"/>
  <c r="Q97" i="21"/>
  <c r="Q98" i="21"/>
  <c r="Q99" i="21"/>
  <c r="Q100" i="21"/>
  <c r="Q101" i="21"/>
  <c r="Q102" i="21"/>
  <c r="Q103" i="21"/>
  <c r="Q104" i="21"/>
  <c r="R94" i="21"/>
  <c r="R95" i="21"/>
  <c r="R96" i="21"/>
  <c r="R97" i="21"/>
  <c r="R98" i="21"/>
  <c r="R99" i="21"/>
  <c r="R100" i="21"/>
  <c r="R101" i="21"/>
  <c r="R102" i="21"/>
  <c r="R103" i="21"/>
  <c r="R104" i="21"/>
  <c r="J133" i="23" l="1"/>
  <c r="J132" i="23"/>
  <c r="K128" i="23"/>
  <c r="I128" i="23"/>
  <c r="K76" i="23"/>
  <c r="K75" i="23"/>
  <c r="K61" i="23"/>
  <c r="P61" i="23" s="1"/>
  <c r="K43" i="23"/>
  <c r="I43" i="23"/>
  <c r="K40" i="23"/>
  <c r="I40" i="23"/>
  <c r="K9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I51" i="23"/>
  <c r="P51" i="23" s="1"/>
  <c r="I52" i="23"/>
  <c r="I53" i="23"/>
  <c r="I54" i="23"/>
  <c r="P54" i="23" s="1"/>
  <c r="I55" i="23"/>
  <c r="P55" i="23" s="1"/>
  <c r="I56" i="23"/>
  <c r="P56" i="23" s="1"/>
  <c r="I57" i="23"/>
  <c r="I58" i="23"/>
  <c r="P58" i="23" s="1"/>
  <c r="I59" i="23"/>
  <c r="P59" i="23" s="1"/>
  <c r="I60" i="23"/>
  <c r="I62" i="23"/>
  <c r="P62" i="23" s="1"/>
  <c r="I63" i="23"/>
  <c r="P63" i="23" s="1"/>
  <c r="I64" i="23"/>
  <c r="P64" i="23" s="1"/>
  <c r="I65" i="23"/>
  <c r="P65" i="23" s="1"/>
  <c r="I66" i="23"/>
  <c r="P66" i="23" s="1"/>
  <c r="I67" i="23"/>
  <c r="P67" i="23" s="1"/>
  <c r="I68" i="23"/>
  <c r="P68" i="23" s="1"/>
  <c r="I69" i="23"/>
  <c r="P69" i="23" s="1"/>
  <c r="I70" i="23"/>
  <c r="P70" i="23" s="1"/>
  <c r="I71" i="23"/>
  <c r="P71" i="23" s="1"/>
  <c r="I72" i="23"/>
  <c r="P72" i="23" s="1"/>
  <c r="I73" i="23"/>
  <c r="P73" i="23" s="1"/>
  <c r="I74" i="23"/>
  <c r="P74" i="23" s="1"/>
  <c r="P75" i="23"/>
  <c r="I77" i="23"/>
  <c r="P77" i="23" s="1"/>
  <c r="I78" i="23"/>
  <c r="P78" i="23" s="1"/>
  <c r="I79" i="23"/>
  <c r="P79" i="23" s="1"/>
  <c r="I80" i="23"/>
  <c r="P80" i="23" s="1"/>
  <c r="I81" i="23"/>
  <c r="P81" i="23" s="1"/>
  <c r="I82" i="23"/>
  <c r="P82" i="23" s="1"/>
  <c r="I83" i="23"/>
  <c r="P83" i="23" s="1"/>
  <c r="I84" i="23"/>
  <c r="P84" i="23" s="1"/>
  <c r="I85" i="23"/>
  <c r="P85" i="23" s="1"/>
  <c r="I86" i="23"/>
  <c r="P86" i="23" s="1"/>
  <c r="I87" i="23"/>
  <c r="P87" i="23" s="1"/>
  <c r="I88" i="23"/>
  <c r="P88" i="23" s="1"/>
  <c r="I89" i="23"/>
  <c r="P89" i="23" s="1"/>
  <c r="I90" i="23"/>
  <c r="P90" i="23" s="1"/>
  <c r="I91" i="23"/>
  <c r="P91" i="23" s="1"/>
  <c r="I92" i="23"/>
  <c r="P92" i="23" s="1"/>
  <c r="I93" i="23"/>
  <c r="P93" i="23" s="1"/>
  <c r="P52" i="23"/>
  <c r="P53" i="23"/>
  <c r="P57" i="23"/>
  <c r="P60" i="23"/>
  <c r="P76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3" i="23"/>
  <c r="R84" i="23"/>
  <c r="R85" i="23"/>
  <c r="R86" i="23"/>
  <c r="R87" i="23"/>
  <c r="R88" i="23"/>
  <c r="R89" i="23"/>
  <c r="R90" i="23"/>
  <c r="R91" i="23"/>
  <c r="R92" i="23"/>
  <c r="R93" i="23"/>
  <c r="J109" i="19" l="1"/>
  <c r="J108" i="19"/>
  <c r="K70" i="19"/>
  <c r="I70" i="19"/>
  <c r="K69" i="19"/>
  <c r="I69" i="19"/>
  <c r="K52" i="19"/>
  <c r="I52" i="19"/>
  <c r="J136" i="18" l="1"/>
  <c r="J135" i="18"/>
  <c r="J134" i="18"/>
  <c r="J133" i="18"/>
  <c r="J128" i="18"/>
  <c r="J127" i="18"/>
  <c r="K78" i="18"/>
  <c r="K77" i="18"/>
  <c r="K76" i="18"/>
  <c r="I78" i="18"/>
  <c r="I77" i="18"/>
  <c r="I76" i="18"/>
  <c r="K64" i="18"/>
  <c r="I64" i="18"/>
  <c r="K62" i="18"/>
  <c r="K60" i="18"/>
  <c r="K42" i="18"/>
  <c r="K40" i="18"/>
  <c r="K29" i="18"/>
  <c r="I29" i="18"/>
  <c r="K33" i="18"/>
  <c r="I33" i="18"/>
  <c r="I28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J133" i="15" l="1"/>
  <c r="J132" i="15"/>
  <c r="K74" i="15"/>
  <c r="K73" i="15"/>
  <c r="K72" i="15"/>
  <c r="K62" i="15"/>
  <c r="K61" i="15"/>
  <c r="K56" i="15"/>
  <c r="I56" i="15"/>
  <c r="K32" i="15"/>
  <c r="K31" i="15"/>
  <c r="K29" i="15"/>
  <c r="K28" i="15"/>
  <c r="G111" i="15"/>
  <c r="G112" i="15"/>
  <c r="G113" i="15"/>
  <c r="G114" i="15"/>
  <c r="G115" i="15"/>
  <c r="G116" i="15"/>
  <c r="I111" i="15"/>
  <c r="P111" i="15" s="1"/>
  <c r="I112" i="15"/>
  <c r="P112" i="15" s="1"/>
  <c r="I113" i="15"/>
  <c r="I114" i="15"/>
  <c r="P114" i="15" s="1"/>
  <c r="I115" i="15"/>
  <c r="P115" i="15" s="1"/>
  <c r="I116" i="15"/>
  <c r="P116" i="15" s="1"/>
  <c r="P113" i="15"/>
  <c r="Q111" i="15"/>
  <c r="Q112" i="15"/>
  <c r="Q113" i="15"/>
  <c r="Q114" i="15"/>
  <c r="Q115" i="15"/>
  <c r="Q116" i="15"/>
  <c r="R111" i="15"/>
  <c r="R112" i="15"/>
  <c r="R113" i="15"/>
  <c r="R114" i="15"/>
  <c r="R115" i="15"/>
  <c r="R116" i="15"/>
  <c r="K127" i="13" l="1"/>
  <c r="K119" i="13"/>
  <c r="K117" i="13"/>
  <c r="K109" i="13"/>
  <c r="P109" i="13" s="1"/>
  <c r="K76" i="13"/>
  <c r="I76" i="13"/>
  <c r="K64" i="13"/>
  <c r="I64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6" i="13"/>
  <c r="I57" i="13"/>
  <c r="I58" i="13"/>
  <c r="I59" i="13"/>
  <c r="I60" i="13"/>
  <c r="I61" i="13"/>
  <c r="I62" i="13"/>
  <c r="I63" i="13"/>
  <c r="I65" i="13"/>
  <c r="I66" i="13"/>
  <c r="I67" i="13"/>
  <c r="I68" i="13"/>
  <c r="I69" i="13"/>
  <c r="I70" i="13"/>
  <c r="P70" i="13" s="1"/>
  <c r="I71" i="13"/>
  <c r="P71" i="13" s="1"/>
  <c r="I72" i="13"/>
  <c r="P72" i="13" s="1"/>
  <c r="I73" i="13"/>
  <c r="P73" i="13" s="1"/>
  <c r="I74" i="13"/>
  <c r="P74" i="13" s="1"/>
  <c r="I75" i="13"/>
  <c r="P75" i="13" s="1"/>
  <c r="P76" i="13"/>
  <c r="I77" i="13"/>
  <c r="P77" i="13" s="1"/>
  <c r="I78" i="13"/>
  <c r="P78" i="13" s="1"/>
  <c r="I79" i="13"/>
  <c r="P79" i="13" s="1"/>
  <c r="I80" i="13"/>
  <c r="P80" i="13" s="1"/>
  <c r="I81" i="13"/>
  <c r="P81" i="13" s="1"/>
  <c r="I82" i="13"/>
  <c r="P82" i="13" s="1"/>
  <c r="I83" i="13"/>
  <c r="P83" i="13" s="1"/>
  <c r="I84" i="13"/>
  <c r="P84" i="13" s="1"/>
  <c r="I85" i="13"/>
  <c r="P85" i="13" s="1"/>
  <c r="I86" i="13"/>
  <c r="P86" i="13" s="1"/>
  <c r="I87" i="13"/>
  <c r="P87" i="13" s="1"/>
  <c r="I88" i="13"/>
  <c r="P88" i="13" s="1"/>
  <c r="I89" i="13"/>
  <c r="P89" i="13" s="1"/>
  <c r="I90" i="13"/>
  <c r="P90" i="13" s="1"/>
  <c r="I91" i="13"/>
  <c r="P91" i="13" s="1"/>
  <c r="I92" i="13"/>
  <c r="P92" i="13" s="1"/>
  <c r="I93" i="13"/>
  <c r="P93" i="13" s="1"/>
  <c r="I94" i="13"/>
  <c r="P94" i="13" s="1"/>
  <c r="I95" i="13"/>
  <c r="P95" i="13" s="1"/>
  <c r="I96" i="13"/>
  <c r="P96" i="13" s="1"/>
  <c r="I97" i="13"/>
  <c r="P97" i="13" s="1"/>
  <c r="I98" i="13"/>
  <c r="P98" i="13" s="1"/>
  <c r="I99" i="13"/>
  <c r="P99" i="13" s="1"/>
  <c r="I100" i="13"/>
  <c r="P100" i="13" s="1"/>
  <c r="I101" i="13"/>
  <c r="P101" i="13" s="1"/>
  <c r="I102" i="13"/>
  <c r="P102" i="13" s="1"/>
  <c r="I103" i="13"/>
  <c r="P103" i="13" s="1"/>
  <c r="I104" i="13"/>
  <c r="P104" i="13" s="1"/>
  <c r="I105" i="13"/>
  <c r="P105" i="13" s="1"/>
  <c r="I106" i="13"/>
  <c r="P106" i="13" s="1"/>
  <c r="I107" i="13"/>
  <c r="P107" i="13" s="1"/>
  <c r="I108" i="13"/>
  <c r="P108" i="13" s="1"/>
  <c r="I110" i="13"/>
  <c r="P110" i="13" s="1"/>
  <c r="I111" i="13"/>
  <c r="P111" i="13" s="1"/>
  <c r="I112" i="13"/>
  <c r="P112" i="13" s="1"/>
  <c r="I113" i="13"/>
  <c r="I114" i="13"/>
  <c r="I115" i="13"/>
  <c r="I116" i="13"/>
  <c r="I118" i="13"/>
  <c r="I120" i="13"/>
  <c r="I121" i="13"/>
  <c r="I122" i="13"/>
  <c r="I123" i="13"/>
  <c r="I124" i="13"/>
  <c r="I125" i="13"/>
  <c r="I126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I10" i="20" l="1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2" i="20"/>
  <c r="I63" i="20"/>
  <c r="I64" i="20"/>
  <c r="I66" i="20"/>
  <c r="I67" i="20"/>
  <c r="I68" i="20"/>
  <c r="I70" i="20"/>
  <c r="I73" i="20"/>
  <c r="I74" i="20"/>
  <c r="I75" i="20"/>
  <c r="I76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101" i="20"/>
  <c r="I102" i="20"/>
  <c r="I103" i="20"/>
  <c r="I104" i="20"/>
  <c r="I105" i="20"/>
  <c r="I106" i="20"/>
  <c r="I107" i="20"/>
  <c r="I108" i="20"/>
  <c r="I109" i="20"/>
  <c r="I110" i="20"/>
  <c r="I112" i="20"/>
  <c r="I113" i="20"/>
  <c r="I114" i="20"/>
  <c r="I119" i="20"/>
  <c r="I120" i="20"/>
  <c r="I121" i="20"/>
  <c r="I122" i="20"/>
  <c r="I123" i="20"/>
  <c r="I124" i="20"/>
  <c r="I125" i="20"/>
  <c r="I126" i="20"/>
  <c r="I127" i="20"/>
  <c r="I128" i="20"/>
  <c r="I145" i="21"/>
  <c r="I108" i="21"/>
  <c r="I111" i="21"/>
  <c r="I112" i="21"/>
  <c r="I62" i="21"/>
  <c r="I64" i="21"/>
  <c r="I65" i="21"/>
  <c r="I66" i="21"/>
  <c r="I67" i="21"/>
  <c r="I68" i="21"/>
  <c r="I69" i="21"/>
  <c r="I70" i="21"/>
  <c r="I71" i="21"/>
  <c r="I72" i="21"/>
  <c r="I73" i="21"/>
  <c r="I46" i="21"/>
  <c r="I47" i="21"/>
  <c r="I48" i="21"/>
  <c r="I49" i="21"/>
  <c r="I50" i="21"/>
  <c r="I51" i="21"/>
  <c r="I52" i="21"/>
  <c r="I53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8" i="21"/>
  <c r="I39" i="21"/>
  <c r="I40" i="21"/>
  <c r="I41" i="21"/>
  <c r="I42" i="21"/>
  <c r="I43" i="21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1" i="23"/>
  <c r="I42" i="23"/>
  <c r="I44" i="23"/>
  <c r="I45" i="23"/>
  <c r="I46" i="23"/>
  <c r="I47" i="23"/>
  <c r="I48" i="23"/>
  <c r="I49" i="23"/>
  <c r="I50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9" i="23"/>
  <c r="I130" i="23"/>
  <c r="I131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46" i="19"/>
  <c r="I47" i="19"/>
  <c r="I48" i="19"/>
  <c r="I49" i="19"/>
  <c r="I50" i="19"/>
  <c r="I51" i="19"/>
  <c r="I53" i="19"/>
  <c r="I54" i="19"/>
  <c r="I55" i="19"/>
  <c r="I56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30" i="18"/>
  <c r="I31" i="18"/>
  <c r="I32" i="18"/>
  <c r="I34" i="18"/>
  <c r="I35" i="18"/>
  <c r="I36" i="18"/>
  <c r="I37" i="18"/>
  <c r="I38" i="18"/>
  <c r="I39" i="18"/>
  <c r="I41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1" i="18"/>
  <c r="I63" i="18"/>
  <c r="I65" i="18"/>
  <c r="I66" i="18"/>
  <c r="I67" i="18"/>
  <c r="I68" i="18"/>
  <c r="I69" i="18"/>
  <c r="I70" i="18"/>
  <c r="I71" i="18"/>
  <c r="I72" i="18"/>
  <c r="I73" i="18"/>
  <c r="I74" i="18"/>
  <c r="I75" i="18"/>
  <c r="I79" i="18"/>
  <c r="I80" i="18"/>
  <c r="I81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9" i="18"/>
  <c r="I130" i="18"/>
  <c r="I131" i="18"/>
  <c r="I132" i="18"/>
  <c r="I137" i="18"/>
  <c r="I138" i="18"/>
  <c r="I139" i="18"/>
  <c r="I140" i="18"/>
  <c r="I141" i="18"/>
  <c r="I142" i="18"/>
  <c r="I143" i="18"/>
  <c r="I144" i="18"/>
  <c r="I145" i="18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30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7" i="15"/>
  <c r="I58" i="15"/>
  <c r="I59" i="15"/>
  <c r="I60" i="15"/>
  <c r="I63" i="15"/>
  <c r="I64" i="15"/>
  <c r="I65" i="15"/>
  <c r="I66" i="15"/>
  <c r="I67" i="15"/>
  <c r="I68" i="15"/>
  <c r="I69" i="15"/>
  <c r="I70" i="15"/>
  <c r="I71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7" i="15"/>
  <c r="I118" i="15"/>
  <c r="I119" i="15"/>
  <c r="I120" i="15"/>
  <c r="I121" i="15"/>
  <c r="I140" i="13"/>
  <c r="I141" i="13"/>
  <c r="I142" i="13"/>
  <c r="I143" i="13"/>
  <c r="I144" i="13"/>
  <c r="I145" i="13"/>
  <c r="O89" i="16"/>
  <c r="O85" i="16"/>
  <c r="O81" i="16"/>
  <c r="O41" i="16"/>
  <c r="O38" i="16"/>
  <c r="H109" i="16"/>
  <c r="H110" i="16"/>
  <c r="H111" i="16"/>
  <c r="G40" i="16"/>
  <c r="H49" i="16" l="1"/>
  <c r="H46" i="16"/>
  <c r="J29" i="16"/>
  <c r="J14" i="16"/>
  <c r="I11" i="16"/>
  <c r="I12" i="16"/>
  <c r="I13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H19" i="22" l="1"/>
  <c r="B19" i="22"/>
  <c r="H18" i="22"/>
  <c r="B18" i="22"/>
  <c r="H20" i="22"/>
  <c r="B20" i="22"/>
  <c r="I75" i="12" l="1"/>
  <c r="H75" i="12"/>
  <c r="G117" i="12"/>
  <c r="G118" i="12"/>
  <c r="G122" i="12"/>
  <c r="G123" i="12"/>
  <c r="G127" i="12"/>
  <c r="G121" i="12"/>
  <c r="G125" i="12"/>
  <c r="G119" i="12"/>
  <c r="G120" i="12"/>
  <c r="G124" i="12"/>
  <c r="G128" i="12"/>
  <c r="G129" i="12"/>
  <c r="G126" i="12"/>
  <c r="I117" i="12"/>
  <c r="P117" i="12" s="1"/>
  <c r="I118" i="12"/>
  <c r="P118" i="12" s="1"/>
  <c r="I122" i="12"/>
  <c r="P122" i="12" s="1"/>
  <c r="I123" i="12"/>
  <c r="P123" i="12" s="1"/>
  <c r="I127" i="12"/>
  <c r="P127" i="12" s="1"/>
  <c r="I121" i="12"/>
  <c r="P121" i="12" s="1"/>
  <c r="I125" i="12"/>
  <c r="P125" i="12" s="1"/>
  <c r="I119" i="12"/>
  <c r="P119" i="12" s="1"/>
  <c r="I120" i="12"/>
  <c r="P120" i="12" s="1"/>
  <c r="I124" i="12"/>
  <c r="P124" i="12" s="1"/>
  <c r="I128" i="12"/>
  <c r="P128" i="12" s="1"/>
  <c r="I129" i="12"/>
  <c r="P129" i="12" s="1"/>
  <c r="I126" i="12"/>
  <c r="P126" i="12" s="1"/>
  <c r="Q117" i="12"/>
  <c r="Q118" i="12"/>
  <c r="Q122" i="12"/>
  <c r="Q123" i="12"/>
  <c r="Q127" i="12"/>
  <c r="Q121" i="12"/>
  <c r="Q125" i="12"/>
  <c r="Q119" i="12"/>
  <c r="Q120" i="12"/>
  <c r="Q124" i="12"/>
  <c r="Q128" i="12"/>
  <c r="Q129" i="12"/>
  <c r="Q126" i="12"/>
  <c r="R117" i="12"/>
  <c r="R118" i="12"/>
  <c r="R122" i="12"/>
  <c r="R123" i="12"/>
  <c r="R127" i="12"/>
  <c r="R121" i="12"/>
  <c r="R125" i="12"/>
  <c r="R119" i="12"/>
  <c r="R120" i="12"/>
  <c r="R124" i="12"/>
  <c r="R128" i="12"/>
  <c r="R129" i="12"/>
  <c r="R126" i="12"/>
  <c r="K74" i="12"/>
  <c r="J38" i="12"/>
  <c r="J20" i="12"/>
  <c r="G29" i="11" l="1"/>
  <c r="P29" i="11"/>
  <c r="Q29" i="11"/>
  <c r="R29" i="11"/>
  <c r="H23" i="11"/>
  <c r="H120" i="11" l="1"/>
  <c r="K118" i="11" l="1"/>
  <c r="K78" i="11"/>
  <c r="K74" i="11"/>
  <c r="K11" i="11"/>
  <c r="J45" i="11"/>
  <c r="J9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4" i="11"/>
  <c r="I58" i="11"/>
  <c r="I59" i="11"/>
  <c r="I60" i="11"/>
  <c r="I61" i="11"/>
  <c r="I62" i="11"/>
  <c r="I63" i="11"/>
  <c r="I64" i="11"/>
  <c r="I65" i="11"/>
  <c r="I15" i="11"/>
  <c r="I16" i="11"/>
  <c r="I66" i="11"/>
  <c r="I67" i="11"/>
  <c r="I68" i="11"/>
  <c r="I69" i="11"/>
  <c r="I70" i="11"/>
  <c r="I71" i="11"/>
  <c r="I31" i="11"/>
  <c r="G118" i="10" l="1"/>
  <c r="G119" i="10"/>
  <c r="I118" i="10"/>
  <c r="P118" i="10" s="1"/>
  <c r="P119" i="10"/>
  <c r="Q118" i="10"/>
  <c r="Q119" i="10"/>
  <c r="R118" i="10"/>
  <c r="R119" i="10"/>
  <c r="G117" i="10"/>
  <c r="I117" i="10"/>
  <c r="P117" i="10" s="1"/>
  <c r="Q117" i="10"/>
  <c r="R117" i="10"/>
  <c r="H114" i="10"/>
  <c r="I114" i="10" s="1"/>
  <c r="P114" i="10" s="1"/>
  <c r="G114" i="10"/>
  <c r="G115" i="10"/>
  <c r="G116" i="10"/>
  <c r="I115" i="10"/>
  <c r="P115" i="10" s="1"/>
  <c r="I116" i="10"/>
  <c r="P116" i="10" s="1"/>
  <c r="Q114" i="10"/>
  <c r="Q115" i="10"/>
  <c r="Q116" i="10"/>
  <c r="R114" i="10"/>
  <c r="R115" i="10"/>
  <c r="R116" i="10"/>
  <c r="G120" i="10"/>
  <c r="I120" i="10"/>
  <c r="P120" i="10" s="1"/>
  <c r="Q120" i="10"/>
  <c r="R120" i="10"/>
  <c r="K100" i="10" l="1"/>
  <c r="K36" i="10"/>
  <c r="J34" i="10"/>
  <c r="J11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I84" i="10"/>
  <c r="P84" i="10" s="1"/>
  <c r="I85" i="10"/>
  <c r="P85" i="10" s="1"/>
  <c r="I86" i="10"/>
  <c r="I87" i="10"/>
  <c r="P87" i="10" s="1"/>
  <c r="I88" i="10"/>
  <c r="P88" i="10" s="1"/>
  <c r="I89" i="10"/>
  <c r="P89" i="10" s="1"/>
  <c r="I90" i="10"/>
  <c r="P90" i="10" s="1"/>
  <c r="I91" i="10"/>
  <c r="P91" i="10" s="1"/>
  <c r="I92" i="10"/>
  <c r="P92" i="10" s="1"/>
  <c r="I93" i="10"/>
  <c r="P93" i="10" s="1"/>
  <c r="I94" i="10"/>
  <c r="P94" i="10" s="1"/>
  <c r="I95" i="10"/>
  <c r="P95" i="10" s="1"/>
  <c r="I96" i="10"/>
  <c r="P96" i="10" s="1"/>
  <c r="I97" i="10"/>
  <c r="P97" i="10" s="1"/>
  <c r="I98" i="10"/>
  <c r="P98" i="10" s="1"/>
  <c r="I99" i="10"/>
  <c r="P99" i="10" s="1"/>
  <c r="P100" i="10"/>
  <c r="I101" i="10"/>
  <c r="P101" i="10" s="1"/>
  <c r="I102" i="10"/>
  <c r="P102" i="10" s="1"/>
  <c r="I103" i="10"/>
  <c r="P103" i="10" s="1"/>
  <c r="I104" i="10"/>
  <c r="P104" i="10" s="1"/>
  <c r="I105" i="10"/>
  <c r="P105" i="10" s="1"/>
  <c r="I106" i="10"/>
  <c r="P106" i="10" s="1"/>
  <c r="I107" i="10"/>
  <c r="P107" i="10" s="1"/>
  <c r="I108" i="10"/>
  <c r="P108" i="10" s="1"/>
  <c r="I109" i="10"/>
  <c r="P109" i="10" s="1"/>
  <c r="I110" i="10"/>
  <c r="P110" i="10" s="1"/>
  <c r="I111" i="10"/>
  <c r="P111" i="10" s="1"/>
  <c r="I112" i="10"/>
  <c r="P112" i="10" s="1"/>
  <c r="I113" i="10"/>
  <c r="P113" i="10" s="1"/>
  <c r="P86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I10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5" i="10"/>
  <c r="I37" i="10"/>
  <c r="I38" i="10"/>
  <c r="I39" i="10"/>
  <c r="I40" i="10"/>
  <c r="I41" i="10"/>
  <c r="I42" i="10"/>
  <c r="I43" i="10"/>
  <c r="I44" i="10"/>
  <c r="I46" i="10"/>
  <c r="I47" i="10"/>
  <c r="I48" i="10"/>
  <c r="I49" i="10"/>
  <c r="I50" i="10"/>
  <c r="O119" i="2" l="1"/>
  <c r="G119" i="2"/>
  <c r="G120" i="2"/>
  <c r="I119" i="2"/>
  <c r="I120" i="2"/>
  <c r="P120" i="2" s="1"/>
  <c r="Q119" i="2"/>
  <c r="Q120" i="2"/>
  <c r="R119" i="2"/>
  <c r="R120" i="2"/>
  <c r="P119" i="2" l="1"/>
  <c r="I117" i="2"/>
  <c r="K92" i="2"/>
  <c r="K41" i="2"/>
  <c r="J34" i="2"/>
  <c r="J15" i="2"/>
  <c r="I11" i="2" l="1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5" i="2"/>
  <c r="I36" i="2"/>
  <c r="I37" i="2"/>
  <c r="I38" i="2"/>
  <c r="I39" i="2"/>
  <c r="I40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8" i="2"/>
  <c r="I121" i="2"/>
  <c r="I9" i="2"/>
  <c r="G127" i="20"/>
  <c r="P127" i="20"/>
  <c r="Q127" i="20"/>
  <c r="R127" i="20"/>
  <c r="G125" i="20" l="1"/>
  <c r="P125" i="20"/>
  <c r="Q125" i="20"/>
  <c r="R125" i="20"/>
  <c r="G126" i="20"/>
  <c r="P126" i="20"/>
  <c r="Q126" i="20"/>
  <c r="R126" i="20"/>
  <c r="G128" i="20"/>
  <c r="P128" i="20"/>
  <c r="Q128" i="20"/>
  <c r="R128" i="20"/>
  <c r="H136" i="20" l="1"/>
  <c r="H137" i="20"/>
  <c r="H138" i="20"/>
  <c r="I22" i="22"/>
  <c r="J22" i="22"/>
  <c r="G22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1" i="22"/>
  <c r="H3" i="22"/>
  <c r="C22" i="22"/>
  <c r="D22" i="22"/>
  <c r="A2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21" i="22"/>
  <c r="B2" i="22"/>
  <c r="J129" i="20"/>
  <c r="G88" i="20"/>
  <c r="Q88" i="20"/>
  <c r="R88" i="20"/>
  <c r="G89" i="20"/>
  <c r="P89" i="20"/>
  <c r="Q89" i="20"/>
  <c r="R89" i="20"/>
  <c r="G90" i="20"/>
  <c r="Q90" i="20"/>
  <c r="R90" i="20"/>
  <c r="G101" i="20"/>
  <c r="P101" i="20"/>
  <c r="Q101" i="20"/>
  <c r="R101" i="20"/>
  <c r="G102" i="20"/>
  <c r="Q102" i="20"/>
  <c r="R102" i="20"/>
  <c r="G103" i="20"/>
  <c r="P103" i="20"/>
  <c r="Q103" i="20"/>
  <c r="R103" i="20"/>
  <c r="G104" i="20"/>
  <c r="P104" i="20"/>
  <c r="Q104" i="20"/>
  <c r="R104" i="20"/>
  <c r="G105" i="20"/>
  <c r="P105" i="20"/>
  <c r="Q105" i="20"/>
  <c r="R105" i="20"/>
  <c r="G106" i="20"/>
  <c r="Q106" i="20"/>
  <c r="R106" i="20"/>
  <c r="G107" i="20"/>
  <c r="P107" i="20"/>
  <c r="Q107" i="20"/>
  <c r="R107" i="20"/>
  <c r="G108" i="20"/>
  <c r="Q108" i="20"/>
  <c r="R108" i="20"/>
  <c r="G109" i="20"/>
  <c r="P109" i="20"/>
  <c r="Q109" i="20"/>
  <c r="R109" i="20"/>
  <c r="G110" i="20"/>
  <c r="Q110" i="20"/>
  <c r="R110" i="20"/>
  <c r="G111" i="20"/>
  <c r="P111" i="20"/>
  <c r="Q111" i="20"/>
  <c r="R111" i="20"/>
  <c r="G112" i="20"/>
  <c r="Q112" i="20"/>
  <c r="R112" i="20"/>
  <c r="G113" i="20"/>
  <c r="Q113" i="20"/>
  <c r="R113" i="20"/>
  <c r="G114" i="20"/>
  <c r="Q114" i="20"/>
  <c r="R114" i="20"/>
  <c r="G115" i="20"/>
  <c r="P115" i="20"/>
  <c r="Q115" i="20"/>
  <c r="R115" i="20"/>
  <c r="G116" i="20"/>
  <c r="P116" i="20"/>
  <c r="Q116" i="20"/>
  <c r="R116" i="20"/>
  <c r="G117" i="20"/>
  <c r="Q117" i="20"/>
  <c r="R117" i="20"/>
  <c r="G118" i="20"/>
  <c r="Q118" i="20"/>
  <c r="R118" i="20"/>
  <c r="G119" i="20"/>
  <c r="P119" i="20"/>
  <c r="Q119" i="20"/>
  <c r="R119" i="20"/>
  <c r="G120" i="20"/>
  <c r="P120" i="20"/>
  <c r="Q120" i="20"/>
  <c r="R120" i="20"/>
  <c r="G121" i="20"/>
  <c r="P121" i="20"/>
  <c r="Q121" i="20"/>
  <c r="R121" i="20"/>
  <c r="G122" i="20"/>
  <c r="Q122" i="20"/>
  <c r="R122" i="20"/>
  <c r="G123" i="20"/>
  <c r="P123" i="20"/>
  <c r="Q123" i="20"/>
  <c r="R123" i="20"/>
  <c r="G124" i="20"/>
  <c r="P124" i="20"/>
  <c r="Q124" i="20"/>
  <c r="R124" i="20"/>
  <c r="B22" i="22" l="1"/>
  <c r="H22" i="22"/>
  <c r="K129" i="20"/>
  <c r="P110" i="20"/>
  <c r="P122" i="20"/>
  <c r="P106" i="20"/>
  <c r="P118" i="20"/>
  <c r="P117" i="20"/>
  <c r="P102" i="20"/>
  <c r="P88" i="20"/>
  <c r="P114" i="20"/>
  <c r="P113" i="20"/>
  <c r="P90" i="20"/>
  <c r="P112" i="20"/>
  <c r="P108" i="20"/>
  <c r="I144" i="21" l="1"/>
  <c r="H174" i="21" l="1"/>
  <c r="H175" i="21"/>
  <c r="H176" i="21"/>
  <c r="H177" i="21"/>
  <c r="H178" i="21"/>
  <c r="J174" i="21"/>
  <c r="J175" i="21"/>
  <c r="J176" i="21"/>
  <c r="J177" i="21"/>
  <c r="J178" i="21"/>
  <c r="K174" i="21"/>
  <c r="K175" i="21"/>
  <c r="K176" i="21"/>
  <c r="K177" i="21"/>
  <c r="K178" i="21"/>
  <c r="I107" i="21"/>
  <c r="I44" i="21"/>
  <c r="I45" i="21"/>
  <c r="I54" i="21"/>
  <c r="I55" i="21"/>
  <c r="I56" i="21"/>
  <c r="I57" i="21"/>
  <c r="I58" i="21"/>
  <c r="I59" i="21"/>
  <c r="I60" i="21"/>
  <c r="I61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105" i="21"/>
  <c r="I106" i="21"/>
  <c r="I113" i="21"/>
  <c r="I114" i="21"/>
  <c r="I115" i="21"/>
  <c r="I118" i="21"/>
  <c r="I119" i="21"/>
  <c r="I120" i="21"/>
  <c r="I121" i="21"/>
  <c r="I122" i="21"/>
  <c r="I123" i="21"/>
  <c r="I124" i="21"/>
  <c r="I125" i="21"/>
  <c r="I127" i="21"/>
  <c r="I128" i="21"/>
  <c r="I129" i="21"/>
  <c r="I130" i="21"/>
  <c r="I131" i="21"/>
  <c r="I132" i="21"/>
  <c r="I133" i="21"/>
  <c r="I134" i="21"/>
  <c r="I135" i="21"/>
  <c r="G253" i="23" l="1"/>
  <c r="G252" i="23"/>
  <c r="G251" i="23"/>
  <c r="G250" i="23"/>
  <c r="G249" i="23"/>
  <c r="M239" i="23"/>
  <c r="K239" i="23"/>
  <c r="J239" i="23"/>
  <c r="I239" i="23"/>
  <c r="H239" i="23"/>
  <c r="L238" i="23"/>
  <c r="L237" i="23"/>
  <c r="L236" i="23"/>
  <c r="L235" i="23"/>
  <c r="L234" i="23"/>
  <c r="L233" i="23"/>
  <c r="G233" i="23"/>
  <c r="M228" i="23"/>
  <c r="K228" i="23"/>
  <c r="J228" i="23"/>
  <c r="H228" i="23"/>
  <c r="J4" i="23" s="1"/>
  <c r="I227" i="23"/>
  <c r="L227" i="23" s="1"/>
  <c r="G227" i="23"/>
  <c r="I226" i="23"/>
  <c r="L226" i="23" s="1"/>
  <c r="G226" i="23"/>
  <c r="I225" i="23"/>
  <c r="L225" i="23" s="1"/>
  <c r="G225" i="23"/>
  <c r="I224" i="23"/>
  <c r="L224" i="23" s="1"/>
  <c r="G224" i="23"/>
  <c r="I223" i="23"/>
  <c r="L223" i="23" s="1"/>
  <c r="G223" i="23"/>
  <c r="I222" i="23"/>
  <c r="L222" i="23" s="1"/>
  <c r="G222" i="23"/>
  <c r="I221" i="23"/>
  <c r="L221" i="23" s="1"/>
  <c r="G221" i="23"/>
  <c r="I220" i="23"/>
  <c r="L220" i="23" s="1"/>
  <c r="G220" i="23"/>
  <c r="I219" i="23"/>
  <c r="L219" i="23" s="1"/>
  <c r="G219" i="23"/>
  <c r="I209" i="23"/>
  <c r="K208" i="23"/>
  <c r="J208" i="23"/>
  <c r="H208" i="23"/>
  <c r="K207" i="23"/>
  <c r="J207" i="23"/>
  <c r="H207" i="23"/>
  <c r="K206" i="23"/>
  <c r="J206" i="23"/>
  <c r="H206" i="23"/>
  <c r="K205" i="23"/>
  <c r="J205" i="23"/>
  <c r="H205" i="23"/>
  <c r="K204" i="23"/>
  <c r="J204" i="23"/>
  <c r="H204" i="23"/>
  <c r="K203" i="23"/>
  <c r="J203" i="23"/>
  <c r="H203" i="23"/>
  <c r="K202" i="23"/>
  <c r="J202" i="23"/>
  <c r="H202" i="23"/>
  <c r="K201" i="23"/>
  <c r="J201" i="23"/>
  <c r="H201" i="23"/>
  <c r="K200" i="23"/>
  <c r="J200" i="23"/>
  <c r="H200" i="23"/>
  <c r="K199" i="23"/>
  <c r="J199" i="23"/>
  <c r="H199" i="23"/>
  <c r="K198" i="23"/>
  <c r="J198" i="23"/>
  <c r="H198" i="23"/>
  <c r="K197" i="23"/>
  <c r="J197" i="23"/>
  <c r="H197" i="23"/>
  <c r="K196" i="23"/>
  <c r="J196" i="23"/>
  <c r="H196" i="23"/>
  <c r="K195" i="23"/>
  <c r="J195" i="23"/>
  <c r="H195" i="23"/>
  <c r="K194" i="23"/>
  <c r="J194" i="23"/>
  <c r="H194" i="23"/>
  <c r="K193" i="23"/>
  <c r="J193" i="23"/>
  <c r="H193" i="23"/>
  <c r="K192" i="23"/>
  <c r="J192" i="23"/>
  <c r="H192" i="23"/>
  <c r="K191" i="23"/>
  <c r="J191" i="23"/>
  <c r="H191" i="23"/>
  <c r="K190" i="23"/>
  <c r="J190" i="23"/>
  <c r="H190" i="23"/>
  <c r="K189" i="23"/>
  <c r="J189" i="23"/>
  <c r="H189" i="23"/>
  <c r="K188" i="23"/>
  <c r="J188" i="23"/>
  <c r="H188" i="23"/>
  <c r="K187" i="23"/>
  <c r="J187" i="23"/>
  <c r="H187" i="23"/>
  <c r="K186" i="23"/>
  <c r="J186" i="23"/>
  <c r="H186" i="23"/>
  <c r="K185" i="23"/>
  <c r="J185" i="23"/>
  <c r="H185" i="23"/>
  <c r="K184" i="23"/>
  <c r="J184" i="23"/>
  <c r="H184" i="23"/>
  <c r="K183" i="23"/>
  <c r="J183" i="23"/>
  <c r="H183" i="23"/>
  <c r="K182" i="23"/>
  <c r="J182" i="23"/>
  <c r="H182" i="23"/>
  <c r="K181" i="23"/>
  <c r="J181" i="23"/>
  <c r="H181" i="23"/>
  <c r="K180" i="23"/>
  <c r="J180" i="23"/>
  <c r="H180" i="23"/>
  <c r="K179" i="23"/>
  <c r="J179" i="23"/>
  <c r="H179" i="23"/>
  <c r="K178" i="23"/>
  <c r="J178" i="23"/>
  <c r="H178" i="23"/>
  <c r="K177" i="23"/>
  <c r="J177" i="23"/>
  <c r="H177" i="23"/>
  <c r="K176" i="23"/>
  <c r="J176" i="23"/>
  <c r="H176" i="23"/>
  <c r="K175" i="23"/>
  <c r="J175" i="23"/>
  <c r="H175" i="23"/>
  <c r="K174" i="23"/>
  <c r="J174" i="23"/>
  <c r="H174" i="23"/>
  <c r="K173" i="23"/>
  <c r="J173" i="23"/>
  <c r="H173" i="23"/>
  <c r="K172" i="23"/>
  <c r="J172" i="23"/>
  <c r="H172" i="23"/>
  <c r="K171" i="23"/>
  <c r="J171" i="23"/>
  <c r="H171" i="23"/>
  <c r="K170" i="23"/>
  <c r="J170" i="23"/>
  <c r="H170" i="23"/>
  <c r="K169" i="23"/>
  <c r="J169" i="23"/>
  <c r="H169" i="23"/>
  <c r="K168" i="23"/>
  <c r="J168" i="23"/>
  <c r="H168" i="23"/>
  <c r="K167" i="23"/>
  <c r="J167" i="23"/>
  <c r="H167" i="23"/>
  <c r="L161" i="23"/>
  <c r="K161" i="23"/>
  <c r="J161" i="23"/>
  <c r="I161" i="23"/>
  <c r="G161" i="23"/>
  <c r="H160" i="23"/>
  <c r="H159" i="23"/>
  <c r="H158" i="23"/>
  <c r="N151" i="23"/>
  <c r="M151" i="23"/>
  <c r="L151" i="23"/>
  <c r="H151" i="23"/>
  <c r="R150" i="23"/>
  <c r="Q150" i="23"/>
  <c r="I150" i="23"/>
  <c r="P150" i="23" s="1"/>
  <c r="G150" i="23"/>
  <c r="R149" i="23"/>
  <c r="Q149" i="23"/>
  <c r="I149" i="23"/>
  <c r="P149" i="23" s="1"/>
  <c r="G149" i="23"/>
  <c r="R116" i="23"/>
  <c r="Q116" i="23"/>
  <c r="P116" i="23"/>
  <c r="G116" i="23"/>
  <c r="R136" i="23"/>
  <c r="Q136" i="23"/>
  <c r="P136" i="23"/>
  <c r="G136" i="23"/>
  <c r="R49" i="23"/>
  <c r="Q49" i="23"/>
  <c r="P49" i="23"/>
  <c r="G49" i="23"/>
  <c r="R140" i="23"/>
  <c r="Q140" i="23"/>
  <c r="P140" i="23"/>
  <c r="G140" i="23"/>
  <c r="R146" i="23"/>
  <c r="Q146" i="23"/>
  <c r="P146" i="23"/>
  <c r="G146" i="23"/>
  <c r="R144" i="23"/>
  <c r="Q144" i="23"/>
  <c r="P144" i="23"/>
  <c r="G144" i="23"/>
  <c r="R145" i="23"/>
  <c r="Q145" i="23"/>
  <c r="P145" i="23"/>
  <c r="G145" i="23"/>
  <c r="R141" i="23"/>
  <c r="Q141" i="23"/>
  <c r="P141" i="23"/>
  <c r="G141" i="23"/>
  <c r="R148" i="23"/>
  <c r="Q148" i="23"/>
  <c r="I148" i="23"/>
  <c r="P148" i="23" s="1"/>
  <c r="G148" i="23"/>
  <c r="R142" i="23"/>
  <c r="Q142" i="23"/>
  <c r="P142" i="23"/>
  <c r="G142" i="23"/>
  <c r="R143" i="23"/>
  <c r="Q143" i="23"/>
  <c r="P143" i="23"/>
  <c r="G143" i="23"/>
  <c r="R147" i="23"/>
  <c r="Q147" i="23"/>
  <c r="P147" i="23"/>
  <c r="G147" i="23"/>
  <c r="R135" i="23"/>
  <c r="Q135" i="23"/>
  <c r="P135" i="23"/>
  <c r="G135" i="23"/>
  <c r="R138" i="23"/>
  <c r="Q138" i="23"/>
  <c r="P138" i="23"/>
  <c r="G138" i="23"/>
  <c r="R137" i="23"/>
  <c r="Q137" i="23"/>
  <c r="P137" i="23"/>
  <c r="G137" i="23"/>
  <c r="R139" i="23"/>
  <c r="Q139" i="23"/>
  <c r="P139" i="23"/>
  <c r="G139" i="23"/>
  <c r="R133" i="23"/>
  <c r="Q133" i="23"/>
  <c r="G133" i="23"/>
  <c r="R131" i="23"/>
  <c r="Q131" i="23"/>
  <c r="G131" i="23"/>
  <c r="R132" i="23"/>
  <c r="Q132" i="23"/>
  <c r="G132" i="23"/>
  <c r="R134" i="23"/>
  <c r="Q134" i="23"/>
  <c r="P134" i="23"/>
  <c r="G134" i="23"/>
  <c r="R129" i="23"/>
  <c r="Q129" i="23"/>
  <c r="P129" i="23"/>
  <c r="G129" i="23"/>
  <c r="R130" i="23"/>
  <c r="Q130" i="23"/>
  <c r="P130" i="23"/>
  <c r="G130" i="23"/>
  <c r="R128" i="23"/>
  <c r="Q128" i="23"/>
  <c r="P128" i="23"/>
  <c r="G128" i="23"/>
  <c r="R127" i="23"/>
  <c r="Q127" i="23"/>
  <c r="P127" i="23"/>
  <c r="G127" i="23"/>
  <c r="R126" i="23"/>
  <c r="Q126" i="23"/>
  <c r="P126" i="23"/>
  <c r="G126" i="23"/>
  <c r="R125" i="23"/>
  <c r="Q125" i="23"/>
  <c r="P125" i="23"/>
  <c r="G125" i="23"/>
  <c r="R121" i="23"/>
  <c r="Q121" i="23"/>
  <c r="P121" i="23"/>
  <c r="G121" i="23"/>
  <c r="R119" i="23"/>
  <c r="Q119" i="23"/>
  <c r="P119" i="23"/>
  <c r="G119" i="23"/>
  <c r="R123" i="23"/>
  <c r="Q123" i="23"/>
  <c r="P123" i="23"/>
  <c r="G123" i="23"/>
  <c r="R120" i="23"/>
  <c r="Q120" i="23"/>
  <c r="P120" i="23"/>
  <c r="G120" i="23"/>
  <c r="R124" i="23"/>
  <c r="Q124" i="23"/>
  <c r="P124" i="23"/>
  <c r="G124" i="23"/>
  <c r="R122" i="23"/>
  <c r="Q122" i="23"/>
  <c r="P122" i="23"/>
  <c r="G122" i="23"/>
  <c r="R115" i="23"/>
  <c r="Q115" i="23"/>
  <c r="P115" i="23"/>
  <c r="G115" i="23"/>
  <c r="R114" i="23"/>
  <c r="Q114" i="23"/>
  <c r="P114" i="23"/>
  <c r="G114" i="23"/>
  <c r="R118" i="23"/>
  <c r="Q118" i="23"/>
  <c r="P118" i="23"/>
  <c r="G118" i="23"/>
  <c r="R117" i="23"/>
  <c r="Q117" i="23"/>
  <c r="P117" i="23"/>
  <c r="G117" i="23"/>
  <c r="R111" i="23"/>
  <c r="Q111" i="23"/>
  <c r="P111" i="23"/>
  <c r="G111" i="23"/>
  <c r="R113" i="23"/>
  <c r="Q113" i="23"/>
  <c r="P113" i="23"/>
  <c r="G113" i="23"/>
  <c r="R112" i="23"/>
  <c r="Q112" i="23"/>
  <c r="P112" i="23"/>
  <c r="G112" i="23"/>
  <c r="R108" i="23"/>
  <c r="Q108" i="23"/>
  <c r="G108" i="23"/>
  <c r="R109" i="23"/>
  <c r="Q109" i="23"/>
  <c r="G109" i="23"/>
  <c r="R110" i="23"/>
  <c r="Q110" i="23"/>
  <c r="P110" i="23"/>
  <c r="G110" i="23"/>
  <c r="R107" i="23"/>
  <c r="Q107" i="23"/>
  <c r="P107" i="23"/>
  <c r="G107" i="23"/>
  <c r="R106" i="23"/>
  <c r="Q106" i="23"/>
  <c r="P106" i="23"/>
  <c r="G106" i="23"/>
  <c r="R100" i="23"/>
  <c r="Q100" i="23"/>
  <c r="P100" i="23"/>
  <c r="G100" i="23"/>
  <c r="R105" i="23"/>
  <c r="Q105" i="23"/>
  <c r="P105" i="23"/>
  <c r="G105" i="23"/>
  <c r="R103" i="23"/>
  <c r="Q103" i="23"/>
  <c r="P103" i="23"/>
  <c r="G103" i="23"/>
  <c r="R102" i="23"/>
  <c r="Q102" i="23"/>
  <c r="P102" i="23"/>
  <c r="G102" i="23"/>
  <c r="R101" i="23"/>
  <c r="Q101" i="23"/>
  <c r="P101" i="23"/>
  <c r="G101" i="23"/>
  <c r="R104" i="23"/>
  <c r="Q104" i="23"/>
  <c r="P104" i="23"/>
  <c r="G104" i="23"/>
  <c r="R99" i="23"/>
  <c r="Q99" i="23"/>
  <c r="P99" i="23"/>
  <c r="G99" i="23"/>
  <c r="R98" i="23"/>
  <c r="Q98" i="23"/>
  <c r="P98" i="23"/>
  <c r="G98" i="23"/>
  <c r="R96" i="23"/>
  <c r="Q96" i="23"/>
  <c r="G96" i="23"/>
  <c r="R97" i="23"/>
  <c r="Q97" i="23"/>
  <c r="P97" i="23"/>
  <c r="G97" i="23"/>
  <c r="R48" i="23"/>
  <c r="Q48" i="23"/>
  <c r="P48" i="23"/>
  <c r="G48" i="23"/>
  <c r="R47" i="23"/>
  <c r="Q47" i="23"/>
  <c r="P47" i="23"/>
  <c r="G47" i="23"/>
  <c r="R94" i="23"/>
  <c r="Q94" i="23"/>
  <c r="P94" i="23"/>
  <c r="G94" i="23"/>
  <c r="R50" i="23"/>
  <c r="Q50" i="23"/>
  <c r="P50" i="23"/>
  <c r="G50" i="23"/>
  <c r="R95" i="23"/>
  <c r="Q95" i="23"/>
  <c r="P95" i="23"/>
  <c r="G95" i="23"/>
  <c r="R46" i="23"/>
  <c r="Q46" i="23"/>
  <c r="P46" i="23"/>
  <c r="G46" i="23"/>
  <c r="R45" i="23"/>
  <c r="Q45" i="23"/>
  <c r="G45" i="23"/>
  <c r="R43" i="23"/>
  <c r="Q43" i="23"/>
  <c r="P43" i="23"/>
  <c r="G43" i="23"/>
  <c r="R44" i="23"/>
  <c r="Q44" i="23"/>
  <c r="P44" i="23"/>
  <c r="G44" i="23"/>
  <c r="R40" i="23"/>
  <c r="Q40" i="23"/>
  <c r="P40" i="23"/>
  <c r="G40" i="23"/>
  <c r="R41" i="23"/>
  <c r="Q41" i="23"/>
  <c r="P41" i="23"/>
  <c r="G41" i="23"/>
  <c r="R42" i="23"/>
  <c r="Q42" i="23"/>
  <c r="P42" i="23"/>
  <c r="G42" i="23"/>
  <c r="R38" i="23"/>
  <c r="Q38" i="23"/>
  <c r="G38" i="23"/>
  <c r="R35" i="23"/>
  <c r="Q35" i="23"/>
  <c r="P35" i="23"/>
  <c r="G35" i="23"/>
  <c r="R39" i="23"/>
  <c r="Q39" i="23"/>
  <c r="P39" i="23"/>
  <c r="G39" i="23"/>
  <c r="R37" i="23"/>
  <c r="Q37" i="23"/>
  <c r="P37" i="23"/>
  <c r="G37" i="23"/>
  <c r="R36" i="23"/>
  <c r="Q36" i="23"/>
  <c r="P36" i="23"/>
  <c r="G36" i="23"/>
  <c r="R34" i="23"/>
  <c r="Q34" i="23"/>
  <c r="P34" i="23"/>
  <c r="G34" i="23"/>
  <c r="R32" i="23"/>
  <c r="Q32" i="23"/>
  <c r="P32" i="23"/>
  <c r="G32" i="23"/>
  <c r="R33" i="23"/>
  <c r="Q33" i="23"/>
  <c r="P33" i="23"/>
  <c r="G33" i="23"/>
  <c r="R31" i="23"/>
  <c r="Q31" i="23"/>
  <c r="P31" i="23"/>
  <c r="G31" i="23"/>
  <c r="R29" i="23"/>
  <c r="Q29" i="23"/>
  <c r="P29" i="23"/>
  <c r="G29" i="23"/>
  <c r="R30" i="23"/>
  <c r="Q30" i="23"/>
  <c r="P30" i="23"/>
  <c r="G30" i="23"/>
  <c r="R28" i="23"/>
  <c r="Q28" i="23"/>
  <c r="P28" i="23"/>
  <c r="G28" i="23"/>
  <c r="R24" i="23"/>
  <c r="Q24" i="23"/>
  <c r="P24" i="23"/>
  <c r="G24" i="23"/>
  <c r="R22" i="23"/>
  <c r="Q22" i="23"/>
  <c r="P22" i="23"/>
  <c r="G22" i="23"/>
  <c r="R27" i="23"/>
  <c r="Q27" i="23"/>
  <c r="P27" i="23"/>
  <c r="G27" i="23"/>
  <c r="R23" i="23"/>
  <c r="Q23" i="23"/>
  <c r="P23" i="23"/>
  <c r="G23" i="23"/>
  <c r="R26" i="23"/>
  <c r="Q26" i="23"/>
  <c r="P26" i="23"/>
  <c r="G26" i="23"/>
  <c r="R25" i="23"/>
  <c r="Q25" i="23"/>
  <c r="P25" i="23"/>
  <c r="G25" i="23"/>
  <c r="R20" i="23"/>
  <c r="Q20" i="23"/>
  <c r="G20" i="23"/>
  <c r="R18" i="23"/>
  <c r="Q18" i="23"/>
  <c r="P18" i="23"/>
  <c r="G18" i="23"/>
  <c r="R21" i="23"/>
  <c r="Q21" i="23"/>
  <c r="P21" i="23"/>
  <c r="G21" i="23"/>
  <c r="R19" i="23"/>
  <c r="Q19" i="23"/>
  <c r="P19" i="23"/>
  <c r="G19" i="23"/>
  <c r="R12" i="23"/>
  <c r="Q12" i="23"/>
  <c r="P12" i="23"/>
  <c r="G12" i="23"/>
  <c r="R14" i="23"/>
  <c r="Q14" i="23"/>
  <c r="P14" i="23"/>
  <c r="G14" i="23"/>
  <c r="R17" i="23"/>
  <c r="Q17" i="23"/>
  <c r="P17" i="23"/>
  <c r="G17" i="23"/>
  <c r="R16" i="23"/>
  <c r="Q16" i="23"/>
  <c r="P16" i="23"/>
  <c r="G16" i="23"/>
  <c r="R15" i="23"/>
  <c r="Q15" i="23"/>
  <c r="G15" i="23"/>
  <c r="R13" i="23"/>
  <c r="Q13" i="23"/>
  <c r="P13" i="23"/>
  <c r="G13" i="23"/>
  <c r="R10" i="23"/>
  <c r="Q10" i="23"/>
  <c r="P10" i="23"/>
  <c r="G10" i="23"/>
  <c r="R9" i="23"/>
  <c r="Q9" i="23"/>
  <c r="P9" i="23"/>
  <c r="G9" i="23"/>
  <c r="R11" i="23"/>
  <c r="Q11" i="23"/>
  <c r="P11" i="23"/>
  <c r="G11" i="23"/>
  <c r="N1" i="23"/>
  <c r="K215" i="23" s="1"/>
  <c r="G1" i="23"/>
  <c r="B4" i="23" l="1"/>
  <c r="P108" i="23"/>
  <c r="P45" i="23"/>
  <c r="P132" i="23"/>
  <c r="L239" i="23"/>
  <c r="P20" i="23"/>
  <c r="P133" i="23"/>
  <c r="L228" i="23"/>
  <c r="P109" i="23"/>
  <c r="H161" i="23"/>
  <c r="P96" i="23"/>
  <c r="P38" i="23"/>
  <c r="I151" i="23"/>
  <c r="K151" i="23"/>
  <c r="P131" i="23"/>
  <c r="P15" i="23"/>
  <c r="J151" i="23"/>
  <c r="O151" i="23"/>
  <c r="I228" i="23"/>
  <c r="M4" i="23" s="1"/>
  <c r="P151" i="23" l="1"/>
  <c r="G4" i="23"/>
  <c r="P4" i="23" s="1"/>
  <c r="G129" i="19" l="1"/>
  <c r="G130" i="19"/>
  <c r="I129" i="19"/>
  <c r="P129" i="19" s="1"/>
  <c r="I130" i="19"/>
  <c r="P130" i="19" s="1"/>
  <c r="Q129" i="19"/>
  <c r="Q130" i="19"/>
  <c r="R129" i="19"/>
  <c r="R130" i="19"/>
  <c r="G124" i="19"/>
  <c r="G125" i="19"/>
  <c r="G126" i="19"/>
  <c r="I124" i="19"/>
  <c r="P124" i="19" s="1"/>
  <c r="I125" i="19"/>
  <c r="P125" i="19" s="1"/>
  <c r="I126" i="19"/>
  <c r="P126" i="19" s="1"/>
  <c r="Q124" i="19"/>
  <c r="Q125" i="19"/>
  <c r="Q126" i="19"/>
  <c r="R124" i="19"/>
  <c r="R125" i="19"/>
  <c r="R126" i="19"/>
  <c r="G127" i="19"/>
  <c r="G128" i="19"/>
  <c r="I127" i="19"/>
  <c r="P127" i="19" s="1"/>
  <c r="I128" i="19"/>
  <c r="P128" i="19" s="1"/>
  <c r="Q127" i="19"/>
  <c r="Q128" i="19"/>
  <c r="R127" i="19"/>
  <c r="R128" i="19"/>
  <c r="G122" i="19"/>
  <c r="G123" i="19"/>
  <c r="I122" i="19"/>
  <c r="P122" i="19" s="1"/>
  <c r="I123" i="19"/>
  <c r="P123" i="19" s="1"/>
  <c r="Q122" i="19"/>
  <c r="Q123" i="19"/>
  <c r="R122" i="19"/>
  <c r="R123" i="19"/>
  <c r="G131" i="19"/>
  <c r="I131" i="19"/>
  <c r="P131" i="19" s="1"/>
  <c r="Q131" i="19"/>
  <c r="R131" i="19"/>
  <c r="G132" i="19"/>
  <c r="I132" i="19"/>
  <c r="P132" i="19" s="1"/>
  <c r="Q132" i="19"/>
  <c r="R132" i="19"/>
  <c r="I120" i="19"/>
  <c r="P120" i="19" s="1"/>
  <c r="G116" i="19"/>
  <c r="I116" i="19"/>
  <c r="P116" i="19" s="1"/>
  <c r="Q116" i="19"/>
  <c r="R116" i="19"/>
  <c r="G117" i="19"/>
  <c r="I117" i="19"/>
  <c r="P117" i="19" s="1"/>
  <c r="Q117" i="19"/>
  <c r="R117" i="19"/>
  <c r="G118" i="19"/>
  <c r="I118" i="19"/>
  <c r="P118" i="19" s="1"/>
  <c r="Q118" i="19"/>
  <c r="R118" i="19"/>
  <c r="G119" i="19"/>
  <c r="I119" i="19"/>
  <c r="P119" i="19" s="1"/>
  <c r="Q119" i="19"/>
  <c r="R119" i="19"/>
  <c r="G120" i="19"/>
  <c r="Q120" i="19"/>
  <c r="R120" i="19"/>
  <c r="G121" i="19"/>
  <c r="I121" i="19"/>
  <c r="P121" i="19" s="1"/>
  <c r="Q121" i="19"/>
  <c r="R121" i="19"/>
  <c r="P104" i="19"/>
  <c r="K133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71" i="19"/>
  <c r="I72" i="19"/>
  <c r="I73" i="19"/>
  <c r="I74" i="19"/>
  <c r="I75" i="19"/>
  <c r="I76" i="19"/>
  <c r="I77" i="19"/>
  <c r="I78" i="19"/>
  <c r="P100" i="19"/>
  <c r="P102" i="19"/>
  <c r="P105" i="19"/>
  <c r="P106" i="19"/>
  <c r="P108" i="19"/>
  <c r="P109" i="19"/>
  <c r="I110" i="19"/>
  <c r="P110" i="19" s="1"/>
  <c r="I111" i="19"/>
  <c r="I112" i="19"/>
  <c r="P112" i="19" s="1"/>
  <c r="I113" i="19"/>
  <c r="P113" i="19" s="1"/>
  <c r="I114" i="19"/>
  <c r="P114" i="19" s="1"/>
  <c r="I115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P101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J133" i="19" l="1"/>
  <c r="I133" i="19"/>
  <c r="P115" i="19"/>
  <c r="P111" i="19"/>
  <c r="P107" i="19"/>
  <c r="P103" i="19"/>
  <c r="P99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G135" i="18" l="1"/>
  <c r="Q135" i="18"/>
  <c r="R135" i="18"/>
  <c r="I9" i="18"/>
  <c r="H146" i="18" l="1"/>
  <c r="P135" i="18"/>
  <c r="I148" i="15"/>
  <c r="I149" i="15"/>
  <c r="I150" i="15"/>
  <c r="J189" i="15"/>
  <c r="K189" i="15"/>
  <c r="J190" i="15"/>
  <c r="K190" i="15"/>
  <c r="J191" i="15"/>
  <c r="K191" i="15"/>
  <c r="J192" i="15"/>
  <c r="K192" i="15"/>
  <c r="H191" i="15" l="1"/>
  <c r="H192" i="15"/>
  <c r="I122" i="15"/>
  <c r="I123" i="15"/>
  <c r="I124" i="15"/>
  <c r="I125" i="15"/>
  <c r="I126" i="15"/>
  <c r="I127" i="15"/>
  <c r="I128" i="15"/>
  <c r="I129" i="15"/>
  <c r="I130" i="15"/>
  <c r="I134" i="15"/>
  <c r="I135" i="15"/>
  <c r="I136" i="15"/>
  <c r="I137" i="15"/>
  <c r="I138" i="15"/>
  <c r="I139" i="15"/>
  <c r="I140" i="15"/>
  <c r="I141" i="15" l="1"/>
  <c r="I104" i="12"/>
  <c r="I33" i="12"/>
  <c r="I23" i="12"/>
  <c r="I26" i="12"/>
  <c r="I42" i="12"/>
  <c r="I82" i="12"/>
  <c r="I105" i="12"/>
  <c r="I106" i="12"/>
  <c r="I67" i="12"/>
  <c r="I68" i="12"/>
  <c r="I92" i="12"/>
  <c r="I93" i="12"/>
  <c r="I27" i="12"/>
  <c r="I48" i="12"/>
  <c r="I84" i="12"/>
  <c r="I18" i="12"/>
  <c r="I94" i="12"/>
  <c r="I107" i="12"/>
  <c r="I47" i="12"/>
  <c r="I43" i="12"/>
  <c r="I90" i="12"/>
  <c r="I37" i="12"/>
  <c r="I34" i="12"/>
  <c r="I39" i="12"/>
  <c r="I13" i="12"/>
  <c r="I78" i="12"/>
  <c r="I35" i="12"/>
  <c r="I44" i="12"/>
  <c r="I28" i="12"/>
  <c r="I46" i="12"/>
  <c r="I97" i="12"/>
  <c r="I88" i="12"/>
  <c r="I85" i="12"/>
  <c r="I99" i="12"/>
  <c r="I108" i="12"/>
  <c r="I83" i="12"/>
  <c r="I66" i="12"/>
  <c r="I10" i="12"/>
  <c r="I24" i="12"/>
  <c r="I58" i="12"/>
  <c r="I69" i="12"/>
  <c r="I89" i="12"/>
  <c r="I29" i="12"/>
  <c r="I32" i="12"/>
  <c r="I109" i="12"/>
  <c r="I55" i="12"/>
  <c r="I100" i="12"/>
  <c r="I79" i="12"/>
  <c r="I80" i="12"/>
  <c r="I86" i="12"/>
  <c r="I70" i="12"/>
  <c r="I11" i="12"/>
  <c r="I73" i="12"/>
  <c r="I96" i="12"/>
  <c r="I49" i="12"/>
  <c r="I50" i="12"/>
  <c r="I45" i="12"/>
  <c r="I51" i="12"/>
  <c r="I65" i="12"/>
  <c r="I81" i="12"/>
  <c r="I14" i="12"/>
  <c r="I110" i="12"/>
  <c r="I111" i="12"/>
  <c r="I76" i="12"/>
  <c r="I41" i="12"/>
  <c r="I56" i="12"/>
  <c r="I112" i="12"/>
  <c r="I113" i="12"/>
  <c r="I54" i="12"/>
  <c r="I114" i="12"/>
  <c r="I40" i="12"/>
  <c r="I95" i="12"/>
  <c r="I98" i="12"/>
  <c r="I57" i="12"/>
  <c r="I115" i="12"/>
  <c r="I36" i="12"/>
  <c r="I15" i="12"/>
  <c r="I16" i="12"/>
  <c r="I62" i="12"/>
  <c r="I30" i="12"/>
  <c r="I31" i="12"/>
  <c r="I71" i="12"/>
  <c r="I72" i="12"/>
  <c r="I17" i="12"/>
  <c r="I59" i="12"/>
  <c r="I60" i="12"/>
  <c r="I61" i="12"/>
  <c r="I87" i="12"/>
  <c r="I12" i="12"/>
  <c r="I63" i="12"/>
  <c r="H139" i="12"/>
  <c r="H130" i="11" l="1"/>
  <c r="M130" i="11" s="1"/>
  <c r="G112" i="11"/>
  <c r="P112" i="11"/>
  <c r="Q112" i="11"/>
  <c r="R112" i="11"/>
  <c r="G61" i="11"/>
  <c r="P61" i="11"/>
  <c r="Q61" i="11"/>
  <c r="R61" i="11"/>
  <c r="I30" i="11"/>
  <c r="I32" i="11"/>
  <c r="I33" i="11"/>
  <c r="I10" i="11"/>
  <c r="I35" i="11"/>
  <c r="I36" i="11"/>
  <c r="I37" i="11"/>
  <c r="I38" i="11"/>
  <c r="I39" i="11"/>
  <c r="I40" i="11"/>
  <c r="I41" i="11"/>
  <c r="I42" i="11"/>
  <c r="I43" i="11"/>
  <c r="I44" i="11"/>
  <c r="I46" i="11"/>
  <c r="I12" i="11"/>
  <c r="I13" i="11"/>
  <c r="I47" i="11"/>
  <c r="I48" i="11"/>
  <c r="I49" i="11"/>
  <c r="I50" i="11"/>
  <c r="I51" i="11"/>
  <c r="I52" i="11"/>
  <c r="I53" i="11"/>
  <c r="I54" i="11"/>
  <c r="I55" i="11"/>
  <c r="I56" i="11"/>
  <c r="I57" i="11"/>
  <c r="I72" i="11"/>
  <c r="I73" i="11"/>
  <c r="I17" i="11"/>
  <c r="I75" i="11"/>
  <c r="I76" i="11"/>
  <c r="I77" i="11"/>
  <c r="I18" i="11"/>
  <c r="I19" i="11"/>
  <c r="I79" i="11"/>
  <c r="I80" i="11"/>
  <c r="I81" i="11"/>
  <c r="I82" i="11"/>
  <c r="I83" i="11"/>
  <c r="I84" i="11"/>
  <c r="I20" i="11"/>
  <c r="I85" i="11"/>
  <c r="I86" i="11"/>
  <c r="I87" i="11"/>
  <c r="I89" i="11"/>
  <c r="I21" i="11"/>
  <c r="I90" i="11"/>
  <c r="I91" i="11"/>
  <c r="I92" i="11"/>
  <c r="I93" i="11"/>
  <c r="I114" i="11"/>
  <c r="I115" i="11"/>
  <c r="I116" i="11"/>
  <c r="I117" i="11"/>
  <c r="I23" i="11"/>
  <c r="I24" i="11"/>
  <c r="I25" i="11"/>
  <c r="I26" i="11"/>
  <c r="I28" i="11"/>
  <c r="I119" i="11"/>
  <c r="I27" i="11"/>
  <c r="I22" i="11"/>
  <c r="H131" i="10"/>
  <c r="H128" i="10"/>
  <c r="H129" i="10"/>
  <c r="H130" i="10"/>
  <c r="H132" i="10"/>
  <c r="I183" i="10" l="1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G121" i="2" l="1"/>
  <c r="P121" i="2"/>
  <c r="Q121" i="2"/>
  <c r="R121" i="2"/>
  <c r="G118" i="2"/>
  <c r="P118" i="2"/>
  <c r="Q118" i="2"/>
  <c r="R118" i="2"/>
  <c r="G117" i="2"/>
  <c r="P117" i="2"/>
  <c r="Q117" i="2"/>
  <c r="R117" i="2"/>
  <c r="G116" i="2"/>
  <c r="P116" i="2"/>
  <c r="Q116" i="2"/>
  <c r="R116" i="2"/>
  <c r="G114" i="2"/>
  <c r="P114" i="2"/>
  <c r="Q114" i="2"/>
  <c r="R114" i="2"/>
  <c r="G115" i="2"/>
  <c r="P115" i="2"/>
  <c r="Q115" i="2"/>
  <c r="R115" i="2"/>
  <c r="G100" i="2"/>
  <c r="P100" i="2"/>
  <c r="Q100" i="2"/>
  <c r="R100" i="2"/>
  <c r="G85" i="2"/>
  <c r="P85" i="2"/>
  <c r="Q85" i="2"/>
  <c r="R85" i="2"/>
  <c r="G62" i="2"/>
  <c r="P62" i="2"/>
  <c r="Q62" i="2"/>
  <c r="R62" i="2"/>
  <c r="G27" i="2"/>
  <c r="P27" i="2"/>
  <c r="Q27" i="2"/>
  <c r="R27" i="2"/>
  <c r="G37" i="2"/>
  <c r="Q37" i="2"/>
  <c r="R37" i="2"/>
  <c r="G15" i="2"/>
  <c r="P15" i="2"/>
  <c r="Q15" i="2"/>
  <c r="R15" i="2"/>
  <c r="G92" i="2"/>
  <c r="Q92" i="2"/>
  <c r="R92" i="2"/>
  <c r="P92" i="2" l="1"/>
  <c r="P37" i="2"/>
  <c r="G10" i="20"/>
  <c r="P10" i="20"/>
  <c r="Q10" i="20"/>
  <c r="R10" i="20"/>
  <c r="G9" i="20"/>
  <c r="I9" i="20"/>
  <c r="Q9" i="20"/>
  <c r="R9" i="20"/>
  <c r="P9" i="20" l="1"/>
  <c r="J139" i="20"/>
  <c r="H170" i="20"/>
  <c r="J170" i="20"/>
  <c r="K170" i="20"/>
  <c r="H145" i="20"/>
  <c r="H146" i="20"/>
  <c r="H147" i="20"/>
  <c r="J145" i="20"/>
  <c r="J146" i="20"/>
  <c r="J147" i="20"/>
  <c r="K145" i="20"/>
  <c r="K146" i="20"/>
  <c r="K147" i="20"/>
  <c r="H148" i="20"/>
  <c r="H149" i="20"/>
  <c r="H150" i="20"/>
  <c r="J148" i="20"/>
  <c r="J149" i="20"/>
  <c r="J150" i="20"/>
  <c r="K148" i="20"/>
  <c r="K149" i="20"/>
  <c r="K150" i="20"/>
  <c r="H151" i="20"/>
  <c r="H152" i="20"/>
  <c r="H153" i="20"/>
  <c r="J151" i="20"/>
  <c r="J152" i="20"/>
  <c r="J153" i="20"/>
  <c r="K151" i="20"/>
  <c r="K152" i="20"/>
  <c r="K153" i="20"/>
  <c r="H154" i="20"/>
  <c r="H155" i="20"/>
  <c r="H156" i="20"/>
  <c r="J154" i="20"/>
  <c r="J155" i="20"/>
  <c r="J156" i="20"/>
  <c r="K154" i="20"/>
  <c r="K155" i="20"/>
  <c r="K156" i="20"/>
  <c r="H157" i="20"/>
  <c r="H158" i="20"/>
  <c r="H159" i="20"/>
  <c r="J157" i="20"/>
  <c r="J158" i="20"/>
  <c r="J159" i="20"/>
  <c r="K157" i="20"/>
  <c r="K158" i="20"/>
  <c r="K159" i="20"/>
  <c r="H160" i="20"/>
  <c r="H161" i="20"/>
  <c r="H162" i="20"/>
  <c r="J160" i="20"/>
  <c r="J161" i="20"/>
  <c r="J162" i="20"/>
  <c r="K160" i="20"/>
  <c r="K161" i="20"/>
  <c r="K162" i="20"/>
  <c r="H163" i="20"/>
  <c r="H164" i="20"/>
  <c r="H165" i="20"/>
  <c r="J163" i="20"/>
  <c r="J164" i="20"/>
  <c r="J165" i="20"/>
  <c r="K163" i="20"/>
  <c r="K164" i="20"/>
  <c r="K165" i="20"/>
  <c r="G12" i="20"/>
  <c r="G27" i="20"/>
  <c r="G13" i="20"/>
  <c r="G14" i="20"/>
  <c r="G15" i="20"/>
  <c r="G16" i="20"/>
  <c r="G17" i="20"/>
  <c r="G19" i="20"/>
  <c r="G20" i="20"/>
  <c r="G21" i="20"/>
  <c r="P12" i="20"/>
  <c r="P27" i="20"/>
  <c r="P13" i="20"/>
  <c r="P14" i="20"/>
  <c r="P15" i="20"/>
  <c r="P16" i="20"/>
  <c r="P17" i="20"/>
  <c r="P19" i="20"/>
  <c r="P20" i="20"/>
  <c r="P21" i="20"/>
  <c r="Q12" i="20"/>
  <c r="Q27" i="20"/>
  <c r="Q13" i="20"/>
  <c r="Q14" i="20"/>
  <c r="Q15" i="20"/>
  <c r="Q16" i="20"/>
  <c r="Q17" i="20"/>
  <c r="Q19" i="20"/>
  <c r="Q20" i="20"/>
  <c r="Q21" i="20"/>
  <c r="R12" i="20"/>
  <c r="R27" i="20"/>
  <c r="R13" i="20"/>
  <c r="R14" i="20"/>
  <c r="R15" i="20"/>
  <c r="R16" i="20"/>
  <c r="R17" i="20"/>
  <c r="R19" i="20"/>
  <c r="R20" i="20"/>
  <c r="R21" i="20"/>
  <c r="G22" i="20"/>
  <c r="G23" i="20"/>
  <c r="G24" i="20"/>
  <c r="G25" i="20"/>
  <c r="G28" i="20"/>
  <c r="G29" i="20"/>
  <c r="G30" i="20"/>
  <c r="G33" i="20"/>
  <c r="G31" i="20"/>
  <c r="G34" i="20"/>
  <c r="G32" i="20"/>
  <c r="P22" i="20"/>
  <c r="P23" i="20"/>
  <c r="P24" i="20"/>
  <c r="P25" i="20"/>
  <c r="P28" i="20"/>
  <c r="P29" i="20"/>
  <c r="P30" i="20"/>
  <c r="P33" i="20"/>
  <c r="P31" i="20"/>
  <c r="P34" i="20"/>
  <c r="P32" i="20"/>
  <c r="Q22" i="20"/>
  <c r="Q23" i="20"/>
  <c r="Q24" i="20"/>
  <c r="Q25" i="20"/>
  <c r="Q28" i="20"/>
  <c r="Q29" i="20"/>
  <c r="Q30" i="20"/>
  <c r="Q33" i="20"/>
  <c r="Q31" i="20"/>
  <c r="Q34" i="20"/>
  <c r="Q32" i="20"/>
  <c r="R22" i="20"/>
  <c r="R23" i="20"/>
  <c r="R24" i="20"/>
  <c r="R25" i="20"/>
  <c r="R28" i="20"/>
  <c r="R29" i="20"/>
  <c r="R30" i="20"/>
  <c r="R33" i="20"/>
  <c r="R31" i="20"/>
  <c r="R34" i="20"/>
  <c r="R32" i="20"/>
  <c r="G35" i="20"/>
  <c r="G36" i="20"/>
  <c r="G38" i="20"/>
  <c r="G39" i="20"/>
  <c r="G40" i="20"/>
  <c r="G41" i="20"/>
  <c r="G42" i="20"/>
  <c r="G43" i="20"/>
  <c r="G44" i="20"/>
  <c r="G45" i="20"/>
  <c r="G46" i="20"/>
  <c r="P35" i="20"/>
  <c r="P36" i="20"/>
  <c r="P38" i="20"/>
  <c r="P39" i="20"/>
  <c r="P40" i="20"/>
  <c r="P41" i="20"/>
  <c r="P42" i="20"/>
  <c r="P43" i="20"/>
  <c r="P44" i="20"/>
  <c r="P45" i="20"/>
  <c r="P46" i="20"/>
  <c r="Q35" i="20"/>
  <c r="Q36" i="20"/>
  <c r="Q38" i="20"/>
  <c r="Q39" i="20"/>
  <c r="Q42" i="20"/>
  <c r="Q43" i="20"/>
  <c r="Q44" i="20"/>
  <c r="Q45" i="20"/>
  <c r="Q46" i="20"/>
  <c r="R35" i="20"/>
  <c r="R36" i="20"/>
  <c r="R38" i="20"/>
  <c r="R39" i="20"/>
  <c r="R40" i="20"/>
  <c r="R41" i="20"/>
  <c r="R42" i="20"/>
  <c r="R43" i="20"/>
  <c r="R44" i="20"/>
  <c r="R45" i="20"/>
  <c r="R46" i="20"/>
  <c r="G48" i="20"/>
  <c r="G52" i="20"/>
  <c r="G53" i="20"/>
  <c r="G49" i="20"/>
  <c r="G54" i="20"/>
  <c r="G50" i="20"/>
  <c r="G51" i="20"/>
  <c r="G56" i="20"/>
  <c r="G55" i="20"/>
  <c r="G58" i="20"/>
  <c r="G59" i="20"/>
  <c r="P48" i="20"/>
  <c r="P52" i="20"/>
  <c r="P53" i="20"/>
  <c r="P49" i="20"/>
  <c r="P54" i="20"/>
  <c r="P50" i="20"/>
  <c r="P51" i="20"/>
  <c r="P56" i="20"/>
  <c r="P55" i="20"/>
  <c r="P58" i="20"/>
  <c r="P59" i="20"/>
  <c r="Q48" i="20"/>
  <c r="Q52" i="20"/>
  <c r="Q53" i="20"/>
  <c r="Q49" i="20"/>
  <c r="Q54" i="20"/>
  <c r="Q50" i="20"/>
  <c r="Q51" i="20"/>
  <c r="Q56" i="20"/>
  <c r="Q55" i="20"/>
  <c r="Q58" i="20"/>
  <c r="Q59" i="20"/>
  <c r="R48" i="20"/>
  <c r="R52" i="20"/>
  <c r="R53" i="20"/>
  <c r="R49" i="20"/>
  <c r="R54" i="20"/>
  <c r="R50" i="20"/>
  <c r="R51" i="20"/>
  <c r="R56" i="20"/>
  <c r="R55" i="20"/>
  <c r="R58" i="20"/>
  <c r="R59" i="20"/>
  <c r="G61" i="20"/>
  <c r="G60" i="20"/>
  <c r="G62" i="20"/>
  <c r="G64" i="20"/>
  <c r="G65" i="20"/>
  <c r="G63" i="20"/>
  <c r="G66" i="20"/>
  <c r="G67" i="20"/>
  <c r="G68" i="20"/>
  <c r="G69" i="20"/>
  <c r="G70" i="20"/>
  <c r="P61" i="20"/>
  <c r="P60" i="20"/>
  <c r="P62" i="20"/>
  <c r="P64" i="20"/>
  <c r="P65" i="20"/>
  <c r="P63" i="20"/>
  <c r="P66" i="20"/>
  <c r="P67" i="20"/>
  <c r="P68" i="20"/>
  <c r="P69" i="20"/>
  <c r="P70" i="20"/>
  <c r="Q61" i="20"/>
  <c r="Q60" i="20"/>
  <c r="Q62" i="20"/>
  <c r="Q64" i="20"/>
  <c r="Q65" i="20"/>
  <c r="Q63" i="20"/>
  <c r="Q66" i="20"/>
  <c r="Q67" i="20"/>
  <c r="Q68" i="20"/>
  <c r="Q69" i="20"/>
  <c r="Q70" i="20"/>
  <c r="R61" i="20"/>
  <c r="R60" i="20"/>
  <c r="R62" i="20"/>
  <c r="R64" i="20"/>
  <c r="R65" i="20"/>
  <c r="R63" i="20"/>
  <c r="R66" i="20"/>
  <c r="R67" i="20"/>
  <c r="R68" i="20"/>
  <c r="R69" i="20"/>
  <c r="R70" i="20"/>
  <c r="G71" i="20"/>
  <c r="G72" i="20"/>
  <c r="G73" i="20"/>
  <c r="G74" i="20"/>
  <c r="G75" i="20"/>
  <c r="G76" i="20"/>
  <c r="G77" i="20"/>
  <c r="G78" i="20"/>
  <c r="G79" i="20"/>
  <c r="G80" i="20"/>
  <c r="G84" i="20"/>
  <c r="P71" i="20"/>
  <c r="P73" i="20"/>
  <c r="P74" i="20"/>
  <c r="P75" i="20"/>
  <c r="P76" i="20"/>
  <c r="P77" i="20"/>
  <c r="P78" i="20"/>
  <c r="P79" i="20"/>
  <c r="P80" i="20"/>
  <c r="P84" i="20"/>
  <c r="P72" i="20"/>
  <c r="Q71" i="20"/>
  <c r="Q72" i="20"/>
  <c r="Q73" i="20"/>
  <c r="Q74" i="20"/>
  <c r="Q75" i="20"/>
  <c r="Q76" i="20"/>
  <c r="Q77" i="20"/>
  <c r="Q78" i="20"/>
  <c r="Q79" i="20"/>
  <c r="Q80" i="20"/>
  <c r="Q84" i="20"/>
  <c r="R71" i="20"/>
  <c r="R72" i="20"/>
  <c r="R73" i="20"/>
  <c r="R74" i="20"/>
  <c r="R75" i="20"/>
  <c r="R76" i="20"/>
  <c r="R77" i="20"/>
  <c r="R78" i="20"/>
  <c r="R79" i="20"/>
  <c r="R80" i="20"/>
  <c r="R84" i="20"/>
  <c r="G85" i="20"/>
  <c r="G81" i="20"/>
  <c r="G86" i="20"/>
  <c r="G82" i="20"/>
  <c r="G87" i="20"/>
  <c r="G26" i="20"/>
  <c r="G37" i="20"/>
  <c r="G57" i="20"/>
  <c r="G47" i="20"/>
  <c r="P85" i="20"/>
  <c r="P81" i="20"/>
  <c r="P86" i="20"/>
  <c r="P82" i="20"/>
  <c r="P87" i="20"/>
  <c r="P26" i="20"/>
  <c r="P37" i="20"/>
  <c r="P57" i="20"/>
  <c r="P47" i="20"/>
  <c r="Q85" i="20"/>
  <c r="Q81" i="20"/>
  <c r="Q86" i="20"/>
  <c r="Q82" i="20"/>
  <c r="Q87" i="20"/>
  <c r="Q26" i="20"/>
  <c r="Q37" i="20"/>
  <c r="Q57" i="20"/>
  <c r="Q47" i="20"/>
  <c r="R85" i="20"/>
  <c r="R81" i="20"/>
  <c r="R86" i="20"/>
  <c r="R82" i="20"/>
  <c r="R87" i="20"/>
  <c r="R26" i="20"/>
  <c r="R37" i="20"/>
  <c r="R57" i="20"/>
  <c r="R47" i="20"/>
  <c r="G83" i="20"/>
  <c r="P83" i="20"/>
  <c r="Q83" i="20"/>
  <c r="R83" i="20"/>
  <c r="G10" i="21"/>
  <c r="I10" i="21"/>
  <c r="P10" i="21" s="1"/>
  <c r="Q10" i="21"/>
  <c r="R10" i="21"/>
  <c r="I146" i="21" l="1"/>
  <c r="I143" i="21"/>
  <c r="I147" i="21"/>
  <c r="G9" i="21"/>
  <c r="I9" i="21"/>
  <c r="P9" i="21" s="1"/>
  <c r="Q9" i="21"/>
  <c r="R9" i="21"/>
  <c r="G69" i="21"/>
  <c r="P69" i="21"/>
  <c r="Q69" i="21"/>
  <c r="R69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G422" i="21"/>
  <c r="G423" i="21"/>
  <c r="G424" i="21"/>
  <c r="G425" i="21"/>
  <c r="G426" i="21"/>
  <c r="G427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G185" i="21"/>
  <c r="G186" i="21"/>
  <c r="G187" i="21"/>
  <c r="G188" i="21"/>
  <c r="I185" i="21"/>
  <c r="L185" i="21" s="1"/>
  <c r="I186" i="21"/>
  <c r="L186" i="21" s="1"/>
  <c r="I187" i="21"/>
  <c r="L187" i="21" s="1"/>
  <c r="I188" i="21"/>
  <c r="L188" i="21" s="1"/>
  <c r="G196" i="21"/>
  <c r="G197" i="21"/>
  <c r="G198" i="21"/>
  <c r="L196" i="21"/>
  <c r="L197" i="21"/>
  <c r="L198" i="21"/>
  <c r="G199" i="21"/>
  <c r="G200" i="21"/>
  <c r="G201" i="21"/>
  <c r="G202" i="21"/>
  <c r="G203" i="21"/>
  <c r="L199" i="21"/>
  <c r="L200" i="21"/>
  <c r="L201" i="21"/>
  <c r="L202" i="21"/>
  <c r="L203" i="21"/>
  <c r="G204" i="21"/>
  <c r="G205" i="21"/>
  <c r="G206" i="21"/>
  <c r="G207" i="21"/>
  <c r="G208" i="21"/>
  <c r="L204" i="21"/>
  <c r="L205" i="21"/>
  <c r="L206" i="21"/>
  <c r="L207" i="21"/>
  <c r="L208" i="21"/>
  <c r="G209" i="21"/>
  <c r="G210" i="21"/>
  <c r="G211" i="21"/>
  <c r="G212" i="21"/>
  <c r="G213" i="21"/>
  <c r="L209" i="21"/>
  <c r="L210" i="21"/>
  <c r="L211" i="21"/>
  <c r="L212" i="21"/>
  <c r="L213" i="21"/>
  <c r="H159" i="21"/>
  <c r="H160" i="21"/>
  <c r="H161" i="21"/>
  <c r="H162" i="21"/>
  <c r="H163" i="21"/>
  <c r="H164" i="21"/>
  <c r="J159" i="21"/>
  <c r="J160" i="21"/>
  <c r="J161" i="21"/>
  <c r="J162" i="21"/>
  <c r="J163" i="21"/>
  <c r="J164" i="21"/>
  <c r="K159" i="21"/>
  <c r="K160" i="21"/>
  <c r="K161" i="21"/>
  <c r="K162" i="21"/>
  <c r="K163" i="21"/>
  <c r="K164" i="21"/>
  <c r="H157" i="21"/>
  <c r="H158" i="21"/>
  <c r="H165" i="21"/>
  <c r="H166" i="21"/>
  <c r="H167" i="21"/>
  <c r="J157" i="21"/>
  <c r="J158" i="21"/>
  <c r="J165" i="21"/>
  <c r="J166" i="21"/>
  <c r="J167" i="21"/>
  <c r="K157" i="21"/>
  <c r="K158" i="21"/>
  <c r="K165" i="21"/>
  <c r="K166" i="21"/>
  <c r="K167" i="21"/>
  <c r="H155" i="21"/>
  <c r="H156" i="21"/>
  <c r="H168" i="21"/>
  <c r="J155" i="21"/>
  <c r="J156" i="21"/>
  <c r="J168" i="21"/>
  <c r="K155" i="21"/>
  <c r="K156" i="21"/>
  <c r="K168" i="21"/>
  <c r="H169" i="21"/>
  <c r="H170" i="21"/>
  <c r="H171" i="21"/>
  <c r="J169" i="21"/>
  <c r="J170" i="21"/>
  <c r="J171" i="21"/>
  <c r="K169" i="21"/>
  <c r="K170" i="21"/>
  <c r="K171" i="21"/>
  <c r="G123" i="21"/>
  <c r="G122" i="21"/>
  <c r="G124" i="21"/>
  <c r="G125" i="21"/>
  <c r="G126" i="21"/>
  <c r="G127" i="21"/>
  <c r="G129" i="21"/>
  <c r="G128" i="21"/>
  <c r="G130" i="21"/>
  <c r="G132" i="21"/>
  <c r="G135" i="21"/>
  <c r="G134" i="21"/>
  <c r="G131" i="21"/>
  <c r="G133" i="21"/>
  <c r="G55" i="21"/>
  <c r="G64" i="21"/>
  <c r="G109" i="21"/>
  <c r="P123" i="21"/>
  <c r="P124" i="21"/>
  <c r="P125" i="21"/>
  <c r="P126" i="21"/>
  <c r="P127" i="21"/>
  <c r="P129" i="21"/>
  <c r="P128" i="21"/>
  <c r="P130" i="21"/>
  <c r="P132" i="21"/>
  <c r="P135" i="21"/>
  <c r="P134" i="21"/>
  <c r="P131" i="21"/>
  <c r="P133" i="21"/>
  <c r="P55" i="21"/>
  <c r="P64" i="21"/>
  <c r="P109" i="21"/>
  <c r="P122" i="21"/>
  <c r="Q123" i="21"/>
  <c r="Q122" i="21"/>
  <c r="Q124" i="21"/>
  <c r="Q125" i="21"/>
  <c r="Q126" i="21"/>
  <c r="Q127" i="21"/>
  <c r="Q129" i="21"/>
  <c r="Q128" i="21"/>
  <c r="Q130" i="21"/>
  <c r="Q132" i="21"/>
  <c r="Q135" i="21"/>
  <c r="Q134" i="21"/>
  <c r="Q131" i="21"/>
  <c r="Q133" i="21"/>
  <c r="Q55" i="21"/>
  <c r="Q64" i="21"/>
  <c r="Q109" i="21"/>
  <c r="R123" i="21"/>
  <c r="R122" i="21"/>
  <c r="R124" i="21"/>
  <c r="R125" i="21"/>
  <c r="R126" i="21"/>
  <c r="R127" i="21"/>
  <c r="R129" i="21"/>
  <c r="R128" i="21"/>
  <c r="R130" i="21"/>
  <c r="R132" i="21"/>
  <c r="R135" i="21"/>
  <c r="R134" i="21"/>
  <c r="R131" i="21"/>
  <c r="R133" i="21"/>
  <c r="R55" i="21"/>
  <c r="R64" i="21"/>
  <c r="R109" i="21"/>
  <c r="G45" i="21"/>
  <c r="G121" i="21"/>
  <c r="G18" i="21"/>
  <c r="G19" i="21"/>
  <c r="G13" i="21"/>
  <c r="G17" i="21"/>
  <c r="G16" i="21"/>
  <c r="G21" i="21"/>
  <c r="G11" i="21"/>
  <c r="G15" i="21"/>
  <c r="G28" i="21"/>
  <c r="G25" i="21"/>
  <c r="G22" i="21"/>
  <c r="G26" i="21"/>
  <c r="G24" i="21"/>
  <c r="G27" i="21"/>
  <c r="G23" i="21"/>
  <c r="G37" i="21"/>
  <c r="G36" i="21"/>
  <c r="G31" i="21"/>
  <c r="G33" i="21"/>
  <c r="G29" i="21"/>
  <c r="G34" i="21"/>
  <c r="G30" i="21"/>
  <c r="G35" i="21"/>
  <c r="G38" i="21"/>
  <c r="G32" i="21"/>
  <c r="G40" i="21"/>
  <c r="G41" i="21"/>
  <c r="P45" i="21"/>
  <c r="P18" i="21"/>
  <c r="P19" i="21"/>
  <c r="P13" i="21"/>
  <c r="P17" i="21"/>
  <c r="P16" i="21"/>
  <c r="P21" i="21"/>
  <c r="I11" i="21"/>
  <c r="P11" i="21" s="1"/>
  <c r="P15" i="21"/>
  <c r="P28" i="21"/>
  <c r="P25" i="21"/>
  <c r="P22" i="21"/>
  <c r="P26" i="21"/>
  <c r="P24" i="21"/>
  <c r="P27" i="21"/>
  <c r="P23" i="21"/>
  <c r="P37" i="21"/>
  <c r="P36" i="21"/>
  <c r="P31" i="21"/>
  <c r="P33" i="21"/>
  <c r="P29" i="21"/>
  <c r="P34" i="21"/>
  <c r="P30" i="21"/>
  <c r="P35" i="21"/>
  <c r="P38" i="21"/>
  <c r="P32" i="21"/>
  <c r="P40" i="21"/>
  <c r="P41" i="21"/>
  <c r="P121" i="21"/>
  <c r="Q45" i="21"/>
  <c r="Q121" i="21"/>
  <c r="Q18" i="21"/>
  <c r="Q19" i="21"/>
  <c r="Q13" i="21"/>
  <c r="Q17" i="21"/>
  <c r="Q16" i="21"/>
  <c r="Q21" i="21"/>
  <c r="Q11" i="21"/>
  <c r="Q15" i="21"/>
  <c r="Q28" i="21"/>
  <c r="Q25" i="21"/>
  <c r="Q22" i="21"/>
  <c r="Q26" i="21"/>
  <c r="Q24" i="21"/>
  <c r="Q27" i="21"/>
  <c r="Q23" i="21"/>
  <c r="Q37" i="21"/>
  <c r="Q36" i="21"/>
  <c r="Q31" i="21"/>
  <c r="Q33" i="21"/>
  <c r="Q29" i="21"/>
  <c r="Q34" i="21"/>
  <c r="Q30" i="21"/>
  <c r="Q38" i="21"/>
  <c r="Q32" i="21"/>
  <c r="Q40" i="21"/>
  <c r="Q41" i="21"/>
  <c r="R45" i="21"/>
  <c r="R121" i="21"/>
  <c r="R18" i="21"/>
  <c r="R19" i="21"/>
  <c r="R13" i="21"/>
  <c r="R17" i="21"/>
  <c r="R16" i="21"/>
  <c r="R21" i="21"/>
  <c r="R11" i="21"/>
  <c r="R15" i="21"/>
  <c r="R28" i="21"/>
  <c r="R25" i="21"/>
  <c r="R22" i="21"/>
  <c r="R26" i="21"/>
  <c r="R24" i="21"/>
  <c r="R27" i="21"/>
  <c r="R23" i="21"/>
  <c r="R37" i="21"/>
  <c r="R36" i="21"/>
  <c r="R31" i="21"/>
  <c r="R33" i="21"/>
  <c r="R29" i="21"/>
  <c r="R34" i="21"/>
  <c r="R30" i="21"/>
  <c r="R35" i="21"/>
  <c r="R38" i="21"/>
  <c r="R32" i="21"/>
  <c r="R40" i="21"/>
  <c r="R41" i="21"/>
  <c r="G80" i="21"/>
  <c r="G85" i="21"/>
  <c r="G86" i="21"/>
  <c r="G89" i="21"/>
  <c r="G88" i="21"/>
  <c r="G87" i="21"/>
  <c r="G92" i="21"/>
  <c r="G91" i="21"/>
  <c r="G90" i="21"/>
  <c r="G106" i="21"/>
  <c r="G105" i="21"/>
  <c r="G107" i="21"/>
  <c r="P80" i="21"/>
  <c r="P85" i="21"/>
  <c r="P89" i="21"/>
  <c r="P88" i="21"/>
  <c r="P87" i="21"/>
  <c r="P92" i="21"/>
  <c r="P91" i="21"/>
  <c r="P90" i="21"/>
  <c r="P106" i="21"/>
  <c r="P105" i="21"/>
  <c r="P107" i="21"/>
  <c r="P86" i="21"/>
  <c r="Q80" i="21"/>
  <c r="Q85" i="21"/>
  <c r="Q86" i="21"/>
  <c r="Q89" i="21"/>
  <c r="Q88" i="21"/>
  <c r="Q87" i="21"/>
  <c r="Q92" i="21"/>
  <c r="Q91" i="21"/>
  <c r="Q90" i="21"/>
  <c r="Q106" i="21"/>
  <c r="Q105" i="21"/>
  <c r="Q107" i="21"/>
  <c r="R80" i="21"/>
  <c r="R85" i="21"/>
  <c r="R86" i="21"/>
  <c r="R89" i="21"/>
  <c r="R88" i="21"/>
  <c r="R87" i="21"/>
  <c r="R92" i="21"/>
  <c r="R91" i="21"/>
  <c r="R90" i="21"/>
  <c r="R106" i="21"/>
  <c r="R105" i="21"/>
  <c r="R107" i="21"/>
  <c r="G116" i="21"/>
  <c r="P116" i="21"/>
  <c r="Q116" i="21"/>
  <c r="R116" i="21"/>
  <c r="G115" i="21"/>
  <c r="P115" i="21"/>
  <c r="Q115" i="21"/>
  <c r="R115" i="21"/>
  <c r="G119" i="21"/>
  <c r="P119" i="21"/>
  <c r="Q119" i="21"/>
  <c r="R119" i="21"/>
  <c r="G120" i="21"/>
  <c r="P120" i="21"/>
  <c r="Q120" i="21"/>
  <c r="R120" i="21"/>
  <c r="G118" i="21"/>
  <c r="P118" i="21"/>
  <c r="Q118" i="21"/>
  <c r="R118" i="21"/>
  <c r="G12" i="21"/>
  <c r="G14" i="21"/>
  <c r="G39" i="21"/>
  <c r="G42" i="21"/>
  <c r="G43" i="21"/>
  <c r="G44" i="21"/>
  <c r="P12" i="21"/>
  <c r="P14" i="21"/>
  <c r="P39" i="21"/>
  <c r="P42" i="21"/>
  <c r="P44" i="21"/>
  <c r="P43" i="21"/>
  <c r="Q12" i="21"/>
  <c r="Q14" i="21"/>
  <c r="Q39" i="21"/>
  <c r="Q42" i="21"/>
  <c r="Q43" i="21"/>
  <c r="Q44" i="21"/>
  <c r="R12" i="21"/>
  <c r="R14" i="21"/>
  <c r="R39" i="21"/>
  <c r="R42" i="21"/>
  <c r="R43" i="21"/>
  <c r="R44" i="21"/>
  <c r="G48" i="21"/>
  <c r="G47" i="21"/>
  <c r="G51" i="21"/>
  <c r="G52" i="21"/>
  <c r="G49" i="21"/>
  <c r="G50" i="21"/>
  <c r="P47" i="21"/>
  <c r="P51" i="21"/>
  <c r="P52" i="21"/>
  <c r="P49" i="21"/>
  <c r="P50" i="21"/>
  <c r="P48" i="21"/>
  <c r="Q48" i="21"/>
  <c r="Q47" i="21"/>
  <c r="Q51" i="21"/>
  <c r="Q52" i="21"/>
  <c r="Q49" i="21"/>
  <c r="Q50" i="21"/>
  <c r="R48" i="21"/>
  <c r="R47" i="21"/>
  <c r="R51" i="21"/>
  <c r="R52" i="21"/>
  <c r="R49" i="21"/>
  <c r="R50" i="21"/>
  <c r="G53" i="21"/>
  <c r="G54" i="21"/>
  <c r="G56" i="21"/>
  <c r="G46" i="21"/>
  <c r="G65" i="21"/>
  <c r="G60" i="21"/>
  <c r="P53" i="21"/>
  <c r="P54" i="21"/>
  <c r="P65" i="21"/>
  <c r="P60" i="21"/>
  <c r="P56" i="21"/>
  <c r="P46" i="21"/>
  <c r="Q53" i="21"/>
  <c r="Q54" i="21"/>
  <c r="Q56" i="21"/>
  <c r="Q46" i="21"/>
  <c r="Q65" i="21"/>
  <c r="Q60" i="21"/>
  <c r="R53" i="21"/>
  <c r="R54" i="21"/>
  <c r="R56" i="21"/>
  <c r="R46" i="21"/>
  <c r="R65" i="21"/>
  <c r="R60" i="21"/>
  <c r="G62" i="21"/>
  <c r="G59" i="21"/>
  <c r="G66" i="21"/>
  <c r="G67" i="21"/>
  <c r="G68" i="21"/>
  <c r="G61" i="21"/>
  <c r="P62" i="21"/>
  <c r="P59" i="21"/>
  <c r="P66" i="21"/>
  <c r="P67" i="21"/>
  <c r="P68" i="21"/>
  <c r="P61" i="21"/>
  <c r="Q62" i="21"/>
  <c r="Q59" i="21"/>
  <c r="Q66" i="21"/>
  <c r="Q67" i="21"/>
  <c r="Q68" i="21"/>
  <c r="Q61" i="21"/>
  <c r="R62" i="21"/>
  <c r="R59" i="21"/>
  <c r="R66" i="21"/>
  <c r="R67" i="21"/>
  <c r="R68" i="21"/>
  <c r="R61" i="21"/>
  <c r="G63" i="21"/>
  <c r="G58" i="21"/>
  <c r="G57" i="21"/>
  <c r="G70" i="21"/>
  <c r="G71" i="21"/>
  <c r="G72" i="21"/>
  <c r="P58" i="21"/>
  <c r="P70" i="21"/>
  <c r="P72" i="21"/>
  <c r="P63" i="21"/>
  <c r="P57" i="21"/>
  <c r="P71" i="21"/>
  <c r="Q63" i="21"/>
  <c r="Q58" i="21"/>
  <c r="Q57" i="21"/>
  <c r="Q70" i="21"/>
  <c r="Q71" i="21"/>
  <c r="Q72" i="21"/>
  <c r="R63" i="21"/>
  <c r="R58" i="21"/>
  <c r="R57" i="21"/>
  <c r="R70" i="21"/>
  <c r="R71" i="21"/>
  <c r="R72" i="21"/>
  <c r="G75" i="21"/>
  <c r="G76" i="21"/>
  <c r="G74" i="21"/>
  <c r="G73" i="21"/>
  <c r="G77" i="21"/>
  <c r="G78" i="21"/>
  <c r="P75" i="21"/>
  <c r="P76" i="21"/>
  <c r="P74" i="21"/>
  <c r="P73" i="21"/>
  <c r="P77" i="21"/>
  <c r="P78" i="21"/>
  <c r="Q75" i="21"/>
  <c r="Q76" i="21"/>
  <c r="Q74" i="21"/>
  <c r="Q73" i="21"/>
  <c r="Q77" i="21"/>
  <c r="Q78" i="21"/>
  <c r="R75" i="21"/>
  <c r="R76" i="21"/>
  <c r="R74" i="21"/>
  <c r="R73" i="21"/>
  <c r="R77" i="21"/>
  <c r="R78" i="21"/>
  <c r="G79" i="21"/>
  <c r="G83" i="21"/>
  <c r="G84" i="21"/>
  <c r="G82" i="21"/>
  <c r="G81" i="21"/>
  <c r="G108" i="21"/>
  <c r="P79" i="21"/>
  <c r="P83" i="21"/>
  <c r="P84" i="21"/>
  <c r="P82" i="21"/>
  <c r="P81" i="21"/>
  <c r="P108" i="21"/>
  <c r="Q79" i="21"/>
  <c r="Q83" i="21"/>
  <c r="Q84" i="21"/>
  <c r="Q82" i="21"/>
  <c r="Q81" i="21"/>
  <c r="Q108" i="21"/>
  <c r="R79" i="21"/>
  <c r="R83" i="21"/>
  <c r="R84" i="21"/>
  <c r="R82" i="21"/>
  <c r="R81" i="21"/>
  <c r="R108" i="21"/>
  <c r="G113" i="18"/>
  <c r="P113" i="18"/>
  <c r="Q113" i="18"/>
  <c r="R113" i="18"/>
  <c r="M143" i="19" l="1"/>
  <c r="M153" i="19"/>
  <c r="M142" i="19" l="1"/>
  <c r="M145" i="19"/>
  <c r="M146" i="19"/>
  <c r="M149" i="19"/>
  <c r="M150" i="19"/>
  <c r="M154" i="19"/>
  <c r="M144" i="19"/>
  <c r="M147" i="19"/>
  <c r="M148" i="19"/>
  <c r="M151" i="19"/>
  <c r="M152" i="19"/>
  <c r="H155" i="19"/>
  <c r="M155" i="19" s="1"/>
  <c r="H140" i="19" l="1"/>
  <c r="M140" i="19" s="1"/>
  <c r="H141" i="19"/>
  <c r="M141" i="19" s="1"/>
  <c r="H189" i="19"/>
  <c r="H169" i="19"/>
  <c r="J189" i="19"/>
  <c r="J169" i="19"/>
  <c r="K189" i="19"/>
  <c r="K169" i="19"/>
  <c r="H176" i="19"/>
  <c r="H181" i="19"/>
  <c r="J176" i="19"/>
  <c r="J181" i="19"/>
  <c r="K176" i="19"/>
  <c r="K181" i="19"/>
  <c r="H190" i="19"/>
  <c r="J190" i="19"/>
  <c r="K190" i="19"/>
  <c r="H180" i="19"/>
  <c r="H183" i="19"/>
  <c r="H162" i="19"/>
  <c r="H177" i="19"/>
  <c r="H163" i="19"/>
  <c r="H174" i="19"/>
  <c r="H165" i="19"/>
  <c r="H178" i="19"/>
  <c r="J180" i="19"/>
  <c r="J183" i="19"/>
  <c r="J162" i="19"/>
  <c r="J177" i="19"/>
  <c r="J163" i="19"/>
  <c r="J174" i="19"/>
  <c r="J165" i="19"/>
  <c r="J178" i="19"/>
  <c r="K180" i="19"/>
  <c r="K183" i="19"/>
  <c r="K162" i="19"/>
  <c r="K177" i="19"/>
  <c r="K163" i="19"/>
  <c r="K174" i="19"/>
  <c r="K165" i="19"/>
  <c r="K178" i="19"/>
  <c r="H184" i="19"/>
  <c r="H164" i="19"/>
  <c r="H166" i="19"/>
  <c r="H182" i="19"/>
  <c r="H167" i="19"/>
  <c r="H170" i="19"/>
  <c r="H171" i="19"/>
  <c r="H172" i="19"/>
  <c r="J184" i="19"/>
  <c r="J164" i="19"/>
  <c r="J166" i="19"/>
  <c r="J182" i="19"/>
  <c r="J167" i="19"/>
  <c r="J170" i="19"/>
  <c r="J171" i="19"/>
  <c r="J172" i="19"/>
  <c r="K184" i="19"/>
  <c r="K164" i="19"/>
  <c r="K166" i="19"/>
  <c r="K182" i="19"/>
  <c r="K167" i="19"/>
  <c r="K170" i="19"/>
  <c r="K171" i="19"/>
  <c r="K172" i="19"/>
  <c r="H179" i="19"/>
  <c r="H168" i="19"/>
  <c r="H175" i="19"/>
  <c r="J179" i="19"/>
  <c r="J168" i="19"/>
  <c r="J175" i="19"/>
  <c r="K179" i="19"/>
  <c r="K168" i="19"/>
  <c r="K175" i="19"/>
  <c r="H185" i="19"/>
  <c r="H186" i="19"/>
  <c r="H187" i="19"/>
  <c r="J185" i="19"/>
  <c r="J186" i="19"/>
  <c r="J187" i="19"/>
  <c r="K185" i="19"/>
  <c r="K186" i="19"/>
  <c r="K187" i="19"/>
  <c r="G33" i="19"/>
  <c r="G97" i="19"/>
  <c r="G41" i="19"/>
  <c r="G9" i="19"/>
  <c r="G15" i="19"/>
  <c r="G30" i="19"/>
  <c r="G63" i="19"/>
  <c r="G64" i="19"/>
  <c r="G65" i="19"/>
  <c r="G66" i="19"/>
  <c r="G67" i="19"/>
  <c r="G68" i="19"/>
  <c r="G70" i="19"/>
  <c r="G71" i="19"/>
  <c r="G31" i="19"/>
  <c r="G51" i="19"/>
  <c r="G52" i="19"/>
  <c r="G83" i="19"/>
  <c r="G85" i="19"/>
  <c r="G86" i="19"/>
  <c r="G36" i="19"/>
  <c r="G88" i="19"/>
  <c r="G89" i="19"/>
  <c r="G77" i="19"/>
  <c r="G10" i="19"/>
  <c r="G32" i="19"/>
  <c r="G90" i="19"/>
  <c r="G53" i="19"/>
  <c r="G91" i="19"/>
  <c r="G78" i="19"/>
  <c r="G72" i="19"/>
  <c r="G93" i="19"/>
  <c r="G57" i="19"/>
  <c r="G11" i="19"/>
  <c r="G73" i="19"/>
  <c r="G12" i="19"/>
  <c r="G74" i="19"/>
  <c r="G24" i="19"/>
  <c r="G42" i="19"/>
  <c r="G43" i="19"/>
  <c r="G44" i="19"/>
  <c r="G45" i="19"/>
  <c r="G79" i="19"/>
  <c r="P33" i="19"/>
  <c r="P97" i="19"/>
  <c r="P41" i="19"/>
  <c r="P9" i="19"/>
  <c r="P15" i="19"/>
  <c r="P30" i="19"/>
  <c r="P63" i="19"/>
  <c r="P64" i="19"/>
  <c r="P65" i="19"/>
  <c r="P66" i="19"/>
  <c r="P67" i="19"/>
  <c r="P68" i="19"/>
  <c r="P70" i="19"/>
  <c r="P71" i="19"/>
  <c r="P31" i="19"/>
  <c r="P51" i="19"/>
  <c r="P52" i="19"/>
  <c r="P83" i="19"/>
  <c r="P85" i="19"/>
  <c r="P86" i="19"/>
  <c r="P36" i="19"/>
  <c r="P88" i="19"/>
  <c r="P89" i="19"/>
  <c r="P77" i="19"/>
  <c r="P10" i="19"/>
  <c r="P32" i="19"/>
  <c r="P90" i="19"/>
  <c r="P53" i="19"/>
  <c r="P91" i="19"/>
  <c r="P78" i="19"/>
  <c r="P72" i="19"/>
  <c r="P93" i="19"/>
  <c r="P57" i="19"/>
  <c r="P11" i="19"/>
  <c r="P73" i="19"/>
  <c r="P12" i="19"/>
  <c r="P74" i="19"/>
  <c r="P24" i="19"/>
  <c r="P42" i="19"/>
  <c r="P43" i="19"/>
  <c r="P44" i="19"/>
  <c r="P45" i="19"/>
  <c r="P79" i="19"/>
  <c r="Q33" i="19"/>
  <c r="Q97" i="19"/>
  <c r="Q41" i="19"/>
  <c r="Q9" i="19"/>
  <c r="Q15" i="19"/>
  <c r="Q30" i="19"/>
  <c r="Q63" i="19"/>
  <c r="Q64" i="19"/>
  <c r="Q65" i="19"/>
  <c r="Q66" i="19"/>
  <c r="Q67" i="19"/>
  <c r="Q68" i="19"/>
  <c r="Q70" i="19"/>
  <c r="Q71" i="19"/>
  <c r="Q31" i="19"/>
  <c r="Q51" i="19"/>
  <c r="Q52" i="19"/>
  <c r="Q83" i="19"/>
  <c r="Q85" i="19"/>
  <c r="Q86" i="19"/>
  <c r="Q36" i="19"/>
  <c r="Q88" i="19"/>
  <c r="Q89" i="19"/>
  <c r="Q77" i="19"/>
  <c r="Q10" i="19"/>
  <c r="Q32" i="19"/>
  <c r="Q90" i="19"/>
  <c r="Q53" i="19"/>
  <c r="Q91" i="19"/>
  <c r="Q78" i="19"/>
  <c r="Q72" i="19"/>
  <c r="Q93" i="19"/>
  <c r="Q57" i="19"/>
  <c r="Q11" i="19"/>
  <c r="Q73" i="19"/>
  <c r="Q12" i="19"/>
  <c r="Q74" i="19"/>
  <c r="Q24" i="19"/>
  <c r="Q42" i="19"/>
  <c r="Q43" i="19"/>
  <c r="Q44" i="19"/>
  <c r="Q45" i="19"/>
  <c r="Q79" i="19"/>
  <c r="R33" i="19"/>
  <c r="R97" i="19"/>
  <c r="R41" i="19"/>
  <c r="R9" i="19"/>
  <c r="R15" i="19"/>
  <c r="R30" i="19"/>
  <c r="R63" i="19"/>
  <c r="R64" i="19"/>
  <c r="R65" i="19"/>
  <c r="R66" i="19"/>
  <c r="R67" i="19"/>
  <c r="R68" i="19"/>
  <c r="R70" i="19"/>
  <c r="R71" i="19"/>
  <c r="R31" i="19"/>
  <c r="R51" i="19"/>
  <c r="R52" i="19"/>
  <c r="R83" i="19"/>
  <c r="R85" i="19"/>
  <c r="R86" i="19"/>
  <c r="R36" i="19"/>
  <c r="R88" i="19"/>
  <c r="R89" i="19"/>
  <c r="R77" i="19"/>
  <c r="R10" i="19"/>
  <c r="R32" i="19"/>
  <c r="R90" i="19"/>
  <c r="R53" i="19"/>
  <c r="R91" i="19"/>
  <c r="R78" i="19"/>
  <c r="R72" i="19"/>
  <c r="R93" i="19"/>
  <c r="R57" i="19"/>
  <c r="R11" i="19"/>
  <c r="R73" i="19"/>
  <c r="R12" i="19"/>
  <c r="R74" i="19"/>
  <c r="R24" i="19"/>
  <c r="R42" i="19"/>
  <c r="R43" i="19"/>
  <c r="R44" i="19"/>
  <c r="R45" i="19"/>
  <c r="R79" i="19"/>
  <c r="G46" i="19"/>
  <c r="G34" i="19"/>
  <c r="G54" i="19"/>
  <c r="G16" i="19"/>
  <c r="G84" i="19"/>
  <c r="G37" i="19"/>
  <c r="G17" i="19"/>
  <c r="G47" i="19"/>
  <c r="G25" i="19"/>
  <c r="G26" i="19"/>
  <c r="G75" i="19"/>
  <c r="G80" i="19"/>
  <c r="G35" i="19"/>
  <c r="G58" i="19"/>
  <c r="G18" i="19"/>
  <c r="G23" i="19"/>
  <c r="G27" i="19"/>
  <c r="G19" i="19"/>
  <c r="G20" i="19"/>
  <c r="G59" i="19"/>
  <c r="G60" i="19"/>
  <c r="G38" i="19"/>
  <c r="G76" i="19"/>
  <c r="G49" i="19"/>
  <c r="G87" i="19"/>
  <c r="G13" i="19"/>
  <c r="G21" i="19"/>
  <c r="G14" i="19"/>
  <c r="G22" i="19"/>
  <c r="G28" i="19"/>
  <c r="G29" i="19"/>
  <c r="G39" i="19"/>
  <c r="G40" i="19"/>
  <c r="G48" i="19"/>
  <c r="G50" i="19"/>
  <c r="G55" i="19"/>
  <c r="G56" i="19"/>
  <c r="G61" i="19"/>
  <c r="G62" i="19"/>
  <c r="G69" i="19"/>
  <c r="G81" i="19"/>
  <c r="G82" i="19"/>
  <c r="P46" i="19"/>
  <c r="P34" i="19"/>
  <c r="P54" i="19"/>
  <c r="P16" i="19"/>
  <c r="P84" i="19"/>
  <c r="P37" i="19"/>
  <c r="P17" i="19"/>
  <c r="P47" i="19"/>
  <c r="P25" i="19"/>
  <c r="P26" i="19"/>
  <c r="P75" i="19"/>
  <c r="P80" i="19"/>
  <c r="P35" i="19"/>
  <c r="P58" i="19"/>
  <c r="P18" i="19"/>
  <c r="P23" i="19"/>
  <c r="P27" i="19"/>
  <c r="P19" i="19"/>
  <c r="P20" i="19"/>
  <c r="P59" i="19"/>
  <c r="P60" i="19"/>
  <c r="P38" i="19"/>
  <c r="P76" i="19"/>
  <c r="P49" i="19"/>
  <c r="P87" i="19"/>
  <c r="P13" i="19"/>
  <c r="P21" i="19"/>
  <c r="P14" i="19"/>
  <c r="P22" i="19"/>
  <c r="P28" i="19"/>
  <c r="P29" i="19"/>
  <c r="P39" i="19"/>
  <c r="P40" i="19"/>
  <c r="P48" i="19"/>
  <c r="P50" i="19"/>
  <c r="P55" i="19"/>
  <c r="P56" i="19"/>
  <c r="P61" i="19"/>
  <c r="P62" i="19"/>
  <c r="P69" i="19"/>
  <c r="P81" i="19"/>
  <c r="P82" i="19"/>
  <c r="Q46" i="19"/>
  <c r="Q34" i="19"/>
  <c r="Q54" i="19"/>
  <c r="Q16" i="19"/>
  <c r="Q84" i="19"/>
  <c r="Q37" i="19"/>
  <c r="Q17" i="19"/>
  <c r="Q47" i="19"/>
  <c r="Q25" i="19"/>
  <c r="Q26" i="19"/>
  <c r="Q75" i="19"/>
  <c r="Q80" i="19"/>
  <c r="Q35" i="19"/>
  <c r="Q58" i="19"/>
  <c r="Q18" i="19"/>
  <c r="Q23" i="19"/>
  <c r="Q27" i="19"/>
  <c r="Q19" i="19"/>
  <c r="Q20" i="19"/>
  <c r="Q59" i="19"/>
  <c r="Q60" i="19"/>
  <c r="Q38" i="19"/>
  <c r="Q76" i="19"/>
  <c r="Q49" i="19"/>
  <c r="Q87" i="19"/>
  <c r="Q13" i="19"/>
  <c r="Q21" i="19"/>
  <c r="Q14" i="19"/>
  <c r="Q22" i="19"/>
  <c r="Q28" i="19"/>
  <c r="Q29" i="19"/>
  <c r="Q39" i="19"/>
  <c r="Q40" i="19"/>
  <c r="Q48" i="19"/>
  <c r="Q50" i="19"/>
  <c r="Q55" i="19"/>
  <c r="Q56" i="19"/>
  <c r="Q61" i="19"/>
  <c r="Q62" i="19"/>
  <c r="Q69" i="19"/>
  <c r="Q81" i="19"/>
  <c r="Q82" i="19"/>
  <c r="R46" i="19"/>
  <c r="R34" i="19"/>
  <c r="R54" i="19"/>
  <c r="R16" i="19"/>
  <c r="R84" i="19"/>
  <c r="R37" i="19"/>
  <c r="R17" i="19"/>
  <c r="R47" i="19"/>
  <c r="R25" i="19"/>
  <c r="R26" i="19"/>
  <c r="R75" i="19"/>
  <c r="R80" i="19"/>
  <c r="R35" i="19"/>
  <c r="R58" i="19"/>
  <c r="R18" i="19"/>
  <c r="R23" i="19"/>
  <c r="R27" i="19"/>
  <c r="R19" i="19"/>
  <c r="R20" i="19"/>
  <c r="R59" i="19"/>
  <c r="R60" i="19"/>
  <c r="R38" i="19"/>
  <c r="R76" i="19"/>
  <c r="R49" i="19"/>
  <c r="R87" i="19"/>
  <c r="R13" i="19"/>
  <c r="R21" i="19"/>
  <c r="R14" i="19"/>
  <c r="R22" i="19"/>
  <c r="R28" i="19"/>
  <c r="R29" i="19"/>
  <c r="R39" i="19"/>
  <c r="R40" i="19"/>
  <c r="R48" i="19"/>
  <c r="R50" i="19"/>
  <c r="R55" i="19"/>
  <c r="R56" i="19"/>
  <c r="R61" i="19"/>
  <c r="R62" i="19"/>
  <c r="R69" i="19"/>
  <c r="R81" i="19"/>
  <c r="R82" i="19"/>
  <c r="G95" i="19"/>
  <c r="G96" i="19"/>
  <c r="G98" i="19"/>
  <c r="P95" i="19"/>
  <c r="P96" i="19"/>
  <c r="P98" i="19"/>
  <c r="Q95" i="19"/>
  <c r="Q96" i="19"/>
  <c r="Q98" i="19"/>
  <c r="R95" i="19"/>
  <c r="R96" i="19"/>
  <c r="R98" i="19"/>
  <c r="H153" i="18" l="1"/>
  <c r="H155" i="18"/>
  <c r="H154" i="18"/>
  <c r="G142" i="18"/>
  <c r="P142" i="18"/>
  <c r="Q142" i="18"/>
  <c r="R142" i="18"/>
  <c r="P19" i="18"/>
  <c r="G107" i="18"/>
  <c r="P107" i="18"/>
  <c r="Q107" i="18"/>
  <c r="R107" i="18"/>
  <c r="G59" i="18"/>
  <c r="P59" i="18"/>
  <c r="Q59" i="18"/>
  <c r="R59" i="18"/>
  <c r="G43" i="18"/>
  <c r="P43" i="18"/>
  <c r="Q43" i="18"/>
  <c r="R43" i="18"/>
  <c r="G9" i="18"/>
  <c r="P9" i="18"/>
  <c r="Q9" i="18"/>
  <c r="R9" i="18"/>
  <c r="G118" i="18"/>
  <c r="P118" i="18"/>
  <c r="Q118" i="18"/>
  <c r="R118" i="18"/>
  <c r="G10" i="18"/>
  <c r="P10" i="18"/>
  <c r="Q10" i="18"/>
  <c r="R10" i="18"/>
  <c r="G54" i="18"/>
  <c r="P54" i="18"/>
  <c r="Q54" i="18"/>
  <c r="R54" i="18"/>
  <c r="G38" i="18"/>
  <c r="P38" i="18"/>
  <c r="Q38" i="18"/>
  <c r="R38" i="18"/>
  <c r="G143" i="18"/>
  <c r="P143" i="18"/>
  <c r="Q143" i="18"/>
  <c r="R143" i="18"/>
  <c r="G144" i="18"/>
  <c r="P144" i="18"/>
  <c r="Q144" i="18"/>
  <c r="R144" i="18"/>
  <c r="G14" i="18"/>
  <c r="G134" i="18"/>
  <c r="G46" i="18"/>
  <c r="G25" i="18"/>
  <c r="G32" i="18"/>
  <c r="G78" i="18"/>
  <c r="G122" i="18"/>
  <c r="G123" i="18"/>
  <c r="G129" i="18"/>
  <c r="G65" i="18"/>
  <c r="G79" i="18"/>
  <c r="G23" i="18"/>
  <c r="G74" i="18"/>
  <c r="G132" i="18"/>
  <c r="P78" i="18"/>
  <c r="P123" i="18"/>
  <c r="P79" i="18"/>
  <c r="P23" i="18"/>
  <c r="P74" i="18"/>
  <c r="P132" i="18"/>
  <c r="P14" i="18"/>
  <c r="P134" i="18"/>
  <c r="P46" i="18"/>
  <c r="P25" i="18"/>
  <c r="P32" i="18"/>
  <c r="P122" i="18"/>
  <c r="P65" i="18"/>
  <c r="Q14" i="18"/>
  <c r="Q134" i="18"/>
  <c r="Q46" i="18"/>
  <c r="Q25" i="18"/>
  <c r="Q32" i="18"/>
  <c r="Q78" i="18"/>
  <c r="Q122" i="18"/>
  <c r="Q123" i="18"/>
  <c r="Q129" i="18"/>
  <c r="Q65" i="18"/>
  <c r="Q79" i="18"/>
  <c r="Q23" i="18"/>
  <c r="Q74" i="18"/>
  <c r="Q132" i="18"/>
  <c r="R14" i="18"/>
  <c r="R134" i="18"/>
  <c r="R46" i="18"/>
  <c r="R25" i="18"/>
  <c r="R32" i="18"/>
  <c r="R78" i="18"/>
  <c r="R122" i="18"/>
  <c r="R123" i="18"/>
  <c r="R129" i="18"/>
  <c r="R65" i="18"/>
  <c r="R79" i="18"/>
  <c r="R23" i="18"/>
  <c r="R74" i="18"/>
  <c r="R132" i="18"/>
  <c r="G40" i="18"/>
  <c r="G42" i="18"/>
  <c r="G41" i="18"/>
  <c r="G45" i="18"/>
  <c r="G44" i="18"/>
  <c r="G53" i="18"/>
  <c r="G48" i="18"/>
  <c r="G51" i="18"/>
  <c r="G50" i="18"/>
  <c r="G49" i="18"/>
  <c r="G52" i="18"/>
  <c r="G47" i="18"/>
  <c r="P42" i="18"/>
  <c r="P41" i="18"/>
  <c r="P45" i="18"/>
  <c r="P44" i="18"/>
  <c r="P53" i="18"/>
  <c r="P48" i="18"/>
  <c r="P51" i="18"/>
  <c r="P50" i="18"/>
  <c r="P49" i="18"/>
  <c r="P47" i="18"/>
  <c r="P40" i="18"/>
  <c r="P52" i="18"/>
  <c r="Q40" i="18"/>
  <c r="Q42" i="18"/>
  <c r="Q41" i="18"/>
  <c r="Q45" i="18"/>
  <c r="Q44" i="18"/>
  <c r="Q53" i="18"/>
  <c r="Q48" i="18"/>
  <c r="Q51" i="18"/>
  <c r="Q50" i="18"/>
  <c r="Q49" i="18"/>
  <c r="Q52" i="18"/>
  <c r="Q47" i="18"/>
  <c r="R40" i="18"/>
  <c r="R42" i="18"/>
  <c r="R41" i="18"/>
  <c r="R45" i="18"/>
  <c r="R44" i="18"/>
  <c r="R53" i="18"/>
  <c r="R48" i="18"/>
  <c r="R51" i="18"/>
  <c r="R50" i="18"/>
  <c r="R49" i="18"/>
  <c r="R52" i="18"/>
  <c r="R47" i="18"/>
  <c r="G58" i="18"/>
  <c r="G61" i="18"/>
  <c r="G60" i="18"/>
  <c r="G56" i="18"/>
  <c r="G57" i="18"/>
  <c r="G55" i="18"/>
  <c r="G62" i="18"/>
  <c r="G63" i="18"/>
  <c r="G64" i="18"/>
  <c r="G66" i="18"/>
  <c r="G67" i="18"/>
  <c r="G68" i="18"/>
  <c r="P60" i="18"/>
  <c r="P56" i="18"/>
  <c r="P57" i="18"/>
  <c r="P55" i="18"/>
  <c r="P62" i="18"/>
  <c r="P63" i="18"/>
  <c r="P64" i="18"/>
  <c r="P66" i="18"/>
  <c r="P67" i="18"/>
  <c r="P68" i="18"/>
  <c r="P58" i="18"/>
  <c r="P61" i="18"/>
  <c r="Q58" i="18"/>
  <c r="Q61" i="18"/>
  <c r="Q60" i="18"/>
  <c r="Q56" i="18"/>
  <c r="Q57" i="18"/>
  <c r="Q55" i="18"/>
  <c r="Q62" i="18"/>
  <c r="Q63" i="18"/>
  <c r="Q64" i="18"/>
  <c r="Q66" i="18"/>
  <c r="Q67" i="18"/>
  <c r="Q68" i="18"/>
  <c r="R58" i="18"/>
  <c r="R61" i="18"/>
  <c r="R60" i="18"/>
  <c r="R56" i="18"/>
  <c r="R57" i="18"/>
  <c r="R55" i="18"/>
  <c r="R62" i="18"/>
  <c r="R63" i="18"/>
  <c r="R64" i="18"/>
  <c r="R66" i="18"/>
  <c r="R67" i="18"/>
  <c r="R68" i="18"/>
  <c r="G70" i="18"/>
  <c r="G69" i="18"/>
  <c r="G73" i="18"/>
  <c r="G72" i="18"/>
  <c r="G71" i="18"/>
  <c r="G81" i="18"/>
  <c r="G77" i="18"/>
  <c r="G80" i="18"/>
  <c r="G106" i="18"/>
  <c r="G76" i="18"/>
  <c r="G108" i="18"/>
  <c r="G75" i="18"/>
  <c r="P71" i="18"/>
  <c r="P81" i="18"/>
  <c r="P77" i="18"/>
  <c r="P80" i="18"/>
  <c r="P106" i="18"/>
  <c r="P76" i="18"/>
  <c r="P108" i="18"/>
  <c r="P75" i="18"/>
  <c r="P70" i="18"/>
  <c r="P69" i="18"/>
  <c r="P73" i="18"/>
  <c r="P72" i="18"/>
  <c r="Q70" i="18"/>
  <c r="Q69" i="18"/>
  <c r="Q73" i="18"/>
  <c r="Q72" i="18"/>
  <c r="Q71" i="18"/>
  <c r="Q81" i="18"/>
  <c r="Q77" i="18"/>
  <c r="Q80" i="18"/>
  <c r="Q106" i="18"/>
  <c r="Q76" i="18"/>
  <c r="Q108" i="18"/>
  <c r="Q75" i="18"/>
  <c r="R70" i="18"/>
  <c r="R69" i="18"/>
  <c r="R73" i="18"/>
  <c r="R72" i="18"/>
  <c r="R71" i="18"/>
  <c r="R81" i="18"/>
  <c r="R77" i="18"/>
  <c r="R80" i="18"/>
  <c r="R106" i="18"/>
  <c r="R76" i="18"/>
  <c r="R108" i="18"/>
  <c r="R75" i="18"/>
  <c r="H166" i="18"/>
  <c r="H167" i="18"/>
  <c r="H168" i="18"/>
  <c r="H169" i="18"/>
  <c r="H170" i="18"/>
  <c r="H171" i="18"/>
  <c r="H172" i="18"/>
  <c r="H173" i="18"/>
  <c r="H174" i="18"/>
  <c r="H175" i="18"/>
  <c r="J166" i="18"/>
  <c r="J167" i="18"/>
  <c r="J168" i="18"/>
  <c r="J169" i="18"/>
  <c r="J170" i="18"/>
  <c r="J171" i="18"/>
  <c r="J172" i="18"/>
  <c r="J173" i="18"/>
  <c r="J174" i="18"/>
  <c r="J175" i="18"/>
  <c r="K166" i="18"/>
  <c r="K167" i="18"/>
  <c r="K168" i="18"/>
  <c r="K169" i="18"/>
  <c r="K170" i="18"/>
  <c r="K171" i="18"/>
  <c r="K172" i="18"/>
  <c r="K173" i="18"/>
  <c r="K174" i="18"/>
  <c r="K175" i="18"/>
  <c r="H163" i="18"/>
  <c r="H164" i="18"/>
  <c r="H165" i="18"/>
  <c r="J163" i="18"/>
  <c r="J164" i="18"/>
  <c r="J165" i="18"/>
  <c r="K163" i="18"/>
  <c r="K164" i="18"/>
  <c r="K165" i="18"/>
  <c r="H176" i="18"/>
  <c r="H177" i="18"/>
  <c r="H178" i="18"/>
  <c r="J176" i="18"/>
  <c r="J177" i="18"/>
  <c r="J178" i="18"/>
  <c r="K176" i="18"/>
  <c r="K177" i="18"/>
  <c r="K178" i="18"/>
  <c r="H179" i="18"/>
  <c r="H180" i="18"/>
  <c r="H181" i="18"/>
  <c r="J179" i="18"/>
  <c r="J180" i="18"/>
  <c r="J181" i="18"/>
  <c r="K179" i="18"/>
  <c r="K180" i="18"/>
  <c r="K181" i="18"/>
  <c r="H182" i="18"/>
  <c r="H183" i="18"/>
  <c r="H184" i="18"/>
  <c r="J182" i="18"/>
  <c r="J183" i="18"/>
  <c r="J184" i="18"/>
  <c r="K182" i="18"/>
  <c r="K183" i="18"/>
  <c r="K184" i="18"/>
  <c r="H185" i="18"/>
  <c r="H186" i="18"/>
  <c r="H187" i="18"/>
  <c r="J185" i="18"/>
  <c r="J186" i="18"/>
  <c r="J187" i="18"/>
  <c r="K185" i="18"/>
  <c r="K186" i="18"/>
  <c r="K187" i="18"/>
  <c r="H188" i="18"/>
  <c r="H189" i="18"/>
  <c r="H190" i="18"/>
  <c r="J188" i="18"/>
  <c r="J189" i="18"/>
  <c r="J190" i="18"/>
  <c r="K188" i="18"/>
  <c r="K189" i="18"/>
  <c r="K190" i="18"/>
  <c r="G11" i="18"/>
  <c r="G19" i="18"/>
  <c r="G18" i="18"/>
  <c r="G12" i="18"/>
  <c r="G17" i="18"/>
  <c r="G16" i="18"/>
  <c r="G15" i="18"/>
  <c r="P11" i="18"/>
  <c r="P18" i="18"/>
  <c r="P12" i="18"/>
  <c r="P17" i="18"/>
  <c r="P16" i="18"/>
  <c r="P15" i="18"/>
  <c r="Q11" i="18"/>
  <c r="Q19" i="18"/>
  <c r="Q18" i="18"/>
  <c r="Q12" i="18"/>
  <c r="Q17" i="18"/>
  <c r="Q16" i="18"/>
  <c r="Q15" i="18"/>
  <c r="R11" i="18"/>
  <c r="R19" i="18"/>
  <c r="R18" i="18"/>
  <c r="R12" i="18"/>
  <c r="R17" i="18"/>
  <c r="R16" i="18"/>
  <c r="R15" i="18"/>
  <c r="G20" i="18"/>
  <c r="G21" i="18"/>
  <c r="G22" i="18"/>
  <c r="G29" i="18"/>
  <c r="G30" i="18"/>
  <c r="G31" i="18"/>
  <c r="G35" i="18"/>
  <c r="P20" i="18"/>
  <c r="P21" i="18"/>
  <c r="P22" i="18"/>
  <c r="P29" i="18"/>
  <c r="P30" i="18"/>
  <c r="P31" i="18"/>
  <c r="P35" i="18"/>
  <c r="Q20" i="18"/>
  <c r="Q21" i="18"/>
  <c r="Q22" i="18"/>
  <c r="Q29" i="18"/>
  <c r="Q30" i="18"/>
  <c r="Q31" i="18"/>
  <c r="Q35" i="18"/>
  <c r="R20" i="18"/>
  <c r="R21" i="18"/>
  <c r="R22" i="18"/>
  <c r="R29" i="18"/>
  <c r="R30" i="18"/>
  <c r="R31" i="18"/>
  <c r="R35" i="18"/>
  <c r="G34" i="18"/>
  <c r="G28" i="18"/>
  <c r="G33" i="18"/>
  <c r="G26" i="18"/>
  <c r="G24" i="18"/>
  <c r="G27" i="18"/>
  <c r="G36" i="18"/>
  <c r="P34" i="18"/>
  <c r="P28" i="18"/>
  <c r="P33" i="18"/>
  <c r="P26" i="18"/>
  <c r="P24" i="18"/>
  <c r="P27" i="18"/>
  <c r="P36" i="18"/>
  <c r="Q34" i="18"/>
  <c r="Q28" i="18"/>
  <c r="Q33" i="18"/>
  <c r="Q26" i="18"/>
  <c r="Q24" i="18"/>
  <c r="Q27" i="18"/>
  <c r="Q36" i="18"/>
  <c r="R34" i="18"/>
  <c r="R28" i="18"/>
  <c r="R33" i="18"/>
  <c r="R26" i="18"/>
  <c r="R24" i="18"/>
  <c r="R27" i="18"/>
  <c r="R36" i="18"/>
  <c r="G39" i="18"/>
  <c r="G37" i="18"/>
  <c r="G109" i="18"/>
  <c r="G111" i="18"/>
  <c r="G112" i="18"/>
  <c r="G110" i="18"/>
  <c r="G116" i="18"/>
  <c r="P39" i="18"/>
  <c r="P37" i="18"/>
  <c r="P109" i="18"/>
  <c r="P111" i="18"/>
  <c r="P112" i="18"/>
  <c r="P110" i="18"/>
  <c r="P116" i="18"/>
  <c r="Q39" i="18"/>
  <c r="Q37" i="18"/>
  <c r="Q109" i="18"/>
  <c r="Q111" i="18"/>
  <c r="Q112" i="18"/>
  <c r="Q110" i="18"/>
  <c r="Q116" i="18"/>
  <c r="R39" i="18"/>
  <c r="R37" i="18"/>
  <c r="R109" i="18"/>
  <c r="R111" i="18"/>
  <c r="R112" i="18"/>
  <c r="R110" i="18"/>
  <c r="R116" i="18"/>
  <c r="G114" i="18"/>
  <c r="G115" i="18"/>
  <c r="G117" i="18"/>
  <c r="G119" i="18"/>
  <c r="G120" i="18"/>
  <c r="G121" i="18"/>
  <c r="G124" i="18"/>
  <c r="P114" i="18"/>
  <c r="P115" i="18"/>
  <c r="P117" i="18"/>
  <c r="P119" i="18"/>
  <c r="P120" i="18"/>
  <c r="P121" i="18"/>
  <c r="P124" i="18"/>
  <c r="Q114" i="18"/>
  <c r="Q115" i="18"/>
  <c r="Q117" i="18"/>
  <c r="Q119" i="18"/>
  <c r="Q120" i="18"/>
  <c r="Q121" i="18"/>
  <c r="Q124" i="18"/>
  <c r="R114" i="18"/>
  <c r="R115" i="18"/>
  <c r="R117" i="18"/>
  <c r="R119" i="18"/>
  <c r="R120" i="18"/>
  <c r="R121" i="18"/>
  <c r="R124" i="18"/>
  <c r="G126" i="18"/>
  <c r="G125" i="18"/>
  <c r="G127" i="18"/>
  <c r="G131" i="18"/>
  <c r="G128" i="18"/>
  <c r="G130" i="18"/>
  <c r="G138" i="18"/>
  <c r="P126" i="18"/>
  <c r="P125" i="18"/>
  <c r="P127" i="18"/>
  <c r="P131" i="18"/>
  <c r="P128" i="18"/>
  <c r="P130" i="18"/>
  <c r="P138" i="18"/>
  <c r="Q126" i="18"/>
  <c r="Q125" i="18"/>
  <c r="Q127" i="18"/>
  <c r="Q131" i="18"/>
  <c r="Q128" i="18"/>
  <c r="Q130" i="18"/>
  <c r="Q138" i="18"/>
  <c r="R126" i="18"/>
  <c r="R125" i="18"/>
  <c r="R127" i="18"/>
  <c r="R131" i="18"/>
  <c r="R128" i="18"/>
  <c r="R130" i="18"/>
  <c r="R138" i="18"/>
  <c r="P129" i="18" l="1"/>
  <c r="I146" i="18"/>
  <c r="G39" i="15"/>
  <c r="P39" i="15"/>
  <c r="Q39" i="15"/>
  <c r="R39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H157" i="15"/>
  <c r="H173" i="15"/>
  <c r="H174" i="15"/>
  <c r="H175" i="15"/>
  <c r="H176" i="15"/>
  <c r="H177" i="15"/>
  <c r="H178" i="15"/>
  <c r="J157" i="15"/>
  <c r="J173" i="15"/>
  <c r="J174" i="15"/>
  <c r="J175" i="15"/>
  <c r="J176" i="15"/>
  <c r="J177" i="15"/>
  <c r="J178" i="15"/>
  <c r="K157" i="15"/>
  <c r="K173" i="15"/>
  <c r="K174" i="15"/>
  <c r="K175" i="15"/>
  <c r="K176" i="15"/>
  <c r="K177" i="15"/>
  <c r="K178" i="15"/>
  <c r="H179" i="15"/>
  <c r="H180" i="15"/>
  <c r="H181" i="15"/>
  <c r="H182" i="15"/>
  <c r="H183" i="15"/>
  <c r="H184" i="15"/>
  <c r="H185" i="15"/>
  <c r="J179" i="15"/>
  <c r="J180" i="15"/>
  <c r="J181" i="15"/>
  <c r="J182" i="15"/>
  <c r="J183" i="15"/>
  <c r="J184" i="15"/>
  <c r="J185" i="15"/>
  <c r="K179" i="15"/>
  <c r="K180" i="15"/>
  <c r="K181" i="15"/>
  <c r="K182" i="15"/>
  <c r="K183" i="15"/>
  <c r="K184" i="15"/>
  <c r="K185" i="15"/>
  <c r="H186" i="15"/>
  <c r="H187" i="15"/>
  <c r="H188" i="15"/>
  <c r="H189" i="15"/>
  <c r="H190" i="15"/>
  <c r="J186" i="15"/>
  <c r="J187" i="15"/>
  <c r="J188" i="15"/>
  <c r="K186" i="15"/>
  <c r="K187" i="15"/>
  <c r="K188" i="15"/>
  <c r="G11" i="15" l="1"/>
  <c r="G9" i="15"/>
  <c r="G12" i="15"/>
  <c r="G13" i="15"/>
  <c r="G14" i="15"/>
  <c r="G15" i="15"/>
  <c r="G18" i="15"/>
  <c r="G19" i="15"/>
  <c r="G21" i="15"/>
  <c r="G22" i="15"/>
  <c r="G23" i="15"/>
  <c r="G20" i="15"/>
  <c r="G24" i="15"/>
  <c r="G25" i="15"/>
  <c r="G26" i="15"/>
  <c r="G27" i="15"/>
  <c r="G28" i="15"/>
  <c r="G29" i="15"/>
  <c r="G30" i="15"/>
  <c r="G31" i="15"/>
  <c r="G33" i="15"/>
  <c r="G34" i="15"/>
  <c r="G35" i="15"/>
  <c r="G32" i="15"/>
  <c r="G36" i="15"/>
  <c r="G37" i="15"/>
  <c r="G38" i="15"/>
  <c r="G40" i="15"/>
  <c r="G41" i="15"/>
  <c r="G42" i="15"/>
  <c r="G46" i="15"/>
  <c r="G47" i="15"/>
  <c r="G48" i="15"/>
  <c r="G49" i="15"/>
  <c r="G50" i="15"/>
  <c r="G52" i="15"/>
  <c r="G57" i="15"/>
  <c r="G58" i="15"/>
  <c r="G59" i="15"/>
  <c r="P11" i="15"/>
  <c r="P9" i="15"/>
  <c r="P12" i="15"/>
  <c r="P13" i="15"/>
  <c r="P14" i="15"/>
  <c r="P15" i="15"/>
  <c r="P18" i="15"/>
  <c r="P19" i="15"/>
  <c r="P21" i="15"/>
  <c r="P22" i="15"/>
  <c r="P23" i="15"/>
  <c r="P20" i="15"/>
  <c r="P24" i="15"/>
  <c r="P25" i="15"/>
  <c r="P26" i="15"/>
  <c r="P28" i="15"/>
  <c r="P29" i="15"/>
  <c r="P30" i="15"/>
  <c r="P31" i="15"/>
  <c r="P33" i="15"/>
  <c r="P34" i="15"/>
  <c r="P35" i="15"/>
  <c r="P32" i="15"/>
  <c r="P36" i="15"/>
  <c r="P38" i="15"/>
  <c r="P40" i="15"/>
  <c r="P41" i="15"/>
  <c r="P46" i="15"/>
  <c r="P47" i="15"/>
  <c r="P48" i="15"/>
  <c r="P49" i="15"/>
  <c r="P50" i="15"/>
  <c r="P52" i="15"/>
  <c r="P57" i="15"/>
  <c r="P55" i="15"/>
  <c r="P58" i="15"/>
  <c r="P59" i="15"/>
  <c r="P27" i="15"/>
  <c r="P37" i="15"/>
  <c r="P42" i="15"/>
  <c r="Q11" i="15"/>
  <c r="Q9" i="15"/>
  <c r="Q12" i="15"/>
  <c r="Q13" i="15"/>
  <c r="Q14" i="15"/>
  <c r="Q15" i="15"/>
  <c r="Q18" i="15"/>
  <c r="Q19" i="15"/>
  <c r="Q21" i="15"/>
  <c r="Q22" i="15"/>
  <c r="Q23" i="15"/>
  <c r="Q20" i="15"/>
  <c r="Q24" i="15"/>
  <c r="Q25" i="15"/>
  <c r="Q26" i="15"/>
  <c r="Q27" i="15"/>
  <c r="Q28" i="15"/>
  <c r="Q29" i="15"/>
  <c r="Q30" i="15"/>
  <c r="Q31" i="15"/>
  <c r="Q33" i="15"/>
  <c r="Q34" i="15"/>
  <c r="Q35" i="15"/>
  <c r="Q32" i="15"/>
  <c r="Q36" i="15"/>
  <c r="Q37" i="15"/>
  <c r="Q38" i="15"/>
  <c r="Q40" i="15"/>
  <c r="Q41" i="15"/>
  <c r="Q42" i="15"/>
  <c r="Q46" i="15"/>
  <c r="Q47" i="15"/>
  <c r="Q48" i="15"/>
  <c r="Q49" i="15"/>
  <c r="Q50" i="15"/>
  <c r="Q52" i="15"/>
  <c r="Q57" i="15"/>
  <c r="Q55" i="15"/>
  <c r="Q58" i="15"/>
  <c r="Q59" i="15"/>
  <c r="R11" i="15"/>
  <c r="R9" i="15"/>
  <c r="R12" i="15"/>
  <c r="R13" i="15"/>
  <c r="R14" i="15"/>
  <c r="R15" i="15"/>
  <c r="R18" i="15"/>
  <c r="R19" i="15"/>
  <c r="R21" i="15"/>
  <c r="R22" i="15"/>
  <c r="R23" i="15"/>
  <c r="R20" i="15"/>
  <c r="R24" i="15"/>
  <c r="R25" i="15"/>
  <c r="R26" i="15"/>
  <c r="R27" i="15"/>
  <c r="R28" i="15"/>
  <c r="R29" i="15"/>
  <c r="R30" i="15"/>
  <c r="R31" i="15"/>
  <c r="R33" i="15"/>
  <c r="R34" i="15"/>
  <c r="R35" i="15"/>
  <c r="R32" i="15"/>
  <c r="R36" i="15"/>
  <c r="R37" i="15"/>
  <c r="R38" i="15"/>
  <c r="R40" i="15"/>
  <c r="R41" i="15"/>
  <c r="R42" i="15"/>
  <c r="R46" i="15"/>
  <c r="R47" i="15"/>
  <c r="R48" i="15"/>
  <c r="R49" i="15"/>
  <c r="R50" i="15"/>
  <c r="R52" i="15"/>
  <c r="R57" i="15"/>
  <c r="R55" i="15"/>
  <c r="R58" i="15"/>
  <c r="R59" i="15"/>
  <c r="G60" i="15"/>
  <c r="G61" i="15"/>
  <c r="G62" i="15"/>
  <c r="G63" i="15"/>
  <c r="G64" i="15"/>
  <c r="G66" i="15"/>
  <c r="G65" i="15"/>
  <c r="G67" i="15"/>
  <c r="G69" i="15"/>
  <c r="G68" i="15"/>
  <c r="G70" i="15"/>
  <c r="G73" i="15"/>
  <c r="G74" i="15"/>
  <c r="G75" i="15"/>
  <c r="G82" i="15"/>
  <c r="G83" i="15"/>
  <c r="G77" i="15"/>
  <c r="G78" i="15"/>
  <c r="G79" i="15"/>
  <c r="G85" i="15"/>
  <c r="G86" i="15"/>
  <c r="G87" i="15"/>
  <c r="G80" i="15"/>
  <c r="G90" i="15"/>
  <c r="G91" i="15"/>
  <c r="G92" i="15"/>
  <c r="G93" i="15"/>
  <c r="G94" i="15"/>
  <c r="G95" i="15"/>
  <c r="G96" i="15"/>
  <c r="G97" i="15"/>
  <c r="G98" i="15"/>
  <c r="G99" i="15"/>
  <c r="G100" i="15"/>
  <c r="G102" i="15"/>
  <c r="G105" i="15"/>
  <c r="G103" i="15"/>
  <c r="G108" i="15"/>
  <c r="G109" i="15"/>
  <c r="G107" i="15"/>
  <c r="P64" i="15"/>
  <c r="P66" i="15"/>
  <c r="P65" i="15"/>
  <c r="P67" i="15"/>
  <c r="P68" i="15"/>
  <c r="P70" i="15"/>
  <c r="P73" i="15"/>
  <c r="P74" i="15"/>
  <c r="P75" i="15"/>
  <c r="P82" i="15"/>
  <c r="P83" i="15"/>
  <c r="P77" i="15"/>
  <c r="P78" i="15"/>
  <c r="P79" i="15"/>
  <c r="P85" i="15"/>
  <c r="P86" i="15"/>
  <c r="P87" i="15"/>
  <c r="P80" i="15"/>
  <c r="P90" i="15"/>
  <c r="P91" i="15"/>
  <c r="P92" i="15"/>
  <c r="P93" i="15"/>
  <c r="P94" i="15"/>
  <c r="P95" i="15"/>
  <c r="P96" i="15"/>
  <c r="P97" i="15"/>
  <c r="P98" i="15"/>
  <c r="P99" i="15"/>
  <c r="P100" i="15"/>
  <c r="P102" i="15"/>
  <c r="P105" i="15"/>
  <c r="P103" i="15"/>
  <c r="P108" i="15"/>
  <c r="P109" i="15"/>
  <c r="P107" i="15"/>
  <c r="P60" i="15"/>
  <c r="P61" i="15"/>
  <c r="P62" i="15"/>
  <c r="P63" i="15"/>
  <c r="P69" i="15"/>
  <c r="Q60" i="15"/>
  <c r="Q61" i="15"/>
  <c r="Q62" i="15"/>
  <c r="Q63" i="15"/>
  <c r="Q64" i="15"/>
  <c r="Q66" i="15"/>
  <c r="Q65" i="15"/>
  <c r="Q67" i="15"/>
  <c r="Q69" i="15"/>
  <c r="Q68" i="15"/>
  <c r="Q70" i="15"/>
  <c r="Q73" i="15"/>
  <c r="Q74" i="15"/>
  <c r="Q75" i="15"/>
  <c r="Q82" i="15"/>
  <c r="Q83" i="15"/>
  <c r="Q77" i="15"/>
  <c r="Q78" i="15"/>
  <c r="Q79" i="15"/>
  <c r="Q85" i="15"/>
  <c r="Q86" i="15"/>
  <c r="Q87" i="15"/>
  <c r="Q80" i="15"/>
  <c r="Q90" i="15"/>
  <c r="Q91" i="15"/>
  <c r="Q92" i="15"/>
  <c r="Q93" i="15"/>
  <c r="Q96" i="15"/>
  <c r="Q97" i="15"/>
  <c r="Q98" i="15"/>
  <c r="Q99" i="15"/>
  <c r="Q100" i="15"/>
  <c r="Q102" i="15"/>
  <c r="Q105" i="15"/>
  <c r="Q103" i="15"/>
  <c r="Q108" i="15"/>
  <c r="Q109" i="15"/>
  <c r="Q107" i="15"/>
  <c r="R60" i="15"/>
  <c r="R61" i="15"/>
  <c r="R62" i="15"/>
  <c r="R63" i="15"/>
  <c r="R64" i="15"/>
  <c r="R66" i="15"/>
  <c r="R65" i="15"/>
  <c r="R67" i="15"/>
  <c r="R69" i="15"/>
  <c r="R68" i="15"/>
  <c r="R70" i="15"/>
  <c r="R73" i="15"/>
  <c r="R74" i="15"/>
  <c r="R75" i="15"/>
  <c r="R82" i="15"/>
  <c r="R83" i="15"/>
  <c r="R77" i="15"/>
  <c r="R78" i="15"/>
  <c r="R79" i="15"/>
  <c r="R85" i="15"/>
  <c r="R86" i="15"/>
  <c r="R87" i="15"/>
  <c r="R80" i="15"/>
  <c r="R90" i="15"/>
  <c r="R91" i="15"/>
  <c r="R92" i="15"/>
  <c r="R93" i="15"/>
  <c r="R94" i="15"/>
  <c r="R95" i="15"/>
  <c r="R96" i="15"/>
  <c r="R97" i="15"/>
  <c r="R98" i="15"/>
  <c r="R99" i="15"/>
  <c r="R100" i="15"/>
  <c r="R102" i="15"/>
  <c r="R105" i="15"/>
  <c r="R103" i="15"/>
  <c r="R108" i="15"/>
  <c r="R109" i="15"/>
  <c r="R107" i="15"/>
  <c r="G110" i="15"/>
  <c r="G119" i="15"/>
  <c r="G120" i="15"/>
  <c r="G118" i="15"/>
  <c r="G121" i="15"/>
  <c r="G45" i="15"/>
  <c r="G81" i="15"/>
  <c r="G16" i="15"/>
  <c r="G17" i="15"/>
  <c r="G43" i="15"/>
  <c r="G51" i="15"/>
  <c r="G53" i="15"/>
  <c r="G72" i="15"/>
  <c r="G76" i="15"/>
  <c r="G88" i="15"/>
  <c r="G101" i="15"/>
  <c r="G117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22" i="15"/>
  <c r="G84" i="15"/>
  <c r="G89" i="15"/>
  <c r="G56" i="15"/>
  <c r="G71" i="15"/>
  <c r="G104" i="15"/>
  <c r="G106" i="15"/>
  <c r="G54" i="15"/>
  <c r="G44" i="15"/>
  <c r="G135" i="15"/>
  <c r="G136" i="15"/>
  <c r="P110" i="15"/>
  <c r="P119" i="15"/>
  <c r="P120" i="15"/>
  <c r="P121" i="15"/>
  <c r="P45" i="15"/>
  <c r="P81" i="15"/>
  <c r="P16" i="15"/>
  <c r="P17" i="15"/>
  <c r="P43" i="15"/>
  <c r="P51" i="15"/>
  <c r="P53" i="15"/>
  <c r="P72" i="15"/>
  <c r="P76" i="15"/>
  <c r="P88" i="15"/>
  <c r="P101" i="15"/>
  <c r="P117" i="15"/>
  <c r="P123" i="15"/>
  <c r="P124" i="15"/>
  <c r="P125" i="15"/>
  <c r="P126" i="15"/>
  <c r="P127" i="15"/>
  <c r="P128" i="15"/>
  <c r="P129" i="15"/>
  <c r="P130" i="15"/>
  <c r="P131" i="15"/>
  <c r="P132" i="15"/>
  <c r="P133" i="15"/>
  <c r="P134" i="15"/>
  <c r="P122" i="15"/>
  <c r="P84" i="15"/>
  <c r="P89" i="15"/>
  <c r="P71" i="15"/>
  <c r="P104" i="15"/>
  <c r="P106" i="15"/>
  <c r="P54" i="15"/>
  <c r="P44" i="15"/>
  <c r="P135" i="15"/>
  <c r="P136" i="15"/>
  <c r="P118" i="15"/>
  <c r="P56" i="15"/>
  <c r="Q110" i="15"/>
  <c r="Q119" i="15"/>
  <c r="Q120" i="15"/>
  <c r="Q118" i="15"/>
  <c r="Q121" i="15"/>
  <c r="Q45" i="15"/>
  <c r="Q81" i="15"/>
  <c r="Q16" i="15"/>
  <c r="Q17" i="15"/>
  <c r="Q43" i="15"/>
  <c r="Q51" i="15"/>
  <c r="Q53" i="15"/>
  <c r="Q72" i="15"/>
  <c r="Q76" i="15"/>
  <c r="Q88" i="15"/>
  <c r="Q101" i="15"/>
  <c r="Q117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22" i="15"/>
  <c r="Q84" i="15"/>
  <c r="Q89" i="15"/>
  <c r="Q56" i="15"/>
  <c r="Q71" i="15"/>
  <c r="Q104" i="15"/>
  <c r="Q106" i="15"/>
  <c r="Q54" i="15"/>
  <c r="Q44" i="15"/>
  <c r="Q135" i="15"/>
  <c r="Q136" i="15"/>
  <c r="R110" i="15"/>
  <c r="R119" i="15"/>
  <c r="R120" i="15"/>
  <c r="R118" i="15"/>
  <c r="R121" i="15"/>
  <c r="R45" i="15"/>
  <c r="R81" i="15"/>
  <c r="R16" i="15"/>
  <c r="R17" i="15"/>
  <c r="R43" i="15"/>
  <c r="R51" i="15"/>
  <c r="R53" i="15"/>
  <c r="R72" i="15"/>
  <c r="R76" i="15"/>
  <c r="R88" i="15"/>
  <c r="R101" i="15"/>
  <c r="R117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22" i="15"/>
  <c r="R84" i="15"/>
  <c r="R89" i="15"/>
  <c r="R56" i="15"/>
  <c r="R71" i="15"/>
  <c r="R104" i="15"/>
  <c r="R106" i="15"/>
  <c r="R54" i="15"/>
  <c r="R44" i="15"/>
  <c r="R135" i="15"/>
  <c r="R136" i="15"/>
  <c r="G137" i="15"/>
  <c r="G138" i="15"/>
  <c r="G139" i="15"/>
  <c r="P137" i="15"/>
  <c r="P138" i="15"/>
  <c r="P139" i="15"/>
  <c r="Q137" i="15"/>
  <c r="Q138" i="15"/>
  <c r="Q139" i="15"/>
  <c r="R137" i="15"/>
  <c r="R138" i="15"/>
  <c r="R139" i="15"/>
  <c r="G10" i="15"/>
  <c r="P10" i="15"/>
  <c r="Q10" i="15"/>
  <c r="R10" i="15"/>
  <c r="H154" i="13" l="1"/>
  <c r="H155" i="13"/>
  <c r="H156" i="13"/>
  <c r="G217" i="13" l="1"/>
  <c r="G218" i="13"/>
  <c r="G219" i="13"/>
  <c r="G220" i="13"/>
  <c r="I217" i="13"/>
  <c r="L217" i="13" s="1"/>
  <c r="I218" i="13"/>
  <c r="L218" i="13" s="1"/>
  <c r="I219" i="13"/>
  <c r="L219" i="13" s="1"/>
  <c r="I220" i="13"/>
  <c r="L220" i="13" s="1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H166" i="13"/>
  <c r="H167" i="13"/>
  <c r="H168" i="13"/>
  <c r="H169" i="13"/>
  <c r="H170" i="13"/>
  <c r="J166" i="13"/>
  <c r="J167" i="13"/>
  <c r="J168" i="13"/>
  <c r="J169" i="13"/>
  <c r="J170" i="13"/>
  <c r="K166" i="13"/>
  <c r="K167" i="13"/>
  <c r="K168" i="13"/>
  <c r="K169" i="13"/>
  <c r="K170" i="13"/>
  <c r="H163" i="13"/>
  <c r="H164" i="13"/>
  <c r="H165" i="13"/>
  <c r="J163" i="13"/>
  <c r="J164" i="13"/>
  <c r="J165" i="13"/>
  <c r="K163" i="13"/>
  <c r="K164" i="13"/>
  <c r="K165" i="13"/>
  <c r="G21" i="13" l="1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P21" i="13"/>
  <c r="P22" i="13"/>
  <c r="P23" i="13"/>
  <c r="P24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25" i="13"/>
  <c r="P26" i="13"/>
  <c r="P27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G41" i="13"/>
  <c r="G42" i="13"/>
  <c r="G43" i="13"/>
  <c r="G44" i="13"/>
  <c r="G45" i="13"/>
  <c r="G46" i="13"/>
  <c r="G47" i="13"/>
  <c r="G48" i="13"/>
  <c r="G49" i="13"/>
  <c r="G51" i="13"/>
  <c r="G52" i="13"/>
  <c r="G53" i="13"/>
  <c r="G54" i="13"/>
  <c r="G55" i="13"/>
  <c r="G56" i="13"/>
  <c r="G57" i="13"/>
  <c r="G58" i="13"/>
  <c r="G59" i="13"/>
  <c r="G60" i="13"/>
  <c r="G61" i="13"/>
  <c r="P41" i="13"/>
  <c r="P42" i="13"/>
  <c r="P43" i="13"/>
  <c r="P45" i="13"/>
  <c r="P46" i="13"/>
  <c r="P47" i="13"/>
  <c r="P48" i="13"/>
  <c r="P49" i="13"/>
  <c r="P51" i="13"/>
  <c r="P52" i="13"/>
  <c r="P53" i="13"/>
  <c r="P54" i="13"/>
  <c r="P55" i="13"/>
  <c r="P56" i="13"/>
  <c r="P57" i="13"/>
  <c r="P58" i="13"/>
  <c r="P59" i="13"/>
  <c r="P60" i="13"/>
  <c r="P61" i="13"/>
  <c r="P44" i="13"/>
  <c r="Q41" i="13"/>
  <c r="Q42" i="13"/>
  <c r="Q43" i="13"/>
  <c r="Q44" i="13"/>
  <c r="Q45" i="13"/>
  <c r="Q46" i="13"/>
  <c r="Q47" i="13"/>
  <c r="Q48" i="13"/>
  <c r="Q49" i="13"/>
  <c r="Q51" i="13"/>
  <c r="Q52" i="13"/>
  <c r="Q53" i="13"/>
  <c r="Q54" i="13"/>
  <c r="Q55" i="13"/>
  <c r="Q56" i="13"/>
  <c r="Q57" i="13"/>
  <c r="Q58" i="13"/>
  <c r="Q59" i="13"/>
  <c r="Q60" i="13"/>
  <c r="Q61" i="13"/>
  <c r="R41" i="13"/>
  <c r="R42" i="13"/>
  <c r="R43" i="13"/>
  <c r="R44" i="13"/>
  <c r="R45" i="13"/>
  <c r="R46" i="13"/>
  <c r="R47" i="13"/>
  <c r="R48" i="13"/>
  <c r="R49" i="13"/>
  <c r="R51" i="13"/>
  <c r="R52" i="13"/>
  <c r="R53" i="13"/>
  <c r="R54" i="13"/>
  <c r="R55" i="13"/>
  <c r="R56" i="13"/>
  <c r="R57" i="13"/>
  <c r="R58" i="13"/>
  <c r="R59" i="13"/>
  <c r="R60" i="13"/>
  <c r="R61" i="13"/>
  <c r="G62" i="13"/>
  <c r="G64" i="13"/>
  <c r="G65" i="13"/>
  <c r="G66" i="13"/>
  <c r="G67" i="13"/>
  <c r="G68" i="13"/>
  <c r="G69" i="13"/>
  <c r="G113" i="13"/>
  <c r="G114" i="13"/>
  <c r="G115" i="13"/>
  <c r="G117" i="13"/>
  <c r="G118" i="13"/>
  <c r="G119" i="13"/>
  <c r="G120" i="13"/>
  <c r="G121" i="13"/>
  <c r="G122" i="13"/>
  <c r="G123" i="13"/>
  <c r="G124" i="13"/>
  <c r="G125" i="13"/>
  <c r="G127" i="13"/>
  <c r="P62" i="13"/>
  <c r="P64" i="13"/>
  <c r="P65" i="13"/>
  <c r="P66" i="13"/>
  <c r="P67" i="13"/>
  <c r="P68" i="13"/>
  <c r="P69" i="13"/>
  <c r="P113" i="13"/>
  <c r="P114" i="13"/>
  <c r="P115" i="13"/>
  <c r="P117" i="13"/>
  <c r="P118" i="13"/>
  <c r="P119" i="13"/>
  <c r="P120" i="13"/>
  <c r="P121" i="13"/>
  <c r="P122" i="13"/>
  <c r="P123" i="13"/>
  <c r="P124" i="13"/>
  <c r="P125" i="13"/>
  <c r="P127" i="13"/>
  <c r="Q62" i="13"/>
  <c r="Q64" i="13"/>
  <c r="Q65" i="13"/>
  <c r="Q66" i="13"/>
  <c r="Q67" i="13"/>
  <c r="Q68" i="13"/>
  <c r="Q69" i="13"/>
  <c r="Q113" i="13"/>
  <c r="Q114" i="13"/>
  <c r="Q115" i="13"/>
  <c r="Q117" i="13"/>
  <c r="Q118" i="13"/>
  <c r="Q119" i="13"/>
  <c r="Q120" i="13"/>
  <c r="Q121" i="13"/>
  <c r="Q122" i="13"/>
  <c r="Q123" i="13"/>
  <c r="Q124" i="13"/>
  <c r="Q125" i="13"/>
  <c r="Q127" i="13"/>
  <c r="R62" i="13"/>
  <c r="R64" i="13"/>
  <c r="R65" i="13"/>
  <c r="R66" i="13"/>
  <c r="R67" i="13"/>
  <c r="R68" i="13"/>
  <c r="R69" i="13"/>
  <c r="R113" i="13"/>
  <c r="R114" i="13"/>
  <c r="R115" i="13"/>
  <c r="R117" i="13"/>
  <c r="R118" i="13"/>
  <c r="R119" i="13"/>
  <c r="R120" i="13"/>
  <c r="R121" i="13"/>
  <c r="R122" i="13"/>
  <c r="R123" i="13"/>
  <c r="R124" i="13"/>
  <c r="R125" i="13"/>
  <c r="R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2" i="13"/>
  <c r="G143" i="13"/>
  <c r="G144" i="13"/>
  <c r="G145" i="13"/>
  <c r="G141" i="13"/>
  <c r="G63" i="13"/>
  <c r="G116" i="13"/>
  <c r="P128" i="13"/>
  <c r="P130" i="13"/>
  <c r="P131" i="13"/>
  <c r="P132" i="13"/>
  <c r="P133" i="13"/>
  <c r="P134" i="13"/>
  <c r="P135" i="13"/>
  <c r="P136" i="13"/>
  <c r="P139" i="13"/>
  <c r="P140" i="13"/>
  <c r="P142" i="13"/>
  <c r="P144" i="13"/>
  <c r="P145" i="13"/>
  <c r="P141" i="13"/>
  <c r="P63" i="13"/>
  <c r="P116" i="13"/>
  <c r="P129" i="13"/>
  <c r="P137" i="13"/>
  <c r="P138" i="13"/>
  <c r="P143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2" i="13"/>
  <c r="Q143" i="13"/>
  <c r="Q144" i="13"/>
  <c r="Q145" i="13"/>
  <c r="Q141" i="13"/>
  <c r="Q63" i="13"/>
  <c r="Q116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2" i="13"/>
  <c r="R143" i="13"/>
  <c r="R144" i="13"/>
  <c r="R145" i="13"/>
  <c r="R141" i="13"/>
  <c r="R63" i="13"/>
  <c r="R116" i="13"/>
  <c r="G50" i="13"/>
  <c r="G126" i="13"/>
  <c r="G9" i="13"/>
  <c r="G146" i="13"/>
  <c r="P50" i="13"/>
  <c r="P126" i="13"/>
  <c r="P9" i="13"/>
  <c r="I146" i="13"/>
  <c r="P146" i="13" s="1"/>
  <c r="Q50" i="13"/>
  <c r="Q126" i="13"/>
  <c r="Q9" i="13"/>
  <c r="Q146" i="13"/>
  <c r="R50" i="13"/>
  <c r="R126" i="13"/>
  <c r="R9" i="13"/>
  <c r="R146" i="13"/>
  <c r="G13" i="13"/>
  <c r="G14" i="13"/>
  <c r="G15" i="13"/>
  <c r="G16" i="13"/>
  <c r="G17" i="13"/>
  <c r="P13" i="13"/>
  <c r="P14" i="13"/>
  <c r="P15" i="13"/>
  <c r="P16" i="13"/>
  <c r="P17" i="13"/>
  <c r="Q13" i="13"/>
  <c r="Q14" i="13"/>
  <c r="Q15" i="13"/>
  <c r="Q16" i="13"/>
  <c r="Q17" i="13"/>
  <c r="R13" i="13"/>
  <c r="R14" i="13"/>
  <c r="R15" i="13"/>
  <c r="R16" i="13"/>
  <c r="R17" i="13"/>
  <c r="G18" i="13"/>
  <c r="G19" i="13"/>
  <c r="G20" i="13"/>
  <c r="P18" i="13"/>
  <c r="P19" i="13"/>
  <c r="P20" i="13"/>
  <c r="Q18" i="13"/>
  <c r="Q19" i="13"/>
  <c r="Q20" i="13"/>
  <c r="R18" i="13"/>
  <c r="R19" i="13"/>
  <c r="R20" i="13"/>
  <c r="H135" i="16" l="1"/>
  <c r="J135" i="16"/>
  <c r="K135" i="16"/>
  <c r="H133" i="16"/>
  <c r="J133" i="16"/>
  <c r="K133" i="16"/>
  <c r="H143" i="16"/>
  <c r="H140" i="16"/>
  <c r="H147" i="16"/>
  <c r="J143" i="16"/>
  <c r="J140" i="16"/>
  <c r="J147" i="16"/>
  <c r="K143" i="16"/>
  <c r="K140" i="16"/>
  <c r="K147" i="16"/>
  <c r="H139" i="16"/>
  <c r="H132" i="16"/>
  <c r="J139" i="16"/>
  <c r="J132" i="16"/>
  <c r="K139" i="16"/>
  <c r="K132" i="16"/>
  <c r="H134" i="16"/>
  <c r="H148" i="16"/>
  <c r="J134" i="16"/>
  <c r="J148" i="16"/>
  <c r="K134" i="16"/>
  <c r="K148" i="16"/>
  <c r="G15" i="16" l="1"/>
  <c r="G14" i="16"/>
  <c r="G21" i="16"/>
  <c r="P15" i="16"/>
  <c r="P14" i="16"/>
  <c r="P21" i="16"/>
  <c r="Q15" i="16"/>
  <c r="Q14" i="16"/>
  <c r="Q21" i="16"/>
  <c r="R15" i="16"/>
  <c r="R14" i="16"/>
  <c r="R21" i="16"/>
  <c r="G36" i="16"/>
  <c r="G43" i="16"/>
  <c r="P36" i="16"/>
  <c r="P43" i="16"/>
  <c r="Q36" i="16"/>
  <c r="Q43" i="16"/>
  <c r="R36" i="16"/>
  <c r="R43" i="16"/>
  <c r="G55" i="16"/>
  <c r="G60" i="16"/>
  <c r="P55" i="16"/>
  <c r="P60" i="16"/>
  <c r="Q55" i="16"/>
  <c r="Q60" i="16"/>
  <c r="R55" i="16"/>
  <c r="R60" i="16"/>
  <c r="G83" i="16"/>
  <c r="G84" i="16"/>
  <c r="G87" i="16"/>
  <c r="P83" i="16"/>
  <c r="P84" i="16"/>
  <c r="P87" i="16"/>
  <c r="Q83" i="16"/>
  <c r="Q84" i="16"/>
  <c r="Q87" i="16"/>
  <c r="R83" i="16"/>
  <c r="R84" i="16"/>
  <c r="R87" i="16"/>
  <c r="G100" i="16"/>
  <c r="G101" i="16"/>
  <c r="P100" i="16"/>
  <c r="I101" i="16"/>
  <c r="P101" i="16" s="1"/>
  <c r="Q100" i="16"/>
  <c r="Q101" i="16"/>
  <c r="R100" i="16"/>
  <c r="R101" i="16"/>
  <c r="G16" i="16"/>
  <c r="P16" i="16"/>
  <c r="Q16" i="16"/>
  <c r="R16" i="16"/>
  <c r="I226" i="16"/>
  <c r="I227" i="16"/>
  <c r="L227" i="16" s="1"/>
  <c r="I228" i="16"/>
  <c r="L228" i="16" s="1"/>
  <c r="I229" i="16"/>
  <c r="L229" i="16" s="1"/>
  <c r="I230" i="16"/>
  <c r="L230" i="16" s="1"/>
  <c r="I231" i="16"/>
  <c r="L231" i="16" s="1"/>
  <c r="I232" i="16"/>
  <c r="L232" i="16" s="1"/>
  <c r="I233" i="16"/>
  <c r="L233" i="16" s="1"/>
  <c r="I234" i="16"/>
  <c r="L234" i="16" s="1"/>
  <c r="I235" i="16"/>
  <c r="L235" i="16" s="1"/>
  <c r="I236" i="16"/>
  <c r="L236" i="16" s="1"/>
  <c r="I237" i="16"/>
  <c r="L237" i="16" s="1"/>
  <c r="I238" i="16"/>
  <c r="L238" i="16" s="1"/>
  <c r="I239" i="16"/>
  <c r="L239" i="16" s="1"/>
  <c r="I240" i="16"/>
  <c r="L240" i="16" s="1"/>
  <c r="I241" i="16"/>
  <c r="L241" i="16" s="1"/>
  <c r="I242" i="16"/>
  <c r="L242" i="16" s="1"/>
  <c r="I243" i="16"/>
  <c r="L243" i="16" s="1"/>
  <c r="I244" i="16"/>
  <c r="L244" i="16" s="1"/>
  <c r="I245" i="16"/>
  <c r="L245" i="16" s="1"/>
  <c r="I246" i="16"/>
  <c r="L246" i="16" s="1"/>
  <c r="I247" i="16"/>
  <c r="L247" i="16" s="1"/>
  <c r="I248" i="16"/>
  <c r="L248" i="16" s="1"/>
  <c r="I249" i="16"/>
  <c r="L249" i="16" s="1"/>
  <c r="I250" i="16"/>
  <c r="L250" i="16" s="1"/>
  <c r="I251" i="16"/>
  <c r="L251" i="16" s="1"/>
  <c r="I252" i="16"/>
  <c r="L252" i="16" s="1"/>
  <c r="I253" i="16"/>
  <c r="L253" i="16" s="1"/>
  <c r="I254" i="16"/>
  <c r="L254" i="16" s="1"/>
  <c r="I255" i="16"/>
  <c r="L255" i="16" s="1"/>
  <c r="I256" i="16"/>
  <c r="L256" i="16" s="1"/>
  <c r="I257" i="16"/>
  <c r="L257" i="16" s="1"/>
  <c r="I258" i="16"/>
  <c r="L258" i="16" s="1"/>
  <c r="I259" i="16"/>
  <c r="L259" i="16" s="1"/>
  <c r="I260" i="16"/>
  <c r="L260" i="16" s="1"/>
  <c r="I261" i="16"/>
  <c r="L261" i="16" s="1"/>
  <c r="I262" i="16"/>
  <c r="L262" i="16" s="1"/>
  <c r="I263" i="16"/>
  <c r="L263" i="16" s="1"/>
  <c r="I264" i="16"/>
  <c r="L264" i="16" s="1"/>
  <c r="I265" i="16"/>
  <c r="L265" i="16" s="1"/>
  <c r="I266" i="16"/>
  <c r="L266" i="16" s="1"/>
  <c r="I267" i="16"/>
  <c r="L267" i="16" s="1"/>
  <c r="I268" i="16"/>
  <c r="L268" i="16" s="1"/>
  <c r="I269" i="16"/>
  <c r="L269" i="16" s="1"/>
  <c r="I270" i="16"/>
  <c r="L270" i="16" s="1"/>
  <c r="I271" i="16"/>
  <c r="L271" i="16" s="1"/>
  <c r="I272" i="16"/>
  <c r="L272" i="16" s="1"/>
  <c r="I273" i="16"/>
  <c r="L273" i="16" s="1"/>
  <c r="I274" i="16"/>
  <c r="L274" i="16" s="1"/>
  <c r="I275" i="16"/>
  <c r="L275" i="16" s="1"/>
  <c r="I276" i="16"/>
  <c r="L276" i="16" s="1"/>
  <c r="I277" i="16"/>
  <c r="L277" i="16" s="1"/>
  <c r="I278" i="16"/>
  <c r="L278" i="16" s="1"/>
  <c r="I279" i="16"/>
  <c r="L279" i="16" s="1"/>
  <c r="I280" i="16"/>
  <c r="L280" i="16" s="1"/>
  <c r="I281" i="16"/>
  <c r="L281" i="16" s="1"/>
  <c r="I282" i="16"/>
  <c r="L282" i="16" s="1"/>
  <c r="I283" i="16"/>
  <c r="L283" i="16" s="1"/>
  <c r="I284" i="16"/>
  <c r="L284" i="16" s="1"/>
  <c r="I285" i="16"/>
  <c r="L285" i="16" s="1"/>
  <c r="I286" i="16"/>
  <c r="L286" i="16" s="1"/>
  <c r="I287" i="16"/>
  <c r="L287" i="16" s="1"/>
  <c r="I288" i="16"/>
  <c r="L288" i="16" s="1"/>
  <c r="I289" i="16"/>
  <c r="L289" i="16" s="1"/>
  <c r="I290" i="16"/>
  <c r="L290" i="16" s="1"/>
  <c r="I291" i="16"/>
  <c r="L291" i="16" s="1"/>
  <c r="I292" i="16"/>
  <c r="L292" i="16" s="1"/>
  <c r="I293" i="16"/>
  <c r="L293" i="16" s="1"/>
  <c r="I294" i="16"/>
  <c r="L294" i="16" s="1"/>
  <c r="I295" i="16"/>
  <c r="L295" i="16" s="1"/>
  <c r="I296" i="16"/>
  <c r="L296" i="16" s="1"/>
  <c r="I297" i="16"/>
  <c r="L297" i="16" s="1"/>
  <c r="I298" i="16"/>
  <c r="L298" i="16" s="1"/>
  <c r="I299" i="16"/>
  <c r="L299" i="16" s="1"/>
  <c r="I300" i="16"/>
  <c r="L300" i="16" s="1"/>
  <c r="I301" i="16"/>
  <c r="L301" i="16" s="1"/>
  <c r="I302" i="16"/>
  <c r="L302" i="16" s="1"/>
  <c r="I303" i="16"/>
  <c r="L303" i="16" s="1"/>
  <c r="I304" i="16"/>
  <c r="L304" i="16" s="1"/>
  <c r="I305" i="16"/>
  <c r="L305" i="16" s="1"/>
  <c r="I306" i="16"/>
  <c r="L306" i="16" s="1"/>
  <c r="I307" i="16"/>
  <c r="L307" i="16" s="1"/>
  <c r="I308" i="16"/>
  <c r="L308" i="16" s="1"/>
  <c r="I309" i="16"/>
  <c r="L309" i="16" s="1"/>
  <c r="I310" i="16"/>
  <c r="L310" i="16" s="1"/>
  <c r="I311" i="16"/>
  <c r="L311" i="16" s="1"/>
  <c r="I312" i="16"/>
  <c r="L312" i="16" s="1"/>
  <c r="I313" i="16"/>
  <c r="L313" i="16" s="1"/>
  <c r="I314" i="16"/>
  <c r="L314" i="16" s="1"/>
  <c r="I315" i="16"/>
  <c r="L315" i="16" s="1"/>
  <c r="I316" i="16"/>
  <c r="L316" i="16" s="1"/>
  <c r="I317" i="16"/>
  <c r="L317" i="16" s="1"/>
  <c r="I318" i="16"/>
  <c r="L318" i="16" s="1"/>
  <c r="I319" i="16"/>
  <c r="L319" i="16" s="1"/>
  <c r="I320" i="16"/>
  <c r="L320" i="16" s="1"/>
  <c r="I321" i="16"/>
  <c r="L321" i="16" s="1"/>
  <c r="I322" i="16"/>
  <c r="L322" i="16" s="1"/>
  <c r="I323" i="16"/>
  <c r="L323" i="16" s="1"/>
  <c r="I324" i="16"/>
  <c r="L324" i="16" s="1"/>
  <c r="I325" i="16"/>
  <c r="L325" i="16" s="1"/>
  <c r="I326" i="16"/>
  <c r="L326" i="16" s="1"/>
  <c r="I327" i="16"/>
  <c r="L327" i="16" s="1"/>
  <c r="I328" i="16"/>
  <c r="L328" i="16" s="1"/>
  <c r="I329" i="16"/>
  <c r="L329" i="16" s="1"/>
  <c r="I330" i="16"/>
  <c r="L330" i="16" s="1"/>
  <c r="I331" i="16"/>
  <c r="L331" i="16" s="1"/>
  <c r="I332" i="16"/>
  <c r="L332" i="16" s="1"/>
  <c r="I333" i="16"/>
  <c r="L333" i="16" s="1"/>
  <c r="I334" i="16"/>
  <c r="L334" i="16" s="1"/>
  <c r="I335" i="16"/>
  <c r="L335" i="16" s="1"/>
  <c r="I336" i="16"/>
  <c r="L336" i="16" s="1"/>
  <c r="I337" i="16"/>
  <c r="L337" i="16" s="1"/>
  <c r="I338" i="16"/>
  <c r="L338" i="16" s="1"/>
  <c r="I339" i="16"/>
  <c r="L339" i="16" s="1"/>
  <c r="I340" i="16"/>
  <c r="L340" i="16" s="1"/>
  <c r="I341" i="16"/>
  <c r="L341" i="16" s="1"/>
  <c r="I342" i="16"/>
  <c r="L342" i="16" s="1"/>
  <c r="I343" i="16"/>
  <c r="L343" i="16" s="1"/>
  <c r="I344" i="16"/>
  <c r="L344" i="16" s="1"/>
  <c r="I345" i="16"/>
  <c r="L345" i="16" s="1"/>
  <c r="I346" i="16"/>
  <c r="L346" i="16" s="1"/>
  <c r="I347" i="16"/>
  <c r="L347" i="16" s="1"/>
  <c r="I348" i="16"/>
  <c r="I349" i="16"/>
  <c r="I350" i="16"/>
  <c r="I351" i="16"/>
  <c r="I352" i="16"/>
  <c r="I353" i="16"/>
  <c r="L353" i="16" s="1"/>
  <c r="I354" i="16"/>
  <c r="L354" i="16" s="1"/>
  <c r="I355" i="16"/>
  <c r="L355" i="16" s="1"/>
  <c r="I356" i="16"/>
  <c r="L356" i="16" s="1"/>
  <c r="I357" i="16"/>
  <c r="L357" i="16" s="1"/>
  <c r="I358" i="16"/>
  <c r="L358" i="16" s="1"/>
  <c r="I359" i="16"/>
  <c r="I360" i="16"/>
  <c r="L360" i="16" s="1"/>
  <c r="I361" i="16"/>
  <c r="L361" i="16" s="1"/>
  <c r="I362" i="16"/>
  <c r="L362" i="16" s="1"/>
  <c r="I363" i="16"/>
  <c r="L363" i="16" s="1"/>
  <c r="I364" i="16"/>
  <c r="L364" i="16" s="1"/>
  <c r="I365" i="16"/>
  <c r="L365" i="16" s="1"/>
  <c r="I366" i="16"/>
  <c r="L366" i="16" s="1"/>
  <c r="I367" i="16"/>
  <c r="L367" i="16" s="1"/>
  <c r="I368" i="16"/>
  <c r="L368" i="16" s="1"/>
  <c r="I369" i="16"/>
  <c r="L369" i="16" s="1"/>
  <c r="I370" i="16"/>
  <c r="L370" i="16" s="1"/>
  <c r="I371" i="16"/>
  <c r="L371" i="16" s="1"/>
  <c r="I372" i="16"/>
  <c r="L372" i="16" s="1"/>
  <c r="I373" i="16"/>
  <c r="L373" i="16" s="1"/>
  <c r="I374" i="16"/>
  <c r="L374" i="16" s="1"/>
  <c r="I375" i="16"/>
  <c r="L375" i="16" s="1"/>
  <c r="I376" i="16"/>
  <c r="L376" i="16" s="1"/>
  <c r="I377" i="16"/>
  <c r="L377" i="16" s="1"/>
  <c r="I378" i="16"/>
  <c r="L378" i="16" s="1"/>
  <c r="I379" i="16"/>
  <c r="L379" i="16" s="1"/>
  <c r="I380" i="16"/>
  <c r="L380" i="16" s="1"/>
  <c r="I381" i="16"/>
  <c r="L381" i="16" s="1"/>
  <c r="I382" i="16"/>
  <c r="L382" i="16" s="1"/>
  <c r="I383" i="16"/>
  <c r="L383" i="16" s="1"/>
  <c r="I384" i="16"/>
  <c r="L384" i="16" s="1"/>
  <c r="I385" i="16"/>
  <c r="L385" i="16" s="1"/>
  <c r="I386" i="16"/>
  <c r="L386" i="16" s="1"/>
  <c r="I387" i="16"/>
  <c r="L387" i="16" s="1"/>
  <c r="I388" i="16"/>
  <c r="L388" i="16" s="1"/>
  <c r="I389" i="16"/>
  <c r="L389" i="16" s="1"/>
  <c r="I390" i="16"/>
  <c r="L390" i="16" s="1"/>
  <c r="I391" i="16"/>
  <c r="L391" i="16" s="1"/>
  <c r="I392" i="16"/>
  <c r="L392" i="16" s="1"/>
  <c r="I393" i="16"/>
  <c r="L393" i="16" s="1"/>
  <c r="I394" i="16"/>
  <c r="L394" i="16" s="1"/>
  <c r="I395" i="16"/>
  <c r="L395" i="16" s="1"/>
  <c r="I396" i="16"/>
  <c r="L396" i="16" s="1"/>
  <c r="I397" i="16"/>
  <c r="L397" i="16" s="1"/>
  <c r="I398" i="16"/>
  <c r="L398" i="16" s="1"/>
  <c r="I399" i="16"/>
  <c r="L399" i="16" s="1"/>
  <c r="I400" i="16"/>
  <c r="L400" i="16" s="1"/>
  <c r="I401" i="16"/>
  <c r="L401" i="16" s="1"/>
  <c r="I402" i="16"/>
  <c r="L402" i="16" s="1"/>
  <c r="I403" i="16"/>
  <c r="L403" i="16" s="1"/>
  <c r="I404" i="16"/>
  <c r="L404" i="16" s="1"/>
  <c r="I405" i="16"/>
  <c r="L405" i="16" s="1"/>
  <c r="I406" i="16"/>
  <c r="L406" i="16" s="1"/>
  <c r="I407" i="16"/>
  <c r="L407" i="16" s="1"/>
  <c r="I408" i="16"/>
  <c r="L408" i="16" s="1"/>
  <c r="I409" i="16"/>
  <c r="L409" i="16" s="1"/>
  <c r="I410" i="16"/>
  <c r="L410" i="16" s="1"/>
  <c r="I411" i="16"/>
  <c r="L411" i="16" s="1"/>
  <c r="I412" i="16"/>
  <c r="L412" i="16" s="1"/>
  <c r="I413" i="16"/>
  <c r="L413" i="16" s="1"/>
  <c r="I414" i="16"/>
  <c r="L414" i="16" s="1"/>
  <c r="I415" i="16"/>
  <c r="L415" i="16" s="1"/>
  <c r="I416" i="16"/>
  <c r="L416" i="16" s="1"/>
  <c r="I417" i="16"/>
  <c r="L417" i="16" s="1"/>
  <c r="I418" i="16"/>
  <c r="L418" i="16" s="1"/>
  <c r="I419" i="16"/>
  <c r="L419" i="16" s="1"/>
  <c r="I420" i="16"/>
  <c r="L420" i="16" s="1"/>
  <c r="I421" i="16"/>
  <c r="L421" i="16" s="1"/>
  <c r="I422" i="16"/>
  <c r="L422" i="16" s="1"/>
  <c r="I423" i="16"/>
  <c r="L423" i="16" s="1"/>
  <c r="I424" i="16"/>
  <c r="L424" i="16" s="1"/>
  <c r="I425" i="16"/>
  <c r="L425" i="16" s="1"/>
  <c r="I426" i="16"/>
  <c r="L426" i="16" s="1"/>
  <c r="I427" i="16"/>
  <c r="L427" i="16" s="1"/>
  <c r="I428" i="16"/>
  <c r="L428" i="16" s="1"/>
  <c r="I429" i="16"/>
  <c r="L429" i="16" s="1"/>
  <c r="I430" i="16"/>
  <c r="L430" i="16" s="1"/>
  <c r="I431" i="16"/>
  <c r="L431" i="16" s="1"/>
  <c r="I432" i="16"/>
  <c r="L432" i="16" s="1"/>
  <c r="I433" i="16"/>
  <c r="L433" i="16" s="1"/>
  <c r="I434" i="16"/>
  <c r="L434" i="16" s="1"/>
  <c r="I435" i="16"/>
  <c r="L435" i="16" s="1"/>
  <c r="I436" i="16"/>
  <c r="L436" i="16" s="1"/>
  <c r="I437" i="16"/>
  <c r="L437" i="16" s="1"/>
  <c r="I438" i="16"/>
  <c r="L438" i="16" s="1"/>
  <c r="I439" i="16"/>
  <c r="L439" i="16" s="1"/>
  <c r="I440" i="16"/>
  <c r="L440" i="16" s="1"/>
  <c r="I441" i="16"/>
  <c r="L441" i="16" s="1"/>
  <c r="I442" i="16"/>
  <c r="L442" i="16" s="1"/>
  <c r="I443" i="16"/>
  <c r="L443" i="16" s="1"/>
  <c r="I444" i="16"/>
  <c r="L444" i="16" s="1"/>
  <c r="I445" i="16"/>
  <c r="L445" i="16" s="1"/>
  <c r="I446" i="16"/>
  <c r="L446" i="16" s="1"/>
  <c r="I447" i="16"/>
  <c r="L447" i="16" s="1"/>
  <c r="I448" i="16"/>
  <c r="L448" i="16" s="1"/>
  <c r="I449" i="16"/>
  <c r="L449" i="16" s="1"/>
  <c r="I450" i="16"/>
  <c r="L450" i="16" s="1"/>
  <c r="I451" i="16"/>
  <c r="L451" i="16" s="1"/>
  <c r="I452" i="16"/>
  <c r="L452" i="16" s="1"/>
  <c r="I453" i="16"/>
  <c r="L453" i="16" s="1"/>
  <c r="I454" i="16"/>
  <c r="L454" i="16" s="1"/>
  <c r="I455" i="16"/>
  <c r="L455" i="16" s="1"/>
  <c r="I456" i="16"/>
  <c r="L456" i="16" s="1"/>
  <c r="I457" i="16"/>
  <c r="L457" i="16" s="1"/>
  <c r="I458" i="16"/>
  <c r="L458" i="16" s="1"/>
  <c r="I459" i="16"/>
  <c r="L459" i="16" s="1"/>
  <c r="I460" i="16"/>
  <c r="L460" i="16" s="1"/>
  <c r="I461" i="16"/>
  <c r="L461" i="16" s="1"/>
  <c r="I462" i="16"/>
  <c r="L462" i="16" s="1"/>
  <c r="I463" i="16"/>
  <c r="L463" i="16" s="1"/>
  <c r="I464" i="16"/>
  <c r="L464" i="16" s="1"/>
  <c r="I465" i="16"/>
  <c r="L465" i="16" s="1"/>
  <c r="I466" i="16"/>
  <c r="L466" i="16" s="1"/>
  <c r="I467" i="16"/>
  <c r="L467" i="16" s="1"/>
  <c r="I468" i="16"/>
  <c r="L468" i="16" s="1"/>
  <c r="I469" i="16"/>
  <c r="L469" i="16" s="1"/>
  <c r="I470" i="16"/>
  <c r="L470" i="16" s="1"/>
  <c r="I471" i="16"/>
  <c r="L471" i="16" s="1"/>
  <c r="I472" i="16"/>
  <c r="L472" i="16" s="1"/>
  <c r="I473" i="16"/>
  <c r="L473" i="16" s="1"/>
  <c r="I474" i="16"/>
  <c r="L474" i="16" s="1"/>
  <c r="I475" i="16"/>
  <c r="L475" i="16" s="1"/>
  <c r="I476" i="16"/>
  <c r="L476" i="16" s="1"/>
  <c r="I477" i="16"/>
  <c r="L477" i="16" s="1"/>
  <c r="I478" i="16"/>
  <c r="L478" i="16" s="1"/>
  <c r="I479" i="16"/>
  <c r="L479" i="16" s="1"/>
  <c r="I480" i="16"/>
  <c r="L480" i="16" s="1"/>
  <c r="I481" i="16"/>
  <c r="L481" i="16" s="1"/>
  <c r="I482" i="16"/>
  <c r="L482" i="16" s="1"/>
  <c r="I483" i="16"/>
  <c r="L483" i="16" s="1"/>
  <c r="I484" i="16"/>
  <c r="L484" i="16" s="1"/>
  <c r="I485" i="16"/>
  <c r="L485" i="16" s="1"/>
  <c r="I486" i="16"/>
  <c r="L486" i="16" s="1"/>
  <c r="I487" i="16"/>
  <c r="L487" i="16" s="1"/>
  <c r="I488" i="16"/>
  <c r="L488" i="16" s="1"/>
  <c r="I489" i="16"/>
  <c r="L489" i="16" s="1"/>
  <c r="I490" i="16"/>
  <c r="L490" i="16" s="1"/>
  <c r="I491" i="16"/>
  <c r="L491" i="16" s="1"/>
  <c r="I492" i="16"/>
  <c r="L492" i="16" s="1"/>
  <c r="I493" i="16"/>
  <c r="L493" i="16" s="1"/>
  <c r="I494" i="16"/>
  <c r="L494" i="16" s="1"/>
  <c r="I495" i="16"/>
  <c r="L495" i="16" s="1"/>
  <c r="I496" i="16"/>
  <c r="L496" i="16" s="1"/>
  <c r="I497" i="16"/>
  <c r="L497" i="16" s="1"/>
  <c r="I498" i="16"/>
  <c r="L498" i="16" s="1"/>
  <c r="I499" i="16"/>
  <c r="L499" i="16" s="1"/>
  <c r="I500" i="16"/>
  <c r="L500" i="16" s="1"/>
  <c r="I501" i="16"/>
  <c r="L501" i="16" s="1"/>
  <c r="I502" i="16"/>
  <c r="L502" i="16" s="1"/>
  <c r="I503" i="16"/>
  <c r="L503" i="16" s="1"/>
  <c r="I504" i="16"/>
  <c r="L504" i="16" s="1"/>
  <c r="I505" i="16"/>
  <c r="L505" i="16" s="1"/>
  <c r="I506" i="16"/>
  <c r="L506" i="16" s="1"/>
  <c r="I507" i="16"/>
  <c r="L507" i="16" s="1"/>
  <c r="I508" i="16"/>
  <c r="L508" i="16" s="1"/>
  <c r="I509" i="16"/>
  <c r="L509" i="16" s="1"/>
  <c r="I510" i="16"/>
  <c r="L510" i="16" s="1"/>
  <c r="I511" i="16"/>
  <c r="L511" i="16" s="1"/>
  <c r="I512" i="16"/>
  <c r="L512" i="16" s="1"/>
  <c r="I513" i="16"/>
  <c r="L513" i="16" s="1"/>
  <c r="I514" i="16"/>
  <c r="L514" i="16" s="1"/>
  <c r="I515" i="16"/>
  <c r="L515" i="16" s="1"/>
  <c r="I516" i="16"/>
  <c r="L516" i="16" s="1"/>
  <c r="I517" i="16"/>
  <c r="L517" i="16" s="1"/>
  <c r="I518" i="16"/>
  <c r="L518" i="16" s="1"/>
  <c r="I519" i="16"/>
  <c r="L519" i="16" s="1"/>
  <c r="I520" i="16"/>
  <c r="L520" i="16" s="1"/>
  <c r="I521" i="16"/>
  <c r="L521" i="16" s="1"/>
  <c r="I522" i="16"/>
  <c r="L522" i="16" s="1"/>
  <c r="I523" i="16"/>
  <c r="L523" i="16" s="1"/>
  <c r="I524" i="16"/>
  <c r="L524" i="16" s="1"/>
  <c r="I525" i="16"/>
  <c r="L525" i="16" s="1"/>
  <c r="I526" i="16"/>
  <c r="L526" i="16" s="1"/>
  <c r="I527" i="16"/>
  <c r="L527" i="16" s="1"/>
  <c r="I528" i="16"/>
  <c r="L528" i="16" s="1"/>
  <c r="I529" i="16"/>
  <c r="L529" i="16" s="1"/>
  <c r="I530" i="16"/>
  <c r="L530" i="16" s="1"/>
  <c r="I531" i="16"/>
  <c r="L531" i="16" s="1"/>
  <c r="I532" i="16"/>
  <c r="L532" i="16" s="1"/>
  <c r="I533" i="16"/>
  <c r="L533" i="16" s="1"/>
  <c r="I534" i="16"/>
  <c r="L534" i="16" s="1"/>
  <c r="I535" i="16"/>
  <c r="L535" i="16" s="1"/>
  <c r="I536" i="16"/>
  <c r="L536" i="16" s="1"/>
  <c r="I537" i="16"/>
  <c r="L537" i="16" s="1"/>
  <c r="I538" i="16"/>
  <c r="L538" i="16" s="1"/>
  <c r="I539" i="16"/>
  <c r="L539" i="16" s="1"/>
  <c r="I540" i="16"/>
  <c r="L540" i="16" s="1"/>
  <c r="I541" i="16"/>
  <c r="L541" i="16" s="1"/>
  <c r="I542" i="16"/>
  <c r="L542" i="16" s="1"/>
  <c r="I543" i="16"/>
  <c r="L543" i="16" s="1"/>
  <c r="I544" i="16"/>
  <c r="L544" i="16" s="1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L359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29" i="16"/>
  <c r="G230" i="16"/>
  <c r="G231" i="16"/>
  <c r="G232" i="16"/>
  <c r="G233" i="16"/>
  <c r="G234" i="16"/>
  <c r="G235" i="16"/>
  <c r="G236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I162" i="16"/>
  <c r="L162" i="16" s="1"/>
  <c r="I163" i="16"/>
  <c r="L163" i="16" s="1"/>
  <c r="I164" i="16"/>
  <c r="L164" i="16" s="1"/>
  <c r="I165" i="16"/>
  <c r="L165" i="16" s="1"/>
  <c r="I166" i="16"/>
  <c r="L166" i="16" s="1"/>
  <c r="I167" i="16"/>
  <c r="L167" i="16" s="1"/>
  <c r="I168" i="16"/>
  <c r="L168" i="16" s="1"/>
  <c r="I169" i="16"/>
  <c r="L169" i="16" s="1"/>
  <c r="I170" i="16"/>
  <c r="L170" i="16" s="1"/>
  <c r="I171" i="16"/>
  <c r="L171" i="16" s="1"/>
  <c r="I172" i="16"/>
  <c r="L172" i="16" s="1"/>
  <c r="I173" i="16"/>
  <c r="L173" i="16" s="1"/>
  <c r="I174" i="16"/>
  <c r="L174" i="16" s="1"/>
  <c r="I175" i="16"/>
  <c r="L175" i="16" s="1"/>
  <c r="I176" i="16"/>
  <c r="L176" i="16" s="1"/>
  <c r="I177" i="16"/>
  <c r="L177" i="16" s="1"/>
  <c r="I178" i="16"/>
  <c r="L178" i="16" s="1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I179" i="16"/>
  <c r="L179" i="16" s="1"/>
  <c r="I180" i="16"/>
  <c r="I181" i="16"/>
  <c r="L181" i="16" s="1"/>
  <c r="I182" i="16"/>
  <c r="L182" i="16" s="1"/>
  <c r="I183" i="16"/>
  <c r="L183" i="16" s="1"/>
  <c r="I184" i="16"/>
  <c r="L184" i="16" s="1"/>
  <c r="I185" i="16"/>
  <c r="L185" i="16" s="1"/>
  <c r="I186" i="16"/>
  <c r="L186" i="16" s="1"/>
  <c r="I187" i="16"/>
  <c r="L187" i="16" s="1"/>
  <c r="I188" i="16"/>
  <c r="L188" i="16" s="1"/>
  <c r="I189" i="16"/>
  <c r="L189" i="16" s="1"/>
  <c r="I190" i="16"/>
  <c r="L190" i="16" s="1"/>
  <c r="I191" i="16"/>
  <c r="L191" i="16" s="1"/>
  <c r="I192" i="16"/>
  <c r="L192" i="16" s="1"/>
  <c r="I193" i="16"/>
  <c r="L193" i="16" s="1"/>
  <c r="I194" i="16"/>
  <c r="L194" i="16" s="1"/>
  <c r="I195" i="16"/>
  <c r="L195" i="16" s="1"/>
  <c r="L18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227" i="16"/>
  <c r="G228" i="16"/>
  <c r="G310" i="16"/>
  <c r="G341" i="16"/>
  <c r="G342" i="16"/>
  <c r="G343" i="16"/>
  <c r="G344" i="16"/>
  <c r="G345" i="16"/>
  <c r="G346" i="16"/>
  <c r="G347" i="16"/>
  <c r="G206" i="16"/>
  <c r="G207" i="16"/>
  <c r="G208" i="16"/>
  <c r="G209" i="16"/>
  <c r="G210" i="16"/>
  <c r="G211" i="16"/>
  <c r="G212" i="16"/>
  <c r="G213" i="16"/>
  <c r="G214" i="16"/>
  <c r="G215" i="16"/>
  <c r="G216" i="16"/>
  <c r="I206" i="16"/>
  <c r="L206" i="16" s="1"/>
  <c r="I207" i="16"/>
  <c r="L207" i="16" s="1"/>
  <c r="I208" i="16"/>
  <c r="L208" i="16" s="1"/>
  <c r="I209" i="16"/>
  <c r="L209" i="16" s="1"/>
  <c r="I210" i="16"/>
  <c r="L210" i="16" s="1"/>
  <c r="I211" i="16"/>
  <c r="L211" i="16" s="1"/>
  <c r="I212" i="16"/>
  <c r="L212" i="16" s="1"/>
  <c r="I213" i="16"/>
  <c r="L213" i="16" s="1"/>
  <c r="I214" i="16"/>
  <c r="L214" i="16" s="1"/>
  <c r="I215" i="16"/>
  <c r="L215" i="16" s="1"/>
  <c r="I216" i="16"/>
  <c r="L216" i="16" s="1"/>
  <c r="G217" i="16"/>
  <c r="G218" i="16"/>
  <c r="G219" i="16"/>
  <c r="I217" i="16"/>
  <c r="L217" i="16" s="1"/>
  <c r="I218" i="16"/>
  <c r="L218" i="16" s="1"/>
  <c r="I219" i="16"/>
  <c r="L219" i="16" s="1"/>
  <c r="G204" i="16"/>
  <c r="G205" i="16"/>
  <c r="I204" i="16"/>
  <c r="L204" i="16" s="1"/>
  <c r="I205" i="16"/>
  <c r="L205" i="16" s="1"/>
  <c r="G161" i="16"/>
  <c r="G196" i="16"/>
  <c r="G197" i="16"/>
  <c r="G198" i="16"/>
  <c r="G199" i="16"/>
  <c r="G200" i="16"/>
  <c r="G201" i="16"/>
  <c r="I161" i="16"/>
  <c r="L161" i="16" s="1"/>
  <c r="I196" i="16"/>
  <c r="L196" i="16" s="1"/>
  <c r="I197" i="16"/>
  <c r="L197" i="16" s="1"/>
  <c r="I198" i="16"/>
  <c r="L198" i="16" s="1"/>
  <c r="I199" i="16"/>
  <c r="L199" i="16" s="1"/>
  <c r="I200" i="16"/>
  <c r="L200" i="16" s="1"/>
  <c r="I201" i="16"/>
  <c r="L201" i="16" s="1"/>
  <c r="G202" i="16"/>
  <c r="G203" i="16"/>
  <c r="I202" i="16"/>
  <c r="L202" i="16" s="1"/>
  <c r="I203" i="16"/>
  <c r="L203" i="16" s="1"/>
  <c r="G11" i="16" l="1"/>
  <c r="P11" i="16"/>
  <c r="Q11" i="16"/>
  <c r="R11" i="16"/>
  <c r="H138" i="16"/>
  <c r="H129" i="16"/>
  <c r="H136" i="16"/>
  <c r="H137" i="16"/>
  <c r="H144" i="16"/>
  <c r="H149" i="16"/>
  <c r="H141" i="16"/>
  <c r="H142" i="16"/>
  <c r="J138" i="16"/>
  <c r="J129" i="16"/>
  <c r="J136" i="16"/>
  <c r="J137" i="16"/>
  <c r="J144" i="16"/>
  <c r="J149" i="16"/>
  <c r="J141" i="16"/>
  <c r="J142" i="16"/>
  <c r="K138" i="16"/>
  <c r="K129" i="16"/>
  <c r="K136" i="16"/>
  <c r="K137" i="16"/>
  <c r="K144" i="16"/>
  <c r="K149" i="16"/>
  <c r="K141" i="16"/>
  <c r="K142" i="16"/>
  <c r="H150" i="16"/>
  <c r="H151" i="16"/>
  <c r="H125" i="16"/>
  <c r="H124" i="16"/>
  <c r="H126" i="16"/>
  <c r="H127" i="16"/>
  <c r="H118" i="16"/>
  <c r="H123" i="16"/>
  <c r="J150" i="16"/>
  <c r="J151" i="16"/>
  <c r="J125" i="16"/>
  <c r="J124" i="16"/>
  <c r="J126" i="16"/>
  <c r="J127" i="16"/>
  <c r="J118" i="16"/>
  <c r="J123" i="16"/>
  <c r="K150" i="16"/>
  <c r="K151" i="16"/>
  <c r="K125" i="16"/>
  <c r="K124" i="16"/>
  <c r="K126" i="16"/>
  <c r="K127" i="16"/>
  <c r="K118" i="16"/>
  <c r="K123" i="16"/>
  <c r="H122" i="16"/>
  <c r="H121" i="16"/>
  <c r="H120" i="16"/>
  <c r="H119" i="16"/>
  <c r="H145" i="16"/>
  <c r="J122" i="16"/>
  <c r="J121" i="16"/>
  <c r="J120" i="16"/>
  <c r="J119" i="16"/>
  <c r="J145" i="16"/>
  <c r="K122" i="16"/>
  <c r="K121" i="16"/>
  <c r="K120" i="16"/>
  <c r="K119" i="16"/>
  <c r="K145" i="16"/>
  <c r="H130" i="16"/>
  <c r="J130" i="16"/>
  <c r="K130" i="16"/>
  <c r="G35" i="16"/>
  <c r="G68" i="16"/>
  <c r="G41" i="16"/>
  <c r="G95" i="16"/>
  <c r="P35" i="16"/>
  <c r="P68" i="16"/>
  <c r="P41" i="16"/>
  <c r="P95" i="16"/>
  <c r="Q35" i="16"/>
  <c r="Q68" i="16"/>
  <c r="Q41" i="16"/>
  <c r="Q95" i="16"/>
  <c r="R35" i="16"/>
  <c r="R68" i="16"/>
  <c r="R41" i="16"/>
  <c r="R95" i="16"/>
  <c r="G22" i="16"/>
  <c r="G64" i="16"/>
  <c r="G72" i="16"/>
  <c r="G73" i="16"/>
  <c r="G74" i="16"/>
  <c r="G18" i="16"/>
  <c r="G19" i="16"/>
  <c r="G23" i="16"/>
  <c r="G24" i="16"/>
  <c r="G29" i="16"/>
  <c r="G49" i="16"/>
  <c r="G50" i="16"/>
  <c r="G51" i="16"/>
  <c r="G52" i="16"/>
  <c r="G79" i="16"/>
  <c r="G97" i="16"/>
  <c r="G98" i="16"/>
  <c r="G61" i="16"/>
  <c r="G38" i="16"/>
  <c r="G96" i="16"/>
  <c r="P22" i="16"/>
  <c r="P64" i="16"/>
  <c r="P72" i="16"/>
  <c r="P73" i="16"/>
  <c r="P74" i="16"/>
  <c r="P18" i="16"/>
  <c r="P19" i="16"/>
  <c r="P23" i="16"/>
  <c r="P24" i="16"/>
  <c r="P29" i="16"/>
  <c r="P49" i="16"/>
  <c r="P50" i="16"/>
  <c r="P51" i="16"/>
  <c r="P52" i="16"/>
  <c r="P79" i="16"/>
  <c r="P97" i="16"/>
  <c r="P98" i="16"/>
  <c r="P61" i="16"/>
  <c r="P38" i="16"/>
  <c r="P96" i="16"/>
  <c r="Q22" i="16"/>
  <c r="Q64" i="16"/>
  <c r="Q72" i="16"/>
  <c r="Q73" i="16"/>
  <c r="Q74" i="16"/>
  <c r="Q18" i="16"/>
  <c r="Q19" i="16"/>
  <c r="Q23" i="16"/>
  <c r="Q24" i="16"/>
  <c r="Q29" i="16"/>
  <c r="Q49" i="16"/>
  <c r="Q50" i="16"/>
  <c r="Q51" i="16"/>
  <c r="Q52" i="16"/>
  <c r="Q79" i="16"/>
  <c r="Q97" i="16"/>
  <c r="Q98" i="16"/>
  <c r="Q61" i="16"/>
  <c r="Q38" i="16"/>
  <c r="Q96" i="16"/>
  <c r="R22" i="16"/>
  <c r="R64" i="16"/>
  <c r="R72" i="16"/>
  <c r="R73" i="16"/>
  <c r="R74" i="16"/>
  <c r="R18" i="16"/>
  <c r="R19" i="16"/>
  <c r="R23" i="16"/>
  <c r="R24" i="16"/>
  <c r="R29" i="16"/>
  <c r="R49" i="16"/>
  <c r="R50" i="16"/>
  <c r="R51" i="16"/>
  <c r="R52" i="16"/>
  <c r="R79" i="16"/>
  <c r="R97" i="16"/>
  <c r="R98" i="16"/>
  <c r="R61" i="16"/>
  <c r="R38" i="16"/>
  <c r="R96" i="16"/>
  <c r="G13" i="16"/>
  <c r="G65" i="16"/>
  <c r="G9" i="16"/>
  <c r="G99" i="16"/>
  <c r="G75" i="16"/>
  <c r="G67" i="16"/>
  <c r="G25" i="16"/>
  <c r="G66" i="16"/>
  <c r="G47" i="16"/>
  <c r="G48" i="16"/>
  <c r="G92" i="16"/>
  <c r="G90" i="16"/>
  <c r="G91" i="16"/>
  <c r="G70" i="16"/>
  <c r="I9" i="16"/>
  <c r="P99" i="16"/>
  <c r="P75" i="16"/>
  <c r="P67" i="16"/>
  <c r="P47" i="16"/>
  <c r="P48" i="16"/>
  <c r="P92" i="16"/>
  <c r="P90" i="16"/>
  <c r="P91" i="16"/>
  <c r="P70" i="16"/>
  <c r="P13" i="16"/>
  <c r="P65" i="16"/>
  <c r="P25" i="16"/>
  <c r="P66" i="16"/>
  <c r="Q13" i="16"/>
  <c r="Q65" i="16"/>
  <c r="Q9" i="16"/>
  <c r="Q99" i="16"/>
  <c r="Q75" i="16"/>
  <c r="Q67" i="16"/>
  <c r="Q25" i="16"/>
  <c r="Q66" i="16"/>
  <c r="Q47" i="16"/>
  <c r="Q48" i="16"/>
  <c r="Q92" i="16"/>
  <c r="Q90" i="16"/>
  <c r="Q91" i="16"/>
  <c r="Q70" i="16"/>
  <c r="R13" i="16"/>
  <c r="R65" i="16"/>
  <c r="R9" i="16"/>
  <c r="R99" i="16"/>
  <c r="R75" i="16"/>
  <c r="R67" i="16"/>
  <c r="R25" i="16"/>
  <c r="R66" i="16"/>
  <c r="R47" i="16"/>
  <c r="R48" i="16"/>
  <c r="R92" i="16"/>
  <c r="R90" i="16"/>
  <c r="R91" i="16"/>
  <c r="R70" i="16"/>
  <c r="G10" i="16"/>
  <c r="G71" i="16"/>
  <c r="G88" i="16"/>
  <c r="G53" i="16"/>
  <c r="G39" i="16"/>
  <c r="G77" i="16"/>
  <c r="G12" i="16"/>
  <c r="I10" i="16"/>
  <c r="P10" i="16" s="1"/>
  <c r="P71" i="16"/>
  <c r="P88" i="16"/>
  <c r="P53" i="16"/>
  <c r="P39" i="16"/>
  <c r="P77" i="16"/>
  <c r="P12" i="16"/>
  <c r="Q10" i="16"/>
  <c r="Q71" i="16"/>
  <c r="Q88" i="16"/>
  <c r="Q53" i="16"/>
  <c r="Q39" i="16"/>
  <c r="Q77" i="16"/>
  <c r="Q12" i="16"/>
  <c r="R10" i="16"/>
  <c r="R71" i="16"/>
  <c r="R88" i="16"/>
  <c r="R53" i="16"/>
  <c r="R39" i="16"/>
  <c r="R77" i="16"/>
  <c r="R12" i="16"/>
  <c r="G33" i="16"/>
  <c r="G45" i="16"/>
  <c r="G69" i="16"/>
  <c r="G85" i="16"/>
  <c r="G76" i="16"/>
  <c r="G94" i="16"/>
  <c r="G89" i="16"/>
  <c r="P33" i="16"/>
  <c r="P45" i="16"/>
  <c r="P69" i="16"/>
  <c r="P85" i="16"/>
  <c r="P76" i="16"/>
  <c r="P94" i="16"/>
  <c r="P89" i="16"/>
  <c r="Q33" i="16"/>
  <c r="Q45" i="16"/>
  <c r="Q69" i="16"/>
  <c r="Q85" i="16"/>
  <c r="Q76" i="16"/>
  <c r="Q94" i="16"/>
  <c r="Q89" i="16"/>
  <c r="R33" i="16"/>
  <c r="R45" i="16"/>
  <c r="R69" i="16"/>
  <c r="R85" i="16"/>
  <c r="R76" i="16"/>
  <c r="R94" i="16"/>
  <c r="R89" i="16"/>
  <c r="G54" i="16"/>
  <c r="G80" i="16"/>
  <c r="G46" i="16"/>
  <c r="G93" i="16"/>
  <c r="G17" i="16"/>
  <c r="G44" i="16"/>
  <c r="G86" i="16"/>
  <c r="P54" i="16"/>
  <c r="P80" i="16"/>
  <c r="P46" i="16"/>
  <c r="P93" i="16"/>
  <c r="P17" i="16"/>
  <c r="P44" i="16"/>
  <c r="P86" i="16"/>
  <c r="Q54" i="16"/>
  <c r="Q80" i="16"/>
  <c r="Q46" i="16"/>
  <c r="Q93" i="16"/>
  <c r="Q17" i="16"/>
  <c r="Q44" i="16"/>
  <c r="Q86" i="16"/>
  <c r="R54" i="16"/>
  <c r="R80" i="16"/>
  <c r="R46" i="16"/>
  <c r="R93" i="16"/>
  <c r="R17" i="16"/>
  <c r="R44" i="16"/>
  <c r="R86" i="16"/>
  <c r="G82" i="16"/>
  <c r="G37" i="16"/>
  <c r="G56" i="16"/>
  <c r="G57" i="16"/>
  <c r="G58" i="16"/>
  <c r="G20" i="16"/>
  <c r="P82" i="16"/>
  <c r="P37" i="16"/>
  <c r="P56" i="16"/>
  <c r="P57" i="16"/>
  <c r="P58" i="16"/>
  <c r="P40" i="16"/>
  <c r="P20" i="16"/>
  <c r="Q82" i="16"/>
  <c r="Q37" i="16"/>
  <c r="Q56" i="16"/>
  <c r="Q57" i="16"/>
  <c r="Q58" i="16"/>
  <c r="Q40" i="16"/>
  <c r="Q20" i="16"/>
  <c r="R82" i="16"/>
  <c r="R37" i="16"/>
  <c r="R56" i="16"/>
  <c r="R57" i="16"/>
  <c r="R58" i="16"/>
  <c r="R40" i="16"/>
  <c r="R20" i="16"/>
  <c r="G31" i="16"/>
  <c r="P31" i="16"/>
  <c r="Q31" i="16"/>
  <c r="R31" i="16"/>
  <c r="G34" i="16"/>
  <c r="P34" i="16"/>
  <c r="Q34" i="16"/>
  <c r="R34" i="16"/>
  <c r="G26" i="16"/>
  <c r="P26" i="16"/>
  <c r="Q26" i="16"/>
  <c r="R26" i="16"/>
  <c r="G27" i="16"/>
  <c r="P27" i="16"/>
  <c r="Q27" i="16"/>
  <c r="R27" i="16"/>
  <c r="G30" i="16"/>
  <c r="P30" i="16"/>
  <c r="Q30" i="16"/>
  <c r="R30" i="16"/>
  <c r="P9" i="16" l="1"/>
  <c r="I102" i="16"/>
  <c r="G232" i="19"/>
  <c r="J130" i="12" l="1"/>
  <c r="K130" i="12"/>
  <c r="G9" i="12" l="1"/>
  <c r="I9" i="12"/>
  <c r="P9" i="12" s="1"/>
  <c r="Q9" i="12"/>
  <c r="R9" i="12"/>
  <c r="G43" i="12"/>
  <c r="P43" i="12"/>
  <c r="Q43" i="12"/>
  <c r="R43" i="12"/>
  <c r="P51" i="12"/>
  <c r="G47" i="12"/>
  <c r="P47" i="12"/>
  <c r="Q47" i="12"/>
  <c r="R47" i="12"/>
  <c r="G51" i="12"/>
  <c r="Q51" i="12"/>
  <c r="R51" i="12"/>
  <c r="G103" i="12"/>
  <c r="I103" i="12"/>
  <c r="P103" i="12" s="1"/>
  <c r="Q103" i="12"/>
  <c r="R103" i="12"/>
  <c r="G104" i="12"/>
  <c r="P104" i="12"/>
  <c r="Q104" i="12"/>
  <c r="R104" i="12"/>
  <c r="G101" i="12"/>
  <c r="I101" i="12"/>
  <c r="P101" i="12" s="1"/>
  <c r="Q101" i="12"/>
  <c r="R101" i="12"/>
  <c r="G91" i="12"/>
  <c r="I91" i="12"/>
  <c r="P91" i="12" s="1"/>
  <c r="Q91" i="12"/>
  <c r="R91" i="12"/>
  <c r="G25" i="12"/>
  <c r="I25" i="12"/>
  <c r="Q25" i="12"/>
  <c r="R25" i="12"/>
  <c r="G22" i="12"/>
  <c r="I22" i="12"/>
  <c r="P22" i="12" s="1"/>
  <c r="Q22" i="12"/>
  <c r="R22" i="12"/>
  <c r="G102" i="12"/>
  <c r="I102" i="12"/>
  <c r="P102" i="12" s="1"/>
  <c r="Q102" i="12"/>
  <c r="R102" i="12"/>
  <c r="P25" i="12" l="1"/>
  <c r="G19" i="12"/>
  <c r="I19" i="12"/>
  <c r="P19" i="12" s="1"/>
  <c r="Q19" i="12"/>
  <c r="R19" i="12"/>
  <c r="G21" i="12"/>
  <c r="I21" i="12"/>
  <c r="P21" i="12" s="1"/>
  <c r="Q21" i="12"/>
  <c r="R21" i="12"/>
  <c r="G77" i="12"/>
  <c r="I77" i="12"/>
  <c r="P77" i="12" s="1"/>
  <c r="Q77" i="12"/>
  <c r="R77" i="12"/>
  <c r="I268" i="12"/>
  <c r="I269" i="12"/>
  <c r="I270" i="12"/>
  <c r="I271" i="12"/>
  <c r="I272" i="12"/>
  <c r="I273" i="12"/>
  <c r="I274" i="12"/>
  <c r="L274" i="12" s="1"/>
  <c r="I275" i="12"/>
  <c r="L275" i="12" s="1"/>
  <c r="I276" i="12"/>
  <c r="L276" i="12" s="1"/>
  <c r="I277" i="12"/>
  <c r="L277" i="12" s="1"/>
  <c r="I278" i="12"/>
  <c r="L278" i="12" s="1"/>
  <c r="I279" i="12"/>
  <c r="L279" i="12" s="1"/>
  <c r="I280" i="12"/>
  <c r="L280" i="12" s="1"/>
  <c r="I281" i="12"/>
  <c r="I282" i="12"/>
  <c r="L282" i="12" s="1"/>
  <c r="I283" i="12"/>
  <c r="L283" i="12" s="1"/>
  <c r="I284" i="12"/>
  <c r="L284" i="12" s="1"/>
  <c r="I285" i="12"/>
  <c r="L285" i="12" s="1"/>
  <c r="I286" i="12"/>
  <c r="L286" i="12" s="1"/>
  <c r="I287" i="12"/>
  <c r="L287" i="12" s="1"/>
  <c r="I288" i="12"/>
  <c r="L288" i="12" s="1"/>
  <c r="I289" i="12"/>
  <c r="L289" i="12" s="1"/>
  <c r="I290" i="12"/>
  <c r="L290" i="12" s="1"/>
  <c r="I291" i="12"/>
  <c r="L291" i="12" s="1"/>
  <c r="I292" i="12"/>
  <c r="L292" i="12" s="1"/>
  <c r="I293" i="12"/>
  <c r="L293" i="12" s="1"/>
  <c r="I294" i="12"/>
  <c r="L294" i="12" s="1"/>
  <c r="I295" i="12"/>
  <c r="L295" i="12" s="1"/>
  <c r="I296" i="12"/>
  <c r="L296" i="12" s="1"/>
  <c r="I297" i="12"/>
  <c r="I298" i="12"/>
  <c r="L298" i="12" s="1"/>
  <c r="I299" i="12"/>
  <c r="L299" i="12" s="1"/>
  <c r="I300" i="12"/>
  <c r="I301" i="12"/>
  <c r="L301" i="12" s="1"/>
  <c r="I302" i="12"/>
  <c r="L302" i="12" s="1"/>
  <c r="I303" i="12"/>
  <c r="L303" i="12" s="1"/>
  <c r="I304" i="12"/>
  <c r="L304" i="12" s="1"/>
  <c r="I305" i="12"/>
  <c r="L305" i="12" s="1"/>
  <c r="I306" i="12"/>
  <c r="L306" i="12" s="1"/>
  <c r="I307" i="12"/>
  <c r="L307" i="12" s="1"/>
  <c r="I308" i="12"/>
  <c r="L308" i="12" s="1"/>
  <c r="I309" i="12"/>
  <c r="I310" i="12"/>
  <c r="L310" i="12" s="1"/>
  <c r="I311" i="12"/>
  <c r="L311" i="12" s="1"/>
  <c r="I312" i="12"/>
  <c r="L312" i="12" s="1"/>
  <c r="I313" i="12"/>
  <c r="L313" i="12" s="1"/>
  <c r="I314" i="12"/>
  <c r="L314" i="12" s="1"/>
  <c r="I315" i="12"/>
  <c r="L315" i="12" s="1"/>
  <c r="I316" i="12"/>
  <c r="L316" i="12" s="1"/>
  <c r="I317" i="12"/>
  <c r="L317" i="12" s="1"/>
  <c r="I318" i="12"/>
  <c r="L318" i="12" s="1"/>
  <c r="I319" i="12"/>
  <c r="L319" i="12" s="1"/>
  <c r="I320" i="12"/>
  <c r="L320" i="12" s="1"/>
  <c r="I321" i="12"/>
  <c r="L321" i="12" s="1"/>
  <c r="I322" i="12"/>
  <c r="L322" i="12" s="1"/>
  <c r="I323" i="12"/>
  <c r="L323" i="12" s="1"/>
  <c r="I324" i="12"/>
  <c r="L324" i="12" s="1"/>
  <c r="I325" i="12"/>
  <c r="L325" i="12" s="1"/>
  <c r="I326" i="12"/>
  <c r="L326" i="12" s="1"/>
  <c r="I327" i="12"/>
  <c r="L327" i="12" s="1"/>
  <c r="I328" i="12"/>
  <c r="L328" i="12" s="1"/>
  <c r="I329" i="12"/>
  <c r="I330" i="12"/>
  <c r="L330" i="12" s="1"/>
  <c r="I331" i="12"/>
  <c r="L331" i="12" s="1"/>
  <c r="I332" i="12"/>
  <c r="I333" i="12"/>
  <c r="L333" i="12" s="1"/>
  <c r="I334" i="12"/>
  <c r="L334" i="12" s="1"/>
  <c r="I335" i="12"/>
  <c r="L335" i="12" s="1"/>
  <c r="I336" i="12"/>
  <c r="L336" i="12" s="1"/>
  <c r="I337" i="12"/>
  <c r="L337" i="12" s="1"/>
  <c r="I338" i="12"/>
  <c r="L338" i="12" s="1"/>
  <c r="I339" i="12"/>
  <c r="L339" i="12" s="1"/>
  <c r="I340" i="12"/>
  <c r="L340" i="12" s="1"/>
  <c r="I341" i="12"/>
  <c r="L341" i="12" s="1"/>
  <c r="I342" i="12"/>
  <c r="L342" i="12" s="1"/>
  <c r="I343" i="12"/>
  <c r="L343" i="12" s="1"/>
  <c r="I344" i="12"/>
  <c r="L344" i="12" s="1"/>
  <c r="I345" i="12"/>
  <c r="I346" i="12"/>
  <c r="L346" i="12" s="1"/>
  <c r="I347" i="12"/>
  <c r="L347" i="12" s="1"/>
  <c r="I348" i="12"/>
  <c r="L348" i="12" s="1"/>
  <c r="I349" i="12"/>
  <c r="L349" i="12" s="1"/>
  <c r="I350" i="12"/>
  <c r="L350" i="12" s="1"/>
  <c r="I351" i="12"/>
  <c r="L351" i="12" s="1"/>
  <c r="I352" i="12"/>
  <c r="L352" i="12" s="1"/>
  <c r="I353" i="12"/>
  <c r="I354" i="12"/>
  <c r="L354" i="12" s="1"/>
  <c r="I355" i="12"/>
  <c r="L355" i="12" s="1"/>
  <c r="I356" i="12"/>
  <c r="L356" i="12" s="1"/>
  <c r="I357" i="12"/>
  <c r="L357" i="12" s="1"/>
  <c r="I358" i="12"/>
  <c r="L358" i="12" s="1"/>
  <c r="I359" i="12"/>
  <c r="L359" i="12" s="1"/>
  <c r="I360" i="12"/>
  <c r="L360" i="12" s="1"/>
  <c r="I361" i="12"/>
  <c r="L361" i="12" s="1"/>
  <c r="I362" i="12"/>
  <c r="L362" i="12" s="1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L411" i="12" s="1"/>
  <c r="I412" i="12"/>
  <c r="L412" i="12" s="1"/>
  <c r="I413" i="12"/>
  <c r="L413" i="12" s="1"/>
  <c r="I414" i="12"/>
  <c r="L414" i="12" s="1"/>
  <c r="I415" i="12"/>
  <c r="I416" i="12"/>
  <c r="L416" i="12" s="1"/>
  <c r="I417" i="12"/>
  <c r="I418" i="12"/>
  <c r="L418" i="12" s="1"/>
  <c r="I419" i="12"/>
  <c r="L419" i="12" s="1"/>
  <c r="I420" i="12"/>
  <c r="L420" i="12" s="1"/>
  <c r="I421" i="12"/>
  <c r="L421" i="12" s="1"/>
  <c r="I422" i="12"/>
  <c r="L422" i="12" s="1"/>
  <c r="I423" i="12"/>
  <c r="L423" i="12" s="1"/>
  <c r="I424" i="12"/>
  <c r="L424" i="12" s="1"/>
  <c r="I425" i="12"/>
  <c r="L425" i="12" s="1"/>
  <c r="I426" i="12"/>
  <c r="L426" i="12" s="1"/>
  <c r="I427" i="12"/>
  <c r="L427" i="12" s="1"/>
  <c r="I428" i="12"/>
  <c r="L428" i="12" s="1"/>
  <c r="I429" i="12"/>
  <c r="I430" i="12"/>
  <c r="L430" i="12" s="1"/>
  <c r="I431" i="12"/>
  <c r="L431" i="12" s="1"/>
  <c r="I432" i="12"/>
  <c r="I433" i="12"/>
  <c r="L433" i="12" s="1"/>
  <c r="I434" i="12"/>
  <c r="L434" i="12" s="1"/>
  <c r="I435" i="12"/>
  <c r="L435" i="12" s="1"/>
  <c r="I436" i="12"/>
  <c r="L436" i="12" s="1"/>
  <c r="I437" i="12"/>
  <c r="L437" i="12" s="1"/>
  <c r="I438" i="12"/>
  <c r="L438" i="12" s="1"/>
  <c r="I439" i="12"/>
  <c r="L439" i="12" s="1"/>
  <c r="I440" i="12"/>
  <c r="L440" i="12" s="1"/>
  <c r="I441" i="12"/>
  <c r="I442" i="12"/>
  <c r="L442" i="12" s="1"/>
  <c r="I443" i="12"/>
  <c r="L443" i="12" s="1"/>
  <c r="I444" i="12"/>
  <c r="L444" i="12" s="1"/>
  <c r="I445" i="12"/>
  <c r="L445" i="12" s="1"/>
  <c r="I446" i="12"/>
  <c r="L446" i="12" s="1"/>
  <c r="I447" i="12"/>
  <c r="L447" i="12" s="1"/>
  <c r="I448" i="12"/>
  <c r="L448" i="12" s="1"/>
  <c r="I449" i="12"/>
  <c r="L449" i="12" s="1"/>
  <c r="I450" i="12"/>
  <c r="L450" i="12" s="1"/>
  <c r="I451" i="12"/>
  <c r="L451" i="12" s="1"/>
  <c r="I452" i="12"/>
  <c r="L452" i="12" s="1"/>
  <c r="I453" i="12"/>
  <c r="L453" i="12" s="1"/>
  <c r="I454" i="12"/>
  <c r="L454" i="12" s="1"/>
  <c r="I455" i="12"/>
  <c r="L455" i="12" s="1"/>
  <c r="I456" i="12"/>
  <c r="L456" i="12" s="1"/>
  <c r="I457" i="12"/>
  <c r="L457" i="12" s="1"/>
  <c r="I458" i="12"/>
  <c r="L458" i="12" s="1"/>
  <c r="I459" i="12"/>
  <c r="L459" i="12" s="1"/>
  <c r="I460" i="12"/>
  <c r="L460" i="12" s="1"/>
  <c r="I461" i="12"/>
  <c r="I462" i="12"/>
  <c r="L462" i="12" s="1"/>
  <c r="I463" i="12"/>
  <c r="L463" i="12" s="1"/>
  <c r="I464" i="12"/>
  <c r="L464" i="12" s="1"/>
  <c r="I465" i="12"/>
  <c r="L465" i="12" s="1"/>
  <c r="I466" i="12"/>
  <c r="L466" i="12" s="1"/>
  <c r="I467" i="12"/>
  <c r="L467" i="12" s="1"/>
  <c r="I468" i="12"/>
  <c r="L468" i="12" s="1"/>
  <c r="I469" i="12"/>
  <c r="L469" i="12" s="1"/>
  <c r="I470" i="12"/>
  <c r="L470" i="12" s="1"/>
  <c r="I471" i="12"/>
  <c r="L471" i="12" s="1"/>
  <c r="I472" i="12"/>
  <c r="L472" i="12" s="1"/>
  <c r="I473" i="12"/>
  <c r="L473" i="12" s="1"/>
  <c r="I474" i="12"/>
  <c r="L474" i="12" s="1"/>
  <c r="I475" i="12"/>
  <c r="L475" i="12" s="1"/>
  <c r="I476" i="12"/>
  <c r="L476" i="12" s="1"/>
  <c r="I477" i="12"/>
  <c r="I478" i="12"/>
  <c r="L478" i="12" s="1"/>
  <c r="I479" i="12"/>
  <c r="L479" i="12" s="1"/>
  <c r="I480" i="12"/>
  <c r="L480" i="12" s="1"/>
  <c r="I481" i="12"/>
  <c r="L481" i="12" s="1"/>
  <c r="I482" i="12"/>
  <c r="L482" i="12" s="1"/>
  <c r="I483" i="12"/>
  <c r="L483" i="12" s="1"/>
  <c r="I484" i="12"/>
  <c r="L484" i="12" s="1"/>
  <c r="I485" i="12"/>
  <c r="I486" i="12"/>
  <c r="L486" i="12" s="1"/>
  <c r="I487" i="12"/>
  <c r="L487" i="12" s="1"/>
  <c r="I488" i="12"/>
  <c r="L488" i="12" s="1"/>
  <c r="I489" i="12"/>
  <c r="L489" i="12" s="1"/>
  <c r="I490" i="12"/>
  <c r="L490" i="12" s="1"/>
  <c r="I491" i="12"/>
  <c r="L491" i="12" s="1"/>
  <c r="I492" i="12"/>
  <c r="L492" i="12" s="1"/>
  <c r="I493" i="12"/>
  <c r="L493" i="12" s="1"/>
  <c r="I494" i="12"/>
  <c r="L494" i="12" s="1"/>
  <c r="I495" i="12"/>
  <c r="L495" i="12" s="1"/>
  <c r="I496" i="12"/>
  <c r="L496" i="12" s="1"/>
  <c r="I497" i="12"/>
  <c r="L497" i="12" s="1"/>
  <c r="I498" i="12"/>
  <c r="L498" i="12" s="1"/>
  <c r="I499" i="12"/>
  <c r="L499" i="12" s="1"/>
  <c r="I500" i="12"/>
  <c r="L500" i="12" s="1"/>
  <c r="I501" i="12"/>
  <c r="I502" i="12"/>
  <c r="L502" i="12" s="1"/>
  <c r="I503" i="12"/>
  <c r="L503" i="12" s="1"/>
  <c r="I504" i="12"/>
  <c r="L504" i="12" s="1"/>
  <c r="I505" i="12"/>
  <c r="L505" i="12" s="1"/>
  <c r="I506" i="12"/>
  <c r="L506" i="12" s="1"/>
  <c r="I507" i="12"/>
  <c r="L507" i="12" s="1"/>
  <c r="I508" i="12"/>
  <c r="L508" i="12" s="1"/>
  <c r="I509" i="12"/>
  <c r="I510" i="12"/>
  <c r="L510" i="12" s="1"/>
  <c r="I511" i="12"/>
  <c r="L511" i="12" s="1"/>
  <c r="I512" i="12"/>
  <c r="L512" i="12" s="1"/>
  <c r="I513" i="12"/>
  <c r="L513" i="12" s="1"/>
  <c r="I514" i="12"/>
  <c r="L514" i="12" s="1"/>
  <c r="I515" i="12"/>
  <c r="L515" i="12" s="1"/>
  <c r="I516" i="12"/>
  <c r="L516" i="12" s="1"/>
  <c r="I517" i="12"/>
  <c r="L517" i="12" s="1"/>
  <c r="I518" i="12"/>
  <c r="L518" i="12" s="1"/>
  <c r="I519" i="12"/>
  <c r="L519" i="12" s="1"/>
  <c r="I520" i="12"/>
  <c r="L520" i="12" s="1"/>
  <c r="I521" i="12"/>
  <c r="L521" i="12" s="1"/>
  <c r="I522" i="12"/>
  <c r="L522" i="12" s="1"/>
  <c r="I523" i="12"/>
  <c r="L523" i="12" s="1"/>
  <c r="I524" i="12"/>
  <c r="L524" i="12" s="1"/>
  <c r="I525" i="12"/>
  <c r="I526" i="12"/>
  <c r="L526" i="12" s="1"/>
  <c r="I527" i="12"/>
  <c r="L527" i="12" s="1"/>
  <c r="I528" i="12"/>
  <c r="L528" i="12" s="1"/>
  <c r="I529" i="12"/>
  <c r="L529" i="12" s="1"/>
  <c r="I530" i="12"/>
  <c r="L530" i="12" s="1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5" i="12"/>
  <c r="L417" i="12"/>
  <c r="L429" i="12"/>
  <c r="L432" i="12"/>
  <c r="L441" i="12"/>
  <c r="L461" i="12"/>
  <c r="L477" i="12"/>
  <c r="L485" i="12"/>
  <c r="L501" i="12"/>
  <c r="L509" i="12"/>
  <c r="L525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L273" i="12"/>
  <c r="L281" i="12"/>
  <c r="L297" i="12"/>
  <c r="G362" i="12"/>
  <c r="G361" i="12"/>
  <c r="G360" i="12"/>
  <c r="G359" i="12"/>
  <c r="G358" i="12"/>
  <c r="G357" i="12"/>
  <c r="G356" i="12"/>
  <c r="G355" i="12"/>
  <c r="G354" i="12"/>
  <c r="G353" i="12"/>
  <c r="L353" i="12"/>
  <c r="G352" i="12"/>
  <c r="G351" i="12"/>
  <c r="G350" i="12"/>
  <c r="G349" i="12"/>
  <c r="G348" i="12"/>
  <c r="G347" i="12"/>
  <c r="G346" i="12"/>
  <c r="G345" i="12"/>
  <c r="L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L332" i="12"/>
  <c r="G331" i="12"/>
  <c r="G330" i="12"/>
  <c r="G329" i="12"/>
  <c r="L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L309" i="12"/>
  <c r="G308" i="12"/>
  <c r="G307" i="12"/>
  <c r="G306" i="12"/>
  <c r="G305" i="12"/>
  <c r="G304" i="12"/>
  <c r="G303" i="12"/>
  <c r="G302" i="12"/>
  <c r="G301" i="12"/>
  <c r="G264" i="12"/>
  <c r="I264" i="12"/>
  <c r="L264" i="12" s="1"/>
  <c r="G263" i="12"/>
  <c r="I263" i="12"/>
  <c r="L263" i="12" s="1"/>
  <c r="G262" i="12"/>
  <c r="I262" i="12"/>
  <c r="L262" i="12" s="1"/>
  <c r="G261" i="12"/>
  <c r="I261" i="12"/>
  <c r="L261" i="12" s="1"/>
  <c r="G260" i="12"/>
  <c r="I260" i="12"/>
  <c r="L260" i="12" s="1"/>
  <c r="G259" i="12"/>
  <c r="I259" i="12"/>
  <c r="L259" i="12" s="1"/>
  <c r="G258" i="12"/>
  <c r="I258" i="12"/>
  <c r="L258" i="12" s="1"/>
  <c r="G257" i="12"/>
  <c r="I257" i="12"/>
  <c r="L257" i="12" s="1"/>
  <c r="G256" i="12"/>
  <c r="I256" i="12"/>
  <c r="L256" i="12" s="1"/>
  <c r="G255" i="12"/>
  <c r="I255" i="12"/>
  <c r="L255" i="12" s="1"/>
  <c r="G254" i="12"/>
  <c r="I254" i="12"/>
  <c r="L254" i="12" s="1"/>
  <c r="G253" i="12"/>
  <c r="I253" i="12"/>
  <c r="L253" i="12" s="1"/>
  <c r="G252" i="12"/>
  <c r="I252" i="12"/>
  <c r="L252" i="12" s="1"/>
  <c r="G251" i="12"/>
  <c r="I251" i="12"/>
  <c r="L251" i="12" s="1"/>
  <c r="G250" i="12"/>
  <c r="I250" i="12"/>
  <c r="L250" i="12" s="1"/>
  <c r="G249" i="12"/>
  <c r="I249" i="12"/>
  <c r="L249" i="12" s="1"/>
  <c r="G248" i="12"/>
  <c r="I248" i="12"/>
  <c r="L248" i="12" s="1"/>
  <c r="G247" i="12"/>
  <c r="I247" i="12"/>
  <c r="L247" i="12" s="1"/>
  <c r="G246" i="12"/>
  <c r="I246" i="12"/>
  <c r="L246" i="12" s="1"/>
  <c r="G245" i="12"/>
  <c r="I245" i="12"/>
  <c r="L245" i="12" s="1"/>
  <c r="G244" i="12"/>
  <c r="I244" i="12"/>
  <c r="L244" i="12" s="1"/>
  <c r="G243" i="12"/>
  <c r="I243" i="12"/>
  <c r="L243" i="12" s="1"/>
  <c r="G242" i="12"/>
  <c r="I242" i="12"/>
  <c r="L242" i="12" s="1"/>
  <c r="G241" i="12"/>
  <c r="I241" i="12"/>
  <c r="L241" i="12" s="1"/>
  <c r="G240" i="12"/>
  <c r="I240" i="12"/>
  <c r="L240" i="12" s="1"/>
  <c r="G239" i="12"/>
  <c r="I239" i="12"/>
  <c r="L239" i="12" s="1"/>
  <c r="G238" i="12"/>
  <c r="I238" i="12"/>
  <c r="L238" i="12" s="1"/>
  <c r="G237" i="12"/>
  <c r="I237" i="12"/>
  <c r="L237" i="12" s="1"/>
  <c r="G236" i="12"/>
  <c r="I236" i="12"/>
  <c r="L236" i="12" s="1"/>
  <c r="G235" i="12"/>
  <c r="I235" i="12"/>
  <c r="L235" i="12" s="1"/>
  <c r="G234" i="12"/>
  <c r="I234" i="12"/>
  <c r="L234" i="12" s="1"/>
  <c r="G233" i="12"/>
  <c r="I233" i="12"/>
  <c r="L233" i="12" s="1"/>
  <c r="G232" i="12"/>
  <c r="I232" i="12"/>
  <c r="L232" i="12" s="1"/>
  <c r="G231" i="12"/>
  <c r="I231" i="12"/>
  <c r="L231" i="12" s="1"/>
  <c r="G230" i="12"/>
  <c r="I230" i="12"/>
  <c r="L230" i="12" s="1"/>
  <c r="G229" i="12"/>
  <c r="I229" i="12"/>
  <c r="L229" i="12" s="1"/>
  <c r="G228" i="12"/>
  <c r="I228" i="12"/>
  <c r="L228" i="12" s="1"/>
  <c r="G227" i="12"/>
  <c r="I227" i="12"/>
  <c r="L227" i="12" s="1"/>
  <c r="G226" i="12"/>
  <c r="I226" i="12"/>
  <c r="L226" i="12" s="1"/>
  <c r="G225" i="12"/>
  <c r="I225" i="12"/>
  <c r="L225" i="12" s="1"/>
  <c r="G224" i="12"/>
  <c r="I224" i="12"/>
  <c r="L224" i="12" s="1"/>
  <c r="G223" i="12"/>
  <c r="I223" i="12"/>
  <c r="L223" i="12" s="1"/>
  <c r="G222" i="12"/>
  <c r="I222" i="12"/>
  <c r="L222" i="12" s="1"/>
  <c r="G221" i="12"/>
  <c r="I221" i="12"/>
  <c r="L221" i="12" s="1"/>
  <c r="G220" i="12"/>
  <c r="I220" i="12"/>
  <c r="L220" i="12" s="1"/>
  <c r="G219" i="12"/>
  <c r="I219" i="12"/>
  <c r="L219" i="12" s="1"/>
  <c r="G218" i="12"/>
  <c r="I218" i="12"/>
  <c r="L218" i="12" s="1"/>
  <c r="G217" i="12"/>
  <c r="I217" i="12"/>
  <c r="L217" i="12" s="1"/>
  <c r="G216" i="12"/>
  <c r="I216" i="12"/>
  <c r="L216" i="12" s="1"/>
  <c r="G215" i="12"/>
  <c r="I215" i="12"/>
  <c r="L215" i="12" s="1"/>
  <c r="G214" i="12"/>
  <c r="I214" i="12"/>
  <c r="L214" i="12" s="1"/>
  <c r="G213" i="12"/>
  <c r="I213" i="12"/>
  <c r="L213" i="12" s="1"/>
  <c r="G212" i="12"/>
  <c r="I212" i="12"/>
  <c r="L212" i="12" s="1"/>
  <c r="G211" i="12"/>
  <c r="I211" i="12"/>
  <c r="L211" i="12" s="1"/>
  <c r="H137" i="12"/>
  <c r="H138" i="12"/>
  <c r="G54" i="12" l="1"/>
  <c r="P54" i="12"/>
  <c r="Q54" i="12"/>
  <c r="R54" i="12"/>
  <c r="G89" i="12"/>
  <c r="P89" i="12"/>
  <c r="Q89" i="12"/>
  <c r="R89" i="12"/>
  <c r="G86" i="12"/>
  <c r="P86" i="12"/>
  <c r="Q86" i="12"/>
  <c r="R86" i="12"/>
  <c r="G57" i="12"/>
  <c r="P57" i="12"/>
  <c r="Q57" i="12"/>
  <c r="R57" i="12"/>
  <c r="G67" i="12"/>
  <c r="P67" i="12"/>
  <c r="Q67" i="12"/>
  <c r="R67" i="12"/>
  <c r="G90" i="12"/>
  <c r="P90" i="12"/>
  <c r="Q90" i="12"/>
  <c r="R90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H146" i="12"/>
  <c r="H147" i="12"/>
  <c r="H188" i="12"/>
  <c r="J146" i="12"/>
  <c r="J147" i="12"/>
  <c r="J188" i="12"/>
  <c r="K146" i="12"/>
  <c r="K147" i="12"/>
  <c r="K188" i="12"/>
  <c r="H189" i="12"/>
  <c r="H190" i="12"/>
  <c r="J189" i="12"/>
  <c r="J190" i="12"/>
  <c r="K189" i="12"/>
  <c r="K190" i="12"/>
  <c r="G65" i="12"/>
  <c r="P65" i="12"/>
  <c r="Q65" i="12"/>
  <c r="R65" i="12"/>
  <c r="G48" i="12"/>
  <c r="G93" i="12"/>
  <c r="G18" i="12"/>
  <c r="G105" i="12"/>
  <c r="G94" i="12"/>
  <c r="G82" i="12"/>
  <c r="G23" i="12"/>
  <c r="G84" i="12"/>
  <c r="G27" i="12"/>
  <c r="G42" i="12"/>
  <c r="G26" i="12"/>
  <c r="G37" i="12"/>
  <c r="G34" i="12"/>
  <c r="G39" i="12"/>
  <c r="G78" i="12"/>
  <c r="G13" i="12"/>
  <c r="G35" i="12"/>
  <c r="P48" i="12"/>
  <c r="P18" i="12"/>
  <c r="P105" i="12"/>
  <c r="P94" i="12"/>
  <c r="P82" i="12"/>
  <c r="P23" i="12"/>
  <c r="P84" i="12"/>
  <c r="P27" i="12"/>
  <c r="P42" i="12"/>
  <c r="P26" i="12"/>
  <c r="P37" i="12"/>
  <c r="P34" i="12"/>
  <c r="P39" i="12"/>
  <c r="P78" i="12"/>
  <c r="P13" i="12"/>
  <c r="P35" i="12"/>
  <c r="P93" i="12"/>
  <c r="Q48" i="12"/>
  <c r="Q93" i="12"/>
  <c r="Q18" i="12"/>
  <c r="Q105" i="12"/>
  <c r="Q94" i="12"/>
  <c r="Q82" i="12"/>
  <c r="Q23" i="12"/>
  <c r="Q84" i="12"/>
  <c r="Q27" i="12"/>
  <c r="Q42" i="12"/>
  <c r="Q26" i="12"/>
  <c r="Q37" i="12"/>
  <c r="Q39" i="12"/>
  <c r="Q78" i="12"/>
  <c r="Q13" i="12"/>
  <c r="Q35" i="12"/>
  <c r="R48" i="12"/>
  <c r="R93" i="12"/>
  <c r="R18" i="12"/>
  <c r="R105" i="12"/>
  <c r="R94" i="12"/>
  <c r="R82" i="12"/>
  <c r="R23" i="12"/>
  <c r="R84" i="12"/>
  <c r="R27" i="12"/>
  <c r="R42" i="12"/>
  <c r="R26" i="12"/>
  <c r="R37" i="12"/>
  <c r="R34" i="12"/>
  <c r="R39" i="12"/>
  <c r="R78" i="12"/>
  <c r="R13" i="12"/>
  <c r="R35" i="12"/>
  <c r="G44" i="12"/>
  <c r="G28" i="12"/>
  <c r="G64" i="12"/>
  <c r="G46" i="12"/>
  <c r="G97" i="12"/>
  <c r="G108" i="12"/>
  <c r="G99" i="12"/>
  <c r="G85" i="12"/>
  <c r="G88" i="12"/>
  <c r="G10" i="12"/>
  <c r="G24" i="12"/>
  <c r="G58" i="12"/>
  <c r="G69" i="12"/>
  <c r="G83" i="12"/>
  <c r="G66" i="12"/>
  <c r="G32" i="12"/>
  <c r="G74" i="12"/>
  <c r="P44" i="12"/>
  <c r="P28" i="12"/>
  <c r="P64" i="12"/>
  <c r="P46" i="12"/>
  <c r="P97" i="12"/>
  <c r="P108" i="12"/>
  <c r="P99" i="12"/>
  <c r="P85" i="12"/>
  <c r="P88" i="12"/>
  <c r="P10" i="12"/>
  <c r="P24" i="12"/>
  <c r="P58" i="12"/>
  <c r="P69" i="12"/>
  <c r="P83" i="12"/>
  <c r="P66" i="12"/>
  <c r="P32" i="12"/>
  <c r="P74" i="12"/>
  <c r="Q44" i="12"/>
  <c r="Q28" i="12"/>
  <c r="Q64" i="12"/>
  <c r="Q46" i="12"/>
  <c r="Q97" i="12"/>
  <c r="Q108" i="12"/>
  <c r="Q99" i="12"/>
  <c r="Q85" i="12"/>
  <c r="Q88" i="12"/>
  <c r="Q10" i="12"/>
  <c r="Q24" i="12"/>
  <c r="Q58" i="12"/>
  <c r="Q69" i="12"/>
  <c r="Q83" i="12"/>
  <c r="Q66" i="12"/>
  <c r="Q32" i="12"/>
  <c r="Q74" i="12"/>
  <c r="R44" i="12"/>
  <c r="R28" i="12"/>
  <c r="R64" i="12"/>
  <c r="R46" i="12"/>
  <c r="R97" i="12"/>
  <c r="R108" i="12"/>
  <c r="R99" i="12"/>
  <c r="R85" i="12"/>
  <c r="R88" i="12"/>
  <c r="R10" i="12"/>
  <c r="R24" i="12"/>
  <c r="R58" i="12"/>
  <c r="R69" i="12"/>
  <c r="R83" i="12"/>
  <c r="R66" i="12"/>
  <c r="R32" i="12"/>
  <c r="R74" i="12"/>
  <c r="G68" i="12"/>
  <c r="G106" i="12"/>
  <c r="G92" i="12"/>
  <c r="G29" i="12"/>
  <c r="G75" i="12"/>
  <c r="G100" i="12"/>
  <c r="G55" i="12"/>
  <c r="G80" i="12"/>
  <c r="G79" i="12"/>
  <c r="G70" i="12"/>
  <c r="G73" i="12"/>
  <c r="G11" i="12"/>
  <c r="G50" i="12"/>
  <c r="G49" i="12"/>
  <c r="G96" i="12"/>
  <c r="G45" i="12"/>
  <c r="P68" i="12"/>
  <c r="P106" i="12"/>
  <c r="P29" i="12"/>
  <c r="P75" i="12"/>
  <c r="P55" i="12"/>
  <c r="P80" i="12"/>
  <c r="P79" i="12"/>
  <c r="P70" i="12"/>
  <c r="P73" i="12"/>
  <c r="P11" i="12"/>
  <c r="P50" i="12"/>
  <c r="P49" i="12"/>
  <c r="P96" i="12"/>
  <c r="P45" i="12"/>
  <c r="P92" i="12"/>
  <c r="P100" i="12"/>
  <c r="Q68" i="12"/>
  <c r="Q106" i="12"/>
  <c r="Q92" i="12"/>
  <c r="Q29" i="12"/>
  <c r="Q75" i="12"/>
  <c r="Q100" i="12"/>
  <c r="Q55" i="12"/>
  <c r="Q80" i="12"/>
  <c r="Q79" i="12"/>
  <c r="Q70" i="12"/>
  <c r="Q73" i="12"/>
  <c r="Q11" i="12"/>
  <c r="Q50" i="12"/>
  <c r="Q49" i="12"/>
  <c r="Q96" i="12"/>
  <c r="Q45" i="12"/>
  <c r="R68" i="12"/>
  <c r="R106" i="12"/>
  <c r="R92" i="12"/>
  <c r="R29" i="12"/>
  <c r="R75" i="12"/>
  <c r="R100" i="12"/>
  <c r="R55" i="12"/>
  <c r="R80" i="12"/>
  <c r="R79" i="12"/>
  <c r="R70" i="12"/>
  <c r="R73" i="12"/>
  <c r="R11" i="12"/>
  <c r="R50" i="12"/>
  <c r="R49" i="12"/>
  <c r="R96" i="12"/>
  <c r="R45" i="12"/>
  <c r="G112" i="12"/>
  <c r="G40" i="12"/>
  <c r="G114" i="12"/>
  <c r="G98" i="12"/>
  <c r="G95" i="12"/>
  <c r="G115" i="12"/>
  <c r="G16" i="12"/>
  <c r="G62" i="12"/>
  <c r="G15" i="12"/>
  <c r="G36" i="12"/>
  <c r="G71" i="12"/>
  <c r="G17" i="12"/>
  <c r="G59" i="12"/>
  <c r="P112" i="12"/>
  <c r="P114" i="12"/>
  <c r="P98" i="12"/>
  <c r="P95" i="12"/>
  <c r="P115" i="12"/>
  <c r="P16" i="12"/>
  <c r="P62" i="12"/>
  <c r="P15" i="12"/>
  <c r="P36" i="12"/>
  <c r="P71" i="12"/>
  <c r="P17" i="12"/>
  <c r="P59" i="12"/>
  <c r="P40" i="12"/>
  <c r="Q112" i="12"/>
  <c r="Q40" i="12"/>
  <c r="Q114" i="12"/>
  <c r="Q98" i="12"/>
  <c r="Q95" i="12"/>
  <c r="Q115" i="12"/>
  <c r="Q16" i="12"/>
  <c r="Q62" i="12"/>
  <c r="Q15" i="12"/>
  <c r="Q36" i="12"/>
  <c r="Q71" i="12"/>
  <c r="Q17" i="12"/>
  <c r="Q59" i="12"/>
  <c r="R112" i="12"/>
  <c r="R40" i="12"/>
  <c r="R114" i="12"/>
  <c r="R98" i="12"/>
  <c r="R95" i="12"/>
  <c r="R115" i="12"/>
  <c r="R16" i="12"/>
  <c r="R62" i="12"/>
  <c r="R15" i="12"/>
  <c r="R36" i="12"/>
  <c r="R71" i="12"/>
  <c r="R17" i="12"/>
  <c r="R59" i="12"/>
  <c r="G14" i="12"/>
  <c r="P14" i="12"/>
  <c r="Q14" i="12"/>
  <c r="R14" i="12"/>
  <c r="G109" i="12"/>
  <c r="P109" i="12"/>
  <c r="Q109" i="12"/>
  <c r="R109" i="12"/>
  <c r="G53" i="12"/>
  <c r="I53" i="12"/>
  <c r="P53" i="12" s="1"/>
  <c r="Q53" i="12"/>
  <c r="R53" i="12"/>
  <c r="G52" i="12"/>
  <c r="I52" i="12"/>
  <c r="P52" i="12" s="1"/>
  <c r="Q52" i="12"/>
  <c r="R52" i="12"/>
  <c r="G116" i="12"/>
  <c r="I116" i="12"/>
  <c r="P116" i="12" s="1"/>
  <c r="Q116" i="12"/>
  <c r="R116" i="12"/>
  <c r="G63" i="12"/>
  <c r="P63" i="12"/>
  <c r="Q63" i="12"/>
  <c r="R63" i="12"/>
  <c r="G38" i="12"/>
  <c r="P38" i="12"/>
  <c r="Q38" i="12"/>
  <c r="R38" i="12"/>
  <c r="G20" i="12"/>
  <c r="P20" i="12"/>
  <c r="Q20" i="12"/>
  <c r="R20" i="12"/>
  <c r="G12" i="12"/>
  <c r="P12" i="12"/>
  <c r="Q12" i="12"/>
  <c r="R12" i="12"/>
  <c r="G87" i="12"/>
  <c r="P87" i="12"/>
  <c r="Q87" i="12"/>
  <c r="R87" i="12"/>
  <c r="G60" i="12"/>
  <c r="P60" i="12"/>
  <c r="Q60" i="12"/>
  <c r="R60" i="12"/>
  <c r="G61" i="12"/>
  <c r="P61" i="12"/>
  <c r="Q61" i="12"/>
  <c r="R61" i="12"/>
  <c r="G31" i="12"/>
  <c r="P31" i="12"/>
  <c r="Q31" i="12"/>
  <c r="R31" i="12"/>
  <c r="G30" i="12"/>
  <c r="P30" i="12"/>
  <c r="Q30" i="12"/>
  <c r="R30" i="12"/>
  <c r="G72" i="12"/>
  <c r="P72" i="12"/>
  <c r="Q72" i="12"/>
  <c r="R72" i="12"/>
  <c r="G113" i="12"/>
  <c r="P113" i="12"/>
  <c r="Q113" i="12"/>
  <c r="R113" i="12"/>
  <c r="G41" i="12"/>
  <c r="P41" i="12"/>
  <c r="Q41" i="12"/>
  <c r="R41" i="12"/>
  <c r="G26" i="11" l="1"/>
  <c r="P26" i="11"/>
  <c r="Q26" i="11"/>
  <c r="R26" i="11"/>
  <c r="H127" i="11"/>
  <c r="M127" i="11" s="1"/>
  <c r="H128" i="11"/>
  <c r="M128" i="11" s="1"/>
  <c r="H129" i="11"/>
  <c r="M129" i="11" s="1"/>
  <c r="G89" i="11"/>
  <c r="P89" i="11"/>
  <c r="Q89" i="11"/>
  <c r="R89" i="11"/>
  <c r="G87" i="11"/>
  <c r="P87" i="11"/>
  <c r="Q87" i="11"/>
  <c r="R87" i="11"/>
  <c r="G86" i="11"/>
  <c r="P86" i="11"/>
  <c r="Q86" i="11"/>
  <c r="R86" i="11"/>
  <c r="G100" i="11"/>
  <c r="P100" i="11"/>
  <c r="Q100" i="11"/>
  <c r="R100" i="11"/>
  <c r="G99" i="11"/>
  <c r="P99" i="11"/>
  <c r="Q99" i="11"/>
  <c r="R99" i="11"/>
  <c r="G98" i="11"/>
  <c r="P98" i="11"/>
  <c r="Q98" i="11"/>
  <c r="R98" i="11"/>
  <c r="G97" i="11"/>
  <c r="P97" i="11"/>
  <c r="Q97" i="11"/>
  <c r="R97" i="11"/>
  <c r="G96" i="11"/>
  <c r="P96" i="11"/>
  <c r="Q96" i="11"/>
  <c r="R96" i="11"/>
  <c r="H137" i="11"/>
  <c r="H140" i="11"/>
  <c r="J137" i="11"/>
  <c r="J140" i="11"/>
  <c r="K137" i="11"/>
  <c r="K140" i="11"/>
  <c r="H141" i="11"/>
  <c r="H144" i="11"/>
  <c r="J141" i="11"/>
  <c r="J144" i="11"/>
  <c r="K141" i="11"/>
  <c r="K144" i="11"/>
  <c r="H145" i="11"/>
  <c r="H151" i="11"/>
  <c r="J145" i="11"/>
  <c r="J151" i="11"/>
  <c r="K145" i="11"/>
  <c r="K151" i="11"/>
  <c r="H152" i="11"/>
  <c r="H165" i="11"/>
  <c r="J152" i="11"/>
  <c r="J165" i="11"/>
  <c r="K152" i="11"/>
  <c r="K165" i="11"/>
  <c r="H166" i="11"/>
  <c r="H167" i="11"/>
  <c r="J166" i="11"/>
  <c r="J167" i="11"/>
  <c r="K166" i="11"/>
  <c r="K167" i="11"/>
  <c r="H143" i="11"/>
  <c r="J143" i="11"/>
  <c r="K143" i="11"/>
  <c r="H153" i="11"/>
  <c r="H168" i="11"/>
  <c r="J153" i="11"/>
  <c r="J168" i="11"/>
  <c r="K153" i="11"/>
  <c r="K168" i="11"/>
  <c r="H169" i="11"/>
  <c r="J169" i="11"/>
  <c r="K169" i="11"/>
  <c r="G95" i="11"/>
  <c r="P95" i="11"/>
  <c r="Q95" i="11"/>
  <c r="R95" i="11"/>
  <c r="G82" i="11"/>
  <c r="P82" i="11"/>
  <c r="Q82" i="11"/>
  <c r="R82" i="11"/>
  <c r="G81" i="11"/>
  <c r="P81" i="11"/>
  <c r="Q81" i="11"/>
  <c r="R81" i="11"/>
  <c r="G88" i="11"/>
  <c r="I88" i="11"/>
  <c r="P88" i="11" s="1"/>
  <c r="Q88" i="11"/>
  <c r="R88" i="11"/>
  <c r="G34" i="11"/>
  <c r="I34" i="11"/>
  <c r="P34" i="11" s="1"/>
  <c r="Q34" i="11"/>
  <c r="R34" i="11"/>
  <c r="G27" i="11"/>
  <c r="P27" i="11"/>
  <c r="Q27" i="11"/>
  <c r="R27" i="11"/>
  <c r="G119" i="11"/>
  <c r="P119" i="11"/>
  <c r="Q119" i="11"/>
  <c r="R119" i="11"/>
  <c r="G118" i="11"/>
  <c r="P118" i="11"/>
  <c r="Q118" i="11"/>
  <c r="R118" i="11"/>
  <c r="G116" i="11"/>
  <c r="P116" i="11"/>
  <c r="Q116" i="11"/>
  <c r="R116" i="11"/>
  <c r="G115" i="11"/>
  <c r="P115" i="11"/>
  <c r="Q115" i="11"/>
  <c r="R115" i="11"/>
  <c r="G106" i="11"/>
  <c r="P106" i="11"/>
  <c r="Q106" i="11"/>
  <c r="R106" i="11"/>
  <c r="G105" i="11"/>
  <c r="P105" i="11"/>
  <c r="Q105" i="11"/>
  <c r="R105" i="11"/>
  <c r="G102" i="11"/>
  <c r="P102" i="11"/>
  <c r="Q102" i="11"/>
  <c r="R102" i="11"/>
  <c r="G90" i="11"/>
  <c r="P90" i="11"/>
  <c r="Q90" i="11"/>
  <c r="R90" i="11"/>
  <c r="G85" i="11"/>
  <c r="P85" i="11"/>
  <c r="Q85" i="11"/>
  <c r="R85" i="11"/>
  <c r="G79" i="11"/>
  <c r="P79" i="11"/>
  <c r="Q79" i="11"/>
  <c r="R79" i="11"/>
  <c r="G19" i="11"/>
  <c r="P19" i="11"/>
  <c r="Q19" i="11"/>
  <c r="R19" i="11"/>
  <c r="G78" i="11"/>
  <c r="P78" i="11"/>
  <c r="Q78" i="11"/>
  <c r="R78" i="11"/>
  <c r="G72" i="11"/>
  <c r="P72" i="11"/>
  <c r="Q72" i="11"/>
  <c r="R72" i="11"/>
  <c r="G70" i="11"/>
  <c r="P70" i="11"/>
  <c r="Q70" i="11"/>
  <c r="R70" i="11"/>
  <c r="G63" i="11"/>
  <c r="P63" i="11"/>
  <c r="Q63" i="11"/>
  <c r="R63" i="11"/>
  <c r="G62" i="11"/>
  <c r="P62" i="11"/>
  <c r="Q62" i="11"/>
  <c r="R62" i="11"/>
  <c r="G67" i="11"/>
  <c r="P67" i="11"/>
  <c r="Q67" i="11"/>
  <c r="R67" i="11"/>
  <c r="G64" i="11"/>
  <c r="P64" i="11"/>
  <c r="Q64" i="11"/>
  <c r="R64" i="11"/>
  <c r="G58" i="11"/>
  <c r="P58" i="11"/>
  <c r="Q58" i="11"/>
  <c r="R58" i="11"/>
  <c r="G47" i="11"/>
  <c r="P47" i="11"/>
  <c r="Q47" i="11"/>
  <c r="R47" i="11"/>
  <c r="G44" i="11"/>
  <c r="P44" i="11"/>
  <c r="Q44" i="11"/>
  <c r="R44" i="11"/>
  <c r="G43" i="11"/>
  <c r="P43" i="11"/>
  <c r="Q43" i="11"/>
  <c r="R43" i="11"/>
  <c r="H136" i="11"/>
  <c r="H138" i="11"/>
  <c r="H139" i="11"/>
  <c r="H142" i="11"/>
  <c r="J136" i="11"/>
  <c r="J138" i="11"/>
  <c r="J139" i="11"/>
  <c r="J142" i="11"/>
  <c r="K136" i="11"/>
  <c r="K138" i="11"/>
  <c r="K139" i="11"/>
  <c r="K142" i="11"/>
  <c r="H146" i="11"/>
  <c r="H147" i="11"/>
  <c r="H148" i="11"/>
  <c r="H149" i="11"/>
  <c r="J146" i="11"/>
  <c r="J147" i="11"/>
  <c r="J148" i="11"/>
  <c r="J149" i="11"/>
  <c r="K146" i="11"/>
  <c r="K147" i="11"/>
  <c r="K148" i="11"/>
  <c r="K149" i="11"/>
  <c r="H150" i="11"/>
  <c r="H154" i="11"/>
  <c r="H155" i="11"/>
  <c r="H156" i="11"/>
  <c r="J150" i="11"/>
  <c r="J154" i="11"/>
  <c r="J155" i="11"/>
  <c r="J156" i="11"/>
  <c r="K150" i="11"/>
  <c r="K154" i="11"/>
  <c r="K155" i="11"/>
  <c r="K156" i="11"/>
  <c r="H157" i="11"/>
  <c r="H158" i="11"/>
  <c r="H159" i="11"/>
  <c r="H160" i="11"/>
  <c r="J157" i="11"/>
  <c r="J158" i="11"/>
  <c r="J159" i="11"/>
  <c r="J160" i="11"/>
  <c r="K157" i="11"/>
  <c r="K158" i="11"/>
  <c r="K159" i="11"/>
  <c r="K160" i="11"/>
  <c r="H161" i="11"/>
  <c r="H162" i="11"/>
  <c r="H163" i="11"/>
  <c r="H164" i="11"/>
  <c r="J161" i="11"/>
  <c r="J162" i="11"/>
  <c r="J163" i="11"/>
  <c r="J164" i="11"/>
  <c r="K161" i="11"/>
  <c r="K162" i="11"/>
  <c r="K163" i="11"/>
  <c r="K164" i="11"/>
  <c r="G31" i="11"/>
  <c r="G9" i="11"/>
  <c r="G37" i="11"/>
  <c r="G40" i="11"/>
  <c r="G42" i="11"/>
  <c r="G39" i="11"/>
  <c r="P31" i="11"/>
  <c r="P9" i="11"/>
  <c r="P37" i="11"/>
  <c r="P40" i="11"/>
  <c r="P42" i="11"/>
  <c r="P39" i="11"/>
  <c r="Q31" i="11"/>
  <c r="Q9" i="11"/>
  <c r="Q37" i="11"/>
  <c r="Q40" i="11"/>
  <c r="Q42" i="11"/>
  <c r="Q39" i="11"/>
  <c r="R31" i="11"/>
  <c r="R9" i="11"/>
  <c r="R37" i="11"/>
  <c r="R40" i="11"/>
  <c r="R42" i="11"/>
  <c r="R39" i="11"/>
  <c r="P104" i="11"/>
  <c r="P66" i="11"/>
  <c r="P57" i="11"/>
  <c r="P11" i="11"/>
  <c r="B2224" i="8"/>
  <c r="G66" i="11"/>
  <c r="G68" i="11"/>
  <c r="G71" i="11"/>
  <c r="G74" i="11"/>
  <c r="G73" i="11"/>
  <c r="G17" i="11"/>
  <c r="G76" i="11"/>
  <c r="G77" i="11"/>
  <c r="G75" i="11"/>
  <c r="G18" i="11"/>
  <c r="G80" i="11"/>
  <c r="G84" i="11"/>
  <c r="P68" i="11"/>
  <c r="P71" i="11"/>
  <c r="P69" i="11"/>
  <c r="P74" i="11"/>
  <c r="P73" i="11"/>
  <c r="P17" i="11"/>
  <c r="P76" i="11"/>
  <c r="P75" i="11"/>
  <c r="P18" i="11"/>
  <c r="P80" i="11"/>
  <c r="Q66" i="11"/>
  <c r="Q68" i="11"/>
  <c r="Q71" i="11"/>
  <c r="Q69" i="11"/>
  <c r="Q74" i="11"/>
  <c r="Q73" i="11"/>
  <c r="Q17" i="11"/>
  <c r="Q76" i="11"/>
  <c r="Q77" i="11"/>
  <c r="Q75" i="11"/>
  <c r="Q18" i="11"/>
  <c r="Q80" i="11"/>
  <c r="Q84" i="11"/>
  <c r="R66" i="11"/>
  <c r="R68" i="11"/>
  <c r="R71" i="11"/>
  <c r="R69" i="11"/>
  <c r="R74" i="11"/>
  <c r="R73" i="11"/>
  <c r="R17" i="11"/>
  <c r="R76" i="11"/>
  <c r="R77" i="11"/>
  <c r="R75" i="11"/>
  <c r="R18" i="11"/>
  <c r="R80" i="11"/>
  <c r="R84" i="11"/>
  <c r="G20" i="11"/>
  <c r="G83" i="11"/>
  <c r="G93" i="11"/>
  <c r="G21" i="11"/>
  <c r="G94" i="11"/>
  <c r="G91" i="11"/>
  <c r="G92" i="11"/>
  <c r="G103" i="11"/>
  <c r="G101" i="11"/>
  <c r="G104" i="11"/>
  <c r="G108" i="11"/>
  <c r="G107" i="11"/>
  <c r="G109" i="11"/>
  <c r="P20" i="11"/>
  <c r="P83" i="11"/>
  <c r="P94" i="11"/>
  <c r="P91" i="11"/>
  <c r="P101" i="11"/>
  <c r="P109" i="11"/>
  <c r="Q20" i="11"/>
  <c r="Q83" i="11"/>
  <c r="Q93" i="11"/>
  <c r="Q21" i="11"/>
  <c r="Q94" i="11"/>
  <c r="Q91" i="11"/>
  <c r="Q92" i="11"/>
  <c r="Q103" i="11"/>
  <c r="Q101" i="11"/>
  <c r="Q104" i="11"/>
  <c r="Q108" i="11"/>
  <c r="Q107" i="11"/>
  <c r="Q109" i="11"/>
  <c r="R20" i="11"/>
  <c r="R83" i="11"/>
  <c r="R93" i="11"/>
  <c r="R21" i="11"/>
  <c r="R94" i="11"/>
  <c r="R91" i="11"/>
  <c r="R92" i="11"/>
  <c r="R103" i="11"/>
  <c r="R101" i="11"/>
  <c r="R104" i="11"/>
  <c r="R108" i="11"/>
  <c r="R107" i="11"/>
  <c r="R109" i="11"/>
  <c r="G51" i="11"/>
  <c r="G48" i="11"/>
  <c r="G49" i="11"/>
  <c r="G50" i="11"/>
  <c r="G56" i="11"/>
  <c r="G53" i="11"/>
  <c r="G55" i="11"/>
  <c r="G54" i="11"/>
  <c r="G57" i="11"/>
  <c r="G14" i="11"/>
  <c r="G60" i="11"/>
  <c r="G59" i="11"/>
  <c r="G65" i="11"/>
  <c r="P51" i="11"/>
  <c r="P48" i="11"/>
  <c r="P49" i="11"/>
  <c r="P56" i="11"/>
  <c r="P55" i="11"/>
  <c r="P54" i="11"/>
  <c r="P14" i="11"/>
  <c r="P60" i="11"/>
  <c r="P59" i="11"/>
  <c r="P65" i="11"/>
  <c r="Q51" i="11"/>
  <c r="Q48" i="11"/>
  <c r="Q49" i="11"/>
  <c r="Q50" i="11"/>
  <c r="Q56" i="11"/>
  <c r="Q53" i="11"/>
  <c r="Q55" i="11"/>
  <c r="Q54" i="11"/>
  <c r="Q57" i="11"/>
  <c r="Q14" i="11"/>
  <c r="Q60" i="11"/>
  <c r="Q59" i="11"/>
  <c r="Q65" i="11"/>
  <c r="R51" i="11"/>
  <c r="R48" i="11"/>
  <c r="R49" i="11"/>
  <c r="R50" i="11"/>
  <c r="R56" i="11"/>
  <c r="R53" i="11"/>
  <c r="R55" i="11"/>
  <c r="R54" i="11"/>
  <c r="R57" i="11"/>
  <c r="R14" i="11"/>
  <c r="R60" i="11"/>
  <c r="R59" i="11"/>
  <c r="R65" i="11"/>
  <c r="G38" i="11"/>
  <c r="G36" i="11"/>
  <c r="G41" i="11"/>
  <c r="P38" i="11"/>
  <c r="P41" i="11"/>
  <c r="Q38" i="11"/>
  <c r="Q36" i="11"/>
  <c r="Q41" i="11"/>
  <c r="R38" i="11"/>
  <c r="R36" i="11"/>
  <c r="R41" i="11"/>
  <c r="G45" i="11"/>
  <c r="G46" i="11"/>
  <c r="G11" i="11"/>
  <c r="P45" i="11"/>
  <c r="P46" i="11"/>
  <c r="Q45" i="11"/>
  <c r="Q46" i="11"/>
  <c r="Q11" i="11"/>
  <c r="R45" i="11"/>
  <c r="R46" i="11"/>
  <c r="R11" i="11"/>
  <c r="G12" i="11"/>
  <c r="G13" i="11"/>
  <c r="G52" i="11"/>
  <c r="G15" i="11"/>
  <c r="P12" i="11"/>
  <c r="P13" i="11"/>
  <c r="P52" i="11"/>
  <c r="P15" i="11"/>
  <c r="Q12" i="11"/>
  <c r="Q13" i="11"/>
  <c r="Q52" i="11"/>
  <c r="Q15" i="11"/>
  <c r="R12" i="11"/>
  <c r="R13" i="11"/>
  <c r="R52" i="11"/>
  <c r="R15" i="11"/>
  <c r="G110" i="11"/>
  <c r="G113" i="11"/>
  <c r="G114" i="11"/>
  <c r="P110" i="11"/>
  <c r="P113" i="11"/>
  <c r="Q110" i="11"/>
  <c r="Q113" i="11"/>
  <c r="Q114" i="11"/>
  <c r="R110" i="11"/>
  <c r="R113" i="11"/>
  <c r="R114" i="11"/>
  <c r="G23" i="11"/>
  <c r="G24" i="11"/>
  <c r="G117" i="11"/>
  <c r="P23" i="11"/>
  <c r="Q23" i="11"/>
  <c r="Q24" i="11"/>
  <c r="Q117" i="11"/>
  <c r="R23" i="11"/>
  <c r="R24" i="11"/>
  <c r="R117" i="11"/>
  <c r="G25" i="11"/>
  <c r="G28" i="11"/>
  <c r="G111" i="11"/>
  <c r="P25" i="11"/>
  <c r="P28" i="11"/>
  <c r="Q25" i="11"/>
  <c r="Q28" i="11"/>
  <c r="Q111" i="11"/>
  <c r="R25" i="11"/>
  <c r="R28" i="11"/>
  <c r="R111" i="11"/>
  <c r="G16" i="11"/>
  <c r="P16" i="11"/>
  <c r="Q16" i="11"/>
  <c r="R16" i="11"/>
  <c r="G69" i="11" l="1"/>
  <c r="G55" i="15"/>
  <c r="P111" i="11"/>
  <c r="P24" i="11"/>
  <c r="P114" i="11"/>
  <c r="P50" i="11"/>
  <c r="P117" i="11"/>
  <c r="P36" i="11"/>
  <c r="P107" i="11"/>
  <c r="P103" i="11"/>
  <c r="P21" i="11"/>
  <c r="P53" i="11"/>
  <c r="P108" i="11"/>
  <c r="P92" i="11"/>
  <c r="P93" i="11"/>
  <c r="P84" i="11"/>
  <c r="P77" i="11"/>
  <c r="G9" i="10" l="1"/>
  <c r="I9" i="10"/>
  <c r="P9" i="10" s="1"/>
  <c r="G491" i="10" l="1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I235" i="10" l="1"/>
  <c r="L235" i="10" s="1"/>
  <c r="I236" i="10"/>
  <c r="I237" i="10"/>
  <c r="I238" i="10"/>
  <c r="I239" i="10"/>
  <c r="I240" i="10"/>
  <c r="I241" i="10"/>
  <c r="L241" i="10" s="1"/>
  <c r="I242" i="10"/>
  <c r="L242" i="10" s="1"/>
  <c r="I243" i="10"/>
  <c r="L243" i="10" s="1"/>
  <c r="I244" i="10"/>
  <c r="L244" i="10" s="1"/>
  <c r="I245" i="10"/>
  <c r="L245" i="10" s="1"/>
  <c r="I246" i="10"/>
  <c r="L246" i="10" s="1"/>
  <c r="I247" i="10"/>
  <c r="L247" i="10" s="1"/>
  <c r="I248" i="10"/>
  <c r="L248" i="10" s="1"/>
  <c r="I249" i="10"/>
  <c r="I250" i="10"/>
  <c r="L250" i="10" s="1"/>
  <c r="I251" i="10"/>
  <c r="L251" i="10" s="1"/>
  <c r="I252" i="10"/>
  <c r="L252" i="10" s="1"/>
  <c r="I253" i="10"/>
  <c r="L253" i="10" s="1"/>
  <c r="I254" i="10"/>
  <c r="L254" i="10" s="1"/>
  <c r="I255" i="10"/>
  <c r="L255" i="10" s="1"/>
  <c r="I256" i="10"/>
  <c r="L256" i="10" s="1"/>
  <c r="I257" i="10"/>
  <c r="L257" i="10" s="1"/>
  <c r="I258" i="10"/>
  <c r="L258" i="10" s="1"/>
  <c r="I259" i="10"/>
  <c r="L259" i="10" s="1"/>
  <c r="I260" i="10"/>
  <c r="L260" i="10" s="1"/>
  <c r="I261" i="10"/>
  <c r="L261" i="10" s="1"/>
  <c r="I262" i="10"/>
  <c r="L262" i="10" s="1"/>
  <c r="I263" i="10"/>
  <c r="L263" i="10" s="1"/>
  <c r="I264" i="10"/>
  <c r="L264" i="10" s="1"/>
  <c r="I265" i="10"/>
  <c r="L265" i="10" s="1"/>
  <c r="I266" i="10"/>
  <c r="L266" i="10" s="1"/>
  <c r="I267" i="10"/>
  <c r="L267" i="10" s="1"/>
  <c r="I268" i="10"/>
  <c r="L268" i="10" s="1"/>
  <c r="I269" i="10"/>
  <c r="L269" i="10" s="1"/>
  <c r="I270" i="10"/>
  <c r="L270" i="10" s="1"/>
  <c r="I271" i="10"/>
  <c r="I272" i="10"/>
  <c r="L272" i="10" s="1"/>
  <c r="I273" i="10"/>
  <c r="L273" i="10" s="1"/>
  <c r="I274" i="10"/>
  <c r="L274" i="10" s="1"/>
  <c r="I275" i="10"/>
  <c r="L275" i="10" s="1"/>
  <c r="I276" i="10"/>
  <c r="L276" i="10" s="1"/>
  <c r="I277" i="10"/>
  <c r="L277" i="10" s="1"/>
  <c r="I278" i="10"/>
  <c r="L278" i="10" s="1"/>
  <c r="I279" i="10"/>
  <c r="L279" i="10" s="1"/>
  <c r="I280" i="10"/>
  <c r="L280" i="10" s="1"/>
  <c r="I281" i="10"/>
  <c r="L281" i="10" s="1"/>
  <c r="I282" i="10"/>
  <c r="L282" i="10" s="1"/>
  <c r="I283" i="10"/>
  <c r="L283" i="10" s="1"/>
  <c r="I284" i="10"/>
  <c r="L284" i="10" s="1"/>
  <c r="I285" i="10"/>
  <c r="I286" i="10"/>
  <c r="L286" i="10" s="1"/>
  <c r="I287" i="10"/>
  <c r="L287" i="10" s="1"/>
  <c r="I288" i="10"/>
  <c r="L288" i="10" s="1"/>
  <c r="I289" i="10"/>
  <c r="L289" i="10" s="1"/>
  <c r="I290" i="10"/>
  <c r="L290" i="10" s="1"/>
  <c r="I291" i="10"/>
  <c r="L291" i="10" s="1"/>
  <c r="I292" i="10"/>
  <c r="L292" i="10" s="1"/>
  <c r="I293" i="10"/>
  <c r="L293" i="10" s="1"/>
  <c r="I294" i="10"/>
  <c r="L294" i="10" s="1"/>
  <c r="I295" i="10"/>
  <c r="L295" i="10" s="1"/>
  <c r="I296" i="10"/>
  <c r="L296" i="10" s="1"/>
  <c r="I297" i="10"/>
  <c r="L297" i="10" s="1"/>
  <c r="I298" i="10"/>
  <c r="L298" i="10" s="1"/>
  <c r="I299" i="10"/>
  <c r="L299" i="10" s="1"/>
  <c r="I300" i="10"/>
  <c r="L300" i="10" s="1"/>
  <c r="I301" i="10"/>
  <c r="L301" i="10" s="1"/>
  <c r="I302" i="10"/>
  <c r="L302" i="10" s="1"/>
  <c r="I303" i="10"/>
  <c r="L303" i="10" s="1"/>
  <c r="I304" i="10"/>
  <c r="L304" i="10" s="1"/>
  <c r="I305" i="10"/>
  <c r="L305" i="10" s="1"/>
  <c r="I306" i="10"/>
  <c r="L306" i="10" s="1"/>
  <c r="I307" i="10"/>
  <c r="L307" i="10" s="1"/>
  <c r="I308" i="10"/>
  <c r="L308" i="10" s="1"/>
  <c r="I309" i="10"/>
  <c r="L309" i="10" s="1"/>
  <c r="I310" i="10"/>
  <c r="L310" i="10" s="1"/>
  <c r="I311" i="10"/>
  <c r="L311" i="10" s="1"/>
  <c r="I312" i="10"/>
  <c r="L312" i="10" s="1"/>
  <c r="I313" i="10"/>
  <c r="L313" i="10" s="1"/>
  <c r="I314" i="10"/>
  <c r="L314" i="10" s="1"/>
  <c r="I315" i="10"/>
  <c r="L315" i="10" s="1"/>
  <c r="I316" i="10"/>
  <c r="L316" i="10" s="1"/>
  <c r="I317" i="10"/>
  <c r="L317" i="10" s="1"/>
  <c r="I318" i="10"/>
  <c r="L318" i="10" s="1"/>
  <c r="I319" i="10"/>
  <c r="L319" i="10" s="1"/>
  <c r="I320" i="10"/>
  <c r="L320" i="10" s="1"/>
  <c r="I321" i="10"/>
  <c r="L321" i="10" s="1"/>
  <c r="I322" i="10"/>
  <c r="L322" i="10" s="1"/>
  <c r="I323" i="10"/>
  <c r="L323" i="10" s="1"/>
  <c r="I324" i="10"/>
  <c r="I325" i="10"/>
  <c r="I326" i="10"/>
  <c r="I327" i="10"/>
  <c r="I328" i="10"/>
  <c r="I329" i="10"/>
  <c r="I330" i="10"/>
  <c r="L330" i="10" s="1"/>
  <c r="I331" i="10"/>
  <c r="I332" i="10"/>
  <c r="I333" i="10"/>
  <c r="L333" i="10" s="1"/>
  <c r="I334" i="10"/>
  <c r="L334" i="10" s="1"/>
  <c r="I335" i="10"/>
  <c r="I336" i="10"/>
  <c r="I337" i="10"/>
  <c r="L337" i="10" s="1"/>
  <c r="I338" i="10"/>
  <c r="L338" i="10" s="1"/>
  <c r="I339" i="10"/>
  <c r="L339" i="10" s="1"/>
  <c r="I340" i="10"/>
  <c r="L340" i="10" s="1"/>
  <c r="I341" i="10"/>
  <c r="L341" i="10" s="1"/>
  <c r="I342" i="10"/>
  <c r="L342" i="10" s="1"/>
  <c r="I343" i="10"/>
  <c r="I344" i="10"/>
  <c r="I345" i="10"/>
  <c r="I346" i="10"/>
  <c r="L346" i="10" s="1"/>
  <c r="I347" i="10"/>
  <c r="I348" i="10"/>
  <c r="I349" i="10"/>
  <c r="L349" i="10" s="1"/>
  <c r="I350" i="10"/>
  <c r="L350" i="10" s="1"/>
  <c r="I351" i="10"/>
  <c r="L351" i="10" s="1"/>
  <c r="I352" i="10"/>
  <c r="L352" i="10" s="1"/>
  <c r="I353" i="10"/>
  <c r="L353" i="10" s="1"/>
  <c r="I354" i="10"/>
  <c r="L354" i="10" s="1"/>
  <c r="I355" i="10"/>
  <c r="I356" i="10"/>
  <c r="I357" i="10"/>
  <c r="I358" i="10"/>
  <c r="L358" i="10" s="1"/>
  <c r="I359" i="10"/>
  <c r="L359" i="10" s="1"/>
  <c r="I360" i="10"/>
  <c r="L360" i="10" s="1"/>
  <c r="I361" i="10"/>
  <c r="L361" i="10" s="1"/>
  <c r="I362" i="10"/>
  <c r="L362" i="10" s="1"/>
  <c r="I363" i="10"/>
  <c r="L363" i="10" s="1"/>
  <c r="I364" i="10"/>
  <c r="L364" i="10" s="1"/>
  <c r="I365" i="10"/>
  <c r="L365" i="10" s="1"/>
  <c r="I366" i="10"/>
  <c r="L366" i="10" s="1"/>
  <c r="I367" i="10"/>
  <c r="I368" i="10"/>
  <c r="L368" i="10" s="1"/>
  <c r="I369" i="10"/>
  <c r="L369" i="10" s="1"/>
  <c r="I370" i="10"/>
  <c r="L370" i="10" s="1"/>
  <c r="I371" i="10"/>
  <c r="L371" i="10" s="1"/>
  <c r="I372" i="10"/>
  <c r="L372" i="10" s="1"/>
  <c r="I373" i="10"/>
  <c r="I374" i="10"/>
  <c r="L374" i="10" s="1"/>
  <c r="I375" i="10"/>
  <c r="L375" i="10" s="1"/>
  <c r="I376" i="10"/>
  <c r="L376" i="10" s="1"/>
  <c r="I377" i="10"/>
  <c r="L377" i="10" s="1"/>
  <c r="I378" i="10"/>
  <c r="L378" i="10" s="1"/>
  <c r="I379" i="10"/>
  <c r="I380" i="10"/>
  <c r="L380" i="10" s="1"/>
  <c r="I381" i="10"/>
  <c r="L381" i="10" s="1"/>
  <c r="I382" i="10"/>
  <c r="L382" i="10" s="1"/>
  <c r="I383" i="10"/>
  <c r="L383" i="10" s="1"/>
  <c r="I384" i="10"/>
  <c r="L384" i="10" s="1"/>
  <c r="I385" i="10"/>
  <c r="L385" i="10" s="1"/>
  <c r="I386" i="10"/>
  <c r="L386" i="10" s="1"/>
  <c r="I387" i="10"/>
  <c r="L387" i="10" s="1"/>
  <c r="I388" i="10"/>
  <c r="L388" i="10" s="1"/>
  <c r="I389" i="10"/>
  <c r="L389" i="10" s="1"/>
  <c r="I390" i="10"/>
  <c r="L390" i="10" s="1"/>
  <c r="I391" i="10"/>
  <c r="I392" i="10"/>
  <c r="L392" i="10" s="1"/>
  <c r="I393" i="10"/>
  <c r="L393" i="10" s="1"/>
  <c r="I394" i="10"/>
  <c r="L394" i="10" s="1"/>
  <c r="I395" i="10"/>
  <c r="I396" i="10"/>
  <c r="L396" i="10" s="1"/>
  <c r="I397" i="10"/>
  <c r="L397" i="10" s="1"/>
  <c r="I398" i="10"/>
  <c r="L398" i="10" s="1"/>
  <c r="I399" i="10"/>
  <c r="L399" i="10" s="1"/>
  <c r="I400" i="10"/>
  <c r="I401" i="10"/>
  <c r="L401" i="10" s="1"/>
  <c r="I402" i="10"/>
  <c r="L402" i="10" s="1"/>
  <c r="I403" i="10"/>
  <c r="I404" i="10"/>
  <c r="I405" i="10"/>
  <c r="L405" i="10" s="1"/>
  <c r="I406" i="10"/>
  <c r="L406" i="10" s="1"/>
  <c r="I407" i="10"/>
  <c r="L407" i="10" s="1"/>
  <c r="I408" i="10"/>
  <c r="L408" i="10" s="1"/>
  <c r="I409" i="10"/>
  <c r="L409" i="10" s="1"/>
  <c r="I410" i="10"/>
  <c r="L410" i="10" s="1"/>
  <c r="I411" i="10"/>
  <c r="L411" i="10" s="1"/>
  <c r="I412" i="10"/>
  <c r="L412" i="10" s="1"/>
  <c r="I413" i="10"/>
  <c r="L413" i="10" s="1"/>
  <c r="I414" i="10"/>
  <c r="L414" i="10" s="1"/>
  <c r="I415" i="10"/>
  <c r="I416" i="10"/>
  <c r="L416" i="10" s="1"/>
  <c r="I417" i="10"/>
  <c r="I418" i="10"/>
  <c r="L418" i="10" s="1"/>
  <c r="I419" i="10"/>
  <c r="L419" i="10" s="1"/>
  <c r="I420" i="10"/>
  <c r="L420" i="10" s="1"/>
  <c r="I421" i="10"/>
  <c r="L421" i="10" s="1"/>
  <c r="I422" i="10"/>
  <c r="L422" i="10" s="1"/>
  <c r="I423" i="10"/>
  <c r="L423" i="10" s="1"/>
  <c r="I424" i="10"/>
  <c r="L424" i="10" s="1"/>
  <c r="I425" i="10"/>
  <c r="L425" i="10" s="1"/>
  <c r="I426" i="10"/>
  <c r="L426" i="10" s="1"/>
  <c r="I427" i="10"/>
  <c r="I428" i="10"/>
  <c r="L428" i="10" s="1"/>
  <c r="I429" i="10"/>
  <c r="L429" i="10" s="1"/>
  <c r="I430" i="10"/>
  <c r="L430" i="10" s="1"/>
  <c r="I431" i="10"/>
  <c r="L431" i="10" s="1"/>
  <c r="I432" i="10"/>
  <c r="L432" i="10" s="1"/>
  <c r="I433" i="10"/>
  <c r="L433" i="10" s="1"/>
  <c r="I434" i="10"/>
  <c r="L434" i="10" s="1"/>
  <c r="I435" i="10"/>
  <c r="L435" i="10" s="1"/>
  <c r="I436" i="10"/>
  <c r="L436" i="10" s="1"/>
  <c r="I437" i="10"/>
  <c r="L437" i="10" s="1"/>
  <c r="I438" i="10"/>
  <c r="L438" i="10" s="1"/>
  <c r="I439" i="10"/>
  <c r="I440" i="10"/>
  <c r="L440" i="10" s="1"/>
  <c r="I441" i="10"/>
  <c r="I442" i="10"/>
  <c r="L442" i="10" s="1"/>
  <c r="I443" i="10"/>
  <c r="L443" i="10" s="1"/>
  <c r="I444" i="10"/>
  <c r="L444" i="10" s="1"/>
  <c r="I445" i="10"/>
  <c r="L445" i="10" s="1"/>
  <c r="I446" i="10"/>
  <c r="L446" i="10" s="1"/>
  <c r="I447" i="10"/>
  <c r="L447" i="10" s="1"/>
  <c r="I448" i="10"/>
  <c r="L448" i="10" s="1"/>
  <c r="I449" i="10"/>
  <c r="L449" i="10" s="1"/>
  <c r="I450" i="10"/>
  <c r="L450" i="10" s="1"/>
  <c r="I451" i="10"/>
  <c r="I452" i="10"/>
  <c r="L452" i="10" s="1"/>
  <c r="I453" i="10"/>
  <c r="L453" i="10" s="1"/>
  <c r="I454" i="10"/>
  <c r="L454" i="10" s="1"/>
  <c r="I455" i="10"/>
  <c r="L455" i="10" s="1"/>
  <c r="I456" i="10"/>
  <c r="L456" i="10" s="1"/>
  <c r="I457" i="10"/>
  <c r="L457" i="10" s="1"/>
  <c r="I458" i="10"/>
  <c r="L458" i="10" s="1"/>
  <c r="I459" i="10"/>
  <c r="L459" i="10" s="1"/>
  <c r="I460" i="10"/>
  <c r="L460" i="10" s="1"/>
  <c r="I461" i="10"/>
  <c r="L461" i="10" s="1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L324" i="10"/>
  <c r="L325" i="10"/>
  <c r="L326" i="10"/>
  <c r="L327" i="10"/>
  <c r="L328" i="10"/>
  <c r="L329" i="10"/>
  <c r="L331" i="10"/>
  <c r="L332" i="10"/>
  <c r="L335" i="10"/>
  <c r="L336" i="10"/>
  <c r="L343" i="10"/>
  <c r="L344" i="10"/>
  <c r="L345" i="10"/>
  <c r="L347" i="10"/>
  <c r="L348" i="10"/>
  <c r="L355" i="10"/>
  <c r="L356" i="10"/>
  <c r="L357" i="10"/>
  <c r="L367" i="10"/>
  <c r="L373" i="10"/>
  <c r="L379" i="10"/>
  <c r="L391" i="10"/>
  <c r="L395" i="10"/>
  <c r="L400" i="10"/>
  <c r="L403" i="10"/>
  <c r="L404" i="10"/>
  <c r="L415" i="10"/>
  <c r="L417" i="10"/>
  <c r="L427" i="10"/>
  <c r="L439" i="10"/>
  <c r="L441" i="10"/>
  <c r="L451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L249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L271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L285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I190" i="10"/>
  <c r="L190" i="10" s="1"/>
  <c r="I191" i="10"/>
  <c r="L191" i="10" s="1"/>
  <c r="I192" i="10"/>
  <c r="L192" i="10" s="1"/>
  <c r="I193" i="10"/>
  <c r="L193" i="10" s="1"/>
  <c r="I194" i="10"/>
  <c r="L194" i="10" s="1"/>
  <c r="I195" i="10"/>
  <c r="L195" i="10" s="1"/>
  <c r="I196" i="10"/>
  <c r="L196" i="10" s="1"/>
  <c r="I197" i="10"/>
  <c r="L197" i="10" s="1"/>
  <c r="I198" i="10"/>
  <c r="L198" i="10" s="1"/>
  <c r="I199" i="10"/>
  <c r="L199" i="10" s="1"/>
  <c r="I200" i="10"/>
  <c r="L200" i="10" s="1"/>
  <c r="I201" i="10"/>
  <c r="L201" i="10" s="1"/>
  <c r="I202" i="10"/>
  <c r="L202" i="10" s="1"/>
  <c r="I203" i="10"/>
  <c r="L203" i="10" s="1"/>
  <c r="I204" i="10"/>
  <c r="L204" i="10" s="1"/>
  <c r="I205" i="10"/>
  <c r="L205" i="10" s="1"/>
  <c r="I206" i="10"/>
  <c r="L206" i="10" s="1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I207" i="10"/>
  <c r="L207" i="10" s="1"/>
  <c r="I208" i="10"/>
  <c r="L208" i="10" s="1"/>
  <c r="I209" i="10"/>
  <c r="L209" i="10" s="1"/>
  <c r="I210" i="10"/>
  <c r="L210" i="10" s="1"/>
  <c r="I211" i="10"/>
  <c r="L211" i="10" s="1"/>
  <c r="I212" i="10"/>
  <c r="L212" i="10" s="1"/>
  <c r="I213" i="10"/>
  <c r="L213" i="10" s="1"/>
  <c r="I214" i="10"/>
  <c r="L214" i="10" s="1"/>
  <c r="I215" i="10"/>
  <c r="L215" i="10" s="1"/>
  <c r="I216" i="10"/>
  <c r="L216" i="10" s="1"/>
  <c r="I217" i="10"/>
  <c r="L217" i="10" s="1"/>
  <c r="I218" i="10"/>
  <c r="L218" i="10" s="1"/>
  <c r="I219" i="10"/>
  <c r="L219" i="10" s="1"/>
  <c r="I220" i="10"/>
  <c r="L220" i="10" s="1"/>
  <c r="I221" i="10"/>
  <c r="L221" i="10" s="1"/>
  <c r="I222" i="10"/>
  <c r="L222" i="10" s="1"/>
  <c r="I223" i="10"/>
  <c r="L223" i="10" s="1"/>
  <c r="G231" i="10"/>
  <c r="I231" i="10"/>
  <c r="L231" i="10" s="1"/>
  <c r="G230" i="10"/>
  <c r="I230" i="10"/>
  <c r="L230" i="10" s="1"/>
  <c r="G229" i="10"/>
  <c r="I229" i="10"/>
  <c r="L229" i="10" s="1"/>
  <c r="G228" i="10"/>
  <c r="I228" i="10"/>
  <c r="L228" i="10" s="1"/>
  <c r="G227" i="10"/>
  <c r="I227" i="10"/>
  <c r="L227" i="10" s="1"/>
  <c r="G226" i="10"/>
  <c r="I226" i="10"/>
  <c r="L226" i="10" s="1"/>
  <c r="G225" i="10"/>
  <c r="I225" i="10"/>
  <c r="L225" i="10" s="1"/>
  <c r="G224" i="10"/>
  <c r="I224" i="10"/>
  <c r="L224" i="10" s="1"/>
  <c r="G189" i="10"/>
  <c r="I189" i="10"/>
  <c r="L189" i="10" s="1"/>
  <c r="H167" i="10" l="1"/>
  <c r="H169" i="10"/>
  <c r="H161" i="10"/>
  <c r="H143" i="10"/>
  <c r="H144" i="10"/>
  <c r="H145" i="10"/>
  <c r="J167" i="10"/>
  <c r="J169" i="10"/>
  <c r="J161" i="10"/>
  <c r="J143" i="10"/>
  <c r="J144" i="10"/>
  <c r="J145" i="10"/>
  <c r="K167" i="10"/>
  <c r="K169" i="10"/>
  <c r="K161" i="10"/>
  <c r="K143" i="10"/>
  <c r="K144" i="10"/>
  <c r="K145" i="10"/>
  <c r="H146" i="10"/>
  <c r="H147" i="10"/>
  <c r="H162" i="10"/>
  <c r="H152" i="10"/>
  <c r="H151" i="10"/>
  <c r="H166" i="10"/>
  <c r="H150" i="10"/>
  <c r="H149" i="10"/>
  <c r="H164" i="10"/>
  <c r="H140" i="10"/>
  <c r="H153" i="10"/>
  <c r="J146" i="10"/>
  <c r="J147" i="10"/>
  <c r="J162" i="10"/>
  <c r="J152" i="10"/>
  <c r="J151" i="10"/>
  <c r="J166" i="10"/>
  <c r="J150" i="10"/>
  <c r="J149" i="10"/>
  <c r="J164" i="10"/>
  <c r="J140" i="10"/>
  <c r="J153" i="10"/>
  <c r="K146" i="10"/>
  <c r="K147" i="10"/>
  <c r="K162" i="10"/>
  <c r="K152" i="10"/>
  <c r="K151" i="10"/>
  <c r="K166" i="10"/>
  <c r="K150" i="10"/>
  <c r="K149" i="10"/>
  <c r="K164" i="10"/>
  <c r="K140" i="10"/>
  <c r="K153" i="10"/>
  <c r="H139" i="10"/>
  <c r="H141" i="10"/>
  <c r="H154" i="10"/>
  <c r="H155" i="10"/>
  <c r="H157" i="10"/>
  <c r="H156" i="10"/>
  <c r="H163" i="10"/>
  <c r="H158" i="10"/>
  <c r="H159" i="10"/>
  <c r="H168" i="10"/>
  <c r="J139" i="10"/>
  <c r="J141" i="10"/>
  <c r="J154" i="10"/>
  <c r="J155" i="10"/>
  <c r="J157" i="10"/>
  <c r="J156" i="10"/>
  <c r="J163" i="10"/>
  <c r="J158" i="10"/>
  <c r="J159" i="10"/>
  <c r="J168" i="10"/>
  <c r="K139" i="10"/>
  <c r="K141" i="10"/>
  <c r="K154" i="10"/>
  <c r="K155" i="10"/>
  <c r="K157" i="10"/>
  <c r="K156" i="10"/>
  <c r="K163" i="10"/>
  <c r="K158" i="10"/>
  <c r="K159" i="10"/>
  <c r="K168" i="10"/>
  <c r="H165" i="10"/>
  <c r="H160" i="10"/>
  <c r="H148" i="10"/>
  <c r="H142" i="10"/>
  <c r="J165" i="10"/>
  <c r="J160" i="10"/>
  <c r="J148" i="10"/>
  <c r="J142" i="10"/>
  <c r="K165" i="10"/>
  <c r="K160" i="10"/>
  <c r="K148" i="10"/>
  <c r="K142" i="10"/>
  <c r="G37" i="10"/>
  <c r="P37" i="10"/>
  <c r="Q37" i="10"/>
  <c r="R37" i="10"/>
  <c r="G46" i="10"/>
  <c r="P46" i="10"/>
  <c r="Q46" i="10"/>
  <c r="R46" i="10"/>
  <c r="G47" i="10"/>
  <c r="P47" i="10"/>
  <c r="Q47" i="10"/>
  <c r="R47" i="10"/>
  <c r="G13" i="10"/>
  <c r="P13" i="10"/>
  <c r="Q13" i="10"/>
  <c r="R13" i="10"/>
  <c r="G14" i="10"/>
  <c r="P14" i="10"/>
  <c r="Q14" i="10"/>
  <c r="R14" i="10"/>
  <c r="G61" i="10"/>
  <c r="P61" i="10"/>
  <c r="Q61" i="10"/>
  <c r="R61" i="10"/>
  <c r="G56" i="10"/>
  <c r="P56" i="10"/>
  <c r="Q56" i="10"/>
  <c r="R56" i="10"/>
  <c r="G28" i="10"/>
  <c r="P28" i="10"/>
  <c r="Q28" i="10"/>
  <c r="R28" i="10"/>
  <c r="G35" i="10"/>
  <c r="P35" i="10"/>
  <c r="Q35" i="10"/>
  <c r="R35" i="10"/>
  <c r="G24" i="10"/>
  <c r="G23" i="10"/>
  <c r="G17" i="10"/>
  <c r="G11" i="10"/>
  <c r="G25" i="10"/>
  <c r="G18" i="10"/>
  <c r="G16" i="10"/>
  <c r="G10" i="10"/>
  <c r="G12" i="10"/>
  <c r="G22" i="10"/>
  <c r="G19" i="10"/>
  <c r="G20" i="10"/>
  <c r="G29" i="10"/>
  <c r="G26" i="10"/>
  <c r="G34" i="10"/>
  <c r="G33" i="10"/>
  <c r="G32" i="10"/>
  <c r="G30" i="10"/>
  <c r="G27" i="10"/>
  <c r="G31" i="10"/>
  <c r="P24" i="10"/>
  <c r="P23" i="10"/>
  <c r="P17" i="10"/>
  <c r="P11" i="10"/>
  <c r="P25" i="10"/>
  <c r="P18" i="10"/>
  <c r="P16" i="10"/>
  <c r="P10" i="10"/>
  <c r="P12" i="10"/>
  <c r="P22" i="10"/>
  <c r="P19" i="10"/>
  <c r="P20" i="10"/>
  <c r="P29" i="10"/>
  <c r="P26" i="10"/>
  <c r="P34" i="10"/>
  <c r="P33" i="10"/>
  <c r="P32" i="10"/>
  <c r="P30" i="10"/>
  <c r="P27" i="10"/>
  <c r="P31" i="10"/>
  <c r="Q24" i="10"/>
  <c r="Q23" i="10"/>
  <c r="Q9" i="10"/>
  <c r="Q17" i="10"/>
  <c r="Q11" i="10"/>
  <c r="Q25" i="10"/>
  <c r="Q18" i="10"/>
  <c r="Q16" i="10"/>
  <c r="Q10" i="10"/>
  <c r="Q12" i="10"/>
  <c r="Q22" i="10"/>
  <c r="Q19" i="10"/>
  <c r="Q20" i="10"/>
  <c r="Q29" i="10"/>
  <c r="Q26" i="10"/>
  <c r="Q34" i="10"/>
  <c r="Q33" i="10"/>
  <c r="Q32" i="10"/>
  <c r="Q30" i="10"/>
  <c r="Q27" i="10"/>
  <c r="Q31" i="10"/>
  <c r="R24" i="10"/>
  <c r="R23" i="10"/>
  <c r="R9" i="10"/>
  <c r="R17" i="10"/>
  <c r="R11" i="10"/>
  <c r="R25" i="10"/>
  <c r="R18" i="10"/>
  <c r="R16" i="10"/>
  <c r="R10" i="10"/>
  <c r="R12" i="10"/>
  <c r="R22" i="10"/>
  <c r="R19" i="10"/>
  <c r="R20" i="10"/>
  <c r="R29" i="10"/>
  <c r="R26" i="10"/>
  <c r="R34" i="10"/>
  <c r="R33" i="10"/>
  <c r="R32" i="10"/>
  <c r="R30" i="10"/>
  <c r="R27" i="10"/>
  <c r="R31" i="10"/>
  <c r="G36" i="10"/>
  <c r="G41" i="10"/>
  <c r="G38" i="10"/>
  <c r="G40" i="10"/>
  <c r="G39" i="10"/>
  <c r="G42" i="10"/>
  <c r="G45" i="10"/>
  <c r="G44" i="10"/>
  <c r="G43" i="10"/>
  <c r="G54" i="10"/>
  <c r="G53" i="10"/>
  <c r="G51" i="10"/>
  <c r="P36" i="10"/>
  <c r="P41" i="10"/>
  <c r="P38" i="10"/>
  <c r="P40" i="10"/>
  <c r="P39" i="10"/>
  <c r="P42" i="10"/>
  <c r="P45" i="10"/>
  <c r="P44" i="10"/>
  <c r="P43" i="10"/>
  <c r="P54" i="10"/>
  <c r="P53" i="10"/>
  <c r="P51" i="10"/>
  <c r="Q36" i="10"/>
  <c r="Q41" i="10"/>
  <c r="Q38" i="10"/>
  <c r="Q40" i="10"/>
  <c r="Q39" i="10"/>
  <c r="Q42" i="10"/>
  <c r="Q45" i="10"/>
  <c r="Q44" i="10"/>
  <c r="Q43" i="10"/>
  <c r="Q54" i="10"/>
  <c r="Q53" i="10"/>
  <c r="Q51" i="10"/>
  <c r="R36" i="10"/>
  <c r="R41" i="10"/>
  <c r="R38" i="10"/>
  <c r="R40" i="10"/>
  <c r="R39" i="10"/>
  <c r="R42" i="10"/>
  <c r="R45" i="10"/>
  <c r="R44" i="10"/>
  <c r="R43" i="10"/>
  <c r="R54" i="10"/>
  <c r="R53" i="10"/>
  <c r="R51" i="10"/>
  <c r="G48" i="10"/>
  <c r="G52" i="10"/>
  <c r="G55" i="10"/>
  <c r="G50" i="10"/>
  <c r="G49" i="10"/>
  <c r="G59" i="10"/>
  <c r="G58" i="10"/>
  <c r="G57" i="10"/>
  <c r="G60" i="10"/>
  <c r="G64" i="10"/>
  <c r="G63" i="10"/>
  <c r="G62" i="10"/>
  <c r="P48" i="10"/>
  <c r="P52" i="10"/>
  <c r="P55" i="10"/>
  <c r="P50" i="10"/>
  <c r="P49" i="10"/>
  <c r="P59" i="10"/>
  <c r="P58" i="10"/>
  <c r="P57" i="10"/>
  <c r="P63" i="10"/>
  <c r="P62" i="10"/>
  <c r="P60" i="10"/>
  <c r="P64" i="10"/>
  <c r="Q48" i="10"/>
  <c r="Q52" i="10"/>
  <c r="Q55" i="10"/>
  <c r="Q50" i="10"/>
  <c r="Q49" i="10"/>
  <c r="Q59" i="10"/>
  <c r="Q58" i="10"/>
  <c r="Q57" i="10"/>
  <c r="Q60" i="10"/>
  <c r="Q64" i="10"/>
  <c r="Q63" i="10"/>
  <c r="R48" i="10"/>
  <c r="R52" i="10"/>
  <c r="R55" i="10"/>
  <c r="R50" i="10"/>
  <c r="R49" i="10"/>
  <c r="R59" i="10"/>
  <c r="R58" i="10"/>
  <c r="R57" i="10"/>
  <c r="R60" i="10"/>
  <c r="R64" i="10"/>
  <c r="R63" i="10"/>
  <c r="R62" i="10"/>
  <c r="G65" i="10"/>
  <c r="G66" i="10"/>
  <c r="G67" i="10"/>
  <c r="G72" i="10"/>
  <c r="G73" i="10"/>
  <c r="G71" i="10"/>
  <c r="G74" i="10"/>
  <c r="G70" i="10"/>
  <c r="G69" i="10"/>
  <c r="G68" i="10"/>
  <c r="G75" i="10"/>
  <c r="G79" i="10"/>
  <c r="P65" i="10"/>
  <c r="P66" i="10"/>
  <c r="P67" i="10"/>
  <c r="P72" i="10"/>
  <c r="P73" i="10"/>
  <c r="P71" i="10"/>
  <c r="P74" i="10"/>
  <c r="P70" i="10"/>
  <c r="P69" i="10"/>
  <c r="P68" i="10"/>
  <c r="P75" i="10"/>
  <c r="P79" i="10"/>
  <c r="Q65" i="10"/>
  <c r="Q66" i="10"/>
  <c r="Q67" i="10"/>
  <c r="Q72" i="10"/>
  <c r="Q73" i="10"/>
  <c r="Q71" i="10"/>
  <c r="Q74" i="10"/>
  <c r="Q70" i="10"/>
  <c r="Q69" i="10"/>
  <c r="Q68" i="10"/>
  <c r="Q75" i="10"/>
  <c r="Q79" i="10"/>
  <c r="R65" i="10"/>
  <c r="R66" i="10"/>
  <c r="R67" i="10"/>
  <c r="R72" i="10"/>
  <c r="R73" i="10"/>
  <c r="R71" i="10"/>
  <c r="R74" i="10"/>
  <c r="R70" i="10"/>
  <c r="R69" i="10"/>
  <c r="R68" i="10"/>
  <c r="R75" i="10"/>
  <c r="R79" i="10"/>
  <c r="G78" i="10"/>
  <c r="G81" i="10"/>
  <c r="G80" i="10"/>
  <c r="G76" i="10"/>
  <c r="G77" i="10"/>
  <c r="G82" i="10"/>
  <c r="G83" i="10"/>
  <c r="P78" i="10"/>
  <c r="P81" i="10"/>
  <c r="P80" i="10"/>
  <c r="P76" i="10"/>
  <c r="P77" i="10"/>
  <c r="P82" i="10"/>
  <c r="P83" i="10"/>
  <c r="Q78" i="10"/>
  <c r="Q81" i="10"/>
  <c r="Q80" i="10"/>
  <c r="Q76" i="10"/>
  <c r="Q77" i="10"/>
  <c r="Q82" i="10"/>
  <c r="Q83" i="10"/>
  <c r="R78" i="10"/>
  <c r="R81" i="10"/>
  <c r="R80" i="10"/>
  <c r="R76" i="10"/>
  <c r="R77" i="10"/>
  <c r="R82" i="10"/>
  <c r="R83" i="10"/>
  <c r="H129" i="2" l="1"/>
  <c r="H131" i="2"/>
  <c r="G41" i="2" l="1"/>
  <c r="P41" i="2"/>
  <c r="Q41" i="2"/>
  <c r="R41" i="2"/>
  <c r="H166" i="2" l="1"/>
  <c r="H144" i="2"/>
  <c r="H142" i="2"/>
  <c r="H155" i="2"/>
  <c r="H156" i="2"/>
  <c r="H159" i="2"/>
  <c r="J166" i="2"/>
  <c r="J144" i="2"/>
  <c r="J142" i="2"/>
  <c r="J155" i="2"/>
  <c r="J156" i="2"/>
  <c r="J159" i="2"/>
  <c r="K166" i="2"/>
  <c r="K144" i="2"/>
  <c r="K142" i="2"/>
  <c r="K155" i="2"/>
  <c r="K156" i="2"/>
  <c r="K159" i="2"/>
  <c r="H160" i="2"/>
  <c r="H149" i="2"/>
  <c r="H150" i="2"/>
  <c r="H161" i="2"/>
  <c r="H162" i="2"/>
  <c r="H163" i="2"/>
  <c r="J160" i="2"/>
  <c r="J149" i="2"/>
  <c r="J150" i="2"/>
  <c r="J161" i="2"/>
  <c r="J162" i="2"/>
  <c r="J163" i="2"/>
  <c r="K160" i="2"/>
  <c r="K149" i="2"/>
  <c r="K150" i="2"/>
  <c r="K161" i="2"/>
  <c r="K162" i="2"/>
  <c r="K163" i="2"/>
  <c r="P87" i="2"/>
  <c r="G29" i="2"/>
  <c r="G109" i="2"/>
  <c r="G81" i="2"/>
  <c r="G21" i="2"/>
  <c r="G69" i="2"/>
  <c r="P29" i="2"/>
  <c r="P81" i="2"/>
  <c r="P21" i="2"/>
  <c r="P69" i="2"/>
  <c r="P109" i="2"/>
  <c r="Q29" i="2"/>
  <c r="Q109" i="2"/>
  <c r="Q81" i="2"/>
  <c r="Q21" i="2"/>
  <c r="Q69" i="2"/>
  <c r="R29" i="2"/>
  <c r="R109" i="2"/>
  <c r="R81" i="2"/>
  <c r="R21" i="2"/>
  <c r="R69" i="2"/>
  <c r="G90" i="2"/>
  <c r="P90" i="2"/>
  <c r="Q90" i="2"/>
  <c r="R90" i="2"/>
  <c r="G87" i="2"/>
  <c r="Q87" i="2"/>
  <c r="R87" i="2"/>
  <c r="G16" i="2"/>
  <c r="P16" i="2"/>
  <c r="Q16" i="2"/>
  <c r="R16" i="2"/>
  <c r="G98" i="2"/>
  <c r="P98" i="2"/>
  <c r="Q98" i="2"/>
  <c r="R98" i="2"/>
  <c r="G49" i="2"/>
  <c r="P49" i="2"/>
  <c r="Q49" i="2"/>
  <c r="R49" i="2"/>
  <c r="G96" i="2"/>
  <c r="P96" i="2"/>
  <c r="Q96" i="2"/>
  <c r="R96" i="2"/>
  <c r="G95" i="2"/>
  <c r="P95" i="2"/>
  <c r="Q95" i="2"/>
  <c r="R95" i="2"/>
  <c r="G104" i="2"/>
  <c r="P104" i="2"/>
  <c r="Q104" i="2"/>
  <c r="R104" i="2"/>
  <c r="G101" i="2"/>
  <c r="P101" i="2"/>
  <c r="Q101" i="2"/>
  <c r="R101" i="2"/>
  <c r="G102" i="2"/>
  <c r="P102" i="2"/>
  <c r="Q102" i="2"/>
  <c r="R102" i="2"/>
  <c r="G107" i="2"/>
  <c r="P107" i="2"/>
  <c r="Q107" i="2"/>
  <c r="R107" i="2"/>
  <c r="G106" i="2"/>
  <c r="P106" i="2"/>
  <c r="Q106" i="2"/>
  <c r="R106" i="2"/>
  <c r="G89" i="2"/>
  <c r="P89" i="2"/>
  <c r="Q89" i="2"/>
  <c r="R89" i="2"/>
  <c r="G91" i="2"/>
  <c r="P91" i="2"/>
  <c r="R91" i="2"/>
  <c r="G108" i="2"/>
  <c r="P108" i="2"/>
  <c r="Q108" i="2"/>
  <c r="R108" i="2"/>
  <c r="H164" i="2"/>
  <c r="H138" i="2"/>
  <c r="H139" i="2"/>
  <c r="H145" i="2"/>
  <c r="H146" i="2"/>
  <c r="H147" i="2"/>
  <c r="H140" i="2"/>
  <c r="H157" i="2"/>
  <c r="H141" i="2"/>
  <c r="J164" i="2"/>
  <c r="J138" i="2"/>
  <c r="J139" i="2"/>
  <c r="J145" i="2"/>
  <c r="J146" i="2"/>
  <c r="J147" i="2"/>
  <c r="J140" i="2"/>
  <c r="J157" i="2"/>
  <c r="J141" i="2"/>
  <c r="K164" i="2"/>
  <c r="K138" i="2"/>
  <c r="K139" i="2"/>
  <c r="K145" i="2"/>
  <c r="K146" i="2"/>
  <c r="K147" i="2"/>
  <c r="K140" i="2"/>
  <c r="K157" i="2"/>
  <c r="K141" i="2"/>
  <c r="H151" i="2"/>
  <c r="H152" i="2"/>
  <c r="H148" i="2"/>
  <c r="H165" i="2"/>
  <c r="H154" i="2"/>
  <c r="H153" i="2"/>
  <c r="J151" i="2"/>
  <c r="J152" i="2"/>
  <c r="J148" i="2"/>
  <c r="J165" i="2"/>
  <c r="J154" i="2"/>
  <c r="J153" i="2"/>
  <c r="K151" i="2"/>
  <c r="K152" i="2"/>
  <c r="K148" i="2"/>
  <c r="K165" i="2"/>
  <c r="K154" i="2"/>
  <c r="K153" i="2"/>
  <c r="H158" i="2"/>
  <c r="J158" i="2"/>
  <c r="K158" i="2"/>
  <c r="H143" i="2"/>
  <c r="J143" i="2"/>
  <c r="K143" i="2"/>
  <c r="G19" i="2"/>
  <c r="P19" i="2"/>
  <c r="Q19" i="2"/>
  <c r="R19" i="2"/>
  <c r="G12" i="2"/>
  <c r="P12" i="2"/>
  <c r="Q12" i="2"/>
  <c r="R12" i="2"/>
  <c r="G111" i="2"/>
  <c r="P111" i="2"/>
  <c r="Q111" i="2"/>
  <c r="R111" i="2"/>
  <c r="G78" i="2"/>
  <c r="P78" i="2"/>
  <c r="Q78" i="2"/>
  <c r="R78" i="2"/>
  <c r="G113" i="2"/>
  <c r="P113" i="2"/>
  <c r="Q113" i="2"/>
  <c r="R113" i="2"/>
  <c r="G103" i="2"/>
  <c r="P103" i="2"/>
  <c r="Q103" i="2"/>
  <c r="R103" i="2"/>
  <c r="G38" i="2"/>
  <c r="P38" i="2"/>
  <c r="Q38" i="2"/>
  <c r="R38" i="2"/>
  <c r="G93" i="2"/>
  <c r="P93" i="2"/>
  <c r="Q93" i="2"/>
  <c r="R93" i="2"/>
  <c r="G105" i="2"/>
  <c r="P105" i="2"/>
  <c r="Q105" i="2"/>
  <c r="R105" i="2"/>
  <c r="G80" i="2"/>
  <c r="P80" i="2"/>
  <c r="Q80" i="2"/>
  <c r="R80" i="2"/>
  <c r="G99" i="2"/>
  <c r="P99" i="2"/>
  <c r="Q99" i="2"/>
  <c r="R99" i="2"/>
  <c r="G94" i="2"/>
  <c r="P94" i="2"/>
  <c r="Q94" i="2"/>
  <c r="R94" i="2"/>
  <c r="G53" i="2"/>
  <c r="P53" i="2"/>
  <c r="Q53" i="2"/>
  <c r="R53" i="2"/>
  <c r="G71" i="2"/>
  <c r="P71" i="2"/>
  <c r="Q71" i="2"/>
  <c r="R71" i="2"/>
  <c r="G35" i="2"/>
  <c r="P35" i="2"/>
  <c r="Q35" i="2"/>
  <c r="R35" i="2"/>
  <c r="G63" i="2"/>
  <c r="P63" i="2"/>
  <c r="Q63" i="2"/>
  <c r="R63" i="2"/>
  <c r="G61" i="2"/>
  <c r="P61" i="2"/>
  <c r="Q61" i="2"/>
  <c r="R61" i="2"/>
  <c r="G77" i="2"/>
  <c r="P77" i="2"/>
  <c r="Q77" i="2"/>
  <c r="R77" i="2"/>
  <c r="G65" i="2"/>
  <c r="P65" i="2"/>
  <c r="Q65" i="2"/>
  <c r="R65" i="2"/>
  <c r="G13" i="2"/>
  <c r="P13" i="2"/>
  <c r="Q13" i="2"/>
  <c r="R13" i="2"/>
  <c r="G86" i="2"/>
  <c r="P86" i="2"/>
  <c r="Q86" i="2"/>
  <c r="R86" i="2"/>
  <c r="G9" i="2"/>
  <c r="P9" i="2"/>
  <c r="Q9" i="2"/>
  <c r="R9" i="2"/>
  <c r="G88" i="2"/>
  <c r="P88" i="2"/>
  <c r="Q88" i="2"/>
  <c r="R88" i="2"/>
  <c r="G110" i="2"/>
  <c r="P110" i="2"/>
  <c r="Q110" i="2"/>
  <c r="R110" i="2"/>
  <c r="G112" i="2"/>
  <c r="P112" i="2"/>
  <c r="Q112" i="2"/>
  <c r="R112" i="2"/>
  <c r="G76" i="2"/>
  <c r="P76" i="2"/>
  <c r="Q76" i="2"/>
  <c r="R76" i="2"/>
  <c r="G75" i="2"/>
  <c r="P75" i="2"/>
  <c r="Q75" i="2"/>
  <c r="R75" i="2"/>
  <c r="G60" i="2"/>
  <c r="P60" i="2"/>
  <c r="Q60" i="2"/>
  <c r="R60" i="2"/>
  <c r="G64" i="2"/>
  <c r="P64" i="2"/>
  <c r="Q64" i="2"/>
  <c r="R64" i="2"/>
  <c r="G50" i="2"/>
  <c r="P50" i="2"/>
  <c r="Q50" i="2"/>
  <c r="R50" i="2"/>
  <c r="G56" i="2"/>
  <c r="P56" i="2"/>
  <c r="Q56" i="2"/>
  <c r="R56" i="2"/>
  <c r="G70" i="2"/>
  <c r="P70" i="2"/>
  <c r="Q70" i="2"/>
  <c r="R70" i="2"/>
  <c r="G34" i="2"/>
  <c r="P34" i="2"/>
  <c r="Q34" i="2"/>
  <c r="R34" i="2"/>
  <c r="G54" i="2"/>
  <c r="P54" i="2"/>
  <c r="Q54" i="2"/>
  <c r="R54" i="2"/>
  <c r="G14" i="2"/>
  <c r="P14" i="2"/>
  <c r="Q14" i="2"/>
  <c r="R14" i="2"/>
  <c r="G83" i="2"/>
  <c r="P83" i="2"/>
  <c r="Q83" i="2"/>
  <c r="R83" i="2"/>
  <c r="G68" i="2"/>
  <c r="P68" i="2"/>
  <c r="Q68" i="2"/>
  <c r="R68" i="2"/>
  <c r="G52" i="2"/>
  <c r="P52" i="2"/>
  <c r="Q52" i="2"/>
  <c r="R52" i="2"/>
  <c r="G31" i="2"/>
  <c r="P31" i="2"/>
  <c r="Q31" i="2"/>
  <c r="R31" i="2"/>
  <c r="G45" i="2"/>
  <c r="P45" i="2"/>
  <c r="Q45" i="2"/>
  <c r="R45" i="2"/>
  <c r="G79" i="2"/>
  <c r="P79" i="2"/>
  <c r="Q79" i="2"/>
  <c r="R79" i="2"/>
  <c r="G23" i="2"/>
  <c r="P23" i="2"/>
  <c r="Q23" i="2"/>
  <c r="R23" i="2"/>
  <c r="G55" i="2"/>
  <c r="P55" i="2"/>
  <c r="Q55" i="2"/>
  <c r="R55" i="2"/>
  <c r="G17" i="2"/>
  <c r="P17" i="2"/>
  <c r="Q17" i="2"/>
  <c r="R17" i="2"/>
  <c r="G59" i="2"/>
  <c r="P59" i="2"/>
  <c r="Q59" i="2"/>
  <c r="R59" i="2"/>
  <c r="G58" i="2"/>
  <c r="P58" i="2"/>
  <c r="Q58" i="2"/>
  <c r="R58" i="2"/>
  <c r="G67" i="2"/>
  <c r="P67" i="2"/>
  <c r="Q67" i="2"/>
  <c r="R67" i="2"/>
  <c r="G51" i="2"/>
  <c r="P51" i="2"/>
  <c r="Q51" i="2"/>
  <c r="R51" i="2"/>
  <c r="G20" i="2"/>
  <c r="P20" i="2"/>
  <c r="Q20" i="2"/>
  <c r="R20" i="2"/>
  <c r="G44" i="2"/>
  <c r="P44" i="2"/>
  <c r="Q44" i="2"/>
  <c r="R44" i="2"/>
  <c r="G36" i="2"/>
  <c r="P36" i="2"/>
  <c r="Q36" i="2"/>
  <c r="R36" i="2"/>
  <c r="G11" i="2"/>
  <c r="P11" i="2"/>
  <c r="Q11" i="2"/>
  <c r="R11" i="2"/>
  <c r="G32" i="2"/>
  <c r="P32" i="2"/>
  <c r="Q32" i="2"/>
  <c r="R32" i="2"/>
  <c r="G43" i="2"/>
  <c r="P43" i="2"/>
  <c r="Q43" i="2"/>
  <c r="R43" i="2"/>
  <c r="G97" i="2"/>
  <c r="P97" i="2"/>
  <c r="Q97" i="2"/>
  <c r="R97" i="2"/>
  <c r="G84" i="2"/>
  <c r="P84" i="2"/>
  <c r="Q84" i="2"/>
  <c r="R84" i="2"/>
  <c r="G28" i="2"/>
  <c r="P28" i="2"/>
  <c r="Q28" i="2"/>
  <c r="R28" i="2"/>
  <c r="G26" i="2"/>
  <c r="P26" i="2"/>
  <c r="Q26" i="2"/>
  <c r="R26" i="2"/>
  <c r="G25" i="2"/>
  <c r="P25" i="2"/>
  <c r="Q25" i="2"/>
  <c r="R25" i="2"/>
  <c r="G42" i="2"/>
  <c r="P42" i="2"/>
  <c r="Q42" i="2"/>
  <c r="R42" i="2"/>
  <c r="G24" i="2"/>
  <c r="P24" i="2"/>
  <c r="Q24" i="2"/>
  <c r="R24" i="2"/>
  <c r="G73" i="2"/>
  <c r="P73" i="2"/>
  <c r="Q73" i="2"/>
  <c r="R73" i="2"/>
  <c r="G48" i="2"/>
  <c r="P48" i="2"/>
  <c r="Q48" i="2"/>
  <c r="R48" i="2"/>
  <c r="G30" i="2"/>
  <c r="P30" i="2"/>
  <c r="Q30" i="2"/>
  <c r="R30" i="2"/>
  <c r="G46" i="2"/>
  <c r="P46" i="2"/>
  <c r="Q46" i="2"/>
  <c r="R46" i="2"/>
  <c r="G74" i="2"/>
  <c r="P74" i="2"/>
  <c r="Q74" i="2"/>
  <c r="R74" i="2"/>
  <c r="G33" i="2"/>
  <c r="P33" i="2"/>
  <c r="Q33" i="2"/>
  <c r="R33" i="2"/>
  <c r="G66" i="2"/>
  <c r="P66" i="2"/>
  <c r="Q66" i="2"/>
  <c r="R66" i="2"/>
  <c r="G57" i="2"/>
  <c r="P57" i="2"/>
  <c r="Q57" i="2"/>
  <c r="R57" i="2"/>
  <c r="G210" i="20" l="1"/>
  <c r="G211" i="20"/>
  <c r="G212" i="20"/>
  <c r="G213" i="20"/>
  <c r="G214" i="20"/>
  <c r="G431" i="21"/>
  <c r="G432" i="21"/>
  <c r="G433" i="21"/>
  <c r="G434" i="21"/>
  <c r="G435" i="21"/>
  <c r="G233" i="19"/>
  <c r="G234" i="19"/>
  <c r="G235" i="19"/>
  <c r="G236" i="19"/>
  <c r="G232" i="18"/>
  <c r="G233" i="18"/>
  <c r="G234" i="18"/>
  <c r="G235" i="18"/>
  <c r="G236" i="18"/>
  <c r="G231" i="15"/>
  <c r="G232" i="15"/>
  <c r="G233" i="15"/>
  <c r="G234" i="15"/>
  <c r="G235" i="15"/>
  <c r="G244" i="13"/>
  <c r="G245" i="13"/>
  <c r="G246" i="13"/>
  <c r="G247" i="13"/>
  <c r="G248" i="13"/>
  <c r="G549" i="16"/>
  <c r="G550" i="16"/>
  <c r="G551" i="16"/>
  <c r="G552" i="16"/>
  <c r="G553" i="16"/>
  <c r="G534" i="12"/>
  <c r="G535" i="12"/>
  <c r="G536" i="12"/>
  <c r="G537" i="12"/>
  <c r="G538" i="12"/>
  <c r="G212" i="11"/>
  <c r="G213" i="11"/>
  <c r="G214" i="11"/>
  <c r="G215" i="11"/>
  <c r="G211" i="11"/>
  <c r="G212" i="2"/>
  <c r="G213" i="2"/>
  <c r="G214" i="2"/>
  <c r="G215" i="2"/>
  <c r="G211" i="2"/>
  <c r="G469" i="10"/>
  <c r="G466" i="10"/>
  <c r="G467" i="10"/>
  <c r="G468" i="10"/>
  <c r="G465" i="10"/>
  <c r="G236" i="10"/>
  <c r="G237" i="10"/>
  <c r="G238" i="10"/>
  <c r="G239" i="10"/>
  <c r="G240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B18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176" i="20" s="1"/>
  <c r="N1" i="21"/>
  <c r="K180" i="21" s="1"/>
  <c r="N1" i="19"/>
  <c r="K198" i="19" s="1"/>
  <c r="N1" i="18"/>
  <c r="K198" i="18" s="1"/>
  <c r="N1" i="15"/>
  <c r="K197" i="15" s="1"/>
  <c r="N1" i="13"/>
  <c r="K212" i="13" s="1"/>
  <c r="N1" i="16"/>
  <c r="K157" i="16" s="1"/>
  <c r="N1" i="12"/>
  <c r="K198" i="12" s="1"/>
  <c r="N1" i="11"/>
  <c r="K177" i="11" s="1"/>
  <c r="G1" i="20"/>
  <c r="G1" i="21"/>
  <c r="G1" i="19"/>
  <c r="G1" i="18"/>
  <c r="G1" i="15"/>
  <c r="G1" i="13"/>
  <c r="G1" i="16"/>
  <c r="G1" i="12"/>
  <c r="G1" i="11"/>
  <c r="G1" i="10"/>
  <c r="M428" i="21"/>
  <c r="K428" i="21"/>
  <c r="J428" i="21"/>
  <c r="I428" i="21"/>
  <c r="H428" i="21"/>
  <c r="L218" i="21"/>
  <c r="L217" i="21"/>
  <c r="L216" i="21"/>
  <c r="L215" i="21"/>
  <c r="L214" i="21"/>
  <c r="L195" i="21"/>
  <c r="G195" i="21"/>
  <c r="M190" i="21"/>
  <c r="K190" i="21"/>
  <c r="J190" i="21"/>
  <c r="H190" i="21"/>
  <c r="I189" i="21"/>
  <c r="L189" i="21" s="1"/>
  <c r="G189" i="21"/>
  <c r="I184" i="21"/>
  <c r="G184" i="21"/>
  <c r="I179" i="21"/>
  <c r="K173" i="21"/>
  <c r="J173" i="21"/>
  <c r="H173" i="21"/>
  <c r="K172" i="21"/>
  <c r="J172" i="21"/>
  <c r="H172" i="21"/>
  <c r="K154" i="21"/>
  <c r="J154" i="21"/>
  <c r="H154" i="21"/>
  <c r="M148" i="21"/>
  <c r="K148" i="21"/>
  <c r="J148" i="21"/>
  <c r="I148" i="21"/>
  <c r="H148" i="21"/>
  <c r="O136" i="21"/>
  <c r="N136" i="21"/>
  <c r="M136" i="21"/>
  <c r="L136" i="21"/>
  <c r="K136" i="21"/>
  <c r="J136" i="21"/>
  <c r="H136" i="21"/>
  <c r="R117" i="21"/>
  <c r="Q117" i="21"/>
  <c r="P117" i="21"/>
  <c r="G117" i="21"/>
  <c r="R113" i="21"/>
  <c r="Q113" i="21"/>
  <c r="P113" i="21"/>
  <c r="G113" i="21"/>
  <c r="R111" i="21"/>
  <c r="Q111" i="21"/>
  <c r="P111" i="21"/>
  <c r="G111" i="21"/>
  <c r="R110" i="21"/>
  <c r="Q110" i="21"/>
  <c r="P110" i="21"/>
  <c r="G110" i="21"/>
  <c r="R114" i="21"/>
  <c r="Q114" i="21"/>
  <c r="P114" i="21"/>
  <c r="G114" i="21"/>
  <c r="R112" i="21"/>
  <c r="Q112" i="21"/>
  <c r="P112" i="21"/>
  <c r="G112" i="21"/>
  <c r="R93" i="21"/>
  <c r="Q93" i="21"/>
  <c r="P93" i="21"/>
  <c r="G93" i="21"/>
  <c r="R20" i="21"/>
  <c r="Q20" i="21"/>
  <c r="P20" i="21"/>
  <c r="G20" i="21"/>
  <c r="M200" i="20"/>
  <c r="K200" i="20"/>
  <c r="J200" i="20"/>
  <c r="I200" i="20"/>
  <c r="H200" i="20"/>
  <c r="L199" i="20"/>
  <c r="L198" i="20"/>
  <c r="L197" i="20"/>
  <c r="L196" i="20"/>
  <c r="L195" i="20"/>
  <c r="L194" i="20"/>
  <c r="G194" i="20"/>
  <c r="M189" i="20"/>
  <c r="K189" i="20"/>
  <c r="J189" i="20"/>
  <c r="H189" i="20"/>
  <c r="I188" i="20"/>
  <c r="L188" i="20" s="1"/>
  <c r="G188" i="20"/>
  <c r="I187" i="20"/>
  <c r="L187" i="20" s="1"/>
  <c r="G187" i="20"/>
  <c r="I186" i="20"/>
  <c r="L186" i="20" s="1"/>
  <c r="G186" i="20"/>
  <c r="I185" i="20"/>
  <c r="L185" i="20" s="1"/>
  <c r="G185" i="20"/>
  <c r="I184" i="20"/>
  <c r="L184" i="20" s="1"/>
  <c r="G184" i="20"/>
  <c r="I183" i="20"/>
  <c r="L183" i="20" s="1"/>
  <c r="G183" i="20"/>
  <c r="I182" i="20"/>
  <c r="L182" i="20" s="1"/>
  <c r="G182" i="20"/>
  <c r="I181" i="20"/>
  <c r="L181" i="20" s="1"/>
  <c r="G181" i="20"/>
  <c r="I180" i="20"/>
  <c r="G180" i="20"/>
  <c r="I171" i="20"/>
  <c r="K169" i="20"/>
  <c r="J169" i="20"/>
  <c r="H169" i="20"/>
  <c r="K168" i="20"/>
  <c r="J168" i="20"/>
  <c r="H168" i="20"/>
  <c r="K167" i="20"/>
  <c r="J167" i="20"/>
  <c r="H167" i="20"/>
  <c r="K166" i="20"/>
  <c r="J166" i="20"/>
  <c r="H166" i="20"/>
  <c r="L139" i="20"/>
  <c r="K139" i="20"/>
  <c r="I139" i="20"/>
  <c r="G139" i="20"/>
  <c r="O129" i="20"/>
  <c r="N129" i="20"/>
  <c r="M129" i="20"/>
  <c r="L129" i="20"/>
  <c r="H129" i="20"/>
  <c r="R11" i="20"/>
  <c r="Q11" i="20"/>
  <c r="I129" i="20"/>
  <c r="G11" i="20"/>
  <c r="R18" i="20"/>
  <c r="Q18" i="20"/>
  <c r="G18" i="20"/>
  <c r="M222" i="19"/>
  <c r="K222" i="19"/>
  <c r="J222" i="19"/>
  <c r="I222" i="19"/>
  <c r="H222" i="19"/>
  <c r="L221" i="19"/>
  <c r="L220" i="19"/>
  <c r="L219" i="19"/>
  <c r="L218" i="19"/>
  <c r="L217" i="19"/>
  <c r="L216" i="19"/>
  <c r="G216" i="19"/>
  <c r="M211" i="19"/>
  <c r="K211" i="19"/>
  <c r="J211" i="19"/>
  <c r="H211" i="19"/>
  <c r="I210" i="19"/>
  <c r="L210" i="19" s="1"/>
  <c r="G210" i="19"/>
  <c r="I209" i="19"/>
  <c r="L209" i="19" s="1"/>
  <c r="G209" i="19"/>
  <c r="I208" i="19"/>
  <c r="L208" i="19" s="1"/>
  <c r="G208" i="19"/>
  <c r="I207" i="19"/>
  <c r="L207" i="19" s="1"/>
  <c r="G207" i="19"/>
  <c r="I206" i="19"/>
  <c r="L206" i="19" s="1"/>
  <c r="G206" i="19"/>
  <c r="I205" i="19"/>
  <c r="L205" i="19" s="1"/>
  <c r="G205" i="19"/>
  <c r="I204" i="19"/>
  <c r="L204" i="19" s="1"/>
  <c r="G204" i="19"/>
  <c r="I203" i="19"/>
  <c r="L203" i="19" s="1"/>
  <c r="G203" i="19"/>
  <c r="I202" i="19"/>
  <c r="L202" i="19" s="1"/>
  <c r="G202" i="19"/>
  <c r="I192" i="19"/>
  <c r="K191" i="19"/>
  <c r="J191" i="19"/>
  <c r="H191" i="19"/>
  <c r="K188" i="19"/>
  <c r="J188" i="19"/>
  <c r="H188" i="19"/>
  <c r="K173" i="19"/>
  <c r="J173" i="19"/>
  <c r="H173" i="19"/>
  <c r="L156" i="19"/>
  <c r="K156" i="19"/>
  <c r="J156" i="19"/>
  <c r="I156" i="19"/>
  <c r="H156" i="19"/>
  <c r="G156" i="19"/>
  <c r="O133" i="19"/>
  <c r="N133" i="19"/>
  <c r="M133" i="19"/>
  <c r="L133" i="19"/>
  <c r="H133" i="19"/>
  <c r="R92" i="19"/>
  <c r="Q92" i="19"/>
  <c r="P92" i="19"/>
  <c r="G92" i="19"/>
  <c r="R94" i="19"/>
  <c r="Q94" i="19"/>
  <c r="P94" i="19"/>
  <c r="G94" i="19"/>
  <c r="M222" i="18"/>
  <c r="K222" i="18"/>
  <c r="J222" i="18"/>
  <c r="I222" i="18"/>
  <c r="H222" i="18"/>
  <c r="L221" i="18"/>
  <c r="L220" i="18"/>
  <c r="L219" i="18"/>
  <c r="L218" i="18"/>
  <c r="L217" i="18"/>
  <c r="L216" i="18"/>
  <c r="G216" i="18"/>
  <c r="M211" i="18"/>
  <c r="K211" i="18"/>
  <c r="J211" i="18"/>
  <c r="H211" i="18"/>
  <c r="I210" i="18"/>
  <c r="L210" i="18" s="1"/>
  <c r="G210" i="18"/>
  <c r="I209" i="18"/>
  <c r="L209" i="18" s="1"/>
  <c r="G209" i="18"/>
  <c r="I208" i="18"/>
  <c r="L208" i="18" s="1"/>
  <c r="G208" i="18"/>
  <c r="I207" i="18"/>
  <c r="L207" i="18" s="1"/>
  <c r="G207" i="18"/>
  <c r="I206" i="18"/>
  <c r="L206" i="18" s="1"/>
  <c r="G206" i="18"/>
  <c r="I205" i="18"/>
  <c r="L205" i="18" s="1"/>
  <c r="G205" i="18"/>
  <c r="I204" i="18"/>
  <c r="L204" i="18" s="1"/>
  <c r="G204" i="18"/>
  <c r="I203" i="18"/>
  <c r="L203" i="18" s="1"/>
  <c r="G203" i="18"/>
  <c r="I202" i="18"/>
  <c r="G202" i="18"/>
  <c r="I192" i="18"/>
  <c r="K191" i="18"/>
  <c r="J191" i="18"/>
  <c r="H191" i="18"/>
  <c r="K162" i="18"/>
  <c r="J162" i="18"/>
  <c r="H162" i="18"/>
  <c r="L156" i="18"/>
  <c r="K156" i="18"/>
  <c r="J156" i="18"/>
  <c r="I156" i="18"/>
  <c r="H156" i="18"/>
  <c r="G156" i="18"/>
  <c r="O146" i="18"/>
  <c r="N146" i="18"/>
  <c r="M146" i="18"/>
  <c r="L146" i="18"/>
  <c r="K146" i="18"/>
  <c r="J146" i="18"/>
  <c r="R145" i="18"/>
  <c r="Q145" i="18"/>
  <c r="P145" i="18"/>
  <c r="G145" i="18"/>
  <c r="R140" i="18"/>
  <c r="Q140" i="18"/>
  <c r="P140" i="18"/>
  <c r="G140" i="18"/>
  <c r="R141" i="18"/>
  <c r="Q141" i="18"/>
  <c r="P141" i="18"/>
  <c r="G141" i="18"/>
  <c r="R136" i="18"/>
  <c r="Q136" i="18"/>
  <c r="P136" i="18"/>
  <c r="G136" i="18"/>
  <c r="R137" i="18"/>
  <c r="Q137" i="18"/>
  <c r="P137" i="18"/>
  <c r="G137" i="18"/>
  <c r="R133" i="18"/>
  <c r="Q133" i="18"/>
  <c r="P133" i="18"/>
  <c r="G133" i="18"/>
  <c r="R139" i="18"/>
  <c r="Q139" i="18"/>
  <c r="P139" i="18"/>
  <c r="G139" i="18"/>
  <c r="R13" i="18"/>
  <c r="Q13" i="18"/>
  <c r="P13" i="18"/>
  <c r="G13" i="18"/>
  <c r="M545" i="16"/>
  <c r="K545" i="16"/>
  <c r="J545" i="16"/>
  <c r="I545" i="16"/>
  <c r="H545" i="16"/>
  <c r="L352" i="16"/>
  <c r="L351" i="16"/>
  <c r="L350" i="16"/>
  <c r="L349" i="16"/>
  <c r="L348" i="16"/>
  <c r="L226" i="16"/>
  <c r="G226" i="16"/>
  <c r="M221" i="16"/>
  <c r="K221" i="16"/>
  <c r="J221" i="16"/>
  <c r="H221" i="16"/>
  <c r="I220" i="16"/>
  <c r="L220" i="16" s="1"/>
  <c r="G220" i="16"/>
  <c r="I152" i="16"/>
  <c r="K131" i="16"/>
  <c r="J131" i="16"/>
  <c r="H131" i="16"/>
  <c r="K146" i="16"/>
  <c r="J146" i="16"/>
  <c r="H146" i="16"/>
  <c r="K128" i="16"/>
  <c r="J128" i="16"/>
  <c r="H128" i="16"/>
  <c r="L112" i="16"/>
  <c r="K112" i="16"/>
  <c r="J112" i="16"/>
  <c r="I112" i="16"/>
  <c r="H112" i="16"/>
  <c r="G112" i="16"/>
  <c r="O102" i="16"/>
  <c r="N102" i="16"/>
  <c r="M102" i="16"/>
  <c r="L102" i="16"/>
  <c r="K102" i="16"/>
  <c r="J102" i="16"/>
  <c r="H102" i="16"/>
  <c r="R81" i="16"/>
  <c r="Q81" i="16"/>
  <c r="P81" i="16"/>
  <c r="G81" i="16"/>
  <c r="R42" i="16"/>
  <c r="Q42" i="16"/>
  <c r="P42" i="16"/>
  <c r="G42" i="16"/>
  <c r="R32" i="16"/>
  <c r="Q32" i="16"/>
  <c r="P32" i="16"/>
  <c r="G32" i="16"/>
  <c r="R59" i="16"/>
  <c r="Q59" i="16"/>
  <c r="P59" i="16"/>
  <c r="G59" i="16"/>
  <c r="R63" i="16"/>
  <c r="Q63" i="16"/>
  <c r="P63" i="16"/>
  <c r="G63" i="16"/>
  <c r="R78" i="16"/>
  <c r="Q78" i="16"/>
  <c r="P78" i="16"/>
  <c r="G78" i="16"/>
  <c r="R62" i="16"/>
  <c r="Q62" i="16"/>
  <c r="P62" i="16"/>
  <c r="G62" i="16"/>
  <c r="R28" i="16"/>
  <c r="Q28" i="16"/>
  <c r="G28" i="16"/>
  <c r="M221" i="15"/>
  <c r="K221" i="15"/>
  <c r="J221" i="15"/>
  <c r="I221" i="15"/>
  <c r="H221" i="15"/>
  <c r="L220" i="15"/>
  <c r="L219" i="15"/>
  <c r="L218" i="15"/>
  <c r="L217" i="15"/>
  <c r="L216" i="15"/>
  <c r="L215" i="15"/>
  <c r="G215" i="15"/>
  <c r="M210" i="15"/>
  <c r="K210" i="15"/>
  <c r="J210" i="15"/>
  <c r="H210" i="15"/>
  <c r="I209" i="15"/>
  <c r="L209" i="15" s="1"/>
  <c r="G209" i="15"/>
  <c r="I208" i="15"/>
  <c r="L208" i="15" s="1"/>
  <c r="G208" i="15"/>
  <c r="I207" i="15"/>
  <c r="L207" i="15" s="1"/>
  <c r="G207" i="15"/>
  <c r="I206" i="15"/>
  <c r="L206" i="15" s="1"/>
  <c r="G206" i="15"/>
  <c r="I205" i="15"/>
  <c r="L205" i="15" s="1"/>
  <c r="G205" i="15"/>
  <c r="I204" i="15"/>
  <c r="L204" i="15" s="1"/>
  <c r="G204" i="15"/>
  <c r="I203" i="15"/>
  <c r="L203" i="15" s="1"/>
  <c r="G203" i="15"/>
  <c r="I202" i="15"/>
  <c r="L202" i="15" s="1"/>
  <c r="G202" i="15"/>
  <c r="I201" i="15"/>
  <c r="G201" i="15"/>
  <c r="I193" i="15"/>
  <c r="M151" i="15"/>
  <c r="L151" i="15"/>
  <c r="K151" i="15"/>
  <c r="J151" i="15"/>
  <c r="I151" i="15"/>
  <c r="H151" i="15"/>
  <c r="O141" i="15"/>
  <c r="N141" i="15"/>
  <c r="M141" i="15"/>
  <c r="L141" i="15"/>
  <c r="K141" i="15"/>
  <c r="J141" i="15"/>
  <c r="H141" i="15"/>
  <c r="R140" i="15"/>
  <c r="Q140" i="15"/>
  <c r="P140" i="15"/>
  <c r="G140" i="15"/>
  <c r="M234" i="13"/>
  <c r="K234" i="13"/>
  <c r="J234" i="13"/>
  <c r="I234" i="13"/>
  <c r="H234" i="13"/>
  <c r="L233" i="13"/>
  <c r="L232" i="13"/>
  <c r="L231" i="13"/>
  <c r="L230" i="13"/>
  <c r="L229" i="13"/>
  <c r="L228" i="13"/>
  <c r="G228" i="13"/>
  <c r="M223" i="13"/>
  <c r="K223" i="13"/>
  <c r="J223" i="13"/>
  <c r="H223" i="13"/>
  <c r="I222" i="13"/>
  <c r="L222" i="13" s="1"/>
  <c r="G222" i="13"/>
  <c r="I221" i="13"/>
  <c r="L221" i="13" s="1"/>
  <c r="G221" i="13"/>
  <c r="I216" i="13"/>
  <c r="G216" i="13"/>
  <c r="I206" i="13"/>
  <c r="K205" i="13"/>
  <c r="J205" i="13"/>
  <c r="H205" i="13"/>
  <c r="K204" i="13"/>
  <c r="J204" i="13"/>
  <c r="H204" i="13"/>
  <c r="L157" i="13"/>
  <c r="K157" i="13"/>
  <c r="J157" i="13"/>
  <c r="G157" i="13"/>
  <c r="O147" i="13"/>
  <c r="N147" i="13"/>
  <c r="M147" i="13"/>
  <c r="L147" i="13"/>
  <c r="K147" i="13"/>
  <c r="J147" i="13"/>
  <c r="H147" i="13"/>
  <c r="R12" i="13"/>
  <c r="Q12" i="13"/>
  <c r="P12" i="13"/>
  <c r="G12" i="13"/>
  <c r="R11" i="13"/>
  <c r="Q11" i="13"/>
  <c r="P11" i="13"/>
  <c r="G11" i="13"/>
  <c r="R10" i="13"/>
  <c r="Q10" i="13"/>
  <c r="P10" i="13"/>
  <c r="G10" i="13"/>
  <c r="M531" i="12"/>
  <c r="K531" i="12"/>
  <c r="J531" i="12"/>
  <c r="I531" i="12"/>
  <c r="H531" i="12"/>
  <c r="L300" i="12"/>
  <c r="L272" i="12"/>
  <c r="L271" i="12"/>
  <c r="L270" i="12"/>
  <c r="L269" i="12"/>
  <c r="L268" i="12"/>
  <c r="G268" i="12"/>
  <c r="M265" i="12"/>
  <c r="K265" i="12"/>
  <c r="J265" i="12"/>
  <c r="H265" i="12"/>
  <c r="I210" i="12"/>
  <c r="L210" i="12" s="1"/>
  <c r="G210" i="12"/>
  <c r="I209" i="12"/>
  <c r="L209" i="12" s="1"/>
  <c r="G209" i="12"/>
  <c r="I208" i="12"/>
  <c r="L208" i="12" s="1"/>
  <c r="G208" i="12"/>
  <c r="I207" i="12"/>
  <c r="L207" i="12" s="1"/>
  <c r="G207" i="12"/>
  <c r="I206" i="12"/>
  <c r="L206" i="12" s="1"/>
  <c r="G206" i="12"/>
  <c r="I205" i="12"/>
  <c r="L205" i="12" s="1"/>
  <c r="G205" i="12"/>
  <c r="I204" i="12"/>
  <c r="L204" i="12" s="1"/>
  <c r="G204" i="12"/>
  <c r="I203" i="12"/>
  <c r="L203" i="12" s="1"/>
  <c r="G203" i="12"/>
  <c r="I202" i="12"/>
  <c r="G202" i="12"/>
  <c r="I192" i="12"/>
  <c r="K191" i="12"/>
  <c r="J191" i="12"/>
  <c r="H191" i="12"/>
  <c r="K145" i="12"/>
  <c r="J145" i="12"/>
  <c r="H145" i="12"/>
  <c r="L140" i="12"/>
  <c r="K140" i="12"/>
  <c r="J140" i="12"/>
  <c r="I140" i="12"/>
  <c r="H140" i="12"/>
  <c r="G140" i="12"/>
  <c r="O130" i="12"/>
  <c r="N130" i="12"/>
  <c r="M130" i="12"/>
  <c r="L130" i="12"/>
  <c r="H130" i="12"/>
  <c r="R110" i="12"/>
  <c r="Q110" i="12"/>
  <c r="P110" i="12"/>
  <c r="G110" i="12"/>
  <c r="R76" i="12"/>
  <c r="Q76" i="12"/>
  <c r="P76" i="12"/>
  <c r="G76" i="12"/>
  <c r="R111" i="12"/>
  <c r="Q111" i="12"/>
  <c r="P111" i="12"/>
  <c r="G111" i="12"/>
  <c r="R81" i="12"/>
  <c r="Q81" i="12"/>
  <c r="P81" i="12"/>
  <c r="G81" i="12"/>
  <c r="R56" i="12"/>
  <c r="Q56" i="12"/>
  <c r="P56" i="12"/>
  <c r="G56" i="12"/>
  <c r="R107" i="12"/>
  <c r="Q107" i="12"/>
  <c r="P107" i="12"/>
  <c r="G107" i="12"/>
  <c r="R33" i="12"/>
  <c r="Q33" i="12"/>
  <c r="P33" i="12"/>
  <c r="G33" i="12"/>
  <c r="M201" i="11"/>
  <c r="K201" i="11"/>
  <c r="J201" i="11"/>
  <c r="I201" i="11"/>
  <c r="H201" i="11"/>
  <c r="L200" i="11"/>
  <c r="L199" i="11"/>
  <c r="L198" i="11"/>
  <c r="L197" i="11"/>
  <c r="L196" i="11"/>
  <c r="L195" i="11"/>
  <c r="G195" i="11"/>
  <c r="M190" i="11"/>
  <c r="K190" i="11"/>
  <c r="J190" i="11"/>
  <c r="H190" i="11"/>
  <c r="I189" i="11"/>
  <c r="L189" i="11" s="1"/>
  <c r="G189" i="11"/>
  <c r="I188" i="11"/>
  <c r="L188" i="11" s="1"/>
  <c r="G188" i="11"/>
  <c r="I187" i="11"/>
  <c r="L187" i="11" s="1"/>
  <c r="G187" i="11"/>
  <c r="I186" i="11"/>
  <c r="L186" i="11" s="1"/>
  <c r="G186" i="11"/>
  <c r="I185" i="11"/>
  <c r="L185" i="11" s="1"/>
  <c r="G185" i="11"/>
  <c r="I184" i="11"/>
  <c r="L184" i="11" s="1"/>
  <c r="G184" i="11"/>
  <c r="I183" i="11"/>
  <c r="L183" i="11" s="1"/>
  <c r="G183" i="11"/>
  <c r="I182" i="11"/>
  <c r="L182" i="11" s="1"/>
  <c r="G182" i="11"/>
  <c r="I181" i="11"/>
  <c r="G181" i="11"/>
  <c r="I171" i="11"/>
  <c r="K170" i="11"/>
  <c r="J170" i="11"/>
  <c r="H170" i="11"/>
  <c r="L131" i="11"/>
  <c r="K131" i="11"/>
  <c r="J131" i="11"/>
  <c r="I131" i="11"/>
  <c r="H131" i="11"/>
  <c r="G131" i="11"/>
  <c r="B4" i="11" s="1"/>
  <c r="O120" i="11"/>
  <c r="N120" i="11"/>
  <c r="M120" i="11"/>
  <c r="L120" i="11"/>
  <c r="K120" i="11"/>
  <c r="J120" i="11"/>
  <c r="R33" i="11"/>
  <c r="Q33" i="11"/>
  <c r="P33" i="11"/>
  <c r="G33" i="11"/>
  <c r="R22" i="11"/>
  <c r="Q22" i="11"/>
  <c r="P22" i="11"/>
  <c r="G22" i="11"/>
  <c r="R35" i="11"/>
  <c r="Q35" i="11"/>
  <c r="P35" i="11"/>
  <c r="G35" i="11"/>
  <c r="R10" i="11"/>
  <c r="Q10" i="11"/>
  <c r="P10" i="11"/>
  <c r="G10" i="11"/>
  <c r="R32" i="11"/>
  <c r="Q32" i="11"/>
  <c r="P32" i="11"/>
  <c r="G32" i="11"/>
  <c r="R30" i="11"/>
  <c r="Q30" i="11"/>
  <c r="G30" i="11"/>
  <c r="N1" i="10"/>
  <c r="K176" i="10" s="1"/>
  <c r="M462" i="10"/>
  <c r="K462" i="10"/>
  <c r="J462" i="10"/>
  <c r="I462" i="10"/>
  <c r="H462" i="10"/>
  <c r="L240" i="10"/>
  <c r="L239" i="10"/>
  <c r="L238" i="10"/>
  <c r="L237" i="10"/>
  <c r="L236" i="10"/>
  <c r="G235" i="10"/>
  <c r="M232" i="10"/>
  <c r="K232" i="10"/>
  <c r="J232" i="10"/>
  <c r="H232" i="10"/>
  <c r="I188" i="10"/>
  <c r="L188" i="10" s="1"/>
  <c r="G188" i="10"/>
  <c r="I187" i="10"/>
  <c r="L187" i="10" s="1"/>
  <c r="G187" i="10"/>
  <c r="I186" i="10"/>
  <c r="L186" i="10" s="1"/>
  <c r="G186" i="10"/>
  <c r="I185" i="10"/>
  <c r="L185" i="10" s="1"/>
  <c r="G185" i="10"/>
  <c r="I184" i="10"/>
  <c r="L184" i="10" s="1"/>
  <c r="G184" i="10"/>
  <c r="L183" i="10"/>
  <c r="G183" i="10"/>
  <c r="I182" i="10"/>
  <c r="L182" i="10" s="1"/>
  <c r="G182" i="10"/>
  <c r="I181" i="10"/>
  <c r="L181" i="10" s="1"/>
  <c r="G181" i="10"/>
  <c r="I180" i="10"/>
  <c r="G180" i="10"/>
  <c r="I170" i="10"/>
  <c r="L133" i="10"/>
  <c r="K133" i="10"/>
  <c r="J133" i="10"/>
  <c r="I133" i="10"/>
  <c r="H133" i="10"/>
  <c r="G133" i="10"/>
  <c r="O121" i="10"/>
  <c r="N121" i="10"/>
  <c r="M121" i="10"/>
  <c r="L121" i="10"/>
  <c r="K121" i="10"/>
  <c r="J121" i="10"/>
  <c r="H121" i="10"/>
  <c r="R21" i="10"/>
  <c r="Q21" i="10"/>
  <c r="P21" i="10"/>
  <c r="G21" i="10"/>
  <c r="R15" i="10"/>
  <c r="Q15" i="10"/>
  <c r="P15" i="10"/>
  <c r="G15" i="10"/>
  <c r="I181" i="2"/>
  <c r="L181" i="2" s="1"/>
  <c r="I182" i="2"/>
  <c r="L182" i="2" s="1"/>
  <c r="I183" i="2"/>
  <c r="L183" i="2" s="1"/>
  <c r="I184" i="2"/>
  <c r="L184" i="2" s="1"/>
  <c r="I185" i="2"/>
  <c r="L185" i="2" s="1"/>
  <c r="I186" i="2"/>
  <c r="L186" i="2" s="1"/>
  <c r="I187" i="2"/>
  <c r="L187" i="2" s="1"/>
  <c r="I188" i="2"/>
  <c r="L188" i="2" s="1"/>
  <c r="I189" i="2"/>
  <c r="L189" i="2" s="1"/>
  <c r="G188" i="2"/>
  <c r="G189" i="2"/>
  <c r="G183" i="2"/>
  <c r="G184" i="2"/>
  <c r="G185" i="2"/>
  <c r="G186" i="2"/>
  <c r="G187" i="2"/>
  <c r="G182" i="2"/>
  <c r="K168" i="2"/>
  <c r="K169" i="2"/>
  <c r="K170" i="2"/>
  <c r="J168" i="2"/>
  <c r="J169" i="2"/>
  <c r="J170" i="2"/>
  <c r="H168" i="2"/>
  <c r="H169" i="2"/>
  <c r="H170" i="2"/>
  <c r="L197" i="2"/>
  <c r="L198" i="2"/>
  <c r="L200" i="2"/>
  <c r="L196" i="2"/>
  <c r="L199" i="2"/>
  <c r="G195" i="2"/>
  <c r="L195" i="2"/>
  <c r="G40" i="2"/>
  <c r="P40" i="2"/>
  <c r="R40" i="2"/>
  <c r="G10" i="2"/>
  <c r="I10" i="2"/>
  <c r="P10" i="2" s="1"/>
  <c r="Q10" i="2"/>
  <c r="R10" i="2"/>
  <c r="G22" i="2"/>
  <c r="P22" i="2"/>
  <c r="Q22" i="2"/>
  <c r="R22" i="2"/>
  <c r="P47" i="2"/>
  <c r="P72" i="2"/>
  <c r="P18" i="2"/>
  <c r="P39" i="2"/>
  <c r="I171" i="2"/>
  <c r="K132" i="2"/>
  <c r="J132" i="2"/>
  <c r="I132" i="2"/>
  <c r="H132" i="2"/>
  <c r="G132" i="2"/>
  <c r="L132" i="2"/>
  <c r="K201" i="2"/>
  <c r="J201" i="2"/>
  <c r="I201" i="2"/>
  <c r="H201" i="2"/>
  <c r="M201" i="2"/>
  <c r="K177" i="2"/>
  <c r="K190" i="2"/>
  <c r="J190" i="2"/>
  <c r="H190" i="2"/>
  <c r="M190" i="2"/>
  <c r="G181" i="2"/>
  <c r="K167" i="2"/>
  <c r="R47" i="2"/>
  <c r="R82" i="2"/>
  <c r="R72" i="2"/>
  <c r="R18" i="2"/>
  <c r="R39" i="2"/>
  <c r="J167" i="2"/>
  <c r="H167" i="2"/>
  <c r="G39" i="2"/>
  <c r="Q39" i="2"/>
  <c r="G18" i="2"/>
  <c r="Q18" i="2"/>
  <c r="G72" i="2"/>
  <c r="Q72" i="2"/>
  <c r="O122" i="2"/>
  <c r="N122" i="2"/>
  <c r="M122" i="2"/>
  <c r="L122" i="2"/>
  <c r="K122" i="2"/>
  <c r="J122" i="2"/>
  <c r="H122" i="2"/>
  <c r="Q47" i="2"/>
  <c r="Q82" i="2"/>
  <c r="P82" i="2"/>
  <c r="B4" i="10" l="1"/>
  <c r="P121" i="10"/>
  <c r="P11" i="20"/>
  <c r="J4" i="15"/>
  <c r="B4" i="18"/>
  <c r="J4" i="20"/>
  <c r="B4" i="13"/>
  <c r="J4" i="13"/>
  <c r="I189" i="20"/>
  <c r="M4" i="20" s="1"/>
  <c r="I190" i="21"/>
  <c r="M4" i="21" s="1"/>
  <c r="B4" i="16"/>
  <c r="J4" i="16"/>
  <c r="P130" i="12"/>
  <c r="I130" i="12"/>
  <c r="G4" i="12" s="1"/>
  <c r="J4" i="18"/>
  <c r="B4" i="19"/>
  <c r="J4" i="19"/>
  <c r="B4" i="21"/>
  <c r="J4" i="21"/>
  <c r="I232" i="10"/>
  <c r="M4" i="10" s="1"/>
  <c r="J4" i="11"/>
  <c r="B4" i="12"/>
  <c r="J4" i="12"/>
  <c r="L201" i="11"/>
  <c r="I190" i="11"/>
  <c r="M4" i="11" s="1"/>
  <c r="B4" i="20"/>
  <c r="I133" i="2"/>
  <c r="J4" i="10"/>
  <c r="B4" i="15"/>
  <c r="I211" i="18"/>
  <c r="M4" i="18" s="1"/>
  <c r="L428" i="21"/>
  <c r="B4" i="2"/>
  <c r="G18" i="4"/>
  <c r="L18" i="4"/>
  <c r="I120" i="11"/>
  <c r="G4" i="11" s="1"/>
  <c r="G4" i="19"/>
  <c r="G4" i="4"/>
  <c r="B25" i="4"/>
  <c r="P30" i="11"/>
  <c r="P120" i="11" s="1"/>
  <c r="I265" i="12"/>
  <c r="M4" i="12" s="1"/>
  <c r="I221" i="16"/>
  <c r="M4" i="16" s="1"/>
  <c r="P18" i="20"/>
  <c r="L4" i="4"/>
  <c r="G25" i="4"/>
  <c r="L531" i="12"/>
  <c r="L222" i="18"/>
  <c r="L222" i="19"/>
  <c r="B11" i="4"/>
  <c r="L25" i="4"/>
  <c r="I211" i="19"/>
  <c r="M4" i="19" s="1"/>
  <c r="I210" i="15"/>
  <c r="M4" i="15" s="1"/>
  <c r="G4" i="16"/>
  <c r="L545" i="16"/>
  <c r="G11" i="4"/>
  <c r="G4" i="15"/>
  <c r="P28" i="16"/>
  <c r="P102" i="16" s="1"/>
  <c r="L11" i="4"/>
  <c r="I223" i="13"/>
  <c r="M4" i="13" s="1"/>
  <c r="P141" i="15"/>
  <c r="L221" i="15"/>
  <c r="P133" i="19"/>
  <c r="L211" i="19"/>
  <c r="L234" i="13"/>
  <c r="L200" i="20"/>
  <c r="L462" i="10"/>
  <c r="P136" i="21"/>
  <c r="L184" i="21"/>
  <c r="L190" i="21" s="1"/>
  <c r="I136" i="21"/>
  <c r="G4" i="21" s="1"/>
  <c r="L180" i="20"/>
  <c r="L189" i="20" s="1"/>
  <c r="P146" i="18"/>
  <c r="L202" i="18"/>
  <c r="L211" i="18" s="1"/>
  <c r="G4" i="18"/>
  <c r="L221" i="16"/>
  <c r="L201" i="15"/>
  <c r="L210" i="15" s="1"/>
  <c r="P147" i="13"/>
  <c r="L216" i="13"/>
  <c r="L223" i="13" s="1"/>
  <c r="I147" i="13"/>
  <c r="L202" i="12"/>
  <c r="L265" i="12" s="1"/>
  <c r="L181" i="11"/>
  <c r="L190" i="11" s="1"/>
  <c r="L180" i="10"/>
  <c r="L232" i="10" s="1"/>
  <c r="I121" i="10"/>
  <c r="G4" i="10" s="1"/>
  <c r="I190" i="2"/>
  <c r="M4" i="2" s="1"/>
  <c r="I122" i="2"/>
  <c r="J4" i="2"/>
  <c r="L201" i="2"/>
  <c r="L190" i="2"/>
  <c r="P122" i="2"/>
  <c r="G4" i="2" l="1"/>
  <c r="P4" i="2" s="1"/>
  <c r="P129" i="20"/>
  <c r="P4" i="10"/>
  <c r="P4" i="21"/>
  <c r="P4" i="18"/>
  <c r="P4" i="16"/>
  <c r="P4" i="11"/>
  <c r="P4" i="15"/>
  <c r="P4" i="19"/>
  <c r="P4" i="12"/>
  <c r="G47" i="2"/>
  <c r="G82" i="2"/>
  <c r="I157" i="13"/>
  <c r="H157" i="13"/>
  <c r="G4" i="13" l="1"/>
  <c r="P4" i="13" s="1"/>
  <c r="L148" i="21"/>
  <c r="H139" i="20"/>
  <c r="G4" i="20" s="1"/>
  <c r="P4" i="20" s="1"/>
</calcChain>
</file>

<file path=xl/sharedStrings.xml><?xml version="1.0" encoding="utf-8"?>
<sst xmlns="http://schemas.openxmlformats.org/spreadsheetml/2006/main" count="4664" uniqueCount="2568">
  <si>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</si>
  <si>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</si>
  <si>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</si>
  <si>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</si>
  <si>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</si>
  <si>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</si>
  <si>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</si>
  <si>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</si>
  <si>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</si>
  <si>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</si>
  <si>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</si>
  <si>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</si>
  <si>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</si>
  <si>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</si>
  <si>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</si>
  <si>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</si>
  <si>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</si>
  <si>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</si>
  <si>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</si>
  <si>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</si>
  <si>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</si>
  <si>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</si>
  <si>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</si>
  <si>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</si>
  <si>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</si>
  <si>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</si>
  <si>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</si>
  <si>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</si>
  <si>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</si>
  <si>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</si>
  <si>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</si>
  <si>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</si>
  <si>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</si>
  <si>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</si>
  <si>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</si>
  <si>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</si>
  <si>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</si>
  <si>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</si>
  <si>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</si>
  <si>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</si>
  <si>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</si>
  <si>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</si>
  <si>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</si>
  <si>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</si>
  <si>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</si>
  <si>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</si>
  <si>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</si>
  <si>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</si>
  <si>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</si>
  <si>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</si>
  <si>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</si>
  <si>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</si>
  <si>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</si>
  <si>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</si>
  <si>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</si>
  <si>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</si>
  <si>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</si>
  <si>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</si>
  <si>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</si>
  <si>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</si>
  <si>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</si>
  <si>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</si>
  <si>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</si>
  <si>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</si>
  <si>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</si>
  <si>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</si>
  <si>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</si>
  <si>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</si>
  <si>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</si>
  <si>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</si>
  <si>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</si>
  <si>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</si>
  <si>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</si>
  <si>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</si>
  <si>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</si>
  <si>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</si>
  <si>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</si>
  <si>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</si>
  <si>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</si>
  <si>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</si>
  <si>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</si>
  <si>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</si>
  <si>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</si>
  <si>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ALKO SRL</t>
  </si>
  <si>
    <t>Mercaderia</t>
  </si>
  <si>
    <t>Combustibe</t>
  </si>
  <si>
    <t>Extracto</t>
  </si>
  <si>
    <t>Otros</t>
  </si>
  <si>
    <t>CENCOSUD S.A.</t>
  </si>
  <si>
    <t>COCA COLA FEMSA DE BS AS SA</t>
  </si>
  <si>
    <t>Alquiler</t>
  </si>
  <si>
    <t>COTO CICSA</t>
  </si>
  <si>
    <t>DEHEZA SAICF E I</t>
  </si>
  <si>
    <t>Telefonia</t>
  </si>
  <si>
    <t>ESTUDIO BOTINDARI</t>
  </si>
  <si>
    <t>GABRIEL GONZALEZ SAGASETA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</si>
  <si>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</si>
  <si>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</si>
  <si>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</si>
  <si>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</si>
  <si>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</si>
  <si>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</si>
  <si>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</si>
  <si>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</si>
  <si>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</si>
  <si>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</si>
  <si>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</si>
  <si>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</si>
  <si>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</si>
  <si>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</si>
  <si>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</si>
  <si>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</si>
  <si>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</si>
  <si>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</si>
  <si>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</si>
  <si>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</si>
  <si>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</si>
  <si>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</si>
  <si>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</si>
  <si>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</si>
  <si>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</si>
  <si>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ABIUSO MARTHA</t>
  </si>
  <si>
    <t>AGH S.A</t>
  </si>
  <si>
    <t>AGUA Y SANEAMIENTOS ARG SA</t>
  </si>
  <si>
    <t>AKIAN GRAFICA EDITORA SA</t>
  </si>
  <si>
    <t>ALANAR S.R.L.</t>
  </si>
  <si>
    <t xml:space="preserve">ALEJANDRO DARIO LOPEZ 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</si>
  <si>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</si>
  <si>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</si>
  <si>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</si>
  <si>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</si>
  <si>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</si>
  <si>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</si>
  <si>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</si>
  <si>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</si>
  <si>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</si>
  <si>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</si>
  <si>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</si>
  <si>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</si>
  <si>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</si>
  <si>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</si>
  <si>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</si>
  <si>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</si>
  <si>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</si>
  <si>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</si>
  <si>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</si>
  <si>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</si>
  <si>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</si>
  <si>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</si>
  <si>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</si>
  <si>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</si>
  <si>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</si>
  <si>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</si>
  <si>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</si>
  <si>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</si>
  <si>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</si>
  <si>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</si>
  <si>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</si>
  <si>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</si>
  <si>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</si>
  <si>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</si>
  <si>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</si>
  <si>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</si>
  <si>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</si>
  <si>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</si>
  <si>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</si>
  <si>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AUTOSERVICIO DIARCO SA</t>
  </si>
  <si>
    <t>AUTOSTADT S.A.</t>
  </si>
  <si>
    <t>AUTOSTRASSE S.A.</t>
  </si>
  <si>
    <t>AVANCE-MAG</t>
  </si>
  <si>
    <t>AVILA MARTIN LEONARDO</t>
  </si>
  <si>
    <t>AXION ENERGY ARG SA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</si>
  <si>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</si>
  <si>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</si>
  <si>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</si>
  <si>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</si>
  <si>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</si>
  <si>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</si>
  <si>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</si>
  <si>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</si>
  <si>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</si>
  <si>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</si>
  <si>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</si>
  <si>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</si>
  <si>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</si>
  <si>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</si>
  <si>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</si>
  <si>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</si>
  <si>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</si>
  <si>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</si>
  <si>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</si>
  <si>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</si>
  <si>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</si>
  <si>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</si>
  <si>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</si>
  <si>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</si>
  <si>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</si>
  <si>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</si>
  <si>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</si>
  <si>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</si>
  <si>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</si>
  <si>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</si>
  <si>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</si>
  <si>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</si>
  <si>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</si>
  <si>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</si>
  <si>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</si>
  <si>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</si>
  <si>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</si>
  <si>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</si>
  <si>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</si>
  <si>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</si>
  <si>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</si>
  <si>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</si>
  <si>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</si>
  <si>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</si>
  <si>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</si>
  <si>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</si>
  <si>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</si>
  <si>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</si>
  <si>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</si>
  <si>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</si>
  <si>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</si>
  <si>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</si>
  <si>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</si>
  <si>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</si>
  <si>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</si>
  <si>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</si>
  <si>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</si>
  <si>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</si>
  <si>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</si>
  <si>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</si>
  <si>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COHUI SA</t>
  </si>
  <si>
    <t>COLAFRANCESCO RICARDO DANIEL</t>
  </si>
  <si>
    <t>COLTEX SRL</t>
  </si>
  <si>
    <t>COMERCIAL ALPACA SA</t>
  </si>
  <si>
    <t>Comercial e Industrial SRL</t>
  </si>
  <si>
    <t>COMPAÑÍA AMERICANA DE LAPICES S.R.L.</t>
  </si>
  <si>
    <t>COMPUMUNDO</t>
  </si>
  <si>
    <t>CONSORCIO BTOME MITRE 2466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</si>
  <si>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</si>
  <si>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</si>
  <si>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</si>
  <si>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</si>
  <si>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</si>
  <si>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</si>
  <si>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</si>
  <si>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</si>
  <si>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</si>
  <si>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CORTELLA ANA MARIA</t>
  </si>
  <si>
    <t>CPDD SRL</t>
  </si>
  <si>
    <t>CRYSLAN SA</t>
  </si>
  <si>
    <t>CSKY S.A</t>
  </si>
  <si>
    <t>CUELLAR OMAR EDGARDO</t>
  </si>
  <si>
    <t>CUEROSUR</t>
  </si>
  <si>
    <t>D ACCORD SA</t>
  </si>
  <si>
    <t>DALAMY S.A</t>
  </si>
  <si>
    <t>DAMIANOVICH JORGE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</si>
  <si>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</si>
  <si>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</si>
  <si>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</si>
  <si>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</si>
  <si>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</si>
  <si>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</si>
  <si>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</si>
  <si>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</si>
  <si>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</si>
  <si>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</si>
  <si>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</si>
  <si>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</si>
  <si>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</si>
  <si>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</si>
  <si>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</si>
  <si>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</si>
  <si>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</si>
  <si>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</si>
  <si>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</si>
  <si>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</si>
  <si>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</si>
  <si>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</si>
  <si>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</si>
  <si>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</si>
  <si>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</si>
  <si>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</si>
  <si>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</si>
  <si>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</si>
  <si>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</si>
  <si>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</si>
  <si>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</si>
  <si>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</si>
  <si>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</si>
  <si>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</si>
  <si>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</si>
  <si>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</si>
  <si>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</si>
  <si>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</si>
  <si>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</si>
  <si>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</si>
  <si>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</si>
  <si>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</si>
  <si>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</si>
  <si>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</si>
  <si>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</si>
  <si>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EMPRESA DISTRIBUIDORA SUR S.A.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</si>
  <si>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</si>
  <si>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</si>
  <si>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</si>
  <si>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</si>
  <si>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</si>
  <si>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</si>
  <si>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</si>
  <si>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</si>
  <si>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</si>
  <si>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</si>
  <si>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</si>
  <si>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</si>
  <si>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</si>
  <si>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ESTEBAN URRESTI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</si>
  <si>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</si>
  <si>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</si>
  <si>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</si>
  <si>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</si>
  <si>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</si>
  <si>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</si>
  <si>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</si>
  <si>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</si>
  <si>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</si>
  <si>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</si>
  <si>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</si>
  <si>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</si>
  <si>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</si>
  <si>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</si>
  <si>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</si>
  <si>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</si>
  <si>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</si>
  <si>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</si>
  <si>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</si>
  <si>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FERRT.INDUS.ONCE SRL</t>
  </si>
  <si>
    <t>FERRUM SA</t>
  </si>
  <si>
    <t>FHAVILL SA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</si>
  <si>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</si>
  <si>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</si>
  <si>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</si>
  <si>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</si>
  <si>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</si>
  <si>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</si>
  <si>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</si>
  <si>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</si>
  <si>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</si>
  <si>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</si>
  <si>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</si>
  <si>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</si>
  <si>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GAED S.H.</t>
  </si>
  <si>
    <t>GALANDER SA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</si>
  <si>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</si>
  <si>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</si>
  <si>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</si>
  <si>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</si>
  <si>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</si>
  <si>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</si>
  <si>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</si>
  <si>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</si>
  <si>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</si>
  <si>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</si>
  <si>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</si>
  <si>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</si>
  <si>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</si>
  <si>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</si>
  <si>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</si>
  <si>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</si>
  <si>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</si>
  <si>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</si>
  <si>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</si>
  <si>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</si>
  <si>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</si>
  <si>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</si>
  <si>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</si>
  <si>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</si>
  <si>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</si>
  <si>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</si>
  <si>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</si>
  <si>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</si>
  <si>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</si>
  <si>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</si>
  <si>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</si>
  <si>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</si>
  <si>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</si>
  <si>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</si>
  <si>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</si>
  <si>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</si>
  <si>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</si>
  <si>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</si>
  <si>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</si>
  <si>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</si>
  <si>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</si>
  <si>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</si>
  <si>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</si>
  <si>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</si>
  <si>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</si>
  <si>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</si>
  <si>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</si>
  <si>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</si>
  <si>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</si>
  <si>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</si>
  <si>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</si>
  <si>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</si>
  <si>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</si>
  <si>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</si>
  <si>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</si>
  <si>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</si>
  <si>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</si>
  <si>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</si>
  <si>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</si>
  <si>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</si>
  <si>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</si>
  <si>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</si>
  <si>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</si>
  <si>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</si>
  <si>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INTENSE LIFE SA</t>
  </si>
  <si>
    <t>INV. MINORISTA SA</t>
  </si>
  <si>
    <t xml:space="preserve">IRAOLA Y CIA SA </t>
  </si>
  <si>
    <t>IRIME SRL</t>
  </si>
  <si>
    <t>ITALSUR S.A.</t>
  </si>
  <si>
    <t xml:space="preserve">ITAR AMOBLAMIENTOS SRL </t>
  </si>
  <si>
    <t>JANET W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</si>
  <si>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</si>
  <si>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</si>
  <si>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</si>
  <si>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</si>
  <si>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</si>
  <si>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</si>
  <si>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</si>
  <si>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</si>
  <si>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</si>
  <si>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</si>
  <si>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</si>
  <si>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</si>
  <si>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</si>
  <si>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</si>
  <si>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</si>
  <si>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</si>
  <si>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</si>
  <si>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</si>
  <si>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</si>
  <si>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</si>
  <si>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</si>
  <si>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</si>
  <si>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</si>
  <si>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</si>
  <si>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</si>
  <si>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</si>
  <si>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</si>
  <si>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</si>
  <si>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</si>
  <si>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</si>
  <si>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</si>
  <si>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</si>
  <si>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</si>
  <si>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</si>
  <si>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</si>
  <si>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</si>
  <si>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</si>
  <si>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</si>
  <si>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</si>
  <si>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</si>
  <si>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</si>
  <si>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</si>
  <si>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</si>
  <si>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</si>
  <si>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</si>
  <si>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</si>
  <si>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</si>
  <si>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</si>
  <si>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</si>
  <si>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</si>
  <si>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</si>
  <si>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</si>
  <si>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</si>
  <si>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</si>
  <si>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</si>
  <si>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</si>
  <si>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</si>
  <si>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</si>
  <si>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</si>
  <si>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</si>
  <si>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</si>
  <si>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</si>
  <si>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</si>
  <si>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</si>
  <si>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</si>
  <si>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</si>
  <si>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</si>
  <si>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</si>
  <si>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</si>
  <si>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</si>
  <si>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</si>
  <si>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</si>
  <si>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</si>
  <si>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</si>
  <si>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</si>
  <si>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</si>
  <si>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</si>
  <si>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</si>
  <si>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</si>
  <si>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</si>
  <si>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</si>
  <si>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</si>
  <si>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</si>
  <si>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</si>
  <si>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</si>
  <si>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</si>
  <si>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</si>
  <si>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</si>
  <si>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</si>
  <si>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</si>
  <si>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</si>
  <si>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</si>
  <si>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</si>
  <si>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MONTENEGRO LUCIO FANDOR</t>
  </si>
  <si>
    <t xml:space="preserve">MORON GOMA A </t>
  </si>
  <si>
    <t>MOTORVILLE SA</t>
  </si>
  <si>
    <t>MR ALTER CORPORATION SRL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</si>
  <si>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</si>
  <si>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</si>
  <si>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</si>
  <si>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</si>
  <si>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</si>
  <si>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</si>
  <si>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</si>
  <si>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</si>
  <si>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</si>
  <si>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</si>
  <si>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</si>
  <si>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</si>
  <si>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</si>
  <si>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</si>
  <si>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</si>
  <si>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</si>
  <si>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</si>
  <si>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</si>
  <si>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</si>
  <si>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</si>
  <si>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</si>
  <si>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</si>
  <si>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</si>
  <si>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</si>
  <si>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</si>
  <si>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</si>
  <si>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</si>
  <si>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</si>
  <si>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</si>
  <si>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</si>
  <si>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</si>
  <si>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</si>
  <si>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</si>
  <si>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</si>
  <si>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</si>
  <si>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</si>
  <si>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</si>
  <si>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</si>
  <si>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</si>
  <si>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</si>
  <si>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</si>
  <si>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 xml:space="preserve">OLGUIN CAMILA LIDIA </t>
  </si>
  <si>
    <t>OLIVARES HNOS SA</t>
  </si>
  <si>
    <t>OMINT ART SA</t>
  </si>
  <si>
    <t>OMINT SA</t>
  </si>
  <si>
    <t>ONS SRL</t>
  </si>
  <si>
    <t>ORBIS MERTIG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</si>
  <si>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</si>
  <si>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</si>
  <si>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</si>
  <si>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</si>
  <si>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</si>
  <si>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</si>
  <si>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</si>
  <si>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</si>
  <si>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</si>
  <si>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</si>
  <si>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</si>
  <si>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</si>
  <si>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</si>
  <si>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</si>
  <si>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</si>
  <si>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</si>
  <si>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</si>
  <si>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</si>
  <si>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</si>
  <si>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</si>
  <si>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</si>
  <si>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</si>
  <si>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</si>
  <si>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</si>
  <si>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</si>
  <si>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</si>
  <si>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</si>
  <si>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PIETRUSZKA ALBERTO</t>
  </si>
  <si>
    <t>PILKINGTON AUTOMOTIVE SA</t>
  </si>
  <si>
    <t xml:space="preserve">PINDELEC SA </t>
  </si>
  <si>
    <t>PINTO LEONEL EMILIANO</t>
  </si>
  <si>
    <t xml:space="preserve">PINTURERIA REX </t>
  </si>
  <si>
    <t>PINTURERIAS SAGITARIO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</si>
  <si>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</si>
  <si>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</si>
  <si>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</si>
  <si>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</si>
  <si>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</si>
  <si>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</si>
  <si>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</si>
  <si>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</si>
  <si>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</si>
  <si>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</si>
  <si>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</si>
  <si>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</si>
  <si>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</si>
  <si>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</si>
  <si>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</si>
  <si>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</si>
  <si>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</si>
  <si>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</si>
  <si>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</si>
  <si>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</si>
  <si>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</si>
  <si>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</si>
  <si>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</si>
  <si>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</si>
  <si>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</si>
  <si>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</si>
  <si>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</si>
  <si>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</si>
  <si>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</si>
  <si>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</si>
  <si>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</si>
  <si>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</si>
  <si>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</si>
  <si>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</si>
  <si>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</si>
  <si>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</si>
  <si>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</si>
  <si>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</si>
  <si>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</si>
  <si>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</si>
  <si>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</si>
  <si>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</si>
  <si>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</si>
  <si>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</si>
  <si>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</si>
  <si>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</si>
  <si>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</si>
  <si>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</si>
  <si>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</si>
  <si>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</si>
  <si>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</si>
  <si>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</si>
  <si>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</si>
  <si>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</si>
  <si>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</si>
  <si>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</si>
  <si>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</si>
  <si>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</si>
  <si>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</si>
  <si>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</si>
  <si>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</si>
  <si>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</si>
  <si>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</si>
  <si>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</si>
  <si>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</si>
  <si>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</si>
  <si>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</si>
  <si>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</si>
  <si>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</si>
  <si>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</si>
  <si>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</si>
  <si>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</si>
  <si>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</si>
  <si>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</si>
  <si>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</si>
  <si>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</si>
  <si>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</si>
  <si>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</si>
  <si>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</si>
  <si>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</si>
  <si>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</si>
  <si>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</si>
  <si>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</si>
  <si>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</si>
  <si>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</si>
  <si>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</si>
  <si>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</si>
  <si>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</si>
  <si>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</si>
  <si>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</si>
  <si>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</si>
  <si>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</si>
  <si>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</si>
  <si>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</si>
  <si>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</si>
  <si>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</si>
  <si>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</si>
  <si>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</si>
  <si>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</si>
  <si>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</si>
  <si>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</si>
  <si>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</si>
  <si>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</si>
  <si>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</si>
  <si>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</si>
  <si>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</si>
  <si>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</si>
  <si>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</si>
  <si>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</si>
  <si>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</si>
  <si>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</si>
  <si>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</si>
  <si>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</si>
  <si>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</si>
  <si>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</si>
  <si>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</si>
  <si>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</si>
  <si>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</si>
  <si>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</si>
  <si>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</si>
  <si>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</si>
  <si>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TEKNOVENTILACION SRL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</si>
  <si>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</si>
  <si>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</si>
  <si>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</si>
  <si>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</si>
  <si>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</si>
  <si>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</si>
  <si>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</si>
  <si>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</si>
  <si>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</si>
  <si>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</si>
  <si>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</si>
  <si>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</si>
  <si>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</si>
  <si>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</si>
  <si>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</si>
  <si>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</si>
  <si>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</si>
  <si>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</si>
  <si>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</si>
  <si>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</si>
  <si>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</si>
  <si>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</si>
  <si>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</si>
  <si>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</si>
  <si>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</si>
  <si>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</si>
  <si>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</si>
  <si>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</si>
  <si>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</si>
  <si>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</si>
  <si>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</si>
  <si>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</si>
  <si>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</si>
  <si>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</si>
  <si>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</si>
  <si>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</si>
  <si>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</si>
  <si>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</si>
  <si>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</si>
  <si>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</si>
  <si>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</si>
  <si>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</si>
  <si>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</si>
  <si>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</si>
  <si>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</si>
  <si>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</si>
  <si>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</si>
  <si>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</si>
  <si>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</si>
  <si>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</si>
  <si>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</si>
  <si>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</si>
  <si>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</si>
  <si>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</si>
  <si>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</si>
  <si>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</si>
  <si>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</si>
  <si>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</si>
  <si>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</si>
  <si>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</si>
  <si>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</si>
  <si>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</si>
  <si>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</si>
  <si>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</si>
  <si>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</si>
  <si>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</si>
  <si>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</si>
  <si>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</si>
  <si>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ORTOPEDIA GEMINIS S.A.</t>
  </si>
  <si>
    <t>EDUEARDO FRANCISCO NARDOMARINO</t>
  </si>
  <si>
    <t>FLETE</t>
  </si>
  <si>
    <t>AGOSTINO, ANA CAROLINA</t>
  </si>
  <si>
    <t>AGRISOL SA</t>
  </si>
  <si>
    <t>INSUMO</t>
  </si>
  <si>
    <t>SERVICIOS</t>
  </si>
  <si>
    <t>AGÜERO, PATRICIA ALEJANDRA</t>
  </si>
  <si>
    <t>AGUERRIDO NAZARENO ISMAEL</t>
  </si>
  <si>
    <t>Aguiar Elvira</t>
  </si>
  <si>
    <t>Aguilar Omar Adolfo</t>
  </si>
  <si>
    <t>Aguirre Diego</t>
  </si>
  <si>
    <t>Aguirre Rodrigo</t>
  </si>
  <si>
    <t>AGUIRRE SERGIO SEBASTIAN</t>
  </si>
  <si>
    <t>AISEMBERG FREDY</t>
  </si>
  <si>
    <t xml:space="preserve">ALAN COLLECTION SA </t>
  </si>
  <si>
    <t>ALARCON CAPRA, KARINA ANDREA</t>
  </si>
  <si>
    <t>ALBAJARI DIEGO MARCOS</t>
  </si>
  <si>
    <t>ALBAMIE SA</t>
  </si>
  <si>
    <t>CLIENTE</t>
  </si>
  <si>
    <t>ALBANESE, ARTURO ANTONIO</t>
  </si>
  <si>
    <t>Aldazabal Martin Claudio</t>
  </si>
  <si>
    <t>ALDO SODANO</t>
  </si>
  <si>
    <t>ALEJANDRA SIFFREDI TORRES SANMARCO</t>
  </si>
  <si>
    <t>ALEJANDRO DANIEL TORRES</t>
  </si>
  <si>
    <t>ALEJANDRO, ULISES ISAAC</t>
  </si>
  <si>
    <t>ALEXANDER FLEMING SA</t>
  </si>
  <si>
    <t>Mantenimiento</t>
  </si>
  <si>
    <t>Alfano Alberico Alejandro</t>
  </si>
  <si>
    <t>Alfar Construcciones SA</t>
  </si>
  <si>
    <t>Alicia Lemma</t>
  </si>
  <si>
    <t>ALLARIO, MARTIN EMANUEL</t>
  </si>
  <si>
    <t>ALO FER S.A.</t>
  </si>
  <si>
    <t>ALONSO CLAUDIA MARCELA</t>
  </si>
  <si>
    <t>ALONSO DE LARA JOSE LUIS</t>
  </si>
  <si>
    <t>ALONSO FERNANDO LUIS</t>
  </si>
  <si>
    <t>ALSINA MARCELO DANIEL SH</t>
  </si>
  <si>
    <t>PROVEEDOR</t>
  </si>
  <si>
    <t>ALTO CALABRIA S.R.L.</t>
  </si>
  <si>
    <t>COMIDA</t>
  </si>
  <si>
    <t>ALVAREZ CAROLINA</t>
  </si>
  <si>
    <t>Alvarez Danisa Tatiana</t>
  </si>
  <si>
    <t>ALVAREZ FIGUEIRA, JHONATAN EMANUEL</t>
  </si>
  <si>
    <t>ALVAREZ HERRERA ROSA DE LOURDES</t>
  </si>
  <si>
    <t>ALVAREZ PIMIENTO DAVID</t>
  </si>
  <si>
    <t>Amalia Mazón Torrijos</t>
  </si>
  <si>
    <t>AMENDOLARO MARIA</t>
  </si>
  <si>
    <t>AMERELLI MIRTA SUSANA</t>
  </si>
  <si>
    <t>AMERICAN EXPRESS ARG SA</t>
  </si>
  <si>
    <t>EXTRACTO</t>
  </si>
  <si>
    <t xml:space="preserve">AMERICO PIANELLI </t>
  </si>
  <si>
    <t>AMOROS, MONICA DELIA</t>
  </si>
  <si>
    <t>Amparo Salud S.R.L.</t>
  </si>
  <si>
    <t>SERVICIOS DE INTERNET</t>
  </si>
  <si>
    <t>ANA NOGA</t>
  </si>
  <si>
    <t>Andrade Mesquita Jose</t>
  </si>
  <si>
    <t>ANDREES PAPAZIAN Y A.PAPAZIAN SH</t>
  </si>
  <si>
    <t>INSUMOS</t>
  </si>
  <si>
    <t>ANDRES RAMON GALEANO</t>
  </si>
  <si>
    <t>Angelini, Maria Concepcion</t>
  </si>
  <si>
    <t xml:space="preserve">ANITA ZULMA PACHECO </t>
  </si>
  <si>
    <t>Apresa Asistencia Y Prestaciones De Salud Sa</t>
  </si>
  <si>
    <t>AQUINO EDUARDO Y RODRIGUEZ FRANCISCO SOCIEDAD DE HECHO</t>
  </si>
  <si>
    <t xml:space="preserve">ARANA, MARCELLA OFELIA </t>
  </si>
  <si>
    <t>ARCE BARBARA NOEMI</t>
  </si>
  <si>
    <t>ARCUSIN BERTA</t>
  </si>
  <si>
    <t>ARGENDIVE S.R.L.</t>
  </si>
  <si>
    <t>Arraztoa, Lili Perla</t>
  </si>
  <si>
    <t>ARRIGO RAUL AGUSTIN</t>
  </si>
  <si>
    <t>Arroyo Sosa Sandra Rocio</t>
  </si>
  <si>
    <t>ARTYLUZ SRL</t>
  </si>
  <si>
    <t>Asoc. Mutual Personal Bco. Pcia de Rio Negro</t>
  </si>
  <si>
    <t>ASOCIACION DE OBRAS SOCIALES DE TRELEW</t>
  </si>
  <si>
    <t>Asociacion Empleados Del Ipross Asempi</t>
  </si>
  <si>
    <t>ASOCIACION MUTUAL SANCOR SALUD</t>
  </si>
  <si>
    <t>30-59035479-8</t>
  </si>
  <si>
    <t>SALUD</t>
  </si>
  <si>
    <t>ASTRO DE ARGENTINA S.A.</t>
  </si>
  <si>
    <t>30-69097351-7</t>
  </si>
  <si>
    <t>ATENCION AMBULATORIA S.A.</t>
  </si>
  <si>
    <t>Atencion Ambulatoria Sa</t>
  </si>
  <si>
    <t>ATHAND S.R.L.</t>
  </si>
  <si>
    <t>ATLANTICO AZUL SA</t>
  </si>
  <si>
    <t>AUTOMATIZACIONES D R G S A</t>
  </si>
  <si>
    <t>Autonavi Srl</t>
  </si>
  <si>
    <t>PEAJE</t>
  </si>
  <si>
    <t>AUTOPISTAS DE BUENOS AIRES (AUBASA) SA</t>
  </si>
  <si>
    <t>Autopista</t>
  </si>
  <si>
    <t> 30607371799</t>
  </si>
  <si>
    <t>AVILA MURIEL AYELEN MILAGROS</t>
  </si>
  <si>
    <t>AYALA MAURICIO JUAN JOSE</t>
  </si>
  <si>
    <t>Ayarragaray Maria Marta</t>
  </si>
  <si>
    <t>AYUDAS TECNICAS SRL</t>
  </si>
  <si>
    <t>AYZAGUER FRANCISCO</t>
  </si>
  <si>
    <t>AZIBI SA</t>
  </si>
  <si>
    <t>AZINTER S.A.</t>
  </si>
  <si>
    <t>Badano Maria Gabriela</t>
  </si>
  <si>
    <t xml:space="preserve">Badeni Mariana Elena </t>
  </si>
  <si>
    <t>Badmadjian Roberto Carlos</t>
  </si>
  <si>
    <t>BAEZ, LUIS ATILIO</t>
  </si>
  <si>
    <t>BAIRES CARTELES SA</t>
  </si>
  <si>
    <t>BAIRES ROCKS SRL</t>
  </si>
  <si>
    <t>Balague Macarena Sol</t>
  </si>
  <si>
    <t>Balbuena Enzo</t>
  </si>
  <si>
    <t>Baldo Ruben Oscar</t>
  </si>
  <si>
    <t>BALIZANO, AUGUSTO EUGENIO</t>
  </si>
  <si>
    <t>BANCO ALICIA SRL</t>
  </si>
  <si>
    <t>BANCO CREDICOOP COOPERATIVO LTDO</t>
  </si>
  <si>
    <t xml:space="preserve">BANCO PATAGONIA SOCIEDAD ANONIMA </t>
  </si>
  <si>
    <t>BARBARO SOCIEDAD COLECTIVA</t>
  </si>
  <si>
    <t>BARQUIN MARIA ANTONIA</t>
  </si>
  <si>
    <t xml:space="preserve">BARREDA JORGE OSVALDO </t>
  </si>
  <si>
    <t>Barrera, Ricardo Dario</t>
  </si>
  <si>
    <t>BARROCA, BARBARA BELEN</t>
  </si>
  <si>
    <t>BASTIDAS XIOMARA</t>
  </si>
  <si>
    <t>BEATRIZ STICCO</t>
  </si>
  <si>
    <t>BEATRIZ WARRAND</t>
  </si>
  <si>
    <t>BELIZAN, RENE</t>
  </si>
  <si>
    <t>BELLA RODOLFO GUSTAVO</t>
  </si>
  <si>
    <t>BELLAVIA EDUARDO ENRIQUE</t>
  </si>
  <si>
    <t>gastos varios</t>
  </si>
  <si>
    <t>BELLAVIGNA, CLAUDIO ERNESTO</t>
  </si>
  <si>
    <t>BELTRAMONE, JOVITA</t>
  </si>
  <si>
    <t>BELTRAN ALEJANDRA</t>
  </si>
  <si>
    <t xml:space="preserve">BENITEZ JUAN JOSE </t>
  </si>
  <si>
    <t>BENNUN FERNANDO RUBEN</t>
  </si>
  <si>
    <t>BERENSTEIN DANIEL ADRIAN</t>
  </si>
  <si>
    <t>BEZEM, ANA CLARA</t>
  </si>
  <si>
    <t>BIALECKI SARA</t>
  </si>
  <si>
    <t>BIGBOX S.A.</t>
  </si>
  <si>
    <t>BILLALO GABRIEL</t>
  </si>
  <si>
    <t>BIODINAMICA ASIST E INSUMOS</t>
  </si>
  <si>
    <t>BIOMAX INSUMOS MEDICOS SA</t>
  </si>
  <si>
    <t xml:space="preserve">BLANCO MIRIAN SUSANA </t>
  </si>
  <si>
    <t>Blasco Mariano Luis</t>
  </si>
  <si>
    <t>Blotto Silvana</t>
  </si>
  <si>
    <t>BOERIS ELENA Vizcaino  DE</t>
  </si>
  <si>
    <t>Bohorquez Vivas, Sandra Janneth</t>
  </si>
  <si>
    <t>Bonaventura Teresa Antonia Elisa</t>
  </si>
  <si>
    <t xml:space="preserve">BOND FERANDO </t>
  </si>
  <si>
    <t>BORGARO PATRICIA ANALIA</t>
  </si>
  <si>
    <t>Bortnik Rosa</t>
  </si>
  <si>
    <t xml:space="preserve">BOSSERO, MARIA CRISTINA </t>
  </si>
  <si>
    <t>Bossi, Silvia Felisa</t>
  </si>
  <si>
    <t>BOTAFRIA BRASERIE SRL</t>
  </si>
  <si>
    <t>BOTINDARI JUAN CARLOS</t>
  </si>
  <si>
    <t>HONORARIOS</t>
  </si>
  <si>
    <t>Bottoni Marta</t>
  </si>
  <si>
    <t>BOUREAU QUALITAS SRL</t>
  </si>
  <si>
    <t>BOUZA, HEBE LIA L.DE</t>
  </si>
  <si>
    <t>Bouza, Raul Rodolfo</t>
  </si>
  <si>
    <t>Bover Amalia Marina</t>
  </si>
  <si>
    <t>BRACHETTA SEBASTIAN NICOLAS</t>
  </si>
  <si>
    <t>Bravo Marta Viviana</t>
  </si>
  <si>
    <t>Brescia Zavala Carla Mercedes</t>
  </si>
  <si>
    <t>BRIÑON DANIELA</t>
  </si>
  <si>
    <t>BRITEZ ORTIZ MARIA LUISA</t>
  </si>
  <si>
    <t>BRITOS, MAURO EMANUEL</t>
  </si>
  <si>
    <t>Brittan Jorge Pascual</t>
  </si>
  <si>
    <t>BUCCIERI AGUSTIN DARIO</t>
  </si>
  <si>
    <t>BULDAIN CECILIA</t>
  </si>
  <si>
    <t>BULLA MARIA DELIA</t>
  </si>
  <si>
    <t>CABRERA SCALLY MARIA INES</t>
  </si>
  <si>
    <t>CABRERA, ALDO RENE</t>
  </si>
  <si>
    <t>Caceres Gabriela Laura</t>
  </si>
  <si>
    <t>CAIME PEREYRA LEONEL ELIAS</t>
  </si>
  <si>
    <t xml:space="preserve">CALZADA VICTOR HUGO </t>
  </si>
  <si>
    <t xml:space="preserve">CAMACHO MELINA </t>
  </si>
  <si>
    <t>CAMPO, VALERIA  ROXANA</t>
  </si>
  <si>
    <t xml:space="preserve">CAMPOS JUANA </t>
  </si>
  <si>
    <t>CANCINO PAMELA RITA</t>
  </si>
  <si>
    <t>CANEO JUAN</t>
  </si>
  <si>
    <t>CANOSA MARIA CRISTINA</t>
  </si>
  <si>
    <t>CAPORASO ANTONIO JOSE</t>
  </si>
  <si>
    <t>Capriotti, Maria Alejandra</t>
  </si>
  <si>
    <t>Carames Jorge</t>
  </si>
  <si>
    <t>CARAMES, PATRICIO HERNAN</t>
  </si>
  <si>
    <t>CARBONELLI VERACRUZ MAGALI</t>
  </si>
  <si>
    <t>CARDEMIL RAFAEL ALFREDO</t>
  </si>
  <si>
    <t>CARDONE CARMEN CRISTINA</t>
  </si>
  <si>
    <t>Cardozo Rodrigo</t>
  </si>
  <si>
    <t>Caretta Carlos Alberto</t>
  </si>
  <si>
    <t>CARFLEX SRL</t>
  </si>
  <si>
    <t>Carina Serra</t>
  </si>
  <si>
    <t xml:space="preserve">CARLUZZO JOSE </t>
  </si>
  <si>
    <t>CARON MARIA FERNANDA</t>
  </si>
  <si>
    <t>CARUSO ANALIA</t>
  </si>
  <si>
    <t>CARUSO LUCIA</t>
  </si>
  <si>
    <t>CARUSO NICOLAS JOEL</t>
  </si>
  <si>
    <t>CASA ABE SA</t>
  </si>
  <si>
    <t>CASA SUEDY SA</t>
  </si>
  <si>
    <t>Casella Antonieta</t>
  </si>
  <si>
    <t>CASTAÑO, DANIEL MARTIN</t>
  </si>
  <si>
    <t>Castillo Angela Rosario</t>
  </si>
  <si>
    <t xml:space="preserve">Casto Roberto Ruiz </t>
  </si>
  <si>
    <t>CASTRO MARIA SEGUNDA</t>
  </si>
  <si>
    <t>CASTRO TORNERIA SRL</t>
  </si>
  <si>
    <t>CASTRO, CARLOS DANIEL</t>
  </si>
  <si>
    <t>CASTROMAN JUAN ALBERTO</t>
  </si>
  <si>
    <t>Ceballos Silvia</t>
  </si>
  <si>
    <t>CEDRO, JUAN MANUEL</t>
  </si>
  <si>
    <t>CELLAI, SILVIA ANDREA</t>
  </si>
  <si>
    <t>Ceramicas Argentinas Publicitarias Sa</t>
  </si>
  <si>
    <t>CEREALES DON NINO SA</t>
  </si>
  <si>
    <t>Cerrajeros Srl</t>
  </si>
  <si>
    <t>Cerrutti Ceferino Carlos</t>
  </si>
  <si>
    <t>CERVIÑO, OSCAR ALBERTO</t>
  </si>
  <si>
    <t>ALQUILER LOCAL</t>
  </si>
  <si>
    <t>CHAMOSA JOSE MARIA</t>
  </si>
  <si>
    <t>CHAVEZ LINA</t>
  </si>
  <si>
    <t>CHAVEZ RIZZITANO GABRIELA MARCELA</t>
  </si>
  <si>
    <t>Chiarenza Lenardo MARTIN</t>
  </si>
  <si>
    <t>Chiari Maria Enriqueta del Socorro</t>
  </si>
  <si>
    <t>CHIOCCHIO, MAXIMILIANO</t>
  </si>
  <si>
    <t>Chirino Jose</t>
  </si>
  <si>
    <t>CHITCHIAN SA</t>
  </si>
  <si>
    <t>CHMOIS MARCELO ALEJANDRO</t>
  </si>
  <si>
    <t>CHUN ZEBALLOS JOSE</t>
  </si>
  <si>
    <t>Ciacera Juan Jose</t>
  </si>
  <si>
    <t>Ciccarossi Cecilia Ines</t>
  </si>
  <si>
    <t>CICERCHIA, CARLA</t>
  </si>
  <si>
    <t>CIERRER, ABROJO &amp; HERRAJES SRL</t>
  </si>
  <si>
    <t>Cinicola, Pascual Alfonso</t>
  </si>
  <si>
    <t>Cirisan Maria Adela</t>
  </si>
  <si>
    <t>CLAUDIA GRACIELA VINAGRE</t>
  </si>
  <si>
    <t>CLAUDIA LARICCHIUTA</t>
  </si>
  <si>
    <t>COBELAS Juan Roberto</t>
  </si>
  <si>
    <t>Colaizzo Maria Laura</t>
  </si>
  <si>
    <t>Collazo Beatriz Josefa</t>
  </si>
  <si>
    <t>COLLAZO MAURO GABRIEL</t>
  </si>
  <si>
    <t>COLLET SUSANA</t>
  </si>
  <si>
    <t>COLMAN LIDIA FLORENCIA</t>
  </si>
  <si>
    <t>COMPLEJO TALA DEL MONTE SA</t>
  </si>
  <si>
    <t>CONGRESO INSUMOS SA</t>
  </si>
  <si>
    <t>CONSORCIO BARTOLME MITRE 2466</t>
  </si>
  <si>
    <t>CONTI FERNANDO MARCELO</t>
  </si>
  <si>
    <t>CONTROL TECNICO DE VEH. SA</t>
  </si>
  <si>
    <t>Control Y Acceso S.R.L.</t>
  </si>
  <si>
    <t>COORDINACION ECOLOGICA AREA METROPOLITANA SOCIEDAD DEL ESTADO</t>
  </si>
  <si>
    <t>Corniolo, Juan Javier</t>
  </si>
  <si>
    <t>CORONEL DAMIAN PABLO</t>
  </si>
  <si>
    <t>CORRAO HECTOR RUBEN</t>
  </si>
  <si>
    <t>CORREDORES VIALES SOCIEDAD ANONIMA</t>
  </si>
  <si>
    <t>CORRENTI, RICARDO FRANCISCO</t>
  </si>
  <si>
    <t>CORREO ANDREANI SA</t>
  </si>
  <si>
    <t>VARIOS</t>
  </si>
  <si>
    <t>CORREO OFICIAL DE LA REPUBLICA ARGENTINA SOCIEDAD ANONIMA</t>
  </si>
  <si>
    <t>CORRIENTES 3002 SRL</t>
  </si>
  <si>
    <t>CATERING - COMIDA</t>
  </si>
  <si>
    <t>Corte Suprema De Justicia Obra Social Del Poder Judicial</t>
  </si>
  <si>
    <t>CORTES Julio Cesar</t>
  </si>
  <si>
    <t>CPS COMUNICACIONES SA</t>
  </si>
  <si>
    <t>SERVICIO DE TELEFONIA</t>
  </si>
  <si>
    <t>Creciendo Juntos S.A.</t>
  </si>
  <si>
    <t>CRISTELLA JUAN CARLOS</t>
  </si>
  <si>
    <t>CRISTIAN GOLDENHORN</t>
  </si>
  <si>
    <t xml:space="preserve">CRUZ PATAGONICA S.R.L. </t>
  </si>
  <si>
    <t>Cyref</t>
  </si>
  <si>
    <t>D &amp; R MEDICAL DEPOT SOCIEDAD ANONIMA</t>
  </si>
  <si>
    <t xml:space="preserve">DA SILVA OLIVEIRA MARIA DAS GRACIAS </t>
  </si>
  <si>
    <t>DAHL ROCHA CLARA</t>
  </si>
  <si>
    <t>DANDREIZ MARIA BELEN</t>
  </si>
  <si>
    <t>DANIEL ARMANDO GORONDO</t>
  </si>
  <si>
    <t>DANIEL BERON</t>
  </si>
  <si>
    <t>DANIEL YAGI</t>
  </si>
  <si>
    <t>Daniela Etulain</t>
  </si>
  <si>
    <t xml:space="preserve">DAP WORLD </t>
  </si>
  <si>
    <t>DATI MODERNELL JOSE LUIS</t>
  </si>
  <si>
    <t>Davico Hernán Carlos</t>
  </si>
  <si>
    <t>Dccion. Adm. De La Subs. De Salud Pcia. De Neuquen</t>
  </si>
  <si>
    <t>DDV SRL</t>
  </si>
  <si>
    <t>De la Torre Carina</t>
  </si>
  <si>
    <t>DE LAS CARRERAS ALFREDO ALBERTO MANUEL</t>
  </si>
  <si>
    <t>De Matteis Karina</t>
  </si>
  <si>
    <t>DE OFFICE SRL</t>
  </si>
  <si>
    <t>De Ruggiero, Beatriz</t>
  </si>
  <si>
    <t>DEL GESSO FRANCO JESUS</t>
  </si>
  <si>
    <t>DEL MARMOL, MABEL ELSA</t>
  </si>
  <si>
    <t>DEL VECCHIO JUAN JOSE</t>
  </si>
  <si>
    <t>DELICIAS MITRE</t>
  </si>
  <si>
    <t>Dell Orto Silvia Cristina</t>
  </si>
  <si>
    <t>DEMARIA AUGUSTO CARLOS</t>
  </si>
  <si>
    <t>DEMARO, NOEMI</t>
  </si>
  <si>
    <t>DENEGRI EVANGELINA SOLEDAD</t>
  </si>
  <si>
    <t>Desalvo Miguel Angel</t>
  </si>
  <si>
    <t>DESPEGAR.COM.AR SA</t>
  </si>
  <si>
    <t>DEVOTO ALBERTO ANGEL</t>
  </si>
  <si>
    <t>DI FEO HORACIO</t>
  </si>
  <si>
    <t>DI FEO HUGO PASCUAL GUILLERMO</t>
  </si>
  <si>
    <t>DI FIORE VLADIMIR SEBASTIAN</t>
  </si>
  <si>
    <t>Di Virgilio Carina Lucia</t>
  </si>
  <si>
    <t>Diaz Colodrero Maria Isabel</t>
  </si>
  <si>
    <t>Diaz de Wilson Angelica</t>
  </si>
  <si>
    <t>DIAZ ESTECHE CYNTHIA MARIA</t>
  </si>
  <si>
    <t>DIAZ JORGE ALBERTO</t>
  </si>
  <si>
    <t>DIAZ MARIA DOLORES</t>
  </si>
  <si>
    <t>DIEGO MARTIN RIOS</t>
  </si>
  <si>
    <t>DINAMO SRL</t>
  </si>
  <si>
    <t>DIRECCION NACIONAL DEL SERVICIO PENITENCIARIO FEDERAL</t>
  </si>
  <si>
    <t>Disanto Orfilia Estela</t>
  </si>
  <si>
    <t>DISTRIBUIDORA LARREA SA</t>
  </si>
  <si>
    <t>DJEREDJIAN DINO</t>
  </si>
  <si>
    <t>Dobisky Aida</t>
  </si>
  <si>
    <t>Dora Rizzutto</t>
  </si>
  <si>
    <t>Dorligh Lorena</t>
  </si>
  <si>
    <t>DORREMOCEA SUSANA</t>
  </si>
  <si>
    <t>DORTONA, RUBEN FERNANDO</t>
  </si>
  <si>
    <t>DRUETTA ANDREA MARIEL</t>
  </si>
  <si>
    <t>TECNICO</t>
  </si>
  <si>
    <t>DUARTE FABIAN RODOLFO</t>
  </si>
  <si>
    <t>DUBRETIC/PABLO A</t>
  </si>
  <si>
    <t>DUECK, LETICIA</t>
  </si>
  <si>
    <t>E.ALVAREZ Y HERNES G SH</t>
  </si>
  <si>
    <t>Edb Logistica</t>
  </si>
  <si>
    <t>Edgardo Betraki Obeid</t>
  </si>
  <si>
    <t>EDUARDO ALBERTO SAMEL</t>
  </si>
  <si>
    <t>EDUARDO EXEQUIEL ESSAYAG</t>
  </si>
  <si>
    <t>EDUARDO FRANCISCO NARDOMARINO</t>
  </si>
  <si>
    <t>Eduardo Garcia Bosch</t>
  </si>
  <si>
    <t>Eduardo Pereda y Hnas. Agropecuaria Sociedad Anónima</t>
  </si>
  <si>
    <t>El Centro De Microondas S.A</t>
  </si>
  <si>
    <t>EL JUMILIANO SA</t>
  </si>
  <si>
    <t>EL RINCON DE PIEDRA D.. SRL</t>
  </si>
  <si>
    <t>ELECTRICIDAD AREV S R L</t>
  </si>
  <si>
    <t>ELENORA PELIZA</t>
  </si>
  <si>
    <t>ELIDA MABEL CASTELLI</t>
  </si>
  <si>
    <t>EMILSE ROMEO</t>
  </si>
  <si>
    <t>Gtos Sistemas</t>
  </si>
  <si>
    <t>ENCINA AVELINO</t>
  </si>
  <si>
    <t>ENRIQUE LUIS SAGGESE</t>
  </si>
  <si>
    <t>ENRIQUE MARTIN ROSSI SA</t>
  </si>
  <si>
    <t>ENRIQUETA MARIA DEL SOCORRO MAJO</t>
  </si>
  <si>
    <t>Ensalud S.A</t>
  </si>
  <si>
    <t>30-70711845-4</t>
  </si>
  <si>
    <t>ENSALUD SA</t>
  </si>
  <si>
    <t>Eremita Dora</t>
  </si>
  <si>
    <t>ERLICH DANIEL</t>
  </si>
  <si>
    <t>ERNESTO SCARONE</t>
  </si>
  <si>
    <t>EROLES RUBEN</t>
  </si>
  <si>
    <t>Errasquin, Ana Maria</t>
  </si>
  <si>
    <t>Escudero, Armando Rodolfo</t>
  </si>
  <si>
    <t xml:space="preserve">ESELEVSKY GRINBERG BERTA </t>
  </si>
  <si>
    <t>ESPAÑA MARQUEZ, MONICA</t>
  </si>
  <si>
    <t>SERVICIO</t>
  </si>
  <si>
    <t>ESPINOLA LORENA</t>
  </si>
  <si>
    <t>ESTACION DE SERVICIO</t>
  </si>
  <si>
    <t>ESTACION DE SERVICIO ALC SRL</t>
  </si>
  <si>
    <t>ESTACION LIMA SA</t>
  </si>
  <si>
    <t>ETHEL CARMEN REY DE MARSENGO</t>
  </si>
  <si>
    <t>EXPOJARDIN CANNING SRL</t>
  </si>
  <si>
    <t>EXPRESO BISONTE S R L</t>
  </si>
  <si>
    <t>Eyesun Srl</t>
  </si>
  <si>
    <t>F&amp;F Color S.R.L.</t>
  </si>
  <si>
    <t>FABORT SRL</t>
  </si>
  <si>
    <t>Falbo Maria Luz</t>
  </si>
  <si>
    <t>Falco Matilde Teresa</t>
  </si>
  <si>
    <t>FALK SZEVA CYPA</t>
  </si>
  <si>
    <t>FARIÑA, SILVIA GRACIELA</t>
  </si>
  <si>
    <t>FARMACITY SA</t>
  </si>
  <si>
    <t>FEDAGAS SA</t>
  </si>
  <si>
    <t>FEDERACION ARG. DE EMPLEADOS DE COMERCIO</t>
  </si>
  <si>
    <t>FEDERICO PABLO FEOLA</t>
  </si>
  <si>
    <t>FELGUEROSO, CAMILA</t>
  </si>
  <si>
    <t>FERNANDEZ ALLENDE MERCEDES JAZMIN</t>
  </si>
  <si>
    <t>Fernandez Barbara</t>
  </si>
  <si>
    <t>FERNANDEZ CRISTIAN</t>
  </si>
  <si>
    <t>FERNANDEZ FLORENCIA SOL</t>
  </si>
  <si>
    <t>Fernandez Gabriela Veronica</t>
  </si>
  <si>
    <t>Fernandez Juana Maria</t>
  </si>
  <si>
    <t>Fernandez Manuela</t>
  </si>
  <si>
    <t>FERNANDEZ MAURO</t>
  </si>
  <si>
    <t>fernandez Vera, Juan Manuel</t>
  </si>
  <si>
    <t>Fernandez, Guillermo Julio</t>
  </si>
  <si>
    <t>FERNANDEZ, MICAELA DENISE</t>
  </si>
  <si>
    <t>Fernandez, Silvina Alejandra</t>
  </si>
  <si>
    <t>FERNANDO VALDEBENITO</t>
  </si>
  <si>
    <t>Ferrando Gonzalo Cesar</t>
  </si>
  <si>
    <t>FERRARO ELSA</t>
  </si>
  <si>
    <t>FERRAZIN CAROLINA ELEONORA INES</t>
  </si>
  <si>
    <t>FERRERO PEDRO JAVIER</t>
  </si>
  <si>
    <t>FERRETERIA CENTRAL SRL</t>
  </si>
  <si>
    <t>FERRETERIA INDUSTRIAL ONCE SRL</t>
  </si>
  <si>
    <t>FERREYRA, DANIEL HORACIO</t>
  </si>
  <si>
    <t>Ferro Beatriz</t>
  </si>
  <si>
    <t>FERRO, BEATRIZ ANGELA</t>
  </si>
  <si>
    <t>Feuer Daniel</t>
  </si>
  <si>
    <t>Fidel Marone Martin</t>
  </si>
  <si>
    <t>Fiorella Rispo</t>
  </si>
  <si>
    <t>FIRSTECH SA</t>
  </si>
  <si>
    <t>FERRETERIA</t>
  </si>
  <si>
    <t>FLEGO LAURA GRACIELA</t>
  </si>
  <si>
    <t>FLORENTIN, CINTIA YANINA</t>
  </si>
  <si>
    <t>FLORES FERNANDEZ, FERNANDO ANIBAL</t>
  </si>
  <si>
    <t>FLORES, MARIA ESTER</t>
  </si>
  <si>
    <t>FLUSS SA</t>
  </si>
  <si>
    <t>FONT NINE LUIS EDUARDO</t>
  </si>
  <si>
    <t>FONTANAROSA GASTON HERNAN</t>
  </si>
  <si>
    <t>FONTANELLA SILVANA GABRIELA</t>
  </si>
  <si>
    <t>Fontenla Nuñez Silvina</t>
  </si>
  <si>
    <t>FOPPIANO, ANA MARIA</t>
  </si>
  <si>
    <t>FRANCO GISELA VANESA</t>
  </si>
  <si>
    <t>FRANFELIRENU S.R.L</t>
  </si>
  <si>
    <t>Franzanti, Lia Julia</t>
  </si>
  <si>
    <t>30-71065725-0</t>
  </si>
  <si>
    <t>FRATERNA COOP DE PROVISION</t>
  </si>
  <si>
    <t>FRATERNA COOPERRATIVA DE PROVISION DE SERVICIOS LIMITADA</t>
  </si>
  <si>
    <t>SERVICIOS EMPRESARIALES</t>
  </si>
  <si>
    <t>FRICHER MARIA ALEJANDRA</t>
  </si>
  <si>
    <t>Frontaloni Oreste</t>
  </si>
  <si>
    <t>FUENTES GRACIELA BEATRIZ</t>
  </si>
  <si>
    <t>FUNDACION EMPRESARIA MADERERA</t>
  </si>
  <si>
    <t>30-70804992-8</t>
  </si>
  <si>
    <t>FUNDACION I.Q. DEL CALLAO</t>
  </si>
  <si>
    <t>Fundacion Instituto Quirurgico Del Callao</t>
  </si>
  <si>
    <t>FUNDACION UNIVERSIDAD DE SAN ANDRES</t>
  </si>
  <si>
    <t>FUNES  RICARDO JORGE</t>
  </si>
  <si>
    <t>FUNES ANTONIO</t>
  </si>
  <si>
    <t>FURLANETTO MARTIN</t>
  </si>
  <si>
    <t>FURLANETTO VICTOR</t>
  </si>
  <si>
    <t>FUSARO MARIA DEL CARMEN</t>
  </si>
  <si>
    <t>FUTURO SRL</t>
  </si>
  <si>
    <t>OTROS</t>
  </si>
  <si>
    <t>GABRIELA VANINA GALLO</t>
  </si>
  <si>
    <t>GAETE MONICA ELIZABETH</t>
  </si>
  <si>
    <t>GALE GABRIELA</t>
  </si>
  <si>
    <t>GALEANO, ANA MARIA</t>
  </si>
  <si>
    <t>GALENO ARGENTINA SA</t>
  </si>
  <si>
    <t>30-52242816-3</t>
  </si>
  <si>
    <t>GALENO ART SA</t>
  </si>
  <si>
    <t>GALENO CASTRO MELINA VALENTINA</t>
  </si>
  <si>
    <t>GALIANO MARIA LIDIA</t>
  </si>
  <si>
    <t xml:space="preserve">GALLI ANDREA NATALIA </t>
  </si>
  <si>
    <t>GALLI GRACIELA SILVIA</t>
  </si>
  <si>
    <t>GAMALECTRIC S.A.</t>
  </si>
  <si>
    <t>Gambande, Sergio Enrique</t>
  </si>
  <si>
    <t>GARBARINO SAICeI</t>
  </si>
  <si>
    <t>GARCIA BATALLAN LAUTARO</t>
  </si>
  <si>
    <t xml:space="preserve">GARCIA DARIO GABRIEL </t>
  </si>
  <si>
    <t>GARCIA FERNANDEZ, ARIEL</t>
  </si>
  <si>
    <t>Garcia Heber Dante</t>
  </si>
  <si>
    <t xml:space="preserve">GARCIA MARIA FLORENCIA </t>
  </si>
  <si>
    <t>GARCIA MONICA CRISTINA</t>
  </si>
  <si>
    <t>García, Rosa Martes</t>
  </si>
  <si>
    <t>Garracino Mariana</t>
  </si>
  <si>
    <t>GASPAR BERNARDI E HIJOS SA</t>
  </si>
  <si>
    <t>Gaston Garcia</t>
  </si>
  <si>
    <t>GEN SRL</t>
  </si>
  <si>
    <t>GENDARMERIA NACIONAL</t>
  </si>
  <si>
    <t>Gerardi Rodolfo Ruben</t>
  </si>
  <si>
    <t>Gerardo Juan Carlos</t>
  </si>
  <si>
    <t>Gil Julio</t>
  </si>
  <si>
    <t>GIMENEZ SONIA GLADYS</t>
  </si>
  <si>
    <t>GIMENEZ, ALDO EUDORO</t>
  </si>
  <si>
    <t>GITMED INSUMOS MEDICOS SRL</t>
  </si>
  <si>
    <t>GIULIETTI LUIS ALBERTO</t>
  </si>
  <si>
    <t>GLOBAL BUSINESS SRL</t>
  </si>
  <si>
    <t>GLORIA BEATRIZ MORENO RICCO</t>
  </si>
  <si>
    <t>Gomez Cesar Luis</t>
  </si>
  <si>
    <t>GOMEZ HECTOR EDUARDO</t>
  </si>
  <si>
    <t>gastos Varios</t>
  </si>
  <si>
    <t>GOMEZ, MARIA ESTER</t>
  </si>
  <si>
    <t>GONZALEZ ALFREDO SEBASTIAN</t>
  </si>
  <si>
    <t>GONZALEZ CARLOS RAUL</t>
  </si>
  <si>
    <t>Gonzalez Dorila</t>
  </si>
  <si>
    <t>Gonzalez Gaydou Mateo</t>
  </si>
  <si>
    <t>Gonzalez Jose Alberto</t>
  </si>
  <si>
    <t>Gonzalez Julia Elena</t>
  </si>
  <si>
    <t xml:space="preserve">GONZALEZ LAURA BEATRIZ </t>
  </si>
  <si>
    <t>Gonzalez Paula Alejandra</t>
  </si>
  <si>
    <t>GONZALEZ SAGASETA GABRIEL</t>
  </si>
  <si>
    <t>GONZALEZ SIBIARDO OSCAR Y VM</t>
  </si>
  <si>
    <t>Gonzalez Silvia</t>
  </si>
  <si>
    <t>GONZALEZ, PAULA ALEJANDRA</t>
  </si>
  <si>
    <t>Gourovich Gabriel</t>
  </si>
  <si>
    <t xml:space="preserve">GOWLAND, RAFAEL </t>
  </si>
  <si>
    <t>GRACIA, EMANUEL FELIPE</t>
  </si>
  <si>
    <t>GRACIELA BERNUNZIO</t>
  </si>
  <si>
    <t>GRACIELA NORMA GUIET</t>
  </si>
  <si>
    <t>GRAFF NATALY GISELLE</t>
  </si>
  <si>
    <t>GRAHAM LUIS</t>
  </si>
  <si>
    <t>GRAN VIEW SRL</t>
  </si>
  <si>
    <t>Grandi Vera</t>
  </si>
  <si>
    <t>Grau Baena, Guadalupe</t>
  </si>
  <si>
    <t>Green Ventura Miguel</t>
  </si>
  <si>
    <t>GRIDEL WALTER DIEGO</t>
  </si>
  <si>
    <t>Groppa Sara</t>
  </si>
  <si>
    <t>GRUPO NORTE SRL</t>
  </si>
  <si>
    <t>GRUPO RBM SRL</t>
  </si>
  <si>
    <t>GUALDONI, MARIA DEL PILAR PATRICIA</t>
  </si>
  <si>
    <t>GUARDIOLA, RUBEN OSCAR</t>
  </si>
  <si>
    <t>GUAYMAS, TIBURCIO HERNAN</t>
  </si>
  <si>
    <t>GUELLER Isidoro</t>
  </si>
  <si>
    <t>GUILLAN SANDRA SILVIA</t>
  </si>
  <si>
    <t>GUIMARANS, MIRTA LUISA</t>
  </si>
  <si>
    <t>GUSTAVO ANTONIO CANO AVILA</t>
  </si>
  <si>
    <t>GUTIERREZ MARTINA</t>
  </si>
  <si>
    <t>GUZMAN VALENTINA ABRIL</t>
  </si>
  <si>
    <t>HABLENDEAUNO S.A</t>
  </si>
  <si>
    <t xml:space="preserve">CONSULTORIA </t>
  </si>
  <si>
    <t>Hansen Wilhelm Gabriel Alejandro</t>
  </si>
  <si>
    <t>HASSON, RAFAEL ALFREDO</t>
  </si>
  <si>
    <t>HAYDEE DE ROSSI</t>
  </si>
  <si>
    <t>HAYDEE ELVIRA VIVA</t>
  </si>
  <si>
    <t>HAYDEE PIZZONI</t>
  </si>
  <si>
    <t>30-71053801-4</t>
  </si>
  <si>
    <t>HC HOMECARE INT DOM SA</t>
  </si>
  <si>
    <t>Hc Homecare Internacion Domiciliaria S.A.</t>
  </si>
  <si>
    <t>HEREDIA CARLOS ALBERTO</t>
  </si>
  <si>
    <t>HERLICZCK MARIA</t>
  </si>
  <si>
    <t>Herman Patrica</t>
  </si>
  <si>
    <t>HERMIDA ADRIANA MARCELA</t>
  </si>
  <si>
    <t>Hernandez Martin</t>
  </si>
  <si>
    <t>HERNANDEZ RIVERO ADRIAN</t>
  </si>
  <si>
    <t>HERRERA CORINA</t>
  </si>
  <si>
    <t>HERRERA GUILLERMO SEBASTIAN</t>
  </si>
  <si>
    <t>HERRERA ROSARIO AZUCENA</t>
  </si>
  <si>
    <t>HERRERA SERGIO DANIEL ALBERTO</t>
  </si>
  <si>
    <t>HERRERO CHRISTIAN GUSTAVO</t>
  </si>
  <si>
    <t xml:space="preserve">HIGA MARCELA SANDRA </t>
  </si>
  <si>
    <t>HINCK SA</t>
  </si>
  <si>
    <t>HIPER ON LINE SRL</t>
  </si>
  <si>
    <t>HUBERMAN, GUILLERMO</t>
  </si>
  <si>
    <t>HUMMEL ESTELA INES</t>
  </si>
  <si>
    <t>IALLONARDO SERGIO</t>
  </si>
  <si>
    <t>IBARRA ALFREDO CEFERINO</t>
  </si>
  <si>
    <t>Iglesia Evangelica Luterana Unida</t>
  </si>
  <si>
    <t>IGLESIAS GRACIELA MATILDE</t>
  </si>
  <si>
    <t>IGOL YANINA MARA</t>
  </si>
  <si>
    <t>ILLANES, VIVIANA ELIZABETH</t>
  </si>
  <si>
    <t>IMPIERI, PIÑEIIRO, R  Y A SA</t>
  </si>
  <si>
    <t>INC SA</t>
  </si>
  <si>
    <t>INCAT SRL</t>
  </si>
  <si>
    <t>INNBYTE SA</t>
  </si>
  <si>
    <t>Inojosa Ruben Daniel</t>
  </si>
  <si>
    <t>INST. CARDIOVASCULAR BSAS SA</t>
  </si>
  <si>
    <t>INSTALACIONES COMERCIALES TISERA S.A.</t>
  </si>
  <si>
    <t>INSTITUTO SUDAMERICANO PARA LA ENSEÑANZA DE LA COMUNICACIÓN</t>
  </si>
  <si>
    <t>INTENSE LIFE S.A.</t>
  </si>
  <si>
    <t>INTERMED S.R.L.</t>
  </si>
  <si>
    <t>Iovino Fabiana Marcela</t>
  </si>
  <si>
    <t>IPROSS</t>
  </si>
  <si>
    <t>IRENE DE VICENZI</t>
  </si>
  <si>
    <t xml:space="preserve">IRIARTE, DANIEL ALCIDES </t>
  </si>
  <si>
    <t>Irigoyen Virginia</t>
  </si>
  <si>
    <t>IRLA DARIO GABRIEL</t>
  </si>
  <si>
    <t>IT BROKERS S.A.</t>
  </si>
  <si>
    <t>ITALOMED PRODUCTOS SRL</t>
  </si>
  <si>
    <t>ITPROUSER SA</t>
  </si>
  <si>
    <t>ITURAN DE ARGENTINA S A</t>
  </si>
  <si>
    <t>Iturralde Ines</t>
  </si>
  <si>
    <t>IVON GEMA GOMEZ</t>
  </si>
  <si>
    <t>IZIBI S.A.</t>
  </si>
  <si>
    <t xml:space="preserve">IZZO ADRIANA </t>
  </si>
  <si>
    <t>J Y F TOYS SRL</t>
  </si>
  <si>
    <t>Jaia Mushka Iojebed Segal</t>
  </si>
  <si>
    <t>JAIME BRUSKI</t>
  </si>
  <si>
    <t>JAPAS MARIA LAURA</t>
  </si>
  <si>
    <t>JARSE SA</t>
  </si>
  <si>
    <t>JCR TRAINING SRL</t>
  </si>
  <si>
    <t>JHOANNA SAID</t>
  </si>
  <si>
    <t>Joana Cristina Caporale Navarro</t>
  </si>
  <si>
    <t>JOHANSEN/DANIEL</t>
  </si>
  <si>
    <t>Jones, Margarita Elena</t>
  </si>
  <si>
    <t xml:space="preserve">JORGE FRANCISCO  CORTEZ </t>
  </si>
  <si>
    <t>JORGE JABIER OBARRIO</t>
  </si>
  <si>
    <t>JOSE ALBERTO BERARDI</t>
  </si>
  <si>
    <t>José Antonio Ferrea</t>
  </si>
  <si>
    <t>JOSE ANTONIO MEMBRIVES</t>
  </si>
  <si>
    <t>Jose Hakim</t>
  </si>
  <si>
    <t>JOSE MIGUEL JALIFE</t>
  </si>
  <si>
    <t>JUAN PABLO MINVIELLE</t>
  </si>
  <si>
    <t>JURI NORA</t>
  </si>
  <si>
    <t>Juri, Jorge</t>
  </si>
  <si>
    <t>Kaplan Maria Ines</t>
  </si>
  <si>
    <t>KENNEL SEBASTIAN</t>
  </si>
  <si>
    <t>KIRSCHNER PAULA ELIZABETH</t>
  </si>
  <si>
    <t>KLAINER ABEL JAVIER</t>
  </si>
  <si>
    <t>KLEVETA NORMA ELIZABETH</t>
  </si>
  <si>
    <t>KNOPOFF, SUSANA HAYDEE</t>
  </si>
  <si>
    <t>KOGAN LEWIT WINSTON DANIEL</t>
  </si>
  <si>
    <t>Kozlowski Susana</t>
  </si>
  <si>
    <t>KRUGER BRUNA</t>
  </si>
  <si>
    <t>Ku, Yong Chae</t>
  </si>
  <si>
    <t>KUCZER LYDIA</t>
  </si>
  <si>
    <t>LA CASA DE LAS LIJAS</t>
  </si>
  <si>
    <t>LA CASA DEL CELULOIDE SRL</t>
  </si>
  <si>
    <t>LABORATORIOS DIRAL SRL</t>
  </si>
  <si>
    <t>LACCO MARIA FLORENCIA</t>
  </si>
  <si>
    <t>Ladron de Guevara Rodrigo</t>
  </si>
  <si>
    <t>LANDOLINO FRANK</t>
  </si>
  <si>
    <t>LANDRO FERNANDO GABRIEL</t>
  </si>
  <si>
    <t>Larichiutta Claudia</t>
  </si>
  <si>
    <t>LATI NISIM URIEL</t>
  </si>
  <si>
    <t>Lattuada Carlos</t>
  </si>
  <si>
    <t>Lavigne Juan</t>
  </si>
  <si>
    <t>Lavigne, Celestino Armando</t>
  </si>
  <si>
    <t>LED - ZEP MENSAJERIA EMPRESARIAL</t>
  </si>
  <si>
    <t>Legorburu Araoz, Jaime Alejandro</t>
  </si>
  <si>
    <t>Leon Fernanda Graciela</t>
  </si>
  <si>
    <t>LEON MILGROM Y CIA SAECEI</t>
  </si>
  <si>
    <t>LEPELLERE, MARIO</t>
  </si>
  <si>
    <t>LESCANO ANGELA TERESA</t>
  </si>
  <si>
    <t>LETICIA TERESA BARBARITA LAZARTE</t>
  </si>
  <si>
    <t>LEVY GRACIELA</t>
  </si>
  <si>
    <t>LILIANA LAGORIO</t>
  </si>
  <si>
    <t>FERREIRS LILISNS INES</t>
  </si>
  <si>
    <t>LIN FANG</t>
  </si>
  <si>
    <t>LINKEDSTORE ARGENTINA SRL</t>
  </si>
  <si>
    <t>pROVEEDOR</t>
  </si>
  <si>
    <t xml:space="preserve">LIUZZO CARMEN </t>
  </si>
  <si>
    <t xml:space="preserve">LIZARRAGA RAUL HERNESTO </t>
  </si>
  <si>
    <t>LLANES NORBERTO</t>
  </si>
  <si>
    <t>LODEIRO RODRIGUEZ JORGE ROSARIO</t>
  </si>
  <si>
    <t>LOGIN DOOR SA</t>
  </si>
  <si>
    <t>Lombardia, Javier Alejandro</t>
  </si>
  <si>
    <t>LOPEZ AMALFARA EVANGELINA</t>
  </si>
  <si>
    <t>LOPEZ AMALFARA Manuel</t>
  </si>
  <si>
    <t>LOPEZ DE CAMPOS NELIDA</t>
  </si>
  <si>
    <t xml:space="preserve">LOPEZ MANUEL </t>
  </si>
  <si>
    <t>Lopez Martin</t>
  </si>
  <si>
    <t>Lorena Pozo</t>
  </si>
  <si>
    <t>LORENZO CARLOS ALBERTO</t>
  </si>
  <si>
    <t>Lorenzo Olivia</t>
  </si>
  <si>
    <t>Loretani Norma</t>
  </si>
  <si>
    <t>Loza Maria Evangelina</t>
  </si>
  <si>
    <t xml:space="preserve">Lubary Ricardo Jose Ramon </t>
  </si>
  <si>
    <t>Lucena Jorge</t>
  </si>
  <si>
    <t xml:space="preserve">LUCERO, NOEMI BEATRIZ </t>
  </si>
  <si>
    <t>Luisa Gladis Blanco</t>
  </si>
  <si>
    <t>LUNA BONITA SRL</t>
  </si>
  <si>
    <t>Luna Mariela</t>
  </si>
  <si>
    <t>LUND ADELA</t>
  </si>
  <si>
    <t>Luz Reyero</t>
  </si>
  <si>
    <t>Mabel STECHER</t>
  </si>
  <si>
    <t>Mabel VILLA</t>
  </si>
  <si>
    <t>MACHADO ELIANA NOEMI</t>
  </si>
  <si>
    <t>TOMA DE MEDIDAS</t>
  </si>
  <si>
    <t>MADRID MARIA DEL CARMEN</t>
  </si>
  <si>
    <t>MAGALLAN SRL</t>
  </si>
  <si>
    <t>insumo</t>
  </si>
  <si>
    <t>MAGNO JUAN LEOPOLDO</t>
  </si>
  <si>
    <t xml:space="preserve">MAGYAR LADISLAO CABALLERO </t>
  </si>
  <si>
    <t>MAIDANA ANGEL EDUARDO</t>
  </si>
  <si>
    <t>MAIORANA OSCAR ALBERTO</t>
  </si>
  <si>
    <t>MAJUL ALEJANDRO</t>
  </si>
  <si>
    <t>MALDONADO LIDIA ESTELA</t>
  </si>
  <si>
    <t>Malizia Marcelo Gustavo</t>
  </si>
  <si>
    <t>Mammana Mario Prospero</t>
  </si>
  <si>
    <t>MANGIN, BIBIANA</t>
  </si>
  <si>
    <t>Maqueira Francisco Manuel</t>
  </si>
  <si>
    <t>MAQUEIRA GUILLERMO GABRIEL</t>
  </si>
  <si>
    <t xml:space="preserve">MARCELA INSFRAN </t>
  </si>
  <si>
    <t>Marcela Monella</t>
  </si>
  <si>
    <t>MARCELO Y GUSTAVO MILMAR S.R.L.</t>
  </si>
  <si>
    <t>MARIA AGUSTINA PEREYRA</t>
  </si>
  <si>
    <t>MARIA ARIAS</t>
  </si>
  <si>
    <t>MARIA CECILIA DE MARSICO</t>
  </si>
  <si>
    <t>MARIA EUGENIA BELOSSI</t>
  </si>
  <si>
    <t>MARIA LAURA GONZALEZ ROULET</t>
  </si>
  <si>
    <t>MARIA LAUSA TESEI</t>
  </si>
  <si>
    <t>MARIA NATALIA OLIVIERI</t>
  </si>
  <si>
    <t>MARIA PETCOFF</t>
  </si>
  <si>
    <t>MARIANA MONTUELLO</t>
  </si>
  <si>
    <t>MARROCCO MARIA SILVIA</t>
  </si>
  <si>
    <t>Marsal Maria Alicia</t>
  </si>
  <si>
    <t>MARTA LESCANO</t>
  </si>
  <si>
    <t>MARTA ROSA CRISTIANSEN</t>
  </si>
  <si>
    <t>Martibez  Ivana Beatriz</t>
  </si>
  <si>
    <t>Martin Gregoria</t>
  </si>
  <si>
    <t xml:space="preserve">MARTIN LOZADA </t>
  </si>
  <si>
    <t>MARTINEZ CASTRO BARBARA DANIELA</t>
  </si>
  <si>
    <t>Martinez de Pezzoni Elida</t>
  </si>
  <si>
    <t>MARTINEZ GONZALEZ, ANA BELEN</t>
  </si>
  <si>
    <t>MARTINEZ, FELIPE ANDRES</t>
  </si>
  <si>
    <t>Martinez, Juan Augusto</t>
  </si>
  <si>
    <t>MARTINEZ, LAURA SILVINA</t>
  </si>
  <si>
    <t>MARTINEZ, NORMA ISABEL</t>
  </si>
  <si>
    <t>MARTOS JOSE CARLOS</t>
  </si>
  <si>
    <t>Masini Daniel Federico</t>
  </si>
  <si>
    <t>MASLOWSKI JOSE LUIS</t>
  </si>
  <si>
    <t>MASSARA VICTORIA</t>
  </si>
  <si>
    <t>MATHOV ENRIQUE JOSE</t>
  </si>
  <si>
    <t>MATTEAZZI DYHENART CLAUDIA</t>
  </si>
  <si>
    <t>MAVISUR SA</t>
  </si>
  <si>
    <t>MAXICONTAINER SRL</t>
  </si>
  <si>
    <t>Maya Liliana</t>
  </si>
  <si>
    <t>Maza Lorenzo Gabriel</t>
  </si>
  <si>
    <t>MEDICAL IMPROVEMENTS SRL</t>
  </si>
  <si>
    <t>MEDICUS SA</t>
  </si>
  <si>
    <t>MEDINA, MARIANA LUDMILA</t>
  </si>
  <si>
    <t>Medincare Argentina S.A.</t>
  </si>
  <si>
    <t>MEDZWECKI JACOBO ARMANDO</t>
  </si>
  <si>
    <t>MENA ORTEGA, ALEXI CRISTIAN</t>
  </si>
  <si>
    <t>MENDOZA PATRICIA CRISTINA</t>
  </si>
  <si>
    <t>Menendez Enrique</t>
  </si>
  <si>
    <t>Menteguiaga Lucia Estela</t>
  </si>
  <si>
    <t>PLATAFORMA ONLINE</t>
  </si>
  <si>
    <t>MERCADO TOTAL SAS</t>
  </si>
  <si>
    <t>MÉRIDA VARGAS, ELVIA PAMELA</t>
  </si>
  <si>
    <t>MERILLO NOEMI ESTER</t>
  </si>
  <si>
    <t>MERLO ESTEBAN JOSE</t>
  </si>
  <si>
    <t>MESA FIGUEROA DELFINA JARA</t>
  </si>
  <si>
    <t>MEYAR S.A.</t>
  </si>
  <si>
    <t>MGR IMPLANTES SA</t>
  </si>
  <si>
    <t>MIGUEL ANGEL VILLALBA</t>
  </si>
  <si>
    <t>MIRANDA LUIS ALBERTO</t>
  </si>
  <si>
    <t>Mirta Romero</t>
  </si>
  <si>
    <t>Mizrahi Emilio</t>
  </si>
  <si>
    <t>MODOLO CRISTIAN ARIEL</t>
  </si>
  <si>
    <t>MOLINA MIRTA GRACIELA</t>
  </si>
  <si>
    <t>MOLINO MARIANO GASTON</t>
  </si>
  <si>
    <t>MOLIVAUT SA</t>
  </si>
  <si>
    <t>Mollo Vicente Francisco</t>
  </si>
  <si>
    <t>Monge Sara</t>
  </si>
  <si>
    <t>MONZON BEATRIZ ESTER</t>
  </si>
  <si>
    <t>MORA NILDA BEATRIZ</t>
  </si>
  <si>
    <t>MORALES SANDRA</t>
  </si>
  <si>
    <t>Moreno, Mariana Roxana Del Jesus</t>
  </si>
  <si>
    <t>MORILLA HORACIO ALBERTO</t>
  </si>
  <si>
    <t>MORINI EMILIANO</t>
  </si>
  <si>
    <t>Moriondo, Adriana Ines</t>
  </si>
  <si>
    <t>Mosescu Esteban Andres Eduardo</t>
  </si>
  <si>
    <t>MOSQUERA ANDREA MARCELA</t>
  </si>
  <si>
    <t>Motos Air</t>
  </si>
  <si>
    <t>MOYA BACHINO Francisco</t>
  </si>
  <si>
    <t>MOYANO ADRIANA VALERIA</t>
  </si>
  <si>
    <t xml:space="preserve">MOYANO, EMILIA </t>
  </si>
  <si>
    <t>MPM GROUP SA</t>
  </si>
  <si>
    <t>MULTICREA SA</t>
  </si>
  <si>
    <t>Mulville Cynthia Alicia</t>
  </si>
  <si>
    <t xml:space="preserve">Muñoz Juan Martin </t>
  </si>
  <si>
    <t>Murua Jose Maximiliano</t>
  </si>
  <si>
    <t>MUTTIS ALEJANDRA MARCELA</t>
  </si>
  <si>
    <t>MUZIO GUILLERMO JOSE</t>
  </si>
  <si>
    <t>NADAL ROBERTO</t>
  </si>
  <si>
    <t>NADIA TARANTINO</t>
  </si>
  <si>
    <t>Nahir Berasategui</t>
  </si>
  <si>
    <t>Naiman Carlos</t>
  </si>
  <si>
    <t>Najus Anibal Ruben</t>
  </si>
  <si>
    <t>NANTARAT PEED</t>
  </si>
  <si>
    <t xml:space="preserve">NARDOMARINO EDUARDO FRANCISCO </t>
  </si>
  <si>
    <t>NARVAEZ RODRIGUEZ DAMIAN</t>
  </si>
  <si>
    <t>NARVAEZ RODRIGUEZ DAMIAN ORLANDO</t>
  </si>
  <si>
    <t>NARVAY EDUARDO HUGO</t>
  </si>
  <si>
    <t>NAVARRO CECILIA</t>
  </si>
  <si>
    <t>NAVARRO, LEANDRO DANIEL CARLOS</t>
  </si>
  <si>
    <t>NAVIA RAMON</t>
  </si>
  <si>
    <t>NELIDA ESTHER POGGIO</t>
  </si>
  <si>
    <t>Nelly Haydée Olivito</t>
  </si>
  <si>
    <t>NEMIROVSKY HECTOR</t>
  </si>
  <si>
    <t>NEPOTE LEANDRO MARTIN</t>
  </si>
  <si>
    <t>Nervi Viviana</t>
  </si>
  <si>
    <t xml:space="preserve">NESCI EMILIANO GABRIEL </t>
  </si>
  <si>
    <t>NGSHOP SRL</t>
  </si>
  <si>
    <t>NICA SA</t>
  </si>
  <si>
    <t>Nicastro Yolanda</t>
  </si>
  <si>
    <t>Nieves, Gaston</t>
  </si>
  <si>
    <t>Nobili Eduardo Jose</t>
  </si>
  <si>
    <t>NT SYSTEM WORK</t>
  </si>
  <si>
    <t>NUÑERA JARA EDGAR MOISES</t>
  </si>
  <si>
    <t>NUÑEZ FERNANDO MANUEL</t>
  </si>
  <si>
    <t>Nuñez Ricardo</t>
  </si>
  <si>
    <t>O.C.A.</t>
  </si>
  <si>
    <t>OBENAUS MARIANA ISABEL</t>
  </si>
  <si>
    <t>Obligado Maria Luz</t>
  </si>
  <si>
    <t>Obra Social De Actores</t>
  </si>
  <si>
    <t>OBRA SOCIAL DE LA ACTIVIDAD DE SEGUROS, REASEGUROS, CAPITALIZACION Y AHORRO Y PRESTAMO  PARA LA VIVIENDA</t>
  </si>
  <si>
    <t>30-50005352-2</t>
  </si>
  <si>
    <t>OBRA SOCIAL DEL PERSONAL DE LAS TELECOMUNICACIONES DE LA REP. ARGENTINA</t>
  </si>
  <si>
    <t>OBRA SOCIAL UNION PERSONAL DE LA UNION DEL PERSONAL CIVIL D</t>
  </si>
  <si>
    <t>OCAMPO, EDUARDO</t>
  </si>
  <si>
    <t xml:space="preserve">OCHOA GARCIA DORA ELENA </t>
  </si>
  <si>
    <t>OCHOA GRACIELA</t>
  </si>
  <si>
    <t>OIL A &amp; G S.R.L.</t>
  </si>
  <si>
    <t>OLGA PRATOLONGO</t>
  </si>
  <si>
    <t>OLIVA GLADYS MABEL</t>
  </si>
  <si>
    <t>OLIVEROS HECTOR</t>
  </si>
  <si>
    <t>Olstein Carlos</t>
  </si>
  <si>
    <t>Omar Quintana</t>
  </si>
  <si>
    <t>O'NEILL PUB SRL</t>
  </si>
  <si>
    <t>Comida Personal</t>
  </si>
  <si>
    <t>Onofrio Adriana Silvia</t>
  </si>
  <si>
    <t>Onsari Maria Mercedes</t>
  </si>
  <si>
    <t>OROZ ALEJANDRA EDITH</t>
  </si>
  <si>
    <t>ORQUERA JUAN RAMON</t>
  </si>
  <si>
    <t>ORTIZ CARLOS ARMANDO</t>
  </si>
  <si>
    <t>ORTOPEDIA CASA ESCALADA SRL</t>
  </si>
  <si>
    <t xml:space="preserve">ORTOPEDIA CUENCA S. R. L </t>
  </si>
  <si>
    <t>ORTOPEDICOS ALFOLATEX SA</t>
  </si>
  <si>
    <t>OSBRA SOCIAL SUPERCO</t>
  </si>
  <si>
    <t>OSCAR OCAMPOS</t>
  </si>
  <si>
    <t>OSMATA</t>
  </si>
  <si>
    <t>OSPLAD</t>
  </si>
  <si>
    <t>30-60871639-0</t>
  </si>
  <si>
    <t>OSTEL</t>
  </si>
  <si>
    <t>OSTIG</t>
  </si>
  <si>
    <t>OSUNA LUIS MIGUEL</t>
  </si>
  <si>
    <t>OTTO BOCK ARG SA</t>
  </si>
  <si>
    <t>PABLO ROBERTO MURUA POU</t>
  </si>
  <si>
    <t>PABLO URSINO</t>
  </si>
  <si>
    <t>PAEZ VALENTINO HUGO</t>
  </si>
  <si>
    <t>Palacios Morena</t>
  </si>
  <si>
    <t>Pallero, Victor Raul</t>
  </si>
  <si>
    <t>PALLINI, CRISTINA BEATRIZ</t>
  </si>
  <si>
    <t>PALLONE JORGE</t>
  </si>
  <si>
    <t>PALOMO JUAN CARLOS</t>
  </si>
  <si>
    <t>Pancotti Liliana Rosa</t>
  </si>
  <si>
    <t>PANTYMED SA</t>
  </si>
  <si>
    <t>PAOLINI, EUGENIO</t>
  </si>
  <si>
    <t>PAPARIGAPALOS ANDREA</t>
  </si>
  <si>
    <t>PAPELERA GEOPEL SRL</t>
  </si>
  <si>
    <t>librería</t>
  </si>
  <si>
    <t>PARADIS NILDA MABEL</t>
  </si>
  <si>
    <t>PAREDES GABRIEL MARIANO</t>
  </si>
  <si>
    <t>PARNA SA</t>
  </si>
  <si>
    <t>PARODI, SEBASTIAN CARLOS</t>
  </si>
  <si>
    <t>PASCUA SA</t>
  </si>
  <si>
    <t>PASCUAL MARIA VIRGINIA</t>
  </si>
  <si>
    <t>PASION DISTRIBUCIONES SRL</t>
  </si>
  <si>
    <t>REGALOS EMPRESARIALES-EVENTO</t>
  </si>
  <si>
    <t>Pasolli, Luis Alberto</t>
  </si>
  <si>
    <t>PASTOR ROSALES ROSA NOEMI</t>
  </si>
  <si>
    <t xml:space="preserve">PATIÑO NICOLAS VENTURA </t>
  </si>
  <si>
    <t>PATRICIA GONGORA</t>
  </si>
  <si>
    <t>Patron Sebastian</t>
  </si>
  <si>
    <t xml:space="preserve">PAZ EVA CLEMENTINA </t>
  </si>
  <si>
    <t>PELLEGRINO SERGIO OMAR</t>
  </si>
  <si>
    <t>Perdiguera, Jorge</t>
  </si>
  <si>
    <t>PEREDA, EDUARDO</t>
  </si>
  <si>
    <t>PEREYRA ELIZABET ANA</t>
  </si>
  <si>
    <t>Pereyra Maria Ester</t>
  </si>
  <si>
    <t>PEREYRA, ANA MARIA</t>
  </si>
  <si>
    <t>Perez Delia</t>
  </si>
  <si>
    <t>PEREZ FRANCO ADRIAN</t>
  </si>
  <si>
    <t>PERLA MATILDE ISART</t>
  </si>
  <si>
    <t>PETROCELLI EMILIO BRAULO</t>
  </si>
  <si>
    <t>PIAGGIO PAULA ANDREA</t>
  </si>
  <si>
    <t>PICOLEMAR SA</t>
  </si>
  <si>
    <t>PIERRI ALEXIS ARIEL</t>
  </si>
  <si>
    <t>PINAMAR SRL</t>
  </si>
  <si>
    <t>PINO SUB SA</t>
  </si>
  <si>
    <t>Pintos, Fernando Jose</t>
  </si>
  <si>
    <t>PIÑOL ELIZABETH ANDREA</t>
  </si>
  <si>
    <t>PIRIZ CARLA ELIZABETH</t>
  </si>
  <si>
    <t>Pirovano Pablo Horacio</t>
  </si>
  <si>
    <t>PISANO ELSA</t>
  </si>
  <si>
    <t>PISANTE ANA RUTH</t>
  </si>
  <si>
    <t>PIVA MICAELA</t>
  </si>
  <si>
    <t>TALLER</t>
  </si>
  <si>
    <t>Plotek Guillermo Hernan</t>
  </si>
  <si>
    <t xml:space="preserve">PODESTA OSCAR JUAN </t>
  </si>
  <si>
    <t>Polanco Victor</t>
  </si>
  <si>
    <t>POSNET SOCIEDAD DE RESPONSABILIDAD LIMITADA</t>
  </si>
  <si>
    <t>POTENZA LIDIA</t>
  </si>
  <si>
    <t>PRADO MARISOL</t>
  </si>
  <si>
    <t>PRESTOR SAS</t>
  </si>
  <si>
    <t>PRIETO CRISTIAN ARIEL</t>
  </si>
  <si>
    <t>PRIETO JULIO RAUL Y BJS</t>
  </si>
  <si>
    <t>PROSEGUR ACTIVA ARG SA</t>
  </si>
  <si>
    <t>ALARMA SEGURIDAD</t>
  </si>
  <si>
    <t>PROSPERI OSCAR RUBEN</t>
  </si>
  <si>
    <t>PROYECTO 665 SRL</t>
  </si>
  <si>
    <t>Pujol Alberto Joaquin</t>
  </si>
  <si>
    <t>PUJOL GRACIELA</t>
  </si>
  <si>
    <t xml:space="preserve">QUINCOCES JUANA </t>
  </si>
  <si>
    <t>QUINTANA SOLEDAD</t>
  </si>
  <si>
    <t xml:space="preserve">QUIRO MED S A C I F </t>
  </si>
  <si>
    <t>R. N. LEDESMA</t>
  </si>
  <si>
    <t>RAMBAUD DIEGO GABRIEL</t>
  </si>
  <si>
    <t>RAMIREZ DANIEL HUGO</t>
  </si>
  <si>
    <t>Ramirez Ricardo</t>
  </si>
  <si>
    <t>RAMON OSCAR FUIGUEROA</t>
  </si>
  <si>
    <t>Ramos Adriana Monica</t>
  </si>
  <si>
    <t>RAMOS ROCIO SAMANTA</t>
  </si>
  <si>
    <t>Rapetti Ada Fuente de</t>
  </si>
  <si>
    <t>RAQUEL TURAÑONA</t>
  </si>
  <si>
    <t>RAVIOLO ANGELA RITA</t>
  </si>
  <si>
    <t xml:space="preserve">REFOJO GERMAN ORLANDO </t>
  </si>
  <si>
    <t>REHAVITA SA</t>
  </si>
  <si>
    <t>RELIEF CENTER SRL</t>
  </si>
  <si>
    <t>RENT AR SRL</t>
  </si>
  <si>
    <t>Resano Manuel Antonio</t>
  </si>
  <si>
    <t>Residencia La Horqueta S A</t>
  </si>
  <si>
    <t>Reyes, Vilma Carmen</t>
  </si>
  <si>
    <t>RICCIUTI JOSEFINA</t>
  </si>
  <si>
    <t>Rios, Eduardo Adolfo</t>
  </si>
  <si>
    <t>Rivero Graciela Analia</t>
  </si>
  <si>
    <t>RIZZO HORACIO GUSTAVO</t>
  </si>
  <si>
    <t>Roberto Gustavo Cesar Hernan</t>
  </si>
  <si>
    <t>ROC CHIVILCOY TRANSP Y L SA</t>
  </si>
  <si>
    <t>ROCIMEX SRL</t>
  </si>
  <si>
    <t>RODOLFO SCHULZE</t>
  </si>
  <si>
    <t>Rodrigo Chillemi</t>
  </si>
  <si>
    <t>RODRIGUEZ ANDRES</t>
  </si>
  <si>
    <t>RODRIGUEZ Esteban Osvaldo</t>
  </si>
  <si>
    <t>RODRIGUEZ FERNANDO ARIEL</t>
  </si>
  <si>
    <t>Rodriguez Jorge</t>
  </si>
  <si>
    <t>Rodriguez Maria Elena</t>
  </si>
  <si>
    <t xml:space="preserve">RODRIGUEZ MERCEDES INES </t>
  </si>
  <si>
    <t>RODRIGUEZ VICTORIANA</t>
  </si>
  <si>
    <t>RODRIGUEZ YAMILA ANDREA</t>
  </si>
  <si>
    <t>RODRIGUEZ, HUGO A</t>
  </si>
  <si>
    <t>Rojas Hermogenes</t>
  </si>
  <si>
    <t>ROJO Y AMARILLO SRL</t>
  </si>
  <si>
    <t>Roldan Silvia</t>
  </si>
  <si>
    <t>ROMANO, CONCEPCION</t>
  </si>
  <si>
    <t>ROMERO ALEJANDRO JAVIER</t>
  </si>
  <si>
    <t>Romero Felipe</t>
  </si>
  <si>
    <t>Romero Leonardo</t>
  </si>
  <si>
    <t>Romero Miguel Ariel</t>
  </si>
  <si>
    <t>Romero Miguel Roque</t>
  </si>
  <si>
    <t>Romiglio Maximiliano</t>
  </si>
  <si>
    <t>ROMINA PAOLA ANZOR RODRIGUEZ</t>
  </si>
  <si>
    <t>ROSALEZ GUILLERMO OSVALDO</t>
  </si>
  <si>
    <t>ROSANO MAMANI JULIA</t>
  </si>
  <si>
    <t>ROSENSTEIN EDUARDO OSCAR</t>
  </si>
  <si>
    <t>Rosselli Cristian Mario</t>
  </si>
  <si>
    <t>ROSSINI HECTOR EMILIANO</t>
  </si>
  <si>
    <t>ferreteria</t>
  </si>
  <si>
    <t>Rothlisberger Raul Jesus</t>
  </si>
  <si>
    <t xml:space="preserve">RUBENBACH Adriana </t>
  </si>
  <si>
    <t>RUBENJUVE SRL</t>
  </si>
  <si>
    <t>Rubin Liba</t>
  </si>
  <si>
    <t>RUBIO BLANCA SANTA</t>
  </si>
  <si>
    <t>RUBRICOM SA</t>
  </si>
  <si>
    <t>IMPRENTA</t>
  </si>
  <si>
    <t>Ruffa Rosa</t>
  </si>
  <si>
    <t>RUIZ  ANA IRENE</t>
  </si>
  <si>
    <t>RUSCIO NORBERTO VICENTE</t>
  </si>
  <si>
    <t>SAAVEDRA SILVIA GABRIELA</t>
  </si>
  <si>
    <t>SABBAGH PABLO ALEJANDRO</t>
  </si>
  <si>
    <t>SAENZ, MAGDALENA</t>
  </si>
  <si>
    <t>SAFRANCHIK SILVIA MERCEDES</t>
  </si>
  <si>
    <t>Said Marcos</t>
  </si>
  <si>
    <t>Said, Marcos</t>
  </si>
  <si>
    <t>SALTO NICOLAS</t>
  </si>
  <si>
    <t>SALVETTI, LIDIA SARA</t>
  </si>
  <si>
    <t>Samora, Federico Pablo</t>
  </si>
  <si>
    <t>San Miguel Juan Carlos</t>
  </si>
  <si>
    <t>SAN MIGUEL Maria Marta</t>
  </si>
  <si>
    <t>SAN PEDRO ADRIANA</t>
  </si>
  <si>
    <t>SANCHEZ HILDA INES DE</t>
  </si>
  <si>
    <t>Sancovici Berta</t>
  </si>
  <si>
    <t>SANDRI RICARDO ALBERTO</t>
  </si>
  <si>
    <t>SANGUINETTI MARIA</t>
  </si>
  <si>
    <t>SANTA FE COMERCIAL S.R.L.</t>
  </si>
  <si>
    <t>Sanz Irma Edith</t>
  </si>
  <si>
    <t>SAPUNA MARIAN KARINA</t>
  </si>
  <si>
    <t>SARA MARIA LOZA</t>
  </si>
  <si>
    <t xml:space="preserve">SARA STRASBERG </t>
  </si>
  <si>
    <t>SAVINO NATALIA SILVIA</t>
  </si>
  <si>
    <t>SAVINO, ANA PATRICIA</t>
  </si>
  <si>
    <t>SAVIOLI AIDA ELSA</t>
  </si>
  <si>
    <t>SCALISE A. FALANGA C SH</t>
  </si>
  <si>
    <t>Schelgel, Luis Alberto</t>
  </si>
  <si>
    <t>Schlatter VERONICA</t>
  </si>
  <si>
    <t>SCHNEIDER OSCAR</t>
  </si>
  <si>
    <t>SCHUR ROBERTO</t>
  </si>
  <si>
    <t>Schweikofsky, Ezequiel Alejandro</t>
  </si>
  <si>
    <t>Sciemaria Javier Hernan</t>
  </si>
  <si>
    <t>SCUTARI, ALEJANDRO ANGEL</t>
  </si>
  <si>
    <t xml:space="preserve">SEDANO S R L </t>
  </si>
  <si>
    <t>SEISEME SA</t>
  </si>
  <si>
    <t>SERVICIOS DEL DESIERTO SA</t>
  </si>
  <si>
    <t>Servín Hipólita</t>
  </si>
  <si>
    <t>SERVINORTE S A</t>
  </si>
  <si>
    <t>SILVIA ANA ONOFRIO</t>
  </si>
  <si>
    <t>Silvia Claudia Geijo</t>
  </si>
  <si>
    <t>SILVIA VICTORIA ARENA</t>
  </si>
  <si>
    <t>SINDICATO DE EMPLEADOS DE COMERCIO DE PUERTO SAN JULIAN</t>
  </si>
  <si>
    <t>Socrate Edgar</t>
  </si>
  <si>
    <t>SOFIA LAURA GIL</t>
  </si>
  <si>
    <t>Solano Rivera Vicente</t>
  </si>
  <si>
    <t>SOLANS SEBASTIAN DARIO</t>
  </si>
  <si>
    <t>SOLER DANIEL A.RICARDO SH</t>
  </si>
  <si>
    <t>Solesas Tamara Agrelo</t>
  </si>
  <si>
    <t>SOLMAY SRL</t>
  </si>
  <si>
    <t>SOLUCIONES EN HERRAMIENTAS COOPERATIVA DE TRABAJO LIMITADA</t>
  </si>
  <si>
    <t>SOLUCIONES ORTOPEDICAS</t>
  </si>
  <si>
    <t>Solveyra Emilia</t>
  </si>
  <si>
    <t>SOMOS ENERGIA SA</t>
  </si>
  <si>
    <t>SORUCO, DIANA YAEL</t>
  </si>
  <si>
    <t>SOSA CRISTIAN EDGARDO</t>
  </si>
  <si>
    <t>Sosa Maria Cecilia</t>
  </si>
  <si>
    <t>Soto Andrea</t>
  </si>
  <si>
    <t>South Management S A</t>
  </si>
  <si>
    <t>SPROVIERO, SILVIA PATRICIA</t>
  </si>
  <si>
    <t>SRAGOWICH PABLO MIJAEL</t>
  </si>
  <si>
    <t>30-57779728-1</t>
  </si>
  <si>
    <t>STAHLHOFER DANIEL OMAR</t>
  </si>
  <si>
    <t>Stancato Claudia Alejandra</t>
  </si>
  <si>
    <t>Stang Maria Cristina Esmeralda</t>
  </si>
  <si>
    <t>STEEMAN Martina Ana Soledad</t>
  </si>
  <si>
    <t>Steimez Ana Noemi</t>
  </si>
  <si>
    <t>STEPANIK, PAUL FRANCISCO</t>
  </si>
  <si>
    <t>Strasberg Sara</t>
  </si>
  <si>
    <t>STUTZ VERONICA</t>
  </si>
  <si>
    <t>Suburu Monica</t>
  </si>
  <si>
    <t>Sued Sandra Edith</t>
  </si>
  <si>
    <t>SUMMER COLOR</t>
  </si>
  <si>
    <t>GTOS LIMPIEZA</t>
  </si>
  <si>
    <t>SUPERVIELLE SANTIAGO</t>
  </si>
  <si>
    <t>SUR CARBURANTES SA</t>
  </si>
  <si>
    <t>SUSANA RAQUEL BAJDACZ</t>
  </si>
  <si>
    <t>HONORARIOS LEGALES</t>
  </si>
  <si>
    <t>Swaczu Maria Cristina</t>
  </si>
  <si>
    <t>TAPIA ARENAS, VICTOR HUGO</t>
  </si>
  <si>
    <t>TASSONE BRUNO DANIEL</t>
  </si>
  <si>
    <t>TCHEICHVILI, NINO PIKRIA</t>
  </si>
  <si>
    <t>TECNIPRAX SRL</t>
  </si>
  <si>
    <t>TECNOBIOLOGY</t>
  </si>
  <si>
    <t xml:space="preserve">MASCARAS PROTECCION </t>
  </si>
  <si>
    <t>TECNORTH SA</t>
  </si>
  <si>
    <t>TELECOM ARGENTINA SA</t>
  </si>
  <si>
    <t>TELEFONICA ARG SA</t>
  </si>
  <si>
    <t>TELEFONICA MOVILES ARG SA</t>
  </si>
  <si>
    <t>TEME SARA SIRIA</t>
  </si>
  <si>
    <t>Terzet S A</t>
  </si>
  <si>
    <t>TESIR SRL</t>
  </si>
  <si>
    <t>Teubal David</t>
  </si>
  <si>
    <t>Tomafa S.R.L.</t>
  </si>
  <si>
    <t>Torregrosa Pedro</t>
  </si>
  <si>
    <t>TORRES ACOSTA ROXANA MARILLI</t>
  </si>
  <si>
    <t>TORRES MARÍA</t>
  </si>
  <si>
    <t>TRAFE SUDAMERICANA SA</t>
  </si>
  <si>
    <t>TRANSPORTES BIN PACK SA</t>
  </si>
  <si>
    <t>TRANSPORTES LA SERVILLANITA</t>
  </si>
  <si>
    <t xml:space="preserve">TRENTIN, SERGIO FABIAN </t>
  </si>
  <si>
    <t>TRIMOVE SA</t>
  </si>
  <si>
    <t>TRINIDAD INSUMOS SRL</t>
  </si>
  <si>
    <t>TRIVEÑO ROMA RAMON</t>
  </si>
  <si>
    <t>Trotti Ana</t>
  </si>
  <si>
    <t>TRUST SRL</t>
  </si>
  <si>
    <t>Tucat Roberto Gaston</t>
  </si>
  <si>
    <t>30-70798618-9</t>
  </si>
  <si>
    <t>UTEDYC</t>
  </si>
  <si>
    <t>UTHURRALT JOSE ARISTOBULO</t>
  </si>
  <si>
    <t>V&amp;G FOREIGN TRADE S.R.L.</t>
  </si>
  <si>
    <t>VAGGI JORGE AUGUSTO</t>
  </si>
  <si>
    <t>VAGGI, ROSANA</t>
  </si>
  <si>
    <t>VALDEZ, JORGE JAVIER</t>
  </si>
  <si>
    <t>VALENTI JUAN CARLOS</t>
  </si>
  <si>
    <t>VALENTINI MARCELA</t>
  </si>
  <si>
    <t>VALLE, IRMA NOEMI</t>
  </si>
  <si>
    <t>VANESA TELECHEA</t>
  </si>
  <si>
    <t>VARELA EDUARDO DANILE</t>
  </si>
  <si>
    <t>Vasquez Rivas, Cresencio</t>
  </si>
  <si>
    <t>Vazquez Daniel Martin</t>
  </si>
  <si>
    <t>VAZQUEZ MAURO GASTON</t>
  </si>
  <si>
    <t xml:space="preserve">Vecchio Francisco </t>
  </si>
  <si>
    <t>Vecchione, Edith</t>
  </si>
  <si>
    <t>Vega Ernesto</t>
  </si>
  <si>
    <t>Vela Maria Ines</t>
  </si>
  <si>
    <t>VELARDE CARLOS A</t>
  </si>
  <si>
    <t>Velazquez Rita Elva</t>
  </si>
  <si>
    <t>Veltri Adriana Mabel</t>
  </si>
  <si>
    <t>VENTIMIGLIA COTOS FLORENCIA</t>
  </si>
  <si>
    <t>VERGARA COMBUSTIBLES SRL</t>
  </si>
  <si>
    <t>VIALGA SA</t>
  </si>
  <si>
    <t>VICTOR MASSON TRANSPORTES CRUZ DEL SUR S A</t>
  </si>
  <si>
    <t>VIDAL CESAR</t>
  </si>
  <si>
    <t>Vidal Norberto</t>
  </si>
  <si>
    <t>VIENTOS ARGENTINOS SRL</t>
  </si>
  <si>
    <t>Vignati Eduardo Alberto Y Rossetti Pablo Manuel Sociedad De Hecho</t>
  </si>
  <si>
    <t>VILASECA CRISTIAN</t>
  </si>
  <si>
    <t>Villafañe Jose Carlos</t>
  </si>
  <si>
    <t>Villafañe Nelida Ana</t>
  </si>
  <si>
    <t>VILLALBA AVALOS DANTE ALBERTO</t>
  </si>
  <si>
    <t>VILLANUEVA RICARDO GABRIEL</t>
  </si>
  <si>
    <t>VILLASANTI, MARCELA</t>
  </si>
  <si>
    <t>Viñales Hilda</t>
  </si>
  <si>
    <t>VITALO ADRIANA NOEMI</t>
  </si>
  <si>
    <t>Vittone Silvana</t>
  </si>
  <si>
    <t>VIVALLO CISTERNA, KARINA ANDREA</t>
  </si>
  <si>
    <t>Volpe Daniel Gustavo</t>
  </si>
  <si>
    <t>VTV SUD SA</t>
  </si>
  <si>
    <t>Wehbe Victor Eduardo</t>
  </si>
  <si>
    <t>WEISS, IRMA</t>
  </si>
  <si>
    <t>WIEDMANN ANA ELISA</t>
  </si>
  <si>
    <t>WIKINSKI, SILVIA INES</t>
  </si>
  <si>
    <t>WOLANSKY, DIANA RITA</t>
  </si>
  <si>
    <t>Yamhila Isabel Conde Ocampos</t>
  </si>
  <si>
    <t>Yaru Adela</t>
  </si>
  <si>
    <t>YOLANDA MARGARITA ABE</t>
  </si>
  <si>
    <t>YUKA SA</t>
  </si>
  <si>
    <t xml:space="preserve">ZACARIAS, ANDREA ELIZABETH  </t>
  </si>
  <si>
    <t>Zarwanitzer Ellen Berta</t>
  </si>
  <si>
    <t>ZC DIABETES SRL</t>
  </si>
  <si>
    <t>Zerpa Silvia Ester</t>
  </si>
  <si>
    <t>ZIBES JORGE SILVIO</t>
  </si>
  <si>
    <t>Zorrilla Gaona Myrian Beatriz</t>
  </si>
  <si>
    <t>ZORZ CLAUDIA MONICA</t>
  </si>
  <si>
    <t>ZUBIETA GUSTAVO</t>
  </si>
  <si>
    <t>Zuloaga Angelica</t>
  </si>
  <si>
    <t>ZUSMAN ISRAEL</t>
  </si>
  <si>
    <t>HERRERA CARLOS MARTIN</t>
  </si>
  <si>
    <t>MA JUN</t>
  </si>
  <si>
    <t>GUTIERREZ BRITO GERARDO PABLO</t>
  </si>
  <si>
    <t xml:space="preserve">GARCIA JUAN IGNACIO </t>
  </si>
  <si>
    <t>PASQUALICH ELVIO ALDO</t>
  </si>
  <si>
    <t>TECHCOM SRL</t>
  </si>
  <si>
    <t>OLIVA JUAN PABLO</t>
  </si>
  <si>
    <t>LOGISTICA PATRICIOS  SA</t>
  </si>
  <si>
    <t>SAN ALBERTO BALCARCE SRL</t>
  </si>
  <si>
    <t>Maxer S R L</t>
  </si>
  <si>
    <t xml:space="preserve"> GUSTAVO GABRIEL DENARO</t>
  </si>
  <si>
    <t>Echaide Jose Carlos</t>
  </si>
  <si>
    <t>Corina Luccardi</t>
  </si>
  <si>
    <t>Juan Matias Gomez Andersen</t>
  </si>
  <si>
    <t>Magni Gladys Edit</t>
  </si>
  <si>
    <t>GROSSO, ESTELA MARIA</t>
  </si>
  <si>
    <t>MARIELA CASTAGNINO</t>
  </si>
  <si>
    <t>ALBERTO GRIMALDI</t>
  </si>
  <si>
    <t>CYNTHIA ELIANA VARANO</t>
  </si>
  <si>
    <t>ROMEO, NELIDA ZULMA</t>
  </si>
  <si>
    <t>DELMIRA JOSEFINA FELICE</t>
  </si>
  <si>
    <t>LIFSZYC, SILVANA NOEMI</t>
  </si>
  <si>
    <t>Guerello Fabián Ángel</t>
  </si>
  <si>
    <t>LEIS, MAGALI</t>
  </si>
  <si>
    <t>MAN, SEBASTIAN</t>
  </si>
  <si>
    <t>Indiana Corna</t>
  </si>
  <si>
    <t>SILVA CLAUDIA LORENA</t>
  </si>
  <si>
    <t>SEDEX ARGENTINA SA</t>
  </si>
  <si>
    <t>Lydia Norma Marceno</t>
  </si>
  <si>
    <t>FERREYRA, ZULMA ELENA</t>
  </si>
  <si>
    <t>LIPOVICH RICARDO JAVIER</t>
  </si>
  <si>
    <t xml:space="preserve">CABALLERO, URSULA </t>
  </si>
  <si>
    <t>LUZZANI MATIAS FEDERICO</t>
  </si>
  <si>
    <t>JHOYSI, AHUANARI EVANGELISTA</t>
  </si>
  <si>
    <t>SAVALA, BRAIAN</t>
  </si>
  <si>
    <t>PEREZ, GUILLERMO LUIS</t>
  </si>
  <si>
    <t>MENDOZA, SANDRA ELIZABETH</t>
  </si>
  <si>
    <t>CIPRIANI JULIA</t>
  </si>
  <si>
    <t>KILSTEIN, BENJAMIN ALBERTO</t>
  </si>
  <si>
    <t>LIMA, MELISA DANIELA</t>
  </si>
  <si>
    <t>SALVADOR NATALIO DE GENNARO</t>
  </si>
  <si>
    <t>VIDAL, MARCELA BEATRIZ</t>
  </si>
  <si>
    <t>PAULA EDITH CENICEROS</t>
  </si>
  <si>
    <t xml:space="preserve">BERENGUER, LEONOR LUCIA </t>
  </si>
  <si>
    <t>BALDASSARRE, ALBERTO HECTOR</t>
  </si>
  <si>
    <t>MARA TATIANA PONTAROLLO TSCHOPP</t>
  </si>
  <si>
    <t>SUSANA MARÍA GOLINOWSKI</t>
  </si>
  <si>
    <t>BUSTOS, JUAN MANUEL</t>
  </si>
  <si>
    <t>MIGUEL, EDUARDO ADRIAN</t>
  </si>
  <si>
    <t>RAMIREZ, JAVIER EDUARDO</t>
  </si>
  <si>
    <t>Jorge Alberto Matoso</t>
  </si>
  <si>
    <t>PLYT, SARA ETEL</t>
  </si>
  <si>
    <t>PEREZ PRADO, MARIA ALEJANDRA</t>
  </si>
  <si>
    <t>HUGO ALFREDO PELLET</t>
  </si>
  <si>
    <t>PASCUCCI, ALBERTO ADALINO</t>
  </si>
  <si>
    <t>ANZOR, WALTER ABDON</t>
  </si>
  <si>
    <t>BARBEITO ANA MARIA</t>
  </si>
  <si>
    <t xml:space="preserve"> RIOS, ISMAEL RAMON LEO</t>
  </si>
  <si>
    <t>SOKOLOVICZ, SARA</t>
  </si>
  <si>
    <t>MATIENZO, MABEL</t>
  </si>
  <si>
    <t>DEL RÍO, SOFÍA</t>
  </si>
  <si>
    <t>FAN, LU</t>
  </si>
  <si>
    <t xml:space="preserve">Francisco Cosentino </t>
  </si>
  <si>
    <t>VOLPI, ALBERTO JAVIER</t>
  </si>
  <si>
    <t>Paula Casafuz Parada</t>
  </si>
  <si>
    <t xml:space="preserve">CANO, DIEGO ARMANDO </t>
  </si>
  <si>
    <t>ALG INDUMENTARIAS SRL</t>
  </si>
  <si>
    <t>COLARUSSO JUAN FRANCISCO</t>
  </si>
  <si>
    <t>GABRIEL ALEJANDRO SEGAL</t>
  </si>
  <si>
    <t>MAXIMA REFRIGERACION SRL</t>
  </si>
  <si>
    <t>POZZO MIGUEL ROBERTO</t>
  </si>
  <si>
    <t>BLASCO MARIA GUADALUPE</t>
  </si>
  <si>
    <t>VAZQUEZ RICARDO OSCAR</t>
  </si>
  <si>
    <t>PINEDA ESTEBAN BERNABE</t>
  </si>
  <si>
    <t>PANATEL SOCIEDAD ANONIMA</t>
  </si>
  <si>
    <t>SERVICIOS DE ALOJAMIENTO EN HOTELES</t>
  </si>
  <si>
    <t>SOSA CRISTIAN HERNAN</t>
  </si>
  <si>
    <t>VIEL AUTOMOTORES S A C I F I</t>
  </si>
  <si>
    <t>CARMAS SA</t>
  </si>
  <si>
    <t>PREVEEDOR</t>
  </si>
  <si>
    <t>OLIVA RODRIGUEZ GUADALUPE</t>
  </si>
  <si>
    <t xml:space="preserve">HONORARIOS </t>
  </si>
  <si>
    <t>PRELAT JORGE EMILIO</t>
  </si>
  <si>
    <t>GONZALEZ CRISTIAN RICARDO</t>
  </si>
  <si>
    <t>FARFAN, RAMÓN</t>
  </si>
  <si>
    <t>LINKIEWICZ VICENTA IRENE</t>
  </si>
  <si>
    <t>Obra Social Del Personal De Imprentas Diarios Y Afines</t>
  </si>
  <si>
    <t>Asociacion Mutual Sancor Salud</t>
  </si>
  <si>
    <t>RAPETTI, ADA FUENTES DE</t>
  </si>
  <si>
    <t>MARIA ELENA RODRIGUEZ</t>
  </si>
  <si>
    <t>SALAO ROSA BEATRIZ</t>
  </si>
  <si>
    <t>ADRIANA ANA MARÍA MARCUZZO</t>
  </si>
  <si>
    <t>LOPEZ, MARIA VALERIA</t>
  </si>
  <si>
    <t>LOTO, GISELLE BELEN</t>
  </si>
  <si>
    <t>JIMENA BEATRIZ TELLO</t>
  </si>
  <si>
    <t>BURAK, MANUEL JORGE</t>
  </si>
  <si>
    <t>Comisario, Leoncio</t>
  </si>
  <si>
    <t>DOMINGUEZ, GUILLERMO ADRIAN</t>
  </si>
  <si>
    <t>MARTINEZ MONZON, ONESIMO SERGIO PAULO</t>
  </si>
  <si>
    <t>UZCATEGUI QUIROZ JESUS GERMAN</t>
  </si>
  <si>
    <t>Salas, Maria Ethel</t>
  </si>
  <si>
    <t>LEICACH, JORGE HUGO</t>
  </si>
  <si>
    <t>MARIANA VIEYTES</t>
  </si>
  <si>
    <t>Guillermo Nicolás Mankiewicz</t>
  </si>
  <si>
    <t>OBREGÓN, ROSA AMELIA</t>
  </si>
  <si>
    <t>RIOS, VILMA BEATRIZ</t>
  </si>
  <si>
    <t>VAICIKAUSKAS, GUSTAVO</t>
  </si>
  <si>
    <t>BUNCHICOFF, MARIA</t>
  </si>
  <si>
    <t>RIZZO, GLADYS BEATRIZ</t>
  </si>
  <si>
    <t>GONZALEZ, EDOVIGES DEL CARMEN</t>
  </si>
  <si>
    <t>PAOLA SOLEDAD PUPICH</t>
  </si>
  <si>
    <t>BRUGNA, MIRTA PATRICIA</t>
  </si>
  <si>
    <t>MARIANA MENDONCA</t>
  </si>
  <si>
    <t>COMERCIALIZADORA DE BEBIDAS SRL</t>
  </si>
  <si>
    <t>SHIGA MOTORS SA</t>
  </si>
  <si>
    <t>TASCAR SRL</t>
  </si>
  <si>
    <t>flete</t>
  </si>
  <si>
    <t>LIEFRINK Y MARX SA</t>
  </si>
  <si>
    <t>EL TROMPETA SA</t>
  </si>
  <si>
    <t>REGET-M3 S.R.L.</t>
  </si>
  <si>
    <t>FIRST LABEL S.R.L.</t>
  </si>
  <si>
    <t>CASTILLO S A C I F I A</t>
  </si>
  <si>
    <t>APPLUS SANTA MARIA DEL BUEN AYRE SA</t>
  </si>
  <si>
    <t>LIGIER SA</t>
  </si>
  <si>
    <t>NARDOMARINO EZEQUIEL EDUARDO</t>
  </si>
  <si>
    <t>NALDO LOMBARDI S A</t>
  </si>
  <si>
    <t>servicio</t>
  </si>
  <si>
    <t>GMRA S. A.</t>
  </si>
  <si>
    <t>TELEC SRL</t>
  </si>
  <si>
    <t>servicio telefonico</t>
  </si>
  <si>
    <t>MATMAX S.R.L.</t>
  </si>
  <si>
    <t>HIRSCH CARLA</t>
  </si>
  <si>
    <t>AGROAUSTRAL SRL</t>
  </si>
  <si>
    <t>SALINAS VERONICA</t>
  </si>
  <si>
    <t>VALDES LUCIA CATALINA</t>
  </si>
  <si>
    <t>ZUBERBUHLER, AGUSTIN</t>
  </si>
  <si>
    <t>Edin Fabio Rosales</t>
  </si>
  <si>
    <t>GERONIMO, JUAN CARLOS</t>
  </si>
  <si>
    <t>PIRARO, SALVADOR</t>
  </si>
  <si>
    <t>ROQUE DEMETRIO OYOLA</t>
  </si>
  <si>
    <t>KOHAN, RUTH SUSANA</t>
  </si>
  <si>
    <t>MORGAN, SANTIAGO</t>
  </si>
  <si>
    <t>VULTAGGIO, GUSTAVO JAVIER</t>
  </si>
  <si>
    <t>PENSO, MARTA INES</t>
  </si>
  <si>
    <t>LOLY GARCIA, SERGIO LUIS</t>
  </si>
  <si>
    <t>CALDERONI, MÓNICA</t>
  </si>
  <si>
    <t>BORDON, NATALIA ALEJANDRA</t>
  </si>
  <si>
    <t>SCHMID, MARIANA MIRTA</t>
  </si>
  <si>
    <t>RAMIREZ, MONICA ISABEL</t>
  </si>
  <si>
    <t>CABELLO LETICIA JESICA</t>
  </si>
  <si>
    <t>JOSE LUIS ARANA SRL</t>
  </si>
  <si>
    <t>ORTOPEDIA GRAL. GÜEMES</t>
  </si>
  <si>
    <t>ORTOPEDIA Y CIRUGIA MODELO</t>
  </si>
  <si>
    <t>Del Valle Elevadores S.R.L.</t>
  </si>
  <si>
    <t>Mayer, Julian</t>
  </si>
  <si>
    <t>MARIA LUISA TESCIONE</t>
  </si>
  <si>
    <t xml:space="preserve">FLORENCIA INES VOLPE </t>
  </si>
  <si>
    <t>PAGANOTTO, MARCELO OSCAR</t>
  </si>
  <si>
    <t>MARÍA CAROLINA ULLOA</t>
  </si>
  <si>
    <t>MONTI, MARIA PAULA</t>
  </si>
  <si>
    <t>ZAPATINI, CARLOS ALBERTO</t>
  </si>
  <si>
    <t>DARU, VICTOR DANIEL</t>
  </si>
  <si>
    <t>GALECKI, TADEO</t>
  </si>
  <si>
    <t>GHERLANZ, ANDREA VIVIANA</t>
  </si>
  <si>
    <t>CORZO, MARIA EVA</t>
  </si>
  <si>
    <t>DARIO DE LA ROSA</t>
  </si>
  <si>
    <t>BRENNAN, MARIA IRENE</t>
  </si>
  <si>
    <t>ACCAVALLO, MARIA DE LOS ANGELES</t>
  </si>
  <si>
    <t>GLORIA FULLGRAFF</t>
  </si>
  <si>
    <t>VARALLA, HÉCTOR SANTIAGO</t>
  </si>
  <si>
    <t>SIMONE, CLAUDIA MARINA</t>
  </si>
  <si>
    <t>GARCIA COZZI, JORGE NORBERTO</t>
  </si>
  <si>
    <t>NINE, JULIO CESAR</t>
  </si>
  <si>
    <t>STURTZ, MARGARITA ALEJANDRA</t>
  </si>
  <si>
    <t>MOYA, MONICA ISABEL</t>
  </si>
  <si>
    <t>Obra Social De Talleristas A Domicilio</t>
  </si>
  <si>
    <t>DURAN, CARMEN</t>
  </si>
  <si>
    <t>FARINA, MARIA JIMENA</t>
  </si>
  <si>
    <t>RODRIGUEZ JOSE MARIA</t>
  </si>
  <si>
    <t>RUIZ MELGAREJO, MONICA ELIZABETH</t>
  </si>
  <si>
    <t>FERNANDEZ HECK MATIAS NICOLAS</t>
  </si>
  <si>
    <t>OCA LOG  SA</t>
  </si>
  <si>
    <t>NOYA BEATRIZ SUSANA</t>
  </si>
  <si>
    <t>COMINI PABLO RUBEN</t>
  </si>
  <si>
    <t>EYPAPEL SAS</t>
  </si>
  <si>
    <t>VZH SRL</t>
  </si>
  <si>
    <t>LUIS A MARTORANI Y CIA SA</t>
  </si>
  <si>
    <t>DEXTRUM SRL</t>
  </si>
  <si>
    <t>PEREYRA CASADO VALERIA DAIANA</t>
  </si>
  <si>
    <t>Valencia Campos, Teresa</t>
  </si>
  <si>
    <t>Autosuchin  S.R.L.</t>
  </si>
  <si>
    <t>TCHOKLA SAYEGH NICOLE</t>
  </si>
  <si>
    <t>PACHAME ADRIANA ALEJANDRA</t>
  </si>
  <si>
    <t>MANGGINI PABLO Y MANGGINI ULISES SOC. DE HECHO.</t>
  </si>
  <si>
    <t>POLYTECH S A</t>
  </si>
  <si>
    <t>DM TECHNOLOGY</t>
  </si>
  <si>
    <t>MONITOR ARTISTICA SA</t>
  </si>
  <si>
    <t>TURSARKISIAN MISISIAN VERONICA GEMA</t>
  </si>
  <si>
    <t>PRETI ELISEO ROBERTO</t>
  </si>
  <si>
    <t>APICELLA VANESA DANIELA</t>
  </si>
  <si>
    <t>SEGALINI SA</t>
  </si>
  <si>
    <t>MULTIPLACAS SA</t>
  </si>
  <si>
    <t>ALVAREZ BETINA  EVELIN</t>
  </si>
  <si>
    <t>Obra Social Del Personal De Direccion De Perfumeria  E W Hope</t>
  </si>
  <si>
    <t>BOLLERO JUAN CARLOS</t>
  </si>
  <si>
    <t>SANTAMARIA MARTA NOEMI</t>
  </si>
  <si>
    <t>ELECTROYHOGAR.COM</t>
  </si>
  <si>
    <t>ELECTRONICS SOLUTIONS SA</t>
  </si>
  <si>
    <t>DISTRI AIRES SRL</t>
  </si>
  <si>
    <t>HARD BOX SRL</t>
  </si>
  <si>
    <t>PROSEGUR SA</t>
  </si>
  <si>
    <t>DIAGNOSTIC MEDIC SA</t>
  </si>
  <si>
    <t>RPM MOVILES SRL</t>
  </si>
  <si>
    <t>MALGAREJO NICOLAS EMILIO</t>
  </si>
  <si>
    <t>SERVICIOS LUARCA SA</t>
  </si>
  <si>
    <t>Obra Social Del Personal De La Industria Del Plastico</t>
  </si>
  <si>
    <t>RUIZ, VERONICA SOFIA</t>
  </si>
  <si>
    <t>BARATTINI, CESAR RUBEN</t>
  </si>
  <si>
    <t>PALMA, EDUARDO JORGE</t>
  </si>
  <si>
    <t>FERRARI, SEBASTIAN</t>
  </si>
  <si>
    <t>KURINGHIAN,JUAN</t>
  </si>
  <si>
    <t>PARRENO,IANFRANCO</t>
  </si>
  <si>
    <t>LEON AGUERO JIMENA</t>
  </si>
  <si>
    <t>WEISMAN, EDUARDO</t>
  </si>
  <si>
    <t>Estancia Laguna Vitel S.A.</t>
  </si>
  <si>
    <t>Obra Social Del Personal De Sociedades  De Autores Y Afines</t>
  </si>
  <si>
    <t>GENDELMAN,MAURICIO</t>
  </si>
  <si>
    <t>MAZAS, NORBERTO EDUARDO</t>
  </si>
  <si>
    <t>Benitez Facundo Manuel</t>
  </si>
  <si>
    <t>AYELEN ROCIO ZELARRAYAN</t>
  </si>
  <si>
    <t xml:space="preserve"> DA SILVA, JOSE LUI</t>
  </si>
  <si>
    <t>GODOY, RAMON ARMANDO</t>
  </si>
  <si>
    <t>DAMARFU SA</t>
  </si>
  <si>
    <t>CAMARA  DE GRABADORES DE AUTOPARTES DE VEHICULOS AUTOMOTORES Y MOTOVEHICULOS</t>
  </si>
  <si>
    <t>GONZALEZ CARRERA JORGE ESTEBAN</t>
  </si>
  <si>
    <t>ORTOPEDIA Y CIRUGIA DELGADO</t>
  </si>
  <si>
    <t>MARTINEZ ALEJANDRA ELIZABETH</t>
  </si>
  <si>
    <t>EL UNIVERSO DEL CONTROL REMOTO S.R.L.</t>
  </si>
  <si>
    <t>PINTURAS ONLINE S.A</t>
  </si>
  <si>
    <t>LIBRERIA EL COLEGIO AVELLANEDA S.R.L.</t>
  </si>
  <si>
    <t>SEDESA S.A.</t>
  </si>
  <si>
    <t>LA COLONIA SA</t>
  </si>
  <si>
    <t>ZARATE LASCANO RUFINO</t>
  </si>
  <si>
    <t>RIVERO NEGRETTI, YULIETH ANDREINA</t>
  </si>
  <si>
    <t>MIELNIK, ANA LUISA</t>
  </si>
  <si>
    <t>GONZALEZ RAUL JORGE</t>
  </si>
  <si>
    <t>SAITO GOÑI, YRMA MICHICO</t>
  </si>
  <si>
    <t>UTHURRALT, CECILIA</t>
  </si>
  <si>
    <t>GALLIVERTTI, PATRICIA NOEMI</t>
  </si>
  <si>
    <t>ANDREOTTI, CECILIA</t>
  </si>
  <si>
    <t>PATEIRO COSTA, JULIA MIRTHA</t>
  </si>
  <si>
    <t>AHIBE, MARÍA JUDIT</t>
  </si>
  <si>
    <t xml:space="preserve">DONADINI, MARIANA INES </t>
  </si>
  <si>
    <t>AGUIRRE FELIX RAFAEL</t>
  </si>
  <si>
    <t>CUDERO, SILVINA</t>
  </si>
  <si>
    <t>YAMILA MARTINEZ</t>
  </si>
  <si>
    <t>PELIZZARI, MICAELA BIBIANA</t>
  </si>
  <si>
    <t>ROMERO, JOAN MANUEL</t>
  </si>
  <si>
    <t>GOMEZ, RUBEN BENJAMIN</t>
  </si>
  <si>
    <t>MARTA ESPINOLA</t>
  </si>
  <si>
    <t>RIOS, LAURA MARCELA</t>
  </si>
  <si>
    <t>Contanza, Maria Gabriela</t>
  </si>
  <si>
    <t>KUPFERMINC, AGNES M. DE</t>
  </si>
  <si>
    <t xml:space="preserve">MOREIRAS, MARIA DEL CARMEN </t>
  </si>
  <si>
    <t>TORRES FAINSCHTEIN, PABLO DAVID</t>
  </si>
  <si>
    <t>FOTI, FACUNDO ARIEL</t>
  </si>
  <si>
    <t>MAISLER, LAZARO MANUEL</t>
  </si>
  <si>
    <t>CAMPOBASSO, MARIANA LAURA</t>
  </si>
  <si>
    <t>ZAVAGLIA, MARCELO ROQUE</t>
  </si>
  <si>
    <t>BERTOLINI MEZA ÁNGEL DANIEL</t>
  </si>
  <si>
    <t>SANTIAGO,LOMBARDI</t>
  </si>
  <si>
    <t>VERENZUELA VERONICA</t>
  </si>
  <si>
    <t>Olguin Avila, Walter Mauricio</t>
  </si>
  <si>
    <t>Foucault S.A.</t>
  </si>
  <si>
    <t>VICENTIN MILENA ANDREA</t>
  </si>
  <si>
    <t>LOPEZ JORGE ALBERTO</t>
  </si>
  <si>
    <t>SERVICIOS ARM SA</t>
  </si>
  <si>
    <t>NEUMATICOS GARCIA CANO SRL</t>
  </si>
  <si>
    <t>FRANCESE GONZALO ROMAN</t>
  </si>
  <si>
    <t>MEDICINA PREPAGA HOMINIS SA</t>
  </si>
  <si>
    <t>BRANCH S.R.L.</t>
  </si>
  <si>
    <t>OLGUIN GISELLE ANAHI</t>
  </si>
  <si>
    <t>MLND SRL</t>
  </si>
  <si>
    <t>ORTOPEDIA BERNAT SRL</t>
  </si>
  <si>
    <t>SALAZAR CALLE VICTOR</t>
  </si>
  <si>
    <t>SEANTEC SA</t>
  </si>
  <si>
    <t>WHITE SALUD SRL</t>
  </si>
  <si>
    <t>Gb Gabytex S.R.L.</t>
  </si>
  <si>
    <t>GERMAN LEONEL REIZ</t>
  </si>
  <si>
    <t>CARI MILTON ABRAHAM</t>
  </si>
  <si>
    <t>FIGUEREDO, ESTELA MABEL</t>
  </si>
  <si>
    <t>TAHUIL, CARLOS MARIA</t>
  </si>
  <si>
    <t>FRANCISCO JOSE SANTORO</t>
  </si>
  <si>
    <t>FERNANDEZ, SILVIA HORTENCIA</t>
  </si>
  <si>
    <t>RUSSO, MELANY</t>
  </si>
  <si>
    <t>SANZIO, INMACULADA CONCEPCION</t>
  </si>
  <si>
    <t>TRIUNFO, ROMINA VALERIA</t>
  </si>
  <si>
    <t>GIUGGIARO, LUIS ALBERTO</t>
  </si>
  <si>
    <t>LUCANTIS, MARINA</t>
  </si>
  <si>
    <t>MINERVINI, MARIA DEL CARMEN LILIANA</t>
  </si>
  <si>
    <t>QUINTEROS ROMINA SOLEDAD</t>
  </si>
  <si>
    <t>CORONEL BENILDA</t>
  </si>
  <si>
    <t>DIAZ, DORA DALMIRA</t>
  </si>
  <si>
    <t>DELGADO, MATIAS HORACIO</t>
  </si>
  <si>
    <t>Gutierrez Emilia</t>
  </si>
  <si>
    <t>LYKO, RICARDO GABRIEL</t>
  </si>
  <si>
    <t>FERNANDEZ ABLATICO, CARLOS JAVIER</t>
  </si>
  <si>
    <t xml:space="preserve">GUELACHE , ELISA ANDREA </t>
  </si>
  <si>
    <t>GONZALEZ, TEODORA</t>
  </si>
  <si>
    <t>FOGLIA, ANTONIO MANUEL</t>
  </si>
  <si>
    <t>ANTIVERO, LUISA</t>
  </si>
  <si>
    <t>ESPOSITO, MARIELA FERNANDA</t>
  </si>
  <si>
    <t>COLINAS, DANIEL</t>
  </si>
  <si>
    <t>ZAIDMAN, CESAR JAVIER</t>
  </si>
  <si>
    <t>GARCIA PAZ JIMENA</t>
  </si>
  <si>
    <t>GUPARO S.R.L.</t>
  </si>
  <si>
    <t>ABUGAUCH MARIA DE LOS ANGELES</t>
  </si>
  <si>
    <t>CENTRO ORTOPEDICO SAN LUIS</t>
  </si>
  <si>
    <t>TAPITEL SA</t>
  </si>
  <si>
    <t>DELSUR AUTOS SA</t>
  </si>
  <si>
    <t>SEVILLA SERGIO HORACIO</t>
  </si>
  <si>
    <t>ABUGAUCH VICTOR HUGO</t>
  </si>
  <si>
    <t>EXPRESO FORMOSA SRL</t>
  </si>
  <si>
    <t>FARMACIA DE MEDRANO SCS</t>
  </si>
  <si>
    <t>ORTOPEDIA SOLER SRL</t>
  </si>
  <si>
    <t>LA BRUNA MARIA VIRGINIA</t>
  </si>
  <si>
    <t>Rasjido, Mercedes Victorina</t>
  </si>
  <si>
    <t>Grupo Cvm S.R.L.</t>
  </si>
  <si>
    <t>REDNET  SRL</t>
  </si>
  <si>
    <t>PORTEÑA SRL</t>
  </si>
  <si>
    <t>AGEN S.A.</t>
  </si>
  <si>
    <t>NICOLAS TOBIAS SEQUEIRA Y MARIA GABRIELA RATTNER SOCIEDAD DE LA SECCION IV LGS</t>
  </si>
  <si>
    <t>RADIO SPICA S.A.</t>
  </si>
  <si>
    <t>OSTEO IMPLANTS S.R.L.</t>
  </si>
  <si>
    <t>BONVA SA</t>
  </si>
  <si>
    <t>SOTOMAYOR CISNEROS CAROLINA</t>
  </si>
  <si>
    <t>IMIG WALTER DAMIAN</t>
  </si>
  <si>
    <t>VICTOR M. GILABERT SH</t>
  </si>
  <si>
    <t>FAIL ABRAHAM</t>
  </si>
  <si>
    <t>PROFETI NOEMI GISELE</t>
  </si>
  <si>
    <t>FARMARINA SRL</t>
  </si>
  <si>
    <t>PASCUET ALBERTO JORGE</t>
  </si>
  <si>
    <t>SORENSEN S R L</t>
  </si>
  <si>
    <t>LEHRMAN JORGE EDUARDO</t>
  </si>
  <si>
    <t>OBRA SOCIAL DE LA FEDERACION ARGENTINA DEL TRABAJADOR DE LAS UNIVERSIDADES NACIONALES</t>
  </si>
  <si>
    <t>GILES JUAN MANUEL</t>
  </si>
  <si>
    <t>CEVEN SA</t>
  </si>
  <si>
    <t>LUBRICANTES RUTA DE P e H SRL</t>
  </si>
  <si>
    <t>SAMPEDRO SILVIA HERMINIA</t>
  </si>
  <si>
    <t>TOTAL COMPRAS NETAS</t>
  </si>
  <si>
    <t>CREDICOOP</t>
  </si>
  <si>
    <t>PATAGONIA</t>
  </si>
  <si>
    <t>TOTAL:</t>
  </si>
  <si>
    <t>&gt; ya esta sumado al total</t>
  </si>
  <si>
    <t>TRANSPORTES E.G. S.R.L.</t>
  </si>
  <si>
    <t>RAMASKO JORGE FERNANDO</t>
  </si>
  <si>
    <t>GOMATODO S.R.L.</t>
  </si>
  <si>
    <t>ZAMORA EDUARDO HERALDO</t>
  </si>
  <si>
    <t>COLOMBO JAVIER MATIAS</t>
  </si>
  <si>
    <t>GIAMPAOLETTI  S A</t>
  </si>
  <si>
    <t>REVICAR S.A.</t>
  </si>
  <si>
    <t>PORTUMAT  S.R.L.</t>
  </si>
  <si>
    <t>SERVICIOS PERSONALES</t>
  </si>
  <si>
    <t>BUENOS AIRES</t>
  </si>
  <si>
    <t>NOUBAR PARNAKIAN S A</t>
  </si>
  <si>
    <t>SS METAL MECANICA SRL</t>
  </si>
  <si>
    <t>LIROLA FABIAN ALEJANDRO</t>
  </si>
  <si>
    <t>COMERCIALIZADORA MORRES SA</t>
  </si>
  <si>
    <t>DIMEO LUCIANO</t>
  </si>
  <si>
    <t>SCHIANO MORIELLO LUIS ANDRES</t>
  </si>
  <si>
    <t>MADERERA LLAVALLOL SA</t>
  </si>
  <si>
    <t>ESPOSITO FRANCISCO ANT Y OT SH</t>
  </si>
  <si>
    <t>CENTURION JACQUELINE ESTEFANIA</t>
  </si>
  <si>
    <t>DISDEC</t>
  </si>
  <si>
    <t>DISTRIBUIDORA DGO S.R.L.</t>
  </si>
  <si>
    <t>PORTAL INSUMOS S R L</t>
  </si>
  <si>
    <t>SURDO HERNAN OMAR</t>
  </si>
  <si>
    <t>ALONZO SANTANDER MARLENE</t>
  </si>
  <si>
    <t>ROSARIO LOGISTICA S.A.</t>
  </si>
  <si>
    <t>EXPRESO RIVADAVIA S R L</t>
  </si>
  <si>
    <t>BALINERO SRL</t>
  </si>
  <si>
    <t>LOGISTICA DE LA COSTA SA</t>
  </si>
  <si>
    <t>ALVAREZ CONTRERAS REYNALDO</t>
  </si>
  <si>
    <t>EXPRESO TROLE SRL</t>
  </si>
  <si>
    <t>PAMPIN MARIANO OSCAR</t>
  </si>
  <si>
    <t>OMNICHANNEL S.A.</t>
  </si>
  <si>
    <t>La Manola Moda Srl</t>
  </si>
  <si>
    <t>INTEGRAL PACK EXPRESS S.A.</t>
  </si>
  <si>
    <t>DEBELIUCH TOMAS IVAN</t>
  </si>
  <si>
    <t>SM COMBUSTIBLES S.R.L.</t>
  </si>
  <si>
    <t>QUIROZ ALEMAN LUCAS DANIEL</t>
  </si>
  <si>
    <t>CAMINOS DEL RIO URUGUAY S A DE CONSTRUCCIONES Y CONCESIONES VIALES</t>
  </si>
  <si>
    <t>MERAS HNOS S.A.</t>
  </si>
  <si>
    <t>MIÑO GUSTAVO SEBASTIAN</t>
  </si>
  <si>
    <t>FREUND GABRIELA</t>
  </si>
  <si>
    <t>BELLINI FILIPPINI ALBERTO MARCOS</t>
  </si>
  <si>
    <t>AFONSO BOAVENTURA RUBEN</t>
  </si>
  <si>
    <t>ELECTRO ILUMINATE S.R.L.</t>
  </si>
  <si>
    <t>MAZAFFRE DANIEL ALBERTO</t>
  </si>
  <si>
    <t>DI PARDO EMIGDIO MAXIMILIANO</t>
  </si>
  <si>
    <t>NUNEZ MATIAS YOEL</t>
  </si>
  <si>
    <t>DI FEO MARTIN EZEQUIEL</t>
  </si>
  <si>
    <t>BRITOS MARIA GABRIELA</t>
  </si>
  <si>
    <t>TRANSPORTES IMAZ S R L</t>
  </si>
  <si>
    <t>BIANCHI CRISTIAN MAXIMILIANO</t>
  </si>
  <si>
    <t>RAGO DIEGO ORLANDO</t>
  </si>
  <si>
    <t>3PI S.A.S.</t>
  </si>
  <si>
    <t>MG FARMACEUTICA SA</t>
  </si>
  <si>
    <t>TRANSPORTES ÑANDUBAY</t>
  </si>
  <si>
    <t>COSTA JOSE ANIBAL</t>
  </si>
  <si>
    <t>GOTTIG DIEGO GASTON LUJAN</t>
  </si>
  <si>
    <t>MERCERIA ZAFFINO SA</t>
  </si>
  <si>
    <t>ARMORAUT SA</t>
  </si>
  <si>
    <t>CHAVES MATIAS EZEQUIEL</t>
  </si>
  <si>
    <t>MIGOYA MORIONDO MARIA INES</t>
  </si>
  <si>
    <t>ARANA NICOLAS</t>
  </si>
  <si>
    <t>LATI SALOMON ARIEL</t>
  </si>
  <si>
    <t>VASTA LUCILA</t>
  </si>
  <si>
    <t>WARNES  TELAS  SA</t>
  </si>
  <si>
    <t>GASOLEO SA</t>
  </si>
  <si>
    <t>ALCOCER MARIO DANIEL</t>
  </si>
  <si>
    <t>TEAM MALDONADO HNOS S.A.</t>
  </si>
  <si>
    <t>QUIROGA HERNAN EZEQUIEL</t>
  </si>
  <si>
    <t>PUSHKENA TEXTIL S.A.</t>
  </si>
  <si>
    <t>NAUTICA BELLI S.R.L.</t>
  </si>
  <si>
    <t>CASA MAKAROVSKY S A C I I F</t>
  </si>
  <si>
    <t>QUARATINO HUGO JOSE</t>
  </si>
  <si>
    <t>SC PILAR S.A.</t>
  </si>
  <si>
    <t>EGESAC SOCIEDAD ANONIM</t>
  </si>
  <si>
    <t>PRICEWATERHOUSECOOPERS SERVICE DELIVERY CENTER (ARGENTINA) S.R.L.</t>
  </si>
  <si>
    <t>COD 81</t>
  </si>
  <si>
    <t>PH SERVICIOS Y GESTIONES SOCIEDAD ANONIMA</t>
  </si>
  <si>
    <t>S.F. PANDA IMPORTACION Y EXPORTACION S.R.L.</t>
  </si>
  <si>
    <t>CPT INTEGRAL SA</t>
  </si>
  <si>
    <t>POTA AMOBLAMIENTOS S.R.L.</t>
  </si>
  <si>
    <t>NOLASCO ALAN MANUEL</t>
  </si>
  <si>
    <t>FEDERACION ARGENTINA DE ENTIDADES EMPRESARIAS DEL AUTOTRANSPORTE DE CARGAS FADEEAC</t>
  </si>
  <si>
    <t>MUNDOPEL SRL</t>
  </si>
  <si>
    <t>ABOUD PABLO DANIEL</t>
  </si>
  <si>
    <t>PATAGONIA SHOWROOM S.A.</t>
  </si>
  <si>
    <t>BIDCOM SRL</t>
  </si>
  <si>
    <t>REHAB S.R.L.</t>
  </si>
  <si>
    <t>ZELUCASH S.A.</t>
  </si>
  <si>
    <t>ROCCA SUR S.R.L</t>
  </si>
  <si>
    <t>JPL S.R.L.</t>
  </si>
  <si>
    <t>PROSPERI SERGIO GERARDO</t>
  </si>
  <si>
    <t>ALCAZAR MARGARITA ROSA</t>
  </si>
  <si>
    <t>Fgc Fuels Marketing SA</t>
  </si>
  <si>
    <t>APERTILE CARLOS ALEJANDRO</t>
  </si>
  <si>
    <t>CENTURION MARCO ANTONIO</t>
  </si>
  <si>
    <t>MARANSI S.A.</t>
  </si>
  <si>
    <t>TRANSPORTES EL POLLY SOCIEDAD ANONIMA</t>
  </si>
  <si>
    <t>OSCAR DIOJTAR S A</t>
  </si>
  <si>
    <t>MOURELLE DE BUCETA IRMA  - BUCETA SEBASTIAN Y BUCETA VERONICA S H</t>
  </si>
  <si>
    <t>CACHO SUSPENSION S A</t>
  </si>
  <si>
    <t>PICA GERARDO</t>
  </si>
  <si>
    <t>CEBA LEANDRO RODOLFO</t>
  </si>
  <si>
    <t>PRESMAR SOCIEDAD ANONIMA</t>
  </si>
  <si>
    <t>GAX S.A.</t>
  </si>
  <si>
    <t>MEDEOT OSVALDO LUCIO</t>
  </si>
  <si>
    <t>DULCE LUGAR</t>
  </si>
  <si>
    <t>VIPETROL S.A</t>
  </si>
  <si>
    <t>CREDICOOP MAESRTRO</t>
  </si>
  <si>
    <t>CREDICOOP MASTER</t>
  </si>
  <si>
    <t>OVIEDO JIMENEZ TIZIANO LIONEL</t>
  </si>
  <si>
    <t>NUÑEZ GONZALEZ JORGE ESTEBAN</t>
  </si>
  <si>
    <t>TAVO'S S.A</t>
  </si>
  <si>
    <t>GIFT CARD ARGENTINA S.A.</t>
  </si>
  <si>
    <t>MS GLOBAL LINK S.A.</t>
  </si>
  <si>
    <t>ATECUB S.A.</t>
  </si>
  <si>
    <t>WOW TOTAL PRINT S.A.</t>
  </si>
  <si>
    <t>CAMEJO GRACIELA</t>
  </si>
  <si>
    <t>UZUMAKI S.A.S.</t>
  </si>
  <si>
    <t>INFLABLES WORLD S.A.</t>
  </si>
  <si>
    <t>LIN YUMEI</t>
  </si>
  <si>
    <t>DONATO ALFREDO ENRIQUE Y PENSEL FRANCISCO JAVIER SOCIEDAD DE HECHO</t>
  </si>
  <si>
    <t>JADS S.A.</t>
  </si>
  <si>
    <t>BUS PACK S.A.</t>
  </si>
  <si>
    <t>ALGETEC S.R.L.</t>
  </si>
  <si>
    <t>UNENS S R L</t>
  </si>
  <si>
    <t>IACONO JUAN</t>
  </si>
  <si>
    <t>TACACHO ROLANDO GABRIEL</t>
  </si>
  <si>
    <t>RODRIGUEZ KEYLA JAEL</t>
  </si>
  <si>
    <t>GARCIA LETTIERI EDUARDO ALBERTO</t>
  </si>
  <si>
    <t>GARCIA ARCE FRANCISCO</t>
  </si>
  <si>
    <t>ARCE RAQUEL INES</t>
  </si>
  <si>
    <t>MIGOYA MORIONDO SOFIA</t>
  </si>
  <si>
    <t>SALAS MARCELO ALEJANDRO</t>
  </si>
  <si>
    <t>CHANCO VILLAVICENCIO ERNESTO ANTONIO</t>
  </si>
  <si>
    <t>BARD MARISA SILVIA</t>
  </si>
  <si>
    <t>LURASCHI HUMBERTO JOSE </t>
  </si>
  <si>
    <t>BANCO PATAGONIA</t>
  </si>
  <si>
    <t>DABRA SOCIEDAD ANONIMA</t>
  </si>
  <si>
    <t>HERRAMIENTAS DEL SUR S.A.</t>
  </si>
  <si>
    <t>PURTECH S.R.L.</t>
  </si>
  <si>
    <t>EDUARDO E MOSTTO LUIS O MOSTTO DANIEL A MOSTTO Y JULIO H MOSTTO</t>
  </si>
  <si>
    <t>UNIPASE S.A.</t>
  </si>
  <si>
    <t>GUTIERREZ CUSSI ARMANDO</t>
  </si>
  <si>
    <t>AGUGAS S.A.</t>
  </si>
  <si>
    <t>TRANSPORTES UNION S. A.</t>
  </si>
  <si>
    <t>ESPADA FARALDO MARGARITA MERCEDES</t>
  </si>
  <si>
    <t>ANTIMO VALERIA EDITH</t>
  </si>
  <si>
    <t>VECCHI MARIA FERNANDA</t>
  </si>
  <si>
    <t>VAZQUEZ CAMILA</t>
  </si>
  <si>
    <t>Credicoop</t>
  </si>
  <si>
    <t>Patagonia</t>
  </si>
  <si>
    <t>VERISURE ARGENTINA MONITOREO DE ALARMAS SA</t>
  </si>
  <si>
    <t>SCHEJTER LILA ELISA</t>
  </si>
  <si>
    <t>MANZINI MARTA GRACIELA</t>
  </si>
  <si>
    <t>CHIARA FLORENCIA</t>
  </si>
  <si>
    <t>HECKER LAURA NOEMI</t>
  </si>
  <si>
    <t>JUNIN 0 SRL</t>
  </si>
  <si>
    <t>ANDREANI AGUSTINA SUSANA</t>
  </si>
  <si>
    <t>ZG MULTITEC SRL</t>
  </si>
  <si>
    <t>LA JUNIOR S.R.L.</t>
  </si>
  <si>
    <t>PAIS HECTOR GUILLERMO</t>
  </si>
  <si>
    <t>PISOS BODEN S.A.</t>
  </si>
  <si>
    <t>RODRIGUEZ HERMANOS TRANSPORTES S.A.</t>
  </si>
  <si>
    <t>GRANADOS HNOS. S.R.L.</t>
  </si>
  <si>
    <t>MONSEÑOR Z S.A.</t>
  </si>
  <si>
    <t>UBDA S.A.</t>
  </si>
  <si>
    <t>DADAGLIO HNOS S A I C F I A</t>
  </si>
  <si>
    <t>FREDES LUCAS FEDERICO</t>
  </si>
  <si>
    <t>Gasto Alojamiento</t>
  </si>
  <si>
    <t>GARCIA CANO JUAN CARLOS</t>
  </si>
  <si>
    <t>Servicio Transporte</t>
  </si>
  <si>
    <t>LOPEZ MATIAS</t>
  </si>
  <si>
    <t>Insumos</t>
  </si>
  <si>
    <t>EXPRESO BICENTENARIO S.R.L</t>
  </si>
  <si>
    <t>SALEME CARAM</t>
  </si>
  <si>
    <t>MASTERCARD</t>
  </si>
  <si>
    <t>MASTER DEBITO</t>
  </si>
  <si>
    <t>CABAL</t>
  </si>
  <si>
    <t xml:space="preserve">IVA </t>
  </si>
  <si>
    <t>PERV CABCA</t>
  </si>
  <si>
    <t>SOLUCIONES TECNOLOGICAS INTEGRALES SRL</t>
  </si>
  <si>
    <t>LA UNION SRL</t>
  </si>
  <si>
    <t>CARLOS ALBERTO QUIRINO</t>
  </si>
  <si>
    <t>CARMAS COMPOSITES S.R.L.</t>
  </si>
  <si>
    <t>T.I.M. TIME IS MONEY S.R.L.</t>
  </si>
  <si>
    <t>CONTABILIUM S.A. S. A.</t>
  </si>
  <si>
    <t>PAZ CLAUDIA SILVIA</t>
  </si>
  <si>
    <t>EXPRESO EL VASQUITO S A</t>
  </si>
  <si>
    <t>TIME PLAST SRL</t>
  </si>
  <si>
    <t>textil</t>
  </si>
  <si>
    <t>USUARIO CONTABLE</t>
  </si>
  <si>
    <t>VELEZ ALEJANDRO MARCELO</t>
  </si>
  <si>
    <t>SOUSA ALDERETE ALEJANDRA MABEL</t>
  </si>
  <si>
    <t>GARCIA MATIAS EZEQUIEL</t>
  </si>
  <si>
    <t>PEREZ ROMERO JAVIER HERNAN</t>
  </si>
  <si>
    <t>LAVALLETEXTIL SA</t>
  </si>
  <si>
    <t>SUPERFOTO S R L</t>
  </si>
  <si>
    <t>LIPROT S.R.L.</t>
  </si>
  <si>
    <t>PINTURERIAS MINUTO SRL</t>
  </si>
  <si>
    <t>CORRENTI S.A.</t>
  </si>
  <si>
    <t>Catering</t>
  </si>
  <si>
    <t>MARINELLI JON EZEQUIEL</t>
  </si>
  <si>
    <t>TAIKUE SA</t>
  </si>
  <si>
    <t>GUASCH HECTOR RAUL</t>
  </si>
  <si>
    <t>RIVERO GABRIELA ROCIO</t>
  </si>
  <si>
    <t>RODRIGUEZ PATRICIO SALVADOR</t>
  </si>
  <si>
    <t>EXPRESO LO BRUNO S A </t>
  </si>
  <si>
    <t xml:space="preserve"> </t>
  </si>
  <si>
    <t>GNC MONTE GRANDE SRL</t>
  </si>
  <si>
    <t>MATIAS EZEQUIEL ROMANO</t>
  </si>
  <si>
    <t>ED GAR SOCIEDAD ANONIMA</t>
  </si>
  <si>
    <t>BOCCACCI MARIA FLORENCIA</t>
  </si>
  <si>
    <t>Servicios</t>
  </si>
  <si>
    <t>TAP SERVICES S.A.</t>
  </si>
  <si>
    <t>Bienes</t>
  </si>
  <si>
    <t>INFORMATICA BARRACAS SRL</t>
  </si>
  <si>
    <t>46 SPEED S.A.</t>
  </si>
  <si>
    <t>AMTRASK</t>
  </si>
  <si>
    <t>NAONIS SRL</t>
  </si>
  <si>
    <t>EXPRESO TARAGÜI  S.R.L.</t>
  </si>
  <si>
    <t>SHOPNOW S.R.L.</t>
  </si>
  <si>
    <t>HIGH MOBILITY S.A.S.</t>
  </si>
  <si>
    <t>STENDY</t>
  </si>
  <si>
    <t>S V A SACIFI</t>
  </si>
  <si>
    <t>EMPRESA CENTRAL ARGENTINO S.A.</t>
  </si>
  <si>
    <t>BORDER S  PARKING  SRL</t>
  </si>
  <si>
    <t>CONSTRUCCION EN SECO CANNING S.R.L.</t>
  </si>
  <si>
    <t>CIGNONI ALEJANDRA FABIANA</t>
  </si>
  <si>
    <t>GRANDI GUSTAVO GABRIEL</t>
  </si>
  <si>
    <t>OVIEDO LUIS ALBERTO</t>
  </si>
  <si>
    <t>BLACKLIST S.R.L.</t>
  </si>
  <si>
    <t>GRUPO ORTOPEDIA MODELO 5028</t>
  </si>
  <si>
    <t>EGIDIO P HEYD Y CIA SRL</t>
  </si>
  <si>
    <t>HERRAMIENTAS E INSUMOS S.A.</t>
  </si>
  <si>
    <t>PAÑALERA NORTE S R L</t>
  </si>
  <si>
    <t>SARA ELENA SCHMUKLER</t>
  </si>
  <si>
    <t>Serv. Seguridad</t>
  </si>
  <si>
    <t>Hon. Juridicos</t>
  </si>
  <si>
    <t>Papeleria</t>
  </si>
  <si>
    <t>PHONEMARK SRL</t>
  </si>
  <si>
    <t>Serv. Informaticos</t>
  </si>
  <si>
    <t>ABRAMOWICZ DEMIAN MARCELO</t>
  </si>
  <si>
    <t>ONETO TOMAS AUGUSTO</t>
  </si>
  <si>
    <t>N.G.A. SRL</t>
  </si>
  <si>
    <t>HONRE SA</t>
  </si>
  <si>
    <t>GOLONOR SA</t>
  </si>
  <si>
    <t>EL CACIQUE LIMPIEZA SRL</t>
  </si>
  <si>
    <t>Limpieza</t>
  </si>
  <si>
    <t>CASSINI MARTIN</t>
  </si>
  <si>
    <t>PERFUM.AR SRL</t>
  </si>
  <si>
    <t>RODRIGUEZ JONATAN</t>
  </si>
  <si>
    <t>Ropa de Trabajo</t>
  </si>
  <si>
    <t>Prod. Ortopedicos</t>
  </si>
  <si>
    <t>CENTRO DE DISTRIBUCION SUR S R L</t>
  </si>
  <si>
    <t>ROJAS GUILLERMO</t>
  </si>
  <si>
    <t>PEUMAN SRL</t>
  </si>
  <si>
    <t>TEXTIL FEDERAL SA</t>
  </si>
  <si>
    <t>NIEMAND SIMON ALEJANDRO</t>
  </si>
  <si>
    <t>AUTOSERVICIO MAYORISTA DIARCO SA</t>
  </si>
  <si>
    <t>AGROMERCADO CENTRAL SA</t>
  </si>
  <si>
    <t>GRUPO LOPEZ &amp; ASOCIADOS</t>
  </si>
  <si>
    <t>LOS PREMIOS SA</t>
  </si>
  <si>
    <t>SINEBI SRL</t>
  </si>
  <si>
    <t>LEF &amp; ASOCIADOS CONSULTING S A</t>
  </si>
  <si>
    <t>QUICK SUPPLIES SRL</t>
  </si>
  <si>
    <t>Gtos Comercializacion</t>
  </si>
  <si>
    <t>VIDAL LEONARDO JAVIER</t>
  </si>
  <si>
    <t>MORANT EDUARDO ENRIQUE</t>
  </si>
  <si>
    <t>CLAUDIO OMAR MASTROPASQUA</t>
  </si>
  <si>
    <t>ILQUOTIDIANO SRL</t>
  </si>
  <si>
    <t>LUTAC SA</t>
  </si>
  <si>
    <t>GRUPO CANFEMA SRL</t>
  </si>
  <si>
    <t>Gtos Administrativos</t>
  </si>
  <si>
    <t>BIEN DE USO</t>
  </si>
  <si>
    <t>DILVER ALEX ISNADO IGNACIO</t>
  </si>
  <si>
    <t>CIVALE PAULA</t>
  </si>
  <si>
    <t>BLANCO JUAN JOSE</t>
  </si>
  <si>
    <t>SALZGEBER FASSI CARINA RITA</t>
  </si>
  <si>
    <t>GOMEZ JULIO CESAR</t>
  </si>
  <si>
    <t>DR LENOX SA</t>
  </si>
  <si>
    <t>PETENATTI HNOS SA</t>
  </si>
  <si>
    <t>ARPI JULIA</t>
  </si>
  <si>
    <t>BONET SARA MARIA</t>
  </si>
  <si>
    <t>RANKO SA</t>
  </si>
  <si>
    <t>GARAY GERARDO ANTONIO</t>
  </si>
  <si>
    <t>BUGABLER SA</t>
  </si>
  <si>
    <t>NORTH TOOLS</t>
  </si>
  <si>
    <t>PASSALACQUA RICARDO ADOLFO</t>
  </si>
  <si>
    <t>DIAS DOS SANTOS ALBERTO</t>
  </si>
  <si>
    <t>JABIBI CRISTIAN VICTOR</t>
  </si>
  <si>
    <t>GOU TURISMO EJECUTIVO SRL</t>
  </si>
  <si>
    <t>AQUINO WILSON GUSTAVO UBALDO</t>
  </si>
  <si>
    <t>ESPERANZA MIGUEL ANGEL</t>
  </si>
  <si>
    <t>IZQUIERDO MONICA BEATRIZ</t>
  </si>
  <si>
    <t>GRUPO GAUSS SRL</t>
  </si>
  <si>
    <t>INDUSTRIAS FERNANDEZ GARRIDO SA</t>
  </si>
  <si>
    <t>EBOX SA</t>
  </si>
  <si>
    <t>MONTE DUAL SRL</t>
  </si>
  <si>
    <t>FOURMAX SRL</t>
  </si>
  <si>
    <t>MENDIZABAL RAUL EUGENIO</t>
  </si>
  <si>
    <t>GARCIA HORACIO FERNANDO</t>
  </si>
  <si>
    <t>QBIKE</t>
  </si>
  <si>
    <t>PLASTICENTRO 11 SOCIEDAD ANONIMA</t>
  </si>
  <si>
    <t>DI SALVI OLGA ESTELA</t>
  </si>
  <si>
    <t>GALTIERI WALTER QUIMEY</t>
  </si>
  <si>
    <t>CAMPA DANIEL JORGE</t>
  </si>
  <si>
    <t>STEINER FLAVIA ADRIANA</t>
  </si>
  <si>
    <t>CIEN POR CIENTO FOLLETOS SRL</t>
  </si>
  <si>
    <t>BM MEDICINE SRL</t>
  </si>
  <si>
    <t>KASAMI SA</t>
  </si>
  <si>
    <t>LOPEZ DIMITRI CARLOS DANIEL</t>
  </si>
  <si>
    <t>COMPAÑÍA DE PAPELES SA</t>
  </si>
  <si>
    <t>GIFEL SRL</t>
  </si>
  <si>
    <t>OPORTO ZELAYA ANA CECILIA</t>
  </si>
  <si>
    <t>AMOBLAMIENTOS J3 SRL</t>
  </si>
  <si>
    <t>RIVERA MARCELO RAUL</t>
  </si>
  <si>
    <t>MAEYVY GROUPS SRL</t>
  </si>
  <si>
    <t>BEATTI HERNAN</t>
  </si>
  <si>
    <t>AUDINO DANIEL NATALIO</t>
  </si>
  <si>
    <t>DROGUERIA BIOS SA</t>
  </si>
  <si>
    <t>DEL DIESTRO FERNANDO</t>
  </si>
  <si>
    <t>FISCHER GUILLERMO JAVIER</t>
  </si>
  <si>
    <t>MUSSELINA SA</t>
  </si>
  <si>
    <t>RIPOLL LAURA ARACELI</t>
  </si>
  <si>
    <t>VALLEJOS JUAN ALBINO</t>
  </si>
  <si>
    <t>ROSALES CAMPOS ESMERALDA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</si>
</sst>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_-&quot;$&quot;\ * #,##0.00_-;\-&quot;$&quot;\ * #,##0.00_-;_-&quot;$&quot;\ * &quot;-&quot;??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&quot;$&quot;\ #,##0.00;&quot;$&quot;\ \-#,##0.00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dd\-mm\-yy;@"/>
    <numFmt numFmtId="171" formatCode="000"/>
    <numFmt numFmtId="172" formatCode="0000"/>
    <numFmt numFmtId="173" formatCode="00000000"/>
    <numFmt numFmtId="174" formatCode="##\-########\-#"/>
    <numFmt numFmtId="175" formatCode="[$-C0A]mmmm\-yy;@"/>
    <numFmt numFmtId="176" formatCode="[$$-2C0A]\ #,##0.00;\-[$$-2C0A]\ #,##0.00"/>
    <numFmt numFmtId="177" formatCode="_-[$$-2C0A]\ * #,##0.00_-;\-[$$-2C0A]\ * #,##0.00_-;_-[$$-2C0A]\ * &quot;-&quot;??_-;_-@_-"/>
    <numFmt numFmtId="178" formatCode="#,##0.000"/>
    <numFmt numFmtId="179" formatCode="0.000"/>
    <numFmt numFmtId="180" formatCode="#,##0.00_ ;[Red]\-#,##0.00\ "/>
    <numFmt numFmtId="181" formatCode="dd/mm/yy;@"/>
    <numFmt numFmtId="182" formatCode="d/mm/yyyy"/>
  </numFmts>
  <fonts count="9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Times New Roman"/>
      <family val="1"/>
    </font>
    <font>
      <sz val="10"/>
      <name val="Calibri"/>
    </font>
    <font>
      <b/>
      <sz val="10"/>
      <name val="Calibri"/>
    </font>
  </fonts>
  <fills count="3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165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9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6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</cellStyleXfs>
  <cellXfs count="640">
    <xf numFmtId="0" fontId="0" fillId="0" borderId="0" xfId="0"/>
    <xf numFmtId="174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8" fontId="21" fillId="8" borderId="18" xfId="6" applyNumberFormat="1" applyFont="1" applyFill="1" applyBorder="1" applyAlignment="1">
      <alignment horizontal="center"/>
    </xf>
    <xf numFmtId="178" fontId="21" fillId="8" borderId="2" xfId="6" applyNumberFormat="1" applyFont="1" applyFill="1" applyBorder="1" applyAlignment="1">
      <alignment horizontal="center"/>
    </xf>
    <xf numFmtId="178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8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9" fontId="20" fillId="0" borderId="7" xfId="9" applyFont="1" applyBorder="1" applyAlignment="1">
      <alignment horizontal="center"/>
    </xf>
    <xf numFmtId="169" fontId="20" fillId="0" borderId="11" xfId="9" applyFont="1" applyBorder="1" applyAlignment="1">
      <alignment horizontal="center"/>
    </xf>
    <xf numFmtId="169" fontId="20" fillId="0" borderId="1" xfId="9" applyFont="1" applyBorder="1" applyAlignment="1">
      <alignment horizontal="center"/>
    </xf>
    <xf numFmtId="179" fontId="25" fillId="0" borderId="0" xfId="6" applyNumberFormat="1" applyFont="1"/>
    <xf numFmtId="0" fontId="25" fillId="16" borderId="0" xfId="6" applyFont="1" applyFill="1" applyAlignment="1">
      <alignment horizontal="center"/>
    </xf>
    <xf numFmtId="179" fontId="26" fillId="8" borderId="1" xfId="6" applyNumberFormat="1" applyFont="1" applyFill="1" applyBorder="1" applyAlignment="1">
      <alignment horizontal="left"/>
    </xf>
    <xf numFmtId="179" fontId="26" fillId="8" borderId="17" xfId="6" applyNumberFormat="1" applyFont="1" applyFill="1" applyBorder="1" applyAlignment="1">
      <alignment horizontal="left"/>
    </xf>
    <xf numFmtId="179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9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17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70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80" fontId="10" fillId="0" borderId="1" xfId="3" applyNumberFormat="1" applyFont="1" applyBorder="1"/>
    <xf numFmtId="180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80" fontId="10" fillId="0" borderId="28" xfId="0" applyNumberFormat="1" applyFont="1" applyBorder="1"/>
    <xf numFmtId="180" fontId="13" fillId="0" borderId="28" xfId="0" applyNumberFormat="1" applyFont="1" applyBorder="1" applyAlignment="1">
      <alignment horizontal="right"/>
    </xf>
    <xf numFmtId="180" fontId="6" fillId="0" borderId="28" xfId="0" applyNumberFormat="1" applyFont="1" applyBorder="1" applyAlignment="1">
      <alignment horizontal="right" vertical="center"/>
    </xf>
    <xf numFmtId="180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174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4" fontId="6" fillId="0" borderId="1" xfId="3" applyNumberFormat="1" applyFont="1" applyBorder="1" applyAlignment="1">
      <alignment horizontal="center"/>
    </xf>
    <xf numFmtId="180" fontId="6" fillId="0" borderId="1" xfId="3" applyNumberFormat="1" applyFont="1" applyBorder="1"/>
    <xf numFmtId="180" fontId="6" fillId="0" borderId="1" xfId="3" applyNumberFormat="1" applyFont="1" applyBorder="1" applyAlignment="1">
      <alignment horizontal="right"/>
    </xf>
    <xf numFmtId="170" fontId="6" fillId="0" borderId="27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80" fontId="6" fillId="0" borderId="28" xfId="3" applyNumberFormat="1" applyFont="1" applyBorder="1"/>
    <xf numFmtId="180" fontId="6" fillId="0" borderId="28" xfId="3" applyNumberFormat="1" applyFont="1" applyBorder="1" applyAlignment="1">
      <alignment horizontal="right"/>
    </xf>
    <xf numFmtId="170" fontId="6" fillId="0" borderId="9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173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4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9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3" fontId="44" fillId="0" borderId="0" xfId="3" applyNumberFormat="1" applyFont="1" applyAlignment="1">
      <alignment horizontal="center"/>
    </xf>
    <xf numFmtId="174" fontId="44" fillId="0" borderId="0" xfId="3" applyNumberFormat="1" applyFont="1" applyAlignment="1">
      <alignment horizont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181" fontId="44" fillId="0" borderId="0" xfId="3" applyNumberFormat="1" applyFont="1" applyAlignment="1">
      <alignment horizontal="center"/>
    </xf>
    <xf numFmtId="173" fontId="42" fillId="0" borderId="0" xfId="3" applyNumberFormat="1" applyFont="1" applyAlignment="1">
      <alignment horizontal="center" vertical="center"/>
    </xf>
    <xf numFmtId="4" fontId="0" fillId="0" borderId="0" xfId="0" applyNumberFormat="1"/>
    <xf numFmtId="0" fontId="12" fillId="24" borderId="34" xfId="0" applyFont="1" applyFill="1" applyBorder="1" applyAlignment="1">
      <alignment horizontal="right"/>
    </xf>
    <xf numFmtId="166" fontId="12" fillId="24" borderId="35" xfId="27" applyFont="1" applyFill="1" applyBorder="1"/>
    <xf numFmtId="173" fontId="46" fillId="0" borderId="0" xfId="3" applyNumberFormat="1" applyFont="1" applyAlignment="1">
      <alignment horizontal="center"/>
    </xf>
    <xf numFmtId="174" fontId="46" fillId="0" borderId="0" xfId="3" applyNumberFormat="1" applyFont="1" applyAlignment="1">
      <alignment horizontal="center"/>
    </xf>
    <xf numFmtId="0" fontId="46" fillId="0" borderId="0" xfId="3" applyFont="1" applyAlignment="1">
      <alignment horizontal="left"/>
    </xf>
    <xf numFmtId="0" fontId="46" fillId="0" borderId="0" xfId="3" applyFont="1" applyAlignment="1">
      <alignment horizontal="center" vertical="center"/>
    </xf>
    <xf numFmtId="4" fontId="45" fillId="0" borderId="0" xfId="3" applyNumberFormat="1" applyFont="1" applyAlignment="1">
      <alignment horizontal="right" vertical="center"/>
    </xf>
    <xf numFmtId="174" fontId="6" fillId="0" borderId="28" xfId="3" applyNumberFormat="1" applyFont="1" applyBorder="1" applyAlignment="1">
      <alignment horizontal="center"/>
    </xf>
    <xf numFmtId="170" fontId="10" fillId="0" borderId="36" xfId="3" applyNumberFormat="1" applyFont="1" applyBorder="1" applyAlignment="1">
      <alignment horizontal="center"/>
    </xf>
    <xf numFmtId="171" fontId="10" fillId="0" borderId="1" xfId="3" applyNumberFormat="1" applyFont="1" applyBorder="1" applyAlignment="1">
      <alignment horizontal="center"/>
    </xf>
    <xf numFmtId="172" fontId="10" fillId="0" borderId="9" xfId="3" applyNumberFormat="1" applyFont="1" applyBorder="1" applyAlignment="1">
      <alignment horizontal="center"/>
    </xf>
    <xf numFmtId="173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80" fontId="10" fillId="0" borderId="1" xfId="3" applyNumberFormat="1" applyFont="1" applyBorder="1" applyAlignment="1">
      <alignment horizontal="right"/>
    </xf>
    <xf numFmtId="180" fontId="10" fillId="0" borderId="1" xfId="3" applyNumberFormat="1" applyFont="1" applyBorder="1" applyAlignment="1">
      <alignment horizontal="right" vertical="center"/>
    </xf>
    <xf numFmtId="170" fontId="10" fillId="0" borderId="23" xfId="3" applyNumberFormat="1" applyFont="1" applyBorder="1" applyAlignment="1">
      <alignment horizontal="center"/>
    </xf>
    <xf numFmtId="172" fontId="10" fillId="0" borderId="27" xfId="3" applyNumberFormat="1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174" fontId="10" fillId="0" borderId="28" xfId="3" applyNumberFormat="1" applyFont="1" applyBorder="1" applyAlignment="1">
      <alignment horizontal="center"/>
    </xf>
    <xf numFmtId="180" fontId="10" fillId="0" borderId="28" xfId="3" applyNumberFormat="1" applyFont="1" applyBorder="1"/>
    <xf numFmtId="180" fontId="10" fillId="0" borderId="28" xfId="3" applyNumberFormat="1" applyFont="1" applyBorder="1" applyAlignment="1">
      <alignment horizontal="right"/>
    </xf>
    <xf numFmtId="180" fontId="10" fillId="0" borderId="28" xfId="3" applyNumberFormat="1" applyFont="1" applyBorder="1" applyAlignment="1">
      <alignment horizontal="right" vertical="center"/>
    </xf>
    <xf numFmtId="170" fontId="47" fillId="0" borderId="0" xfId="3" applyNumberFormat="1" applyFont="1" applyAlignment="1">
      <alignment horizontal="center"/>
    </xf>
    <xf numFmtId="1" fontId="47" fillId="0" borderId="0" xfId="3" applyNumberFormat="1" applyFont="1" applyAlignment="1">
      <alignment horizontal="center"/>
    </xf>
    <xf numFmtId="174" fontId="47" fillId="0" borderId="0" xfId="3" applyNumberFormat="1" applyFont="1" applyAlignment="1">
      <alignment horizontal="center"/>
    </xf>
    <xf numFmtId="0" fontId="47" fillId="0" borderId="0" xfId="3" applyFont="1" applyAlignment="1">
      <alignment horizontal="left"/>
    </xf>
    <xf numFmtId="40" fontId="47" fillId="0" borderId="0" xfId="3" applyNumberFormat="1" applyFont="1" applyAlignment="1">
      <alignment horizontal="right"/>
    </xf>
    <xf numFmtId="173" fontId="48" fillId="0" borderId="0" xfId="3" applyNumberFormat="1" applyFont="1" applyAlignment="1">
      <alignment horizontal="center" vertical="center"/>
    </xf>
    <xf numFmtId="174" fontId="48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/>
    </xf>
    <xf numFmtId="4" fontId="47" fillId="0" borderId="0" xfId="3" applyNumberFormat="1" applyFont="1" applyAlignment="1">
      <alignment horizontal="right" vertical="center"/>
    </xf>
    <xf numFmtId="0" fontId="47" fillId="0" borderId="0" xfId="3" applyFont="1" applyAlignment="1">
      <alignment horizontal="center" vertical="center"/>
    </xf>
    <xf numFmtId="173" fontId="10" fillId="0" borderId="0" xfId="3" applyNumberFormat="1" applyFont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6" fillId="26" borderId="0" xfId="3" applyFont="1" applyFill="1" applyAlignment="1">
      <alignment horizontal="left" vertical="center"/>
    </xf>
    <xf numFmtId="0" fontId="49" fillId="0" borderId="27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180" fontId="49" fillId="0" borderId="28" xfId="0" applyNumberFormat="1" applyFont="1" applyBorder="1"/>
    <xf numFmtId="180" fontId="50" fillId="0" borderId="28" xfId="0" applyNumberFormat="1" applyFont="1" applyBorder="1" applyAlignment="1">
      <alignment horizontal="right"/>
    </xf>
    <xf numFmtId="180" fontId="51" fillId="0" borderId="28" xfId="0" applyNumberFormat="1" applyFont="1" applyBorder="1" applyAlignment="1">
      <alignment horizontal="right" vertical="center"/>
    </xf>
    <xf numFmtId="0" fontId="51" fillId="0" borderId="29" xfId="0" applyFont="1" applyBorder="1" applyAlignment="1">
      <alignment horizontal="right" vertical="center"/>
    </xf>
    <xf numFmtId="170" fontId="51" fillId="0" borderId="9" xfId="3" applyNumberFormat="1" applyFont="1" applyBorder="1" applyAlignment="1">
      <alignment horizontal="center"/>
    </xf>
    <xf numFmtId="171" fontId="51" fillId="0" borderId="1" xfId="3" applyNumberFormat="1" applyFont="1" applyBorder="1" applyAlignment="1">
      <alignment horizontal="center"/>
    </xf>
    <xf numFmtId="172" fontId="51" fillId="0" borderId="1" xfId="3" applyNumberFormat="1" applyFont="1" applyBorder="1" applyAlignment="1">
      <alignment horizontal="center"/>
    </xf>
    <xf numFmtId="173" fontId="51" fillId="0" borderId="1" xfId="3" applyNumberFormat="1" applyFont="1" applyBorder="1" applyAlignment="1">
      <alignment horizontal="center"/>
    </xf>
    <xf numFmtId="0" fontId="51" fillId="0" borderId="1" xfId="3" applyFont="1" applyBorder="1" applyAlignment="1">
      <alignment horizontal="center"/>
    </xf>
    <xf numFmtId="174" fontId="51" fillId="0" borderId="1" xfId="3" applyNumberFormat="1" applyFont="1" applyBorder="1" applyAlignment="1">
      <alignment horizontal="center"/>
    </xf>
    <xf numFmtId="180" fontId="51" fillId="0" borderId="1" xfId="3" applyNumberFormat="1" applyFont="1" applyBorder="1"/>
    <xf numFmtId="180" fontId="51" fillId="0" borderId="1" xfId="3" applyNumberFormat="1" applyFont="1" applyBorder="1" applyAlignment="1">
      <alignment horizontal="right"/>
    </xf>
    <xf numFmtId="180" fontId="51" fillId="0" borderId="1" xfId="3" applyNumberFormat="1" applyFont="1" applyBorder="1" applyAlignment="1">
      <alignment horizontal="right" vertical="center"/>
    </xf>
    <xf numFmtId="40" fontId="51" fillId="0" borderId="13" xfId="3" applyNumberFormat="1" applyFont="1" applyBorder="1" applyAlignment="1">
      <alignment horizontal="right" vertical="center"/>
    </xf>
    <xf numFmtId="170" fontId="51" fillId="0" borderId="27" xfId="3" applyNumberFormat="1" applyFont="1" applyBorder="1" applyAlignment="1">
      <alignment horizontal="center"/>
    </xf>
    <xf numFmtId="172" fontId="51" fillId="0" borderId="28" xfId="3" applyNumberFormat="1" applyFont="1" applyBorder="1" applyAlignment="1">
      <alignment horizontal="center"/>
    </xf>
    <xf numFmtId="173" fontId="51" fillId="0" borderId="28" xfId="3" applyNumberFormat="1" applyFont="1" applyBorder="1" applyAlignment="1">
      <alignment horizontal="center"/>
    </xf>
    <xf numFmtId="0" fontId="51" fillId="0" borderId="28" xfId="3" applyFont="1" applyBorder="1" applyAlignment="1">
      <alignment horizontal="center"/>
    </xf>
    <xf numFmtId="174" fontId="51" fillId="0" borderId="28" xfId="3" applyNumberFormat="1" applyFont="1" applyBorder="1" applyAlignment="1">
      <alignment horizontal="center"/>
    </xf>
    <xf numFmtId="180" fontId="51" fillId="0" borderId="28" xfId="3" applyNumberFormat="1" applyFont="1" applyBorder="1"/>
    <xf numFmtId="180" fontId="51" fillId="0" borderId="28" xfId="3" applyNumberFormat="1" applyFont="1" applyBorder="1" applyAlignment="1">
      <alignment horizontal="right"/>
    </xf>
    <xf numFmtId="180" fontId="51" fillId="0" borderId="28" xfId="3" applyNumberFormat="1" applyFont="1" applyBorder="1" applyAlignment="1">
      <alignment horizontal="right" vertical="center"/>
    </xf>
    <xf numFmtId="40" fontId="51" fillId="0" borderId="29" xfId="3" applyNumberFormat="1" applyFont="1" applyBorder="1" applyAlignment="1">
      <alignment horizontal="right" vertical="center"/>
    </xf>
    <xf numFmtId="40" fontId="50" fillId="0" borderId="28" xfId="0" applyNumberFormat="1" applyFont="1" applyBorder="1" applyAlignment="1">
      <alignment horizontal="right"/>
    </xf>
    <xf numFmtId="40" fontId="51" fillId="0" borderId="28" xfId="0" applyNumberFormat="1" applyFont="1" applyBorder="1" applyAlignment="1">
      <alignment horizontal="right" vertical="center"/>
    </xf>
    <xf numFmtId="170" fontId="49" fillId="0" borderId="36" xfId="3" applyNumberFormat="1" applyFont="1" applyBorder="1" applyAlignment="1">
      <alignment horizontal="center"/>
    </xf>
    <xf numFmtId="171" fontId="49" fillId="0" borderId="1" xfId="3" applyNumberFormat="1" applyFont="1" applyBorder="1" applyAlignment="1">
      <alignment horizontal="center"/>
    </xf>
    <xf numFmtId="172" fontId="49" fillId="0" borderId="9" xfId="3" applyNumberFormat="1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174" fontId="49" fillId="0" borderId="1" xfId="3" applyNumberFormat="1" applyFont="1" applyBorder="1" applyAlignment="1">
      <alignment horizontal="center"/>
    </xf>
    <xf numFmtId="180" fontId="49" fillId="0" borderId="1" xfId="3" applyNumberFormat="1" applyFont="1" applyBorder="1"/>
    <xf numFmtId="180" fontId="49" fillId="0" borderId="1" xfId="3" applyNumberFormat="1" applyFont="1" applyBorder="1" applyAlignment="1">
      <alignment horizontal="right"/>
    </xf>
    <xf numFmtId="180" fontId="49" fillId="0" borderId="1" xfId="3" applyNumberFormat="1" applyFont="1" applyBorder="1" applyAlignment="1">
      <alignment horizontal="right" vertical="center"/>
    </xf>
    <xf numFmtId="170" fontId="49" fillId="0" borderId="23" xfId="3" applyNumberFormat="1" applyFont="1" applyBorder="1" applyAlignment="1">
      <alignment horizontal="center"/>
    </xf>
    <xf numFmtId="172" fontId="49" fillId="0" borderId="27" xfId="3" applyNumberFormat="1" applyFont="1" applyBorder="1" applyAlignment="1">
      <alignment horizontal="center"/>
    </xf>
    <xf numFmtId="173" fontId="49" fillId="0" borderId="28" xfId="3" applyNumberFormat="1" applyFont="1" applyBorder="1" applyAlignment="1">
      <alignment horizontal="center"/>
    </xf>
    <xf numFmtId="0" fontId="49" fillId="0" borderId="28" xfId="3" applyFont="1" applyBorder="1" applyAlignment="1">
      <alignment horizontal="center"/>
    </xf>
    <xf numFmtId="174" fontId="49" fillId="0" borderId="28" xfId="3" applyNumberFormat="1" applyFont="1" applyBorder="1" applyAlignment="1">
      <alignment horizontal="center"/>
    </xf>
    <xf numFmtId="180" fontId="49" fillId="0" borderId="28" xfId="3" applyNumberFormat="1" applyFont="1" applyBorder="1"/>
    <xf numFmtId="180" fontId="49" fillId="0" borderId="28" xfId="3" applyNumberFormat="1" applyFont="1" applyBorder="1" applyAlignment="1">
      <alignment horizontal="right"/>
    </xf>
    <xf numFmtId="180" fontId="49" fillId="0" borderId="28" xfId="3" applyNumberFormat="1" applyFont="1" applyBorder="1" applyAlignment="1">
      <alignment horizontal="right" vertical="center"/>
    </xf>
    <xf numFmtId="40" fontId="53" fillId="0" borderId="0" xfId="3" applyNumberFormat="1" applyFont="1" applyAlignment="1">
      <alignment vertical="center"/>
    </xf>
    <xf numFmtId="170" fontId="6" fillId="25" borderId="9" xfId="3" applyNumberFormat="1" applyFont="1" applyFill="1" applyBorder="1" applyAlignment="1">
      <alignment horizontal="center"/>
    </xf>
    <xf numFmtId="171" fontId="6" fillId="25" borderId="1" xfId="3" applyNumberFormat="1" applyFont="1" applyFill="1" applyBorder="1" applyAlignment="1">
      <alignment horizontal="center"/>
    </xf>
    <xf numFmtId="172" fontId="6" fillId="25" borderId="1" xfId="3" applyNumberFormat="1" applyFont="1" applyFill="1" applyBorder="1" applyAlignment="1">
      <alignment horizontal="center"/>
    </xf>
    <xf numFmtId="173" fontId="6" fillId="25" borderId="1" xfId="3" applyNumberFormat="1" applyFont="1" applyFill="1" applyBorder="1" applyAlignment="1">
      <alignment horizontal="center"/>
    </xf>
    <xf numFmtId="0" fontId="6" fillId="25" borderId="1" xfId="3" applyFont="1" applyFill="1" applyBorder="1" applyAlignment="1">
      <alignment horizontal="center"/>
    </xf>
    <xf numFmtId="174" fontId="6" fillId="25" borderId="1" xfId="3" applyNumberFormat="1" applyFont="1" applyFill="1" applyBorder="1" applyAlignment="1">
      <alignment horizontal="center"/>
    </xf>
    <xf numFmtId="180" fontId="6" fillId="25" borderId="1" xfId="3" applyNumberFormat="1" applyFont="1" applyFill="1" applyBorder="1"/>
    <xf numFmtId="180" fontId="6" fillId="25" borderId="1" xfId="3" applyNumberFormat="1" applyFont="1" applyFill="1" applyBorder="1" applyAlignment="1">
      <alignment horizontal="right"/>
    </xf>
    <xf numFmtId="180" fontId="6" fillId="25" borderId="1" xfId="3" applyNumberFormat="1" applyFont="1" applyFill="1" applyBorder="1" applyAlignment="1">
      <alignment horizontal="right" vertical="center"/>
    </xf>
    <xf numFmtId="40" fontId="6" fillId="25" borderId="13" xfId="3" applyNumberFormat="1" applyFont="1" applyFill="1" applyBorder="1" applyAlignment="1">
      <alignment horizontal="right" vertical="center"/>
    </xf>
    <xf numFmtId="0" fontId="0" fillId="26" borderId="0" xfId="0" applyFill="1"/>
    <xf numFmtId="170" fontId="55" fillId="0" borderId="0" xfId="3" applyNumberFormat="1" applyFont="1" applyAlignment="1">
      <alignment horizontal="center" vertical="center"/>
    </xf>
    <xf numFmtId="40" fontId="56" fillId="0" borderId="0" xfId="3" applyNumberFormat="1" applyFont="1" applyAlignment="1">
      <alignment vertical="center"/>
    </xf>
    <xf numFmtId="173" fontId="57" fillId="0" borderId="0" xfId="3" applyNumberFormat="1" applyFont="1" applyAlignment="1">
      <alignment horizontal="center"/>
    </xf>
    <xf numFmtId="174" fontId="57" fillId="0" borderId="0" xfId="3" applyNumberFormat="1" applyFont="1" applyAlignment="1">
      <alignment horizontal="center"/>
    </xf>
    <xf numFmtId="0" fontId="57" fillId="0" borderId="0" xfId="3" applyFont="1" applyAlignment="1">
      <alignment horizontal="left"/>
    </xf>
    <xf numFmtId="4" fontId="57" fillId="0" borderId="0" xfId="3" applyNumberFormat="1" applyFont="1" applyAlignment="1">
      <alignment horizontal="right" vertical="center"/>
    </xf>
    <xf numFmtId="0" fontId="57" fillId="0" borderId="0" xfId="3" applyFont="1" applyAlignment="1">
      <alignment horizontal="center" vertical="center"/>
    </xf>
    <xf numFmtId="170" fontId="55" fillId="0" borderId="9" xfId="3" applyNumberFormat="1" applyFont="1" applyBorder="1" applyAlignment="1">
      <alignment horizontal="center"/>
    </xf>
    <xf numFmtId="171" fontId="55" fillId="0" borderId="1" xfId="3" applyNumberFormat="1" applyFont="1" applyBorder="1" applyAlignment="1">
      <alignment horizontal="center"/>
    </xf>
    <xf numFmtId="172" fontId="55" fillId="0" borderId="1" xfId="3" applyNumberFormat="1" applyFont="1" applyBorder="1" applyAlignment="1">
      <alignment horizontal="center"/>
    </xf>
    <xf numFmtId="173" fontId="55" fillId="0" borderId="1" xfId="3" applyNumberFormat="1" applyFont="1" applyBorder="1" applyAlignment="1">
      <alignment horizontal="center"/>
    </xf>
    <xf numFmtId="0" fontId="55" fillId="0" borderId="1" xfId="3" applyFont="1" applyBorder="1" applyAlignment="1">
      <alignment horizontal="center"/>
    </xf>
    <xf numFmtId="174" fontId="55" fillId="0" borderId="1" xfId="3" applyNumberFormat="1" applyFont="1" applyBorder="1" applyAlignment="1">
      <alignment horizontal="center"/>
    </xf>
    <xf numFmtId="180" fontId="55" fillId="0" borderId="1" xfId="3" applyNumberFormat="1" applyFont="1" applyBorder="1"/>
    <xf numFmtId="180" fontId="55" fillId="0" borderId="1" xfId="3" applyNumberFormat="1" applyFont="1" applyBorder="1" applyAlignment="1">
      <alignment horizontal="right"/>
    </xf>
    <xf numFmtId="180" fontId="55" fillId="0" borderId="1" xfId="3" applyNumberFormat="1" applyFont="1" applyBorder="1" applyAlignment="1">
      <alignment horizontal="right" vertical="center"/>
    </xf>
    <xf numFmtId="40" fontId="55" fillId="0" borderId="13" xfId="3" applyNumberFormat="1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0" applyNumberFormat="1" applyFont="1" applyAlignment="1">
      <alignment horizontal="right" vertical="center"/>
    </xf>
    <xf numFmtId="4" fontId="58" fillId="0" borderId="0" xfId="3" applyNumberFormat="1" applyFont="1" applyAlignment="1">
      <alignment horizontal="right" vertical="center"/>
    </xf>
    <xf numFmtId="166" fontId="0" fillId="0" borderId="0" xfId="27" applyFont="1" applyFill="1" applyBorder="1"/>
    <xf numFmtId="174" fontId="0" fillId="0" borderId="0" xfId="0" applyNumberFormat="1"/>
    <xf numFmtId="174" fontId="13" fillId="0" borderId="0" xfId="3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62" fillId="0" borderId="0" xfId="27" applyFont="1"/>
    <xf numFmtId="166" fontId="36" fillId="0" borderId="0" xfId="27" applyFont="1" applyAlignment="1">
      <alignment horizontal="right" vertical="center"/>
    </xf>
    <xf numFmtId="166" fontId="10" fillId="0" borderId="0" xfId="27" applyFont="1" applyFill="1" applyAlignment="1">
      <alignment horizontal="right" vertical="center"/>
    </xf>
    <xf numFmtId="1" fontId="37" fillId="0" borderId="0" xfId="0" applyNumberFormat="1" applyFont="1" applyAlignment="1">
      <alignment horizontal="center"/>
    </xf>
    <xf numFmtId="170" fontId="63" fillId="0" borderId="0" xfId="3" applyNumberFormat="1" applyFont="1" applyAlignment="1">
      <alignment horizontal="center" vertical="center"/>
    </xf>
    <xf numFmtId="0" fontId="64" fillId="0" borderId="0" xfId="0" applyFont="1" applyAlignment="1">
      <alignment horizontal="center"/>
    </xf>
    <xf numFmtId="4" fontId="63" fillId="0" borderId="0" xfId="3" applyNumberFormat="1" applyFont="1" applyAlignment="1">
      <alignment horizontal="right" vertical="center"/>
    </xf>
    <xf numFmtId="166" fontId="0" fillId="0" borderId="0" xfId="27" applyFont="1"/>
    <xf numFmtId="0" fontId="36" fillId="0" borderId="0" xfId="0" applyFont="1" applyAlignment="1">
      <alignment horizontal="right" vertical="center"/>
    </xf>
    <xf numFmtId="0" fontId="65" fillId="22" borderId="37" xfId="0" applyFont="1" applyFill="1" applyBorder="1" applyAlignment="1">
      <alignment horizontal="center" vertical="center"/>
    </xf>
    <xf numFmtId="4" fontId="7" fillId="0" borderId="0" xfId="3" applyNumberFormat="1" applyFont="1" applyAlignment="1">
      <alignment horizontal="right" vertical="center"/>
    </xf>
    <xf numFmtId="170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174" fontId="66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left" vertical="center"/>
    </xf>
    <xf numFmtId="40" fontId="67" fillId="0" borderId="0" xfId="3" applyNumberFormat="1" applyFont="1" applyAlignment="1">
      <alignment horizontal="right" vertical="center"/>
    </xf>
    <xf numFmtId="173" fontId="68" fillId="0" borderId="0" xfId="3" applyNumberFormat="1" applyFont="1" applyAlignment="1">
      <alignment horizontal="center"/>
    </xf>
    <xf numFmtId="174" fontId="68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4" fontId="68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0" fontId="68" fillId="0" borderId="36" xfId="3" applyNumberFormat="1" applyFont="1" applyBorder="1" applyAlignment="1">
      <alignment horizontal="center"/>
    </xf>
    <xf numFmtId="171" fontId="68" fillId="0" borderId="1" xfId="3" applyNumberFormat="1" applyFont="1" applyBorder="1" applyAlignment="1">
      <alignment horizontal="center"/>
    </xf>
    <xf numFmtId="172" fontId="68" fillId="0" borderId="9" xfId="3" applyNumberFormat="1" applyFont="1" applyBorder="1" applyAlignment="1">
      <alignment horizontal="center"/>
    </xf>
    <xf numFmtId="173" fontId="68" fillId="0" borderId="1" xfId="3" applyNumberFormat="1" applyFont="1" applyBorder="1" applyAlignment="1">
      <alignment horizontal="center"/>
    </xf>
    <xf numFmtId="0" fontId="68" fillId="0" borderId="1" xfId="3" applyFont="1" applyBorder="1" applyAlignment="1">
      <alignment horizontal="center"/>
    </xf>
    <xf numFmtId="174" fontId="68" fillId="0" borderId="1" xfId="3" applyNumberFormat="1" applyFont="1" applyBorder="1" applyAlignment="1">
      <alignment horizontal="center"/>
    </xf>
    <xf numFmtId="180" fontId="68" fillId="0" borderId="1" xfId="3" applyNumberFormat="1" applyFont="1" applyBorder="1"/>
    <xf numFmtId="180" fontId="68" fillId="0" borderId="1" xfId="3" applyNumberFormat="1" applyFont="1" applyBorder="1" applyAlignment="1">
      <alignment horizontal="right"/>
    </xf>
    <xf numFmtId="180" fontId="68" fillId="0" borderId="1" xfId="3" applyNumberFormat="1" applyFont="1" applyBorder="1" applyAlignment="1">
      <alignment horizontal="right" vertical="center"/>
    </xf>
    <xf numFmtId="40" fontId="66" fillId="0" borderId="13" xfId="3" applyNumberFormat="1" applyFont="1" applyBorder="1" applyAlignment="1">
      <alignment horizontal="right" vertical="center"/>
    </xf>
    <xf numFmtId="170" fontId="66" fillId="0" borderId="9" xfId="3" applyNumberFormat="1" applyFont="1" applyBorder="1" applyAlignment="1">
      <alignment horizontal="center"/>
    </xf>
    <xf numFmtId="172" fontId="66" fillId="0" borderId="1" xfId="3" applyNumberFormat="1" applyFont="1" applyBorder="1" applyAlignment="1">
      <alignment horizontal="center"/>
    </xf>
    <xf numFmtId="173" fontId="66" fillId="0" borderId="1" xfId="3" applyNumberFormat="1" applyFont="1" applyBorder="1" applyAlignment="1">
      <alignment horizontal="center"/>
    </xf>
    <xf numFmtId="0" fontId="66" fillId="0" borderId="1" xfId="3" applyFont="1" applyBorder="1" applyAlignment="1">
      <alignment horizontal="center"/>
    </xf>
    <xf numFmtId="174" fontId="66" fillId="0" borderId="1" xfId="3" applyNumberFormat="1" applyFont="1" applyBorder="1" applyAlignment="1">
      <alignment horizontal="center"/>
    </xf>
    <xf numFmtId="180" fontId="66" fillId="0" borderId="1" xfId="3" applyNumberFormat="1" applyFont="1" applyBorder="1" applyAlignment="1">
      <alignment horizontal="right"/>
    </xf>
    <xf numFmtId="180" fontId="66" fillId="0" borderId="1" xfId="3" applyNumberFormat="1" applyFont="1" applyBorder="1" applyAlignment="1">
      <alignment horizontal="right" vertical="center"/>
    </xf>
    <xf numFmtId="170" fontId="69" fillId="0" borderId="0" xfId="3" applyNumberFormat="1" applyFont="1" applyAlignment="1">
      <alignment horizontal="center" vertical="center"/>
    </xf>
    <xf numFmtId="171" fontId="69" fillId="0" borderId="0" xfId="3" applyNumberFormat="1" applyFont="1" applyAlignment="1">
      <alignment horizontal="center" vertical="center"/>
    </xf>
    <xf numFmtId="172" fontId="69" fillId="0" borderId="0" xfId="3" applyNumberFormat="1" applyFont="1" applyAlignment="1">
      <alignment horizontal="center" vertical="center"/>
    </xf>
    <xf numFmtId="173" fontId="69" fillId="0" borderId="0" xfId="3" applyNumberFormat="1" applyFont="1" applyAlignment="1">
      <alignment horizontal="center" vertical="center"/>
    </xf>
    <xf numFmtId="174" fontId="69" fillId="0" borderId="0" xfId="3" applyNumberFormat="1" applyFont="1" applyAlignment="1">
      <alignment horizontal="center" vertical="center"/>
    </xf>
    <xf numFmtId="0" fontId="69" fillId="0" borderId="0" xfId="3" applyFont="1" applyAlignment="1">
      <alignment horizontal="left" vertical="center"/>
    </xf>
    <xf numFmtId="40" fontId="70" fillId="0" borderId="0" xfId="3" applyNumberFormat="1" applyFont="1" applyAlignment="1">
      <alignment horizontal="right" vertical="center"/>
    </xf>
    <xf numFmtId="40" fontId="70" fillId="0" borderId="0" xfId="3" applyNumberFormat="1" applyFont="1" applyAlignment="1">
      <alignment vertical="center"/>
    </xf>
    <xf numFmtId="40" fontId="70" fillId="0" borderId="0" xfId="3" applyNumberFormat="1" applyFont="1" applyAlignment="1">
      <alignment horizontal="center" vertical="center"/>
    </xf>
    <xf numFmtId="0" fontId="69" fillId="0" borderId="0" xfId="3" applyFont="1" applyAlignment="1">
      <alignment horizontal="center" vertical="center"/>
    </xf>
    <xf numFmtId="170" fontId="73" fillId="0" borderId="0" xfId="3" applyNumberFormat="1" applyFont="1" applyAlignment="1">
      <alignment horizontal="center" vertical="center"/>
    </xf>
    <xf numFmtId="14" fontId="74" fillId="0" borderId="0" xfId="3" applyNumberFormat="1" applyFont="1" applyAlignment="1">
      <alignment horizontal="center"/>
    </xf>
    <xf numFmtId="4" fontId="73" fillId="0" borderId="0" xfId="3" applyNumberFormat="1" applyFont="1" applyAlignment="1">
      <alignment horizontal="right" vertical="center"/>
    </xf>
    <xf numFmtId="0" fontId="74" fillId="0" borderId="0" xfId="3" applyFont="1" applyAlignment="1">
      <alignment horizontal="center"/>
    </xf>
    <xf numFmtId="4" fontId="6" fillId="0" borderId="0" xfId="3" applyNumberFormat="1" applyFont="1" applyAlignment="1">
      <alignment horizontal="right" vertical="center"/>
    </xf>
    <xf numFmtId="0" fontId="3" fillId="22" borderId="37" xfId="0" applyFont="1" applyFill="1" applyBorder="1" applyAlignment="1">
      <alignment horizontal="center" vertical="center"/>
    </xf>
    <xf numFmtId="170" fontId="75" fillId="0" borderId="0" xfId="3" applyNumberFormat="1" applyFont="1" applyAlignment="1">
      <alignment horizontal="center" vertical="center"/>
    </xf>
    <xf numFmtId="0" fontId="76" fillId="0" borderId="0" xfId="0" applyFont="1" applyAlignment="1">
      <alignment horizontal="center"/>
    </xf>
    <xf numFmtId="4" fontId="75" fillId="0" borderId="0" xfId="3" applyNumberFormat="1" applyFont="1" applyAlignment="1">
      <alignment horizontal="right" vertical="center"/>
    </xf>
    <xf numFmtId="0" fontId="75" fillId="0" borderId="0" xfId="0" applyFont="1" applyAlignment="1">
      <alignment horizontal="center" vertical="center"/>
    </xf>
    <xf numFmtId="4" fontId="75" fillId="0" borderId="0" xfId="0" applyNumberFormat="1" applyFont="1" applyAlignment="1">
      <alignment horizontal="right" vertical="center"/>
    </xf>
    <xf numFmtId="173" fontId="0" fillId="0" borderId="0" xfId="0" applyNumberFormat="1" applyAlignment="1">
      <alignment horizontal="center"/>
    </xf>
    <xf numFmtId="40" fontId="61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40" fontId="61" fillId="0" borderId="0" xfId="3" applyNumberFormat="1" applyFont="1" applyAlignment="1">
      <alignment vertical="center"/>
    </xf>
    <xf numFmtId="14" fontId="13" fillId="0" borderId="0" xfId="3" applyNumberFormat="1" applyFont="1" applyAlignment="1">
      <alignment horizontal="left"/>
    </xf>
    <xf numFmtId="171" fontId="60" fillId="0" borderId="0" xfId="3" applyNumberFormat="1" applyFont="1" applyAlignment="1">
      <alignment horizontal="center" vertical="center"/>
    </xf>
    <xf numFmtId="173" fontId="13" fillId="0" borderId="0" xfId="3" applyNumberFormat="1" applyFont="1" applyAlignment="1">
      <alignment horizontal="center"/>
    </xf>
    <xf numFmtId="0" fontId="60" fillId="0" borderId="0" xfId="3" applyFont="1" applyAlignment="1">
      <alignment horizontal="left" vertical="center"/>
    </xf>
    <xf numFmtId="40" fontId="61" fillId="0" borderId="0" xfId="3" applyNumberFormat="1" applyFont="1" applyAlignment="1">
      <alignment horizontal="right" vertical="center"/>
    </xf>
    <xf numFmtId="171" fontId="39" fillId="0" borderId="0" xfId="3" applyNumberFormat="1" applyFont="1" applyAlignment="1">
      <alignment horizontal="center" vertical="center"/>
    </xf>
    <xf numFmtId="0" fontId="0" fillId="27" borderId="0" xfId="0" applyFill="1"/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173" fontId="6" fillId="28" borderId="0" xfId="3" applyNumberFormat="1" applyFont="1" applyFill="1" applyAlignment="1">
      <alignment horizontal="center" vertical="center"/>
    </xf>
    <xf numFmtId="174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0" fontId="0" fillId="28" borderId="0" xfId="0" applyFill="1"/>
    <xf numFmtId="171" fontId="79" fillId="0" borderId="0" xfId="3" applyNumberFormat="1" applyFont="1" applyAlignment="1">
      <alignment horizontal="center" vertical="center"/>
    </xf>
    <xf numFmtId="172" fontId="79" fillId="0" borderId="0" xfId="3" applyNumberFormat="1" applyFont="1" applyAlignment="1">
      <alignment horizontal="center" vertical="center"/>
    </xf>
    <xf numFmtId="173" fontId="79" fillId="0" borderId="0" xfId="3" applyNumberFormat="1" applyFont="1" applyAlignment="1">
      <alignment horizontal="center" vertical="center"/>
    </xf>
    <xf numFmtId="174" fontId="79" fillId="0" borderId="0" xfId="3" applyNumberFormat="1" applyFont="1" applyAlignment="1">
      <alignment horizontal="center" vertical="center"/>
    </xf>
    <xf numFmtId="0" fontId="79" fillId="0" borderId="0" xfId="3" applyFont="1" applyAlignment="1">
      <alignment horizontal="left" vertical="center"/>
    </xf>
    <xf numFmtId="40" fontId="80" fillId="0" borderId="0" xfId="3" applyNumberFormat="1" applyFont="1" applyAlignment="1">
      <alignment horizontal="right" vertical="center"/>
    </xf>
    <xf numFmtId="40" fontId="80" fillId="0" borderId="0" xfId="3" applyNumberFormat="1" applyFont="1" applyAlignment="1">
      <alignment vertical="center"/>
    </xf>
    <xf numFmtId="40" fontId="80" fillId="0" borderId="0" xfId="3" applyNumberFormat="1" applyFont="1" applyAlignment="1">
      <alignment horizontal="center" vertical="center"/>
    </xf>
    <xf numFmtId="0" fontId="79" fillId="0" borderId="0" xfId="3" applyFont="1" applyAlignment="1">
      <alignment horizontal="center" vertical="center"/>
    </xf>
    <xf numFmtId="14" fontId="0" fillId="0" borderId="0" xfId="0" applyNumberFormat="1"/>
    <xf numFmtId="14" fontId="6" fillId="0" borderId="0" xfId="0" applyNumberFormat="1" applyFont="1" applyAlignment="1">
      <alignment horizontal="center" vertical="center"/>
    </xf>
    <xf numFmtId="170" fontId="6" fillId="4" borderId="0" xfId="3" applyNumberFormat="1" applyFont="1" applyFill="1" applyAlignment="1">
      <alignment horizontal="center" vertical="center"/>
    </xf>
    <xf numFmtId="171" fontId="6" fillId="4" borderId="0" xfId="3" applyNumberFormat="1" applyFont="1" applyFill="1" applyAlignment="1">
      <alignment horizontal="center" vertical="center"/>
    </xf>
    <xf numFmtId="172" fontId="6" fillId="4" borderId="0" xfId="3" applyNumberFormat="1" applyFont="1" applyFill="1" applyAlignment="1">
      <alignment horizontal="center" vertical="center"/>
    </xf>
    <xf numFmtId="173" fontId="6" fillId="4" borderId="0" xfId="3" applyNumberFormat="1" applyFont="1" applyFill="1" applyAlignment="1">
      <alignment horizontal="center" vertical="center"/>
    </xf>
    <xf numFmtId="174" fontId="6" fillId="4" borderId="0" xfId="3" applyNumberFormat="1" applyFont="1" applyFill="1" applyAlignment="1">
      <alignment horizontal="center" vertical="center"/>
    </xf>
    <xf numFmtId="40" fontId="7" fillId="4" borderId="0" xfId="3" applyNumberFormat="1" applyFont="1" applyFill="1" applyAlignment="1">
      <alignment horizontal="right" vertical="center"/>
    </xf>
    <xf numFmtId="40" fontId="7" fillId="4" borderId="0" xfId="3" applyNumberFormat="1" applyFont="1" applyFill="1" applyAlignment="1">
      <alignment vertical="center"/>
    </xf>
    <xf numFmtId="40" fontId="7" fillId="4" borderId="0" xfId="3" applyNumberFormat="1" applyFont="1" applyFill="1" applyAlignment="1">
      <alignment horizontal="center" vertical="center"/>
    </xf>
    <xf numFmtId="0" fontId="0" fillId="4" borderId="0" xfId="0" applyFill="1"/>
    <xf numFmtId="0" fontId="6" fillId="4" borderId="0" xfId="3" applyFont="1" applyFill="1" applyAlignment="1">
      <alignment horizontal="left" vertical="center"/>
    </xf>
    <xf numFmtId="0" fontId="6" fillId="4" borderId="0" xfId="3" applyFont="1" applyFill="1" applyAlignment="1">
      <alignment horizontal="center" vertical="center"/>
    </xf>
    <xf numFmtId="0" fontId="15" fillId="3" borderId="4" xfId="3" applyFont="1" applyFill="1" applyBorder="1" applyAlignment="1">
      <alignment horizontal="center" vertical="center" wrapText="1"/>
    </xf>
    <xf numFmtId="0" fontId="15" fillId="3" borderId="6" xfId="3" applyFont="1" applyFill="1" applyBorder="1" applyAlignment="1">
      <alignment horizontal="center" vertical="center" wrapText="1"/>
    </xf>
    <xf numFmtId="0" fontId="15" fillId="3" borderId="5" xfId="3" applyFont="1" applyFill="1" applyBorder="1" applyAlignment="1">
      <alignment horizontal="center" vertical="center" wrapText="1"/>
    </xf>
    <xf numFmtId="4" fontId="81" fillId="0" borderId="0" xfId="3" applyNumberFormat="1" applyFont="1" applyAlignment="1">
      <alignment horizontal="right" vertical="center"/>
    </xf>
    <xf numFmtId="171" fontId="66" fillId="26" borderId="0" xfId="3" applyNumberFormat="1" applyFont="1" applyFill="1" applyAlignment="1">
      <alignment horizontal="center" vertical="center"/>
    </xf>
    <xf numFmtId="172" fontId="66" fillId="26" borderId="0" xfId="3" applyNumberFormat="1" applyFont="1" applyFill="1" applyAlignment="1">
      <alignment horizontal="center" vertical="center"/>
    </xf>
    <xf numFmtId="173" fontId="66" fillId="26" borderId="0" xfId="3" applyNumberFormat="1" applyFont="1" applyFill="1" applyAlignment="1">
      <alignment horizontal="center" vertical="center"/>
    </xf>
    <xf numFmtId="174" fontId="66" fillId="26" borderId="0" xfId="3" applyNumberFormat="1" applyFont="1" applyFill="1" applyAlignment="1">
      <alignment horizontal="center" vertical="center"/>
    </xf>
    <xf numFmtId="0" fontId="66" fillId="26" borderId="0" xfId="3" applyFont="1" applyFill="1" applyAlignment="1">
      <alignment horizontal="left" vertical="center"/>
    </xf>
    <xf numFmtId="40" fontId="67" fillId="26" borderId="0" xfId="3" applyNumberFormat="1" applyFont="1" applyFill="1" applyAlignment="1">
      <alignment horizontal="right" vertical="center"/>
    </xf>
    <xf numFmtId="166" fontId="0" fillId="0" borderId="0" xfId="27" applyFont="1" applyFill="1"/>
    <xf numFmtId="166" fontId="66" fillId="0" borderId="0" xfId="27" applyFont="1" applyFill="1" applyAlignment="1">
      <alignment horizontal="center" vertical="center"/>
    </xf>
    <xf numFmtId="166" fontId="66" fillId="0" borderId="0" xfId="27" applyFont="1" applyFill="1" applyAlignment="1">
      <alignment horizontal="left" vertical="center"/>
    </xf>
    <xf numFmtId="166" fontId="67" fillId="0" borderId="0" xfId="27" applyFont="1" applyFill="1" applyAlignment="1">
      <alignment horizontal="right" vertical="center"/>
    </xf>
    <xf numFmtId="166" fontId="67" fillId="0" borderId="0" xfId="27" applyFont="1" applyFill="1" applyAlignment="1">
      <alignment vertical="center"/>
    </xf>
    <xf numFmtId="166" fontId="67" fillId="0" borderId="0" xfId="27" applyFont="1" applyFill="1" applyAlignment="1">
      <alignment horizontal="center" vertical="center"/>
    </xf>
    <xf numFmtId="166" fontId="6" fillId="0" borderId="0" xfId="27" applyFont="1" applyFill="1" applyAlignment="1">
      <alignment horizontal="center" vertical="center"/>
    </xf>
    <xf numFmtId="166" fontId="7" fillId="0" borderId="0" xfId="27" applyFont="1" applyFill="1" applyAlignment="1">
      <alignment vertical="center"/>
    </xf>
    <xf numFmtId="166" fontId="0" fillId="0" borderId="0" xfId="27" applyFont="1" applyFill="1" applyAlignment="1">
      <alignment vertical="center"/>
    </xf>
    <xf numFmtId="14" fontId="13" fillId="0" borderId="0" xfId="26" applyNumberFormat="1"/>
    <xf numFmtId="172" fontId="82" fillId="0" borderId="0" xfId="3" applyNumberFormat="1" applyFont="1" applyAlignment="1">
      <alignment horizontal="center" vertical="center"/>
    </xf>
    <xf numFmtId="173" fontId="82" fillId="0" borderId="0" xfId="3" applyNumberFormat="1" applyFont="1" applyAlignment="1">
      <alignment horizontal="center" vertical="center"/>
    </xf>
    <xf numFmtId="174" fontId="82" fillId="0" borderId="0" xfId="3" applyNumberFormat="1" applyFont="1" applyAlignment="1">
      <alignment horizontal="center" vertical="center"/>
    </xf>
    <xf numFmtId="0" fontId="82" fillId="0" borderId="0" xfId="3" applyFont="1" applyAlignment="1">
      <alignment horizontal="left" vertical="center"/>
    </xf>
    <xf numFmtId="40" fontId="83" fillId="0" borderId="0" xfId="3" applyNumberFormat="1" applyFont="1" applyAlignment="1">
      <alignment horizontal="right" vertical="center"/>
    </xf>
    <xf numFmtId="166" fontId="84" fillId="0" borderId="0" xfId="27" applyFont="1" applyFill="1" applyAlignment="1">
      <alignment vertical="center"/>
    </xf>
    <xf numFmtId="166" fontId="84" fillId="0" borderId="0" xfId="27" applyFont="1" applyFill="1" applyAlignment="1">
      <alignment horizontal="center" vertical="center"/>
    </xf>
    <xf numFmtId="170" fontId="85" fillId="0" borderId="0" xfId="3" applyNumberFormat="1" applyFont="1" applyAlignment="1">
      <alignment horizontal="center" vertical="center"/>
    </xf>
    <xf numFmtId="182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4" fontId="85" fillId="0" borderId="0" xfId="3" applyNumberFormat="1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4" fontId="85" fillId="0" borderId="0" xfId="0" applyNumberFormat="1" applyFont="1" applyAlignment="1">
      <alignment horizontal="right" vertical="center"/>
    </xf>
    <xf numFmtId="40" fontId="7" fillId="6" borderId="0" xfId="3" applyNumberFormat="1" applyFont="1" applyFill="1" applyAlignment="1">
      <alignment horizontal="right" vertical="center"/>
    </xf>
    <xf numFmtId="40" fontId="7" fillId="6" borderId="0" xfId="3" applyNumberFormat="1" applyFont="1" applyFill="1" applyAlignment="1">
      <alignment vertical="center"/>
    </xf>
    <xf numFmtId="170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4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0" fontId="69" fillId="28" borderId="0" xfId="3" applyNumberFormat="1" applyFont="1" applyFill="1" applyAlignment="1">
      <alignment horizontal="center" vertical="center"/>
    </xf>
    <xf numFmtId="171" fontId="69" fillId="28" borderId="0" xfId="3" applyNumberFormat="1" applyFont="1" applyFill="1" applyAlignment="1">
      <alignment horizontal="center" vertical="center"/>
    </xf>
    <xf numFmtId="172" fontId="69" fillId="28" borderId="0" xfId="3" applyNumberFormat="1" applyFont="1" applyFill="1" applyAlignment="1">
      <alignment horizontal="center" vertical="center"/>
    </xf>
    <xf numFmtId="173" fontId="69" fillId="28" borderId="0" xfId="3" applyNumberFormat="1" applyFont="1" applyFill="1" applyAlignment="1">
      <alignment horizontal="center" vertical="center"/>
    </xf>
    <xf numFmtId="174" fontId="69" fillId="28" borderId="0" xfId="3" applyNumberFormat="1" applyFont="1" applyFill="1" applyAlignment="1">
      <alignment horizontal="center" vertical="center"/>
    </xf>
    <xf numFmtId="0" fontId="69" fillId="28" borderId="0" xfId="3" applyFont="1" applyFill="1" applyAlignment="1">
      <alignment horizontal="left" vertical="center"/>
    </xf>
    <xf numFmtId="40" fontId="70" fillId="28" borderId="0" xfId="3" applyNumberFormat="1" applyFont="1" applyFill="1" applyAlignment="1">
      <alignment horizontal="right" vertical="center"/>
    </xf>
    <xf numFmtId="40" fontId="70" fillId="28" borderId="0" xfId="3" applyNumberFormat="1" applyFont="1" applyFill="1" applyAlignment="1">
      <alignment vertical="center"/>
    </xf>
    <xf numFmtId="40" fontId="70" fillId="28" borderId="0" xfId="3" applyNumberFormat="1" applyFont="1" applyFill="1" applyAlignment="1">
      <alignment horizontal="center" vertical="center"/>
    </xf>
    <xf numFmtId="0" fontId="69" fillId="28" borderId="0" xfId="3" applyFont="1" applyFill="1" applyAlignment="1">
      <alignment horizontal="center" vertical="center"/>
    </xf>
    <xf numFmtId="170" fontId="13" fillId="0" borderId="0" xfId="3" applyNumberFormat="1" applyFont="1" applyAlignment="1">
      <alignment horizontal="center" vertical="center"/>
    </xf>
    <xf numFmtId="171" fontId="13" fillId="0" borderId="0" xfId="3" applyNumberFormat="1" applyFont="1" applyAlignment="1">
      <alignment horizontal="center" vertical="center"/>
    </xf>
    <xf numFmtId="172" fontId="13" fillId="0" borderId="0" xfId="3" applyNumberFormat="1" applyFont="1" applyAlignment="1">
      <alignment horizontal="center" vertical="center"/>
    </xf>
    <xf numFmtId="173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40" fontId="71" fillId="0" borderId="0" xfId="3" applyNumberFormat="1" applyFont="1" applyAlignment="1">
      <alignment horizontal="right" vertical="center"/>
    </xf>
    <xf numFmtId="40" fontId="71" fillId="0" borderId="0" xfId="3" applyNumberFormat="1" applyFont="1" applyAlignment="1">
      <alignment vertical="center"/>
    </xf>
    <xf numFmtId="40" fontId="71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40" fontId="72" fillId="0" borderId="0" xfId="3" applyNumberFormat="1" applyFont="1" applyAlignment="1">
      <alignment vertical="center"/>
    </xf>
    <xf numFmtId="171" fontId="90" fillId="0" borderId="0" xfId="3" applyNumberFormat="1" applyFont="1" applyAlignment="1">
      <alignment horizontal="center" vertical="center"/>
    </xf>
    <xf numFmtId="172" fontId="90" fillId="0" borderId="0" xfId="3" applyNumberFormat="1" applyFont="1" applyAlignment="1">
      <alignment horizontal="center" vertical="center"/>
    </xf>
    <xf numFmtId="173" fontId="90" fillId="0" borderId="0" xfId="3" applyNumberFormat="1" applyFont="1" applyAlignment="1">
      <alignment horizontal="center" vertical="center"/>
    </xf>
    <xf numFmtId="174" fontId="90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left" vertical="center"/>
    </xf>
    <xf numFmtId="40" fontId="91" fillId="0" borderId="0" xfId="3" applyNumberFormat="1" applyFont="1" applyAlignment="1">
      <alignment horizontal="right" vertical="center"/>
    </xf>
    <xf numFmtId="40" fontId="91" fillId="0" borderId="0" xfId="3" applyNumberFormat="1" applyFont="1" applyAlignment="1">
      <alignment vertical="center"/>
    </xf>
    <xf numFmtId="40" fontId="91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4" fontId="92" fillId="0" borderId="0" xfId="0" applyNumberFormat="1" applyFont="1" applyAlignment="1">
      <alignment horizontal="right" vertical="center"/>
    </xf>
    <xf numFmtId="0" fontId="0" fillId="6" borderId="0" xfId="0" applyFill="1"/>
    <xf numFmtId="174" fontId="13" fillId="0" borderId="0" xfId="3" applyNumberFormat="1" applyFont="1" applyAlignment="1">
      <alignment horizontal="center"/>
    </xf>
    <xf numFmtId="170" fontId="13" fillId="27" borderId="0" xfId="3" applyNumberFormat="1" applyFont="1" applyFill="1" applyAlignment="1">
      <alignment horizontal="center" vertical="center"/>
    </xf>
    <xf numFmtId="171" fontId="13" fillId="27" borderId="0" xfId="3" applyNumberFormat="1" applyFont="1" applyFill="1" applyAlignment="1">
      <alignment horizontal="center" vertical="center"/>
    </xf>
    <xf numFmtId="172" fontId="13" fillId="27" borderId="0" xfId="3" applyNumberFormat="1" applyFont="1" applyFill="1" applyAlignment="1">
      <alignment horizontal="center" vertical="center"/>
    </xf>
    <xf numFmtId="173" fontId="13" fillId="27" borderId="0" xfId="3" applyNumberFormat="1" applyFont="1" applyFill="1" applyAlignment="1">
      <alignment horizontal="center" vertical="center"/>
    </xf>
    <xf numFmtId="174" fontId="13" fillId="27" borderId="0" xfId="3" applyNumberFormat="1" applyFont="1" applyFill="1" applyAlignment="1">
      <alignment horizontal="center" vertical="center"/>
    </xf>
    <xf numFmtId="0" fontId="13" fillId="27" borderId="0" xfId="3" applyFont="1" applyFill="1" applyAlignment="1">
      <alignment horizontal="left" vertical="center"/>
    </xf>
    <xf numFmtId="40" fontId="71" fillId="27" borderId="0" xfId="3" applyNumberFormat="1" applyFont="1" applyFill="1" applyAlignment="1">
      <alignment horizontal="right" vertical="center"/>
    </xf>
    <xf numFmtId="40" fontId="71" fillId="27" borderId="0" xfId="3" applyNumberFormat="1" applyFont="1" applyFill="1" applyAlignment="1">
      <alignment vertical="center"/>
    </xf>
    <xf numFmtId="40" fontId="71" fillId="27" borderId="0" xfId="3" applyNumberFormat="1" applyFont="1" applyFill="1" applyAlignment="1">
      <alignment horizontal="center" vertical="center"/>
    </xf>
    <xf numFmtId="0" fontId="13" fillId="27" borderId="0" xfId="3" applyFont="1" applyFill="1" applyAlignment="1">
      <alignment horizontal="center" vertical="center"/>
    </xf>
    <xf numFmtId="14" fontId="89" fillId="0" borderId="0" xfId="0" applyNumberFormat="1" applyFont="1" applyAlignment="1">
      <alignment horizontal="center" vertical="center"/>
    </xf>
    <xf numFmtId="170" fontId="6" fillId="6" borderId="0" xfId="3" applyNumberFormat="1" applyFont="1" applyFill="1" applyAlignment="1">
      <alignment horizontal="center" vertical="center"/>
    </xf>
    <xf numFmtId="171" fontId="6" fillId="6" borderId="0" xfId="3" applyNumberFormat="1" applyFont="1" applyFill="1" applyAlignment="1">
      <alignment horizontal="center" vertical="center"/>
    </xf>
    <xf numFmtId="172" fontId="6" fillId="6" borderId="0" xfId="3" applyNumberFormat="1" applyFont="1" applyFill="1" applyAlignment="1">
      <alignment horizontal="center" vertical="center"/>
    </xf>
    <xf numFmtId="173" fontId="6" fillId="6" borderId="0" xfId="3" applyNumberFormat="1" applyFont="1" applyFill="1" applyAlignment="1">
      <alignment horizontal="center" vertical="center"/>
    </xf>
    <xf numFmtId="174" fontId="6" fillId="6" borderId="0" xfId="3" applyNumberFormat="1" applyFont="1" applyFill="1" applyAlignment="1">
      <alignment horizontal="center" vertical="center"/>
    </xf>
    <xf numFmtId="0" fontId="6" fillId="6" borderId="0" xfId="3" applyFont="1" applyFill="1" applyAlignment="1">
      <alignment horizontal="left" vertical="center"/>
    </xf>
    <xf numFmtId="40" fontId="7" fillId="6" borderId="0" xfId="3" applyNumberFormat="1" applyFont="1" applyFill="1" applyAlignment="1">
      <alignment horizontal="center" vertical="center"/>
    </xf>
    <xf numFmtId="0" fontId="6" fillId="6" borderId="0" xfId="3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40" fontId="94" fillId="0" borderId="0" xfId="0" applyNumberFormat="1" applyFont="1" applyAlignment="1">
      <alignment horizontal="right" vertical="center"/>
    </xf>
    <xf numFmtId="14" fontId="0" fillId="27" borderId="0" xfId="0" applyNumberFormat="1" applyFill="1"/>
    <xf numFmtId="171" fontId="93" fillId="27" borderId="0" xfId="3" applyNumberFormat="1" applyFont="1" applyFill="1" applyAlignment="1">
      <alignment horizontal="center" vertical="center"/>
    </xf>
    <xf numFmtId="172" fontId="93" fillId="27" borderId="0" xfId="3" applyNumberFormat="1" applyFont="1" applyFill="1" applyAlignment="1">
      <alignment horizontal="center" vertical="center"/>
    </xf>
    <xf numFmtId="173" fontId="93" fillId="27" borderId="0" xfId="3" applyNumberFormat="1" applyFont="1" applyFill="1" applyAlignment="1">
      <alignment horizontal="center" vertical="center"/>
    </xf>
    <xf numFmtId="174" fontId="93" fillId="27" borderId="0" xfId="3" applyNumberFormat="1" applyFont="1" applyFill="1" applyAlignment="1">
      <alignment horizontal="center" vertical="center"/>
    </xf>
    <xf numFmtId="0" fontId="93" fillId="27" borderId="0" xfId="3" applyFont="1" applyFill="1" applyAlignment="1">
      <alignment horizontal="left" vertical="center"/>
    </xf>
    <xf numFmtId="40" fontId="94" fillId="27" borderId="0" xfId="3" applyNumberFormat="1" applyFont="1" applyFill="1" applyAlignment="1">
      <alignment horizontal="right" vertical="center"/>
    </xf>
    <xf numFmtId="40" fontId="94" fillId="27" borderId="0" xfId="3" applyNumberFormat="1" applyFont="1" applyFill="1" applyAlignment="1">
      <alignment vertical="center"/>
    </xf>
    <xf numFmtId="40" fontId="94" fillId="27" borderId="0" xfId="3" applyNumberFormat="1" applyFont="1" applyFill="1" applyAlignment="1">
      <alignment horizontal="center" vertical="center"/>
    </xf>
    <xf numFmtId="0" fontId="93" fillId="27" borderId="0" xfId="3" applyFont="1" applyFill="1" applyAlignment="1">
      <alignment horizontal="center" vertical="center"/>
    </xf>
    <xf numFmtId="14" fontId="93" fillId="27" borderId="0" xfId="0" applyNumberFormat="1" applyFont="1" applyFill="1" applyAlignment="1">
      <alignment horizontal="center" vertical="center"/>
    </xf>
    <xf numFmtId="40" fontId="52" fillId="0" borderId="0" xfId="3" applyNumberFormat="1" applyFont="1" applyAlignment="1">
      <alignment vertical="center"/>
    </xf>
    <xf numFmtId="170" fontId="51" fillId="0" borderId="0" xfId="3" applyNumberFormat="1" applyFont="1" applyAlignment="1">
      <alignment horizontal="center" vertical="center"/>
    </xf>
    <xf numFmtId="172" fontId="51" fillId="0" borderId="0" xfId="3" applyNumberFormat="1" applyFont="1" applyAlignment="1">
      <alignment horizontal="center" vertical="center"/>
    </xf>
    <xf numFmtId="174" fontId="51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left" vertical="center"/>
    </xf>
    <xf numFmtId="40" fontId="52" fillId="0" borderId="0" xfId="3" applyNumberFormat="1" applyFont="1" applyAlignment="1">
      <alignment horizontal="right" vertical="center"/>
    </xf>
    <xf numFmtId="40" fontId="52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center" vertical="center"/>
    </xf>
    <xf numFmtId="0" fontId="10" fillId="0" borderId="0" xfId="0" applyFont="1" applyAlignment="1">
      <alignment horizont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0" fontId="54" fillId="0" borderId="0" xfId="3" applyNumberFormat="1" applyFont="1" applyAlignment="1">
      <alignment horizontal="center" vertical="center"/>
    </xf>
    <xf numFmtId="172" fontId="54" fillId="0" borderId="0" xfId="3" applyNumberFormat="1" applyFont="1" applyAlignment="1">
      <alignment horizontal="center" vertical="center"/>
    </xf>
    <xf numFmtId="173" fontId="54" fillId="0" borderId="0" xfId="3" applyNumberFormat="1" applyFont="1" applyAlignment="1">
      <alignment horizontal="center" vertical="center"/>
    </xf>
    <xf numFmtId="174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40" fontId="53" fillId="0" borderId="0" xfId="3" applyNumberFormat="1" applyFont="1" applyAlignment="1">
      <alignment horizontal="right" vertical="center"/>
    </xf>
    <xf numFmtId="40" fontId="53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71" fontId="54" fillId="0" borderId="0" xfId="3" applyNumberFormat="1" applyFont="1" applyAlignment="1">
      <alignment horizontal="center" vertical="center"/>
    </xf>
    <xf numFmtId="40" fontId="53" fillId="6" borderId="0" xfId="3" applyNumberFormat="1" applyFont="1" applyFill="1" applyAlignment="1">
      <alignment vertical="center"/>
    </xf>
    <xf numFmtId="170" fontId="54" fillId="6" borderId="0" xfId="3" applyNumberFormat="1" applyFont="1" applyFill="1" applyAlignment="1">
      <alignment horizontal="center" vertical="center"/>
    </xf>
    <xf numFmtId="172" fontId="54" fillId="6" borderId="0" xfId="3" applyNumberFormat="1" applyFont="1" applyFill="1" applyAlignment="1">
      <alignment horizontal="center" vertical="center"/>
    </xf>
    <xf numFmtId="173" fontId="54" fillId="6" borderId="0" xfId="3" applyNumberFormat="1" applyFont="1" applyFill="1" applyAlignment="1">
      <alignment horizontal="center" vertical="center"/>
    </xf>
    <xf numFmtId="174" fontId="54" fillId="6" borderId="0" xfId="3" applyNumberFormat="1" applyFont="1" applyFill="1" applyAlignment="1">
      <alignment horizontal="center" vertical="center"/>
    </xf>
    <xf numFmtId="0" fontId="54" fillId="6" borderId="0" xfId="3" applyFont="1" applyFill="1" applyAlignment="1">
      <alignment horizontal="left" vertical="center"/>
    </xf>
    <xf numFmtId="40" fontId="53" fillId="6" borderId="0" xfId="3" applyNumberFormat="1" applyFont="1" applyFill="1" applyAlignment="1">
      <alignment horizontal="right" vertical="center"/>
    </xf>
    <xf numFmtId="40" fontId="53" fillId="6" borderId="0" xfId="3" applyNumberFormat="1" applyFont="1" applyFill="1" applyAlignment="1">
      <alignment horizontal="center" vertical="center"/>
    </xf>
    <xf numFmtId="0" fontId="54" fillId="6" borderId="0" xfId="3" applyFont="1" applyFill="1" applyAlignment="1">
      <alignment horizontal="center" vertical="center"/>
    </xf>
    <xf numFmtId="170" fontId="39" fillId="6" borderId="0" xfId="3" applyNumberFormat="1" applyFont="1" applyFill="1" applyAlignment="1">
      <alignment horizontal="center" vertical="center"/>
    </xf>
    <xf numFmtId="172" fontId="39" fillId="6" borderId="0" xfId="3" applyNumberFormat="1" applyFont="1" applyFill="1" applyAlignment="1">
      <alignment horizontal="center" vertical="center"/>
    </xf>
    <xf numFmtId="173" fontId="39" fillId="6" borderId="0" xfId="3" applyNumberFormat="1" applyFont="1" applyFill="1" applyAlignment="1">
      <alignment horizontal="center" vertical="center"/>
    </xf>
    <xf numFmtId="174" fontId="39" fillId="6" borderId="0" xfId="3" applyNumberFormat="1" applyFont="1" applyFill="1" applyAlignment="1">
      <alignment horizontal="center" vertical="center"/>
    </xf>
    <xf numFmtId="0" fontId="39" fillId="6" borderId="0" xfId="3" applyFont="1" applyFill="1" applyAlignment="1">
      <alignment horizontal="left" vertical="center"/>
    </xf>
    <xf numFmtId="40" fontId="40" fillId="6" borderId="0" xfId="3" applyNumberFormat="1" applyFont="1" applyFill="1" applyAlignment="1">
      <alignment horizontal="right" vertical="center"/>
    </xf>
    <xf numFmtId="40" fontId="40" fillId="6" borderId="0" xfId="3" applyNumberFormat="1" applyFont="1" applyFill="1" applyAlignment="1">
      <alignment vertical="center"/>
    </xf>
    <xf numFmtId="40" fontId="40" fillId="6" borderId="0" xfId="3" applyNumberFormat="1" applyFont="1" applyFill="1" applyAlignment="1">
      <alignment horizontal="center" vertical="center"/>
    </xf>
    <xf numFmtId="0" fontId="39" fillId="6" borderId="0" xfId="3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5" fillId="0" borderId="0" xfId="0" applyFont="1"/>
    <xf numFmtId="171" fontId="55" fillId="0" borderId="0" xfId="3" applyNumberFormat="1" applyFont="1" applyAlignment="1">
      <alignment horizontal="center" vertical="center"/>
    </xf>
    <xf numFmtId="172" fontId="55" fillId="0" borderId="0" xfId="3" applyNumberFormat="1" applyFont="1" applyAlignment="1">
      <alignment horizontal="center" vertical="center"/>
    </xf>
    <xf numFmtId="173" fontId="55" fillId="0" borderId="0" xfId="3" applyNumberFormat="1" applyFont="1" applyAlignment="1">
      <alignment horizontal="center" vertical="center"/>
    </xf>
    <xf numFmtId="174" fontId="55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left" vertical="center"/>
    </xf>
    <xf numFmtId="40" fontId="56" fillId="0" borderId="0" xfId="3" applyNumberFormat="1" applyFont="1" applyAlignment="1">
      <alignment horizontal="right" vertical="center"/>
    </xf>
    <xf numFmtId="40" fontId="56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40" fontId="67" fillId="0" borderId="0" xfId="3" applyNumberFormat="1" applyFont="1" applyAlignment="1">
      <alignment vertical="center"/>
    </xf>
    <xf numFmtId="40" fontId="67" fillId="0" borderId="0" xfId="3" applyNumberFormat="1" applyFont="1" applyAlignment="1">
      <alignment horizontal="center" vertical="center"/>
    </xf>
    <xf numFmtId="0" fontId="66" fillId="0" borderId="0" xfId="3" applyFont="1" applyAlignment="1">
      <alignment horizontal="center" vertical="center"/>
    </xf>
    <xf numFmtId="171" fontId="77" fillId="0" borderId="0" xfId="3" applyNumberFormat="1" applyFont="1" applyAlignment="1">
      <alignment horizontal="center" vertical="center"/>
    </xf>
    <xf numFmtId="172" fontId="77" fillId="0" borderId="0" xfId="3" applyNumberFormat="1" applyFont="1" applyAlignment="1">
      <alignment horizontal="center" vertical="center"/>
    </xf>
    <xf numFmtId="173" fontId="77" fillId="0" borderId="0" xfId="3" applyNumberFormat="1" applyFont="1" applyAlignment="1">
      <alignment horizontal="center" vertical="center"/>
    </xf>
    <xf numFmtId="174" fontId="77" fillId="0" borderId="0" xfId="3" applyNumberFormat="1" applyFont="1" applyAlignment="1">
      <alignment horizontal="center" vertical="center"/>
    </xf>
    <xf numFmtId="0" fontId="77" fillId="0" borderId="0" xfId="3" applyFont="1" applyAlignment="1">
      <alignment horizontal="left" vertical="center"/>
    </xf>
    <xf numFmtId="40" fontId="78" fillId="0" borderId="0" xfId="3" applyNumberFormat="1" applyFont="1" applyAlignment="1">
      <alignment horizontal="right" vertical="center"/>
    </xf>
    <xf numFmtId="40" fontId="78" fillId="0" borderId="0" xfId="3" applyNumberFormat="1" applyFont="1" applyAlignment="1">
      <alignment vertical="center"/>
    </xf>
    <xf numFmtId="40" fontId="78" fillId="0" borderId="0" xfId="3" applyNumberFormat="1" applyFont="1" applyAlignment="1">
      <alignment horizontal="center" vertical="center"/>
    </xf>
    <xf numFmtId="0" fontId="77" fillId="0" borderId="0" xfId="3" applyFont="1" applyAlignment="1">
      <alignment horizontal="center" vertical="center"/>
    </xf>
    <xf numFmtId="170" fontId="79" fillId="0" borderId="0" xfId="3" applyNumberFormat="1" applyFont="1" applyAlignment="1">
      <alignment horizontal="center" vertical="center"/>
    </xf>
    <xf numFmtId="170" fontId="82" fillId="0" borderId="0" xfId="3" applyNumberFormat="1" applyFont="1" applyAlignment="1">
      <alignment horizontal="center" vertical="center"/>
    </xf>
    <xf numFmtId="171" fontId="82" fillId="0" borderId="0" xfId="3" applyNumberFormat="1" applyFont="1" applyAlignment="1">
      <alignment horizontal="center" vertical="center"/>
    </xf>
    <xf numFmtId="40" fontId="83" fillId="0" borderId="0" xfId="3" applyNumberFormat="1" applyFont="1" applyAlignment="1">
      <alignment vertical="center"/>
    </xf>
    <xf numFmtId="40" fontId="83" fillId="0" borderId="0" xfId="3" applyNumberFormat="1" applyFont="1" applyAlignment="1">
      <alignment horizontal="center" vertical="center"/>
    </xf>
    <xf numFmtId="0" fontId="82" fillId="0" borderId="0" xfId="3" applyFont="1" applyAlignment="1">
      <alignment horizontal="center" vertical="center"/>
    </xf>
    <xf numFmtId="170" fontId="87" fillId="0" borderId="0" xfId="3" applyNumberFormat="1" applyFont="1" applyAlignment="1">
      <alignment horizontal="center" vertical="center"/>
    </xf>
    <xf numFmtId="171" fontId="87" fillId="0" borderId="0" xfId="3" applyNumberFormat="1" applyFont="1" applyAlignment="1">
      <alignment horizontal="center" vertical="center"/>
    </xf>
    <xf numFmtId="172" fontId="87" fillId="0" borderId="0" xfId="3" applyNumberFormat="1" applyFont="1" applyAlignment="1">
      <alignment horizontal="center" vertical="center"/>
    </xf>
    <xf numFmtId="173" fontId="87" fillId="0" borderId="0" xfId="3" applyNumberFormat="1" applyFont="1" applyAlignment="1">
      <alignment horizontal="center" vertical="center"/>
    </xf>
    <xf numFmtId="174" fontId="87" fillId="0" borderId="0" xfId="3" applyNumberFormat="1" applyFont="1" applyAlignment="1">
      <alignment horizontal="center" vertical="center"/>
    </xf>
    <xf numFmtId="0" fontId="87" fillId="0" borderId="0" xfId="3" applyFont="1" applyAlignment="1">
      <alignment horizontal="left" vertical="center"/>
    </xf>
    <xf numFmtId="40" fontId="88" fillId="0" borderId="0" xfId="3" applyNumberFormat="1" applyFont="1" applyAlignment="1">
      <alignment horizontal="right" vertical="center"/>
    </xf>
    <xf numFmtId="40" fontId="88" fillId="0" borderId="0" xfId="3" applyNumberFormat="1" applyFont="1" applyAlignment="1">
      <alignment vertical="center"/>
    </xf>
    <xf numFmtId="40" fontId="88" fillId="0" borderId="0" xfId="3" applyNumberFormat="1" applyFont="1" applyAlignment="1">
      <alignment horizontal="center" vertical="center"/>
    </xf>
    <xf numFmtId="0" fontId="87" fillId="0" borderId="0" xfId="3" applyFont="1" applyAlignment="1">
      <alignment horizontal="center" vertical="center"/>
    </xf>
    <xf numFmtId="170" fontId="96" fillId="0" borderId="0" xfId="3" applyNumberFormat="1" applyFont="1" applyAlignment="1">
      <alignment horizontal="center" vertical="center"/>
    </xf>
    <xf numFmtId="171" fontId="96" fillId="0" borderId="0" xfId="3" applyNumberFormat="1" applyFont="1" applyAlignment="1">
      <alignment horizontal="center" vertical="center"/>
    </xf>
    <xf numFmtId="172" fontId="96" fillId="0" borderId="0" xfId="3" applyNumberFormat="1" applyFont="1" applyAlignment="1">
      <alignment horizontal="center" vertical="center"/>
    </xf>
    <xf numFmtId="173" fontId="96" fillId="0" borderId="0" xfId="3" applyNumberFormat="1" applyFont="1" applyAlignment="1">
      <alignment horizontal="center" vertical="center"/>
    </xf>
    <xf numFmtId="174" fontId="96" fillId="0" borderId="0" xfId="3" applyNumberFormat="1" applyFont="1" applyAlignment="1">
      <alignment horizontal="center" vertical="center"/>
    </xf>
    <xf numFmtId="0" fontId="96" fillId="0" borderId="0" xfId="3" applyFont="1" applyAlignment="1">
      <alignment horizontal="left" vertical="center"/>
    </xf>
    <xf numFmtId="40" fontId="97" fillId="0" borderId="0" xfId="3" applyNumberFormat="1" applyFont="1" applyAlignment="1">
      <alignment horizontal="right" vertical="center"/>
    </xf>
    <xf numFmtId="40" fontId="97" fillId="0" borderId="0" xfId="3" applyNumberFormat="1" applyFont="1" applyAlignment="1">
      <alignment vertical="center"/>
    </xf>
    <xf numFmtId="40" fontId="97" fillId="0" borderId="0" xfId="3" applyNumberFormat="1" applyFont="1" applyAlignment="1">
      <alignment horizontal="center" vertical="center"/>
    </xf>
    <xf numFmtId="0" fontId="96" fillId="0" borderId="0" xfId="3" applyFont="1" applyAlignment="1">
      <alignment horizontal="center" vertical="center"/>
    </xf>
    <xf numFmtId="170" fontId="55" fillId="29" borderId="0" xfId="3" applyNumberFormat="1" applyFont="1" applyFill="1" applyAlignment="1">
      <alignment horizontal="center" vertical="center"/>
    </xf>
    <xf numFmtId="171" fontId="55" fillId="29" borderId="0" xfId="3" applyNumberFormat="1" applyFont="1" applyFill="1" applyAlignment="1">
      <alignment horizontal="center" vertical="center"/>
    </xf>
    <xf numFmtId="172" fontId="55" fillId="29" borderId="0" xfId="3" applyNumberFormat="1" applyFont="1" applyFill="1" applyAlignment="1">
      <alignment horizontal="center" vertical="center"/>
    </xf>
    <xf numFmtId="173" fontId="55" fillId="29" borderId="0" xfId="3" applyNumberFormat="1" applyFont="1" applyFill="1" applyAlignment="1">
      <alignment horizontal="center" vertical="center"/>
    </xf>
    <xf numFmtId="174" fontId="55" fillId="29" borderId="0" xfId="3" applyNumberFormat="1" applyFont="1" applyFill="1" applyAlignment="1">
      <alignment horizontal="center" vertical="center"/>
    </xf>
    <xf numFmtId="0" fontId="55" fillId="29" borderId="0" xfId="3" applyFont="1" applyFill="1" applyAlignment="1">
      <alignment horizontal="left" vertical="center"/>
    </xf>
    <xf numFmtId="40" fontId="56" fillId="29" borderId="0" xfId="3" applyNumberFormat="1" applyFont="1" applyFill="1" applyAlignment="1">
      <alignment horizontal="right" vertical="center"/>
    </xf>
    <xf numFmtId="40" fontId="56" fillId="29" borderId="0" xfId="3" applyNumberFormat="1" applyFont="1" applyFill="1" applyAlignment="1">
      <alignment vertical="center"/>
    </xf>
    <xf numFmtId="40" fontId="61" fillId="29" borderId="0" xfId="3" applyNumberFormat="1" applyFont="1" applyFill="1" applyAlignment="1">
      <alignment vertical="center"/>
    </xf>
    <xf numFmtId="40" fontId="61" fillId="29" borderId="0" xfId="3" applyNumberFormat="1" applyFont="1" applyFill="1" applyAlignment="1">
      <alignment horizontal="center" vertical="center"/>
    </xf>
    <xf numFmtId="0" fontId="60" fillId="29" borderId="0" xfId="3" applyFont="1" applyFill="1" applyAlignment="1">
      <alignment horizontal="center" vertical="center"/>
    </xf>
    <xf numFmtId="0" fontId="6" fillId="29" borderId="0" xfId="3" applyFont="1" applyFill="1" applyAlignment="1">
      <alignment horizontal="center" vertical="center"/>
    </xf>
    <xf numFmtId="0" fontId="7" fillId="29" borderId="0" xfId="3" applyFont="1" applyFill="1" applyAlignment="1">
      <alignment horizontal="center" vertical="center"/>
    </xf>
    <xf numFmtId="170" fontId="69" fillId="29" borderId="0" xfId="3" applyNumberFormat="1" applyFont="1" applyFill="1" applyAlignment="1">
      <alignment horizontal="center" vertical="center"/>
    </xf>
    <xf numFmtId="171" fontId="69" fillId="29" borderId="0" xfId="3" applyNumberFormat="1" applyFont="1" applyFill="1" applyAlignment="1">
      <alignment horizontal="center" vertical="center"/>
    </xf>
    <xf numFmtId="172" fontId="69" fillId="29" borderId="0" xfId="3" applyNumberFormat="1" applyFont="1" applyFill="1" applyAlignment="1">
      <alignment horizontal="center" vertical="center"/>
    </xf>
    <xf numFmtId="173" fontId="69" fillId="29" borderId="0" xfId="3" applyNumberFormat="1" applyFont="1" applyFill="1" applyAlignment="1">
      <alignment horizontal="center" vertical="center"/>
    </xf>
    <xf numFmtId="174" fontId="69" fillId="29" borderId="0" xfId="3" applyNumberFormat="1" applyFont="1" applyFill="1" applyAlignment="1">
      <alignment horizontal="center" vertical="center"/>
    </xf>
    <xf numFmtId="0" fontId="69" fillId="29" borderId="0" xfId="3" applyFont="1" applyFill="1" applyAlignment="1">
      <alignment horizontal="left" vertical="center"/>
    </xf>
    <xf numFmtId="40" fontId="70" fillId="29" borderId="0" xfId="3" applyNumberFormat="1" applyFont="1" applyFill="1" applyAlignment="1">
      <alignment horizontal="right" vertical="center"/>
    </xf>
    <xf numFmtId="40" fontId="70" fillId="29" borderId="0" xfId="3" applyNumberFormat="1" applyFont="1" applyFill="1" applyAlignment="1">
      <alignment vertical="center"/>
    </xf>
    <xf numFmtId="40" fontId="70" fillId="29" borderId="0" xfId="3" applyNumberFormat="1" applyFont="1" applyFill="1" applyAlignment="1">
      <alignment horizontal="center" vertical="center"/>
    </xf>
    <xf numFmtId="0" fontId="69" fillId="29" borderId="0" xfId="3" applyFont="1" applyFill="1" applyAlignment="1">
      <alignment horizontal="center" vertical="center"/>
    </xf>
    <xf numFmtId="40" fontId="7" fillId="29" borderId="0" xfId="3" applyNumberFormat="1" applyFont="1" applyFill="1" applyAlignment="1">
      <alignment vertical="center"/>
    </xf>
    <xf numFmtId="170" fontId="13" fillId="29" borderId="0" xfId="3" applyNumberFormat="1" applyFont="1" applyFill="1" applyAlignment="1">
      <alignment horizontal="center" vertical="center"/>
    </xf>
    <xf numFmtId="171" fontId="13" fillId="29" borderId="0" xfId="3" applyNumberFormat="1" applyFont="1" applyFill="1" applyAlignment="1">
      <alignment horizontal="center" vertical="center"/>
    </xf>
    <xf numFmtId="172" fontId="13" fillId="29" borderId="0" xfId="3" applyNumberFormat="1" applyFont="1" applyFill="1" applyAlignment="1">
      <alignment horizontal="center" vertical="center"/>
    </xf>
    <xf numFmtId="173" fontId="13" fillId="29" borderId="0" xfId="3" applyNumberFormat="1" applyFont="1" applyFill="1" applyAlignment="1">
      <alignment horizontal="center" vertical="center"/>
    </xf>
    <xf numFmtId="174" fontId="13" fillId="29" borderId="0" xfId="3" applyNumberFormat="1" applyFont="1" applyFill="1" applyAlignment="1">
      <alignment horizontal="center" vertical="center"/>
    </xf>
    <xf numFmtId="0" fontId="13" fillId="29" borderId="0" xfId="3" applyFont="1" applyFill="1" applyAlignment="1">
      <alignment horizontal="left" vertical="center"/>
    </xf>
    <xf numFmtId="40" fontId="71" fillId="29" borderId="0" xfId="3" applyNumberFormat="1" applyFont="1" applyFill="1" applyAlignment="1">
      <alignment horizontal="right" vertical="center"/>
    </xf>
    <xf numFmtId="40" fontId="71" fillId="29" borderId="0" xfId="3" applyNumberFormat="1" applyFont="1" applyFill="1" applyAlignment="1">
      <alignment vertical="center"/>
    </xf>
    <xf numFmtId="40" fontId="72" fillId="29" borderId="0" xfId="3" applyNumberFormat="1" applyFont="1" applyFill="1" applyAlignment="1">
      <alignment vertical="center"/>
    </xf>
    <xf numFmtId="40" fontId="71" fillId="29" borderId="0" xfId="3" applyNumberFormat="1" applyFont="1" applyFill="1" applyAlignment="1">
      <alignment horizontal="center" vertical="center"/>
    </xf>
    <xf numFmtId="0" fontId="13" fillId="29" borderId="0" xfId="3" applyFont="1" applyFill="1" applyAlignment="1">
      <alignment horizontal="center" vertical="center"/>
    </xf>
    <xf numFmtId="170" fontId="6" fillId="29" borderId="0" xfId="3" applyNumberFormat="1" applyFont="1" applyFill="1" applyAlignment="1">
      <alignment horizontal="center" vertical="center"/>
    </xf>
    <xf numFmtId="171" fontId="6" fillId="29" borderId="0" xfId="3" applyNumberFormat="1" applyFont="1" applyFill="1" applyAlignment="1">
      <alignment horizontal="center" vertical="center"/>
    </xf>
    <xf numFmtId="172" fontId="6" fillId="29" borderId="0" xfId="3" applyNumberFormat="1" applyFont="1" applyFill="1" applyAlignment="1">
      <alignment horizontal="center" vertical="center"/>
    </xf>
    <xf numFmtId="173" fontId="6" fillId="29" borderId="0" xfId="3" applyNumberFormat="1" applyFont="1" applyFill="1" applyAlignment="1">
      <alignment horizontal="center" vertical="center"/>
    </xf>
    <xf numFmtId="174" fontId="6" fillId="29" borderId="0" xfId="3" applyNumberFormat="1" applyFont="1" applyFill="1" applyAlignment="1">
      <alignment horizontal="center" vertical="center"/>
    </xf>
    <xf numFmtId="0" fontId="6" fillId="29" borderId="0" xfId="3" applyFont="1" applyFill="1" applyAlignment="1">
      <alignment horizontal="left" vertical="center"/>
    </xf>
    <xf numFmtId="40" fontId="7" fillId="29" borderId="0" xfId="3" applyNumberFormat="1" applyFont="1" applyFill="1" applyAlignment="1">
      <alignment horizontal="right" vertical="center"/>
    </xf>
    <xf numFmtId="40" fontId="7" fillId="29" borderId="0" xfId="3" applyNumberFormat="1" applyFont="1" applyFill="1" applyAlignment="1">
      <alignment horizontal="center" vertical="center"/>
    </xf>
    <xf numFmtId="14" fontId="6" fillId="0" borderId="0" xfId="26" applyNumberFormat="1" applyFont="1" applyAlignment="1">
      <alignment horizontal="center" vertical="center"/>
    </xf>
    <xf numFmtId="166" fontId="7" fillId="0" borderId="0" xfId="27" applyFont="1" applyFill="1" applyAlignment="1">
      <alignment horizontal="center" vertical="center"/>
    </xf>
    <xf numFmtId="14" fontId="13" fillId="29" borderId="0" xfId="26" applyNumberFormat="1" applyFill="1"/>
    <xf numFmtId="171" fontId="66" fillId="29" borderId="0" xfId="3" applyNumberFormat="1" applyFont="1" applyFill="1" applyAlignment="1">
      <alignment horizontal="center" vertical="center"/>
    </xf>
    <xf numFmtId="172" fontId="82" fillId="29" borderId="0" xfId="3" applyNumberFormat="1" applyFont="1" applyFill="1" applyAlignment="1">
      <alignment horizontal="center" vertical="center"/>
    </xf>
    <xf numFmtId="173" fontId="82" fillId="29" borderId="0" xfId="3" applyNumberFormat="1" applyFont="1" applyFill="1" applyAlignment="1">
      <alignment horizontal="center" vertical="center"/>
    </xf>
    <xf numFmtId="174" fontId="82" fillId="29" borderId="0" xfId="3" applyNumberFormat="1" applyFont="1" applyFill="1" applyAlignment="1">
      <alignment horizontal="center" vertical="center"/>
    </xf>
    <xf numFmtId="0" fontId="82" fillId="29" borderId="0" xfId="3" applyFont="1" applyFill="1" applyAlignment="1">
      <alignment horizontal="left" vertical="center"/>
    </xf>
    <xf numFmtId="40" fontId="83" fillId="29" borderId="0" xfId="3" applyNumberFormat="1" applyFont="1" applyFill="1" applyAlignment="1">
      <alignment horizontal="right" vertical="center"/>
    </xf>
    <xf numFmtId="166" fontId="67" fillId="29" borderId="0" xfId="27" applyFont="1" applyFill="1" applyAlignment="1">
      <alignment vertical="center"/>
    </xf>
    <xf numFmtId="166" fontId="67" fillId="29" borderId="0" xfId="27" applyFont="1" applyFill="1" applyAlignment="1">
      <alignment horizontal="center" vertical="center"/>
    </xf>
    <xf numFmtId="166" fontId="6" fillId="29" borderId="0" xfId="27" applyFont="1" applyFill="1" applyAlignment="1">
      <alignment horizontal="center" vertical="center"/>
    </xf>
    <xf numFmtId="166" fontId="66" fillId="29" borderId="0" xfId="27" applyFont="1" applyFill="1" applyAlignment="1">
      <alignment horizontal="center" vertical="center"/>
    </xf>
    <xf numFmtId="170" fontId="66" fillId="29" borderId="0" xfId="3" applyNumberFormat="1" applyFont="1" applyFill="1" applyAlignment="1">
      <alignment horizontal="center" vertical="center"/>
    </xf>
    <xf numFmtId="172" fontId="66" fillId="29" borderId="0" xfId="3" applyNumberFormat="1" applyFont="1" applyFill="1" applyAlignment="1">
      <alignment horizontal="center" vertical="center"/>
    </xf>
    <xf numFmtId="173" fontId="66" fillId="29" borderId="0" xfId="3" applyNumberFormat="1" applyFont="1" applyFill="1" applyAlignment="1">
      <alignment horizontal="center" vertical="center"/>
    </xf>
    <xf numFmtId="174" fontId="66" fillId="29" borderId="0" xfId="3" applyNumberFormat="1" applyFont="1" applyFill="1" applyAlignment="1">
      <alignment horizontal="center" vertical="center"/>
    </xf>
    <xf numFmtId="0" fontId="66" fillId="29" borderId="0" xfId="3" applyFont="1" applyFill="1" applyAlignment="1">
      <alignment horizontal="left" vertical="center"/>
    </xf>
    <xf numFmtId="40" fontId="67" fillId="29" borderId="0" xfId="3" applyNumberFormat="1" applyFont="1" applyFill="1" applyAlignment="1">
      <alignment horizontal="right" vertical="center"/>
    </xf>
    <xf numFmtId="40" fontId="67" fillId="29" borderId="0" xfId="3" applyNumberFormat="1" applyFont="1" applyFill="1" applyAlignment="1">
      <alignment vertical="center"/>
    </xf>
    <xf numFmtId="40" fontId="67" fillId="29" borderId="0" xfId="3" applyNumberFormat="1" applyFont="1" applyFill="1" applyAlignment="1">
      <alignment horizontal="center" vertical="center"/>
    </xf>
    <xf numFmtId="0" fontId="66" fillId="29" borderId="0" xfId="3" applyFont="1" applyFill="1" applyAlignment="1">
      <alignment horizontal="center" vertical="center"/>
    </xf>
    <xf numFmtId="177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11" fillId="2" borderId="0" xfId="2" applyFont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left" vertical="center"/>
    </xf>
    <xf numFmtId="175" fontId="41" fillId="10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177" fontId="34" fillId="4" borderId="0" xfId="1" applyNumberFormat="1" applyFont="1" applyFill="1" applyAlignment="1">
      <alignment horizontal="center" vertical="center"/>
    </xf>
    <xf numFmtId="167" fontId="34" fillId="6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5" fontId="18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6" fontId="34" fillId="4" borderId="0" xfId="27" applyFont="1" applyFill="1" applyAlignment="1">
      <alignment horizontal="center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8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oneda" xfId="1" builtinId="4"/>
    <cellStyle name="Moneda 2" xfId="10" xr:uid="{00000000-0005-0000-0000-00000A000000}"/>
    <cellStyle name="Moneda 2 2" xfId="20" xr:uid="{00000000-0005-0000-0000-00000B000000}"/>
    <cellStyle name="Moneda 3" xfId="23" xr:uid="{00000000-0005-0000-0000-00000C000000}"/>
    <cellStyle name="No completar" xfId="11" xr:uid="{00000000-0005-0000-0000-00000D000000}"/>
    <cellStyle name="No completar 2" xfId="18" xr:uid="{00000000-0005-0000-0000-00000E000000}"/>
    <cellStyle name="Normal" xfId="0" builtinId="0"/>
    <cellStyle name="Normal 10" xfId="26" xr:uid="{00000000-0005-0000-0000-000010000000}"/>
    <cellStyle name="Normal 2" xfId="4" xr:uid="{00000000-0005-0000-0000-000011000000}"/>
    <cellStyle name="Normal 2 2" xfId="19" xr:uid="{00000000-0005-0000-0000-000012000000}"/>
    <cellStyle name="Normal 3" xfId="3" xr:uid="{00000000-0005-0000-0000-000013000000}"/>
    <cellStyle name="Normal 4" xfId="12" xr:uid="{00000000-0005-0000-0000-000014000000}"/>
    <cellStyle name="Normal 5" xfId="13" xr:uid="{00000000-0005-0000-0000-000015000000}"/>
    <cellStyle name="Normal 6" xfId="14" xr:uid="{00000000-0005-0000-0000-000016000000}"/>
    <cellStyle name="Normal 6 2" xfId="21" xr:uid="{00000000-0005-0000-0000-000017000000}"/>
    <cellStyle name="Normal 7" xfId="6" xr:uid="{00000000-0005-0000-0000-000018000000}"/>
    <cellStyle name="Normal 7 2" xfId="22" xr:uid="{00000000-0005-0000-0000-000019000000}"/>
    <cellStyle name="Normal 8" xfId="24" xr:uid="{00000000-0005-0000-0000-00001A000000}"/>
    <cellStyle name="Normal 9" xfId="25" xr:uid="{00000000-0005-0000-0000-00001B000000}"/>
  </cellStyles>
  <dxfs count="17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_-* #,##0.00\ _€_-;\-* #,##0.00\ _€_-;_-* &quot;-&quot;??\ _€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_-* #,##0.00\ _€_-;\-* #,##0.00\ _€_-;_-* &quot;-&quot;??\ _€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ABF8F"/>
          <bgColor rgb="FF000000"/>
        </patternFill>
      </fill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1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4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 xr9:uid="{00000000-0011-0000-FFFF-FFFF00000000}">
      <tableStyleElement type="wholeTable" dxfId="1777"/>
      <tableStyleElement type="headerRow" dxfId="1776"/>
      <tableStyleElement type="totalRow" dxfId="1775"/>
      <tableStyleElement type="firstRowStripe" dxfId="1774"/>
    </tableStyle>
    <tableStyle name="Tabla Ventas" pivot="0" count="5" xr9:uid="{00000000-0011-0000-FFFF-FFFF01000000}">
      <tableStyleElement type="wholeTable" dxfId="1773"/>
      <tableStyleElement type="headerRow" dxfId="1772"/>
      <tableStyleElement type="totalRow" dxfId="1771"/>
      <tableStyleElement type="firstRowStripe" dxfId="1770"/>
      <tableStyleElement type="secondRowStripe" dxfId="1769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03%20IVA%20-%20Marz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on"/>
      <sheetName val="Marzo 2023"/>
      <sheetName val="Calculo IVA"/>
      <sheetName val="Compras 03 2023"/>
    </sheetNames>
    <sheetDataSet>
      <sheetData sheetId="0">
        <row r="4">
          <cell r="A4">
            <v>30628205090</v>
          </cell>
          <cell r="B4" t="str">
            <v>ALBAMIE SA</v>
          </cell>
          <cell r="C4" t="str">
            <v>CLIENTE</v>
          </cell>
        </row>
        <row r="5">
          <cell r="A5">
            <v>30645337979</v>
          </cell>
          <cell r="B5" t="str">
            <v>ALEXANDER FLEMING SA</v>
          </cell>
          <cell r="C5" t="str">
            <v>CLIENTE</v>
          </cell>
        </row>
        <row r="6">
          <cell r="A6">
            <v>30716375176</v>
          </cell>
          <cell r="B6" t="str">
            <v>ALO FER SA</v>
          </cell>
          <cell r="C6" t="str">
            <v>PROVEEDOR</v>
          </cell>
        </row>
        <row r="7">
          <cell r="A7">
            <v>27101205733</v>
          </cell>
          <cell r="B7" t="str">
            <v>AMERELLI MIRTA SUSANA</v>
          </cell>
          <cell r="C7" t="str">
            <v>PROVEEDOR</v>
          </cell>
        </row>
        <row r="8">
          <cell r="A8">
            <v>30574816870</v>
          </cell>
          <cell r="B8" t="str">
            <v>AMERICAN EXPRESS ARG SA</v>
          </cell>
          <cell r="C8" t="str">
            <v>TARJETA</v>
          </cell>
        </row>
        <row r="9">
          <cell r="A9">
            <v>30708973501</v>
          </cell>
          <cell r="B9" t="str">
            <v>ASIAL SRL</v>
          </cell>
          <cell r="C9" t="str">
            <v>INSUMOS</v>
          </cell>
        </row>
        <row r="10">
          <cell r="A10">
            <v>30590354798</v>
          </cell>
          <cell r="B10" t="str">
            <v>ASOCIACION MUTUAL SANCOR SALUD</v>
          </cell>
          <cell r="C10" t="str">
            <v>CLIENTE</v>
          </cell>
        </row>
        <row r="11">
          <cell r="A11">
            <v>33714662819</v>
          </cell>
          <cell r="B11" t="str">
            <v>AYUDAS TECNICAS SRL</v>
          </cell>
          <cell r="C11" t="str">
            <v>PROVEEDOR</v>
          </cell>
        </row>
        <row r="12">
          <cell r="A12">
            <v>33716314869</v>
          </cell>
          <cell r="B12" t="str">
            <v>AZIBI SA</v>
          </cell>
          <cell r="C12" t="str">
            <v>PROVEEDOR</v>
          </cell>
        </row>
        <row r="13">
          <cell r="A13">
            <v>30715833243</v>
          </cell>
          <cell r="B13" t="str">
            <v>BIODINAMICA ASIST E INSUMOS</v>
          </cell>
          <cell r="C13" t="str">
            <v>PROVEEDOR</v>
          </cell>
        </row>
        <row r="14">
          <cell r="A14">
            <v>30712230459</v>
          </cell>
          <cell r="B14" t="str">
            <v>BIOMAX INSUMOS MEDICOS SA</v>
          </cell>
          <cell r="C14" t="str">
            <v>PROVEEDOR</v>
          </cell>
        </row>
        <row r="15">
          <cell r="A15">
            <v>20086277523</v>
          </cell>
          <cell r="B15" t="str">
            <v>BOTINDARI JUAN CARLOS</v>
          </cell>
          <cell r="C15" t="str">
            <v>HONORARIOS</v>
          </cell>
        </row>
        <row r="16">
          <cell r="A16">
            <v>30709876135</v>
          </cell>
          <cell r="B16" t="str">
            <v>CAPOFLEX SRL</v>
          </cell>
          <cell r="C16" t="str">
            <v>PROVEEDOR</v>
          </cell>
        </row>
        <row r="17">
          <cell r="A17">
            <v>27364044319</v>
          </cell>
          <cell r="B17" t="str">
            <v>CARBONELLI VERACRUZ MAGALI</v>
          </cell>
          <cell r="C17" t="str">
            <v>PROVEEDOR</v>
          </cell>
        </row>
        <row r="18">
          <cell r="A18">
            <v>30715116274</v>
          </cell>
          <cell r="B18" t="str">
            <v>CARFLEX SRL</v>
          </cell>
          <cell r="C18" t="str">
            <v>PROVEEDOR</v>
          </cell>
        </row>
        <row r="19">
          <cell r="A19">
            <v>30707612971</v>
          </cell>
          <cell r="B19" t="str">
            <v>CENTRO MEDICO AMENABAR SRL</v>
          </cell>
          <cell r="C19" t="str">
            <v>CLIENTE</v>
          </cell>
        </row>
        <row r="20">
          <cell r="A20">
            <v>30707986189</v>
          </cell>
          <cell r="B20" t="str">
            <v>CIERRES, ABROJO &amp; HERRAJES SRL</v>
          </cell>
          <cell r="C20" t="str">
            <v>PROVEEDOR</v>
          </cell>
        </row>
        <row r="21">
          <cell r="A21">
            <v>30605344352</v>
          </cell>
          <cell r="B21" t="str">
            <v>CONSORCIO BARTOLME MITRE 2466</v>
          </cell>
          <cell r="C21" t="str">
            <v>CONSORCIO</v>
          </cell>
        </row>
        <row r="22">
          <cell r="A22">
            <v>20134281783</v>
          </cell>
          <cell r="B22" t="str">
            <v>CONTERI EDGARDO MARCELO</v>
          </cell>
          <cell r="C22" t="str">
            <v>PROVEEDOR</v>
          </cell>
        </row>
        <row r="23">
          <cell r="A23">
            <v>30708574836</v>
          </cell>
          <cell r="B23" t="str">
            <v>CORREO OFICIAL DE LA REPUBLICA ARGENTINA SOCIEDAD ANONIMA</v>
          </cell>
          <cell r="C23" t="str">
            <v>CORREO</v>
          </cell>
        </row>
        <row r="24">
          <cell r="A24">
            <v>30548083156</v>
          </cell>
          <cell r="B24" t="str">
            <v>COTO CICSA</v>
          </cell>
          <cell r="C24" t="str">
            <v>GASTOS VARIOS</v>
          </cell>
        </row>
        <row r="25">
          <cell r="A25">
            <v>30715242903</v>
          </cell>
          <cell r="B25" t="str">
            <v xml:space="preserve">DAP WORLD </v>
          </cell>
          <cell r="C25" t="str">
            <v>PROVEEDOR</v>
          </cell>
        </row>
        <row r="26">
          <cell r="A26">
            <v>30516186670</v>
          </cell>
          <cell r="B26" t="str">
            <v>DEHEZA SAICFeI</v>
          </cell>
          <cell r="C26" t="str">
            <v>VARIOS</v>
          </cell>
        </row>
        <row r="27">
          <cell r="A27">
            <v>20045615473</v>
          </cell>
          <cell r="B27" t="str">
            <v>DI FEO HUGO PASCUAL GUILLERMO</v>
          </cell>
          <cell r="C27" t="str">
            <v>INSUMOS</v>
          </cell>
        </row>
        <row r="28">
          <cell r="A28">
            <v>20271532483</v>
          </cell>
          <cell r="B28" t="str">
            <v>DIEGO MARTIN RIOS</v>
          </cell>
          <cell r="C28" t="str">
            <v>PROVEEDOR</v>
          </cell>
        </row>
        <row r="29">
          <cell r="A29">
            <v>30710374801</v>
          </cell>
          <cell r="B29" t="str">
            <v>DISTRIBUIDORA LARREA SA</v>
          </cell>
          <cell r="C29" t="str">
            <v>LIBRERÍA</v>
          </cell>
        </row>
        <row r="30">
          <cell r="A30">
            <v>23281233084</v>
          </cell>
          <cell r="B30" t="str">
            <v>DRUETTA ANDREA MARIEL</v>
          </cell>
          <cell r="C30" t="str">
            <v>TECNICO</v>
          </cell>
        </row>
        <row r="31">
          <cell r="A31">
            <v>30537882871</v>
          </cell>
          <cell r="B31" t="str">
            <v>EL JUMILIANO SA</v>
          </cell>
          <cell r="C31" t="str">
            <v>INSUMOS</v>
          </cell>
        </row>
        <row r="32">
          <cell r="A32">
            <v>20259499632</v>
          </cell>
          <cell r="B32" t="str">
            <v>ENCINA AVELINO</v>
          </cell>
          <cell r="C32" t="str">
            <v>ESCRIBANO</v>
          </cell>
        </row>
        <row r="33">
          <cell r="A33">
            <v>30709368067</v>
          </cell>
          <cell r="B33" t="str">
            <v>ENVADEC SRL</v>
          </cell>
          <cell r="C33" t="str">
            <v>LIBRERÍA</v>
          </cell>
        </row>
        <row r="34">
          <cell r="A34" t="str">
            <v>30-56864959-8</v>
          </cell>
          <cell r="B34" t="str">
            <v>EXPRESO BISONTE SRL</v>
          </cell>
          <cell r="C34" t="str">
            <v>FLETE</v>
          </cell>
        </row>
        <row r="35">
          <cell r="A35">
            <v>30715980807</v>
          </cell>
          <cell r="B35" t="str">
            <v>FABORT SRL</v>
          </cell>
          <cell r="C35" t="str">
            <v>PROVEEDOR</v>
          </cell>
        </row>
        <row r="36">
          <cell r="A36">
            <v>30657418877</v>
          </cell>
          <cell r="B36" t="str">
            <v>FUNDACION EMPRESARIA MADERERA</v>
          </cell>
          <cell r="C36" t="str">
            <v>CLIENTE</v>
          </cell>
        </row>
        <row r="37">
          <cell r="A37">
            <v>20115545397</v>
          </cell>
          <cell r="B37" t="str">
            <v>FURLANETTO VICTOR</v>
          </cell>
          <cell r="C37" t="str">
            <v>LIBRERÍA</v>
          </cell>
        </row>
        <row r="38">
          <cell r="A38">
            <v>27204269527</v>
          </cell>
          <cell r="B38" t="str">
            <v>GALE GABRIELA</v>
          </cell>
          <cell r="C38" t="str">
            <v>LIBRERÍA</v>
          </cell>
        </row>
        <row r="39">
          <cell r="A39">
            <v>30522428163</v>
          </cell>
          <cell r="B39" t="str">
            <v>GALENO ARGENTINA SA</v>
          </cell>
          <cell r="C39" t="str">
            <v>CLIENTE</v>
          </cell>
        </row>
        <row r="40">
          <cell r="A40">
            <v>30685228501</v>
          </cell>
          <cell r="B40" t="str">
            <v>GALENO ART SA</v>
          </cell>
          <cell r="C40" t="str">
            <v>CLIENTE</v>
          </cell>
        </row>
        <row r="41">
          <cell r="A41">
            <v>30594549712</v>
          </cell>
          <cell r="B41" t="str">
            <v>GASPAR BERNARDI E HIJOS SA</v>
          </cell>
          <cell r="C41" t="str">
            <v>VARIOS</v>
          </cell>
        </row>
        <row r="42">
          <cell r="A42">
            <v>30708855975</v>
          </cell>
          <cell r="B42" t="str">
            <v>GELFORM SRL</v>
          </cell>
          <cell r="C42" t="str">
            <v>PROVEEDOR</v>
          </cell>
        </row>
        <row r="43">
          <cell r="A43">
            <v>30546694263</v>
          </cell>
          <cell r="B43" t="str">
            <v>GENDARMERIA NACIONAL</v>
          </cell>
          <cell r="C43" t="str">
            <v>CLIENTE</v>
          </cell>
        </row>
        <row r="44">
          <cell r="A44">
            <v>30711950113</v>
          </cell>
          <cell r="B44" t="str">
            <v>GITMED INSUMOS MEDICOS SRL</v>
          </cell>
          <cell r="C44" t="str">
            <v>PROVEEDOR</v>
          </cell>
        </row>
        <row r="45">
          <cell r="A45">
            <v>23920485979</v>
          </cell>
          <cell r="B45" t="str">
            <v>GONZALEZ SAGASETA GABRIEL</v>
          </cell>
          <cell r="C45" t="str">
            <v>PROVEEDOR</v>
          </cell>
        </row>
        <row r="46">
          <cell r="A46">
            <v>30712778403</v>
          </cell>
          <cell r="B46" t="str">
            <v>GREEN GARDEN MARKET SA</v>
          </cell>
          <cell r="C46" t="str">
            <v>LIBRERÍA</v>
          </cell>
        </row>
        <row r="47">
          <cell r="A47">
            <v>20313759246</v>
          </cell>
          <cell r="B47" t="str">
            <v>HERRERA SERGIO DANIEL ALBERTO</v>
          </cell>
          <cell r="C47" t="str">
            <v>CAMARAS</v>
          </cell>
        </row>
        <row r="48">
          <cell r="A48">
            <v>30714122718</v>
          </cell>
          <cell r="B48" t="str">
            <v>HIPER ON LINE SRL</v>
          </cell>
          <cell r="C48" t="str">
            <v>PROVEEDOR</v>
          </cell>
        </row>
        <row r="49">
          <cell r="A49">
            <v>30714696153</v>
          </cell>
          <cell r="B49" t="str">
            <v>HOSPIMED SA</v>
          </cell>
          <cell r="C49" t="str">
            <v>PROVEEDOR</v>
          </cell>
        </row>
        <row r="50">
          <cell r="A50">
            <v>30687310434</v>
          </cell>
          <cell r="B50" t="str">
            <v>INC SA</v>
          </cell>
          <cell r="C50" t="str">
            <v>VARIOS</v>
          </cell>
        </row>
        <row r="51">
          <cell r="A51">
            <v>30515800219</v>
          </cell>
          <cell r="B51" t="str">
            <v>INCAT SRL</v>
          </cell>
          <cell r="C51" t="str">
            <v>VARIOS</v>
          </cell>
        </row>
        <row r="52">
          <cell r="A52">
            <v>30598739540</v>
          </cell>
          <cell r="B52" t="str">
            <v>INST. CARDIOVASCULAR BSAS SA</v>
          </cell>
          <cell r="C52" t="str">
            <v>CLIENTE</v>
          </cell>
        </row>
        <row r="53">
          <cell r="A53">
            <v>30697558868</v>
          </cell>
          <cell r="B53" t="str">
            <v>INTENSE LIFE SA</v>
          </cell>
          <cell r="C53" t="str">
            <v>CLIENTE</v>
          </cell>
        </row>
        <row r="54">
          <cell r="A54">
            <v>30999077508</v>
          </cell>
          <cell r="B54" t="str">
            <v>IPROSS</v>
          </cell>
          <cell r="C54" t="str">
            <v>CLIENTE</v>
          </cell>
        </row>
        <row r="55">
          <cell r="A55">
            <v>30712187316</v>
          </cell>
          <cell r="B55" t="str">
            <v>ITALOMED PRODUCTOS SRL</v>
          </cell>
          <cell r="C55" t="str">
            <v>PROVEEDOR</v>
          </cell>
        </row>
        <row r="56">
          <cell r="A56">
            <v>20182999661</v>
          </cell>
          <cell r="B56" t="str">
            <v>KLAINER ABEL JAVIER</v>
          </cell>
          <cell r="C56" t="str">
            <v>VARIOS</v>
          </cell>
        </row>
        <row r="57">
          <cell r="A57">
            <v>23941647804</v>
          </cell>
          <cell r="B57" t="str">
            <v>KRUGER BRUNA</v>
          </cell>
          <cell r="C57" t="str">
            <v>HONORARIOS</v>
          </cell>
        </row>
        <row r="58">
          <cell r="A58">
            <v>20220423655</v>
          </cell>
          <cell r="B58" t="str">
            <v>LANDRO FERNANDO GABRIEL</v>
          </cell>
          <cell r="C58" t="str">
            <v>PROVEEDOR</v>
          </cell>
        </row>
        <row r="59">
          <cell r="A59">
            <v>27062343449</v>
          </cell>
          <cell r="B59" t="str">
            <v>FERREIRA LILIANA INES</v>
          </cell>
          <cell r="C59" t="str">
            <v>FLETE</v>
          </cell>
        </row>
        <row r="60">
          <cell r="A60">
            <v>30711244383</v>
          </cell>
          <cell r="B60" t="str">
            <v>LOGIN DOOR SA</v>
          </cell>
          <cell r="C60" t="str">
            <v>CLIENTE</v>
          </cell>
        </row>
        <row r="61">
          <cell r="A61">
            <v>27119876171</v>
          </cell>
          <cell r="B61" t="str">
            <v>MALDONADO LIDIA ESTELA</v>
          </cell>
          <cell r="C61" t="str">
            <v>CLIENTE</v>
          </cell>
        </row>
        <row r="62">
          <cell r="A62">
            <v>27228778937</v>
          </cell>
          <cell r="B62" t="str">
            <v>MARIA NATALIA OLIVIERI</v>
          </cell>
          <cell r="C62" t="str">
            <v>PROVEEDOR</v>
          </cell>
        </row>
        <row r="63">
          <cell r="A63">
            <v>20202134700</v>
          </cell>
          <cell r="B63" t="str">
            <v>MARIÑO GERMAN</v>
          </cell>
          <cell r="C63" t="str">
            <v>INSUMOS</v>
          </cell>
        </row>
        <row r="64">
          <cell r="A64">
            <v>30707042679</v>
          </cell>
          <cell r="B64" t="str">
            <v>MEDICAL FOAM SRL</v>
          </cell>
          <cell r="C64" t="str">
            <v>PROVEEDOR</v>
          </cell>
        </row>
        <row r="65">
          <cell r="A65">
            <v>30546771314</v>
          </cell>
          <cell r="B65" t="str">
            <v>MEDICUS SA</v>
          </cell>
          <cell r="C65" t="str">
            <v>CLIENTE</v>
          </cell>
        </row>
        <row r="66">
          <cell r="A66">
            <v>30710816049</v>
          </cell>
          <cell r="B66" t="str">
            <v>MELICASLAT SRL</v>
          </cell>
          <cell r="C66" t="str">
            <v>PROVEEDOR</v>
          </cell>
        </row>
        <row r="67">
          <cell r="A67">
            <v>30709016012</v>
          </cell>
          <cell r="B67" t="str">
            <v>MGR IMPLANTES SA</v>
          </cell>
          <cell r="C67" t="str">
            <v>CLIENTE</v>
          </cell>
        </row>
        <row r="68">
          <cell r="A68">
            <v>20317488476</v>
          </cell>
          <cell r="B68" t="str">
            <v>VILLALBA MIGUEL ANGEL</v>
          </cell>
          <cell r="C68" t="str">
            <v>PROVEEDOR</v>
          </cell>
        </row>
        <row r="69">
          <cell r="A69">
            <v>20291935401</v>
          </cell>
          <cell r="B69" t="str">
            <v>MOLINO MARIANO GASTON</v>
          </cell>
          <cell r="C69" t="str">
            <v>PROVEEDOR</v>
          </cell>
        </row>
        <row r="70">
          <cell r="A70">
            <v>20315107807</v>
          </cell>
          <cell r="B70" t="str">
            <v>NARVAEZ RODRIGUEZ DAMIAN</v>
          </cell>
          <cell r="C70" t="str">
            <v>FLETE</v>
          </cell>
        </row>
        <row r="71">
          <cell r="A71">
            <v>20232991527</v>
          </cell>
          <cell r="B71" t="str">
            <v>NESTOR LUIS VINAGRE</v>
          </cell>
          <cell r="C71" t="str">
            <v>PROVEEDOR</v>
          </cell>
        </row>
        <row r="72">
          <cell r="A72">
            <v>30715399519</v>
          </cell>
          <cell r="B72" t="str">
            <v>NT SYSTEM WORK</v>
          </cell>
          <cell r="C72" t="str">
            <v>SISTEMA</v>
          </cell>
        </row>
        <row r="73">
          <cell r="A73">
            <v>30536259194</v>
          </cell>
          <cell r="B73" t="str">
            <v>O.C.A.</v>
          </cell>
          <cell r="C73" t="str">
            <v>FLETE</v>
          </cell>
        </row>
        <row r="74">
          <cell r="A74">
            <v>30500053522</v>
          </cell>
          <cell r="B74" t="str">
            <v>OBRA SOCIAL DE LA ACTIVIDAD DE SEGUROS, REASEGUROS, CAPITALIZACION Y AHORRO Y PRESTAMO  PARA LA VIVIENDA</v>
          </cell>
          <cell r="C74" t="str">
            <v>CLIENTE</v>
          </cell>
        </row>
        <row r="75">
          <cell r="A75">
            <v>20238751560</v>
          </cell>
          <cell r="B75" t="str">
            <v>ORTIZ RICARDO ALFREDO</v>
          </cell>
          <cell r="C75" t="str">
            <v>VARIOS</v>
          </cell>
        </row>
        <row r="76">
          <cell r="A76">
            <v>30714331082</v>
          </cell>
          <cell r="B76" t="str">
            <v>ORTOPEDIA CASA ESCALADA SRL</v>
          </cell>
          <cell r="C76" t="str">
            <v>PROVEEDOR</v>
          </cell>
        </row>
        <row r="77">
          <cell r="A77">
            <v>33709738459</v>
          </cell>
          <cell r="B77" t="str">
            <v>ORTOPEDICOS ALFOLATEX SA</v>
          </cell>
          <cell r="C77" t="str">
            <v>PROVEEDOR</v>
          </cell>
        </row>
        <row r="78">
          <cell r="A78">
            <v>30696246234</v>
          </cell>
          <cell r="B78" t="str">
            <v>ORTOPEDICOS SAN ANDRES SRL</v>
          </cell>
          <cell r="C78" t="str">
            <v>PROVEEDOR</v>
          </cell>
        </row>
        <row r="79">
          <cell r="A79">
            <v>30546846217</v>
          </cell>
          <cell r="B79" t="str">
            <v>OBRA SOCIAL SUPERCO</v>
          </cell>
          <cell r="C79" t="str">
            <v>CLIENTE</v>
          </cell>
        </row>
        <row r="80">
          <cell r="A80">
            <v>30590412631</v>
          </cell>
          <cell r="B80" t="str">
            <v>OSMATA</v>
          </cell>
          <cell r="C80" t="str">
            <v>CLIENTE</v>
          </cell>
        </row>
        <row r="81">
          <cell r="A81">
            <v>30546666189</v>
          </cell>
          <cell r="B81" t="str">
            <v>OSPLAD</v>
          </cell>
          <cell r="C81" t="str">
            <v>CLIENTE</v>
          </cell>
        </row>
        <row r="82">
          <cell r="A82">
            <v>30608716390</v>
          </cell>
          <cell r="B82" t="str">
            <v>OSTEL</v>
          </cell>
          <cell r="C82" t="str">
            <v>CLIENTE</v>
          </cell>
        </row>
        <row r="83">
          <cell r="A83">
            <v>30658137642</v>
          </cell>
          <cell r="B83" t="str">
            <v>OSTIG</v>
          </cell>
          <cell r="C83" t="str">
            <v>CLIENTE</v>
          </cell>
        </row>
        <row r="84">
          <cell r="A84">
            <v>30707080198</v>
          </cell>
          <cell r="B84" t="str">
            <v>OTTO BOCK ARG SA</v>
          </cell>
          <cell r="C84" t="str">
            <v>PROVEEDOR</v>
          </cell>
        </row>
        <row r="85">
          <cell r="A85">
            <v>30643862928</v>
          </cell>
          <cell r="B85" t="str">
            <v>OUTLANDISH SRL</v>
          </cell>
          <cell r="C85" t="str">
            <v>PROVEEDOR</v>
          </cell>
        </row>
        <row r="86">
          <cell r="A86">
            <v>20277164192</v>
          </cell>
          <cell r="B86" t="str">
            <v>PABLO ROBERTO MURUA POU</v>
          </cell>
          <cell r="C86" t="str">
            <v>INSUMOS</v>
          </cell>
        </row>
        <row r="87">
          <cell r="A87">
            <v>30591633984</v>
          </cell>
          <cell r="B87" t="str">
            <v>PANTYMED SA</v>
          </cell>
          <cell r="C87" t="str">
            <v>PROVEEDOR</v>
          </cell>
        </row>
        <row r="88">
          <cell r="A88">
            <v>27182477368</v>
          </cell>
          <cell r="B88" t="str">
            <v>PIAGGIO PAULA ANDREA</v>
          </cell>
          <cell r="C88" t="str">
            <v>CLIENTE</v>
          </cell>
        </row>
        <row r="89">
          <cell r="A89">
            <v>27370346742</v>
          </cell>
          <cell r="B89" t="str">
            <v>PIVA MICAELA</v>
          </cell>
          <cell r="C89" t="str">
            <v>TALLER</v>
          </cell>
        </row>
        <row r="90">
          <cell r="A90">
            <v>27265302225</v>
          </cell>
          <cell r="B90" t="str">
            <v>PRADO MARISOL</v>
          </cell>
          <cell r="C90" t="str">
            <v>PROVEEDOR</v>
          </cell>
        </row>
        <row r="91">
          <cell r="A91">
            <v>30709776564</v>
          </cell>
          <cell r="B91" t="str">
            <v>PROSEGUR ACTIVA ARG SA</v>
          </cell>
          <cell r="C91" t="str">
            <v>SEGUROS</v>
          </cell>
        </row>
        <row r="92">
          <cell r="A92">
            <v>20182721787</v>
          </cell>
          <cell r="B92" t="str">
            <v>QUIROZ CARLOS DANIEL</v>
          </cell>
          <cell r="C92" t="str">
            <v>PROVEEDOR</v>
          </cell>
        </row>
        <row r="93">
          <cell r="A93">
            <v>20202500138</v>
          </cell>
          <cell r="B93" t="str">
            <v>RAMBAUD DIEGO GABRIEL</v>
          </cell>
          <cell r="C93" t="str">
            <v>GASTOS VARIOS</v>
          </cell>
        </row>
        <row r="94">
          <cell r="A94">
            <v>30715141201</v>
          </cell>
          <cell r="B94" t="str">
            <v>REHAB SRL</v>
          </cell>
          <cell r="C94" t="str">
            <v>PROVEEDOR</v>
          </cell>
        </row>
        <row r="95">
          <cell r="A95">
            <v>30709214078</v>
          </cell>
          <cell r="B95" t="str">
            <v>REHAVITA SA</v>
          </cell>
          <cell r="C95" t="str">
            <v>PROVEEDOR</v>
          </cell>
        </row>
        <row r="96">
          <cell r="A96">
            <v>30711764921</v>
          </cell>
          <cell r="B96" t="str">
            <v>RELIEF CENTER SRL</v>
          </cell>
          <cell r="C96" t="str">
            <v>PROVEEDOR</v>
          </cell>
        </row>
        <row r="97">
          <cell r="A97">
            <v>30710473990</v>
          </cell>
          <cell r="B97" t="str">
            <v>RENT AR SRL</v>
          </cell>
          <cell r="C97" t="str">
            <v>VARIOS</v>
          </cell>
        </row>
        <row r="98">
          <cell r="A98">
            <v>23233422029</v>
          </cell>
          <cell r="B98" t="str">
            <v>RODOLFO SCHULZE</v>
          </cell>
          <cell r="C98" t="str">
            <v>PROVEEDOR</v>
          </cell>
        </row>
        <row r="99">
          <cell r="A99">
            <v>30715048066</v>
          </cell>
          <cell r="B99" t="str">
            <v>ROLLS Y EMPANADAS SA</v>
          </cell>
          <cell r="C99" t="str">
            <v>VARIOS</v>
          </cell>
        </row>
        <row r="100">
          <cell r="A100">
            <v>23111810184</v>
          </cell>
          <cell r="B100" t="str">
            <v>SAFRANCHIK SILVIA MERCEDES</v>
          </cell>
          <cell r="C100" t="str">
            <v>CLIENTE</v>
          </cell>
        </row>
        <row r="101">
          <cell r="A101">
            <v>30598960093</v>
          </cell>
          <cell r="B101" t="str">
            <v>SILVESTRIN FABRIS SRL</v>
          </cell>
          <cell r="C101" t="str">
            <v>PROVEEDOR</v>
          </cell>
        </row>
        <row r="102">
          <cell r="A102">
            <v>27066622997</v>
          </cell>
          <cell r="B102" t="str">
            <v>SOSA GLORIA MIRIAM DEL CARMEN</v>
          </cell>
          <cell r="C102" t="str">
            <v>IMPRENTA</v>
          </cell>
        </row>
        <row r="103">
          <cell r="A103">
            <v>30577797281</v>
          </cell>
          <cell r="B103" t="str">
            <v>STAFF MEDICO SA</v>
          </cell>
          <cell r="C103" t="str">
            <v>CLIENTE</v>
          </cell>
        </row>
        <row r="104">
          <cell r="A104">
            <v>20314785593</v>
          </cell>
          <cell r="B104" t="str">
            <v>SUPERVIELLE SANTIAGO</v>
          </cell>
          <cell r="C104" t="str">
            <v>PROVEEDOR</v>
          </cell>
        </row>
        <row r="105">
          <cell r="A105">
            <v>23145783224</v>
          </cell>
          <cell r="B105" t="str">
            <v>SUTIL SILVIA EDITH</v>
          </cell>
          <cell r="C105" t="str">
            <v>PROVEEDOR</v>
          </cell>
        </row>
        <row r="106">
          <cell r="A106">
            <v>30710177658</v>
          </cell>
          <cell r="B106" t="str">
            <v>TARGET MEDICAL SA</v>
          </cell>
          <cell r="C106" t="str">
            <v>PROVEEDOR</v>
          </cell>
        </row>
        <row r="107">
          <cell r="A107">
            <v>30708960736</v>
          </cell>
          <cell r="B107" t="str">
            <v>TECNIPRAX SRL</v>
          </cell>
          <cell r="C107" t="str">
            <v>PROVEEDOR</v>
          </cell>
        </row>
        <row r="108">
          <cell r="A108">
            <v>30639453738</v>
          </cell>
          <cell r="B108" t="str">
            <v>TELECOM ARGENTINA SA</v>
          </cell>
          <cell r="C108" t="str">
            <v>SERVICIO</v>
          </cell>
        </row>
        <row r="109">
          <cell r="A109">
            <v>30639453975</v>
          </cell>
          <cell r="B109" t="str">
            <v>TELEFONICA ARG SA</v>
          </cell>
          <cell r="C109" t="str">
            <v>SERVICIO</v>
          </cell>
        </row>
        <row r="110">
          <cell r="A110">
            <v>30678814357</v>
          </cell>
          <cell r="B110" t="str">
            <v>TELEFONICA MOVILES ARG SA</v>
          </cell>
          <cell r="C110" t="str">
            <v>SERVICIO</v>
          </cell>
        </row>
        <row r="111">
          <cell r="A111">
            <v>30616031143</v>
          </cell>
          <cell r="B111" t="str">
            <v>TRAFE SUDAMERICANA SA</v>
          </cell>
          <cell r="C111" t="str">
            <v>VARIOS</v>
          </cell>
        </row>
        <row r="112">
          <cell r="A112">
            <v>30712305513</v>
          </cell>
          <cell r="B112" t="str">
            <v>TRINIDAD INSUMOS SRL</v>
          </cell>
          <cell r="C112" t="str">
            <v>PROVEEDOR</v>
          </cell>
        </row>
        <row r="113">
          <cell r="A113">
            <v>30646150406</v>
          </cell>
          <cell r="B113" t="str">
            <v>TRUST SRL</v>
          </cell>
          <cell r="C113" t="str">
            <v>PROVEEDOR</v>
          </cell>
        </row>
        <row r="114">
          <cell r="A114">
            <v>30531602273</v>
          </cell>
          <cell r="B114" t="str">
            <v>UTEDYC</v>
          </cell>
          <cell r="C114" t="str">
            <v>CLIENTE</v>
          </cell>
        </row>
        <row r="115">
          <cell r="A115">
            <v>20257137326</v>
          </cell>
          <cell r="B115" t="str">
            <v>VAZQUEZ MAURO GASTON</v>
          </cell>
          <cell r="C115" t="str">
            <v>PROVEEDOR</v>
          </cell>
        </row>
        <row r="116">
          <cell r="A116">
            <v>20247225243</v>
          </cell>
          <cell r="B116" t="str">
            <v>VENTO HUGO GABRIEL</v>
          </cell>
          <cell r="C116" t="str">
            <v>PROVEEDOR</v>
          </cell>
        </row>
        <row r="117">
          <cell r="A117">
            <v>27211421202</v>
          </cell>
          <cell r="B117" t="str">
            <v>VIEGAS GABRIELA LAURA</v>
          </cell>
          <cell r="C117" t="str">
            <v>PROVEEDOR</v>
          </cell>
        </row>
        <row r="118">
          <cell r="A118">
            <v>20231247239</v>
          </cell>
          <cell r="B118" t="str">
            <v>WAINMANN PABLO MARIANO</v>
          </cell>
          <cell r="C118" t="str">
            <v>PROVEEDOR</v>
          </cell>
        </row>
        <row r="119">
          <cell r="A119">
            <v>27385671526</v>
          </cell>
          <cell r="B119" t="str">
            <v>MACHADO ELIANA NOEMI</v>
          </cell>
          <cell r="C119" t="str">
            <v>PROVEEDOR</v>
          </cell>
        </row>
        <row r="120">
          <cell r="A120">
            <v>20281669053</v>
          </cell>
          <cell r="B120" t="str">
            <v>ACOSTA JAVIER GUSTAVO</v>
          </cell>
          <cell r="C120" t="str">
            <v>FLETE</v>
          </cell>
        </row>
        <row r="121">
          <cell r="A121">
            <v>30716393360</v>
          </cell>
          <cell r="B121" t="str">
            <v>SOLUCIONES ORTOPEDICAS</v>
          </cell>
          <cell r="C121" t="str">
            <v>PROVEEDOR</v>
          </cell>
        </row>
        <row r="122">
          <cell r="A122">
            <v>30688140923</v>
          </cell>
          <cell r="B122" t="str">
            <v>COLTEX SRL</v>
          </cell>
          <cell r="C122" t="str">
            <v>PROVEEDOR</v>
          </cell>
        </row>
        <row r="123">
          <cell r="A123">
            <v>20292887648</v>
          </cell>
          <cell r="B123" t="str">
            <v>GONZALEZ ALFREDO SEBASTIAN</v>
          </cell>
          <cell r="C123" t="str">
            <v>PROVEEDOR</v>
          </cell>
        </row>
        <row r="124">
          <cell r="A124">
            <v>30715284142</v>
          </cell>
          <cell r="B124" t="str">
            <v>NICA SA</v>
          </cell>
          <cell r="C124" t="str">
            <v>VARIOS</v>
          </cell>
        </row>
        <row r="125">
          <cell r="A125">
            <v>27242941301</v>
          </cell>
          <cell r="B125" t="str">
            <v>GAETE MONICA ELIZABETH</v>
          </cell>
          <cell r="C125" t="str">
            <v>HONORARIOS</v>
          </cell>
        </row>
        <row r="126">
          <cell r="A126">
            <v>27304914071</v>
          </cell>
          <cell r="B126" t="str">
            <v>LACCO MARIA FLORENCIA</v>
          </cell>
          <cell r="C126" t="str">
            <v>INSUMOS</v>
          </cell>
        </row>
        <row r="127">
          <cell r="A127">
            <v>30661498575</v>
          </cell>
          <cell r="B127" t="str">
            <v>ORTOPEDIA GULLONE SRL</v>
          </cell>
          <cell r="C127" t="str">
            <v>PROVEEDOR</v>
          </cell>
        </row>
        <row r="128">
          <cell r="A128">
            <v>20182095215</v>
          </cell>
          <cell r="B128" t="str">
            <v>MIGOYA CESAR ALBERTO</v>
          </cell>
          <cell r="C128" t="str">
            <v>ALQUILER/HONORARIOS</v>
          </cell>
        </row>
        <row r="129">
          <cell r="A129">
            <v>27147827682</v>
          </cell>
          <cell r="B129" t="str">
            <v>GUILLAN SANDRA SILVIA</v>
          </cell>
          <cell r="C129" t="str">
            <v>HONORARIOS</v>
          </cell>
        </row>
        <row r="130">
          <cell r="A130">
            <v>23929701364</v>
          </cell>
          <cell r="B130" t="str">
            <v>VOCAL ALCOBA CINTIA</v>
          </cell>
          <cell r="C130" t="str">
            <v>FLETE</v>
          </cell>
        </row>
        <row r="131">
          <cell r="A131">
            <v>30595553535</v>
          </cell>
          <cell r="B131" t="str">
            <v>RUBRICOM SA</v>
          </cell>
          <cell r="C131" t="str">
            <v>IMPRENTA</v>
          </cell>
        </row>
        <row r="132">
          <cell r="A132">
            <v>30707758682</v>
          </cell>
          <cell r="B132" t="str">
            <v>ISEC</v>
          </cell>
          <cell r="C132" t="str">
            <v>CLIENTE</v>
          </cell>
        </row>
        <row r="133">
          <cell r="A133">
            <v>30600907553</v>
          </cell>
          <cell r="B133" t="str">
            <v>ARMAGALLI SA</v>
          </cell>
          <cell r="C133" t="str">
            <v>VARIOS</v>
          </cell>
        </row>
        <row r="134">
          <cell r="A134">
            <v>20043911369</v>
          </cell>
          <cell r="B134" t="str">
            <v>PALLONE JORGE</v>
          </cell>
          <cell r="C134" t="str">
            <v>PROVEEDOR</v>
          </cell>
        </row>
        <row r="135">
          <cell r="A135">
            <v>30575945232</v>
          </cell>
          <cell r="B135" t="str">
            <v>CASA SUEDY SA</v>
          </cell>
          <cell r="C135" t="str">
            <v>VARIOS</v>
          </cell>
        </row>
        <row r="136">
          <cell r="A136">
            <v>33714642079</v>
          </cell>
          <cell r="B136" t="str">
            <v>BAIRES ROCKS SRL</v>
          </cell>
          <cell r="C136" t="str">
            <v>VARIOS</v>
          </cell>
        </row>
        <row r="137">
          <cell r="A137">
            <v>20129871947</v>
          </cell>
          <cell r="B137" t="str">
            <v>CARLOS RODOLFO FERNANDEZ</v>
          </cell>
          <cell r="C137" t="str">
            <v>PROVEEDOR</v>
          </cell>
        </row>
        <row r="138">
          <cell r="A138">
            <v>20186809565</v>
          </cell>
          <cell r="B138" t="str">
            <v>GARCIA BATALLAN LAUTARO</v>
          </cell>
          <cell r="C138" t="str">
            <v>PROVEEDOR</v>
          </cell>
        </row>
        <row r="139">
          <cell r="A139">
            <v>33710268059</v>
          </cell>
          <cell r="B139" t="str">
            <v>CONGRESO INSUMOS SA</v>
          </cell>
          <cell r="C139" t="str">
            <v>INSUMOS</v>
          </cell>
        </row>
        <row r="140">
          <cell r="A140">
            <v>20174240125</v>
          </cell>
          <cell r="B140" t="str">
            <v>ACOSTA OSCAR ISIDRO</v>
          </cell>
          <cell r="C140" t="str">
            <v>VARIOS</v>
          </cell>
        </row>
        <row r="141">
          <cell r="A141">
            <v>30709453293</v>
          </cell>
          <cell r="B141" t="str">
            <v>FERRETERIA INDUSTRIAL ONCE SRL</v>
          </cell>
          <cell r="C141" t="str">
            <v>VARIOS</v>
          </cell>
        </row>
        <row r="142">
          <cell r="A142">
            <v>20343766441</v>
          </cell>
          <cell r="B142" t="str">
            <v>FERNANDEZ MAURO</v>
          </cell>
          <cell r="C142" t="str">
            <v>TALLER</v>
          </cell>
        </row>
        <row r="143">
          <cell r="A143">
            <v>30715923374</v>
          </cell>
          <cell r="B143" t="str">
            <v>BAIRES CARTELES SA</v>
          </cell>
          <cell r="C143" t="str">
            <v>PROVEEDOR</v>
          </cell>
        </row>
        <row r="144">
          <cell r="A144">
            <v>27061922984</v>
          </cell>
          <cell r="B144" t="str">
            <v>GALIANO MARIA LIDIA</v>
          </cell>
          <cell r="C144" t="str">
            <v>PROVEEDOR</v>
          </cell>
        </row>
        <row r="145">
          <cell r="A145">
            <v>30710095171</v>
          </cell>
          <cell r="B145" t="str">
            <v>HERNANDEZ RIVERO ADRIAN</v>
          </cell>
          <cell r="C145" t="str">
            <v>PROVEEDOR</v>
          </cell>
        </row>
        <row r="146">
          <cell r="A146">
            <v>30703088534</v>
          </cell>
          <cell r="B146" t="str">
            <v>MERCADOLIBRE SRL</v>
          </cell>
          <cell r="C146" t="str">
            <v>PROVEEDOR</v>
          </cell>
        </row>
        <row r="147">
          <cell r="A147">
            <v>20351173913</v>
          </cell>
          <cell r="B147" t="str">
            <v>SOLANS SEBASTIAN DARIO</v>
          </cell>
          <cell r="C147" t="str">
            <v>PROVEEDOR</v>
          </cell>
        </row>
        <row r="148">
          <cell r="A148">
            <v>27101420391</v>
          </cell>
          <cell r="B148" t="str">
            <v>MARIA ESPERANZA CORVALAN</v>
          </cell>
          <cell r="C148" t="str">
            <v>PROVEEDOR</v>
          </cell>
        </row>
        <row r="149">
          <cell r="A149">
            <v>20167634436</v>
          </cell>
          <cell r="B149" t="str">
            <v>DEMARIA AUGUSTO CARLOS</v>
          </cell>
          <cell r="C149" t="str">
            <v>VARIOS</v>
          </cell>
        </row>
        <row r="150">
          <cell r="A150">
            <v>30715210904</v>
          </cell>
          <cell r="B150" t="str">
            <v>HABLENDEAUNO SA</v>
          </cell>
          <cell r="C150" t="str">
            <v>PROVEEDOR</v>
          </cell>
        </row>
        <row r="151">
          <cell r="A151">
            <v>20924962756</v>
          </cell>
          <cell r="B151" t="str">
            <v>KOGAN LEWIT WINSTON DANIEL</v>
          </cell>
          <cell r="C151" t="str">
            <v>PROVEEDOR</v>
          </cell>
        </row>
        <row r="152">
          <cell r="A152">
            <v>30690142860</v>
          </cell>
          <cell r="B152" t="str">
            <v>SEDANO SRL</v>
          </cell>
          <cell r="C152" t="str">
            <v>FLETE</v>
          </cell>
        </row>
        <row r="153">
          <cell r="A153">
            <v>20353576012</v>
          </cell>
          <cell r="B153" t="str">
            <v>FEDERICO PABLO FEOLA</v>
          </cell>
          <cell r="C153" t="str">
            <v>VARIOS</v>
          </cell>
        </row>
        <row r="154">
          <cell r="A154">
            <v>23076996989</v>
          </cell>
          <cell r="B154" t="str">
            <v>GIULIETTI LUIS ALBERTO</v>
          </cell>
          <cell r="C154" t="str">
            <v>VARIOS</v>
          </cell>
        </row>
        <row r="155">
          <cell r="A155">
            <v>20400104094</v>
          </cell>
          <cell r="B155" t="str">
            <v>BOTINDARI FEDERICO DANIEL</v>
          </cell>
          <cell r="C155" t="str">
            <v>HONORARIOS</v>
          </cell>
        </row>
        <row r="156">
          <cell r="A156">
            <v>30715678310</v>
          </cell>
          <cell r="B156" t="str">
            <v>ALTO CALABRIA SRL</v>
          </cell>
          <cell r="C156" t="str">
            <v>VARIOS</v>
          </cell>
        </row>
        <row r="157">
          <cell r="A157">
            <v>30554807301</v>
          </cell>
          <cell r="B157" t="str">
            <v>INSTALACIONES COM. TISERA SA</v>
          </cell>
          <cell r="C157" t="str">
            <v>VARIOS</v>
          </cell>
        </row>
        <row r="158">
          <cell r="A158">
            <v>30711553564</v>
          </cell>
          <cell r="B158" t="str">
            <v>SALUDTEX SA</v>
          </cell>
          <cell r="C158" t="str">
            <v>PROVEEDOR</v>
          </cell>
        </row>
        <row r="159">
          <cell r="A159">
            <v>30702966066</v>
          </cell>
          <cell r="B159" t="str">
            <v>DROGUERIA MARTORANI SA</v>
          </cell>
          <cell r="C159" t="str">
            <v>PROVEEDOR</v>
          </cell>
        </row>
        <row r="160">
          <cell r="A160">
            <v>23219640269</v>
          </cell>
          <cell r="B160" t="str">
            <v>HERNANDEZ MARCELO</v>
          </cell>
          <cell r="C160" t="str">
            <v>PROVEEDOR</v>
          </cell>
        </row>
        <row r="161">
          <cell r="A161">
            <v>33707920349</v>
          </cell>
          <cell r="B161" t="str">
            <v>ORTOPEDIA CUENCA SRL</v>
          </cell>
          <cell r="C161" t="str">
            <v>PROVEEDOR</v>
          </cell>
        </row>
        <row r="162">
          <cell r="A162">
            <v>30556565798</v>
          </cell>
          <cell r="B162" t="str">
            <v>V M TRASP CRUZ DEL SUR SA</v>
          </cell>
          <cell r="C162" t="str">
            <v>FLETE</v>
          </cell>
        </row>
        <row r="163">
          <cell r="A163">
            <v>30711091552</v>
          </cell>
          <cell r="B163" t="str">
            <v>BIGBOX SA</v>
          </cell>
          <cell r="C163" t="str">
            <v>VARIOS</v>
          </cell>
        </row>
        <row r="164">
          <cell r="A164">
            <v>30715567578</v>
          </cell>
          <cell r="B164" t="str">
            <v>GAMALECTRIC SA</v>
          </cell>
          <cell r="C164" t="str">
            <v>VARIOS</v>
          </cell>
        </row>
        <row r="165">
          <cell r="A165">
            <v>23250955529</v>
          </cell>
          <cell r="B165" t="str">
            <v>STAHLHOFER DANIEL OMAR</v>
          </cell>
          <cell r="C165" t="str">
            <v>VARIOS</v>
          </cell>
        </row>
        <row r="166">
          <cell r="A166">
            <v>30656038752</v>
          </cell>
          <cell r="B166" t="str">
            <v>ALFREDO OMAR POTENZA SRL</v>
          </cell>
          <cell r="C166" t="str">
            <v>INSUMOS</v>
          </cell>
        </row>
        <row r="167">
          <cell r="A167">
            <v>30585412453</v>
          </cell>
          <cell r="B167" t="str">
            <v>OSDOP</v>
          </cell>
          <cell r="C167" t="str">
            <v>CLIENTE</v>
          </cell>
        </row>
        <row r="168">
          <cell r="A168">
            <v>33708345399</v>
          </cell>
          <cell r="B168" t="str">
            <v>INTERMED SRL</v>
          </cell>
          <cell r="C168" t="str">
            <v>PROVEEDOR</v>
          </cell>
        </row>
        <row r="169">
          <cell r="A169">
            <v>30707970010</v>
          </cell>
          <cell r="B169" t="str">
            <v>PROCATA SRL</v>
          </cell>
          <cell r="C169" t="str">
            <v>PROVEEDOR</v>
          </cell>
        </row>
        <row r="170">
          <cell r="A170">
            <v>30694549817</v>
          </cell>
          <cell r="B170" t="str">
            <v>DISEÑOS JERY SRL</v>
          </cell>
          <cell r="C170" t="str">
            <v>PROVEEDOR</v>
          </cell>
        </row>
        <row r="171">
          <cell r="A171">
            <v>30586172308</v>
          </cell>
          <cell r="B171" t="str">
            <v>SANTA FE COMERCIAL SRL</v>
          </cell>
          <cell r="C171" t="str">
            <v>LIBRERÍA</v>
          </cell>
        </row>
        <row r="172">
          <cell r="A172">
            <v>30714773255</v>
          </cell>
          <cell r="B172" t="str">
            <v>NGSHOP SRL</v>
          </cell>
          <cell r="C172" t="str">
            <v>VARIOS</v>
          </cell>
        </row>
        <row r="173">
          <cell r="A173">
            <v>30711350213</v>
          </cell>
          <cell r="B173" t="str">
            <v>MEYAR SA</v>
          </cell>
          <cell r="C173" t="str">
            <v>PROVEEDOR</v>
          </cell>
        </row>
        <row r="174">
          <cell r="A174">
            <v>30714416622</v>
          </cell>
          <cell r="B174" t="str">
            <v>ATHAND S.R.L.</v>
          </cell>
          <cell r="C174" t="str">
            <v>VARIOS</v>
          </cell>
        </row>
        <row r="175">
          <cell r="A175">
            <v>30627583873</v>
          </cell>
          <cell r="B175" t="str">
            <v>PASCUA SA</v>
          </cell>
          <cell r="C175" t="str">
            <v>VARIOS</v>
          </cell>
        </row>
        <row r="176">
          <cell r="A176">
            <v>27279386715</v>
          </cell>
          <cell r="B176" t="str">
            <v>PIRIZ CARLA ELIZABETH</v>
          </cell>
          <cell r="C176" t="str">
            <v>VARIOS</v>
          </cell>
        </row>
        <row r="177">
          <cell r="A177">
            <v>27211511023</v>
          </cell>
          <cell r="B177" t="str">
            <v>BRIÑON DANIELA</v>
          </cell>
          <cell r="C177" t="str">
            <v>PROVEEDOR</v>
          </cell>
        </row>
        <row r="178">
          <cell r="A178">
            <v>30651822021</v>
          </cell>
          <cell r="B178" t="str">
            <v>INDEFLEX SA</v>
          </cell>
          <cell r="C178" t="str">
            <v>PROVEEDOR</v>
          </cell>
        </row>
        <row r="179">
          <cell r="A179">
            <v>30714867349</v>
          </cell>
          <cell r="B179" t="str">
            <v>VTV SUD SA</v>
          </cell>
          <cell r="C179" t="str">
            <v>VARIOS</v>
          </cell>
        </row>
        <row r="180">
          <cell r="A180">
            <v>30709131865</v>
          </cell>
          <cell r="B180" t="str">
            <v>EMPRENDIMIENTOS SATELITALES SA</v>
          </cell>
          <cell r="C180" t="str">
            <v>VARIOS</v>
          </cell>
        </row>
        <row r="181">
          <cell r="A181">
            <v>30715740806</v>
          </cell>
          <cell r="B181" t="str">
            <v>PRESTOR SAS</v>
          </cell>
          <cell r="C181" t="str">
            <v>VARIOS</v>
          </cell>
        </row>
        <row r="182">
          <cell r="A182">
            <v>30708936762</v>
          </cell>
          <cell r="B182" t="str">
            <v>J Y F TOYS SRL</v>
          </cell>
          <cell r="C182" t="str">
            <v>VARIOS</v>
          </cell>
        </row>
        <row r="183">
          <cell r="A183">
            <v>30654118767</v>
          </cell>
          <cell r="B183" t="str">
            <v>SOLUCIONES MULTIMEDIA SA</v>
          </cell>
          <cell r="C183" t="str">
            <v>PROVEEDOR</v>
          </cell>
        </row>
        <row r="184">
          <cell r="A184">
            <v>30547076679</v>
          </cell>
          <cell r="B184" t="str">
            <v>ITALSUR SA</v>
          </cell>
          <cell r="C184" t="str">
            <v>VARIOS</v>
          </cell>
        </row>
        <row r="185">
          <cell r="A185">
            <v>20109274268</v>
          </cell>
          <cell r="B185" t="str">
            <v>BARREDA JORGE OSVALDO</v>
          </cell>
          <cell r="C185" t="str">
            <v>FLETE</v>
          </cell>
        </row>
        <row r="186">
          <cell r="A186">
            <v>20307462207</v>
          </cell>
          <cell r="B186" t="str">
            <v>PIERRI ALEXIS ARIEL</v>
          </cell>
          <cell r="C186" t="str">
            <v>VARIOS</v>
          </cell>
        </row>
        <row r="187">
          <cell r="A187">
            <v>30605041287</v>
          </cell>
          <cell r="B187" t="str">
            <v>PAR KE GOM SA</v>
          </cell>
          <cell r="C187" t="str">
            <v>VARIOS</v>
          </cell>
        </row>
        <row r="188">
          <cell r="A188">
            <v>30710986416</v>
          </cell>
          <cell r="B188" t="str">
            <v>ANDRES PAPAZIAN Y ANDRE P SH</v>
          </cell>
          <cell r="C188" t="str">
            <v>INSUMOS</v>
          </cell>
        </row>
        <row r="189">
          <cell r="A189">
            <v>30711377944</v>
          </cell>
          <cell r="B189" t="str">
            <v>O'NEILL PUB SRL</v>
          </cell>
          <cell r="C189" t="str">
            <v>VARIOS</v>
          </cell>
        </row>
        <row r="190">
          <cell r="A190">
            <v>30575818826</v>
          </cell>
          <cell r="B190" t="str">
            <v>CASA ABE SA</v>
          </cell>
          <cell r="C190" t="str">
            <v>VARIOS</v>
          </cell>
        </row>
        <row r="191">
          <cell r="A191">
            <v>20219935464</v>
          </cell>
          <cell r="B191" t="str">
            <v>DIAZ JORGE ALBERTO</v>
          </cell>
          <cell r="C191" t="str">
            <v>FLETE</v>
          </cell>
        </row>
        <row r="192">
          <cell r="A192">
            <v>30678774495</v>
          </cell>
          <cell r="B192" t="str">
            <v>OPERADORA DE ESTAC. DE SERV SA</v>
          </cell>
          <cell r="C192" t="str">
            <v>VARIOS</v>
          </cell>
        </row>
        <row r="193">
          <cell r="A193">
            <v>30715123483</v>
          </cell>
          <cell r="B193" t="str">
            <v>ITPROUSER SA</v>
          </cell>
          <cell r="C193" t="str">
            <v>FLETE</v>
          </cell>
        </row>
        <row r="194">
          <cell r="A194">
            <v>33716449829</v>
          </cell>
          <cell r="B194" t="str">
            <v>ROC CHIVILCOY TRANSP Y L SA</v>
          </cell>
          <cell r="C194" t="str">
            <v>FLETE</v>
          </cell>
        </row>
        <row r="195">
          <cell r="A195">
            <v>30696850972</v>
          </cell>
          <cell r="B195" t="str">
            <v>CPS COMUNICACIONES SA</v>
          </cell>
          <cell r="C195" t="str">
            <v>SERVICIO</v>
          </cell>
        </row>
        <row r="196">
          <cell r="A196">
            <v>33711430879</v>
          </cell>
          <cell r="B196" t="str">
            <v>BALANZE SA</v>
          </cell>
          <cell r="C196" t="str">
            <v>PROVEEDOR</v>
          </cell>
        </row>
        <row r="197">
          <cell r="A197">
            <v>20389908569</v>
          </cell>
          <cell r="B197" t="str">
            <v>BOTINDARI JUAN IGNACIO</v>
          </cell>
          <cell r="C197" t="str">
            <v>HONORARIOS</v>
          </cell>
        </row>
        <row r="198">
          <cell r="A198">
            <v>27948446168</v>
          </cell>
          <cell r="B198" t="str">
            <v>DIAZ ESTECHE CYNTHIA MARIA</v>
          </cell>
          <cell r="C198" t="str">
            <v>PROVEEDOR</v>
          </cell>
        </row>
        <row r="199">
          <cell r="A199">
            <v>30505459179</v>
          </cell>
          <cell r="B199" t="str">
            <v>SURIANO SA</v>
          </cell>
          <cell r="C199" t="str">
            <v>PROVEEDOR</v>
          </cell>
        </row>
        <row r="200">
          <cell r="A200">
            <v>33716391049</v>
          </cell>
          <cell r="B200" t="str">
            <v>BANCO ALICIA SRL</v>
          </cell>
          <cell r="C200" t="str">
            <v>VARIOS</v>
          </cell>
        </row>
        <row r="201">
          <cell r="A201">
            <v>30708436506</v>
          </cell>
          <cell r="B201" t="str">
            <v>AUTONAVI SRL</v>
          </cell>
          <cell r="C201" t="str">
            <v>CLIENTE</v>
          </cell>
        </row>
        <row r="202">
          <cell r="A202">
            <v>30701307115</v>
          </cell>
          <cell r="B202" t="str">
            <v>DESPEGAR.COM.AR SA</v>
          </cell>
          <cell r="C202" t="str">
            <v>FLETE</v>
          </cell>
        </row>
        <row r="203">
          <cell r="A203">
            <v>30541849307</v>
          </cell>
          <cell r="B203" t="str">
            <v>DIETRICH SA</v>
          </cell>
          <cell r="C203" t="str">
            <v>VARIOS</v>
          </cell>
        </row>
        <row r="204">
          <cell r="A204">
            <v>20244271740</v>
          </cell>
          <cell r="B204" t="str">
            <v>KENNEL SEBASTIAN</v>
          </cell>
          <cell r="C204" t="str">
            <v>PROVEEDOR</v>
          </cell>
        </row>
        <row r="205">
          <cell r="A205">
            <v>20145036101</v>
          </cell>
          <cell r="B205" t="str">
            <v>ESPINOSA ARTURO RUBEN</v>
          </cell>
          <cell r="C205" t="str">
            <v>FLETE</v>
          </cell>
        </row>
        <row r="206">
          <cell r="A206">
            <v>27289847141</v>
          </cell>
          <cell r="B206" t="str">
            <v>BUSACCA PALA EDITH</v>
          </cell>
          <cell r="C206" t="str">
            <v>VARIOS</v>
          </cell>
        </row>
        <row r="207">
          <cell r="A207">
            <v>30695542476</v>
          </cell>
          <cell r="B207" t="str">
            <v>PAN AMERICAN ENERGY SL</v>
          </cell>
          <cell r="C207" t="str">
            <v>INSUMOS</v>
          </cell>
        </row>
        <row r="208">
          <cell r="A208">
            <v>30714318221</v>
          </cell>
          <cell r="B208" t="str">
            <v>EDUARDO ALVAREZ Y H G SH</v>
          </cell>
          <cell r="C208" t="str">
            <v>VARIOS</v>
          </cell>
        </row>
        <row r="209">
          <cell r="A209">
            <v>30715937006</v>
          </cell>
          <cell r="B209" t="str">
            <v>JCR TRAINING SRL</v>
          </cell>
          <cell r="C209" t="str">
            <v>PROVEEDOR</v>
          </cell>
        </row>
        <row r="210">
          <cell r="A210">
            <v>30708214813</v>
          </cell>
          <cell r="B210" t="str">
            <v>IRIME SRL</v>
          </cell>
          <cell r="C210" t="str">
            <v>PROVEEDOR</v>
          </cell>
        </row>
        <row r="211">
          <cell r="A211">
            <v>27237719145</v>
          </cell>
          <cell r="B211" t="str">
            <v>VINAGRE CLAUDIA GRACIELA</v>
          </cell>
          <cell r="C211" t="str">
            <v>PROVEEDOR</v>
          </cell>
        </row>
        <row r="212">
          <cell r="A212">
            <v>30525468956</v>
          </cell>
          <cell r="B212" t="str">
            <v>LEON MILGROM Y CIA SAECEI</v>
          </cell>
          <cell r="C212" t="str">
            <v>PROVEEDOR</v>
          </cell>
        </row>
        <row r="213">
          <cell r="A213">
            <v>30709046779</v>
          </cell>
          <cell r="B213" t="str">
            <v>LABORATORIOS DIRAL SRL</v>
          </cell>
          <cell r="C213" t="str">
            <v>PROVEEDOR</v>
          </cell>
        </row>
        <row r="214">
          <cell r="A214">
            <v>30707370552</v>
          </cell>
          <cell r="B214" t="str">
            <v>RAKE SA</v>
          </cell>
          <cell r="C214" t="str">
            <v>PROVEEDOR</v>
          </cell>
        </row>
        <row r="215">
          <cell r="A215">
            <v>30716018373</v>
          </cell>
          <cell r="B215" t="str">
            <v>TESIR SRL</v>
          </cell>
          <cell r="C215" t="str">
            <v>FLETE</v>
          </cell>
        </row>
        <row r="216">
          <cell r="A216">
            <v>30714432865</v>
          </cell>
          <cell r="B216" t="str">
            <v>GONZALEZ, SIBIARDO OSCAR Y VM</v>
          </cell>
          <cell r="C216" t="str">
            <v>VARIOS</v>
          </cell>
        </row>
        <row r="217">
          <cell r="A217">
            <v>27405786066</v>
          </cell>
          <cell r="B217" t="str">
            <v>OLGUIN CAMILA LIDIA</v>
          </cell>
          <cell r="C217" t="str">
            <v>VARIOS</v>
          </cell>
        </row>
        <row r="218">
          <cell r="A218">
            <v>27233748205</v>
          </cell>
          <cell r="B218" t="str">
            <v>RADRIZZANI GABRIELA ALEJANDRA</v>
          </cell>
          <cell r="C218" t="str">
            <v>PROVEEDOR</v>
          </cell>
        </row>
        <row r="219">
          <cell r="A219">
            <v>27365928016</v>
          </cell>
          <cell r="B219" t="str">
            <v>GRAFF ORTOPEDIA</v>
          </cell>
          <cell r="C219" t="str">
            <v>TALLER</v>
          </cell>
        </row>
        <row r="220">
          <cell r="A220">
            <v>30702652975</v>
          </cell>
          <cell r="B220" t="str">
            <v>NSS SA - IPLAN</v>
          </cell>
          <cell r="C220" t="str">
            <v>SERVICIO</v>
          </cell>
        </row>
        <row r="221">
          <cell r="A221">
            <v>30687310434</v>
          </cell>
          <cell r="B221" t="str">
            <v>INC SOCIEDAD ANONIMA</v>
          </cell>
          <cell r="C221" t="str">
            <v>VARIOS</v>
          </cell>
        </row>
        <row r="222">
          <cell r="A222">
            <v>20254412490</v>
          </cell>
          <cell r="B222" t="str">
            <v>SABBAGH PABLO ALEJANDRO</v>
          </cell>
          <cell r="C222" t="str">
            <v>VARIOS</v>
          </cell>
        </row>
        <row r="223">
          <cell r="A223">
            <v>30707535934</v>
          </cell>
          <cell r="B223" t="str">
            <v>CEREALES DON NINO SA</v>
          </cell>
          <cell r="C223" t="str">
            <v>VARIOS</v>
          </cell>
        </row>
        <row r="224">
          <cell r="A224">
            <v>30660373108</v>
          </cell>
          <cell r="B224" t="str">
            <v>ABC SA</v>
          </cell>
          <cell r="C224" t="str">
            <v>VARIOS</v>
          </cell>
        </row>
        <row r="225">
          <cell r="A225">
            <v>30715458744</v>
          </cell>
          <cell r="B225" t="str">
            <v>SUR CARBURANTES SA</v>
          </cell>
          <cell r="C225" t="str">
            <v>VARIOS</v>
          </cell>
        </row>
        <row r="226">
          <cell r="A226">
            <v>30702071506</v>
          </cell>
          <cell r="B226" t="str">
            <v>SOLMAY SRL</v>
          </cell>
          <cell r="C226" t="str">
            <v>VARIOS</v>
          </cell>
        </row>
        <row r="227">
          <cell r="A227">
            <v>20200212143</v>
          </cell>
          <cell r="B227" t="str">
            <v>CONVERTI CLAUDIO ROBERTO</v>
          </cell>
          <cell r="C227" t="str">
            <v>VARIOS</v>
          </cell>
        </row>
        <row r="228">
          <cell r="A228">
            <v>33716532769</v>
          </cell>
          <cell r="B228" t="str">
            <v>TECNOBIOLOGY SAS</v>
          </cell>
          <cell r="C228" t="str">
            <v>PROVEEDOR</v>
          </cell>
        </row>
        <row r="229">
          <cell r="A229">
            <v>30709242888</v>
          </cell>
          <cell r="B229" t="str">
            <v>MULTICREA SA</v>
          </cell>
          <cell r="C229" t="str">
            <v>PROVEEDOR</v>
          </cell>
        </row>
        <row r="230">
          <cell r="A230">
            <v>30641659106</v>
          </cell>
          <cell r="B230" t="str">
            <v>AGRISOL SA</v>
          </cell>
          <cell r="C230" t="str">
            <v>VARIOS</v>
          </cell>
        </row>
        <row r="231">
          <cell r="A231">
            <v>20168475803</v>
          </cell>
          <cell r="B231" t="str">
            <v>ZIBES JORGE SILVIO</v>
          </cell>
          <cell r="C231" t="str">
            <v>VARIOS</v>
          </cell>
        </row>
        <row r="232">
          <cell r="A232">
            <v>20107037021</v>
          </cell>
          <cell r="B232" t="str">
            <v>DI FEO HORACIO HUMBERTO D</v>
          </cell>
          <cell r="C232" t="str">
            <v>PROVEEDOR</v>
          </cell>
        </row>
        <row r="233">
          <cell r="A233">
            <v>27065000216</v>
          </cell>
          <cell r="B233" t="str">
            <v>CORTELLA ANA MARIA</v>
          </cell>
          <cell r="C233" t="str">
            <v>PROVEEDOR</v>
          </cell>
        </row>
        <row r="234">
          <cell r="A234">
            <v>20319885812</v>
          </cell>
          <cell r="B234" t="str">
            <v>RIAL PABLO EMANUEL</v>
          </cell>
          <cell r="C234" t="str">
            <v>PROVEEDOR</v>
          </cell>
        </row>
        <row r="235">
          <cell r="A235">
            <v>20280154602</v>
          </cell>
          <cell r="B235" t="str">
            <v>PATIÑO NICOLAS VENTURA</v>
          </cell>
          <cell r="C235" t="str">
            <v>FLETE</v>
          </cell>
        </row>
        <row r="236">
          <cell r="A236">
            <v>27121544917</v>
          </cell>
          <cell r="B236" t="str">
            <v>GALOS MONICA BEATRIZ</v>
          </cell>
          <cell r="C236" t="str">
            <v>HONORARIOS</v>
          </cell>
        </row>
        <row r="237">
          <cell r="A237">
            <v>30685116657</v>
          </cell>
          <cell r="B237" t="str">
            <v>MIRVAR SA</v>
          </cell>
          <cell r="C237" t="str">
            <v>VARIOS</v>
          </cell>
        </row>
        <row r="238">
          <cell r="A238">
            <v>33709914109</v>
          </cell>
          <cell r="B238" t="str">
            <v>ALAN COLLECTION SA</v>
          </cell>
          <cell r="C238" t="str">
            <v>VARIOS</v>
          </cell>
        </row>
        <row r="239">
          <cell r="A239">
            <v>30705740670</v>
          </cell>
          <cell r="B239" t="str">
            <v>MAVISUR SA</v>
          </cell>
          <cell r="C239" t="str">
            <v>VARIOS</v>
          </cell>
        </row>
        <row r="240">
          <cell r="A240">
            <v>20363081755</v>
          </cell>
          <cell r="B240" t="str">
            <v>NESCI EMILIANO GABRIEL</v>
          </cell>
          <cell r="C240" t="str">
            <v>FLETE</v>
          </cell>
        </row>
        <row r="241">
          <cell r="A241">
            <v>30577744579</v>
          </cell>
          <cell r="B241" t="str">
            <v>EXPRESO TROLE SRL</v>
          </cell>
          <cell r="C241" t="str">
            <v>FLETE</v>
          </cell>
        </row>
        <row r="242">
          <cell r="A242">
            <v>27251466756</v>
          </cell>
          <cell r="B242" t="str">
            <v>MARIA AGUSTINA PEREYRA</v>
          </cell>
          <cell r="C242" t="str">
            <v>HONORARIOS</v>
          </cell>
        </row>
        <row r="243">
          <cell r="A243">
            <v>30678628324</v>
          </cell>
          <cell r="B243" t="str">
            <v>MAT CONST LOS PORTUGUESES SA</v>
          </cell>
          <cell r="C243" t="str">
            <v>VARIOS</v>
          </cell>
        </row>
        <row r="244">
          <cell r="A244">
            <v>27218733803</v>
          </cell>
          <cell r="B244" t="str">
            <v>PARISE PAOLA BEATRIZ</v>
          </cell>
          <cell r="C244" t="str">
            <v>LIBRERÍA</v>
          </cell>
        </row>
        <row r="245">
          <cell r="A245">
            <v>30709737348</v>
          </cell>
          <cell r="B245" t="str">
            <v>GEODIGITAL GROUP SRL</v>
          </cell>
          <cell r="C245" t="str">
            <v>PROVEEDOR</v>
          </cell>
        </row>
        <row r="246">
          <cell r="A246">
            <v>30576630057</v>
          </cell>
          <cell r="B246" t="str">
            <v>HINCK SA</v>
          </cell>
          <cell r="C246" t="str">
            <v>VARIOS</v>
          </cell>
        </row>
        <row r="247">
          <cell r="A247">
            <v>30692138747</v>
          </cell>
          <cell r="B247" t="str">
            <v>FARMACITY SA</v>
          </cell>
          <cell r="C247" t="str">
            <v>VARIOS</v>
          </cell>
        </row>
        <row r="248">
          <cell r="A248">
            <v>30711275106</v>
          </cell>
          <cell r="B248" t="str">
            <v>DE OFFICE SRL</v>
          </cell>
          <cell r="C248" t="str">
            <v>VARIOS</v>
          </cell>
        </row>
        <row r="249">
          <cell r="A249">
            <v>33699685459</v>
          </cell>
          <cell r="B249" t="str">
            <v>CORREO ANDREANI SA</v>
          </cell>
          <cell r="C249" t="str">
            <v>VARIOS</v>
          </cell>
        </row>
        <row r="250">
          <cell r="A250">
            <v>33693506099</v>
          </cell>
          <cell r="B250" t="str">
            <v>SCALISE A. FALANGA C SH</v>
          </cell>
          <cell r="C250" t="str">
            <v>VARIOS</v>
          </cell>
        </row>
        <row r="251">
          <cell r="A251">
            <v>20361556691</v>
          </cell>
          <cell r="B251" t="str">
            <v>HERRERA GUILLERMO SEBASTIAN</v>
          </cell>
          <cell r="C251" t="str">
            <v>VARIOS</v>
          </cell>
        </row>
        <row r="252">
          <cell r="A252">
            <v>20133694146</v>
          </cell>
          <cell r="B252" t="str">
            <v>RIZZO MARIO ROBERTO</v>
          </cell>
          <cell r="C252" t="str">
            <v>VARIOS</v>
          </cell>
        </row>
        <row r="253">
          <cell r="A253">
            <v>20119743959</v>
          </cell>
          <cell r="B253" t="str">
            <v>BENNUN FERNANDO RUBEN</v>
          </cell>
          <cell r="C253" t="str">
            <v>PROVEEDOR</v>
          </cell>
        </row>
        <row r="254">
          <cell r="A254">
            <v>30714950750</v>
          </cell>
          <cell r="B254" t="str">
            <v>VIENTOS ARGENTINOS SRL</v>
          </cell>
          <cell r="C254" t="str">
            <v>PROVEEDOR</v>
          </cell>
        </row>
        <row r="255">
          <cell r="A255">
            <v>30638340689</v>
          </cell>
          <cell r="B255" t="str">
            <v>SEISEME SA</v>
          </cell>
          <cell r="C255" t="str">
            <v>PROVEEDOR</v>
          </cell>
        </row>
        <row r="256">
          <cell r="A256">
            <v>30588092468</v>
          </cell>
          <cell r="B256" t="str">
            <v>ENRIQUE MARTIN ROSSI SA</v>
          </cell>
          <cell r="C256" t="str">
            <v>VARIOS</v>
          </cell>
        </row>
        <row r="257">
          <cell r="A257">
            <v>30716174766</v>
          </cell>
          <cell r="B257" t="str">
            <v>CASTRO TORNERIA SRL</v>
          </cell>
          <cell r="C257" t="str">
            <v>PROVEEDOR</v>
          </cell>
        </row>
        <row r="258">
          <cell r="A258">
            <v>30712097600</v>
          </cell>
          <cell r="B258" t="str">
            <v>GRAN VIEW SRL</v>
          </cell>
          <cell r="C258" t="str">
            <v>VARIOS</v>
          </cell>
        </row>
        <row r="259">
          <cell r="A259">
            <v>30642659312</v>
          </cell>
          <cell r="B259" t="str">
            <v>ROCIMEX SRL</v>
          </cell>
          <cell r="C259" t="str">
            <v>PROVEEDOR</v>
          </cell>
        </row>
        <row r="260">
          <cell r="A260">
            <v>20233248283</v>
          </cell>
          <cell r="B260" t="str">
            <v>CORRAO HECTOR RUBEN</v>
          </cell>
          <cell r="C260" t="str">
            <v>PROVEEDOR</v>
          </cell>
        </row>
        <row r="261">
          <cell r="A261">
            <v>33712276539</v>
          </cell>
          <cell r="B261" t="str">
            <v>CASTAÑO AUTOVOX SRL</v>
          </cell>
          <cell r="C261" t="str">
            <v>VARIOS</v>
          </cell>
        </row>
        <row r="262">
          <cell r="A262">
            <v>33716367539</v>
          </cell>
          <cell r="B262" t="str">
            <v>3PI S.A.S.</v>
          </cell>
          <cell r="C262" t="str">
            <v>PROVEEDOR</v>
          </cell>
        </row>
        <row r="263">
          <cell r="A263">
            <v>27267575997</v>
          </cell>
          <cell r="B263" t="str">
            <v>SURACI NATALIA ERICA</v>
          </cell>
          <cell r="C263" t="str">
            <v>FLETE</v>
          </cell>
        </row>
        <row r="264">
          <cell r="A264">
            <v>20325314983</v>
          </cell>
          <cell r="B264" t="str">
            <v>DI FEO CHRISTIAN HERNAN</v>
          </cell>
          <cell r="C264" t="str">
            <v>PROVEEDOR</v>
          </cell>
        </row>
        <row r="265">
          <cell r="A265">
            <v>30711727236</v>
          </cell>
          <cell r="B265" t="str">
            <v>DULCE ESTILO SA</v>
          </cell>
          <cell r="C265" t="str">
            <v>VARIOS</v>
          </cell>
        </row>
        <row r="266">
          <cell r="A266">
            <v>20174004146</v>
          </cell>
          <cell r="B266" t="str">
            <v>NARDOMARINO EDUARDO FRANCISCO</v>
          </cell>
          <cell r="C266" t="str">
            <v>FLETE</v>
          </cell>
        </row>
        <row r="267">
          <cell r="A267">
            <v>23306035444</v>
          </cell>
          <cell r="B267" t="str">
            <v>NADIA TARANTINO</v>
          </cell>
          <cell r="C267" t="str">
            <v>PROVEEDOR</v>
          </cell>
        </row>
        <row r="268">
          <cell r="A268">
            <v>30715589032</v>
          </cell>
          <cell r="B268" t="str">
            <v>MAGALLAN SRL</v>
          </cell>
          <cell r="C268" t="str">
            <v>PROVEEDOR</v>
          </cell>
        </row>
        <row r="269">
          <cell r="A269">
            <v>30690973517</v>
          </cell>
          <cell r="B269" t="str">
            <v>ATENCION AMBULATORIA S.A.</v>
          </cell>
          <cell r="C269" t="str">
            <v>CLIENTE</v>
          </cell>
        </row>
        <row r="270">
          <cell r="A270">
            <v>30701950883</v>
          </cell>
          <cell r="B270" t="str">
            <v>L'EXPRES S.A.</v>
          </cell>
          <cell r="C270" t="str">
            <v>VARIOS</v>
          </cell>
        </row>
        <row r="271">
          <cell r="A271">
            <v>30590360763</v>
          </cell>
          <cell r="B271" t="str">
            <v>CENCOSUD S.A.</v>
          </cell>
          <cell r="C271" t="str">
            <v>VARIOS</v>
          </cell>
        </row>
        <row r="272">
          <cell r="A272">
            <v>20300210881</v>
          </cell>
          <cell r="B272" t="str">
            <v>ABOY DIEGO OSCAR</v>
          </cell>
          <cell r="C272" t="str">
            <v>PROVEEDOR</v>
          </cell>
        </row>
        <row r="273">
          <cell r="A273">
            <v>20242126158</v>
          </cell>
          <cell r="B273" t="str">
            <v>IALLONARDO SERGIO</v>
          </cell>
          <cell r="C273" t="str">
            <v>PROVEEDOR</v>
          </cell>
        </row>
        <row r="274">
          <cell r="A274">
            <v>23255491784</v>
          </cell>
          <cell r="B274" t="str">
            <v>SAVINO NATALIA SILVIA</v>
          </cell>
          <cell r="C274" t="str">
            <v>PROVEEDOR</v>
          </cell>
        </row>
        <row r="275">
          <cell r="A275">
            <v>20044272009</v>
          </cell>
          <cell r="B275" t="str">
            <v>RUSCIO NORBERTO VICENTE</v>
          </cell>
          <cell r="C275" t="str">
            <v>LIBRERÍA</v>
          </cell>
        </row>
        <row r="276">
          <cell r="A276">
            <v>30716815710</v>
          </cell>
          <cell r="B276" t="str">
            <v>PAPELERA GEOPEL SRL</v>
          </cell>
          <cell r="C276" t="str">
            <v>LIBRERÍA</v>
          </cell>
        </row>
        <row r="277">
          <cell r="A277">
            <v>33715179119</v>
          </cell>
          <cell r="B277" t="str">
            <v>CECBA</v>
          </cell>
          <cell r="C277" t="str">
            <v>VARIOS</v>
          </cell>
        </row>
        <row r="278">
          <cell r="A278">
            <v>27217606255</v>
          </cell>
          <cell r="B278" t="str">
            <v>SAPUNA MIRIAN KARINA</v>
          </cell>
          <cell r="C278" t="str">
            <v>PROVEEDOR</v>
          </cell>
        </row>
        <row r="279">
          <cell r="A279">
            <v>20344800473</v>
          </cell>
          <cell r="B279" t="str">
            <v>GAJARDO ALAN GABRIEL</v>
          </cell>
          <cell r="C279" t="str">
            <v>PROVEEDOR</v>
          </cell>
        </row>
        <row r="280">
          <cell r="A280">
            <v>30682998330</v>
          </cell>
          <cell r="B280" t="str">
            <v>CONTROL TECNICO DE VEH. SA</v>
          </cell>
          <cell r="C280" t="str">
            <v>VARIOS</v>
          </cell>
        </row>
        <row r="281">
          <cell r="A281">
            <v>33714174539</v>
          </cell>
          <cell r="B281" t="str">
            <v>BOUREAU QUALITAS SRL</v>
          </cell>
          <cell r="C281" t="str">
            <v>PROVEEDOR</v>
          </cell>
        </row>
        <row r="282">
          <cell r="A282">
            <v>30612865333</v>
          </cell>
          <cell r="B282" t="str">
            <v>MAYCAR SA</v>
          </cell>
          <cell r="C282" t="str">
            <v>VARIOS</v>
          </cell>
        </row>
        <row r="283">
          <cell r="A283">
            <v>23945201304</v>
          </cell>
          <cell r="B283" t="str">
            <v>LIN FANG</v>
          </cell>
          <cell r="C283" t="str">
            <v>PROVEEDOR</v>
          </cell>
        </row>
        <row r="284">
          <cell r="A284">
            <v>30712289046</v>
          </cell>
          <cell r="B284" t="str">
            <v>IMPIERI, PIÑEIRO, RIZZO Y A SA</v>
          </cell>
          <cell r="C284" t="str">
            <v>VARIOS</v>
          </cell>
        </row>
        <row r="285">
          <cell r="A285">
            <v>20330614014</v>
          </cell>
          <cell r="B285" t="str">
            <v>PABLO NICOLAS DURANTE</v>
          </cell>
          <cell r="C285" t="str">
            <v>PROVEEDOR</v>
          </cell>
        </row>
        <row r="286">
          <cell r="A286">
            <v>20183700805</v>
          </cell>
          <cell r="B286" t="str">
            <v>RODRIGUEZ EDUARDO ARIEL</v>
          </cell>
          <cell r="C286" t="str">
            <v>HONORARIOS</v>
          </cell>
        </row>
        <row r="287">
          <cell r="A287">
            <v>30710538014</v>
          </cell>
          <cell r="B287" t="str">
            <v>HC HOMECARE INT DOM SA</v>
          </cell>
          <cell r="C287" t="str">
            <v>CLIENTE</v>
          </cell>
        </row>
        <row r="288">
          <cell r="A288">
            <v>30574876474</v>
          </cell>
          <cell r="B288" t="str">
            <v>AUTOPISTAS URBANAS SA</v>
          </cell>
          <cell r="C288" t="str">
            <v>PEAJE</v>
          </cell>
        </row>
        <row r="289">
          <cell r="A289">
            <v>27202892936</v>
          </cell>
          <cell r="B289" t="str">
            <v>MORIONDO ADRIANA INES</v>
          </cell>
          <cell r="C289" t="str">
            <v>PROVEEDOR</v>
          </cell>
        </row>
        <row r="290">
          <cell r="A290">
            <v>30709175897</v>
          </cell>
          <cell r="B290" t="str">
            <v>CRUZ PATAGONICA SRL</v>
          </cell>
          <cell r="C290" t="str">
            <v>VARIOS</v>
          </cell>
        </row>
        <row r="291">
          <cell r="A291">
            <v>30645722554</v>
          </cell>
          <cell r="B291" t="str">
            <v>SERVINORTE SA</v>
          </cell>
          <cell r="C291" t="str">
            <v>VARIOS</v>
          </cell>
        </row>
        <row r="292">
          <cell r="A292">
            <v>30708552808</v>
          </cell>
          <cell r="B292" t="str">
            <v>ROJO Y AMARILLO SRL</v>
          </cell>
          <cell r="C292" t="str">
            <v>VARIOS</v>
          </cell>
        </row>
        <row r="293">
          <cell r="A293">
            <v>30715413678</v>
          </cell>
          <cell r="B293" t="str">
            <v>PASION DISTRIBUCIONES SRL</v>
          </cell>
          <cell r="C293" t="str">
            <v>VARIOS</v>
          </cell>
        </row>
        <row r="294">
          <cell r="A294">
            <v>30711842809</v>
          </cell>
          <cell r="B294" t="str">
            <v>SOLUCIONES EN HERRAMIENTAS CTL</v>
          </cell>
          <cell r="C294" t="str">
            <v>VARIOS</v>
          </cell>
        </row>
        <row r="295">
          <cell r="A295">
            <v>27313805293</v>
          </cell>
          <cell r="B295" t="str">
            <v>RODRIGUEZ YAMILA ANDREA</v>
          </cell>
          <cell r="C295" t="str">
            <v>VARIOS</v>
          </cell>
        </row>
        <row r="296">
          <cell r="A296">
            <v>27340766445</v>
          </cell>
          <cell r="B296" t="str">
            <v>DEL DIESTRO MARIA PATRICIA</v>
          </cell>
          <cell r="C296" t="str">
            <v>VARIOS</v>
          </cell>
        </row>
        <row r="297">
          <cell r="A297">
            <v>20283639941</v>
          </cell>
          <cell r="B297" t="str">
            <v>TASSONE BRUNO DANIEL</v>
          </cell>
          <cell r="C297" t="str">
            <v>VARIOS</v>
          </cell>
        </row>
        <row r="298">
          <cell r="A298">
            <v>20393873583</v>
          </cell>
          <cell r="B298" t="str">
            <v>LATI NISIM ARIEL</v>
          </cell>
          <cell r="C298" t="str">
            <v>VARIOS</v>
          </cell>
        </row>
        <row r="299">
          <cell r="A299">
            <v>20285597405</v>
          </cell>
          <cell r="B299" t="str">
            <v>PROSPERI OSCAR RUBEN</v>
          </cell>
          <cell r="C299" t="str">
            <v>VARIOS</v>
          </cell>
        </row>
        <row r="300">
          <cell r="A300">
            <v>30711678820</v>
          </cell>
          <cell r="B300" t="str">
            <v>2PSI INGENIERIA SRL</v>
          </cell>
          <cell r="C300" t="str">
            <v>PROVEEDOR</v>
          </cell>
        </row>
        <row r="301">
          <cell r="A301">
            <v>20211398060</v>
          </cell>
          <cell r="B301" t="str">
            <v>DUARTE FABIAN RODOLFO</v>
          </cell>
          <cell r="C301" t="str">
            <v>PROVEEDOR</v>
          </cell>
        </row>
        <row r="302">
          <cell r="A302">
            <v>20117741398</v>
          </cell>
          <cell r="B302" t="str">
            <v>ROBERTO MEOLI</v>
          </cell>
          <cell r="C302" t="str">
            <v>VARIOS</v>
          </cell>
        </row>
        <row r="303">
          <cell r="A303">
            <v>33716711469</v>
          </cell>
          <cell r="B303" t="str">
            <v>ORTOPEDIA SOLER SRL</v>
          </cell>
          <cell r="C303" t="str">
            <v>PROVEEDOR</v>
          </cell>
        </row>
        <row r="304">
          <cell r="A304">
            <v>27232408737</v>
          </cell>
          <cell r="B304" t="str">
            <v>MATTEAZZI DYHENART CLAUDIA</v>
          </cell>
          <cell r="C304" t="str">
            <v>VARIOS</v>
          </cell>
        </row>
        <row r="305">
          <cell r="A305">
            <v>30671637689</v>
          </cell>
          <cell r="B305" t="str">
            <v>GRUPO NORTE SRL</v>
          </cell>
          <cell r="C305" t="str">
            <v>VARIOS</v>
          </cell>
        </row>
        <row r="306">
          <cell r="A306">
            <v>30710682026</v>
          </cell>
          <cell r="B306" t="str">
            <v>SERVICIOS DEL DESIERTO SA</v>
          </cell>
          <cell r="C306" t="str">
            <v>VARIOS</v>
          </cell>
        </row>
        <row r="307">
          <cell r="A307">
            <v>30594832783</v>
          </cell>
          <cell r="B307" t="str">
            <v>CHITCHIAN SA</v>
          </cell>
          <cell r="C307" t="str">
            <v>VARIOS</v>
          </cell>
        </row>
        <row r="308">
          <cell r="A308">
            <v>30593630338</v>
          </cell>
          <cell r="B308" t="str">
            <v>EL RINCON DE PIEDRA D.. SRL</v>
          </cell>
          <cell r="C308" t="str">
            <v>VARIOS</v>
          </cell>
        </row>
        <row r="309">
          <cell r="A309">
            <v>30710912579</v>
          </cell>
          <cell r="B309" t="str">
            <v>MEDICAL IMPROVEMENTS SRL</v>
          </cell>
          <cell r="C309" t="str">
            <v>PROVEEDOR</v>
          </cell>
        </row>
        <row r="310">
          <cell r="A310">
            <v>30712019359</v>
          </cell>
          <cell r="B310" t="str">
            <v>LINKEDSTORE ARGENTINA SRL</v>
          </cell>
          <cell r="C310" t="str">
            <v>PROVEEDOR</v>
          </cell>
        </row>
        <row r="311">
          <cell r="A311">
            <v>33709997489</v>
          </cell>
          <cell r="B311" t="str">
            <v>GLOBAL BUSINESS SRL</v>
          </cell>
          <cell r="C311" t="str">
            <v>PROVEEDOR</v>
          </cell>
        </row>
        <row r="312">
          <cell r="A312">
            <v>20265153209</v>
          </cell>
          <cell r="B312" t="str">
            <v>MIRANDA LUIS ALBERTO</v>
          </cell>
          <cell r="C312" t="str">
            <v>FLETE</v>
          </cell>
        </row>
        <row r="313">
          <cell r="A313">
            <v>20403969886</v>
          </cell>
          <cell r="B313" t="str">
            <v>DEL GESSO FRANCO JESUS</v>
          </cell>
          <cell r="C313" t="str">
            <v>PROVEEDOR</v>
          </cell>
        </row>
        <row r="314">
          <cell r="A314">
            <v>20321447997</v>
          </cell>
          <cell r="B314" t="str">
            <v>VILLARREAL MARTIN MIGUEL</v>
          </cell>
          <cell r="C314" t="str">
            <v>VARIOS</v>
          </cell>
        </row>
        <row r="315">
          <cell r="A315">
            <v>27133963524</v>
          </cell>
          <cell r="B315" t="str">
            <v>ALVAREZ NIDIA ANGELA</v>
          </cell>
          <cell r="C315" t="str">
            <v>PROVEEDOR</v>
          </cell>
        </row>
        <row r="316">
          <cell r="A316">
            <v>20291406212</v>
          </cell>
          <cell r="B316" t="str">
            <v>BRACHETTA SEBASTIAN NICOLAS</v>
          </cell>
          <cell r="C316" t="str">
            <v>PROVEEDOR</v>
          </cell>
        </row>
        <row r="317">
          <cell r="A317">
            <v>30712450408</v>
          </cell>
          <cell r="B317" t="str">
            <v>TERNORTH SA</v>
          </cell>
          <cell r="C317" t="str">
            <v>VARIOS</v>
          </cell>
        </row>
        <row r="318">
          <cell r="A318">
            <v>30526582884</v>
          </cell>
          <cell r="B318" t="str">
            <v>EXPRESO MAR DEL PLATA SA</v>
          </cell>
          <cell r="C318" t="str">
            <v>FLETE</v>
          </cell>
        </row>
        <row r="319">
          <cell r="A319">
            <v>20140958213</v>
          </cell>
          <cell r="B319" t="str">
            <v>ESPAÑA ALEJANDRO JORGE</v>
          </cell>
          <cell r="C319" t="str">
            <v>PROVEEDOR</v>
          </cell>
        </row>
        <row r="320">
          <cell r="A320">
            <v>30707267077</v>
          </cell>
          <cell r="B320" t="str">
            <v>BARBARO SC</v>
          </cell>
          <cell r="C320" t="str">
            <v>PROVEEDOR</v>
          </cell>
        </row>
        <row r="321">
          <cell r="A321">
            <v>20379223185</v>
          </cell>
          <cell r="B321" t="str">
            <v>AYALA MAURICIO JUAN JOSE</v>
          </cell>
          <cell r="C321" t="str">
            <v>PROVEEDOR</v>
          </cell>
        </row>
        <row r="322">
          <cell r="A322">
            <v>30711492409</v>
          </cell>
          <cell r="B322" t="str">
            <v>AQUINO EDUARDO Y RODRIGUEZ SH</v>
          </cell>
          <cell r="C322" t="str">
            <v>PROVEEDOR</v>
          </cell>
        </row>
        <row r="323">
          <cell r="A323">
            <v>30537679855</v>
          </cell>
          <cell r="B323" t="str">
            <v>ESTACION LIMA SA</v>
          </cell>
          <cell r="C323" t="str">
            <v>VARIOS</v>
          </cell>
        </row>
        <row r="324">
          <cell r="A324">
            <v>27368203829</v>
          </cell>
          <cell r="B324" t="str">
            <v>PROFETI NOEMI GISELE</v>
          </cell>
          <cell r="C324" t="str">
            <v>PROVEEDOR</v>
          </cell>
        </row>
        <row r="325">
          <cell r="A325">
            <v>20310122212</v>
          </cell>
          <cell r="B325" t="str">
            <v>SURACI NATALIA ERICA</v>
          </cell>
          <cell r="C325" t="str">
            <v>PROVEEDOR</v>
          </cell>
        </row>
        <row r="326">
          <cell r="A326">
            <v>27209647252</v>
          </cell>
          <cell r="B326" t="str">
            <v>OBENAUS MARIANA ISABEL</v>
          </cell>
          <cell r="C326" t="str">
            <v>PROVEEDOR</v>
          </cell>
        </row>
        <row r="327">
          <cell r="A327">
            <v>20077028545</v>
          </cell>
          <cell r="B327" t="str">
            <v>GONZALEZ CARLOS RAUL</v>
          </cell>
          <cell r="C327" t="str">
            <v>VARIOS</v>
          </cell>
        </row>
        <row r="328">
          <cell r="A328">
            <v>20172955763</v>
          </cell>
          <cell r="B328" t="str">
            <v>BELLA RODOLFO GUSTAVO</v>
          </cell>
          <cell r="C328" t="str">
            <v>PROVEEDOR</v>
          </cell>
        </row>
        <row r="329">
          <cell r="A329">
            <v>30711811253</v>
          </cell>
          <cell r="B329" t="str">
            <v>TRIMOVE SA</v>
          </cell>
          <cell r="C329" t="str">
            <v>PROVEEDOR</v>
          </cell>
        </row>
        <row r="330">
          <cell r="A330">
            <v>33716792299</v>
          </cell>
          <cell r="B330" t="str">
            <v>DELICIAS MITRE</v>
          </cell>
          <cell r="C330" t="str">
            <v>VARIOS</v>
          </cell>
        </row>
        <row r="331">
          <cell r="A331">
            <v>20113613646</v>
          </cell>
          <cell r="B331" t="str">
            <v>PIETRUSZKA ALBERTO DANIEL</v>
          </cell>
          <cell r="C331" t="str">
            <v>VARIOS</v>
          </cell>
        </row>
        <row r="332">
          <cell r="A332">
            <v>20253804336</v>
          </cell>
          <cell r="B332" t="str">
            <v>PRIETO CRISTIAN ARIEL</v>
          </cell>
          <cell r="C332" t="str">
            <v>PROVEEDOR</v>
          </cell>
        </row>
        <row r="333">
          <cell r="A333">
            <v>20131067446</v>
          </cell>
          <cell r="B333" t="str">
            <v>TRIVEÑO ROMA RAMON</v>
          </cell>
          <cell r="C333" t="str">
            <v>PROVEEDOR</v>
          </cell>
        </row>
        <row r="334">
          <cell r="A334">
            <v>30711188416</v>
          </cell>
          <cell r="B334" t="str">
            <v>TRANSPORTES BIN PACK SA</v>
          </cell>
          <cell r="C334" t="str">
            <v>FLETE</v>
          </cell>
        </row>
        <row r="335">
          <cell r="A335">
            <v>30715290835</v>
          </cell>
          <cell r="B335" t="str">
            <v>ARTYLUZ SRL</v>
          </cell>
          <cell r="C335" t="str">
            <v>VARIOS</v>
          </cell>
        </row>
        <row r="336">
          <cell r="A336">
            <v>20267161616</v>
          </cell>
          <cell r="B336" t="str">
            <v>ALBAJARI DIEGO MARCOS</v>
          </cell>
          <cell r="C336" t="str">
            <v>VARIOS</v>
          </cell>
        </row>
        <row r="337">
          <cell r="A337">
            <v>33693786369</v>
          </cell>
          <cell r="B337" t="str">
            <v>PARNA SA</v>
          </cell>
          <cell r="C337" t="str">
            <v>VARIOS</v>
          </cell>
        </row>
        <row r="338">
          <cell r="A338">
            <v>30716821478</v>
          </cell>
          <cell r="B338" t="str">
            <v>PROYECTO 665 SRL</v>
          </cell>
          <cell r="C338" t="str">
            <v>PROVEEDOR</v>
          </cell>
        </row>
        <row r="339">
          <cell r="A339">
            <v>27415594742</v>
          </cell>
          <cell r="B339" t="str">
            <v>VENTIMIGLIA COTOS FLORENCIA</v>
          </cell>
          <cell r="C339" t="str">
            <v>PROVEEDOR</v>
          </cell>
        </row>
        <row r="340">
          <cell r="A340">
            <v>30714690554</v>
          </cell>
          <cell r="B340" t="str">
            <v>FIRSTECH SA</v>
          </cell>
          <cell r="C340" t="str">
            <v>VARIOS</v>
          </cell>
        </row>
        <row r="341">
          <cell r="A341">
            <v>30705466021</v>
          </cell>
          <cell r="B341" t="str">
            <v>FLUSS SA</v>
          </cell>
          <cell r="C341" t="str">
            <v>PROVEEDOR</v>
          </cell>
        </row>
        <row r="342">
          <cell r="A342">
            <v>20274327678</v>
          </cell>
          <cell r="B342" t="str">
            <v>PEREZ FRANCO ADRIAN</v>
          </cell>
          <cell r="C342" t="str">
            <v>FLETE</v>
          </cell>
        </row>
        <row r="343">
          <cell r="A343">
            <v>20295867931</v>
          </cell>
          <cell r="B343" t="str">
            <v>HERRERA CARLOS MARTIN</v>
          </cell>
          <cell r="C343" t="str">
            <v>VARIOS</v>
          </cell>
        </row>
        <row r="344">
          <cell r="A344">
            <v>27250643182</v>
          </cell>
          <cell r="B344" t="str">
            <v>MOLLO CAROLINA</v>
          </cell>
          <cell r="C344" t="str">
            <v>VARIOS</v>
          </cell>
        </row>
        <row r="345">
          <cell r="A345">
            <v>30677237119</v>
          </cell>
          <cell r="B345" t="str">
            <v>AUTOPISTAS DEL SOL SA</v>
          </cell>
          <cell r="C345" t="str">
            <v>PEAJE</v>
          </cell>
        </row>
        <row r="346">
          <cell r="A346">
            <v>30663498513</v>
          </cell>
          <cell r="B346" t="str">
            <v>GRUPO CONC.DEL OESTE SA</v>
          </cell>
          <cell r="C346" t="str">
            <v>PEAJE</v>
          </cell>
        </row>
        <row r="347">
          <cell r="A347">
            <v>23282830299</v>
          </cell>
          <cell r="B347" t="str">
            <v>PELLEGRINO SERGIO OMAR</v>
          </cell>
          <cell r="C347" t="str">
            <v>PROVEEDOR</v>
          </cell>
        </row>
        <row r="348">
          <cell r="A348">
            <v>27338342840</v>
          </cell>
          <cell r="B348" t="str">
            <v>CANCINO PAMELA RITA</v>
          </cell>
          <cell r="C348" t="str">
            <v>PROVEEDOR</v>
          </cell>
        </row>
        <row r="349">
          <cell r="A349">
            <v>20372769808</v>
          </cell>
          <cell r="B349" t="str">
            <v>CARUSO NICOLAS JOEL</v>
          </cell>
          <cell r="C349" t="str">
            <v>VARIOS</v>
          </cell>
        </row>
        <row r="350">
          <cell r="A350">
            <v>30707833293</v>
          </cell>
          <cell r="B350" t="str">
            <v>D Y R MEDICAL DEPOT SA</v>
          </cell>
          <cell r="C350" t="str">
            <v>PROVEEDOR</v>
          </cell>
        </row>
        <row r="351">
          <cell r="A351">
            <v>30710114176</v>
          </cell>
          <cell r="B351" t="str">
            <v>SYMONDS SA</v>
          </cell>
          <cell r="C351" t="str">
            <v>VARIOS</v>
          </cell>
        </row>
        <row r="352">
          <cell r="A352">
            <v>30714295957</v>
          </cell>
          <cell r="B352" t="str">
            <v>BROKERS SA</v>
          </cell>
          <cell r="C352" t="str">
            <v>VARIOS</v>
          </cell>
        </row>
        <row r="353">
          <cell r="A353">
            <v>20127096733</v>
          </cell>
          <cell r="B353" t="str">
            <v>MORILLA HORACIO ALBERTO</v>
          </cell>
          <cell r="C353" t="str">
            <v>PROVEEDOR</v>
          </cell>
        </row>
        <row r="354">
          <cell r="A354">
            <v>30712448586</v>
          </cell>
          <cell r="B354" t="str">
            <v>LUNA BONITA SRL</v>
          </cell>
          <cell r="C354" t="str">
            <v>VARIOS</v>
          </cell>
        </row>
        <row r="355">
          <cell r="A355">
            <v>20083442612</v>
          </cell>
          <cell r="B355" t="str">
            <v>EDUARDO BELLAVIA</v>
          </cell>
          <cell r="C355" t="str">
            <v>VARIOS</v>
          </cell>
        </row>
        <row r="356">
          <cell r="A356">
            <v>23368458449</v>
          </cell>
          <cell r="B356" t="str">
            <v>IRLA DARIO GABRIEL</v>
          </cell>
          <cell r="C356" t="str">
            <v>FLETE</v>
          </cell>
        </row>
        <row r="357">
          <cell r="A357">
            <v>30715537512</v>
          </cell>
          <cell r="B357" t="str">
            <v>ESTACION DE SERVICIO ALC SRL</v>
          </cell>
          <cell r="C357" t="str">
            <v>VARIOS</v>
          </cell>
        </row>
        <row r="358">
          <cell r="A358">
            <v>30709318965</v>
          </cell>
          <cell r="B358" t="str">
            <v>NOVOTEC ARGENTINA SRL</v>
          </cell>
          <cell r="C358" t="str">
            <v>PROVEEDOR</v>
          </cell>
        </row>
        <row r="359">
          <cell r="A359">
            <v>20275351254</v>
          </cell>
          <cell r="B359" t="str">
            <v>PAMPIN MARIANO OSCAR</v>
          </cell>
          <cell r="C359" t="str">
            <v>PROVEEDOR</v>
          </cell>
        </row>
        <row r="360">
          <cell r="A360">
            <v>20323836427</v>
          </cell>
          <cell r="B360" t="str">
            <v>GOMEZ FENZEL FACUNDO</v>
          </cell>
          <cell r="C360" t="str">
            <v>PROVEEDOR</v>
          </cell>
        </row>
        <row r="361">
          <cell r="A361">
            <v>20180429388</v>
          </cell>
          <cell r="B361" t="str">
            <v>LOPEZ JORGE ALBERTO</v>
          </cell>
          <cell r="C361" t="str">
            <v>PROVEEDOR</v>
          </cell>
        </row>
        <row r="362">
          <cell r="A362">
            <v>30708049928</v>
          </cell>
          <cell r="B362" t="str">
            <v>FUNDACION I.Q. DEL CALLAO</v>
          </cell>
          <cell r="C362" t="str">
            <v>CLIENTE</v>
          </cell>
        </row>
        <row r="363">
          <cell r="A363">
            <v>30561769644</v>
          </cell>
          <cell r="B363" t="str">
            <v>VIALGA SA</v>
          </cell>
          <cell r="C363" t="str">
            <v>VARIOS</v>
          </cell>
        </row>
        <row r="364">
          <cell r="A364">
            <v>20284183534</v>
          </cell>
          <cell r="B364" t="str">
            <v>FURLANETTO MARTIN</v>
          </cell>
          <cell r="C364" t="str">
            <v>VARIOS</v>
          </cell>
        </row>
        <row r="365">
          <cell r="A365">
            <v>20332986636</v>
          </cell>
          <cell r="B365" t="str">
            <v>ZACARIAS JOSE FRANCISCO</v>
          </cell>
          <cell r="C365" t="str">
            <v>FLETE</v>
          </cell>
        </row>
        <row r="366">
          <cell r="A366">
            <v>20181426846</v>
          </cell>
          <cell r="B366" t="str">
            <v>GRIDEL WALTER DIEGO</v>
          </cell>
          <cell r="C366" t="str">
            <v>VARIOS</v>
          </cell>
        </row>
        <row r="367">
          <cell r="A367">
            <v>30711510822</v>
          </cell>
          <cell r="B367" t="str">
            <v>DINAMO SRL</v>
          </cell>
          <cell r="C367" t="str">
            <v>VARIOS</v>
          </cell>
        </row>
        <row r="368">
          <cell r="A368">
            <v>20300821872</v>
          </cell>
          <cell r="B368" t="str">
            <v>SRAGOWICH PABLO MIJAEL</v>
          </cell>
          <cell r="C368" t="str">
            <v>VARIOS</v>
          </cell>
        </row>
        <row r="369">
          <cell r="A369">
            <v>20351722585</v>
          </cell>
          <cell r="B369" t="str">
            <v>HECTOR EMILIANO ROSSINI</v>
          </cell>
          <cell r="C369" t="str">
            <v>PROVEEDOR</v>
          </cell>
        </row>
        <row r="370">
          <cell r="A370">
            <v>30710406037</v>
          </cell>
          <cell r="B370" t="str">
            <v>ALSINA MARCELO DANIEL SH</v>
          </cell>
          <cell r="C370" t="str">
            <v>PROVEEDOR</v>
          </cell>
        </row>
        <row r="371">
          <cell r="A371">
            <v>27165813893</v>
          </cell>
          <cell r="B371" t="str">
            <v>HERMIDA ADRIANA MARCELA</v>
          </cell>
          <cell r="C371" t="str">
            <v>PROVEEDOR</v>
          </cell>
        </row>
        <row r="372">
          <cell r="A372">
            <v>33712234429</v>
          </cell>
          <cell r="B372" t="str">
            <v>FEDAGAS SA</v>
          </cell>
          <cell r="C372" t="str">
            <v>VARIOS</v>
          </cell>
        </row>
        <row r="373">
          <cell r="A373">
            <v>23258785479</v>
          </cell>
          <cell r="B373" t="str">
            <v>COLLAZO MAURO GABRIEL</v>
          </cell>
          <cell r="C373" t="str">
            <v>VARIOS</v>
          </cell>
        </row>
        <row r="374">
          <cell r="A374">
            <v>27301358852</v>
          </cell>
          <cell r="B374" t="str">
            <v>FONTANELLA SILVANA GABRIELA</v>
          </cell>
          <cell r="C374" t="str">
            <v>FLETE</v>
          </cell>
        </row>
        <row r="375">
          <cell r="A375">
            <v>30707118454</v>
          </cell>
          <cell r="B375" t="str">
            <v>ENSALUD SA</v>
          </cell>
          <cell r="C375" t="str">
            <v>CLIENTE</v>
          </cell>
        </row>
        <row r="376">
          <cell r="A376">
            <v>30676642230</v>
          </cell>
          <cell r="B376" t="str">
            <v>FERRETERIA CENTRAL SRL</v>
          </cell>
          <cell r="C376" t="str">
            <v>VARIOS</v>
          </cell>
        </row>
        <row r="377">
          <cell r="A377">
            <v>20171082464</v>
          </cell>
          <cell r="B377" t="str">
            <v>NOLAZCO EDUARDO ARTURO</v>
          </cell>
          <cell r="C377" t="str">
            <v>VARIOS</v>
          </cell>
        </row>
        <row r="378">
          <cell r="A378">
            <v>23405137119</v>
          </cell>
          <cell r="B378" t="str">
            <v>GARCIA JUAN IGNACIO</v>
          </cell>
          <cell r="C378" t="str">
            <v>FLETE</v>
          </cell>
        </row>
        <row r="379">
          <cell r="A379">
            <v>30710657250</v>
          </cell>
          <cell r="B379" t="str">
            <v>FRATERNA COOP DE PROVISION</v>
          </cell>
          <cell r="C379" t="str">
            <v>VARIOS</v>
          </cell>
        </row>
        <row r="380">
          <cell r="A380">
            <v>27169596439</v>
          </cell>
          <cell r="B380" t="str">
            <v>VITALO ADRIANA NOEMI</v>
          </cell>
          <cell r="C380" t="str">
            <v>VARIOS</v>
          </cell>
        </row>
        <row r="381">
          <cell r="A381">
            <v>20108555417</v>
          </cell>
          <cell r="B381" t="str">
            <v>PASQUALICH ELVIO ALDO</v>
          </cell>
          <cell r="C381" t="str">
            <v>PROVEEDOR</v>
          </cell>
        </row>
        <row r="382">
          <cell r="A382">
            <v>20167226524</v>
          </cell>
          <cell r="B382" t="str">
            <v>JORGE JABIER OBARRIO</v>
          </cell>
          <cell r="C382" t="str">
            <v>VARIOS</v>
          </cell>
        </row>
        <row r="383">
          <cell r="A383">
            <v>20289111329</v>
          </cell>
          <cell r="B383" t="str">
            <v>R. N. LEDESMA</v>
          </cell>
          <cell r="C383" t="str">
            <v>PROVEEDOR</v>
          </cell>
        </row>
        <row r="384">
          <cell r="A384">
            <v>30686489325</v>
          </cell>
          <cell r="B384" t="str">
            <v>ELECTRICIDAD AREV S R L</v>
          </cell>
          <cell r="C384" t="str">
            <v>VARIOS</v>
          </cell>
        </row>
        <row r="385">
          <cell r="A385">
            <v>20929183143</v>
          </cell>
          <cell r="B385" t="str">
            <v>MA JUN</v>
          </cell>
          <cell r="C385" t="str">
            <v>VARIOS</v>
          </cell>
        </row>
        <row r="386">
          <cell r="A386">
            <v>23175716009</v>
          </cell>
          <cell r="B386" t="str">
            <v>GUTIERREZ BRITO GERARDO</v>
          </cell>
          <cell r="C386" t="str">
            <v>FLETE</v>
          </cell>
        </row>
        <row r="387">
          <cell r="A387">
            <v>27247019370</v>
          </cell>
          <cell r="B387" t="str">
            <v>VICENTIN MILENA ANDREA</v>
          </cell>
          <cell r="C387" t="str">
            <v>PROVEEDOR</v>
          </cell>
        </row>
        <row r="388">
          <cell r="A388">
            <v>30588919826</v>
          </cell>
          <cell r="B388" t="str">
            <v>SAN ALBERTO BALCARCE SRL</v>
          </cell>
          <cell r="C388" t="str">
            <v>VARIOS</v>
          </cell>
        </row>
        <row r="389">
          <cell r="A389">
            <v>23122329119</v>
          </cell>
          <cell r="B389" t="str">
            <v>ROSENSTEIN EDUARDO OSCAR</v>
          </cell>
          <cell r="C389" t="str">
            <v>VARIOS</v>
          </cell>
        </row>
        <row r="390">
          <cell r="A390">
            <v>30646512952</v>
          </cell>
          <cell r="B390" t="str">
            <v>PINTURERIAS REX SA</v>
          </cell>
          <cell r="C390" t="str">
            <v>VARIOS</v>
          </cell>
        </row>
        <row r="391">
          <cell r="A391">
            <v>30601502085</v>
          </cell>
          <cell r="B391" t="str">
            <v>PINAR SRL</v>
          </cell>
          <cell r="C391" t="str">
            <v>VARIOS</v>
          </cell>
        </row>
        <row r="392">
          <cell r="A392">
            <v>20045461611</v>
          </cell>
          <cell r="B392" t="str">
            <v>NADAL ROBERTO</v>
          </cell>
          <cell r="C392" t="str">
            <v>VARIOS</v>
          </cell>
        </row>
        <row r="393">
          <cell r="A393">
            <v>20216451679</v>
          </cell>
          <cell r="B393" t="str">
            <v>VAZQUEZ RICARDO OSCAR</v>
          </cell>
          <cell r="C393" t="str">
            <v>PROVEEDOR</v>
          </cell>
        </row>
        <row r="394">
          <cell r="A394">
            <v>27265832178</v>
          </cell>
          <cell r="B394" t="str">
            <v>BLASCO MARIA GUADALUPE</v>
          </cell>
          <cell r="C394" t="str">
            <v>PROVEEDOR</v>
          </cell>
        </row>
        <row r="395">
          <cell r="A395">
            <v>30646217977</v>
          </cell>
          <cell r="B395" t="str">
            <v>OBRA SOCIAL DE ACTORES</v>
          </cell>
          <cell r="C395" t="str">
            <v>CLIENTE</v>
          </cell>
        </row>
        <row r="396">
          <cell r="A396">
            <v>23334822869</v>
          </cell>
          <cell r="B396" t="str">
            <v>COLARUSSO JUAN FRANCISCO</v>
          </cell>
          <cell r="C396" t="str">
            <v>VARIOS</v>
          </cell>
        </row>
        <row r="397">
          <cell r="A397">
            <v>30710276273</v>
          </cell>
          <cell r="B397" t="str">
            <v>SEDEX ARGENTINA SA</v>
          </cell>
          <cell r="C397" t="str">
            <v>FLETE</v>
          </cell>
        </row>
        <row r="398">
          <cell r="A398">
            <v>30707014756</v>
          </cell>
          <cell r="B398" t="str">
            <v>ALG INDUMENTARIAS SRL</v>
          </cell>
          <cell r="C398" t="str">
            <v>VARIOS</v>
          </cell>
        </row>
        <row r="399">
          <cell r="A399">
            <v>30709879258</v>
          </cell>
          <cell r="B399" t="str">
            <v>LOGISTICAS PATRICIOS SA</v>
          </cell>
          <cell r="C399" t="str">
            <v>FLETE</v>
          </cell>
        </row>
        <row r="400">
          <cell r="A400">
            <v>20211408511</v>
          </cell>
          <cell r="B400" t="str">
            <v>GABRIEL ALEJANDRO SEGAL</v>
          </cell>
          <cell r="C400" t="str">
            <v>VARIOS</v>
          </cell>
        </row>
        <row r="401">
          <cell r="A401">
            <v>30683702060</v>
          </cell>
          <cell r="B401" t="str">
            <v>ANTARES INDUST. ORTOPEDICAS SA</v>
          </cell>
          <cell r="C401" t="str">
            <v>PROVEEDOR</v>
          </cell>
        </row>
        <row r="402">
          <cell r="A402">
            <v>20046086806</v>
          </cell>
          <cell r="B402" t="str">
            <v>POZZO MIGUEL ROBERTO</v>
          </cell>
          <cell r="C402" t="str">
            <v>VARIOS</v>
          </cell>
        </row>
        <row r="403">
          <cell r="A403">
            <v>30710361351</v>
          </cell>
          <cell r="B403" t="str">
            <v>MAXIMA REFRIGERACION SRL</v>
          </cell>
          <cell r="C403" t="str">
            <v>VARIOS</v>
          </cell>
        </row>
        <row r="404">
          <cell r="A404">
            <v>20186310838</v>
          </cell>
          <cell r="B404" t="str">
            <v>HERRERO CHRISTIAN GUSTAVO</v>
          </cell>
          <cell r="C404" t="str">
            <v>PROVEEDOR</v>
          </cell>
        </row>
        <row r="405">
          <cell r="A405">
            <v>20184015820</v>
          </cell>
          <cell r="B405" t="str">
            <v>PINEDA ESTEBAN BERNABE</v>
          </cell>
          <cell r="C405" t="str">
            <v>VARIOS</v>
          </cell>
        </row>
        <row r="406">
          <cell r="A406">
            <v>23411502619</v>
          </cell>
          <cell r="B406" t="str">
            <v>OLIVA RODRIGO GASTON</v>
          </cell>
          <cell r="C406" t="str">
            <v>HONORARIOS</v>
          </cell>
        </row>
        <row r="407">
          <cell r="A407">
            <v>20264653313</v>
          </cell>
          <cell r="B407" t="str">
            <v>PRELAT JORGE EMILIO</v>
          </cell>
          <cell r="C407" t="str">
            <v>FLETE</v>
          </cell>
        </row>
        <row r="408">
          <cell r="A408">
            <v>30648604021</v>
          </cell>
          <cell r="B408" t="str">
            <v>CARMAS SA</v>
          </cell>
          <cell r="C408" t="str">
            <v>PROVEEDOR</v>
          </cell>
        </row>
        <row r="409">
          <cell r="A409">
            <v>30587197215</v>
          </cell>
          <cell r="B409" t="str">
            <v>PANATEL SOCIEDAD ANONIMA</v>
          </cell>
          <cell r="C409" t="str">
            <v>VARIOS</v>
          </cell>
        </row>
        <row r="410">
          <cell r="A410">
            <v>30715753541</v>
          </cell>
          <cell r="B410" t="str">
            <v>SHIGA MOTORS SA</v>
          </cell>
          <cell r="C410" t="str">
            <v>VARIOS</v>
          </cell>
        </row>
        <row r="411">
          <cell r="A411">
            <v>30540019297</v>
          </cell>
          <cell r="B411" t="str">
            <v>LIEFRINK Y MARX SA</v>
          </cell>
          <cell r="C411" t="str">
            <v>VARIOS</v>
          </cell>
        </row>
        <row r="412">
          <cell r="A412">
            <v>30687489221</v>
          </cell>
          <cell r="B412" t="str">
            <v>TASCAR SRL</v>
          </cell>
          <cell r="C412" t="str">
            <v>FLETE</v>
          </cell>
        </row>
        <row r="413">
          <cell r="A413">
            <v>30686525607</v>
          </cell>
          <cell r="B413" t="str">
            <v>LIGIER SA</v>
          </cell>
          <cell r="C413" t="str">
            <v>VARIOS</v>
          </cell>
        </row>
        <row r="414">
          <cell r="A414">
            <v>20334976433</v>
          </cell>
          <cell r="B414" t="str">
            <v>NARDOMARINO EZEQUIEL EDUARDO</v>
          </cell>
          <cell r="C414" t="str">
            <v>FLETE</v>
          </cell>
        </row>
        <row r="415">
          <cell r="A415">
            <v>23383224829</v>
          </cell>
          <cell r="B415" t="str">
            <v>OLIVA JUAN PABLO</v>
          </cell>
          <cell r="C415" t="str">
            <v>HONORARIOS</v>
          </cell>
        </row>
        <row r="416">
          <cell r="A416">
            <v>33707660509</v>
          </cell>
          <cell r="B416" t="str">
            <v>JOSE LUIS ARANA SRL</v>
          </cell>
          <cell r="C416" t="str">
            <v>VARIOS</v>
          </cell>
        </row>
        <row r="417">
          <cell r="A417">
            <v>20239531963</v>
          </cell>
          <cell r="B417" t="str">
            <v>GONZALEZ ROMANO JORGE RAMIRO</v>
          </cell>
          <cell r="C417" t="str">
            <v>PROVEEDOR</v>
          </cell>
        </row>
        <row r="418">
          <cell r="A418">
            <v>27256759646</v>
          </cell>
          <cell r="B418" t="str">
            <v>VILLARINO GRISELDA LILIAN</v>
          </cell>
          <cell r="C418" t="str">
            <v>PROVEEDOR</v>
          </cell>
        </row>
        <row r="419">
          <cell r="A419">
            <v>30715621866</v>
          </cell>
          <cell r="B419" t="str">
            <v>GMRA SA</v>
          </cell>
          <cell r="C419" t="str">
            <v>GASTOS VARIOS</v>
          </cell>
        </row>
        <row r="420">
          <cell r="A420">
            <v>27326703384</v>
          </cell>
          <cell r="B420" t="str">
            <v>CARLA HIRSCH</v>
          </cell>
          <cell r="C420" t="str">
            <v>GASTOS VARIOS</v>
          </cell>
        </row>
        <row r="421">
          <cell r="A421">
            <v>27181965709</v>
          </cell>
          <cell r="B421" t="str">
            <v>RAMIREZ MONICA ISABEL</v>
          </cell>
          <cell r="C421" t="str">
            <v>FLETE</v>
          </cell>
        </row>
        <row r="422">
          <cell r="A422">
            <v>23255855204</v>
          </cell>
          <cell r="B422" t="str">
            <v>CABELLO LETICIA JESICA</v>
          </cell>
          <cell r="C422" t="str">
            <v>FLETE</v>
          </cell>
        </row>
        <row r="423">
          <cell r="A423">
            <v>30708534907</v>
          </cell>
          <cell r="B423" t="str">
            <v>VZH SRL</v>
          </cell>
          <cell r="C423" t="str">
            <v>PROVEEDOR</v>
          </cell>
        </row>
        <row r="424">
          <cell r="A424">
            <v>30715949292</v>
          </cell>
          <cell r="B424" t="str">
            <v>EYPAPEL SAS</v>
          </cell>
          <cell r="C424" t="str">
            <v>GASTOS VARIOS</v>
          </cell>
        </row>
        <row r="425">
          <cell r="A425">
            <v>23359537069</v>
          </cell>
          <cell r="B425" t="str">
            <v>COMINI PABLO RUBEN</v>
          </cell>
          <cell r="C425" t="str">
            <v>PROVEEDOR</v>
          </cell>
        </row>
        <row r="426">
          <cell r="A426">
            <v>27316249154</v>
          </cell>
          <cell r="B426" t="str">
            <v>PEREYRA CASADO VALERIA DAIANA</v>
          </cell>
          <cell r="C426" t="str">
            <v>PROVEEDOR</v>
          </cell>
        </row>
        <row r="427">
          <cell r="A427">
            <v>30643700952</v>
          </cell>
          <cell r="B427" t="str">
            <v>LUIS A MARTORANI Y CIA SA</v>
          </cell>
          <cell r="C427" t="str">
            <v>PROVEEDOR</v>
          </cell>
        </row>
        <row r="428">
          <cell r="A428">
            <v>30708285818</v>
          </cell>
          <cell r="B428" t="str">
            <v>DEXTRUM SRL</v>
          </cell>
          <cell r="C428" t="str">
            <v>PROVEEDOR</v>
          </cell>
        </row>
        <row r="429">
          <cell r="A429">
            <v>23106878269</v>
          </cell>
          <cell r="B429" t="str">
            <v>RIOS RUBEN ALBERTO</v>
          </cell>
          <cell r="C429" t="str">
            <v>PROVEEDOR</v>
          </cell>
        </row>
        <row r="430">
          <cell r="A430">
            <v>30709570664</v>
          </cell>
          <cell r="B430" t="str">
            <v>SEGALINI SA</v>
          </cell>
          <cell r="C430" t="str">
            <v>PROVEEDOR</v>
          </cell>
        </row>
        <row r="431">
          <cell r="A431">
            <v>30708823151</v>
          </cell>
          <cell r="B431" t="str">
            <v>MULTIPLACAS SA</v>
          </cell>
          <cell r="C431" t="str">
            <v>PROVEEDOR</v>
          </cell>
        </row>
        <row r="432">
          <cell r="A432">
            <v>27265533006</v>
          </cell>
          <cell r="B432" t="str">
            <v>ALVAREZ BETINA EVELIN</v>
          </cell>
          <cell r="C432" t="str">
            <v>PROVEEDOR</v>
          </cell>
        </row>
        <row r="433">
          <cell r="A433">
            <v>27206941419</v>
          </cell>
          <cell r="B433" t="str">
            <v>DOBARRO PAULA MARCELA</v>
          </cell>
          <cell r="C433" t="str">
            <v>HONORARIOS</v>
          </cell>
        </row>
        <row r="434">
          <cell r="A434">
            <v>20362272441</v>
          </cell>
          <cell r="B434" t="str">
            <v>PRETI ELISEO ROBERTO</v>
          </cell>
          <cell r="C434" t="str">
            <v>PROVEEDOR</v>
          </cell>
        </row>
        <row r="435">
          <cell r="A435">
            <v>27252316057</v>
          </cell>
          <cell r="B435" t="str">
            <v>APICELLA VANESA DANIELA</v>
          </cell>
          <cell r="C435" t="str">
            <v>HONORARIOS</v>
          </cell>
        </row>
        <row r="436">
          <cell r="A436">
            <v>30708150351</v>
          </cell>
          <cell r="B436" t="str">
            <v>MONITOR ARTISTICA SA</v>
          </cell>
          <cell r="C436" t="str">
            <v>VARIOS</v>
          </cell>
        </row>
        <row r="437">
          <cell r="A437">
            <v>27299725761</v>
          </cell>
          <cell r="B437" t="str">
            <v>TURSARKISIAN MISISIAN VERONICA</v>
          </cell>
          <cell r="C437" t="str">
            <v>PROVEEDOR</v>
          </cell>
        </row>
        <row r="438">
          <cell r="A438">
            <v>30710638973</v>
          </cell>
          <cell r="B438" t="str">
            <v>RPM MOVILES SRL</v>
          </cell>
          <cell r="C438" t="str">
            <v>VARIOS</v>
          </cell>
        </row>
        <row r="439">
          <cell r="A439">
            <v>20299835260</v>
          </cell>
          <cell r="B439" t="str">
            <v>MELGAREJO NICOLAS EMILIO</v>
          </cell>
          <cell r="C439" t="str">
            <v>PROVEEDOR</v>
          </cell>
        </row>
        <row r="440">
          <cell r="A440">
            <v>30540059078</v>
          </cell>
          <cell r="B440" t="str">
            <v>VIEL AUTOMOTORES S.A.C.I.F.I.</v>
          </cell>
          <cell r="C440" t="str">
            <v>VARIOS</v>
          </cell>
        </row>
        <row r="441">
          <cell r="A441">
            <v>30708155795</v>
          </cell>
          <cell r="B441" t="str">
            <v>DIAGNOSTIC MEDIC SA</v>
          </cell>
          <cell r="C441" t="str">
            <v>PROVEEDOR</v>
          </cell>
        </row>
        <row r="442">
          <cell r="A442">
            <v>33708218699</v>
          </cell>
          <cell r="B442" t="str">
            <v>MANGGINI PABLO Y M ULISES SH</v>
          </cell>
          <cell r="C442" t="str">
            <v>VARIOS</v>
          </cell>
        </row>
        <row r="443">
          <cell r="A443">
            <v>33709619719</v>
          </cell>
          <cell r="B443" t="str">
            <v>SERVICIOS LUARCA SA</v>
          </cell>
          <cell r="C443" t="str">
            <v>VARIOS</v>
          </cell>
        </row>
        <row r="444">
          <cell r="A444">
            <v>30659276964</v>
          </cell>
          <cell r="B444" t="str">
            <v>ESPASA SA</v>
          </cell>
          <cell r="C444" t="str">
            <v>CONSECIONARIA</v>
          </cell>
        </row>
        <row r="445">
          <cell r="A445">
            <v>30715819461</v>
          </cell>
          <cell r="B445" t="str">
            <v>DISTRI AIRES SRL</v>
          </cell>
          <cell r="C445" t="str">
            <v>LIBRERÍA</v>
          </cell>
        </row>
        <row r="446">
          <cell r="A446">
            <v>30716770881</v>
          </cell>
          <cell r="B446" t="str">
            <v>HARD BOX SRL</v>
          </cell>
          <cell r="C446" t="str">
            <v>VARIOS</v>
          </cell>
        </row>
        <row r="447">
          <cell r="A447">
            <v>20043137817</v>
          </cell>
          <cell r="B447" t="str">
            <v>BOLLERO JUAN CARLOS</v>
          </cell>
          <cell r="C447" t="str">
            <v>VARIOS</v>
          </cell>
        </row>
        <row r="448">
          <cell r="A448">
            <v>30716884631</v>
          </cell>
          <cell r="B448" t="str">
            <v>DM TECHNOLOGY</v>
          </cell>
          <cell r="C448" t="str">
            <v>VARIOS</v>
          </cell>
        </row>
        <row r="449">
          <cell r="A449">
            <v>20410525888</v>
          </cell>
          <cell r="B449" t="str">
            <v>GONZALEZ CARRERA JORGE</v>
          </cell>
          <cell r="C449" t="str">
            <v>PROVEEDOR</v>
          </cell>
        </row>
        <row r="450">
          <cell r="A450">
            <v>33708543409</v>
          </cell>
          <cell r="B450" t="str">
            <v>DAMARFU SA</v>
          </cell>
          <cell r="C450" t="str">
            <v>VARIOS</v>
          </cell>
        </row>
        <row r="451">
          <cell r="A451">
            <v>20253515512</v>
          </cell>
          <cell r="B451" t="str">
            <v>DELGADO GUSTABO ADOLFO</v>
          </cell>
          <cell r="C451" t="str">
            <v>PROVEEDOR</v>
          </cell>
        </row>
        <row r="452">
          <cell r="A452">
            <v>27256001980</v>
          </cell>
          <cell r="B452" t="str">
            <v>MARTINEZ ALEJANDRA ELIZABETH</v>
          </cell>
          <cell r="C452" t="str">
            <v>HONORARIOS</v>
          </cell>
        </row>
        <row r="453">
          <cell r="A453">
            <v>30696676026</v>
          </cell>
          <cell r="B453" t="str">
            <v>EL UNIV DEL CONTROL REM SRL</v>
          </cell>
          <cell r="C453" t="str">
            <v>PROVEEDOR</v>
          </cell>
        </row>
        <row r="454">
          <cell r="A454">
            <v>30717024393</v>
          </cell>
          <cell r="B454" t="str">
            <v>OCA LOG SA</v>
          </cell>
          <cell r="C454" t="str">
            <v>VARIOS</v>
          </cell>
        </row>
        <row r="455">
          <cell r="A455">
            <v>30658035033</v>
          </cell>
          <cell r="B455" t="str">
            <v>MEDICINA PREPAGA HOMINIS SA</v>
          </cell>
          <cell r="C455" t="str">
            <v>CLIENTE</v>
          </cell>
        </row>
        <row r="456">
          <cell r="A456">
            <v>30683032227</v>
          </cell>
          <cell r="B456" t="str">
            <v>OS UNION PERSONAL</v>
          </cell>
          <cell r="C456" t="str">
            <v>CLIENTE</v>
          </cell>
        </row>
        <row r="457">
          <cell r="A457">
            <v>30709525839</v>
          </cell>
          <cell r="B457" t="str">
            <v>SERVICIOS ARM SA</v>
          </cell>
          <cell r="C457" t="str">
            <v>PROVEEDOR</v>
          </cell>
        </row>
        <row r="458">
          <cell r="A458">
            <v>20314536852</v>
          </cell>
          <cell r="B458" t="str">
            <v>FRANCESE GONZALO ROMAN</v>
          </cell>
          <cell r="C458" t="str">
            <v>FLETE</v>
          </cell>
        </row>
        <row r="459">
          <cell r="A459">
            <v>30715515012</v>
          </cell>
          <cell r="B459" t="str">
            <v>NEUMATICOS GARCIA CANO SRL</v>
          </cell>
          <cell r="C459" t="str">
            <v>GASTOS VARIOS</v>
          </cell>
        </row>
        <row r="460">
          <cell r="A460">
            <v>30716371812</v>
          </cell>
          <cell r="B460" t="str">
            <v>BRANCH SRL</v>
          </cell>
          <cell r="C460" t="str">
            <v>PROVEEDOR</v>
          </cell>
        </row>
        <row r="461">
          <cell r="A461">
            <v>33710130189</v>
          </cell>
          <cell r="B461" t="str">
            <v>SEANTEC SA</v>
          </cell>
          <cell r="C461" t="str">
            <v>PROVEEDOR</v>
          </cell>
        </row>
        <row r="462">
          <cell r="A462">
            <v>30715224468</v>
          </cell>
          <cell r="B462" t="str">
            <v>MLND SRL</v>
          </cell>
          <cell r="C462" t="str">
            <v>PROVEEDOR</v>
          </cell>
        </row>
        <row r="463">
          <cell r="A463">
            <v>30685849751</v>
          </cell>
          <cell r="B463" t="str">
            <v>DIA ARGENTINA SA</v>
          </cell>
          <cell r="C463" t="str">
            <v>VARIOS</v>
          </cell>
        </row>
        <row r="464">
          <cell r="A464">
            <v>20394693864</v>
          </cell>
          <cell r="B464" t="str">
            <v>SALAZAR CALLE VICTOR</v>
          </cell>
          <cell r="C464" t="str">
            <v>VARIOS</v>
          </cell>
        </row>
        <row r="465">
          <cell r="A465">
            <v>30717172651</v>
          </cell>
          <cell r="B465" t="str">
            <v>WHITE SALUD SRL</v>
          </cell>
          <cell r="C465" t="str">
            <v>PROVEEDOR</v>
          </cell>
        </row>
        <row r="466">
          <cell r="A466">
            <v>30661143610</v>
          </cell>
          <cell r="B466" t="str">
            <v>ORTOPEDIA BERNAT SRL</v>
          </cell>
          <cell r="C466" t="str">
            <v>PROVEEDOR</v>
          </cell>
        </row>
        <row r="467">
          <cell r="A467">
            <v>27304678165</v>
          </cell>
          <cell r="B467" t="str">
            <v>GISELLE ANAHI OLGUIN</v>
          </cell>
          <cell r="C467" t="str">
            <v>PROVEEDOR</v>
          </cell>
        </row>
        <row r="468">
          <cell r="A468">
            <v>20921994908</v>
          </cell>
          <cell r="B468" t="str">
            <v>ZARATE LASCANO RUFINO</v>
          </cell>
          <cell r="C468" t="str">
            <v>VARIOS</v>
          </cell>
        </row>
        <row r="469">
          <cell r="A469">
            <v>30708656018</v>
          </cell>
          <cell r="B469" t="str">
            <v>DELSUR AUTOS SA</v>
          </cell>
          <cell r="C469" t="str">
            <v>VARIOS</v>
          </cell>
        </row>
        <row r="470">
          <cell r="A470">
            <v>30700939797</v>
          </cell>
          <cell r="B470" t="str">
            <v>TAPITEL SA</v>
          </cell>
          <cell r="C470" t="str">
            <v>PROVEEDOR</v>
          </cell>
        </row>
        <row r="471">
          <cell r="A471">
            <v>27229910782</v>
          </cell>
          <cell r="B471" t="str">
            <v>ABUGAUCH MARIA DE LOS ANGELES</v>
          </cell>
          <cell r="C471" t="str">
            <v>PROVEEDOR</v>
          </cell>
        </row>
        <row r="472">
          <cell r="A472">
            <v>30714758116</v>
          </cell>
          <cell r="B472" t="str">
            <v>CENTRO ORTOPEDICO SAN LUIS</v>
          </cell>
          <cell r="C472" t="str">
            <v>PROVEEDOR</v>
          </cell>
        </row>
        <row r="473">
          <cell r="A473">
            <v>30643518364</v>
          </cell>
          <cell r="B473" t="str">
            <v>FARMACIA DE MEDRANO SCS</v>
          </cell>
          <cell r="C473" t="str">
            <v>PROVEEDOR</v>
          </cell>
        </row>
        <row r="474">
          <cell r="A474">
            <v>30708542349</v>
          </cell>
          <cell r="B474" t="str">
            <v>EXPRESO FORMOSA SRL</v>
          </cell>
          <cell r="C474" t="str">
            <v>FLETE</v>
          </cell>
        </row>
        <row r="475">
          <cell r="A475">
            <v>20242709897</v>
          </cell>
          <cell r="B475" t="str">
            <v>ABUGAUCH VICTOR HUGO</v>
          </cell>
          <cell r="C475" t="str">
            <v>PROVEEDOR</v>
          </cell>
        </row>
        <row r="476">
          <cell r="A476">
            <v>20222347719</v>
          </cell>
          <cell r="B476" t="str">
            <v>NUÑEZ FERNANDO MANUEL</v>
          </cell>
          <cell r="C476" t="str">
            <v>VARIOS</v>
          </cell>
        </row>
        <row r="477">
          <cell r="A477">
            <v>30716620634</v>
          </cell>
          <cell r="B477" t="str">
            <v>FIRSTLABEL SRL</v>
          </cell>
          <cell r="C477" t="str">
            <v>VARIOS</v>
          </cell>
        </row>
        <row r="478">
          <cell r="A478">
            <v>27310367813</v>
          </cell>
          <cell r="B478" t="str">
            <v>LA BRUNA MARIA VIRGINIA</v>
          </cell>
          <cell r="C478" t="str">
            <v>PROVEEDOR</v>
          </cell>
        </row>
        <row r="479">
          <cell r="A479">
            <v>33715594949</v>
          </cell>
          <cell r="B479" t="str">
            <v>SOMOS ENERGIA SA</v>
          </cell>
          <cell r="C479" t="str">
            <v>GASTOS VARIOS</v>
          </cell>
        </row>
        <row r="480">
          <cell r="A480">
            <v>27283627573</v>
          </cell>
          <cell r="B480" t="str">
            <v>SOTOMAYOR CISNEROS CAROLINA</v>
          </cell>
          <cell r="C480" t="str">
            <v>GASTOS VARIOS</v>
          </cell>
        </row>
        <row r="481">
          <cell r="A481">
            <v>30577428618</v>
          </cell>
          <cell r="B481" t="str">
            <v>PRESTIGIO SA</v>
          </cell>
          <cell r="C481" t="str">
            <v>VARIOS</v>
          </cell>
        </row>
        <row r="482">
          <cell r="A482">
            <v>20359718765</v>
          </cell>
          <cell r="B482" t="str">
            <v>FAIL ABRAHAM</v>
          </cell>
          <cell r="C482" t="str">
            <v>VARIOS</v>
          </cell>
        </row>
        <row r="483">
          <cell r="A483">
            <v>30707977120</v>
          </cell>
          <cell r="B483" t="str">
            <v>VICTOR M. GILABERT SH</v>
          </cell>
          <cell r="C483" t="str">
            <v>VARIOS</v>
          </cell>
        </row>
        <row r="484">
          <cell r="A484">
            <v>30565786306</v>
          </cell>
          <cell r="B484" t="str">
            <v>OS Pers De Dir  Perf E W Hope</v>
          </cell>
          <cell r="C484" t="str">
            <v>CLIENTE</v>
          </cell>
        </row>
        <row r="485">
          <cell r="A485">
            <v>20309759444</v>
          </cell>
          <cell r="B485" t="str">
            <v>IMIG WALTER DAMIAN</v>
          </cell>
          <cell r="C485" t="str">
            <v>PROVEEDOR</v>
          </cell>
        </row>
        <row r="486">
          <cell r="A486">
            <v>30716229552</v>
          </cell>
          <cell r="B486" t="str">
            <v>LUBRICANTES RUTA DE P e H SRL</v>
          </cell>
          <cell r="C486" t="str">
            <v>VARIOS</v>
          </cell>
        </row>
        <row r="487">
          <cell r="A487">
            <v>30696692951</v>
          </cell>
          <cell r="B487" t="str">
            <v>CEVEN SA</v>
          </cell>
          <cell r="C487" t="str">
            <v>VARIOS</v>
          </cell>
        </row>
        <row r="488">
          <cell r="A488">
            <v>20110352108</v>
          </cell>
          <cell r="B488" t="str">
            <v>ALBERTO JORGE PASCUET</v>
          </cell>
          <cell r="C488" t="str">
            <v>GASTOS VARIOS</v>
          </cell>
        </row>
        <row r="489">
          <cell r="A489">
            <v>27129657710</v>
          </cell>
          <cell r="B489" t="str">
            <v>LISNIZER ISABEL JULIANA</v>
          </cell>
          <cell r="C489" t="str">
            <v>PROVEEDOR</v>
          </cell>
        </row>
        <row r="490">
          <cell r="A490">
            <v>30683612916</v>
          </cell>
          <cell r="B490" t="str">
            <v>TRANS-AMERICA TRANSPORTES SA</v>
          </cell>
          <cell r="C490" t="str">
            <v>FLETE</v>
          </cell>
        </row>
        <row r="491">
          <cell r="A491">
            <v>30571666037</v>
          </cell>
          <cell r="B491" t="str">
            <v>CAPRI HNOS SH</v>
          </cell>
          <cell r="C491" t="str">
            <v>VARIOS</v>
          </cell>
        </row>
        <row r="492">
          <cell r="A492">
            <v>20142643384</v>
          </cell>
          <cell r="B492" t="str">
            <v>RAMASKI JORGE FERNANDO</v>
          </cell>
          <cell r="C492" t="str">
            <v>PROVEEDOR</v>
          </cell>
        </row>
        <row r="493">
          <cell r="A493">
            <v>30690212265</v>
          </cell>
          <cell r="B493" t="str">
            <v>GIAMPAOLETTI SA</v>
          </cell>
          <cell r="C493" t="str">
            <v>FLETE</v>
          </cell>
        </row>
        <row r="494">
          <cell r="A494">
            <v>33710427629</v>
          </cell>
          <cell r="B494" t="str">
            <v>GOMATODO SRL</v>
          </cell>
          <cell r="C494" t="str">
            <v>FLETE</v>
          </cell>
        </row>
        <row r="495">
          <cell r="A495">
            <v>30717179389</v>
          </cell>
          <cell r="B495" t="str">
            <v>NICOLAS TOBIAS SEQUEIRA Y MG</v>
          </cell>
          <cell r="C495" t="str">
            <v>VARIOS</v>
          </cell>
        </row>
        <row r="496">
          <cell r="A496">
            <v>20274215632</v>
          </cell>
          <cell r="B496" t="str">
            <v>COLOMBO EMBALAJES</v>
          </cell>
          <cell r="C496" t="str">
            <v>VARIOS</v>
          </cell>
        </row>
        <row r="497">
          <cell r="A497">
            <v>20167787372</v>
          </cell>
          <cell r="B497" t="str">
            <v>ZAMORA EDUARDO HERALDO</v>
          </cell>
          <cell r="C497" t="str">
            <v>FLETE</v>
          </cell>
        </row>
        <row r="498">
          <cell r="A498">
            <v>30711013969</v>
          </cell>
          <cell r="B498" t="str">
            <v>REVICAR SA</v>
          </cell>
          <cell r="C498" t="str">
            <v>FLETE</v>
          </cell>
        </row>
        <row r="499">
          <cell r="A499">
            <v>20243132852</v>
          </cell>
          <cell r="B499" t="str">
            <v>DIMEO LUCIANO</v>
          </cell>
          <cell r="C499" t="str">
            <v>GASTOS MOVILIDAD</v>
          </cell>
        </row>
        <row r="500">
          <cell r="A500">
            <v>30715668994</v>
          </cell>
          <cell r="B500" t="str">
            <v>SS METAL MECANICA SRL</v>
          </cell>
          <cell r="C500" t="str">
            <v>PROVEEDOR</v>
          </cell>
        </row>
        <row r="501">
          <cell r="A501">
            <v>30657715383</v>
          </cell>
          <cell r="B501" t="str">
            <v>MADERERA LLAVALLOL SA</v>
          </cell>
          <cell r="C501" t="str">
            <v>VARIOS</v>
          </cell>
        </row>
        <row r="502">
          <cell r="A502">
            <v>20268417762</v>
          </cell>
          <cell r="B502" t="str">
            <v>SCHIANO MORIELLO LUIS ANDRES</v>
          </cell>
          <cell r="C502" t="str">
            <v>VARIOS</v>
          </cell>
        </row>
        <row r="503">
          <cell r="A503">
            <v>20160503336</v>
          </cell>
          <cell r="B503" t="str">
            <v>LIROLA FABIAN ALEJANDRO</v>
          </cell>
          <cell r="C503" t="str">
            <v>VARIOS</v>
          </cell>
        </row>
        <row r="504">
          <cell r="A504">
            <v>27318630157</v>
          </cell>
          <cell r="B504" t="str">
            <v>CENTURION JACQUELINE ESTEFANIA</v>
          </cell>
          <cell r="C504" t="str">
            <v>VARIOS</v>
          </cell>
        </row>
        <row r="505">
          <cell r="A505">
            <v>30708736186</v>
          </cell>
          <cell r="B505" t="str">
            <v>COMERCIALIZADORA MORRES SA</v>
          </cell>
          <cell r="C505" t="str">
            <v>VARIOS</v>
          </cell>
        </row>
        <row r="506">
          <cell r="A506">
            <v>30711645884</v>
          </cell>
          <cell r="B506" t="str">
            <v>LABORATORIOS SLR</v>
          </cell>
          <cell r="C506" t="str">
            <v>VARIOS</v>
          </cell>
        </row>
        <row r="507">
          <cell r="A507">
            <v>30711328498</v>
          </cell>
          <cell r="B507" t="str">
            <v>ESPOSITO FRANCISCO ANT Y OT SH</v>
          </cell>
          <cell r="C507" t="str">
            <v>GASTOS MOVILIDAD</v>
          </cell>
        </row>
        <row r="508">
          <cell r="A508">
            <v>0</v>
          </cell>
          <cell r="B508">
            <v>0</v>
          </cell>
          <cell r="C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586" totalsRowShown="0" headerRowDxfId="1619">
  <autoFilter ref="A1:D2586" xr:uid="{00000000-0009-0000-0100-000006000000}"/>
  <sortState xmlns:xlrd2="http://schemas.microsoft.com/office/spreadsheetml/2017/richdata2" ref="A2:D1862">
    <sortCondition ref="B1:B1862"/>
  </sortState>
  <tableColumns count="4">
    <tableColumn id="1" xr3:uid="{00000000-0010-0000-0000-000001000000}" name="CUIT" dataDxfId="1618"/>
    <tableColumn id="2" xr3:uid="{00000000-0010-0000-0000-000002000000}" name="RAZON SOCIAL" dataDxfId="1617"/>
    <tableColumn id="3" xr3:uid="{00000000-0010-0000-0000-000003000000}" name="Tipo de Gasto" dataDxfId="1616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22" totalsRowCount="1" headerRowDxfId="1615" totalsRowDxfId="1614">
  <autoFilter ref="B8:R121" xr:uid="{00000000-0009-0000-0100-000008000000}"/>
  <sortState xmlns:xlrd2="http://schemas.microsoft.com/office/spreadsheetml/2017/richdata2" ref="B9:R113">
    <sortCondition ref="B8:B113"/>
  </sortState>
  <tableColumns count="17">
    <tableColumn id="1" xr3:uid="{00000000-0010-0000-0100-000001000000}" name="FECHA" totalsRowLabel="Total" dataDxfId="1613" totalsRowDxfId="1612" dataCellStyle="Normal 3"/>
    <tableColumn id="2" xr3:uid="{00000000-0010-0000-0100-000002000000}" name="TIPO" dataDxfId="1611" totalsRowDxfId="1610" dataCellStyle="Normal 3"/>
    <tableColumn id="3" xr3:uid="{00000000-0010-0000-0100-000003000000}" name="PTO VTA" dataDxfId="1609" totalsRowDxfId="1608" dataCellStyle="Normal 3"/>
    <tableColumn id="4" xr3:uid="{00000000-0010-0000-0100-000004000000}" name="NRO. CPTE" dataDxfId="1607" totalsRowDxfId="1606" dataCellStyle="Normal 3"/>
    <tableColumn id="5" xr3:uid="{00000000-0010-0000-0100-000005000000}" name="CUIT" dataDxfId="1605" totalsRowDxfId="1604" dataCellStyle="Normal 3"/>
    <tableColumn id="6" xr3:uid="{00000000-0010-0000-0100-000006000000}" name="RAZON SOCIAL" dataDxfId="1603" totalsRowDxfId="1602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601" totalsRowDxfId="1600" dataCellStyle="Normal 3"/>
    <tableColumn id="8" xr3:uid="{00000000-0010-0000-0100-000008000000}" name="IVA 21 %" totalsRowFunction="sum" dataDxfId="1599" totalsRowDxfId="1598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597" totalsRowDxfId="1596" dataCellStyle="Normal 3"/>
    <tableColumn id="10" xr3:uid="{00000000-0010-0000-0100-00000A000000}" name="IVA 10,5%" totalsRowFunction="sum" dataDxfId="1595" totalsRowDxfId="1594" dataCellStyle="Normal 3"/>
    <tableColumn id="11" xr3:uid="{00000000-0010-0000-0100-00000B000000}" name="PERC. IVA" totalsRowFunction="sum" dataDxfId="1593" totalsRowDxfId="1592" dataCellStyle="Normal 3"/>
    <tableColumn id="12" xr3:uid="{00000000-0010-0000-0100-00000C000000}" name="PERC IIBB _x000a_BS AS" totalsRowFunction="sum" dataDxfId="1591" totalsRowDxfId="1590" dataCellStyle="Normal 3"/>
    <tableColumn id="13" xr3:uid="{00000000-0010-0000-0100-00000D000000}" name="PERC. IIBB CABA" totalsRowFunction="sum" dataDxfId="1589" totalsRowDxfId="1588" dataCellStyle="Normal 3"/>
    <tableColumn id="14" xr3:uid="{00000000-0010-0000-0100-00000E000000}" name="Otros / No Grav." totalsRowFunction="sum" dataDxfId="1587" totalsRowDxfId="1586" dataCellStyle="Normal 3"/>
    <tableColumn id="15" xr3:uid="{00000000-0010-0000-0100-00000F000000}" name="TOTAL" totalsRowFunction="sum" dataDxfId="1585" totalsRowDxfId="1584" dataCellStyle="Normal 3">
      <calculatedColumnFormula>SUM(compras_mes1[[#This Row],[NETO GRAVADO]:[Otros / No Grav.]])</calculatedColumnFormula>
    </tableColumn>
    <tableColumn id="16" xr3:uid="{00000000-0010-0000-0100-000010000000}" name="Tipo de Gasto" dataDxfId="1583" totalsRowDxfId="1582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581" totalsRowDxfId="1580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137:K171" totalsRowCount="1" headerRowDxfId="1579" totalsRowDxfId="1578" headerRowCellStyle="Normal 3">
  <autoFilter ref="D137:K170" xr:uid="{00000000-0009-0000-0100-00000A000000}"/>
  <sortState xmlns:xlrd2="http://schemas.microsoft.com/office/spreadsheetml/2017/richdata2" ref="D137:K169">
    <sortCondition ref="D136:D169"/>
  </sortState>
  <tableColumns count="8">
    <tableColumn id="1" xr3:uid="{00000000-0010-0000-0200-000001000000}" name="FECHA" totalsRowLabel="Total" dataDxfId="1577" totalsRowDxfId="1576" dataCellStyle="Normal 3"/>
    <tableColumn id="2" xr3:uid="{00000000-0010-0000-0200-000002000000}" name="PTO VTA" dataDxfId="1575" totalsRowDxfId="1574" dataCellStyle="Normal 3"/>
    <tableColumn id="3" xr3:uid="{00000000-0010-0000-0200-000003000000}" name="FC Nº" dataDxfId="1573" totalsRowDxfId="1572" dataCellStyle="Normal 3"/>
    <tableColumn id="4" xr3:uid="{00000000-0010-0000-0200-000004000000}" name="CUIT" dataDxfId="1571" totalsRowDxfId="1570" dataCellStyle="Normal 3"/>
    <tableColumn id="5" xr3:uid="{00000000-0010-0000-0200-000005000000}" name="RAZON SOCIAL" dataDxfId="1569" totalsRowDxfId="1568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567" totalsRowDxfId="1566" dataCellStyle="Normal 3"/>
    <tableColumn id="7" xr3:uid="{00000000-0010-0000-0200-000007000000}" name="TIPO DE GASTO" dataDxfId="1565" totalsRowDxfId="1564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563" totalsRowDxfId="1562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180:M190" totalsRowCount="1" headerRowDxfId="1561" dataDxfId="1559" headerRowBorderDxfId="1560" tableBorderDxfId="1558" totalsRowBorderDxfId="1557" dataCellStyle="Normal 3">
  <autoFilter ref="B180:M189" xr:uid="{00000000-0009-0000-0100-000001000000}"/>
  <tableColumns count="12">
    <tableColumn id="1" xr3:uid="{00000000-0010-0000-0300-000001000000}" name="FECHA" totalsRowLabel="Total" dataDxfId="1556" totalsRowDxfId="1555" dataCellStyle="Normal 3"/>
    <tableColumn id="2" xr3:uid="{00000000-0010-0000-0300-000002000000}" name="TIPO" dataDxfId="1554" totalsRowDxfId="1553" dataCellStyle="Normal 3"/>
    <tableColumn id="3" xr3:uid="{00000000-0010-0000-0300-000003000000}" name="PTO VENTA" dataDxfId="1552" totalsRowDxfId="1551" dataCellStyle="Normal 3"/>
    <tableColumn id="4" xr3:uid="{00000000-0010-0000-0300-000004000000}" name="Nº FACTURA" dataDxfId="1550" totalsRowDxfId="1549" dataCellStyle="Normal 3"/>
    <tableColumn id="5" xr3:uid="{00000000-0010-0000-0300-000005000000}" name="CUIT" dataDxfId="1548" totalsRowDxfId="1547" dataCellStyle="Normal 3"/>
    <tableColumn id="6" xr3:uid="{00000000-0010-0000-0300-000006000000}" name="RAZON SOCIAL" dataDxfId="1546" totalsRowDxfId="1545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544" totalsRowDxfId="1543" dataCellStyle="Normal 3"/>
    <tableColumn id="8" xr3:uid="{00000000-0010-0000-0300-000008000000}" name="IVA 21%" totalsRowFunction="sum" dataDxfId="1542" totalsRowDxfId="1541" dataCellStyle="Normal 3">
      <calculatedColumnFormula>venta_a_mes1[[#This Row],[IMPORTE NETO]]*0.21</calculatedColumnFormula>
    </tableColumn>
    <tableColumn id="9" xr3:uid="{00000000-0010-0000-0300-000009000000}" name="IVA 10,5%" totalsRowFunction="sum" dataDxfId="1540" totalsRowDxfId="1539" dataCellStyle="Normal 3"/>
    <tableColumn id="10" xr3:uid="{00000000-0010-0000-0300-00000A000000}" name="EXENTO" totalsRowFunction="sum" dataDxfId="1538" totalsRowDxfId="1537" dataCellStyle="Normal 3"/>
    <tableColumn id="11" xr3:uid="{00000000-0010-0000-0300-00000B000000}" name="TOTAL" totalsRowFunction="sum" dataDxfId="1536" totalsRowDxfId="1535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534" totalsRowDxfId="1533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194:M201" totalsRowCount="1" headerRowDxfId="1532" dataDxfId="1530" headerRowBorderDxfId="1531" tableBorderDxfId="1529" totalsRowBorderDxfId="1528" dataCellStyle="Normal 3">
  <autoFilter ref="B194:M200" xr:uid="{00000000-0009-0000-0100-000003000000}"/>
  <tableColumns count="12">
    <tableColumn id="1" xr3:uid="{00000000-0010-0000-0400-000001000000}" name="FECHA" totalsRowLabel="Total" dataDxfId="1527" totalsRowDxfId="1526" dataCellStyle="Normal 3"/>
    <tableColumn id="2" xr3:uid="{00000000-0010-0000-0400-000002000000}" name="TIPO" dataDxfId="1525" totalsRowDxfId="1524" dataCellStyle="Normal 3"/>
    <tableColumn id="3" xr3:uid="{00000000-0010-0000-0400-000003000000}" name="PTO VENTA" dataDxfId="1523" totalsRowDxfId="1522" dataCellStyle="Normal 3"/>
    <tableColumn id="4" xr3:uid="{00000000-0010-0000-0400-000004000000}" name="Nº FACTURA" dataDxfId="1521" totalsRowDxfId="1520" dataCellStyle="Normal 3"/>
    <tableColumn id="5" xr3:uid="{00000000-0010-0000-0400-000005000000}" name="CUIT" dataDxfId="1519" totalsRowDxfId="1518" dataCellStyle="Normal 3"/>
    <tableColumn id="6" xr3:uid="{00000000-0010-0000-0400-000006000000}" name="RAZON SOCIAL" dataDxfId="1517" totalsRowDxfId="1516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515" totalsRowDxfId="1514" dataCellStyle="Normal 3"/>
    <tableColumn id="8" xr3:uid="{00000000-0010-0000-0400-000008000000}" name="IVA 21%" totalsRowFunction="sum" dataDxfId="1513" totalsRowDxfId="1512" dataCellStyle="Normal 3"/>
    <tableColumn id="9" xr3:uid="{00000000-0010-0000-0400-000009000000}" name="IVA 10,5%" totalsRowFunction="sum" dataDxfId="1511" totalsRowDxfId="1510" dataCellStyle="Normal 3"/>
    <tableColumn id="10" xr3:uid="{00000000-0010-0000-0400-00000A000000}" name="EXENTO" totalsRowFunction="sum" dataDxfId="1509" totalsRowDxfId="1508" dataCellStyle="Normal 3"/>
    <tableColumn id="11" xr3:uid="{00000000-0010-0000-0400-00000B000000}" name="TOTAL" totalsRowFunction="sum" dataDxfId="1507" totalsRowDxfId="1506" dataCellStyle="Normal 3">
      <calculatedColumnFormula>SUM(ventas_b_mes1[[#This Row],[IMPORTE NETO]:[EXENTO]])</calculatedColumnFormula>
    </tableColumn>
    <tableColumn id="12" xr3:uid="{00000000-0010-0000-0400-00000C000000}" name="Provincia" totalsRowFunction="count" dataDxfId="1505" totalsRowDxfId="1504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128:L132" totalsRowCount="1" headerRowDxfId="1503" dataDxfId="1502" tableBorderDxfId="1501" dataCellStyle="Normal 3">
  <autoFilter ref="D128:L131" xr:uid="{00000000-0009-0000-0100-000004000000}"/>
  <tableColumns count="9">
    <tableColumn id="1" xr3:uid="{00000000-0010-0000-0500-000001000000}" name="FECHA" totalsRowLabel="Total" dataDxfId="1500" totalsRowDxfId="1499" dataCellStyle="Normal 3"/>
    <tableColumn id="2" xr3:uid="{00000000-0010-0000-0500-000002000000}" name="NRO CPTE" dataDxfId="1498" totalsRowDxfId="1497"/>
    <tableColumn id="3" xr3:uid="{00000000-0010-0000-0500-000003000000}" name="BANCO" dataDxfId="1496" totalsRowDxfId="1495"/>
    <tableColumn id="4" xr3:uid="{00000000-0010-0000-0500-000004000000}" name="NETO" totalsRowFunction="sum" dataDxfId="1494" totalsRowDxfId="1493" dataCellStyle="Normal 3">
      <calculatedColumnFormula>500</calculatedColumnFormula>
    </tableColumn>
    <tableColumn id="5" xr3:uid="{00000000-0010-0000-0500-000005000000}" name="IVA 21%" totalsRowFunction="sum" dataDxfId="1492" totalsRowDxfId="1491" dataCellStyle="Normal 3">
      <calculatedColumnFormula>extracto_banco_mes1[[#This Row],[NETO]]*0.21</calculatedColumnFormula>
    </tableColumn>
    <tableColumn id="6" xr3:uid="{00000000-0010-0000-0500-000006000000}" name="IVA 10,5%" totalsRowFunction="sum" dataDxfId="1490" totalsRowDxfId="1489" dataCellStyle="Normal 3"/>
    <tableColumn id="7" xr3:uid="{00000000-0010-0000-0500-000007000000}" name="RET IIBB CABA" totalsRowFunction="sum" dataDxfId="1488" totalsRowDxfId="1487" dataCellStyle="Normal 3"/>
    <tableColumn id="8" xr3:uid="{00000000-0010-0000-0500-000008000000}" name="PERC IVA" totalsRowFunction="sum" dataDxfId="1486" totalsRowDxfId="1485" dataCellStyle="Normal 3"/>
    <tableColumn id="9" xr3:uid="{00000000-0010-0000-0500-000009000000}" name="PERC IIBB" totalsRowFunction="sum" dataDxfId="1484" totalsRowDxfId="1483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210:L215" totalsRowShown="0" headerRowDxfId="1482" dataDxfId="1481" headerRowCellStyle="Normal 3" dataCellStyle="Normal 3">
  <autoFilter ref="C210:L215" xr:uid="{00000000-0009-0000-0100-000005000000}"/>
  <tableColumns count="10">
    <tableColumn id="1" xr3:uid="{00000000-0010-0000-0600-000001000000}" name="FECHA " dataDxfId="1480" dataCellStyle="Normal 3"/>
    <tableColumn id="2" xr3:uid="{00000000-0010-0000-0600-000002000000}" name="COMP Nº" dataDxfId="1479" dataCellStyle="Normal 3"/>
    <tableColumn id="3" xr3:uid="{00000000-0010-0000-0600-000003000000}" name="Columna1" dataDxfId="1478" dataCellStyle="Normal 3"/>
    <tableColumn id="4" xr3:uid="{00000000-0010-0000-0600-000004000000}" name="CUIT" dataDxfId="1477" dataCellStyle="Normal 3"/>
    <tableColumn id="5" xr3:uid="{00000000-0010-0000-0600-000005000000}" name="RAZON SOCIAL" dataDxfId="1476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475" dataCellStyle="Normal 3"/>
    <tableColumn id="7" xr3:uid="{00000000-0010-0000-0600-000007000000}" name="IVA" dataDxfId="1474" dataCellStyle="Normal 3"/>
    <tableColumn id="8" xr3:uid="{00000000-0010-0000-0600-000008000000}" name="SUSS" dataDxfId="1473" dataCellStyle="Normal 3"/>
    <tableColumn id="9" xr3:uid="{00000000-0010-0000-0600-000009000000}" name="IIBB BSAS" dataDxfId="1472" dataCellStyle="Normal 3"/>
    <tableColumn id="10" xr3:uid="{00000000-0010-0000-0600-00000A000000}" name="IIBB CABA" dataDxfId="1471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121" totalsRowCount="1" headerRowDxfId="1470" dataDxfId="1469" totalsRowDxfId="1468">
  <autoFilter ref="B8:R120" xr:uid="{00000000-0009-0000-0100-000007000000}"/>
  <sortState xmlns:xlrd2="http://schemas.microsoft.com/office/spreadsheetml/2017/richdata2" ref="B9:R121">
    <sortCondition ref="B9:B121"/>
  </sortState>
  <tableColumns count="17">
    <tableColumn id="1" xr3:uid="{00000000-0010-0000-0700-000001000000}" name="FECHA" totalsRowLabel="Total" dataDxfId="1467" totalsRowDxfId="1466" dataCellStyle="Normal 3"/>
    <tableColumn id="2" xr3:uid="{00000000-0010-0000-0700-000002000000}" name="TIPO" dataDxfId="1465" totalsRowDxfId="1464" dataCellStyle="Normal 3"/>
    <tableColumn id="3" xr3:uid="{00000000-0010-0000-0700-000003000000}" name="PTO VTA" dataDxfId="1463" totalsRowDxfId="1462" dataCellStyle="Normal 3"/>
    <tableColumn id="4" xr3:uid="{00000000-0010-0000-0700-000004000000}" name="NRO. CPTE" dataDxfId="1461" totalsRowDxfId="1460" dataCellStyle="Normal 3"/>
    <tableColumn id="5" xr3:uid="{00000000-0010-0000-0700-000005000000}" name="CUIT" dataDxfId="1459" totalsRowDxfId="1458" dataCellStyle="Normal 3"/>
    <tableColumn id="6" xr3:uid="{00000000-0010-0000-0700-000006000000}" name="RAZON SOCIAL" dataDxfId="1457" totalsRowDxfId="1456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455" totalsRowDxfId="1454" dataCellStyle="Normal 3"/>
    <tableColumn id="8" xr3:uid="{00000000-0010-0000-0700-000008000000}" name="IVA 21 %" totalsRowFunction="sum" dataDxfId="1453" totalsRowDxfId="1452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451" totalsRowDxfId="1450" dataCellStyle="Normal 3"/>
    <tableColumn id="10" xr3:uid="{00000000-0010-0000-0700-00000A000000}" name="IVA 10,5%" totalsRowFunction="sum" dataDxfId="1449" totalsRowDxfId="1448" dataCellStyle="Normal 3"/>
    <tableColumn id="11" xr3:uid="{00000000-0010-0000-0700-00000B000000}" name="PERC. IVA" totalsRowFunction="sum" dataDxfId="1447" totalsRowDxfId="1446" dataCellStyle="Normal 3"/>
    <tableColumn id="12" xr3:uid="{00000000-0010-0000-0700-00000C000000}" name="PERC IIBB _x000a_BS AS" totalsRowFunction="sum" dataDxfId="1445" totalsRowDxfId="1444" dataCellStyle="Normal 3"/>
    <tableColumn id="13" xr3:uid="{00000000-0010-0000-0700-00000D000000}" name="PERC. IIBB CABA" totalsRowFunction="sum" dataDxfId="1443" totalsRowDxfId="1442" dataCellStyle="Normal 3"/>
    <tableColumn id="14" xr3:uid="{00000000-0010-0000-0700-00000E000000}" name="Otros / No Grav." totalsRowFunction="sum" dataDxfId="1441" totalsRowDxfId="1440" dataCellStyle="Normal 3"/>
    <tableColumn id="15" xr3:uid="{00000000-0010-0000-0700-00000F000000}" name="TOTAL" totalsRowFunction="sum" dataDxfId="1439" totalsRowDxfId="1438" dataCellStyle="Normal 3">
      <calculatedColumnFormula>SUM(compras_mes2[[#This Row],[NETO GRAVADO]:[Otros / No Grav.]])</calculatedColumnFormula>
    </tableColumn>
    <tableColumn id="16" xr3:uid="{00000000-0010-0000-0700-000010000000}" name="Tipo de Gasto" dataDxfId="1437" totalsRowDxfId="1436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435" totalsRowDxfId="1434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138:K170" totalsRowCount="1" headerRowDxfId="1433" totalsRowDxfId="1432" headerRowCellStyle="Normal 3">
  <autoFilter ref="D138:K169" xr:uid="{00000000-0009-0000-0100-000009000000}"/>
  <sortState xmlns:xlrd2="http://schemas.microsoft.com/office/spreadsheetml/2017/richdata2" ref="D147:K191">
    <sortCondition ref="F146:F191"/>
  </sortState>
  <tableColumns count="8">
    <tableColumn id="1" xr3:uid="{00000000-0010-0000-0800-000001000000}" name="FECHA" totalsRowLabel="Total" dataDxfId="1431" totalsRowDxfId="1430" dataCellStyle="Normal 3"/>
    <tableColumn id="2" xr3:uid="{00000000-0010-0000-0800-000002000000}" name="PTO VTA" dataDxfId="1429" totalsRowDxfId="1428" dataCellStyle="Normal 3"/>
    <tableColumn id="3" xr3:uid="{00000000-0010-0000-0800-000003000000}" name="FC Nº" dataDxfId="1427" totalsRowDxfId="1426" dataCellStyle="Normal 3"/>
    <tableColumn id="4" xr3:uid="{00000000-0010-0000-0800-000004000000}" name="CUIT" dataDxfId="1425" totalsRowDxfId="1424" dataCellStyle="Normal 3"/>
    <tableColumn id="5" xr3:uid="{00000000-0010-0000-0800-000005000000}" name="RAZON SOCIAL" dataDxfId="1423" totalsRowDxfId="1422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421" totalsRowDxfId="1420" dataCellStyle="Normal 3"/>
    <tableColumn id="7" xr3:uid="{00000000-0010-0000-0800-000007000000}" name="TIPO DE GASTO" dataDxfId="1419" totalsRowDxfId="1418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417" totalsRowDxfId="1416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179:M232" totalsRowCount="1" headerRowDxfId="1415" dataDxfId="1413" headerRowBorderDxfId="1414" tableBorderDxfId="1412" totalsRowBorderDxfId="1411" dataCellStyle="Normal 3">
  <autoFilter ref="B179:M231" xr:uid="{00000000-0009-0000-0100-00000B000000}"/>
  <tableColumns count="12">
    <tableColumn id="1" xr3:uid="{00000000-0010-0000-0900-000001000000}" name="FECHA" totalsRowLabel="Total" dataDxfId="1410" totalsRowDxfId="1409" dataCellStyle="Normal 3"/>
    <tableColumn id="2" xr3:uid="{00000000-0010-0000-0900-000002000000}" name="TIPO" dataDxfId="1408" totalsRowDxfId="1407" dataCellStyle="Normal 3"/>
    <tableColumn id="3" xr3:uid="{00000000-0010-0000-0900-000003000000}" name="PTO VENTA" dataDxfId="1406" totalsRowDxfId="1405" dataCellStyle="Normal 3"/>
    <tableColumn id="4" xr3:uid="{00000000-0010-0000-0900-000004000000}" name="Nº FACTURA" dataDxfId="1404" totalsRowDxfId="1403" dataCellStyle="Normal 3"/>
    <tableColumn id="5" xr3:uid="{00000000-0010-0000-0900-000005000000}" name="CUIT" dataDxfId="1402" totalsRowDxfId="1401" dataCellStyle="Normal 3"/>
    <tableColumn id="6" xr3:uid="{00000000-0010-0000-0900-000006000000}" name="RAZON SOCIAL" dataDxfId="1400" totalsRowDxfId="1399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398" totalsRowDxfId="1397" dataCellStyle="Normal 3"/>
    <tableColumn id="8" xr3:uid="{00000000-0010-0000-0900-000008000000}" name="IVA 21%" totalsRowFunction="sum" dataDxfId="1396" totalsRowDxfId="1395" dataCellStyle="Normal 3">
      <calculatedColumnFormula>venta_a_mes2[[#This Row],[IMPORTE NETO]]*0.21</calculatedColumnFormula>
    </tableColumn>
    <tableColumn id="9" xr3:uid="{00000000-0010-0000-0900-000009000000}" name="IVA 10,5%" totalsRowFunction="sum" dataDxfId="1394" totalsRowDxfId="1393" dataCellStyle="Normal 3"/>
    <tableColumn id="10" xr3:uid="{00000000-0010-0000-0900-00000A000000}" name="EXENTO" totalsRowFunction="sum" dataDxfId="1392" totalsRowDxfId="1391" dataCellStyle="Normal 3"/>
    <tableColumn id="11" xr3:uid="{00000000-0010-0000-0900-00000B000000}" name="TOTAL" totalsRowFunction="sum" dataDxfId="1390" totalsRowDxfId="1389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388" totalsRowDxfId="1387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234:M462" totalsRowCount="1" headerRowDxfId="1386" dataDxfId="1384" headerRowBorderDxfId="1385" tableBorderDxfId="1383" totalsRowBorderDxfId="1382" dataCellStyle="Normal 3">
  <autoFilter ref="B234:M461" xr:uid="{00000000-0009-0000-0100-00000C000000}"/>
  <tableColumns count="12">
    <tableColumn id="1" xr3:uid="{00000000-0010-0000-0A00-000001000000}" name="FECHA" totalsRowLabel="Total" dataDxfId="1381" totalsRowDxfId="1380" dataCellStyle="Normal 3"/>
    <tableColumn id="2" xr3:uid="{00000000-0010-0000-0A00-000002000000}" name="TIPO" dataDxfId="1379" totalsRowDxfId="1378" dataCellStyle="Normal 3"/>
    <tableColumn id="3" xr3:uid="{00000000-0010-0000-0A00-000003000000}" name="PTO VENTA" dataDxfId="1377" totalsRowDxfId="1376" dataCellStyle="Normal 3"/>
    <tableColumn id="4" xr3:uid="{00000000-0010-0000-0A00-000004000000}" name="Nº FACTURA" dataDxfId="1375" totalsRowDxfId="1374" dataCellStyle="Normal 3"/>
    <tableColumn id="5" xr3:uid="{00000000-0010-0000-0A00-000005000000}" name="CUIT" dataDxfId="1373" totalsRowDxfId="1372" dataCellStyle="Normal 3"/>
    <tableColumn id="6" xr3:uid="{00000000-0010-0000-0A00-000006000000}" name="RAZON SOCIAL" dataDxfId="1371" totalsRowDxfId="1370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369" totalsRowDxfId="1368" dataCellStyle="Normal 3"/>
    <tableColumn id="8" xr3:uid="{00000000-0010-0000-0A00-000008000000}" name="IVA 21%" totalsRowFunction="sum" dataDxfId="1367" totalsRowDxfId="1366" dataCellStyle="Normal 3">
      <calculatedColumnFormula>ventas_b_mes2[[#This Row],[IMPORTE NETO]]*0.21</calculatedColumnFormula>
    </tableColumn>
    <tableColumn id="9" xr3:uid="{00000000-0010-0000-0A00-000009000000}" name="IVA 10,5%" totalsRowFunction="sum" dataDxfId="1365" totalsRowDxfId="1364" dataCellStyle="Normal 3"/>
    <tableColumn id="10" xr3:uid="{00000000-0010-0000-0A00-00000A000000}" name="EXENTO" totalsRowFunction="sum" dataDxfId="1363" totalsRowDxfId="1362" dataCellStyle="Normal 3"/>
    <tableColumn id="11" xr3:uid="{00000000-0010-0000-0A00-00000B000000}" name="TOTAL" totalsRowFunction="sum" dataDxfId="1361" totalsRowDxfId="1360" dataCellStyle="Normal 3">
      <calculatedColumnFormula>SUM(ventas_b_mes2[[#This Row],[IMPORTE NETO]:[EXENTO]])</calculatedColumnFormula>
    </tableColumn>
    <tableColumn id="12" xr3:uid="{00000000-0010-0000-0A00-00000C000000}" name="Provincia" totalsRowFunction="count" dataDxfId="1359" totalsRowDxfId="1358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27:L133" totalsRowCount="1" headerRowDxfId="1357" dataDxfId="1356" tableBorderDxfId="1355" dataCellStyle="Normal 3">
  <autoFilter ref="D127:L132" xr:uid="{00000000-0009-0000-0100-00000D000000}"/>
  <tableColumns count="9">
    <tableColumn id="1" xr3:uid="{00000000-0010-0000-0B00-000001000000}" name="FECHA" totalsRowLabel="Total" dataDxfId="1354" totalsRowDxfId="1353" dataCellStyle="Normal 3"/>
    <tableColumn id="2" xr3:uid="{00000000-0010-0000-0B00-000002000000}" name="NRO CPTE" dataDxfId="1352" totalsRowDxfId="1351"/>
    <tableColumn id="3" xr3:uid="{00000000-0010-0000-0B00-000003000000}" name="BANCO" dataDxfId="1350" totalsRowDxfId="1349"/>
    <tableColumn id="4" xr3:uid="{00000000-0010-0000-0B00-000004000000}" name="NETO" totalsRowFunction="sum" dataDxfId="1348" totalsRowDxfId="1347" dataCellStyle="Normal 3">
      <calculatedColumnFormula>24+150+100+325+325+150+325+90+175+500</calculatedColumnFormula>
    </tableColumn>
    <tableColumn id="5" xr3:uid="{00000000-0010-0000-0B00-000005000000}" name="IVA 21%" totalsRowFunction="sum" dataDxfId="1346" totalsRowDxfId="1345" dataCellStyle="Normal 3">
      <calculatedColumnFormula>extracto_banco_mes2[[#This Row],[NETO]]*0.21</calculatedColumnFormula>
    </tableColumn>
    <tableColumn id="6" xr3:uid="{00000000-0010-0000-0B00-000006000000}" name="IVA 10,5%" totalsRowFunction="sum" dataDxfId="1344" totalsRowDxfId="1343" dataCellStyle="Normal 3"/>
    <tableColumn id="7" xr3:uid="{00000000-0010-0000-0B00-000007000000}" name="RET IIBB CABA" totalsRowFunction="sum" dataDxfId="1342" totalsRowDxfId="1341" dataCellStyle="Normal 3"/>
    <tableColumn id="8" xr3:uid="{00000000-0010-0000-0B00-000008000000}" name="PERC IVA" totalsRowFunction="sum" dataDxfId="1340" totalsRowDxfId="1339" dataCellStyle="Normal 3"/>
    <tableColumn id="9" xr3:uid="{00000000-0010-0000-0B00-000009000000}" name="PERC IIBB" totalsRowFunction="sum" dataDxfId="1338" totalsRowDxfId="1337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464:L491" totalsRowShown="0" headerRowDxfId="1336" dataDxfId="1335" headerRowCellStyle="Normal 3" dataCellStyle="Normal 3">
  <autoFilter ref="C464:L491" xr:uid="{00000000-0009-0000-0100-00000E000000}"/>
  <tableColumns count="10">
    <tableColumn id="1" xr3:uid="{00000000-0010-0000-0C00-000001000000}" name="FECHA " dataDxfId="1334" dataCellStyle="Normal 3"/>
    <tableColumn id="2" xr3:uid="{00000000-0010-0000-0C00-000002000000}" name="COMP Nº" dataDxfId="1333" dataCellStyle="Normal 3"/>
    <tableColumn id="3" xr3:uid="{00000000-0010-0000-0C00-000003000000}" name="Columna1" dataDxfId="1332" dataCellStyle="Normal 3"/>
    <tableColumn id="4" xr3:uid="{00000000-0010-0000-0C00-000004000000}" name="CUIT" dataDxfId="1331" dataCellStyle="Normal 3"/>
    <tableColumn id="5" xr3:uid="{00000000-0010-0000-0C00-000005000000}" name="RAZON SOCIAL" dataDxfId="1330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329" dataCellStyle="Normal 3"/>
    <tableColumn id="7" xr3:uid="{00000000-0010-0000-0C00-000007000000}" name="IVA" dataDxfId="1328" dataCellStyle="Normal 3"/>
    <tableColumn id="8" xr3:uid="{00000000-0010-0000-0C00-000008000000}" name="SUSS" dataDxfId="1327" dataCellStyle="Normal 3"/>
    <tableColumn id="9" xr3:uid="{00000000-0010-0000-0C00-000009000000}" name="IIBB BSAS" dataDxfId="1326" dataCellStyle="Normal 3"/>
    <tableColumn id="10" xr3:uid="{00000000-0010-0000-0C00-00000A000000}" name="IIBB CABA" dataDxfId="1325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120" totalsRowCount="1" headerRowDxfId="1768" dataDxfId="1767" totalsRowDxfId="1766">
  <autoFilter ref="B8:R119" xr:uid="{00000000-0009-0000-0100-00000F000000}"/>
  <sortState xmlns:xlrd2="http://schemas.microsoft.com/office/spreadsheetml/2017/richdata2" ref="B9:R119">
    <sortCondition sortBy="cellColor" ref="B9:B119" dxfId="1765"/>
  </sortState>
  <tableColumns count="17">
    <tableColumn id="1" xr3:uid="{00000000-0010-0000-0D00-000001000000}" name="FECHA" totalsRowLabel="Total" dataDxfId="1764" totalsRowDxfId="1763" dataCellStyle="Normal 3"/>
    <tableColumn id="2" xr3:uid="{00000000-0010-0000-0D00-000002000000}" name="TIPO" dataDxfId="1762" totalsRowDxfId="1761" dataCellStyle="Normal 3"/>
    <tableColumn id="3" xr3:uid="{00000000-0010-0000-0D00-000003000000}" name="PTO VTA" dataDxfId="1760" totalsRowDxfId="1759" dataCellStyle="Normal 3"/>
    <tableColumn id="4" xr3:uid="{00000000-0010-0000-0D00-000004000000}" name="NRO. CPTE" dataDxfId="1758" totalsRowDxfId="1757" dataCellStyle="Normal 3"/>
    <tableColumn id="5" xr3:uid="{00000000-0010-0000-0D00-000005000000}" name="CUIT" dataDxfId="1756" totalsRowDxfId="1755" dataCellStyle="Normal 3"/>
    <tableColumn id="6" xr3:uid="{00000000-0010-0000-0D00-000006000000}" name="RAZON SOCIAL" dataDxfId="1754" totalsRowDxfId="1753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752" totalsRowDxfId="1751" dataCellStyle="Normal 3"/>
    <tableColumn id="8" xr3:uid="{00000000-0010-0000-0D00-000008000000}" name="IVA 21 %" totalsRowFunction="sum" dataDxfId="1750" totalsRowDxfId="1749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748" totalsRowDxfId="1747" dataCellStyle="Normal 3"/>
    <tableColumn id="10" xr3:uid="{00000000-0010-0000-0D00-00000A000000}" name="IVA 10,5%" totalsRowFunction="sum" dataDxfId="1746" totalsRowDxfId="1745" dataCellStyle="Normal 3"/>
    <tableColumn id="11" xr3:uid="{00000000-0010-0000-0D00-00000B000000}" name="PERC. IVA" totalsRowFunction="sum" dataDxfId="1744" totalsRowDxfId="1743" dataCellStyle="Normal 3"/>
    <tableColumn id="12" xr3:uid="{00000000-0010-0000-0D00-00000C000000}" name="PERC IIBB _x000a_BS AS" totalsRowFunction="sum" dataDxfId="1742" totalsRowDxfId="1741" dataCellStyle="Normal 3"/>
    <tableColumn id="13" xr3:uid="{00000000-0010-0000-0D00-00000D000000}" name="PERC. IIBB CABA" totalsRowFunction="sum" dataDxfId="1740" totalsRowDxfId="1739" dataCellStyle="Normal 3"/>
    <tableColumn id="14" xr3:uid="{00000000-0010-0000-0D00-00000E000000}" name="Otros / No Grav." totalsRowFunction="sum" dataDxfId="1738" totalsRowDxfId="1737" dataCellStyle="Normal 3"/>
    <tableColumn id="15" xr3:uid="{00000000-0010-0000-0D00-00000F000000}" name="TOTAL" totalsRowFunction="sum" dataDxfId="1736" totalsRowDxfId="1735" dataCellStyle="Normal 3">
      <calculatedColumnFormula>SUM(compras_mes3[[#This Row],[NETO GRAVADO]:[Otros / No Grav.]])</calculatedColumnFormula>
    </tableColumn>
    <tableColumn id="16" xr3:uid="{00000000-0010-0000-0D00-000010000000}" name="Tipo de Gasto" dataDxfId="1734" totalsRowDxfId="1733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732" totalsRowDxfId="1731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135:K171" totalsRowCount="1" headerRowDxfId="1730" totalsRowDxfId="1729" headerRowCellStyle="Normal 3">
  <autoFilter ref="D135:K170" xr:uid="{00000000-0009-0000-0100-000010000000}"/>
  <sortState xmlns:xlrd2="http://schemas.microsoft.com/office/spreadsheetml/2017/richdata2" ref="D137:K171">
    <sortCondition ref="D137:D171"/>
  </sortState>
  <tableColumns count="8">
    <tableColumn id="1" xr3:uid="{00000000-0010-0000-0E00-000001000000}" name="FECHA" totalsRowLabel="Total" dataDxfId="1728" totalsRowDxfId="1727" dataCellStyle="Normal 3"/>
    <tableColumn id="2" xr3:uid="{00000000-0010-0000-0E00-000002000000}" name="PTO VTA" dataDxfId="1726" totalsRowDxfId="1725" dataCellStyle="Normal 3"/>
    <tableColumn id="3" xr3:uid="{00000000-0010-0000-0E00-000003000000}" name="FC Nº" dataDxfId="1724" totalsRowDxfId="1723" dataCellStyle="Normal 3"/>
    <tableColumn id="4" xr3:uid="{00000000-0010-0000-0E00-000004000000}" name="CUIT" dataDxfId="1722" totalsRowDxfId="1721" dataCellStyle="Normal 3"/>
    <tableColumn id="5" xr3:uid="{00000000-0010-0000-0E00-000005000000}" name="RAZON SOCIAL" dataDxfId="1720" totalsRowDxfId="1719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718" totalsRowDxfId="1717" dataCellStyle="Normal 3"/>
    <tableColumn id="7" xr3:uid="{00000000-0010-0000-0E00-000007000000}" name="TIPO DE GASTO" dataDxfId="1716" totalsRowDxfId="1715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714" totalsRowDxfId="1713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180:M190" totalsRowCount="1" headerRowDxfId="1712" dataDxfId="1710" headerRowBorderDxfId="1711" tableBorderDxfId="1709" totalsRowBorderDxfId="1708" dataCellStyle="Normal 3">
  <autoFilter ref="B180:M189" xr:uid="{00000000-0009-0000-0100-000011000000}"/>
  <tableColumns count="12">
    <tableColumn id="1" xr3:uid="{00000000-0010-0000-0F00-000001000000}" name="FECHA" totalsRowLabel="Total" dataDxfId="1707" totalsRowDxfId="1706" dataCellStyle="Normal 3"/>
    <tableColumn id="2" xr3:uid="{00000000-0010-0000-0F00-000002000000}" name="TIPO" dataDxfId="1705" totalsRowDxfId="1704" dataCellStyle="Normal 3"/>
    <tableColumn id="3" xr3:uid="{00000000-0010-0000-0F00-000003000000}" name="PTO VENTA" dataDxfId="1703" totalsRowDxfId="1702" dataCellStyle="Normal 3"/>
    <tableColumn id="4" xr3:uid="{00000000-0010-0000-0F00-000004000000}" name="Nº FACTURA" dataDxfId="1701" totalsRowDxfId="1700" dataCellStyle="Normal 3"/>
    <tableColumn id="5" xr3:uid="{00000000-0010-0000-0F00-000005000000}" name="CUIT" dataDxfId="1699" totalsRowDxfId="1698" dataCellStyle="Normal 3"/>
    <tableColumn id="6" xr3:uid="{00000000-0010-0000-0F00-000006000000}" name="RAZON SOCIAL" dataDxfId="1697" totalsRowDxfId="1696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695" totalsRowDxfId="1694" dataCellStyle="Normal 3"/>
    <tableColumn id="8" xr3:uid="{00000000-0010-0000-0F00-000008000000}" name="IVA 21%" totalsRowFunction="sum" dataDxfId="1693" totalsRowDxfId="1692" dataCellStyle="Normal 3">
      <calculatedColumnFormula>venta_a_mes3[[#This Row],[IMPORTE NETO]]*0.21</calculatedColumnFormula>
    </tableColumn>
    <tableColumn id="9" xr3:uid="{00000000-0010-0000-0F00-000009000000}" name="IVA 10,5%" totalsRowFunction="sum" dataDxfId="1691" totalsRowDxfId="1690" dataCellStyle="Normal 3"/>
    <tableColumn id="10" xr3:uid="{00000000-0010-0000-0F00-00000A000000}" name="EXENTO" totalsRowFunction="sum" dataDxfId="1689" totalsRowDxfId="1688" dataCellStyle="Normal 3"/>
    <tableColumn id="11" xr3:uid="{00000000-0010-0000-0F00-00000B000000}" name="TOTAL" totalsRowFunction="sum" dataDxfId="1687" totalsRowDxfId="1686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685" totalsRowDxfId="1684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194:M201" totalsRowCount="1" headerRowDxfId="1683" dataDxfId="1681" headerRowBorderDxfId="1682" tableBorderDxfId="1680" totalsRowBorderDxfId="1679" dataCellStyle="Normal 3">
  <autoFilter ref="B194:M200" xr:uid="{00000000-0009-0000-0100-000012000000}"/>
  <tableColumns count="12">
    <tableColumn id="1" xr3:uid="{00000000-0010-0000-1000-000001000000}" name="FECHA" totalsRowLabel="Total" dataDxfId="1678" totalsRowDxfId="1677" dataCellStyle="Normal 3"/>
    <tableColumn id="2" xr3:uid="{00000000-0010-0000-1000-000002000000}" name="TIPO" dataDxfId="1676" totalsRowDxfId="1675" dataCellStyle="Normal 3"/>
    <tableColumn id="3" xr3:uid="{00000000-0010-0000-1000-000003000000}" name="PTO VENTA" dataDxfId="1674" totalsRowDxfId="1673" dataCellStyle="Normal 3"/>
    <tableColumn id="4" xr3:uid="{00000000-0010-0000-1000-000004000000}" name="Nº FACTURA" dataDxfId="1672" totalsRowDxfId="1671" dataCellStyle="Normal 3"/>
    <tableColumn id="5" xr3:uid="{00000000-0010-0000-1000-000005000000}" name="CUIT" dataDxfId="1670" totalsRowDxfId="1669" dataCellStyle="Normal 3"/>
    <tableColumn id="6" xr3:uid="{00000000-0010-0000-1000-000006000000}" name="RAZON SOCIAL" dataDxfId="1668" totalsRowDxfId="1667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666" totalsRowDxfId="1665" dataCellStyle="Normal 3"/>
    <tableColumn id="8" xr3:uid="{00000000-0010-0000-1000-000008000000}" name="IVA 21%" totalsRowFunction="sum" dataDxfId="1664" totalsRowDxfId="1663" dataCellStyle="Normal 3"/>
    <tableColumn id="9" xr3:uid="{00000000-0010-0000-1000-000009000000}" name="IVA 10,5%" totalsRowFunction="sum" dataDxfId="1662" totalsRowDxfId="1661" dataCellStyle="Normal 3"/>
    <tableColumn id="10" xr3:uid="{00000000-0010-0000-1000-00000A000000}" name="EXENTO" totalsRowFunction="sum" dataDxfId="1660" totalsRowDxfId="1659" dataCellStyle="Normal 3"/>
    <tableColumn id="11" xr3:uid="{00000000-0010-0000-1000-00000B000000}" name="TOTAL" totalsRowFunction="sum" dataDxfId="1658" totalsRowDxfId="1657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656" totalsRowDxfId="1655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126:M131" totalsRowCount="1" headerRowDxfId="1654" dataDxfId="1653" tableBorderDxfId="1652" dataCellStyle="Normal 3">
  <autoFilter ref="D126:M130" xr:uid="{00000000-0009-0000-0100-000013000000}"/>
  <tableColumns count="10">
    <tableColumn id="1" xr3:uid="{00000000-0010-0000-1100-000001000000}" name="FECHA" totalsRowLabel="Total" dataDxfId="1651" totalsRowDxfId="1650" dataCellStyle="Normal 3"/>
    <tableColumn id="2" xr3:uid="{00000000-0010-0000-1100-000002000000}" name="NRO CPTE" dataDxfId="1649" totalsRowDxfId="1648" dataCellStyle="Normal 3"/>
    <tableColumn id="3" xr3:uid="{00000000-0010-0000-1100-000003000000}" name="BANCO" dataDxfId="1647" totalsRowDxfId="1646"/>
    <tableColumn id="4" xr3:uid="{00000000-0010-0000-1100-000004000000}" name="NETO" totalsRowFunction="sum" dataDxfId="1645" totalsRowDxfId="1644" dataCellStyle="Normal 3">
      <calculatedColumnFormula>24+6200+150+150+16+150+150+300+150+150+150+150+150+800+150</calculatedColumnFormula>
    </tableColumn>
    <tableColumn id="5" xr3:uid="{00000000-0010-0000-1100-000005000000}" name="IVA 21%" totalsRowFunction="sum" dataDxfId="1643" totalsRowDxfId="1642" dataCellStyle="Normal 3">
      <calculatedColumnFormula>extracto_banco_mes3[[#This Row],[NETO]]*0.21</calculatedColumnFormula>
    </tableColumn>
    <tableColumn id="6" xr3:uid="{00000000-0010-0000-1100-000006000000}" name="IVA 10,5%" totalsRowFunction="sum" dataDxfId="1641" totalsRowDxfId="1640" dataCellStyle="Normal 3"/>
    <tableColumn id="7" xr3:uid="{00000000-0010-0000-1100-000007000000}" name="RET IIBB CABA" totalsRowFunction="sum" dataDxfId="1639" totalsRowDxfId="1638" dataCellStyle="Normal 3"/>
    <tableColumn id="8" xr3:uid="{00000000-0010-0000-1100-000008000000}" name="PERC IVA" totalsRowFunction="sum" dataDxfId="1637" totalsRowDxfId="1636" dataCellStyle="Normal 3"/>
    <tableColumn id="9" xr3:uid="{00000000-0010-0000-1100-000009000000}" name="PERC IIBB" totalsRowFunction="sum" dataDxfId="1635" totalsRowDxfId="1634" dataCellStyle="Normal 3"/>
    <tableColumn id="10" xr3:uid="{00000000-0010-0000-1100-00000A000000}" name="TOTAL" dataDxfId="1633" totalsRowDxfId="1632" dataCellStyle="Normal 3">
      <calculatedColumnFormula>extracto_banco_mes3[[#This Row],[PERC IIBB]]+extracto_banco_mes3[[#This Row],[PERC IVA]]+extracto_banco_mes3[[#This Row],[NETO]]+extracto_banco_mes3[[#This Row],[IVA 10,5%]]+extracto_banco_mes3[[#This Row],[IVA 21%]]</calculatedColumn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210:L215" totalsRowShown="0" headerRowDxfId="1631" dataDxfId="1630" headerRowCellStyle="Normal 3" dataCellStyle="Normal 3">
  <autoFilter ref="C210:L215" xr:uid="{00000000-0009-0000-0100-000014000000}"/>
  <tableColumns count="10">
    <tableColumn id="1" xr3:uid="{00000000-0010-0000-1200-000001000000}" name="FECHA " dataDxfId="1629" dataCellStyle="Normal 3"/>
    <tableColumn id="2" xr3:uid="{00000000-0010-0000-1200-000002000000}" name="COMP Nº" dataDxfId="1628" dataCellStyle="Normal 3"/>
    <tableColumn id="3" xr3:uid="{00000000-0010-0000-1200-000003000000}" name="Columna1" dataDxfId="1627" dataCellStyle="Normal 3"/>
    <tableColumn id="4" xr3:uid="{00000000-0010-0000-1200-000004000000}" name="CUIT" dataDxfId="1626" dataCellStyle="Normal 3"/>
    <tableColumn id="5" xr3:uid="{00000000-0010-0000-1200-000005000000}" name="RAZON SOCIAL" dataDxfId="1625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624" dataCellStyle="Normal 3"/>
    <tableColumn id="7" xr3:uid="{00000000-0010-0000-1200-000007000000}" name="IVA" dataDxfId="1623" dataCellStyle="Normal 3"/>
    <tableColumn id="8" xr3:uid="{00000000-0010-0000-1200-000008000000}" name="SUSS" dataDxfId="1622" dataCellStyle="Normal 3"/>
    <tableColumn id="9" xr3:uid="{00000000-0010-0000-1200-000009000000}" name="IIBB BSAS" dataDxfId="1621" dataCellStyle="Normal 3"/>
    <tableColumn id="10" xr3:uid="{00000000-0010-0000-1200-00000A000000}" name="IIBB CABA" dataDxfId="1620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130" totalsRowCount="1" headerRowDxfId="1324" dataDxfId="1323" totalsRowDxfId="1322">
  <autoFilter ref="B8:R129" xr:uid="{00000000-0009-0000-0100-000015000000}"/>
  <sortState xmlns:xlrd2="http://schemas.microsoft.com/office/spreadsheetml/2017/richdata2" ref="B9:R133">
    <sortCondition sortBy="cellColor" ref="B8:B133" dxfId="1321"/>
  </sortState>
  <tableColumns count="17">
    <tableColumn id="1" xr3:uid="{00000000-0010-0000-1300-000001000000}" name="FECHA" totalsRowLabel="Total" dataDxfId="1320" totalsRowDxfId="1319" dataCellStyle="Normal 3"/>
    <tableColumn id="2" xr3:uid="{00000000-0010-0000-1300-000002000000}" name="TIPO" dataDxfId="1318" totalsRowDxfId="1317" dataCellStyle="Normal 3"/>
    <tableColumn id="3" xr3:uid="{00000000-0010-0000-1300-000003000000}" name="PTO VTA" dataDxfId="1316" totalsRowDxfId="1315" dataCellStyle="Normal 3"/>
    <tableColumn id="4" xr3:uid="{00000000-0010-0000-1300-000004000000}" name="NRO. CPTE" dataDxfId="1314" totalsRowDxfId="1313" dataCellStyle="Normal 3"/>
    <tableColumn id="5" xr3:uid="{00000000-0010-0000-1300-000005000000}" name="CUIT" dataDxfId="1312" totalsRowDxfId="1311" dataCellStyle="Normal 3"/>
    <tableColumn id="6" xr3:uid="{00000000-0010-0000-1300-000006000000}" name="RAZON SOCIAL" dataDxfId="1310" totalsRowDxfId="1309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308" totalsRowDxfId="1307" dataCellStyle="Normal 3"/>
    <tableColumn id="8" xr3:uid="{00000000-0010-0000-1300-000008000000}" name="IVA 21 %" totalsRowFunction="sum" dataDxfId="1306" totalsRowDxfId="1305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304" totalsRowDxfId="1303" dataCellStyle="Normal 3"/>
    <tableColumn id="10" xr3:uid="{00000000-0010-0000-1300-00000A000000}" name="IVA 10,5%" totalsRowFunction="sum" dataDxfId="1302" totalsRowDxfId="1301" dataCellStyle="Normal 3"/>
    <tableColumn id="11" xr3:uid="{00000000-0010-0000-1300-00000B000000}" name="PERC. IVA" totalsRowFunction="sum" dataDxfId="1300" totalsRowDxfId="1299" dataCellStyle="Normal 3"/>
    <tableColumn id="12" xr3:uid="{00000000-0010-0000-1300-00000C000000}" name="PERC IIBB _x000a_BS AS" totalsRowFunction="sum" dataDxfId="1298" totalsRowDxfId="1297" dataCellStyle="Normal 3"/>
    <tableColumn id="13" xr3:uid="{00000000-0010-0000-1300-00000D000000}" name="PERC. IIBB CABA" totalsRowFunction="sum" dataDxfId="1296" totalsRowDxfId="1295" dataCellStyle="Normal 3"/>
    <tableColumn id="14" xr3:uid="{00000000-0010-0000-1300-00000E000000}" name="Otros / No Grav." totalsRowFunction="sum" dataDxfId="1294" totalsRowDxfId="1293" dataCellStyle="Normal 3"/>
    <tableColumn id="15" xr3:uid="{00000000-0010-0000-1300-00000F000000}" name="TOTAL" totalsRowFunction="sum" dataDxfId="1292" totalsRowDxfId="1291" dataCellStyle="Normal 3">
      <calculatedColumnFormula>SUM(compras_mes4[[#This Row],[NETO GRAVADO]:[Otros / No Grav.]])</calculatedColumnFormula>
    </tableColumn>
    <tableColumn id="16" xr3:uid="{00000000-0010-0000-1300-000010000000}" name="Tipo de Gasto" dataDxfId="1290" totalsRowDxfId="1289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288" totalsRowDxfId="1287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144:K192" totalsRowCount="1" headerRowDxfId="1286" totalsRowDxfId="1285" headerRowCellStyle="Normal 3">
  <autoFilter ref="D144:K191" xr:uid="{00000000-0009-0000-0100-000016000000}"/>
  <tableColumns count="8">
    <tableColumn id="1" xr3:uid="{00000000-0010-0000-1400-000001000000}" name="FECHA" totalsRowLabel="Total" dataDxfId="1284" totalsRowDxfId="1283" dataCellStyle="Normal 3"/>
    <tableColumn id="2" xr3:uid="{00000000-0010-0000-1400-000002000000}" name="PTO VTA" dataDxfId="1282" totalsRowDxfId="1281" dataCellStyle="Normal 3"/>
    <tableColumn id="3" xr3:uid="{00000000-0010-0000-1400-000003000000}" name="FC Nº" dataDxfId="1280" totalsRowDxfId="1279" dataCellStyle="Normal 3"/>
    <tableColumn id="4" xr3:uid="{00000000-0010-0000-1400-000004000000}" name="CUIT" dataDxfId="1278" totalsRowDxfId="1277" dataCellStyle="Normal 3"/>
    <tableColumn id="5" xr3:uid="{00000000-0010-0000-1400-000005000000}" name="RAZON SOCIAL" dataDxfId="1276" totalsRowDxfId="1275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274" totalsRowDxfId="1273" dataCellStyle="Normal 3"/>
    <tableColumn id="7" xr3:uid="{00000000-0010-0000-1400-000007000000}" name="TIPO DE GASTO" dataDxfId="1272" totalsRowDxfId="1271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270" totalsRowDxfId="1269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201:M265" totalsRowCount="1" headerRowDxfId="1268" dataDxfId="1266" headerRowBorderDxfId="1267" tableBorderDxfId="1265" totalsRowBorderDxfId="1264" dataCellStyle="Normal 3">
  <autoFilter ref="B201:M264" xr:uid="{00000000-0009-0000-0100-000017000000}"/>
  <tableColumns count="12">
    <tableColumn id="1" xr3:uid="{00000000-0010-0000-1500-000001000000}" name="FECHA" totalsRowLabel="Total" dataDxfId="1263" totalsRowDxfId="1262" dataCellStyle="Normal 3"/>
    <tableColumn id="2" xr3:uid="{00000000-0010-0000-1500-000002000000}" name="TIPO" dataDxfId="1261" totalsRowDxfId="1260" dataCellStyle="Normal 3"/>
    <tableColumn id="3" xr3:uid="{00000000-0010-0000-1500-000003000000}" name="PTO VENTA" dataDxfId="1259" totalsRowDxfId="1258" dataCellStyle="Normal 3"/>
    <tableColumn id="4" xr3:uid="{00000000-0010-0000-1500-000004000000}" name="Nº FACTURA" dataDxfId="1257" totalsRowDxfId="1256" dataCellStyle="Normal 3"/>
    <tableColumn id="5" xr3:uid="{00000000-0010-0000-1500-000005000000}" name="CUIT" dataDxfId="1255" totalsRowDxfId="1254" dataCellStyle="Normal 3"/>
    <tableColumn id="6" xr3:uid="{00000000-0010-0000-1500-000006000000}" name="RAZON SOCIAL" dataDxfId="1253" totalsRowDxfId="1252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1251" totalsRowDxfId="1250" dataCellStyle="Normal 3"/>
    <tableColumn id="8" xr3:uid="{00000000-0010-0000-1500-000008000000}" name="IVA 21%" totalsRowFunction="sum" dataDxfId="1249" totalsRowDxfId="1248" dataCellStyle="Normal 3">
      <calculatedColumnFormula>venta_a_mes4[[#This Row],[IMPORTE NETO]]*0.21</calculatedColumnFormula>
    </tableColumn>
    <tableColumn id="9" xr3:uid="{00000000-0010-0000-1500-000009000000}" name="IVA 10,5%" totalsRowFunction="sum" dataDxfId="1247" totalsRowDxfId="1246" dataCellStyle="Normal 3"/>
    <tableColumn id="10" xr3:uid="{00000000-0010-0000-1500-00000A000000}" name="EXENTO" totalsRowFunction="sum" dataDxfId="1245" totalsRowDxfId="1244" dataCellStyle="Normal 3"/>
    <tableColumn id="11" xr3:uid="{00000000-0010-0000-1500-00000B000000}" name="TOTAL" totalsRowFunction="sum" dataDxfId="1243" totalsRowDxfId="1242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1241" totalsRowDxfId="1240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267:M531" totalsRowCount="1" headerRowDxfId="1239" dataDxfId="1237" headerRowBorderDxfId="1238" tableBorderDxfId="1236" totalsRowBorderDxfId="1235" dataCellStyle="Normal 3">
  <autoFilter ref="B267:M530" xr:uid="{00000000-0009-0000-0100-000018000000}"/>
  <tableColumns count="12">
    <tableColumn id="1" xr3:uid="{00000000-0010-0000-1600-000001000000}" name="FECHA" totalsRowLabel="Total" dataDxfId="1234" totalsRowDxfId="1233" dataCellStyle="Normal 3"/>
    <tableColumn id="2" xr3:uid="{00000000-0010-0000-1600-000002000000}" name="TIPO" dataDxfId="1232" totalsRowDxfId="1231" dataCellStyle="Normal 3"/>
    <tableColumn id="3" xr3:uid="{00000000-0010-0000-1600-000003000000}" name="PTO VENTA" dataDxfId="1230" totalsRowDxfId="1229" dataCellStyle="Normal 3"/>
    <tableColumn id="4" xr3:uid="{00000000-0010-0000-1600-000004000000}" name="Nº FACTURA" dataDxfId="1228" totalsRowDxfId="1227" dataCellStyle="Normal 3"/>
    <tableColumn id="5" xr3:uid="{00000000-0010-0000-1600-000005000000}" name="CUIT" dataDxfId="1226" totalsRowDxfId="1225" dataCellStyle="Normal 3"/>
    <tableColumn id="6" xr3:uid="{00000000-0010-0000-1600-000006000000}" name="RAZON SOCIAL" dataDxfId="1224" totalsRowDxfId="1223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222" totalsRowDxfId="1221" dataCellStyle="Normal 3"/>
    <tableColumn id="8" xr3:uid="{00000000-0010-0000-1600-000008000000}" name="IVA 21%" totalsRowFunction="sum" dataDxfId="1220" totalsRowDxfId="1219" dataCellStyle="Normal 3">
      <calculatedColumnFormula>ventas_b_mes4[[#This Row],[IMPORTE NETO]]*0.21</calculatedColumnFormula>
    </tableColumn>
    <tableColumn id="9" xr3:uid="{00000000-0010-0000-1600-000009000000}" name="IVA 10,5%" totalsRowFunction="sum" dataDxfId="1218" totalsRowDxfId="1217" dataCellStyle="Normal 3"/>
    <tableColumn id="10" xr3:uid="{00000000-0010-0000-1600-00000A000000}" name="EXENTO" totalsRowFunction="sum" dataDxfId="1216" totalsRowDxfId="1215" dataCellStyle="Normal 3"/>
    <tableColumn id="11" xr3:uid="{00000000-0010-0000-1600-00000B000000}" name="TOTAL" totalsRowFunction="sum" dataDxfId="1214" totalsRowDxfId="1213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212" totalsRowDxfId="1211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136:L140" totalsRowCount="1" headerRowDxfId="1210" dataDxfId="1209" tableBorderDxfId="1208" dataCellStyle="Normal 3">
  <autoFilter ref="D136:L139" xr:uid="{00000000-0009-0000-0100-000019000000}"/>
  <tableColumns count="9">
    <tableColumn id="1" xr3:uid="{00000000-0010-0000-1700-000001000000}" name="FECHA" totalsRowLabel="Total" dataDxfId="1207" totalsRowDxfId="1206" dataCellStyle="Normal 3"/>
    <tableColumn id="2" xr3:uid="{00000000-0010-0000-1700-000002000000}" name="NRO CPTE" dataDxfId="1205" totalsRowDxfId="1204"/>
    <tableColumn id="3" xr3:uid="{00000000-0010-0000-1700-000003000000}" name="BANCO" dataDxfId="1203" totalsRowDxfId="1202"/>
    <tableColumn id="4" xr3:uid="{00000000-0010-0000-1700-000004000000}" name="NETO" totalsRowFunction="sum" dataDxfId="1201" totalsRowDxfId="1200" dataCellStyle="Normal 3"/>
    <tableColumn id="5" xr3:uid="{00000000-0010-0000-1700-000005000000}" name="IVA 21%" totalsRowFunction="sum" dataDxfId="1199" totalsRowDxfId="1198" dataCellStyle="Normal 3">
      <calculatedColumnFormula>extracto_banco_mes4[[#This Row],[NETO]]*0.21</calculatedColumnFormula>
    </tableColumn>
    <tableColumn id="6" xr3:uid="{00000000-0010-0000-1700-000006000000}" name="IVA 10,5%" totalsRowFunction="sum" dataDxfId="1197" totalsRowDxfId="1196" dataCellStyle="Normal 3"/>
    <tableColumn id="7" xr3:uid="{00000000-0010-0000-1700-000007000000}" name="RET IIBB CABA" totalsRowFunction="sum" dataDxfId="1195" totalsRowDxfId="1194" dataCellStyle="Normal 3"/>
    <tableColumn id="8" xr3:uid="{00000000-0010-0000-1700-000008000000}" name="PERC IVA" totalsRowFunction="sum" dataDxfId="1193" totalsRowDxfId="1192" dataCellStyle="Normal 3"/>
    <tableColumn id="9" xr3:uid="{00000000-0010-0000-1700-000009000000}" name="PERC IIBB" totalsRowFunction="sum" dataDxfId="1191" totalsRowDxfId="1190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533:L538" totalsRowShown="0" headerRowDxfId="1189" dataDxfId="1188" headerRowCellStyle="Normal 3" dataCellStyle="Normal 3">
  <autoFilter ref="C533:L538" xr:uid="{00000000-0009-0000-0100-00001A000000}"/>
  <tableColumns count="10">
    <tableColumn id="1" xr3:uid="{00000000-0010-0000-1800-000001000000}" name="FECHA " dataDxfId="1187" dataCellStyle="Normal 3"/>
    <tableColumn id="2" xr3:uid="{00000000-0010-0000-1800-000002000000}" name="COMP Nº" dataDxfId="1186" dataCellStyle="Normal 3"/>
    <tableColumn id="3" xr3:uid="{00000000-0010-0000-1800-000003000000}" name="Columna1" dataDxfId="1185" dataCellStyle="Normal 3"/>
    <tableColumn id="4" xr3:uid="{00000000-0010-0000-1800-000004000000}" name="CUIT" dataDxfId="1184" dataCellStyle="Normal 3"/>
    <tableColumn id="5" xr3:uid="{00000000-0010-0000-1800-000005000000}" name="RAZON SOCIAL" dataDxfId="1183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182" dataCellStyle="Normal 3"/>
    <tableColumn id="7" xr3:uid="{00000000-0010-0000-1800-000007000000}" name="IVA" dataDxfId="1181" dataCellStyle="Normal 3"/>
    <tableColumn id="8" xr3:uid="{00000000-0010-0000-1800-000008000000}" name="SUSS" dataDxfId="1180" dataCellStyle="Normal 3"/>
    <tableColumn id="9" xr3:uid="{00000000-0010-0000-1800-000009000000}" name="IIBB BSAS" dataDxfId="1179" dataCellStyle="Normal 3"/>
    <tableColumn id="10" xr3:uid="{00000000-0010-0000-1800-00000A000000}" name="IIBB CABA" dataDxfId="1178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S102" totalsRowCount="1" headerRowDxfId="1177" totalsRowDxfId="1176">
  <autoFilter ref="B8:S101" xr:uid="{00000000-0009-0000-0100-00002D000000}"/>
  <sortState xmlns:xlrd2="http://schemas.microsoft.com/office/spreadsheetml/2017/richdata2" ref="B9:R101">
    <sortCondition ref="B8:B101"/>
  </sortState>
  <tableColumns count="18">
    <tableColumn id="1" xr3:uid="{00000000-0010-0000-1900-000001000000}" name="FECHA" totalsRowLabel="Total" dataDxfId="1175" totalsRowDxfId="1174" dataCellStyle="Normal 3"/>
    <tableColumn id="2" xr3:uid="{00000000-0010-0000-1900-000002000000}" name="TIPO" dataDxfId="1173" totalsRowDxfId="1172" dataCellStyle="Normal 3"/>
    <tableColumn id="3" xr3:uid="{00000000-0010-0000-1900-000003000000}" name="PTO VTA" dataDxfId="1171" totalsRowDxfId="1170" dataCellStyle="Normal 3"/>
    <tableColumn id="4" xr3:uid="{00000000-0010-0000-1900-000004000000}" name="NRO. CPTE" dataDxfId="1169" totalsRowDxfId="1168" dataCellStyle="Normal 3"/>
    <tableColumn id="5" xr3:uid="{00000000-0010-0000-1900-000005000000}" name="CUIT" dataDxfId="1167" totalsRowDxfId="1166" dataCellStyle="Normal 3"/>
    <tableColumn id="6" xr3:uid="{00000000-0010-0000-1900-000006000000}" name="RAZON SOCIAL" dataDxfId="1165" totalsRowDxfId="1164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163" totalsRowDxfId="1162" dataCellStyle="Normal 3"/>
    <tableColumn id="8" xr3:uid="{00000000-0010-0000-1900-000008000000}" name="IVA 21 %" totalsRowFunction="sum" dataDxfId="1161" totalsRowDxfId="1160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159" totalsRowDxfId="1158" dataCellStyle="Normal 3"/>
    <tableColumn id="10" xr3:uid="{00000000-0010-0000-1900-00000A000000}" name="IVA 10,5%" totalsRowFunction="sum" dataDxfId="1157" totalsRowDxfId="1156" dataCellStyle="Normal 3"/>
    <tableColumn id="11" xr3:uid="{00000000-0010-0000-1900-00000B000000}" name="PERC. IVA" totalsRowFunction="sum" dataDxfId="1155" totalsRowDxfId="1154" dataCellStyle="Normal 3"/>
    <tableColumn id="12" xr3:uid="{00000000-0010-0000-1900-00000C000000}" name="PERC IIBB _x000a_BS AS" totalsRowFunction="sum" dataDxfId="1153" totalsRowDxfId="1152" dataCellStyle="Normal 3"/>
    <tableColumn id="13" xr3:uid="{00000000-0010-0000-1900-00000D000000}" name="PERC. IIBB CABA" totalsRowFunction="sum" dataDxfId="1151" totalsRowDxfId="1150" dataCellStyle="Normal 3"/>
    <tableColumn id="14" xr3:uid="{00000000-0010-0000-1900-00000E000000}" name="Otros / No Grav." totalsRowFunction="sum" dataDxfId="1149" totalsRowDxfId="1148" dataCellStyle="Normal 3"/>
    <tableColumn id="15" xr3:uid="{00000000-0010-0000-1900-00000F000000}" name="TOTAL" totalsRowFunction="sum" dataDxfId="1147" totalsRowDxfId="1146" dataCellStyle="Normal 3">
      <calculatedColumnFormula>SUM(compras_mes5[[#This Row],[NETO GRAVADO]:[Otros / No Grav.]])</calculatedColumnFormula>
    </tableColumn>
    <tableColumn id="16" xr3:uid="{00000000-0010-0000-1900-000010000000}" name="Tipo de Gasto" dataDxfId="1145" totalsRowDxfId="1144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1143" totalsRowDxfId="1142" dataCellStyle="Normal 3">
      <calculatedColumnFormula>IFERROR(IF(compras_mes5[[#This Row],[CUIT]]="","-",VLOOKUP(compras_mes5[[#This Row],[CUIT]],Lista_CUIT[#All],4,0)),"CUIT NO CARGADO")</calculatedColumnFormula>
    </tableColumn>
    <tableColumn id="18" xr3:uid="{00000000-0010-0000-1900-000012000000}" name="Columna1" dataDxfId="1141" totalsRowDxfId="1140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117:K152" totalsRowCount="1" headerRowDxfId="1139" dataDxfId="1138" totalsRowDxfId="1137" headerRowCellStyle="Normal 3">
  <autoFilter ref="D117:K151" xr:uid="{00000000-0009-0000-0100-00002E000000}"/>
  <sortState xmlns:xlrd2="http://schemas.microsoft.com/office/spreadsheetml/2017/richdata2" ref="D118:K151">
    <sortCondition ref="D118:D151"/>
  </sortState>
  <tableColumns count="8">
    <tableColumn id="1" xr3:uid="{00000000-0010-0000-1A00-000001000000}" name="FECHA" totalsRowLabel="Total" dataDxfId="1136" totalsRowDxfId="1135" dataCellStyle="Normal 3"/>
    <tableColumn id="2" xr3:uid="{00000000-0010-0000-1A00-000002000000}" name="PTO VTA" dataDxfId="1134" totalsRowDxfId="1133" dataCellStyle="Normal 3"/>
    <tableColumn id="3" xr3:uid="{00000000-0010-0000-1A00-000003000000}" name="FC Nº" dataDxfId="1132" totalsRowDxfId="1131" dataCellStyle="Normal 3"/>
    <tableColumn id="4" xr3:uid="{00000000-0010-0000-1A00-000004000000}" name="CUIT" dataDxfId="1130" totalsRowDxfId="1129" dataCellStyle="Normal 3"/>
    <tableColumn id="5" xr3:uid="{00000000-0010-0000-1A00-000005000000}" name="RAZON SOCIAL" dataDxfId="1128" totalsRowDxfId="1127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1126" totalsRowDxfId="1125" dataCellStyle="Normal 3"/>
    <tableColumn id="7" xr3:uid="{00000000-0010-0000-1A00-000007000000}" name="TIPO DE GASTO" dataDxfId="1124" totalsRowDxfId="1123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1122" totalsRowDxfId="1121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160:M221" totalsRowCount="1" headerRowDxfId="1120" dataDxfId="1118" headerRowBorderDxfId="1119" tableBorderDxfId="1117" totalsRowBorderDxfId="1116" dataCellStyle="Normal 3">
  <autoFilter ref="B160:M220" xr:uid="{00000000-0009-0000-0100-00002F000000}"/>
  <tableColumns count="12">
    <tableColumn id="1" xr3:uid="{00000000-0010-0000-1B00-000001000000}" name="FECHA" totalsRowLabel="Total" dataDxfId="1115" totalsRowDxfId="1114" dataCellStyle="Normal 3"/>
    <tableColumn id="2" xr3:uid="{00000000-0010-0000-1B00-000002000000}" name="TIPO" dataDxfId="1113" totalsRowDxfId="1112" dataCellStyle="Normal 3"/>
    <tableColumn id="3" xr3:uid="{00000000-0010-0000-1B00-000003000000}" name="PTO VENTA" dataDxfId="1111" totalsRowDxfId="1110" dataCellStyle="Normal 3"/>
    <tableColumn id="4" xr3:uid="{00000000-0010-0000-1B00-000004000000}" name="Nº FACTURA" dataDxfId="1109" totalsRowDxfId="1108" dataCellStyle="Normal 3"/>
    <tableColumn id="5" xr3:uid="{00000000-0010-0000-1B00-000005000000}" name="CUIT" dataDxfId="1107" totalsRowDxfId="1106" dataCellStyle="Normal 3"/>
    <tableColumn id="6" xr3:uid="{00000000-0010-0000-1B00-000006000000}" name="RAZON SOCIAL" dataDxfId="1105" totalsRowDxfId="1104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1103" totalsRowDxfId="1102" dataCellStyle="Normal 3"/>
    <tableColumn id="8" xr3:uid="{00000000-0010-0000-1B00-000008000000}" name="IVA 21%" totalsRowFunction="sum" dataDxfId="1101" totalsRowDxfId="1100" dataCellStyle="Normal 3">
      <calculatedColumnFormula>venta_a_mes5[[#This Row],[IMPORTE NETO]]*0.21</calculatedColumnFormula>
    </tableColumn>
    <tableColumn id="9" xr3:uid="{00000000-0010-0000-1B00-000009000000}" name="IVA 10,5%" totalsRowFunction="sum" dataDxfId="1099" totalsRowDxfId="1098" dataCellStyle="Normal 3"/>
    <tableColumn id="10" xr3:uid="{00000000-0010-0000-1B00-00000A000000}" name="EXENTO" totalsRowFunction="sum" dataDxfId="1097" totalsRowDxfId="1096" dataCellStyle="Normal 3"/>
    <tableColumn id="11" xr3:uid="{00000000-0010-0000-1B00-00000B000000}" name="TOTAL" totalsRowFunction="sum" dataDxfId="1095" totalsRowDxfId="1094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1093" totalsRowDxfId="1092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225:M545" totalsRowCount="1" headerRowDxfId="1091" dataDxfId="1089" headerRowBorderDxfId="1090" tableBorderDxfId="1088" totalsRowBorderDxfId="1087" dataCellStyle="Normal 3">
  <autoFilter ref="B225:M544" xr:uid="{00000000-0009-0000-0100-000030000000}"/>
  <tableColumns count="12">
    <tableColumn id="1" xr3:uid="{00000000-0010-0000-1C00-000001000000}" name="FECHA" totalsRowLabel="Total" dataDxfId="1086" totalsRowDxfId="1085" dataCellStyle="Normal 3"/>
    <tableColumn id="2" xr3:uid="{00000000-0010-0000-1C00-000002000000}" name="TIPO" dataDxfId="1084" totalsRowDxfId="1083" dataCellStyle="Normal 3"/>
    <tableColumn id="3" xr3:uid="{00000000-0010-0000-1C00-000003000000}" name="PTO VENTA" dataDxfId="1082" totalsRowDxfId="1081" dataCellStyle="Normal 3"/>
    <tableColumn id="4" xr3:uid="{00000000-0010-0000-1C00-000004000000}" name="Nº FACTURA" dataDxfId="1080" totalsRowDxfId="1079" dataCellStyle="Normal 3"/>
    <tableColumn id="5" xr3:uid="{00000000-0010-0000-1C00-000005000000}" name="CUIT" dataDxfId="1078" totalsRowDxfId="1077" dataCellStyle="Normal 3"/>
    <tableColumn id="6" xr3:uid="{00000000-0010-0000-1C00-000006000000}" name="RAZON SOCIAL" dataDxfId="1076" totalsRowDxfId="1075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1074" totalsRowDxfId="1073" dataCellStyle="Normal 3"/>
    <tableColumn id="8" xr3:uid="{00000000-0010-0000-1C00-000008000000}" name="IVA 21%" totalsRowFunction="sum" dataDxfId="1072" totalsRowDxfId="1071" dataCellStyle="Normal 3">
      <calculatedColumnFormula>ventas_b_mes5[[#This Row],[IMPORTE NETO]]*0.21</calculatedColumnFormula>
    </tableColumn>
    <tableColumn id="9" xr3:uid="{00000000-0010-0000-1C00-000009000000}" name="IVA 10,5%" totalsRowFunction="sum" dataDxfId="1070" totalsRowDxfId="1069" dataCellStyle="Normal 3"/>
    <tableColumn id="10" xr3:uid="{00000000-0010-0000-1C00-00000A000000}" name="EXENTO" totalsRowFunction="sum" dataDxfId="1068" totalsRowDxfId="1067" dataCellStyle="Normal 3"/>
    <tableColumn id="11" xr3:uid="{00000000-0010-0000-1C00-00000B000000}" name="TOTAL" totalsRowFunction="sum" dataDxfId="1066" totalsRowDxfId="1065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1064" totalsRowDxfId="1063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108:L112" totalsRowCount="1" headerRowDxfId="1062" dataDxfId="1061" tableBorderDxfId="1060" dataCellStyle="Normal 3">
  <autoFilter ref="D108:L111" xr:uid="{00000000-0009-0000-0100-000031000000}"/>
  <tableColumns count="9">
    <tableColumn id="1" xr3:uid="{00000000-0010-0000-1D00-000001000000}" name="FECHA" totalsRowLabel="Total" dataDxfId="1059" totalsRowDxfId="1058" dataCellStyle="Normal 3"/>
    <tableColumn id="2" xr3:uid="{00000000-0010-0000-1D00-000002000000}" name="NRO CPTE" dataDxfId="1057" totalsRowDxfId="1056"/>
    <tableColumn id="3" xr3:uid="{00000000-0010-0000-1D00-000003000000}" name="BANCO" dataDxfId="1055" totalsRowDxfId="1054"/>
    <tableColumn id="4" xr3:uid="{00000000-0010-0000-1D00-000004000000}" name="NETO" totalsRowFunction="sum" dataDxfId="1053" totalsRowDxfId="1052" dataCellStyle="Normal 3"/>
    <tableColumn id="5" xr3:uid="{00000000-0010-0000-1D00-000005000000}" name="IVA 21%" totalsRowFunction="sum" dataDxfId="1051" totalsRowDxfId="1050" dataCellStyle="Normal 3">
      <calculatedColumnFormula>extracto_banco_mes5[[#This Row],[NETO]]*21/100</calculatedColumnFormula>
    </tableColumn>
    <tableColumn id="6" xr3:uid="{00000000-0010-0000-1D00-000006000000}" name="IVA 10,5%" totalsRowFunction="sum" dataDxfId="1049" totalsRowDxfId="1048" dataCellStyle="Normal 3"/>
    <tableColumn id="7" xr3:uid="{00000000-0010-0000-1D00-000007000000}" name="RET IIBB CABA" totalsRowFunction="sum" dataDxfId="1047" totalsRowDxfId="1046" dataCellStyle="Normal 3"/>
    <tableColumn id="8" xr3:uid="{00000000-0010-0000-1D00-000008000000}" name="PERC IVA" totalsRowFunction="sum" dataDxfId="1045" totalsRowDxfId="1044" dataCellStyle="Normal 3"/>
    <tableColumn id="9" xr3:uid="{00000000-0010-0000-1D00-000009000000}" name="PERC IIBB" totalsRowFunction="sum" dataDxfId="1043" totalsRowDxfId="1042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548:L553" totalsRowShown="0" headerRowDxfId="1041" dataDxfId="1040" headerRowCellStyle="Normal 3" dataCellStyle="Normal 3">
  <autoFilter ref="C548:L553" xr:uid="{00000000-0009-0000-0100-000032000000}"/>
  <tableColumns count="10">
    <tableColumn id="1" xr3:uid="{00000000-0010-0000-1E00-000001000000}" name="FECHA " dataDxfId="1039" dataCellStyle="Normal 3"/>
    <tableColumn id="2" xr3:uid="{00000000-0010-0000-1E00-000002000000}" name="COMP Nº" dataDxfId="1038" dataCellStyle="Normal 3"/>
    <tableColumn id="3" xr3:uid="{00000000-0010-0000-1E00-000003000000}" name="Columna1" dataDxfId="1037" dataCellStyle="Normal 3"/>
    <tableColumn id="4" xr3:uid="{00000000-0010-0000-1E00-000004000000}" name="CUIT" dataDxfId="1036" dataCellStyle="Normal 3"/>
    <tableColumn id="5" xr3:uid="{00000000-0010-0000-1E00-000005000000}" name="RAZON SOCIAL" dataDxfId="1035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1034" dataCellStyle="Normal 3"/>
    <tableColumn id="7" xr3:uid="{00000000-0010-0000-1E00-000007000000}" name="IVA" dataDxfId="1033" dataCellStyle="Normal 3"/>
    <tableColumn id="8" xr3:uid="{00000000-0010-0000-1E00-000008000000}" name="SUSS" dataDxfId="1032" dataCellStyle="Normal 3"/>
    <tableColumn id="9" xr3:uid="{00000000-0010-0000-1E00-000009000000}" name="IIBB BSAS" dataDxfId="1031" dataCellStyle="Normal 3"/>
    <tableColumn id="10" xr3:uid="{00000000-0010-0000-1E00-00000A000000}" name="IIBB CABA" dataDxfId="1030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147" totalsRowCount="1" headerRowDxfId="1029" dataDxfId="1028" totalsRowDxfId="1027">
  <autoFilter ref="B8:R146" xr:uid="{00000000-0009-0000-0100-00001B000000}"/>
  <sortState xmlns:xlrd2="http://schemas.microsoft.com/office/spreadsheetml/2017/richdata2" ref="B9:R146">
    <sortCondition ref="B8:B146"/>
  </sortState>
  <tableColumns count="17">
    <tableColumn id="1" xr3:uid="{00000000-0010-0000-1F00-000001000000}" name="FECHA" totalsRowLabel="Total" dataDxfId="1026" totalsRowDxfId="1025" dataCellStyle="Normal 3"/>
    <tableColumn id="2" xr3:uid="{00000000-0010-0000-1F00-000002000000}" name="TIPO" dataDxfId="1024" totalsRowDxfId="1023" dataCellStyle="Normal 3"/>
    <tableColumn id="3" xr3:uid="{00000000-0010-0000-1F00-000003000000}" name="PTO VTA" dataDxfId="1022" totalsRowDxfId="1021" dataCellStyle="Normal 3"/>
    <tableColumn id="4" xr3:uid="{00000000-0010-0000-1F00-000004000000}" name="NRO. CPTE" dataDxfId="1020" totalsRowDxfId="1019" dataCellStyle="Normal 3"/>
    <tableColumn id="5" xr3:uid="{00000000-0010-0000-1F00-000005000000}" name="CUIT" dataDxfId="1018" totalsRowDxfId="1017" dataCellStyle="Normal 3"/>
    <tableColumn id="6" xr3:uid="{00000000-0010-0000-1F00-000006000000}" name="RAZON SOCIAL" dataDxfId="1016" totalsRowDxfId="1015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1014" totalsRowDxfId="1013" dataCellStyle="Normal 3"/>
    <tableColumn id="8" xr3:uid="{00000000-0010-0000-1F00-000008000000}" name="IVA 21 %" totalsRowFunction="sum" dataDxfId="1012" totalsRowDxfId="1011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1010" totalsRowDxfId="1009" dataCellStyle="Normal 3"/>
    <tableColumn id="10" xr3:uid="{00000000-0010-0000-1F00-00000A000000}" name="IVA 10,5%" totalsRowFunction="sum" dataDxfId="1008" totalsRowDxfId="1007" dataCellStyle="Normal 3"/>
    <tableColumn id="11" xr3:uid="{00000000-0010-0000-1F00-00000B000000}" name="PERC. IVA" totalsRowFunction="sum" dataDxfId="1006" totalsRowDxfId="1005" dataCellStyle="Normal 3"/>
    <tableColumn id="12" xr3:uid="{00000000-0010-0000-1F00-00000C000000}" name="PERC IIBB _x000a_BS AS" totalsRowFunction="sum" dataDxfId="1004" totalsRowDxfId="1003" dataCellStyle="Normal 3"/>
    <tableColumn id="13" xr3:uid="{00000000-0010-0000-1F00-00000D000000}" name="PERC. IIBB CABA" totalsRowFunction="sum" dataDxfId="1002" totalsRowDxfId="1001" dataCellStyle="Normal 3"/>
    <tableColumn id="14" xr3:uid="{00000000-0010-0000-1F00-00000E000000}" name="Otros / No Grav." totalsRowFunction="sum" dataDxfId="1000" totalsRowDxfId="999" dataCellStyle="Normal 3"/>
    <tableColumn id="15" xr3:uid="{00000000-0010-0000-1F00-00000F000000}" name="TOTAL" totalsRowFunction="sum" dataDxfId="998" totalsRowDxfId="997" dataCellStyle="Normal 3">
      <calculatedColumnFormula>SUM(compras_mes6[[#This Row],[NETO GRAVADO]:[Otros / No Grav.]])</calculatedColumnFormula>
    </tableColumn>
    <tableColumn id="16" xr3:uid="{00000000-0010-0000-1F00-000010000000}" name="Tipo de Gasto" dataDxfId="996" totalsRowDxfId="995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994" totalsRowDxfId="993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162:K206" totalsRowCount="1" headerRowDxfId="992" totalsRowDxfId="991" headerRowCellStyle="Normal 3">
  <autoFilter ref="D162:K205" xr:uid="{00000000-0009-0000-0100-00001C000000}"/>
  <tableColumns count="8">
    <tableColumn id="1" xr3:uid="{00000000-0010-0000-2000-000001000000}" name="FECHA" totalsRowLabel="Total" dataDxfId="990" totalsRowDxfId="989" dataCellStyle="Normal 3"/>
    <tableColumn id="2" xr3:uid="{00000000-0010-0000-2000-000002000000}" name="PTO VTA" dataDxfId="988" totalsRowDxfId="987" dataCellStyle="Normal 3"/>
    <tableColumn id="3" xr3:uid="{00000000-0010-0000-2000-000003000000}" name="FC Nº" dataDxfId="986" totalsRowDxfId="985" dataCellStyle="Normal 3"/>
    <tableColumn id="4" xr3:uid="{00000000-0010-0000-2000-000004000000}" name="CUIT" dataDxfId="984" totalsRowDxfId="983" dataCellStyle="Normal 3"/>
    <tableColumn id="5" xr3:uid="{00000000-0010-0000-2000-000005000000}" name="RAZON SOCIAL" dataDxfId="982" totalsRowDxfId="981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980" totalsRowDxfId="979" dataCellStyle="Normal 3"/>
    <tableColumn id="7" xr3:uid="{00000000-0010-0000-2000-000007000000}" name="TIPO DE GASTO" dataDxfId="978" totalsRowDxfId="977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976" totalsRowDxfId="975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215:M223" totalsRowCount="1" headerRowDxfId="974" dataDxfId="972" headerRowBorderDxfId="973" tableBorderDxfId="971" totalsRowBorderDxfId="970" dataCellStyle="Normal 3">
  <autoFilter ref="B215:M222" xr:uid="{00000000-0009-0000-0100-00001D000000}"/>
  <tableColumns count="12">
    <tableColumn id="1" xr3:uid="{00000000-0010-0000-2100-000001000000}" name="FECHA" totalsRowLabel="Total" dataDxfId="969" totalsRowDxfId="968" dataCellStyle="Normal 3"/>
    <tableColumn id="2" xr3:uid="{00000000-0010-0000-2100-000002000000}" name="TIPO" dataDxfId="967" totalsRowDxfId="966" dataCellStyle="Normal 3"/>
    <tableColumn id="3" xr3:uid="{00000000-0010-0000-2100-000003000000}" name="PTO VENTA" dataDxfId="965" totalsRowDxfId="964" dataCellStyle="Normal 3"/>
    <tableColumn id="4" xr3:uid="{00000000-0010-0000-2100-000004000000}" name="Nº FACTURA" dataDxfId="963" totalsRowDxfId="962" dataCellStyle="Normal 3"/>
    <tableColumn id="5" xr3:uid="{00000000-0010-0000-2100-000005000000}" name="CUIT" dataDxfId="961" totalsRowDxfId="960" dataCellStyle="Normal 3"/>
    <tableColumn id="6" xr3:uid="{00000000-0010-0000-2100-000006000000}" name="RAZON SOCIAL" dataDxfId="959" totalsRowDxfId="958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957" totalsRowDxfId="956" dataCellStyle="Normal 3"/>
    <tableColumn id="8" xr3:uid="{00000000-0010-0000-2100-000008000000}" name="IVA 21%" totalsRowFunction="sum" dataDxfId="955" totalsRowDxfId="954" dataCellStyle="Normal 3">
      <calculatedColumnFormula>venta_a_mes6[[#This Row],[IMPORTE NETO]]*0.21</calculatedColumnFormula>
    </tableColumn>
    <tableColumn id="9" xr3:uid="{00000000-0010-0000-2100-000009000000}" name="IVA 10,5%" totalsRowFunction="sum" dataDxfId="953" totalsRowDxfId="952" dataCellStyle="Normal 3"/>
    <tableColumn id="10" xr3:uid="{00000000-0010-0000-2100-00000A000000}" name="EXENTO" totalsRowFunction="sum" dataDxfId="951" totalsRowDxfId="950" dataCellStyle="Normal 3"/>
    <tableColumn id="11" xr3:uid="{00000000-0010-0000-2100-00000B000000}" name="TOTAL" totalsRowFunction="sum" dataDxfId="949" totalsRowDxfId="948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947" totalsRowDxfId="946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227:M234" totalsRowCount="1" headerRowDxfId="945" dataDxfId="943" headerRowBorderDxfId="944" tableBorderDxfId="942" totalsRowBorderDxfId="941" dataCellStyle="Normal 3">
  <autoFilter ref="B227:M233" xr:uid="{00000000-0009-0000-0100-00001E000000}"/>
  <tableColumns count="12">
    <tableColumn id="1" xr3:uid="{00000000-0010-0000-2200-000001000000}" name="FECHA" totalsRowLabel="Total" dataDxfId="940" totalsRowDxfId="939" dataCellStyle="Normal 3"/>
    <tableColumn id="2" xr3:uid="{00000000-0010-0000-2200-000002000000}" name="TIPO" dataDxfId="938" totalsRowDxfId="937" dataCellStyle="Normal 3"/>
    <tableColumn id="3" xr3:uid="{00000000-0010-0000-2200-000003000000}" name="PTO VENTA" dataDxfId="936" totalsRowDxfId="935" dataCellStyle="Normal 3"/>
    <tableColumn id="4" xr3:uid="{00000000-0010-0000-2200-000004000000}" name="Nº FACTURA" dataDxfId="934" totalsRowDxfId="933" dataCellStyle="Normal 3"/>
    <tableColumn id="5" xr3:uid="{00000000-0010-0000-2200-000005000000}" name="CUIT" dataDxfId="932" totalsRowDxfId="931" dataCellStyle="Normal 3"/>
    <tableColumn id="6" xr3:uid="{00000000-0010-0000-2200-000006000000}" name="RAZON SOCIAL" dataDxfId="930" totalsRowDxfId="929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928" totalsRowDxfId="927" dataCellStyle="Normal 3"/>
    <tableColumn id="8" xr3:uid="{00000000-0010-0000-2200-000008000000}" name="IVA 21%" totalsRowFunction="sum" dataDxfId="926" totalsRowDxfId="925" dataCellStyle="Normal 3"/>
    <tableColumn id="9" xr3:uid="{00000000-0010-0000-2200-000009000000}" name="IVA 10,5%" totalsRowFunction="sum" dataDxfId="924" totalsRowDxfId="923" dataCellStyle="Normal 3"/>
    <tableColumn id="10" xr3:uid="{00000000-0010-0000-2200-00000A000000}" name="EXENTO" totalsRowFunction="sum" dataDxfId="922" totalsRowDxfId="921" dataCellStyle="Normal 3"/>
    <tableColumn id="11" xr3:uid="{00000000-0010-0000-2200-00000B000000}" name="TOTAL" totalsRowFunction="sum" dataDxfId="920" totalsRowDxfId="919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918" totalsRowDxfId="917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153:L157" totalsRowCount="1" headerRowDxfId="916" dataDxfId="915" tableBorderDxfId="914" dataCellStyle="Normal 3">
  <autoFilter ref="D153:L156" xr:uid="{00000000-0009-0000-0100-00001F000000}"/>
  <tableColumns count="9">
    <tableColumn id="1" xr3:uid="{00000000-0010-0000-2300-000001000000}" name="FECHA" totalsRowLabel="Total" dataDxfId="913" totalsRowDxfId="912" dataCellStyle="Normal 3"/>
    <tableColumn id="2" xr3:uid="{00000000-0010-0000-2300-000002000000}" name="NRO CPTE" dataDxfId="911" totalsRowDxfId="910"/>
    <tableColumn id="3" xr3:uid="{00000000-0010-0000-2300-000003000000}" name="BANCO" dataDxfId="909" totalsRowDxfId="908"/>
    <tableColumn id="4" xr3:uid="{00000000-0010-0000-2300-000004000000}" name="NETO" totalsRowFunction="sum" dataDxfId="907" totalsRowDxfId="906" dataCellStyle="Normal 3"/>
    <tableColumn id="5" xr3:uid="{00000000-0010-0000-2300-000005000000}" name="IVA 21%" totalsRowFunction="sum" dataDxfId="905" totalsRowDxfId="904" dataCellStyle="Normal 3">
      <calculatedColumnFormula>extracto_banco_mes6[[#This Row],[NETO]]*0.21</calculatedColumnFormula>
    </tableColumn>
    <tableColumn id="6" xr3:uid="{00000000-0010-0000-2300-000006000000}" name="IVA 10,5%" totalsRowFunction="sum" dataDxfId="903" totalsRowDxfId="902" dataCellStyle="Normal 3"/>
    <tableColumn id="7" xr3:uid="{00000000-0010-0000-2300-000007000000}" name="RET IIBB CABA" totalsRowFunction="sum" dataDxfId="901" totalsRowDxfId="900" dataCellStyle="Normal 3"/>
    <tableColumn id="8" xr3:uid="{00000000-0010-0000-2300-000008000000}" name="PERC IVA" totalsRowFunction="sum" dataDxfId="899" totalsRowDxfId="898" dataCellStyle="Normal 3"/>
    <tableColumn id="9" xr3:uid="{00000000-0010-0000-2300-000009000000}" name="PERC IIBB" totalsRowFunction="sum" dataDxfId="897" totalsRowDxfId="896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243:L248" totalsRowShown="0" headerRowDxfId="895" dataDxfId="894" headerRowCellStyle="Normal 3" dataCellStyle="Normal 3">
  <autoFilter ref="C243:L248" xr:uid="{00000000-0009-0000-0100-000020000000}"/>
  <tableColumns count="10">
    <tableColumn id="1" xr3:uid="{00000000-0010-0000-2400-000001000000}" name="FECHA " dataDxfId="893" dataCellStyle="Normal 3"/>
    <tableColumn id="2" xr3:uid="{00000000-0010-0000-2400-000002000000}" name="COMP Nº" dataDxfId="892" dataCellStyle="Normal 3"/>
    <tableColumn id="3" xr3:uid="{00000000-0010-0000-2400-000003000000}" name="Columna1" dataDxfId="891" dataCellStyle="Normal 3"/>
    <tableColumn id="4" xr3:uid="{00000000-0010-0000-2400-000004000000}" name="CUIT" dataDxfId="890" dataCellStyle="Normal 3"/>
    <tableColumn id="5" xr3:uid="{00000000-0010-0000-2400-000005000000}" name="RAZON SOCIAL" dataDxfId="889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888" dataCellStyle="Normal 3"/>
    <tableColumn id="7" xr3:uid="{00000000-0010-0000-2400-000007000000}" name="IVA" dataDxfId="887" dataCellStyle="Normal 3"/>
    <tableColumn id="8" xr3:uid="{00000000-0010-0000-2400-000008000000}" name="SUSS" dataDxfId="886" dataCellStyle="Normal 3"/>
    <tableColumn id="9" xr3:uid="{00000000-0010-0000-2400-000009000000}" name="IIBB BSAS" dataDxfId="885" dataCellStyle="Normal 3"/>
    <tableColumn id="10" xr3:uid="{00000000-0010-0000-2400-00000A000000}" name="IIBB CABA" dataDxfId="884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141" totalsRowCount="1" headerRowDxfId="883" dataDxfId="882" totalsRowDxfId="881">
  <autoFilter ref="B8:R140" xr:uid="{00000000-0009-0000-0100-000027000000}"/>
  <sortState xmlns:xlrd2="http://schemas.microsoft.com/office/spreadsheetml/2017/richdata2" ref="B9:R140">
    <sortCondition ref="B9:B140"/>
  </sortState>
  <tableColumns count="17">
    <tableColumn id="1" xr3:uid="{00000000-0010-0000-2500-000001000000}" name="FECHA" totalsRowLabel="Total" dataDxfId="880" totalsRowDxfId="879" dataCellStyle="Normal 3"/>
    <tableColumn id="2" xr3:uid="{00000000-0010-0000-2500-000002000000}" name="TIPO" dataDxfId="878" totalsRowDxfId="877" dataCellStyle="Normal 3"/>
    <tableColumn id="3" xr3:uid="{00000000-0010-0000-2500-000003000000}" name="PTO VTA" dataDxfId="876" totalsRowDxfId="875" dataCellStyle="Normal 3"/>
    <tableColumn id="4" xr3:uid="{00000000-0010-0000-2500-000004000000}" name="NRO. CPTE" dataDxfId="874" totalsRowDxfId="873" dataCellStyle="Normal 3"/>
    <tableColumn id="5" xr3:uid="{00000000-0010-0000-2500-000005000000}" name="CUIT" dataDxfId="872" totalsRowDxfId="871" dataCellStyle="Normal 3"/>
    <tableColumn id="6" xr3:uid="{00000000-0010-0000-2500-000006000000}" name="RAZON SOCIAL" dataDxfId="870" totalsRowDxfId="869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868" totalsRowDxfId="867" dataCellStyle="Normal 3"/>
    <tableColumn id="8" xr3:uid="{00000000-0010-0000-2500-000008000000}" name="IVA 21 %" totalsRowFunction="sum" dataDxfId="866" totalsRowDxfId="865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864" totalsRowDxfId="863" dataCellStyle="Normal 3"/>
    <tableColumn id="10" xr3:uid="{00000000-0010-0000-2500-00000A000000}" name="IVA 10,5%" totalsRowFunction="sum" dataDxfId="862" totalsRowDxfId="861" dataCellStyle="Normal 3"/>
    <tableColumn id="11" xr3:uid="{00000000-0010-0000-2500-00000B000000}" name="PERC. IVA" totalsRowFunction="sum" dataDxfId="860" totalsRowDxfId="859" dataCellStyle="Normal 3"/>
    <tableColumn id="12" xr3:uid="{00000000-0010-0000-2500-00000C000000}" name="PERC IIBB _x000a_BS AS" totalsRowFunction="sum" dataDxfId="858" totalsRowDxfId="857" dataCellStyle="Normal 3"/>
    <tableColumn id="13" xr3:uid="{00000000-0010-0000-2500-00000D000000}" name="PERC. IIBB CABA" totalsRowFunction="sum" dataDxfId="856" totalsRowDxfId="855" dataCellStyle="Normal 3"/>
    <tableColumn id="14" xr3:uid="{00000000-0010-0000-2500-00000E000000}" name="Otros / No Grav." totalsRowFunction="sum" dataDxfId="854" totalsRowDxfId="853" dataCellStyle="Normal 3"/>
    <tableColumn id="15" xr3:uid="{00000000-0010-0000-2500-00000F000000}" name="TOTAL" totalsRowFunction="sum" dataDxfId="852" totalsRowDxfId="851" dataCellStyle="Normal 3">
      <calculatedColumnFormula>SUM(compras_mes7[[#This Row],[NETO GRAVADO]:[Otros / No Grav.]])</calculatedColumnFormula>
    </tableColumn>
    <tableColumn id="16" xr3:uid="{00000000-0010-0000-2500-000010000000}" name="Tipo de Gasto" dataDxfId="850" totalsRowDxfId="849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848" totalsRowDxfId="847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156:K193" totalsRowCount="1" headerRowDxfId="846" dataDxfId="845" totalsRowDxfId="844" headerRowCellStyle="Normal 3">
  <autoFilter ref="D156:K192" xr:uid="{00000000-0009-0000-0100-000028000000}"/>
  <tableColumns count="8">
    <tableColumn id="1" xr3:uid="{00000000-0010-0000-2600-000001000000}" name="FECHA" totalsRowLabel="Total" dataDxfId="843" totalsRowDxfId="842" dataCellStyle="Normal 3"/>
    <tableColumn id="2" xr3:uid="{00000000-0010-0000-2600-000002000000}" name="PTO VTA" dataDxfId="841" totalsRowDxfId="840" dataCellStyle="Normal 3"/>
    <tableColumn id="3" xr3:uid="{00000000-0010-0000-2600-000003000000}" name="FC Nº" dataDxfId="839" totalsRowDxfId="838" dataCellStyle="Normal 3"/>
    <tableColumn id="4" xr3:uid="{00000000-0010-0000-2600-000004000000}" name="CUIT" dataDxfId="837" totalsRowDxfId="836" dataCellStyle="Normal 3"/>
    <tableColumn id="5" xr3:uid="{00000000-0010-0000-2600-000005000000}" name="RAZON SOCIAL" dataDxfId="835" totalsRowDxfId="834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833" totalsRowDxfId="832" dataCellStyle="Normal 3"/>
    <tableColumn id="7" xr3:uid="{00000000-0010-0000-2600-000007000000}" name="TIPO DE GASTO" dataDxfId="831" totalsRowDxfId="830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829" totalsRowDxfId="828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200:M210" totalsRowCount="1" headerRowDxfId="827" dataDxfId="825" headerRowBorderDxfId="826" tableBorderDxfId="824" totalsRowBorderDxfId="823" dataCellStyle="Normal 3">
  <autoFilter ref="B200:M209" xr:uid="{00000000-0009-0000-0100-000029000000}"/>
  <tableColumns count="12">
    <tableColumn id="1" xr3:uid="{00000000-0010-0000-2700-000001000000}" name="FECHA" totalsRowLabel="Total" dataDxfId="822" totalsRowDxfId="821" dataCellStyle="Normal 3"/>
    <tableColumn id="2" xr3:uid="{00000000-0010-0000-2700-000002000000}" name="TIPO" dataDxfId="820" totalsRowDxfId="819" dataCellStyle="Normal 3"/>
    <tableColumn id="3" xr3:uid="{00000000-0010-0000-2700-000003000000}" name="PTO VENTA" dataDxfId="818" totalsRowDxfId="817" dataCellStyle="Normal 3"/>
    <tableColumn id="4" xr3:uid="{00000000-0010-0000-2700-000004000000}" name="Nº FACTURA" dataDxfId="816" totalsRowDxfId="815" dataCellStyle="Normal 3"/>
    <tableColumn id="5" xr3:uid="{00000000-0010-0000-2700-000005000000}" name="CUIT" dataDxfId="814" totalsRowDxfId="813" dataCellStyle="Normal 3"/>
    <tableColumn id="6" xr3:uid="{00000000-0010-0000-2700-000006000000}" name="RAZON SOCIAL" dataDxfId="812" totalsRowDxfId="811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810" totalsRowDxfId="809" dataCellStyle="Normal 3"/>
    <tableColumn id="8" xr3:uid="{00000000-0010-0000-2700-000008000000}" name="IVA 21%" totalsRowFunction="sum" dataDxfId="808" totalsRowDxfId="807" dataCellStyle="Normal 3">
      <calculatedColumnFormula>venta_a_mes7[[#This Row],[IMPORTE NETO]]*0.21</calculatedColumnFormula>
    </tableColumn>
    <tableColumn id="9" xr3:uid="{00000000-0010-0000-2700-000009000000}" name="IVA 10,5%" totalsRowFunction="sum" dataDxfId="806" totalsRowDxfId="805" dataCellStyle="Normal 3"/>
    <tableColumn id="10" xr3:uid="{00000000-0010-0000-2700-00000A000000}" name="EXENTO" totalsRowFunction="sum" dataDxfId="804" totalsRowDxfId="803" dataCellStyle="Normal 3"/>
    <tableColumn id="11" xr3:uid="{00000000-0010-0000-2700-00000B000000}" name="TOTAL" totalsRowFunction="sum" dataDxfId="802" totalsRowDxfId="801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800" totalsRowDxfId="799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214:M221" totalsRowCount="1" headerRowDxfId="798" dataDxfId="796" headerRowBorderDxfId="797" tableBorderDxfId="795" totalsRowBorderDxfId="794" dataCellStyle="Normal 3">
  <autoFilter ref="B214:M220" xr:uid="{00000000-0009-0000-0100-00002A000000}"/>
  <tableColumns count="12">
    <tableColumn id="1" xr3:uid="{00000000-0010-0000-2800-000001000000}" name="FECHA" totalsRowLabel="Total" dataDxfId="793" totalsRowDxfId="792" dataCellStyle="Normal 3"/>
    <tableColumn id="2" xr3:uid="{00000000-0010-0000-2800-000002000000}" name="TIPO" dataDxfId="791" totalsRowDxfId="790" dataCellStyle="Normal 3"/>
    <tableColumn id="3" xr3:uid="{00000000-0010-0000-2800-000003000000}" name="PTO VENTA" dataDxfId="789" totalsRowDxfId="788" dataCellStyle="Normal 3"/>
    <tableColumn id="4" xr3:uid="{00000000-0010-0000-2800-000004000000}" name="Nº FACTURA" dataDxfId="787" totalsRowDxfId="786" dataCellStyle="Normal 3"/>
    <tableColumn id="5" xr3:uid="{00000000-0010-0000-2800-000005000000}" name="CUIT" dataDxfId="785" totalsRowDxfId="784" dataCellStyle="Normal 3"/>
    <tableColumn id="6" xr3:uid="{00000000-0010-0000-2800-000006000000}" name="RAZON SOCIAL" dataDxfId="783" totalsRowDxfId="782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781" totalsRowDxfId="780" dataCellStyle="Normal 3"/>
    <tableColumn id="8" xr3:uid="{00000000-0010-0000-2800-000008000000}" name="IVA 21%" totalsRowFunction="sum" dataDxfId="779" totalsRowDxfId="778" dataCellStyle="Normal 3"/>
    <tableColumn id="9" xr3:uid="{00000000-0010-0000-2800-000009000000}" name="IVA 10,5%" totalsRowFunction="sum" dataDxfId="777" totalsRowDxfId="776" dataCellStyle="Normal 3"/>
    <tableColumn id="10" xr3:uid="{00000000-0010-0000-2800-00000A000000}" name="EXENTO" totalsRowFunction="sum" dataDxfId="775" totalsRowDxfId="774" dataCellStyle="Normal 3"/>
    <tableColumn id="11" xr3:uid="{00000000-0010-0000-2800-00000B000000}" name="TOTAL" totalsRowFunction="sum" dataDxfId="773" totalsRowDxfId="772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771" totalsRowDxfId="770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147:M151" totalsRowCount="1" headerRowDxfId="769" dataDxfId="768" tableBorderDxfId="767" dataCellStyle="Normal 3">
  <autoFilter ref="D147:M150" xr:uid="{00000000-0009-0000-0100-00002B000000}"/>
  <tableColumns count="10">
    <tableColumn id="1" xr3:uid="{00000000-0010-0000-2900-000001000000}" name="FECHA" totalsRowLabel="Total" dataDxfId="766" totalsRowDxfId="765" dataCellStyle="Normal 3"/>
    <tableColumn id="2" xr3:uid="{00000000-0010-0000-2900-000002000000}" name="NRO CPTE" dataDxfId="764" totalsRowDxfId="763"/>
    <tableColumn id="10" xr3:uid="{00000000-0010-0000-2900-00000A000000}" name="CUIT" totalsRowDxfId="762"/>
    <tableColumn id="3" xr3:uid="{00000000-0010-0000-2900-000003000000}" name="BANCO" dataDxfId="761" totalsRowDxfId="760"/>
    <tableColumn id="4" xr3:uid="{00000000-0010-0000-2900-000004000000}" name="NETO" totalsRowFunction="sum" dataDxfId="759" totalsRowDxfId="758" dataCellStyle="Normal 3"/>
    <tableColumn id="5" xr3:uid="{00000000-0010-0000-2900-000005000000}" name="IVA 21%" totalsRowFunction="sum" dataDxfId="757" totalsRowDxfId="756" dataCellStyle="Normal 3">
      <calculatedColumnFormula>extracto_banco_mes7[[#This Row],[NETO]]*21/100</calculatedColumnFormula>
    </tableColumn>
    <tableColumn id="6" xr3:uid="{00000000-0010-0000-2900-000006000000}" name="IVA 10,5%" totalsRowFunction="sum" dataDxfId="755" totalsRowDxfId="754" dataCellStyle="Normal 3"/>
    <tableColumn id="7" xr3:uid="{00000000-0010-0000-2900-000007000000}" name="RET IIBB CABA" totalsRowFunction="sum" dataDxfId="753" totalsRowDxfId="752" dataCellStyle="Normal 3"/>
    <tableColumn id="8" xr3:uid="{00000000-0010-0000-2900-000008000000}" name="PERC IVA" totalsRowFunction="sum" dataDxfId="751" totalsRowDxfId="750" dataCellStyle="Normal 3"/>
    <tableColumn id="9" xr3:uid="{00000000-0010-0000-2900-000009000000}" name="PERC IIBB" totalsRowFunction="sum" dataDxfId="749" totalsRowDxfId="748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230:L235" totalsRowShown="0" headerRowDxfId="747" dataDxfId="746" headerRowCellStyle="Normal 3" dataCellStyle="Normal 3">
  <autoFilter ref="C230:L235" xr:uid="{00000000-0009-0000-0100-00002C000000}"/>
  <tableColumns count="10">
    <tableColumn id="1" xr3:uid="{00000000-0010-0000-2A00-000001000000}" name="FECHA " dataDxfId="745" dataCellStyle="Normal 3"/>
    <tableColumn id="2" xr3:uid="{00000000-0010-0000-2A00-000002000000}" name="COMP Nº" dataDxfId="744" dataCellStyle="Normal 3"/>
    <tableColumn id="3" xr3:uid="{00000000-0010-0000-2A00-000003000000}" name="Columna1" dataDxfId="743" dataCellStyle="Normal 3"/>
    <tableColumn id="4" xr3:uid="{00000000-0010-0000-2A00-000004000000}" name="CUIT" dataDxfId="742" dataCellStyle="Normal 3"/>
    <tableColumn id="5" xr3:uid="{00000000-0010-0000-2A00-000005000000}" name="RAZON SOCIAL" dataDxfId="741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740" dataCellStyle="Normal 3"/>
    <tableColumn id="7" xr3:uid="{00000000-0010-0000-2A00-000007000000}" name="IVA" dataDxfId="739" dataCellStyle="Normal 3"/>
    <tableColumn id="8" xr3:uid="{00000000-0010-0000-2A00-000008000000}" name="SUSS" dataDxfId="738" dataCellStyle="Normal 3"/>
    <tableColumn id="9" xr3:uid="{00000000-0010-0000-2A00-000009000000}" name="IIBB BSAS" dataDxfId="737" dataCellStyle="Normal 3"/>
    <tableColumn id="10" xr3:uid="{00000000-0010-0000-2A00-00000A000000}" name="IIBB CABA" dataDxfId="736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146" totalsRowCount="1" headerRowDxfId="735" dataDxfId="734" totalsRowDxfId="733">
  <autoFilter ref="B8:R145" xr:uid="{00000000-0009-0000-0100-000039000000}"/>
  <sortState xmlns:xlrd2="http://schemas.microsoft.com/office/spreadsheetml/2017/richdata2" ref="B9:R145">
    <sortCondition ref="B9:B145"/>
  </sortState>
  <tableColumns count="17">
    <tableColumn id="1" xr3:uid="{00000000-0010-0000-2B00-000001000000}" name="FECHA" totalsRowLabel="Total" dataDxfId="732" totalsRowDxfId="731" dataCellStyle="Normal 3"/>
    <tableColumn id="2" xr3:uid="{00000000-0010-0000-2B00-000002000000}" name="TIPO" dataDxfId="730" totalsRowDxfId="729" dataCellStyle="Normal 3"/>
    <tableColumn id="3" xr3:uid="{00000000-0010-0000-2B00-000003000000}" name="PTO VTA" dataDxfId="728" totalsRowDxfId="727" dataCellStyle="Normal 3"/>
    <tableColumn id="4" xr3:uid="{00000000-0010-0000-2B00-000004000000}" name="NRO. CPTE" dataDxfId="726" totalsRowDxfId="725" dataCellStyle="Normal 3"/>
    <tableColumn id="5" xr3:uid="{00000000-0010-0000-2B00-000005000000}" name="CUIT" dataDxfId="724" totalsRowDxfId="723" dataCellStyle="Normal 3"/>
    <tableColumn id="6" xr3:uid="{00000000-0010-0000-2B00-000006000000}" name="RAZON SOCIAL" dataDxfId="722" totalsRowDxfId="721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720" totalsRowDxfId="719" dataCellStyle="Normal 3"/>
    <tableColumn id="8" xr3:uid="{00000000-0010-0000-2B00-000008000000}" name="IVA 21 %" totalsRowFunction="sum" dataDxfId="718" totalsRowDxfId="717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716" totalsRowDxfId="715" dataCellStyle="Normal 3"/>
    <tableColumn id="10" xr3:uid="{00000000-0010-0000-2B00-00000A000000}" name="IVA 10,5%" totalsRowFunction="sum" dataDxfId="714" totalsRowDxfId="713" dataCellStyle="Normal 3"/>
    <tableColumn id="11" xr3:uid="{00000000-0010-0000-2B00-00000B000000}" name="PERC. IVA" totalsRowFunction="sum" dataDxfId="712" totalsRowDxfId="711" dataCellStyle="Normal 3"/>
    <tableColumn id="12" xr3:uid="{00000000-0010-0000-2B00-00000C000000}" name="PERC IIBB _x000a_BS AS" totalsRowFunction="sum" dataDxfId="710" totalsRowDxfId="709" dataCellStyle="Normal 3"/>
    <tableColumn id="13" xr3:uid="{00000000-0010-0000-2B00-00000D000000}" name="PERC. IIBB CABA" totalsRowFunction="sum" dataDxfId="708" totalsRowDxfId="707" dataCellStyle="Normal 3"/>
    <tableColumn id="14" xr3:uid="{00000000-0010-0000-2B00-00000E000000}" name="Otros / No Grav." totalsRowFunction="sum" dataDxfId="706" totalsRowDxfId="705" dataCellStyle="Normal 3"/>
    <tableColumn id="15" xr3:uid="{00000000-0010-0000-2B00-00000F000000}" name="TOTAL" totalsRowFunction="sum" dataDxfId="704" totalsRowDxfId="703" dataCellStyle="Normal 3">
      <calculatedColumnFormula>SUM(compras_mes8[[#This Row],[NETO GRAVADO]:[Otros / No Grav.]])</calculatedColumnFormula>
    </tableColumn>
    <tableColumn id="16" xr3:uid="{00000000-0010-0000-2B00-000010000000}" name="Tipo de Gasto" dataDxfId="702" totalsRowDxfId="701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700" totalsRowDxfId="699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161:K192" totalsRowCount="1" headerRowDxfId="698" totalsRowDxfId="697" headerRowCellStyle="Normal 3">
  <autoFilter ref="D161:K191" xr:uid="{00000000-0009-0000-0100-00003A000000}"/>
  <tableColumns count="8">
    <tableColumn id="1" xr3:uid="{00000000-0010-0000-2C00-000001000000}" name="FECHA" totalsRowLabel="Total" dataDxfId="696" totalsRowDxfId="695" dataCellStyle="Normal 3"/>
    <tableColumn id="2" xr3:uid="{00000000-0010-0000-2C00-000002000000}" name="PTO VTA" dataDxfId="694" totalsRowDxfId="693" dataCellStyle="Normal 3"/>
    <tableColumn id="3" xr3:uid="{00000000-0010-0000-2C00-000003000000}" name="FC Nº" dataDxfId="692" totalsRowDxfId="691" dataCellStyle="Normal 3"/>
    <tableColumn id="4" xr3:uid="{00000000-0010-0000-2C00-000004000000}" name="CUIT" dataDxfId="690" totalsRowDxfId="689" dataCellStyle="Normal 3"/>
    <tableColumn id="5" xr3:uid="{00000000-0010-0000-2C00-000005000000}" name="RAZON SOCIAL" dataDxfId="688" totalsRowDxfId="687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686" totalsRowDxfId="685" dataCellStyle="Normal 3"/>
    <tableColumn id="7" xr3:uid="{00000000-0010-0000-2C00-000007000000}" name="TIPO DE GASTO" dataDxfId="684" totalsRowDxfId="683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682" totalsRowDxfId="681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201:M211" totalsRowCount="1" headerRowDxfId="680" dataDxfId="678" headerRowBorderDxfId="679" tableBorderDxfId="677" totalsRowBorderDxfId="676" dataCellStyle="Normal 3">
  <autoFilter ref="B201:M210" xr:uid="{00000000-0009-0000-0100-00003B000000}"/>
  <tableColumns count="12">
    <tableColumn id="1" xr3:uid="{00000000-0010-0000-2D00-000001000000}" name="FECHA" totalsRowLabel="Total" dataDxfId="675" totalsRowDxfId="674" dataCellStyle="Normal 3"/>
    <tableColumn id="2" xr3:uid="{00000000-0010-0000-2D00-000002000000}" name="TIPO" dataDxfId="673" totalsRowDxfId="672" dataCellStyle="Normal 3"/>
    <tableColumn id="3" xr3:uid="{00000000-0010-0000-2D00-000003000000}" name="PTO VENTA" dataDxfId="671" totalsRowDxfId="670" dataCellStyle="Normal 3"/>
    <tableColumn id="4" xr3:uid="{00000000-0010-0000-2D00-000004000000}" name="Nº FACTURA" dataDxfId="669" totalsRowDxfId="668" dataCellStyle="Normal 3"/>
    <tableColumn id="5" xr3:uid="{00000000-0010-0000-2D00-000005000000}" name="CUIT" dataDxfId="667" totalsRowDxfId="666" dataCellStyle="Normal 3"/>
    <tableColumn id="6" xr3:uid="{00000000-0010-0000-2D00-000006000000}" name="RAZON SOCIAL" dataDxfId="665" totalsRowDxfId="664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663" totalsRowDxfId="662" dataCellStyle="Normal 3"/>
    <tableColumn id="8" xr3:uid="{00000000-0010-0000-2D00-000008000000}" name="IVA 21%" totalsRowFunction="sum" dataDxfId="661" totalsRowDxfId="660" dataCellStyle="Normal 3">
      <calculatedColumnFormula>venta_a_mes8[[#This Row],[IMPORTE NETO]]*0.21</calculatedColumnFormula>
    </tableColumn>
    <tableColumn id="9" xr3:uid="{00000000-0010-0000-2D00-000009000000}" name="IVA 10,5%" totalsRowFunction="sum" dataDxfId="659" totalsRowDxfId="658" dataCellStyle="Normal 3"/>
    <tableColumn id="10" xr3:uid="{00000000-0010-0000-2D00-00000A000000}" name="EXENTO" totalsRowFunction="sum" dataDxfId="657" totalsRowDxfId="656" dataCellStyle="Normal 3"/>
    <tableColumn id="11" xr3:uid="{00000000-0010-0000-2D00-00000B000000}" name="TOTAL" totalsRowFunction="sum" dataDxfId="655" totalsRowDxfId="654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653" totalsRowDxfId="652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215:M222" totalsRowCount="1" headerRowDxfId="651" dataDxfId="649" headerRowBorderDxfId="650" tableBorderDxfId="648" totalsRowBorderDxfId="647" dataCellStyle="Normal 3">
  <autoFilter ref="B215:M221" xr:uid="{00000000-0009-0000-0100-00003C000000}"/>
  <tableColumns count="12">
    <tableColumn id="1" xr3:uid="{00000000-0010-0000-2E00-000001000000}" name="FECHA" totalsRowLabel="Total" dataDxfId="646" totalsRowDxfId="645" dataCellStyle="Normal 3"/>
    <tableColumn id="2" xr3:uid="{00000000-0010-0000-2E00-000002000000}" name="TIPO" dataDxfId="644" totalsRowDxfId="643" dataCellStyle="Normal 3"/>
    <tableColumn id="3" xr3:uid="{00000000-0010-0000-2E00-000003000000}" name="PTO VENTA" dataDxfId="642" totalsRowDxfId="641" dataCellStyle="Normal 3"/>
    <tableColumn id="4" xr3:uid="{00000000-0010-0000-2E00-000004000000}" name="Nº FACTURA" dataDxfId="640" totalsRowDxfId="639" dataCellStyle="Normal 3"/>
    <tableColumn id="5" xr3:uid="{00000000-0010-0000-2E00-000005000000}" name="CUIT" dataDxfId="638" totalsRowDxfId="637" dataCellStyle="Normal 3"/>
    <tableColumn id="6" xr3:uid="{00000000-0010-0000-2E00-000006000000}" name="RAZON SOCIAL" dataDxfId="636" totalsRowDxfId="635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634" totalsRowDxfId="633" dataCellStyle="Normal 3"/>
    <tableColumn id="8" xr3:uid="{00000000-0010-0000-2E00-000008000000}" name="IVA 21%" totalsRowFunction="sum" dataDxfId="632" totalsRowDxfId="631" dataCellStyle="Normal 3"/>
    <tableColumn id="9" xr3:uid="{00000000-0010-0000-2E00-000009000000}" name="IVA 10,5%" totalsRowFunction="sum" dataDxfId="630" totalsRowDxfId="629" dataCellStyle="Normal 3"/>
    <tableColumn id="10" xr3:uid="{00000000-0010-0000-2E00-00000A000000}" name="EXENTO" totalsRowFunction="sum" dataDxfId="628" totalsRowDxfId="627" dataCellStyle="Normal 3"/>
    <tableColumn id="11" xr3:uid="{00000000-0010-0000-2E00-00000B000000}" name="TOTAL" totalsRowFunction="sum" dataDxfId="626" totalsRowDxfId="625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624" totalsRowDxfId="623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152:L156" totalsRowCount="1" headerRowDxfId="622" dataDxfId="621" tableBorderDxfId="620" dataCellStyle="Normal 3">
  <autoFilter ref="D152:L155" xr:uid="{00000000-0009-0000-0100-00003D000000}"/>
  <tableColumns count="9">
    <tableColumn id="1" xr3:uid="{00000000-0010-0000-2F00-000001000000}" name="FECHA" totalsRowLabel="Total" dataDxfId="619" totalsRowDxfId="618" dataCellStyle="Normal 3"/>
    <tableColumn id="2" xr3:uid="{00000000-0010-0000-2F00-000002000000}" name="NRO CPTE" dataDxfId="617" totalsRowDxfId="616"/>
    <tableColumn id="3" xr3:uid="{00000000-0010-0000-2F00-000003000000}" name="BANCO" dataDxfId="615" totalsRowDxfId="614"/>
    <tableColumn id="4" xr3:uid="{00000000-0010-0000-2F00-000004000000}" name="NETO" totalsRowFunction="sum" dataDxfId="613" totalsRowDxfId="612" dataCellStyle="Normal 3">
      <calculatedColumnFormula>24+2.5</calculatedColumnFormula>
    </tableColumn>
    <tableColumn id="5" xr3:uid="{00000000-0010-0000-2F00-000005000000}" name="IVA 21%" totalsRowFunction="sum" dataDxfId="611" totalsRowDxfId="610" dataCellStyle="Normal 3">
      <calculatedColumnFormula>extracto_banco_mes8[[#This Row],[NETO]]*0.21</calculatedColumnFormula>
    </tableColumn>
    <tableColumn id="6" xr3:uid="{00000000-0010-0000-2F00-000006000000}" name="IVA 10,5%" totalsRowFunction="sum" dataDxfId="609" totalsRowDxfId="608" dataCellStyle="Normal 3"/>
    <tableColumn id="7" xr3:uid="{00000000-0010-0000-2F00-000007000000}" name="RET IIBB CABA" totalsRowFunction="sum" dataDxfId="607" totalsRowDxfId="606" dataCellStyle="Normal 3"/>
    <tableColumn id="8" xr3:uid="{00000000-0010-0000-2F00-000008000000}" name="PERC IVA" totalsRowFunction="sum" dataDxfId="605" totalsRowDxfId="604" dataCellStyle="Normal 3"/>
    <tableColumn id="9" xr3:uid="{00000000-0010-0000-2F00-000009000000}" name="PERC IIBB" totalsRowFunction="sum" dataDxfId="603" totalsRowDxfId="602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231:L236" totalsRowShown="0" headerRowDxfId="601" dataDxfId="600" headerRowCellStyle="Normal 3" dataCellStyle="Normal 3">
  <autoFilter ref="C231:L236" xr:uid="{00000000-0009-0000-0100-00003E000000}"/>
  <tableColumns count="10">
    <tableColumn id="1" xr3:uid="{00000000-0010-0000-3000-000001000000}" name="FECHA " dataDxfId="599" dataCellStyle="Normal 3"/>
    <tableColumn id="2" xr3:uid="{00000000-0010-0000-3000-000002000000}" name="COMP Nº" dataDxfId="598" dataCellStyle="Normal 3"/>
    <tableColumn id="3" xr3:uid="{00000000-0010-0000-3000-000003000000}" name="Columna1" dataDxfId="597" dataCellStyle="Normal 3"/>
    <tableColumn id="4" xr3:uid="{00000000-0010-0000-3000-000004000000}" name="CUIT" dataDxfId="596" dataCellStyle="Normal 3"/>
    <tableColumn id="5" xr3:uid="{00000000-0010-0000-3000-000005000000}" name="RAZON SOCIAL" dataDxfId="595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594" dataCellStyle="Normal 3"/>
    <tableColumn id="7" xr3:uid="{00000000-0010-0000-3000-000007000000}" name="IVA" dataDxfId="593" dataCellStyle="Normal 3"/>
    <tableColumn id="8" xr3:uid="{00000000-0010-0000-3000-000008000000}" name="SUSS" dataDxfId="592" dataCellStyle="Normal 3"/>
    <tableColumn id="9" xr3:uid="{00000000-0010-0000-3000-000009000000}" name="IIBB BSAS" dataDxfId="591" dataCellStyle="Normal 3"/>
    <tableColumn id="10" xr3:uid="{00000000-0010-0000-3000-00000A000000}" name="IIBB CABA" dataDxfId="590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133" totalsRowCount="1" headerRowDxfId="589" dataDxfId="588" totalsRowDxfId="587">
  <autoFilter ref="B8:R132" xr:uid="{00000000-0009-0000-0100-00003F000000}"/>
  <sortState xmlns:xlrd2="http://schemas.microsoft.com/office/spreadsheetml/2017/richdata2" ref="B9:R98">
    <sortCondition ref="B8:B98"/>
  </sortState>
  <tableColumns count="17">
    <tableColumn id="1" xr3:uid="{00000000-0010-0000-3100-000001000000}" name="FECHA" totalsRowLabel="Total" dataDxfId="586" totalsRowDxfId="585" dataCellStyle="Normal 3"/>
    <tableColumn id="2" xr3:uid="{00000000-0010-0000-3100-000002000000}" name="TIPO" dataDxfId="584" totalsRowDxfId="583" dataCellStyle="Normal 3"/>
    <tableColumn id="3" xr3:uid="{00000000-0010-0000-3100-000003000000}" name="PTO VTA" dataDxfId="582" totalsRowDxfId="581" dataCellStyle="Normal 3"/>
    <tableColumn id="4" xr3:uid="{00000000-0010-0000-3100-000004000000}" name="NRO. CPTE" dataDxfId="580" totalsRowDxfId="579" dataCellStyle="Normal 3"/>
    <tableColumn id="5" xr3:uid="{00000000-0010-0000-3100-000005000000}" name="CUIT" dataDxfId="578" totalsRowDxfId="577" dataCellStyle="Normal 3"/>
    <tableColumn id="6" xr3:uid="{00000000-0010-0000-3100-000006000000}" name="RAZON SOCIAL" dataDxfId="576" totalsRowDxfId="575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574" totalsRowDxfId="573" dataCellStyle="Normal 3"/>
    <tableColumn id="8" xr3:uid="{00000000-0010-0000-3100-000008000000}" name="IVA 21 %" totalsRowFunction="sum" dataDxfId="572" totalsRowDxfId="571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570" totalsRowDxfId="569" dataCellStyle="Normal 3"/>
    <tableColumn id="10" xr3:uid="{00000000-0010-0000-3100-00000A000000}" name="IVA 10,5%" totalsRowFunction="sum" dataDxfId="568" totalsRowDxfId="567" dataCellStyle="Normal 3"/>
    <tableColumn id="11" xr3:uid="{00000000-0010-0000-3100-00000B000000}" name="PERC. IVA" totalsRowFunction="sum" dataDxfId="566" totalsRowDxfId="565" dataCellStyle="Normal 3"/>
    <tableColumn id="12" xr3:uid="{00000000-0010-0000-3100-00000C000000}" name="PERC IIBB _x000a_BS AS" totalsRowFunction="sum" dataDxfId="564" totalsRowDxfId="563" dataCellStyle="Normal 3"/>
    <tableColumn id="13" xr3:uid="{00000000-0010-0000-3100-00000D000000}" name="PERC. IIBB CABA" totalsRowFunction="sum" dataDxfId="562" totalsRowDxfId="561" dataCellStyle="Normal 3"/>
    <tableColumn id="14" xr3:uid="{00000000-0010-0000-3100-00000E000000}" name="Otros / No Grav." totalsRowFunction="sum" dataDxfId="560" totalsRowDxfId="559" dataCellStyle="Normal 3"/>
    <tableColumn id="15" xr3:uid="{00000000-0010-0000-3100-00000F000000}" name="TOTAL" totalsRowFunction="sum" dataDxfId="558" totalsRowDxfId="557" dataCellStyle="Normal 3">
      <calculatedColumnFormula>SUM(compras_mes9[[#This Row],[NETO GRAVADO]:[Otros / No Grav.]])</calculatedColumnFormula>
    </tableColumn>
    <tableColumn id="16" xr3:uid="{00000000-0010-0000-3100-000010000000}" name="Tipo de Gasto" dataDxfId="556" totalsRowDxfId="555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554" totalsRowDxfId="553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161:K192" totalsRowCount="1" headerRowDxfId="552" totalsRowDxfId="551" headerRowCellStyle="Normal 3">
  <autoFilter ref="D161:K191" xr:uid="{00000000-0009-0000-0100-000040000000}"/>
  <sortState xmlns:xlrd2="http://schemas.microsoft.com/office/spreadsheetml/2017/richdata2" ref="D168:K199">
    <sortCondition ref="D167:D199"/>
  </sortState>
  <tableColumns count="8">
    <tableColumn id="1" xr3:uid="{00000000-0010-0000-3200-000001000000}" name="FECHA" totalsRowLabel="Total" dataDxfId="550" totalsRowDxfId="549" dataCellStyle="Normal 3"/>
    <tableColumn id="2" xr3:uid="{00000000-0010-0000-3200-000002000000}" name="PTO VTA" dataDxfId="548" totalsRowDxfId="547" dataCellStyle="Normal 3"/>
    <tableColumn id="3" xr3:uid="{00000000-0010-0000-3200-000003000000}" name="FC Nº" dataDxfId="546" totalsRowDxfId="545" dataCellStyle="Normal 3"/>
    <tableColumn id="4" xr3:uid="{00000000-0010-0000-3200-000004000000}" name="CUIT" dataDxfId="544" totalsRowDxfId="543" dataCellStyle="Normal 3"/>
    <tableColumn id="5" xr3:uid="{00000000-0010-0000-3200-000005000000}" name="RAZON SOCIAL" dataDxfId="542" totalsRowDxfId="541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540" totalsRowDxfId="539" dataCellStyle="Normal 3"/>
    <tableColumn id="7" xr3:uid="{00000000-0010-0000-3200-000007000000}" name="TIPO DE GASTO" dataDxfId="538" totalsRowDxfId="537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536" totalsRowDxfId="535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201:M211" totalsRowCount="1" headerRowDxfId="534" dataDxfId="532" headerRowBorderDxfId="533" tableBorderDxfId="531" totalsRowBorderDxfId="530" dataCellStyle="Normal 3">
  <autoFilter ref="B201:M210" xr:uid="{00000000-0009-0000-0100-000041000000}"/>
  <tableColumns count="12">
    <tableColumn id="1" xr3:uid="{00000000-0010-0000-3300-000001000000}" name="FECHA" totalsRowLabel="Total" dataDxfId="529" totalsRowDxfId="528" dataCellStyle="Normal 3"/>
    <tableColumn id="2" xr3:uid="{00000000-0010-0000-3300-000002000000}" name="TIPO" dataDxfId="527" totalsRowDxfId="526" dataCellStyle="Normal 3"/>
    <tableColumn id="3" xr3:uid="{00000000-0010-0000-3300-000003000000}" name="PTO VENTA" dataDxfId="525" totalsRowDxfId="524" dataCellStyle="Normal 3"/>
    <tableColumn id="4" xr3:uid="{00000000-0010-0000-3300-000004000000}" name="Nº FACTURA" dataDxfId="523" totalsRowDxfId="522" dataCellStyle="Normal 3"/>
    <tableColumn id="5" xr3:uid="{00000000-0010-0000-3300-000005000000}" name="CUIT" dataDxfId="521" totalsRowDxfId="520" dataCellStyle="Normal 3"/>
    <tableColumn id="6" xr3:uid="{00000000-0010-0000-3300-000006000000}" name="RAZON SOCIAL" dataDxfId="519" totalsRowDxfId="518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517" totalsRowDxfId="516" dataCellStyle="Normal 3"/>
    <tableColumn id="8" xr3:uid="{00000000-0010-0000-3300-000008000000}" name="IVA 21%" totalsRowFunction="sum" dataDxfId="515" totalsRowDxfId="514" dataCellStyle="Normal 3">
      <calculatedColumnFormula>venta_a_mes9[[#This Row],[IMPORTE NETO]]*0.21</calculatedColumnFormula>
    </tableColumn>
    <tableColumn id="9" xr3:uid="{00000000-0010-0000-3300-000009000000}" name="IVA 10,5%" totalsRowFunction="sum" dataDxfId="513" totalsRowDxfId="512" dataCellStyle="Normal 3"/>
    <tableColumn id="10" xr3:uid="{00000000-0010-0000-3300-00000A000000}" name="EXENTO" totalsRowFunction="sum" dataDxfId="511" totalsRowDxfId="510" dataCellStyle="Normal 3"/>
    <tableColumn id="11" xr3:uid="{00000000-0010-0000-3300-00000B000000}" name="TOTAL" totalsRowFunction="sum" dataDxfId="509" totalsRowDxfId="508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507" totalsRowDxfId="506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215:M222" totalsRowCount="1" headerRowDxfId="505" dataDxfId="503" headerRowBorderDxfId="504" tableBorderDxfId="502" totalsRowBorderDxfId="501" dataCellStyle="Normal 3">
  <autoFilter ref="B215:M221" xr:uid="{00000000-0009-0000-0100-000042000000}"/>
  <tableColumns count="12">
    <tableColumn id="1" xr3:uid="{00000000-0010-0000-3400-000001000000}" name="FECHA" totalsRowLabel="Total" dataDxfId="500" totalsRowDxfId="499" dataCellStyle="Normal 3"/>
    <tableColumn id="2" xr3:uid="{00000000-0010-0000-3400-000002000000}" name="TIPO" dataDxfId="498" totalsRowDxfId="497" dataCellStyle="Normal 3"/>
    <tableColumn id="3" xr3:uid="{00000000-0010-0000-3400-000003000000}" name="PTO VENTA" dataDxfId="496" totalsRowDxfId="495" dataCellStyle="Normal 3"/>
    <tableColumn id="4" xr3:uid="{00000000-0010-0000-3400-000004000000}" name="Nº FACTURA" dataDxfId="494" totalsRowDxfId="493" dataCellStyle="Normal 3"/>
    <tableColumn id="5" xr3:uid="{00000000-0010-0000-3400-000005000000}" name="CUIT" dataDxfId="492" totalsRowDxfId="491" dataCellStyle="Normal 3"/>
    <tableColumn id="6" xr3:uid="{00000000-0010-0000-3400-000006000000}" name="RAZON SOCIAL" dataDxfId="490" totalsRowDxfId="489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488" totalsRowDxfId="487" dataCellStyle="Normal 3"/>
    <tableColumn id="8" xr3:uid="{00000000-0010-0000-3400-000008000000}" name="IVA 21%" totalsRowFunction="sum" dataDxfId="486" totalsRowDxfId="485" dataCellStyle="Normal 3"/>
    <tableColumn id="9" xr3:uid="{00000000-0010-0000-3400-000009000000}" name="IVA 10,5%" totalsRowFunction="sum" dataDxfId="484" totalsRowDxfId="483" dataCellStyle="Normal 3"/>
    <tableColumn id="10" xr3:uid="{00000000-0010-0000-3400-00000A000000}" name="EXENTO" totalsRowFunction="sum" dataDxfId="482" totalsRowDxfId="481" dataCellStyle="Normal 3"/>
    <tableColumn id="11" xr3:uid="{00000000-0010-0000-3400-00000B000000}" name="TOTAL" totalsRowFunction="sum" dataDxfId="480" totalsRowDxfId="479" dataCellStyle="Normal 3">
      <calculatedColumnFormula>SUM(ventas_b_mes9[[#This Row],[IMPORTE NETO]:[EXENTO]])</calculatedColumnFormula>
    </tableColumn>
    <tableColumn id="12" xr3:uid="{00000000-0010-0000-3400-00000C000000}" name="Provincia" totalsRowFunction="count" dataDxfId="478" totalsRowDxfId="477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139:M156" totalsRowCount="1" headerRowDxfId="476" dataDxfId="475" tableBorderDxfId="474" dataCellStyle="Normal 3">
  <autoFilter ref="D139:M155" xr:uid="{00000000-0009-0000-0100-000043000000}"/>
  <tableColumns count="10">
    <tableColumn id="1" xr3:uid="{00000000-0010-0000-3500-000001000000}" name="FECHA" totalsRowLabel="Total" dataDxfId="473" totalsRowDxfId="472" dataCellStyle="Normal 3"/>
    <tableColumn id="2" xr3:uid="{00000000-0010-0000-3500-000002000000}" name="NRO CPTE" dataDxfId="471" totalsRowDxfId="470"/>
    <tableColumn id="3" xr3:uid="{00000000-0010-0000-3500-000003000000}" name="BANCO" dataDxfId="469" totalsRowDxfId="468"/>
    <tableColumn id="4" xr3:uid="{00000000-0010-0000-3500-000004000000}" name="NETO" totalsRowFunction="sum" dataDxfId="467" totalsRowDxfId="466" dataCellStyle="Normal 3"/>
    <tableColumn id="5" xr3:uid="{00000000-0010-0000-3500-000005000000}" name="IVA 21%" totalsRowFunction="sum" dataDxfId="465" totalsRowDxfId="464" dataCellStyle="Normal 3">
      <calculatedColumnFormula>extracto_banco_mes9[[#This Row],[NETO]]*0.21</calculatedColumnFormula>
    </tableColumn>
    <tableColumn id="6" xr3:uid="{00000000-0010-0000-3500-000006000000}" name="IVA 10,5%" totalsRowFunction="sum" dataDxfId="463" totalsRowDxfId="462" dataCellStyle="Normal 3"/>
    <tableColumn id="7" xr3:uid="{00000000-0010-0000-3500-000007000000}" name="RET IIBB CABA" totalsRowFunction="sum" dataDxfId="461" totalsRowDxfId="460" dataCellStyle="Normal 3"/>
    <tableColumn id="8" xr3:uid="{00000000-0010-0000-3500-000008000000}" name="PERC IVA" totalsRowFunction="sum" dataDxfId="459" totalsRowDxfId="458" dataCellStyle="Normal 3"/>
    <tableColumn id="9" xr3:uid="{00000000-0010-0000-3500-000009000000}" name="PERC IIBB" totalsRowFunction="sum" dataDxfId="457" totalsRowDxfId="456" dataCellStyle="Normal 3"/>
    <tableColumn id="10" xr3:uid="{00000000-0010-0000-3500-00000A000000}" name="TOTAL" dataDxfId="455" totalsRowDxfId="454" dataCellStyle="Normal 3">
      <calculatedColumnFormula>SUM(extracto_banco_mes9[[#This Row],[NETO]:[PERC IIBB]])</calculatedColumnFormula>
    </tableColumn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231:L236" totalsRowShown="0" headerRowDxfId="453" dataDxfId="452" headerRowCellStyle="Normal 3" dataCellStyle="Normal 3">
  <autoFilter ref="C231:L236" xr:uid="{00000000-0009-0000-0100-000044000000}"/>
  <tableColumns count="10">
    <tableColumn id="1" xr3:uid="{00000000-0010-0000-3600-000001000000}" name="FECHA " dataDxfId="451" dataCellStyle="Normal 3"/>
    <tableColumn id="2" xr3:uid="{00000000-0010-0000-3600-000002000000}" name="COMP Nº" dataDxfId="450" dataCellStyle="Normal 3"/>
    <tableColumn id="3" xr3:uid="{00000000-0010-0000-3600-000003000000}" name="Columna1" dataDxfId="449" dataCellStyle="Normal 3"/>
    <tableColumn id="4" xr3:uid="{00000000-0010-0000-3600-000004000000}" name="CUIT" dataDxfId="448" dataCellStyle="Normal 3"/>
    <tableColumn id="5" xr3:uid="{00000000-0010-0000-3600-000005000000}" name="RAZON SOCIAL" dataDxfId="447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446" dataCellStyle="Normal 3"/>
    <tableColumn id="7" xr3:uid="{00000000-0010-0000-3600-000007000000}" name="IVA" dataDxfId="445" dataCellStyle="Normal 3"/>
    <tableColumn id="8" xr3:uid="{00000000-0010-0000-3600-000008000000}" name="SUSS" dataDxfId="444" dataCellStyle="Normal 3"/>
    <tableColumn id="9" xr3:uid="{00000000-0010-0000-3600-000009000000}" name="IIBB BSAS" dataDxfId="443" dataCellStyle="Normal 3"/>
    <tableColumn id="10" xr3:uid="{00000000-0010-0000-3600-00000A000000}" name="IIBB CABA" dataDxfId="442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7000000}" name="compras_mes103" displayName="compras_mes103" ref="B8:R151" totalsRowCount="1" headerRowDxfId="441" dataDxfId="439" totalsRowDxfId="438" headerRowBorderDxfId="440">
  <autoFilter ref="B8:R150" xr:uid="{00000000-0009-0000-0100-000002000000}"/>
  <sortState xmlns:xlrd2="http://schemas.microsoft.com/office/spreadsheetml/2017/richdata2" ref="B9:R150">
    <sortCondition ref="B8:B150"/>
  </sortState>
  <tableColumns count="17">
    <tableColumn id="1" xr3:uid="{00000000-0010-0000-3700-000001000000}" name="FECHA" totalsRowLabel="Total" dataDxfId="437" totalsRowDxfId="436" dataCellStyle="Normal 3"/>
    <tableColumn id="2" xr3:uid="{00000000-0010-0000-3700-000002000000}" name="TIPO" dataDxfId="435" totalsRowDxfId="434" dataCellStyle="Normal 3"/>
    <tableColumn id="3" xr3:uid="{00000000-0010-0000-3700-000003000000}" name="PTO VTA" dataDxfId="433" totalsRowDxfId="432" dataCellStyle="Normal 3"/>
    <tableColumn id="4" xr3:uid="{00000000-0010-0000-3700-000004000000}" name="NRO. CPTE" dataDxfId="431" totalsRowDxfId="430" dataCellStyle="Normal 3"/>
    <tableColumn id="5" xr3:uid="{00000000-0010-0000-3700-000005000000}" name="CUIT" dataDxfId="429" totalsRowDxfId="428" dataCellStyle="Normal 3"/>
    <tableColumn id="6" xr3:uid="{00000000-0010-0000-3700-000006000000}" name="RAZON SOCIAL" dataDxfId="427" totalsRowDxfId="426" dataCellStyle="Normal 3">
      <calculatedColumnFormula>IFERROR(IF(compras_mes103[[#This Row],[CUIT]]="","-",VLOOKUP(compras_mes103[[#This Row],[CUIT]],Lista_CUIT[#All],2,0)),"CUIT NO CARGADO")</calculatedColumnFormula>
    </tableColumn>
    <tableColumn id="7" xr3:uid="{00000000-0010-0000-3700-000007000000}" name="NETO GRAVADO" totalsRowFunction="sum" dataDxfId="425" totalsRowDxfId="424" dataCellStyle="Normal 3"/>
    <tableColumn id="8" xr3:uid="{00000000-0010-0000-3700-000008000000}" name="IVA 21 %" totalsRowFunction="sum" dataDxfId="423" totalsRowDxfId="422" dataCellStyle="Normal 3">
      <calculatedColumnFormula>IF(compras_mes103[[#This Row],[NETO GRAVADO]]="","",compras_mes103[[#This Row],[NETO GRAVADO]]*0.21)</calculatedColumnFormula>
    </tableColumn>
    <tableColumn id="9" xr3:uid="{00000000-0010-0000-3700-000009000000}" name="IVA 27%" totalsRowFunction="sum" dataDxfId="421" totalsRowDxfId="420" dataCellStyle="Normal 3"/>
    <tableColumn id="10" xr3:uid="{00000000-0010-0000-3700-00000A000000}" name="IVA 10,5%" totalsRowFunction="sum" dataDxfId="419" totalsRowDxfId="418" dataCellStyle="Normal 3"/>
    <tableColumn id="11" xr3:uid="{00000000-0010-0000-3700-00000B000000}" name="PERC. IVA" totalsRowFunction="sum" dataDxfId="417" totalsRowDxfId="416" dataCellStyle="Normal 3"/>
    <tableColumn id="12" xr3:uid="{00000000-0010-0000-3700-00000C000000}" name="PERC IIBB _x000a_BS AS" totalsRowFunction="sum" dataDxfId="415" totalsRowDxfId="414" dataCellStyle="Normal 3"/>
    <tableColumn id="13" xr3:uid="{00000000-0010-0000-3700-00000D000000}" name="PERC. IIBB CABA" totalsRowFunction="sum" dataDxfId="413" totalsRowDxfId="412" dataCellStyle="Normal 3"/>
    <tableColumn id="14" xr3:uid="{00000000-0010-0000-3700-00000E000000}" name="Otros / No Grav." totalsRowFunction="sum" dataDxfId="411" totalsRowDxfId="410" dataCellStyle="Normal 3"/>
    <tableColumn id="15" xr3:uid="{00000000-0010-0000-3700-00000F000000}" name="TOTAL" totalsRowFunction="sum" dataDxfId="409" totalsRowDxfId="408" dataCellStyle="Normal 3">
      <calculatedColumnFormula>SUM(compras_mes103[[#This Row],[NETO GRAVADO]:[Otros / No Grav.]])</calculatedColumnFormula>
    </tableColumn>
    <tableColumn id="16" xr3:uid="{00000000-0010-0000-3700-000010000000}" name="Tipo de Gasto" dataDxfId="407" totalsRowDxfId="406" dataCellStyle="Normal 3">
      <calculatedColumnFormula>IFERROR(IF(compras_mes103[[#This Row],[CUIT]]="","-",VLOOKUP(compras_mes103[[#This Row],[CUIT]],Lista_CUIT[#All],3,0)),"CUIT NO CARGADO")</calculatedColumnFormula>
    </tableColumn>
    <tableColumn id="17" xr3:uid="{00000000-0010-0000-3700-000011000000}" name="Provincia" dataDxfId="405" totalsRowDxfId="404" dataCellStyle="Normal 3">
      <calculatedColumnFormula>IFERROR(IF(compras_mes103[[#This Row],[CUIT]]="","-",VLOOKUP(compras_mes103[[#This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8000000}" name="factura_c_mes1052" displayName="factura_c_mes1052" ref="D166:K209" totalsRowCount="1" headerRowDxfId="403" totalsRowDxfId="402" headerRowCellStyle="Normal 3">
  <autoFilter ref="D166:K208" xr:uid="{00000000-0009-0000-0100-000033000000}"/>
  <sortState xmlns:xlrd2="http://schemas.microsoft.com/office/spreadsheetml/2017/richdata2" ref="D167:K208">
    <sortCondition ref="F167:F208"/>
  </sortState>
  <tableColumns count="8">
    <tableColumn id="1" xr3:uid="{00000000-0010-0000-3800-000001000000}" name="FECHA" totalsRowLabel="Total" dataDxfId="401" totalsRowDxfId="400" dataCellStyle="Normal 3"/>
    <tableColumn id="2" xr3:uid="{00000000-0010-0000-3800-000002000000}" name="PTO VTA" dataDxfId="399" totalsRowDxfId="398" dataCellStyle="Normal 3"/>
    <tableColumn id="3" xr3:uid="{00000000-0010-0000-3800-000003000000}" name="FC Nº" dataDxfId="397" totalsRowDxfId="396" dataCellStyle="Normal 3"/>
    <tableColumn id="4" xr3:uid="{00000000-0010-0000-3800-000004000000}" name="CUIT" dataDxfId="395" totalsRowDxfId="394" dataCellStyle="Normal 3"/>
    <tableColumn id="5" xr3:uid="{00000000-0010-0000-3800-000005000000}" name="RAZON SOCIAL" dataDxfId="393" totalsRowDxfId="392" dataCellStyle="Normal 3">
      <calculatedColumnFormula>IFERROR(IF(factura_c_mes1052[[#This Row],[CUIT]]="","-",VLOOKUP(factura_c_mes1052[[#This Row],[CUIT]],Lista_CUIT[#All],2,0)),"CUIT NO CARGADO")</calculatedColumnFormula>
    </tableColumn>
    <tableColumn id="6" xr3:uid="{00000000-0010-0000-3800-000006000000}" name="TOTAL" totalsRowFunction="sum" dataDxfId="391" totalsRowDxfId="390" dataCellStyle="Normal 3"/>
    <tableColumn id="7" xr3:uid="{00000000-0010-0000-3800-000007000000}" name="TIPO DE GASTO" dataDxfId="389" totalsRowDxfId="388" dataCellStyle="Normal 3">
      <calculatedColumnFormula>IFERROR(IF(factura_c_mes1052[[#This Row],[CUIT]]="","-",VLOOKUP(factura_c_mes1052[[#This Row],[CUIT]],Lista_CUIT[#All],3,0)),"CUIT NO CARGADO")</calculatedColumnFormula>
    </tableColumn>
    <tableColumn id="8" xr3:uid="{00000000-0010-0000-3800-000008000000}" name="Provincia" dataDxfId="387" totalsRowDxfId="386" dataCellStyle="Normal 3">
      <calculatedColumnFormula>IFERROR(IF(factura_c_mes1052[[#This Row],[CUIT]]="","-",VLOOKUP(factura_c_mes1052[[#This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9000000}" name="venta_a_mes1053" displayName="venta_a_mes1053" ref="B218:M228" totalsRowCount="1" headerRowDxfId="385" dataDxfId="383" headerRowBorderDxfId="384" tableBorderDxfId="382" totalsRowBorderDxfId="381" dataCellStyle="Normal 3">
  <autoFilter ref="B218:M227" xr:uid="{00000000-0009-0000-0100-000034000000}"/>
  <tableColumns count="12">
    <tableColumn id="1" xr3:uid="{00000000-0010-0000-3900-000001000000}" name="FECHA" totalsRowLabel="Total" dataDxfId="380" totalsRowDxfId="379" dataCellStyle="Normal 3"/>
    <tableColumn id="2" xr3:uid="{00000000-0010-0000-3900-000002000000}" name="TIPO" dataDxfId="378" totalsRowDxfId="377" dataCellStyle="Normal 3"/>
    <tableColumn id="3" xr3:uid="{00000000-0010-0000-3900-000003000000}" name="PTO VENTA" dataDxfId="376" totalsRowDxfId="375" dataCellStyle="Normal 3"/>
    <tableColumn id="4" xr3:uid="{00000000-0010-0000-3900-000004000000}" name="Nº FACTURA" dataDxfId="374" totalsRowDxfId="373" dataCellStyle="Normal 3"/>
    <tableColumn id="5" xr3:uid="{00000000-0010-0000-3900-000005000000}" name="CUIT" dataDxfId="372" totalsRowDxfId="371" dataCellStyle="Normal 3"/>
    <tableColumn id="6" xr3:uid="{00000000-0010-0000-3900-000006000000}" name="RAZON SOCIAL" dataDxfId="370" totalsRowDxfId="369" dataCellStyle="Normal 3">
      <calculatedColumnFormula>IFERROR(IF(venta_a_mes1053[[#This Row],[CUIT]]="","-",VLOOKUP(venta_a_mes1053[[#This Row],[CUIT]],Lista_CUIT[#All],2,0)),"CUIT NO CARGADO")</calculatedColumnFormula>
    </tableColumn>
    <tableColumn id="7" xr3:uid="{00000000-0010-0000-3900-000007000000}" name="IMPORTE NETO" totalsRowFunction="sum" dataDxfId="368" totalsRowDxfId="367" dataCellStyle="Normal 3"/>
    <tableColumn id="8" xr3:uid="{00000000-0010-0000-3900-000008000000}" name="IVA 21%" totalsRowFunction="sum" dataDxfId="366" totalsRowDxfId="365" dataCellStyle="Normal 3">
      <calculatedColumnFormula>venta_a_mes1053[[#This Row],[IMPORTE NETO]]*0.21</calculatedColumnFormula>
    </tableColumn>
    <tableColumn id="9" xr3:uid="{00000000-0010-0000-3900-000009000000}" name="IVA 10,5%" totalsRowFunction="sum" dataDxfId="364" totalsRowDxfId="363" dataCellStyle="Normal 3"/>
    <tableColumn id="10" xr3:uid="{00000000-0010-0000-3900-00000A000000}" name="EXENTO" totalsRowFunction="sum" dataDxfId="362" totalsRowDxfId="361" dataCellStyle="Normal 3"/>
    <tableColumn id="11" xr3:uid="{00000000-0010-0000-3900-00000B000000}" name="TOTAL" totalsRowFunction="sum" dataDxfId="360" totalsRowDxfId="359" dataCellStyle="Normal 3">
      <calculatedColumnFormula>SUM(venta_a_mes1053[[#This Row],[IMPORTE NETO]:[EXENTO]])</calculatedColumnFormula>
    </tableColumn>
    <tableColumn id="12" xr3:uid="{00000000-0010-0000-3900-00000C000000}" name="Provincia" totalsRowFunction="count" dataDxfId="358" totalsRowDxfId="357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A000000}" name="ventas_b_mes1054" displayName="ventas_b_mes1054" ref="B232:M239" totalsRowCount="1" headerRowDxfId="356" dataDxfId="354" headerRowBorderDxfId="355" tableBorderDxfId="353" totalsRowBorderDxfId="352" dataCellStyle="Normal 3">
  <autoFilter ref="B232:M238" xr:uid="{00000000-0009-0000-0100-000035000000}"/>
  <tableColumns count="12">
    <tableColumn id="1" xr3:uid="{00000000-0010-0000-3A00-000001000000}" name="FECHA" totalsRowLabel="Total" dataDxfId="351" totalsRowDxfId="350" dataCellStyle="Normal 3"/>
    <tableColumn id="2" xr3:uid="{00000000-0010-0000-3A00-000002000000}" name="TIPO" dataDxfId="349" totalsRowDxfId="348" dataCellStyle="Normal 3"/>
    <tableColumn id="3" xr3:uid="{00000000-0010-0000-3A00-000003000000}" name="PTO VENTA" dataDxfId="347" totalsRowDxfId="346" dataCellStyle="Normal 3"/>
    <tableColumn id="4" xr3:uid="{00000000-0010-0000-3A00-000004000000}" name="Nº FACTURA" dataDxfId="345" totalsRowDxfId="344" dataCellStyle="Normal 3"/>
    <tableColumn id="5" xr3:uid="{00000000-0010-0000-3A00-000005000000}" name="CUIT" dataDxfId="343" totalsRowDxfId="342" dataCellStyle="Normal 3"/>
    <tableColumn id="6" xr3:uid="{00000000-0010-0000-3A00-000006000000}" name="RAZON SOCIAL" dataDxfId="341" totalsRowDxfId="340" dataCellStyle="Normal 3">
      <calculatedColumnFormula>IFERROR(IF(ventas_b_mes1054[[#This Row],[CUIT]]="","-",VLOOKUP(ventas_b_mes1054[[#This Row],[CUIT]],Lista_CUIT[#All],2,0)),"CUIT NO CARGADO")</calculatedColumnFormula>
    </tableColumn>
    <tableColumn id="7" xr3:uid="{00000000-0010-0000-3A00-000007000000}" name="IMPORTE NETO" totalsRowFunction="sum" dataDxfId="339" totalsRowDxfId="338" dataCellStyle="Normal 3"/>
    <tableColumn id="8" xr3:uid="{00000000-0010-0000-3A00-000008000000}" name="IVA 21%" totalsRowFunction="sum" dataDxfId="337" totalsRowDxfId="336" dataCellStyle="Normal 3"/>
    <tableColumn id="9" xr3:uid="{00000000-0010-0000-3A00-000009000000}" name="IVA 10,5%" totalsRowFunction="sum" dataDxfId="335" totalsRowDxfId="334" dataCellStyle="Normal 3"/>
    <tableColumn id="10" xr3:uid="{00000000-0010-0000-3A00-00000A000000}" name="EXENTO" totalsRowFunction="sum" dataDxfId="333" totalsRowDxfId="332" dataCellStyle="Normal 3"/>
    <tableColumn id="11" xr3:uid="{00000000-0010-0000-3A00-00000B000000}" name="TOTAL" totalsRowFunction="sum" dataDxfId="331" totalsRowDxfId="330" dataCellStyle="Normal 3">
      <calculatedColumnFormula>SUM(ventas_b_mes1054[[#This Row],[IMPORTE NETO]:[EXENTO]])</calculatedColumnFormula>
    </tableColumn>
    <tableColumn id="12" xr3:uid="{00000000-0010-0000-3A00-00000C000000}" name="Provincia" totalsRowFunction="count" dataDxfId="329" totalsRowDxfId="328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B000000}" name="extracto_banco_mes1055" displayName="extracto_banco_mes1055" ref="D157:L161" totalsRowCount="1" headerRowDxfId="327" dataDxfId="326" tableBorderDxfId="325" dataCellStyle="Normal 3">
  <autoFilter ref="D157:L160" xr:uid="{00000000-0009-0000-0100-000036000000}"/>
  <tableColumns count="9">
    <tableColumn id="1" xr3:uid="{00000000-0010-0000-3B00-000001000000}" name="FECHA" totalsRowLabel="Total" dataDxfId="324" totalsRowDxfId="323" dataCellStyle="Normal 3"/>
    <tableColumn id="2" xr3:uid="{00000000-0010-0000-3B00-000002000000}" name="NRO CPTE" dataDxfId="322" totalsRowDxfId="321"/>
    <tableColumn id="3" xr3:uid="{00000000-0010-0000-3B00-000003000000}" name="BANCO" dataDxfId="320" totalsRowDxfId="319"/>
    <tableColumn id="4" xr3:uid="{00000000-0010-0000-3B00-000004000000}" name="NETO" totalsRowFunction="sum" dataDxfId="318" totalsRowDxfId="317" dataCellStyle="Normal 3">
      <calculatedColumnFormula>24+300+2.5+150+40+35+2.5+500+1001+35</calculatedColumnFormula>
    </tableColumn>
    <tableColumn id="5" xr3:uid="{00000000-0010-0000-3B00-000005000000}" name="IVA 21%" totalsRowFunction="sum" dataDxfId="316" totalsRowDxfId="315" dataCellStyle="Normal 3">
      <calculatedColumnFormula>extracto_banco_mes1055[[#This Row],[NETO]]*0.21</calculatedColumnFormula>
    </tableColumn>
    <tableColumn id="6" xr3:uid="{00000000-0010-0000-3B00-000006000000}" name="IVA 10,5%" totalsRowFunction="sum" dataDxfId="314" totalsRowDxfId="313" dataCellStyle="Normal 3"/>
    <tableColumn id="7" xr3:uid="{00000000-0010-0000-3B00-000007000000}" name="RET IIBB CABA" totalsRowFunction="sum" dataDxfId="312" totalsRowDxfId="311" dataCellStyle="Normal 3"/>
    <tableColumn id="8" xr3:uid="{00000000-0010-0000-3B00-000008000000}" name="PERC IVA" totalsRowFunction="sum" dataDxfId="310" totalsRowDxfId="309" dataCellStyle="Normal 3"/>
    <tableColumn id="9" xr3:uid="{00000000-0010-0000-3B00-000009000000}" name="PERC IIBB" totalsRowFunction="sum" dataDxfId="308" totalsRowDxfId="307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C000000}" name="Retenciones_mes1056" displayName="Retenciones_mes1056" ref="C248:L253" totalsRowShown="0" headerRowDxfId="306" dataDxfId="305" headerRowCellStyle="Normal 3" dataCellStyle="Normal 3">
  <autoFilter ref="C248:L253" xr:uid="{00000000-0009-0000-0100-000037000000}"/>
  <tableColumns count="10">
    <tableColumn id="1" xr3:uid="{00000000-0010-0000-3C00-000001000000}" name="FECHA " dataDxfId="304" dataCellStyle="Normal 3"/>
    <tableColumn id="2" xr3:uid="{00000000-0010-0000-3C00-000002000000}" name="COMP Nº" dataDxfId="303" dataCellStyle="Normal 3"/>
    <tableColumn id="3" xr3:uid="{00000000-0010-0000-3C00-000003000000}" name="Columna1" dataDxfId="302" dataCellStyle="Normal 3"/>
    <tableColumn id="4" xr3:uid="{00000000-0010-0000-3C00-000004000000}" name="CUIT" dataDxfId="301" dataCellStyle="Normal 3"/>
    <tableColumn id="5" xr3:uid="{00000000-0010-0000-3C00-000005000000}" name="RAZON SOCIAL" dataDxfId="300" dataCellStyle="Normal 3">
      <calculatedColumnFormula>IFERROR(IF(Retenciones_mes1056[[#This Row],[CUIT]]="","-",VLOOKUP(Retenciones_mes1056[[#This Row],[CUIT]],Lista_CUIT[#All],2,0)),"CUIT NO CARGADO")</calculatedColumnFormula>
    </tableColumn>
    <tableColumn id="6" xr3:uid="{00000000-0010-0000-3C00-000006000000}" name="Ganancias" dataDxfId="299" dataCellStyle="Normal 3"/>
    <tableColumn id="7" xr3:uid="{00000000-0010-0000-3C00-000007000000}" name="IVA" dataDxfId="298" dataCellStyle="Normal 3"/>
    <tableColumn id="8" xr3:uid="{00000000-0010-0000-3C00-000008000000}" name="SUSS" dataDxfId="297" dataCellStyle="Normal 3"/>
    <tableColumn id="9" xr3:uid="{00000000-0010-0000-3C00-000009000000}" name="IIBB BSAS" dataDxfId="296" dataCellStyle="Normal 3"/>
    <tableColumn id="10" xr3:uid="{00000000-0010-0000-3C00-00000A000000}" name="IIBB CABA" dataDxfId="295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136" totalsRowCount="1" headerRowDxfId="294" dataDxfId="293" totalsRowDxfId="292">
  <autoFilter ref="B8:R135" xr:uid="{00000000-0009-0000-0100-00004B000000}"/>
  <sortState xmlns:xlrd2="http://schemas.microsoft.com/office/spreadsheetml/2017/richdata2" ref="B9:R135">
    <sortCondition ref="B8:B135"/>
  </sortState>
  <tableColumns count="17">
    <tableColumn id="1" xr3:uid="{00000000-0010-0000-3D00-000001000000}" name="FECHA" totalsRowLabel="Total" dataDxfId="291" totalsRowDxfId="290"/>
    <tableColumn id="2" xr3:uid="{00000000-0010-0000-3D00-000002000000}" name="TIPO" dataDxfId="289" totalsRowDxfId="288"/>
    <tableColumn id="3" xr3:uid="{00000000-0010-0000-3D00-000003000000}" name="PTO VTA" dataDxfId="287" totalsRowDxfId="286"/>
    <tableColumn id="4" xr3:uid="{00000000-0010-0000-3D00-000004000000}" name="NRO. CPTE" dataDxfId="285" totalsRowDxfId="284"/>
    <tableColumn id="5" xr3:uid="{00000000-0010-0000-3D00-000005000000}" name="CUIT" dataDxfId="283" totalsRowDxfId="282"/>
    <tableColumn id="6" xr3:uid="{00000000-0010-0000-3D00-000006000000}" name="RAZON SOCIAL" dataDxfId="281" totalsRowDxfId="280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279" totalsRowDxfId="278"/>
    <tableColumn id="8" xr3:uid="{00000000-0010-0000-3D00-000008000000}" name="IVA 21 %" totalsRowFunction="sum" dataDxfId="277" totalsRowDxfId="276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275" totalsRowDxfId="274"/>
    <tableColumn id="10" xr3:uid="{00000000-0010-0000-3D00-00000A000000}" name="IVA 10,5%" totalsRowFunction="sum" dataDxfId="273" totalsRowDxfId="272"/>
    <tableColumn id="11" xr3:uid="{00000000-0010-0000-3D00-00000B000000}" name="PERC. IVA" totalsRowFunction="sum" dataDxfId="271" totalsRowDxfId="270"/>
    <tableColumn id="12" xr3:uid="{00000000-0010-0000-3D00-00000C000000}" name="PERC IIBB _x000a_BS AS" totalsRowFunction="sum" dataDxfId="269" totalsRowDxfId="268"/>
    <tableColumn id="13" xr3:uid="{00000000-0010-0000-3D00-00000D000000}" name="PERC. IIBB CABA" totalsRowFunction="sum" dataDxfId="267" totalsRowDxfId="266"/>
    <tableColumn id="14" xr3:uid="{00000000-0010-0000-3D00-00000E000000}" name="Otros / No Grav." totalsRowFunction="sum" dataDxfId="265" totalsRowDxfId="264"/>
    <tableColumn id="15" xr3:uid="{00000000-0010-0000-3D00-00000F000000}" name="TOTAL" totalsRowFunction="sum" dataDxfId="263" totalsRowDxfId="262">
      <calculatedColumnFormula>SUM(compras_mes11[[#This Row],[NETO GRAVADO]:[Otros / No Grav.]])</calculatedColumnFormula>
    </tableColumn>
    <tableColumn id="16" xr3:uid="{00000000-0010-0000-3D00-000010000000}" name="Tipo de Gasto" dataDxfId="261" totalsRowDxfId="260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259" totalsRowDxfId="258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153:K179" totalsRowCount="1" headerRowDxfId="257" totalsRowDxfId="256" headerRowCellStyle="Normal 3">
  <autoFilter ref="D153:K178" xr:uid="{00000000-0009-0000-0100-00004C000000}"/>
  <tableColumns count="8">
    <tableColumn id="1" xr3:uid="{00000000-0010-0000-3E00-000001000000}" name="FECHA" totalsRowLabel="Total" dataDxfId="255" totalsRowDxfId="254" dataCellStyle="Normal 3"/>
    <tableColumn id="2" xr3:uid="{00000000-0010-0000-3E00-000002000000}" name="PTO VTA" dataDxfId="253" totalsRowDxfId="252" dataCellStyle="Normal 3"/>
    <tableColumn id="3" xr3:uid="{00000000-0010-0000-3E00-000003000000}" name="FC Nº" dataDxfId="251" totalsRowDxfId="250" dataCellStyle="Normal 3"/>
    <tableColumn id="4" xr3:uid="{00000000-0010-0000-3E00-000004000000}" name="CUIT" dataDxfId="249" totalsRowDxfId="248" dataCellStyle="Normal 3"/>
    <tableColumn id="5" xr3:uid="{00000000-0010-0000-3E00-000005000000}" name="RAZON SOCIAL" dataDxfId="247" totalsRowDxfId="246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245" totalsRowDxfId="244" dataCellStyle="Normal 3"/>
    <tableColumn id="7" xr3:uid="{00000000-0010-0000-3E00-000007000000}" name="TIPO DE GASTO" dataDxfId="243" totalsRowDxfId="242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241" totalsRowDxfId="240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183:M190" totalsRowCount="1" headerRowDxfId="239" dataDxfId="237" headerRowBorderDxfId="238" tableBorderDxfId="236" totalsRowBorderDxfId="235" dataCellStyle="Normal 3">
  <autoFilter ref="B183:M189" xr:uid="{00000000-0009-0000-0100-00004D000000}"/>
  <tableColumns count="12">
    <tableColumn id="1" xr3:uid="{00000000-0010-0000-3F00-000001000000}" name="FECHA" totalsRowLabel="Total" dataDxfId="234" totalsRowDxfId="233" dataCellStyle="Normal 3"/>
    <tableColumn id="2" xr3:uid="{00000000-0010-0000-3F00-000002000000}" name="TIPO" dataDxfId="232" totalsRowDxfId="231" dataCellStyle="Normal 3"/>
    <tableColumn id="3" xr3:uid="{00000000-0010-0000-3F00-000003000000}" name="PTO VENTA" dataDxfId="230" totalsRowDxfId="229" dataCellStyle="Normal 3"/>
    <tableColumn id="4" xr3:uid="{00000000-0010-0000-3F00-000004000000}" name="Nº FACTURA" dataDxfId="228" totalsRowDxfId="227" dataCellStyle="Normal 3"/>
    <tableColumn id="5" xr3:uid="{00000000-0010-0000-3F00-000005000000}" name="CUIT" dataDxfId="226" totalsRowDxfId="225" dataCellStyle="Normal 3"/>
    <tableColumn id="6" xr3:uid="{00000000-0010-0000-3F00-000006000000}" name="RAZON SOCIAL" dataDxfId="224" totalsRowDxfId="223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222" totalsRowDxfId="221" dataCellStyle="Normal 3"/>
    <tableColumn id="8" xr3:uid="{00000000-0010-0000-3F00-000008000000}" name="IVA 21%" totalsRowFunction="sum" dataDxfId="220" totalsRowDxfId="219" dataCellStyle="Normal 3">
      <calculatedColumnFormula>venta_a_mes11[[#This Row],[IMPORTE NETO]]*0.21</calculatedColumnFormula>
    </tableColumn>
    <tableColumn id="9" xr3:uid="{00000000-0010-0000-3F00-000009000000}" name="IVA 10,5%" totalsRowFunction="sum" dataDxfId="218" totalsRowDxfId="217" dataCellStyle="Normal 3"/>
    <tableColumn id="10" xr3:uid="{00000000-0010-0000-3F00-00000A000000}" name="EXENTO" totalsRowFunction="sum" dataDxfId="216" totalsRowDxfId="215" dataCellStyle="Normal 3"/>
    <tableColumn id="11" xr3:uid="{00000000-0010-0000-3F00-00000B000000}" name="TOTAL" totalsRowFunction="sum" dataDxfId="214" totalsRowDxfId="213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212" totalsRowDxfId="211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194:M428" totalsRowCount="1" headerRowDxfId="210" dataDxfId="208" headerRowBorderDxfId="209" tableBorderDxfId="207" totalsRowBorderDxfId="206" dataCellStyle="Normal 3">
  <autoFilter ref="B194:M427" xr:uid="{00000000-0009-0000-0100-00004E000000}"/>
  <tableColumns count="12">
    <tableColumn id="1" xr3:uid="{00000000-0010-0000-4000-000001000000}" name="FECHA" totalsRowLabel="Total" dataDxfId="205" totalsRowDxfId="204" dataCellStyle="Normal 3"/>
    <tableColumn id="2" xr3:uid="{00000000-0010-0000-4000-000002000000}" name="TIPO" dataDxfId="203" totalsRowDxfId="202" dataCellStyle="Normal 3"/>
    <tableColumn id="3" xr3:uid="{00000000-0010-0000-4000-000003000000}" name="PTO VENTA" dataDxfId="201" totalsRowDxfId="200" dataCellStyle="Normal 3"/>
    <tableColumn id="4" xr3:uid="{00000000-0010-0000-4000-000004000000}" name="Nº FACTURA" dataDxfId="199" totalsRowDxfId="198" dataCellStyle="Normal 3"/>
    <tableColumn id="5" xr3:uid="{00000000-0010-0000-4000-000005000000}" name="CUIT" dataDxfId="197" totalsRowDxfId="196" dataCellStyle="Normal 3"/>
    <tableColumn id="6" xr3:uid="{00000000-0010-0000-4000-000006000000}" name="RAZON SOCIAL" dataDxfId="195" totalsRowDxfId="194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193" totalsRowDxfId="192" dataCellStyle="Normal 3"/>
    <tableColumn id="8" xr3:uid="{00000000-0010-0000-4000-000008000000}" name="IVA 21%" totalsRowFunction="sum" dataDxfId="191" totalsRowDxfId="190" dataCellStyle="Normal 3"/>
    <tableColumn id="9" xr3:uid="{00000000-0010-0000-4000-000009000000}" name="IVA 10,5%" totalsRowFunction="sum" dataDxfId="189" totalsRowDxfId="188" dataCellStyle="Normal 3"/>
    <tableColumn id="10" xr3:uid="{00000000-0010-0000-4000-00000A000000}" name="EXENTO" totalsRowFunction="sum" dataDxfId="187" totalsRowDxfId="186" dataCellStyle="Normal 3"/>
    <tableColumn id="11" xr3:uid="{00000000-0010-0000-4000-00000B000000}" name="TOTAL" totalsRowFunction="sum" dataDxfId="185" totalsRowDxfId="184" dataCellStyle="Normal 3">
      <calculatedColumnFormula>SUM(ventas_b_mes11[[#This Row],[IMPORTE NETO]:[EXENTO]])</calculatedColumnFormula>
    </tableColumn>
    <tableColumn id="12" xr3:uid="{00000000-0010-0000-4000-00000C000000}" name="Provincia" totalsRowFunction="count" dataDxfId="183" totalsRowDxfId="182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142:M148" totalsRowCount="1" headerRowDxfId="181" dataDxfId="180" tableBorderDxfId="179" dataCellStyle="Normal 3">
  <autoFilter ref="D142:M147" xr:uid="{00000000-0009-0000-0100-00004F000000}"/>
  <tableColumns count="10">
    <tableColumn id="1" xr3:uid="{00000000-0010-0000-4100-000001000000}" name="FECHA" totalsRowLabel="Total" dataDxfId="178" totalsRowDxfId="177" dataCellStyle="Normal 3"/>
    <tableColumn id="2" xr3:uid="{00000000-0010-0000-4100-000002000000}" name="NRO CPTE" dataDxfId="176" totalsRowDxfId="175"/>
    <tableColumn id="10" xr3:uid="{00000000-0010-0000-4100-00000A000000}" name="CUIT" dataDxfId="174" totalsRowDxfId="173"/>
    <tableColumn id="3" xr3:uid="{00000000-0010-0000-4100-000003000000}" name="BANCO" dataDxfId="172" totalsRowDxfId="171"/>
    <tableColumn id="4" xr3:uid="{00000000-0010-0000-4100-000004000000}" name="NETO" totalsRowFunction="sum" dataDxfId="170" totalsRowDxfId="169" dataCellStyle="Normal 3"/>
    <tableColumn id="5" xr3:uid="{00000000-0010-0000-4100-000005000000}" name="IVA 21%" totalsRowFunction="sum" dataDxfId="168" totalsRowDxfId="167" dataCellStyle="Normal 3">
      <calculatedColumnFormula>extracto_banco_mes11[[#This Row],[NETO]]*0.21</calculatedColumnFormula>
    </tableColumn>
    <tableColumn id="6" xr3:uid="{00000000-0010-0000-4100-000006000000}" name="IVA 10,5%" totalsRowFunction="sum" dataDxfId="166" totalsRowDxfId="165" dataCellStyle="Normal 3"/>
    <tableColumn id="7" xr3:uid="{00000000-0010-0000-4100-000007000000}" name="RET IIBB CABA" totalsRowFunction="sum" dataDxfId="164" totalsRowDxfId="163" dataCellStyle="Normal 3"/>
    <tableColumn id="8" xr3:uid="{00000000-0010-0000-4100-000008000000}" name="PERC IVA" totalsRowFunction="sum" dataDxfId="162" totalsRowDxfId="161" dataCellStyle="Normal 3"/>
    <tableColumn id="9" xr3:uid="{00000000-0010-0000-4100-000009000000}" name="PERC IIBB" totalsRowFunction="sum" dataDxfId="160" totalsRowDxfId="159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430:L435" totalsRowShown="0" headerRowDxfId="158" dataDxfId="157" headerRowCellStyle="Normal 3" dataCellStyle="Normal 3">
  <autoFilter ref="C430:L435" xr:uid="{00000000-0009-0000-0100-000050000000}"/>
  <tableColumns count="10">
    <tableColumn id="1" xr3:uid="{00000000-0010-0000-4200-000001000000}" name="FECHA " dataDxfId="156" dataCellStyle="Normal 3"/>
    <tableColumn id="2" xr3:uid="{00000000-0010-0000-4200-000002000000}" name="COMP Nº" dataDxfId="155" dataCellStyle="Normal 3"/>
    <tableColumn id="3" xr3:uid="{00000000-0010-0000-4200-000003000000}" name="Columna1" dataDxfId="154" dataCellStyle="Normal 3"/>
    <tableColumn id="4" xr3:uid="{00000000-0010-0000-4200-000004000000}" name="CUIT" dataDxfId="153" dataCellStyle="Normal 3"/>
    <tableColumn id="5" xr3:uid="{00000000-0010-0000-4200-000005000000}" name="RAZON SOCIAL" dataDxfId="152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151" dataCellStyle="Normal 3"/>
    <tableColumn id="7" xr3:uid="{00000000-0010-0000-4200-000007000000}" name="IVA" dataDxfId="150" dataCellStyle="Normal 3"/>
    <tableColumn id="8" xr3:uid="{00000000-0010-0000-4200-000008000000}" name="SUSS" dataDxfId="149" dataCellStyle="Normal 3"/>
    <tableColumn id="9" xr3:uid="{00000000-0010-0000-4200-000009000000}" name="IIBB BSAS" dataDxfId="148" dataCellStyle="Normal 3"/>
    <tableColumn id="10" xr3:uid="{00000000-0010-0000-4200-00000A000000}" name="IIBB CABA" dataDxfId="147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3000000}" name="compras_mes12" displayName="compras_mes12" ref="B8:R129" totalsRowCount="1" headerRowDxfId="146" dataDxfId="145" totalsRowDxfId="144">
  <autoFilter ref="B8:R128" xr:uid="{00000000-0009-0000-0100-000045000000}"/>
  <sortState xmlns:xlrd2="http://schemas.microsoft.com/office/spreadsheetml/2017/richdata2" ref="B9:R90">
    <sortCondition ref="B8:B90"/>
  </sortState>
  <tableColumns count="17">
    <tableColumn id="1" xr3:uid="{00000000-0010-0000-4300-000001000000}" name="FECHA" totalsRowLabel="Total" dataDxfId="143" totalsRowDxfId="142" dataCellStyle="Normal 3"/>
    <tableColumn id="2" xr3:uid="{00000000-0010-0000-4300-000002000000}" name="TIPO" dataDxfId="141" totalsRowDxfId="140" dataCellStyle="Normal 3"/>
    <tableColumn id="3" xr3:uid="{00000000-0010-0000-4300-000003000000}" name="PTO VTA" dataDxfId="139" totalsRowDxfId="138" dataCellStyle="Normal 3"/>
    <tableColumn id="4" xr3:uid="{00000000-0010-0000-4300-000004000000}" name="NRO. CPTE" dataDxfId="137" totalsRowDxfId="136" dataCellStyle="Normal 3"/>
    <tableColumn id="5" xr3:uid="{00000000-0010-0000-4300-000005000000}" name="CUIT" dataDxfId="135" totalsRowDxfId="134" dataCellStyle="Normal 3"/>
    <tableColumn id="6" xr3:uid="{00000000-0010-0000-4300-000006000000}" name="RAZON SOCIAL" dataDxfId="133" totalsRowDxfId="132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300-000007000000}" name="NETO GRAVADO" totalsRowFunction="sum" dataDxfId="131" totalsRowDxfId="130" dataCellStyle="Normal 3"/>
    <tableColumn id="8" xr3:uid="{00000000-0010-0000-4300-000008000000}" name="IVA 21 %" totalsRowFunction="sum" dataDxfId="129" totalsRowDxfId="128" dataCellStyle="Normal 3">
      <calculatedColumnFormula>IF(compras_mes12[[#This Row],[NETO GRAVADO]]="","",compras_mes12[[#This Row],[NETO GRAVADO]]*0.21)</calculatedColumnFormula>
    </tableColumn>
    <tableColumn id="9" xr3:uid="{00000000-0010-0000-4300-000009000000}" name="IVA 27%" totalsRowFunction="sum" dataDxfId="127" totalsRowDxfId="126" dataCellStyle="Normal 3"/>
    <tableColumn id="10" xr3:uid="{00000000-0010-0000-4300-00000A000000}" name="IVA 10,5%" totalsRowFunction="sum" dataDxfId="125" totalsRowDxfId="124" dataCellStyle="Normal 3"/>
    <tableColumn id="11" xr3:uid="{00000000-0010-0000-4300-00000B000000}" name="PERC. IVA" totalsRowFunction="sum" dataDxfId="123" totalsRowDxfId="122" dataCellStyle="Normal 3"/>
    <tableColumn id="12" xr3:uid="{00000000-0010-0000-4300-00000C000000}" name="PERC IIBB _x000a_BS AS" totalsRowFunction="sum" dataDxfId="121" totalsRowDxfId="120" dataCellStyle="Normal 3"/>
    <tableColumn id="13" xr3:uid="{00000000-0010-0000-4300-00000D000000}" name="PERC. IIBB CABA" totalsRowFunction="sum" dataDxfId="119" totalsRowDxfId="118" dataCellStyle="Normal 3"/>
    <tableColumn id="14" xr3:uid="{00000000-0010-0000-4300-00000E000000}" name="Otros / No Grav." totalsRowFunction="sum" dataDxfId="117" totalsRowDxfId="116" dataCellStyle="Normal 3"/>
    <tableColumn id="15" xr3:uid="{00000000-0010-0000-4300-00000F000000}" name="TOTAL" totalsRowFunction="sum" dataDxfId="115" totalsRowDxfId="114" dataCellStyle="Normal 3">
      <calculatedColumnFormula>SUM(compras_mes12[[#This Row],[NETO GRAVADO]:[Otros / No Grav.]])</calculatedColumnFormula>
    </tableColumn>
    <tableColumn id="16" xr3:uid="{00000000-0010-0000-4300-000010000000}" name="Tipo de Gasto" dataDxfId="113" totalsRowDxfId="112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300-000011000000}" name="Provincia" dataDxfId="111" totalsRowDxfId="110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4000000}" name="factura_c_mes12" displayName="factura_c_mes12" ref="D144:K171" totalsRowCount="1" headerRowDxfId="109" dataDxfId="108" totalsRowDxfId="107" headerRowCellStyle="Normal 3">
  <autoFilter ref="D144:K170" xr:uid="{00000000-0009-0000-0100-000046000000}"/>
  <tableColumns count="8">
    <tableColumn id="1" xr3:uid="{00000000-0010-0000-4400-000001000000}" name="FECHA" totalsRowLabel="Total" dataDxfId="106" totalsRowDxfId="105" dataCellStyle="Normal 3"/>
    <tableColumn id="2" xr3:uid="{00000000-0010-0000-4400-000002000000}" name="PTO VTA" dataDxfId="104" totalsRowDxfId="103" dataCellStyle="Normal 3"/>
    <tableColumn id="3" xr3:uid="{00000000-0010-0000-4400-000003000000}" name="FC Nº" dataDxfId="102" totalsRowDxfId="101" dataCellStyle="Normal 3"/>
    <tableColumn id="4" xr3:uid="{00000000-0010-0000-4400-000004000000}" name="CUIT" dataDxfId="100" totalsRowDxfId="99" dataCellStyle="Normal 3"/>
    <tableColumn id="5" xr3:uid="{00000000-0010-0000-4400-000005000000}" name="RAZON SOCIAL" dataDxfId="98" totalsRowDxfId="97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400-000006000000}" name="TOTAL" totalsRowFunction="sum" dataDxfId="96" totalsRowDxfId="95" dataCellStyle="Normal 3"/>
    <tableColumn id="7" xr3:uid="{00000000-0010-0000-4400-000007000000}" name="TIPO DE GASTO" dataDxfId="94" totalsRowDxfId="93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400-000008000000}" name="Provincia" dataDxfId="92" totalsRowDxfId="91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5000000}" name="venta_a_mes12" displayName="venta_a_mes12" ref="B179:M189" totalsRowCount="1" headerRowDxfId="90" dataDxfId="88" headerRowBorderDxfId="89" tableBorderDxfId="87" totalsRowBorderDxfId="86" dataCellStyle="Normal 3">
  <autoFilter ref="B179:M188" xr:uid="{00000000-0009-0000-0100-000047000000}"/>
  <tableColumns count="12">
    <tableColumn id="1" xr3:uid="{00000000-0010-0000-4500-000001000000}" name="FECHA" totalsRowLabel="Total" dataDxfId="85" totalsRowDxfId="84" dataCellStyle="Normal 3"/>
    <tableColumn id="2" xr3:uid="{00000000-0010-0000-4500-000002000000}" name="TIPO" dataDxfId="83" totalsRowDxfId="82" dataCellStyle="Normal 3"/>
    <tableColumn id="3" xr3:uid="{00000000-0010-0000-4500-000003000000}" name="PTO VENTA" dataDxfId="81" totalsRowDxfId="80" dataCellStyle="Normal 3"/>
    <tableColumn id="4" xr3:uid="{00000000-0010-0000-4500-000004000000}" name="Nº FACTURA" dataDxfId="79" totalsRowDxfId="78" dataCellStyle="Normal 3"/>
    <tableColumn id="5" xr3:uid="{00000000-0010-0000-4500-000005000000}" name="CUIT" dataDxfId="77" totalsRowDxfId="76" dataCellStyle="Normal 3"/>
    <tableColumn id="6" xr3:uid="{00000000-0010-0000-4500-000006000000}" name="RAZON SOCIAL" dataDxfId="75" totalsRowDxfId="74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500-000007000000}" name="IMPORTE NETO" totalsRowFunction="sum" dataDxfId="73" totalsRowDxfId="72" dataCellStyle="Normal 3"/>
    <tableColumn id="8" xr3:uid="{00000000-0010-0000-4500-000008000000}" name="IVA 21%" totalsRowFunction="sum" dataDxfId="71" totalsRowDxfId="70" dataCellStyle="Normal 3">
      <calculatedColumnFormula>venta_a_mes12[[#This Row],[IMPORTE NETO]]*0.21</calculatedColumnFormula>
    </tableColumn>
    <tableColumn id="9" xr3:uid="{00000000-0010-0000-4500-000009000000}" name="IVA 10,5%" totalsRowFunction="sum" dataDxfId="69" totalsRowDxfId="68" dataCellStyle="Normal 3"/>
    <tableColumn id="10" xr3:uid="{00000000-0010-0000-4500-00000A000000}" name="EXENTO" totalsRowFunction="sum" dataDxfId="67" totalsRowDxfId="66" dataCellStyle="Normal 3"/>
    <tableColumn id="11" xr3:uid="{00000000-0010-0000-4500-00000B000000}" name="TOTAL" totalsRowFunction="sum" dataDxfId="65" totalsRowDxfId="64" dataCellStyle="Normal 3">
      <calculatedColumnFormula>SUM(venta_a_mes12[[#This Row],[IMPORTE NETO]:[EXENTO]])</calculatedColumnFormula>
    </tableColumn>
    <tableColumn id="12" xr3:uid="{00000000-0010-0000-4500-00000C000000}" name="Provincia" totalsRowFunction="count" dataDxfId="63" totalsRowDxfId="62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6000000}" name="ventas_b_mes12" displayName="ventas_b_mes12" ref="B193:M200" totalsRowCount="1" headerRowDxfId="61" dataDxfId="59" headerRowBorderDxfId="60" tableBorderDxfId="58" totalsRowBorderDxfId="57" dataCellStyle="Normal 3">
  <autoFilter ref="B193:M199" xr:uid="{00000000-0009-0000-0100-000048000000}"/>
  <tableColumns count="12">
    <tableColumn id="1" xr3:uid="{00000000-0010-0000-4600-000001000000}" name="FECHA" totalsRowLabel="Total" dataDxfId="56" totalsRowDxfId="55" dataCellStyle="Normal 3"/>
    <tableColumn id="2" xr3:uid="{00000000-0010-0000-4600-000002000000}" name="TIPO" dataDxfId="54" totalsRowDxfId="53" dataCellStyle="Normal 3"/>
    <tableColumn id="3" xr3:uid="{00000000-0010-0000-4600-000003000000}" name="PTO VENTA" dataDxfId="52" totalsRowDxfId="51" dataCellStyle="Normal 3"/>
    <tableColumn id="4" xr3:uid="{00000000-0010-0000-4600-000004000000}" name="Nº FACTURA" dataDxfId="50" totalsRowDxfId="49" dataCellStyle="Normal 3"/>
    <tableColumn id="5" xr3:uid="{00000000-0010-0000-4600-000005000000}" name="CUIT" dataDxfId="48" totalsRowDxfId="47" dataCellStyle="Normal 3"/>
    <tableColumn id="6" xr3:uid="{00000000-0010-0000-4600-000006000000}" name="RAZON SOCIAL" dataDxfId="46" totalsRowDxfId="45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600-000007000000}" name="IMPORTE NETO" totalsRowFunction="sum" dataDxfId="44" totalsRowDxfId="43" dataCellStyle="Normal 3"/>
    <tableColumn id="8" xr3:uid="{00000000-0010-0000-4600-000008000000}" name="IVA 21%" totalsRowFunction="sum" dataDxfId="42" totalsRowDxfId="41" dataCellStyle="Normal 3"/>
    <tableColumn id="9" xr3:uid="{00000000-0010-0000-4600-000009000000}" name="IVA 10,5%" totalsRowFunction="sum" dataDxfId="40" totalsRowDxfId="39" dataCellStyle="Normal 3"/>
    <tableColumn id="10" xr3:uid="{00000000-0010-0000-4600-00000A000000}" name="EXENTO" totalsRowFunction="sum" dataDxfId="38" totalsRowDxfId="37" dataCellStyle="Normal 3"/>
    <tableColumn id="11" xr3:uid="{00000000-0010-0000-4600-00000B000000}" name="TOTAL" totalsRowFunction="sum" dataDxfId="36" totalsRowDxfId="35" dataCellStyle="Normal 3">
      <calculatedColumnFormula>SUM(ventas_b_mes12[[#This Row],[IMPORTE NETO]:[EXENTO]])</calculatedColumnFormula>
    </tableColumn>
    <tableColumn id="12" xr3:uid="{00000000-0010-0000-4600-00000C000000}" name="Provincia" totalsRowFunction="count" dataDxfId="34" totalsRowDxfId="33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7000000}" name="extracto_banco_mes12" displayName="extracto_banco_mes12" ref="D135:L139" totalsRowCount="1" headerRowDxfId="32" dataDxfId="31" tableBorderDxfId="30" dataCellStyle="Normal 3">
  <autoFilter ref="D135:L138" xr:uid="{00000000-0009-0000-0100-000049000000}"/>
  <tableColumns count="9">
    <tableColumn id="1" xr3:uid="{00000000-0010-0000-4700-000001000000}" name="FECHA" totalsRowLabel="Total" dataDxfId="29" totalsRowDxfId="28" dataCellStyle="Normal 3"/>
    <tableColumn id="2" xr3:uid="{00000000-0010-0000-4700-000002000000}" name="NRO CPTE" dataDxfId="27" totalsRowDxfId="26"/>
    <tableColumn id="3" xr3:uid="{00000000-0010-0000-4700-000003000000}" name="BANCO" dataDxfId="25" totalsRowDxfId="24"/>
    <tableColumn id="4" xr3:uid="{00000000-0010-0000-4700-000004000000}" name="NETO" totalsRowFunction="sum" dataDxfId="23" totalsRowDxfId="22" dataCellStyle="Normal 3">
      <calculatedColumnFormula>24+155+49+16+150+500+300+4600</calculatedColumnFormula>
    </tableColumn>
    <tableColumn id="5" xr3:uid="{00000000-0010-0000-4700-000005000000}" name="IVA 21%" totalsRowFunction="sum" dataDxfId="21" totalsRowDxfId="20" dataCellStyle="Normal 3">
      <calculatedColumnFormula>extracto_banco_mes12[[#This Row],[NETO]]*21/100</calculatedColumnFormula>
    </tableColumn>
    <tableColumn id="6" xr3:uid="{00000000-0010-0000-4700-000006000000}" name="IVA 10,5%" totalsRowFunction="sum" dataDxfId="19" totalsRowDxfId="18" dataCellStyle="Normal 3"/>
    <tableColumn id="7" xr3:uid="{00000000-0010-0000-4700-000007000000}" name="RET IIBB CABA" totalsRowFunction="sum" dataDxfId="17" totalsRowDxfId="16" dataCellStyle="Normal 3">
      <calculatedColumnFormula>553.76+556.2</calculatedColumnFormula>
    </tableColumn>
    <tableColumn id="8" xr3:uid="{00000000-0010-0000-4700-000008000000}" name="PERC IVA" totalsRowFunction="sum" dataDxfId="15" totalsRowDxfId="14" dataCellStyle="Normal 3"/>
    <tableColumn id="9" xr3:uid="{00000000-0010-0000-4700-000009000000}" name="PERC IIBB" totalsRowFunction="sum" dataDxfId="13" totalsRowDxfId="12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8000000}" name="Retenciones_mes12" displayName="Retenciones_mes12" ref="C209:L214" totalsRowShown="0" headerRowDxfId="11" dataDxfId="10" headerRowCellStyle="Normal 3" dataCellStyle="Normal 3">
  <autoFilter ref="C209:L214" xr:uid="{00000000-0009-0000-0100-00004A000000}"/>
  <tableColumns count="10">
    <tableColumn id="1" xr3:uid="{00000000-0010-0000-4800-000001000000}" name="FECHA " dataDxfId="9" dataCellStyle="Normal 3"/>
    <tableColumn id="2" xr3:uid="{00000000-0010-0000-4800-000002000000}" name="COMP Nº" dataDxfId="8" dataCellStyle="Normal 3"/>
    <tableColumn id="3" xr3:uid="{00000000-0010-0000-4800-000003000000}" name="Columna1" dataDxfId="7" dataCellStyle="Normal 3"/>
    <tableColumn id="4" xr3:uid="{00000000-0010-0000-4800-000004000000}" name="CUIT" dataDxfId="6" dataCellStyle="Normal 3"/>
    <tableColumn id="5" xr3:uid="{00000000-0010-0000-4800-000005000000}" name="RAZON SOCIAL" dataDxfId="5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800-000006000000}" name="Ganancias" dataDxfId="4" dataCellStyle="Normal 3"/>
    <tableColumn id="7" xr3:uid="{00000000-0010-0000-4800-000007000000}" name="IVA" dataDxfId="3" dataCellStyle="Normal 3"/>
    <tableColumn id="8" xr3:uid="{00000000-0010-0000-4800-000008000000}" name="SUSS" dataDxfId="2" dataCellStyle="Normal 3"/>
    <tableColumn id="9" xr3:uid="{00000000-0010-0000-4800-000009000000}" name="IIBB BSAS" dataDxfId="1" dataCellStyle="Normal 3"/>
    <tableColumn id="10" xr3:uid="{00000000-0010-0000-4800-00000A000000}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586"/>
  <sheetViews>
    <sheetView topLeftCell="A2498" zoomScaleNormal="100" workbookViewId="0">
      <selection activeCell="C2511" sqref="C2511"/>
    </sheetView>
  </sheetViews>
  <sheetFormatPr baseColWidth="10" defaultColWidth="11.5703125" defaultRowHeight="15" x14ac:dyDescent="0.25"/>
  <cols>
    <col min="1" max="1" width="13.28515625" style="35" bestFit="1" customWidth="1"/>
    <col min="2" max="2" width="80.85546875" bestFit="1" customWidth="1"/>
    <col min="3" max="3" width="20" style="35" bestFit="1" customWidth="1"/>
    <col min="4" max="4" width="15" bestFit="1" customWidth="1"/>
    <col min="7" max="7" width="20.57031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25">
      <c r="A2" s="36">
        <v>20174004146</v>
      </c>
      <c r="B2" t="s">
        <v>793</v>
      </c>
      <c r="C2" s="35" t="s">
        <v>794</v>
      </c>
      <c r="G2" s="121" t="s">
        <v>84</v>
      </c>
    </row>
    <row r="3" spans="1:7" x14ac:dyDescent="0.25">
      <c r="A3" s="36">
        <v>30708555548</v>
      </c>
      <c r="B3" t="s">
        <v>122</v>
      </c>
      <c r="C3" s="35" t="s">
        <v>81</v>
      </c>
      <c r="G3" s="122" t="s">
        <v>80</v>
      </c>
    </row>
    <row r="4" spans="1:7" x14ac:dyDescent="0.25">
      <c r="A4" s="36">
        <v>20270821</v>
      </c>
      <c r="B4" t="s">
        <v>795</v>
      </c>
      <c r="G4" s="121" t="s">
        <v>113</v>
      </c>
    </row>
    <row r="5" spans="1:7" x14ac:dyDescent="0.25">
      <c r="A5" s="36">
        <v>30641659106</v>
      </c>
      <c r="B5" t="s">
        <v>796</v>
      </c>
      <c r="C5" s="35" t="s">
        <v>797</v>
      </c>
      <c r="G5" s="122" t="s">
        <v>85</v>
      </c>
    </row>
    <row r="6" spans="1:7" x14ac:dyDescent="0.25">
      <c r="A6" s="36">
        <v>30709565075</v>
      </c>
      <c r="B6" t="s">
        <v>123</v>
      </c>
      <c r="C6" s="35" t="s">
        <v>798</v>
      </c>
      <c r="G6" s="121" t="s">
        <v>79</v>
      </c>
    </row>
    <row r="7" spans="1:7" x14ac:dyDescent="0.25">
      <c r="A7" s="36">
        <v>18149370</v>
      </c>
      <c r="B7" t="s">
        <v>799</v>
      </c>
      <c r="G7" s="122" t="s">
        <v>114</v>
      </c>
    </row>
    <row r="8" spans="1:7" x14ac:dyDescent="0.25">
      <c r="A8" s="36">
        <v>20273107526</v>
      </c>
      <c r="B8" t="s">
        <v>800</v>
      </c>
      <c r="G8" s="121" t="s">
        <v>97</v>
      </c>
    </row>
    <row r="9" spans="1:7" x14ac:dyDescent="0.25">
      <c r="A9" s="36">
        <v>4399520</v>
      </c>
      <c r="B9" t="s">
        <v>801</v>
      </c>
      <c r="G9" s="122" t="s">
        <v>78</v>
      </c>
    </row>
    <row r="10" spans="1:7" x14ac:dyDescent="0.25">
      <c r="A10" s="36">
        <v>18139117</v>
      </c>
      <c r="B10" t="s">
        <v>802</v>
      </c>
      <c r="G10" s="121" t="s">
        <v>115</v>
      </c>
    </row>
    <row r="11" spans="1:7" x14ac:dyDescent="0.25">
      <c r="A11" s="36">
        <v>8208160</v>
      </c>
      <c r="B11" t="s">
        <v>803</v>
      </c>
      <c r="G11" s="122" t="s">
        <v>90</v>
      </c>
    </row>
    <row r="12" spans="1:7" x14ac:dyDescent="0.25">
      <c r="A12" s="36">
        <v>29803614</v>
      </c>
      <c r="B12" t="s">
        <v>804</v>
      </c>
      <c r="G12" s="121" t="s">
        <v>111</v>
      </c>
    </row>
    <row r="13" spans="1:7" x14ac:dyDescent="0.25">
      <c r="A13" s="36">
        <v>33109633</v>
      </c>
      <c r="B13" t="s">
        <v>805</v>
      </c>
      <c r="G13" s="122" t="s">
        <v>116</v>
      </c>
    </row>
    <row r="14" spans="1:7" x14ac:dyDescent="0.25">
      <c r="A14" s="36">
        <v>7419183</v>
      </c>
      <c r="B14" t="s">
        <v>806</v>
      </c>
      <c r="G14" s="121" t="s">
        <v>117</v>
      </c>
    </row>
    <row r="15" spans="1:7" x14ac:dyDescent="0.25">
      <c r="A15" s="36">
        <v>30500229973</v>
      </c>
      <c r="B15" t="s">
        <v>124</v>
      </c>
      <c r="C15" s="35" t="s">
        <v>81</v>
      </c>
      <c r="G15" s="122" t="s">
        <v>86</v>
      </c>
    </row>
    <row r="16" spans="1:7" x14ac:dyDescent="0.25">
      <c r="A16" s="36">
        <v>33709914109</v>
      </c>
      <c r="B16" t="s">
        <v>807</v>
      </c>
      <c r="C16" s="35" t="s">
        <v>39</v>
      </c>
      <c r="G16" s="121" t="s">
        <v>82</v>
      </c>
    </row>
    <row r="17" spans="1:7" x14ac:dyDescent="0.25">
      <c r="A17" s="36">
        <v>30710799241</v>
      </c>
      <c r="B17" t="s">
        <v>125</v>
      </c>
      <c r="G17" s="122" t="s">
        <v>118</v>
      </c>
    </row>
    <row r="18" spans="1:7" x14ac:dyDescent="0.25">
      <c r="A18" s="36">
        <v>20469052</v>
      </c>
      <c r="B18" t="s">
        <v>808</v>
      </c>
      <c r="G18" s="121" t="s">
        <v>81</v>
      </c>
    </row>
    <row r="19" spans="1:7" x14ac:dyDescent="0.25">
      <c r="A19" s="36">
        <v>20267161616</v>
      </c>
      <c r="B19" t="s">
        <v>809</v>
      </c>
      <c r="C19" s="35" t="s">
        <v>79</v>
      </c>
      <c r="G19" s="122" t="s">
        <v>119</v>
      </c>
    </row>
    <row r="20" spans="1:7" x14ac:dyDescent="0.25">
      <c r="A20" s="36">
        <v>30628205090</v>
      </c>
      <c r="B20" t="s">
        <v>810</v>
      </c>
      <c r="C20" s="35" t="s">
        <v>811</v>
      </c>
      <c r="G20" s="121" t="s">
        <v>87</v>
      </c>
    </row>
    <row r="21" spans="1:7" x14ac:dyDescent="0.25">
      <c r="A21" s="36">
        <v>30628205090</v>
      </c>
      <c r="B21" t="s">
        <v>810</v>
      </c>
      <c r="C21" s="35" t="s">
        <v>811</v>
      </c>
      <c r="G21" s="122" t="s">
        <v>93</v>
      </c>
    </row>
    <row r="22" spans="1:7" x14ac:dyDescent="0.25">
      <c r="A22" s="36">
        <v>7375725</v>
      </c>
      <c r="B22" t="s">
        <v>812</v>
      </c>
      <c r="G22" s="121" t="s">
        <v>120</v>
      </c>
    </row>
    <row r="23" spans="1:7" x14ac:dyDescent="0.25">
      <c r="A23" s="36">
        <v>4049033</v>
      </c>
      <c r="B23" t="s">
        <v>813</v>
      </c>
    </row>
    <row r="24" spans="1:7" x14ac:dyDescent="0.25">
      <c r="A24" s="36">
        <v>10121438</v>
      </c>
      <c r="B24" t="s">
        <v>814</v>
      </c>
    </row>
    <row r="25" spans="1:7" x14ac:dyDescent="0.25">
      <c r="A25" s="36">
        <v>5804480</v>
      </c>
      <c r="B25" t="s">
        <v>815</v>
      </c>
    </row>
    <row r="26" spans="1:7" x14ac:dyDescent="0.25">
      <c r="A26" s="36">
        <v>35376990</v>
      </c>
      <c r="B26" t="s">
        <v>816</v>
      </c>
    </row>
    <row r="27" spans="1:7" x14ac:dyDescent="0.25">
      <c r="A27" s="36">
        <v>20236101127</v>
      </c>
      <c r="B27" t="s">
        <v>126</v>
      </c>
    </row>
    <row r="28" spans="1:7" x14ac:dyDescent="0.25">
      <c r="A28" s="36">
        <v>20291929126</v>
      </c>
      <c r="B28" t="s">
        <v>127</v>
      </c>
    </row>
    <row r="29" spans="1:7" x14ac:dyDescent="0.25">
      <c r="A29" s="36">
        <v>26472781</v>
      </c>
      <c r="B29" t="s">
        <v>817</v>
      </c>
    </row>
    <row r="30" spans="1:7" x14ac:dyDescent="0.25">
      <c r="A30" s="36">
        <v>30645337979</v>
      </c>
      <c r="B30" t="s">
        <v>818</v>
      </c>
    </row>
    <row r="31" spans="1:7" x14ac:dyDescent="0.25">
      <c r="A31" s="36">
        <v>30709604887</v>
      </c>
      <c r="B31" t="s">
        <v>128</v>
      </c>
      <c r="C31" s="35" t="s">
        <v>819</v>
      </c>
    </row>
    <row r="32" spans="1:7" x14ac:dyDescent="0.25">
      <c r="A32" s="36">
        <v>4171382</v>
      </c>
      <c r="B32" t="s">
        <v>820</v>
      </c>
    </row>
    <row r="33" spans="1:3" x14ac:dyDescent="0.25">
      <c r="A33" s="36">
        <v>30711573999</v>
      </c>
      <c r="B33" t="s">
        <v>821</v>
      </c>
    </row>
    <row r="34" spans="1:3" x14ac:dyDescent="0.25">
      <c r="A34" s="36">
        <v>20083925680</v>
      </c>
      <c r="B34" t="s">
        <v>129</v>
      </c>
      <c r="C34" s="35" t="s">
        <v>79</v>
      </c>
    </row>
    <row r="35" spans="1:3" x14ac:dyDescent="0.25">
      <c r="A35" s="36">
        <v>30656038752</v>
      </c>
      <c r="B35" t="s">
        <v>130</v>
      </c>
      <c r="C35" s="35" t="s">
        <v>797</v>
      </c>
    </row>
    <row r="36" spans="1:3" x14ac:dyDescent="0.25">
      <c r="A36" s="36">
        <v>30504563894</v>
      </c>
      <c r="B36" t="s">
        <v>131</v>
      </c>
      <c r="C36" s="35" t="s">
        <v>81</v>
      </c>
    </row>
    <row r="37" spans="1:3" x14ac:dyDescent="0.25">
      <c r="A37" s="36">
        <v>3751602</v>
      </c>
      <c r="B37" t="s">
        <v>822</v>
      </c>
    </row>
    <row r="38" spans="1:3" x14ac:dyDescent="0.25">
      <c r="A38" s="36">
        <v>30602699826</v>
      </c>
      <c r="B38" t="s">
        <v>83</v>
      </c>
    </row>
    <row r="39" spans="1:3" x14ac:dyDescent="0.25">
      <c r="A39" s="36">
        <v>30715190385</v>
      </c>
      <c r="B39" t="s">
        <v>132</v>
      </c>
    </row>
    <row r="40" spans="1:3" x14ac:dyDescent="0.25">
      <c r="A40" s="36">
        <v>28735023</v>
      </c>
      <c r="B40" t="s">
        <v>823</v>
      </c>
    </row>
    <row r="41" spans="1:3" x14ac:dyDescent="0.25">
      <c r="A41" s="36">
        <v>30716375176</v>
      </c>
      <c r="B41" t="s">
        <v>824</v>
      </c>
      <c r="C41" s="35" t="s">
        <v>797</v>
      </c>
    </row>
    <row r="42" spans="1:3" x14ac:dyDescent="0.25">
      <c r="A42" s="36">
        <v>22480839</v>
      </c>
      <c r="B42" t="s">
        <v>825</v>
      </c>
    </row>
    <row r="43" spans="1:3" x14ac:dyDescent="0.25">
      <c r="A43" s="36">
        <v>12961417</v>
      </c>
      <c r="B43" t="s">
        <v>826</v>
      </c>
    </row>
    <row r="44" spans="1:3" x14ac:dyDescent="0.25">
      <c r="A44" s="36">
        <v>7768190</v>
      </c>
      <c r="B44" t="s">
        <v>827</v>
      </c>
    </row>
    <row r="45" spans="1:3" x14ac:dyDescent="0.25">
      <c r="A45" s="36">
        <v>30710406037</v>
      </c>
      <c r="B45" t="s">
        <v>828</v>
      </c>
      <c r="C45" s="35" t="s">
        <v>829</v>
      </c>
    </row>
    <row r="46" spans="1:3" x14ac:dyDescent="0.25">
      <c r="A46" s="36">
        <v>30715678310</v>
      </c>
      <c r="B46" t="s">
        <v>830</v>
      </c>
      <c r="C46" s="35" t="s">
        <v>831</v>
      </c>
    </row>
    <row r="47" spans="1:3" x14ac:dyDescent="0.25">
      <c r="A47" s="36">
        <v>23945042079</v>
      </c>
      <c r="B47" t="s">
        <v>133</v>
      </c>
      <c r="C47" s="35" t="s">
        <v>79</v>
      </c>
    </row>
    <row r="48" spans="1:3" x14ac:dyDescent="0.25">
      <c r="A48" s="36">
        <v>32576384</v>
      </c>
      <c r="B48" t="s">
        <v>832</v>
      </c>
    </row>
    <row r="49" spans="1:3" x14ac:dyDescent="0.25">
      <c r="A49" s="36">
        <v>32576384</v>
      </c>
      <c r="B49" t="s">
        <v>832</v>
      </c>
    </row>
    <row r="50" spans="1:3" x14ac:dyDescent="0.25">
      <c r="A50" s="36">
        <v>29871464</v>
      </c>
      <c r="B50" t="s">
        <v>833</v>
      </c>
    </row>
    <row r="51" spans="1:3" x14ac:dyDescent="0.25">
      <c r="A51" s="36">
        <v>37433123</v>
      </c>
      <c r="B51" t="s">
        <v>834</v>
      </c>
    </row>
    <row r="52" spans="1:3" x14ac:dyDescent="0.25">
      <c r="A52" s="36">
        <v>92382512</v>
      </c>
      <c r="B52" t="s">
        <v>835</v>
      </c>
    </row>
    <row r="53" spans="1:3" x14ac:dyDescent="0.25">
      <c r="A53" s="36">
        <v>20040616498</v>
      </c>
      <c r="B53" t="s">
        <v>134</v>
      </c>
    </row>
    <row r="54" spans="1:3" x14ac:dyDescent="0.25">
      <c r="A54" s="36">
        <v>95896286</v>
      </c>
      <c r="B54" t="s">
        <v>836</v>
      </c>
    </row>
    <row r="55" spans="1:3" x14ac:dyDescent="0.25">
      <c r="A55" s="36">
        <v>30710587147</v>
      </c>
      <c r="B55" t="s">
        <v>135</v>
      </c>
      <c r="C55" s="35" t="s">
        <v>798</v>
      </c>
    </row>
    <row r="56" spans="1:3" x14ac:dyDescent="0.25">
      <c r="A56" s="36">
        <v>2383098</v>
      </c>
      <c r="B56" t="s">
        <v>837</v>
      </c>
    </row>
    <row r="57" spans="1:3" x14ac:dyDescent="0.25">
      <c r="A57" s="36">
        <v>27066271728</v>
      </c>
      <c r="B57" t="s">
        <v>838</v>
      </c>
    </row>
    <row r="58" spans="1:3" x14ac:dyDescent="0.25">
      <c r="A58" s="36">
        <v>27101205733</v>
      </c>
      <c r="B58" t="s">
        <v>839</v>
      </c>
      <c r="C58" s="35" t="s">
        <v>797</v>
      </c>
    </row>
    <row r="59" spans="1:3" x14ac:dyDescent="0.25">
      <c r="A59" s="36">
        <v>27101205733</v>
      </c>
      <c r="B59" t="s">
        <v>839</v>
      </c>
      <c r="C59" s="35" t="s">
        <v>797</v>
      </c>
    </row>
    <row r="60" spans="1:3" x14ac:dyDescent="0.25">
      <c r="A60" s="36">
        <v>30574816870</v>
      </c>
      <c r="B60" t="s">
        <v>840</v>
      </c>
      <c r="C60" s="35" t="s">
        <v>841</v>
      </c>
    </row>
    <row r="61" spans="1:3" x14ac:dyDescent="0.25">
      <c r="A61" s="36">
        <v>8076660</v>
      </c>
      <c r="B61" t="s">
        <v>842</v>
      </c>
    </row>
    <row r="62" spans="1:3" x14ac:dyDescent="0.25">
      <c r="A62" s="36">
        <v>6421312</v>
      </c>
      <c r="B62" t="s">
        <v>843</v>
      </c>
    </row>
    <row r="63" spans="1:3" x14ac:dyDescent="0.25">
      <c r="A63" s="36">
        <v>30715186655</v>
      </c>
      <c r="B63" t="s">
        <v>844</v>
      </c>
    </row>
    <row r="64" spans="1:3" x14ac:dyDescent="0.25">
      <c r="A64" s="36">
        <v>30663288497</v>
      </c>
      <c r="B64" t="s">
        <v>136</v>
      </c>
      <c r="C64" s="35" t="s">
        <v>845</v>
      </c>
    </row>
    <row r="65" spans="1:3" x14ac:dyDescent="0.25">
      <c r="A65" s="36">
        <v>27108310559</v>
      </c>
      <c r="B65" t="s">
        <v>137</v>
      </c>
    </row>
    <row r="66" spans="1:3" x14ac:dyDescent="0.25">
      <c r="A66" s="36">
        <v>93298160</v>
      </c>
      <c r="B66" t="s">
        <v>846</v>
      </c>
    </row>
    <row r="67" spans="1:3" x14ac:dyDescent="0.25">
      <c r="A67" s="36">
        <v>30502375535</v>
      </c>
      <c r="B67" t="s">
        <v>138</v>
      </c>
    </row>
    <row r="68" spans="1:3" x14ac:dyDescent="0.25">
      <c r="A68" s="36">
        <v>30709251739</v>
      </c>
      <c r="B68" t="s">
        <v>139</v>
      </c>
    </row>
    <row r="69" spans="1:3" x14ac:dyDescent="0.25">
      <c r="A69" s="36">
        <v>5614493</v>
      </c>
      <c r="B69" t="s">
        <v>847</v>
      </c>
    </row>
    <row r="70" spans="1:3" x14ac:dyDescent="0.25">
      <c r="A70" s="36">
        <v>30710986416</v>
      </c>
      <c r="B70" t="s">
        <v>848</v>
      </c>
      <c r="C70" s="35" t="s">
        <v>849</v>
      </c>
    </row>
    <row r="71" spans="1:3" x14ac:dyDescent="0.25">
      <c r="A71" s="36">
        <v>30710986416</v>
      </c>
      <c r="B71" t="s">
        <v>848</v>
      </c>
      <c r="C71" s="35" t="s">
        <v>849</v>
      </c>
    </row>
    <row r="72" spans="1:3" x14ac:dyDescent="0.25">
      <c r="A72" s="36">
        <v>33878883</v>
      </c>
      <c r="B72" t="s">
        <v>850</v>
      </c>
    </row>
    <row r="73" spans="1:3" x14ac:dyDescent="0.25">
      <c r="A73" s="36">
        <v>13223046</v>
      </c>
      <c r="B73" t="s">
        <v>851</v>
      </c>
    </row>
    <row r="74" spans="1:3" x14ac:dyDescent="0.25">
      <c r="A74" s="36">
        <v>92207472</v>
      </c>
      <c r="B74" t="s">
        <v>852</v>
      </c>
    </row>
    <row r="75" spans="1:3" x14ac:dyDescent="0.25">
      <c r="A75" s="36">
        <v>30709948667</v>
      </c>
      <c r="B75" t="s">
        <v>140</v>
      </c>
      <c r="C75" s="35" t="s">
        <v>797</v>
      </c>
    </row>
    <row r="76" spans="1:3" x14ac:dyDescent="0.25">
      <c r="A76" s="36">
        <v>30683702060</v>
      </c>
      <c r="B76" t="s">
        <v>141</v>
      </c>
      <c r="C76" s="35" t="s">
        <v>797</v>
      </c>
    </row>
    <row r="77" spans="1:3" x14ac:dyDescent="0.25">
      <c r="A77" s="36">
        <v>30715985124</v>
      </c>
      <c r="B77" t="s">
        <v>142</v>
      </c>
    </row>
    <row r="78" spans="1:3" x14ac:dyDescent="0.25">
      <c r="A78" s="36">
        <v>30691054833</v>
      </c>
      <c r="B78" t="s">
        <v>853</v>
      </c>
    </row>
    <row r="79" spans="1:3" x14ac:dyDescent="0.25">
      <c r="A79" s="36">
        <v>30712000372</v>
      </c>
      <c r="B79" t="s">
        <v>143</v>
      </c>
      <c r="C79" s="35" t="s">
        <v>797</v>
      </c>
    </row>
    <row r="80" spans="1:3" x14ac:dyDescent="0.25">
      <c r="A80" s="36">
        <v>30711492409</v>
      </c>
      <c r="B80" t="s">
        <v>854</v>
      </c>
      <c r="C80" s="35" t="s">
        <v>39</v>
      </c>
    </row>
    <row r="81" spans="1:3" x14ac:dyDescent="0.25">
      <c r="A81" s="36">
        <v>30714741167</v>
      </c>
      <c r="B81" t="s">
        <v>144</v>
      </c>
    </row>
    <row r="82" spans="1:3" x14ac:dyDescent="0.25">
      <c r="A82" s="36">
        <v>10138957</v>
      </c>
      <c r="B82" t="s">
        <v>855</v>
      </c>
    </row>
    <row r="83" spans="1:3" x14ac:dyDescent="0.25">
      <c r="A83" s="36">
        <v>20927832136</v>
      </c>
      <c r="B83" t="s">
        <v>145</v>
      </c>
      <c r="C83" s="35" t="s">
        <v>79</v>
      </c>
    </row>
    <row r="84" spans="1:3" x14ac:dyDescent="0.25">
      <c r="A84" s="36">
        <v>37834370</v>
      </c>
      <c r="B84" t="s">
        <v>856</v>
      </c>
    </row>
    <row r="85" spans="1:3" x14ac:dyDescent="0.25">
      <c r="A85" s="36">
        <v>5427278</v>
      </c>
      <c r="B85" t="s">
        <v>857</v>
      </c>
    </row>
    <row r="86" spans="1:3" x14ac:dyDescent="0.25">
      <c r="A86" s="36">
        <v>27135302835</v>
      </c>
      <c r="B86" t="s">
        <v>146</v>
      </c>
    </row>
    <row r="87" spans="1:3" x14ac:dyDescent="0.25">
      <c r="A87" s="36">
        <v>27276671109</v>
      </c>
      <c r="B87" t="s">
        <v>147</v>
      </c>
      <c r="C87" s="35" t="s">
        <v>81</v>
      </c>
    </row>
    <row r="88" spans="1:3" x14ac:dyDescent="0.25">
      <c r="A88" s="36">
        <v>30647539226</v>
      </c>
      <c r="B88" t="s">
        <v>858</v>
      </c>
      <c r="C88" s="35" t="s">
        <v>797</v>
      </c>
    </row>
    <row r="89" spans="1:3" x14ac:dyDescent="0.25">
      <c r="A89" s="36">
        <v>30711597499</v>
      </c>
      <c r="B89" t="s">
        <v>148</v>
      </c>
    </row>
    <row r="90" spans="1:3" x14ac:dyDescent="0.25">
      <c r="A90" s="36">
        <v>30600907553</v>
      </c>
      <c r="B90" t="s">
        <v>149</v>
      </c>
      <c r="C90" s="35" t="s">
        <v>79</v>
      </c>
    </row>
    <row r="91" spans="1:3" x14ac:dyDescent="0.25">
      <c r="A91" s="36">
        <v>30709585262</v>
      </c>
      <c r="B91" t="s">
        <v>150</v>
      </c>
      <c r="C91" s="35" t="s">
        <v>819</v>
      </c>
    </row>
    <row r="92" spans="1:3" x14ac:dyDescent="0.25">
      <c r="A92" s="36">
        <v>27046072060</v>
      </c>
      <c r="B92" t="s">
        <v>859</v>
      </c>
    </row>
    <row r="93" spans="1:3" x14ac:dyDescent="0.25">
      <c r="A93" s="36">
        <v>30614941509</v>
      </c>
      <c r="B93" t="s">
        <v>151</v>
      </c>
    </row>
    <row r="94" spans="1:3" x14ac:dyDescent="0.25">
      <c r="A94" s="36">
        <v>20087048471</v>
      </c>
      <c r="B94" t="s">
        <v>860</v>
      </c>
    </row>
    <row r="95" spans="1:3" x14ac:dyDescent="0.25">
      <c r="A95" s="36">
        <v>37004257</v>
      </c>
      <c r="B95" t="s">
        <v>861</v>
      </c>
    </row>
    <row r="96" spans="1:3" x14ac:dyDescent="0.25">
      <c r="A96" s="36">
        <v>30560443648</v>
      </c>
      <c r="B96" t="s">
        <v>152</v>
      </c>
    </row>
    <row r="97" spans="1:3" x14ac:dyDescent="0.25">
      <c r="A97" s="36">
        <v>30708547790</v>
      </c>
      <c r="B97" t="s">
        <v>153</v>
      </c>
    </row>
    <row r="98" spans="1:3" x14ac:dyDescent="0.25">
      <c r="A98" s="36">
        <v>30711624402</v>
      </c>
      <c r="B98" t="s">
        <v>154</v>
      </c>
    </row>
    <row r="99" spans="1:3" x14ac:dyDescent="0.25">
      <c r="A99" s="36">
        <v>30715290835</v>
      </c>
      <c r="B99" t="s">
        <v>862</v>
      </c>
      <c r="C99" s="35" t="s">
        <v>819</v>
      </c>
    </row>
    <row r="100" spans="1:3" x14ac:dyDescent="0.25">
      <c r="A100" s="36">
        <v>20045180620</v>
      </c>
      <c r="B100" t="s">
        <v>155</v>
      </c>
      <c r="C100" s="35" t="s">
        <v>79</v>
      </c>
    </row>
    <row r="101" spans="1:3" x14ac:dyDescent="0.25">
      <c r="A101" s="36">
        <v>30692175243</v>
      </c>
      <c r="B101" t="s">
        <v>156</v>
      </c>
    </row>
    <row r="102" spans="1:3" x14ac:dyDescent="0.25">
      <c r="A102" s="36">
        <v>30708973501</v>
      </c>
      <c r="B102" t="s">
        <v>157</v>
      </c>
      <c r="C102" s="35" t="s">
        <v>797</v>
      </c>
    </row>
    <row r="103" spans="1:3" x14ac:dyDescent="0.25">
      <c r="A103" s="36">
        <v>30708973501</v>
      </c>
      <c r="B103" t="s">
        <v>157</v>
      </c>
      <c r="C103" s="35" t="s">
        <v>849</v>
      </c>
    </row>
    <row r="104" spans="1:3" x14ac:dyDescent="0.25">
      <c r="A104" s="36">
        <v>30708973501</v>
      </c>
      <c r="B104" t="s">
        <v>157</v>
      </c>
      <c r="C104" s="35" t="s">
        <v>849</v>
      </c>
    </row>
    <row r="105" spans="1:3" x14ac:dyDescent="0.25">
      <c r="A105" s="36">
        <v>30553594169</v>
      </c>
      <c r="B105" t="s">
        <v>863</v>
      </c>
    </row>
    <row r="106" spans="1:3" x14ac:dyDescent="0.25">
      <c r="A106" s="36">
        <v>30590354798</v>
      </c>
      <c r="B106" t="s">
        <v>158</v>
      </c>
    </row>
    <row r="107" spans="1:3" x14ac:dyDescent="0.25">
      <c r="A107" s="36">
        <v>30571962868</v>
      </c>
      <c r="B107" t="s">
        <v>864</v>
      </c>
    </row>
    <row r="108" spans="1:3" x14ac:dyDescent="0.25">
      <c r="A108" s="36">
        <v>33672915339</v>
      </c>
      <c r="B108" t="s">
        <v>865</v>
      </c>
    </row>
    <row r="109" spans="1:3" x14ac:dyDescent="0.25">
      <c r="A109" s="36">
        <v>30590354798</v>
      </c>
      <c r="B109" t="s">
        <v>866</v>
      </c>
      <c r="C109" s="35" t="s">
        <v>811</v>
      </c>
    </row>
    <row r="110" spans="1:3" x14ac:dyDescent="0.25">
      <c r="A110" s="36">
        <v>30590354798</v>
      </c>
      <c r="B110" t="s">
        <v>866</v>
      </c>
      <c r="C110" s="35" t="s">
        <v>811</v>
      </c>
    </row>
    <row r="111" spans="1:3" x14ac:dyDescent="0.25">
      <c r="A111" s="36" t="s">
        <v>867</v>
      </c>
      <c r="B111" t="s">
        <v>866</v>
      </c>
      <c r="C111" s="35" t="s">
        <v>868</v>
      </c>
    </row>
    <row r="112" spans="1:3" x14ac:dyDescent="0.25">
      <c r="A112" s="36">
        <v>30708716231</v>
      </c>
      <c r="B112" t="s">
        <v>869</v>
      </c>
    </row>
    <row r="113" spans="1:3" x14ac:dyDescent="0.25">
      <c r="A113" s="36" t="s">
        <v>870</v>
      </c>
      <c r="B113" t="s">
        <v>871</v>
      </c>
      <c r="C113" s="35" t="s">
        <v>868</v>
      </c>
    </row>
    <row r="114" spans="1:3" x14ac:dyDescent="0.25">
      <c r="A114" s="36">
        <v>30690973517</v>
      </c>
      <c r="B114" t="s">
        <v>872</v>
      </c>
    </row>
    <row r="115" spans="1:3" x14ac:dyDescent="0.25">
      <c r="A115" s="36">
        <v>30714416622</v>
      </c>
      <c r="B115" t="s">
        <v>873</v>
      </c>
      <c r="C115" s="35" t="s">
        <v>79</v>
      </c>
    </row>
    <row r="116" spans="1:3" x14ac:dyDescent="0.25">
      <c r="A116" s="36">
        <v>30672845242</v>
      </c>
      <c r="B116" t="s">
        <v>874</v>
      </c>
      <c r="C116" s="35" t="s">
        <v>44</v>
      </c>
    </row>
    <row r="117" spans="1:3" x14ac:dyDescent="0.25">
      <c r="A117" s="36">
        <v>30709860840</v>
      </c>
      <c r="B117" t="s">
        <v>159</v>
      </c>
    </row>
    <row r="118" spans="1:3" x14ac:dyDescent="0.25">
      <c r="A118" s="36">
        <v>30544712833</v>
      </c>
      <c r="B118" t="s">
        <v>160</v>
      </c>
      <c r="C118" s="35" t="s">
        <v>797</v>
      </c>
    </row>
    <row r="119" spans="1:3" x14ac:dyDescent="0.25">
      <c r="A119" s="36">
        <v>30715031252</v>
      </c>
      <c r="B119" t="s">
        <v>161</v>
      </c>
    </row>
    <row r="120" spans="1:3" x14ac:dyDescent="0.25">
      <c r="A120" s="36">
        <v>30711934754</v>
      </c>
      <c r="B120" t="s">
        <v>162</v>
      </c>
    </row>
    <row r="121" spans="1:3" x14ac:dyDescent="0.25">
      <c r="A121" s="36">
        <v>30710081111</v>
      </c>
      <c r="B121" t="s">
        <v>875</v>
      </c>
      <c r="C121" s="35" t="s">
        <v>79</v>
      </c>
    </row>
    <row r="122" spans="1:3" x14ac:dyDescent="0.25">
      <c r="A122" s="36">
        <v>30670528592</v>
      </c>
      <c r="B122" t="s">
        <v>163</v>
      </c>
      <c r="C122" s="35" t="s">
        <v>819</v>
      </c>
    </row>
    <row r="123" spans="1:3" x14ac:dyDescent="0.25">
      <c r="A123" s="36">
        <v>30708436506</v>
      </c>
      <c r="B123" t="s">
        <v>876</v>
      </c>
    </row>
    <row r="124" spans="1:3" x14ac:dyDescent="0.25">
      <c r="A124" s="36">
        <v>30574876474</v>
      </c>
      <c r="B124" t="s">
        <v>164</v>
      </c>
      <c r="C124" s="35" t="s">
        <v>877</v>
      </c>
    </row>
    <row r="125" spans="1:3" x14ac:dyDescent="0.25">
      <c r="A125" s="36">
        <v>30714112836</v>
      </c>
      <c r="B125" t="s">
        <v>878</v>
      </c>
      <c r="C125" s="35" t="s">
        <v>879</v>
      </c>
    </row>
    <row r="126" spans="1:3" x14ac:dyDescent="0.25">
      <c r="A126" s="36">
        <v>30677237119</v>
      </c>
      <c r="B126" t="s">
        <v>165</v>
      </c>
      <c r="C126" s="35" t="s">
        <v>879</v>
      </c>
    </row>
    <row r="127" spans="1:3" x14ac:dyDescent="0.25">
      <c r="A127" s="36" t="s">
        <v>880</v>
      </c>
      <c r="B127" t="s">
        <v>166</v>
      </c>
    </row>
    <row r="128" spans="1:3" x14ac:dyDescent="0.25">
      <c r="A128" s="36">
        <v>30667187091</v>
      </c>
      <c r="B128" t="s">
        <v>167</v>
      </c>
    </row>
    <row r="129" spans="1:3" x14ac:dyDescent="0.25">
      <c r="A129" s="36">
        <v>30711470804</v>
      </c>
      <c r="B129" t="s">
        <v>168</v>
      </c>
    </row>
    <row r="130" spans="1:3" x14ac:dyDescent="0.25">
      <c r="A130" s="36">
        <v>20083762102</v>
      </c>
      <c r="B130" t="s">
        <v>169</v>
      </c>
    </row>
    <row r="131" spans="1:3" x14ac:dyDescent="0.25">
      <c r="A131" s="36">
        <v>20287830980</v>
      </c>
      <c r="B131" t="s">
        <v>170</v>
      </c>
    </row>
    <row r="132" spans="1:3" x14ac:dyDescent="0.25">
      <c r="A132" s="36">
        <v>38889987</v>
      </c>
      <c r="B132" t="s">
        <v>881</v>
      </c>
    </row>
    <row r="133" spans="1:3" x14ac:dyDescent="0.25">
      <c r="A133" s="36">
        <v>30506919009</v>
      </c>
      <c r="B133" t="s">
        <v>171</v>
      </c>
      <c r="C133" s="35" t="s">
        <v>44</v>
      </c>
    </row>
    <row r="134" spans="1:3" x14ac:dyDescent="0.25">
      <c r="A134" s="36">
        <v>20379223185</v>
      </c>
      <c r="B134" t="s">
        <v>882</v>
      </c>
      <c r="C134" s="35" t="s">
        <v>798</v>
      </c>
    </row>
    <row r="135" spans="1:3" x14ac:dyDescent="0.25">
      <c r="A135" s="36">
        <v>3006198</v>
      </c>
      <c r="B135" t="s">
        <v>883</v>
      </c>
    </row>
    <row r="136" spans="1:3" x14ac:dyDescent="0.25">
      <c r="A136" s="36">
        <v>30535612117</v>
      </c>
      <c r="B136" t="s">
        <v>172</v>
      </c>
    </row>
    <row r="137" spans="1:3" x14ac:dyDescent="0.25">
      <c r="A137" s="36">
        <v>33714662819</v>
      </c>
      <c r="B137" t="s">
        <v>884</v>
      </c>
      <c r="C137" s="35" t="s">
        <v>797</v>
      </c>
    </row>
    <row r="138" spans="1:3" x14ac:dyDescent="0.25">
      <c r="A138" s="36">
        <v>35122054</v>
      </c>
      <c r="B138" t="s">
        <v>885</v>
      </c>
    </row>
    <row r="139" spans="1:3" x14ac:dyDescent="0.25">
      <c r="A139" s="36">
        <v>33716314869</v>
      </c>
      <c r="B139" t="s">
        <v>886</v>
      </c>
      <c r="C139" s="35" t="s">
        <v>797</v>
      </c>
    </row>
    <row r="140" spans="1:3" x14ac:dyDescent="0.25">
      <c r="A140" s="36">
        <v>30711428603</v>
      </c>
      <c r="B140" t="s">
        <v>887</v>
      </c>
    </row>
    <row r="141" spans="1:3" x14ac:dyDescent="0.25">
      <c r="A141" s="36">
        <v>12464814</v>
      </c>
      <c r="B141" t="s">
        <v>888</v>
      </c>
    </row>
    <row r="142" spans="1:3" x14ac:dyDescent="0.25">
      <c r="A142" s="36">
        <v>23780346</v>
      </c>
      <c r="B142" t="s">
        <v>889</v>
      </c>
    </row>
    <row r="143" spans="1:3" x14ac:dyDescent="0.25">
      <c r="A143" s="36">
        <v>17716804</v>
      </c>
      <c r="B143" t="s">
        <v>890</v>
      </c>
    </row>
    <row r="144" spans="1:3" x14ac:dyDescent="0.25">
      <c r="A144" s="36">
        <v>27845961</v>
      </c>
      <c r="B144" t="s">
        <v>891</v>
      </c>
    </row>
    <row r="145" spans="1:3" x14ac:dyDescent="0.25">
      <c r="A145" s="36">
        <v>30715923374</v>
      </c>
      <c r="B145" t="s">
        <v>892</v>
      </c>
      <c r="C145" s="35" t="s">
        <v>797</v>
      </c>
    </row>
    <row r="146" spans="1:3" x14ac:dyDescent="0.25">
      <c r="A146" s="36">
        <v>33714642079</v>
      </c>
      <c r="B146" t="s">
        <v>893</v>
      </c>
      <c r="C146" s="35" t="s">
        <v>79</v>
      </c>
    </row>
    <row r="147" spans="1:3" x14ac:dyDescent="0.25">
      <c r="A147" s="36">
        <v>36527834</v>
      </c>
      <c r="B147" t="s">
        <v>894</v>
      </c>
    </row>
    <row r="148" spans="1:3" x14ac:dyDescent="0.25">
      <c r="A148" s="36">
        <v>33711430879</v>
      </c>
      <c r="B148" t="s">
        <v>173</v>
      </c>
      <c r="C148" s="35" t="s">
        <v>797</v>
      </c>
    </row>
    <row r="149" spans="1:3" x14ac:dyDescent="0.25">
      <c r="A149" s="36">
        <v>28120474</v>
      </c>
      <c r="B149" t="s">
        <v>895</v>
      </c>
    </row>
    <row r="150" spans="1:3" x14ac:dyDescent="0.25">
      <c r="A150" s="36">
        <v>10972842</v>
      </c>
      <c r="B150" t="s">
        <v>896</v>
      </c>
    </row>
    <row r="151" spans="1:3" x14ac:dyDescent="0.25">
      <c r="A151" s="36">
        <v>20179619483</v>
      </c>
      <c r="B151" t="s">
        <v>174</v>
      </c>
    </row>
    <row r="152" spans="1:3" x14ac:dyDescent="0.25">
      <c r="A152" s="36">
        <v>21454828</v>
      </c>
      <c r="B152" t="s">
        <v>897</v>
      </c>
    </row>
    <row r="153" spans="1:3" x14ac:dyDescent="0.25">
      <c r="A153" s="36">
        <v>30711941718</v>
      </c>
      <c r="B153" t="s">
        <v>175</v>
      </c>
      <c r="C153" s="35" t="s">
        <v>81</v>
      </c>
    </row>
    <row r="154" spans="1:3" x14ac:dyDescent="0.25">
      <c r="A154" s="36">
        <v>33716391049</v>
      </c>
      <c r="B154" t="s">
        <v>898</v>
      </c>
      <c r="C154" s="35" t="s">
        <v>79</v>
      </c>
    </row>
    <row r="155" spans="1:3" x14ac:dyDescent="0.25">
      <c r="A155" s="36">
        <v>30571421352</v>
      </c>
      <c r="B155" t="s">
        <v>899</v>
      </c>
      <c r="C155" s="35" t="s">
        <v>841</v>
      </c>
    </row>
    <row r="156" spans="1:3" x14ac:dyDescent="0.25">
      <c r="A156" s="36">
        <v>30580189411</v>
      </c>
      <c r="B156" t="s">
        <v>176</v>
      </c>
    </row>
    <row r="157" spans="1:3" x14ac:dyDescent="0.25">
      <c r="A157" s="36">
        <v>30500006613</v>
      </c>
      <c r="B157" t="s">
        <v>900</v>
      </c>
      <c r="C157" s="35" t="s">
        <v>841</v>
      </c>
    </row>
    <row r="158" spans="1:3" x14ac:dyDescent="0.25">
      <c r="A158" s="36">
        <v>30500008454</v>
      </c>
      <c r="B158" t="s">
        <v>177</v>
      </c>
      <c r="C158" s="35" t="s">
        <v>86</v>
      </c>
    </row>
    <row r="159" spans="1:3" x14ac:dyDescent="0.25">
      <c r="A159" s="36">
        <v>30707267077</v>
      </c>
      <c r="B159" t="s">
        <v>901</v>
      </c>
      <c r="C159" s="35" t="s">
        <v>39</v>
      </c>
    </row>
    <row r="160" spans="1:3" x14ac:dyDescent="0.25">
      <c r="A160" s="36">
        <v>13102478</v>
      </c>
      <c r="B160" t="s">
        <v>902</v>
      </c>
    </row>
    <row r="161" spans="1:3" x14ac:dyDescent="0.25">
      <c r="A161" s="36">
        <v>20109274268</v>
      </c>
      <c r="B161" t="s">
        <v>903</v>
      </c>
      <c r="C161" s="35" t="s">
        <v>794</v>
      </c>
    </row>
    <row r="162" spans="1:3" x14ac:dyDescent="0.25">
      <c r="A162" s="36">
        <v>20928727476</v>
      </c>
      <c r="B162" t="s">
        <v>904</v>
      </c>
    </row>
    <row r="163" spans="1:3" x14ac:dyDescent="0.25">
      <c r="A163" s="36">
        <v>38547404</v>
      </c>
      <c r="B163" t="s">
        <v>905</v>
      </c>
    </row>
    <row r="164" spans="1:3" x14ac:dyDescent="0.25">
      <c r="A164" s="36">
        <v>16821941</v>
      </c>
      <c r="B164" t="s">
        <v>906</v>
      </c>
    </row>
    <row r="165" spans="1:3" x14ac:dyDescent="0.25">
      <c r="A165" s="36">
        <v>30646362675</v>
      </c>
      <c r="B165" t="s">
        <v>178</v>
      </c>
    </row>
    <row r="166" spans="1:3" x14ac:dyDescent="0.25">
      <c r="A166" s="36">
        <v>3976403</v>
      </c>
      <c r="B166" t="s">
        <v>907</v>
      </c>
    </row>
    <row r="167" spans="1:3" x14ac:dyDescent="0.25">
      <c r="A167" s="36">
        <v>3976403</v>
      </c>
      <c r="B167" t="s">
        <v>907</v>
      </c>
    </row>
    <row r="168" spans="1:3" x14ac:dyDescent="0.25">
      <c r="A168" s="36">
        <v>3976403</v>
      </c>
      <c r="B168" t="s">
        <v>907</v>
      </c>
    </row>
    <row r="169" spans="1:3" x14ac:dyDescent="0.25">
      <c r="A169" s="36">
        <v>1446419</v>
      </c>
      <c r="B169" t="s">
        <v>908</v>
      </c>
    </row>
    <row r="170" spans="1:3" x14ac:dyDescent="0.25">
      <c r="A170" s="36">
        <v>30712458468</v>
      </c>
      <c r="B170" t="s">
        <v>179</v>
      </c>
      <c r="C170" s="35" t="s">
        <v>79</v>
      </c>
    </row>
    <row r="171" spans="1:3" x14ac:dyDescent="0.25">
      <c r="A171" s="36">
        <v>30714675601</v>
      </c>
      <c r="B171" t="s">
        <v>180</v>
      </c>
    </row>
    <row r="172" spans="1:3" x14ac:dyDescent="0.25">
      <c r="A172" s="36">
        <v>22217721</v>
      </c>
      <c r="B172" t="s">
        <v>909</v>
      </c>
    </row>
    <row r="173" spans="1:3" x14ac:dyDescent="0.25">
      <c r="A173" s="36"/>
    </row>
    <row r="174" spans="1:3" x14ac:dyDescent="0.25">
      <c r="A174" s="36">
        <v>20172955763</v>
      </c>
      <c r="B174" t="s">
        <v>910</v>
      </c>
      <c r="C174" s="35" t="s">
        <v>39</v>
      </c>
    </row>
    <row r="175" spans="1:3" x14ac:dyDescent="0.25">
      <c r="A175" s="36">
        <v>20083442612</v>
      </c>
      <c r="B175" t="s">
        <v>911</v>
      </c>
      <c r="C175" s="35" t="s">
        <v>912</v>
      </c>
    </row>
    <row r="176" spans="1:3" x14ac:dyDescent="0.25">
      <c r="A176" s="36">
        <v>12632062</v>
      </c>
      <c r="B176" t="s">
        <v>913</v>
      </c>
    </row>
    <row r="177" spans="1:3" x14ac:dyDescent="0.25">
      <c r="A177" s="36">
        <v>30568222187</v>
      </c>
      <c r="B177" t="s">
        <v>181</v>
      </c>
    </row>
    <row r="178" spans="1:3" x14ac:dyDescent="0.25">
      <c r="A178" s="36">
        <v>27248212646</v>
      </c>
      <c r="B178" t="s">
        <v>182</v>
      </c>
    </row>
    <row r="179" spans="1:3" x14ac:dyDescent="0.25">
      <c r="A179" s="36">
        <v>10181209</v>
      </c>
      <c r="B179" t="s">
        <v>914</v>
      </c>
    </row>
    <row r="180" spans="1:3" x14ac:dyDescent="0.25">
      <c r="A180" s="36">
        <v>16926460</v>
      </c>
      <c r="B180" t="s">
        <v>915</v>
      </c>
    </row>
    <row r="181" spans="1:3" x14ac:dyDescent="0.25">
      <c r="A181" s="36">
        <v>27115740666</v>
      </c>
      <c r="B181" t="s">
        <v>183</v>
      </c>
    </row>
    <row r="182" spans="1:3" x14ac:dyDescent="0.25">
      <c r="A182" s="36">
        <v>27129411010</v>
      </c>
      <c r="B182" t="s">
        <v>184</v>
      </c>
    </row>
    <row r="183" spans="1:3" x14ac:dyDescent="0.25">
      <c r="A183" s="36">
        <v>8255444</v>
      </c>
      <c r="B183" t="s">
        <v>916</v>
      </c>
    </row>
    <row r="184" spans="1:3" x14ac:dyDescent="0.25">
      <c r="A184" s="36">
        <v>20119743959</v>
      </c>
      <c r="B184" t="s">
        <v>917</v>
      </c>
      <c r="C184" s="35" t="s">
        <v>829</v>
      </c>
    </row>
    <row r="185" spans="1:3" x14ac:dyDescent="0.25">
      <c r="A185" s="36">
        <v>4429498</v>
      </c>
      <c r="B185" t="s">
        <v>918</v>
      </c>
    </row>
    <row r="186" spans="1:3" x14ac:dyDescent="0.25">
      <c r="A186" s="36">
        <v>23301961944</v>
      </c>
      <c r="B186" t="s">
        <v>185</v>
      </c>
    </row>
    <row r="187" spans="1:3" x14ac:dyDescent="0.25">
      <c r="A187" s="36">
        <v>22278607</v>
      </c>
      <c r="B187" t="s">
        <v>919</v>
      </c>
    </row>
    <row r="188" spans="1:3" x14ac:dyDescent="0.25">
      <c r="A188" s="36">
        <v>30710067763</v>
      </c>
      <c r="B188" t="s">
        <v>186</v>
      </c>
    </row>
    <row r="189" spans="1:3" x14ac:dyDescent="0.25">
      <c r="A189" s="36">
        <v>30712387315</v>
      </c>
      <c r="B189" t="s">
        <v>187</v>
      </c>
      <c r="C189" s="35" t="s">
        <v>79</v>
      </c>
    </row>
    <row r="190" spans="1:3" x14ac:dyDescent="0.25">
      <c r="A190" s="36">
        <v>1730839</v>
      </c>
      <c r="B190" t="s">
        <v>920</v>
      </c>
    </row>
    <row r="191" spans="1:3" x14ac:dyDescent="0.25">
      <c r="A191" s="36">
        <v>30715210637</v>
      </c>
      <c r="B191" t="s">
        <v>188</v>
      </c>
      <c r="C191" s="35" t="s">
        <v>797</v>
      </c>
    </row>
    <row r="192" spans="1:3" x14ac:dyDescent="0.25">
      <c r="A192" s="36">
        <v>30711091552</v>
      </c>
      <c r="B192" t="s">
        <v>921</v>
      </c>
      <c r="C192" s="35" t="s">
        <v>797</v>
      </c>
    </row>
    <row r="193" spans="1:3" x14ac:dyDescent="0.25">
      <c r="A193" s="36">
        <v>29480617</v>
      </c>
      <c r="B193" t="s">
        <v>922</v>
      </c>
    </row>
    <row r="194" spans="1:3" x14ac:dyDescent="0.25">
      <c r="A194" s="36">
        <v>30715833243</v>
      </c>
      <c r="B194" t="s">
        <v>923</v>
      </c>
      <c r="C194" s="35" t="s">
        <v>797</v>
      </c>
    </row>
    <row r="195" spans="1:3" x14ac:dyDescent="0.25">
      <c r="A195" s="36">
        <v>30715833243</v>
      </c>
      <c r="B195" t="s">
        <v>923</v>
      </c>
      <c r="C195" s="35" t="s">
        <v>797</v>
      </c>
    </row>
    <row r="196" spans="1:3" x14ac:dyDescent="0.25">
      <c r="A196" s="36">
        <v>30712230459</v>
      </c>
      <c r="B196" t="s">
        <v>189</v>
      </c>
      <c r="C196" s="35" t="s">
        <v>797</v>
      </c>
    </row>
    <row r="197" spans="1:3" x14ac:dyDescent="0.25">
      <c r="A197" s="36">
        <v>30712230459</v>
      </c>
      <c r="B197" t="s">
        <v>924</v>
      </c>
      <c r="C197" s="35" t="s">
        <v>797</v>
      </c>
    </row>
    <row r="198" spans="1:3" x14ac:dyDescent="0.25">
      <c r="A198" s="36">
        <v>30712230459</v>
      </c>
      <c r="B198" t="s">
        <v>924</v>
      </c>
      <c r="C198" s="35" t="s">
        <v>797</v>
      </c>
    </row>
    <row r="199" spans="1:3" x14ac:dyDescent="0.25">
      <c r="A199" s="36">
        <v>30697652694</v>
      </c>
      <c r="B199" t="s">
        <v>190</v>
      </c>
    </row>
    <row r="200" spans="1:3" x14ac:dyDescent="0.25">
      <c r="A200" s="36">
        <v>14240650</v>
      </c>
      <c r="B200" t="s">
        <v>925</v>
      </c>
    </row>
    <row r="201" spans="1:3" x14ac:dyDescent="0.25">
      <c r="A201" s="36">
        <v>26556783</v>
      </c>
      <c r="B201" t="s">
        <v>926</v>
      </c>
    </row>
    <row r="202" spans="1:3" x14ac:dyDescent="0.25">
      <c r="A202" s="36">
        <v>11892280</v>
      </c>
      <c r="B202" t="s">
        <v>927</v>
      </c>
    </row>
    <row r="203" spans="1:3" x14ac:dyDescent="0.25">
      <c r="A203" s="36">
        <v>23253931159</v>
      </c>
      <c r="B203" t="s">
        <v>191</v>
      </c>
    </row>
    <row r="204" spans="1:3" x14ac:dyDescent="0.25">
      <c r="A204" s="36">
        <v>4598675</v>
      </c>
      <c r="B204" t="s">
        <v>928</v>
      </c>
    </row>
    <row r="205" spans="1:3" x14ac:dyDescent="0.25">
      <c r="A205" s="36">
        <v>27941394707</v>
      </c>
      <c r="B205" t="s">
        <v>929</v>
      </c>
    </row>
    <row r="206" spans="1:3" x14ac:dyDescent="0.25">
      <c r="A206" s="36">
        <v>3994356</v>
      </c>
      <c r="B206" t="s">
        <v>930</v>
      </c>
    </row>
    <row r="207" spans="1:3" x14ac:dyDescent="0.25">
      <c r="A207" s="36">
        <v>20202259473</v>
      </c>
      <c r="B207" t="s">
        <v>931</v>
      </c>
      <c r="C207" s="35" t="s">
        <v>57</v>
      </c>
    </row>
    <row r="208" spans="1:3" x14ac:dyDescent="0.25">
      <c r="A208" s="36">
        <v>17902520</v>
      </c>
      <c r="B208" t="s">
        <v>932</v>
      </c>
    </row>
    <row r="209" spans="1:3" x14ac:dyDescent="0.25">
      <c r="A209" s="36">
        <v>11960990</v>
      </c>
      <c r="B209" t="s">
        <v>933</v>
      </c>
    </row>
    <row r="210" spans="1:3" x14ac:dyDescent="0.25">
      <c r="A210" s="36">
        <v>30655186693</v>
      </c>
      <c r="B210" t="s">
        <v>192</v>
      </c>
    </row>
    <row r="211" spans="1:3" x14ac:dyDescent="0.25">
      <c r="A211" s="36">
        <v>6718277</v>
      </c>
      <c r="B211" t="s">
        <v>934</v>
      </c>
    </row>
    <row r="212" spans="1:3" x14ac:dyDescent="0.25">
      <c r="A212" s="36">
        <v>27127929705</v>
      </c>
      <c r="B212" t="s">
        <v>935</v>
      </c>
    </row>
    <row r="213" spans="1:3" x14ac:dyDescent="0.25">
      <c r="A213" s="36">
        <v>30711721246</v>
      </c>
      <c r="B213" t="s">
        <v>936</v>
      </c>
    </row>
    <row r="214" spans="1:3" x14ac:dyDescent="0.25">
      <c r="A214" s="36">
        <v>20086277523</v>
      </c>
      <c r="B214" t="s">
        <v>937</v>
      </c>
      <c r="C214" s="35" t="s">
        <v>938</v>
      </c>
    </row>
    <row r="215" spans="1:3" x14ac:dyDescent="0.25">
      <c r="A215" s="36">
        <v>20086277523</v>
      </c>
      <c r="B215" t="s">
        <v>937</v>
      </c>
      <c r="C215" s="35" t="s">
        <v>938</v>
      </c>
    </row>
    <row r="216" spans="1:3" x14ac:dyDescent="0.25">
      <c r="A216" s="36">
        <v>20389908569</v>
      </c>
      <c r="B216" t="s">
        <v>193</v>
      </c>
      <c r="C216" s="35" t="s">
        <v>938</v>
      </c>
    </row>
    <row r="217" spans="1:3" x14ac:dyDescent="0.25">
      <c r="A217" s="36">
        <v>1114735</v>
      </c>
      <c r="B217" t="s">
        <v>939</v>
      </c>
    </row>
    <row r="218" spans="1:3" x14ac:dyDescent="0.25">
      <c r="A218" s="36">
        <v>33714174539</v>
      </c>
      <c r="B218" t="s">
        <v>940</v>
      </c>
      <c r="C218" s="35" t="s">
        <v>829</v>
      </c>
    </row>
    <row r="219" spans="1:3" x14ac:dyDescent="0.25">
      <c r="A219" s="36">
        <v>2389448</v>
      </c>
      <c r="B219" t="s">
        <v>941</v>
      </c>
    </row>
    <row r="220" spans="1:3" x14ac:dyDescent="0.25">
      <c r="A220" s="36">
        <v>20043030494</v>
      </c>
      <c r="B220" t="s">
        <v>942</v>
      </c>
    </row>
    <row r="221" spans="1:3" x14ac:dyDescent="0.25">
      <c r="A221" s="36">
        <v>1762620</v>
      </c>
      <c r="B221" t="s">
        <v>943</v>
      </c>
    </row>
    <row r="222" spans="1:3" x14ac:dyDescent="0.25">
      <c r="A222" s="36">
        <v>20291406212</v>
      </c>
      <c r="B222" t="s">
        <v>944</v>
      </c>
      <c r="C222" s="35" t="s">
        <v>39</v>
      </c>
    </row>
    <row r="223" spans="1:3" x14ac:dyDescent="0.25">
      <c r="A223" s="36">
        <v>20005890</v>
      </c>
      <c r="B223" t="s">
        <v>945</v>
      </c>
    </row>
    <row r="224" spans="1:3" x14ac:dyDescent="0.25">
      <c r="A224" s="36">
        <v>21938558</v>
      </c>
      <c r="B224" t="s">
        <v>946</v>
      </c>
    </row>
    <row r="225" spans="1:3" x14ac:dyDescent="0.25">
      <c r="A225" s="36">
        <v>27211511023</v>
      </c>
      <c r="B225" t="s">
        <v>947</v>
      </c>
      <c r="C225" s="35" t="s">
        <v>79</v>
      </c>
    </row>
    <row r="226" spans="1:3" x14ac:dyDescent="0.25">
      <c r="A226" s="36">
        <v>92840587</v>
      </c>
      <c r="B226" t="s">
        <v>948</v>
      </c>
    </row>
    <row r="227" spans="1:3" x14ac:dyDescent="0.25">
      <c r="A227" s="36">
        <v>29343668</v>
      </c>
      <c r="B227" t="s">
        <v>949</v>
      </c>
    </row>
    <row r="228" spans="1:3" x14ac:dyDescent="0.25">
      <c r="A228" s="36">
        <v>12842996</v>
      </c>
      <c r="B228" t="s">
        <v>950</v>
      </c>
    </row>
    <row r="229" spans="1:3" x14ac:dyDescent="0.25">
      <c r="A229" s="36">
        <v>30515676178</v>
      </c>
      <c r="B229" t="s">
        <v>194</v>
      </c>
      <c r="C229" s="35" t="s">
        <v>797</v>
      </c>
    </row>
    <row r="230" spans="1:3" x14ac:dyDescent="0.25">
      <c r="A230" s="36">
        <v>33711821649</v>
      </c>
      <c r="B230" t="s">
        <v>195</v>
      </c>
    </row>
    <row r="231" spans="1:3" x14ac:dyDescent="0.25">
      <c r="A231" s="36">
        <v>30715122657</v>
      </c>
      <c r="B231" t="s">
        <v>196</v>
      </c>
    </row>
    <row r="232" spans="1:3" x14ac:dyDescent="0.25">
      <c r="A232" s="36">
        <v>30715549871</v>
      </c>
      <c r="B232" t="s">
        <v>197</v>
      </c>
    </row>
    <row r="233" spans="1:3" x14ac:dyDescent="0.25">
      <c r="A233" s="36">
        <v>48239881</v>
      </c>
      <c r="B233" t="s">
        <v>951</v>
      </c>
    </row>
    <row r="234" spans="1:3" x14ac:dyDescent="0.25">
      <c r="A234" s="36">
        <v>22960723</v>
      </c>
      <c r="B234" t="s">
        <v>952</v>
      </c>
    </row>
    <row r="235" spans="1:3" x14ac:dyDescent="0.25">
      <c r="A235" s="36">
        <v>3793553</v>
      </c>
      <c r="B235" t="s">
        <v>953</v>
      </c>
    </row>
    <row r="236" spans="1:3" x14ac:dyDescent="0.25">
      <c r="A236" s="36">
        <v>20085280512</v>
      </c>
      <c r="B236" t="s">
        <v>198</v>
      </c>
      <c r="C236" s="35" t="s">
        <v>797</v>
      </c>
    </row>
    <row r="237" spans="1:3" x14ac:dyDescent="0.25">
      <c r="A237" s="36">
        <v>30595442369</v>
      </c>
      <c r="B237" t="s">
        <v>199</v>
      </c>
      <c r="C237" s="35" t="s">
        <v>797</v>
      </c>
    </row>
    <row r="238" spans="1:3" x14ac:dyDescent="0.25">
      <c r="A238" s="36">
        <v>27289847141</v>
      </c>
      <c r="B238" t="s">
        <v>200</v>
      </c>
      <c r="C238" s="35" t="s">
        <v>46</v>
      </c>
    </row>
    <row r="239" spans="1:3" x14ac:dyDescent="0.25">
      <c r="A239" s="36">
        <v>30715920502</v>
      </c>
      <c r="B239" t="s">
        <v>201</v>
      </c>
    </row>
    <row r="240" spans="1:3" x14ac:dyDescent="0.25">
      <c r="A240" s="36">
        <v>30573652084</v>
      </c>
      <c r="B240" t="s">
        <v>202</v>
      </c>
      <c r="C240" s="35" t="s">
        <v>798</v>
      </c>
    </row>
    <row r="241" spans="1:3" x14ac:dyDescent="0.25">
      <c r="A241" s="36">
        <v>27225671</v>
      </c>
      <c r="B241" t="s">
        <v>954</v>
      </c>
    </row>
    <row r="242" spans="1:3" x14ac:dyDescent="0.25">
      <c r="A242" s="36">
        <v>30606994</v>
      </c>
      <c r="B242" t="s">
        <v>955</v>
      </c>
    </row>
    <row r="243" spans="1:3" x14ac:dyDescent="0.25">
      <c r="A243" s="36">
        <v>23967787</v>
      </c>
      <c r="B243" t="s">
        <v>956</v>
      </c>
    </row>
    <row r="244" spans="1:3" x14ac:dyDescent="0.25">
      <c r="A244" s="36">
        <v>40075269</v>
      </c>
      <c r="B244" t="s">
        <v>957</v>
      </c>
    </row>
    <row r="245" spans="1:3" x14ac:dyDescent="0.25">
      <c r="A245" s="36">
        <v>30606248519</v>
      </c>
      <c r="B245" t="s">
        <v>203</v>
      </c>
      <c r="C245" s="35" t="s">
        <v>797</v>
      </c>
    </row>
    <row r="246" spans="1:3" x14ac:dyDescent="0.25">
      <c r="A246" s="36">
        <v>4054816</v>
      </c>
      <c r="B246" t="s">
        <v>958</v>
      </c>
    </row>
    <row r="247" spans="1:3" x14ac:dyDescent="0.25">
      <c r="A247" s="36">
        <v>31948409</v>
      </c>
      <c r="B247" t="s">
        <v>959</v>
      </c>
    </row>
    <row r="248" spans="1:3" x14ac:dyDescent="0.25">
      <c r="A248" s="36">
        <v>21903185</v>
      </c>
      <c r="B248" t="s">
        <v>960</v>
      </c>
    </row>
    <row r="249" spans="1:3" x14ac:dyDescent="0.25">
      <c r="A249" s="36">
        <v>20265226664</v>
      </c>
      <c r="B249" t="s">
        <v>204</v>
      </c>
    </row>
    <row r="250" spans="1:3" x14ac:dyDescent="0.25">
      <c r="A250" s="36">
        <v>6223767</v>
      </c>
      <c r="B250" t="s">
        <v>961</v>
      </c>
    </row>
    <row r="251" spans="1:3" x14ac:dyDescent="0.25">
      <c r="A251" s="36">
        <v>27338342840</v>
      </c>
      <c r="B251" t="s">
        <v>962</v>
      </c>
      <c r="C251" s="35" t="s">
        <v>829</v>
      </c>
    </row>
    <row r="252" spans="1:3" x14ac:dyDescent="0.25">
      <c r="A252" s="36">
        <v>53432097</v>
      </c>
      <c r="B252" t="s">
        <v>963</v>
      </c>
    </row>
    <row r="253" spans="1:3" x14ac:dyDescent="0.25">
      <c r="A253" s="36">
        <v>27178101647</v>
      </c>
      <c r="B253" t="s">
        <v>205</v>
      </c>
    </row>
    <row r="254" spans="1:3" x14ac:dyDescent="0.25">
      <c r="A254" s="36">
        <v>27184237852</v>
      </c>
      <c r="B254" t="s">
        <v>964</v>
      </c>
      <c r="C254" s="35" t="s">
        <v>79</v>
      </c>
    </row>
    <row r="255" spans="1:3" x14ac:dyDescent="0.25">
      <c r="A255" s="36">
        <v>30685020633</v>
      </c>
      <c r="B255" t="s">
        <v>206</v>
      </c>
      <c r="C255" s="35" t="s">
        <v>797</v>
      </c>
    </row>
    <row r="256" spans="1:3" x14ac:dyDescent="0.25">
      <c r="A256" s="36">
        <v>30709876135</v>
      </c>
      <c r="B256" t="s">
        <v>207</v>
      </c>
      <c r="C256" s="35" t="s">
        <v>797</v>
      </c>
    </row>
    <row r="257" spans="1:3" x14ac:dyDescent="0.25">
      <c r="A257" s="36">
        <v>30709876135</v>
      </c>
      <c r="B257" t="s">
        <v>207</v>
      </c>
      <c r="C257" s="35" t="s">
        <v>797</v>
      </c>
    </row>
    <row r="258" spans="1:3" x14ac:dyDescent="0.25">
      <c r="A258" s="36">
        <v>30709876135</v>
      </c>
      <c r="B258" t="s">
        <v>207</v>
      </c>
      <c r="C258" s="35" t="s">
        <v>797</v>
      </c>
    </row>
    <row r="259" spans="1:3" x14ac:dyDescent="0.25">
      <c r="A259" s="36">
        <v>4514465</v>
      </c>
      <c r="B259" t="s">
        <v>965</v>
      </c>
    </row>
    <row r="260" spans="1:3" x14ac:dyDescent="0.25">
      <c r="A260" s="36">
        <v>27149682525</v>
      </c>
      <c r="B260" t="s">
        <v>966</v>
      </c>
    </row>
    <row r="261" spans="1:3" x14ac:dyDescent="0.25">
      <c r="A261" s="36">
        <v>10721769</v>
      </c>
      <c r="B261" t="s">
        <v>967</v>
      </c>
    </row>
    <row r="262" spans="1:3" x14ac:dyDescent="0.25">
      <c r="A262" s="36">
        <v>29656022</v>
      </c>
      <c r="B262" t="s">
        <v>968</v>
      </c>
    </row>
    <row r="263" spans="1:3" x14ac:dyDescent="0.25">
      <c r="A263" s="36">
        <v>27364044319</v>
      </c>
      <c r="B263" t="s">
        <v>969</v>
      </c>
      <c r="C263" s="35" t="s">
        <v>797</v>
      </c>
    </row>
    <row r="264" spans="1:3" x14ac:dyDescent="0.25">
      <c r="A264" s="36">
        <v>27364044319</v>
      </c>
      <c r="B264" t="s">
        <v>969</v>
      </c>
      <c r="C264" s="35" t="s">
        <v>797</v>
      </c>
    </row>
    <row r="265" spans="1:3" x14ac:dyDescent="0.25">
      <c r="A265" s="36">
        <v>92365668</v>
      </c>
      <c r="B265" t="s">
        <v>970</v>
      </c>
    </row>
    <row r="266" spans="1:3" x14ac:dyDescent="0.25">
      <c r="A266" s="36">
        <v>3968631</v>
      </c>
      <c r="B266" t="s">
        <v>971</v>
      </c>
    </row>
    <row r="267" spans="1:3" x14ac:dyDescent="0.25">
      <c r="A267" s="36">
        <v>92824182</v>
      </c>
      <c r="B267" t="s">
        <v>972</v>
      </c>
    </row>
    <row r="268" spans="1:3" x14ac:dyDescent="0.25">
      <c r="A268" s="36">
        <v>18171829</v>
      </c>
      <c r="B268" t="s">
        <v>973</v>
      </c>
    </row>
    <row r="269" spans="1:3" x14ac:dyDescent="0.25">
      <c r="A269" s="36">
        <v>30715116274</v>
      </c>
      <c r="B269" t="s">
        <v>974</v>
      </c>
      <c r="C269" s="35" t="s">
        <v>797</v>
      </c>
    </row>
    <row r="270" spans="1:3" x14ac:dyDescent="0.25">
      <c r="A270" s="36">
        <v>30715116274</v>
      </c>
      <c r="B270" t="s">
        <v>974</v>
      </c>
      <c r="C270" s="35" t="s">
        <v>797</v>
      </c>
    </row>
    <row r="271" spans="1:3" x14ac:dyDescent="0.25">
      <c r="A271" s="36">
        <v>22858165</v>
      </c>
      <c r="B271" t="s">
        <v>975</v>
      </c>
    </row>
    <row r="272" spans="1:3" x14ac:dyDescent="0.25">
      <c r="A272" s="36">
        <v>20182721787</v>
      </c>
      <c r="B272" t="s">
        <v>208</v>
      </c>
      <c r="C272" s="35" t="s">
        <v>797</v>
      </c>
    </row>
    <row r="273" spans="1:3" x14ac:dyDescent="0.25">
      <c r="A273" s="36">
        <v>20271174803</v>
      </c>
      <c r="B273" t="s">
        <v>209</v>
      </c>
    </row>
    <row r="274" spans="1:3" x14ac:dyDescent="0.25">
      <c r="A274" s="36">
        <v>20101384412</v>
      </c>
      <c r="B274" t="s">
        <v>210</v>
      </c>
      <c r="C274" s="35" t="s">
        <v>797</v>
      </c>
    </row>
    <row r="275" spans="1:3" x14ac:dyDescent="0.25">
      <c r="A275" s="36">
        <v>20129871947</v>
      </c>
      <c r="B275" t="s">
        <v>211</v>
      </c>
      <c r="C275" s="35" t="s">
        <v>797</v>
      </c>
    </row>
    <row r="276" spans="1:3" x14ac:dyDescent="0.25">
      <c r="A276" s="36">
        <v>5439094</v>
      </c>
      <c r="B276" t="s">
        <v>976</v>
      </c>
    </row>
    <row r="277" spans="1:3" x14ac:dyDescent="0.25">
      <c r="A277" s="36">
        <v>18194225</v>
      </c>
      <c r="B277" t="s">
        <v>977</v>
      </c>
    </row>
    <row r="278" spans="1:3" x14ac:dyDescent="0.25">
      <c r="A278" s="36">
        <v>33503921249</v>
      </c>
      <c r="B278" t="s">
        <v>212</v>
      </c>
      <c r="C278" s="35" t="s">
        <v>81</v>
      </c>
    </row>
    <row r="279" spans="1:3" x14ac:dyDescent="0.25">
      <c r="A279" s="36">
        <v>23342254</v>
      </c>
      <c r="B279" t="s">
        <v>978</v>
      </c>
    </row>
    <row r="280" spans="1:3" x14ac:dyDescent="0.25">
      <c r="A280" s="36">
        <v>93354584</v>
      </c>
      <c r="B280" t="s">
        <v>979</v>
      </c>
    </row>
    <row r="281" spans="1:3" x14ac:dyDescent="0.25">
      <c r="A281" s="36">
        <v>20372769808</v>
      </c>
      <c r="B281" t="s">
        <v>980</v>
      </c>
      <c r="C281" s="35" t="s">
        <v>912</v>
      </c>
    </row>
    <row r="282" spans="1:3" x14ac:dyDescent="0.25">
      <c r="A282" s="36">
        <v>30575818826</v>
      </c>
      <c r="B282" t="s">
        <v>981</v>
      </c>
      <c r="C282" s="35" t="s">
        <v>46</v>
      </c>
    </row>
    <row r="283" spans="1:3" x14ac:dyDescent="0.25">
      <c r="A283" s="36">
        <v>30525517094</v>
      </c>
      <c r="B283" t="s">
        <v>213</v>
      </c>
    </row>
    <row r="284" spans="1:3" x14ac:dyDescent="0.25">
      <c r="A284" s="36">
        <v>30575945232</v>
      </c>
      <c r="B284" t="s">
        <v>982</v>
      </c>
      <c r="C284" s="35" t="s">
        <v>79</v>
      </c>
    </row>
    <row r="285" spans="1:3" x14ac:dyDescent="0.25">
      <c r="A285" s="36">
        <v>93309293</v>
      </c>
      <c r="B285" t="s">
        <v>983</v>
      </c>
    </row>
    <row r="286" spans="1:3" x14ac:dyDescent="0.25">
      <c r="A286" s="36">
        <v>33712276539</v>
      </c>
      <c r="B286" t="s">
        <v>214</v>
      </c>
      <c r="C286" s="35" t="s">
        <v>797</v>
      </c>
    </row>
    <row r="287" spans="1:3" x14ac:dyDescent="0.25">
      <c r="A287" s="36">
        <v>36413855</v>
      </c>
      <c r="B287" t="s">
        <v>984</v>
      </c>
    </row>
    <row r="288" spans="1:3" x14ac:dyDescent="0.25">
      <c r="A288" s="36">
        <v>12454862</v>
      </c>
      <c r="B288" t="s">
        <v>985</v>
      </c>
    </row>
    <row r="289" spans="1:3" x14ac:dyDescent="0.25">
      <c r="A289" s="36">
        <v>12454862</v>
      </c>
      <c r="B289" t="s">
        <v>985</v>
      </c>
    </row>
    <row r="290" spans="1:3" x14ac:dyDescent="0.25">
      <c r="A290" s="36">
        <v>10624244</v>
      </c>
      <c r="B290" t="s">
        <v>986</v>
      </c>
    </row>
    <row r="291" spans="1:3" x14ac:dyDescent="0.25">
      <c r="A291" s="36">
        <v>93281329</v>
      </c>
      <c r="B291" t="s">
        <v>987</v>
      </c>
    </row>
    <row r="292" spans="1:3" x14ac:dyDescent="0.25">
      <c r="A292" s="36">
        <v>30716174766</v>
      </c>
      <c r="B292" t="s">
        <v>988</v>
      </c>
      <c r="C292" s="35" t="s">
        <v>829</v>
      </c>
    </row>
    <row r="293" spans="1:3" x14ac:dyDescent="0.25">
      <c r="A293" s="36">
        <v>7625197</v>
      </c>
      <c r="B293" t="s">
        <v>989</v>
      </c>
    </row>
    <row r="294" spans="1:3" x14ac:dyDescent="0.25">
      <c r="A294" s="36">
        <v>8643409</v>
      </c>
      <c r="B294" t="s">
        <v>990</v>
      </c>
    </row>
    <row r="295" spans="1:3" x14ac:dyDescent="0.25">
      <c r="A295" s="36">
        <v>30710176325</v>
      </c>
      <c r="B295" t="s">
        <v>215</v>
      </c>
    </row>
    <row r="296" spans="1:3" x14ac:dyDescent="0.25">
      <c r="A296" s="36">
        <v>22079320</v>
      </c>
      <c r="B296" t="s">
        <v>991</v>
      </c>
    </row>
    <row r="297" spans="1:3" x14ac:dyDescent="0.25">
      <c r="A297" s="36">
        <v>30697574480</v>
      </c>
      <c r="B297" t="s">
        <v>216</v>
      </c>
    </row>
    <row r="298" spans="1:3" x14ac:dyDescent="0.25">
      <c r="A298" s="36">
        <v>31677752</v>
      </c>
      <c r="B298" t="s">
        <v>992</v>
      </c>
    </row>
    <row r="299" spans="1:3" x14ac:dyDescent="0.25">
      <c r="A299" s="36">
        <v>20250373</v>
      </c>
      <c r="B299" t="s">
        <v>993</v>
      </c>
    </row>
    <row r="300" spans="1:3" x14ac:dyDescent="0.25">
      <c r="A300" s="36">
        <v>30568463591</v>
      </c>
      <c r="B300" t="s">
        <v>217</v>
      </c>
    </row>
    <row r="301" spans="1:3" x14ac:dyDescent="0.25">
      <c r="A301" s="36">
        <v>30590360763</v>
      </c>
      <c r="B301" t="s">
        <v>88</v>
      </c>
      <c r="C301" s="35" t="s">
        <v>39</v>
      </c>
    </row>
    <row r="302" spans="1:3" x14ac:dyDescent="0.25">
      <c r="A302" s="36">
        <v>30707612971</v>
      </c>
      <c r="B302" t="s">
        <v>218</v>
      </c>
      <c r="C302" s="35" t="s">
        <v>811</v>
      </c>
    </row>
    <row r="303" spans="1:3" x14ac:dyDescent="0.25">
      <c r="A303" s="36">
        <v>30707612971</v>
      </c>
      <c r="B303" t="s">
        <v>218</v>
      </c>
      <c r="C303" s="35" t="s">
        <v>811</v>
      </c>
    </row>
    <row r="304" spans="1:3" x14ac:dyDescent="0.25">
      <c r="A304" s="36">
        <v>30707612971</v>
      </c>
      <c r="B304" t="s">
        <v>218</v>
      </c>
    </row>
    <row r="305" spans="1:3" x14ac:dyDescent="0.25">
      <c r="A305" s="36">
        <v>30687752925</v>
      </c>
      <c r="B305" t="s">
        <v>994</v>
      </c>
    </row>
    <row r="306" spans="1:3" x14ac:dyDescent="0.25">
      <c r="A306" s="36">
        <v>30707535934</v>
      </c>
      <c r="B306" t="s">
        <v>995</v>
      </c>
      <c r="C306" s="35" t="s">
        <v>44</v>
      </c>
    </row>
    <row r="307" spans="1:3" x14ac:dyDescent="0.25">
      <c r="A307" s="36">
        <v>30710009798</v>
      </c>
      <c r="B307" t="s">
        <v>996</v>
      </c>
    </row>
    <row r="308" spans="1:3" x14ac:dyDescent="0.25">
      <c r="A308" s="36">
        <v>14070667</v>
      </c>
      <c r="B308" t="s">
        <v>997</v>
      </c>
    </row>
    <row r="309" spans="1:3" x14ac:dyDescent="0.25">
      <c r="A309" s="36">
        <v>4175706</v>
      </c>
      <c r="B309" t="s">
        <v>998</v>
      </c>
    </row>
    <row r="310" spans="1:3" x14ac:dyDescent="0.25">
      <c r="A310" s="36">
        <v>20182095215</v>
      </c>
      <c r="B310" t="s">
        <v>219</v>
      </c>
      <c r="C310" s="35" t="s">
        <v>999</v>
      </c>
    </row>
    <row r="311" spans="1:3" x14ac:dyDescent="0.25">
      <c r="A311" s="36">
        <v>30708741562</v>
      </c>
      <c r="B311" t="s">
        <v>220</v>
      </c>
      <c r="C311" s="35" t="s">
        <v>797</v>
      </c>
    </row>
    <row r="312" spans="1:3" x14ac:dyDescent="0.25">
      <c r="A312" s="36">
        <v>30712192735</v>
      </c>
      <c r="B312" t="s">
        <v>221</v>
      </c>
    </row>
    <row r="313" spans="1:3" x14ac:dyDescent="0.25">
      <c r="A313" s="36">
        <v>4164120</v>
      </c>
      <c r="B313" t="s">
        <v>1000</v>
      </c>
    </row>
    <row r="314" spans="1:3" x14ac:dyDescent="0.25">
      <c r="A314" s="36">
        <v>4676555</v>
      </c>
      <c r="B314" t="s">
        <v>1001</v>
      </c>
    </row>
    <row r="315" spans="1:3" x14ac:dyDescent="0.25">
      <c r="A315" s="36">
        <v>29433302</v>
      </c>
      <c r="B315" t="s">
        <v>1002</v>
      </c>
    </row>
    <row r="316" spans="1:3" x14ac:dyDescent="0.25">
      <c r="A316" s="36">
        <v>33293764</v>
      </c>
      <c r="B316" t="s">
        <v>1003</v>
      </c>
    </row>
    <row r="317" spans="1:3" x14ac:dyDescent="0.25">
      <c r="A317" s="36">
        <v>13211322</v>
      </c>
      <c r="B317" t="s">
        <v>1004</v>
      </c>
    </row>
    <row r="318" spans="1:3" x14ac:dyDescent="0.25">
      <c r="A318" s="36">
        <v>30656459677</v>
      </c>
      <c r="B318" t="s">
        <v>222</v>
      </c>
    </row>
    <row r="319" spans="1:3" x14ac:dyDescent="0.25">
      <c r="A319" s="36">
        <v>32091051</v>
      </c>
      <c r="B319" t="s">
        <v>1005</v>
      </c>
    </row>
    <row r="320" spans="1:3" x14ac:dyDescent="0.25">
      <c r="A320" s="36">
        <v>10740809</v>
      </c>
      <c r="B320" t="s">
        <v>1006</v>
      </c>
    </row>
    <row r="321" spans="1:3" x14ac:dyDescent="0.25">
      <c r="A321" s="36">
        <v>27945274110</v>
      </c>
      <c r="B321" t="s">
        <v>223</v>
      </c>
      <c r="C321" s="35" t="s">
        <v>797</v>
      </c>
    </row>
    <row r="322" spans="1:3" x14ac:dyDescent="0.25">
      <c r="A322" s="36">
        <v>30594832783</v>
      </c>
      <c r="B322" t="s">
        <v>1007</v>
      </c>
      <c r="C322" s="35" t="s">
        <v>44</v>
      </c>
    </row>
    <row r="323" spans="1:3" x14ac:dyDescent="0.25">
      <c r="A323" s="36">
        <v>17606673</v>
      </c>
      <c r="B323" t="s">
        <v>1008</v>
      </c>
    </row>
    <row r="324" spans="1:3" x14ac:dyDescent="0.25">
      <c r="A324" s="36">
        <v>92687609</v>
      </c>
      <c r="B324" t="s">
        <v>1009</v>
      </c>
    </row>
    <row r="325" spans="1:3" x14ac:dyDescent="0.25">
      <c r="A325" s="36">
        <v>6883634</v>
      </c>
      <c r="B325" t="s">
        <v>1010</v>
      </c>
    </row>
    <row r="326" spans="1:3" x14ac:dyDescent="0.25">
      <c r="A326" s="36">
        <v>14242853</v>
      </c>
      <c r="B326" t="s">
        <v>1011</v>
      </c>
    </row>
    <row r="327" spans="1:3" x14ac:dyDescent="0.25">
      <c r="A327" s="36">
        <v>31290461</v>
      </c>
      <c r="B327" t="s">
        <v>1012</v>
      </c>
    </row>
    <row r="328" spans="1:3" x14ac:dyDescent="0.25">
      <c r="A328" s="36">
        <v>30707986189</v>
      </c>
      <c r="B328" t="s">
        <v>1013</v>
      </c>
      <c r="C328" s="35" t="s">
        <v>797</v>
      </c>
    </row>
    <row r="329" spans="1:3" x14ac:dyDescent="0.25">
      <c r="A329" s="36">
        <v>30707986189</v>
      </c>
      <c r="B329" t="s">
        <v>1013</v>
      </c>
      <c r="C329" s="35" t="s">
        <v>797</v>
      </c>
    </row>
    <row r="330" spans="1:3" x14ac:dyDescent="0.25">
      <c r="A330" s="36">
        <v>30707986189</v>
      </c>
      <c r="B330" t="s">
        <v>224</v>
      </c>
      <c r="C330" s="35" t="s">
        <v>797</v>
      </c>
    </row>
    <row r="331" spans="1:3" x14ac:dyDescent="0.25">
      <c r="A331" s="36">
        <v>30714500933</v>
      </c>
      <c r="B331" t="s">
        <v>225</v>
      </c>
    </row>
    <row r="332" spans="1:3" x14ac:dyDescent="0.25">
      <c r="A332" s="36">
        <v>23147508999</v>
      </c>
      <c r="B332" t="s">
        <v>1014</v>
      </c>
    </row>
    <row r="333" spans="1:3" x14ac:dyDescent="0.25">
      <c r="A333" s="36">
        <v>30702286987</v>
      </c>
      <c r="B333" t="s">
        <v>226</v>
      </c>
      <c r="C333" s="35" t="s">
        <v>79</v>
      </c>
    </row>
    <row r="334" spans="1:3" x14ac:dyDescent="0.25">
      <c r="A334" s="36">
        <v>16895315</v>
      </c>
      <c r="B334" t="s">
        <v>1015</v>
      </c>
    </row>
    <row r="335" spans="1:3" x14ac:dyDescent="0.25">
      <c r="A335" s="36">
        <v>30708651644</v>
      </c>
      <c r="B335" t="s">
        <v>227</v>
      </c>
    </row>
    <row r="336" spans="1:3" x14ac:dyDescent="0.25">
      <c r="A336" s="36">
        <v>27172039036</v>
      </c>
      <c r="B336" t="s">
        <v>228</v>
      </c>
    </row>
    <row r="337" spans="1:3" x14ac:dyDescent="0.25">
      <c r="A337" s="36">
        <v>27237719145</v>
      </c>
      <c r="B337" t="s">
        <v>1016</v>
      </c>
      <c r="C337" s="35" t="s">
        <v>797</v>
      </c>
    </row>
    <row r="338" spans="1:3" x14ac:dyDescent="0.25">
      <c r="A338" s="36">
        <v>17677788</v>
      </c>
      <c r="B338" t="s">
        <v>1017</v>
      </c>
    </row>
    <row r="339" spans="1:3" x14ac:dyDescent="0.25">
      <c r="A339" s="36">
        <v>20927573483</v>
      </c>
      <c r="B339" t="s">
        <v>229</v>
      </c>
    </row>
    <row r="340" spans="1:3" x14ac:dyDescent="0.25">
      <c r="A340" s="36">
        <v>30628878966</v>
      </c>
      <c r="B340" t="s">
        <v>230</v>
      </c>
    </row>
    <row r="341" spans="1:3" x14ac:dyDescent="0.25">
      <c r="A341" s="36">
        <v>30530328348</v>
      </c>
      <c r="B341" t="s">
        <v>231</v>
      </c>
    </row>
    <row r="342" spans="1:3" x14ac:dyDescent="0.25">
      <c r="A342" s="36">
        <v>8235684</v>
      </c>
      <c r="B342" t="s">
        <v>1018</v>
      </c>
    </row>
    <row r="343" spans="1:3" x14ac:dyDescent="0.25">
      <c r="A343" s="36">
        <v>30525390086</v>
      </c>
      <c r="B343" t="s">
        <v>89</v>
      </c>
    </row>
    <row r="344" spans="1:3" x14ac:dyDescent="0.25">
      <c r="A344" s="36">
        <v>30638177826</v>
      </c>
      <c r="B344" t="s">
        <v>232</v>
      </c>
    </row>
    <row r="345" spans="1:3" x14ac:dyDescent="0.25">
      <c r="A345" s="36">
        <v>23117888169</v>
      </c>
      <c r="B345" t="s">
        <v>233</v>
      </c>
      <c r="C345" s="35" t="s">
        <v>797</v>
      </c>
    </row>
    <row r="346" spans="1:3" x14ac:dyDescent="0.25">
      <c r="A346" s="36">
        <v>27729252</v>
      </c>
      <c r="B346" t="s">
        <v>1019</v>
      </c>
    </row>
    <row r="347" spans="1:3" x14ac:dyDescent="0.25">
      <c r="A347" s="36">
        <v>1976258</v>
      </c>
      <c r="B347" t="s">
        <v>1020</v>
      </c>
    </row>
    <row r="348" spans="1:3" x14ac:dyDescent="0.25">
      <c r="A348" s="36">
        <v>23258785479</v>
      </c>
      <c r="B348" t="s">
        <v>1021</v>
      </c>
      <c r="C348" s="35" t="s">
        <v>912</v>
      </c>
    </row>
    <row r="349" spans="1:3" x14ac:dyDescent="0.25">
      <c r="A349" s="36">
        <v>5581669</v>
      </c>
      <c r="B349" t="s">
        <v>1022</v>
      </c>
    </row>
    <row r="350" spans="1:3" x14ac:dyDescent="0.25">
      <c r="A350" s="36">
        <v>35092896</v>
      </c>
      <c r="B350" t="s">
        <v>1023</v>
      </c>
    </row>
    <row r="351" spans="1:3" x14ac:dyDescent="0.25">
      <c r="A351" s="36">
        <v>30688140923</v>
      </c>
      <c r="B351" t="s">
        <v>234</v>
      </c>
      <c r="C351" s="35" t="s">
        <v>797</v>
      </c>
    </row>
    <row r="352" spans="1:3" x14ac:dyDescent="0.25">
      <c r="A352" s="36">
        <v>30707212698</v>
      </c>
      <c r="B352" t="s">
        <v>235</v>
      </c>
      <c r="C352" s="35" t="s">
        <v>797</v>
      </c>
    </row>
    <row r="353" spans="1:3" x14ac:dyDescent="0.25">
      <c r="A353" s="36">
        <v>30519492136</v>
      </c>
      <c r="B353" t="s">
        <v>236</v>
      </c>
      <c r="C353" s="35" t="s">
        <v>797</v>
      </c>
    </row>
    <row r="354" spans="1:3" x14ac:dyDescent="0.25">
      <c r="A354" s="36">
        <v>30518455970</v>
      </c>
      <c r="B354" t="s">
        <v>237</v>
      </c>
    </row>
    <row r="355" spans="1:3" x14ac:dyDescent="0.25">
      <c r="A355" s="36">
        <v>30711170096</v>
      </c>
      <c r="B355" t="s">
        <v>1024</v>
      </c>
      <c r="C355" s="35" t="s">
        <v>44</v>
      </c>
    </row>
    <row r="356" spans="1:3" x14ac:dyDescent="0.25">
      <c r="A356" s="36">
        <v>30682115722</v>
      </c>
      <c r="B356" t="s">
        <v>238</v>
      </c>
    </row>
    <row r="357" spans="1:3" x14ac:dyDescent="0.25">
      <c r="A357" s="36">
        <v>33710268059</v>
      </c>
      <c r="B357" t="s">
        <v>1025</v>
      </c>
      <c r="C357" s="35" t="s">
        <v>849</v>
      </c>
    </row>
    <row r="358" spans="1:3" x14ac:dyDescent="0.25">
      <c r="A358" s="36">
        <v>30605344352</v>
      </c>
      <c r="B358" t="s">
        <v>1026</v>
      </c>
      <c r="C358" s="35" t="s">
        <v>999</v>
      </c>
    </row>
    <row r="359" spans="1:3" x14ac:dyDescent="0.25">
      <c r="A359" s="36">
        <v>30605344352</v>
      </c>
      <c r="B359" t="s">
        <v>239</v>
      </c>
      <c r="C359" s="35" t="s">
        <v>49</v>
      </c>
    </row>
    <row r="360" spans="1:3" x14ac:dyDescent="0.25">
      <c r="A360" s="36">
        <v>30714510092</v>
      </c>
      <c r="B360" t="s">
        <v>240</v>
      </c>
      <c r="C360" s="35" t="s">
        <v>797</v>
      </c>
    </row>
    <row r="361" spans="1:3" x14ac:dyDescent="0.25">
      <c r="A361" s="36">
        <v>30715904868</v>
      </c>
      <c r="B361" t="s">
        <v>241</v>
      </c>
    </row>
    <row r="362" spans="1:3" x14ac:dyDescent="0.25">
      <c r="A362" s="36">
        <v>33714788219</v>
      </c>
      <c r="B362" t="s">
        <v>242</v>
      </c>
    </row>
    <row r="363" spans="1:3" x14ac:dyDescent="0.25">
      <c r="A363" s="36">
        <v>20134281783</v>
      </c>
      <c r="B363" t="s">
        <v>243</v>
      </c>
      <c r="C363" s="35" t="s">
        <v>797</v>
      </c>
    </row>
    <row r="364" spans="1:3" x14ac:dyDescent="0.25">
      <c r="A364" s="36">
        <v>20134281783</v>
      </c>
      <c r="B364" t="s">
        <v>243</v>
      </c>
      <c r="C364" s="35" t="s">
        <v>797</v>
      </c>
    </row>
    <row r="365" spans="1:3" x14ac:dyDescent="0.25">
      <c r="A365" s="36">
        <v>20134281783</v>
      </c>
      <c r="B365" t="s">
        <v>243</v>
      </c>
      <c r="C365" s="35" t="s">
        <v>797</v>
      </c>
    </row>
    <row r="366" spans="1:3" x14ac:dyDescent="0.25">
      <c r="A366" s="36">
        <v>17343213</v>
      </c>
      <c r="B366" t="s">
        <v>1027</v>
      </c>
    </row>
    <row r="367" spans="1:3" x14ac:dyDescent="0.25">
      <c r="A367" s="36">
        <v>30682998330</v>
      </c>
      <c r="B367" t="s">
        <v>1028</v>
      </c>
      <c r="C367" s="35" t="s">
        <v>912</v>
      </c>
    </row>
    <row r="368" spans="1:3" x14ac:dyDescent="0.25">
      <c r="A368" s="36">
        <v>30710730233</v>
      </c>
      <c r="B368" t="s">
        <v>1029</v>
      </c>
    </row>
    <row r="369" spans="1:3" x14ac:dyDescent="0.25">
      <c r="A369" s="36">
        <v>30577207190</v>
      </c>
      <c r="B369" t="s">
        <v>1030</v>
      </c>
      <c r="C369" s="35" t="s">
        <v>912</v>
      </c>
    </row>
    <row r="370" spans="1:3" x14ac:dyDescent="0.25">
      <c r="A370" s="36">
        <v>30519678205</v>
      </c>
      <c r="B370" t="s">
        <v>244</v>
      </c>
    </row>
    <row r="371" spans="1:3" x14ac:dyDescent="0.25">
      <c r="A371" s="36">
        <v>30548345525</v>
      </c>
      <c r="B371" t="s">
        <v>245</v>
      </c>
      <c r="C371" s="35" t="s">
        <v>79</v>
      </c>
    </row>
    <row r="372" spans="1:3" x14ac:dyDescent="0.25">
      <c r="A372" s="36">
        <v>30549345525</v>
      </c>
      <c r="B372" t="s">
        <v>245</v>
      </c>
      <c r="C372" s="35" t="s">
        <v>798</v>
      </c>
    </row>
    <row r="373" spans="1:3" x14ac:dyDescent="0.25">
      <c r="A373" s="36">
        <v>30693761421</v>
      </c>
      <c r="B373" t="s">
        <v>246</v>
      </c>
    </row>
    <row r="374" spans="1:3" x14ac:dyDescent="0.25">
      <c r="A374" s="36">
        <v>20278955991</v>
      </c>
      <c r="B374" t="s">
        <v>1031</v>
      </c>
    </row>
    <row r="375" spans="1:3" x14ac:dyDescent="0.25">
      <c r="A375" s="36">
        <v>33362509</v>
      </c>
      <c r="B375" t="s">
        <v>1032</v>
      </c>
    </row>
    <row r="376" spans="1:3" x14ac:dyDescent="0.25">
      <c r="A376" s="36">
        <v>30709479624</v>
      </c>
      <c r="B376" t="s">
        <v>247</v>
      </c>
    </row>
    <row r="377" spans="1:3" x14ac:dyDescent="0.25">
      <c r="A377" s="36">
        <v>20233248283</v>
      </c>
      <c r="B377" t="s">
        <v>1033</v>
      </c>
      <c r="C377" s="35" t="s">
        <v>829</v>
      </c>
    </row>
    <row r="378" spans="1:3" x14ac:dyDescent="0.25">
      <c r="A378" s="36">
        <v>30715804812</v>
      </c>
      <c r="B378" t="s">
        <v>1034</v>
      </c>
      <c r="C378" s="35" t="s">
        <v>879</v>
      </c>
    </row>
    <row r="379" spans="1:3" x14ac:dyDescent="0.25">
      <c r="A379" s="36">
        <v>27716112</v>
      </c>
      <c r="B379" t="s">
        <v>1035</v>
      </c>
    </row>
    <row r="380" spans="1:3" x14ac:dyDescent="0.25">
      <c r="A380" s="36">
        <v>33699685459</v>
      </c>
      <c r="B380" t="s">
        <v>1036</v>
      </c>
      <c r="C380" s="35" t="s">
        <v>1037</v>
      </c>
    </row>
    <row r="381" spans="1:3" x14ac:dyDescent="0.25">
      <c r="A381" s="36">
        <v>23115425099</v>
      </c>
      <c r="B381" t="s">
        <v>248</v>
      </c>
    </row>
    <row r="382" spans="1:3" x14ac:dyDescent="0.25">
      <c r="A382" s="36">
        <v>30708574836</v>
      </c>
      <c r="B382" t="s">
        <v>1038</v>
      </c>
      <c r="C382" s="35" t="s">
        <v>79</v>
      </c>
    </row>
    <row r="383" spans="1:3" x14ac:dyDescent="0.25">
      <c r="A383" s="36">
        <v>33710271149</v>
      </c>
      <c r="B383" t="s">
        <v>1039</v>
      </c>
      <c r="C383" s="35" t="s">
        <v>1040</v>
      </c>
    </row>
    <row r="384" spans="1:3" x14ac:dyDescent="0.25">
      <c r="A384" s="36">
        <v>30636196858</v>
      </c>
      <c r="B384" t="s">
        <v>1041</v>
      </c>
    </row>
    <row r="385" spans="1:3" x14ac:dyDescent="0.25">
      <c r="A385" s="36">
        <v>27065000216</v>
      </c>
      <c r="B385" t="s">
        <v>249</v>
      </c>
      <c r="C385" s="35" t="s">
        <v>829</v>
      </c>
    </row>
    <row r="386" spans="1:3" x14ac:dyDescent="0.25">
      <c r="A386" s="36">
        <v>10045074</v>
      </c>
      <c r="B386" t="s">
        <v>1042</v>
      </c>
    </row>
    <row r="387" spans="1:3" x14ac:dyDescent="0.25">
      <c r="A387" s="36">
        <v>30548083156</v>
      </c>
      <c r="B387" t="s">
        <v>91</v>
      </c>
      <c r="C387" s="35" t="s">
        <v>79</v>
      </c>
    </row>
    <row r="388" spans="1:3" x14ac:dyDescent="0.25">
      <c r="A388" s="36">
        <v>30714436437</v>
      </c>
      <c r="B388" t="s">
        <v>250</v>
      </c>
    </row>
    <row r="389" spans="1:3" x14ac:dyDescent="0.25">
      <c r="A389" s="36">
        <v>30696850972</v>
      </c>
      <c r="B389" t="s">
        <v>1043</v>
      </c>
      <c r="C389" s="35" t="s">
        <v>1044</v>
      </c>
    </row>
    <row r="390" spans="1:3" x14ac:dyDescent="0.25">
      <c r="A390" s="36">
        <v>33707563449</v>
      </c>
      <c r="B390" t="s">
        <v>1045</v>
      </c>
    </row>
    <row r="391" spans="1:3" x14ac:dyDescent="0.25">
      <c r="A391" s="36">
        <v>4195860</v>
      </c>
      <c r="B391" t="s">
        <v>1046</v>
      </c>
    </row>
    <row r="392" spans="1:3" x14ac:dyDescent="0.25">
      <c r="A392" s="36">
        <v>16994318</v>
      </c>
      <c r="B392" t="s">
        <v>1047</v>
      </c>
    </row>
    <row r="393" spans="1:3" x14ac:dyDescent="0.25">
      <c r="A393" s="36">
        <v>30709175897</v>
      </c>
      <c r="B393" t="s">
        <v>1048</v>
      </c>
    </row>
    <row r="394" spans="1:3" x14ac:dyDescent="0.25">
      <c r="A394" s="36">
        <v>30610255783</v>
      </c>
      <c r="B394" t="s">
        <v>251</v>
      </c>
      <c r="C394" s="35" t="s">
        <v>797</v>
      </c>
    </row>
    <row r="395" spans="1:3" x14ac:dyDescent="0.25">
      <c r="A395" s="36">
        <v>30715406043</v>
      </c>
      <c r="B395" t="s">
        <v>252</v>
      </c>
      <c r="C395" s="35" t="s">
        <v>79</v>
      </c>
    </row>
    <row r="396" spans="1:3" x14ac:dyDescent="0.25">
      <c r="A396" s="36">
        <v>20224565314</v>
      </c>
      <c r="B396" t="s">
        <v>253</v>
      </c>
    </row>
    <row r="397" spans="1:3" x14ac:dyDescent="0.25">
      <c r="A397" s="36">
        <v>30710986416</v>
      </c>
      <c r="B397" t="s">
        <v>254</v>
      </c>
      <c r="C397" s="35" t="s">
        <v>797</v>
      </c>
    </row>
    <row r="398" spans="1:3" x14ac:dyDescent="0.25">
      <c r="A398" s="36">
        <v>30716536870</v>
      </c>
      <c r="B398" t="s">
        <v>1049</v>
      </c>
    </row>
    <row r="399" spans="1:3" x14ac:dyDescent="0.25">
      <c r="A399" s="36">
        <v>30707833293</v>
      </c>
      <c r="B399" t="s">
        <v>1050</v>
      </c>
    </row>
    <row r="400" spans="1:3" x14ac:dyDescent="0.25">
      <c r="A400" s="36">
        <v>30648270417</v>
      </c>
      <c r="B400" t="s">
        <v>255</v>
      </c>
      <c r="C400" s="35" t="s">
        <v>797</v>
      </c>
    </row>
    <row r="401" spans="1:3" x14ac:dyDescent="0.25">
      <c r="A401" s="36">
        <v>93906317</v>
      </c>
      <c r="B401" t="s">
        <v>1051</v>
      </c>
    </row>
    <row r="402" spans="1:3" x14ac:dyDescent="0.25">
      <c r="A402" s="36">
        <v>93906317</v>
      </c>
      <c r="B402" t="s">
        <v>1051</v>
      </c>
    </row>
    <row r="403" spans="1:3" x14ac:dyDescent="0.25">
      <c r="A403" s="36">
        <v>13782015</v>
      </c>
      <c r="B403" t="s">
        <v>1052</v>
      </c>
    </row>
    <row r="404" spans="1:3" x14ac:dyDescent="0.25">
      <c r="A404" s="36">
        <v>30710335008</v>
      </c>
      <c r="B404" t="s">
        <v>256</v>
      </c>
    </row>
    <row r="405" spans="1:3" x14ac:dyDescent="0.25">
      <c r="A405" s="36">
        <v>20126013877</v>
      </c>
      <c r="B405" t="s">
        <v>257</v>
      </c>
      <c r="C405" s="35" t="s">
        <v>79</v>
      </c>
    </row>
    <row r="406" spans="1:3" x14ac:dyDescent="0.25">
      <c r="A406" s="36">
        <v>20125815511</v>
      </c>
      <c r="B406" t="s">
        <v>258</v>
      </c>
    </row>
    <row r="407" spans="1:3" x14ac:dyDescent="0.25">
      <c r="A407" s="36">
        <v>42646714</v>
      </c>
      <c r="B407" t="s">
        <v>1053</v>
      </c>
    </row>
    <row r="408" spans="1:3" x14ac:dyDescent="0.25">
      <c r="A408" s="36">
        <v>30712070133</v>
      </c>
      <c r="B408" t="s">
        <v>259</v>
      </c>
    </row>
    <row r="409" spans="1:3" x14ac:dyDescent="0.25">
      <c r="A409" s="36">
        <v>11768371</v>
      </c>
      <c r="B409" t="s">
        <v>1054</v>
      </c>
    </row>
    <row r="410" spans="1:3" x14ac:dyDescent="0.25">
      <c r="A410" s="36">
        <v>14547746</v>
      </c>
      <c r="B410" t="s">
        <v>1055</v>
      </c>
    </row>
    <row r="411" spans="1:3" x14ac:dyDescent="0.25">
      <c r="A411" s="36">
        <v>14547746</v>
      </c>
      <c r="B411" t="s">
        <v>1055</v>
      </c>
    </row>
    <row r="412" spans="1:3" x14ac:dyDescent="0.25">
      <c r="A412" s="36">
        <v>23172107559</v>
      </c>
      <c r="B412" t="s">
        <v>260</v>
      </c>
    </row>
    <row r="413" spans="1:3" x14ac:dyDescent="0.25">
      <c r="A413" s="36">
        <v>20161374408</v>
      </c>
      <c r="B413" t="s">
        <v>1056</v>
      </c>
    </row>
    <row r="414" spans="1:3" x14ac:dyDescent="0.25">
      <c r="A414" s="36">
        <v>32391865</v>
      </c>
      <c r="B414" t="s">
        <v>1057</v>
      </c>
    </row>
    <row r="415" spans="1:3" x14ac:dyDescent="0.25">
      <c r="A415" s="36">
        <v>30715242903</v>
      </c>
      <c r="B415" t="s">
        <v>1058</v>
      </c>
      <c r="C415" s="35" t="s">
        <v>797</v>
      </c>
    </row>
    <row r="416" spans="1:3" x14ac:dyDescent="0.25">
      <c r="A416" s="36">
        <v>30597228984</v>
      </c>
      <c r="B416" t="s">
        <v>261</v>
      </c>
    </row>
    <row r="417" spans="1:3" x14ac:dyDescent="0.25">
      <c r="A417" s="36">
        <v>30710984332</v>
      </c>
      <c r="B417" t="s">
        <v>262</v>
      </c>
    </row>
    <row r="418" spans="1:3" x14ac:dyDescent="0.25">
      <c r="A418" s="36">
        <v>27216710253</v>
      </c>
      <c r="B418" t="s">
        <v>263</v>
      </c>
      <c r="C418" s="35" t="s">
        <v>81</v>
      </c>
    </row>
    <row r="419" spans="1:3" x14ac:dyDescent="0.25">
      <c r="A419" s="36">
        <v>92374904</v>
      </c>
      <c r="B419" t="s">
        <v>1059</v>
      </c>
    </row>
    <row r="420" spans="1:3" x14ac:dyDescent="0.25">
      <c r="A420" s="36">
        <v>14014788</v>
      </c>
      <c r="B420" t="s">
        <v>1060</v>
      </c>
    </row>
    <row r="421" spans="1:3" x14ac:dyDescent="0.25">
      <c r="A421" s="36">
        <v>30707519378</v>
      </c>
      <c r="B421" t="s">
        <v>1061</v>
      </c>
    </row>
    <row r="422" spans="1:3" x14ac:dyDescent="0.25">
      <c r="A422" s="36">
        <v>30711549206</v>
      </c>
      <c r="B422" t="s">
        <v>1062</v>
      </c>
      <c r="C422" s="35" t="s">
        <v>79</v>
      </c>
    </row>
    <row r="423" spans="1:3" x14ac:dyDescent="0.25">
      <c r="A423" s="36">
        <v>27308260440</v>
      </c>
      <c r="B423" t="s">
        <v>264</v>
      </c>
      <c r="C423" s="35" t="s">
        <v>79</v>
      </c>
    </row>
    <row r="424" spans="1:3" x14ac:dyDescent="0.25">
      <c r="A424" s="36">
        <v>21824174</v>
      </c>
      <c r="B424" t="s">
        <v>1063</v>
      </c>
    </row>
    <row r="425" spans="1:3" x14ac:dyDescent="0.25">
      <c r="A425" s="36">
        <v>13407514</v>
      </c>
      <c r="B425" t="s">
        <v>1064</v>
      </c>
    </row>
    <row r="426" spans="1:3" x14ac:dyDescent="0.25">
      <c r="A426" s="36">
        <v>30710513895</v>
      </c>
      <c r="B426" t="s">
        <v>265</v>
      </c>
    </row>
    <row r="427" spans="1:3" x14ac:dyDescent="0.25">
      <c r="A427" s="36">
        <v>30522798106</v>
      </c>
      <c r="B427" t="s">
        <v>266</v>
      </c>
    </row>
    <row r="428" spans="1:3" x14ac:dyDescent="0.25">
      <c r="A428" s="36">
        <v>22196829</v>
      </c>
      <c r="B428" t="s">
        <v>1065</v>
      </c>
    </row>
    <row r="429" spans="1:3" x14ac:dyDescent="0.25">
      <c r="A429" s="36">
        <v>30711275106</v>
      </c>
      <c r="B429" t="s">
        <v>1066</v>
      </c>
      <c r="C429" s="35" t="s">
        <v>1037</v>
      </c>
    </row>
    <row r="430" spans="1:3" x14ac:dyDescent="0.25">
      <c r="A430" s="36">
        <v>3764909</v>
      </c>
      <c r="B430" t="s">
        <v>1067</v>
      </c>
    </row>
    <row r="431" spans="1:3" x14ac:dyDescent="0.25">
      <c r="A431" s="36">
        <v>33715370269</v>
      </c>
      <c r="B431" t="s">
        <v>267</v>
      </c>
      <c r="C431" s="35" t="s">
        <v>797</v>
      </c>
    </row>
    <row r="432" spans="1:3" x14ac:dyDescent="0.25">
      <c r="A432" s="36">
        <v>30710988109</v>
      </c>
      <c r="B432" t="s">
        <v>268</v>
      </c>
    </row>
    <row r="433" spans="1:3" x14ac:dyDescent="0.25">
      <c r="A433" s="36">
        <v>30516186670</v>
      </c>
      <c r="B433" t="s">
        <v>92</v>
      </c>
      <c r="C433" s="35" t="s">
        <v>44</v>
      </c>
    </row>
    <row r="434" spans="1:3" x14ac:dyDescent="0.25">
      <c r="A434" s="36">
        <v>27340766445</v>
      </c>
      <c r="B434" t="s">
        <v>269</v>
      </c>
      <c r="C434" s="35" t="s">
        <v>797</v>
      </c>
    </row>
    <row r="435" spans="1:3" x14ac:dyDescent="0.25">
      <c r="A435" s="36">
        <v>20403969886</v>
      </c>
      <c r="B435" t="s">
        <v>1068</v>
      </c>
      <c r="C435" s="35" t="s">
        <v>829</v>
      </c>
    </row>
    <row r="436" spans="1:3" x14ac:dyDescent="0.25">
      <c r="A436" s="36">
        <v>13300179</v>
      </c>
      <c r="B436" t="s">
        <v>1069</v>
      </c>
    </row>
    <row r="437" spans="1:3" x14ac:dyDescent="0.25">
      <c r="A437" s="36">
        <v>20165157053</v>
      </c>
      <c r="B437" t="s">
        <v>1070</v>
      </c>
      <c r="C437" s="35" t="s">
        <v>797</v>
      </c>
    </row>
    <row r="438" spans="1:3" x14ac:dyDescent="0.25">
      <c r="A438" s="36">
        <v>33716792299</v>
      </c>
      <c r="B438" t="s">
        <v>1071</v>
      </c>
      <c r="C438" s="35" t="s">
        <v>912</v>
      </c>
    </row>
    <row r="439" spans="1:3" x14ac:dyDescent="0.25">
      <c r="A439" s="36">
        <v>33716792299</v>
      </c>
      <c r="B439" t="s">
        <v>1071</v>
      </c>
      <c r="C439" s="35" t="s">
        <v>912</v>
      </c>
    </row>
    <row r="440" spans="1:3" x14ac:dyDescent="0.25">
      <c r="A440" s="36">
        <v>12707412</v>
      </c>
      <c r="B440" t="s">
        <v>1072</v>
      </c>
    </row>
    <row r="441" spans="1:3" x14ac:dyDescent="0.25">
      <c r="A441" s="36">
        <v>20167634436</v>
      </c>
      <c r="B441" t="s">
        <v>1073</v>
      </c>
      <c r="C441" s="35" t="s">
        <v>79</v>
      </c>
    </row>
    <row r="442" spans="1:3" x14ac:dyDescent="0.25">
      <c r="A442" s="36">
        <v>5290680</v>
      </c>
      <c r="B442" t="s">
        <v>1074</v>
      </c>
    </row>
    <row r="443" spans="1:3" x14ac:dyDescent="0.25">
      <c r="A443" s="36">
        <v>27239571420</v>
      </c>
      <c r="B443" t="s">
        <v>1075</v>
      </c>
    </row>
    <row r="444" spans="1:3" x14ac:dyDescent="0.25">
      <c r="A444" s="36">
        <v>20222786054</v>
      </c>
      <c r="B444" t="s">
        <v>270</v>
      </c>
    </row>
    <row r="445" spans="1:3" x14ac:dyDescent="0.25">
      <c r="A445" s="36">
        <v>24448662</v>
      </c>
      <c r="B445" t="s">
        <v>1076</v>
      </c>
    </row>
    <row r="446" spans="1:3" x14ac:dyDescent="0.25">
      <c r="A446" s="36">
        <v>30701307115</v>
      </c>
      <c r="B446" t="s">
        <v>1077</v>
      </c>
      <c r="C446" s="35" t="s">
        <v>794</v>
      </c>
    </row>
    <row r="447" spans="1:3" x14ac:dyDescent="0.25">
      <c r="A447" s="36">
        <v>20045374107</v>
      </c>
      <c r="B447" t="s">
        <v>1078</v>
      </c>
    </row>
    <row r="448" spans="1:3" x14ac:dyDescent="0.25">
      <c r="A448" s="36">
        <v>33700851279</v>
      </c>
      <c r="B448" t="s">
        <v>271</v>
      </c>
      <c r="C448" s="35" t="s">
        <v>797</v>
      </c>
    </row>
    <row r="449" spans="1:3" x14ac:dyDescent="0.25">
      <c r="A449" s="36">
        <v>20107037021</v>
      </c>
      <c r="B449" t="s">
        <v>1079</v>
      </c>
      <c r="C449" s="35" t="s">
        <v>829</v>
      </c>
    </row>
    <row r="450" spans="1:3" x14ac:dyDescent="0.25">
      <c r="A450" s="36">
        <v>20045615473</v>
      </c>
      <c r="B450" t="s">
        <v>272</v>
      </c>
      <c r="C450" s="35" t="s">
        <v>797</v>
      </c>
    </row>
    <row r="451" spans="1:3" x14ac:dyDescent="0.25">
      <c r="A451" s="36">
        <v>20045615473</v>
      </c>
      <c r="B451" t="s">
        <v>1080</v>
      </c>
      <c r="C451" s="35" t="s">
        <v>849</v>
      </c>
    </row>
    <row r="452" spans="1:3" x14ac:dyDescent="0.25">
      <c r="A452" s="36">
        <v>20045615473</v>
      </c>
      <c r="B452" t="s">
        <v>1080</v>
      </c>
      <c r="C452" s="35" t="s">
        <v>849</v>
      </c>
    </row>
    <row r="453" spans="1:3" x14ac:dyDescent="0.25">
      <c r="A453" s="36">
        <v>24718530</v>
      </c>
      <c r="B453" t="s">
        <v>1081</v>
      </c>
    </row>
    <row r="454" spans="1:3" x14ac:dyDescent="0.25">
      <c r="A454" s="36">
        <v>22826036</v>
      </c>
      <c r="B454" t="s">
        <v>1082</v>
      </c>
    </row>
    <row r="455" spans="1:3" x14ac:dyDescent="0.25">
      <c r="A455" s="36">
        <v>30685849751</v>
      </c>
      <c r="B455" t="s">
        <v>273</v>
      </c>
      <c r="C455" s="35" t="s">
        <v>39</v>
      </c>
    </row>
    <row r="456" spans="1:3" x14ac:dyDescent="0.25">
      <c r="A456" s="36">
        <v>4712850</v>
      </c>
      <c r="B456" t="s">
        <v>1083</v>
      </c>
    </row>
    <row r="457" spans="1:3" x14ac:dyDescent="0.25">
      <c r="A457" s="36">
        <v>2123001</v>
      </c>
      <c r="B457" t="s">
        <v>1084</v>
      </c>
    </row>
    <row r="458" spans="1:3" x14ac:dyDescent="0.25">
      <c r="A458" s="36">
        <v>27948446168</v>
      </c>
      <c r="B458" t="s">
        <v>1085</v>
      </c>
      <c r="C458" s="35" t="s">
        <v>81</v>
      </c>
    </row>
    <row r="459" spans="1:3" x14ac:dyDescent="0.25">
      <c r="A459" s="36">
        <v>20219935464</v>
      </c>
      <c r="B459" t="s">
        <v>1086</v>
      </c>
    </row>
    <row r="460" spans="1:3" x14ac:dyDescent="0.25">
      <c r="A460" s="36">
        <v>17172751</v>
      </c>
      <c r="B460" t="s">
        <v>1087</v>
      </c>
    </row>
    <row r="461" spans="1:3" x14ac:dyDescent="0.25">
      <c r="A461" s="36">
        <v>20271532483</v>
      </c>
      <c r="B461" t="s">
        <v>1088</v>
      </c>
      <c r="C461" s="35" t="s">
        <v>797</v>
      </c>
    </row>
    <row r="462" spans="1:3" x14ac:dyDescent="0.25">
      <c r="A462" s="36">
        <v>20271532483</v>
      </c>
      <c r="B462" t="s">
        <v>1088</v>
      </c>
      <c r="C462" s="35" t="s">
        <v>797</v>
      </c>
    </row>
    <row r="463" spans="1:3" x14ac:dyDescent="0.25">
      <c r="A463" s="36">
        <v>20271532483</v>
      </c>
      <c r="B463" t="s">
        <v>274</v>
      </c>
      <c r="C463" s="35" t="s">
        <v>797</v>
      </c>
    </row>
    <row r="464" spans="1:3" x14ac:dyDescent="0.25">
      <c r="A464" s="36">
        <v>30522536748</v>
      </c>
      <c r="B464" t="s">
        <v>275</v>
      </c>
      <c r="C464" s="35" t="s">
        <v>797</v>
      </c>
    </row>
    <row r="465" spans="1:3" x14ac:dyDescent="0.25">
      <c r="A465" s="36">
        <v>20273758063</v>
      </c>
      <c r="B465" t="s">
        <v>276</v>
      </c>
    </row>
    <row r="466" spans="1:3" x14ac:dyDescent="0.25">
      <c r="A466" s="36">
        <v>20181701820</v>
      </c>
      <c r="B466" t="s">
        <v>277</v>
      </c>
    </row>
    <row r="467" spans="1:3" x14ac:dyDescent="0.25">
      <c r="A467" s="36">
        <v>30711510822</v>
      </c>
      <c r="B467" t="s">
        <v>1089</v>
      </c>
      <c r="C467" s="35" t="s">
        <v>912</v>
      </c>
    </row>
    <row r="468" spans="1:3" x14ac:dyDescent="0.25">
      <c r="A468" s="36">
        <v>30505345793</v>
      </c>
      <c r="B468" t="s">
        <v>278</v>
      </c>
      <c r="C468" s="35" t="s">
        <v>797</v>
      </c>
    </row>
    <row r="469" spans="1:3" x14ac:dyDescent="0.25">
      <c r="A469" s="36">
        <v>30546671549</v>
      </c>
      <c r="B469" t="s">
        <v>1090</v>
      </c>
    </row>
    <row r="470" spans="1:3" x14ac:dyDescent="0.25">
      <c r="A470" s="36">
        <v>11774749</v>
      </c>
      <c r="B470" t="s">
        <v>1091</v>
      </c>
    </row>
    <row r="471" spans="1:3" x14ac:dyDescent="0.25">
      <c r="A471" s="36">
        <v>30663011746</v>
      </c>
      <c r="B471" t="s">
        <v>279</v>
      </c>
      <c r="C471" s="35" t="s">
        <v>797</v>
      </c>
    </row>
    <row r="472" spans="1:3" x14ac:dyDescent="0.25">
      <c r="A472" s="36">
        <v>30694549817</v>
      </c>
      <c r="B472" t="s">
        <v>280</v>
      </c>
      <c r="C472" s="35" t="s">
        <v>797</v>
      </c>
    </row>
    <row r="473" spans="1:3" x14ac:dyDescent="0.25">
      <c r="A473" s="36">
        <v>23117702529</v>
      </c>
      <c r="B473" t="s">
        <v>281</v>
      </c>
      <c r="C473" s="35" t="s">
        <v>797</v>
      </c>
    </row>
    <row r="474" spans="1:3" x14ac:dyDescent="0.25">
      <c r="A474" s="36">
        <v>30710374801</v>
      </c>
      <c r="B474" t="s">
        <v>1092</v>
      </c>
      <c r="C474" s="35" t="s">
        <v>46</v>
      </c>
    </row>
    <row r="475" spans="1:3" x14ac:dyDescent="0.25">
      <c r="A475" s="36">
        <v>30710374801</v>
      </c>
      <c r="B475" t="s">
        <v>1092</v>
      </c>
      <c r="C475" s="35" t="s">
        <v>46</v>
      </c>
    </row>
    <row r="476" spans="1:3" x14ac:dyDescent="0.25">
      <c r="A476" s="36">
        <v>30709410144</v>
      </c>
      <c r="B476" t="s">
        <v>282</v>
      </c>
      <c r="C476" s="35" t="s">
        <v>797</v>
      </c>
    </row>
    <row r="477" spans="1:3" x14ac:dyDescent="0.25">
      <c r="A477" s="36">
        <v>30683009195</v>
      </c>
      <c r="B477" t="s">
        <v>283</v>
      </c>
    </row>
    <row r="478" spans="1:3" x14ac:dyDescent="0.25">
      <c r="A478" s="36">
        <v>33714212589</v>
      </c>
      <c r="B478" t="s">
        <v>284</v>
      </c>
      <c r="C478" s="35" t="s">
        <v>797</v>
      </c>
    </row>
    <row r="479" spans="1:3" x14ac:dyDescent="0.25">
      <c r="A479" s="36">
        <v>20619063</v>
      </c>
      <c r="B479" t="s">
        <v>1093</v>
      </c>
    </row>
    <row r="480" spans="1:3" x14ac:dyDescent="0.25">
      <c r="A480" s="36">
        <v>27206941419</v>
      </c>
      <c r="B480" t="s">
        <v>285</v>
      </c>
      <c r="C480" s="35" t="s">
        <v>938</v>
      </c>
    </row>
    <row r="481" spans="1:3" x14ac:dyDescent="0.25">
      <c r="A481" s="36">
        <v>27185433736</v>
      </c>
      <c r="B481" t="s">
        <v>286</v>
      </c>
    </row>
    <row r="482" spans="1:3" x14ac:dyDescent="0.25">
      <c r="A482" s="36">
        <v>4044075</v>
      </c>
      <c r="B482" t="s">
        <v>1094</v>
      </c>
    </row>
    <row r="483" spans="1:3" x14ac:dyDescent="0.25">
      <c r="A483" s="36">
        <v>16512020</v>
      </c>
      <c r="B483" t="s">
        <v>1095</v>
      </c>
    </row>
    <row r="484" spans="1:3" x14ac:dyDescent="0.25">
      <c r="A484" s="36">
        <v>32950266</v>
      </c>
      <c r="B484" t="s">
        <v>1096</v>
      </c>
    </row>
    <row r="485" spans="1:3" x14ac:dyDescent="0.25">
      <c r="A485" s="36">
        <v>13131549</v>
      </c>
      <c r="B485" t="s">
        <v>1097</v>
      </c>
    </row>
    <row r="486" spans="1:3" x14ac:dyDescent="0.25">
      <c r="A486" s="36">
        <v>4961459</v>
      </c>
      <c r="B486" t="s">
        <v>1098</v>
      </c>
    </row>
    <row r="487" spans="1:3" x14ac:dyDescent="0.25">
      <c r="A487" s="36">
        <v>20291523626</v>
      </c>
      <c r="B487" t="s">
        <v>287</v>
      </c>
    </row>
    <row r="488" spans="1:3" x14ac:dyDescent="0.25">
      <c r="A488" s="36">
        <v>30711974268</v>
      </c>
      <c r="B488" t="s">
        <v>288</v>
      </c>
    </row>
    <row r="489" spans="1:3" x14ac:dyDescent="0.25">
      <c r="A489" s="36">
        <v>30702966066</v>
      </c>
      <c r="B489" t="s">
        <v>289</v>
      </c>
      <c r="C489" s="35" t="s">
        <v>797</v>
      </c>
    </row>
    <row r="490" spans="1:3" x14ac:dyDescent="0.25">
      <c r="A490" s="36">
        <v>23281233084</v>
      </c>
      <c r="B490" t="s">
        <v>1099</v>
      </c>
      <c r="C490" s="35" t="s">
        <v>1100</v>
      </c>
    </row>
    <row r="491" spans="1:3" x14ac:dyDescent="0.25">
      <c r="A491" s="36">
        <v>20211398060</v>
      </c>
      <c r="B491" t="s">
        <v>1101</v>
      </c>
      <c r="C491" s="35" t="s">
        <v>912</v>
      </c>
    </row>
    <row r="492" spans="1:3" x14ac:dyDescent="0.25">
      <c r="A492" s="36">
        <v>20110561319</v>
      </c>
      <c r="B492" t="s">
        <v>1102</v>
      </c>
    </row>
    <row r="493" spans="1:3" x14ac:dyDescent="0.25">
      <c r="A493" s="36">
        <v>17715487</v>
      </c>
      <c r="B493" t="s">
        <v>1103</v>
      </c>
    </row>
    <row r="494" spans="1:3" x14ac:dyDescent="0.25">
      <c r="A494" s="36">
        <v>27149042488</v>
      </c>
      <c r="B494" t="s">
        <v>290</v>
      </c>
      <c r="C494" s="35" t="s">
        <v>79</v>
      </c>
    </row>
    <row r="495" spans="1:3" x14ac:dyDescent="0.25">
      <c r="A495" s="36">
        <v>30711727236</v>
      </c>
      <c r="B495" t="s">
        <v>291</v>
      </c>
      <c r="C495" s="35" t="s">
        <v>79</v>
      </c>
    </row>
    <row r="496" spans="1:3" x14ac:dyDescent="0.25">
      <c r="A496" s="36">
        <v>30707791728</v>
      </c>
      <c r="B496" t="s">
        <v>292</v>
      </c>
      <c r="C496" s="35" t="s">
        <v>79</v>
      </c>
    </row>
    <row r="497" spans="1:3" x14ac:dyDescent="0.25">
      <c r="A497" s="36">
        <v>30714318221</v>
      </c>
      <c r="B497" t="s">
        <v>1104</v>
      </c>
      <c r="C497" s="35" t="s">
        <v>79</v>
      </c>
    </row>
    <row r="498" spans="1:3" x14ac:dyDescent="0.25">
      <c r="A498" s="36">
        <v>30716321645</v>
      </c>
      <c r="B498" t="s">
        <v>1105</v>
      </c>
    </row>
    <row r="499" spans="1:3" x14ac:dyDescent="0.25">
      <c r="A499" s="36">
        <v>30655116202</v>
      </c>
      <c r="B499" t="s">
        <v>293</v>
      </c>
    </row>
    <row r="500" spans="1:3" x14ac:dyDescent="0.25">
      <c r="A500" s="36">
        <v>30655116512</v>
      </c>
      <c r="B500" t="s">
        <v>294</v>
      </c>
      <c r="C500" s="35" t="s">
        <v>798</v>
      </c>
    </row>
    <row r="501" spans="1:3" x14ac:dyDescent="0.25">
      <c r="A501" s="36">
        <v>4056306</v>
      </c>
      <c r="B501" t="s">
        <v>1106</v>
      </c>
    </row>
    <row r="502" spans="1:3" x14ac:dyDescent="0.25">
      <c r="A502" s="36">
        <v>13332920</v>
      </c>
      <c r="B502" t="s">
        <v>1107</v>
      </c>
    </row>
    <row r="503" spans="1:3" x14ac:dyDescent="0.25">
      <c r="A503" s="36">
        <v>18183459</v>
      </c>
      <c r="B503" t="s">
        <v>1108</v>
      </c>
    </row>
    <row r="504" spans="1:3" x14ac:dyDescent="0.25">
      <c r="A504" s="36">
        <v>20174004146</v>
      </c>
      <c r="B504" t="s">
        <v>1109</v>
      </c>
      <c r="C504" s="35" t="s">
        <v>794</v>
      </c>
    </row>
    <row r="505" spans="1:3" x14ac:dyDescent="0.25">
      <c r="A505" s="36">
        <v>1729093</v>
      </c>
      <c r="B505" t="s">
        <v>1110</v>
      </c>
    </row>
    <row r="506" spans="1:3" x14ac:dyDescent="0.25">
      <c r="A506" s="36">
        <v>30709919055</v>
      </c>
      <c r="B506" t="s">
        <v>1111</v>
      </c>
    </row>
    <row r="507" spans="1:3" x14ac:dyDescent="0.25">
      <c r="A507" s="36">
        <v>20045397506</v>
      </c>
      <c r="B507" t="s">
        <v>295</v>
      </c>
      <c r="C507" s="35" t="s">
        <v>797</v>
      </c>
    </row>
    <row r="508" spans="1:3" x14ac:dyDescent="0.25">
      <c r="A508" s="36">
        <v>30500577599</v>
      </c>
      <c r="B508" t="s">
        <v>1112</v>
      </c>
    </row>
    <row r="509" spans="1:3" x14ac:dyDescent="0.25">
      <c r="A509" s="36">
        <v>30555405428</v>
      </c>
      <c r="B509" t="s">
        <v>296</v>
      </c>
    </row>
    <row r="510" spans="1:3" x14ac:dyDescent="0.25">
      <c r="A510" s="36">
        <v>30537882871</v>
      </c>
      <c r="B510" t="s">
        <v>1113</v>
      </c>
      <c r="C510" s="35" t="s">
        <v>849</v>
      </c>
    </row>
    <row r="511" spans="1:3" x14ac:dyDescent="0.25">
      <c r="A511" s="36">
        <v>30537882871</v>
      </c>
      <c r="B511" t="s">
        <v>1113</v>
      </c>
      <c r="C511" s="35" t="s">
        <v>849</v>
      </c>
    </row>
    <row r="512" spans="1:3" x14ac:dyDescent="0.25">
      <c r="A512" s="36">
        <v>30593630338</v>
      </c>
      <c r="B512" t="s">
        <v>1114</v>
      </c>
      <c r="C512" s="35" t="s">
        <v>912</v>
      </c>
    </row>
    <row r="513" spans="1:3" x14ac:dyDescent="0.25">
      <c r="A513" s="36">
        <v>30500039430</v>
      </c>
      <c r="B513" t="s">
        <v>297</v>
      </c>
    </row>
    <row r="514" spans="1:3" x14ac:dyDescent="0.25">
      <c r="A514" s="36">
        <v>30686489325</v>
      </c>
      <c r="B514" t="s">
        <v>1115</v>
      </c>
      <c r="C514" s="35" t="s">
        <v>79</v>
      </c>
    </row>
    <row r="515" spans="1:3" x14ac:dyDescent="0.25">
      <c r="A515" s="36">
        <v>30709363944</v>
      </c>
      <c r="B515" t="s">
        <v>298</v>
      </c>
    </row>
    <row r="516" spans="1:3" x14ac:dyDescent="0.25">
      <c r="A516" s="36">
        <v>30543659734</v>
      </c>
      <c r="B516" t="s">
        <v>299</v>
      </c>
      <c r="C516" s="35" t="s">
        <v>819</v>
      </c>
    </row>
    <row r="517" spans="1:3" x14ac:dyDescent="0.25">
      <c r="A517" s="36">
        <v>27290073419</v>
      </c>
      <c r="B517" t="s">
        <v>300</v>
      </c>
      <c r="C517" s="35" t="s">
        <v>79</v>
      </c>
    </row>
    <row r="518" spans="1:3" x14ac:dyDescent="0.25">
      <c r="A518" s="36">
        <v>24949646</v>
      </c>
      <c r="B518" t="s">
        <v>1116</v>
      </c>
    </row>
    <row r="519" spans="1:3" x14ac:dyDescent="0.25">
      <c r="A519" s="36">
        <v>10831006</v>
      </c>
      <c r="B519" t="s">
        <v>1117</v>
      </c>
    </row>
    <row r="520" spans="1:3" x14ac:dyDescent="0.25">
      <c r="A520" s="36">
        <v>30709641073</v>
      </c>
      <c r="B520" t="s">
        <v>301</v>
      </c>
    </row>
    <row r="521" spans="1:3" x14ac:dyDescent="0.25">
      <c r="A521" s="36">
        <v>29503630</v>
      </c>
      <c r="B521" t="s">
        <v>1118</v>
      </c>
    </row>
    <row r="522" spans="1:3" x14ac:dyDescent="0.25">
      <c r="A522" s="36">
        <v>30709131865</v>
      </c>
      <c r="B522" t="s">
        <v>302</v>
      </c>
      <c r="C522" s="35" t="s">
        <v>1119</v>
      </c>
    </row>
    <row r="523" spans="1:3" x14ac:dyDescent="0.25">
      <c r="A523" s="36">
        <v>30707397256</v>
      </c>
      <c r="B523" t="s">
        <v>303</v>
      </c>
      <c r="C523" s="35" t="s">
        <v>93</v>
      </c>
    </row>
    <row r="524" spans="1:3" x14ac:dyDescent="0.25">
      <c r="A524" s="36">
        <v>20259499632</v>
      </c>
      <c r="B524" t="s">
        <v>1120</v>
      </c>
      <c r="C524" s="35" t="s">
        <v>938</v>
      </c>
    </row>
    <row r="525" spans="1:3" x14ac:dyDescent="0.25">
      <c r="A525" s="36">
        <v>23136548719</v>
      </c>
      <c r="B525" t="s">
        <v>304</v>
      </c>
    </row>
    <row r="526" spans="1:3" x14ac:dyDescent="0.25">
      <c r="A526" s="36">
        <v>30517613165</v>
      </c>
      <c r="B526" t="s">
        <v>305</v>
      </c>
      <c r="C526" s="35" t="s">
        <v>81</v>
      </c>
    </row>
    <row r="527" spans="1:3" x14ac:dyDescent="0.25">
      <c r="A527" s="36">
        <v>4186965</v>
      </c>
      <c r="B527" t="s">
        <v>1121</v>
      </c>
    </row>
    <row r="528" spans="1:3" x14ac:dyDescent="0.25">
      <c r="A528" s="36">
        <v>30588092468</v>
      </c>
      <c r="B528" t="s">
        <v>1122</v>
      </c>
      <c r="C528" s="35" t="s">
        <v>1037</v>
      </c>
    </row>
    <row r="529" spans="1:3" x14ac:dyDescent="0.25">
      <c r="A529" s="36">
        <v>3192296</v>
      </c>
      <c r="B529" t="s">
        <v>1123</v>
      </c>
    </row>
    <row r="530" spans="1:3" x14ac:dyDescent="0.25">
      <c r="A530" s="36">
        <v>30707118454</v>
      </c>
      <c r="B530" t="s">
        <v>1124</v>
      </c>
    </row>
    <row r="531" spans="1:3" x14ac:dyDescent="0.25">
      <c r="A531" s="36" t="s">
        <v>1125</v>
      </c>
      <c r="B531" t="s">
        <v>1126</v>
      </c>
      <c r="C531" s="35" t="s">
        <v>868</v>
      </c>
    </row>
    <row r="532" spans="1:3" x14ac:dyDescent="0.25">
      <c r="A532" s="36">
        <v>30709368067</v>
      </c>
      <c r="B532" t="s">
        <v>306</v>
      </c>
      <c r="C532" s="35" t="s">
        <v>46</v>
      </c>
    </row>
    <row r="533" spans="1:3" x14ac:dyDescent="0.25">
      <c r="A533" s="36">
        <v>30614104712</v>
      </c>
      <c r="B533" t="s">
        <v>307</v>
      </c>
      <c r="C533" s="35" t="s">
        <v>79</v>
      </c>
    </row>
    <row r="534" spans="1:3" x14ac:dyDescent="0.25">
      <c r="A534" s="36">
        <v>81377</v>
      </c>
      <c r="B534" t="s">
        <v>1127</v>
      </c>
    </row>
    <row r="535" spans="1:3" x14ac:dyDescent="0.25">
      <c r="A535" s="36">
        <v>30711861552</v>
      </c>
      <c r="B535" t="s">
        <v>308</v>
      </c>
      <c r="C535" s="35" t="s">
        <v>797</v>
      </c>
    </row>
    <row r="536" spans="1:3" x14ac:dyDescent="0.25">
      <c r="A536" s="36">
        <v>33714662819</v>
      </c>
      <c r="B536" t="s">
        <v>309</v>
      </c>
      <c r="C536" s="35" t="s">
        <v>797</v>
      </c>
    </row>
    <row r="537" spans="1:3" x14ac:dyDescent="0.25">
      <c r="A537" s="36">
        <v>846800</v>
      </c>
      <c r="B537" t="s">
        <v>1128</v>
      </c>
    </row>
    <row r="538" spans="1:3" x14ac:dyDescent="0.25">
      <c r="A538" s="36">
        <v>13566863</v>
      </c>
      <c r="B538" t="s">
        <v>1129</v>
      </c>
    </row>
    <row r="539" spans="1:3" x14ac:dyDescent="0.25">
      <c r="A539" s="36">
        <v>4130181</v>
      </c>
      <c r="B539" t="s">
        <v>1130</v>
      </c>
    </row>
    <row r="540" spans="1:3" x14ac:dyDescent="0.25">
      <c r="A540" s="36">
        <v>33502734259</v>
      </c>
      <c r="B540" t="s">
        <v>310</v>
      </c>
      <c r="C540" s="35" t="s">
        <v>797</v>
      </c>
    </row>
    <row r="541" spans="1:3" x14ac:dyDescent="0.25">
      <c r="A541" s="36">
        <v>27113232159</v>
      </c>
      <c r="B541" t="s">
        <v>1131</v>
      </c>
    </row>
    <row r="542" spans="1:3" x14ac:dyDescent="0.25">
      <c r="A542" s="36">
        <v>30503255533</v>
      </c>
      <c r="B542" t="s">
        <v>311</v>
      </c>
      <c r="C542" s="35" t="s">
        <v>797</v>
      </c>
    </row>
    <row r="543" spans="1:3" x14ac:dyDescent="0.25">
      <c r="A543" s="36">
        <v>4108609</v>
      </c>
      <c r="B543" t="s">
        <v>1132</v>
      </c>
    </row>
    <row r="544" spans="1:3" x14ac:dyDescent="0.25">
      <c r="A544" s="36">
        <v>3604397</v>
      </c>
      <c r="B544" t="s">
        <v>1133</v>
      </c>
    </row>
    <row r="545" spans="1:3" x14ac:dyDescent="0.25">
      <c r="A545" s="36">
        <v>20140958213</v>
      </c>
      <c r="B545" t="s">
        <v>312</v>
      </c>
      <c r="C545" s="35" t="s">
        <v>797</v>
      </c>
    </row>
    <row r="546" spans="1:3" x14ac:dyDescent="0.25">
      <c r="A546" s="36">
        <v>4932977</v>
      </c>
      <c r="B546" t="s">
        <v>1134</v>
      </c>
    </row>
    <row r="547" spans="1:3" x14ac:dyDescent="0.25">
      <c r="A547" s="36">
        <v>30659276964</v>
      </c>
      <c r="B547" t="s">
        <v>313</v>
      </c>
      <c r="C547" s="35" t="s">
        <v>1135</v>
      </c>
    </row>
    <row r="548" spans="1:3" x14ac:dyDescent="0.25">
      <c r="A548" s="36">
        <v>24907435</v>
      </c>
      <c r="B548" t="s">
        <v>1136</v>
      </c>
    </row>
    <row r="549" spans="1:3" x14ac:dyDescent="0.25">
      <c r="A549" s="36">
        <v>20333309433</v>
      </c>
      <c r="B549" t="s">
        <v>314</v>
      </c>
    </row>
    <row r="550" spans="1:3" x14ac:dyDescent="0.25">
      <c r="A550" s="36">
        <v>27134817858</v>
      </c>
      <c r="B550" t="s">
        <v>315</v>
      </c>
      <c r="C550" s="35" t="s">
        <v>79</v>
      </c>
    </row>
    <row r="551" spans="1:3" x14ac:dyDescent="0.25">
      <c r="A551" s="36">
        <v>27134817856</v>
      </c>
      <c r="B551" t="s">
        <v>315</v>
      </c>
      <c r="C551" s="35" t="s">
        <v>79</v>
      </c>
    </row>
    <row r="552" spans="1:3" x14ac:dyDescent="0.25">
      <c r="A552" s="36">
        <v>30709440515</v>
      </c>
      <c r="B552" t="s">
        <v>316</v>
      </c>
    </row>
    <row r="553" spans="1:3" x14ac:dyDescent="0.25">
      <c r="A553" s="36">
        <v>33649668029</v>
      </c>
      <c r="B553" t="s">
        <v>1137</v>
      </c>
    </row>
    <row r="554" spans="1:3" x14ac:dyDescent="0.25">
      <c r="A554" s="36">
        <v>30715537512</v>
      </c>
      <c r="B554" t="s">
        <v>1138</v>
      </c>
      <c r="C554" s="35" t="s">
        <v>912</v>
      </c>
    </row>
    <row r="555" spans="1:3" x14ac:dyDescent="0.25">
      <c r="A555" s="36">
        <v>30537679855</v>
      </c>
      <c r="B555" t="s">
        <v>1139</v>
      </c>
      <c r="C555" s="35" t="s">
        <v>39</v>
      </c>
    </row>
    <row r="556" spans="1:3" x14ac:dyDescent="0.25">
      <c r="A556" s="36">
        <v>20075959134</v>
      </c>
      <c r="B556" t="s">
        <v>317</v>
      </c>
      <c r="C556" s="35" t="s">
        <v>938</v>
      </c>
    </row>
    <row r="557" spans="1:3" x14ac:dyDescent="0.25">
      <c r="A557" s="36">
        <v>20086277523</v>
      </c>
      <c r="B557" t="s">
        <v>94</v>
      </c>
      <c r="C557" s="35" t="s">
        <v>938</v>
      </c>
    </row>
    <row r="558" spans="1:3" x14ac:dyDescent="0.25">
      <c r="A558" s="36">
        <v>3014919</v>
      </c>
      <c r="B558" t="s">
        <v>1140</v>
      </c>
    </row>
    <row r="559" spans="1:3" x14ac:dyDescent="0.25">
      <c r="A559" s="36">
        <v>30716109158</v>
      </c>
      <c r="B559" t="s">
        <v>318</v>
      </c>
      <c r="C559" s="35" t="s">
        <v>797</v>
      </c>
    </row>
    <row r="560" spans="1:3" x14ac:dyDescent="0.25">
      <c r="A560" s="36">
        <v>33714956049</v>
      </c>
      <c r="B560" t="s">
        <v>319</v>
      </c>
    </row>
    <row r="561" spans="1:3" x14ac:dyDescent="0.25">
      <c r="A561" s="36">
        <v>33715711589</v>
      </c>
      <c r="B561" t="s">
        <v>1141</v>
      </c>
    </row>
    <row r="562" spans="1:3" x14ac:dyDescent="0.25">
      <c r="A562" s="36">
        <v>30568649598</v>
      </c>
      <c r="B562" t="s">
        <v>1142</v>
      </c>
      <c r="C562" s="35" t="s">
        <v>794</v>
      </c>
    </row>
    <row r="563" spans="1:3" x14ac:dyDescent="0.25">
      <c r="A563" s="36">
        <v>30526582884</v>
      </c>
      <c r="B563" t="s">
        <v>320</v>
      </c>
      <c r="C563" s="35" t="s">
        <v>798</v>
      </c>
    </row>
    <row r="564" spans="1:3" x14ac:dyDescent="0.25">
      <c r="A564" s="36">
        <v>30714435708</v>
      </c>
      <c r="B564" t="s">
        <v>1143</v>
      </c>
    </row>
    <row r="565" spans="1:3" x14ac:dyDescent="0.25">
      <c r="A565" s="36">
        <v>30708007761</v>
      </c>
      <c r="B565" t="s">
        <v>321</v>
      </c>
      <c r="C565" s="35" t="s">
        <v>81</v>
      </c>
    </row>
    <row r="566" spans="1:3" x14ac:dyDescent="0.25">
      <c r="A566" s="36">
        <v>30715869663</v>
      </c>
      <c r="B566" t="s">
        <v>1144</v>
      </c>
    </row>
    <row r="567" spans="1:3" x14ac:dyDescent="0.25">
      <c r="A567" s="36">
        <v>30709001554</v>
      </c>
      <c r="B567" t="s">
        <v>322</v>
      </c>
      <c r="C567" s="35" t="s">
        <v>797</v>
      </c>
    </row>
    <row r="568" spans="1:3" x14ac:dyDescent="0.25">
      <c r="A568" s="36">
        <v>30715980807</v>
      </c>
      <c r="B568" t="s">
        <v>1145</v>
      </c>
      <c r="C568" s="35" t="s">
        <v>797</v>
      </c>
    </row>
    <row r="569" spans="1:3" x14ac:dyDescent="0.25">
      <c r="A569" s="36">
        <v>30715980807</v>
      </c>
      <c r="B569" t="s">
        <v>1145</v>
      </c>
      <c r="C569" s="35" t="s">
        <v>797</v>
      </c>
    </row>
    <row r="570" spans="1:3" x14ac:dyDescent="0.25">
      <c r="A570" s="36">
        <v>30715980807</v>
      </c>
      <c r="B570" t="s">
        <v>1145</v>
      </c>
      <c r="C570" s="35" t="s">
        <v>797</v>
      </c>
    </row>
    <row r="571" spans="1:3" x14ac:dyDescent="0.25">
      <c r="A571" s="36">
        <v>30715980807</v>
      </c>
      <c r="B571" t="s">
        <v>323</v>
      </c>
    </row>
    <row r="572" spans="1:3" x14ac:dyDescent="0.25">
      <c r="A572" s="36">
        <v>30502443719</v>
      </c>
      <c r="B572" t="s">
        <v>324</v>
      </c>
      <c r="C572" s="35" t="s">
        <v>797</v>
      </c>
    </row>
    <row r="573" spans="1:3" x14ac:dyDescent="0.25">
      <c r="A573" s="36">
        <v>30655725829</v>
      </c>
      <c r="B573" t="s">
        <v>325</v>
      </c>
    </row>
    <row r="574" spans="1:3" x14ac:dyDescent="0.25">
      <c r="A574" s="36">
        <v>120815356</v>
      </c>
      <c r="B574" t="s">
        <v>1146</v>
      </c>
    </row>
    <row r="575" spans="1:3" x14ac:dyDescent="0.25">
      <c r="A575" s="36">
        <v>12009225</v>
      </c>
      <c r="B575" t="s">
        <v>1147</v>
      </c>
    </row>
    <row r="576" spans="1:3" x14ac:dyDescent="0.25">
      <c r="A576" s="36">
        <v>16226364</v>
      </c>
      <c r="B576" t="s">
        <v>1148</v>
      </c>
    </row>
    <row r="577" spans="1:3" x14ac:dyDescent="0.25">
      <c r="A577" s="36">
        <v>12892269</v>
      </c>
      <c r="B577" t="s">
        <v>1149</v>
      </c>
    </row>
    <row r="578" spans="1:3" x14ac:dyDescent="0.25">
      <c r="A578" s="36">
        <v>30692138747</v>
      </c>
      <c r="B578" t="s">
        <v>1150</v>
      </c>
      <c r="C578" s="35" t="s">
        <v>79</v>
      </c>
    </row>
    <row r="579" spans="1:3" x14ac:dyDescent="0.25">
      <c r="A579" s="36">
        <v>30517914874</v>
      </c>
      <c r="B579" t="s">
        <v>326</v>
      </c>
      <c r="C579" s="35" t="s">
        <v>797</v>
      </c>
    </row>
    <row r="580" spans="1:3" x14ac:dyDescent="0.25">
      <c r="A580" s="36">
        <v>33712234429</v>
      </c>
      <c r="B580" t="s">
        <v>1151</v>
      </c>
      <c r="C580" s="35" t="s">
        <v>44</v>
      </c>
    </row>
    <row r="581" spans="1:3" x14ac:dyDescent="0.25">
      <c r="A581" s="36">
        <v>33707366589</v>
      </c>
      <c r="B581" t="s">
        <v>327</v>
      </c>
      <c r="C581" s="35" t="s">
        <v>328</v>
      </c>
    </row>
    <row r="582" spans="1:3" x14ac:dyDescent="0.25">
      <c r="A582" s="36">
        <v>30525274450</v>
      </c>
      <c r="B582" t="s">
        <v>1152</v>
      </c>
    </row>
    <row r="583" spans="1:3" x14ac:dyDescent="0.25">
      <c r="A583" s="36">
        <v>20400104094</v>
      </c>
      <c r="B583" t="s">
        <v>329</v>
      </c>
      <c r="C583" s="35" t="s">
        <v>938</v>
      </c>
    </row>
    <row r="584" spans="1:3" x14ac:dyDescent="0.25">
      <c r="A584" s="36">
        <v>20353576012</v>
      </c>
      <c r="B584" t="s">
        <v>1153</v>
      </c>
      <c r="C584" s="35" t="s">
        <v>831</v>
      </c>
    </row>
    <row r="585" spans="1:3" x14ac:dyDescent="0.25">
      <c r="A585" s="36">
        <v>43588026</v>
      </c>
      <c r="B585" t="s">
        <v>1154</v>
      </c>
    </row>
    <row r="586" spans="1:3" x14ac:dyDescent="0.25">
      <c r="A586" s="36">
        <v>29434116</v>
      </c>
      <c r="B586" t="s">
        <v>1155</v>
      </c>
    </row>
    <row r="587" spans="1:3" x14ac:dyDescent="0.25">
      <c r="A587" s="36">
        <v>30449867</v>
      </c>
      <c r="B587" t="s">
        <v>1156</v>
      </c>
    </row>
    <row r="588" spans="1:3" x14ac:dyDescent="0.25">
      <c r="A588" s="36">
        <v>25433122</v>
      </c>
      <c r="B588" t="s">
        <v>1157</v>
      </c>
    </row>
    <row r="589" spans="1:3" x14ac:dyDescent="0.25">
      <c r="A589" s="36">
        <v>35325974</v>
      </c>
      <c r="B589" t="s">
        <v>1158</v>
      </c>
    </row>
    <row r="590" spans="1:3" x14ac:dyDescent="0.25">
      <c r="A590" s="36">
        <v>17431535</v>
      </c>
      <c r="B590" t="s">
        <v>1159</v>
      </c>
    </row>
    <row r="591" spans="1:3" x14ac:dyDescent="0.25">
      <c r="A591" s="36">
        <v>5486519</v>
      </c>
      <c r="B591" t="s">
        <v>1160</v>
      </c>
    </row>
    <row r="592" spans="1:3" x14ac:dyDescent="0.25">
      <c r="A592" s="36">
        <v>94181432</v>
      </c>
      <c r="B592" t="s">
        <v>1161</v>
      </c>
    </row>
    <row r="593" spans="1:3" x14ac:dyDescent="0.25">
      <c r="A593" s="36">
        <v>20343766441</v>
      </c>
      <c r="B593" t="s">
        <v>1162</v>
      </c>
    </row>
    <row r="594" spans="1:3" x14ac:dyDescent="0.25">
      <c r="A594" s="36">
        <v>20317075430</v>
      </c>
      <c r="B594" t="s">
        <v>330</v>
      </c>
    </row>
    <row r="595" spans="1:3" x14ac:dyDescent="0.25">
      <c r="A595" s="36">
        <v>27086641</v>
      </c>
      <c r="B595" t="s">
        <v>1163</v>
      </c>
    </row>
    <row r="596" spans="1:3" x14ac:dyDescent="0.25">
      <c r="A596" s="36">
        <v>13811838</v>
      </c>
      <c r="B596" t="s">
        <v>1164</v>
      </c>
    </row>
    <row r="597" spans="1:3" x14ac:dyDescent="0.25">
      <c r="A597" s="36">
        <v>41470240</v>
      </c>
      <c r="B597" t="s">
        <v>1165</v>
      </c>
    </row>
    <row r="598" spans="1:3" x14ac:dyDescent="0.25">
      <c r="A598" s="36">
        <v>27182049781</v>
      </c>
      <c r="B598" t="s">
        <v>1166</v>
      </c>
    </row>
    <row r="599" spans="1:3" x14ac:dyDescent="0.25">
      <c r="A599" s="36">
        <v>21000158</v>
      </c>
      <c r="B599" t="s">
        <v>1167</v>
      </c>
    </row>
    <row r="600" spans="1:3" x14ac:dyDescent="0.25">
      <c r="A600" s="36">
        <v>41834651</v>
      </c>
      <c r="B600" t="s">
        <v>1168</v>
      </c>
    </row>
    <row r="601" spans="1:3" x14ac:dyDescent="0.25">
      <c r="A601" s="36">
        <v>4737409</v>
      </c>
      <c r="B601" t="s">
        <v>1169</v>
      </c>
    </row>
    <row r="602" spans="1:3" x14ac:dyDescent="0.25">
      <c r="A602" s="36">
        <v>17855620</v>
      </c>
      <c r="B602" t="s">
        <v>1170</v>
      </c>
    </row>
    <row r="603" spans="1:3" x14ac:dyDescent="0.25">
      <c r="A603" s="36">
        <v>30712231595</v>
      </c>
      <c r="B603" t="s">
        <v>331</v>
      </c>
    </row>
    <row r="604" spans="1:3" x14ac:dyDescent="0.25">
      <c r="A604" s="36">
        <v>20173651172</v>
      </c>
      <c r="B604" t="s">
        <v>332</v>
      </c>
    </row>
    <row r="605" spans="1:3" x14ac:dyDescent="0.25">
      <c r="A605" s="36">
        <v>30661667822</v>
      </c>
      <c r="B605" t="s">
        <v>333</v>
      </c>
      <c r="C605" s="35" t="s">
        <v>797</v>
      </c>
    </row>
    <row r="606" spans="1:3" x14ac:dyDescent="0.25">
      <c r="A606" s="36">
        <v>20270865780</v>
      </c>
      <c r="B606" t="s">
        <v>1171</v>
      </c>
    </row>
    <row r="607" spans="1:3" x14ac:dyDescent="0.25">
      <c r="A607" s="36">
        <v>30676642230</v>
      </c>
      <c r="B607" t="s">
        <v>1172</v>
      </c>
      <c r="C607" s="35" t="s">
        <v>912</v>
      </c>
    </row>
    <row r="608" spans="1:3" x14ac:dyDescent="0.25">
      <c r="A608" s="36">
        <v>30540918364</v>
      </c>
      <c r="B608" t="s">
        <v>334</v>
      </c>
      <c r="C608" s="35" t="s">
        <v>79</v>
      </c>
    </row>
    <row r="609" spans="1:3" x14ac:dyDescent="0.25">
      <c r="A609" s="36">
        <v>30709453293</v>
      </c>
      <c r="B609" t="s">
        <v>1173</v>
      </c>
      <c r="C609" s="35" t="s">
        <v>43</v>
      </c>
    </row>
    <row r="610" spans="1:3" x14ac:dyDescent="0.25">
      <c r="A610" s="36">
        <v>30709453293</v>
      </c>
      <c r="B610" t="s">
        <v>1173</v>
      </c>
      <c r="C610" s="35" t="s">
        <v>43</v>
      </c>
    </row>
    <row r="611" spans="1:3" x14ac:dyDescent="0.25">
      <c r="A611" s="36">
        <v>20082650424</v>
      </c>
      <c r="B611" t="s">
        <v>335</v>
      </c>
    </row>
    <row r="612" spans="1:3" x14ac:dyDescent="0.25">
      <c r="A612" s="36">
        <v>30716243946</v>
      </c>
      <c r="B612" t="s">
        <v>336</v>
      </c>
    </row>
    <row r="613" spans="1:3" x14ac:dyDescent="0.25">
      <c r="A613" s="36">
        <v>17400630</v>
      </c>
      <c r="B613" t="s">
        <v>1174</v>
      </c>
    </row>
    <row r="614" spans="1:3" x14ac:dyDescent="0.25">
      <c r="A614" s="36">
        <v>48492773</v>
      </c>
      <c r="B614" t="s">
        <v>1175</v>
      </c>
    </row>
    <row r="615" spans="1:3" x14ac:dyDescent="0.25">
      <c r="A615" s="36">
        <v>4849273</v>
      </c>
      <c r="B615" t="s">
        <v>1176</v>
      </c>
    </row>
    <row r="616" spans="1:3" x14ac:dyDescent="0.25">
      <c r="A616" s="36">
        <v>30709453293</v>
      </c>
      <c r="B616" t="s">
        <v>337</v>
      </c>
    </row>
    <row r="617" spans="1:3" x14ac:dyDescent="0.25">
      <c r="A617" s="36">
        <v>30525341263</v>
      </c>
      <c r="B617" t="s">
        <v>338</v>
      </c>
      <c r="C617" s="35" t="s">
        <v>797</v>
      </c>
    </row>
    <row r="618" spans="1:3" x14ac:dyDescent="0.25">
      <c r="A618" s="36">
        <v>4447424</v>
      </c>
      <c r="B618" t="s">
        <v>1177</v>
      </c>
    </row>
    <row r="619" spans="1:3" x14ac:dyDescent="0.25">
      <c r="A619" s="36">
        <v>33707529879</v>
      </c>
      <c r="B619" t="s">
        <v>339</v>
      </c>
      <c r="C619" s="35" t="s">
        <v>797</v>
      </c>
    </row>
    <row r="620" spans="1:3" x14ac:dyDescent="0.25">
      <c r="A620" s="36">
        <v>44691226</v>
      </c>
      <c r="B620" t="s">
        <v>1178</v>
      </c>
    </row>
    <row r="621" spans="1:3" x14ac:dyDescent="0.25">
      <c r="A621" s="36">
        <v>36873511</v>
      </c>
      <c r="B621" t="s">
        <v>1179</v>
      </c>
    </row>
    <row r="622" spans="1:3" x14ac:dyDescent="0.25">
      <c r="A622" s="36">
        <v>20111225304</v>
      </c>
      <c r="B622" t="s">
        <v>340</v>
      </c>
    </row>
    <row r="623" spans="1:3" x14ac:dyDescent="0.25">
      <c r="A623" s="36">
        <v>30714690554</v>
      </c>
      <c r="B623" t="s">
        <v>1180</v>
      </c>
      <c r="C623" s="35" t="s">
        <v>1181</v>
      </c>
    </row>
    <row r="624" spans="1:3" x14ac:dyDescent="0.25">
      <c r="A624" s="36">
        <v>30516348727</v>
      </c>
      <c r="B624" t="s">
        <v>341</v>
      </c>
      <c r="C624" s="35" t="s">
        <v>797</v>
      </c>
    </row>
    <row r="625" spans="1:3" x14ac:dyDescent="0.25">
      <c r="A625" s="36">
        <v>12892592</v>
      </c>
      <c r="B625" t="s">
        <v>1182</v>
      </c>
    </row>
    <row r="626" spans="1:3" x14ac:dyDescent="0.25">
      <c r="A626" s="36">
        <v>34837613</v>
      </c>
      <c r="B626" t="s">
        <v>1183</v>
      </c>
    </row>
    <row r="627" spans="1:3" x14ac:dyDescent="0.25">
      <c r="A627" s="36">
        <v>42743514</v>
      </c>
      <c r="B627" t="s">
        <v>1184</v>
      </c>
    </row>
    <row r="628" spans="1:3" x14ac:dyDescent="0.25">
      <c r="A628" s="36">
        <v>6554208</v>
      </c>
      <c r="B628" t="s">
        <v>1185</v>
      </c>
    </row>
    <row r="629" spans="1:3" x14ac:dyDescent="0.25">
      <c r="A629" s="36">
        <v>30705466021</v>
      </c>
      <c r="B629" t="s">
        <v>1186</v>
      </c>
    </row>
    <row r="630" spans="1:3" x14ac:dyDescent="0.25">
      <c r="A630" s="36">
        <v>11988306</v>
      </c>
      <c r="B630" t="s">
        <v>1187</v>
      </c>
    </row>
    <row r="631" spans="1:3" x14ac:dyDescent="0.25">
      <c r="A631" s="36">
        <v>23231017879</v>
      </c>
      <c r="B631" t="s">
        <v>1188</v>
      </c>
    </row>
    <row r="632" spans="1:3" x14ac:dyDescent="0.25">
      <c r="A632" s="36">
        <v>27301358852</v>
      </c>
      <c r="B632" t="s">
        <v>1189</v>
      </c>
      <c r="C632" s="35" t="s">
        <v>794</v>
      </c>
    </row>
    <row r="633" spans="1:3" x14ac:dyDescent="0.25">
      <c r="A633" s="36">
        <v>93281970</v>
      </c>
      <c r="B633" t="s">
        <v>1190</v>
      </c>
    </row>
    <row r="634" spans="1:3" x14ac:dyDescent="0.25">
      <c r="A634" s="36">
        <v>3756612</v>
      </c>
      <c r="B634" t="s">
        <v>1191</v>
      </c>
    </row>
    <row r="635" spans="1:3" x14ac:dyDescent="0.25">
      <c r="A635" s="36">
        <v>30695097596</v>
      </c>
      <c r="B635" t="s">
        <v>342</v>
      </c>
    </row>
    <row r="636" spans="1:3" x14ac:dyDescent="0.25">
      <c r="A636" s="36">
        <v>30708363126</v>
      </c>
      <c r="B636" t="s">
        <v>343</v>
      </c>
      <c r="C636" s="35" t="s">
        <v>819</v>
      </c>
    </row>
    <row r="637" spans="1:3" x14ac:dyDescent="0.25">
      <c r="A637" s="36">
        <v>30711166927</v>
      </c>
      <c r="B637" t="s">
        <v>344</v>
      </c>
    </row>
    <row r="638" spans="1:3" x14ac:dyDescent="0.25">
      <c r="A638" s="36">
        <v>20934275218</v>
      </c>
      <c r="B638" t="s">
        <v>345</v>
      </c>
    </row>
    <row r="639" spans="1:3" x14ac:dyDescent="0.25">
      <c r="A639" s="36">
        <v>32983309</v>
      </c>
      <c r="B639" t="s">
        <v>1192</v>
      </c>
    </row>
    <row r="640" spans="1:3" x14ac:dyDescent="0.25">
      <c r="A640" s="36">
        <v>30716041391</v>
      </c>
      <c r="B640" t="s">
        <v>1193</v>
      </c>
    </row>
    <row r="641" spans="1:3" x14ac:dyDescent="0.25">
      <c r="A641" s="36">
        <v>33714230129</v>
      </c>
      <c r="B641" t="s">
        <v>346</v>
      </c>
    </row>
    <row r="642" spans="1:3" x14ac:dyDescent="0.25">
      <c r="A642" s="36">
        <v>27018493190</v>
      </c>
      <c r="B642" t="s">
        <v>1194</v>
      </c>
    </row>
    <row r="643" spans="1:3" x14ac:dyDescent="0.25">
      <c r="A643" s="36" t="s">
        <v>1195</v>
      </c>
      <c r="B643" t="s">
        <v>1196</v>
      </c>
    </row>
    <row r="644" spans="1:3" x14ac:dyDescent="0.25">
      <c r="A644" s="36">
        <v>30710657250</v>
      </c>
      <c r="B644" t="s">
        <v>1197</v>
      </c>
      <c r="C644" s="35" t="s">
        <v>1198</v>
      </c>
    </row>
    <row r="645" spans="1:3" x14ac:dyDescent="0.25">
      <c r="A645" s="36">
        <v>30526874249</v>
      </c>
      <c r="B645" t="s">
        <v>347</v>
      </c>
    </row>
    <row r="646" spans="1:3" x14ac:dyDescent="0.25">
      <c r="A646" s="36">
        <v>16288441</v>
      </c>
      <c r="B646" t="s">
        <v>1199</v>
      </c>
    </row>
    <row r="647" spans="1:3" x14ac:dyDescent="0.25">
      <c r="A647" s="36">
        <v>4628646</v>
      </c>
      <c r="B647" t="s">
        <v>1200</v>
      </c>
    </row>
    <row r="648" spans="1:3" x14ac:dyDescent="0.25">
      <c r="A648" s="36">
        <v>11342845</v>
      </c>
      <c r="B648" t="s">
        <v>1201</v>
      </c>
    </row>
    <row r="649" spans="1:3" x14ac:dyDescent="0.25">
      <c r="A649" s="36">
        <v>30711491801</v>
      </c>
      <c r="B649" t="s">
        <v>348</v>
      </c>
    </row>
    <row r="650" spans="1:3" x14ac:dyDescent="0.25">
      <c r="A650" s="36">
        <v>30657418877</v>
      </c>
      <c r="B650" t="s">
        <v>349</v>
      </c>
    </row>
    <row r="651" spans="1:3" x14ac:dyDescent="0.25">
      <c r="A651" s="36">
        <v>30657418877</v>
      </c>
      <c r="B651" t="s">
        <v>1202</v>
      </c>
      <c r="C651" s="35" t="s">
        <v>811</v>
      </c>
    </row>
    <row r="652" spans="1:3" x14ac:dyDescent="0.25">
      <c r="A652" s="36">
        <v>30657418877</v>
      </c>
      <c r="B652" t="s">
        <v>1202</v>
      </c>
      <c r="C652" s="35" t="s">
        <v>811</v>
      </c>
    </row>
    <row r="653" spans="1:3" x14ac:dyDescent="0.25">
      <c r="A653" s="36" t="s">
        <v>1203</v>
      </c>
      <c r="B653" t="s">
        <v>1204</v>
      </c>
    </row>
    <row r="654" spans="1:3" x14ac:dyDescent="0.25">
      <c r="A654" s="36">
        <v>30708049928</v>
      </c>
      <c r="B654" t="s">
        <v>1205</v>
      </c>
    </row>
    <row r="655" spans="1:3" x14ac:dyDescent="0.25">
      <c r="A655" s="36">
        <v>33711134609</v>
      </c>
      <c r="B655" t="s">
        <v>1206</v>
      </c>
    </row>
    <row r="656" spans="1:3" x14ac:dyDescent="0.25">
      <c r="A656" s="36">
        <v>30535302606</v>
      </c>
      <c r="B656" t="s">
        <v>350</v>
      </c>
      <c r="C656" s="35" t="s">
        <v>797</v>
      </c>
    </row>
    <row r="657" spans="1:3" x14ac:dyDescent="0.25">
      <c r="A657" s="36">
        <v>11455152</v>
      </c>
      <c r="B657" t="s">
        <v>1207</v>
      </c>
    </row>
    <row r="658" spans="1:3" x14ac:dyDescent="0.25">
      <c r="A658" s="36">
        <v>24671442</v>
      </c>
      <c r="B658" t="s">
        <v>1208</v>
      </c>
    </row>
    <row r="659" spans="1:3" x14ac:dyDescent="0.25">
      <c r="A659" s="36">
        <v>20284183534</v>
      </c>
      <c r="B659" t="s">
        <v>1209</v>
      </c>
      <c r="C659" s="35" t="s">
        <v>912</v>
      </c>
    </row>
    <row r="660" spans="1:3" x14ac:dyDescent="0.25">
      <c r="A660" s="36">
        <v>20115545397</v>
      </c>
      <c r="B660" t="s">
        <v>1210</v>
      </c>
      <c r="C660" s="35" t="s">
        <v>46</v>
      </c>
    </row>
    <row r="661" spans="1:3" x14ac:dyDescent="0.25">
      <c r="A661" s="36">
        <v>20115545397</v>
      </c>
      <c r="B661" t="s">
        <v>1210</v>
      </c>
      <c r="C661" s="35" t="s">
        <v>46</v>
      </c>
    </row>
    <row r="662" spans="1:3" x14ac:dyDescent="0.25">
      <c r="A662" s="36">
        <v>23103614</v>
      </c>
      <c r="B662" t="s">
        <v>1211</v>
      </c>
    </row>
    <row r="663" spans="1:3" x14ac:dyDescent="0.25">
      <c r="A663" s="36">
        <v>33556360109</v>
      </c>
      <c r="B663" t="s">
        <v>1212</v>
      </c>
      <c r="C663" s="35" t="s">
        <v>1119</v>
      </c>
    </row>
    <row r="664" spans="1:3" x14ac:dyDescent="0.25">
      <c r="A664" s="36">
        <v>30500987878</v>
      </c>
      <c r="B664" t="s">
        <v>351</v>
      </c>
      <c r="C664" s="35" t="s">
        <v>1213</v>
      </c>
    </row>
    <row r="665" spans="1:3" x14ac:dyDescent="0.25">
      <c r="A665" s="36">
        <v>23920485979</v>
      </c>
      <c r="B665" t="s">
        <v>95</v>
      </c>
      <c r="C665" s="35" t="s">
        <v>79</v>
      </c>
    </row>
    <row r="666" spans="1:3" x14ac:dyDescent="0.25">
      <c r="A666" s="36">
        <v>26542077</v>
      </c>
      <c r="B666" t="s">
        <v>1214</v>
      </c>
    </row>
    <row r="667" spans="1:3" x14ac:dyDescent="0.25">
      <c r="A667" s="36">
        <v>30699695242</v>
      </c>
      <c r="B667" t="s">
        <v>352</v>
      </c>
    </row>
    <row r="668" spans="1:3" x14ac:dyDescent="0.25">
      <c r="A668" s="36">
        <v>27242941301</v>
      </c>
      <c r="B668" t="s">
        <v>1215</v>
      </c>
    </row>
    <row r="669" spans="1:3" x14ac:dyDescent="0.25">
      <c r="A669" s="36">
        <v>30698914277</v>
      </c>
      <c r="B669" t="s">
        <v>353</v>
      </c>
    </row>
    <row r="670" spans="1:3" x14ac:dyDescent="0.25">
      <c r="A670" s="36">
        <v>27204269527</v>
      </c>
      <c r="B670" t="s">
        <v>1216</v>
      </c>
      <c r="C670" s="35" t="s">
        <v>46</v>
      </c>
    </row>
    <row r="671" spans="1:3" x14ac:dyDescent="0.25">
      <c r="A671" s="36">
        <v>27204269527</v>
      </c>
      <c r="B671" t="s">
        <v>1216</v>
      </c>
      <c r="C671" s="35" t="s">
        <v>46</v>
      </c>
    </row>
    <row r="672" spans="1:3" x14ac:dyDescent="0.25">
      <c r="A672" s="36">
        <v>16565991</v>
      </c>
      <c r="B672" t="s">
        <v>1217</v>
      </c>
    </row>
    <row r="673" spans="1:3" x14ac:dyDescent="0.25">
      <c r="A673" s="36">
        <v>30522428163</v>
      </c>
      <c r="B673" t="s">
        <v>1218</v>
      </c>
      <c r="C673" s="35" t="s">
        <v>797</v>
      </c>
    </row>
    <row r="674" spans="1:3" x14ac:dyDescent="0.25">
      <c r="A674" s="36" t="s">
        <v>1219</v>
      </c>
      <c r="B674" t="s">
        <v>1218</v>
      </c>
      <c r="C674" s="35" t="s">
        <v>868</v>
      </c>
    </row>
    <row r="675" spans="1:3" x14ac:dyDescent="0.25">
      <c r="A675" s="36">
        <v>30685228501</v>
      </c>
      <c r="B675" t="s">
        <v>1220</v>
      </c>
      <c r="C675" s="35" t="s">
        <v>811</v>
      </c>
    </row>
    <row r="676" spans="1:3" x14ac:dyDescent="0.25">
      <c r="A676" s="36">
        <v>95899296</v>
      </c>
      <c r="B676" t="s">
        <v>1221</v>
      </c>
    </row>
    <row r="677" spans="1:3" x14ac:dyDescent="0.25">
      <c r="A677" s="36">
        <v>27061922984</v>
      </c>
      <c r="B677" t="s">
        <v>1222</v>
      </c>
      <c r="C677" s="35" t="s">
        <v>797</v>
      </c>
    </row>
    <row r="678" spans="1:3" x14ac:dyDescent="0.25">
      <c r="A678" s="36">
        <v>27281609</v>
      </c>
      <c r="B678" t="s">
        <v>1223</v>
      </c>
    </row>
    <row r="679" spans="1:3" x14ac:dyDescent="0.25">
      <c r="A679" s="36">
        <v>11997640</v>
      </c>
      <c r="B679" t="s">
        <v>1224</v>
      </c>
    </row>
    <row r="680" spans="1:3" x14ac:dyDescent="0.25">
      <c r="A680" s="36">
        <v>20214688590</v>
      </c>
      <c r="B680" t="s">
        <v>354</v>
      </c>
      <c r="C680" s="35" t="s">
        <v>79</v>
      </c>
    </row>
    <row r="681" spans="1:3" x14ac:dyDescent="0.25">
      <c r="A681" s="36">
        <v>30639782383</v>
      </c>
      <c r="B681" t="s">
        <v>355</v>
      </c>
      <c r="C681" s="35" t="s">
        <v>79</v>
      </c>
    </row>
    <row r="682" spans="1:3" x14ac:dyDescent="0.25">
      <c r="A682" s="36">
        <v>30715567578</v>
      </c>
      <c r="B682" t="s">
        <v>1225</v>
      </c>
      <c r="C682" s="35" t="s">
        <v>819</v>
      </c>
    </row>
    <row r="683" spans="1:3" x14ac:dyDescent="0.25">
      <c r="A683" s="36">
        <v>20174941654</v>
      </c>
      <c r="B683" t="s">
        <v>1226</v>
      </c>
    </row>
    <row r="684" spans="1:3" x14ac:dyDescent="0.25">
      <c r="A684" s="36">
        <v>30540088213</v>
      </c>
      <c r="B684" t="s">
        <v>1227</v>
      </c>
      <c r="C684" s="35" t="s">
        <v>79</v>
      </c>
    </row>
    <row r="685" spans="1:3" x14ac:dyDescent="0.25">
      <c r="A685" s="36">
        <v>20186809565</v>
      </c>
      <c r="B685" t="s">
        <v>1228</v>
      </c>
      <c r="C685" s="35" t="s">
        <v>797</v>
      </c>
    </row>
    <row r="686" spans="1:3" x14ac:dyDescent="0.25">
      <c r="A686" s="36">
        <v>20300503803</v>
      </c>
      <c r="B686" t="s">
        <v>1229</v>
      </c>
    </row>
    <row r="687" spans="1:3" x14ac:dyDescent="0.25">
      <c r="A687" s="36">
        <v>25795206</v>
      </c>
      <c r="B687" t="s">
        <v>1230</v>
      </c>
    </row>
    <row r="688" spans="1:3" x14ac:dyDescent="0.25">
      <c r="A688" s="36">
        <v>5298804</v>
      </c>
      <c r="B688" t="s">
        <v>1231</v>
      </c>
    </row>
    <row r="689" spans="1:3" x14ac:dyDescent="0.25">
      <c r="A689" s="36">
        <v>23472790</v>
      </c>
      <c r="B689" t="s">
        <v>1232</v>
      </c>
    </row>
    <row r="690" spans="1:3" x14ac:dyDescent="0.25">
      <c r="A690" s="36">
        <v>10088011</v>
      </c>
      <c r="B690" t="s">
        <v>1233</v>
      </c>
    </row>
    <row r="691" spans="1:3" x14ac:dyDescent="0.25">
      <c r="A691" s="36">
        <v>4877200</v>
      </c>
      <c r="B691" t="s">
        <v>1234</v>
      </c>
    </row>
    <row r="692" spans="1:3" x14ac:dyDescent="0.25">
      <c r="A692" s="36">
        <v>20101268897</v>
      </c>
      <c r="B692" t="s">
        <v>356</v>
      </c>
    </row>
    <row r="693" spans="1:3" x14ac:dyDescent="0.25">
      <c r="A693" s="36">
        <v>32593209</v>
      </c>
      <c r="B693" t="s">
        <v>1235</v>
      </c>
    </row>
    <row r="694" spans="1:3" x14ac:dyDescent="0.25">
      <c r="A694" s="36">
        <v>30594549712</v>
      </c>
      <c r="B694" t="s">
        <v>1236</v>
      </c>
      <c r="C694" s="35" t="s">
        <v>79</v>
      </c>
    </row>
    <row r="695" spans="1:3" x14ac:dyDescent="0.25">
      <c r="A695" s="36">
        <v>23073140</v>
      </c>
      <c r="B695" t="s">
        <v>1237</v>
      </c>
    </row>
    <row r="696" spans="1:3" x14ac:dyDescent="0.25">
      <c r="A696" s="36">
        <v>30544052027</v>
      </c>
      <c r="B696" t="s">
        <v>357</v>
      </c>
      <c r="C696" s="35" t="s">
        <v>81</v>
      </c>
    </row>
    <row r="697" spans="1:3" x14ac:dyDescent="0.25">
      <c r="A697" s="36">
        <v>30709737348</v>
      </c>
      <c r="B697" t="s">
        <v>358</v>
      </c>
      <c r="C697" s="35" t="s">
        <v>79</v>
      </c>
    </row>
    <row r="698" spans="1:3" x14ac:dyDescent="0.25">
      <c r="A698" s="36">
        <v>30708855975</v>
      </c>
      <c r="B698" t="s">
        <v>359</v>
      </c>
      <c r="C698" s="35" t="s">
        <v>797</v>
      </c>
    </row>
    <row r="699" spans="1:3" x14ac:dyDescent="0.25">
      <c r="A699" s="36">
        <v>20225327638</v>
      </c>
      <c r="B699" t="s">
        <v>360</v>
      </c>
      <c r="C699" s="35" t="s">
        <v>797</v>
      </c>
    </row>
    <row r="700" spans="1:3" x14ac:dyDescent="0.25">
      <c r="A700" s="36">
        <v>30711336431</v>
      </c>
      <c r="B700" t="s">
        <v>1238</v>
      </c>
      <c r="C700" s="35" t="s">
        <v>44</v>
      </c>
    </row>
    <row r="701" spans="1:3" x14ac:dyDescent="0.25">
      <c r="A701" s="36">
        <v>30546694263</v>
      </c>
      <c r="B701" t="s">
        <v>1239</v>
      </c>
      <c r="C701" s="35" t="s">
        <v>811</v>
      </c>
    </row>
    <row r="702" spans="1:3" x14ac:dyDescent="0.25">
      <c r="A702" s="36">
        <v>30546694263</v>
      </c>
      <c r="B702" t="s">
        <v>361</v>
      </c>
    </row>
    <row r="703" spans="1:3" x14ac:dyDescent="0.25">
      <c r="A703" s="36">
        <v>27217642464</v>
      </c>
      <c r="B703" t="s">
        <v>362</v>
      </c>
      <c r="C703" s="35" t="s">
        <v>79</v>
      </c>
    </row>
    <row r="704" spans="1:3" x14ac:dyDescent="0.25">
      <c r="A704" s="36">
        <v>27217642464</v>
      </c>
      <c r="B704" t="s">
        <v>362</v>
      </c>
    </row>
    <row r="705" spans="1:3" x14ac:dyDescent="0.25">
      <c r="A705" s="36">
        <v>34849727</v>
      </c>
      <c r="B705" t="s">
        <v>1240</v>
      </c>
    </row>
    <row r="706" spans="1:3" x14ac:dyDescent="0.25">
      <c r="A706" s="36">
        <v>4088050</v>
      </c>
      <c r="B706" t="s">
        <v>1241</v>
      </c>
    </row>
    <row r="707" spans="1:3" x14ac:dyDescent="0.25">
      <c r="A707" s="36">
        <v>95776656</v>
      </c>
      <c r="B707" t="s">
        <v>1242</v>
      </c>
    </row>
    <row r="708" spans="1:3" x14ac:dyDescent="0.25">
      <c r="A708" s="36">
        <v>23161244244</v>
      </c>
      <c r="B708" t="s">
        <v>1243</v>
      </c>
    </row>
    <row r="709" spans="1:3" x14ac:dyDescent="0.25">
      <c r="A709" s="36">
        <v>6044998</v>
      </c>
      <c r="B709" t="s">
        <v>1244</v>
      </c>
    </row>
    <row r="710" spans="1:3" x14ac:dyDescent="0.25">
      <c r="A710" s="36">
        <v>30711950113</v>
      </c>
      <c r="B710" t="s">
        <v>363</v>
      </c>
      <c r="C710" s="35" t="s">
        <v>797</v>
      </c>
    </row>
    <row r="711" spans="1:3" x14ac:dyDescent="0.25">
      <c r="A711" s="36">
        <v>30711950113</v>
      </c>
      <c r="B711" t="s">
        <v>1245</v>
      </c>
      <c r="C711" s="35" t="s">
        <v>797</v>
      </c>
    </row>
    <row r="712" spans="1:3" x14ac:dyDescent="0.25">
      <c r="A712" s="36">
        <v>30711950113</v>
      </c>
      <c r="B712" t="s">
        <v>1245</v>
      </c>
      <c r="C712" s="35" t="s">
        <v>797</v>
      </c>
    </row>
    <row r="713" spans="1:3" x14ac:dyDescent="0.25">
      <c r="A713" s="36">
        <v>23076996989</v>
      </c>
      <c r="B713" t="s">
        <v>1246</v>
      </c>
      <c r="C713" s="35" t="s">
        <v>1181</v>
      </c>
    </row>
    <row r="714" spans="1:3" x14ac:dyDescent="0.25">
      <c r="A714" s="36">
        <v>30626885981</v>
      </c>
      <c r="B714" t="s">
        <v>364</v>
      </c>
      <c r="C714" s="35" t="s">
        <v>797</v>
      </c>
    </row>
    <row r="715" spans="1:3" x14ac:dyDescent="0.25">
      <c r="A715" s="36">
        <v>30711069573</v>
      </c>
      <c r="B715" t="s">
        <v>365</v>
      </c>
      <c r="C715" s="35" t="s">
        <v>81</v>
      </c>
    </row>
    <row r="716" spans="1:3" x14ac:dyDescent="0.25">
      <c r="A716" s="36">
        <v>33709997489</v>
      </c>
      <c r="B716" t="s">
        <v>1247</v>
      </c>
      <c r="C716" s="35" t="s">
        <v>829</v>
      </c>
    </row>
    <row r="717" spans="1:3" x14ac:dyDescent="0.25">
      <c r="A717" s="36">
        <v>27187627236</v>
      </c>
      <c r="B717" t="s">
        <v>1248</v>
      </c>
    </row>
    <row r="718" spans="1:3" x14ac:dyDescent="0.25">
      <c r="A718" s="36">
        <v>92786992</v>
      </c>
      <c r="B718" t="s">
        <v>1249</v>
      </c>
    </row>
    <row r="719" spans="1:3" x14ac:dyDescent="0.25">
      <c r="A719" s="36">
        <v>20101959865</v>
      </c>
      <c r="B719" t="s">
        <v>1250</v>
      </c>
      <c r="C719" s="35" t="s">
        <v>1251</v>
      </c>
    </row>
    <row r="720" spans="1:3" x14ac:dyDescent="0.25">
      <c r="A720" s="36">
        <v>5483131</v>
      </c>
      <c r="B720" t="s">
        <v>1252</v>
      </c>
    </row>
    <row r="721" spans="1:3" x14ac:dyDescent="0.25">
      <c r="A721" s="36">
        <v>20292887648</v>
      </c>
      <c r="B721" t="s">
        <v>1253</v>
      </c>
    </row>
    <row r="722" spans="1:3" x14ac:dyDescent="0.25">
      <c r="A722" s="36">
        <v>20077028545</v>
      </c>
      <c r="B722" t="s">
        <v>1254</v>
      </c>
    </row>
    <row r="723" spans="1:3" x14ac:dyDescent="0.25">
      <c r="A723" s="36">
        <v>5878191</v>
      </c>
      <c r="B723" t="s">
        <v>1255</v>
      </c>
    </row>
    <row r="724" spans="1:3" x14ac:dyDescent="0.25">
      <c r="A724" s="36">
        <v>5878191</v>
      </c>
      <c r="B724" t="s">
        <v>1255</v>
      </c>
    </row>
    <row r="725" spans="1:3" x14ac:dyDescent="0.25">
      <c r="A725" s="36">
        <v>19048342</v>
      </c>
      <c r="B725" t="s">
        <v>1256</v>
      </c>
    </row>
    <row r="726" spans="1:3" x14ac:dyDescent="0.25">
      <c r="A726" s="36">
        <v>20361501722</v>
      </c>
      <c r="B726" t="s">
        <v>366</v>
      </c>
      <c r="C726" s="35" t="s">
        <v>79</v>
      </c>
    </row>
    <row r="727" spans="1:3" x14ac:dyDescent="0.25">
      <c r="A727" s="36">
        <v>4410890</v>
      </c>
      <c r="B727" t="s">
        <v>1257</v>
      </c>
    </row>
    <row r="728" spans="1:3" x14ac:dyDescent="0.25">
      <c r="A728" s="36">
        <v>11870752</v>
      </c>
      <c r="B728" t="s">
        <v>1258</v>
      </c>
    </row>
    <row r="729" spans="1:3" x14ac:dyDescent="0.25">
      <c r="A729" s="36">
        <v>18375246</v>
      </c>
      <c r="B729" t="s">
        <v>1259</v>
      </c>
    </row>
    <row r="730" spans="1:3" x14ac:dyDescent="0.25">
      <c r="A730" s="36">
        <v>14590514</v>
      </c>
      <c r="B730" t="s">
        <v>1260</v>
      </c>
    </row>
    <row r="731" spans="1:3" x14ac:dyDescent="0.25">
      <c r="A731" s="36">
        <v>23920485979</v>
      </c>
      <c r="B731" t="s">
        <v>1261</v>
      </c>
      <c r="C731" s="35" t="s">
        <v>797</v>
      </c>
    </row>
    <row r="732" spans="1:3" x14ac:dyDescent="0.25">
      <c r="A732" s="36">
        <v>23920485979</v>
      </c>
      <c r="B732" t="s">
        <v>1261</v>
      </c>
      <c r="C732" s="35" t="s">
        <v>797</v>
      </c>
    </row>
    <row r="733" spans="1:3" x14ac:dyDescent="0.25">
      <c r="A733" s="36">
        <v>30714432865</v>
      </c>
      <c r="B733" t="s">
        <v>1262</v>
      </c>
    </row>
    <row r="734" spans="1:3" x14ac:dyDescent="0.25">
      <c r="A734" s="36">
        <v>11001524</v>
      </c>
      <c r="B734" t="s">
        <v>1263</v>
      </c>
    </row>
    <row r="735" spans="1:3" x14ac:dyDescent="0.25">
      <c r="A735" s="36">
        <v>27145905147</v>
      </c>
      <c r="B735" t="s">
        <v>1264</v>
      </c>
    </row>
    <row r="736" spans="1:3" x14ac:dyDescent="0.25">
      <c r="A736" s="36">
        <v>23258555333</v>
      </c>
      <c r="B736" t="s">
        <v>367</v>
      </c>
    </row>
    <row r="737" spans="1:3" x14ac:dyDescent="0.25">
      <c r="A737" s="36">
        <v>17801564</v>
      </c>
      <c r="B737" t="s">
        <v>1265</v>
      </c>
    </row>
    <row r="738" spans="1:3" x14ac:dyDescent="0.25">
      <c r="A738" s="36">
        <v>4231530</v>
      </c>
      <c r="B738" t="s">
        <v>1266</v>
      </c>
    </row>
    <row r="739" spans="1:3" x14ac:dyDescent="0.25">
      <c r="A739" s="36">
        <v>30715303791</v>
      </c>
      <c r="B739" t="s">
        <v>368</v>
      </c>
    </row>
    <row r="740" spans="1:3" x14ac:dyDescent="0.25">
      <c r="A740" s="36">
        <v>34513381</v>
      </c>
      <c r="B740" t="s">
        <v>1267</v>
      </c>
    </row>
    <row r="741" spans="1:3" x14ac:dyDescent="0.25">
      <c r="A741" s="36">
        <v>13314943</v>
      </c>
      <c r="B741" t="s">
        <v>1268</v>
      </c>
    </row>
    <row r="742" spans="1:3" x14ac:dyDescent="0.25">
      <c r="A742" s="36">
        <v>5289939</v>
      </c>
      <c r="B742" t="s">
        <v>1269</v>
      </c>
    </row>
    <row r="743" spans="1:3" x14ac:dyDescent="0.25">
      <c r="A743" s="36">
        <v>27365928016</v>
      </c>
      <c r="B743" t="s">
        <v>1270</v>
      </c>
      <c r="C743" s="35" t="s">
        <v>1135</v>
      </c>
    </row>
    <row r="744" spans="1:3" x14ac:dyDescent="0.25">
      <c r="A744" s="36">
        <v>3368716053.9000001</v>
      </c>
      <c r="B744" t="s">
        <v>369</v>
      </c>
      <c r="C744" s="35" t="s">
        <v>81</v>
      </c>
    </row>
    <row r="745" spans="1:3" x14ac:dyDescent="0.25">
      <c r="A745" s="36">
        <v>33687160539</v>
      </c>
      <c r="B745" t="s">
        <v>369</v>
      </c>
      <c r="C745" s="35" t="s">
        <v>81</v>
      </c>
    </row>
    <row r="746" spans="1:3" x14ac:dyDescent="0.25">
      <c r="A746" s="36">
        <v>20102406320</v>
      </c>
      <c r="B746" t="s">
        <v>1271</v>
      </c>
    </row>
    <row r="747" spans="1:3" x14ac:dyDescent="0.25">
      <c r="A747" s="36">
        <v>30707867325</v>
      </c>
      <c r="B747" t="s">
        <v>370</v>
      </c>
    </row>
    <row r="748" spans="1:3" x14ac:dyDescent="0.25">
      <c r="A748" s="36">
        <v>30712097600</v>
      </c>
      <c r="B748" t="s">
        <v>1272</v>
      </c>
      <c r="C748" s="35" t="s">
        <v>1037</v>
      </c>
    </row>
    <row r="749" spans="1:3" x14ac:dyDescent="0.25">
      <c r="A749" s="36">
        <v>52858040</v>
      </c>
      <c r="B749" t="s">
        <v>1273</v>
      </c>
    </row>
    <row r="750" spans="1:3" x14ac:dyDescent="0.25">
      <c r="A750" s="36">
        <v>20050719864</v>
      </c>
      <c r="B750" t="s">
        <v>371</v>
      </c>
    </row>
    <row r="751" spans="1:3" x14ac:dyDescent="0.25">
      <c r="A751" s="36">
        <v>55396478</v>
      </c>
      <c r="B751" t="s">
        <v>1274</v>
      </c>
    </row>
    <row r="752" spans="1:3" x14ac:dyDescent="0.25">
      <c r="A752" s="36">
        <v>30633217803</v>
      </c>
      <c r="B752" t="s">
        <v>372</v>
      </c>
    </row>
    <row r="753" spans="1:3" x14ac:dyDescent="0.25">
      <c r="A753" s="36">
        <v>30712776403</v>
      </c>
      <c r="B753" t="s">
        <v>373</v>
      </c>
    </row>
    <row r="754" spans="1:3" x14ac:dyDescent="0.25">
      <c r="A754" s="36">
        <v>30712778403</v>
      </c>
      <c r="B754" t="s">
        <v>374</v>
      </c>
      <c r="C754" s="35" t="s">
        <v>46</v>
      </c>
    </row>
    <row r="755" spans="1:3" x14ac:dyDescent="0.25">
      <c r="A755" s="36">
        <v>30712778403</v>
      </c>
      <c r="B755" t="s">
        <v>374</v>
      </c>
      <c r="C755" s="35" t="s">
        <v>46</v>
      </c>
    </row>
    <row r="756" spans="1:3" x14ac:dyDescent="0.25">
      <c r="A756" s="36">
        <v>30712778403</v>
      </c>
      <c r="B756" t="s">
        <v>374</v>
      </c>
      <c r="C756" s="35" t="s">
        <v>46</v>
      </c>
    </row>
    <row r="757" spans="1:3" x14ac:dyDescent="0.25">
      <c r="A757" s="36">
        <v>11214579</v>
      </c>
      <c r="B757" t="s">
        <v>1275</v>
      </c>
    </row>
    <row r="758" spans="1:3" x14ac:dyDescent="0.25">
      <c r="A758" s="36">
        <v>20181426846</v>
      </c>
      <c r="B758" t="s">
        <v>1276</v>
      </c>
      <c r="C758" s="35" t="s">
        <v>79</v>
      </c>
    </row>
    <row r="759" spans="1:3" x14ac:dyDescent="0.25">
      <c r="A759" s="36">
        <v>33695089789</v>
      </c>
      <c r="B759" t="s">
        <v>375</v>
      </c>
    </row>
    <row r="760" spans="1:3" x14ac:dyDescent="0.25">
      <c r="A760" s="36">
        <v>3771511</v>
      </c>
      <c r="B760" t="s">
        <v>1277</v>
      </c>
    </row>
    <row r="761" spans="1:3" x14ac:dyDescent="0.25">
      <c r="A761" s="36">
        <v>30663498513</v>
      </c>
      <c r="B761" t="s">
        <v>376</v>
      </c>
      <c r="C761" s="35" t="s">
        <v>879</v>
      </c>
    </row>
    <row r="762" spans="1:3" x14ac:dyDescent="0.25">
      <c r="A762" s="36">
        <v>30715775014</v>
      </c>
      <c r="B762" t="s">
        <v>377</v>
      </c>
      <c r="C762" s="35" t="s">
        <v>2414</v>
      </c>
    </row>
    <row r="763" spans="1:3" x14ac:dyDescent="0.25">
      <c r="A763" s="36">
        <v>30671637589</v>
      </c>
      <c r="B763" t="s">
        <v>1278</v>
      </c>
      <c r="C763" s="35" t="s">
        <v>44</v>
      </c>
    </row>
    <row r="764" spans="1:3" x14ac:dyDescent="0.25">
      <c r="A764" s="36">
        <v>30671637689</v>
      </c>
      <c r="B764" t="s">
        <v>1278</v>
      </c>
      <c r="C764" s="35" t="s">
        <v>912</v>
      </c>
    </row>
    <row r="765" spans="1:3" x14ac:dyDescent="0.25">
      <c r="A765" s="36">
        <v>30716138603</v>
      </c>
      <c r="B765" t="s">
        <v>1279</v>
      </c>
      <c r="C765" s="35" t="s">
        <v>81</v>
      </c>
    </row>
    <row r="766" spans="1:3" x14ac:dyDescent="0.25">
      <c r="A766" s="36">
        <v>30709227161</v>
      </c>
      <c r="B766" t="s">
        <v>378</v>
      </c>
    </row>
    <row r="767" spans="1:3" x14ac:dyDescent="0.25">
      <c r="A767" s="36">
        <v>12850453</v>
      </c>
      <c r="B767" t="s">
        <v>1280</v>
      </c>
    </row>
    <row r="768" spans="1:3" x14ac:dyDescent="0.25">
      <c r="A768" s="36">
        <v>5089291</v>
      </c>
      <c r="B768" t="s">
        <v>1281</v>
      </c>
    </row>
    <row r="769" spans="1:3" x14ac:dyDescent="0.25">
      <c r="A769" s="36">
        <v>13605452</v>
      </c>
      <c r="B769" t="s">
        <v>1282</v>
      </c>
    </row>
    <row r="770" spans="1:3" x14ac:dyDescent="0.25">
      <c r="A770" s="36">
        <v>20041956748</v>
      </c>
      <c r="B770" t="s">
        <v>1283</v>
      </c>
    </row>
    <row r="771" spans="1:3" x14ac:dyDescent="0.25">
      <c r="A771" s="36">
        <v>20940658609</v>
      </c>
      <c r="B771" t="s">
        <v>379</v>
      </c>
    </row>
    <row r="772" spans="1:3" x14ac:dyDescent="0.25">
      <c r="A772" s="36">
        <v>27147827682</v>
      </c>
      <c r="B772" t="s">
        <v>1284</v>
      </c>
      <c r="C772" s="35" t="s">
        <v>938</v>
      </c>
    </row>
    <row r="773" spans="1:3" x14ac:dyDescent="0.25">
      <c r="A773" s="36">
        <v>30541849307</v>
      </c>
      <c r="B773" t="s">
        <v>380</v>
      </c>
      <c r="C773" s="35" t="s">
        <v>797</v>
      </c>
    </row>
    <row r="774" spans="1:3" x14ac:dyDescent="0.25">
      <c r="A774" s="36">
        <v>12314042</v>
      </c>
      <c r="B774" t="s">
        <v>1285</v>
      </c>
    </row>
    <row r="775" spans="1:3" x14ac:dyDescent="0.25">
      <c r="A775" s="36">
        <v>30582876661</v>
      </c>
      <c r="B775" t="s">
        <v>381</v>
      </c>
    </row>
    <row r="776" spans="1:3" x14ac:dyDescent="0.25">
      <c r="A776" s="36">
        <v>20270084304</v>
      </c>
      <c r="B776" t="s">
        <v>382</v>
      </c>
      <c r="C776" s="35" t="s">
        <v>797</v>
      </c>
    </row>
    <row r="777" spans="1:3" x14ac:dyDescent="0.25">
      <c r="A777" s="36">
        <v>92616076</v>
      </c>
      <c r="B777" t="s">
        <v>1286</v>
      </c>
    </row>
    <row r="778" spans="1:3" x14ac:dyDescent="0.25">
      <c r="A778" s="36">
        <v>20144078188</v>
      </c>
      <c r="B778" t="s">
        <v>383</v>
      </c>
    </row>
    <row r="779" spans="1:3" x14ac:dyDescent="0.25">
      <c r="A779" s="36">
        <v>39073501</v>
      </c>
      <c r="B779" t="s">
        <v>1287</v>
      </c>
    </row>
    <row r="780" spans="1:3" x14ac:dyDescent="0.25">
      <c r="A780" s="36">
        <v>20108381508</v>
      </c>
      <c r="B780" t="s">
        <v>384</v>
      </c>
      <c r="C780" s="35" t="s">
        <v>797</v>
      </c>
    </row>
    <row r="781" spans="1:3" x14ac:dyDescent="0.25">
      <c r="A781" s="36">
        <v>43917412</v>
      </c>
      <c r="B781" t="s">
        <v>1288</v>
      </c>
    </row>
    <row r="782" spans="1:3" x14ac:dyDescent="0.25">
      <c r="A782" s="36">
        <v>30715210904</v>
      </c>
      <c r="B782" t="s">
        <v>1289</v>
      </c>
      <c r="C782" s="35" t="s">
        <v>1290</v>
      </c>
    </row>
    <row r="783" spans="1:3" x14ac:dyDescent="0.25">
      <c r="A783" s="36">
        <v>20253264390</v>
      </c>
      <c r="B783" t="s">
        <v>385</v>
      </c>
      <c r="C783" s="35" t="s">
        <v>797</v>
      </c>
    </row>
    <row r="784" spans="1:3" x14ac:dyDescent="0.25">
      <c r="A784" s="36">
        <v>48383787</v>
      </c>
      <c r="B784" t="s">
        <v>1291</v>
      </c>
    </row>
    <row r="785" spans="1:3" x14ac:dyDescent="0.25">
      <c r="A785" s="36">
        <v>30570945285</v>
      </c>
      <c r="B785" t="s">
        <v>386</v>
      </c>
    </row>
    <row r="786" spans="1:3" x14ac:dyDescent="0.25">
      <c r="A786" s="36">
        <v>2721495</v>
      </c>
      <c r="B786" t="s">
        <v>1292</v>
      </c>
    </row>
    <row r="787" spans="1:3" x14ac:dyDescent="0.25">
      <c r="A787" s="36">
        <v>5115441</v>
      </c>
      <c r="B787" t="s">
        <v>1293</v>
      </c>
    </row>
    <row r="788" spans="1:3" x14ac:dyDescent="0.25">
      <c r="A788" s="36">
        <v>2907628</v>
      </c>
      <c r="B788" t="s">
        <v>1294</v>
      </c>
    </row>
    <row r="789" spans="1:3" x14ac:dyDescent="0.25">
      <c r="A789" s="36">
        <v>3784360</v>
      </c>
      <c r="B789" t="s">
        <v>1295</v>
      </c>
    </row>
    <row r="790" spans="1:3" x14ac:dyDescent="0.25">
      <c r="A790" s="36" t="s">
        <v>1296</v>
      </c>
      <c r="B790" t="s">
        <v>1297</v>
      </c>
    </row>
    <row r="791" spans="1:3" x14ac:dyDescent="0.25">
      <c r="A791" s="36">
        <v>30710538014</v>
      </c>
      <c r="B791" t="s">
        <v>1298</v>
      </c>
    </row>
    <row r="792" spans="1:3" x14ac:dyDescent="0.25">
      <c r="A792" s="36">
        <v>18101907</v>
      </c>
      <c r="B792" t="s">
        <v>1299</v>
      </c>
    </row>
    <row r="793" spans="1:3" x14ac:dyDescent="0.25">
      <c r="A793" s="36">
        <v>93645379</v>
      </c>
      <c r="B793" t="s">
        <v>1300</v>
      </c>
    </row>
    <row r="794" spans="1:3" x14ac:dyDescent="0.25">
      <c r="A794" s="36">
        <v>21645724</v>
      </c>
      <c r="B794" t="s">
        <v>1301</v>
      </c>
    </row>
    <row r="795" spans="1:3" x14ac:dyDescent="0.25">
      <c r="A795" s="36">
        <v>30593410354</v>
      </c>
      <c r="B795" t="s">
        <v>387</v>
      </c>
    </row>
    <row r="796" spans="1:3" x14ac:dyDescent="0.25">
      <c r="A796" s="36">
        <v>27165813893</v>
      </c>
      <c r="B796" t="s">
        <v>1302</v>
      </c>
      <c r="C796" s="35" t="s">
        <v>829</v>
      </c>
    </row>
    <row r="797" spans="1:3" x14ac:dyDescent="0.25">
      <c r="A797" s="36">
        <v>20275447057</v>
      </c>
      <c r="B797" t="s">
        <v>388</v>
      </c>
      <c r="C797" s="35" t="s">
        <v>79</v>
      </c>
    </row>
    <row r="798" spans="1:3" x14ac:dyDescent="0.25">
      <c r="A798" s="36">
        <v>23219640269</v>
      </c>
      <c r="B798" t="s">
        <v>389</v>
      </c>
      <c r="C798" s="35" t="s">
        <v>797</v>
      </c>
    </row>
    <row r="799" spans="1:3" x14ac:dyDescent="0.25">
      <c r="A799" s="36">
        <v>23528815</v>
      </c>
      <c r="B799" t="s">
        <v>1303</v>
      </c>
    </row>
    <row r="800" spans="1:3" x14ac:dyDescent="0.25">
      <c r="A800" s="36">
        <v>30710095171</v>
      </c>
      <c r="B800" t="s">
        <v>1304</v>
      </c>
      <c r="C800" s="35" t="s">
        <v>797</v>
      </c>
    </row>
    <row r="801" spans="1:3" x14ac:dyDescent="0.25">
      <c r="A801" s="36">
        <v>30699407476</v>
      </c>
      <c r="B801" t="s">
        <v>390</v>
      </c>
      <c r="C801" s="35" t="s">
        <v>797</v>
      </c>
    </row>
    <row r="802" spans="1:3" x14ac:dyDescent="0.25">
      <c r="A802" s="36">
        <v>30708508221</v>
      </c>
      <c r="B802" t="s">
        <v>391</v>
      </c>
    </row>
    <row r="803" spans="1:3" x14ac:dyDescent="0.25">
      <c r="A803" s="36">
        <v>30551450445</v>
      </c>
      <c r="B803" t="s">
        <v>392</v>
      </c>
      <c r="C803" s="35" t="s">
        <v>797</v>
      </c>
    </row>
    <row r="804" spans="1:3" x14ac:dyDescent="0.25">
      <c r="A804" s="36">
        <v>93922315</v>
      </c>
      <c r="B804" t="s">
        <v>1305</v>
      </c>
    </row>
    <row r="805" spans="1:3" x14ac:dyDescent="0.25">
      <c r="A805" s="36">
        <v>20361556691</v>
      </c>
      <c r="B805" t="s">
        <v>1306</v>
      </c>
      <c r="C805" s="35" t="s">
        <v>79</v>
      </c>
    </row>
    <row r="806" spans="1:3" x14ac:dyDescent="0.25">
      <c r="A806" s="36">
        <v>27171152610</v>
      </c>
      <c r="B806" t="s">
        <v>393</v>
      </c>
    </row>
    <row r="807" spans="1:3" x14ac:dyDescent="0.25">
      <c r="A807" s="36">
        <v>12075294</v>
      </c>
      <c r="B807" t="s">
        <v>1307</v>
      </c>
    </row>
    <row r="808" spans="1:3" x14ac:dyDescent="0.25">
      <c r="A808" s="36">
        <v>20313759246</v>
      </c>
      <c r="B808" t="s">
        <v>1308</v>
      </c>
      <c r="C808" s="35" t="s">
        <v>79</v>
      </c>
    </row>
    <row r="809" spans="1:3" x14ac:dyDescent="0.25">
      <c r="A809" s="36">
        <v>20186310838</v>
      </c>
      <c r="B809" t="s">
        <v>1309</v>
      </c>
      <c r="C809" s="35" t="s">
        <v>912</v>
      </c>
    </row>
    <row r="810" spans="1:3" x14ac:dyDescent="0.25">
      <c r="A810" s="36">
        <v>20255683595</v>
      </c>
      <c r="B810" t="s">
        <v>394</v>
      </c>
    </row>
    <row r="811" spans="1:3" x14ac:dyDescent="0.25">
      <c r="A811" s="36">
        <v>30631285038</v>
      </c>
      <c r="B811" t="s">
        <v>395</v>
      </c>
    </row>
    <row r="812" spans="1:3" x14ac:dyDescent="0.25">
      <c r="A812" s="36">
        <v>30714254533</v>
      </c>
      <c r="B812" t="s">
        <v>396</v>
      </c>
      <c r="C812" s="35" t="s">
        <v>797</v>
      </c>
    </row>
    <row r="813" spans="1:3" x14ac:dyDescent="0.25">
      <c r="A813" s="36">
        <v>30712354409</v>
      </c>
      <c r="B813" t="s">
        <v>397</v>
      </c>
      <c r="C813" s="35" t="s">
        <v>797</v>
      </c>
    </row>
    <row r="814" spans="1:3" x14ac:dyDescent="0.25">
      <c r="A814" s="36">
        <v>30576631665</v>
      </c>
      <c r="B814" t="s">
        <v>398</v>
      </c>
      <c r="C814" s="35" t="s">
        <v>797</v>
      </c>
    </row>
    <row r="815" spans="1:3" x14ac:dyDescent="0.25">
      <c r="A815" s="36">
        <v>17968654</v>
      </c>
      <c r="B815" t="s">
        <v>1310</v>
      </c>
    </row>
    <row r="816" spans="1:3" x14ac:dyDescent="0.25">
      <c r="A816" s="36">
        <v>30576630057</v>
      </c>
      <c r="B816" t="s">
        <v>1311</v>
      </c>
      <c r="C816" s="35" t="s">
        <v>1037</v>
      </c>
    </row>
    <row r="817" spans="1:3" x14ac:dyDescent="0.25">
      <c r="A817" s="36">
        <v>30714122718</v>
      </c>
      <c r="B817" t="s">
        <v>1312</v>
      </c>
      <c r="C817" s="35" t="s">
        <v>797</v>
      </c>
    </row>
    <row r="818" spans="1:3" x14ac:dyDescent="0.25">
      <c r="A818" s="36">
        <v>30691712350</v>
      </c>
      <c r="B818" t="s">
        <v>399</v>
      </c>
    </row>
    <row r="819" spans="1:3" x14ac:dyDescent="0.25">
      <c r="A819" s="36">
        <v>30714696153</v>
      </c>
      <c r="B819" t="s">
        <v>400</v>
      </c>
      <c r="C819" s="35" t="s">
        <v>797</v>
      </c>
    </row>
    <row r="820" spans="1:3" x14ac:dyDescent="0.25">
      <c r="A820" s="36">
        <v>30714696153</v>
      </c>
      <c r="B820" t="s">
        <v>400</v>
      </c>
      <c r="C820" s="35" t="s">
        <v>797</v>
      </c>
    </row>
    <row r="821" spans="1:3" x14ac:dyDescent="0.25">
      <c r="A821" s="36">
        <v>30714696153</v>
      </c>
      <c r="B821" t="s">
        <v>400</v>
      </c>
      <c r="C821" s="35" t="s">
        <v>797</v>
      </c>
    </row>
    <row r="822" spans="1:3" x14ac:dyDescent="0.25">
      <c r="A822" s="36">
        <v>30711017697</v>
      </c>
      <c r="B822" t="s">
        <v>401</v>
      </c>
    </row>
    <row r="823" spans="1:3" x14ac:dyDescent="0.25">
      <c r="A823" s="36">
        <v>23940960509</v>
      </c>
      <c r="B823" t="s">
        <v>402</v>
      </c>
      <c r="C823" s="35" t="s">
        <v>819</v>
      </c>
    </row>
    <row r="824" spans="1:3" x14ac:dyDescent="0.25">
      <c r="A824" s="36">
        <v>22548856</v>
      </c>
      <c r="B824" t="s">
        <v>1313</v>
      </c>
    </row>
    <row r="825" spans="1:3" x14ac:dyDescent="0.25">
      <c r="A825" s="36">
        <v>13032665</v>
      </c>
      <c r="B825" t="s">
        <v>1314</v>
      </c>
    </row>
    <row r="826" spans="1:3" x14ac:dyDescent="0.25">
      <c r="A826" s="36">
        <v>30715578154</v>
      </c>
      <c r="B826" t="s">
        <v>403</v>
      </c>
    </row>
    <row r="827" spans="1:3" x14ac:dyDescent="0.25">
      <c r="A827" s="36">
        <v>30643827197</v>
      </c>
      <c r="B827" t="s">
        <v>404</v>
      </c>
      <c r="C827" s="35" t="s">
        <v>44</v>
      </c>
    </row>
    <row r="828" spans="1:3" x14ac:dyDescent="0.25">
      <c r="A828" s="36">
        <v>20242126158</v>
      </c>
      <c r="B828" t="s">
        <v>1315</v>
      </c>
      <c r="C828" s="35" t="s">
        <v>829</v>
      </c>
    </row>
    <row r="829" spans="1:3" x14ac:dyDescent="0.25">
      <c r="A829" s="36">
        <v>30667805283</v>
      </c>
      <c r="B829" t="s">
        <v>405</v>
      </c>
    </row>
    <row r="830" spans="1:3" x14ac:dyDescent="0.25">
      <c r="A830" s="36">
        <v>20224751045</v>
      </c>
      <c r="B830" t="s">
        <v>1316</v>
      </c>
      <c r="C830" s="35" t="s">
        <v>794</v>
      </c>
    </row>
    <row r="831" spans="1:3" x14ac:dyDescent="0.25">
      <c r="A831" s="36">
        <v>30709443220</v>
      </c>
      <c r="B831" t="s">
        <v>406</v>
      </c>
      <c r="C831" s="35" t="s">
        <v>797</v>
      </c>
    </row>
    <row r="832" spans="1:3" x14ac:dyDescent="0.25">
      <c r="A832" s="36">
        <v>30710457162</v>
      </c>
      <c r="B832" t="s">
        <v>96</v>
      </c>
    </row>
    <row r="833" spans="1:3" x14ac:dyDescent="0.25">
      <c r="A833" s="36">
        <v>33531273309</v>
      </c>
      <c r="B833" t="s">
        <v>1317</v>
      </c>
    </row>
    <row r="834" spans="1:3" x14ac:dyDescent="0.25">
      <c r="A834" s="36">
        <v>27066870532</v>
      </c>
      <c r="B834" t="s">
        <v>1318</v>
      </c>
    </row>
    <row r="835" spans="1:3" x14ac:dyDescent="0.25">
      <c r="A835" s="36">
        <v>27113577</v>
      </c>
      <c r="B835" t="s">
        <v>1319</v>
      </c>
    </row>
    <row r="836" spans="1:3" x14ac:dyDescent="0.25">
      <c r="A836" s="36">
        <v>18120681</v>
      </c>
      <c r="B836" t="s">
        <v>1320</v>
      </c>
    </row>
    <row r="837" spans="1:3" x14ac:dyDescent="0.25">
      <c r="A837" s="36">
        <v>30712289046</v>
      </c>
      <c r="B837" t="s">
        <v>1321</v>
      </c>
      <c r="C837" s="35" t="s">
        <v>44</v>
      </c>
    </row>
    <row r="838" spans="1:3" x14ac:dyDescent="0.25">
      <c r="A838" s="36">
        <v>33714935009</v>
      </c>
      <c r="B838" t="s">
        <v>407</v>
      </c>
      <c r="C838" s="35" t="s">
        <v>819</v>
      </c>
    </row>
    <row r="839" spans="1:3" x14ac:dyDescent="0.25">
      <c r="A839" s="36">
        <v>30687310434</v>
      </c>
      <c r="B839" t="s">
        <v>1322</v>
      </c>
      <c r="C839" s="35" t="s">
        <v>79</v>
      </c>
    </row>
    <row r="840" spans="1:3" x14ac:dyDescent="0.25">
      <c r="A840" s="36">
        <v>30515800219</v>
      </c>
      <c r="B840" t="s">
        <v>1323</v>
      </c>
      <c r="C840" s="35" t="s">
        <v>79</v>
      </c>
    </row>
    <row r="841" spans="1:3" x14ac:dyDescent="0.25">
      <c r="A841" s="36">
        <v>30715237071</v>
      </c>
      <c r="B841" t="s">
        <v>408</v>
      </c>
    </row>
    <row r="842" spans="1:3" x14ac:dyDescent="0.25">
      <c r="A842" s="36">
        <v>20104571507</v>
      </c>
      <c r="B842" t="s">
        <v>409</v>
      </c>
    </row>
    <row r="843" spans="1:3" x14ac:dyDescent="0.25">
      <c r="A843" s="36">
        <v>30651822021</v>
      </c>
      <c r="B843" t="s">
        <v>410</v>
      </c>
      <c r="C843" s="35" t="s">
        <v>797</v>
      </c>
    </row>
    <row r="844" spans="1:3" x14ac:dyDescent="0.25">
      <c r="A844" s="36">
        <v>30627739571</v>
      </c>
      <c r="B844" t="s">
        <v>411</v>
      </c>
    </row>
    <row r="845" spans="1:3" x14ac:dyDescent="0.25">
      <c r="A845" s="36">
        <v>30710149468</v>
      </c>
      <c r="B845" t="s">
        <v>412</v>
      </c>
      <c r="C845" s="35" t="s">
        <v>81</v>
      </c>
    </row>
    <row r="846" spans="1:3" x14ac:dyDescent="0.25">
      <c r="A846" s="36">
        <v>30688241614</v>
      </c>
      <c r="B846" t="s">
        <v>413</v>
      </c>
    </row>
    <row r="847" spans="1:3" x14ac:dyDescent="0.25">
      <c r="A847" s="36">
        <v>30709899399</v>
      </c>
      <c r="B847" t="s">
        <v>1324</v>
      </c>
    </row>
    <row r="848" spans="1:3" x14ac:dyDescent="0.25">
      <c r="A848" s="36">
        <v>16483797</v>
      </c>
      <c r="B848" t="s">
        <v>1325</v>
      </c>
    </row>
    <row r="849" spans="1:3" x14ac:dyDescent="0.25">
      <c r="A849" s="36">
        <v>30712479945</v>
      </c>
      <c r="B849" t="s">
        <v>414</v>
      </c>
    </row>
    <row r="850" spans="1:3" x14ac:dyDescent="0.25">
      <c r="A850" s="36">
        <v>30711738130</v>
      </c>
      <c r="B850" t="s">
        <v>415</v>
      </c>
    </row>
    <row r="851" spans="1:3" x14ac:dyDescent="0.25">
      <c r="A851" s="36">
        <v>30598739540</v>
      </c>
      <c r="B851" t="s">
        <v>1326</v>
      </c>
      <c r="C851" s="35" t="s">
        <v>811</v>
      </c>
    </row>
    <row r="852" spans="1:3" x14ac:dyDescent="0.25">
      <c r="A852" s="36">
        <v>30598739540</v>
      </c>
      <c r="B852" t="s">
        <v>1326</v>
      </c>
      <c r="C852" s="35" t="s">
        <v>811</v>
      </c>
    </row>
    <row r="853" spans="1:3" x14ac:dyDescent="0.25">
      <c r="A853" s="36">
        <v>30554807301</v>
      </c>
      <c r="B853" t="s">
        <v>1327</v>
      </c>
      <c r="C853" s="35" t="s">
        <v>79</v>
      </c>
    </row>
    <row r="854" spans="1:3" x14ac:dyDescent="0.25">
      <c r="A854" s="36">
        <v>30707758682</v>
      </c>
      <c r="B854" t="s">
        <v>1328</v>
      </c>
    </row>
    <row r="855" spans="1:3" x14ac:dyDescent="0.25">
      <c r="A855" s="36">
        <v>30697770069</v>
      </c>
      <c r="B855" t="s">
        <v>416</v>
      </c>
      <c r="C855" s="35" t="s">
        <v>797</v>
      </c>
    </row>
    <row r="856" spans="1:3" x14ac:dyDescent="0.25">
      <c r="A856" s="36">
        <v>33715678689</v>
      </c>
      <c r="B856" t="s">
        <v>417</v>
      </c>
      <c r="C856" s="35" t="s">
        <v>797</v>
      </c>
    </row>
    <row r="857" spans="1:3" x14ac:dyDescent="0.25">
      <c r="A857" s="36">
        <v>30697558868</v>
      </c>
      <c r="B857" t="s">
        <v>1329</v>
      </c>
    </row>
    <row r="858" spans="1:3" x14ac:dyDescent="0.25">
      <c r="A858" s="36">
        <v>30697558868</v>
      </c>
      <c r="B858" t="s">
        <v>418</v>
      </c>
      <c r="C858" s="35" t="s">
        <v>811</v>
      </c>
    </row>
    <row r="859" spans="1:3" x14ac:dyDescent="0.25">
      <c r="A859" s="36">
        <v>30697558868</v>
      </c>
      <c r="B859" t="s">
        <v>418</v>
      </c>
      <c r="C859" s="35" t="s">
        <v>811</v>
      </c>
    </row>
    <row r="860" spans="1:3" x14ac:dyDescent="0.25">
      <c r="A860" s="36">
        <v>33708345399</v>
      </c>
      <c r="B860" t="s">
        <v>1330</v>
      </c>
      <c r="C860" s="35" t="s">
        <v>797</v>
      </c>
    </row>
    <row r="861" spans="1:3" x14ac:dyDescent="0.25">
      <c r="A861" s="36">
        <v>30699010983</v>
      </c>
      <c r="B861" t="s">
        <v>419</v>
      </c>
    </row>
    <row r="862" spans="1:3" x14ac:dyDescent="0.25">
      <c r="A862" s="36">
        <v>20514020</v>
      </c>
      <c r="B862" t="s">
        <v>1331</v>
      </c>
    </row>
    <row r="863" spans="1:3" x14ac:dyDescent="0.25">
      <c r="A863" s="36">
        <v>30999077508</v>
      </c>
      <c r="B863" t="s">
        <v>1332</v>
      </c>
      <c r="C863" s="35" t="s">
        <v>811</v>
      </c>
    </row>
    <row r="864" spans="1:3" x14ac:dyDescent="0.25">
      <c r="A864" s="36">
        <v>30999077508</v>
      </c>
      <c r="B864" t="s">
        <v>1332</v>
      </c>
      <c r="C864" s="35" t="s">
        <v>811</v>
      </c>
    </row>
    <row r="865" spans="1:3" x14ac:dyDescent="0.25">
      <c r="A865" s="36">
        <v>30559807970</v>
      </c>
      <c r="B865" t="s">
        <v>420</v>
      </c>
      <c r="C865" s="35" t="s">
        <v>797</v>
      </c>
    </row>
    <row r="866" spans="1:3" x14ac:dyDescent="0.25">
      <c r="A866" s="36">
        <v>12464961</v>
      </c>
      <c r="B866" t="s">
        <v>1333</v>
      </c>
    </row>
    <row r="867" spans="1:3" x14ac:dyDescent="0.25">
      <c r="A867" s="36">
        <v>8459088</v>
      </c>
      <c r="B867" t="s">
        <v>1334</v>
      </c>
    </row>
    <row r="868" spans="1:3" x14ac:dyDescent="0.25">
      <c r="A868" s="36">
        <v>5100868</v>
      </c>
      <c r="B868" t="s">
        <v>1335</v>
      </c>
    </row>
    <row r="869" spans="1:3" x14ac:dyDescent="0.25">
      <c r="A869" s="36">
        <v>30708214813</v>
      </c>
      <c r="B869" t="s">
        <v>421</v>
      </c>
      <c r="C869" s="35" t="s">
        <v>797</v>
      </c>
    </row>
    <row r="870" spans="1:3" x14ac:dyDescent="0.25">
      <c r="A870" s="36">
        <v>23368458449</v>
      </c>
      <c r="B870" t="s">
        <v>1336</v>
      </c>
      <c r="C870" s="35" t="s">
        <v>794</v>
      </c>
    </row>
    <row r="871" spans="1:3" x14ac:dyDescent="0.25">
      <c r="A871" s="36">
        <v>30714295957</v>
      </c>
      <c r="B871" t="s">
        <v>1337</v>
      </c>
      <c r="C871" s="35" t="s">
        <v>912</v>
      </c>
    </row>
    <row r="872" spans="1:3" x14ac:dyDescent="0.25">
      <c r="A872" s="36">
        <v>30712187316</v>
      </c>
      <c r="B872" t="s">
        <v>1338</v>
      </c>
      <c r="C872" s="35" t="s">
        <v>797</v>
      </c>
    </row>
    <row r="873" spans="1:3" x14ac:dyDescent="0.25">
      <c r="A873" s="36">
        <v>30547076679</v>
      </c>
      <c r="B873" t="s">
        <v>422</v>
      </c>
    </row>
    <row r="874" spans="1:3" x14ac:dyDescent="0.25">
      <c r="A874" s="36">
        <v>30709267821</v>
      </c>
      <c r="B874" t="s">
        <v>423</v>
      </c>
    </row>
    <row r="875" spans="1:3" x14ac:dyDescent="0.25">
      <c r="A875" s="36">
        <v>30715123483</v>
      </c>
      <c r="B875" t="s">
        <v>1339</v>
      </c>
      <c r="C875" s="35" t="s">
        <v>794</v>
      </c>
    </row>
    <row r="876" spans="1:3" x14ac:dyDescent="0.25">
      <c r="A876" s="36">
        <v>30700896621</v>
      </c>
      <c r="B876" t="s">
        <v>1340</v>
      </c>
    </row>
    <row r="877" spans="1:3" x14ac:dyDescent="0.25">
      <c r="A877" s="36">
        <v>2446086</v>
      </c>
      <c r="B877" t="s">
        <v>1341</v>
      </c>
    </row>
    <row r="878" spans="1:3" x14ac:dyDescent="0.25">
      <c r="A878" s="36">
        <v>2446086</v>
      </c>
      <c r="B878" t="s">
        <v>1341</v>
      </c>
    </row>
    <row r="879" spans="1:3" x14ac:dyDescent="0.25">
      <c r="A879" s="36">
        <v>23887039</v>
      </c>
      <c r="B879" t="s">
        <v>1342</v>
      </c>
    </row>
    <row r="880" spans="1:3" x14ac:dyDescent="0.25">
      <c r="A880" s="36">
        <v>33716314869</v>
      </c>
      <c r="B880" t="s">
        <v>1343</v>
      </c>
    </row>
    <row r="881" spans="1:3" x14ac:dyDescent="0.25">
      <c r="A881" s="36">
        <v>14547747</v>
      </c>
      <c r="B881" t="s">
        <v>1344</v>
      </c>
    </row>
    <row r="882" spans="1:3" x14ac:dyDescent="0.25">
      <c r="A882" s="36">
        <v>30708936762</v>
      </c>
      <c r="B882" t="s">
        <v>1345</v>
      </c>
      <c r="C882" s="35" t="s">
        <v>79</v>
      </c>
    </row>
    <row r="883" spans="1:3" x14ac:dyDescent="0.25">
      <c r="A883" s="36">
        <v>34358182</v>
      </c>
      <c r="B883" t="s">
        <v>1346</v>
      </c>
    </row>
    <row r="884" spans="1:3" x14ac:dyDescent="0.25">
      <c r="A884" s="36">
        <v>4237954</v>
      </c>
      <c r="B884" t="s">
        <v>1347</v>
      </c>
    </row>
    <row r="885" spans="1:3" x14ac:dyDescent="0.25">
      <c r="A885" s="36">
        <v>30707249001</v>
      </c>
      <c r="B885" t="s">
        <v>424</v>
      </c>
      <c r="C885" s="35" t="s">
        <v>797</v>
      </c>
    </row>
    <row r="886" spans="1:3" x14ac:dyDescent="0.25">
      <c r="A886" s="36">
        <v>11875982</v>
      </c>
      <c r="B886" t="s">
        <v>1348</v>
      </c>
    </row>
    <row r="887" spans="1:3" x14ac:dyDescent="0.25">
      <c r="A887" s="36">
        <v>30709273465</v>
      </c>
      <c r="B887" t="s">
        <v>1349</v>
      </c>
      <c r="C887" s="35" t="s">
        <v>797</v>
      </c>
    </row>
    <row r="888" spans="1:3" x14ac:dyDescent="0.25">
      <c r="A888" s="36">
        <v>30550095714</v>
      </c>
      <c r="B888" t="s">
        <v>1349</v>
      </c>
      <c r="C888" s="35" t="s">
        <v>797</v>
      </c>
    </row>
    <row r="889" spans="1:3" x14ac:dyDescent="0.25">
      <c r="A889" s="36">
        <v>30636074280</v>
      </c>
      <c r="B889" t="s">
        <v>425</v>
      </c>
    </row>
    <row r="890" spans="1:3" x14ac:dyDescent="0.25">
      <c r="A890" s="36">
        <v>30714306355</v>
      </c>
      <c r="B890" t="s">
        <v>426</v>
      </c>
    </row>
    <row r="891" spans="1:3" x14ac:dyDescent="0.25">
      <c r="A891" s="36">
        <v>30715937006</v>
      </c>
      <c r="B891" t="s">
        <v>1350</v>
      </c>
      <c r="C891" s="35" t="s">
        <v>81</v>
      </c>
    </row>
    <row r="892" spans="1:3" x14ac:dyDescent="0.25">
      <c r="A892" s="36">
        <v>30506357841</v>
      </c>
      <c r="B892" t="s">
        <v>427</v>
      </c>
    </row>
    <row r="893" spans="1:3" x14ac:dyDescent="0.25">
      <c r="A893" s="36">
        <v>26146729</v>
      </c>
      <c r="B893" t="s">
        <v>1351</v>
      </c>
    </row>
    <row r="894" spans="1:3" x14ac:dyDescent="0.25">
      <c r="A894" s="36">
        <v>38380322</v>
      </c>
      <c r="B894" t="s">
        <v>1352</v>
      </c>
    </row>
    <row r="895" spans="1:3" x14ac:dyDescent="0.25">
      <c r="A895" s="36">
        <v>24931553247</v>
      </c>
      <c r="B895" t="s">
        <v>428</v>
      </c>
    </row>
    <row r="896" spans="1:3" x14ac:dyDescent="0.25">
      <c r="A896" s="36">
        <v>20131373091</v>
      </c>
      <c r="B896" t="s">
        <v>1353</v>
      </c>
    </row>
    <row r="897" spans="1:3" x14ac:dyDescent="0.25">
      <c r="A897" s="36">
        <v>27041620086</v>
      </c>
      <c r="B897" t="s">
        <v>1354</v>
      </c>
    </row>
    <row r="898" spans="1:3" x14ac:dyDescent="0.25">
      <c r="A898" s="36">
        <v>23127941</v>
      </c>
      <c r="B898" t="s">
        <v>1355</v>
      </c>
    </row>
    <row r="899" spans="1:3" x14ac:dyDescent="0.25">
      <c r="A899" s="36">
        <v>20167226524</v>
      </c>
      <c r="B899" t="s">
        <v>1356</v>
      </c>
      <c r="C899" s="35" t="s">
        <v>1251</v>
      </c>
    </row>
    <row r="900" spans="1:3" x14ac:dyDescent="0.25">
      <c r="A900" s="36">
        <v>4166381</v>
      </c>
      <c r="B900" t="s">
        <v>1357</v>
      </c>
    </row>
    <row r="901" spans="1:3" x14ac:dyDescent="0.25">
      <c r="A901" s="36">
        <v>10328408</v>
      </c>
      <c r="B901" t="s">
        <v>1358</v>
      </c>
    </row>
    <row r="902" spans="1:3" x14ac:dyDescent="0.25">
      <c r="A902" s="36">
        <v>7827814</v>
      </c>
      <c r="B902" t="s">
        <v>1359</v>
      </c>
    </row>
    <row r="903" spans="1:3" x14ac:dyDescent="0.25">
      <c r="A903" s="36">
        <v>4223930</v>
      </c>
      <c r="B903" t="s">
        <v>1360</v>
      </c>
    </row>
    <row r="904" spans="1:3" x14ac:dyDescent="0.25">
      <c r="A904" s="36">
        <v>8209288</v>
      </c>
      <c r="B904" t="s">
        <v>1361</v>
      </c>
    </row>
    <row r="905" spans="1:3" x14ac:dyDescent="0.25">
      <c r="A905" s="36">
        <v>33649669029</v>
      </c>
      <c r="B905" t="s">
        <v>429</v>
      </c>
    </row>
    <row r="906" spans="1:3" x14ac:dyDescent="0.25">
      <c r="A906" s="36">
        <v>20929018347</v>
      </c>
      <c r="B906" t="s">
        <v>430</v>
      </c>
    </row>
    <row r="907" spans="1:3" x14ac:dyDescent="0.25">
      <c r="A907" s="36">
        <v>20183380231</v>
      </c>
      <c r="B907" t="s">
        <v>431</v>
      </c>
      <c r="C907" s="35" t="s">
        <v>79</v>
      </c>
    </row>
    <row r="908" spans="1:3" x14ac:dyDescent="0.25">
      <c r="A908" s="36">
        <v>20236755526</v>
      </c>
      <c r="B908" t="s">
        <v>432</v>
      </c>
      <c r="C908" s="35" t="s">
        <v>797</v>
      </c>
    </row>
    <row r="909" spans="1:3" x14ac:dyDescent="0.25">
      <c r="A909" s="36">
        <v>20165471491</v>
      </c>
      <c r="B909" t="s">
        <v>433</v>
      </c>
    </row>
    <row r="910" spans="1:3" x14ac:dyDescent="0.25">
      <c r="A910" s="36">
        <v>36622635</v>
      </c>
      <c r="B910" t="s">
        <v>1362</v>
      </c>
    </row>
    <row r="911" spans="1:3" x14ac:dyDescent="0.25">
      <c r="A911" s="36">
        <v>5668032</v>
      </c>
      <c r="B911" t="s">
        <v>1363</v>
      </c>
    </row>
    <row r="912" spans="1:3" x14ac:dyDescent="0.25">
      <c r="A912" s="36">
        <v>20120458753</v>
      </c>
      <c r="B912" t="s">
        <v>1364</v>
      </c>
    </row>
    <row r="913" spans="1:3" x14ac:dyDescent="0.25">
      <c r="A913" s="36">
        <v>30678264969</v>
      </c>
      <c r="B913" t="s">
        <v>434</v>
      </c>
      <c r="C913" s="35" t="s">
        <v>797</v>
      </c>
    </row>
    <row r="914" spans="1:3" x14ac:dyDescent="0.25">
      <c r="A914" s="36">
        <v>30707682279</v>
      </c>
      <c r="B914" t="s">
        <v>435</v>
      </c>
      <c r="C914" s="35" t="s">
        <v>797</v>
      </c>
    </row>
    <row r="915" spans="1:3" x14ac:dyDescent="0.25">
      <c r="A915" s="36">
        <v>30631965284</v>
      </c>
      <c r="B915" t="s">
        <v>436</v>
      </c>
    </row>
    <row r="916" spans="1:3" x14ac:dyDescent="0.25">
      <c r="A916" s="36">
        <v>5401583</v>
      </c>
      <c r="B916" t="s">
        <v>1365</v>
      </c>
    </row>
    <row r="917" spans="1:3" x14ac:dyDescent="0.25">
      <c r="A917" s="36">
        <v>30500805222</v>
      </c>
      <c r="B917" t="s">
        <v>437</v>
      </c>
      <c r="C917" s="35" t="s">
        <v>797</v>
      </c>
    </row>
    <row r="918" spans="1:3" x14ac:dyDescent="0.25">
      <c r="A918" s="36">
        <v>20244271740</v>
      </c>
      <c r="B918" t="s">
        <v>1366</v>
      </c>
    </row>
    <row r="919" spans="1:3" x14ac:dyDescent="0.25">
      <c r="A919" s="36">
        <v>33709050589</v>
      </c>
      <c r="B919" t="s">
        <v>438</v>
      </c>
      <c r="C919" s="35" t="s">
        <v>797</v>
      </c>
    </row>
    <row r="920" spans="1:3" x14ac:dyDescent="0.25">
      <c r="A920" s="36">
        <v>31207521</v>
      </c>
      <c r="B920" t="s">
        <v>1367</v>
      </c>
    </row>
    <row r="921" spans="1:3" x14ac:dyDescent="0.25">
      <c r="A921" s="36">
        <v>20182999661</v>
      </c>
      <c r="B921" t="s">
        <v>1368</v>
      </c>
      <c r="C921" s="35" t="s">
        <v>79</v>
      </c>
    </row>
    <row r="922" spans="1:3" x14ac:dyDescent="0.25">
      <c r="A922" s="36">
        <v>23220104389</v>
      </c>
      <c r="B922" t="s">
        <v>439</v>
      </c>
    </row>
    <row r="923" spans="1:3" x14ac:dyDescent="0.25">
      <c r="A923" s="36">
        <v>27227105998</v>
      </c>
      <c r="B923" t="s">
        <v>1369</v>
      </c>
      <c r="C923" s="35" t="s">
        <v>912</v>
      </c>
    </row>
    <row r="924" spans="1:3" x14ac:dyDescent="0.25">
      <c r="A924" s="36">
        <v>30714185574</v>
      </c>
      <c r="B924" t="s">
        <v>440</v>
      </c>
    </row>
    <row r="925" spans="1:3" x14ac:dyDescent="0.25">
      <c r="A925" s="36">
        <v>4786701</v>
      </c>
      <c r="B925" t="s">
        <v>1370</v>
      </c>
    </row>
    <row r="926" spans="1:3" x14ac:dyDescent="0.25">
      <c r="A926" s="36">
        <v>20924962756</v>
      </c>
      <c r="B926" t="s">
        <v>1371</v>
      </c>
      <c r="C926" s="35" t="s">
        <v>797</v>
      </c>
    </row>
    <row r="927" spans="1:3" x14ac:dyDescent="0.25">
      <c r="A927" s="36">
        <v>30707918914</v>
      </c>
      <c r="B927" t="s">
        <v>441</v>
      </c>
    </row>
    <row r="928" spans="1:3" x14ac:dyDescent="0.25">
      <c r="A928" s="36">
        <v>16145340</v>
      </c>
      <c r="B928" t="s">
        <v>1372</v>
      </c>
    </row>
    <row r="929" spans="1:3" x14ac:dyDescent="0.25">
      <c r="A929" s="36">
        <v>16145340</v>
      </c>
      <c r="B929" t="s">
        <v>1372</v>
      </c>
    </row>
    <row r="930" spans="1:3" x14ac:dyDescent="0.25">
      <c r="A930" s="36">
        <v>23941647804</v>
      </c>
      <c r="B930" t="s">
        <v>1373</v>
      </c>
      <c r="C930" s="35" t="s">
        <v>938</v>
      </c>
    </row>
    <row r="931" spans="1:3" x14ac:dyDescent="0.25">
      <c r="A931" s="36">
        <v>18333297</v>
      </c>
      <c r="B931" t="s">
        <v>1374</v>
      </c>
    </row>
    <row r="932" spans="1:3" x14ac:dyDescent="0.25">
      <c r="A932" s="36">
        <v>14897881</v>
      </c>
      <c r="B932" t="s">
        <v>1375</v>
      </c>
    </row>
    <row r="933" spans="1:3" x14ac:dyDescent="0.25">
      <c r="A933" s="36">
        <v>33531122599</v>
      </c>
      <c r="B933" t="s">
        <v>442</v>
      </c>
      <c r="C933" s="35" t="s">
        <v>79</v>
      </c>
    </row>
    <row r="934" spans="1:3" x14ac:dyDescent="0.25">
      <c r="A934" s="36">
        <v>30716096919</v>
      </c>
      <c r="B934" t="s">
        <v>1376</v>
      </c>
      <c r="C934" s="35" t="s">
        <v>1181</v>
      </c>
    </row>
    <row r="935" spans="1:3" x14ac:dyDescent="0.25">
      <c r="A935" s="36">
        <v>30528587700</v>
      </c>
      <c r="B935" t="s">
        <v>1377</v>
      </c>
      <c r="C935" s="35" t="s">
        <v>797</v>
      </c>
    </row>
    <row r="936" spans="1:3" x14ac:dyDescent="0.25">
      <c r="A936" s="36">
        <v>30645614735</v>
      </c>
      <c r="B936" t="s">
        <v>443</v>
      </c>
    </row>
    <row r="937" spans="1:3" x14ac:dyDescent="0.25">
      <c r="A937" s="36">
        <v>30500051163</v>
      </c>
      <c r="B937" t="s">
        <v>444</v>
      </c>
    </row>
    <row r="938" spans="1:3" x14ac:dyDescent="0.25">
      <c r="A938" s="36">
        <v>30709046779</v>
      </c>
      <c r="B938" t="s">
        <v>1378</v>
      </c>
    </row>
    <row r="939" spans="1:3" x14ac:dyDescent="0.25">
      <c r="A939" s="36">
        <v>27304914071</v>
      </c>
      <c r="B939" t="s">
        <v>1379</v>
      </c>
      <c r="C939" s="35" t="s">
        <v>79</v>
      </c>
    </row>
    <row r="940" spans="1:3" x14ac:dyDescent="0.25">
      <c r="A940" s="36">
        <v>39558870</v>
      </c>
      <c r="B940" t="s">
        <v>1380</v>
      </c>
    </row>
    <row r="941" spans="1:3" x14ac:dyDescent="0.25">
      <c r="A941" s="36">
        <v>30585254297</v>
      </c>
      <c r="B941" t="s">
        <v>445</v>
      </c>
    </row>
    <row r="942" spans="1:3" x14ac:dyDescent="0.25">
      <c r="A942" s="36">
        <v>5914284</v>
      </c>
      <c r="B942" t="s">
        <v>1381</v>
      </c>
    </row>
    <row r="943" spans="1:3" x14ac:dyDescent="0.25">
      <c r="A943" s="36">
        <v>20220423655</v>
      </c>
      <c r="B943" t="s">
        <v>1382</v>
      </c>
      <c r="C943" s="35" t="s">
        <v>797</v>
      </c>
    </row>
    <row r="944" spans="1:3" x14ac:dyDescent="0.25">
      <c r="A944" s="36">
        <v>20220423655</v>
      </c>
      <c r="B944" t="s">
        <v>1382</v>
      </c>
      <c r="C944" s="35" t="s">
        <v>797</v>
      </c>
    </row>
    <row r="945" spans="1:3" x14ac:dyDescent="0.25">
      <c r="A945" s="36">
        <v>20043924312</v>
      </c>
      <c r="B945" t="s">
        <v>446</v>
      </c>
    </row>
    <row r="946" spans="1:3" x14ac:dyDescent="0.25">
      <c r="A946" s="36">
        <v>20121778042</v>
      </c>
      <c r="B946" t="s">
        <v>447</v>
      </c>
    </row>
    <row r="947" spans="1:3" x14ac:dyDescent="0.25">
      <c r="A947" s="36">
        <v>14375903</v>
      </c>
      <c r="B947" t="s">
        <v>1383</v>
      </c>
    </row>
    <row r="948" spans="1:3" x14ac:dyDescent="0.25">
      <c r="A948" s="36">
        <v>27249631413</v>
      </c>
      <c r="B948" t="s">
        <v>448</v>
      </c>
    </row>
    <row r="949" spans="1:3" x14ac:dyDescent="0.25">
      <c r="A949" s="36">
        <v>20393873583</v>
      </c>
      <c r="B949" t="s">
        <v>1384</v>
      </c>
      <c r="C949" s="35" t="s">
        <v>43</v>
      </c>
    </row>
    <row r="950" spans="1:3" x14ac:dyDescent="0.25">
      <c r="A950" s="36">
        <v>20393873583</v>
      </c>
      <c r="B950" t="s">
        <v>1384</v>
      </c>
      <c r="C950" s="35" t="s">
        <v>43</v>
      </c>
    </row>
    <row r="951" spans="1:3" x14ac:dyDescent="0.25">
      <c r="A951" s="36">
        <v>30679107220</v>
      </c>
      <c r="B951" t="s">
        <v>449</v>
      </c>
    </row>
    <row r="952" spans="1:3" x14ac:dyDescent="0.25">
      <c r="A952" s="36">
        <v>22654210</v>
      </c>
      <c r="B952" t="s">
        <v>1385</v>
      </c>
    </row>
    <row r="953" spans="1:3" x14ac:dyDescent="0.25">
      <c r="A953" s="36">
        <v>30709153095</v>
      </c>
      <c r="B953" t="s">
        <v>450</v>
      </c>
      <c r="C953" s="35" t="s">
        <v>797</v>
      </c>
    </row>
    <row r="954" spans="1:3" x14ac:dyDescent="0.25">
      <c r="A954" s="36">
        <v>5123651</v>
      </c>
      <c r="B954" t="s">
        <v>1386</v>
      </c>
    </row>
    <row r="955" spans="1:3" x14ac:dyDescent="0.25">
      <c r="A955" s="36">
        <v>20147452102</v>
      </c>
      <c r="B955" t="s">
        <v>1387</v>
      </c>
    </row>
    <row r="956" spans="1:3" x14ac:dyDescent="0.25">
      <c r="A956" s="36">
        <v>30710374801</v>
      </c>
      <c r="B956" t="s">
        <v>451</v>
      </c>
      <c r="C956" s="35" t="s">
        <v>79</v>
      </c>
    </row>
    <row r="957" spans="1:3" x14ac:dyDescent="0.25">
      <c r="A957" s="36">
        <v>30710386559</v>
      </c>
      <c r="B957" t="s">
        <v>452</v>
      </c>
      <c r="C957" s="35" t="s">
        <v>797</v>
      </c>
    </row>
    <row r="958" spans="1:3" x14ac:dyDescent="0.25">
      <c r="A958" s="36">
        <v>23929701364</v>
      </c>
      <c r="B958" t="s">
        <v>1388</v>
      </c>
    </row>
    <row r="959" spans="1:3" x14ac:dyDescent="0.25">
      <c r="A959" s="36">
        <v>3079881767</v>
      </c>
      <c r="B959" t="s">
        <v>453</v>
      </c>
    </row>
    <row r="960" spans="1:3" x14ac:dyDescent="0.25">
      <c r="A960" s="36">
        <v>29145443</v>
      </c>
      <c r="B960" t="s">
        <v>1389</v>
      </c>
    </row>
    <row r="961" spans="1:3" x14ac:dyDescent="0.25">
      <c r="A961" s="36">
        <v>17657757</v>
      </c>
      <c r="B961" t="s">
        <v>1390</v>
      </c>
    </row>
    <row r="962" spans="1:3" x14ac:dyDescent="0.25">
      <c r="A962" s="36">
        <v>30525468956</v>
      </c>
      <c r="B962" t="s">
        <v>1391</v>
      </c>
    </row>
    <row r="963" spans="1:3" x14ac:dyDescent="0.25">
      <c r="A963" s="36">
        <v>20162031326</v>
      </c>
      <c r="B963" t="s">
        <v>454</v>
      </c>
      <c r="C963" s="35" t="s">
        <v>797</v>
      </c>
    </row>
    <row r="964" spans="1:3" x14ac:dyDescent="0.25">
      <c r="A964" s="36">
        <v>20041802082</v>
      </c>
      <c r="B964" t="s">
        <v>455</v>
      </c>
      <c r="C964" s="35" t="s">
        <v>79</v>
      </c>
    </row>
    <row r="965" spans="1:3" x14ac:dyDescent="0.25">
      <c r="A965" s="36">
        <v>23223377734</v>
      </c>
      <c r="B965" t="s">
        <v>456</v>
      </c>
    </row>
    <row r="966" spans="1:3" x14ac:dyDescent="0.25">
      <c r="A966" s="36">
        <v>4360830</v>
      </c>
      <c r="B966" t="s">
        <v>1392</v>
      </c>
    </row>
    <row r="967" spans="1:3" x14ac:dyDescent="0.25">
      <c r="A967" s="36">
        <v>14851628</v>
      </c>
      <c r="B967" t="s">
        <v>1393</v>
      </c>
    </row>
    <row r="968" spans="1:3" x14ac:dyDescent="0.25">
      <c r="A968" s="36">
        <v>30661041486</v>
      </c>
      <c r="B968" t="s">
        <v>457</v>
      </c>
    </row>
    <row r="969" spans="1:3" x14ac:dyDescent="0.25">
      <c r="A969" s="36">
        <v>10866097</v>
      </c>
      <c r="B969" t="s">
        <v>1394</v>
      </c>
    </row>
    <row r="970" spans="1:3" x14ac:dyDescent="0.25">
      <c r="A970" s="36">
        <v>8085092</v>
      </c>
      <c r="B970" t="s">
        <v>1395</v>
      </c>
    </row>
    <row r="971" spans="1:3" x14ac:dyDescent="0.25">
      <c r="A971" s="36">
        <v>30715723871</v>
      </c>
      <c r="B971" t="s">
        <v>458</v>
      </c>
    </row>
    <row r="972" spans="1:3" x14ac:dyDescent="0.25">
      <c r="A972" s="36">
        <v>20115545397</v>
      </c>
      <c r="B972" t="s">
        <v>459</v>
      </c>
      <c r="C972" s="35" t="s">
        <v>797</v>
      </c>
    </row>
    <row r="973" spans="1:3" x14ac:dyDescent="0.25">
      <c r="A973" s="36">
        <v>30715148958</v>
      </c>
      <c r="B973" t="s">
        <v>460</v>
      </c>
      <c r="C973" s="35" t="s">
        <v>79</v>
      </c>
    </row>
    <row r="974" spans="1:3" x14ac:dyDescent="0.25">
      <c r="A974" s="36">
        <v>30679067431</v>
      </c>
      <c r="B974" t="s">
        <v>461</v>
      </c>
      <c r="C974" s="35" t="s">
        <v>797</v>
      </c>
    </row>
    <row r="975" spans="1:3" x14ac:dyDescent="0.25">
      <c r="A975" s="36">
        <v>12714484</v>
      </c>
      <c r="B975" t="s">
        <v>1396</v>
      </c>
    </row>
    <row r="976" spans="1:3" x14ac:dyDescent="0.25">
      <c r="A976" s="36">
        <v>27062343449</v>
      </c>
      <c r="B976" t="s">
        <v>1397</v>
      </c>
      <c r="C976" s="35" t="s">
        <v>794</v>
      </c>
    </row>
    <row r="977" spans="1:3" x14ac:dyDescent="0.25">
      <c r="A977" s="36">
        <v>23945201304</v>
      </c>
      <c r="B977" t="s">
        <v>1398</v>
      </c>
      <c r="C977" s="35" t="s">
        <v>829</v>
      </c>
    </row>
    <row r="978" spans="1:3" x14ac:dyDescent="0.25">
      <c r="A978" s="36">
        <v>30712019359</v>
      </c>
      <c r="B978" t="s">
        <v>1399</v>
      </c>
      <c r="C978" s="35" t="s">
        <v>1400</v>
      </c>
    </row>
    <row r="979" spans="1:3" x14ac:dyDescent="0.25">
      <c r="A979" s="36">
        <v>20262808557</v>
      </c>
      <c r="B979" t="s">
        <v>462</v>
      </c>
      <c r="C979" s="35" t="s">
        <v>79</v>
      </c>
    </row>
    <row r="980" spans="1:3" x14ac:dyDescent="0.25">
      <c r="A980" s="36">
        <v>27129657710</v>
      </c>
      <c r="B980" t="s">
        <v>463</v>
      </c>
    </row>
    <row r="981" spans="1:3" x14ac:dyDescent="0.25">
      <c r="A981" s="36">
        <v>436052</v>
      </c>
      <c r="B981" t="s">
        <v>1401</v>
      </c>
    </row>
    <row r="982" spans="1:3" x14ac:dyDescent="0.25">
      <c r="A982" s="36">
        <v>30708326794</v>
      </c>
      <c r="B982" t="s">
        <v>464</v>
      </c>
    </row>
    <row r="983" spans="1:3" x14ac:dyDescent="0.25">
      <c r="A983" s="36">
        <v>4098810</v>
      </c>
      <c r="B983" t="s">
        <v>1402</v>
      </c>
    </row>
    <row r="984" spans="1:3" x14ac:dyDescent="0.25">
      <c r="A984" s="36">
        <v>26470407</v>
      </c>
      <c r="B984" t="s">
        <v>1403</v>
      </c>
    </row>
    <row r="985" spans="1:3" x14ac:dyDescent="0.25">
      <c r="A985" s="36">
        <v>30708035633</v>
      </c>
      <c r="B985" t="s">
        <v>465</v>
      </c>
    </row>
    <row r="986" spans="1:3" x14ac:dyDescent="0.25">
      <c r="A986" s="36">
        <v>18827194</v>
      </c>
      <c r="B986" t="s">
        <v>1404</v>
      </c>
    </row>
    <row r="987" spans="1:3" x14ac:dyDescent="0.25">
      <c r="A987" s="36">
        <v>30714647594</v>
      </c>
      <c r="B987" t="s">
        <v>466</v>
      </c>
    </row>
    <row r="988" spans="1:3" x14ac:dyDescent="0.25">
      <c r="A988" s="36">
        <v>30711244383</v>
      </c>
      <c r="B988" t="s">
        <v>1405</v>
      </c>
    </row>
    <row r="989" spans="1:3" x14ac:dyDescent="0.25">
      <c r="A989" s="36">
        <v>22134238</v>
      </c>
      <c r="B989" t="s">
        <v>1406</v>
      </c>
    </row>
    <row r="990" spans="1:3" x14ac:dyDescent="0.25">
      <c r="A990" s="36">
        <v>30710265425</v>
      </c>
      <c r="B990" t="s">
        <v>467</v>
      </c>
    </row>
    <row r="991" spans="1:3" x14ac:dyDescent="0.25">
      <c r="A991" s="36">
        <v>30500833781</v>
      </c>
      <c r="B991" t="s">
        <v>468</v>
      </c>
      <c r="C991" s="35" t="s">
        <v>797</v>
      </c>
    </row>
    <row r="992" spans="1:3" x14ac:dyDescent="0.25">
      <c r="A992" s="36">
        <v>18226662</v>
      </c>
      <c r="B992" t="s">
        <v>1407</v>
      </c>
    </row>
    <row r="993" spans="1:3" x14ac:dyDescent="0.25">
      <c r="A993" s="36">
        <v>4139270</v>
      </c>
      <c r="B993" t="s">
        <v>1408</v>
      </c>
    </row>
    <row r="994" spans="1:3" x14ac:dyDescent="0.25">
      <c r="A994" s="36">
        <v>27345827841</v>
      </c>
      <c r="B994" t="s">
        <v>469</v>
      </c>
      <c r="C994" s="35" t="s">
        <v>797</v>
      </c>
    </row>
    <row r="995" spans="1:3" x14ac:dyDescent="0.25">
      <c r="A995" s="36">
        <v>3322961</v>
      </c>
      <c r="B995" t="s">
        <v>1409</v>
      </c>
    </row>
    <row r="996" spans="1:3" x14ac:dyDescent="0.25">
      <c r="A996" s="36">
        <v>20345836404</v>
      </c>
      <c r="B996" t="s">
        <v>470</v>
      </c>
      <c r="C996" s="35" t="s">
        <v>79</v>
      </c>
    </row>
    <row r="997" spans="1:3" x14ac:dyDescent="0.25">
      <c r="A997" s="36">
        <v>4457124</v>
      </c>
      <c r="B997" t="s">
        <v>1410</v>
      </c>
    </row>
    <row r="998" spans="1:3" x14ac:dyDescent="0.25">
      <c r="A998" s="36">
        <v>26952433</v>
      </c>
      <c r="B998" t="s">
        <v>1411</v>
      </c>
    </row>
    <row r="999" spans="1:3" x14ac:dyDescent="0.25">
      <c r="A999" s="36">
        <v>24583858</v>
      </c>
      <c r="B999" t="s">
        <v>1412</v>
      </c>
    </row>
    <row r="1000" spans="1:3" x14ac:dyDescent="0.25">
      <c r="A1000" s="36">
        <v>614406</v>
      </c>
      <c r="B1000" t="s">
        <v>1413</v>
      </c>
    </row>
    <row r="1001" spans="1:3" x14ac:dyDescent="0.25">
      <c r="A1001" s="36">
        <v>3468671</v>
      </c>
      <c r="B1001" t="s">
        <v>1414</v>
      </c>
    </row>
    <row r="1002" spans="1:3" x14ac:dyDescent="0.25">
      <c r="A1002" s="36">
        <v>2477260</v>
      </c>
      <c r="B1002" t="s">
        <v>1415</v>
      </c>
    </row>
    <row r="1003" spans="1:3" x14ac:dyDescent="0.25">
      <c r="A1003" s="36">
        <v>1270950</v>
      </c>
      <c r="B1003" t="s">
        <v>1416</v>
      </c>
    </row>
    <row r="1004" spans="1:3" x14ac:dyDescent="0.25">
      <c r="A1004" s="36">
        <v>1270950</v>
      </c>
      <c r="B1004" t="s">
        <v>1416</v>
      </c>
    </row>
    <row r="1005" spans="1:3" x14ac:dyDescent="0.25">
      <c r="A1005" s="36">
        <v>13904217</v>
      </c>
      <c r="B1005" t="s">
        <v>1417</v>
      </c>
    </row>
    <row r="1006" spans="1:3" x14ac:dyDescent="0.25">
      <c r="A1006" s="36">
        <v>4138829</v>
      </c>
      <c r="B1006" t="s">
        <v>1418</v>
      </c>
    </row>
    <row r="1007" spans="1:3" x14ac:dyDescent="0.25">
      <c r="A1007" s="36">
        <v>20392383</v>
      </c>
      <c r="B1007" t="s">
        <v>1419</v>
      </c>
    </row>
    <row r="1008" spans="1:3" x14ac:dyDescent="0.25">
      <c r="A1008" s="36">
        <v>20932821851</v>
      </c>
      <c r="B1008" t="s">
        <v>471</v>
      </c>
      <c r="C1008" s="35" t="s">
        <v>79</v>
      </c>
    </row>
    <row r="1009" spans="1:3" x14ac:dyDescent="0.25">
      <c r="A1009" s="36">
        <v>18604400</v>
      </c>
      <c r="B1009" t="s">
        <v>1420</v>
      </c>
    </row>
    <row r="1010" spans="1:3" x14ac:dyDescent="0.25">
      <c r="A1010" s="36">
        <v>18604400</v>
      </c>
      <c r="B1010" t="s">
        <v>1420</v>
      </c>
    </row>
    <row r="1011" spans="1:3" x14ac:dyDescent="0.25">
      <c r="A1011" s="36">
        <v>30712448586</v>
      </c>
      <c r="B1011" t="s">
        <v>1421</v>
      </c>
      <c r="C1011" s="35" t="s">
        <v>912</v>
      </c>
    </row>
    <row r="1012" spans="1:3" x14ac:dyDescent="0.25">
      <c r="A1012" s="36">
        <v>34558213</v>
      </c>
      <c r="B1012" t="s">
        <v>1422</v>
      </c>
    </row>
    <row r="1013" spans="1:3" x14ac:dyDescent="0.25">
      <c r="A1013" s="36">
        <v>410593</v>
      </c>
      <c r="B1013" t="s">
        <v>1423</v>
      </c>
    </row>
    <row r="1014" spans="1:3" x14ac:dyDescent="0.25">
      <c r="A1014" s="36">
        <v>23084885029</v>
      </c>
      <c r="B1014" t="s">
        <v>472</v>
      </c>
    </row>
    <row r="1015" spans="1:3" x14ac:dyDescent="0.25">
      <c r="A1015" s="36">
        <v>30711561494</v>
      </c>
      <c r="B1015" t="s">
        <v>473</v>
      </c>
      <c r="C1015" s="35" t="s">
        <v>79</v>
      </c>
    </row>
    <row r="1016" spans="1:3" x14ac:dyDescent="0.25">
      <c r="A1016" s="36">
        <v>26737427</v>
      </c>
      <c r="B1016" t="s">
        <v>1424</v>
      </c>
    </row>
    <row r="1017" spans="1:3" x14ac:dyDescent="0.25">
      <c r="A1017" s="36">
        <v>18079051</v>
      </c>
      <c r="B1017" t="s">
        <v>1425</v>
      </c>
    </row>
    <row r="1018" spans="1:3" x14ac:dyDescent="0.25">
      <c r="A1018" s="36">
        <v>13410087</v>
      </c>
      <c r="B1018" t="s">
        <v>1426</v>
      </c>
    </row>
    <row r="1019" spans="1:3" x14ac:dyDescent="0.25">
      <c r="A1019" s="36">
        <v>27385671526</v>
      </c>
      <c r="B1019" t="s">
        <v>1427</v>
      </c>
      <c r="C1019" s="35" t="s">
        <v>1428</v>
      </c>
    </row>
    <row r="1020" spans="1:3" x14ac:dyDescent="0.25">
      <c r="A1020" s="36">
        <v>30651861299</v>
      </c>
      <c r="B1020" t="s">
        <v>474</v>
      </c>
      <c r="C1020" s="35" t="s">
        <v>797</v>
      </c>
    </row>
    <row r="1021" spans="1:3" x14ac:dyDescent="0.25">
      <c r="A1021" s="36">
        <v>5111618</v>
      </c>
      <c r="B1021" t="s">
        <v>1429</v>
      </c>
    </row>
    <row r="1022" spans="1:3" x14ac:dyDescent="0.25">
      <c r="A1022" s="36">
        <v>30715589032</v>
      </c>
      <c r="B1022" t="s">
        <v>1430</v>
      </c>
      <c r="C1022" s="35" t="s">
        <v>1431</v>
      </c>
    </row>
    <row r="1023" spans="1:3" x14ac:dyDescent="0.25">
      <c r="A1023" s="36">
        <v>26886990</v>
      </c>
      <c r="B1023" t="s">
        <v>1432</v>
      </c>
    </row>
    <row r="1024" spans="1:3" x14ac:dyDescent="0.25">
      <c r="A1024" s="36">
        <v>4400588</v>
      </c>
      <c r="B1024" t="s">
        <v>1433</v>
      </c>
    </row>
    <row r="1025" spans="1:3" x14ac:dyDescent="0.25">
      <c r="A1025" s="36">
        <v>20136601025</v>
      </c>
      <c r="B1025" t="s">
        <v>1434</v>
      </c>
      <c r="C1025" s="35" t="s">
        <v>79</v>
      </c>
    </row>
    <row r="1026" spans="1:3" x14ac:dyDescent="0.25">
      <c r="A1026" s="36">
        <v>20075907320</v>
      </c>
      <c r="B1026" t="s">
        <v>1435</v>
      </c>
    </row>
    <row r="1027" spans="1:3" x14ac:dyDescent="0.25">
      <c r="A1027" s="36">
        <v>17244648</v>
      </c>
      <c r="B1027" t="s">
        <v>1436</v>
      </c>
    </row>
    <row r="1028" spans="1:3" x14ac:dyDescent="0.25">
      <c r="A1028" s="36">
        <v>17244648</v>
      </c>
      <c r="B1028" t="s">
        <v>1436</v>
      </c>
    </row>
    <row r="1029" spans="1:3" x14ac:dyDescent="0.25">
      <c r="A1029" s="36">
        <v>30589621499</v>
      </c>
      <c r="B1029" t="s">
        <v>98</v>
      </c>
    </row>
    <row r="1030" spans="1:3" x14ac:dyDescent="0.25">
      <c r="A1030" s="36">
        <v>27119876171</v>
      </c>
      <c r="B1030" t="s">
        <v>1437</v>
      </c>
      <c r="C1030" s="35" t="s">
        <v>811</v>
      </c>
    </row>
    <row r="1031" spans="1:3" x14ac:dyDescent="0.25">
      <c r="A1031" s="36">
        <v>27119876171</v>
      </c>
      <c r="B1031" t="s">
        <v>1437</v>
      </c>
      <c r="C1031" s="35" t="s">
        <v>811</v>
      </c>
    </row>
    <row r="1032" spans="1:3" x14ac:dyDescent="0.25">
      <c r="A1032" s="36">
        <v>27119876171</v>
      </c>
      <c r="B1032" t="s">
        <v>1437</v>
      </c>
    </row>
    <row r="1033" spans="1:3" x14ac:dyDescent="0.25">
      <c r="A1033" s="36">
        <v>20120338529</v>
      </c>
      <c r="B1033" t="s">
        <v>475</v>
      </c>
    </row>
    <row r="1034" spans="1:3" x14ac:dyDescent="0.25">
      <c r="A1034" s="36">
        <v>21763167</v>
      </c>
      <c r="B1034" t="s">
        <v>1438</v>
      </c>
    </row>
    <row r="1035" spans="1:3" x14ac:dyDescent="0.25">
      <c r="A1035" s="36">
        <v>4256958</v>
      </c>
      <c r="B1035" t="s">
        <v>1439</v>
      </c>
    </row>
    <row r="1036" spans="1:3" x14ac:dyDescent="0.25">
      <c r="A1036" s="36">
        <v>4247886</v>
      </c>
      <c r="B1036" t="s">
        <v>1439</v>
      </c>
    </row>
    <row r="1037" spans="1:3" x14ac:dyDescent="0.25">
      <c r="A1037" s="36">
        <v>18654119</v>
      </c>
      <c r="B1037" t="s">
        <v>1440</v>
      </c>
    </row>
    <row r="1038" spans="1:3" x14ac:dyDescent="0.25">
      <c r="A1038" s="36">
        <v>22532575</v>
      </c>
      <c r="B1038" t="s">
        <v>1441</v>
      </c>
    </row>
    <row r="1039" spans="1:3" x14ac:dyDescent="0.25">
      <c r="A1039" s="36">
        <v>20638954</v>
      </c>
      <c r="B1039" t="s">
        <v>1442</v>
      </c>
    </row>
    <row r="1040" spans="1:3" x14ac:dyDescent="0.25">
      <c r="A1040" s="36">
        <v>20607782</v>
      </c>
      <c r="B1040" t="s">
        <v>1443</v>
      </c>
    </row>
    <row r="1041" spans="1:3" x14ac:dyDescent="0.25">
      <c r="A1041" s="36">
        <v>17983027</v>
      </c>
      <c r="B1041" t="s">
        <v>1444</v>
      </c>
    </row>
    <row r="1042" spans="1:3" x14ac:dyDescent="0.25">
      <c r="A1042" s="36">
        <v>20182873277</v>
      </c>
      <c r="B1042" t="s">
        <v>476</v>
      </c>
      <c r="C1042" s="35" t="s">
        <v>797</v>
      </c>
    </row>
    <row r="1043" spans="1:3" x14ac:dyDescent="0.25">
      <c r="A1043" s="36">
        <v>20044258898</v>
      </c>
      <c r="B1043" t="s">
        <v>477</v>
      </c>
    </row>
    <row r="1044" spans="1:3" x14ac:dyDescent="0.25">
      <c r="A1044" s="36">
        <v>30714579920</v>
      </c>
      <c r="B1044" t="s">
        <v>1445</v>
      </c>
      <c r="C1044" s="35" t="s">
        <v>79</v>
      </c>
    </row>
    <row r="1045" spans="1:3" x14ac:dyDescent="0.25">
      <c r="A1045" s="36">
        <v>27251466756</v>
      </c>
      <c r="B1045" t="s">
        <v>1446</v>
      </c>
      <c r="C1045" s="35" t="s">
        <v>798</v>
      </c>
    </row>
    <row r="1046" spans="1:3" x14ac:dyDescent="0.25">
      <c r="A1046" s="36">
        <v>93554866</v>
      </c>
      <c r="B1046" t="s">
        <v>1447</v>
      </c>
    </row>
    <row r="1047" spans="1:3" x14ac:dyDescent="0.25">
      <c r="A1047" s="36">
        <v>93554866</v>
      </c>
      <c r="B1047" t="s">
        <v>1447</v>
      </c>
    </row>
    <row r="1048" spans="1:3" x14ac:dyDescent="0.25">
      <c r="A1048" s="36">
        <v>25572827</v>
      </c>
      <c r="B1048" t="s">
        <v>1448</v>
      </c>
    </row>
    <row r="1049" spans="1:3" x14ac:dyDescent="0.25">
      <c r="A1049" s="36">
        <v>27101420391</v>
      </c>
      <c r="B1049" t="s">
        <v>478</v>
      </c>
      <c r="C1049" s="35" t="s">
        <v>797</v>
      </c>
    </row>
    <row r="1050" spans="1:3" x14ac:dyDescent="0.25">
      <c r="A1050" s="36">
        <v>38359093</v>
      </c>
      <c r="B1050" t="s">
        <v>1449</v>
      </c>
    </row>
    <row r="1051" spans="1:3" x14ac:dyDescent="0.25">
      <c r="A1051" s="36">
        <v>36803648</v>
      </c>
      <c r="B1051" t="s">
        <v>1450</v>
      </c>
    </row>
    <row r="1052" spans="1:3" x14ac:dyDescent="0.25">
      <c r="A1052" s="36">
        <v>26943029</v>
      </c>
      <c r="B1052" t="s">
        <v>1451</v>
      </c>
    </row>
    <row r="1053" spans="1:3" x14ac:dyDescent="0.25">
      <c r="A1053" s="36">
        <v>27228778937</v>
      </c>
      <c r="B1053" t="s">
        <v>479</v>
      </c>
    </row>
    <row r="1054" spans="1:3" x14ac:dyDescent="0.25">
      <c r="A1054" s="36">
        <v>27228778937</v>
      </c>
      <c r="B1054" t="s">
        <v>479</v>
      </c>
    </row>
    <row r="1055" spans="1:3" x14ac:dyDescent="0.25">
      <c r="A1055" s="36">
        <v>27228778937</v>
      </c>
      <c r="B1055" t="s">
        <v>1452</v>
      </c>
      <c r="C1055" s="35" t="s">
        <v>797</v>
      </c>
    </row>
    <row r="1056" spans="1:3" x14ac:dyDescent="0.25">
      <c r="A1056" s="36">
        <v>27228778937</v>
      </c>
      <c r="B1056" t="s">
        <v>1452</v>
      </c>
      <c r="C1056" s="35" t="s">
        <v>797</v>
      </c>
    </row>
    <row r="1057" spans="1:3" x14ac:dyDescent="0.25">
      <c r="A1057" s="36">
        <v>4828820</v>
      </c>
      <c r="B1057" t="s">
        <v>1453</v>
      </c>
    </row>
    <row r="1058" spans="1:3" x14ac:dyDescent="0.25">
      <c r="A1058" s="36">
        <v>36727158</v>
      </c>
      <c r="B1058" t="s">
        <v>1454</v>
      </c>
    </row>
    <row r="1059" spans="1:3" x14ac:dyDescent="0.25">
      <c r="A1059" s="36">
        <v>20202134700</v>
      </c>
      <c r="B1059" t="s">
        <v>480</v>
      </c>
      <c r="C1059" s="35" t="s">
        <v>849</v>
      </c>
    </row>
    <row r="1060" spans="1:3" x14ac:dyDescent="0.25">
      <c r="A1060" s="36">
        <v>20202134700</v>
      </c>
      <c r="B1060" t="s">
        <v>480</v>
      </c>
      <c r="C1060" s="35" t="s">
        <v>849</v>
      </c>
    </row>
    <row r="1061" spans="1:3" x14ac:dyDescent="0.25">
      <c r="A1061" s="36">
        <v>20202134700</v>
      </c>
      <c r="B1061" t="s">
        <v>480</v>
      </c>
    </row>
    <row r="1062" spans="1:3" x14ac:dyDescent="0.25">
      <c r="A1062" s="36">
        <v>20044447437</v>
      </c>
      <c r="B1062" t="s">
        <v>481</v>
      </c>
      <c r="C1062" s="35" t="s">
        <v>797</v>
      </c>
    </row>
    <row r="1063" spans="1:3" x14ac:dyDescent="0.25">
      <c r="A1063" s="36">
        <v>30707963065</v>
      </c>
      <c r="B1063" t="s">
        <v>482</v>
      </c>
    </row>
    <row r="1064" spans="1:3" x14ac:dyDescent="0.25">
      <c r="A1064" s="36">
        <v>30715009826</v>
      </c>
      <c r="B1064" t="s">
        <v>483</v>
      </c>
    </row>
    <row r="1065" spans="1:3" x14ac:dyDescent="0.25">
      <c r="A1065" s="36">
        <v>116755922</v>
      </c>
      <c r="B1065" t="s">
        <v>1455</v>
      </c>
    </row>
    <row r="1066" spans="1:3" x14ac:dyDescent="0.25">
      <c r="A1066" s="36">
        <v>4417714</v>
      </c>
      <c r="B1066" t="s">
        <v>1456</v>
      </c>
    </row>
    <row r="1067" spans="1:3" x14ac:dyDescent="0.25">
      <c r="A1067" s="36">
        <v>14247119</v>
      </c>
      <c r="B1067" t="s">
        <v>1457</v>
      </c>
    </row>
    <row r="1068" spans="1:3" x14ac:dyDescent="0.25">
      <c r="A1068" s="36">
        <v>11598698</v>
      </c>
      <c r="B1068" t="s">
        <v>1458</v>
      </c>
    </row>
    <row r="1069" spans="1:3" x14ac:dyDescent="0.25">
      <c r="A1069" s="36">
        <v>92523209</v>
      </c>
      <c r="B1069" t="s">
        <v>1459</v>
      </c>
    </row>
    <row r="1070" spans="1:3" x14ac:dyDescent="0.25">
      <c r="A1070" s="36">
        <v>30568557464</v>
      </c>
      <c r="B1070" t="s">
        <v>484</v>
      </c>
    </row>
    <row r="1071" spans="1:3" x14ac:dyDescent="0.25">
      <c r="A1071" s="36">
        <v>4159809</v>
      </c>
      <c r="B1071" t="s">
        <v>1460</v>
      </c>
    </row>
    <row r="1072" spans="1:3" x14ac:dyDescent="0.25">
      <c r="A1072" s="36">
        <v>17856584</v>
      </c>
      <c r="B1072" t="s">
        <v>1461</v>
      </c>
    </row>
    <row r="1073" spans="1:3" x14ac:dyDescent="0.25">
      <c r="A1073" s="36">
        <v>31494409</v>
      </c>
      <c r="B1073" t="s">
        <v>1462</v>
      </c>
    </row>
    <row r="1074" spans="1:3" x14ac:dyDescent="0.25">
      <c r="A1074" s="36">
        <v>3696852</v>
      </c>
      <c r="B1074" t="s">
        <v>1463</v>
      </c>
    </row>
    <row r="1075" spans="1:3" x14ac:dyDescent="0.25">
      <c r="A1075" s="36">
        <v>30436798</v>
      </c>
      <c r="B1075" t="s">
        <v>1464</v>
      </c>
    </row>
    <row r="1076" spans="1:3" x14ac:dyDescent="0.25">
      <c r="A1076" s="36">
        <v>26836051</v>
      </c>
      <c r="B1076" t="s">
        <v>1465</v>
      </c>
    </row>
    <row r="1077" spans="1:3" x14ac:dyDescent="0.25">
      <c r="A1077" s="36">
        <v>10022314</v>
      </c>
      <c r="B1077" t="s">
        <v>1466</v>
      </c>
    </row>
    <row r="1078" spans="1:3" x14ac:dyDescent="0.25">
      <c r="A1078" s="36">
        <v>34597872</v>
      </c>
      <c r="B1078" t="s">
        <v>1467</v>
      </c>
    </row>
    <row r="1079" spans="1:3" x14ac:dyDescent="0.25">
      <c r="A1079" s="36">
        <v>34597872</v>
      </c>
      <c r="B1079" t="s">
        <v>1467</v>
      </c>
    </row>
    <row r="1080" spans="1:3" x14ac:dyDescent="0.25">
      <c r="A1080" s="36">
        <v>22909573</v>
      </c>
      <c r="B1080" t="s">
        <v>1468</v>
      </c>
    </row>
    <row r="1081" spans="1:3" x14ac:dyDescent="0.25">
      <c r="A1081" s="36">
        <v>20217165114</v>
      </c>
      <c r="B1081" t="s">
        <v>485</v>
      </c>
      <c r="C1081" s="35" t="s">
        <v>44</v>
      </c>
    </row>
    <row r="1082" spans="1:3" x14ac:dyDescent="0.25">
      <c r="A1082" s="36">
        <v>4543396</v>
      </c>
      <c r="B1082" t="s">
        <v>1469</v>
      </c>
    </row>
    <row r="1083" spans="1:3" x14ac:dyDescent="0.25">
      <c r="A1083" s="36">
        <v>28079829</v>
      </c>
      <c r="B1083" t="s">
        <v>1470</v>
      </c>
    </row>
    <row r="1084" spans="1:3" x14ac:dyDescent="0.25">
      <c r="A1084" s="36">
        <v>29091370</v>
      </c>
      <c r="B1084" t="s">
        <v>1471</v>
      </c>
    </row>
    <row r="1085" spans="1:3" x14ac:dyDescent="0.25">
      <c r="A1085" s="36">
        <v>20249160</v>
      </c>
      <c r="B1085" t="s">
        <v>1472</v>
      </c>
    </row>
    <row r="1086" spans="1:3" x14ac:dyDescent="0.25">
      <c r="A1086" s="36">
        <v>5574861</v>
      </c>
      <c r="B1086" t="s">
        <v>1473</v>
      </c>
    </row>
    <row r="1087" spans="1:3" x14ac:dyDescent="0.25">
      <c r="A1087" s="36">
        <v>27232408737</v>
      </c>
      <c r="B1087" t="s">
        <v>1474</v>
      </c>
      <c r="C1087" s="35" t="s">
        <v>912</v>
      </c>
    </row>
    <row r="1088" spans="1:3" x14ac:dyDescent="0.25">
      <c r="A1088" s="36">
        <v>30705740670</v>
      </c>
      <c r="B1088" t="s">
        <v>1475</v>
      </c>
      <c r="C1088" s="35" t="s">
        <v>44</v>
      </c>
    </row>
    <row r="1089" spans="1:3" x14ac:dyDescent="0.25">
      <c r="A1089" s="36">
        <v>30715618016</v>
      </c>
      <c r="B1089" t="s">
        <v>1476</v>
      </c>
    </row>
    <row r="1090" spans="1:3" x14ac:dyDescent="0.25">
      <c r="A1090" s="36">
        <v>25865824</v>
      </c>
      <c r="B1090" t="s">
        <v>1477</v>
      </c>
    </row>
    <row r="1091" spans="1:3" x14ac:dyDescent="0.25">
      <c r="A1091" s="36">
        <v>30612865333</v>
      </c>
      <c r="B1091" t="s">
        <v>486</v>
      </c>
    </row>
    <row r="1092" spans="1:3" x14ac:dyDescent="0.25">
      <c r="A1092" s="36">
        <v>51221785</v>
      </c>
      <c r="B1092" t="s">
        <v>1478</v>
      </c>
    </row>
    <row r="1093" spans="1:3" x14ac:dyDescent="0.25">
      <c r="A1093" s="36">
        <v>30709982326</v>
      </c>
      <c r="B1093" t="s">
        <v>487</v>
      </c>
    </row>
    <row r="1094" spans="1:3" x14ac:dyDescent="0.25">
      <c r="A1094" s="36">
        <v>30707518541</v>
      </c>
      <c r="B1094" t="s">
        <v>488</v>
      </c>
    </row>
    <row r="1095" spans="1:3" x14ac:dyDescent="0.25">
      <c r="A1095" s="36">
        <v>30711731217</v>
      </c>
      <c r="B1095" t="s">
        <v>489</v>
      </c>
      <c r="C1095" s="35" t="s">
        <v>794</v>
      </c>
    </row>
    <row r="1096" spans="1:3" x14ac:dyDescent="0.25">
      <c r="A1096" s="36">
        <v>20131581298</v>
      </c>
      <c r="B1096" t="s">
        <v>490</v>
      </c>
      <c r="C1096" s="35" t="s">
        <v>79</v>
      </c>
    </row>
    <row r="1097" spans="1:3" x14ac:dyDescent="0.25">
      <c r="A1097" s="36">
        <v>30715672290</v>
      </c>
      <c r="B1097" t="s">
        <v>491</v>
      </c>
      <c r="C1097" s="35" t="s">
        <v>797</v>
      </c>
    </row>
    <row r="1098" spans="1:3" x14ac:dyDescent="0.25">
      <c r="A1098" s="36">
        <v>30707042679</v>
      </c>
      <c r="B1098" t="s">
        <v>492</v>
      </c>
      <c r="C1098" s="35" t="s">
        <v>797</v>
      </c>
    </row>
    <row r="1099" spans="1:3" x14ac:dyDescent="0.25">
      <c r="A1099" s="36">
        <v>30707042679</v>
      </c>
      <c r="B1099" t="s">
        <v>492</v>
      </c>
      <c r="C1099" s="35" t="s">
        <v>797</v>
      </c>
    </row>
    <row r="1100" spans="1:3" x14ac:dyDescent="0.25">
      <c r="A1100" s="36">
        <v>30707042679</v>
      </c>
      <c r="B1100" t="s">
        <v>492</v>
      </c>
      <c r="C1100" s="35" t="s">
        <v>797</v>
      </c>
    </row>
    <row r="1101" spans="1:3" x14ac:dyDescent="0.25">
      <c r="A1101" s="36">
        <v>30710912579</v>
      </c>
      <c r="B1101" t="s">
        <v>1479</v>
      </c>
      <c r="C1101" s="35" t="s">
        <v>829</v>
      </c>
    </row>
    <row r="1102" spans="1:3" x14ac:dyDescent="0.25">
      <c r="A1102" s="36">
        <v>30546771314</v>
      </c>
      <c r="B1102" t="s">
        <v>493</v>
      </c>
    </row>
    <row r="1103" spans="1:3" x14ac:dyDescent="0.25">
      <c r="A1103" s="36">
        <v>30546771314</v>
      </c>
      <c r="B1103" t="s">
        <v>1480</v>
      </c>
      <c r="C1103" s="35" t="s">
        <v>811</v>
      </c>
    </row>
    <row r="1104" spans="1:3" x14ac:dyDescent="0.25">
      <c r="A1104" s="36">
        <v>30546771314</v>
      </c>
      <c r="B1104" t="s">
        <v>1480</v>
      </c>
      <c r="C1104" s="35" t="s">
        <v>811</v>
      </c>
    </row>
    <row r="1105" spans="1:3" x14ac:dyDescent="0.25">
      <c r="A1105" s="36">
        <v>20229907523</v>
      </c>
      <c r="B1105" t="s">
        <v>494</v>
      </c>
    </row>
    <row r="1106" spans="1:3" x14ac:dyDescent="0.25">
      <c r="A1106" s="36">
        <v>42930825</v>
      </c>
      <c r="B1106" t="s">
        <v>1481</v>
      </c>
    </row>
    <row r="1107" spans="1:3" x14ac:dyDescent="0.25">
      <c r="A1107" s="36">
        <v>30713669004</v>
      </c>
      <c r="B1107" t="s">
        <v>1482</v>
      </c>
    </row>
    <row r="1108" spans="1:3" x14ac:dyDescent="0.25">
      <c r="A1108" s="36">
        <v>4059947</v>
      </c>
      <c r="B1108" t="s">
        <v>1483</v>
      </c>
    </row>
    <row r="1109" spans="1:3" x14ac:dyDescent="0.25">
      <c r="A1109" s="36">
        <v>30714352535</v>
      </c>
      <c r="B1109" t="s">
        <v>495</v>
      </c>
    </row>
    <row r="1110" spans="1:3" x14ac:dyDescent="0.25">
      <c r="A1110" s="36">
        <v>30709319929</v>
      </c>
      <c r="B1110" t="s">
        <v>99</v>
      </c>
    </row>
    <row r="1111" spans="1:3" x14ac:dyDescent="0.25">
      <c r="A1111" s="36">
        <v>20077901370</v>
      </c>
      <c r="B1111" t="s">
        <v>496</v>
      </c>
      <c r="C1111" s="35" t="s">
        <v>797</v>
      </c>
    </row>
    <row r="1112" spans="1:3" x14ac:dyDescent="0.25">
      <c r="A1112" s="36">
        <v>30712800700</v>
      </c>
      <c r="B1112" t="s">
        <v>497</v>
      </c>
    </row>
    <row r="1113" spans="1:3" x14ac:dyDescent="0.25">
      <c r="A1113" s="36">
        <v>30715686054</v>
      </c>
      <c r="B1113" t="s">
        <v>498</v>
      </c>
    </row>
    <row r="1114" spans="1:3" x14ac:dyDescent="0.25">
      <c r="A1114" s="36">
        <v>30710816049</v>
      </c>
      <c r="B1114" t="s">
        <v>499</v>
      </c>
      <c r="C1114" s="35" t="s">
        <v>797</v>
      </c>
    </row>
    <row r="1115" spans="1:3" x14ac:dyDescent="0.25">
      <c r="A1115" s="36">
        <v>30710816049</v>
      </c>
      <c r="B1115" t="s">
        <v>499</v>
      </c>
      <c r="C1115" s="35" t="s">
        <v>797</v>
      </c>
    </row>
    <row r="1116" spans="1:3" x14ac:dyDescent="0.25">
      <c r="A1116" s="36">
        <v>30710816049</v>
      </c>
      <c r="B1116" t="s">
        <v>499</v>
      </c>
      <c r="C1116" s="35" t="s">
        <v>797</v>
      </c>
    </row>
    <row r="1117" spans="1:3" x14ac:dyDescent="0.25">
      <c r="A1117" s="36">
        <v>27119872311</v>
      </c>
      <c r="B1117" t="s">
        <v>500</v>
      </c>
    </row>
    <row r="1118" spans="1:3" x14ac:dyDescent="0.25">
      <c r="A1118" s="36">
        <v>94313295</v>
      </c>
      <c r="B1118" t="s">
        <v>1484</v>
      </c>
    </row>
    <row r="1119" spans="1:3" x14ac:dyDescent="0.25">
      <c r="A1119" s="36">
        <v>27144787019</v>
      </c>
      <c r="B1119" t="s">
        <v>501</v>
      </c>
    </row>
    <row r="1120" spans="1:3" x14ac:dyDescent="0.25">
      <c r="A1120" s="36">
        <v>27203051234</v>
      </c>
      <c r="B1120" t="s">
        <v>1485</v>
      </c>
    </row>
    <row r="1121" spans="1:3" x14ac:dyDescent="0.25">
      <c r="A1121" s="36">
        <v>8533265</v>
      </c>
      <c r="B1121" t="s">
        <v>1486</v>
      </c>
    </row>
    <row r="1122" spans="1:3" x14ac:dyDescent="0.25">
      <c r="A1122" s="36">
        <v>10398058</v>
      </c>
      <c r="B1122" t="s">
        <v>1487</v>
      </c>
    </row>
    <row r="1123" spans="1:3" x14ac:dyDescent="0.25">
      <c r="A1123" s="36">
        <v>20117741398</v>
      </c>
      <c r="B1123" t="s">
        <v>502</v>
      </c>
    </row>
    <row r="1124" spans="1:3" x14ac:dyDescent="0.25">
      <c r="A1124" s="36">
        <v>30707661492</v>
      </c>
      <c r="B1124" t="s">
        <v>503</v>
      </c>
    </row>
    <row r="1125" spans="1:3" x14ac:dyDescent="0.25">
      <c r="A1125" s="36">
        <v>30703088534</v>
      </c>
      <c r="B1125" t="s">
        <v>504</v>
      </c>
      <c r="C1125" s="35" t="s">
        <v>1488</v>
      </c>
    </row>
    <row r="1126" spans="1:3" x14ac:dyDescent="0.25">
      <c r="A1126" s="36">
        <v>30716425165</v>
      </c>
      <c r="B1126" t="s">
        <v>1489</v>
      </c>
      <c r="C1126" s="35" t="s">
        <v>912</v>
      </c>
    </row>
    <row r="1127" spans="1:3" x14ac:dyDescent="0.25">
      <c r="A1127" s="36">
        <v>31846511</v>
      </c>
      <c r="B1127" t="s">
        <v>1490</v>
      </c>
    </row>
    <row r="1128" spans="1:3" x14ac:dyDescent="0.25">
      <c r="A1128" s="36">
        <v>6409020</v>
      </c>
      <c r="B1128" t="s">
        <v>1491</v>
      </c>
    </row>
    <row r="1129" spans="1:3" x14ac:dyDescent="0.25">
      <c r="A1129" s="36">
        <v>20142287839</v>
      </c>
      <c r="B1129" t="s">
        <v>1492</v>
      </c>
    </row>
    <row r="1130" spans="1:3" x14ac:dyDescent="0.25">
      <c r="A1130" s="36">
        <v>30679139122</v>
      </c>
      <c r="B1130" t="s">
        <v>505</v>
      </c>
      <c r="C1130" s="35" t="s">
        <v>797</v>
      </c>
    </row>
    <row r="1131" spans="1:3" x14ac:dyDescent="0.25">
      <c r="A1131" s="36">
        <v>40871852</v>
      </c>
      <c r="B1131" t="s">
        <v>1493</v>
      </c>
    </row>
    <row r="1132" spans="1:3" x14ac:dyDescent="0.25">
      <c r="A1132" s="36">
        <v>30549180783</v>
      </c>
      <c r="B1132" t="s">
        <v>506</v>
      </c>
    </row>
    <row r="1133" spans="1:3" x14ac:dyDescent="0.25">
      <c r="A1133" s="36">
        <v>30520045798</v>
      </c>
      <c r="B1133" t="s">
        <v>507</v>
      </c>
    </row>
    <row r="1134" spans="1:3" x14ac:dyDescent="0.25">
      <c r="A1134" s="36">
        <v>30711350213</v>
      </c>
      <c r="B1134" t="s">
        <v>1494</v>
      </c>
      <c r="C1134" s="35" t="s">
        <v>797</v>
      </c>
    </row>
    <row r="1135" spans="1:3" x14ac:dyDescent="0.25">
      <c r="A1135" s="36">
        <v>30709016012</v>
      </c>
      <c r="B1135" t="s">
        <v>508</v>
      </c>
    </row>
    <row r="1136" spans="1:3" x14ac:dyDescent="0.25">
      <c r="A1136" s="36">
        <v>30709016012</v>
      </c>
      <c r="B1136" t="s">
        <v>1495</v>
      </c>
      <c r="C1136" s="35" t="s">
        <v>811</v>
      </c>
    </row>
    <row r="1137" spans="1:3" x14ac:dyDescent="0.25">
      <c r="A1137" s="36">
        <v>30709016012</v>
      </c>
      <c r="B1137" t="s">
        <v>1495</v>
      </c>
      <c r="C1137" s="35" t="s">
        <v>811</v>
      </c>
    </row>
    <row r="1138" spans="1:3" x14ac:dyDescent="0.25">
      <c r="A1138" s="36">
        <v>30708469986</v>
      </c>
      <c r="B1138" t="s">
        <v>509</v>
      </c>
      <c r="C1138" s="35" t="s">
        <v>797</v>
      </c>
    </row>
    <row r="1139" spans="1:3" x14ac:dyDescent="0.25">
      <c r="A1139" s="36">
        <v>20317488476</v>
      </c>
      <c r="B1139" t="s">
        <v>1496</v>
      </c>
      <c r="C1139" s="35" t="s">
        <v>1135</v>
      </c>
    </row>
    <row r="1140" spans="1:3" x14ac:dyDescent="0.25">
      <c r="A1140" s="36">
        <v>20317488476</v>
      </c>
      <c r="B1140" t="s">
        <v>1496</v>
      </c>
      <c r="C1140" s="35" t="s">
        <v>1135</v>
      </c>
    </row>
    <row r="1141" spans="1:3" x14ac:dyDescent="0.25">
      <c r="A1141" s="36">
        <v>20317488476</v>
      </c>
      <c r="B1141" t="s">
        <v>1496</v>
      </c>
    </row>
    <row r="1142" spans="1:3" x14ac:dyDescent="0.25">
      <c r="A1142" s="36">
        <v>20171635285</v>
      </c>
      <c r="B1142" t="s">
        <v>510</v>
      </c>
    </row>
    <row r="1143" spans="1:3" x14ac:dyDescent="0.25">
      <c r="A1143" s="36">
        <v>30517306866</v>
      </c>
      <c r="B1143" t="s">
        <v>511</v>
      </c>
      <c r="C1143" s="35" t="s">
        <v>819</v>
      </c>
    </row>
    <row r="1144" spans="1:3" x14ac:dyDescent="0.25">
      <c r="A1144" s="36">
        <v>20265153209</v>
      </c>
      <c r="B1144" t="s">
        <v>1497</v>
      </c>
    </row>
    <row r="1145" spans="1:3" x14ac:dyDescent="0.25">
      <c r="A1145" s="36">
        <v>13800087</v>
      </c>
      <c r="B1145" t="s">
        <v>1498</v>
      </c>
    </row>
    <row r="1146" spans="1:3" x14ac:dyDescent="0.25">
      <c r="A1146" s="36">
        <v>27101205733</v>
      </c>
      <c r="B1146" t="s">
        <v>512</v>
      </c>
      <c r="C1146" s="35" t="s">
        <v>79</v>
      </c>
    </row>
    <row r="1147" spans="1:3" x14ac:dyDescent="0.25">
      <c r="A1147" s="36">
        <v>27101205733</v>
      </c>
      <c r="B1147" t="s">
        <v>512</v>
      </c>
    </row>
    <row r="1148" spans="1:3" x14ac:dyDescent="0.25">
      <c r="A1148" s="36">
        <v>27101205733</v>
      </c>
      <c r="B1148" t="s">
        <v>512</v>
      </c>
    </row>
    <row r="1149" spans="1:3" x14ac:dyDescent="0.25">
      <c r="A1149" s="36">
        <v>30685116657</v>
      </c>
      <c r="B1149" t="s">
        <v>513</v>
      </c>
      <c r="C1149" s="35" t="s">
        <v>44</v>
      </c>
    </row>
    <row r="1150" spans="1:3" x14ac:dyDescent="0.25">
      <c r="A1150" s="36">
        <v>10401713</v>
      </c>
      <c r="B1150" t="s">
        <v>1499</v>
      </c>
    </row>
    <row r="1151" spans="1:3" x14ac:dyDescent="0.25">
      <c r="A1151" s="36">
        <v>30715772783</v>
      </c>
      <c r="B1151" t="s">
        <v>514</v>
      </c>
      <c r="C1151" s="35" t="s">
        <v>797</v>
      </c>
    </row>
    <row r="1152" spans="1:3" x14ac:dyDescent="0.25">
      <c r="A1152" s="36">
        <v>20120766598</v>
      </c>
      <c r="B1152" t="s">
        <v>515</v>
      </c>
    </row>
    <row r="1153" spans="1:3" x14ac:dyDescent="0.25">
      <c r="A1153" s="36">
        <v>22040665</v>
      </c>
      <c r="B1153" t="s">
        <v>1500</v>
      </c>
    </row>
    <row r="1154" spans="1:3" x14ac:dyDescent="0.25">
      <c r="A1154" s="36">
        <v>13614301</v>
      </c>
      <c r="B1154" t="s">
        <v>1501</v>
      </c>
    </row>
    <row r="1155" spans="1:3" x14ac:dyDescent="0.25">
      <c r="A1155" s="36">
        <v>20269013746</v>
      </c>
      <c r="B1155" t="s">
        <v>516</v>
      </c>
      <c r="C1155" s="35" t="s">
        <v>797</v>
      </c>
    </row>
    <row r="1156" spans="1:3" x14ac:dyDescent="0.25">
      <c r="A1156" s="36">
        <v>20291935401</v>
      </c>
      <c r="B1156" t="s">
        <v>1502</v>
      </c>
      <c r="C1156" s="35" t="s">
        <v>797</v>
      </c>
    </row>
    <row r="1157" spans="1:3" x14ac:dyDescent="0.25">
      <c r="A1157" s="36">
        <v>20291935401</v>
      </c>
      <c r="B1157" t="s">
        <v>1502</v>
      </c>
      <c r="C1157" s="35" t="s">
        <v>797</v>
      </c>
    </row>
    <row r="1158" spans="1:3" x14ac:dyDescent="0.25">
      <c r="A1158" s="36">
        <v>20291935401</v>
      </c>
      <c r="B1158" t="s">
        <v>517</v>
      </c>
      <c r="C1158" s="35" t="s">
        <v>797</v>
      </c>
    </row>
    <row r="1159" spans="1:3" x14ac:dyDescent="0.25">
      <c r="A1159" s="36">
        <v>30500858628</v>
      </c>
      <c r="B1159" t="s">
        <v>100</v>
      </c>
    </row>
    <row r="1160" spans="1:3" x14ac:dyDescent="0.25">
      <c r="A1160" s="36">
        <v>30714088862</v>
      </c>
      <c r="B1160" t="s">
        <v>1503</v>
      </c>
    </row>
    <row r="1161" spans="1:3" x14ac:dyDescent="0.25">
      <c r="A1161" s="36">
        <v>4703895</v>
      </c>
      <c r="B1161" t="s">
        <v>1504</v>
      </c>
    </row>
    <row r="1162" spans="1:3" x14ac:dyDescent="0.25">
      <c r="A1162" s="36">
        <v>3697287</v>
      </c>
      <c r="B1162" t="s">
        <v>1505</v>
      </c>
    </row>
    <row r="1163" spans="1:3" x14ac:dyDescent="0.25">
      <c r="A1163" s="36">
        <v>20081262897</v>
      </c>
      <c r="B1163" t="s">
        <v>518</v>
      </c>
      <c r="C1163" s="35" t="s">
        <v>797</v>
      </c>
    </row>
    <row r="1164" spans="1:3" x14ac:dyDescent="0.25">
      <c r="A1164" s="36">
        <v>5783979</v>
      </c>
      <c r="B1164" t="s">
        <v>1506</v>
      </c>
    </row>
    <row r="1165" spans="1:3" x14ac:dyDescent="0.25">
      <c r="A1165" s="36">
        <v>3993858</v>
      </c>
      <c r="B1165" t="s">
        <v>1507</v>
      </c>
    </row>
    <row r="1166" spans="1:3" x14ac:dyDescent="0.25">
      <c r="A1166" s="36">
        <v>22138178</v>
      </c>
      <c r="B1166" t="s">
        <v>1508</v>
      </c>
    </row>
    <row r="1167" spans="1:3" x14ac:dyDescent="0.25">
      <c r="A1167" s="36">
        <v>27390888</v>
      </c>
      <c r="B1167" t="s">
        <v>1509</v>
      </c>
    </row>
    <row r="1168" spans="1:3" x14ac:dyDescent="0.25">
      <c r="A1168" s="36">
        <v>20127096733</v>
      </c>
      <c r="B1168" t="s">
        <v>1510</v>
      </c>
      <c r="C1168" s="35" t="s">
        <v>797</v>
      </c>
    </row>
    <row r="1169" spans="1:3" x14ac:dyDescent="0.25">
      <c r="A1169" s="36">
        <v>30219412</v>
      </c>
      <c r="B1169" t="s">
        <v>1511</v>
      </c>
    </row>
    <row r="1170" spans="1:3" x14ac:dyDescent="0.25">
      <c r="A1170" s="36">
        <v>27202892936</v>
      </c>
      <c r="B1170" t="s">
        <v>1512</v>
      </c>
      <c r="C1170" s="35" t="s">
        <v>798</v>
      </c>
    </row>
    <row r="1171" spans="1:3" x14ac:dyDescent="0.25">
      <c r="A1171" s="36">
        <v>30708608994</v>
      </c>
      <c r="B1171" t="s">
        <v>519</v>
      </c>
    </row>
    <row r="1172" spans="1:3" x14ac:dyDescent="0.25">
      <c r="A1172" s="36">
        <v>38991242</v>
      </c>
      <c r="B1172" t="s">
        <v>1513</v>
      </c>
    </row>
    <row r="1173" spans="1:3" x14ac:dyDescent="0.25">
      <c r="A1173" s="36">
        <v>26562776</v>
      </c>
      <c r="B1173" t="s">
        <v>1514</v>
      </c>
    </row>
    <row r="1174" spans="1:3" x14ac:dyDescent="0.25">
      <c r="A1174" s="36">
        <v>30713713909</v>
      </c>
      <c r="B1174" t="s">
        <v>520</v>
      </c>
    </row>
    <row r="1175" spans="1:3" x14ac:dyDescent="0.25">
      <c r="A1175" s="36">
        <v>30716157217</v>
      </c>
      <c r="B1175" t="s">
        <v>1515</v>
      </c>
    </row>
    <row r="1176" spans="1:3" x14ac:dyDescent="0.25">
      <c r="A1176" s="36">
        <v>52442925</v>
      </c>
      <c r="B1176" t="s">
        <v>1516</v>
      </c>
    </row>
    <row r="1177" spans="1:3" x14ac:dyDescent="0.25">
      <c r="A1177" s="36">
        <v>34008653</v>
      </c>
      <c r="B1177" t="s">
        <v>1517</v>
      </c>
    </row>
    <row r="1178" spans="1:3" x14ac:dyDescent="0.25">
      <c r="A1178" s="36">
        <v>27677788</v>
      </c>
      <c r="B1178" t="s">
        <v>1518</v>
      </c>
    </row>
    <row r="1179" spans="1:3" x14ac:dyDescent="0.25">
      <c r="A1179" s="36">
        <v>30712045562</v>
      </c>
      <c r="B1179" t="s">
        <v>1519</v>
      </c>
    </row>
    <row r="1180" spans="1:3" x14ac:dyDescent="0.25">
      <c r="A1180" s="36">
        <v>30632563856</v>
      </c>
      <c r="B1180" t="s">
        <v>521</v>
      </c>
    </row>
    <row r="1181" spans="1:3" x14ac:dyDescent="0.25">
      <c r="A1181" s="36">
        <v>30557676798</v>
      </c>
      <c r="B1181" t="s">
        <v>101</v>
      </c>
    </row>
    <row r="1182" spans="1:3" x14ac:dyDescent="0.25">
      <c r="A1182" s="36">
        <v>30573785742</v>
      </c>
      <c r="B1182" t="s">
        <v>522</v>
      </c>
    </row>
    <row r="1183" spans="1:3" x14ac:dyDescent="0.25">
      <c r="A1183" s="36">
        <v>30709242888</v>
      </c>
      <c r="B1183" t="s">
        <v>1520</v>
      </c>
      <c r="C1183" s="35" t="s">
        <v>797</v>
      </c>
    </row>
    <row r="1184" spans="1:3" x14ac:dyDescent="0.25">
      <c r="A1184" s="36">
        <v>26348034</v>
      </c>
      <c r="B1184" t="s">
        <v>1521</v>
      </c>
    </row>
    <row r="1185" spans="1:3" x14ac:dyDescent="0.25">
      <c r="A1185" s="36">
        <v>34770265</v>
      </c>
      <c r="B1185" t="s">
        <v>1522</v>
      </c>
    </row>
    <row r="1186" spans="1:3" x14ac:dyDescent="0.25">
      <c r="A1186" s="36">
        <v>3686398</v>
      </c>
      <c r="B1186" t="s">
        <v>1523</v>
      </c>
    </row>
    <row r="1187" spans="1:3" x14ac:dyDescent="0.25">
      <c r="A1187" s="36">
        <v>16725441</v>
      </c>
      <c r="B1187" t="s">
        <v>1524</v>
      </c>
    </row>
    <row r="1188" spans="1:3" x14ac:dyDescent="0.25">
      <c r="A1188" s="36">
        <v>20222749035</v>
      </c>
      <c r="B1188" t="s">
        <v>1525</v>
      </c>
    </row>
    <row r="1189" spans="1:3" x14ac:dyDescent="0.25">
      <c r="A1189" s="36">
        <v>20045461611</v>
      </c>
      <c r="B1189" t="s">
        <v>1526</v>
      </c>
      <c r="C1189" s="35" t="s">
        <v>1040</v>
      </c>
    </row>
    <row r="1190" spans="1:3" x14ac:dyDescent="0.25">
      <c r="A1190" s="36">
        <v>23306035444</v>
      </c>
      <c r="B1190" t="s">
        <v>1527</v>
      </c>
      <c r="C1190" s="35" t="s">
        <v>829</v>
      </c>
    </row>
    <row r="1191" spans="1:3" x14ac:dyDescent="0.25">
      <c r="A1191" s="36">
        <v>33608724279</v>
      </c>
      <c r="B1191" t="s">
        <v>523</v>
      </c>
      <c r="C1191" s="35" t="s">
        <v>44</v>
      </c>
    </row>
    <row r="1192" spans="1:3" x14ac:dyDescent="0.25">
      <c r="A1192" s="36">
        <v>30707983732</v>
      </c>
      <c r="B1192" t="s">
        <v>524</v>
      </c>
      <c r="C1192" s="35" t="s">
        <v>44</v>
      </c>
    </row>
    <row r="1193" spans="1:3" x14ac:dyDescent="0.25">
      <c r="A1193" s="36">
        <v>28907586</v>
      </c>
      <c r="B1193" t="s">
        <v>1528</v>
      </c>
    </row>
    <row r="1194" spans="1:3" x14ac:dyDescent="0.25">
      <c r="A1194" s="36">
        <v>4282596</v>
      </c>
      <c r="B1194" t="s">
        <v>1529</v>
      </c>
    </row>
    <row r="1195" spans="1:3" x14ac:dyDescent="0.25">
      <c r="A1195" s="36">
        <v>8557300</v>
      </c>
      <c r="B1195" t="s">
        <v>1530</v>
      </c>
    </row>
    <row r="1196" spans="1:3" x14ac:dyDescent="0.25">
      <c r="A1196" s="36">
        <v>27209563113</v>
      </c>
      <c r="B1196" t="s">
        <v>525</v>
      </c>
    </row>
    <row r="1197" spans="1:3" x14ac:dyDescent="0.25">
      <c r="A1197" s="36">
        <v>27187727540</v>
      </c>
      <c r="B1197" t="s">
        <v>1531</v>
      </c>
    </row>
    <row r="1198" spans="1:3" x14ac:dyDescent="0.25">
      <c r="A1198" s="36">
        <v>30713979704</v>
      </c>
      <c r="B1198" t="s">
        <v>526</v>
      </c>
      <c r="C1198" s="35" t="s">
        <v>797</v>
      </c>
    </row>
    <row r="1199" spans="1:3" x14ac:dyDescent="0.25">
      <c r="A1199" s="36">
        <v>20174004146</v>
      </c>
      <c r="B1199" t="s">
        <v>1532</v>
      </c>
      <c r="C1199" s="35" t="s">
        <v>794</v>
      </c>
    </row>
    <row r="1200" spans="1:3" x14ac:dyDescent="0.25">
      <c r="A1200" s="36">
        <v>20315107807</v>
      </c>
      <c r="B1200" t="s">
        <v>1533</v>
      </c>
      <c r="C1200" s="35" t="s">
        <v>794</v>
      </c>
    </row>
    <row r="1201" spans="1:3" x14ac:dyDescent="0.25">
      <c r="A1201" s="36">
        <v>20315107807</v>
      </c>
      <c r="B1201" t="s">
        <v>1533</v>
      </c>
      <c r="C1201" s="35" t="s">
        <v>794</v>
      </c>
    </row>
    <row r="1202" spans="1:3" x14ac:dyDescent="0.25">
      <c r="A1202" s="36">
        <v>20315107807</v>
      </c>
      <c r="B1202" t="s">
        <v>1534</v>
      </c>
    </row>
    <row r="1203" spans="1:3" x14ac:dyDescent="0.25">
      <c r="A1203" s="36">
        <v>20315107807</v>
      </c>
      <c r="B1203" t="s">
        <v>1534</v>
      </c>
    </row>
    <row r="1204" spans="1:3" x14ac:dyDescent="0.25">
      <c r="A1204" s="36">
        <v>20315107807</v>
      </c>
      <c r="B1204" t="s">
        <v>1534</v>
      </c>
    </row>
    <row r="1205" spans="1:3" x14ac:dyDescent="0.25">
      <c r="A1205" s="36">
        <v>18178048</v>
      </c>
      <c r="B1205" t="s">
        <v>1535</v>
      </c>
    </row>
    <row r="1206" spans="1:3" x14ac:dyDescent="0.25">
      <c r="A1206" s="36">
        <v>20181837617</v>
      </c>
      <c r="B1206" t="s">
        <v>527</v>
      </c>
    </row>
    <row r="1207" spans="1:3" x14ac:dyDescent="0.25">
      <c r="A1207" s="36">
        <v>30652010489</v>
      </c>
      <c r="B1207" t="s">
        <v>528</v>
      </c>
      <c r="C1207" s="35" t="s">
        <v>79</v>
      </c>
    </row>
    <row r="1208" spans="1:3" x14ac:dyDescent="0.25">
      <c r="A1208" s="36">
        <v>33972867</v>
      </c>
      <c r="B1208" t="s">
        <v>1536</v>
      </c>
    </row>
    <row r="1209" spans="1:3" x14ac:dyDescent="0.25">
      <c r="A1209" s="36">
        <v>34713487</v>
      </c>
      <c r="B1209" t="s">
        <v>1537</v>
      </c>
    </row>
    <row r="1210" spans="1:3" x14ac:dyDescent="0.25">
      <c r="A1210" s="36">
        <v>4491059</v>
      </c>
      <c r="B1210" t="s">
        <v>1538</v>
      </c>
    </row>
    <row r="1211" spans="1:3" x14ac:dyDescent="0.25">
      <c r="A1211" s="36">
        <v>27259489976</v>
      </c>
      <c r="B1211" t="s">
        <v>529</v>
      </c>
    </row>
    <row r="1212" spans="1:3" x14ac:dyDescent="0.25">
      <c r="A1212" s="36">
        <v>3220472</v>
      </c>
      <c r="B1212" t="s">
        <v>1539</v>
      </c>
    </row>
    <row r="1213" spans="1:3" x14ac:dyDescent="0.25">
      <c r="A1213" s="36">
        <v>284298</v>
      </c>
      <c r="B1213" t="s">
        <v>1540</v>
      </c>
    </row>
    <row r="1214" spans="1:3" x14ac:dyDescent="0.25">
      <c r="A1214" s="36">
        <v>7440566</v>
      </c>
      <c r="B1214" t="s">
        <v>1541</v>
      </c>
    </row>
    <row r="1215" spans="1:3" x14ac:dyDescent="0.25">
      <c r="A1215" s="36">
        <v>30598946694</v>
      </c>
      <c r="B1215" t="s">
        <v>530</v>
      </c>
      <c r="C1215" s="35" t="s">
        <v>797</v>
      </c>
    </row>
    <row r="1216" spans="1:3" x14ac:dyDescent="0.25">
      <c r="A1216" s="36">
        <v>33115002</v>
      </c>
      <c r="B1216" t="s">
        <v>1542</v>
      </c>
    </row>
    <row r="1217" spans="1:3" x14ac:dyDescent="0.25">
      <c r="A1217" s="36">
        <v>11020277</v>
      </c>
      <c r="B1217" t="s">
        <v>1543</v>
      </c>
    </row>
    <row r="1218" spans="1:3" x14ac:dyDescent="0.25">
      <c r="A1218" s="36">
        <v>20363081755</v>
      </c>
      <c r="B1218" t="s">
        <v>1544</v>
      </c>
    </row>
    <row r="1219" spans="1:3" x14ac:dyDescent="0.25">
      <c r="A1219" s="36">
        <v>30546764040</v>
      </c>
      <c r="B1219" t="s">
        <v>531</v>
      </c>
    </row>
    <row r="1220" spans="1:3" x14ac:dyDescent="0.25">
      <c r="A1220" s="36">
        <v>20232991527</v>
      </c>
      <c r="B1220" t="s">
        <v>532</v>
      </c>
      <c r="C1220" s="35" t="s">
        <v>797</v>
      </c>
    </row>
    <row r="1221" spans="1:3" x14ac:dyDescent="0.25">
      <c r="A1221" s="36">
        <v>20232991527</v>
      </c>
      <c r="B1221" t="s">
        <v>532</v>
      </c>
      <c r="C1221" s="35" t="s">
        <v>797</v>
      </c>
    </row>
    <row r="1222" spans="1:3" x14ac:dyDescent="0.25">
      <c r="A1222" s="36">
        <v>20232991527</v>
      </c>
      <c r="B1222" t="s">
        <v>532</v>
      </c>
      <c r="C1222" s="35" t="s">
        <v>797</v>
      </c>
    </row>
    <row r="1223" spans="1:3" x14ac:dyDescent="0.25">
      <c r="A1223" s="36">
        <v>30709822116</v>
      </c>
      <c r="B1223" t="s">
        <v>533</v>
      </c>
    </row>
    <row r="1224" spans="1:3" x14ac:dyDescent="0.25">
      <c r="A1224" s="36">
        <v>30714773255</v>
      </c>
      <c r="B1224" t="s">
        <v>1545</v>
      </c>
      <c r="C1224" s="35" t="s">
        <v>819</v>
      </c>
    </row>
    <row r="1225" spans="1:3" x14ac:dyDescent="0.25">
      <c r="A1225" s="36">
        <v>30715284142</v>
      </c>
      <c r="B1225" t="s">
        <v>1546</v>
      </c>
      <c r="C1225" s="35" t="s">
        <v>1037</v>
      </c>
    </row>
    <row r="1226" spans="1:3" x14ac:dyDescent="0.25">
      <c r="A1226" s="36">
        <v>23570</v>
      </c>
      <c r="B1226" t="s">
        <v>1547</v>
      </c>
    </row>
    <row r="1227" spans="1:3" x14ac:dyDescent="0.25">
      <c r="A1227" s="36">
        <v>20251270202</v>
      </c>
      <c r="B1227" t="s">
        <v>534</v>
      </c>
    </row>
    <row r="1228" spans="1:3" x14ac:dyDescent="0.25">
      <c r="A1228" s="36">
        <v>20298653541</v>
      </c>
      <c r="B1228" t="s">
        <v>535</v>
      </c>
    </row>
    <row r="1229" spans="1:3" x14ac:dyDescent="0.25">
      <c r="A1229" s="36">
        <v>20376871119</v>
      </c>
      <c r="B1229" t="s">
        <v>1548</v>
      </c>
    </row>
    <row r="1230" spans="1:3" x14ac:dyDescent="0.25">
      <c r="A1230" s="36">
        <v>8290155</v>
      </c>
      <c r="B1230" t="s">
        <v>1549</v>
      </c>
    </row>
    <row r="1231" spans="1:3" x14ac:dyDescent="0.25">
      <c r="A1231" s="36">
        <v>20171082464</v>
      </c>
      <c r="B1231" t="s">
        <v>536</v>
      </c>
      <c r="C1231" s="35" t="s">
        <v>79</v>
      </c>
    </row>
    <row r="1232" spans="1:3" x14ac:dyDescent="0.25">
      <c r="A1232" s="36">
        <v>23147243669</v>
      </c>
      <c r="B1232" t="s">
        <v>537</v>
      </c>
    </row>
    <row r="1233" spans="1:3" x14ac:dyDescent="0.25">
      <c r="A1233" s="36">
        <v>30686222086</v>
      </c>
      <c r="B1233" t="s">
        <v>538</v>
      </c>
    </row>
    <row r="1234" spans="1:3" x14ac:dyDescent="0.25">
      <c r="A1234" s="36">
        <v>30715564749</v>
      </c>
      <c r="B1234" t="s">
        <v>539</v>
      </c>
      <c r="C1234" s="35" t="s">
        <v>797</v>
      </c>
    </row>
    <row r="1235" spans="1:3" x14ac:dyDescent="0.25">
      <c r="A1235" s="36">
        <v>30625911334</v>
      </c>
      <c r="B1235" t="s">
        <v>540</v>
      </c>
      <c r="C1235" s="35" t="s">
        <v>797</v>
      </c>
    </row>
    <row r="1236" spans="1:3" x14ac:dyDescent="0.25">
      <c r="A1236" s="36">
        <v>30685437011</v>
      </c>
      <c r="B1236" t="s">
        <v>541</v>
      </c>
    </row>
    <row r="1237" spans="1:3" x14ac:dyDescent="0.25">
      <c r="A1237" s="36">
        <v>30709318965</v>
      </c>
      <c r="B1237" t="s">
        <v>542</v>
      </c>
      <c r="C1237" s="35" t="s">
        <v>829</v>
      </c>
    </row>
    <row r="1238" spans="1:3" x14ac:dyDescent="0.25">
      <c r="A1238" s="36">
        <v>30714113395</v>
      </c>
      <c r="B1238" t="s">
        <v>543</v>
      </c>
    </row>
    <row r="1239" spans="1:3" x14ac:dyDescent="0.25">
      <c r="A1239" s="36">
        <v>30715263676</v>
      </c>
      <c r="B1239" t="s">
        <v>544</v>
      </c>
    </row>
    <row r="1240" spans="1:3" x14ac:dyDescent="0.25">
      <c r="A1240" s="36">
        <v>30702652975</v>
      </c>
      <c r="B1240" t="s">
        <v>545</v>
      </c>
      <c r="C1240" s="35" t="s">
        <v>798</v>
      </c>
    </row>
    <row r="1241" spans="1:3" x14ac:dyDescent="0.25">
      <c r="A1241" s="36">
        <v>30715399519</v>
      </c>
      <c r="B1241" t="s">
        <v>1550</v>
      </c>
      <c r="C1241" s="35" t="s">
        <v>1119</v>
      </c>
    </row>
    <row r="1242" spans="1:3" x14ac:dyDescent="0.25">
      <c r="A1242" s="36">
        <v>30715399519</v>
      </c>
      <c r="B1242" t="s">
        <v>1550</v>
      </c>
      <c r="C1242" s="35" t="s">
        <v>1119</v>
      </c>
    </row>
    <row r="1243" spans="1:3" x14ac:dyDescent="0.25">
      <c r="A1243" s="36">
        <v>30714187658</v>
      </c>
      <c r="B1243" t="s">
        <v>546</v>
      </c>
      <c r="C1243" s="35" t="s">
        <v>81</v>
      </c>
    </row>
    <row r="1244" spans="1:3" x14ac:dyDescent="0.25">
      <c r="A1244" s="36">
        <v>30707215689</v>
      </c>
      <c r="B1244" t="s">
        <v>547</v>
      </c>
      <c r="C1244" s="35" t="s">
        <v>794</v>
      </c>
    </row>
    <row r="1245" spans="1:3" x14ac:dyDescent="0.25">
      <c r="A1245" s="36">
        <v>9353463</v>
      </c>
      <c r="B1245" t="s">
        <v>1551</v>
      </c>
    </row>
    <row r="1246" spans="1:3" x14ac:dyDescent="0.25">
      <c r="A1246" s="36">
        <v>20222347719</v>
      </c>
      <c r="B1246" t="s">
        <v>1552</v>
      </c>
      <c r="C1246" s="35" t="s">
        <v>1119</v>
      </c>
    </row>
    <row r="1247" spans="1:3" x14ac:dyDescent="0.25">
      <c r="A1247" s="36">
        <v>11322852</v>
      </c>
      <c r="B1247" t="s">
        <v>1553</v>
      </c>
    </row>
    <row r="1248" spans="1:3" x14ac:dyDescent="0.25">
      <c r="A1248" s="36">
        <v>30504854023</v>
      </c>
      <c r="B1248" t="s">
        <v>548</v>
      </c>
      <c r="C1248" s="35" t="s">
        <v>797</v>
      </c>
    </row>
    <row r="1249" spans="1:3" x14ac:dyDescent="0.25">
      <c r="A1249" s="36">
        <v>30536259194</v>
      </c>
      <c r="B1249" t="s">
        <v>1554</v>
      </c>
      <c r="C1249" s="35" t="s">
        <v>794</v>
      </c>
    </row>
    <row r="1250" spans="1:3" x14ac:dyDescent="0.25">
      <c r="A1250" s="36">
        <v>30536259194</v>
      </c>
      <c r="B1250" t="s">
        <v>1554</v>
      </c>
      <c r="C1250" s="35" t="s">
        <v>794</v>
      </c>
    </row>
    <row r="1251" spans="1:3" x14ac:dyDescent="0.25">
      <c r="A1251" s="36">
        <v>30500053522</v>
      </c>
      <c r="B1251" t="s">
        <v>549</v>
      </c>
    </row>
    <row r="1252" spans="1:3" x14ac:dyDescent="0.25">
      <c r="A1252" s="36">
        <v>30658137642</v>
      </c>
      <c r="B1252" t="s">
        <v>550</v>
      </c>
    </row>
    <row r="1253" spans="1:3" x14ac:dyDescent="0.25">
      <c r="A1253" s="36">
        <v>33600011869</v>
      </c>
      <c r="B1253" t="s">
        <v>551</v>
      </c>
    </row>
    <row r="1254" spans="1:3" x14ac:dyDescent="0.25">
      <c r="A1254" s="36">
        <v>30609521941</v>
      </c>
      <c r="B1254" t="s">
        <v>552</v>
      </c>
    </row>
    <row r="1255" spans="1:3" x14ac:dyDescent="0.25">
      <c r="A1255" s="36">
        <v>30590412631</v>
      </c>
      <c r="B1255" t="s">
        <v>553</v>
      </c>
    </row>
    <row r="1256" spans="1:3" x14ac:dyDescent="0.25">
      <c r="A1256" s="36">
        <v>27209647252</v>
      </c>
      <c r="B1256" t="s">
        <v>1555</v>
      </c>
      <c r="C1256" s="35" t="s">
        <v>829</v>
      </c>
    </row>
    <row r="1257" spans="1:3" x14ac:dyDescent="0.25">
      <c r="A1257" s="36">
        <v>322114</v>
      </c>
      <c r="B1257" t="s">
        <v>1556</v>
      </c>
    </row>
    <row r="1258" spans="1:3" x14ac:dyDescent="0.25">
      <c r="A1258" s="36">
        <v>30646217977</v>
      </c>
      <c r="B1258" t="s">
        <v>1557</v>
      </c>
    </row>
    <row r="1259" spans="1:3" x14ac:dyDescent="0.25">
      <c r="A1259" s="36">
        <v>30585412453</v>
      </c>
      <c r="B1259" t="s">
        <v>554</v>
      </c>
    </row>
    <row r="1260" spans="1:3" x14ac:dyDescent="0.25">
      <c r="A1260" s="36">
        <v>30500053522</v>
      </c>
      <c r="B1260" t="s">
        <v>1558</v>
      </c>
      <c r="C1260" s="35" t="s">
        <v>811</v>
      </c>
    </row>
    <row r="1261" spans="1:3" x14ac:dyDescent="0.25">
      <c r="A1261" s="36">
        <v>30500053522</v>
      </c>
      <c r="B1261" t="s">
        <v>1558</v>
      </c>
      <c r="C1261" s="35" t="s">
        <v>811</v>
      </c>
    </row>
    <row r="1262" spans="1:3" x14ac:dyDescent="0.25">
      <c r="A1262" s="36" t="s">
        <v>1559</v>
      </c>
      <c r="B1262" t="s">
        <v>1558</v>
      </c>
      <c r="C1262" s="35" t="s">
        <v>868</v>
      </c>
    </row>
    <row r="1263" spans="1:3" x14ac:dyDescent="0.25">
      <c r="A1263" s="36">
        <v>30608716390</v>
      </c>
      <c r="B1263" t="s">
        <v>1560</v>
      </c>
    </row>
    <row r="1264" spans="1:3" x14ac:dyDescent="0.25">
      <c r="A1264" s="36">
        <v>30546846217</v>
      </c>
      <c r="B1264" t="s">
        <v>555</v>
      </c>
    </row>
    <row r="1265" spans="1:3" x14ac:dyDescent="0.25">
      <c r="A1265" s="36">
        <v>30683032227</v>
      </c>
      <c r="B1265" t="s">
        <v>1561</v>
      </c>
    </row>
    <row r="1266" spans="1:3" x14ac:dyDescent="0.25">
      <c r="A1266" s="36">
        <v>26857099</v>
      </c>
      <c r="B1266" t="s">
        <v>1562</v>
      </c>
    </row>
    <row r="1267" spans="1:3" x14ac:dyDescent="0.25">
      <c r="A1267" s="36">
        <v>30714911976</v>
      </c>
      <c r="B1267" t="s">
        <v>556</v>
      </c>
      <c r="C1267" s="35" t="s">
        <v>81</v>
      </c>
    </row>
    <row r="1268" spans="1:3" x14ac:dyDescent="0.25">
      <c r="A1268" s="36">
        <v>4024034</v>
      </c>
      <c r="B1268" t="s">
        <v>1563</v>
      </c>
    </row>
    <row r="1269" spans="1:3" x14ac:dyDescent="0.25">
      <c r="A1269" s="36">
        <v>27162975841</v>
      </c>
      <c r="B1269" t="s">
        <v>1564</v>
      </c>
    </row>
    <row r="1270" spans="1:3" x14ac:dyDescent="0.25">
      <c r="A1270" s="36">
        <v>20177474844</v>
      </c>
      <c r="B1270" t="s">
        <v>557</v>
      </c>
    </row>
    <row r="1271" spans="1:3" x14ac:dyDescent="0.25">
      <c r="A1271" s="36">
        <v>30708387114</v>
      </c>
      <c r="B1271" t="s">
        <v>558</v>
      </c>
      <c r="C1271" s="35" t="s">
        <v>797</v>
      </c>
    </row>
    <row r="1272" spans="1:3" x14ac:dyDescent="0.25">
      <c r="A1272" s="36">
        <v>30709059471</v>
      </c>
      <c r="B1272" t="s">
        <v>559</v>
      </c>
      <c r="C1272" s="35" t="s">
        <v>81</v>
      </c>
    </row>
    <row r="1273" spans="1:3" x14ac:dyDescent="0.25">
      <c r="A1273" s="36">
        <v>30702843576</v>
      </c>
      <c r="B1273" t="s">
        <v>560</v>
      </c>
      <c r="C1273" s="35" t="s">
        <v>797</v>
      </c>
    </row>
    <row r="1274" spans="1:3" x14ac:dyDescent="0.25">
      <c r="A1274" s="36">
        <v>30707092781</v>
      </c>
      <c r="B1274" t="s">
        <v>561</v>
      </c>
      <c r="C1274" s="35" t="s">
        <v>79</v>
      </c>
    </row>
    <row r="1275" spans="1:3" x14ac:dyDescent="0.25">
      <c r="A1275" s="36">
        <v>30709678392</v>
      </c>
      <c r="B1275" t="s">
        <v>1565</v>
      </c>
      <c r="C1275" s="35" t="s">
        <v>44</v>
      </c>
    </row>
    <row r="1276" spans="1:3" x14ac:dyDescent="0.25">
      <c r="A1276" s="36">
        <v>6559583</v>
      </c>
      <c r="B1276" t="s">
        <v>1566</v>
      </c>
    </row>
    <row r="1277" spans="1:3" x14ac:dyDescent="0.25">
      <c r="A1277" s="36">
        <v>27937907473</v>
      </c>
      <c r="B1277" t="s">
        <v>562</v>
      </c>
      <c r="C1277" s="35" t="s">
        <v>79</v>
      </c>
    </row>
    <row r="1278" spans="1:3" x14ac:dyDescent="0.25">
      <c r="A1278" s="36">
        <v>27405786066</v>
      </c>
      <c r="B1278" t="s">
        <v>563</v>
      </c>
    </row>
    <row r="1279" spans="1:3" x14ac:dyDescent="0.25">
      <c r="A1279" s="36">
        <v>56136</v>
      </c>
      <c r="B1279" t="s">
        <v>1567</v>
      </c>
    </row>
    <row r="1280" spans="1:3" x14ac:dyDescent="0.25">
      <c r="A1280" s="36">
        <v>30603810550</v>
      </c>
      <c r="B1280" t="s">
        <v>564</v>
      </c>
      <c r="C1280" s="35" t="s">
        <v>79</v>
      </c>
    </row>
    <row r="1281" spans="1:3" x14ac:dyDescent="0.25">
      <c r="A1281" s="36">
        <v>4483978</v>
      </c>
      <c r="B1281" t="s">
        <v>1568</v>
      </c>
    </row>
    <row r="1282" spans="1:3" x14ac:dyDescent="0.25">
      <c r="A1282" s="36">
        <v>4408203</v>
      </c>
      <c r="B1282" t="s">
        <v>1569</v>
      </c>
    </row>
    <row r="1283" spans="1:3" x14ac:dyDescent="0.25">
      <c r="A1283" s="36">
        <v>4408203</v>
      </c>
      <c r="B1283" t="s">
        <v>1569</v>
      </c>
    </row>
    <row r="1284" spans="1:3" x14ac:dyDescent="0.25">
      <c r="A1284" s="36">
        <v>7898830</v>
      </c>
      <c r="B1284" t="s">
        <v>1570</v>
      </c>
    </row>
    <row r="1285" spans="1:3" x14ac:dyDescent="0.25">
      <c r="A1285" s="36">
        <v>30712341803</v>
      </c>
      <c r="B1285" t="s">
        <v>565</v>
      </c>
    </row>
    <row r="1286" spans="1:3" x14ac:dyDescent="0.25">
      <c r="A1286" s="36">
        <v>30550245309</v>
      </c>
      <c r="B1286" t="s">
        <v>566</v>
      </c>
    </row>
    <row r="1287" spans="1:3" x14ac:dyDescent="0.25">
      <c r="A1287" s="36">
        <v>30711377944</v>
      </c>
      <c r="B1287" t="s">
        <v>1571</v>
      </c>
      <c r="C1287" s="35" t="s">
        <v>1572</v>
      </c>
    </row>
    <row r="1288" spans="1:3" x14ac:dyDescent="0.25">
      <c r="A1288" s="36">
        <v>17737411</v>
      </c>
      <c r="B1288" t="s">
        <v>1573</v>
      </c>
    </row>
    <row r="1289" spans="1:3" x14ac:dyDescent="0.25">
      <c r="A1289" s="36">
        <v>30655042772</v>
      </c>
      <c r="B1289" t="s">
        <v>567</v>
      </c>
    </row>
    <row r="1290" spans="1:3" x14ac:dyDescent="0.25">
      <c r="A1290" s="36">
        <v>3216383</v>
      </c>
      <c r="B1290" t="s">
        <v>1574</v>
      </c>
    </row>
    <row r="1291" spans="1:3" x14ac:dyDescent="0.25">
      <c r="A1291" s="36">
        <v>30678774495</v>
      </c>
      <c r="B1291" t="s">
        <v>102</v>
      </c>
      <c r="C1291" s="35" t="s">
        <v>44</v>
      </c>
    </row>
    <row r="1292" spans="1:3" x14ac:dyDescent="0.25">
      <c r="A1292" s="36">
        <v>30611371213</v>
      </c>
      <c r="B1292" t="s">
        <v>568</v>
      </c>
      <c r="C1292" s="35" t="s">
        <v>797</v>
      </c>
    </row>
    <row r="1293" spans="1:3" x14ac:dyDescent="0.25">
      <c r="A1293" s="36">
        <v>30500597557</v>
      </c>
      <c r="B1293" t="s">
        <v>568</v>
      </c>
      <c r="C1293" s="35" t="s">
        <v>797</v>
      </c>
    </row>
    <row r="1294" spans="1:3" x14ac:dyDescent="0.25">
      <c r="A1294" s="36">
        <v>30536259194</v>
      </c>
      <c r="B1294" t="s">
        <v>569</v>
      </c>
    </row>
    <row r="1295" spans="1:3" x14ac:dyDescent="0.25">
      <c r="A1295" s="36">
        <v>30688264711</v>
      </c>
      <c r="B1295" t="s">
        <v>570</v>
      </c>
    </row>
    <row r="1296" spans="1:3" x14ac:dyDescent="0.25">
      <c r="A1296" s="36">
        <v>14894941</v>
      </c>
      <c r="B1296" t="s">
        <v>1575</v>
      </c>
    </row>
    <row r="1297" spans="1:3" x14ac:dyDescent="0.25">
      <c r="A1297" s="36">
        <v>31831049</v>
      </c>
      <c r="B1297" t="s">
        <v>1576</v>
      </c>
    </row>
    <row r="1298" spans="1:3" x14ac:dyDescent="0.25">
      <c r="A1298" s="36">
        <v>20076817023</v>
      </c>
      <c r="B1298" t="s">
        <v>1577</v>
      </c>
    </row>
    <row r="1299" spans="1:3" x14ac:dyDescent="0.25">
      <c r="A1299" s="36">
        <v>20238751560</v>
      </c>
      <c r="B1299" t="s">
        <v>571</v>
      </c>
      <c r="C1299" s="35" t="s">
        <v>79</v>
      </c>
    </row>
    <row r="1300" spans="1:3" x14ac:dyDescent="0.25">
      <c r="A1300" s="36">
        <v>30714331082</v>
      </c>
      <c r="B1300" t="s">
        <v>1578</v>
      </c>
      <c r="C1300" s="35" t="s">
        <v>797</v>
      </c>
    </row>
    <row r="1301" spans="1:3" x14ac:dyDescent="0.25">
      <c r="A1301" s="36">
        <v>30714331082</v>
      </c>
      <c r="B1301" t="s">
        <v>1578</v>
      </c>
      <c r="C1301" s="35" t="s">
        <v>797</v>
      </c>
    </row>
    <row r="1302" spans="1:3" x14ac:dyDescent="0.25">
      <c r="A1302" s="36">
        <v>33707920349</v>
      </c>
      <c r="B1302" t="s">
        <v>1579</v>
      </c>
      <c r="C1302" s="35" t="s">
        <v>797</v>
      </c>
    </row>
    <row r="1303" spans="1:3" x14ac:dyDescent="0.25">
      <c r="A1303" s="36">
        <v>30661498575</v>
      </c>
      <c r="B1303" t="s">
        <v>572</v>
      </c>
      <c r="C1303" s="35" t="s">
        <v>797</v>
      </c>
    </row>
    <row r="1304" spans="1:3" x14ac:dyDescent="0.25">
      <c r="A1304" s="36">
        <v>33709738459</v>
      </c>
      <c r="B1304" t="s">
        <v>573</v>
      </c>
      <c r="C1304" s="35" t="s">
        <v>797</v>
      </c>
    </row>
    <row r="1305" spans="1:3" x14ac:dyDescent="0.25">
      <c r="A1305" s="36">
        <v>33709738459</v>
      </c>
      <c r="B1305" t="s">
        <v>1580</v>
      </c>
      <c r="C1305" s="35" t="s">
        <v>797</v>
      </c>
    </row>
    <row r="1306" spans="1:3" x14ac:dyDescent="0.25">
      <c r="A1306" s="36">
        <v>33709738459</v>
      </c>
      <c r="B1306" t="s">
        <v>1580</v>
      </c>
      <c r="C1306" s="35" t="s">
        <v>797</v>
      </c>
    </row>
    <row r="1307" spans="1:3" x14ac:dyDescent="0.25">
      <c r="A1307" s="36">
        <v>30696246234</v>
      </c>
      <c r="B1307" t="s">
        <v>574</v>
      </c>
      <c r="C1307" s="35" t="s">
        <v>797</v>
      </c>
    </row>
    <row r="1308" spans="1:3" x14ac:dyDescent="0.25">
      <c r="A1308" s="36">
        <v>30696246234</v>
      </c>
      <c r="B1308" t="s">
        <v>574</v>
      </c>
      <c r="C1308" s="35" t="s">
        <v>797</v>
      </c>
    </row>
    <row r="1309" spans="1:3" x14ac:dyDescent="0.25">
      <c r="A1309" s="36">
        <v>30696246234</v>
      </c>
      <c r="B1309" t="s">
        <v>574</v>
      </c>
      <c r="C1309" s="35" t="s">
        <v>797</v>
      </c>
    </row>
    <row r="1310" spans="1:3" x14ac:dyDescent="0.25">
      <c r="A1310" s="36">
        <v>30546846217</v>
      </c>
      <c r="B1310" t="s">
        <v>1581</v>
      </c>
      <c r="C1310" s="35" t="s">
        <v>811</v>
      </c>
    </row>
    <row r="1311" spans="1:3" x14ac:dyDescent="0.25">
      <c r="A1311" s="36">
        <v>30546846217</v>
      </c>
      <c r="B1311" t="s">
        <v>1581</v>
      </c>
      <c r="C1311" s="35" t="s">
        <v>811</v>
      </c>
    </row>
    <row r="1312" spans="1:3" x14ac:dyDescent="0.25">
      <c r="A1312" s="36">
        <v>12180749</v>
      </c>
      <c r="B1312" t="s">
        <v>1582</v>
      </c>
    </row>
    <row r="1313" spans="1:3" x14ac:dyDescent="0.25">
      <c r="A1313" s="36">
        <v>30590412631</v>
      </c>
      <c r="B1313" t="s">
        <v>1583</v>
      </c>
      <c r="C1313" s="35" t="s">
        <v>811</v>
      </c>
    </row>
    <row r="1314" spans="1:3" x14ac:dyDescent="0.25">
      <c r="A1314" s="36">
        <v>30590412631</v>
      </c>
      <c r="B1314" t="s">
        <v>1583</v>
      </c>
      <c r="C1314" s="35" t="s">
        <v>811</v>
      </c>
    </row>
    <row r="1315" spans="1:3" x14ac:dyDescent="0.25">
      <c r="A1315" s="36">
        <v>30518922897</v>
      </c>
      <c r="B1315" t="s">
        <v>575</v>
      </c>
    </row>
    <row r="1316" spans="1:3" x14ac:dyDescent="0.25">
      <c r="A1316" s="36">
        <v>30546666189</v>
      </c>
      <c r="B1316" t="s">
        <v>1584</v>
      </c>
      <c r="C1316" s="35" t="s">
        <v>811</v>
      </c>
    </row>
    <row r="1317" spans="1:3" x14ac:dyDescent="0.25">
      <c r="A1317" s="36" t="s">
        <v>1585</v>
      </c>
      <c r="B1317" t="s">
        <v>1586</v>
      </c>
      <c r="C1317" s="35" t="s">
        <v>811</v>
      </c>
    </row>
    <row r="1318" spans="1:3" x14ac:dyDescent="0.25">
      <c r="A1318" s="36">
        <v>30658137642</v>
      </c>
      <c r="B1318" t="s">
        <v>1587</v>
      </c>
      <c r="C1318" s="35" t="s">
        <v>811</v>
      </c>
    </row>
    <row r="1319" spans="1:3" x14ac:dyDescent="0.25">
      <c r="A1319" s="36">
        <v>30658137642</v>
      </c>
      <c r="B1319" t="s">
        <v>1587</v>
      </c>
      <c r="C1319" s="35" t="s">
        <v>811</v>
      </c>
    </row>
    <row r="1320" spans="1:3" x14ac:dyDescent="0.25">
      <c r="A1320" s="36">
        <v>34959131</v>
      </c>
      <c r="B1320" t="s">
        <v>1588</v>
      </c>
    </row>
    <row r="1321" spans="1:3" x14ac:dyDescent="0.25">
      <c r="A1321" s="36">
        <v>34959131</v>
      </c>
      <c r="B1321" t="s">
        <v>1588</v>
      </c>
    </row>
    <row r="1322" spans="1:3" x14ac:dyDescent="0.25">
      <c r="A1322" s="36">
        <v>30600271004</v>
      </c>
      <c r="B1322" t="s">
        <v>576</v>
      </c>
    </row>
    <row r="1323" spans="1:3" x14ac:dyDescent="0.25">
      <c r="A1323" s="36">
        <v>30707080198</v>
      </c>
      <c r="B1323" t="s">
        <v>1589</v>
      </c>
      <c r="C1323" s="35" t="s">
        <v>797</v>
      </c>
    </row>
    <row r="1324" spans="1:3" x14ac:dyDescent="0.25">
      <c r="A1324" s="36">
        <v>30707080198</v>
      </c>
      <c r="B1324" t="s">
        <v>1589</v>
      </c>
      <c r="C1324" s="35" t="s">
        <v>797</v>
      </c>
    </row>
    <row r="1325" spans="1:3" x14ac:dyDescent="0.25">
      <c r="A1325" s="36">
        <v>30707080198</v>
      </c>
      <c r="B1325" t="s">
        <v>577</v>
      </c>
      <c r="C1325" s="35" t="s">
        <v>797</v>
      </c>
    </row>
    <row r="1326" spans="1:3" x14ac:dyDescent="0.25">
      <c r="A1326" s="36">
        <v>30643862928</v>
      </c>
      <c r="B1326" t="s">
        <v>578</v>
      </c>
      <c r="C1326" s="35" t="s">
        <v>797</v>
      </c>
    </row>
    <row r="1327" spans="1:3" x14ac:dyDescent="0.25">
      <c r="A1327" s="36">
        <v>30709517976</v>
      </c>
      <c r="B1327" t="s">
        <v>579</v>
      </c>
    </row>
    <row r="1328" spans="1:3" x14ac:dyDescent="0.25">
      <c r="A1328" s="36">
        <v>20266254084</v>
      </c>
      <c r="B1328" t="s">
        <v>580</v>
      </c>
    </row>
    <row r="1329" spans="1:3" x14ac:dyDescent="0.25">
      <c r="A1329" s="36">
        <v>20277164192</v>
      </c>
      <c r="B1329" t="s">
        <v>1590</v>
      </c>
      <c r="C1329" s="35" t="s">
        <v>849</v>
      </c>
    </row>
    <row r="1330" spans="1:3" x14ac:dyDescent="0.25">
      <c r="A1330" s="36">
        <v>20244632034</v>
      </c>
      <c r="B1330" t="s">
        <v>1591</v>
      </c>
    </row>
    <row r="1331" spans="1:3" x14ac:dyDescent="0.25">
      <c r="A1331" s="36">
        <v>30707801987</v>
      </c>
      <c r="B1331" t="s">
        <v>581</v>
      </c>
    </row>
    <row r="1332" spans="1:3" x14ac:dyDescent="0.25">
      <c r="A1332" s="36">
        <v>52904417</v>
      </c>
      <c r="B1332" t="s">
        <v>1592</v>
      </c>
    </row>
    <row r="1333" spans="1:3" x14ac:dyDescent="0.25">
      <c r="A1333" s="36">
        <v>48937669</v>
      </c>
      <c r="B1333" t="s">
        <v>1593</v>
      </c>
    </row>
    <row r="1334" spans="1:3" x14ac:dyDescent="0.25">
      <c r="A1334" s="36">
        <v>20258213336</v>
      </c>
      <c r="B1334" t="s">
        <v>1594</v>
      </c>
    </row>
    <row r="1335" spans="1:3" x14ac:dyDescent="0.25">
      <c r="A1335" s="36">
        <v>11824489</v>
      </c>
      <c r="B1335" t="s">
        <v>1595</v>
      </c>
    </row>
    <row r="1336" spans="1:3" x14ac:dyDescent="0.25">
      <c r="A1336" s="36">
        <v>20043911369</v>
      </c>
      <c r="B1336" t="s">
        <v>1596</v>
      </c>
      <c r="C1336" s="35" t="s">
        <v>797</v>
      </c>
    </row>
    <row r="1337" spans="1:3" x14ac:dyDescent="0.25">
      <c r="A1337" s="36">
        <v>4869272</v>
      </c>
      <c r="B1337" t="s">
        <v>1597</v>
      </c>
    </row>
    <row r="1338" spans="1:3" x14ac:dyDescent="0.25">
      <c r="A1338" s="36">
        <v>30695542476</v>
      </c>
      <c r="B1338" t="s">
        <v>103</v>
      </c>
      <c r="C1338" s="35" t="s">
        <v>44</v>
      </c>
    </row>
    <row r="1339" spans="1:3" x14ac:dyDescent="0.25">
      <c r="A1339" s="36">
        <v>21644389</v>
      </c>
      <c r="B1339" t="s">
        <v>1598</v>
      </c>
    </row>
    <row r="1340" spans="1:3" x14ac:dyDescent="0.25">
      <c r="A1340" s="36">
        <v>30591633984</v>
      </c>
      <c r="B1340" t="s">
        <v>1599</v>
      </c>
      <c r="C1340" s="35" t="s">
        <v>797</v>
      </c>
    </row>
    <row r="1341" spans="1:3" x14ac:dyDescent="0.25">
      <c r="A1341" s="36">
        <v>93661336</v>
      </c>
      <c r="B1341" t="s">
        <v>1600</v>
      </c>
    </row>
    <row r="1342" spans="1:3" x14ac:dyDescent="0.25">
      <c r="A1342" s="36">
        <v>21831195</v>
      </c>
      <c r="B1342" t="s">
        <v>1601</v>
      </c>
    </row>
    <row r="1343" spans="1:3" x14ac:dyDescent="0.25">
      <c r="A1343" s="36">
        <v>20935729662</v>
      </c>
      <c r="B1343" t="s">
        <v>582</v>
      </c>
    </row>
    <row r="1344" spans="1:3" x14ac:dyDescent="0.25">
      <c r="A1344" s="36">
        <v>30716815710</v>
      </c>
      <c r="B1344" t="s">
        <v>1602</v>
      </c>
      <c r="C1344" s="35" t="s">
        <v>1603</v>
      </c>
    </row>
    <row r="1345" spans="1:3" x14ac:dyDescent="0.25">
      <c r="A1345" s="36">
        <v>30588917157</v>
      </c>
      <c r="B1345" t="s">
        <v>583</v>
      </c>
      <c r="C1345" s="35" t="s">
        <v>797</v>
      </c>
    </row>
    <row r="1346" spans="1:3" x14ac:dyDescent="0.25">
      <c r="A1346" s="36">
        <v>30687255492</v>
      </c>
      <c r="B1346" t="s">
        <v>584</v>
      </c>
    </row>
    <row r="1347" spans="1:3" x14ac:dyDescent="0.25">
      <c r="A1347" s="36">
        <v>30605041287</v>
      </c>
      <c r="B1347" t="s">
        <v>585</v>
      </c>
      <c r="C1347" s="35" t="s">
        <v>79</v>
      </c>
    </row>
    <row r="1348" spans="1:3" x14ac:dyDescent="0.25">
      <c r="A1348" s="36">
        <v>30715401114</v>
      </c>
      <c r="B1348" t="s">
        <v>586</v>
      </c>
      <c r="C1348" s="35" t="s">
        <v>81</v>
      </c>
    </row>
    <row r="1349" spans="1:3" x14ac:dyDescent="0.25">
      <c r="A1349" s="36">
        <v>6653678</v>
      </c>
      <c r="B1349" t="s">
        <v>1604</v>
      </c>
    </row>
    <row r="1350" spans="1:3" x14ac:dyDescent="0.25">
      <c r="A1350" s="36">
        <v>28332849</v>
      </c>
      <c r="B1350" t="s">
        <v>1605</v>
      </c>
    </row>
    <row r="1351" spans="1:3" x14ac:dyDescent="0.25">
      <c r="A1351" s="36">
        <v>16218369</v>
      </c>
      <c r="B1351" t="s">
        <v>587</v>
      </c>
    </row>
    <row r="1352" spans="1:3" x14ac:dyDescent="0.25">
      <c r="A1352" s="36">
        <v>33693786369</v>
      </c>
      <c r="B1352" t="s">
        <v>1606</v>
      </c>
      <c r="C1352" s="35" t="s">
        <v>797</v>
      </c>
    </row>
    <row r="1353" spans="1:3" x14ac:dyDescent="0.25">
      <c r="A1353" s="36">
        <v>23102546</v>
      </c>
      <c r="B1353" t="s">
        <v>1607</v>
      </c>
    </row>
    <row r="1354" spans="1:3" x14ac:dyDescent="0.25">
      <c r="A1354" s="36">
        <v>30707515232</v>
      </c>
      <c r="B1354" t="s">
        <v>588</v>
      </c>
    </row>
    <row r="1355" spans="1:3" x14ac:dyDescent="0.25">
      <c r="A1355" s="36">
        <v>30627583873</v>
      </c>
      <c r="B1355" t="s">
        <v>1608</v>
      </c>
      <c r="C1355" s="35" t="s">
        <v>44</v>
      </c>
    </row>
    <row r="1356" spans="1:3" x14ac:dyDescent="0.25">
      <c r="A1356" s="36">
        <v>12587820</v>
      </c>
      <c r="B1356" t="s">
        <v>1609</v>
      </c>
    </row>
    <row r="1357" spans="1:3" x14ac:dyDescent="0.25">
      <c r="A1357" s="36">
        <v>30715413678</v>
      </c>
      <c r="B1357" t="s">
        <v>1610</v>
      </c>
      <c r="C1357" s="35" t="s">
        <v>1611</v>
      </c>
    </row>
    <row r="1358" spans="1:3" x14ac:dyDescent="0.25">
      <c r="A1358" s="36">
        <v>20073771987</v>
      </c>
      <c r="B1358" t="s">
        <v>1612</v>
      </c>
    </row>
    <row r="1359" spans="1:3" x14ac:dyDescent="0.25">
      <c r="A1359" s="36">
        <v>27127809521</v>
      </c>
      <c r="B1359" t="s">
        <v>589</v>
      </c>
    </row>
    <row r="1360" spans="1:3" x14ac:dyDescent="0.25">
      <c r="A1360" s="36">
        <v>94061699</v>
      </c>
      <c r="B1360" t="s">
        <v>1613</v>
      </c>
    </row>
    <row r="1361" spans="1:3" x14ac:dyDescent="0.25">
      <c r="A1361" s="36">
        <v>30708084944</v>
      </c>
      <c r="B1361" t="s">
        <v>590</v>
      </c>
    </row>
    <row r="1362" spans="1:3" x14ac:dyDescent="0.25">
      <c r="A1362" s="36">
        <v>20280154602</v>
      </c>
      <c r="B1362" t="s">
        <v>1614</v>
      </c>
    </row>
    <row r="1363" spans="1:3" x14ac:dyDescent="0.25">
      <c r="A1363" s="36">
        <v>14547155</v>
      </c>
      <c r="B1363" t="s">
        <v>1615</v>
      </c>
    </row>
    <row r="1364" spans="1:3" x14ac:dyDescent="0.25">
      <c r="A1364" s="36">
        <v>27202824</v>
      </c>
      <c r="B1364" t="s">
        <v>1616</v>
      </c>
    </row>
    <row r="1365" spans="1:3" x14ac:dyDescent="0.25">
      <c r="A1365" s="36">
        <v>5242300</v>
      </c>
      <c r="B1365" t="s">
        <v>1617</v>
      </c>
    </row>
    <row r="1366" spans="1:3" x14ac:dyDescent="0.25">
      <c r="A1366" s="36">
        <v>23282830299</v>
      </c>
      <c r="B1366" t="s">
        <v>1618</v>
      </c>
      <c r="C1366" s="35" t="s">
        <v>829</v>
      </c>
    </row>
    <row r="1367" spans="1:3" x14ac:dyDescent="0.25">
      <c r="A1367" s="36">
        <v>26198343</v>
      </c>
      <c r="B1367" t="s">
        <v>591</v>
      </c>
    </row>
    <row r="1368" spans="1:3" x14ac:dyDescent="0.25">
      <c r="A1368" s="36">
        <v>23131563779</v>
      </c>
      <c r="B1368" t="s">
        <v>592</v>
      </c>
    </row>
    <row r="1369" spans="1:3" x14ac:dyDescent="0.25">
      <c r="A1369" s="36">
        <v>12409158</v>
      </c>
      <c r="B1369" t="s">
        <v>1619</v>
      </c>
    </row>
    <row r="1370" spans="1:3" x14ac:dyDescent="0.25">
      <c r="A1370" s="36">
        <v>4222871</v>
      </c>
      <c r="B1370" t="s">
        <v>1620</v>
      </c>
    </row>
    <row r="1371" spans="1:3" x14ac:dyDescent="0.25">
      <c r="A1371" s="36">
        <v>26879563</v>
      </c>
      <c r="B1371" t="s">
        <v>1621</v>
      </c>
    </row>
    <row r="1372" spans="1:3" x14ac:dyDescent="0.25">
      <c r="A1372" s="36">
        <v>5765391</v>
      </c>
      <c r="B1372" t="s">
        <v>1622</v>
      </c>
    </row>
    <row r="1373" spans="1:3" x14ac:dyDescent="0.25">
      <c r="A1373" s="36">
        <v>6047149</v>
      </c>
      <c r="B1373" t="s">
        <v>1623</v>
      </c>
    </row>
    <row r="1374" spans="1:3" x14ac:dyDescent="0.25">
      <c r="A1374" s="36">
        <v>11414</v>
      </c>
      <c r="B1374" t="s">
        <v>1624</v>
      </c>
    </row>
    <row r="1375" spans="1:3" x14ac:dyDescent="0.25">
      <c r="A1375" s="36">
        <v>20274327678</v>
      </c>
      <c r="B1375" t="s">
        <v>1625</v>
      </c>
      <c r="C1375" s="35" t="s">
        <v>794</v>
      </c>
    </row>
    <row r="1376" spans="1:3" x14ac:dyDescent="0.25">
      <c r="A1376" s="36">
        <v>20277890306</v>
      </c>
      <c r="B1376" t="s">
        <v>593</v>
      </c>
      <c r="C1376" s="35" t="s">
        <v>797</v>
      </c>
    </row>
    <row r="1377" spans="1:3" x14ac:dyDescent="0.25">
      <c r="A1377" s="36">
        <v>3474914</v>
      </c>
      <c r="B1377" t="s">
        <v>1626</v>
      </c>
    </row>
    <row r="1378" spans="1:3" x14ac:dyDescent="0.25">
      <c r="A1378" s="36">
        <v>30709975427</v>
      </c>
      <c r="B1378" t="s">
        <v>594</v>
      </c>
    </row>
    <row r="1379" spans="1:3" x14ac:dyDescent="0.25">
      <c r="A1379" s="36">
        <v>33714646899</v>
      </c>
      <c r="B1379" t="s">
        <v>595</v>
      </c>
    </row>
    <row r="1380" spans="1:3" x14ac:dyDescent="0.25">
      <c r="A1380" s="36">
        <v>27349179</v>
      </c>
      <c r="B1380" t="s">
        <v>1627</v>
      </c>
    </row>
    <row r="1381" spans="1:3" x14ac:dyDescent="0.25">
      <c r="A1381" s="36">
        <v>30504744538</v>
      </c>
      <c r="B1381" t="s">
        <v>104</v>
      </c>
    </row>
    <row r="1382" spans="1:3" x14ac:dyDescent="0.25">
      <c r="A1382" s="36">
        <v>27182477368</v>
      </c>
      <c r="B1382" t="s">
        <v>1628</v>
      </c>
      <c r="C1382" s="35" t="s">
        <v>811</v>
      </c>
    </row>
    <row r="1383" spans="1:3" x14ac:dyDescent="0.25">
      <c r="A1383" s="36">
        <v>27182477368</v>
      </c>
      <c r="B1383" t="s">
        <v>1628</v>
      </c>
      <c r="C1383" s="35" t="s">
        <v>811</v>
      </c>
    </row>
    <row r="1384" spans="1:3" x14ac:dyDescent="0.25">
      <c r="A1384" s="36">
        <v>27182477368</v>
      </c>
      <c r="B1384" t="s">
        <v>1628</v>
      </c>
    </row>
    <row r="1385" spans="1:3" x14ac:dyDescent="0.25">
      <c r="A1385" s="36">
        <v>30709645656</v>
      </c>
      <c r="B1385" t="s">
        <v>1629</v>
      </c>
    </row>
    <row r="1386" spans="1:3" x14ac:dyDescent="0.25">
      <c r="A1386" s="36">
        <v>20307462207</v>
      </c>
      <c r="B1386" t="s">
        <v>1630</v>
      </c>
    </row>
    <row r="1387" spans="1:3" x14ac:dyDescent="0.25">
      <c r="A1387" s="36">
        <v>20113613646</v>
      </c>
      <c r="B1387" t="s">
        <v>596</v>
      </c>
      <c r="C1387" s="35" t="s">
        <v>79</v>
      </c>
    </row>
    <row r="1388" spans="1:3" x14ac:dyDescent="0.25">
      <c r="A1388" s="36">
        <v>30502174904</v>
      </c>
      <c r="B1388" t="s">
        <v>597</v>
      </c>
      <c r="C1388" s="35" t="s">
        <v>797</v>
      </c>
    </row>
    <row r="1389" spans="1:3" x14ac:dyDescent="0.25">
      <c r="A1389" s="36">
        <v>30601502085</v>
      </c>
      <c r="B1389" t="s">
        <v>1631</v>
      </c>
      <c r="C1389" s="35" t="s">
        <v>1251</v>
      </c>
    </row>
    <row r="1390" spans="1:3" x14ac:dyDescent="0.25">
      <c r="A1390" s="36">
        <v>30707228098</v>
      </c>
      <c r="B1390" t="s">
        <v>598</v>
      </c>
    </row>
    <row r="1391" spans="1:3" x14ac:dyDescent="0.25">
      <c r="A1391" s="36">
        <v>30564068388</v>
      </c>
      <c r="B1391" t="s">
        <v>1632</v>
      </c>
      <c r="C1391" s="35" t="s">
        <v>797</v>
      </c>
    </row>
    <row r="1392" spans="1:3" x14ac:dyDescent="0.25">
      <c r="A1392" s="36">
        <v>20325657988</v>
      </c>
      <c r="B1392" t="s">
        <v>599</v>
      </c>
    </row>
    <row r="1393" spans="1:3" x14ac:dyDescent="0.25">
      <c r="A1393" s="36">
        <v>361628887</v>
      </c>
      <c r="B1393" t="s">
        <v>1633</v>
      </c>
    </row>
    <row r="1394" spans="1:3" x14ac:dyDescent="0.25">
      <c r="A1394" s="36">
        <v>30646512952</v>
      </c>
      <c r="B1394" t="s">
        <v>600</v>
      </c>
      <c r="C1394" s="35" t="s">
        <v>798</v>
      </c>
    </row>
    <row r="1395" spans="1:3" x14ac:dyDescent="0.25">
      <c r="A1395" s="36">
        <v>30577428618</v>
      </c>
      <c r="B1395" t="s">
        <v>105</v>
      </c>
      <c r="C1395" s="35" t="s">
        <v>797</v>
      </c>
    </row>
    <row r="1396" spans="1:3" x14ac:dyDescent="0.25">
      <c r="A1396" s="36">
        <v>30697754063</v>
      </c>
      <c r="B1396" t="s">
        <v>601</v>
      </c>
    </row>
    <row r="1397" spans="1:3" x14ac:dyDescent="0.25">
      <c r="A1397" s="36">
        <v>22873045</v>
      </c>
      <c r="B1397" t="s">
        <v>1634</v>
      </c>
    </row>
    <row r="1398" spans="1:3" x14ac:dyDescent="0.25">
      <c r="A1398" s="36">
        <v>27279386715</v>
      </c>
      <c r="B1398" t="s">
        <v>1635</v>
      </c>
      <c r="C1398" s="35" t="s">
        <v>79</v>
      </c>
    </row>
    <row r="1399" spans="1:3" x14ac:dyDescent="0.25">
      <c r="A1399" s="36">
        <v>23958603</v>
      </c>
      <c r="B1399" t="s">
        <v>1636</v>
      </c>
    </row>
    <row r="1400" spans="1:3" x14ac:dyDescent="0.25">
      <c r="A1400" s="36">
        <v>6470184</v>
      </c>
      <c r="B1400" t="s">
        <v>1637</v>
      </c>
    </row>
    <row r="1401" spans="1:3" x14ac:dyDescent="0.25">
      <c r="A1401" s="36">
        <v>6493229</v>
      </c>
      <c r="B1401" t="s">
        <v>1638</v>
      </c>
    </row>
    <row r="1402" spans="1:3" x14ac:dyDescent="0.25">
      <c r="A1402" s="36">
        <v>27370346742</v>
      </c>
      <c r="B1402" t="s">
        <v>1639</v>
      </c>
      <c r="C1402" s="35" t="s">
        <v>1640</v>
      </c>
    </row>
    <row r="1403" spans="1:3" x14ac:dyDescent="0.25">
      <c r="A1403" s="36">
        <v>14033578</v>
      </c>
      <c r="B1403" t="s">
        <v>1641</v>
      </c>
    </row>
    <row r="1404" spans="1:3" x14ac:dyDescent="0.25">
      <c r="A1404" s="36">
        <v>30555517757</v>
      </c>
      <c r="B1404" t="s">
        <v>602</v>
      </c>
    </row>
    <row r="1405" spans="1:3" x14ac:dyDescent="0.25">
      <c r="A1405" s="36">
        <v>3615198</v>
      </c>
      <c r="B1405" t="s">
        <v>1642</v>
      </c>
    </row>
    <row r="1406" spans="1:3" x14ac:dyDescent="0.25">
      <c r="A1406" s="36">
        <v>93355824</v>
      </c>
      <c r="B1406" t="s">
        <v>1643</v>
      </c>
    </row>
    <row r="1407" spans="1:3" x14ac:dyDescent="0.25">
      <c r="A1407" s="36">
        <v>20304493039</v>
      </c>
      <c r="B1407" t="s">
        <v>603</v>
      </c>
      <c r="C1407" s="35" t="s">
        <v>81</v>
      </c>
    </row>
    <row r="1408" spans="1:3" x14ac:dyDescent="0.25">
      <c r="A1408" s="36">
        <v>30601399446</v>
      </c>
      <c r="B1408" t="s">
        <v>604</v>
      </c>
    </row>
    <row r="1409" spans="1:3" x14ac:dyDescent="0.25">
      <c r="A1409" s="36">
        <v>30714249416</v>
      </c>
      <c r="B1409" t="s">
        <v>605</v>
      </c>
    </row>
    <row r="1410" spans="1:3" x14ac:dyDescent="0.25">
      <c r="A1410" s="36">
        <v>33517024819</v>
      </c>
      <c r="B1410" t="s">
        <v>606</v>
      </c>
      <c r="C1410" s="35" t="s">
        <v>797</v>
      </c>
    </row>
    <row r="1411" spans="1:3" x14ac:dyDescent="0.25">
      <c r="A1411" s="36">
        <v>30620177497</v>
      </c>
      <c r="B1411" t="s">
        <v>1644</v>
      </c>
      <c r="C1411" s="35" t="s">
        <v>79</v>
      </c>
    </row>
    <row r="1412" spans="1:3" x14ac:dyDescent="0.25">
      <c r="A1412" s="36">
        <v>27203132722</v>
      </c>
      <c r="B1412" t="s">
        <v>607</v>
      </c>
    </row>
    <row r="1413" spans="1:3" x14ac:dyDescent="0.25">
      <c r="A1413" s="36">
        <v>3051750</v>
      </c>
      <c r="B1413" t="s">
        <v>1645</v>
      </c>
    </row>
    <row r="1414" spans="1:3" x14ac:dyDescent="0.25">
      <c r="A1414" s="36">
        <v>27265302225</v>
      </c>
      <c r="B1414" t="s">
        <v>1646</v>
      </c>
      <c r="C1414" s="35" t="s">
        <v>797</v>
      </c>
    </row>
    <row r="1415" spans="1:3" x14ac:dyDescent="0.25">
      <c r="A1415" s="36">
        <v>30583464138</v>
      </c>
      <c r="B1415" t="s">
        <v>608</v>
      </c>
    </row>
    <row r="1416" spans="1:3" x14ac:dyDescent="0.25">
      <c r="A1416" s="36">
        <v>30715740806</v>
      </c>
      <c r="B1416" t="s">
        <v>1647</v>
      </c>
      <c r="C1416" s="35" t="s">
        <v>79</v>
      </c>
    </row>
    <row r="1417" spans="1:3" x14ac:dyDescent="0.25">
      <c r="A1417" s="36">
        <v>30711122911</v>
      </c>
      <c r="B1417" t="s">
        <v>609</v>
      </c>
    </row>
    <row r="1418" spans="1:3" x14ac:dyDescent="0.25">
      <c r="A1418" s="36">
        <v>20253804336</v>
      </c>
      <c r="B1418" t="s">
        <v>1648</v>
      </c>
    </row>
    <row r="1419" spans="1:3" x14ac:dyDescent="0.25">
      <c r="A1419" s="36">
        <v>30646400798</v>
      </c>
      <c r="B1419" t="s">
        <v>1649</v>
      </c>
      <c r="C1419" s="35" t="s">
        <v>79</v>
      </c>
    </row>
    <row r="1420" spans="1:3" x14ac:dyDescent="0.25">
      <c r="A1420" s="36">
        <v>30550005987</v>
      </c>
      <c r="B1420" t="s">
        <v>610</v>
      </c>
    </row>
    <row r="1421" spans="1:3" x14ac:dyDescent="0.25">
      <c r="A1421" s="36">
        <v>30709568260</v>
      </c>
      <c r="B1421" t="s">
        <v>611</v>
      </c>
      <c r="C1421" s="35" t="s">
        <v>81</v>
      </c>
    </row>
    <row r="1422" spans="1:3" x14ac:dyDescent="0.25">
      <c r="A1422" s="36">
        <v>30707970010</v>
      </c>
      <c r="B1422" t="s">
        <v>612</v>
      </c>
      <c r="C1422" s="35" t="s">
        <v>797</v>
      </c>
    </row>
    <row r="1423" spans="1:3" x14ac:dyDescent="0.25">
      <c r="A1423" s="36">
        <v>30709776564</v>
      </c>
      <c r="B1423" t="s">
        <v>1650</v>
      </c>
      <c r="C1423" s="35" t="s">
        <v>1651</v>
      </c>
    </row>
    <row r="1424" spans="1:3" x14ac:dyDescent="0.25">
      <c r="A1424" s="36">
        <v>33714326029</v>
      </c>
      <c r="B1424" t="s">
        <v>613</v>
      </c>
    </row>
    <row r="1425" spans="1:3" x14ac:dyDescent="0.25">
      <c r="A1425" s="36">
        <v>20285597405</v>
      </c>
      <c r="B1425" t="s">
        <v>1652</v>
      </c>
      <c r="C1425" s="35" t="s">
        <v>912</v>
      </c>
    </row>
    <row r="1426" spans="1:3" x14ac:dyDescent="0.25">
      <c r="A1426" s="36">
        <v>30710207190</v>
      </c>
      <c r="B1426" t="s">
        <v>614</v>
      </c>
    </row>
    <row r="1427" spans="1:3" x14ac:dyDescent="0.25">
      <c r="A1427" s="36">
        <v>30660432961</v>
      </c>
      <c r="B1427" t="s">
        <v>615</v>
      </c>
    </row>
    <row r="1428" spans="1:3" x14ac:dyDescent="0.25">
      <c r="A1428" s="36">
        <v>30716821478</v>
      </c>
      <c r="B1428" t="s">
        <v>1653</v>
      </c>
    </row>
    <row r="1429" spans="1:3" x14ac:dyDescent="0.25">
      <c r="A1429" s="36">
        <v>4756269</v>
      </c>
      <c r="B1429" t="s">
        <v>1654</v>
      </c>
    </row>
    <row r="1430" spans="1:3" x14ac:dyDescent="0.25">
      <c r="A1430" s="36">
        <v>17577085</v>
      </c>
      <c r="B1430" t="s">
        <v>1655</v>
      </c>
    </row>
    <row r="1431" spans="1:3" x14ac:dyDescent="0.25">
      <c r="A1431" s="36">
        <v>30503940147</v>
      </c>
      <c r="B1431" t="s">
        <v>616</v>
      </c>
    </row>
    <row r="1432" spans="1:3" x14ac:dyDescent="0.25">
      <c r="A1432" s="36">
        <v>27163348190</v>
      </c>
      <c r="B1432" t="s">
        <v>617</v>
      </c>
      <c r="C1432" s="35" t="s">
        <v>81</v>
      </c>
    </row>
    <row r="1433" spans="1:3" x14ac:dyDescent="0.25">
      <c r="A1433" s="36">
        <v>30517345039</v>
      </c>
      <c r="B1433" t="s">
        <v>618</v>
      </c>
      <c r="C1433" s="35" t="s">
        <v>81</v>
      </c>
    </row>
    <row r="1434" spans="1:3" x14ac:dyDescent="0.25">
      <c r="A1434" s="36">
        <v>3508610</v>
      </c>
      <c r="B1434" t="s">
        <v>1656</v>
      </c>
    </row>
    <row r="1435" spans="1:3" x14ac:dyDescent="0.25">
      <c r="A1435" s="36">
        <v>26429287</v>
      </c>
      <c r="B1435" t="s">
        <v>1657</v>
      </c>
    </row>
    <row r="1436" spans="1:3" x14ac:dyDescent="0.25">
      <c r="A1436" s="36">
        <v>30563006664</v>
      </c>
      <c r="B1436" t="s">
        <v>1658</v>
      </c>
      <c r="C1436" s="35" t="s">
        <v>797</v>
      </c>
    </row>
    <row r="1437" spans="1:3" x14ac:dyDescent="0.25">
      <c r="A1437" s="36">
        <v>20289111329</v>
      </c>
      <c r="B1437" t="s">
        <v>1659</v>
      </c>
      <c r="C1437" s="35" t="s">
        <v>81</v>
      </c>
    </row>
    <row r="1438" spans="1:3" x14ac:dyDescent="0.25">
      <c r="A1438" s="36">
        <v>12892105</v>
      </c>
      <c r="B1438" t="s">
        <v>619</v>
      </c>
    </row>
    <row r="1439" spans="1:3" x14ac:dyDescent="0.25">
      <c r="A1439" s="36">
        <v>27233748205</v>
      </c>
      <c r="B1439" t="s">
        <v>620</v>
      </c>
      <c r="C1439" s="35" t="s">
        <v>48</v>
      </c>
    </row>
    <row r="1440" spans="1:3" x14ac:dyDescent="0.25">
      <c r="A1440" s="36">
        <v>20082988786</v>
      </c>
      <c r="B1440" t="s">
        <v>621</v>
      </c>
      <c r="C1440" s="35" t="s">
        <v>797</v>
      </c>
    </row>
    <row r="1441" spans="1:3" x14ac:dyDescent="0.25">
      <c r="A1441" s="36">
        <v>30707370552</v>
      </c>
      <c r="B1441" t="s">
        <v>622</v>
      </c>
      <c r="C1441" s="35" t="s">
        <v>43</v>
      </c>
    </row>
    <row r="1442" spans="1:3" x14ac:dyDescent="0.25">
      <c r="A1442" s="36">
        <v>27179366741</v>
      </c>
      <c r="B1442" t="s">
        <v>623</v>
      </c>
    </row>
    <row r="1443" spans="1:3" x14ac:dyDescent="0.25">
      <c r="A1443" s="36">
        <v>20202500138</v>
      </c>
      <c r="B1443" t="s">
        <v>1660</v>
      </c>
      <c r="C1443" s="35" t="s">
        <v>43</v>
      </c>
    </row>
    <row r="1444" spans="1:3" x14ac:dyDescent="0.25">
      <c r="A1444" s="36">
        <v>20202500138</v>
      </c>
      <c r="B1444" t="s">
        <v>1660</v>
      </c>
      <c r="C1444" s="35" t="s">
        <v>43</v>
      </c>
    </row>
    <row r="1445" spans="1:3" x14ac:dyDescent="0.25">
      <c r="A1445" s="36">
        <v>8326838</v>
      </c>
      <c r="B1445" t="s">
        <v>1661</v>
      </c>
    </row>
    <row r="1446" spans="1:3" x14ac:dyDescent="0.25">
      <c r="A1446" s="36">
        <v>11801737</v>
      </c>
      <c r="B1446" t="s">
        <v>1662</v>
      </c>
    </row>
    <row r="1447" spans="1:3" x14ac:dyDescent="0.25">
      <c r="A1447" s="36">
        <v>30711877386</v>
      </c>
      <c r="B1447" t="s">
        <v>624</v>
      </c>
      <c r="C1447" s="35" t="s">
        <v>625</v>
      </c>
    </row>
    <row r="1448" spans="1:3" x14ac:dyDescent="0.25">
      <c r="A1448" s="36">
        <v>17301560</v>
      </c>
      <c r="B1448" t="s">
        <v>1663</v>
      </c>
    </row>
    <row r="1449" spans="1:3" x14ac:dyDescent="0.25">
      <c r="A1449" s="36">
        <v>18439118</v>
      </c>
      <c r="B1449" t="s">
        <v>1664</v>
      </c>
    </row>
    <row r="1450" spans="1:3" x14ac:dyDescent="0.25">
      <c r="A1450" s="36">
        <v>35827892</v>
      </c>
      <c r="B1450" t="s">
        <v>1665</v>
      </c>
    </row>
    <row r="1451" spans="1:3" x14ac:dyDescent="0.25">
      <c r="A1451" s="36">
        <v>30715645579</v>
      </c>
      <c r="B1451" t="s">
        <v>626</v>
      </c>
      <c r="C1451" s="35" t="s">
        <v>797</v>
      </c>
    </row>
    <row r="1452" spans="1:3" x14ac:dyDescent="0.25">
      <c r="A1452" s="36">
        <v>5124770</v>
      </c>
      <c r="B1452" t="s">
        <v>1666</v>
      </c>
    </row>
    <row r="1453" spans="1:3" x14ac:dyDescent="0.25">
      <c r="A1453" s="36">
        <v>20043154835</v>
      </c>
      <c r="B1453" t="s">
        <v>627</v>
      </c>
    </row>
    <row r="1454" spans="1:3" x14ac:dyDescent="0.25">
      <c r="A1454" s="36">
        <v>4648296</v>
      </c>
      <c r="B1454" t="s">
        <v>1667</v>
      </c>
    </row>
    <row r="1455" spans="1:3" x14ac:dyDescent="0.25">
      <c r="A1455" s="36">
        <v>12514398</v>
      </c>
      <c r="B1455" t="s">
        <v>1668</v>
      </c>
    </row>
    <row r="1456" spans="1:3" x14ac:dyDescent="0.25">
      <c r="A1456" s="36">
        <v>33708793219</v>
      </c>
      <c r="B1456" t="s">
        <v>628</v>
      </c>
      <c r="C1456" s="35" t="s">
        <v>79</v>
      </c>
    </row>
    <row r="1457" spans="1:3" x14ac:dyDescent="0.25">
      <c r="A1457" s="36">
        <v>30709836230</v>
      </c>
      <c r="B1457" t="s">
        <v>629</v>
      </c>
      <c r="C1457" s="35" t="s">
        <v>797</v>
      </c>
    </row>
    <row r="1458" spans="1:3" x14ac:dyDescent="0.25">
      <c r="A1458" s="36">
        <v>33711399149</v>
      </c>
      <c r="B1458" t="s">
        <v>630</v>
      </c>
    </row>
    <row r="1459" spans="1:3" x14ac:dyDescent="0.25">
      <c r="A1459" s="36">
        <v>23181104589</v>
      </c>
      <c r="B1459" t="s">
        <v>631</v>
      </c>
      <c r="C1459" s="35" t="s">
        <v>797</v>
      </c>
    </row>
    <row r="1460" spans="1:3" x14ac:dyDescent="0.25">
      <c r="A1460" s="36">
        <v>30711713138</v>
      </c>
      <c r="B1460" t="s">
        <v>632</v>
      </c>
      <c r="C1460" s="35" t="s">
        <v>81</v>
      </c>
    </row>
    <row r="1461" spans="1:3" x14ac:dyDescent="0.25">
      <c r="A1461" s="36">
        <v>14745566</v>
      </c>
      <c r="B1461" t="s">
        <v>1669</v>
      </c>
    </row>
    <row r="1462" spans="1:3" x14ac:dyDescent="0.25">
      <c r="A1462" s="36">
        <v>20085119614</v>
      </c>
      <c r="B1462" t="s">
        <v>633</v>
      </c>
    </row>
    <row r="1463" spans="1:3" x14ac:dyDescent="0.25">
      <c r="A1463" s="36">
        <v>30663944939</v>
      </c>
      <c r="B1463" t="s">
        <v>634</v>
      </c>
    </row>
    <row r="1464" spans="1:3" x14ac:dyDescent="0.25">
      <c r="A1464" s="36">
        <v>30715141201</v>
      </c>
      <c r="B1464" t="s">
        <v>635</v>
      </c>
      <c r="C1464" s="35" t="s">
        <v>797</v>
      </c>
    </row>
    <row r="1465" spans="1:3" x14ac:dyDescent="0.25">
      <c r="A1465" s="36">
        <v>30715141201</v>
      </c>
      <c r="B1465" t="s">
        <v>635</v>
      </c>
      <c r="C1465" s="35" t="s">
        <v>797</v>
      </c>
    </row>
    <row r="1466" spans="1:3" x14ac:dyDescent="0.25">
      <c r="A1466" s="36">
        <v>30715141201</v>
      </c>
      <c r="B1466" t="s">
        <v>635</v>
      </c>
      <c r="C1466" s="35" t="s">
        <v>797</v>
      </c>
    </row>
    <row r="1467" spans="1:3" x14ac:dyDescent="0.25">
      <c r="A1467" s="36">
        <v>30709214078</v>
      </c>
      <c r="B1467" t="s">
        <v>636</v>
      </c>
      <c r="C1467" s="35" t="s">
        <v>797</v>
      </c>
    </row>
    <row r="1468" spans="1:3" x14ac:dyDescent="0.25">
      <c r="A1468" s="36">
        <v>30709214078</v>
      </c>
      <c r="B1468" t="s">
        <v>1670</v>
      </c>
      <c r="C1468" s="35" t="s">
        <v>797</v>
      </c>
    </row>
    <row r="1469" spans="1:3" x14ac:dyDescent="0.25">
      <c r="A1469" s="36">
        <v>30709214078</v>
      </c>
      <c r="B1469" t="s">
        <v>1670</v>
      </c>
      <c r="C1469" s="35" t="s">
        <v>797</v>
      </c>
    </row>
    <row r="1470" spans="1:3" x14ac:dyDescent="0.25">
      <c r="A1470" s="36">
        <v>30711764921</v>
      </c>
      <c r="B1470" t="s">
        <v>1671</v>
      </c>
      <c r="C1470" s="35" t="s">
        <v>797</v>
      </c>
    </row>
    <row r="1471" spans="1:3" x14ac:dyDescent="0.25">
      <c r="A1471" s="36">
        <v>30711764921</v>
      </c>
      <c r="B1471" t="s">
        <v>1671</v>
      </c>
      <c r="C1471" s="35" t="s">
        <v>797</v>
      </c>
    </row>
    <row r="1472" spans="1:3" x14ac:dyDescent="0.25">
      <c r="A1472" s="36">
        <v>30711678820</v>
      </c>
      <c r="B1472" t="s">
        <v>1671</v>
      </c>
      <c r="C1472" s="35" t="s">
        <v>829</v>
      </c>
    </row>
    <row r="1473" spans="1:3" x14ac:dyDescent="0.25">
      <c r="A1473" s="36">
        <v>30710473990</v>
      </c>
      <c r="B1473" t="s">
        <v>1672</v>
      </c>
      <c r="C1473" s="35" t="s">
        <v>43</v>
      </c>
    </row>
    <row r="1474" spans="1:3" x14ac:dyDescent="0.25">
      <c r="A1474" s="36">
        <v>30501136510</v>
      </c>
      <c r="B1474" t="s">
        <v>637</v>
      </c>
    </row>
    <row r="1475" spans="1:3" x14ac:dyDescent="0.25">
      <c r="A1475" s="36">
        <v>20217488738</v>
      </c>
      <c r="B1475" t="s">
        <v>638</v>
      </c>
    </row>
    <row r="1476" spans="1:3" x14ac:dyDescent="0.25">
      <c r="A1476" s="36">
        <v>4546189</v>
      </c>
      <c r="B1476" t="s">
        <v>1673</v>
      </c>
    </row>
    <row r="1477" spans="1:3" x14ac:dyDescent="0.25">
      <c r="A1477" s="36">
        <v>30659553410</v>
      </c>
      <c r="B1477" t="s">
        <v>1674</v>
      </c>
    </row>
    <row r="1478" spans="1:3" x14ac:dyDescent="0.25">
      <c r="A1478" s="36">
        <v>23924735</v>
      </c>
      <c r="B1478" t="s">
        <v>1675</v>
      </c>
    </row>
    <row r="1479" spans="1:3" x14ac:dyDescent="0.25">
      <c r="A1479" s="36">
        <v>30708376554</v>
      </c>
      <c r="B1479" t="s">
        <v>639</v>
      </c>
      <c r="C1479" s="35" t="s">
        <v>797</v>
      </c>
    </row>
    <row r="1480" spans="1:3" x14ac:dyDescent="0.25">
      <c r="A1480" s="36">
        <v>30612958528</v>
      </c>
      <c r="B1480" t="s">
        <v>640</v>
      </c>
      <c r="C1480" s="35" t="s">
        <v>797</v>
      </c>
    </row>
    <row r="1481" spans="1:3" x14ac:dyDescent="0.25">
      <c r="A1481" s="36">
        <v>30525966859</v>
      </c>
      <c r="B1481" t="s">
        <v>641</v>
      </c>
    </row>
    <row r="1482" spans="1:3" x14ac:dyDescent="0.25">
      <c r="A1482" s="36">
        <v>20210807889</v>
      </c>
      <c r="B1482" t="s">
        <v>642</v>
      </c>
    </row>
    <row r="1483" spans="1:3" x14ac:dyDescent="0.25">
      <c r="A1483" s="36">
        <v>93576915</v>
      </c>
      <c r="B1483" t="s">
        <v>1676</v>
      </c>
    </row>
    <row r="1484" spans="1:3" x14ac:dyDescent="0.25">
      <c r="A1484" s="36">
        <v>30714642762</v>
      </c>
      <c r="B1484" t="s">
        <v>643</v>
      </c>
    </row>
    <row r="1485" spans="1:3" x14ac:dyDescent="0.25">
      <c r="A1485" s="36">
        <v>30608642869</v>
      </c>
      <c r="B1485" t="s">
        <v>644</v>
      </c>
    </row>
    <row r="1486" spans="1:3" x14ac:dyDescent="0.25">
      <c r="A1486" s="36">
        <v>30712273158</v>
      </c>
      <c r="B1486" t="s">
        <v>645</v>
      </c>
      <c r="C1486" s="35" t="s">
        <v>1213</v>
      </c>
    </row>
    <row r="1487" spans="1:3" x14ac:dyDescent="0.25">
      <c r="A1487" s="36">
        <v>23106878269</v>
      </c>
      <c r="B1487" t="s">
        <v>646</v>
      </c>
      <c r="C1487" s="35" t="s">
        <v>797</v>
      </c>
    </row>
    <row r="1488" spans="1:3" x14ac:dyDescent="0.25">
      <c r="A1488" s="36">
        <v>12080143</v>
      </c>
      <c r="B1488" t="s">
        <v>1677</v>
      </c>
    </row>
    <row r="1489" spans="1:3" x14ac:dyDescent="0.25">
      <c r="A1489" s="36">
        <v>30709497789</v>
      </c>
      <c r="B1489" t="s">
        <v>647</v>
      </c>
    </row>
    <row r="1490" spans="1:3" x14ac:dyDescent="0.25">
      <c r="A1490" s="36">
        <v>20162253310</v>
      </c>
      <c r="B1490" t="s">
        <v>648</v>
      </c>
      <c r="C1490" s="35" t="s">
        <v>79</v>
      </c>
    </row>
    <row r="1491" spans="1:3" x14ac:dyDescent="0.25">
      <c r="A1491" s="36">
        <v>20078690284</v>
      </c>
      <c r="B1491" t="s">
        <v>649</v>
      </c>
      <c r="C1491" s="35" t="s">
        <v>797</v>
      </c>
    </row>
    <row r="1492" spans="1:3" x14ac:dyDescent="0.25">
      <c r="A1492" s="36">
        <v>22225295</v>
      </c>
      <c r="B1492" t="s">
        <v>1678</v>
      </c>
    </row>
    <row r="1493" spans="1:3" x14ac:dyDescent="0.25">
      <c r="A1493" s="36">
        <v>30714732540</v>
      </c>
      <c r="B1493" t="s">
        <v>650</v>
      </c>
    </row>
    <row r="1494" spans="1:3" x14ac:dyDescent="0.25">
      <c r="A1494" s="36">
        <v>33715567089</v>
      </c>
      <c r="B1494" t="s">
        <v>651</v>
      </c>
      <c r="C1494" s="35" t="s">
        <v>797</v>
      </c>
    </row>
    <row r="1495" spans="1:3" x14ac:dyDescent="0.25">
      <c r="A1495" s="36">
        <v>11361026</v>
      </c>
      <c r="B1495" t="s">
        <v>1679</v>
      </c>
    </row>
    <row r="1496" spans="1:3" x14ac:dyDescent="0.25">
      <c r="A1496" s="36">
        <v>20120875141</v>
      </c>
      <c r="B1496" t="s">
        <v>652</v>
      </c>
      <c r="C1496" s="35" t="s">
        <v>797</v>
      </c>
    </row>
    <row r="1497" spans="1:3" x14ac:dyDescent="0.25">
      <c r="A1497" s="36">
        <v>22717507</v>
      </c>
      <c r="B1497" t="s">
        <v>1680</v>
      </c>
    </row>
    <row r="1498" spans="1:3" x14ac:dyDescent="0.25">
      <c r="A1498" s="36">
        <v>20049749814</v>
      </c>
      <c r="B1498" t="s">
        <v>653</v>
      </c>
    </row>
    <row r="1499" spans="1:3" x14ac:dyDescent="0.25">
      <c r="A1499" s="36">
        <v>33716449829</v>
      </c>
      <c r="B1499" t="s">
        <v>1681</v>
      </c>
      <c r="C1499" s="35" t="s">
        <v>794</v>
      </c>
    </row>
    <row r="1500" spans="1:3" x14ac:dyDescent="0.25">
      <c r="A1500" s="36">
        <v>30642659312</v>
      </c>
      <c r="B1500" t="s">
        <v>1682</v>
      </c>
      <c r="C1500" s="35" t="s">
        <v>829</v>
      </c>
    </row>
    <row r="1501" spans="1:3" x14ac:dyDescent="0.25">
      <c r="A1501" s="36">
        <v>30708263849</v>
      </c>
      <c r="B1501" t="s">
        <v>654</v>
      </c>
    </row>
    <row r="1502" spans="1:3" x14ac:dyDescent="0.25">
      <c r="A1502" s="36">
        <v>20110668733</v>
      </c>
      <c r="B1502" t="s">
        <v>655</v>
      </c>
      <c r="C1502" s="35" t="s">
        <v>797</v>
      </c>
    </row>
    <row r="1503" spans="1:3" x14ac:dyDescent="0.25">
      <c r="A1503" s="36">
        <v>23233422029</v>
      </c>
      <c r="B1503" t="s">
        <v>1683</v>
      </c>
      <c r="C1503" s="35" t="s">
        <v>797</v>
      </c>
    </row>
    <row r="1504" spans="1:3" x14ac:dyDescent="0.25">
      <c r="A1504" s="36">
        <v>21826425</v>
      </c>
      <c r="B1504" t="s">
        <v>1684</v>
      </c>
    </row>
    <row r="1505" spans="1:3" x14ac:dyDescent="0.25">
      <c r="A1505" s="36">
        <v>28601556</v>
      </c>
      <c r="B1505" t="s">
        <v>1685</v>
      </c>
    </row>
    <row r="1506" spans="1:3" x14ac:dyDescent="0.25">
      <c r="A1506" s="36">
        <v>32150883</v>
      </c>
      <c r="B1506" t="s">
        <v>1686</v>
      </c>
    </row>
    <row r="1507" spans="1:3" x14ac:dyDescent="0.25">
      <c r="A1507" s="36">
        <v>23602940</v>
      </c>
      <c r="B1507" t="s">
        <v>1687</v>
      </c>
    </row>
    <row r="1508" spans="1:3" x14ac:dyDescent="0.25">
      <c r="A1508" s="36">
        <v>10401112</v>
      </c>
      <c r="B1508" t="s">
        <v>1688</v>
      </c>
    </row>
    <row r="1509" spans="1:3" x14ac:dyDescent="0.25">
      <c r="A1509" s="36">
        <v>30576393381</v>
      </c>
      <c r="B1509" t="s">
        <v>656</v>
      </c>
      <c r="C1509" s="35" t="s">
        <v>798</v>
      </c>
    </row>
    <row r="1510" spans="1:3" x14ac:dyDescent="0.25">
      <c r="A1510" s="36">
        <v>382591</v>
      </c>
      <c r="B1510" t="s">
        <v>1689</v>
      </c>
    </row>
    <row r="1511" spans="1:3" x14ac:dyDescent="0.25">
      <c r="A1511" s="36">
        <v>17938295</v>
      </c>
      <c r="B1511" t="s">
        <v>1690</v>
      </c>
    </row>
    <row r="1512" spans="1:3" x14ac:dyDescent="0.25">
      <c r="A1512" s="36">
        <v>93478936</v>
      </c>
      <c r="B1512" t="s">
        <v>1691</v>
      </c>
    </row>
    <row r="1513" spans="1:3" x14ac:dyDescent="0.25">
      <c r="A1513" s="36">
        <v>27313805293</v>
      </c>
      <c r="B1513" t="s">
        <v>1692</v>
      </c>
      <c r="C1513" s="35" t="s">
        <v>912</v>
      </c>
    </row>
    <row r="1514" spans="1:3" x14ac:dyDescent="0.25">
      <c r="A1514" s="36">
        <v>7677058</v>
      </c>
      <c r="B1514" t="s">
        <v>1693</v>
      </c>
    </row>
    <row r="1515" spans="1:3" x14ac:dyDescent="0.25">
      <c r="A1515" s="36">
        <v>30714654701</v>
      </c>
      <c r="B1515" t="s">
        <v>657</v>
      </c>
      <c r="C1515" s="35" t="s">
        <v>819</v>
      </c>
    </row>
    <row r="1516" spans="1:3" x14ac:dyDescent="0.25">
      <c r="A1516" s="36">
        <v>936104225</v>
      </c>
      <c r="B1516" t="s">
        <v>1694</v>
      </c>
    </row>
    <row r="1517" spans="1:3" x14ac:dyDescent="0.25">
      <c r="A1517" s="36">
        <v>30708552808</v>
      </c>
      <c r="B1517" t="s">
        <v>1695</v>
      </c>
      <c r="C1517" s="35" t="s">
        <v>44</v>
      </c>
    </row>
    <row r="1518" spans="1:3" x14ac:dyDescent="0.25">
      <c r="A1518" s="36">
        <v>20233320294</v>
      </c>
      <c r="B1518" t="s">
        <v>658</v>
      </c>
      <c r="C1518" s="35" t="s">
        <v>797</v>
      </c>
    </row>
    <row r="1519" spans="1:3" x14ac:dyDescent="0.25">
      <c r="A1519" s="36">
        <v>16129863</v>
      </c>
      <c r="B1519" t="s">
        <v>1696</v>
      </c>
    </row>
    <row r="1520" spans="1:3" x14ac:dyDescent="0.25">
      <c r="A1520" s="36">
        <v>30715048066</v>
      </c>
      <c r="B1520" t="s">
        <v>106</v>
      </c>
      <c r="C1520" s="35" t="s">
        <v>1040</v>
      </c>
    </row>
    <row r="1521" spans="1:3" x14ac:dyDescent="0.25">
      <c r="A1521" s="36">
        <v>20043702611</v>
      </c>
      <c r="B1521" t="s">
        <v>659</v>
      </c>
      <c r="C1521" s="35" t="s">
        <v>797</v>
      </c>
    </row>
    <row r="1522" spans="1:3" x14ac:dyDescent="0.25">
      <c r="A1522" s="36">
        <v>20229507525</v>
      </c>
      <c r="B1522" t="s">
        <v>660</v>
      </c>
    </row>
    <row r="1523" spans="1:3" x14ac:dyDescent="0.25">
      <c r="A1523" s="36">
        <v>30521596135</v>
      </c>
      <c r="B1523" t="s">
        <v>661</v>
      </c>
      <c r="C1523" s="35" t="s">
        <v>797</v>
      </c>
    </row>
    <row r="1524" spans="1:3" x14ac:dyDescent="0.25">
      <c r="A1524" s="36">
        <v>154933</v>
      </c>
      <c r="B1524" t="s">
        <v>1697</v>
      </c>
    </row>
    <row r="1525" spans="1:3" x14ac:dyDescent="0.25">
      <c r="A1525" s="36">
        <v>35157074</v>
      </c>
      <c r="B1525" t="s">
        <v>1698</v>
      </c>
    </row>
    <row r="1526" spans="1:3" x14ac:dyDescent="0.25">
      <c r="A1526" s="36">
        <v>11457372</v>
      </c>
      <c r="B1526" t="s">
        <v>1699</v>
      </c>
    </row>
    <row r="1527" spans="1:3" x14ac:dyDescent="0.25">
      <c r="A1527" s="36">
        <v>20435515</v>
      </c>
      <c r="B1527" t="s">
        <v>1700</v>
      </c>
    </row>
    <row r="1528" spans="1:3" x14ac:dyDescent="0.25">
      <c r="A1528" s="36">
        <v>24179800</v>
      </c>
      <c r="B1528" t="s">
        <v>1701</v>
      </c>
    </row>
    <row r="1529" spans="1:3" x14ac:dyDescent="0.25">
      <c r="A1529" s="36">
        <v>5071185</v>
      </c>
      <c r="B1529" t="s">
        <v>1702</v>
      </c>
    </row>
    <row r="1530" spans="1:3" x14ac:dyDescent="0.25">
      <c r="A1530" s="36">
        <v>26201741</v>
      </c>
      <c r="B1530" t="s">
        <v>1703</v>
      </c>
    </row>
    <row r="1531" spans="1:3" x14ac:dyDescent="0.25">
      <c r="A1531" s="36">
        <v>26201741</v>
      </c>
      <c r="B1531" t="s">
        <v>1703</v>
      </c>
    </row>
    <row r="1532" spans="1:3" x14ac:dyDescent="0.25">
      <c r="A1532" s="36">
        <v>30023546</v>
      </c>
      <c r="B1532" t="s">
        <v>1704</v>
      </c>
    </row>
    <row r="1533" spans="1:3" x14ac:dyDescent="0.25">
      <c r="A1533" s="36">
        <v>4059810</v>
      </c>
      <c r="B1533" t="s">
        <v>1705</v>
      </c>
    </row>
    <row r="1534" spans="1:3" x14ac:dyDescent="0.25">
      <c r="A1534" s="36">
        <v>94075695</v>
      </c>
      <c r="B1534" t="s">
        <v>1706</v>
      </c>
    </row>
    <row r="1535" spans="1:3" x14ac:dyDescent="0.25">
      <c r="A1535" s="36">
        <v>23122329119</v>
      </c>
      <c r="B1535" t="s">
        <v>1707</v>
      </c>
      <c r="C1535" s="35" t="s">
        <v>46</v>
      </c>
    </row>
    <row r="1536" spans="1:3" x14ac:dyDescent="0.25">
      <c r="A1536" s="36">
        <v>27824095</v>
      </c>
      <c r="B1536" t="s">
        <v>1708</v>
      </c>
    </row>
    <row r="1537" spans="1:3" x14ac:dyDescent="0.25">
      <c r="A1537" s="36">
        <v>20351722585</v>
      </c>
      <c r="B1537" t="s">
        <v>1709</v>
      </c>
      <c r="C1537" s="35" t="s">
        <v>1710</v>
      </c>
    </row>
    <row r="1538" spans="1:3" x14ac:dyDescent="0.25">
      <c r="A1538" s="36">
        <v>4829719</v>
      </c>
      <c r="B1538" t="s">
        <v>662</v>
      </c>
    </row>
    <row r="1539" spans="1:3" x14ac:dyDescent="0.25">
      <c r="A1539" s="36">
        <v>17534043</v>
      </c>
      <c r="B1539" t="s">
        <v>1711</v>
      </c>
    </row>
    <row r="1540" spans="1:3" x14ac:dyDescent="0.25">
      <c r="A1540" s="36">
        <v>30540721722</v>
      </c>
      <c r="B1540" t="s">
        <v>663</v>
      </c>
      <c r="C1540" s="35" t="s">
        <v>797</v>
      </c>
    </row>
    <row r="1541" spans="1:3" x14ac:dyDescent="0.25">
      <c r="A1541" s="36">
        <v>26052364</v>
      </c>
      <c r="B1541" t="s">
        <v>1712</v>
      </c>
    </row>
    <row r="1542" spans="1:3" x14ac:dyDescent="0.25">
      <c r="A1542" s="36">
        <v>30714628646</v>
      </c>
      <c r="B1542" t="s">
        <v>1713</v>
      </c>
      <c r="C1542" s="35" t="s">
        <v>1251</v>
      </c>
    </row>
    <row r="1543" spans="1:3" x14ac:dyDescent="0.25">
      <c r="A1543" s="36">
        <v>5589710</v>
      </c>
      <c r="B1543" t="s">
        <v>1714</v>
      </c>
    </row>
    <row r="1544" spans="1:3" x14ac:dyDescent="0.25">
      <c r="A1544" s="36">
        <v>4351726</v>
      </c>
      <c r="B1544" t="s">
        <v>1715</v>
      </c>
    </row>
    <row r="1545" spans="1:3" x14ac:dyDescent="0.25">
      <c r="A1545" s="36">
        <v>4351726</v>
      </c>
      <c r="B1545" t="s">
        <v>1715</v>
      </c>
    </row>
    <row r="1546" spans="1:3" x14ac:dyDescent="0.25">
      <c r="A1546" s="36">
        <v>30595553535</v>
      </c>
      <c r="B1546" t="s">
        <v>1716</v>
      </c>
      <c r="C1546" s="35" t="s">
        <v>1717</v>
      </c>
    </row>
    <row r="1547" spans="1:3" x14ac:dyDescent="0.25">
      <c r="A1547" s="36">
        <v>93352172</v>
      </c>
      <c r="B1547" t="s">
        <v>1718</v>
      </c>
    </row>
    <row r="1548" spans="1:3" x14ac:dyDescent="0.25">
      <c r="A1548" s="36">
        <v>514546</v>
      </c>
      <c r="B1548" t="s">
        <v>1719</v>
      </c>
    </row>
    <row r="1549" spans="1:3" x14ac:dyDescent="0.25">
      <c r="A1549" s="36">
        <v>20044272009</v>
      </c>
      <c r="B1549" t="s">
        <v>1720</v>
      </c>
      <c r="C1549" s="35" t="s">
        <v>1603</v>
      </c>
    </row>
    <row r="1550" spans="1:3" x14ac:dyDescent="0.25">
      <c r="A1550" s="36">
        <v>30710444877</v>
      </c>
      <c r="B1550" t="s">
        <v>664</v>
      </c>
      <c r="C1550" s="35" t="s">
        <v>79</v>
      </c>
    </row>
    <row r="1551" spans="1:3" x14ac:dyDescent="0.25">
      <c r="A1551" s="36">
        <v>33709108129</v>
      </c>
      <c r="B1551" t="s">
        <v>665</v>
      </c>
      <c r="C1551" s="35" t="s">
        <v>79</v>
      </c>
    </row>
    <row r="1552" spans="1:3" x14ac:dyDescent="0.25">
      <c r="A1552" s="36">
        <v>30506730038</v>
      </c>
      <c r="B1552" t="s">
        <v>666</v>
      </c>
    </row>
    <row r="1553" spans="1:3" x14ac:dyDescent="0.25">
      <c r="A1553" s="36">
        <v>11802827</v>
      </c>
      <c r="B1553" t="s">
        <v>1721</v>
      </c>
    </row>
    <row r="1554" spans="1:3" x14ac:dyDescent="0.25">
      <c r="A1554" s="36">
        <v>20254412490</v>
      </c>
      <c r="B1554" t="s">
        <v>1722</v>
      </c>
    </row>
    <row r="1555" spans="1:3" x14ac:dyDescent="0.25">
      <c r="A1555" s="36">
        <v>30558706836</v>
      </c>
      <c r="B1555" t="s">
        <v>667</v>
      </c>
      <c r="C1555" s="35" t="s">
        <v>797</v>
      </c>
    </row>
    <row r="1556" spans="1:3" x14ac:dyDescent="0.25">
      <c r="A1556" s="36">
        <v>56980</v>
      </c>
      <c r="B1556" t="s">
        <v>1723</v>
      </c>
    </row>
    <row r="1557" spans="1:3" x14ac:dyDescent="0.25">
      <c r="A1557" s="36">
        <v>30610511801</v>
      </c>
      <c r="B1557" t="s">
        <v>668</v>
      </c>
    </row>
    <row r="1558" spans="1:3" x14ac:dyDescent="0.25">
      <c r="A1558" s="36">
        <v>23111810184</v>
      </c>
      <c r="B1558" t="s">
        <v>1724</v>
      </c>
    </row>
    <row r="1559" spans="1:3" x14ac:dyDescent="0.25">
      <c r="A1559" s="36">
        <v>4379902</v>
      </c>
      <c r="B1559" t="s">
        <v>1725</v>
      </c>
    </row>
    <row r="1560" spans="1:3" x14ac:dyDescent="0.25">
      <c r="A1560" s="36">
        <v>23043799029</v>
      </c>
      <c r="B1560" t="s">
        <v>1726</v>
      </c>
    </row>
    <row r="1561" spans="1:3" x14ac:dyDescent="0.25">
      <c r="A1561" s="36">
        <v>30500529071</v>
      </c>
      <c r="B1561" t="s">
        <v>669</v>
      </c>
      <c r="C1561" s="35" t="s">
        <v>797</v>
      </c>
    </row>
    <row r="1562" spans="1:3" x14ac:dyDescent="0.25">
      <c r="A1562" s="36">
        <v>6209031</v>
      </c>
      <c r="B1562" t="s">
        <v>670</v>
      </c>
    </row>
    <row r="1563" spans="1:3" x14ac:dyDescent="0.25">
      <c r="A1563" s="36">
        <v>30645585654</v>
      </c>
      <c r="B1563" t="s">
        <v>671</v>
      </c>
    </row>
    <row r="1564" spans="1:3" x14ac:dyDescent="0.25">
      <c r="A1564" s="36">
        <v>30300307</v>
      </c>
      <c r="B1564" t="s">
        <v>1727</v>
      </c>
    </row>
    <row r="1565" spans="1:3" x14ac:dyDescent="0.25">
      <c r="A1565" s="36">
        <v>30711553564</v>
      </c>
      <c r="B1565" t="s">
        <v>672</v>
      </c>
      <c r="C1565" s="35" t="s">
        <v>797</v>
      </c>
    </row>
    <row r="1566" spans="1:3" x14ac:dyDescent="0.25">
      <c r="A1566" s="36">
        <v>5777427</v>
      </c>
      <c r="B1566" t="s">
        <v>1728</v>
      </c>
    </row>
    <row r="1567" spans="1:3" x14ac:dyDescent="0.25">
      <c r="A1567" s="36">
        <v>32187169</v>
      </c>
      <c r="B1567" t="s">
        <v>1729</v>
      </c>
    </row>
    <row r="1568" spans="1:3" x14ac:dyDescent="0.25">
      <c r="A1568" s="36">
        <v>4775767</v>
      </c>
      <c r="B1568" t="s">
        <v>1730</v>
      </c>
    </row>
    <row r="1569" spans="1:3" x14ac:dyDescent="0.25">
      <c r="A1569" s="36">
        <v>13417805</v>
      </c>
      <c r="B1569" t="s">
        <v>1731</v>
      </c>
    </row>
    <row r="1570" spans="1:3" x14ac:dyDescent="0.25">
      <c r="A1570" s="36">
        <v>22001100</v>
      </c>
      <c r="B1570" t="s">
        <v>1732</v>
      </c>
    </row>
    <row r="1571" spans="1:3" x14ac:dyDescent="0.25">
      <c r="A1571" s="36">
        <v>94018871</v>
      </c>
      <c r="B1571" t="s">
        <v>673</v>
      </c>
    </row>
    <row r="1572" spans="1:3" x14ac:dyDescent="0.25">
      <c r="A1572" s="36">
        <v>264681</v>
      </c>
      <c r="B1572" t="s">
        <v>1733</v>
      </c>
    </row>
    <row r="1573" spans="1:3" x14ac:dyDescent="0.25">
      <c r="A1573" s="36">
        <v>1132896</v>
      </c>
      <c r="B1573" t="s">
        <v>1734</v>
      </c>
    </row>
    <row r="1574" spans="1:3" x14ac:dyDescent="0.25">
      <c r="A1574" s="36">
        <v>23144667239</v>
      </c>
      <c r="B1574" t="s">
        <v>1735</v>
      </c>
      <c r="C1574" s="35" t="s">
        <v>79</v>
      </c>
    </row>
    <row r="1575" spans="1:3" x14ac:dyDescent="0.25">
      <c r="A1575" s="36">
        <v>11836061</v>
      </c>
      <c r="B1575" t="s">
        <v>1736</v>
      </c>
    </row>
    <row r="1576" spans="1:3" x14ac:dyDescent="0.25">
      <c r="A1576" s="36">
        <v>30586172308</v>
      </c>
      <c r="B1576" t="s">
        <v>1737</v>
      </c>
      <c r="C1576" s="35" t="s">
        <v>46</v>
      </c>
    </row>
    <row r="1577" spans="1:3" x14ac:dyDescent="0.25">
      <c r="A1577" s="36">
        <v>1404947</v>
      </c>
      <c r="B1577" t="s">
        <v>1738</v>
      </c>
    </row>
    <row r="1578" spans="1:3" x14ac:dyDescent="0.25">
      <c r="A1578" s="36">
        <v>27217606255</v>
      </c>
      <c r="B1578" t="s">
        <v>1739</v>
      </c>
      <c r="C1578" s="35" t="s">
        <v>829</v>
      </c>
    </row>
    <row r="1579" spans="1:3" x14ac:dyDescent="0.25">
      <c r="A1579" s="36">
        <v>4365206</v>
      </c>
      <c r="B1579" t="s">
        <v>1740</v>
      </c>
    </row>
    <row r="1580" spans="1:3" x14ac:dyDescent="0.25">
      <c r="A1580" s="36">
        <v>4559651</v>
      </c>
      <c r="B1580" t="s">
        <v>1741</v>
      </c>
    </row>
    <row r="1581" spans="1:3" x14ac:dyDescent="0.25">
      <c r="A1581" s="36">
        <v>30714079405</v>
      </c>
      <c r="B1581" t="s">
        <v>674</v>
      </c>
      <c r="C1581" s="35" t="s">
        <v>81</v>
      </c>
    </row>
    <row r="1582" spans="1:3" x14ac:dyDescent="0.25">
      <c r="A1582" s="36">
        <v>27240421513</v>
      </c>
      <c r="B1582" t="s">
        <v>675</v>
      </c>
    </row>
    <row r="1583" spans="1:3" x14ac:dyDescent="0.25">
      <c r="A1583" s="36">
        <v>23255491784</v>
      </c>
      <c r="B1583" t="s">
        <v>1742</v>
      </c>
      <c r="C1583" s="35" t="s">
        <v>829</v>
      </c>
    </row>
    <row r="1584" spans="1:3" x14ac:dyDescent="0.25">
      <c r="A1584" s="36">
        <v>23327802</v>
      </c>
      <c r="B1584" t="s">
        <v>1743</v>
      </c>
    </row>
    <row r="1585" spans="1:3" x14ac:dyDescent="0.25">
      <c r="A1585" s="36">
        <v>9861710</v>
      </c>
      <c r="B1585" t="s">
        <v>1744</v>
      </c>
    </row>
    <row r="1586" spans="1:3" x14ac:dyDescent="0.25">
      <c r="A1586" s="36">
        <v>33693506099</v>
      </c>
      <c r="B1586" t="s">
        <v>1745</v>
      </c>
      <c r="C1586" s="35" t="s">
        <v>1037</v>
      </c>
    </row>
    <row r="1587" spans="1:3" x14ac:dyDescent="0.25">
      <c r="A1587" s="36">
        <v>14123802</v>
      </c>
      <c r="B1587" t="s">
        <v>1746</v>
      </c>
    </row>
    <row r="1588" spans="1:3" x14ac:dyDescent="0.25">
      <c r="A1588" s="36">
        <v>17223302</v>
      </c>
      <c r="B1588" t="s">
        <v>1747</v>
      </c>
    </row>
    <row r="1589" spans="1:3" x14ac:dyDescent="0.25">
      <c r="A1589" s="36">
        <v>16593371</v>
      </c>
      <c r="B1589" t="s">
        <v>1748</v>
      </c>
    </row>
    <row r="1590" spans="1:3" x14ac:dyDescent="0.25">
      <c r="A1590" s="36">
        <v>20043688937</v>
      </c>
      <c r="B1590" t="s">
        <v>1749</v>
      </c>
    </row>
    <row r="1591" spans="1:3" x14ac:dyDescent="0.25">
      <c r="A1591" s="36">
        <v>43224968</v>
      </c>
      <c r="B1591" t="s">
        <v>1750</v>
      </c>
    </row>
    <row r="1592" spans="1:3" x14ac:dyDescent="0.25">
      <c r="A1592" s="36">
        <v>26690839</v>
      </c>
      <c r="B1592" t="s">
        <v>1751</v>
      </c>
    </row>
    <row r="1593" spans="1:3" x14ac:dyDescent="0.25">
      <c r="A1593" s="36">
        <v>30708428082</v>
      </c>
      <c r="B1593" t="s">
        <v>676</v>
      </c>
    </row>
    <row r="1594" spans="1:3" x14ac:dyDescent="0.25">
      <c r="A1594" s="36">
        <v>18215010</v>
      </c>
      <c r="B1594" t="s">
        <v>1752</v>
      </c>
    </row>
    <row r="1595" spans="1:3" x14ac:dyDescent="0.25">
      <c r="A1595" s="36">
        <v>30690142860</v>
      </c>
      <c r="B1595" t="s">
        <v>1753</v>
      </c>
      <c r="C1595" s="35" t="s">
        <v>794</v>
      </c>
    </row>
    <row r="1596" spans="1:3" x14ac:dyDescent="0.25">
      <c r="A1596" s="36">
        <v>30638340689</v>
      </c>
      <c r="B1596" t="s">
        <v>1754</v>
      </c>
      <c r="C1596" s="35" t="s">
        <v>829</v>
      </c>
    </row>
    <row r="1597" spans="1:3" x14ac:dyDescent="0.25">
      <c r="A1597" s="36">
        <v>30631047145</v>
      </c>
      <c r="B1597" t="s">
        <v>677</v>
      </c>
      <c r="C1597" s="35" t="s">
        <v>797</v>
      </c>
    </row>
    <row r="1598" spans="1:3" x14ac:dyDescent="0.25">
      <c r="A1598" s="36">
        <v>30711105014</v>
      </c>
      <c r="B1598" t="s">
        <v>678</v>
      </c>
    </row>
    <row r="1599" spans="1:3" x14ac:dyDescent="0.25">
      <c r="A1599" s="36">
        <v>30683684143</v>
      </c>
      <c r="B1599" t="s">
        <v>679</v>
      </c>
    </row>
    <row r="1600" spans="1:3" x14ac:dyDescent="0.25">
      <c r="A1600" s="36">
        <v>30645330184</v>
      </c>
      <c r="B1600" t="s">
        <v>680</v>
      </c>
    </row>
    <row r="1601" spans="1:3" x14ac:dyDescent="0.25">
      <c r="A1601" s="36">
        <v>30610025915</v>
      </c>
      <c r="B1601" t="s">
        <v>681</v>
      </c>
    </row>
    <row r="1602" spans="1:3" x14ac:dyDescent="0.25">
      <c r="A1602" s="36">
        <v>30616500593</v>
      </c>
      <c r="B1602" t="s">
        <v>682</v>
      </c>
    </row>
    <row r="1603" spans="1:3" x14ac:dyDescent="0.25">
      <c r="A1603" s="36">
        <v>30710682026</v>
      </c>
      <c r="B1603" t="s">
        <v>1755</v>
      </c>
      <c r="C1603" s="35" t="s">
        <v>912</v>
      </c>
    </row>
    <row r="1604" spans="1:3" x14ac:dyDescent="0.25">
      <c r="A1604" s="36">
        <v>1317770</v>
      </c>
      <c r="B1604" t="s">
        <v>1756</v>
      </c>
    </row>
    <row r="1605" spans="1:3" x14ac:dyDescent="0.25">
      <c r="A1605" s="36">
        <v>30645722554</v>
      </c>
      <c r="B1605" t="s">
        <v>1757</v>
      </c>
    </row>
    <row r="1606" spans="1:3" x14ac:dyDescent="0.25">
      <c r="A1606" s="36">
        <v>30574300858</v>
      </c>
      <c r="B1606" t="s">
        <v>683</v>
      </c>
      <c r="C1606" s="35" t="s">
        <v>44</v>
      </c>
    </row>
    <row r="1607" spans="1:3" x14ac:dyDescent="0.25">
      <c r="A1607" s="36">
        <v>30699419245</v>
      </c>
      <c r="B1607" t="s">
        <v>684</v>
      </c>
      <c r="C1607" s="35" t="s">
        <v>79</v>
      </c>
    </row>
    <row r="1608" spans="1:3" x14ac:dyDescent="0.25">
      <c r="A1608" s="36">
        <v>31335549</v>
      </c>
      <c r="B1608" t="s">
        <v>685</v>
      </c>
    </row>
    <row r="1609" spans="1:3" x14ac:dyDescent="0.25">
      <c r="A1609" s="36">
        <v>20184103924</v>
      </c>
      <c r="B1609" t="s">
        <v>686</v>
      </c>
    </row>
    <row r="1610" spans="1:3" x14ac:dyDescent="0.25">
      <c r="A1610" s="36">
        <v>20926929128</v>
      </c>
      <c r="B1610" t="s">
        <v>687</v>
      </c>
      <c r="C1610" s="35" t="s">
        <v>79</v>
      </c>
    </row>
    <row r="1611" spans="1:3" x14ac:dyDescent="0.25">
      <c r="A1611" s="36">
        <v>30663434191</v>
      </c>
      <c r="B1611" t="s">
        <v>688</v>
      </c>
    </row>
    <row r="1612" spans="1:3" x14ac:dyDescent="0.25">
      <c r="A1612" s="36">
        <v>30598960093</v>
      </c>
      <c r="B1612" t="s">
        <v>689</v>
      </c>
      <c r="C1612" s="35" t="s">
        <v>797</v>
      </c>
    </row>
    <row r="1613" spans="1:3" x14ac:dyDescent="0.25">
      <c r="A1613" s="36">
        <v>30598960093</v>
      </c>
      <c r="B1613" t="s">
        <v>689</v>
      </c>
      <c r="C1613" s="35" t="s">
        <v>797</v>
      </c>
    </row>
    <row r="1614" spans="1:3" x14ac:dyDescent="0.25">
      <c r="A1614" s="36">
        <v>30598960093</v>
      </c>
      <c r="B1614" t="s">
        <v>689</v>
      </c>
      <c r="C1614" s="35" t="s">
        <v>797</v>
      </c>
    </row>
    <row r="1615" spans="1:3" x14ac:dyDescent="0.25">
      <c r="A1615" s="36">
        <v>13655230</v>
      </c>
      <c r="B1615" t="s">
        <v>1758</v>
      </c>
    </row>
    <row r="1616" spans="1:3" x14ac:dyDescent="0.25">
      <c r="A1616" s="36">
        <v>11360862</v>
      </c>
      <c r="B1616" t="s">
        <v>1759</v>
      </c>
    </row>
    <row r="1617" spans="1:3" x14ac:dyDescent="0.25">
      <c r="A1617" s="36">
        <v>4983640</v>
      </c>
      <c r="B1617" t="s">
        <v>1760</v>
      </c>
    </row>
    <row r="1618" spans="1:3" x14ac:dyDescent="0.25">
      <c r="A1618" s="36">
        <v>30707833765</v>
      </c>
      <c r="B1618" t="s">
        <v>690</v>
      </c>
    </row>
    <row r="1619" spans="1:3" x14ac:dyDescent="0.25">
      <c r="A1619" s="36">
        <v>30673535182</v>
      </c>
      <c r="B1619" t="s">
        <v>1761</v>
      </c>
    </row>
    <row r="1620" spans="1:3" x14ac:dyDescent="0.25">
      <c r="A1620" s="36">
        <v>30528650003</v>
      </c>
      <c r="B1620" t="s">
        <v>691</v>
      </c>
    </row>
    <row r="1621" spans="1:3" x14ac:dyDescent="0.25">
      <c r="A1621" s="36">
        <v>30715504037</v>
      </c>
      <c r="B1621" t="s">
        <v>692</v>
      </c>
      <c r="C1621" s="35" t="s">
        <v>797</v>
      </c>
    </row>
    <row r="1622" spans="1:3" x14ac:dyDescent="0.25">
      <c r="A1622" s="36">
        <v>4909512</v>
      </c>
      <c r="B1622" t="s">
        <v>1762</v>
      </c>
    </row>
    <row r="1623" spans="1:3" x14ac:dyDescent="0.25">
      <c r="A1623" s="36">
        <v>30665725829</v>
      </c>
      <c r="B1623" t="s">
        <v>693</v>
      </c>
    </row>
    <row r="1624" spans="1:3" x14ac:dyDescent="0.25">
      <c r="A1624" s="36">
        <v>31283351</v>
      </c>
      <c r="B1624" t="s">
        <v>1763</v>
      </c>
    </row>
    <row r="1625" spans="1:3" x14ac:dyDescent="0.25">
      <c r="A1625" s="36">
        <v>30715487876</v>
      </c>
      <c r="B1625" t="s">
        <v>694</v>
      </c>
    </row>
    <row r="1626" spans="1:3" x14ac:dyDescent="0.25">
      <c r="A1626" s="36">
        <v>22297157</v>
      </c>
      <c r="B1626" t="s">
        <v>1764</v>
      </c>
    </row>
    <row r="1627" spans="1:3" x14ac:dyDescent="0.25">
      <c r="A1627" s="36">
        <v>20351173913</v>
      </c>
      <c r="B1627" t="s">
        <v>1765</v>
      </c>
      <c r="C1627" s="35" t="s">
        <v>797</v>
      </c>
    </row>
    <row r="1628" spans="1:3" x14ac:dyDescent="0.25">
      <c r="A1628" s="36">
        <v>30521522786</v>
      </c>
      <c r="B1628" t="s">
        <v>1766</v>
      </c>
      <c r="C1628" s="35" t="s">
        <v>912</v>
      </c>
    </row>
    <row r="1629" spans="1:3" x14ac:dyDescent="0.25">
      <c r="A1629" s="36">
        <v>25682418</v>
      </c>
      <c r="B1629" t="s">
        <v>1767</v>
      </c>
    </row>
    <row r="1630" spans="1:3" x14ac:dyDescent="0.25">
      <c r="A1630" s="36">
        <v>30702071506</v>
      </c>
      <c r="B1630" t="s">
        <v>1768</v>
      </c>
      <c r="C1630" s="35" t="s">
        <v>44</v>
      </c>
    </row>
    <row r="1631" spans="1:3" x14ac:dyDescent="0.25">
      <c r="A1631" s="36">
        <v>30711842809</v>
      </c>
      <c r="B1631" t="s">
        <v>1769</v>
      </c>
    </row>
    <row r="1632" spans="1:3" x14ac:dyDescent="0.25">
      <c r="A1632" s="36">
        <v>30654118767</v>
      </c>
      <c r="B1632" t="s">
        <v>695</v>
      </c>
      <c r="C1632" s="35" t="s">
        <v>912</v>
      </c>
    </row>
    <row r="1633" spans="1:3" x14ac:dyDescent="0.25">
      <c r="A1633" s="36">
        <v>30716393360</v>
      </c>
      <c r="B1633" t="s">
        <v>1770</v>
      </c>
      <c r="C1633" s="35" t="s">
        <v>797</v>
      </c>
    </row>
    <row r="1634" spans="1:3" x14ac:dyDescent="0.25">
      <c r="A1634" s="36">
        <v>56203961</v>
      </c>
      <c r="B1634" t="s">
        <v>1771</v>
      </c>
    </row>
    <row r="1635" spans="1:3" x14ac:dyDescent="0.25">
      <c r="A1635" s="36">
        <v>30709040908</v>
      </c>
      <c r="B1635" t="s">
        <v>696</v>
      </c>
    </row>
    <row r="1636" spans="1:3" x14ac:dyDescent="0.25">
      <c r="A1636" s="36">
        <v>33715594949</v>
      </c>
      <c r="B1636" t="s">
        <v>1772</v>
      </c>
      <c r="C1636" s="35" t="s">
        <v>44</v>
      </c>
    </row>
    <row r="1637" spans="1:3" x14ac:dyDescent="0.25">
      <c r="A1637" s="36">
        <v>30688387201</v>
      </c>
      <c r="B1637" t="s">
        <v>697</v>
      </c>
      <c r="C1637" s="35" t="s">
        <v>81</v>
      </c>
    </row>
    <row r="1638" spans="1:3" x14ac:dyDescent="0.25">
      <c r="A1638" s="36">
        <v>36594584</v>
      </c>
      <c r="B1638" t="s">
        <v>1773</v>
      </c>
    </row>
    <row r="1639" spans="1:3" x14ac:dyDescent="0.25">
      <c r="A1639" s="36">
        <v>26886421</v>
      </c>
      <c r="B1639" t="s">
        <v>1774</v>
      </c>
    </row>
    <row r="1640" spans="1:3" x14ac:dyDescent="0.25">
      <c r="A1640" s="36">
        <v>21588417</v>
      </c>
      <c r="B1640" t="s">
        <v>1775</v>
      </c>
    </row>
    <row r="1641" spans="1:3" x14ac:dyDescent="0.25">
      <c r="A1641" s="36">
        <v>27066622997</v>
      </c>
      <c r="B1641" t="s">
        <v>698</v>
      </c>
      <c r="C1641" s="35" t="s">
        <v>797</v>
      </c>
    </row>
    <row r="1642" spans="1:3" x14ac:dyDescent="0.25">
      <c r="A1642" s="36">
        <v>27312091</v>
      </c>
      <c r="B1642" t="s">
        <v>1776</v>
      </c>
    </row>
    <row r="1643" spans="1:3" x14ac:dyDescent="0.25">
      <c r="A1643" s="36">
        <v>30700888505</v>
      </c>
      <c r="B1643" t="s">
        <v>1777</v>
      </c>
    </row>
    <row r="1644" spans="1:3" x14ac:dyDescent="0.25">
      <c r="A1644" s="36">
        <v>30643416375</v>
      </c>
      <c r="B1644" t="s">
        <v>699</v>
      </c>
      <c r="C1644" s="35" t="s">
        <v>81</v>
      </c>
    </row>
    <row r="1645" spans="1:3" x14ac:dyDescent="0.25">
      <c r="A1645" s="36">
        <v>13740696</v>
      </c>
      <c r="B1645" t="s">
        <v>700</v>
      </c>
    </row>
    <row r="1646" spans="1:3" x14ac:dyDescent="0.25">
      <c r="A1646" s="36">
        <v>30714710652</v>
      </c>
      <c r="B1646" t="s">
        <v>701</v>
      </c>
      <c r="C1646" s="35" t="s">
        <v>797</v>
      </c>
    </row>
    <row r="1647" spans="1:3" x14ac:dyDescent="0.25">
      <c r="A1647" s="36">
        <v>23185808963</v>
      </c>
      <c r="B1647" t="s">
        <v>702</v>
      </c>
    </row>
    <row r="1648" spans="1:3" x14ac:dyDescent="0.25">
      <c r="A1648" s="36">
        <v>12975784</v>
      </c>
      <c r="B1648" t="s">
        <v>1778</v>
      </c>
    </row>
    <row r="1649" spans="1:3" x14ac:dyDescent="0.25">
      <c r="A1649" s="36">
        <v>20300821872</v>
      </c>
      <c r="B1649" t="s">
        <v>1779</v>
      </c>
      <c r="C1649" s="35" t="s">
        <v>912</v>
      </c>
    </row>
    <row r="1650" spans="1:3" x14ac:dyDescent="0.25">
      <c r="A1650" s="36">
        <v>30577797281</v>
      </c>
      <c r="B1650" t="s">
        <v>703</v>
      </c>
      <c r="C1650" s="35" t="s">
        <v>811</v>
      </c>
    </row>
    <row r="1651" spans="1:3" x14ac:dyDescent="0.25">
      <c r="A1651" s="36">
        <v>30577797281</v>
      </c>
      <c r="B1651" t="s">
        <v>703</v>
      </c>
      <c r="C1651" s="35" t="s">
        <v>811</v>
      </c>
    </row>
    <row r="1652" spans="1:3" x14ac:dyDescent="0.25">
      <c r="A1652" s="36">
        <v>30577797281</v>
      </c>
      <c r="B1652" t="s">
        <v>703</v>
      </c>
    </row>
    <row r="1653" spans="1:3" x14ac:dyDescent="0.25">
      <c r="A1653" s="36" t="s">
        <v>1780</v>
      </c>
      <c r="B1653" t="s">
        <v>703</v>
      </c>
      <c r="C1653" s="35" t="s">
        <v>868</v>
      </c>
    </row>
    <row r="1654" spans="1:3" x14ac:dyDescent="0.25">
      <c r="A1654" s="36">
        <v>20249295869</v>
      </c>
      <c r="B1654" t="s">
        <v>704</v>
      </c>
    </row>
    <row r="1655" spans="1:3" x14ac:dyDescent="0.25">
      <c r="A1655" s="36">
        <v>23250955529</v>
      </c>
      <c r="B1655" t="s">
        <v>1781</v>
      </c>
      <c r="C1655" s="35" t="s">
        <v>819</v>
      </c>
    </row>
    <row r="1656" spans="1:3" x14ac:dyDescent="0.25">
      <c r="A1656" s="36">
        <v>17570512</v>
      </c>
      <c r="B1656" t="s">
        <v>1782</v>
      </c>
    </row>
    <row r="1657" spans="1:3" x14ac:dyDescent="0.25">
      <c r="A1657" s="36">
        <v>34294872</v>
      </c>
      <c r="B1657" t="s">
        <v>1783</v>
      </c>
    </row>
    <row r="1658" spans="1:3" x14ac:dyDescent="0.25">
      <c r="A1658" s="36">
        <v>34571343</v>
      </c>
      <c r="B1658" t="s">
        <v>1784</v>
      </c>
    </row>
    <row r="1659" spans="1:3" x14ac:dyDescent="0.25">
      <c r="A1659" s="36">
        <v>16492758</v>
      </c>
      <c r="B1659" t="s">
        <v>1785</v>
      </c>
    </row>
    <row r="1660" spans="1:3" x14ac:dyDescent="0.25">
      <c r="A1660" s="36">
        <v>30500221956</v>
      </c>
      <c r="B1660" t="s">
        <v>705</v>
      </c>
    </row>
    <row r="1661" spans="1:3" x14ac:dyDescent="0.25">
      <c r="A1661" s="36">
        <v>17106902</v>
      </c>
      <c r="B1661" t="s">
        <v>1786</v>
      </c>
    </row>
    <row r="1662" spans="1:3" x14ac:dyDescent="0.25">
      <c r="A1662" s="36">
        <v>902191</v>
      </c>
      <c r="B1662" t="s">
        <v>1787</v>
      </c>
    </row>
    <row r="1663" spans="1:3" x14ac:dyDescent="0.25">
      <c r="A1663" s="36">
        <v>20172324240</v>
      </c>
      <c r="B1663" t="s">
        <v>706</v>
      </c>
    </row>
    <row r="1664" spans="1:3" x14ac:dyDescent="0.25">
      <c r="A1664" s="36">
        <v>22251013</v>
      </c>
      <c r="B1664" t="s">
        <v>1788</v>
      </c>
    </row>
    <row r="1665" spans="1:3" x14ac:dyDescent="0.25">
      <c r="A1665" s="36">
        <v>20325751453</v>
      </c>
      <c r="B1665" t="s">
        <v>707</v>
      </c>
      <c r="C1665" s="35" t="s">
        <v>81</v>
      </c>
    </row>
    <row r="1666" spans="1:3" x14ac:dyDescent="0.25">
      <c r="A1666" s="36">
        <v>20211427834</v>
      </c>
      <c r="B1666" t="s">
        <v>708</v>
      </c>
    </row>
    <row r="1667" spans="1:3" x14ac:dyDescent="0.25">
      <c r="A1667" s="36">
        <v>22990821</v>
      </c>
      <c r="B1667" t="s">
        <v>1789</v>
      </c>
    </row>
    <row r="1668" spans="1:3" x14ac:dyDescent="0.25">
      <c r="A1668" s="36">
        <v>30699425520</v>
      </c>
      <c r="B1668" t="s">
        <v>709</v>
      </c>
      <c r="C1668" s="35" t="s">
        <v>81</v>
      </c>
    </row>
    <row r="1669" spans="1:3" x14ac:dyDescent="0.25">
      <c r="A1669" s="36">
        <v>16891957</v>
      </c>
      <c r="B1669" t="s">
        <v>1790</v>
      </c>
    </row>
    <row r="1670" spans="1:3" x14ac:dyDescent="0.25">
      <c r="A1670" s="36">
        <v>30715701932</v>
      </c>
      <c r="B1670" t="s">
        <v>710</v>
      </c>
      <c r="C1670" s="35" t="s">
        <v>797</v>
      </c>
    </row>
    <row r="1671" spans="1:3" x14ac:dyDescent="0.25">
      <c r="A1671" s="36">
        <v>20045279244</v>
      </c>
      <c r="B1671" t="s">
        <v>711</v>
      </c>
    </row>
    <row r="1672" spans="1:3" x14ac:dyDescent="0.25">
      <c r="A1672" s="36">
        <v>20200212143</v>
      </c>
      <c r="B1672" t="s">
        <v>1791</v>
      </c>
      <c r="C1672" s="35" t="s">
        <v>1792</v>
      </c>
    </row>
    <row r="1673" spans="1:3" x14ac:dyDescent="0.25">
      <c r="A1673" s="36">
        <v>30695303978</v>
      </c>
      <c r="B1673" t="s">
        <v>712</v>
      </c>
      <c r="C1673" s="35" t="s">
        <v>79</v>
      </c>
    </row>
    <row r="1674" spans="1:3" x14ac:dyDescent="0.25">
      <c r="A1674" s="36">
        <v>20314785593</v>
      </c>
      <c r="B1674" t="s">
        <v>1793</v>
      </c>
      <c r="C1674" s="35" t="s">
        <v>797</v>
      </c>
    </row>
    <row r="1675" spans="1:3" x14ac:dyDescent="0.25">
      <c r="A1675" s="36">
        <v>20314785593</v>
      </c>
      <c r="B1675" t="s">
        <v>1793</v>
      </c>
      <c r="C1675" s="35" t="s">
        <v>797</v>
      </c>
    </row>
    <row r="1676" spans="1:3" x14ac:dyDescent="0.25">
      <c r="A1676" s="36">
        <v>30715458744</v>
      </c>
      <c r="B1676" t="s">
        <v>1794</v>
      </c>
      <c r="C1676" s="35" t="s">
        <v>44</v>
      </c>
    </row>
    <row r="1677" spans="1:3" x14ac:dyDescent="0.25">
      <c r="A1677" s="36">
        <v>30709981141</v>
      </c>
      <c r="B1677" t="s">
        <v>713</v>
      </c>
    </row>
    <row r="1678" spans="1:3" x14ac:dyDescent="0.25">
      <c r="A1678" s="36">
        <v>30505459179</v>
      </c>
      <c r="B1678" t="s">
        <v>714</v>
      </c>
      <c r="C1678" s="35" t="s">
        <v>797</v>
      </c>
    </row>
    <row r="1679" spans="1:3" x14ac:dyDescent="0.25">
      <c r="A1679" s="36">
        <v>5696369</v>
      </c>
      <c r="B1679" t="s">
        <v>1795</v>
      </c>
    </row>
    <row r="1680" spans="1:3" x14ac:dyDescent="0.25">
      <c r="A1680" s="36">
        <v>23145783224</v>
      </c>
      <c r="B1680" t="s">
        <v>107</v>
      </c>
      <c r="C1680" s="35" t="s">
        <v>1796</v>
      </c>
    </row>
    <row r="1681" spans="1:3" x14ac:dyDescent="0.25">
      <c r="A1681" s="36">
        <v>4886854</v>
      </c>
      <c r="B1681" t="s">
        <v>1797</v>
      </c>
    </row>
    <row r="1682" spans="1:3" x14ac:dyDescent="0.25">
      <c r="A1682" s="36">
        <v>30710114176</v>
      </c>
      <c r="B1682" t="s">
        <v>715</v>
      </c>
      <c r="C1682" s="35" t="s">
        <v>819</v>
      </c>
    </row>
    <row r="1683" spans="1:3" x14ac:dyDescent="0.25">
      <c r="A1683" s="36">
        <v>27166041673</v>
      </c>
      <c r="B1683" t="s">
        <v>716</v>
      </c>
    </row>
    <row r="1684" spans="1:3" x14ac:dyDescent="0.25">
      <c r="A1684" s="36">
        <v>30707057587</v>
      </c>
      <c r="B1684" t="s">
        <v>717</v>
      </c>
      <c r="C1684" s="35" t="s">
        <v>797</v>
      </c>
    </row>
    <row r="1685" spans="1:3" x14ac:dyDescent="0.25">
      <c r="A1685" s="36">
        <v>92676540</v>
      </c>
      <c r="B1685" t="s">
        <v>1798</v>
      </c>
    </row>
    <row r="1686" spans="1:3" x14ac:dyDescent="0.25">
      <c r="A1686" s="36">
        <v>30710177658</v>
      </c>
      <c r="B1686" t="s">
        <v>718</v>
      </c>
      <c r="C1686" s="35" t="s">
        <v>797</v>
      </c>
    </row>
    <row r="1687" spans="1:3" x14ac:dyDescent="0.25">
      <c r="A1687" s="36">
        <v>30710177658</v>
      </c>
      <c r="B1687" t="s">
        <v>718</v>
      </c>
      <c r="C1687" s="35" t="s">
        <v>797</v>
      </c>
    </row>
    <row r="1688" spans="1:3" x14ac:dyDescent="0.25">
      <c r="A1688" s="36">
        <v>30710177658</v>
      </c>
      <c r="B1688" t="s">
        <v>718</v>
      </c>
      <c r="C1688" s="35" t="s">
        <v>797</v>
      </c>
    </row>
    <row r="1689" spans="1:3" x14ac:dyDescent="0.25">
      <c r="A1689" s="36">
        <v>30685376349</v>
      </c>
      <c r="B1689" t="s">
        <v>719</v>
      </c>
    </row>
    <row r="1690" spans="1:3" x14ac:dyDescent="0.25">
      <c r="A1690" s="36">
        <v>30711451567</v>
      </c>
      <c r="B1690" t="s">
        <v>720</v>
      </c>
      <c r="C1690" s="35" t="s">
        <v>797</v>
      </c>
    </row>
    <row r="1691" spans="1:3" x14ac:dyDescent="0.25">
      <c r="A1691" s="36">
        <v>20283639941</v>
      </c>
      <c r="B1691" t="s">
        <v>1799</v>
      </c>
      <c r="C1691" s="35" t="s">
        <v>912</v>
      </c>
    </row>
    <row r="1692" spans="1:3" x14ac:dyDescent="0.25">
      <c r="A1692" s="36">
        <v>11985001</v>
      </c>
      <c r="B1692" t="s">
        <v>1800</v>
      </c>
    </row>
    <row r="1693" spans="1:3" x14ac:dyDescent="0.25">
      <c r="A1693" s="36">
        <v>30676683867</v>
      </c>
      <c r="B1693" t="s">
        <v>721</v>
      </c>
      <c r="C1693" s="35" t="s">
        <v>79</v>
      </c>
    </row>
    <row r="1694" spans="1:3" x14ac:dyDescent="0.25">
      <c r="A1694" s="36">
        <v>30710725116</v>
      </c>
      <c r="B1694" t="s">
        <v>722</v>
      </c>
      <c r="C1694" s="35" t="s">
        <v>797</v>
      </c>
    </row>
    <row r="1695" spans="1:3" x14ac:dyDescent="0.25">
      <c r="A1695" s="36">
        <v>30708960736</v>
      </c>
      <c r="B1695" t="s">
        <v>1801</v>
      </c>
      <c r="C1695" s="35" t="s">
        <v>797</v>
      </c>
    </row>
    <row r="1696" spans="1:3" x14ac:dyDescent="0.25">
      <c r="A1696" s="36">
        <v>33716532769</v>
      </c>
      <c r="B1696" t="s">
        <v>1802</v>
      </c>
      <c r="C1696" s="35" t="s">
        <v>1803</v>
      </c>
    </row>
    <row r="1697" spans="1:3" x14ac:dyDescent="0.25">
      <c r="A1697" s="36">
        <v>30712450408</v>
      </c>
      <c r="B1697" t="s">
        <v>1804</v>
      </c>
      <c r="C1697" s="35" t="s">
        <v>39</v>
      </c>
    </row>
    <row r="1698" spans="1:3" x14ac:dyDescent="0.25">
      <c r="A1698" s="36">
        <v>30708447036</v>
      </c>
      <c r="B1698" t="s">
        <v>723</v>
      </c>
      <c r="C1698" s="35" t="s">
        <v>819</v>
      </c>
    </row>
    <row r="1699" spans="1:3" x14ac:dyDescent="0.25">
      <c r="A1699" s="36">
        <v>30640897267</v>
      </c>
      <c r="B1699" t="s">
        <v>108</v>
      </c>
      <c r="C1699" s="35" t="s">
        <v>1135</v>
      </c>
    </row>
    <row r="1700" spans="1:3" x14ac:dyDescent="0.25">
      <c r="A1700" s="36">
        <v>30639453738</v>
      </c>
      <c r="B1700" t="s">
        <v>1805</v>
      </c>
      <c r="C1700" s="35" t="s">
        <v>1135</v>
      </c>
    </row>
    <row r="1701" spans="1:3" x14ac:dyDescent="0.25">
      <c r="A1701" s="36">
        <v>30639453975</v>
      </c>
      <c r="B1701" t="s">
        <v>1806</v>
      </c>
      <c r="C1701" s="35" t="s">
        <v>1135</v>
      </c>
    </row>
    <row r="1702" spans="1:3" x14ac:dyDescent="0.25">
      <c r="A1702" s="36">
        <v>30678814357</v>
      </c>
      <c r="B1702" t="s">
        <v>1807</v>
      </c>
      <c r="C1702" s="35" t="s">
        <v>1135</v>
      </c>
    </row>
    <row r="1703" spans="1:3" x14ac:dyDescent="0.25">
      <c r="A1703" s="36">
        <v>33695098419</v>
      </c>
      <c r="B1703" t="s">
        <v>724</v>
      </c>
    </row>
    <row r="1704" spans="1:3" x14ac:dyDescent="0.25">
      <c r="A1704" s="36">
        <v>3285697</v>
      </c>
      <c r="B1704" t="s">
        <v>1808</v>
      </c>
    </row>
    <row r="1705" spans="1:3" x14ac:dyDescent="0.25">
      <c r="A1705" s="36">
        <v>30710092784</v>
      </c>
      <c r="B1705" t="s">
        <v>725</v>
      </c>
    </row>
    <row r="1706" spans="1:3" x14ac:dyDescent="0.25">
      <c r="A1706" s="36">
        <v>30642655732</v>
      </c>
      <c r="B1706" t="s">
        <v>1809</v>
      </c>
    </row>
    <row r="1707" spans="1:3" x14ac:dyDescent="0.25">
      <c r="A1707" s="36">
        <v>30716018373</v>
      </c>
      <c r="B1707" t="s">
        <v>1810</v>
      </c>
    </row>
    <row r="1708" spans="1:3" x14ac:dyDescent="0.25">
      <c r="A1708" s="36">
        <v>4154529</v>
      </c>
      <c r="B1708" t="s">
        <v>1811</v>
      </c>
    </row>
    <row r="1709" spans="1:3" x14ac:dyDescent="0.25">
      <c r="A1709" s="36">
        <v>30710718438</v>
      </c>
      <c r="B1709" t="s">
        <v>726</v>
      </c>
    </row>
    <row r="1710" spans="1:3" x14ac:dyDescent="0.25">
      <c r="A1710" s="36">
        <v>30715259784</v>
      </c>
      <c r="B1710" t="s">
        <v>727</v>
      </c>
      <c r="C1710" s="35" t="s">
        <v>797</v>
      </c>
    </row>
    <row r="1711" spans="1:3" x14ac:dyDescent="0.25">
      <c r="A1711" s="36">
        <v>30709305618</v>
      </c>
      <c r="B1711" t="s">
        <v>728</v>
      </c>
      <c r="C1711" s="35" t="s">
        <v>81</v>
      </c>
    </row>
    <row r="1712" spans="1:3" x14ac:dyDescent="0.25">
      <c r="A1712" s="36">
        <v>30694592526</v>
      </c>
      <c r="B1712" t="s">
        <v>729</v>
      </c>
      <c r="C1712" s="35" t="s">
        <v>79</v>
      </c>
    </row>
    <row r="1713" spans="1:3" x14ac:dyDescent="0.25">
      <c r="A1713" s="36">
        <v>30708491086</v>
      </c>
      <c r="B1713" t="s">
        <v>730</v>
      </c>
    </row>
    <row r="1714" spans="1:3" x14ac:dyDescent="0.25">
      <c r="A1714" s="36">
        <v>30661685731</v>
      </c>
      <c r="B1714" t="s">
        <v>731</v>
      </c>
    </row>
    <row r="1715" spans="1:3" x14ac:dyDescent="0.25">
      <c r="A1715" s="36">
        <v>20229914007</v>
      </c>
      <c r="B1715" t="s">
        <v>732</v>
      </c>
    </row>
    <row r="1716" spans="1:3" x14ac:dyDescent="0.25">
      <c r="A1716" s="36">
        <v>30708847247</v>
      </c>
      <c r="B1716" t="s">
        <v>733</v>
      </c>
      <c r="C1716" s="35" t="s">
        <v>794</v>
      </c>
    </row>
    <row r="1717" spans="1:3" x14ac:dyDescent="0.25">
      <c r="A1717" s="36">
        <v>30715169254</v>
      </c>
      <c r="B1717" t="s">
        <v>734</v>
      </c>
    </row>
    <row r="1718" spans="1:3" x14ac:dyDescent="0.25">
      <c r="A1718" s="36">
        <v>30715168254</v>
      </c>
      <c r="B1718" t="s">
        <v>735</v>
      </c>
    </row>
    <row r="1719" spans="1:3" x14ac:dyDescent="0.25">
      <c r="A1719" s="36">
        <v>30712317872</v>
      </c>
      <c r="B1719" t="s">
        <v>736</v>
      </c>
      <c r="C1719" s="35" t="s">
        <v>797</v>
      </c>
    </row>
    <row r="1720" spans="1:3" x14ac:dyDescent="0.25">
      <c r="A1720" s="36">
        <v>30715010026</v>
      </c>
      <c r="B1720" t="s">
        <v>1812</v>
      </c>
    </row>
    <row r="1721" spans="1:3" x14ac:dyDescent="0.25">
      <c r="A1721" s="36">
        <v>30519102826</v>
      </c>
      <c r="B1721" t="s">
        <v>737</v>
      </c>
    </row>
    <row r="1722" spans="1:3" x14ac:dyDescent="0.25">
      <c r="A1722" s="36">
        <v>16892133</v>
      </c>
      <c r="B1722" t="s">
        <v>1813</v>
      </c>
    </row>
    <row r="1723" spans="1:3" x14ac:dyDescent="0.25">
      <c r="A1723" s="36">
        <v>94858892</v>
      </c>
      <c r="B1723" t="s">
        <v>1814</v>
      </c>
    </row>
    <row r="1724" spans="1:3" x14ac:dyDescent="0.25">
      <c r="A1724" s="36">
        <v>342712</v>
      </c>
      <c r="B1724" t="s">
        <v>1815</v>
      </c>
    </row>
    <row r="1725" spans="1:3" x14ac:dyDescent="0.25">
      <c r="A1725" s="36">
        <v>30709063061</v>
      </c>
      <c r="B1725" t="s">
        <v>738</v>
      </c>
    </row>
    <row r="1726" spans="1:3" x14ac:dyDescent="0.25">
      <c r="A1726" s="36">
        <v>30708765356</v>
      </c>
      <c r="B1726" t="s">
        <v>739</v>
      </c>
      <c r="C1726" s="35" t="s">
        <v>79</v>
      </c>
    </row>
    <row r="1727" spans="1:3" x14ac:dyDescent="0.25">
      <c r="A1727" s="36">
        <v>30531602273</v>
      </c>
      <c r="B1727" t="s">
        <v>740</v>
      </c>
    </row>
    <row r="1728" spans="1:3" x14ac:dyDescent="0.25">
      <c r="A1728" s="36">
        <v>30616031143</v>
      </c>
      <c r="B1728" t="s">
        <v>1816</v>
      </c>
      <c r="C1728" s="35" t="s">
        <v>79</v>
      </c>
    </row>
    <row r="1729" spans="1:3" x14ac:dyDescent="0.25">
      <c r="A1729" s="36">
        <v>30683612916</v>
      </c>
      <c r="B1729" t="s">
        <v>741</v>
      </c>
      <c r="C1729" s="35" t="s">
        <v>794</v>
      </c>
    </row>
    <row r="1730" spans="1:3" x14ac:dyDescent="0.25">
      <c r="A1730" s="36">
        <v>30709361895</v>
      </c>
      <c r="B1730" t="s">
        <v>742</v>
      </c>
    </row>
    <row r="1731" spans="1:3" x14ac:dyDescent="0.25">
      <c r="A1731" s="36">
        <v>30715585215</v>
      </c>
      <c r="B1731" t="s">
        <v>743</v>
      </c>
      <c r="C1731" s="35" t="s">
        <v>87</v>
      </c>
    </row>
    <row r="1732" spans="1:3" x14ac:dyDescent="0.25">
      <c r="A1732" s="36">
        <v>30711188416</v>
      </c>
      <c r="B1732" t="s">
        <v>1817</v>
      </c>
      <c r="C1732" s="35" t="s">
        <v>794</v>
      </c>
    </row>
    <row r="1733" spans="1:3" x14ac:dyDescent="0.25">
      <c r="A1733" s="36">
        <v>20141513177</v>
      </c>
      <c r="B1733" t="s">
        <v>744</v>
      </c>
      <c r="C1733" s="35" t="s">
        <v>794</v>
      </c>
    </row>
    <row r="1734" spans="1:3" x14ac:dyDescent="0.25">
      <c r="A1734" s="36">
        <v>30579939008</v>
      </c>
      <c r="B1734" t="s">
        <v>1818</v>
      </c>
      <c r="C1734" s="35" t="s">
        <v>794</v>
      </c>
    </row>
    <row r="1735" spans="1:3" x14ac:dyDescent="0.25">
      <c r="A1735" s="36">
        <v>18128119</v>
      </c>
      <c r="B1735" t="s">
        <v>1819</v>
      </c>
    </row>
    <row r="1736" spans="1:3" x14ac:dyDescent="0.25">
      <c r="A1736" s="36">
        <v>30517264160</v>
      </c>
      <c r="B1736" t="s">
        <v>745</v>
      </c>
      <c r="C1736" s="35" t="s">
        <v>44</v>
      </c>
    </row>
    <row r="1737" spans="1:3" x14ac:dyDescent="0.25">
      <c r="A1737" s="36">
        <v>33682571239</v>
      </c>
      <c r="B1737" t="s">
        <v>746</v>
      </c>
    </row>
    <row r="1738" spans="1:3" x14ac:dyDescent="0.25">
      <c r="A1738" s="36">
        <v>30711811253</v>
      </c>
      <c r="B1738" t="s">
        <v>1820</v>
      </c>
    </row>
    <row r="1739" spans="1:3" x14ac:dyDescent="0.25">
      <c r="A1739" s="36">
        <v>30712305513</v>
      </c>
      <c r="B1739" t="s">
        <v>1821</v>
      </c>
      <c r="C1739" s="35" t="s">
        <v>798</v>
      </c>
    </row>
    <row r="1740" spans="1:3" x14ac:dyDescent="0.25">
      <c r="A1740" s="36">
        <v>21847097</v>
      </c>
      <c r="B1740" t="s">
        <v>747</v>
      </c>
    </row>
    <row r="1741" spans="1:3" x14ac:dyDescent="0.25">
      <c r="A1741" s="36">
        <v>20330855038</v>
      </c>
      <c r="B1741" t="s">
        <v>748</v>
      </c>
      <c r="C1741" s="35" t="s">
        <v>797</v>
      </c>
    </row>
    <row r="1742" spans="1:3" x14ac:dyDescent="0.25">
      <c r="A1742" s="36">
        <v>20131067446</v>
      </c>
      <c r="B1742" t="s">
        <v>1822</v>
      </c>
      <c r="C1742" s="35" t="s">
        <v>79</v>
      </c>
    </row>
    <row r="1743" spans="1:3" x14ac:dyDescent="0.25">
      <c r="A1743" s="36">
        <v>27249100019</v>
      </c>
      <c r="B1743" t="s">
        <v>749</v>
      </c>
    </row>
    <row r="1744" spans="1:3" x14ac:dyDescent="0.25">
      <c r="A1744" s="36">
        <v>12010407</v>
      </c>
      <c r="B1744" t="s">
        <v>1823</v>
      </c>
    </row>
    <row r="1745" spans="1:3" x14ac:dyDescent="0.25">
      <c r="A1745" s="36">
        <v>12010407</v>
      </c>
      <c r="B1745" t="s">
        <v>1823</v>
      </c>
    </row>
    <row r="1746" spans="1:3" x14ac:dyDescent="0.25">
      <c r="A1746" s="36">
        <v>30646150406</v>
      </c>
      <c r="B1746" t="s">
        <v>750</v>
      </c>
      <c r="C1746" s="35" t="s">
        <v>797</v>
      </c>
    </row>
    <row r="1747" spans="1:3" x14ac:dyDescent="0.25">
      <c r="A1747" s="36">
        <v>30646150406</v>
      </c>
      <c r="B1747" t="s">
        <v>1824</v>
      </c>
      <c r="C1747" s="35" t="s">
        <v>797</v>
      </c>
    </row>
    <row r="1748" spans="1:3" x14ac:dyDescent="0.25">
      <c r="A1748" s="36">
        <v>30646150406</v>
      </c>
      <c r="B1748" t="s">
        <v>1824</v>
      </c>
      <c r="C1748" s="35" t="s">
        <v>797</v>
      </c>
    </row>
    <row r="1749" spans="1:3" x14ac:dyDescent="0.25">
      <c r="A1749" s="36">
        <v>30611156045</v>
      </c>
      <c r="B1749" t="s">
        <v>751</v>
      </c>
      <c r="C1749" s="35" t="s">
        <v>79</v>
      </c>
    </row>
    <row r="1750" spans="1:3" x14ac:dyDescent="0.25">
      <c r="A1750" s="36">
        <v>30699097884</v>
      </c>
      <c r="B1750" t="s">
        <v>752</v>
      </c>
    </row>
    <row r="1751" spans="1:3" x14ac:dyDescent="0.25">
      <c r="A1751" s="36">
        <v>22080141</v>
      </c>
      <c r="B1751" t="s">
        <v>1825</v>
      </c>
    </row>
    <row r="1752" spans="1:3" x14ac:dyDescent="0.25">
      <c r="A1752" s="36">
        <v>30715689045</v>
      </c>
      <c r="B1752" t="s">
        <v>753</v>
      </c>
      <c r="C1752" s="35" t="s">
        <v>819</v>
      </c>
    </row>
    <row r="1753" spans="1:3" x14ac:dyDescent="0.25">
      <c r="A1753" s="36" t="s">
        <v>1826</v>
      </c>
      <c r="B1753" t="s">
        <v>754</v>
      </c>
    </row>
    <row r="1754" spans="1:3" x14ac:dyDescent="0.25">
      <c r="A1754" s="36">
        <v>30689759684</v>
      </c>
      <c r="B1754" t="s">
        <v>755</v>
      </c>
      <c r="C1754" s="35" t="s">
        <v>79</v>
      </c>
    </row>
    <row r="1755" spans="1:3" x14ac:dyDescent="0.25">
      <c r="A1755" s="36">
        <v>30501912405</v>
      </c>
      <c r="B1755" t="s">
        <v>756</v>
      </c>
    </row>
    <row r="1756" spans="1:3" x14ac:dyDescent="0.25">
      <c r="A1756" s="36">
        <v>30658325104</v>
      </c>
      <c r="B1756" t="s">
        <v>757</v>
      </c>
      <c r="C1756" s="35" t="s">
        <v>797</v>
      </c>
    </row>
    <row r="1757" spans="1:3" x14ac:dyDescent="0.25">
      <c r="A1757" s="36">
        <v>30531602273</v>
      </c>
      <c r="B1757" t="s">
        <v>1827</v>
      </c>
      <c r="C1757" s="35" t="s">
        <v>811</v>
      </c>
    </row>
    <row r="1758" spans="1:3" x14ac:dyDescent="0.25">
      <c r="A1758" s="36">
        <v>30531602273</v>
      </c>
      <c r="B1758" t="s">
        <v>1827</v>
      </c>
      <c r="C1758" s="35" t="s">
        <v>811</v>
      </c>
    </row>
    <row r="1759" spans="1:3" x14ac:dyDescent="0.25">
      <c r="A1759" s="36">
        <v>5489098</v>
      </c>
      <c r="B1759" t="s">
        <v>1828</v>
      </c>
    </row>
    <row r="1760" spans="1:3" x14ac:dyDescent="0.25">
      <c r="A1760" s="36">
        <v>30715841505</v>
      </c>
      <c r="B1760" t="s">
        <v>1829</v>
      </c>
    </row>
    <row r="1761" spans="1:3" x14ac:dyDescent="0.25">
      <c r="A1761" s="36">
        <v>20259693609</v>
      </c>
      <c r="B1761" t="s">
        <v>758</v>
      </c>
      <c r="C1761" s="35" t="s">
        <v>797</v>
      </c>
    </row>
    <row r="1762" spans="1:3" x14ac:dyDescent="0.25">
      <c r="A1762" s="36">
        <v>12045622</v>
      </c>
      <c r="B1762" t="s">
        <v>1830</v>
      </c>
    </row>
    <row r="1763" spans="1:3" x14ac:dyDescent="0.25">
      <c r="A1763" s="36">
        <v>14223467</v>
      </c>
      <c r="B1763" t="s">
        <v>1831</v>
      </c>
    </row>
    <row r="1764" spans="1:3" x14ac:dyDescent="0.25">
      <c r="A1764" s="36">
        <v>20902442</v>
      </c>
      <c r="B1764" t="s">
        <v>1832</v>
      </c>
    </row>
    <row r="1765" spans="1:3" x14ac:dyDescent="0.25">
      <c r="A1765" s="36">
        <v>22656207</v>
      </c>
      <c r="B1765" t="s">
        <v>1833</v>
      </c>
    </row>
    <row r="1766" spans="1:3" x14ac:dyDescent="0.25">
      <c r="A1766" s="36">
        <v>23221163</v>
      </c>
      <c r="B1766" t="s">
        <v>1834</v>
      </c>
    </row>
    <row r="1767" spans="1:3" x14ac:dyDescent="0.25">
      <c r="A1767" s="36">
        <v>3910520</v>
      </c>
      <c r="B1767" t="s">
        <v>1835</v>
      </c>
    </row>
    <row r="1768" spans="1:3" x14ac:dyDescent="0.25">
      <c r="A1768" s="36">
        <v>25838736</v>
      </c>
      <c r="B1768" t="s">
        <v>1836</v>
      </c>
    </row>
    <row r="1769" spans="1:3" x14ac:dyDescent="0.25">
      <c r="A1769" s="36">
        <v>20028002</v>
      </c>
      <c r="B1769" t="s">
        <v>1837</v>
      </c>
    </row>
    <row r="1770" spans="1:3" x14ac:dyDescent="0.25">
      <c r="A1770" s="36">
        <v>20922809527</v>
      </c>
      <c r="B1770" t="s">
        <v>1838</v>
      </c>
    </row>
    <row r="1771" spans="1:3" x14ac:dyDescent="0.25">
      <c r="A1771" s="36">
        <v>22156430</v>
      </c>
      <c r="B1771" t="s">
        <v>1839</v>
      </c>
    </row>
    <row r="1772" spans="1:3" x14ac:dyDescent="0.25">
      <c r="A1772" s="36">
        <v>93455751</v>
      </c>
      <c r="B1772" t="s">
        <v>759</v>
      </c>
    </row>
    <row r="1773" spans="1:3" x14ac:dyDescent="0.25">
      <c r="A1773" s="36">
        <v>20257137326</v>
      </c>
      <c r="B1773" t="s">
        <v>1840</v>
      </c>
      <c r="C1773" s="35" t="s">
        <v>797</v>
      </c>
    </row>
    <row r="1774" spans="1:3" x14ac:dyDescent="0.25">
      <c r="A1774" s="36">
        <v>10423478</v>
      </c>
      <c r="B1774" t="s">
        <v>1841</v>
      </c>
    </row>
    <row r="1775" spans="1:3" x14ac:dyDescent="0.25">
      <c r="A1775" s="36">
        <v>1338226</v>
      </c>
      <c r="B1775" t="s">
        <v>1842</v>
      </c>
    </row>
    <row r="1776" spans="1:3" x14ac:dyDescent="0.25">
      <c r="A1776" s="36">
        <v>17929075</v>
      </c>
      <c r="B1776" t="s">
        <v>1843</v>
      </c>
    </row>
    <row r="1777" spans="1:3" x14ac:dyDescent="0.25">
      <c r="A1777" s="36">
        <v>11815869</v>
      </c>
      <c r="B1777" t="s">
        <v>1844</v>
      </c>
    </row>
    <row r="1778" spans="1:3" x14ac:dyDescent="0.25">
      <c r="A1778" s="36">
        <v>23146140459</v>
      </c>
      <c r="B1778" t="s">
        <v>1845</v>
      </c>
    </row>
    <row r="1779" spans="1:3" x14ac:dyDescent="0.25">
      <c r="A1779" s="36">
        <v>23146140459</v>
      </c>
      <c r="B1779" t="s">
        <v>1845</v>
      </c>
    </row>
    <row r="1780" spans="1:3" x14ac:dyDescent="0.25">
      <c r="A1780" s="36">
        <v>30715222112</v>
      </c>
      <c r="B1780" t="s">
        <v>760</v>
      </c>
    </row>
    <row r="1781" spans="1:3" x14ac:dyDescent="0.25">
      <c r="A1781" s="36">
        <v>13310029</v>
      </c>
      <c r="B1781" t="s">
        <v>1846</v>
      </c>
    </row>
    <row r="1782" spans="1:3" x14ac:dyDescent="0.25">
      <c r="A1782" s="36">
        <v>27208252386</v>
      </c>
      <c r="B1782" t="s">
        <v>761</v>
      </c>
      <c r="C1782" s="35" t="s">
        <v>79</v>
      </c>
    </row>
    <row r="1783" spans="1:3" x14ac:dyDescent="0.25">
      <c r="A1783" s="36">
        <v>23386252629</v>
      </c>
      <c r="B1783" t="s">
        <v>762</v>
      </c>
    </row>
    <row r="1784" spans="1:3" x14ac:dyDescent="0.25">
      <c r="A1784" s="36">
        <v>16458001</v>
      </c>
      <c r="B1784" t="s">
        <v>763</v>
      </c>
    </row>
    <row r="1785" spans="1:3" x14ac:dyDescent="0.25">
      <c r="A1785" s="36">
        <v>27036968910</v>
      </c>
      <c r="B1785" t="s">
        <v>764</v>
      </c>
    </row>
    <row r="1786" spans="1:3" x14ac:dyDescent="0.25">
      <c r="A1786" s="36">
        <v>22251432</v>
      </c>
      <c r="B1786" t="s">
        <v>1847</v>
      </c>
    </row>
    <row r="1787" spans="1:3" x14ac:dyDescent="0.25">
      <c r="A1787" s="36">
        <v>27003352000</v>
      </c>
      <c r="B1787" t="s">
        <v>765</v>
      </c>
    </row>
    <row r="1788" spans="1:3" x14ac:dyDescent="0.25">
      <c r="A1788" s="36">
        <v>27415594742</v>
      </c>
      <c r="B1788" t="s">
        <v>1848</v>
      </c>
      <c r="C1788" s="35" t="s">
        <v>2514</v>
      </c>
    </row>
    <row r="1789" spans="1:3" x14ac:dyDescent="0.25">
      <c r="A1789" s="36">
        <v>20247225243</v>
      </c>
      <c r="B1789" t="s">
        <v>766</v>
      </c>
      <c r="C1789" s="35" t="s">
        <v>797</v>
      </c>
    </row>
    <row r="1790" spans="1:3" x14ac:dyDescent="0.25">
      <c r="A1790" s="36">
        <v>20247225243</v>
      </c>
      <c r="B1790" t="s">
        <v>766</v>
      </c>
      <c r="C1790" s="35" t="s">
        <v>797</v>
      </c>
    </row>
    <row r="1791" spans="1:3" x14ac:dyDescent="0.25">
      <c r="A1791" s="36">
        <v>20247225243</v>
      </c>
      <c r="B1791" t="s">
        <v>766</v>
      </c>
      <c r="C1791" s="35" t="s">
        <v>797</v>
      </c>
    </row>
    <row r="1792" spans="1:3" x14ac:dyDescent="0.25">
      <c r="A1792" s="36">
        <v>14287880</v>
      </c>
      <c r="B1792" t="s">
        <v>767</v>
      </c>
    </row>
    <row r="1793" spans="1:3" x14ac:dyDescent="0.25">
      <c r="A1793" s="36">
        <v>20178221974</v>
      </c>
      <c r="B1793" t="s">
        <v>768</v>
      </c>
    </row>
    <row r="1794" spans="1:3" x14ac:dyDescent="0.25">
      <c r="A1794" s="36">
        <v>30681830800</v>
      </c>
      <c r="B1794" t="s">
        <v>1849</v>
      </c>
    </row>
    <row r="1795" spans="1:3" x14ac:dyDescent="0.25">
      <c r="A1795" s="36">
        <v>20077107186</v>
      </c>
      <c r="B1795" t="s">
        <v>769</v>
      </c>
      <c r="C1795" s="35" t="s">
        <v>797</v>
      </c>
    </row>
    <row r="1796" spans="1:3" x14ac:dyDescent="0.25">
      <c r="A1796" s="36">
        <v>30624872874</v>
      </c>
      <c r="B1796" t="s">
        <v>770</v>
      </c>
    </row>
    <row r="1797" spans="1:3" x14ac:dyDescent="0.25">
      <c r="A1797" s="36">
        <v>30643922157</v>
      </c>
      <c r="B1797" t="s">
        <v>771</v>
      </c>
      <c r="C1797" s="35" t="s">
        <v>794</v>
      </c>
    </row>
    <row r="1798" spans="1:3" x14ac:dyDescent="0.25">
      <c r="A1798" s="36">
        <v>33711043069</v>
      </c>
      <c r="B1798" t="s">
        <v>772</v>
      </c>
      <c r="C1798" s="35" t="s">
        <v>794</v>
      </c>
    </row>
    <row r="1799" spans="1:3" x14ac:dyDescent="0.25">
      <c r="A1799" s="36">
        <v>30561769644</v>
      </c>
      <c r="B1799" t="s">
        <v>1850</v>
      </c>
    </row>
    <row r="1800" spans="1:3" x14ac:dyDescent="0.25">
      <c r="A1800" s="36">
        <v>20287832649</v>
      </c>
      <c r="B1800" t="s">
        <v>773</v>
      </c>
      <c r="C1800" s="35" t="s">
        <v>797</v>
      </c>
    </row>
    <row r="1801" spans="1:3" x14ac:dyDescent="0.25">
      <c r="A1801" s="36">
        <v>30556565798</v>
      </c>
      <c r="B1801" t="s">
        <v>1851</v>
      </c>
      <c r="C1801" s="35" t="s">
        <v>794</v>
      </c>
    </row>
    <row r="1802" spans="1:3" x14ac:dyDescent="0.25">
      <c r="A1802" s="36">
        <v>11635674</v>
      </c>
      <c r="B1802" t="s">
        <v>1852</v>
      </c>
    </row>
    <row r="1803" spans="1:3" x14ac:dyDescent="0.25">
      <c r="A1803" s="36">
        <v>4442889</v>
      </c>
      <c r="B1803" t="s">
        <v>1853</v>
      </c>
    </row>
    <row r="1804" spans="1:3" x14ac:dyDescent="0.25">
      <c r="A1804" s="36">
        <v>27211421202</v>
      </c>
      <c r="B1804" t="s">
        <v>774</v>
      </c>
      <c r="C1804" s="35" t="s">
        <v>797</v>
      </c>
    </row>
    <row r="1805" spans="1:3" x14ac:dyDescent="0.25">
      <c r="A1805" s="36">
        <v>30714950750</v>
      </c>
      <c r="B1805" t="s">
        <v>1854</v>
      </c>
      <c r="C1805" s="35" t="s">
        <v>829</v>
      </c>
    </row>
    <row r="1806" spans="1:3" x14ac:dyDescent="0.25">
      <c r="A1806" s="36">
        <v>30711289778</v>
      </c>
      <c r="B1806" t="s">
        <v>1855</v>
      </c>
    </row>
    <row r="1807" spans="1:3" x14ac:dyDescent="0.25">
      <c r="A1807" s="36">
        <v>22128671</v>
      </c>
      <c r="B1807" t="s">
        <v>1856</v>
      </c>
    </row>
    <row r="1808" spans="1:3" x14ac:dyDescent="0.25">
      <c r="A1808" s="36">
        <v>22765442</v>
      </c>
      <c r="B1808" t="s">
        <v>1857</v>
      </c>
    </row>
    <row r="1809" spans="1:3" x14ac:dyDescent="0.25">
      <c r="A1809" s="36">
        <v>3061564</v>
      </c>
      <c r="B1809" t="s">
        <v>1858</v>
      </c>
    </row>
    <row r="1810" spans="1:3" x14ac:dyDescent="0.25">
      <c r="A1810" s="36">
        <v>96316119</v>
      </c>
      <c r="B1810" t="s">
        <v>1859</v>
      </c>
    </row>
    <row r="1811" spans="1:3" x14ac:dyDescent="0.25">
      <c r="A1811" s="36">
        <v>17810802</v>
      </c>
      <c r="B1811" t="s">
        <v>1860</v>
      </c>
    </row>
    <row r="1812" spans="1:3" x14ac:dyDescent="0.25">
      <c r="A1812" s="36">
        <v>20321447997</v>
      </c>
      <c r="B1812" t="s">
        <v>775</v>
      </c>
      <c r="C1812" s="35" t="s">
        <v>798</v>
      </c>
    </row>
    <row r="1813" spans="1:3" x14ac:dyDescent="0.25">
      <c r="A1813" s="36">
        <v>24295244</v>
      </c>
      <c r="B1813" t="s">
        <v>1861</v>
      </c>
    </row>
    <row r="1814" spans="1:3" x14ac:dyDescent="0.25">
      <c r="A1814" s="36">
        <v>4481390</v>
      </c>
      <c r="B1814" t="s">
        <v>1862</v>
      </c>
    </row>
    <row r="1815" spans="1:3" x14ac:dyDescent="0.25">
      <c r="A1815" s="36">
        <v>30708648414</v>
      </c>
      <c r="B1815" t="s">
        <v>776</v>
      </c>
      <c r="C1815" s="35" t="s">
        <v>81</v>
      </c>
    </row>
    <row r="1816" spans="1:3" x14ac:dyDescent="0.25">
      <c r="A1816" s="36">
        <v>20137229944</v>
      </c>
      <c r="B1816" t="s">
        <v>777</v>
      </c>
    </row>
    <row r="1817" spans="1:3" x14ac:dyDescent="0.25">
      <c r="A1817" s="36">
        <v>30715609807</v>
      </c>
      <c r="B1817" t="s">
        <v>778</v>
      </c>
      <c r="C1817" s="35" t="s">
        <v>797</v>
      </c>
    </row>
    <row r="1818" spans="1:3" x14ac:dyDescent="0.25">
      <c r="A1818" s="36">
        <v>27169596439</v>
      </c>
      <c r="B1818" t="s">
        <v>1863</v>
      </c>
    </row>
    <row r="1819" spans="1:3" x14ac:dyDescent="0.25">
      <c r="A1819" s="36">
        <v>23112144064</v>
      </c>
      <c r="B1819" t="s">
        <v>779</v>
      </c>
    </row>
    <row r="1820" spans="1:3" x14ac:dyDescent="0.25">
      <c r="A1820" s="36">
        <v>14284514</v>
      </c>
      <c r="B1820" t="s">
        <v>1864</v>
      </c>
    </row>
    <row r="1821" spans="1:3" x14ac:dyDescent="0.25">
      <c r="A1821" s="36">
        <v>25139790</v>
      </c>
      <c r="B1821" t="s">
        <v>1865</v>
      </c>
    </row>
    <row r="1822" spans="1:3" x14ac:dyDescent="0.25">
      <c r="A1822" s="36">
        <v>30680297408</v>
      </c>
      <c r="B1822" t="s">
        <v>780</v>
      </c>
    </row>
    <row r="1823" spans="1:3" x14ac:dyDescent="0.25">
      <c r="A1823" s="36">
        <v>20225501190</v>
      </c>
      <c r="B1823" t="s">
        <v>781</v>
      </c>
    </row>
    <row r="1824" spans="1:3" x14ac:dyDescent="0.25">
      <c r="A1824" s="36">
        <v>20165292929</v>
      </c>
      <c r="B1824" t="s">
        <v>782</v>
      </c>
      <c r="C1824" s="35" t="s">
        <v>797</v>
      </c>
    </row>
    <row r="1825" spans="1:3" x14ac:dyDescent="0.25">
      <c r="A1825" s="36">
        <v>27853772</v>
      </c>
      <c r="B1825" t="s">
        <v>1866</v>
      </c>
    </row>
    <row r="1826" spans="1:3" x14ac:dyDescent="0.25">
      <c r="A1826" s="36">
        <v>30715581562</v>
      </c>
      <c r="B1826" t="s">
        <v>783</v>
      </c>
    </row>
    <row r="1827" spans="1:3" x14ac:dyDescent="0.25">
      <c r="A1827" s="36">
        <v>30714995002</v>
      </c>
      <c r="B1827" t="s">
        <v>784</v>
      </c>
    </row>
    <row r="1828" spans="1:3" x14ac:dyDescent="0.25">
      <c r="A1828" s="36">
        <v>30714867349</v>
      </c>
      <c r="B1828" t="s">
        <v>1867</v>
      </c>
      <c r="C1828" s="35" t="s">
        <v>819</v>
      </c>
    </row>
    <row r="1829" spans="1:3" x14ac:dyDescent="0.25">
      <c r="A1829" s="36">
        <v>20231247239</v>
      </c>
      <c r="B1829" t="s">
        <v>785</v>
      </c>
      <c r="C1829" s="35" t="s">
        <v>797</v>
      </c>
    </row>
    <row r="1830" spans="1:3" x14ac:dyDescent="0.25">
      <c r="A1830" s="36">
        <v>20231247239</v>
      </c>
      <c r="B1830" t="s">
        <v>785</v>
      </c>
      <c r="C1830" s="35" t="s">
        <v>797</v>
      </c>
    </row>
    <row r="1831" spans="1:3" x14ac:dyDescent="0.25">
      <c r="A1831" s="36">
        <v>20231247239</v>
      </c>
      <c r="B1831" t="s">
        <v>785</v>
      </c>
      <c r="C1831" s="35" t="s">
        <v>797</v>
      </c>
    </row>
    <row r="1832" spans="1:3" x14ac:dyDescent="0.25">
      <c r="A1832" s="36">
        <v>20231247239</v>
      </c>
      <c r="B1832" t="s">
        <v>785</v>
      </c>
    </row>
    <row r="1833" spans="1:3" x14ac:dyDescent="0.25">
      <c r="A1833" s="36">
        <v>30712383603</v>
      </c>
      <c r="B1833" t="s">
        <v>786</v>
      </c>
    </row>
    <row r="1834" spans="1:3" x14ac:dyDescent="0.25">
      <c r="A1834" s="36">
        <v>4544197</v>
      </c>
      <c r="B1834" t="s">
        <v>1868</v>
      </c>
    </row>
    <row r="1835" spans="1:3" x14ac:dyDescent="0.25">
      <c r="A1835" s="36">
        <v>4056016</v>
      </c>
      <c r="B1835" t="s">
        <v>1869</v>
      </c>
    </row>
    <row r="1836" spans="1:3" x14ac:dyDescent="0.25">
      <c r="A1836" s="36">
        <v>30585558733</v>
      </c>
      <c r="B1836" t="s">
        <v>787</v>
      </c>
      <c r="C1836" s="35" t="s">
        <v>797</v>
      </c>
    </row>
    <row r="1837" spans="1:3" x14ac:dyDescent="0.25">
      <c r="A1837" s="36">
        <v>3606794</v>
      </c>
      <c r="B1837" t="s">
        <v>1870</v>
      </c>
    </row>
    <row r="1838" spans="1:3" x14ac:dyDescent="0.25">
      <c r="A1838" s="36">
        <v>11362236</v>
      </c>
      <c r="B1838" t="s">
        <v>1871</v>
      </c>
    </row>
    <row r="1839" spans="1:3" x14ac:dyDescent="0.25">
      <c r="A1839" s="36">
        <v>10894160</v>
      </c>
      <c r="B1839" t="s">
        <v>1872</v>
      </c>
    </row>
    <row r="1840" spans="1:3" x14ac:dyDescent="0.25">
      <c r="A1840" s="36">
        <v>30578204713</v>
      </c>
      <c r="B1840" t="s">
        <v>788</v>
      </c>
      <c r="C1840" s="35" t="s">
        <v>797</v>
      </c>
    </row>
    <row r="1841" spans="1:3" x14ac:dyDescent="0.25">
      <c r="A1841" s="36">
        <v>17693917</v>
      </c>
      <c r="B1841" t="s">
        <v>1873</v>
      </c>
    </row>
    <row r="1842" spans="1:3" x14ac:dyDescent="0.25">
      <c r="A1842" s="36">
        <v>30695243673</v>
      </c>
      <c r="B1842" t="s">
        <v>789</v>
      </c>
      <c r="C1842" s="35" t="s">
        <v>44</v>
      </c>
    </row>
    <row r="1843" spans="1:3" x14ac:dyDescent="0.25">
      <c r="A1843" s="36">
        <v>2741793</v>
      </c>
      <c r="B1843" t="s">
        <v>1874</v>
      </c>
    </row>
    <row r="1844" spans="1:3" x14ac:dyDescent="0.25">
      <c r="A1844" s="36">
        <v>30707512454</v>
      </c>
      <c r="B1844" t="s">
        <v>790</v>
      </c>
      <c r="C1844" s="35" t="s">
        <v>81</v>
      </c>
    </row>
    <row r="1845" spans="1:3" x14ac:dyDescent="0.25">
      <c r="A1845" s="36">
        <v>5785121</v>
      </c>
      <c r="B1845" t="s">
        <v>1875</v>
      </c>
    </row>
    <row r="1846" spans="1:3" x14ac:dyDescent="0.25">
      <c r="A1846" s="36">
        <v>30546689979</v>
      </c>
      <c r="B1846" t="s">
        <v>791</v>
      </c>
      <c r="C1846" s="35" t="s">
        <v>44</v>
      </c>
    </row>
    <row r="1847" spans="1:3" x14ac:dyDescent="0.25">
      <c r="A1847" s="36">
        <v>30707395466</v>
      </c>
      <c r="B1847" t="s">
        <v>1876</v>
      </c>
      <c r="C1847" s="35" t="s">
        <v>797</v>
      </c>
    </row>
    <row r="1848" spans="1:3" x14ac:dyDescent="0.25">
      <c r="A1848" s="36">
        <v>24796858</v>
      </c>
      <c r="B1848" t="s">
        <v>1877</v>
      </c>
    </row>
    <row r="1849" spans="1:3" x14ac:dyDescent="0.25">
      <c r="A1849" s="36">
        <v>5440053</v>
      </c>
      <c r="B1849" t="s">
        <v>1878</v>
      </c>
    </row>
    <row r="1850" spans="1:3" x14ac:dyDescent="0.25">
      <c r="A1850" s="36">
        <v>30710961790</v>
      </c>
      <c r="B1850" t="s">
        <v>1879</v>
      </c>
    </row>
    <row r="1851" spans="1:3" x14ac:dyDescent="0.25">
      <c r="A1851" s="36">
        <v>13378269</v>
      </c>
      <c r="B1851" t="s">
        <v>1880</v>
      </c>
    </row>
    <row r="1852" spans="1:3" x14ac:dyDescent="0.25">
      <c r="A1852" s="36">
        <v>20168475803</v>
      </c>
      <c r="B1852" t="s">
        <v>1881</v>
      </c>
      <c r="C1852" s="35" t="s">
        <v>1792</v>
      </c>
    </row>
    <row r="1853" spans="1:3" x14ac:dyDescent="0.25">
      <c r="A1853" s="36">
        <v>94225446</v>
      </c>
      <c r="B1853" t="s">
        <v>1882</v>
      </c>
    </row>
    <row r="1854" spans="1:3" x14ac:dyDescent="0.25">
      <c r="A1854" s="36">
        <v>17606913</v>
      </c>
      <c r="B1854" t="s">
        <v>1883</v>
      </c>
    </row>
    <row r="1855" spans="1:3" x14ac:dyDescent="0.25">
      <c r="A1855" s="36">
        <v>31856039</v>
      </c>
      <c r="B1855" t="s">
        <v>1884</v>
      </c>
    </row>
    <row r="1856" spans="1:3" x14ac:dyDescent="0.25">
      <c r="A1856" s="36">
        <v>6610650</v>
      </c>
      <c r="B1856" t="s">
        <v>1885</v>
      </c>
    </row>
    <row r="1857" spans="1:3" x14ac:dyDescent="0.25">
      <c r="A1857" s="36">
        <v>4053411</v>
      </c>
      <c r="B1857" t="s">
        <v>1886</v>
      </c>
    </row>
    <row r="1858" spans="1:3" x14ac:dyDescent="0.25">
      <c r="A1858" s="36">
        <v>20295867931</v>
      </c>
      <c r="B1858" t="s">
        <v>1887</v>
      </c>
      <c r="C1858" s="35" t="s">
        <v>819</v>
      </c>
    </row>
    <row r="1859" spans="1:3" x14ac:dyDescent="0.25">
      <c r="A1859" s="36">
        <v>20929183143</v>
      </c>
      <c r="B1859" t="s">
        <v>1888</v>
      </c>
      <c r="C1859" s="35" t="s">
        <v>79</v>
      </c>
    </row>
    <row r="1860" spans="1:3" x14ac:dyDescent="0.25">
      <c r="A1860" s="36">
        <v>23175716009</v>
      </c>
      <c r="B1860" t="s">
        <v>1889</v>
      </c>
      <c r="C1860" s="35" t="s">
        <v>794</v>
      </c>
    </row>
    <row r="1861" spans="1:3" x14ac:dyDescent="0.25">
      <c r="A1861" s="36">
        <v>23405137119</v>
      </c>
      <c r="B1861" t="s">
        <v>1890</v>
      </c>
      <c r="C1861" s="35" t="s">
        <v>794</v>
      </c>
    </row>
    <row r="1862" spans="1:3" x14ac:dyDescent="0.25">
      <c r="A1862" s="36">
        <v>20108555417</v>
      </c>
      <c r="B1862" t="s">
        <v>1891</v>
      </c>
      <c r="C1862" s="35" t="s">
        <v>797</v>
      </c>
    </row>
    <row r="1863" spans="1:3" x14ac:dyDescent="0.25">
      <c r="A1863" s="36">
        <v>30711037582</v>
      </c>
      <c r="B1863" t="s">
        <v>1892</v>
      </c>
      <c r="C1863" s="35" t="s">
        <v>625</v>
      </c>
    </row>
    <row r="1864" spans="1:3" x14ac:dyDescent="0.25">
      <c r="A1864" s="36">
        <v>23383224829</v>
      </c>
      <c r="B1864" t="s">
        <v>1893</v>
      </c>
      <c r="C1864" s="35" t="s">
        <v>1135</v>
      </c>
    </row>
    <row r="1865" spans="1:3" x14ac:dyDescent="0.25">
      <c r="A1865" s="36">
        <v>30709879258</v>
      </c>
      <c r="B1865" t="s">
        <v>1894</v>
      </c>
      <c r="C1865" s="35" t="s">
        <v>794</v>
      </c>
    </row>
    <row r="1866" spans="1:3" x14ac:dyDescent="0.25">
      <c r="A1866" s="36">
        <v>30588919826</v>
      </c>
      <c r="B1866" t="s">
        <v>1895</v>
      </c>
      <c r="C1866" s="35" t="s">
        <v>44</v>
      </c>
    </row>
    <row r="1867" spans="1:3" x14ac:dyDescent="0.25">
      <c r="A1867" s="36">
        <v>30677807012</v>
      </c>
      <c r="B1867" t="s">
        <v>1896</v>
      </c>
    </row>
    <row r="1868" spans="1:3" x14ac:dyDescent="0.25">
      <c r="A1868" s="36">
        <v>18131347</v>
      </c>
      <c r="B1868" t="s">
        <v>1897</v>
      </c>
    </row>
    <row r="1869" spans="1:3" x14ac:dyDescent="0.25">
      <c r="A1869" s="36">
        <v>10623074</v>
      </c>
      <c r="B1869" t="s">
        <v>1898</v>
      </c>
    </row>
    <row r="1870" spans="1:3" x14ac:dyDescent="0.25">
      <c r="A1870" s="36">
        <v>3707945</v>
      </c>
      <c r="B1870" t="s">
        <v>1899</v>
      </c>
    </row>
    <row r="1871" spans="1:3" x14ac:dyDescent="0.25">
      <c r="A1871" s="36">
        <v>32585272</v>
      </c>
      <c r="B1871" t="s">
        <v>1900</v>
      </c>
    </row>
    <row r="1872" spans="1:3" x14ac:dyDescent="0.25">
      <c r="A1872" s="36">
        <v>11917509</v>
      </c>
      <c r="B1872" t="s">
        <v>1901</v>
      </c>
    </row>
    <row r="1873" spans="1:3" x14ac:dyDescent="0.25">
      <c r="A1873" s="36">
        <v>5871233</v>
      </c>
      <c r="B1873" t="s">
        <v>1902</v>
      </c>
    </row>
    <row r="1874" spans="1:3" x14ac:dyDescent="0.25">
      <c r="A1874" s="36">
        <v>23834263</v>
      </c>
      <c r="B1874" t="s">
        <v>1903</v>
      </c>
    </row>
    <row r="1875" spans="1:3" x14ac:dyDescent="0.25">
      <c r="A1875" s="36">
        <v>17108812</v>
      </c>
      <c r="B1875" t="s">
        <v>1904</v>
      </c>
    </row>
    <row r="1876" spans="1:3" x14ac:dyDescent="0.25">
      <c r="A1876" s="36">
        <v>27636282</v>
      </c>
      <c r="B1876" t="s">
        <v>1905</v>
      </c>
    </row>
    <row r="1877" spans="1:3" x14ac:dyDescent="0.25">
      <c r="A1877" s="36">
        <v>2925288</v>
      </c>
      <c r="B1877" t="s">
        <v>1906</v>
      </c>
    </row>
    <row r="1878" spans="1:3" x14ac:dyDescent="0.25">
      <c r="A1878" s="36">
        <v>27032990741</v>
      </c>
      <c r="B1878" t="s">
        <v>1907</v>
      </c>
    </row>
    <row r="1879" spans="1:3" x14ac:dyDescent="0.25">
      <c r="A1879" s="36">
        <v>16453592</v>
      </c>
      <c r="B1879" t="s">
        <v>1908</v>
      </c>
    </row>
    <row r="1880" spans="1:3" x14ac:dyDescent="0.25">
      <c r="A1880" s="36">
        <v>20620499</v>
      </c>
      <c r="B1880" t="s">
        <v>1909</v>
      </c>
    </row>
    <row r="1881" spans="1:3" x14ac:dyDescent="0.25">
      <c r="A1881" s="36">
        <v>36699604</v>
      </c>
      <c r="B1881" t="s">
        <v>1910</v>
      </c>
    </row>
    <row r="1882" spans="1:3" x14ac:dyDescent="0.25">
      <c r="A1882" s="36">
        <v>25568267</v>
      </c>
      <c r="B1882" t="s">
        <v>1911</v>
      </c>
    </row>
    <row r="1883" spans="1:3" x14ac:dyDescent="0.25">
      <c r="A1883" s="36">
        <v>28167218</v>
      </c>
      <c r="B1883" t="s">
        <v>1912</v>
      </c>
    </row>
    <row r="1884" spans="1:3" x14ac:dyDescent="0.25">
      <c r="A1884" s="36">
        <v>30450027</v>
      </c>
      <c r="B1884" t="s">
        <v>1444</v>
      </c>
    </row>
    <row r="1885" spans="1:3" x14ac:dyDescent="0.25">
      <c r="A1885" s="36">
        <v>27292799433</v>
      </c>
      <c r="B1885" t="s">
        <v>1913</v>
      </c>
    </row>
    <row r="1886" spans="1:3" x14ac:dyDescent="0.25">
      <c r="A1886" s="36">
        <v>30710276273</v>
      </c>
      <c r="B1886" t="s">
        <v>1914</v>
      </c>
      <c r="C1886" s="35" t="s">
        <v>794</v>
      </c>
    </row>
    <row r="1887" spans="1:3" x14ac:dyDescent="0.25">
      <c r="A1887" s="36">
        <v>5571317</v>
      </c>
      <c r="B1887" t="s">
        <v>1915</v>
      </c>
    </row>
    <row r="1888" spans="1:3" x14ac:dyDescent="0.25">
      <c r="A1888" s="36">
        <v>16874783</v>
      </c>
      <c r="B1888" t="s">
        <v>1916</v>
      </c>
    </row>
    <row r="1889" spans="1:2" x14ac:dyDescent="0.25">
      <c r="A1889" s="36">
        <v>26873512</v>
      </c>
      <c r="B1889" t="s">
        <v>1917</v>
      </c>
    </row>
    <row r="1890" spans="1:2" x14ac:dyDescent="0.25">
      <c r="A1890" s="36">
        <v>10964786</v>
      </c>
      <c r="B1890" t="s">
        <v>1918</v>
      </c>
    </row>
    <row r="1891" spans="1:2" x14ac:dyDescent="0.25">
      <c r="A1891" s="36">
        <v>35377683</v>
      </c>
      <c r="B1891" t="s">
        <v>1919</v>
      </c>
    </row>
    <row r="1892" spans="1:2" x14ac:dyDescent="0.25">
      <c r="A1892" s="36">
        <v>94551575</v>
      </c>
      <c r="B1892" t="s">
        <v>1920</v>
      </c>
    </row>
    <row r="1893" spans="1:2" x14ac:dyDescent="0.25">
      <c r="A1893" s="36">
        <v>43874332</v>
      </c>
      <c r="B1893" t="s">
        <v>1921</v>
      </c>
    </row>
    <row r="1894" spans="1:2" x14ac:dyDescent="0.25">
      <c r="A1894" s="36">
        <v>20185074</v>
      </c>
      <c r="B1894" t="s">
        <v>1922</v>
      </c>
    </row>
    <row r="1895" spans="1:2" x14ac:dyDescent="0.25">
      <c r="A1895" s="36">
        <v>23376578</v>
      </c>
      <c r="B1895" t="s">
        <v>1923</v>
      </c>
    </row>
    <row r="1896" spans="1:2" x14ac:dyDescent="0.25">
      <c r="A1896" s="36">
        <v>35186046</v>
      </c>
      <c r="B1896" t="s">
        <v>1924</v>
      </c>
    </row>
    <row r="1897" spans="1:2" x14ac:dyDescent="0.25">
      <c r="A1897" s="36">
        <v>4523927</v>
      </c>
      <c r="B1897" t="s">
        <v>1925</v>
      </c>
    </row>
    <row r="1898" spans="1:2" x14ac:dyDescent="0.25">
      <c r="A1898" s="36">
        <v>31453278</v>
      </c>
      <c r="B1898" t="s">
        <v>1926</v>
      </c>
    </row>
    <row r="1899" spans="1:2" x14ac:dyDescent="0.25">
      <c r="A1899" s="36">
        <v>10260271</v>
      </c>
      <c r="B1899" t="s">
        <v>1927</v>
      </c>
    </row>
    <row r="1900" spans="1:2" x14ac:dyDescent="0.25">
      <c r="A1900" s="36">
        <v>20349249</v>
      </c>
      <c r="B1900" t="s">
        <v>1928</v>
      </c>
    </row>
    <row r="1901" spans="1:2" x14ac:dyDescent="0.25">
      <c r="A1901" s="36">
        <v>26911149</v>
      </c>
      <c r="B1901" t="s">
        <v>1929</v>
      </c>
    </row>
    <row r="1902" spans="1:2" x14ac:dyDescent="0.25">
      <c r="A1902" s="36">
        <v>1300746</v>
      </c>
      <c r="B1902" t="s">
        <v>1930</v>
      </c>
    </row>
    <row r="1903" spans="1:2" x14ac:dyDescent="0.25">
      <c r="A1903" s="36">
        <v>11097725</v>
      </c>
      <c r="B1903" t="s">
        <v>1931</v>
      </c>
    </row>
    <row r="1904" spans="1:2" x14ac:dyDescent="0.25">
      <c r="A1904" s="36">
        <v>36401855</v>
      </c>
      <c r="B1904" t="s">
        <v>1932</v>
      </c>
    </row>
    <row r="1905" spans="1:2" x14ac:dyDescent="0.25">
      <c r="A1905" s="36">
        <v>5729256</v>
      </c>
      <c r="B1905" t="s">
        <v>1933</v>
      </c>
    </row>
    <row r="1906" spans="1:2" x14ac:dyDescent="0.25">
      <c r="A1906" s="36">
        <v>4560258</v>
      </c>
      <c r="B1906" t="s">
        <v>1934</v>
      </c>
    </row>
    <row r="1907" spans="1:2" x14ac:dyDescent="0.25">
      <c r="A1907" s="36">
        <v>12394145</v>
      </c>
      <c r="B1907" t="s">
        <v>1935</v>
      </c>
    </row>
    <row r="1908" spans="1:2" x14ac:dyDescent="0.25">
      <c r="A1908" s="36">
        <v>30583955</v>
      </c>
      <c r="B1908" t="s">
        <v>1936</v>
      </c>
    </row>
    <row r="1909" spans="1:2" x14ac:dyDescent="0.25">
      <c r="A1909" s="36">
        <v>12588018</v>
      </c>
      <c r="B1909" t="s">
        <v>1937</v>
      </c>
    </row>
    <row r="1910" spans="1:2" x14ac:dyDescent="0.25">
      <c r="A1910" s="36">
        <v>10996926</v>
      </c>
      <c r="B1910" t="s">
        <v>1938</v>
      </c>
    </row>
    <row r="1911" spans="1:2" x14ac:dyDescent="0.25">
      <c r="A1911" s="36">
        <v>16493187</v>
      </c>
      <c r="B1911" t="s">
        <v>1939</v>
      </c>
    </row>
    <row r="1912" spans="1:2" x14ac:dyDescent="0.25">
      <c r="A1912" s="36">
        <v>4244655</v>
      </c>
      <c r="B1912" t="s">
        <v>1940</v>
      </c>
    </row>
    <row r="1913" spans="1:2" x14ac:dyDescent="0.25">
      <c r="A1913" s="36">
        <v>10691269</v>
      </c>
      <c r="B1913" t="s">
        <v>1941</v>
      </c>
    </row>
    <row r="1914" spans="1:2" x14ac:dyDescent="0.25">
      <c r="A1914" s="36">
        <v>10223317</v>
      </c>
      <c r="B1914" t="s">
        <v>1942</v>
      </c>
    </row>
    <row r="1915" spans="1:2" x14ac:dyDescent="0.25">
      <c r="A1915" s="36">
        <v>10462997</v>
      </c>
      <c r="B1915" t="s">
        <v>1943</v>
      </c>
    </row>
    <row r="1916" spans="1:2" x14ac:dyDescent="0.25">
      <c r="A1916" s="36">
        <v>37602898</v>
      </c>
      <c r="B1916" t="s">
        <v>1944</v>
      </c>
    </row>
    <row r="1917" spans="1:2" x14ac:dyDescent="0.25">
      <c r="A1917" s="36">
        <v>6221404</v>
      </c>
      <c r="B1917" t="s">
        <v>1945</v>
      </c>
    </row>
    <row r="1918" spans="1:2" x14ac:dyDescent="0.25">
      <c r="A1918" s="36">
        <v>699818</v>
      </c>
      <c r="B1918" t="s">
        <v>1946</v>
      </c>
    </row>
    <row r="1919" spans="1:2" x14ac:dyDescent="0.25">
      <c r="A1919" s="36">
        <v>33339001</v>
      </c>
      <c r="B1919" t="s">
        <v>1947</v>
      </c>
    </row>
    <row r="1920" spans="1:2" x14ac:dyDescent="0.25">
      <c r="A1920" s="36">
        <v>94210250</v>
      </c>
      <c r="B1920" t="s">
        <v>1948</v>
      </c>
    </row>
    <row r="1921" spans="1:3" x14ac:dyDescent="0.25">
      <c r="A1921" s="36">
        <v>32592366</v>
      </c>
      <c r="B1921" t="s">
        <v>1949</v>
      </c>
    </row>
    <row r="1922" spans="1:3" x14ac:dyDescent="0.25">
      <c r="A1922" s="36">
        <v>21363216</v>
      </c>
      <c r="B1922" t="s">
        <v>1950</v>
      </c>
    </row>
    <row r="1923" spans="1:3" x14ac:dyDescent="0.25">
      <c r="A1923" s="36">
        <v>28156061</v>
      </c>
      <c r="B1923" t="s">
        <v>1951</v>
      </c>
    </row>
    <row r="1924" spans="1:3" x14ac:dyDescent="0.25">
      <c r="A1924" s="36">
        <v>94577609</v>
      </c>
      <c r="B1924" t="s">
        <v>1952</v>
      </c>
    </row>
    <row r="1925" spans="1:3" x14ac:dyDescent="0.25">
      <c r="A1925" s="36">
        <v>30707014756</v>
      </c>
      <c r="B1925" t="s">
        <v>1953</v>
      </c>
      <c r="C1925" s="35" t="s">
        <v>79</v>
      </c>
    </row>
    <row r="1926" spans="1:3" x14ac:dyDescent="0.25">
      <c r="A1926" s="36">
        <v>23334822869</v>
      </c>
      <c r="B1926" t="s">
        <v>1954</v>
      </c>
      <c r="C1926" s="35" t="s">
        <v>79</v>
      </c>
    </row>
    <row r="1927" spans="1:3" x14ac:dyDescent="0.25">
      <c r="A1927" s="36">
        <v>20211408511</v>
      </c>
      <c r="B1927" t="s">
        <v>1955</v>
      </c>
      <c r="C1927" s="35" t="s">
        <v>79</v>
      </c>
    </row>
    <row r="1928" spans="1:3" x14ac:dyDescent="0.25">
      <c r="A1928" s="36">
        <v>30710361351</v>
      </c>
      <c r="B1928" t="s">
        <v>1956</v>
      </c>
      <c r="C1928" s="35" t="s">
        <v>79</v>
      </c>
    </row>
    <row r="1929" spans="1:3" x14ac:dyDescent="0.25">
      <c r="A1929" s="36">
        <v>20046086806</v>
      </c>
      <c r="B1929" t="s">
        <v>1957</v>
      </c>
      <c r="C1929" s="35" t="s">
        <v>79</v>
      </c>
    </row>
    <row r="1930" spans="1:3" x14ac:dyDescent="0.25">
      <c r="A1930" s="36">
        <v>27265832178</v>
      </c>
      <c r="B1930" t="s">
        <v>1958</v>
      </c>
      <c r="C1930" s="35" t="s">
        <v>829</v>
      </c>
    </row>
    <row r="1931" spans="1:3" x14ac:dyDescent="0.25">
      <c r="A1931" s="36">
        <v>20216451679</v>
      </c>
      <c r="B1931" t="s">
        <v>1959</v>
      </c>
      <c r="C1931" s="35" t="s">
        <v>829</v>
      </c>
    </row>
    <row r="1932" spans="1:3" x14ac:dyDescent="0.25">
      <c r="A1932" s="36">
        <v>20184015820</v>
      </c>
      <c r="B1932" t="s">
        <v>1960</v>
      </c>
      <c r="C1932" s="35" t="s">
        <v>79</v>
      </c>
    </row>
    <row r="1933" spans="1:3" x14ac:dyDescent="0.25">
      <c r="A1933" s="36">
        <v>30587197215</v>
      </c>
      <c r="B1933" t="s">
        <v>1961</v>
      </c>
      <c r="C1933" s="35" t="s">
        <v>1962</v>
      </c>
    </row>
    <row r="1934" spans="1:3" x14ac:dyDescent="0.25">
      <c r="A1934" s="36">
        <v>20230902780</v>
      </c>
      <c r="B1934" t="s">
        <v>1963</v>
      </c>
      <c r="C1934" s="35" t="s">
        <v>79</v>
      </c>
    </row>
    <row r="1935" spans="1:3" x14ac:dyDescent="0.25">
      <c r="A1935" s="36">
        <v>30540059078</v>
      </c>
      <c r="B1935" t="s">
        <v>1964</v>
      </c>
      <c r="C1935" s="35" t="s">
        <v>79</v>
      </c>
    </row>
    <row r="1936" spans="1:3" x14ac:dyDescent="0.25">
      <c r="A1936" s="36">
        <v>30648604021</v>
      </c>
      <c r="B1936" t="s">
        <v>1965</v>
      </c>
      <c r="C1936" s="35" t="s">
        <v>1966</v>
      </c>
    </row>
    <row r="1937" spans="1:3" x14ac:dyDescent="0.25">
      <c r="A1937" s="36">
        <v>23411502619</v>
      </c>
      <c r="B1937" t="s">
        <v>1967</v>
      </c>
      <c r="C1937" s="35" t="s">
        <v>1968</v>
      </c>
    </row>
    <row r="1938" spans="1:3" x14ac:dyDescent="0.25">
      <c r="A1938" s="36">
        <v>20264653313</v>
      </c>
      <c r="B1938" t="s">
        <v>1969</v>
      </c>
      <c r="C1938" s="35" t="s">
        <v>794</v>
      </c>
    </row>
    <row r="1939" spans="1:3" x14ac:dyDescent="0.25">
      <c r="A1939" s="36">
        <v>23292502</v>
      </c>
      <c r="B1939" t="s">
        <v>1970</v>
      </c>
    </row>
    <row r="1940" spans="1:3" x14ac:dyDescent="0.25">
      <c r="A1940" s="36">
        <v>22212182</v>
      </c>
      <c r="B1940" t="s">
        <v>1971</v>
      </c>
    </row>
    <row r="1941" spans="1:3" x14ac:dyDescent="0.25">
      <c r="A1941" s="36">
        <v>12692318</v>
      </c>
      <c r="B1941" t="s">
        <v>1972</v>
      </c>
    </row>
    <row r="1942" spans="1:3" x14ac:dyDescent="0.25">
      <c r="A1942" s="36">
        <v>24448662</v>
      </c>
      <c r="B1942" t="s">
        <v>1076</v>
      </c>
    </row>
    <row r="1943" spans="1:3" x14ac:dyDescent="0.25">
      <c r="A1943" s="36">
        <v>30609521941</v>
      </c>
      <c r="B1943" t="s">
        <v>1973</v>
      </c>
    </row>
    <row r="1944" spans="1:3" x14ac:dyDescent="0.25">
      <c r="A1944" s="36">
        <v>3754732</v>
      </c>
      <c r="B1944" t="s">
        <v>121</v>
      </c>
    </row>
    <row r="1945" spans="1:3" x14ac:dyDescent="0.25">
      <c r="A1945" s="36">
        <v>30590354798</v>
      </c>
      <c r="B1945" t="s">
        <v>1974</v>
      </c>
    </row>
    <row r="1946" spans="1:3" x14ac:dyDescent="0.25">
      <c r="A1946" s="36">
        <v>30590354798</v>
      </c>
      <c r="B1946" t="s">
        <v>1974</v>
      </c>
    </row>
    <row r="1947" spans="1:3" x14ac:dyDescent="0.25">
      <c r="A1947" s="36">
        <v>5124770</v>
      </c>
      <c r="B1947" t="s">
        <v>1975</v>
      </c>
    </row>
    <row r="1948" spans="1:3" x14ac:dyDescent="0.25">
      <c r="A1948" s="36">
        <v>382591</v>
      </c>
      <c r="B1948" t="s">
        <v>1976</v>
      </c>
    </row>
    <row r="1949" spans="1:3" x14ac:dyDescent="0.25">
      <c r="A1949" s="36">
        <v>4088050</v>
      </c>
      <c r="B1949" t="s">
        <v>1241</v>
      </c>
    </row>
    <row r="1950" spans="1:3" x14ac:dyDescent="0.25">
      <c r="A1950" s="36">
        <v>93298160</v>
      </c>
      <c r="B1950" t="s">
        <v>846</v>
      </c>
    </row>
    <row r="1951" spans="1:3" x14ac:dyDescent="0.25">
      <c r="A1951" s="36">
        <v>11043194</v>
      </c>
      <c r="B1951" t="s">
        <v>1977</v>
      </c>
    </row>
    <row r="1952" spans="1:3" x14ac:dyDescent="0.25">
      <c r="A1952" s="36">
        <v>14682258</v>
      </c>
      <c r="B1952" t="s">
        <v>1978</v>
      </c>
    </row>
    <row r="1953" spans="1:2" x14ac:dyDescent="0.25">
      <c r="A1953" s="36">
        <v>22411136</v>
      </c>
      <c r="B1953" t="s">
        <v>1979</v>
      </c>
    </row>
    <row r="1954" spans="1:2" x14ac:dyDescent="0.25">
      <c r="A1954" s="36">
        <v>40393502</v>
      </c>
      <c r="B1954" t="s">
        <v>1980</v>
      </c>
    </row>
    <row r="1955" spans="1:2" x14ac:dyDescent="0.25">
      <c r="A1955" s="36">
        <v>29152927</v>
      </c>
      <c r="B1955" t="s">
        <v>1981</v>
      </c>
    </row>
    <row r="1956" spans="1:2" x14ac:dyDescent="0.25">
      <c r="A1956" s="36">
        <v>5407921</v>
      </c>
      <c r="B1956" t="s">
        <v>1982</v>
      </c>
    </row>
    <row r="1957" spans="1:2" x14ac:dyDescent="0.25">
      <c r="A1957" s="36">
        <v>5660462</v>
      </c>
      <c r="B1957" t="s">
        <v>1983</v>
      </c>
    </row>
    <row r="1958" spans="1:2" x14ac:dyDescent="0.25">
      <c r="A1958" s="36">
        <v>18396938</v>
      </c>
      <c r="B1958" t="s">
        <v>1984</v>
      </c>
    </row>
    <row r="1959" spans="1:2" x14ac:dyDescent="0.25">
      <c r="A1959" s="36">
        <v>94468886</v>
      </c>
      <c r="B1959" t="s">
        <v>1985</v>
      </c>
    </row>
    <row r="1960" spans="1:2" x14ac:dyDescent="0.25">
      <c r="A1960" s="36">
        <v>95902812</v>
      </c>
      <c r="B1960" t="s">
        <v>1986</v>
      </c>
    </row>
    <row r="1961" spans="1:2" x14ac:dyDescent="0.25">
      <c r="A1961" s="36">
        <v>3343777</v>
      </c>
      <c r="B1961" t="s">
        <v>1987</v>
      </c>
    </row>
    <row r="1962" spans="1:2" x14ac:dyDescent="0.25">
      <c r="A1962" s="36">
        <v>10703594</v>
      </c>
      <c r="B1962" t="s">
        <v>1988</v>
      </c>
    </row>
    <row r="1963" spans="1:2" x14ac:dyDescent="0.25">
      <c r="A1963" s="36">
        <v>21675120</v>
      </c>
      <c r="B1963" t="s">
        <v>1989</v>
      </c>
    </row>
    <row r="1964" spans="1:2" x14ac:dyDescent="0.25">
      <c r="A1964" s="36">
        <v>31485269</v>
      </c>
      <c r="B1964" t="s">
        <v>1990</v>
      </c>
    </row>
    <row r="1965" spans="1:2" x14ac:dyDescent="0.25">
      <c r="A1965" s="36">
        <v>16438623</v>
      </c>
      <c r="B1965" t="s">
        <v>1991</v>
      </c>
    </row>
    <row r="1966" spans="1:2" x14ac:dyDescent="0.25">
      <c r="A1966" s="36">
        <v>3327836</v>
      </c>
      <c r="B1966" t="s">
        <v>1992</v>
      </c>
    </row>
    <row r="1967" spans="1:2" x14ac:dyDescent="0.25">
      <c r="A1967" s="36">
        <v>16786629</v>
      </c>
      <c r="B1967" t="s">
        <v>1993</v>
      </c>
    </row>
    <row r="1968" spans="1:2" x14ac:dyDescent="0.25">
      <c r="A1968" s="36">
        <v>705467</v>
      </c>
      <c r="B1968" t="s">
        <v>1994</v>
      </c>
    </row>
    <row r="1969" spans="1:3" x14ac:dyDescent="0.25">
      <c r="A1969" s="36">
        <v>2206038</v>
      </c>
      <c r="B1969" t="s">
        <v>1995</v>
      </c>
    </row>
    <row r="1970" spans="1:3" x14ac:dyDescent="0.25">
      <c r="A1970" s="36">
        <v>7883318</v>
      </c>
      <c r="B1970" t="s">
        <v>1996</v>
      </c>
    </row>
    <row r="1971" spans="1:3" x14ac:dyDescent="0.25">
      <c r="A1971" s="36">
        <v>27819258</v>
      </c>
      <c r="B1971" t="s">
        <v>1997</v>
      </c>
    </row>
    <row r="1972" spans="1:3" x14ac:dyDescent="0.25">
      <c r="A1972" s="36">
        <v>17163446</v>
      </c>
      <c r="B1972" t="s">
        <v>1998</v>
      </c>
    </row>
    <row r="1973" spans="1:3" x14ac:dyDescent="0.25">
      <c r="A1973" s="36">
        <v>31591857</v>
      </c>
      <c r="B1973" t="s">
        <v>1999</v>
      </c>
    </row>
    <row r="1974" spans="1:3" x14ac:dyDescent="0.25">
      <c r="A1974" s="36">
        <v>30716160889</v>
      </c>
      <c r="B1974" t="s">
        <v>2000</v>
      </c>
    </row>
    <row r="1975" spans="1:3" x14ac:dyDescent="0.25">
      <c r="A1975" s="36">
        <v>30715753541</v>
      </c>
      <c r="B1975" t="s">
        <v>2001</v>
      </c>
      <c r="C1975" s="35" t="s">
        <v>44</v>
      </c>
    </row>
    <row r="1976" spans="1:3" x14ac:dyDescent="0.25">
      <c r="A1976" s="36">
        <v>30687489221</v>
      </c>
      <c r="B1976" t="s">
        <v>2002</v>
      </c>
      <c r="C1976" s="35" t="s">
        <v>2003</v>
      </c>
    </row>
    <row r="1977" spans="1:3" x14ac:dyDescent="0.25">
      <c r="A1977" s="36">
        <v>30540019297</v>
      </c>
      <c r="B1977" t="s">
        <v>2004</v>
      </c>
      <c r="C1977" s="35" t="s">
        <v>1135</v>
      </c>
    </row>
    <row r="1978" spans="1:3" x14ac:dyDescent="0.25">
      <c r="A1978" s="36">
        <v>30708601019</v>
      </c>
      <c r="B1978" t="s">
        <v>2005</v>
      </c>
    </row>
    <row r="1979" spans="1:3" x14ac:dyDescent="0.25">
      <c r="A1979" s="36">
        <v>30710386001</v>
      </c>
      <c r="B1979" t="s">
        <v>2006</v>
      </c>
      <c r="C1979" s="35" t="s">
        <v>1135</v>
      </c>
    </row>
    <row r="1980" spans="1:3" x14ac:dyDescent="0.25">
      <c r="A1980" s="36">
        <v>30716620634</v>
      </c>
      <c r="B1980" t="s">
        <v>2007</v>
      </c>
      <c r="C1980" s="35" t="s">
        <v>1135</v>
      </c>
    </row>
    <row r="1981" spans="1:3" x14ac:dyDescent="0.25">
      <c r="A1981" s="36">
        <v>30529403522</v>
      </c>
      <c r="B1981" t="s">
        <v>2008</v>
      </c>
      <c r="C1981" s="35" t="s">
        <v>79</v>
      </c>
    </row>
    <row r="1982" spans="1:3" x14ac:dyDescent="0.25">
      <c r="A1982" s="36">
        <v>30714930490</v>
      </c>
      <c r="B1982" t="s">
        <v>2009</v>
      </c>
      <c r="C1982" s="35" t="s">
        <v>79</v>
      </c>
    </row>
    <row r="1983" spans="1:3" x14ac:dyDescent="0.25">
      <c r="A1983" s="36">
        <v>30686525607</v>
      </c>
      <c r="B1983" t="s">
        <v>2010</v>
      </c>
      <c r="C1983" s="35" t="s">
        <v>79</v>
      </c>
    </row>
    <row r="1984" spans="1:3" x14ac:dyDescent="0.25">
      <c r="A1984" s="36">
        <v>20334976433</v>
      </c>
      <c r="B1984" t="s">
        <v>2011</v>
      </c>
      <c r="C1984" s="35" t="s">
        <v>794</v>
      </c>
    </row>
    <row r="1985" spans="1:3" x14ac:dyDescent="0.25">
      <c r="A1985" s="36">
        <v>30697465983</v>
      </c>
      <c r="B1985" t="s">
        <v>2012</v>
      </c>
      <c r="C1985" s="35" t="s">
        <v>2013</v>
      </c>
    </row>
    <row r="1986" spans="1:3" x14ac:dyDescent="0.25">
      <c r="A1986" s="36">
        <v>30715621866</v>
      </c>
      <c r="B1986" t="s">
        <v>2014</v>
      </c>
      <c r="C1986" s="35" t="s">
        <v>2013</v>
      </c>
    </row>
    <row r="1987" spans="1:3" x14ac:dyDescent="0.25">
      <c r="A1987" s="36">
        <v>30654152434</v>
      </c>
      <c r="B1987" t="s">
        <v>2015</v>
      </c>
      <c r="C1987" s="35" t="s">
        <v>2016</v>
      </c>
    </row>
    <row r="1988" spans="1:3" x14ac:dyDescent="0.25">
      <c r="A1988" s="36">
        <v>30716145618</v>
      </c>
      <c r="B1988" t="s">
        <v>2017</v>
      </c>
      <c r="C1988" s="35" t="s">
        <v>79</v>
      </c>
    </row>
    <row r="1989" spans="1:3" x14ac:dyDescent="0.25">
      <c r="A1989" s="36">
        <v>27326703384</v>
      </c>
      <c r="B1989" t="s">
        <v>2018</v>
      </c>
      <c r="C1989" s="35" t="s">
        <v>797</v>
      </c>
    </row>
    <row r="1990" spans="1:3" x14ac:dyDescent="0.25">
      <c r="A1990" s="36">
        <v>30717471020</v>
      </c>
      <c r="B1990" t="s">
        <v>2019</v>
      </c>
    </row>
    <row r="1991" spans="1:3" x14ac:dyDescent="0.25">
      <c r="A1991" s="36">
        <v>24324735</v>
      </c>
      <c r="B1991" t="s">
        <v>2020</v>
      </c>
    </row>
    <row r="1992" spans="1:3" x14ac:dyDescent="0.25">
      <c r="A1992" s="36">
        <v>25052487</v>
      </c>
      <c r="B1992" t="s">
        <v>2021</v>
      </c>
    </row>
    <row r="1993" spans="1:3" x14ac:dyDescent="0.25">
      <c r="A1993" s="36">
        <v>23124753</v>
      </c>
      <c r="B1993" t="s">
        <v>2022</v>
      </c>
    </row>
    <row r="1994" spans="1:3" x14ac:dyDescent="0.25">
      <c r="A1994" s="36">
        <v>12047792</v>
      </c>
      <c r="B1994" t="s">
        <v>2023</v>
      </c>
    </row>
    <row r="1995" spans="1:3" x14ac:dyDescent="0.25">
      <c r="A1995" s="36">
        <v>13017622</v>
      </c>
      <c r="B1995" t="s">
        <v>2024</v>
      </c>
    </row>
    <row r="1996" spans="1:3" x14ac:dyDescent="0.25">
      <c r="A1996" s="36">
        <v>93351604</v>
      </c>
      <c r="B1996" t="s">
        <v>2025</v>
      </c>
    </row>
    <row r="1997" spans="1:3" x14ac:dyDescent="0.25">
      <c r="A1997" s="36">
        <v>4407073</v>
      </c>
      <c r="B1997" t="s">
        <v>2026</v>
      </c>
    </row>
    <row r="1998" spans="1:3" x14ac:dyDescent="0.25">
      <c r="A1998" s="36">
        <v>13807197</v>
      </c>
      <c r="B1998" t="s">
        <v>2027</v>
      </c>
    </row>
    <row r="1999" spans="1:3" x14ac:dyDescent="0.25">
      <c r="A1999" s="36">
        <v>119875133</v>
      </c>
      <c r="B1999" t="s">
        <v>2028</v>
      </c>
    </row>
    <row r="2000" spans="1:3" x14ac:dyDescent="0.25">
      <c r="A2000" s="36">
        <v>25675234</v>
      </c>
      <c r="B2000" t="s">
        <v>2029</v>
      </c>
    </row>
    <row r="2001" spans="1:3" x14ac:dyDescent="0.25">
      <c r="A2001" s="36">
        <v>10142132</v>
      </c>
      <c r="B2001" t="s">
        <v>2030</v>
      </c>
    </row>
    <row r="2002" spans="1:3" x14ac:dyDescent="0.25">
      <c r="A2002" s="36">
        <v>26737027</v>
      </c>
      <c r="B2002" t="s">
        <v>1424</v>
      </c>
    </row>
    <row r="2003" spans="1:3" x14ac:dyDescent="0.25">
      <c r="A2003" s="36">
        <v>94059981</v>
      </c>
      <c r="B2003" t="s">
        <v>2031</v>
      </c>
    </row>
    <row r="2004" spans="1:3" x14ac:dyDescent="0.25">
      <c r="A2004" s="36">
        <v>21851553</v>
      </c>
      <c r="B2004" t="s">
        <v>2032</v>
      </c>
    </row>
    <row r="2005" spans="1:3" x14ac:dyDescent="0.25">
      <c r="A2005" s="36">
        <v>33451590</v>
      </c>
      <c r="B2005" t="s">
        <v>2033</v>
      </c>
    </row>
    <row r="2006" spans="1:3" x14ac:dyDescent="0.25">
      <c r="A2006" s="36">
        <v>21481083</v>
      </c>
      <c r="B2006" t="s">
        <v>2034</v>
      </c>
    </row>
    <row r="2007" spans="1:3" x14ac:dyDescent="0.25">
      <c r="A2007" s="36">
        <v>27181965709</v>
      </c>
      <c r="B2007" t="s">
        <v>2035</v>
      </c>
      <c r="C2007" s="35" t="s">
        <v>794</v>
      </c>
    </row>
    <row r="2008" spans="1:3" x14ac:dyDescent="0.25">
      <c r="A2008" s="36">
        <v>23255855204</v>
      </c>
      <c r="B2008" t="s">
        <v>2036</v>
      </c>
      <c r="C2008" s="35" t="s">
        <v>794</v>
      </c>
    </row>
    <row r="2009" spans="1:3" x14ac:dyDescent="0.25">
      <c r="A2009" s="36">
        <v>33707660509</v>
      </c>
      <c r="B2009" t="s">
        <v>2037</v>
      </c>
      <c r="C2009" s="35" t="s">
        <v>1710</v>
      </c>
    </row>
    <row r="2010" spans="1:3" x14ac:dyDescent="0.25">
      <c r="A2010" s="36">
        <v>20239531963</v>
      </c>
      <c r="B2010" t="s">
        <v>2038</v>
      </c>
      <c r="C2010" s="35" t="s">
        <v>797</v>
      </c>
    </row>
    <row r="2011" spans="1:3" x14ac:dyDescent="0.25">
      <c r="A2011" s="36">
        <v>27256759646</v>
      </c>
      <c r="B2011" t="s">
        <v>2039</v>
      </c>
      <c r="C2011" s="35" t="s">
        <v>797</v>
      </c>
    </row>
    <row r="2012" spans="1:3" x14ac:dyDescent="0.25">
      <c r="A2012" s="36">
        <v>30709591602</v>
      </c>
      <c r="B2012" t="s">
        <v>2040</v>
      </c>
    </row>
    <row r="2013" spans="1:3" x14ac:dyDescent="0.25">
      <c r="A2013" s="36">
        <v>20160559900</v>
      </c>
      <c r="B2013" t="s">
        <v>2041</v>
      </c>
    </row>
    <row r="2014" spans="1:3" x14ac:dyDescent="0.25">
      <c r="A2014" s="36">
        <v>996528</v>
      </c>
      <c r="B2014" t="s">
        <v>2042</v>
      </c>
    </row>
    <row r="2015" spans="1:3" x14ac:dyDescent="0.25">
      <c r="A2015" s="36">
        <v>25393067</v>
      </c>
      <c r="B2015" t="s">
        <v>2043</v>
      </c>
    </row>
    <row r="2016" spans="1:3" x14ac:dyDescent="0.25">
      <c r="A2016" s="36">
        <v>22344274</v>
      </c>
      <c r="B2016" t="s">
        <v>2044</v>
      </c>
    </row>
    <row r="2017" spans="1:2" x14ac:dyDescent="0.25">
      <c r="A2017" s="36">
        <v>21476295</v>
      </c>
      <c r="B2017" t="s">
        <v>2045</v>
      </c>
    </row>
    <row r="2018" spans="1:2" x14ac:dyDescent="0.25">
      <c r="A2018" s="36">
        <v>24699538</v>
      </c>
      <c r="B2018" t="s">
        <v>2046</v>
      </c>
    </row>
    <row r="2019" spans="1:2" x14ac:dyDescent="0.25">
      <c r="A2019" s="36">
        <v>92468293</v>
      </c>
      <c r="B2019" t="s">
        <v>2047</v>
      </c>
    </row>
    <row r="2020" spans="1:2" x14ac:dyDescent="0.25">
      <c r="A2020" s="36">
        <v>11735538</v>
      </c>
      <c r="B2020" t="s">
        <v>2048</v>
      </c>
    </row>
    <row r="2021" spans="1:2" x14ac:dyDescent="0.25">
      <c r="A2021" s="36">
        <v>11815954</v>
      </c>
      <c r="B2021" t="s">
        <v>2049</v>
      </c>
    </row>
    <row r="2022" spans="1:2" x14ac:dyDescent="0.25">
      <c r="A2022" s="36">
        <v>16054550</v>
      </c>
      <c r="B2022" t="s">
        <v>2050</v>
      </c>
    </row>
    <row r="2023" spans="1:2" x14ac:dyDescent="0.25">
      <c r="A2023" s="36">
        <v>10947977</v>
      </c>
      <c r="B2023" t="s">
        <v>2051</v>
      </c>
    </row>
    <row r="2024" spans="1:2" x14ac:dyDescent="0.25">
      <c r="A2024" s="36">
        <v>4374737</v>
      </c>
      <c r="B2024" t="s">
        <v>2052</v>
      </c>
    </row>
    <row r="2025" spans="1:2" x14ac:dyDescent="0.25">
      <c r="A2025" s="36">
        <v>13699449</v>
      </c>
      <c r="B2025" t="s">
        <v>2053</v>
      </c>
    </row>
    <row r="2026" spans="1:2" x14ac:dyDescent="0.25">
      <c r="A2026" s="36">
        <v>23376809</v>
      </c>
      <c r="B2026" t="s">
        <v>2054</v>
      </c>
    </row>
    <row r="2027" spans="1:2" x14ac:dyDescent="0.25">
      <c r="A2027" s="36">
        <v>92316435</v>
      </c>
      <c r="B2027" t="s">
        <v>2055</v>
      </c>
    </row>
    <row r="2028" spans="1:2" x14ac:dyDescent="0.25">
      <c r="A2028" s="36">
        <v>23091604</v>
      </c>
      <c r="B2028" t="s">
        <v>2056</v>
      </c>
    </row>
    <row r="2029" spans="1:2" x14ac:dyDescent="0.25">
      <c r="A2029" s="36">
        <v>16321407</v>
      </c>
      <c r="B2029" t="s">
        <v>2057</v>
      </c>
    </row>
    <row r="2030" spans="1:2" x14ac:dyDescent="0.25">
      <c r="A2030" s="36">
        <v>44285919</v>
      </c>
      <c r="B2030" t="s">
        <v>2058</v>
      </c>
    </row>
    <row r="2031" spans="1:2" x14ac:dyDescent="0.25">
      <c r="A2031" s="36">
        <v>10927488</v>
      </c>
      <c r="B2031" t="s">
        <v>2059</v>
      </c>
    </row>
    <row r="2032" spans="1:2" x14ac:dyDescent="0.25">
      <c r="A2032" s="36">
        <v>20267751</v>
      </c>
      <c r="B2032" t="s">
        <v>2060</v>
      </c>
    </row>
    <row r="2033" spans="1:3" x14ac:dyDescent="0.25">
      <c r="A2033" s="36">
        <v>18413700</v>
      </c>
      <c r="B2033" t="s">
        <v>2061</v>
      </c>
    </row>
    <row r="2034" spans="1:3" x14ac:dyDescent="0.25">
      <c r="A2034" s="36">
        <v>30538627654</v>
      </c>
      <c r="B2034" t="s">
        <v>2062</v>
      </c>
    </row>
    <row r="2035" spans="1:3" x14ac:dyDescent="0.25">
      <c r="A2035" s="36">
        <v>93323980</v>
      </c>
      <c r="B2035" t="s">
        <v>2063</v>
      </c>
    </row>
    <row r="2036" spans="1:3" x14ac:dyDescent="0.25">
      <c r="A2036" s="36">
        <v>26756626</v>
      </c>
      <c r="B2036" t="s">
        <v>2064</v>
      </c>
    </row>
    <row r="2037" spans="1:3" x14ac:dyDescent="0.25">
      <c r="A2037" s="36">
        <v>17054021</v>
      </c>
      <c r="B2037" t="s">
        <v>2065</v>
      </c>
    </row>
    <row r="2038" spans="1:3" x14ac:dyDescent="0.25">
      <c r="A2038" s="36">
        <v>94515799</v>
      </c>
      <c r="B2038" t="s">
        <v>2066</v>
      </c>
    </row>
    <row r="2039" spans="1:3" x14ac:dyDescent="0.25">
      <c r="A2039" s="36">
        <v>20293942332</v>
      </c>
      <c r="B2039" t="s">
        <v>2067</v>
      </c>
      <c r="C2039" s="35" t="s">
        <v>1603</v>
      </c>
    </row>
    <row r="2040" spans="1:3" x14ac:dyDescent="0.25">
      <c r="A2040" s="36">
        <v>30717024393</v>
      </c>
      <c r="B2040" t="s">
        <v>2068</v>
      </c>
      <c r="C2040" s="35" t="s">
        <v>2003</v>
      </c>
    </row>
    <row r="2041" spans="1:3" x14ac:dyDescent="0.25">
      <c r="A2041" s="36">
        <v>27041809715</v>
      </c>
      <c r="B2041" t="s">
        <v>2069</v>
      </c>
      <c r="C2041" s="35" t="s">
        <v>797</v>
      </c>
    </row>
    <row r="2042" spans="1:3" x14ac:dyDescent="0.25">
      <c r="A2042" s="36">
        <v>23359537069</v>
      </c>
      <c r="B2042" t="s">
        <v>2070</v>
      </c>
      <c r="C2042" s="35" t="s">
        <v>797</v>
      </c>
    </row>
    <row r="2043" spans="1:3" x14ac:dyDescent="0.25">
      <c r="A2043" s="36">
        <v>30715949292</v>
      </c>
      <c r="B2043" t="s">
        <v>2071</v>
      </c>
      <c r="C2043" s="35" t="s">
        <v>1603</v>
      </c>
    </row>
    <row r="2044" spans="1:3" x14ac:dyDescent="0.25">
      <c r="A2044" s="36">
        <v>30708534907</v>
      </c>
      <c r="B2044" t="s">
        <v>2072</v>
      </c>
      <c r="C2044" s="35" t="s">
        <v>1135</v>
      </c>
    </row>
    <row r="2045" spans="1:3" x14ac:dyDescent="0.25">
      <c r="A2045" s="36">
        <v>30643700952</v>
      </c>
      <c r="B2045" t="s">
        <v>2073</v>
      </c>
      <c r="C2045" s="35" t="s">
        <v>797</v>
      </c>
    </row>
    <row r="2046" spans="1:3" x14ac:dyDescent="0.25">
      <c r="A2046" s="36">
        <v>30708285818</v>
      </c>
      <c r="B2046" t="s">
        <v>2074</v>
      </c>
      <c r="C2046" s="35" t="s">
        <v>1603</v>
      </c>
    </row>
    <row r="2047" spans="1:3" x14ac:dyDescent="0.25">
      <c r="A2047" s="36">
        <v>27316249154</v>
      </c>
      <c r="B2047" t="s">
        <v>2075</v>
      </c>
      <c r="C2047" s="35" t="s">
        <v>797</v>
      </c>
    </row>
    <row r="2048" spans="1:3" x14ac:dyDescent="0.25">
      <c r="A2048" s="36">
        <v>27190765127</v>
      </c>
      <c r="B2048" t="s">
        <v>2076</v>
      </c>
    </row>
    <row r="2049" spans="1:3" x14ac:dyDescent="0.25">
      <c r="A2049" s="36">
        <v>30709317853</v>
      </c>
      <c r="B2049" t="s">
        <v>2077</v>
      </c>
    </row>
    <row r="2050" spans="1:3" x14ac:dyDescent="0.25">
      <c r="A2050" s="36">
        <v>27374175640</v>
      </c>
      <c r="B2050" t="s">
        <v>2078</v>
      </c>
      <c r="C2050" s="35" t="s">
        <v>79</v>
      </c>
    </row>
    <row r="2051" spans="1:3" x14ac:dyDescent="0.25">
      <c r="A2051" s="36">
        <v>23214426684</v>
      </c>
      <c r="B2051" t="s">
        <v>2079</v>
      </c>
      <c r="C2051" s="35" t="s">
        <v>1135</v>
      </c>
    </row>
    <row r="2052" spans="1:3" x14ac:dyDescent="0.25">
      <c r="A2052" s="36">
        <v>33708218699</v>
      </c>
      <c r="B2052" t="s">
        <v>2080</v>
      </c>
      <c r="C2052" s="35" t="s">
        <v>1135</v>
      </c>
    </row>
    <row r="2053" spans="1:3" x14ac:dyDescent="0.25">
      <c r="A2053" s="36">
        <v>33643358749</v>
      </c>
      <c r="B2053" t="s">
        <v>2081</v>
      </c>
      <c r="C2053" s="35" t="s">
        <v>1135</v>
      </c>
    </row>
    <row r="2054" spans="1:3" x14ac:dyDescent="0.25">
      <c r="A2054" s="36">
        <v>30716884631</v>
      </c>
      <c r="B2054" t="s">
        <v>2082</v>
      </c>
      <c r="C2054" s="35" t="s">
        <v>79</v>
      </c>
    </row>
    <row r="2055" spans="1:3" x14ac:dyDescent="0.25">
      <c r="A2055" s="36">
        <v>30708150351</v>
      </c>
      <c r="B2055" t="s">
        <v>2083</v>
      </c>
      <c r="C2055" s="35" t="s">
        <v>1603</v>
      </c>
    </row>
    <row r="2056" spans="1:3" x14ac:dyDescent="0.25">
      <c r="A2056" s="36">
        <v>27299725761</v>
      </c>
      <c r="B2056" t="s">
        <v>2084</v>
      </c>
      <c r="C2056" s="35" t="s">
        <v>797</v>
      </c>
    </row>
    <row r="2057" spans="1:3" x14ac:dyDescent="0.25">
      <c r="A2057" s="36">
        <v>20362272441</v>
      </c>
      <c r="B2057" t="s">
        <v>2085</v>
      </c>
      <c r="C2057" s="35" t="s">
        <v>797</v>
      </c>
    </row>
    <row r="2058" spans="1:3" x14ac:dyDescent="0.25">
      <c r="A2058" s="36">
        <v>27252316057</v>
      </c>
      <c r="B2058" t="s">
        <v>2086</v>
      </c>
      <c r="C2058" s="35" t="s">
        <v>1135</v>
      </c>
    </row>
    <row r="2059" spans="1:3" x14ac:dyDescent="0.25">
      <c r="A2059" s="36">
        <v>30709570664</v>
      </c>
      <c r="B2059" t="s">
        <v>2087</v>
      </c>
      <c r="C2059" s="35" t="s">
        <v>797</v>
      </c>
    </row>
    <row r="2060" spans="1:3" x14ac:dyDescent="0.25">
      <c r="A2060" s="36">
        <v>30708823151</v>
      </c>
      <c r="B2060" t="s">
        <v>2088</v>
      </c>
    </row>
    <row r="2061" spans="1:3" x14ac:dyDescent="0.25">
      <c r="A2061" s="36">
        <v>27265533006</v>
      </c>
      <c r="B2061" t="s">
        <v>2089</v>
      </c>
      <c r="C2061" s="35" t="s">
        <v>79</v>
      </c>
    </row>
    <row r="2062" spans="1:3" x14ac:dyDescent="0.25">
      <c r="A2062" s="36">
        <v>30565786306</v>
      </c>
      <c r="B2062" t="s">
        <v>2090</v>
      </c>
    </row>
    <row r="2063" spans="1:3" x14ac:dyDescent="0.25">
      <c r="A2063" s="36">
        <v>20043137817</v>
      </c>
      <c r="B2063" t="s">
        <v>2091</v>
      </c>
      <c r="C2063" s="35" t="s">
        <v>79</v>
      </c>
    </row>
    <row r="2064" spans="1:3" x14ac:dyDescent="0.25">
      <c r="A2064" s="36">
        <v>27120886636</v>
      </c>
      <c r="B2064" t="s">
        <v>2092</v>
      </c>
      <c r="C2064" s="35" t="s">
        <v>1135</v>
      </c>
    </row>
    <row r="2065" spans="1:3" x14ac:dyDescent="0.25">
      <c r="A2065" s="36">
        <v>30717190536</v>
      </c>
      <c r="B2065" t="s">
        <v>2093</v>
      </c>
      <c r="C2065" s="35" t="s">
        <v>79</v>
      </c>
    </row>
    <row r="2066" spans="1:3" x14ac:dyDescent="0.25">
      <c r="A2066" s="36">
        <v>30708623632</v>
      </c>
      <c r="B2066" t="s">
        <v>2094</v>
      </c>
      <c r="C2066" s="35" t="s">
        <v>79</v>
      </c>
    </row>
    <row r="2067" spans="1:3" x14ac:dyDescent="0.25">
      <c r="A2067" s="36">
        <v>30715819461</v>
      </c>
      <c r="B2067" t="s">
        <v>2095</v>
      </c>
      <c r="C2067" s="35" t="s">
        <v>1603</v>
      </c>
    </row>
    <row r="2068" spans="1:3" x14ac:dyDescent="0.25">
      <c r="A2068" s="36">
        <v>30716770881</v>
      </c>
      <c r="B2068" t="s">
        <v>2096</v>
      </c>
      <c r="C2068" s="35" t="s">
        <v>2003</v>
      </c>
    </row>
    <row r="2069" spans="1:3" x14ac:dyDescent="0.25">
      <c r="A2069" s="36">
        <v>30575170125</v>
      </c>
      <c r="B2069" t="s">
        <v>2097</v>
      </c>
      <c r="C2069" s="35" t="s">
        <v>1135</v>
      </c>
    </row>
    <row r="2070" spans="1:3" x14ac:dyDescent="0.25">
      <c r="A2070" s="36">
        <v>30708155795</v>
      </c>
      <c r="B2070" t="s">
        <v>2098</v>
      </c>
      <c r="C2070" s="35" t="s">
        <v>797</v>
      </c>
    </row>
    <row r="2071" spans="1:3" x14ac:dyDescent="0.25">
      <c r="A2071" s="36">
        <v>30710638973</v>
      </c>
      <c r="B2071" t="s">
        <v>2099</v>
      </c>
      <c r="C2071" s="35" t="s">
        <v>1135</v>
      </c>
    </row>
    <row r="2072" spans="1:3" x14ac:dyDescent="0.25">
      <c r="A2072" s="36">
        <v>20299835260</v>
      </c>
      <c r="B2072" t="s">
        <v>2100</v>
      </c>
      <c r="C2072" s="35" t="s">
        <v>797</v>
      </c>
    </row>
    <row r="2073" spans="1:3" x14ac:dyDescent="0.25">
      <c r="A2073" s="36">
        <v>33709619719</v>
      </c>
      <c r="B2073" t="s">
        <v>2101</v>
      </c>
      <c r="C2073" s="35" t="s">
        <v>1135</v>
      </c>
    </row>
    <row r="2074" spans="1:3" x14ac:dyDescent="0.25">
      <c r="A2074" s="36">
        <v>30571766287</v>
      </c>
      <c r="B2074" t="s">
        <v>2102</v>
      </c>
    </row>
    <row r="2075" spans="1:3" x14ac:dyDescent="0.25">
      <c r="A2075" s="36">
        <v>43244547</v>
      </c>
      <c r="B2075" t="s">
        <v>2103</v>
      </c>
    </row>
    <row r="2076" spans="1:3" x14ac:dyDescent="0.25">
      <c r="A2076" s="36">
        <v>4702938</v>
      </c>
      <c r="B2076" t="s">
        <v>2104</v>
      </c>
    </row>
    <row r="2077" spans="1:3" x14ac:dyDescent="0.25">
      <c r="A2077" s="36">
        <v>14391764</v>
      </c>
      <c r="B2077" t="s">
        <v>2105</v>
      </c>
    </row>
    <row r="2078" spans="1:3" x14ac:dyDescent="0.25">
      <c r="A2078" s="36">
        <v>38893140</v>
      </c>
      <c r="B2078" t="s">
        <v>2106</v>
      </c>
    </row>
    <row r="2079" spans="1:3" x14ac:dyDescent="0.25">
      <c r="A2079" s="36">
        <v>20105333235</v>
      </c>
      <c r="B2079" t="s">
        <v>2107</v>
      </c>
    </row>
    <row r="2080" spans="1:3" x14ac:dyDescent="0.25">
      <c r="A2080" s="36">
        <v>43993254</v>
      </c>
      <c r="B2080" t="s">
        <v>2108</v>
      </c>
    </row>
    <row r="2081" spans="1:3" x14ac:dyDescent="0.25">
      <c r="A2081" s="36">
        <v>57517065</v>
      </c>
      <c r="B2081" t="s">
        <v>2109</v>
      </c>
    </row>
    <row r="2082" spans="1:3" x14ac:dyDescent="0.25">
      <c r="A2082" s="36">
        <v>7603650</v>
      </c>
      <c r="B2082" t="s">
        <v>2110</v>
      </c>
    </row>
    <row r="2083" spans="1:3" x14ac:dyDescent="0.25">
      <c r="A2083" s="36">
        <v>33710090489</v>
      </c>
      <c r="B2083" t="s">
        <v>2111</v>
      </c>
    </row>
    <row r="2084" spans="1:3" x14ac:dyDescent="0.25">
      <c r="A2084" s="36">
        <v>30619859355</v>
      </c>
      <c r="B2084" t="s">
        <v>2112</v>
      </c>
    </row>
    <row r="2085" spans="1:3" x14ac:dyDescent="0.25">
      <c r="A2085" s="36">
        <v>13855506</v>
      </c>
      <c r="B2085" t="s">
        <v>2113</v>
      </c>
    </row>
    <row r="2086" spans="1:3" x14ac:dyDescent="0.25">
      <c r="A2086" s="36">
        <v>10373067</v>
      </c>
      <c r="B2086" t="s">
        <v>2114</v>
      </c>
    </row>
    <row r="2087" spans="1:3" x14ac:dyDescent="0.25">
      <c r="A2087" s="36">
        <v>48594179</v>
      </c>
      <c r="B2087" t="s">
        <v>2115</v>
      </c>
    </row>
    <row r="2088" spans="1:3" x14ac:dyDescent="0.25">
      <c r="A2088" s="36">
        <v>43407785</v>
      </c>
      <c r="B2088" t="s">
        <v>2116</v>
      </c>
    </row>
    <row r="2089" spans="1:3" x14ac:dyDescent="0.25">
      <c r="A2089" s="36">
        <v>26398194</v>
      </c>
      <c r="B2089" t="s">
        <v>2117</v>
      </c>
    </row>
    <row r="2090" spans="1:3" x14ac:dyDescent="0.25">
      <c r="A2090" s="36">
        <v>20964341</v>
      </c>
      <c r="B2090" t="s">
        <v>2118</v>
      </c>
    </row>
    <row r="2091" spans="1:3" x14ac:dyDescent="0.25">
      <c r="A2091" s="36">
        <v>24448662</v>
      </c>
      <c r="B2091" t="s">
        <v>1076</v>
      </c>
    </row>
    <row r="2092" spans="1:3" x14ac:dyDescent="0.25">
      <c r="A2092" s="36">
        <v>33708543409</v>
      </c>
      <c r="B2092" t="s">
        <v>2119</v>
      </c>
      <c r="C2092" s="35" t="s">
        <v>1135</v>
      </c>
    </row>
    <row r="2093" spans="1:3" x14ac:dyDescent="0.25">
      <c r="A2093" s="36">
        <v>30710573308</v>
      </c>
      <c r="B2093" t="s">
        <v>2120</v>
      </c>
      <c r="C2093" s="35" t="s">
        <v>1135</v>
      </c>
    </row>
    <row r="2094" spans="1:3" x14ac:dyDescent="0.25">
      <c r="A2094" s="36">
        <v>20410525888</v>
      </c>
      <c r="B2094" t="s">
        <v>2121</v>
      </c>
      <c r="C2094" s="35" t="s">
        <v>797</v>
      </c>
    </row>
    <row r="2095" spans="1:3" x14ac:dyDescent="0.25">
      <c r="A2095" s="36">
        <v>20253515512</v>
      </c>
      <c r="B2095" t="s">
        <v>2122</v>
      </c>
      <c r="C2095" s="35" t="s">
        <v>797</v>
      </c>
    </row>
    <row r="2096" spans="1:3" x14ac:dyDescent="0.25">
      <c r="A2096" s="36">
        <v>27256001980</v>
      </c>
      <c r="B2096" t="s">
        <v>2123</v>
      </c>
      <c r="C2096" s="35" t="s">
        <v>1135</v>
      </c>
    </row>
    <row r="2097" spans="1:3" x14ac:dyDescent="0.25">
      <c r="A2097" s="36">
        <v>30696676026</v>
      </c>
      <c r="B2097" t="s">
        <v>2124</v>
      </c>
      <c r="C2097" s="35" t="s">
        <v>79</v>
      </c>
    </row>
    <row r="2098" spans="1:3" x14ac:dyDescent="0.25">
      <c r="A2098" s="36">
        <v>33663136459</v>
      </c>
      <c r="B2098" t="s">
        <v>2125</v>
      </c>
      <c r="C2098" s="35" t="s">
        <v>1135</v>
      </c>
    </row>
    <row r="2099" spans="1:3" x14ac:dyDescent="0.25">
      <c r="A2099" s="36">
        <v>30717202305</v>
      </c>
      <c r="B2099" t="s">
        <v>2126</v>
      </c>
      <c r="C2099" s="35" t="s">
        <v>1603</v>
      </c>
    </row>
    <row r="2100" spans="1:3" x14ac:dyDescent="0.25">
      <c r="A2100" s="36">
        <v>30710698267</v>
      </c>
      <c r="B2100" t="s">
        <v>2127</v>
      </c>
      <c r="C2100" s="35" t="s">
        <v>797</v>
      </c>
    </row>
    <row r="2101" spans="1:3" x14ac:dyDescent="0.25">
      <c r="A2101" s="36">
        <v>30684490784</v>
      </c>
      <c r="B2101" t="s">
        <v>2128</v>
      </c>
      <c r="C2101" s="35" t="s">
        <v>44</v>
      </c>
    </row>
    <row r="2102" spans="1:3" x14ac:dyDescent="0.25">
      <c r="A2102" s="36">
        <v>20921994908</v>
      </c>
      <c r="B2102" t="s">
        <v>2129</v>
      </c>
    </row>
    <row r="2103" spans="1:3" x14ac:dyDescent="0.25">
      <c r="A2103" s="36">
        <v>95930224</v>
      </c>
      <c r="B2103" t="s">
        <v>2130</v>
      </c>
    </row>
    <row r="2104" spans="1:3" x14ac:dyDescent="0.25">
      <c r="A2104" s="36">
        <v>9964789</v>
      </c>
      <c r="B2104" t="s">
        <v>2131</v>
      </c>
    </row>
    <row r="2105" spans="1:3" x14ac:dyDescent="0.25">
      <c r="A2105" s="36">
        <v>4670574</v>
      </c>
      <c r="B2105" t="s">
        <v>2132</v>
      </c>
    </row>
    <row r="2106" spans="1:3" x14ac:dyDescent="0.25">
      <c r="A2106" s="36">
        <v>18901405</v>
      </c>
      <c r="B2106" t="s">
        <v>2133</v>
      </c>
    </row>
    <row r="2107" spans="1:3" x14ac:dyDescent="0.25">
      <c r="A2107" s="36">
        <v>5770359</v>
      </c>
      <c r="B2107" t="s">
        <v>2134</v>
      </c>
    </row>
    <row r="2108" spans="1:3" x14ac:dyDescent="0.25">
      <c r="A2108" s="36">
        <v>14727785</v>
      </c>
      <c r="B2108" t="s">
        <v>2135</v>
      </c>
    </row>
    <row r="2109" spans="1:3" x14ac:dyDescent="0.25">
      <c r="A2109" s="36">
        <v>28692323</v>
      </c>
      <c r="B2109" t="s">
        <v>2136</v>
      </c>
    </row>
    <row r="2110" spans="1:3" x14ac:dyDescent="0.25">
      <c r="A2110" s="36">
        <v>13597783</v>
      </c>
      <c r="B2110" t="s">
        <v>2137</v>
      </c>
    </row>
    <row r="2111" spans="1:3" x14ac:dyDescent="0.25">
      <c r="A2111" s="36">
        <v>12647074</v>
      </c>
      <c r="B2111" t="s">
        <v>2138</v>
      </c>
    </row>
    <row r="2112" spans="1:3" x14ac:dyDescent="0.25">
      <c r="A2112" s="36">
        <v>14012186</v>
      </c>
      <c r="B2112" t="s">
        <v>2139</v>
      </c>
    </row>
    <row r="2113" spans="1:2" x14ac:dyDescent="0.25">
      <c r="A2113" s="36">
        <v>5647106</v>
      </c>
      <c r="B2113" t="s">
        <v>2140</v>
      </c>
    </row>
    <row r="2114" spans="1:2" x14ac:dyDescent="0.25">
      <c r="A2114" s="36">
        <v>20404430</v>
      </c>
      <c r="B2114" t="s">
        <v>2141</v>
      </c>
    </row>
    <row r="2115" spans="1:2" x14ac:dyDescent="0.25">
      <c r="A2115" s="36">
        <v>30852839</v>
      </c>
      <c r="B2115" t="s">
        <v>2142</v>
      </c>
    </row>
    <row r="2116" spans="1:2" x14ac:dyDescent="0.25">
      <c r="A2116" s="36">
        <v>29399469</v>
      </c>
      <c r="B2116" t="s">
        <v>2143</v>
      </c>
    </row>
    <row r="2117" spans="1:2" x14ac:dyDescent="0.25">
      <c r="A2117" s="36">
        <v>37978355</v>
      </c>
      <c r="B2117" t="s">
        <v>2144</v>
      </c>
    </row>
    <row r="2118" spans="1:2" x14ac:dyDescent="0.25">
      <c r="A2118" s="36">
        <v>24134139</v>
      </c>
      <c r="B2118" t="s">
        <v>2145</v>
      </c>
    </row>
    <row r="2119" spans="1:2" x14ac:dyDescent="0.25">
      <c r="A2119" s="36">
        <v>18530289</v>
      </c>
      <c r="B2119" t="s">
        <v>2146</v>
      </c>
    </row>
    <row r="2120" spans="1:2" x14ac:dyDescent="0.25">
      <c r="A2120" s="36">
        <v>21796048</v>
      </c>
      <c r="B2120" t="s">
        <v>2147</v>
      </c>
    </row>
    <row r="2121" spans="1:2" x14ac:dyDescent="0.25">
      <c r="A2121" s="36">
        <v>18021487</v>
      </c>
      <c r="B2121" t="s">
        <v>2148</v>
      </c>
    </row>
    <row r="2122" spans="1:2" x14ac:dyDescent="0.25">
      <c r="A2122" s="36">
        <v>4441045</v>
      </c>
      <c r="B2122" t="s">
        <v>2149</v>
      </c>
    </row>
    <row r="2123" spans="1:2" x14ac:dyDescent="0.25">
      <c r="A2123" s="36">
        <v>3299074</v>
      </c>
      <c r="B2123" t="s">
        <v>1907</v>
      </c>
    </row>
    <row r="2124" spans="1:2" x14ac:dyDescent="0.25">
      <c r="A2124" s="36">
        <v>94210555</v>
      </c>
      <c r="B2124" t="s">
        <v>1976</v>
      </c>
    </row>
    <row r="2125" spans="1:2" x14ac:dyDescent="0.25">
      <c r="A2125" s="36">
        <v>17036140</v>
      </c>
      <c r="B2125" t="s">
        <v>2150</v>
      </c>
    </row>
    <row r="2126" spans="1:2" x14ac:dyDescent="0.25">
      <c r="A2126" s="36">
        <v>41706600</v>
      </c>
      <c r="B2126" t="s">
        <v>2151</v>
      </c>
    </row>
    <row r="2127" spans="1:2" x14ac:dyDescent="0.25">
      <c r="A2127" s="36">
        <v>33362296</v>
      </c>
      <c r="B2127" t="s">
        <v>2152</v>
      </c>
    </row>
    <row r="2128" spans="1:2" x14ac:dyDescent="0.25">
      <c r="A2128" s="36">
        <v>27380155</v>
      </c>
      <c r="B2128" t="s">
        <v>2153</v>
      </c>
    </row>
    <row r="2129" spans="1:3" x14ac:dyDescent="0.25">
      <c r="A2129" s="36">
        <v>22608522</v>
      </c>
      <c r="B2129" t="s">
        <v>2154</v>
      </c>
    </row>
    <row r="2130" spans="1:3" x14ac:dyDescent="0.25">
      <c r="A2130" s="36">
        <v>16287658</v>
      </c>
      <c r="B2130" t="s">
        <v>2155</v>
      </c>
    </row>
    <row r="2131" spans="1:3" x14ac:dyDescent="0.25">
      <c r="A2131" s="36">
        <v>92796373</v>
      </c>
      <c r="B2131" t="s">
        <v>2156</v>
      </c>
    </row>
    <row r="2132" spans="1:3" x14ac:dyDescent="0.25">
      <c r="A2132" s="36">
        <v>47958325</v>
      </c>
      <c r="B2132" t="s">
        <v>2157</v>
      </c>
    </row>
    <row r="2133" spans="1:3" x14ac:dyDescent="0.25">
      <c r="A2133" s="36">
        <v>95749996</v>
      </c>
      <c r="B2133" t="s">
        <v>2158</v>
      </c>
    </row>
    <row r="2134" spans="1:3" x14ac:dyDescent="0.25">
      <c r="A2134" s="36">
        <v>20951293025</v>
      </c>
      <c r="B2134" t="s">
        <v>2159</v>
      </c>
    </row>
    <row r="2135" spans="1:3" x14ac:dyDescent="0.25">
      <c r="A2135" s="36">
        <v>30711753865</v>
      </c>
      <c r="B2135" t="s">
        <v>2160</v>
      </c>
    </row>
    <row r="2136" spans="1:3" x14ac:dyDescent="0.25">
      <c r="A2136" s="36">
        <v>27247019370</v>
      </c>
      <c r="B2136" t="s">
        <v>2161</v>
      </c>
      <c r="C2136" s="35" t="s">
        <v>1135</v>
      </c>
    </row>
    <row r="2137" spans="1:3" x14ac:dyDescent="0.25">
      <c r="A2137" s="36">
        <v>20180429388</v>
      </c>
      <c r="B2137" t="s">
        <v>2162</v>
      </c>
    </row>
    <row r="2138" spans="1:3" x14ac:dyDescent="0.25">
      <c r="A2138" s="36">
        <v>30709525839</v>
      </c>
      <c r="B2138" t="s">
        <v>2163</v>
      </c>
    </row>
    <row r="2139" spans="1:3" x14ac:dyDescent="0.25">
      <c r="A2139" s="36">
        <v>30715515012</v>
      </c>
      <c r="B2139" t="s">
        <v>2164</v>
      </c>
    </row>
    <row r="2140" spans="1:3" x14ac:dyDescent="0.25">
      <c r="A2140" s="36">
        <v>20314536852</v>
      </c>
      <c r="B2140" t="s">
        <v>2165</v>
      </c>
      <c r="C2140" s="35" t="s">
        <v>794</v>
      </c>
    </row>
    <row r="2141" spans="1:3" x14ac:dyDescent="0.25">
      <c r="A2141" s="36">
        <v>30658035033</v>
      </c>
      <c r="B2141" t="s">
        <v>2166</v>
      </c>
    </row>
    <row r="2142" spans="1:3" x14ac:dyDescent="0.25">
      <c r="A2142" s="36">
        <v>30716371812</v>
      </c>
      <c r="B2142" t="s">
        <v>2167</v>
      </c>
    </row>
    <row r="2143" spans="1:3" x14ac:dyDescent="0.25">
      <c r="A2143" s="36">
        <v>27304678165</v>
      </c>
      <c r="B2143" t="s">
        <v>2168</v>
      </c>
    </row>
    <row r="2144" spans="1:3" x14ac:dyDescent="0.25">
      <c r="A2144" s="36">
        <v>30715224468</v>
      </c>
      <c r="B2144" t="s">
        <v>2169</v>
      </c>
    </row>
    <row r="2145" spans="1:3" x14ac:dyDescent="0.25">
      <c r="A2145" s="36">
        <v>30661143610</v>
      </c>
      <c r="B2145" t="s">
        <v>2170</v>
      </c>
      <c r="C2145" s="35" t="s">
        <v>797</v>
      </c>
    </row>
    <row r="2146" spans="1:3" x14ac:dyDescent="0.25">
      <c r="A2146" s="36">
        <v>20394693864</v>
      </c>
      <c r="B2146" t="s">
        <v>2171</v>
      </c>
    </row>
    <row r="2147" spans="1:3" x14ac:dyDescent="0.25">
      <c r="A2147" s="36">
        <v>33710130189</v>
      </c>
      <c r="B2147" t="s">
        <v>2172</v>
      </c>
      <c r="C2147" s="35" t="s">
        <v>2494</v>
      </c>
    </row>
    <row r="2148" spans="1:3" x14ac:dyDescent="0.25">
      <c r="A2148" s="36">
        <v>30717172651</v>
      </c>
      <c r="B2148" t="s">
        <v>2173</v>
      </c>
    </row>
    <row r="2149" spans="1:3" x14ac:dyDescent="0.25">
      <c r="A2149" s="36">
        <v>30716251884</v>
      </c>
      <c r="B2149" t="s">
        <v>2174</v>
      </c>
    </row>
    <row r="2150" spans="1:3" x14ac:dyDescent="0.25">
      <c r="A2150" s="36">
        <v>92883126</v>
      </c>
      <c r="B2150" t="s">
        <v>2175</v>
      </c>
    </row>
    <row r="2151" spans="1:3" x14ac:dyDescent="0.25">
      <c r="A2151" s="36">
        <v>18737235</v>
      </c>
      <c r="B2151" t="s">
        <v>2176</v>
      </c>
    </row>
    <row r="2152" spans="1:3" x14ac:dyDescent="0.25">
      <c r="A2152" s="36">
        <v>14011463</v>
      </c>
      <c r="B2152" t="s">
        <v>2177</v>
      </c>
    </row>
    <row r="2153" spans="1:3" x14ac:dyDescent="0.25">
      <c r="A2153" s="36">
        <v>30144129</v>
      </c>
      <c r="B2153" t="s">
        <v>2178</v>
      </c>
    </row>
    <row r="2154" spans="1:3" x14ac:dyDescent="0.25">
      <c r="A2154" s="36">
        <v>17055249</v>
      </c>
      <c r="B2154" t="s">
        <v>2179</v>
      </c>
    </row>
    <row r="2155" spans="1:3" x14ac:dyDescent="0.25">
      <c r="A2155" s="36">
        <v>17972001</v>
      </c>
      <c r="B2155" t="s">
        <v>2180</v>
      </c>
    </row>
    <row r="2156" spans="1:3" x14ac:dyDescent="0.25">
      <c r="A2156" s="36">
        <v>38005095</v>
      </c>
      <c r="B2156" t="s">
        <v>2181</v>
      </c>
    </row>
    <row r="2157" spans="1:3" x14ac:dyDescent="0.25">
      <c r="A2157" s="36">
        <v>93195134</v>
      </c>
      <c r="B2157" t="s">
        <v>2182</v>
      </c>
    </row>
    <row r="2158" spans="1:3" x14ac:dyDescent="0.25">
      <c r="A2158" s="36">
        <v>31914239</v>
      </c>
      <c r="B2158" t="s">
        <v>2183</v>
      </c>
    </row>
    <row r="2159" spans="1:3" x14ac:dyDescent="0.25">
      <c r="A2159" s="36">
        <v>12628022</v>
      </c>
      <c r="B2159" t="s">
        <v>2184</v>
      </c>
    </row>
    <row r="2160" spans="1:3" x14ac:dyDescent="0.25">
      <c r="A2160" s="36">
        <v>17856859</v>
      </c>
      <c r="B2160" t="s">
        <v>2185</v>
      </c>
    </row>
    <row r="2161" spans="1:2" x14ac:dyDescent="0.25">
      <c r="A2161" s="36">
        <v>12791306</v>
      </c>
      <c r="B2161" t="s">
        <v>2186</v>
      </c>
    </row>
    <row r="2162" spans="1:2" x14ac:dyDescent="0.25">
      <c r="A2162" s="36">
        <v>29646092</v>
      </c>
      <c r="B2162" t="s">
        <v>2187</v>
      </c>
    </row>
    <row r="2163" spans="1:2" x14ac:dyDescent="0.25">
      <c r="A2163" s="36">
        <v>92634198</v>
      </c>
      <c r="B2163" t="s">
        <v>2188</v>
      </c>
    </row>
    <row r="2164" spans="1:2" x14ac:dyDescent="0.25">
      <c r="A2164" s="36">
        <v>20715936</v>
      </c>
      <c r="B2164" t="s">
        <v>2189</v>
      </c>
    </row>
    <row r="2165" spans="1:2" x14ac:dyDescent="0.25">
      <c r="A2165" s="36">
        <v>33503716</v>
      </c>
      <c r="B2165" t="s">
        <v>2190</v>
      </c>
    </row>
    <row r="2166" spans="1:2" x14ac:dyDescent="0.25">
      <c r="A2166" s="36">
        <v>23451149</v>
      </c>
      <c r="B2166" t="s">
        <v>2191</v>
      </c>
    </row>
    <row r="2167" spans="1:2" x14ac:dyDescent="0.25">
      <c r="A2167" s="36">
        <v>25358801</v>
      </c>
      <c r="B2167" t="s">
        <v>2192</v>
      </c>
    </row>
    <row r="2168" spans="1:2" x14ac:dyDescent="0.25">
      <c r="A2168" s="36">
        <v>23780066</v>
      </c>
      <c r="B2168" t="s">
        <v>2193</v>
      </c>
    </row>
    <row r="2169" spans="1:2" x14ac:dyDescent="0.25">
      <c r="A2169" s="36">
        <v>24306613</v>
      </c>
      <c r="B2169" t="s">
        <v>2194</v>
      </c>
    </row>
    <row r="2170" spans="1:2" x14ac:dyDescent="0.25">
      <c r="A2170" s="36">
        <v>6553491</v>
      </c>
      <c r="B2170" t="s">
        <v>2195</v>
      </c>
    </row>
    <row r="2171" spans="1:2" x14ac:dyDescent="0.25">
      <c r="A2171" s="36">
        <v>8447316</v>
      </c>
      <c r="B2171" t="s">
        <v>2196</v>
      </c>
    </row>
    <row r="2172" spans="1:2" x14ac:dyDescent="0.25">
      <c r="A2172" s="36">
        <v>1304464</v>
      </c>
      <c r="B2172" t="s">
        <v>2197</v>
      </c>
    </row>
    <row r="2173" spans="1:2" x14ac:dyDescent="0.25">
      <c r="A2173" s="36">
        <v>28423753</v>
      </c>
      <c r="B2173" t="s">
        <v>2198</v>
      </c>
    </row>
    <row r="2174" spans="1:2" x14ac:dyDescent="0.25">
      <c r="A2174" s="36">
        <v>13214933</v>
      </c>
      <c r="B2174" t="s">
        <v>2199</v>
      </c>
    </row>
    <row r="2175" spans="1:2" x14ac:dyDescent="0.25">
      <c r="A2175" s="36">
        <v>16246667</v>
      </c>
      <c r="B2175" t="s">
        <v>2200</v>
      </c>
    </row>
    <row r="2176" spans="1:2" x14ac:dyDescent="0.25">
      <c r="A2176" s="36">
        <v>32094943</v>
      </c>
      <c r="B2176" t="s">
        <v>2201</v>
      </c>
    </row>
    <row r="2177" spans="1:3" x14ac:dyDescent="0.25">
      <c r="A2177" s="36">
        <v>30717409007</v>
      </c>
      <c r="B2177" t="s">
        <v>2202</v>
      </c>
      <c r="C2177" s="35" t="s">
        <v>2493</v>
      </c>
    </row>
    <row r="2178" spans="1:3" x14ac:dyDescent="0.25">
      <c r="A2178" s="36">
        <v>27229910782</v>
      </c>
      <c r="B2178" t="s">
        <v>2203</v>
      </c>
    </row>
    <row r="2179" spans="1:3" x14ac:dyDescent="0.25">
      <c r="A2179" s="36">
        <v>30714758116</v>
      </c>
      <c r="B2179" t="s">
        <v>2204</v>
      </c>
    </row>
    <row r="2180" spans="1:3" x14ac:dyDescent="0.25">
      <c r="A2180" s="36">
        <v>30700939797</v>
      </c>
      <c r="B2180" t="s">
        <v>2205</v>
      </c>
    </row>
    <row r="2181" spans="1:3" x14ac:dyDescent="0.25">
      <c r="A2181" s="36">
        <v>30708656018</v>
      </c>
      <c r="B2181" t="s">
        <v>2206</v>
      </c>
    </row>
    <row r="2182" spans="1:3" x14ac:dyDescent="0.25">
      <c r="A2182" s="36">
        <v>20110124636</v>
      </c>
      <c r="B2182" t="s">
        <v>2207</v>
      </c>
    </row>
    <row r="2183" spans="1:3" x14ac:dyDescent="0.25">
      <c r="A2183" s="36">
        <v>20242709897</v>
      </c>
      <c r="B2183" t="s">
        <v>2208</v>
      </c>
    </row>
    <row r="2184" spans="1:3" x14ac:dyDescent="0.25">
      <c r="A2184" s="36">
        <v>30708542349</v>
      </c>
      <c r="B2184" t="s">
        <v>2209</v>
      </c>
    </row>
    <row r="2185" spans="1:3" x14ac:dyDescent="0.25">
      <c r="A2185" s="36">
        <v>30643518364</v>
      </c>
      <c r="B2185" t="s">
        <v>2210</v>
      </c>
      <c r="C2185" s="35" t="s">
        <v>797</v>
      </c>
    </row>
    <row r="2186" spans="1:3" x14ac:dyDescent="0.25">
      <c r="A2186" s="36">
        <v>33716711469</v>
      </c>
      <c r="B2186" t="s">
        <v>2211</v>
      </c>
    </row>
    <row r="2187" spans="1:3" x14ac:dyDescent="0.25">
      <c r="A2187" s="36">
        <v>27310367813</v>
      </c>
      <c r="B2187" t="s">
        <v>2212</v>
      </c>
      <c r="C2187" s="35" t="s">
        <v>2479</v>
      </c>
    </row>
    <row r="2188" spans="1:3" x14ac:dyDescent="0.25">
      <c r="A2188" s="36">
        <v>27057462960</v>
      </c>
      <c r="B2188" t="s">
        <v>2213</v>
      </c>
    </row>
    <row r="2189" spans="1:3" x14ac:dyDescent="0.25">
      <c r="A2189" s="36">
        <v>30714793272</v>
      </c>
      <c r="B2189" t="s">
        <v>2214</v>
      </c>
    </row>
    <row r="2190" spans="1:3" x14ac:dyDescent="0.25">
      <c r="A2190" s="36">
        <v>30687059812</v>
      </c>
      <c r="B2190" t="s">
        <v>2215</v>
      </c>
    </row>
    <row r="2191" spans="1:3" x14ac:dyDescent="0.25">
      <c r="A2191" s="36">
        <v>30716557010</v>
      </c>
      <c r="B2191" t="s">
        <v>2216</v>
      </c>
    </row>
    <row r="2192" spans="1:3" x14ac:dyDescent="0.25">
      <c r="A2192" s="36">
        <v>30710857322</v>
      </c>
      <c r="B2192" t="s">
        <v>2217</v>
      </c>
    </row>
    <row r="2193" spans="1:4" x14ac:dyDescent="0.25">
      <c r="A2193" s="36">
        <v>30717179389</v>
      </c>
      <c r="B2193" t="s">
        <v>2218</v>
      </c>
      <c r="C2193" s="35" t="s">
        <v>2493</v>
      </c>
    </row>
    <row r="2194" spans="1:4" x14ac:dyDescent="0.25">
      <c r="A2194" s="36">
        <v>30716534444</v>
      </c>
      <c r="B2194" t="s">
        <v>2219</v>
      </c>
    </row>
    <row r="2195" spans="1:4" x14ac:dyDescent="0.25">
      <c r="A2195" s="36">
        <v>30710329113</v>
      </c>
      <c r="B2195" t="s">
        <v>2220</v>
      </c>
    </row>
    <row r="2196" spans="1:4" x14ac:dyDescent="0.25">
      <c r="A2196" s="36">
        <v>33710237919</v>
      </c>
      <c r="B2196" t="s">
        <v>2221</v>
      </c>
    </row>
    <row r="2197" spans="1:4" x14ac:dyDescent="0.25">
      <c r="A2197" s="36">
        <v>27283627573</v>
      </c>
      <c r="B2197" t="s">
        <v>2222</v>
      </c>
    </row>
    <row r="2198" spans="1:4" x14ac:dyDescent="0.25">
      <c r="A2198" s="36">
        <v>20309759444</v>
      </c>
      <c r="B2198" t="s">
        <v>2223</v>
      </c>
    </row>
    <row r="2199" spans="1:4" x14ac:dyDescent="0.25">
      <c r="A2199" s="36">
        <v>30707977120</v>
      </c>
      <c r="B2199" t="s">
        <v>2224</v>
      </c>
    </row>
    <row r="2200" spans="1:4" x14ac:dyDescent="0.25">
      <c r="A2200" s="36">
        <v>20359718765</v>
      </c>
      <c r="B2200" t="s">
        <v>2225</v>
      </c>
    </row>
    <row r="2201" spans="1:4" x14ac:dyDescent="0.25">
      <c r="A2201" s="36">
        <v>27368203829</v>
      </c>
      <c r="B2201" t="s">
        <v>2226</v>
      </c>
      <c r="C2201" s="35" t="s">
        <v>2249</v>
      </c>
      <c r="D2201" t="s">
        <v>2250</v>
      </c>
    </row>
    <row r="2202" spans="1:4" x14ac:dyDescent="0.25">
      <c r="A2202" s="36">
        <v>30711984026</v>
      </c>
      <c r="B2202" t="s">
        <v>2227</v>
      </c>
    </row>
    <row r="2203" spans="1:4" x14ac:dyDescent="0.25">
      <c r="A2203" s="36">
        <v>20110352108</v>
      </c>
      <c r="B2203" t="s">
        <v>2228</v>
      </c>
    </row>
    <row r="2204" spans="1:4" x14ac:dyDescent="0.25">
      <c r="A2204" s="36">
        <v>30521837000</v>
      </c>
      <c r="B2204" t="s">
        <v>2229</v>
      </c>
    </row>
    <row r="2205" spans="1:4" x14ac:dyDescent="0.25">
      <c r="A2205" s="36">
        <v>20044465532</v>
      </c>
      <c r="B2205" t="s">
        <v>2230</v>
      </c>
    </row>
    <row r="2206" spans="1:4" x14ac:dyDescent="0.25">
      <c r="A2206" s="36">
        <v>30683336765</v>
      </c>
      <c r="B2206" t="s">
        <v>2231</v>
      </c>
    </row>
    <row r="2207" spans="1:4" x14ac:dyDescent="0.25">
      <c r="A2207" s="36">
        <v>23120844989</v>
      </c>
      <c r="B2207" t="s">
        <v>2232</v>
      </c>
    </row>
    <row r="2208" spans="1:4" x14ac:dyDescent="0.25">
      <c r="A2208" s="36">
        <v>30696692951</v>
      </c>
      <c r="B2208" t="s">
        <v>2233</v>
      </c>
    </row>
    <row r="2209" spans="1:3" x14ac:dyDescent="0.25">
      <c r="A2209" s="36">
        <v>30716229552</v>
      </c>
      <c r="B2209" t="s">
        <v>2234</v>
      </c>
      <c r="C2209" s="35" t="s">
        <v>44</v>
      </c>
    </row>
    <row r="2210" spans="1:3" x14ac:dyDescent="0.25">
      <c r="A2210" s="36">
        <v>30571666037</v>
      </c>
      <c r="B2210" t="s">
        <v>828</v>
      </c>
    </row>
    <row r="2211" spans="1:3" x14ac:dyDescent="0.25">
      <c r="A2211" s="36">
        <v>30692975533</v>
      </c>
      <c r="B2211" t="s">
        <v>2011</v>
      </c>
    </row>
    <row r="2212" spans="1:3" x14ac:dyDescent="0.25">
      <c r="A2212" s="36">
        <v>27178792178</v>
      </c>
      <c r="B2212" t="s">
        <v>2235</v>
      </c>
    </row>
    <row r="2213" spans="1:3" x14ac:dyDescent="0.25">
      <c r="A2213" s="36">
        <v>30708375582</v>
      </c>
      <c r="B2213" t="s">
        <v>2241</v>
      </c>
    </row>
    <row r="2214" spans="1:3" x14ac:dyDescent="0.25">
      <c r="A2214" s="36">
        <v>20142643384</v>
      </c>
      <c r="B2214" t="s">
        <v>2242</v>
      </c>
      <c r="C2214" s="35" t="s">
        <v>2414</v>
      </c>
    </row>
    <row r="2215" spans="1:3" x14ac:dyDescent="0.25">
      <c r="A2215" s="36">
        <v>33710427629</v>
      </c>
      <c r="B2215" t="s">
        <v>2243</v>
      </c>
    </row>
    <row r="2216" spans="1:3" x14ac:dyDescent="0.25">
      <c r="A2216" s="36">
        <v>20167787372</v>
      </c>
      <c r="B2216" t="s">
        <v>2244</v>
      </c>
    </row>
    <row r="2217" spans="1:3" x14ac:dyDescent="0.25">
      <c r="A2217" s="36">
        <v>20274215632</v>
      </c>
      <c r="B2217" t="s">
        <v>2245</v>
      </c>
    </row>
    <row r="2218" spans="1:3" x14ac:dyDescent="0.25">
      <c r="A2218" s="36">
        <v>30690212265</v>
      </c>
      <c r="B2218" t="s">
        <v>2246</v>
      </c>
    </row>
    <row r="2219" spans="1:3" x14ac:dyDescent="0.25">
      <c r="A2219" s="36">
        <v>30711013969</v>
      </c>
      <c r="B2219" t="s">
        <v>2247</v>
      </c>
    </row>
    <row r="2220" spans="1:3" x14ac:dyDescent="0.25">
      <c r="A2220" s="36">
        <v>30710449658</v>
      </c>
      <c r="B2220" t="s">
        <v>2248</v>
      </c>
      <c r="C2220" s="35" t="s">
        <v>2414</v>
      </c>
    </row>
    <row r="2221" spans="1:3" x14ac:dyDescent="0.25">
      <c r="A2221" s="36">
        <v>30687805026</v>
      </c>
      <c r="B2221" t="s">
        <v>2251</v>
      </c>
    </row>
    <row r="2222" spans="1:3" x14ac:dyDescent="0.25">
      <c r="A2222" s="36">
        <v>30715668994</v>
      </c>
      <c r="B2222" t="s">
        <v>2252</v>
      </c>
    </row>
    <row r="2223" spans="1:3" x14ac:dyDescent="0.25">
      <c r="A2223" s="36">
        <v>20160503336</v>
      </c>
      <c r="B2223" t="s">
        <v>2253</v>
      </c>
    </row>
    <row r="2224" spans="1:3" x14ac:dyDescent="0.25">
      <c r="A2224" s="36">
        <v>30711645884</v>
      </c>
      <c r="B2224" t="str">
        <f>VLOOKUP(A2224,[1]Configuracion!$A$4:$C$591,2,FALSE)</f>
        <v>LABORATORIOS SLR</v>
      </c>
    </row>
    <row r="2225" spans="1:3" x14ac:dyDescent="0.25">
      <c r="A2225" s="36">
        <v>30708736186</v>
      </c>
      <c r="B2225" t="s">
        <v>2254</v>
      </c>
    </row>
    <row r="2226" spans="1:3" x14ac:dyDescent="0.25">
      <c r="A2226" s="36">
        <v>20243132852</v>
      </c>
      <c r="B2226" t="s">
        <v>2255</v>
      </c>
    </row>
    <row r="2227" spans="1:3" x14ac:dyDescent="0.25">
      <c r="A2227" s="36">
        <v>20268417762</v>
      </c>
      <c r="B2227" t="s">
        <v>2256</v>
      </c>
    </row>
    <row r="2228" spans="1:3" x14ac:dyDescent="0.25">
      <c r="A2228" s="36">
        <v>30657715383</v>
      </c>
      <c r="B2228" t="s">
        <v>2257</v>
      </c>
    </row>
    <row r="2229" spans="1:3" x14ac:dyDescent="0.25">
      <c r="A2229" s="36">
        <v>30711328498</v>
      </c>
      <c r="B2229" t="s">
        <v>2258</v>
      </c>
    </row>
    <row r="2230" spans="1:3" x14ac:dyDescent="0.25">
      <c r="A2230" s="36">
        <v>27318630157</v>
      </c>
      <c r="B2230" t="s">
        <v>2259</v>
      </c>
      <c r="C2230" s="35" t="s">
        <v>1037</v>
      </c>
    </row>
    <row r="2231" spans="1:3" x14ac:dyDescent="0.25">
      <c r="A2231" s="36">
        <v>30716313367</v>
      </c>
      <c r="B2231" t="s">
        <v>2260</v>
      </c>
    </row>
    <row r="2232" spans="1:3" x14ac:dyDescent="0.25">
      <c r="A2232" s="36">
        <v>30715010808</v>
      </c>
      <c r="B2232" t="s">
        <v>2261</v>
      </c>
    </row>
    <row r="2233" spans="1:3" x14ac:dyDescent="0.25">
      <c r="A2233" s="36">
        <v>30715979213</v>
      </c>
      <c r="B2233" t="s">
        <v>2262</v>
      </c>
    </row>
    <row r="2234" spans="1:3" x14ac:dyDescent="0.25">
      <c r="A2234" s="36">
        <v>20229905199</v>
      </c>
      <c r="B2234" t="s">
        <v>2263</v>
      </c>
    </row>
    <row r="2235" spans="1:3" x14ac:dyDescent="0.25">
      <c r="A2235" s="160">
        <v>27944827345</v>
      </c>
      <c r="B2235" t="s">
        <v>2264</v>
      </c>
    </row>
    <row r="2236" spans="1:3" x14ac:dyDescent="0.25">
      <c r="A2236" s="36">
        <v>30707927409</v>
      </c>
      <c r="B2236" t="s">
        <v>2265</v>
      </c>
    </row>
    <row r="2237" spans="1:3" x14ac:dyDescent="0.25">
      <c r="A2237" s="36">
        <v>30626009618</v>
      </c>
      <c r="B2237" t="s">
        <v>2266</v>
      </c>
    </row>
    <row r="2238" spans="1:3" x14ac:dyDescent="0.25">
      <c r="A2238" s="36">
        <v>33717383139</v>
      </c>
      <c r="B2238" t="s">
        <v>2267</v>
      </c>
    </row>
    <row r="2239" spans="1:3" x14ac:dyDescent="0.25">
      <c r="A2239" s="36">
        <v>30709904872</v>
      </c>
      <c r="B2239" t="s">
        <v>2268</v>
      </c>
      <c r="C2239" s="35" t="s">
        <v>82</v>
      </c>
    </row>
    <row r="2240" spans="1:3" x14ac:dyDescent="0.25">
      <c r="A2240" s="36">
        <v>23936845509</v>
      </c>
      <c r="B2240" t="s">
        <v>2269</v>
      </c>
      <c r="C2240" s="35" t="s">
        <v>1037</v>
      </c>
    </row>
    <row r="2241" spans="1:3" x14ac:dyDescent="0.25">
      <c r="A2241" s="36">
        <v>30577744579</v>
      </c>
      <c r="B2241" t="s">
        <v>2270</v>
      </c>
      <c r="C2241" s="35" t="s">
        <v>82</v>
      </c>
    </row>
    <row r="2242" spans="1:3" x14ac:dyDescent="0.25">
      <c r="A2242" s="36">
        <v>20275351254</v>
      </c>
      <c r="B2242" t="s">
        <v>2271</v>
      </c>
    </row>
    <row r="2243" spans="1:3" x14ac:dyDescent="0.25">
      <c r="A2243" s="36">
        <v>30715393251</v>
      </c>
      <c r="B2243" t="s">
        <v>2272</v>
      </c>
      <c r="C2243" s="35" t="s">
        <v>849</v>
      </c>
    </row>
    <row r="2244" spans="1:3" x14ac:dyDescent="0.25">
      <c r="A2244" s="36">
        <v>30716157586</v>
      </c>
      <c r="B2244" t="s">
        <v>2273</v>
      </c>
    </row>
    <row r="2245" spans="1:3" x14ac:dyDescent="0.25">
      <c r="A2245" s="36">
        <v>30708046724</v>
      </c>
      <c r="B2245" t="s">
        <v>2274</v>
      </c>
    </row>
    <row r="2246" spans="1:3" x14ac:dyDescent="0.25">
      <c r="A2246" s="36">
        <v>20396584809</v>
      </c>
      <c r="B2246" t="s">
        <v>2275</v>
      </c>
    </row>
    <row r="2247" spans="1:3" x14ac:dyDescent="0.25">
      <c r="A2247" s="36">
        <v>30708601108</v>
      </c>
      <c r="B2247" t="s">
        <v>2276</v>
      </c>
    </row>
    <row r="2248" spans="1:3" x14ac:dyDescent="0.25">
      <c r="A2248" s="36">
        <v>20352752992</v>
      </c>
      <c r="B2248" t="s">
        <v>2277</v>
      </c>
    </row>
    <row r="2249" spans="1:3" x14ac:dyDescent="0.25">
      <c r="A2249" s="36">
        <v>30639935872</v>
      </c>
      <c r="B2249" t="s">
        <v>2278</v>
      </c>
      <c r="C2249" s="35" t="s">
        <v>877</v>
      </c>
    </row>
    <row r="2250" spans="1:3" x14ac:dyDescent="0.25">
      <c r="A2250" s="36">
        <v>30711296987</v>
      </c>
      <c r="B2250" t="s">
        <v>2279</v>
      </c>
    </row>
    <row r="2251" spans="1:3" x14ac:dyDescent="0.25">
      <c r="A2251" s="36">
        <v>20392730444</v>
      </c>
      <c r="B2251" t="s">
        <v>2280</v>
      </c>
    </row>
    <row r="2252" spans="1:3" x14ac:dyDescent="0.25">
      <c r="A2252" s="36">
        <v>27119878468</v>
      </c>
      <c r="B2252" t="s">
        <v>2281</v>
      </c>
    </row>
    <row r="2253" spans="1:3" x14ac:dyDescent="0.25">
      <c r="A2253" s="36">
        <v>20920321292</v>
      </c>
      <c r="B2253" t="s">
        <v>2282</v>
      </c>
    </row>
    <row r="2254" spans="1:3" x14ac:dyDescent="0.25">
      <c r="A2254" s="245">
        <v>20224819049</v>
      </c>
      <c r="B2254" t="s">
        <v>2283</v>
      </c>
    </row>
    <row r="2255" spans="1:3" x14ac:dyDescent="0.25">
      <c r="A2255" s="36">
        <v>30716317028</v>
      </c>
      <c r="B2255" t="s">
        <v>2284</v>
      </c>
    </row>
    <row r="2256" spans="1:3" x14ac:dyDescent="0.25">
      <c r="A2256" s="36">
        <v>20181517957</v>
      </c>
      <c r="B2256" t="s">
        <v>2285</v>
      </c>
    </row>
    <row r="2257" spans="1:3" x14ac:dyDescent="0.25">
      <c r="A2257" s="36">
        <v>20421469769</v>
      </c>
      <c r="B2257" t="s">
        <v>2286</v>
      </c>
    </row>
    <row r="2258" spans="1:3" x14ac:dyDescent="0.25">
      <c r="A2258" s="36">
        <v>20426451167</v>
      </c>
      <c r="B2258" t="s">
        <v>2287</v>
      </c>
    </row>
    <row r="2259" spans="1:3" x14ac:dyDescent="0.25">
      <c r="A2259" s="36">
        <v>20272865869</v>
      </c>
      <c r="B2259" t="s">
        <v>2288</v>
      </c>
      <c r="C2259" s="35" t="s">
        <v>849</v>
      </c>
    </row>
    <row r="2260" spans="1:3" x14ac:dyDescent="0.25">
      <c r="A2260" s="36">
        <v>23928499804</v>
      </c>
      <c r="B2260" t="s">
        <v>2289</v>
      </c>
    </row>
    <row r="2261" spans="1:3" x14ac:dyDescent="0.25">
      <c r="A2261" s="36">
        <v>30581106234</v>
      </c>
      <c r="B2261" t="s">
        <v>2290</v>
      </c>
    </row>
    <row r="2262" spans="1:3" x14ac:dyDescent="0.25">
      <c r="A2262" s="36">
        <v>20259150249</v>
      </c>
      <c r="B2262" t="s">
        <v>2291</v>
      </c>
    </row>
    <row r="2263" spans="1:3" x14ac:dyDescent="0.25">
      <c r="A2263" s="36">
        <v>23324039759</v>
      </c>
      <c r="B2263" t="s">
        <v>2292</v>
      </c>
    </row>
    <row r="2264" spans="1:3" x14ac:dyDescent="0.25">
      <c r="A2264" s="36">
        <v>33716367539</v>
      </c>
      <c r="B2264" t="s">
        <v>2293</v>
      </c>
    </row>
    <row r="2265" spans="1:3" x14ac:dyDescent="0.25">
      <c r="A2265" s="36">
        <v>30693066022</v>
      </c>
      <c r="B2265" t="s">
        <v>2294</v>
      </c>
    </row>
    <row r="2266" spans="1:3" x14ac:dyDescent="0.25">
      <c r="A2266" s="36">
        <v>30627351263</v>
      </c>
      <c r="B2266" t="s">
        <v>2295</v>
      </c>
    </row>
    <row r="2267" spans="1:3" x14ac:dyDescent="0.25">
      <c r="A2267" s="36">
        <v>20110663316</v>
      </c>
      <c r="B2267" t="s">
        <v>2296</v>
      </c>
    </row>
    <row r="2268" spans="1:3" x14ac:dyDescent="0.25">
      <c r="A2268" s="36">
        <v>20312058368</v>
      </c>
      <c r="B2268" t="s">
        <v>2297</v>
      </c>
      <c r="C2268" s="35" t="s">
        <v>2494</v>
      </c>
    </row>
    <row r="2269" spans="1:3" x14ac:dyDescent="0.25">
      <c r="A2269" s="36">
        <v>30707370609</v>
      </c>
      <c r="B2269" t="s">
        <v>2298</v>
      </c>
    </row>
    <row r="2270" spans="1:3" x14ac:dyDescent="0.25">
      <c r="A2270" s="36">
        <v>30707304886</v>
      </c>
      <c r="B2270" t="s">
        <v>2299</v>
      </c>
      <c r="C2270" s="35" t="s">
        <v>819</v>
      </c>
    </row>
    <row r="2271" spans="1:3" x14ac:dyDescent="0.25">
      <c r="A2271" s="36">
        <v>20410096103</v>
      </c>
      <c r="B2271" t="s">
        <v>2300</v>
      </c>
    </row>
    <row r="2272" spans="1:3" x14ac:dyDescent="0.25">
      <c r="A2272" s="36">
        <v>27443612705</v>
      </c>
      <c r="B2272" t="s">
        <v>2301</v>
      </c>
      <c r="C2272" s="35" t="s">
        <v>40</v>
      </c>
    </row>
    <row r="2273" spans="1:3" x14ac:dyDescent="0.25">
      <c r="A2273" s="36">
        <v>23278122999</v>
      </c>
      <c r="B2273" t="s">
        <v>2302</v>
      </c>
    </row>
    <row r="2274" spans="1:3" x14ac:dyDescent="0.25">
      <c r="A2274" s="36">
        <v>20262810470</v>
      </c>
      <c r="B2274" t="s">
        <v>2303</v>
      </c>
    </row>
    <row r="2275" spans="1:3" x14ac:dyDescent="0.25">
      <c r="A2275" s="36">
        <v>27294612845</v>
      </c>
      <c r="B2275" t="s">
        <v>2304</v>
      </c>
    </row>
    <row r="2276" spans="1:3" x14ac:dyDescent="0.25">
      <c r="A2276" s="36">
        <v>30711129010</v>
      </c>
      <c r="B2276" t="s">
        <v>2305</v>
      </c>
    </row>
    <row r="2277" spans="1:3" x14ac:dyDescent="0.25">
      <c r="A2277" s="36">
        <v>30620098058</v>
      </c>
      <c r="B2277" t="s">
        <v>2306</v>
      </c>
    </row>
    <row r="2278" spans="1:3" x14ac:dyDescent="0.25">
      <c r="A2278" s="36">
        <v>20238470502</v>
      </c>
      <c r="B2278" t="s">
        <v>2307</v>
      </c>
      <c r="C2278" s="35" t="s">
        <v>849</v>
      </c>
    </row>
    <row r="2279" spans="1:3" x14ac:dyDescent="0.25">
      <c r="A2279" s="36">
        <v>30715004492</v>
      </c>
      <c r="B2279" t="s">
        <v>2308</v>
      </c>
    </row>
    <row r="2280" spans="1:3" x14ac:dyDescent="0.25">
      <c r="A2280" s="36">
        <v>23293850739</v>
      </c>
      <c r="B2280" t="s">
        <v>2309</v>
      </c>
    </row>
    <row r="2281" spans="1:3" x14ac:dyDescent="0.25">
      <c r="A2281" s="36">
        <v>30715492543</v>
      </c>
      <c r="B2281" t="s">
        <v>2310</v>
      </c>
    </row>
    <row r="2282" spans="1:3" x14ac:dyDescent="0.25">
      <c r="A2282" s="36">
        <v>30716977958</v>
      </c>
      <c r="B2282" t="s">
        <v>2311</v>
      </c>
    </row>
    <row r="2283" spans="1:3" x14ac:dyDescent="0.25">
      <c r="A2283" s="36">
        <v>30526492281</v>
      </c>
      <c r="B2283" t="s">
        <v>2312</v>
      </c>
      <c r="C2283" s="35" t="s">
        <v>79</v>
      </c>
    </row>
    <row r="2284" spans="1:3" x14ac:dyDescent="0.25">
      <c r="A2284" s="36">
        <v>20131202114</v>
      </c>
      <c r="B2284" t="s">
        <v>2313</v>
      </c>
    </row>
    <row r="2285" spans="1:3" x14ac:dyDescent="0.25">
      <c r="A2285" s="36">
        <v>30712529721</v>
      </c>
      <c r="B2285" t="s">
        <v>2314</v>
      </c>
    </row>
    <row r="2286" spans="1:3" x14ac:dyDescent="0.25">
      <c r="A2286" s="36">
        <v>30606274161</v>
      </c>
      <c r="B2286" t="s">
        <v>2315</v>
      </c>
    </row>
    <row r="2287" spans="1:3" x14ac:dyDescent="0.25">
      <c r="A2287" s="36">
        <v>30711416656</v>
      </c>
      <c r="B2287" t="s">
        <v>2316</v>
      </c>
    </row>
    <row r="2288" spans="1:3" x14ac:dyDescent="0.25">
      <c r="A2288" s="36">
        <v>30711583765</v>
      </c>
      <c r="B2288" t="s">
        <v>2318</v>
      </c>
    </row>
    <row r="2289" spans="1:3" x14ac:dyDescent="0.25">
      <c r="A2289" s="36">
        <v>30708865377</v>
      </c>
      <c r="B2289" t="s">
        <v>2319</v>
      </c>
    </row>
    <row r="2290" spans="1:3" x14ac:dyDescent="0.25">
      <c r="A2290" s="36">
        <v>30693293754</v>
      </c>
      <c r="B2290" t="s">
        <v>2320</v>
      </c>
      <c r="C2290" s="35" t="s">
        <v>849</v>
      </c>
    </row>
    <row r="2291" spans="1:3" x14ac:dyDescent="0.25">
      <c r="A2291" s="36">
        <v>30714228060</v>
      </c>
      <c r="B2291" t="s">
        <v>2321</v>
      </c>
    </row>
    <row r="2292" spans="1:3" x14ac:dyDescent="0.25">
      <c r="A2292" s="36">
        <v>20348485580</v>
      </c>
      <c r="B2292" t="s">
        <v>2322</v>
      </c>
    </row>
    <row r="2293" spans="1:3" x14ac:dyDescent="0.25">
      <c r="A2293" s="36">
        <v>33516994849</v>
      </c>
      <c r="B2293" t="s">
        <v>2323</v>
      </c>
    </row>
    <row r="2294" spans="1:3" x14ac:dyDescent="0.25">
      <c r="A2294" s="36">
        <v>30717371298</v>
      </c>
      <c r="B2294" t="s">
        <v>2324</v>
      </c>
    </row>
    <row r="2295" spans="1:3" x14ac:dyDescent="0.25">
      <c r="A2295" s="36">
        <v>20184052858</v>
      </c>
      <c r="B2295" t="s">
        <v>2325</v>
      </c>
      <c r="C2295" s="35" t="s">
        <v>79</v>
      </c>
    </row>
    <row r="2296" spans="1:3" x14ac:dyDescent="0.25">
      <c r="A2296" s="36">
        <v>30717764370</v>
      </c>
      <c r="B2296" t="s">
        <v>2326</v>
      </c>
    </row>
    <row r="2297" spans="1:3" x14ac:dyDescent="0.25">
      <c r="A2297" s="36">
        <v>30711069360</v>
      </c>
      <c r="B2297" t="s">
        <v>2327</v>
      </c>
      <c r="C2297" s="35" t="s">
        <v>2482</v>
      </c>
    </row>
    <row r="2298" spans="1:3" x14ac:dyDescent="0.25">
      <c r="A2298" s="36">
        <v>30715141201</v>
      </c>
      <c r="B2298" t="s">
        <v>2328</v>
      </c>
    </row>
    <row r="2299" spans="1:3" x14ac:dyDescent="0.25">
      <c r="A2299" s="36">
        <v>30714618586</v>
      </c>
      <c r="B2299" t="s">
        <v>2329</v>
      </c>
    </row>
    <row r="2300" spans="1:3" x14ac:dyDescent="0.25">
      <c r="A2300" s="36">
        <v>30715458175</v>
      </c>
      <c r="B2300" t="s">
        <v>2330</v>
      </c>
    </row>
    <row r="2301" spans="1:3" x14ac:dyDescent="0.25">
      <c r="A2301" s="36">
        <v>33716050489</v>
      </c>
      <c r="B2301" t="s">
        <v>2331</v>
      </c>
    </row>
    <row r="2302" spans="1:3" x14ac:dyDescent="0.25">
      <c r="A2302" s="36">
        <v>20130224335</v>
      </c>
      <c r="B2302" t="s">
        <v>2332</v>
      </c>
    </row>
    <row r="2303" spans="1:3" x14ac:dyDescent="0.25">
      <c r="A2303" s="36">
        <v>27059354618</v>
      </c>
      <c r="B2303" t="s">
        <v>2333</v>
      </c>
    </row>
    <row r="2304" spans="1:3" x14ac:dyDescent="0.25">
      <c r="A2304" s="36">
        <v>33714877769</v>
      </c>
      <c r="B2304" t="s">
        <v>2334</v>
      </c>
    </row>
    <row r="2305" spans="1:3" x14ac:dyDescent="0.25">
      <c r="A2305" s="36">
        <v>20216740298</v>
      </c>
      <c r="B2305" t="s">
        <v>2335</v>
      </c>
    </row>
    <row r="2306" spans="1:3" x14ac:dyDescent="0.25">
      <c r="A2306" s="36">
        <v>20262744672</v>
      </c>
      <c r="B2306" t="s">
        <v>2336</v>
      </c>
    </row>
    <row r="2307" spans="1:3" x14ac:dyDescent="0.25">
      <c r="A2307" s="36">
        <v>33708711999</v>
      </c>
      <c r="B2307" t="s">
        <v>2337</v>
      </c>
    </row>
    <row r="2308" spans="1:3" x14ac:dyDescent="0.25">
      <c r="A2308" s="36">
        <v>30711024804</v>
      </c>
      <c r="B2308" t="s">
        <v>2338</v>
      </c>
    </row>
    <row r="2309" spans="1:3" x14ac:dyDescent="0.25">
      <c r="A2309" s="36">
        <v>30621884634</v>
      </c>
      <c r="B2309" t="s">
        <v>2339</v>
      </c>
    </row>
    <row r="2310" spans="1:3" x14ac:dyDescent="0.25">
      <c r="A2310" s="36">
        <v>30707103155</v>
      </c>
      <c r="B2310" t="s">
        <v>2340</v>
      </c>
    </row>
    <row r="2311" spans="1:3" x14ac:dyDescent="0.25">
      <c r="A2311" s="36">
        <v>30700584131</v>
      </c>
      <c r="B2311" t="s">
        <v>2341</v>
      </c>
    </row>
    <row r="2312" spans="1:3" x14ac:dyDescent="0.25">
      <c r="A2312" s="36">
        <v>20263536518</v>
      </c>
      <c r="B2312" t="s">
        <v>2342</v>
      </c>
    </row>
    <row r="2313" spans="1:3" x14ac:dyDescent="0.25">
      <c r="A2313" s="36">
        <v>20251303402</v>
      </c>
      <c r="B2313" t="s">
        <v>2343</v>
      </c>
    </row>
    <row r="2314" spans="1:3" x14ac:dyDescent="0.25">
      <c r="A2314" s="36">
        <v>30532880773</v>
      </c>
      <c r="B2314" t="s">
        <v>2344</v>
      </c>
    </row>
    <row r="2315" spans="1:3" x14ac:dyDescent="0.25">
      <c r="A2315" s="36">
        <v>30708402911</v>
      </c>
      <c r="B2315" t="s">
        <v>2345</v>
      </c>
    </row>
    <row r="2316" spans="1:3" x14ac:dyDescent="0.25">
      <c r="A2316" s="36">
        <v>20076573949</v>
      </c>
      <c r="B2316" t="s">
        <v>2346</v>
      </c>
    </row>
    <row r="2317" spans="1:3" x14ac:dyDescent="0.25">
      <c r="A2317" s="36">
        <v>30718322002</v>
      </c>
      <c r="B2317" t="s">
        <v>2347</v>
      </c>
    </row>
    <row r="2318" spans="1:3" x14ac:dyDescent="0.25">
      <c r="A2318" s="36">
        <v>30712057099</v>
      </c>
      <c r="B2318" t="s">
        <v>2348</v>
      </c>
    </row>
    <row r="2319" spans="1:3" x14ac:dyDescent="0.25">
      <c r="A2319" s="36">
        <v>20464199633</v>
      </c>
      <c r="B2319" t="s">
        <v>2351</v>
      </c>
      <c r="C2319" s="35" t="s">
        <v>2414</v>
      </c>
    </row>
    <row r="2320" spans="1:3" x14ac:dyDescent="0.25">
      <c r="A2320" s="36">
        <v>20923867903</v>
      </c>
      <c r="B2320" t="s">
        <v>2352</v>
      </c>
    </row>
    <row r="2321" spans="1:3" x14ac:dyDescent="0.25">
      <c r="A2321" s="36">
        <v>30709583278</v>
      </c>
      <c r="B2321" t="s">
        <v>2353</v>
      </c>
    </row>
    <row r="2322" spans="1:3" x14ac:dyDescent="0.25">
      <c r="A2322" s="36">
        <v>30711633959</v>
      </c>
      <c r="B2322" t="s">
        <v>2354</v>
      </c>
    </row>
    <row r="2323" spans="1:3" x14ac:dyDescent="0.25">
      <c r="A2323" s="36">
        <v>30716036894</v>
      </c>
      <c r="B2323" t="s">
        <v>2355</v>
      </c>
      <c r="C2323" s="35" t="s">
        <v>849</v>
      </c>
    </row>
    <row r="2324" spans="1:3" x14ac:dyDescent="0.25">
      <c r="A2324" s="36">
        <v>30709300705</v>
      </c>
      <c r="B2324" t="s">
        <v>2356</v>
      </c>
    </row>
    <row r="2325" spans="1:3" x14ac:dyDescent="0.25">
      <c r="A2325" s="36">
        <v>30716763656</v>
      </c>
      <c r="B2325" t="s">
        <v>2357</v>
      </c>
    </row>
    <row r="2326" spans="1:3" x14ac:dyDescent="0.25">
      <c r="A2326" s="36">
        <v>27929147893</v>
      </c>
      <c r="B2326" t="s">
        <v>2358</v>
      </c>
    </row>
    <row r="2327" spans="1:3" x14ac:dyDescent="0.25">
      <c r="A2327" s="36">
        <v>30716234114</v>
      </c>
      <c r="B2327" t="s">
        <v>2359</v>
      </c>
    </row>
    <row r="2328" spans="1:3" x14ac:dyDescent="0.25">
      <c r="A2328" s="36">
        <v>30712316655</v>
      </c>
      <c r="B2328" t="s">
        <v>2360</v>
      </c>
    </row>
    <row r="2329" spans="1:3" x14ac:dyDescent="0.25">
      <c r="A2329" s="36">
        <v>27940269100</v>
      </c>
      <c r="B2329" t="s">
        <v>2361</v>
      </c>
    </row>
    <row r="2330" spans="1:3" x14ac:dyDescent="0.25">
      <c r="A2330" s="36">
        <v>30714712604</v>
      </c>
      <c r="B2330" t="s">
        <v>2362</v>
      </c>
    </row>
    <row r="2331" spans="1:3" x14ac:dyDescent="0.25">
      <c r="A2331" s="36">
        <v>30714721441</v>
      </c>
      <c r="B2331" t="s">
        <v>2363</v>
      </c>
    </row>
    <row r="2332" spans="1:3" x14ac:dyDescent="0.25">
      <c r="A2332" s="36">
        <v>33707675069</v>
      </c>
      <c r="B2332" t="s">
        <v>2364</v>
      </c>
    </row>
    <row r="2333" spans="1:3" x14ac:dyDescent="0.25">
      <c r="A2333" s="36">
        <v>30712049886</v>
      </c>
      <c r="B2333" t="s">
        <v>2365</v>
      </c>
    </row>
    <row r="2334" spans="1:3" x14ac:dyDescent="0.25">
      <c r="A2334" s="36">
        <v>33688436279</v>
      </c>
      <c r="B2334" t="s">
        <v>2366</v>
      </c>
    </row>
    <row r="2335" spans="1:3" x14ac:dyDescent="0.25">
      <c r="A2335" s="36">
        <v>20139793170</v>
      </c>
      <c r="B2335" t="s">
        <v>2367</v>
      </c>
    </row>
    <row r="2336" spans="1:3" x14ac:dyDescent="0.25">
      <c r="A2336" s="36">
        <v>20272417653</v>
      </c>
      <c r="B2336" t="s">
        <v>2368</v>
      </c>
    </row>
    <row r="2337" spans="1:3" x14ac:dyDescent="0.25">
      <c r="A2337" s="36">
        <v>23452993104</v>
      </c>
      <c r="B2337" t="s">
        <v>2369</v>
      </c>
    </row>
    <row r="2338" spans="1:3" x14ac:dyDescent="0.25">
      <c r="A2338" s="36">
        <v>20047064946</v>
      </c>
      <c r="B2338" t="s">
        <v>2370</v>
      </c>
    </row>
    <row r="2339" spans="1:3" x14ac:dyDescent="0.25">
      <c r="A2339" s="36">
        <v>23299060179</v>
      </c>
      <c r="B2339" t="s">
        <v>2371</v>
      </c>
    </row>
    <row r="2340" spans="1:3" x14ac:dyDescent="0.25">
      <c r="A2340" s="36">
        <v>23452993104</v>
      </c>
      <c r="B2340" t="s">
        <v>2369</v>
      </c>
    </row>
    <row r="2341" spans="1:3" x14ac:dyDescent="0.25">
      <c r="A2341" s="36">
        <v>27122903201</v>
      </c>
      <c r="B2341" t="s">
        <v>2372</v>
      </c>
      <c r="C2341" s="35" t="s">
        <v>2414</v>
      </c>
    </row>
    <row r="2342" spans="1:3" x14ac:dyDescent="0.25">
      <c r="A2342" s="36">
        <v>27443612713</v>
      </c>
      <c r="B2342" t="s">
        <v>2373</v>
      </c>
      <c r="C2342" s="35" t="s">
        <v>40</v>
      </c>
    </row>
    <row r="2343" spans="1:3" x14ac:dyDescent="0.25">
      <c r="A2343" s="36">
        <v>20309935196</v>
      </c>
      <c r="B2343" t="s">
        <v>2374</v>
      </c>
    </row>
    <row r="2344" spans="1:3" x14ac:dyDescent="0.25">
      <c r="A2344" s="36">
        <v>20190742297</v>
      </c>
      <c r="B2344" t="s">
        <v>2375</v>
      </c>
      <c r="C2344" s="35" t="s">
        <v>40</v>
      </c>
    </row>
    <row r="2345" spans="1:3" x14ac:dyDescent="0.25">
      <c r="A2345" s="36">
        <v>27243660535</v>
      </c>
      <c r="B2345" t="s">
        <v>2376</v>
      </c>
      <c r="C2345" s="35" t="s">
        <v>2414</v>
      </c>
    </row>
    <row r="2346" spans="1:3" x14ac:dyDescent="0.25">
      <c r="A2346" s="36">
        <v>20263640862</v>
      </c>
      <c r="B2346" t="s">
        <v>2377</v>
      </c>
    </row>
    <row r="2347" spans="1:3" x14ac:dyDescent="0.25">
      <c r="A2347" s="36">
        <v>30638485733</v>
      </c>
      <c r="B2347" t="s">
        <v>2379</v>
      </c>
    </row>
    <row r="2348" spans="1:3" x14ac:dyDescent="0.25">
      <c r="A2348" s="36">
        <v>30712273174</v>
      </c>
      <c r="B2348" t="s">
        <v>2380</v>
      </c>
    </row>
    <row r="2349" spans="1:3" x14ac:dyDescent="0.25">
      <c r="A2349" s="36">
        <v>30716975602</v>
      </c>
      <c r="B2349" t="s">
        <v>2381</v>
      </c>
    </row>
    <row r="2350" spans="1:3" x14ac:dyDescent="0.25">
      <c r="A2350" s="36">
        <v>30671096238</v>
      </c>
      <c r="B2350" t="s">
        <v>2382</v>
      </c>
    </row>
    <row r="2351" spans="1:3" x14ac:dyDescent="0.25">
      <c r="A2351" s="36">
        <v>30714783129</v>
      </c>
      <c r="B2351" t="s">
        <v>2383</v>
      </c>
    </row>
    <row r="2352" spans="1:3" x14ac:dyDescent="0.25">
      <c r="A2352" s="36">
        <v>20167486666</v>
      </c>
      <c r="B2352" t="s">
        <v>2384</v>
      </c>
    </row>
    <row r="2353" spans="1:3" x14ac:dyDescent="0.25">
      <c r="A2353" s="36">
        <v>30717074781</v>
      </c>
      <c r="B2353" t="s">
        <v>2385</v>
      </c>
    </row>
    <row r="2354" spans="1:3" x14ac:dyDescent="0.25">
      <c r="A2354" s="36">
        <v>30708926155</v>
      </c>
      <c r="B2354" t="s">
        <v>2386</v>
      </c>
    </row>
    <row r="2355" spans="1:3" x14ac:dyDescent="0.25">
      <c r="A2355" s="36">
        <v>27114789033</v>
      </c>
      <c r="B2355" t="s">
        <v>2387</v>
      </c>
    </row>
    <row r="2356" spans="1:3" x14ac:dyDescent="0.25">
      <c r="A2356" s="36">
        <v>27238817973</v>
      </c>
      <c r="B2356" t="s">
        <v>2388</v>
      </c>
    </row>
    <row r="2357" spans="1:3" x14ac:dyDescent="0.25">
      <c r="A2357" s="36">
        <v>27278551909</v>
      </c>
      <c r="B2357" t="s">
        <v>2389</v>
      </c>
    </row>
    <row r="2358" spans="1:3" x14ac:dyDescent="0.25">
      <c r="A2358" s="36">
        <v>27348534306</v>
      </c>
      <c r="B2358" t="s">
        <v>2390</v>
      </c>
    </row>
    <row r="2359" spans="1:3" x14ac:dyDescent="0.25">
      <c r="A2359" s="36">
        <v>33716307749</v>
      </c>
      <c r="B2359" t="s">
        <v>2393</v>
      </c>
      <c r="C2359" s="35" t="s">
        <v>2478</v>
      </c>
    </row>
    <row r="2360" spans="1:3" x14ac:dyDescent="0.25">
      <c r="A2360" s="36">
        <v>27144282383</v>
      </c>
      <c r="B2360" t="s">
        <v>2394</v>
      </c>
      <c r="C2360" s="35" t="s">
        <v>2507</v>
      </c>
    </row>
    <row r="2361" spans="1:3" x14ac:dyDescent="0.25">
      <c r="A2361" s="36">
        <v>27117233745</v>
      </c>
      <c r="B2361" t="s">
        <v>2395</v>
      </c>
    </row>
    <row r="2362" spans="1:3" x14ac:dyDescent="0.25">
      <c r="A2362" s="36">
        <v>27251962559</v>
      </c>
      <c r="B2362" t="s">
        <v>2396</v>
      </c>
    </row>
    <row r="2363" spans="1:3" x14ac:dyDescent="0.25">
      <c r="A2363" s="36">
        <v>27363810182</v>
      </c>
      <c r="B2363" t="s">
        <v>2397</v>
      </c>
    </row>
    <row r="2364" spans="1:3" x14ac:dyDescent="0.25">
      <c r="A2364" s="36">
        <v>33715005129</v>
      </c>
      <c r="B2364" t="s">
        <v>2398</v>
      </c>
    </row>
    <row r="2365" spans="1:3" x14ac:dyDescent="0.25">
      <c r="A2365" s="36">
        <v>27329449357</v>
      </c>
      <c r="B2365" t="s">
        <v>2399</v>
      </c>
    </row>
    <row r="2366" spans="1:3" x14ac:dyDescent="0.25">
      <c r="A2366" s="36">
        <v>30710804830</v>
      </c>
      <c r="B2366" t="s">
        <v>2400</v>
      </c>
    </row>
    <row r="2367" spans="1:3" x14ac:dyDescent="0.25">
      <c r="A2367" s="36">
        <v>30709459399</v>
      </c>
      <c r="B2367" t="s">
        <v>2401</v>
      </c>
      <c r="C2367" s="35" t="s">
        <v>2414</v>
      </c>
    </row>
    <row r="2368" spans="1:3" x14ac:dyDescent="0.25">
      <c r="A2368" s="36">
        <v>20214946867</v>
      </c>
      <c r="B2368" t="s">
        <v>2402</v>
      </c>
    </row>
    <row r="2369" spans="1:3" x14ac:dyDescent="0.25">
      <c r="A2369" s="36">
        <v>30715630040</v>
      </c>
      <c r="B2369" t="s">
        <v>2403</v>
      </c>
    </row>
    <row r="2370" spans="1:3" x14ac:dyDescent="0.25">
      <c r="A2370" s="36">
        <v>30712155694</v>
      </c>
      <c r="B2370" t="s">
        <v>2404</v>
      </c>
    </row>
    <row r="2371" spans="1:3" x14ac:dyDescent="0.25">
      <c r="A2371" s="36">
        <v>30708421983</v>
      </c>
      <c r="B2371" t="s">
        <v>2405</v>
      </c>
      <c r="C2371" s="35" t="s">
        <v>79</v>
      </c>
    </row>
    <row r="2372" spans="1:3" x14ac:dyDescent="0.25">
      <c r="A2372" s="36">
        <v>30715349090</v>
      </c>
      <c r="B2372" t="s">
        <v>2406</v>
      </c>
      <c r="C2372" s="35" t="s">
        <v>44</v>
      </c>
    </row>
    <row r="2373" spans="1:3" x14ac:dyDescent="0.25">
      <c r="A2373" s="36">
        <v>30714333093</v>
      </c>
      <c r="B2373" t="s">
        <v>2407</v>
      </c>
      <c r="C2373" s="35" t="s">
        <v>79</v>
      </c>
    </row>
    <row r="2374" spans="1:3" x14ac:dyDescent="0.25">
      <c r="A2374" s="36">
        <v>30501077824</v>
      </c>
      <c r="B2374" t="s">
        <v>2408</v>
      </c>
    </row>
    <row r="2375" spans="1:3" x14ac:dyDescent="0.25">
      <c r="A2375" s="36">
        <v>20930857220</v>
      </c>
      <c r="B2375" t="s">
        <v>2411</v>
      </c>
      <c r="C2375" s="35" t="s">
        <v>2412</v>
      </c>
    </row>
    <row r="2376" spans="1:3" x14ac:dyDescent="0.25">
      <c r="A2376" s="36">
        <v>20278292429</v>
      </c>
      <c r="B2376" t="s">
        <v>2409</v>
      </c>
      <c r="C2376" s="35" t="s">
        <v>2410</v>
      </c>
    </row>
    <row r="2377" spans="1:3" x14ac:dyDescent="0.25">
      <c r="A2377" s="36">
        <v>20253990903</v>
      </c>
      <c r="B2377" t="s">
        <v>2413</v>
      </c>
      <c r="C2377" s="35" t="s">
        <v>2414</v>
      </c>
    </row>
    <row r="2378" spans="1:3" x14ac:dyDescent="0.25">
      <c r="A2378" s="36">
        <v>30711776040</v>
      </c>
      <c r="B2378" t="s">
        <v>2415</v>
      </c>
      <c r="C2378" s="35" t="s">
        <v>2412</v>
      </c>
    </row>
    <row r="2379" spans="1:3" x14ac:dyDescent="0.25">
      <c r="A2379" s="36">
        <v>20186310005</v>
      </c>
      <c r="B2379" t="s">
        <v>2416</v>
      </c>
      <c r="C2379" s="35" t="s">
        <v>79</v>
      </c>
    </row>
    <row r="2380" spans="1:3" x14ac:dyDescent="0.25">
      <c r="A2380" s="36">
        <v>30710951647</v>
      </c>
      <c r="B2380" t="s">
        <v>2422</v>
      </c>
    </row>
    <row r="2381" spans="1:3" x14ac:dyDescent="0.25">
      <c r="A2381" s="36">
        <v>33546505729</v>
      </c>
      <c r="B2381" t="s">
        <v>2423</v>
      </c>
    </row>
    <row r="2382" spans="1:3" x14ac:dyDescent="0.25">
      <c r="A2382" s="36">
        <v>20166808201</v>
      </c>
      <c r="B2382" t="s">
        <v>2424</v>
      </c>
    </row>
    <row r="2383" spans="1:3" x14ac:dyDescent="0.25">
      <c r="A2383" s="36">
        <v>30707988378</v>
      </c>
      <c r="B2383" t="s">
        <v>2425</v>
      </c>
      <c r="C2383" s="35" t="s">
        <v>819</v>
      </c>
    </row>
    <row r="2384" spans="1:3" x14ac:dyDescent="0.25">
      <c r="A2384" s="36">
        <v>30714201286</v>
      </c>
      <c r="B2384" t="s">
        <v>2426</v>
      </c>
      <c r="C2384" s="35" t="s">
        <v>2431</v>
      </c>
    </row>
    <row r="2385" spans="1:3" x14ac:dyDescent="0.25">
      <c r="A2385" s="36">
        <v>30714864269</v>
      </c>
      <c r="B2385" t="s">
        <v>2427</v>
      </c>
      <c r="C2385" s="35" t="s">
        <v>2432</v>
      </c>
    </row>
    <row r="2386" spans="1:3" x14ac:dyDescent="0.25">
      <c r="A2386" s="36">
        <v>27148854764</v>
      </c>
      <c r="B2386" t="s">
        <v>2428</v>
      </c>
      <c r="C2386" s="35" t="s">
        <v>79</v>
      </c>
    </row>
    <row r="2387" spans="1:3" x14ac:dyDescent="0.25">
      <c r="A2387" s="36">
        <v>30699677643</v>
      </c>
      <c r="B2387" t="s">
        <v>2429</v>
      </c>
      <c r="C2387" s="35" t="s">
        <v>2412</v>
      </c>
    </row>
    <row r="2388" spans="1:3" x14ac:dyDescent="0.25">
      <c r="A2388" s="36">
        <v>30683694556</v>
      </c>
      <c r="B2388" t="s">
        <v>2430</v>
      </c>
      <c r="C2388" s="35" t="s">
        <v>79</v>
      </c>
    </row>
    <row r="2389" spans="1:3" x14ac:dyDescent="0.25">
      <c r="A2389" s="36">
        <v>20216164262</v>
      </c>
      <c r="B2389" t="s">
        <v>2433</v>
      </c>
      <c r="C2389" s="35" t="s">
        <v>2414</v>
      </c>
    </row>
    <row r="2390" spans="1:3" x14ac:dyDescent="0.25">
      <c r="A2390" s="36">
        <v>27325223273</v>
      </c>
      <c r="B2390" t="s">
        <v>2434</v>
      </c>
      <c r="C2390" s="35" t="s">
        <v>2414</v>
      </c>
    </row>
    <row r="2391" spans="1:3" x14ac:dyDescent="0.25">
      <c r="A2391" s="36">
        <v>20347113078</v>
      </c>
      <c r="B2391" t="s">
        <v>2435</v>
      </c>
      <c r="C2391" s="35" t="s">
        <v>2414</v>
      </c>
    </row>
    <row r="2392" spans="1:3" x14ac:dyDescent="0.25">
      <c r="A2392" s="36">
        <v>20185132502</v>
      </c>
      <c r="B2392" t="s">
        <v>2436</v>
      </c>
      <c r="C2392" s="35" t="s">
        <v>2480</v>
      </c>
    </row>
    <row r="2393" spans="1:3" x14ac:dyDescent="0.25">
      <c r="A2393" s="36">
        <v>30715613952</v>
      </c>
      <c r="B2393" t="s">
        <v>2437</v>
      </c>
      <c r="C2393" s="35" t="s">
        <v>2431</v>
      </c>
    </row>
    <row r="2394" spans="1:3" x14ac:dyDescent="0.25">
      <c r="A2394" s="36">
        <v>30708395443</v>
      </c>
      <c r="B2394" t="s">
        <v>2438</v>
      </c>
      <c r="C2394" s="35" t="s">
        <v>79</v>
      </c>
    </row>
    <row r="2395" spans="1:3" x14ac:dyDescent="0.25">
      <c r="A2395" s="36">
        <v>30711454388</v>
      </c>
      <c r="B2395" t="s">
        <v>2439</v>
      </c>
      <c r="C2395" s="35" t="s">
        <v>2431</v>
      </c>
    </row>
    <row r="2396" spans="1:3" x14ac:dyDescent="0.25">
      <c r="A2396" s="36">
        <v>20308861059</v>
      </c>
      <c r="B2396" t="s">
        <v>2443</v>
      </c>
      <c r="C2396" s="35" t="s">
        <v>79</v>
      </c>
    </row>
    <row r="2397" spans="1:3" x14ac:dyDescent="0.25">
      <c r="A2397" s="36">
        <v>30717680762</v>
      </c>
      <c r="B2397" t="s">
        <v>2441</v>
      </c>
      <c r="C2397" s="35" t="s">
        <v>2442</v>
      </c>
    </row>
    <row r="2398" spans="1:3" x14ac:dyDescent="0.25">
      <c r="A2398" s="36">
        <v>30708560568</v>
      </c>
      <c r="B2398" t="s">
        <v>2440</v>
      </c>
      <c r="C2398" s="35" t="s">
        <v>79</v>
      </c>
    </row>
    <row r="2399" spans="1:3" x14ac:dyDescent="0.25">
      <c r="A2399" s="36">
        <v>33713192509</v>
      </c>
      <c r="B2399" t="s">
        <v>2444</v>
      </c>
      <c r="C2399" s="35" t="s">
        <v>819</v>
      </c>
    </row>
    <row r="2400" spans="1:3" x14ac:dyDescent="0.25">
      <c r="A2400" s="36">
        <v>20311855671</v>
      </c>
      <c r="B2400" t="s">
        <v>2445</v>
      </c>
      <c r="C2400" s="35" t="s">
        <v>2414</v>
      </c>
    </row>
    <row r="2401" spans="1:3" x14ac:dyDescent="0.25">
      <c r="A2401" s="36">
        <v>27315710508</v>
      </c>
      <c r="B2401" t="s">
        <v>2446</v>
      </c>
      <c r="C2401" s="35" t="s">
        <v>2482</v>
      </c>
    </row>
    <row r="2402" spans="1:3" x14ac:dyDescent="0.25">
      <c r="A2402" s="36">
        <v>20236043631</v>
      </c>
      <c r="B2402" t="s">
        <v>2447</v>
      </c>
    </row>
    <row r="2403" spans="1:3" x14ac:dyDescent="0.25">
      <c r="A2403" s="36">
        <v>30600981486</v>
      </c>
      <c r="B2403" t="s">
        <v>2448</v>
      </c>
      <c r="C2403" s="35" t="s">
        <v>2414</v>
      </c>
    </row>
    <row r="2404" spans="1:3" x14ac:dyDescent="0.25">
      <c r="A2404" s="429">
        <v>30709208221</v>
      </c>
      <c r="B2404" t="s">
        <v>2450</v>
      </c>
      <c r="C2404" s="35" t="s">
        <v>44</v>
      </c>
    </row>
    <row r="2405" spans="1:3" x14ac:dyDescent="0.25">
      <c r="A2405" s="36">
        <v>20347228002</v>
      </c>
      <c r="B2405" t="s">
        <v>2451</v>
      </c>
      <c r="C2405" s="35" t="s">
        <v>797</v>
      </c>
    </row>
    <row r="2406" spans="1:3" x14ac:dyDescent="0.25">
      <c r="A2406" s="36">
        <v>30592097482</v>
      </c>
      <c r="B2406" t="s">
        <v>2452</v>
      </c>
      <c r="C2406" s="35" t="s">
        <v>797</v>
      </c>
    </row>
    <row r="2407" spans="1:3" x14ac:dyDescent="0.25">
      <c r="A2407" s="36">
        <v>27344304551</v>
      </c>
      <c r="B2407" t="s">
        <v>2453</v>
      </c>
      <c r="C2407" s="35" t="s">
        <v>2454</v>
      </c>
    </row>
    <row r="2408" spans="1:3" x14ac:dyDescent="0.25">
      <c r="A2408" s="36">
        <v>30717110052</v>
      </c>
      <c r="B2408" t="s">
        <v>2455</v>
      </c>
      <c r="C2408" s="35" t="s">
        <v>2456</v>
      </c>
    </row>
    <row r="2409" spans="1:3" x14ac:dyDescent="0.25">
      <c r="A2409" s="36">
        <v>30709208221</v>
      </c>
      <c r="B2409" t="s">
        <v>2450</v>
      </c>
    </row>
    <row r="2410" spans="1:3" x14ac:dyDescent="0.25">
      <c r="A2410" s="36">
        <v>30715430769</v>
      </c>
      <c r="B2410" t="s">
        <v>2457</v>
      </c>
      <c r="C2410" s="35" t="s">
        <v>2414</v>
      </c>
    </row>
    <row r="2411" spans="1:3" x14ac:dyDescent="0.25">
      <c r="A2411" s="36">
        <v>30711610096</v>
      </c>
      <c r="B2411" t="s">
        <v>2458</v>
      </c>
      <c r="C2411" s="35" t="s">
        <v>2414</v>
      </c>
    </row>
    <row r="2412" spans="1:3" x14ac:dyDescent="0.25">
      <c r="A2412" s="36">
        <v>30716651165</v>
      </c>
      <c r="B2412" t="s">
        <v>2459</v>
      </c>
      <c r="C2412" s="35" t="s">
        <v>79</v>
      </c>
    </row>
    <row r="2413" spans="1:3" x14ac:dyDescent="0.25">
      <c r="A2413" s="36">
        <v>30557281289</v>
      </c>
      <c r="B2413" t="s">
        <v>2460</v>
      </c>
      <c r="C2413" s="35" t="s">
        <v>2414</v>
      </c>
    </row>
    <row r="2414" spans="1:3" x14ac:dyDescent="0.25">
      <c r="A2414" s="36">
        <v>30711707472</v>
      </c>
      <c r="B2414" t="s">
        <v>2461</v>
      </c>
      <c r="C2414" s="35" t="s">
        <v>82</v>
      </c>
    </row>
    <row r="2415" spans="1:3" x14ac:dyDescent="0.25">
      <c r="A2415" s="36">
        <v>33711386179</v>
      </c>
      <c r="B2415" t="s">
        <v>2462</v>
      </c>
      <c r="C2415" s="35" t="s">
        <v>2414</v>
      </c>
    </row>
    <row r="2416" spans="1:3" x14ac:dyDescent="0.25">
      <c r="A2416" s="36">
        <v>30716401541</v>
      </c>
      <c r="B2416" t="s">
        <v>2463</v>
      </c>
      <c r="C2416" s="35" t="s">
        <v>2414</v>
      </c>
    </row>
    <row r="2417" spans="1:3" x14ac:dyDescent="0.25">
      <c r="A2417" s="36">
        <v>30717210847</v>
      </c>
      <c r="B2417" t="s">
        <v>2464</v>
      </c>
      <c r="C2417" s="35" t="s">
        <v>79</v>
      </c>
    </row>
    <row r="2418" spans="1:3" x14ac:dyDescent="0.25">
      <c r="A2418" s="36">
        <v>30516199292</v>
      </c>
      <c r="B2418" t="s">
        <v>2465</v>
      </c>
      <c r="C2418" s="35" t="s">
        <v>819</v>
      </c>
    </row>
    <row r="2419" spans="1:3" x14ac:dyDescent="0.25">
      <c r="A2419" s="36">
        <v>30546504286</v>
      </c>
      <c r="B2419" t="s">
        <v>2466</v>
      </c>
      <c r="C2419" s="35" t="s">
        <v>82</v>
      </c>
    </row>
    <row r="2420" spans="1:3" x14ac:dyDescent="0.25">
      <c r="A2420" s="36">
        <v>30715988956</v>
      </c>
      <c r="B2420" t="s">
        <v>2468</v>
      </c>
      <c r="C2420" s="35" t="s">
        <v>2414</v>
      </c>
    </row>
    <row r="2421" spans="1:3" x14ac:dyDescent="0.25">
      <c r="A2421" s="36">
        <v>30687104133</v>
      </c>
      <c r="B2421" t="s">
        <v>2467</v>
      </c>
      <c r="C2421" s="35" t="s">
        <v>79</v>
      </c>
    </row>
    <row r="2422" spans="1:3" x14ac:dyDescent="0.25">
      <c r="A2422" s="36">
        <v>27207433867</v>
      </c>
      <c r="B2422" t="s">
        <v>2469</v>
      </c>
      <c r="C2422" s="35" t="s">
        <v>40</v>
      </c>
    </row>
    <row r="2423" spans="1:3" x14ac:dyDescent="0.25">
      <c r="A2423" s="36">
        <v>20231292285</v>
      </c>
      <c r="B2423" t="s">
        <v>2470</v>
      </c>
      <c r="C2423" s="35" t="s">
        <v>2414</v>
      </c>
    </row>
    <row r="2424" spans="1:3" x14ac:dyDescent="0.25">
      <c r="A2424" s="36">
        <v>20310489930</v>
      </c>
      <c r="B2424" t="s">
        <v>2471</v>
      </c>
      <c r="C2424" s="35" t="s">
        <v>2414</v>
      </c>
    </row>
    <row r="2425" spans="1:3" x14ac:dyDescent="0.25">
      <c r="A2425" s="36">
        <v>30718285026</v>
      </c>
      <c r="B2425" t="s">
        <v>2472</v>
      </c>
      <c r="C2425" s="35" t="s">
        <v>79</v>
      </c>
    </row>
    <row r="2426" spans="1:3" x14ac:dyDescent="0.25">
      <c r="A2426" s="36">
        <v>30717874133</v>
      </c>
      <c r="B2426" t="s">
        <v>2473</v>
      </c>
      <c r="C2426" s="35" t="s">
        <v>797</v>
      </c>
    </row>
    <row r="2427" spans="1:3" x14ac:dyDescent="0.25">
      <c r="A2427" s="36">
        <v>30518532959</v>
      </c>
      <c r="B2427" t="s">
        <v>2474</v>
      </c>
      <c r="C2427" s="35" t="s">
        <v>79</v>
      </c>
    </row>
    <row r="2428" spans="1:3" x14ac:dyDescent="0.25">
      <c r="A2428" s="36">
        <v>30715626515</v>
      </c>
      <c r="B2428" t="s">
        <v>2475</v>
      </c>
      <c r="C2428" s="35" t="s">
        <v>797</v>
      </c>
    </row>
    <row r="2429" spans="1:3" x14ac:dyDescent="0.25">
      <c r="A2429" s="36">
        <v>30677420622</v>
      </c>
      <c r="B2429" t="s">
        <v>2476</v>
      </c>
      <c r="C2429" s="35" t="s">
        <v>79</v>
      </c>
    </row>
    <row r="2430" spans="1:3" x14ac:dyDescent="0.25">
      <c r="A2430" s="36">
        <v>27185947675</v>
      </c>
      <c r="B2430" t="s">
        <v>2477</v>
      </c>
      <c r="C2430" s="35" t="s">
        <v>79</v>
      </c>
    </row>
    <row r="2431" spans="1:3" x14ac:dyDescent="0.25">
      <c r="A2431" s="246">
        <v>30693449525</v>
      </c>
      <c r="B2431" t="s">
        <v>2481</v>
      </c>
      <c r="C2431" s="35" t="s">
        <v>79</v>
      </c>
    </row>
    <row r="2432" spans="1:3" x14ac:dyDescent="0.25">
      <c r="A2432" s="246">
        <v>20307464269</v>
      </c>
      <c r="B2432" t="s">
        <v>2483</v>
      </c>
      <c r="C2432" s="35" t="s">
        <v>79</v>
      </c>
    </row>
    <row r="2433" spans="1:3" x14ac:dyDescent="0.25">
      <c r="A2433" s="36">
        <v>20373457796</v>
      </c>
      <c r="B2433" t="s">
        <v>2484</v>
      </c>
      <c r="C2433" s="35" t="s">
        <v>2480</v>
      </c>
    </row>
    <row r="2434" spans="1:3" x14ac:dyDescent="0.25">
      <c r="A2434" s="36">
        <v>30709256420</v>
      </c>
      <c r="B2434" t="s">
        <v>2485</v>
      </c>
      <c r="C2434" s="35" t="s">
        <v>79</v>
      </c>
    </row>
    <row r="2435" spans="1:3" x14ac:dyDescent="0.25">
      <c r="A2435" s="36">
        <v>30709953482</v>
      </c>
      <c r="B2435" t="s">
        <v>2486</v>
      </c>
      <c r="C2435" s="35" t="s">
        <v>79</v>
      </c>
    </row>
    <row r="2436" spans="1:3" x14ac:dyDescent="0.25">
      <c r="A2436" s="36">
        <v>30714769290</v>
      </c>
      <c r="B2436" t="s">
        <v>2487</v>
      </c>
      <c r="C2436" s="35" t="s">
        <v>79</v>
      </c>
    </row>
    <row r="2437" spans="1:3" x14ac:dyDescent="0.25">
      <c r="A2437" s="36">
        <v>30710819552</v>
      </c>
      <c r="B2437" t="s">
        <v>2488</v>
      </c>
      <c r="C2437" s="35" t="s">
        <v>2489</v>
      </c>
    </row>
    <row r="2438" spans="1:3" x14ac:dyDescent="0.25">
      <c r="A2438" s="36">
        <v>20271822058</v>
      </c>
      <c r="B2438" t="s">
        <v>2490</v>
      </c>
      <c r="C2438" s="35" t="s">
        <v>2489</v>
      </c>
    </row>
    <row r="2439" spans="1:3" x14ac:dyDescent="0.25">
      <c r="A2439" s="36">
        <v>30718601483</v>
      </c>
      <c r="B2439" t="s">
        <v>2491</v>
      </c>
      <c r="C2439" s="35" t="s">
        <v>2489</v>
      </c>
    </row>
    <row r="2440" spans="1:3" x14ac:dyDescent="0.25">
      <c r="A2440" s="36">
        <v>20320131260</v>
      </c>
      <c r="B2440" t="s">
        <v>2492</v>
      </c>
      <c r="C2440" s="35" t="s">
        <v>2480</v>
      </c>
    </row>
    <row r="2441" spans="1:3" x14ac:dyDescent="0.25">
      <c r="A2441" s="36">
        <v>30709531960</v>
      </c>
      <c r="B2441" t="s">
        <v>2495</v>
      </c>
      <c r="C2441" s="35" t="s">
        <v>2489</v>
      </c>
    </row>
    <row r="2442" spans="1:3" x14ac:dyDescent="0.25">
      <c r="A2442" s="36">
        <v>20295929309</v>
      </c>
      <c r="B2442" t="s">
        <v>2496</v>
      </c>
      <c r="C2442" s="35" t="s">
        <v>2414</v>
      </c>
    </row>
    <row r="2443" spans="1:3" x14ac:dyDescent="0.25">
      <c r="A2443" s="36">
        <v>30688173430</v>
      </c>
      <c r="B2443" t="s">
        <v>2497</v>
      </c>
      <c r="C2443" s="35" t="s">
        <v>2489</v>
      </c>
    </row>
    <row r="2444" spans="1:3" x14ac:dyDescent="0.25">
      <c r="A2444" s="36">
        <v>30707946241</v>
      </c>
      <c r="B2444" t="s">
        <v>2498</v>
      </c>
      <c r="C2444" s="35" t="s">
        <v>2414</v>
      </c>
    </row>
    <row r="2445" spans="1:3" x14ac:dyDescent="0.25">
      <c r="A2445" s="36">
        <v>20045368670</v>
      </c>
      <c r="B2445" t="s">
        <v>2499</v>
      </c>
      <c r="C2445" s="35" t="s">
        <v>2480</v>
      </c>
    </row>
    <row r="2446" spans="1:3" x14ac:dyDescent="0.25">
      <c r="A2446" s="36">
        <v>30607371799</v>
      </c>
      <c r="B2446" t="s">
        <v>2500</v>
      </c>
      <c r="C2446" s="35" t="s">
        <v>79</v>
      </c>
    </row>
    <row r="2447" spans="1:3" x14ac:dyDescent="0.25">
      <c r="A2447" s="36">
        <v>30714025631</v>
      </c>
      <c r="B2447" t="s">
        <v>2501</v>
      </c>
      <c r="C2447" s="35" t="s">
        <v>79</v>
      </c>
    </row>
    <row r="2448" spans="1:3" x14ac:dyDescent="0.25">
      <c r="A2448" s="36">
        <v>30718885902</v>
      </c>
      <c r="B2448" t="s">
        <v>2502</v>
      </c>
      <c r="C2448" s="35" t="s">
        <v>2414</v>
      </c>
    </row>
    <row r="2449" spans="1:3" x14ac:dyDescent="0.25">
      <c r="A2449" s="36">
        <v>30711229090</v>
      </c>
      <c r="B2449" t="s">
        <v>2503</v>
      </c>
      <c r="C2449" s="35" t="s">
        <v>2442</v>
      </c>
    </row>
    <row r="2450" spans="1:3" x14ac:dyDescent="0.25">
      <c r="A2450" s="36">
        <v>30716566060</v>
      </c>
      <c r="B2450" t="s">
        <v>2504</v>
      </c>
      <c r="C2450" s="35" t="s">
        <v>2414</v>
      </c>
    </row>
    <row r="2451" spans="1:3" x14ac:dyDescent="0.25">
      <c r="A2451" s="36">
        <v>30695554628</v>
      </c>
      <c r="B2451" t="s">
        <v>2505</v>
      </c>
      <c r="C2451" s="35" t="s">
        <v>2494</v>
      </c>
    </row>
    <row r="2452" spans="1:3" x14ac:dyDescent="0.25">
      <c r="A2452" s="36">
        <v>30708649755</v>
      </c>
      <c r="B2452" t="s">
        <v>2506</v>
      </c>
      <c r="C2452" s="35" t="s">
        <v>2414</v>
      </c>
    </row>
    <row r="2453" spans="1:3" x14ac:dyDescent="0.25">
      <c r="A2453" s="36">
        <v>24253769951</v>
      </c>
      <c r="B2453" t="s">
        <v>2508</v>
      </c>
      <c r="C2453" s="35" t="s">
        <v>2414</v>
      </c>
    </row>
    <row r="2454" spans="1:3" x14ac:dyDescent="0.25">
      <c r="A2454" s="36">
        <v>20134815494</v>
      </c>
      <c r="B2454" t="s">
        <v>2509</v>
      </c>
      <c r="C2454" s="35" t="s">
        <v>2442</v>
      </c>
    </row>
    <row r="2455" spans="1:3" x14ac:dyDescent="0.25">
      <c r="A2455" s="36">
        <v>20183882512</v>
      </c>
      <c r="B2455" t="s">
        <v>2510</v>
      </c>
      <c r="C2455" s="35" t="s">
        <v>2414</v>
      </c>
    </row>
    <row r="2456" spans="1:3" x14ac:dyDescent="0.25">
      <c r="A2456" s="36">
        <v>30716264382</v>
      </c>
      <c r="B2456" t="s">
        <v>2511</v>
      </c>
      <c r="C2456" s="35" t="s">
        <v>2442</v>
      </c>
    </row>
    <row r="2457" spans="1:3" x14ac:dyDescent="0.25">
      <c r="A2457" s="36">
        <v>30708795174</v>
      </c>
      <c r="B2457" t="s">
        <v>2512</v>
      </c>
      <c r="C2457" s="35" t="s">
        <v>44</v>
      </c>
    </row>
    <row r="2458" spans="1:3" x14ac:dyDescent="0.25">
      <c r="A2458" s="36">
        <v>30586185922</v>
      </c>
      <c r="B2458" t="s">
        <v>2513</v>
      </c>
      <c r="C2458" s="35" t="s">
        <v>2489</v>
      </c>
    </row>
    <row r="2459" spans="1:3" x14ac:dyDescent="0.25">
      <c r="A2459" s="36">
        <v>20944494236</v>
      </c>
      <c r="B2459" t="s">
        <v>2516</v>
      </c>
      <c r="C2459" s="35" t="s">
        <v>2414</v>
      </c>
    </row>
    <row r="2460" spans="1:3" x14ac:dyDescent="0.25">
      <c r="A2460" s="36">
        <v>27380284052</v>
      </c>
      <c r="B2460" t="s">
        <v>2517</v>
      </c>
      <c r="C2460" s="35" t="s">
        <v>40</v>
      </c>
    </row>
    <row r="2461" spans="1:3" x14ac:dyDescent="0.25">
      <c r="A2461" s="36">
        <v>20329826946</v>
      </c>
      <c r="B2461" t="s">
        <v>2518</v>
      </c>
      <c r="C2461" s="35" t="s">
        <v>2414</v>
      </c>
    </row>
    <row r="2462" spans="1:3" x14ac:dyDescent="0.25">
      <c r="A2462" s="36">
        <v>27227155367</v>
      </c>
      <c r="B2462" t="s">
        <v>2519</v>
      </c>
      <c r="C2462" s="35" t="s">
        <v>2414</v>
      </c>
    </row>
    <row r="2463" spans="1:3" x14ac:dyDescent="0.25">
      <c r="A2463" s="36">
        <v>20293286281</v>
      </c>
      <c r="B2463" t="s">
        <v>2520</v>
      </c>
      <c r="C2463" s="35" t="s">
        <v>819</v>
      </c>
    </row>
    <row r="2464" spans="1:3" x14ac:dyDescent="0.25">
      <c r="A2464" s="36">
        <v>30707627650</v>
      </c>
      <c r="B2464" t="s">
        <v>2521</v>
      </c>
      <c r="C2464" s="35" t="s">
        <v>2494</v>
      </c>
    </row>
    <row r="2465" spans="1:3" x14ac:dyDescent="0.25">
      <c r="A2465" s="36">
        <v>30707639896</v>
      </c>
      <c r="B2465" t="s">
        <v>2522</v>
      </c>
      <c r="C2465" s="35" t="s">
        <v>2414</v>
      </c>
    </row>
    <row r="2466" spans="1:3" x14ac:dyDescent="0.25">
      <c r="A2466" s="36">
        <v>27298128484</v>
      </c>
      <c r="B2466" t="s">
        <v>2523</v>
      </c>
      <c r="C2466" s="35" t="s">
        <v>49</v>
      </c>
    </row>
    <row r="2467" spans="1:3" x14ac:dyDescent="0.25">
      <c r="A2467" s="36">
        <v>27051553573</v>
      </c>
      <c r="B2467" t="s">
        <v>2524</v>
      </c>
      <c r="C2467" s="35" t="s">
        <v>2414</v>
      </c>
    </row>
    <row r="2468" spans="1:3" x14ac:dyDescent="0.25">
      <c r="A2468" s="36">
        <v>30632331793</v>
      </c>
      <c r="B2468" t="s">
        <v>2525</v>
      </c>
      <c r="C2468" s="35" t="s">
        <v>2494</v>
      </c>
    </row>
    <row r="2469" spans="1:3" x14ac:dyDescent="0.25">
      <c r="A2469" s="36">
        <v>20174826286</v>
      </c>
      <c r="B2469" t="s">
        <v>2526</v>
      </c>
      <c r="C2469" s="35" t="s">
        <v>79</v>
      </c>
    </row>
    <row r="2470" spans="1:3" x14ac:dyDescent="0.25">
      <c r="A2470" s="36">
        <v>30718387694</v>
      </c>
      <c r="B2470" t="s">
        <v>2527</v>
      </c>
      <c r="C2470" s="35" t="s">
        <v>2414</v>
      </c>
    </row>
    <row r="2471" spans="1:3" x14ac:dyDescent="0.25">
      <c r="A2471" s="36">
        <v>30717156826</v>
      </c>
      <c r="B2471" t="s">
        <v>2528</v>
      </c>
      <c r="C2471" s="35" t="s">
        <v>2414</v>
      </c>
    </row>
    <row r="2472" spans="1:3" x14ac:dyDescent="0.25">
      <c r="A2472" s="36">
        <v>20231240005</v>
      </c>
      <c r="B2472" t="s">
        <v>2529</v>
      </c>
      <c r="C2472" s="35" t="s">
        <v>79</v>
      </c>
    </row>
    <row r="2473" spans="1:3" x14ac:dyDescent="0.25">
      <c r="A2473" s="36">
        <v>20144610637</v>
      </c>
      <c r="B2473" t="s">
        <v>2530</v>
      </c>
      <c r="C2473" s="35" t="s">
        <v>44</v>
      </c>
    </row>
    <row r="2474" spans="1:3" x14ac:dyDescent="0.25">
      <c r="A2474" s="36">
        <v>20298657539</v>
      </c>
      <c r="B2474" t="s">
        <v>2531</v>
      </c>
      <c r="C2474" s="35" t="s">
        <v>2414</v>
      </c>
    </row>
    <row r="2475" spans="1:3" x14ac:dyDescent="0.25">
      <c r="A2475" s="36">
        <v>30716046091</v>
      </c>
      <c r="B2475" t="s">
        <v>2532</v>
      </c>
      <c r="C2475" s="35" t="s">
        <v>82</v>
      </c>
    </row>
    <row r="2476" spans="1:3" x14ac:dyDescent="0.25">
      <c r="A2476" s="36">
        <v>20276761111</v>
      </c>
      <c r="B2476" t="s">
        <v>2533</v>
      </c>
      <c r="C2476" s="35" t="s">
        <v>2414</v>
      </c>
    </row>
    <row r="2477" spans="1:3" x14ac:dyDescent="0.25">
      <c r="A2477" s="36">
        <v>20263170017</v>
      </c>
      <c r="B2477" t="s">
        <v>2534</v>
      </c>
      <c r="C2477" s="35" t="s">
        <v>2489</v>
      </c>
    </row>
    <row r="2478" spans="1:3" x14ac:dyDescent="0.25">
      <c r="A2478" s="36">
        <v>27160577652</v>
      </c>
      <c r="B2478" t="s">
        <v>2535</v>
      </c>
      <c r="C2478" s="35" t="s">
        <v>2414</v>
      </c>
    </row>
    <row r="2479" spans="1:3" x14ac:dyDescent="0.25">
      <c r="A2479" s="36">
        <v>30718627792</v>
      </c>
      <c r="B2479" t="s">
        <v>2536</v>
      </c>
      <c r="C2479" s="35" t="s">
        <v>2414</v>
      </c>
    </row>
    <row r="2480" spans="1:3" x14ac:dyDescent="0.25">
      <c r="A2480" s="36">
        <v>30714440183</v>
      </c>
      <c r="B2480" t="s">
        <v>2537</v>
      </c>
      <c r="C2480" s="35" t="s">
        <v>819</v>
      </c>
    </row>
    <row r="2481" spans="1:3" x14ac:dyDescent="0.25">
      <c r="A2481" s="36">
        <v>30714749206</v>
      </c>
      <c r="B2481" t="s">
        <v>2538</v>
      </c>
      <c r="C2481" s="35" t="s">
        <v>2414</v>
      </c>
    </row>
    <row r="2482" spans="1:3" x14ac:dyDescent="0.25">
      <c r="A2482" s="36">
        <v>33714967989</v>
      </c>
      <c r="B2482" t="s">
        <v>2539</v>
      </c>
      <c r="C2482" s="35" t="s">
        <v>44</v>
      </c>
    </row>
    <row r="2483" spans="1:3" x14ac:dyDescent="0.25">
      <c r="A2483" s="36">
        <v>30711647135</v>
      </c>
      <c r="B2483" t="s">
        <v>2540</v>
      </c>
      <c r="C2483" s="35" t="s">
        <v>44</v>
      </c>
    </row>
    <row r="2484" spans="1:3" x14ac:dyDescent="0.25">
      <c r="A2484" s="36">
        <v>23288035059</v>
      </c>
      <c r="B2484" t="s">
        <v>2541</v>
      </c>
      <c r="C2484" s="35" t="s">
        <v>2480</v>
      </c>
    </row>
    <row r="2485" spans="1:3" x14ac:dyDescent="0.25">
      <c r="A2485" s="36">
        <v>20207044262</v>
      </c>
      <c r="B2485" t="s">
        <v>2542</v>
      </c>
      <c r="C2485" s="35" t="s">
        <v>2480</v>
      </c>
    </row>
    <row r="2486" spans="1:3" x14ac:dyDescent="0.25">
      <c r="A2486" s="36">
        <v>30716886766</v>
      </c>
      <c r="B2486" t="s">
        <v>2543</v>
      </c>
      <c r="C2486" s="35" t="s">
        <v>79</v>
      </c>
    </row>
    <row r="2487" spans="1:3" x14ac:dyDescent="0.25">
      <c r="A2487" s="36">
        <v>30591749656</v>
      </c>
      <c r="B2487" t="s">
        <v>2544</v>
      </c>
      <c r="C2487" s="35" t="s">
        <v>2414</v>
      </c>
    </row>
    <row r="2488" spans="1:3" x14ac:dyDescent="0.25">
      <c r="A2488" s="36">
        <v>27167838001</v>
      </c>
      <c r="B2488" t="s">
        <v>2545</v>
      </c>
      <c r="C2488" s="35" t="s">
        <v>2414</v>
      </c>
    </row>
    <row r="2489" spans="1:3" x14ac:dyDescent="0.25">
      <c r="A2489" s="36">
        <v>20421434450</v>
      </c>
      <c r="B2489" t="s">
        <v>2546</v>
      </c>
      <c r="C2489" s="35" t="s">
        <v>40</v>
      </c>
    </row>
    <row r="2490" spans="1:3" x14ac:dyDescent="0.25">
      <c r="A2490" s="36">
        <v>20247881957</v>
      </c>
      <c r="B2490" t="s">
        <v>2547</v>
      </c>
      <c r="C2490" s="35" t="s">
        <v>79</v>
      </c>
    </row>
    <row r="2491" spans="1:3" x14ac:dyDescent="0.25">
      <c r="A2491" s="36">
        <v>27167641798</v>
      </c>
      <c r="B2491" t="s">
        <v>2548</v>
      </c>
      <c r="C2491" s="35" t="s">
        <v>2414</v>
      </c>
    </row>
    <row r="2492" spans="1:3" x14ac:dyDescent="0.25">
      <c r="A2492" s="36">
        <v>30718329805</v>
      </c>
      <c r="B2492" t="s">
        <v>2549</v>
      </c>
      <c r="C2492" s="35" t="s">
        <v>2480</v>
      </c>
    </row>
    <row r="2493" spans="1:3" x14ac:dyDescent="0.25">
      <c r="A2493" s="36">
        <v>30712155945</v>
      </c>
      <c r="B2493" t="s">
        <v>2550</v>
      </c>
      <c r="C2493" s="35" t="s">
        <v>2494</v>
      </c>
    </row>
    <row r="2494" spans="1:3" x14ac:dyDescent="0.25">
      <c r="A2494" s="36">
        <v>30716661519</v>
      </c>
      <c r="B2494" t="s">
        <v>2551</v>
      </c>
      <c r="C2494" s="35" t="s">
        <v>819</v>
      </c>
    </row>
    <row r="2495" spans="1:3" x14ac:dyDescent="0.25">
      <c r="A2495" s="36">
        <v>20327047354</v>
      </c>
      <c r="B2495" t="s">
        <v>2552</v>
      </c>
      <c r="C2495" s="35" t="s">
        <v>2442</v>
      </c>
    </row>
    <row r="2496" spans="1:3" x14ac:dyDescent="0.25">
      <c r="A2496" s="36">
        <v>30707597956</v>
      </c>
      <c r="B2496" t="s">
        <v>2553</v>
      </c>
      <c r="C2496" s="35" t="s">
        <v>2480</v>
      </c>
    </row>
    <row r="2497" spans="1:3" x14ac:dyDescent="0.25">
      <c r="A2497" s="36">
        <v>30715209833</v>
      </c>
      <c r="B2497" t="s">
        <v>2554</v>
      </c>
      <c r="C2497" s="35" t="s">
        <v>819</v>
      </c>
    </row>
    <row r="2498" spans="1:3" x14ac:dyDescent="0.25">
      <c r="A2498" s="36">
        <v>27955236861</v>
      </c>
      <c r="B2498" t="s">
        <v>2555</v>
      </c>
      <c r="C2498" s="35" t="s">
        <v>79</v>
      </c>
    </row>
    <row r="2499" spans="1:3" x14ac:dyDescent="0.25">
      <c r="A2499" s="36">
        <v>30718946995</v>
      </c>
      <c r="B2499" t="s">
        <v>2556</v>
      </c>
      <c r="C2499" s="35" t="s">
        <v>2414</v>
      </c>
    </row>
    <row r="2500" spans="1:3" x14ac:dyDescent="0.25">
      <c r="A2500" s="36">
        <v>20239207325</v>
      </c>
      <c r="B2500" t="s">
        <v>2557</v>
      </c>
      <c r="C2500" s="35" t="s">
        <v>2414</v>
      </c>
    </row>
    <row r="2501" spans="1:3" x14ac:dyDescent="0.25">
      <c r="A2501" s="36">
        <v>30714224723</v>
      </c>
      <c r="B2501" t="s">
        <v>2558</v>
      </c>
      <c r="C2501" s="35" t="s">
        <v>2414</v>
      </c>
    </row>
    <row r="2502" spans="1:3" x14ac:dyDescent="0.25">
      <c r="A2502" s="36">
        <v>23225449449</v>
      </c>
      <c r="B2502" t="s">
        <v>2559</v>
      </c>
      <c r="C2502" s="35" t="s">
        <v>2480</v>
      </c>
    </row>
    <row r="2503" spans="1:3" x14ac:dyDescent="0.25">
      <c r="A2503" s="36">
        <v>20131208236</v>
      </c>
      <c r="B2503" t="s">
        <v>2560</v>
      </c>
      <c r="C2503" s="35" t="s">
        <v>819</v>
      </c>
    </row>
    <row r="2504" spans="1:3" x14ac:dyDescent="0.25">
      <c r="A2504" s="36">
        <v>30715196030</v>
      </c>
      <c r="B2504" t="s">
        <v>2561</v>
      </c>
      <c r="C2504" s="35" t="s">
        <v>79</v>
      </c>
    </row>
    <row r="2505" spans="1:3" x14ac:dyDescent="0.25">
      <c r="A2505" s="36">
        <v>20299008976</v>
      </c>
      <c r="B2505" t="s">
        <v>2562</v>
      </c>
      <c r="C2505" s="35" t="s">
        <v>2414</v>
      </c>
    </row>
    <row r="2506" spans="1:3" x14ac:dyDescent="0.25">
      <c r="A2506" s="36">
        <v>20205861204</v>
      </c>
      <c r="B2506" t="s">
        <v>2563</v>
      </c>
      <c r="C2506" s="35" t="s">
        <v>819</v>
      </c>
    </row>
    <row r="2507" spans="1:3" x14ac:dyDescent="0.25">
      <c r="A2507" s="36">
        <v>30717186490</v>
      </c>
      <c r="B2507" t="s">
        <v>2564</v>
      </c>
      <c r="C2507" s="35" t="s">
        <v>2442</v>
      </c>
    </row>
    <row r="2508" spans="1:3" x14ac:dyDescent="0.25">
      <c r="A2508" s="36">
        <v>23218831184</v>
      </c>
      <c r="B2508" t="s">
        <v>2565</v>
      </c>
      <c r="C2508" s="35" t="s">
        <v>2442</v>
      </c>
    </row>
    <row r="2509" spans="1:3" x14ac:dyDescent="0.25">
      <c r="A2509" s="36">
        <v>20122963501</v>
      </c>
      <c r="B2509" t="s">
        <v>2566</v>
      </c>
      <c r="C2509" s="35" t="s">
        <v>2414</v>
      </c>
    </row>
    <row r="2510" spans="1:3" x14ac:dyDescent="0.25">
      <c r="A2510" s="36">
        <v>23946257664</v>
      </c>
      <c r="B2510" t="s">
        <v>2567</v>
      </c>
      <c r="C2510" s="35" t="s">
        <v>2414</v>
      </c>
    </row>
    <row r="2511" spans="1:3" x14ac:dyDescent="0.25">
      <c r="A2511" s="36"/>
    </row>
    <row r="2512" spans="1:3" x14ac:dyDescent="0.25">
      <c r="A2512" s="36"/>
    </row>
    <row r="2513" spans="1:1" x14ac:dyDescent="0.25">
      <c r="A2513" s="36"/>
    </row>
    <row r="2514" spans="1:1" x14ac:dyDescent="0.25">
      <c r="A2514" s="36"/>
    </row>
    <row r="2515" spans="1:1" x14ac:dyDescent="0.25">
      <c r="A2515" s="36"/>
    </row>
    <row r="2516" spans="1:1" x14ac:dyDescent="0.25">
      <c r="A2516" s="36"/>
    </row>
    <row r="2517" spans="1:1" x14ac:dyDescent="0.25">
      <c r="A2517" s="36"/>
    </row>
    <row r="2518" spans="1:1" x14ac:dyDescent="0.25">
      <c r="A2518" s="36"/>
    </row>
    <row r="2519" spans="1:1" x14ac:dyDescent="0.25">
      <c r="A2519" s="36"/>
    </row>
    <row r="2520" spans="1:1" x14ac:dyDescent="0.25">
      <c r="A2520" s="36"/>
    </row>
    <row r="2521" spans="1:1" x14ac:dyDescent="0.25">
      <c r="A2521" s="36"/>
    </row>
    <row r="2522" spans="1:1" x14ac:dyDescent="0.25">
      <c r="A2522" s="36"/>
    </row>
    <row r="2523" spans="1:1" x14ac:dyDescent="0.25">
      <c r="A2523" s="36"/>
    </row>
    <row r="2524" spans="1:1" x14ac:dyDescent="0.25">
      <c r="A2524" s="36"/>
    </row>
    <row r="2525" spans="1:1" x14ac:dyDescent="0.25">
      <c r="A2525" s="36"/>
    </row>
    <row r="2526" spans="1:1" x14ac:dyDescent="0.25">
      <c r="A2526" s="36"/>
    </row>
    <row r="2527" spans="1:1" x14ac:dyDescent="0.25">
      <c r="A2527" s="36"/>
    </row>
    <row r="2528" spans="1:1" x14ac:dyDescent="0.25">
      <c r="A2528" s="36"/>
    </row>
    <row r="2529" spans="1:1" x14ac:dyDescent="0.25">
      <c r="A2529" s="36"/>
    </row>
    <row r="2530" spans="1:1" x14ac:dyDescent="0.25">
      <c r="A2530" s="36"/>
    </row>
    <row r="2531" spans="1:1" x14ac:dyDescent="0.25">
      <c r="A2531" s="36"/>
    </row>
    <row r="2532" spans="1:1" x14ac:dyDescent="0.25">
      <c r="A2532" s="36"/>
    </row>
    <row r="2533" spans="1:1" x14ac:dyDescent="0.25">
      <c r="A2533" s="36"/>
    </row>
    <row r="2534" spans="1:1" x14ac:dyDescent="0.25">
      <c r="A2534" s="36"/>
    </row>
    <row r="2535" spans="1:1" x14ac:dyDescent="0.25">
      <c r="A2535" s="36"/>
    </row>
    <row r="2536" spans="1:1" x14ac:dyDescent="0.25">
      <c r="A2536" s="36"/>
    </row>
    <row r="2537" spans="1:1" x14ac:dyDescent="0.25">
      <c r="A2537" s="36"/>
    </row>
    <row r="2538" spans="1:1" x14ac:dyDescent="0.25">
      <c r="A2538" s="36"/>
    </row>
    <row r="2539" spans="1:1" x14ac:dyDescent="0.25">
      <c r="A2539" s="36"/>
    </row>
    <row r="2540" spans="1:1" x14ac:dyDescent="0.25">
      <c r="A2540" s="36"/>
    </row>
    <row r="2541" spans="1:1" x14ac:dyDescent="0.25">
      <c r="A2541" s="36"/>
    </row>
    <row r="2542" spans="1:1" x14ac:dyDescent="0.25">
      <c r="A2542" s="36"/>
    </row>
    <row r="2543" spans="1:1" x14ac:dyDescent="0.25">
      <c r="A2543" s="36"/>
    </row>
    <row r="2544" spans="1:1" x14ac:dyDescent="0.25">
      <c r="A2544" s="36"/>
    </row>
    <row r="2545" spans="1:1" x14ac:dyDescent="0.25">
      <c r="A2545" s="36"/>
    </row>
    <row r="2546" spans="1:1" x14ac:dyDescent="0.25">
      <c r="A2546" s="36"/>
    </row>
    <row r="2547" spans="1:1" x14ac:dyDescent="0.25">
      <c r="A2547" s="36"/>
    </row>
    <row r="2548" spans="1:1" x14ac:dyDescent="0.25">
      <c r="A2548" s="36"/>
    </row>
    <row r="2549" spans="1:1" x14ac:dyDescent="0.25">
      <c r="A2549" s="36"/>
    </row>
    <row r="2550" spans="1:1" x14ac:dyDescent="0.25">
      <c r="A2550" s="36"/>
    </row>
    <row r="2551" spans="1:1" x14ac:dyDescent="0.25">
      <c r="A2551" s="36"/>
    </row>
    <row r="2552" spans="1:1" x14ac:dyDescent="0.25">
      <c r="A2552" s="36"/>
    </row>
    <row r="2553" spans="1:1" x14ac:dyDescent="0.25">
      <c r="A2553" s="36"/>
    </row>
    <row r="2554" spans="1:1" x14ac:dyDescent="0.25">
      <c r="A2554" s="36"/>
    </row>
    <row r="2555" spans="1:1" x14ac:dyDescent="0.25">
      <c r="A2555" s="36"/>
    </row>
    <row r="2556" spans="1:1" x14ac:dyDescent="0.25">
      <c r="A2556" s="36"/>
    </row>
    <row r="2557" spans="1:1" x14ac:dyDescent="0.25">
      <c r="A2557" s="36"/>
    </row>
    <row r="2558" spans="1:1" x14ac:dyDescent="0.25">
      <c r="A2558" s="36"/>
    </row>
    <row r="2559" spans="1:1" x14ac:dyDescent="0.25">
      <c r="A2559" s="36"/>
    </row>
    <row r="2560" spans="1:1" x14ac:dyDescent="0.25">
      <c r="A2560" s="36"/>
    </row>
    <row r="2561" spans="1:1" x14ac:dyDescent="0.25">
      <c r="A2561" s="36"/>
    </row>
    <row r="2562" spans="1:1" x14ac:dyDescent="0.25">
      <c r="A2562" s="36"/>
    </row>
    <row r="2563" spans="1:1" x14ac:dyDescent="0.25">
      <c r="A2563" s="36"/>
    </row>
    <row r="2564" spans="1:1" x14ac:dyDescent="0.25">
      <c r="A2564" s="36"/>
    </row>
    <row r="2565" spans="1:1" x14ac:dyDescent="0.25">
      <c r="A2565" s="36"/>
    </row>
    <row r="2566" spans="1:1" x14ac:dyDescent="0.25">
      <c r="A2566" s="36"/>
    </row>
    <row r="2567" spans="1:1" x14ac:dyDescent="0.25">
      <c r="A2567" s="36"/>
    </row>
    <row r="2568" spans="1:1" x14ac:dyDescent="0.25">
      <c r="A2568" s="36"/>
    </row>
    <row r="2569" spans="1:1" x14ac:dyDescent="0.25">
      <c r="A2569" s="36"/>
    </row>
    <row r="2570" spans="1:1" x14ac:dyDescent="0.25">
      <c r="A2570" s="36"/>
    </row>
    <row r="2571" spans="1:1" x14ac:dyDescent="0.25">
      <c r="A2571" s="36"/>
    </row>
    <row r="2572" spans="1:1" x14ac:dyDescent="0.25">
      <c r="A2572" s="36"/>
    </row>
    <row r="2573" spans="1:1" x14ac:dyDescent="0.25">
      <c r="A2573" s="36"/>
    </row>
    <row r="2574" spans="1:1" x14ac:dyDescent="0.25">
      <c r="A2574" s="36"/>
    </row>
    <row r="2575" spans="1:1" x14ac:dyDescent="0.25">
      <c r="A2575" s="36"/>
    </row>
    <row r="2576" spans="1:1" x14ac:dyDescent="0.25">
      <c r="A2576" s="36"/>
    </row>
    <row r="2577" spans="1:1" x14ac:dyDescent="0.25">
      <c r="A2577" s="36"/>
    </row>
    <row r="2578" spans="1:1" x14ac:dyDescent="0.25">
      <c r="A2578" s="36"/>
    </row>
    <row r="2579" spans="1:1" x14ac:dyDescent="0.25">
      <c r="A2579" s="36"/>
    </row>
    <row r="2580" spans="1:1" x14ac:dyDescent="0.25">
      <c r="A2580" s="36"/>
    </row>
    <row r="2581" spans="1:1" x14ac:dyDescent="0.25">
      <c r="A2581" s="36"/>
    </row>
    <row r="2582" spans="1:1" x14ac:dyDescent="0.25">
      <c r="A2582" s="36"/>
    </row>
    <row r="2583" spans="1:1" x14ac:dyDescent="0.25">
      <c r="A2583" s="36"/>
    </row>
    <row r="2584" spans="1:1" x14ac:dyDescent="0.25">
      <c r="A2584" s="36"/>
    </row>
    <row r="2585" spans="1:1" x14ac:dyDescent="0.25">
      <c r="A2585" s="36"/>
    </row>
    <row r="2586" spans="1:1" x14ac:dyDescent="0.25">
      <c r="A2586" s="36"/>
    </row>
  </sheetData>
  <dataValidations count="1">
    <dataValidation type="whole" allowBlank="1" showInputMessage="1" showErrorMessage="1" sqref="A2235 A2254 A2404 A2431:A2432 A2442:A2443 A2447 A2449 A2481" xr:uid="{00000000-0002-0000-0000-000000000000}">
      <formula1>20000000000</formula1>
      <formula2>33999999999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216"/>
  <sheetViews>
    <sheetView showGridLines="0" topLeftCell="F1" zoomScale="70" zoomScaleNormal="70" workbookViewId="0">
      <selection activeCell="G81" sqref="G81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7109375" customWidth="1"/>
    <col min="6" max="6" width="17.7109375" customWidth="1"/>
    <col min="7" max="7" width="29.42578125" customWidth="1"/>
    <col min="8" max="8" width="25.7109375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2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32" t="s">
        <v>792</v>
      </c>
      <c r="H1" s="632"/>
      <c r="I1" s="632"/>
      <c r="J1" s="632"/>
      <c r="K1" s="632"/>
      <c r="L1" s="632"/>
      <c r="M1" s="632"/>
      <c r="N1" s="621">
        <v>45658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2236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SUM(compras_mes1[[#Totals],[NETO GRAVADO]])+extracto_banco_mes1[[#Totals],[NETO]]</f>
        <v>38722843.719999991</v>
      </c>
      <c r="C4" s="626"/>
      <c r="D4" s="626"/>
      <c r="E4" s="626"/>
      <c r="F4" s="39"/>
      <c r="G4" s="627">
        <f>compras_mes1[[#Totals],[IVA 21 %]]+compras_mes1[[#Totals],[IVA 27%]]+compras_mes1[[#Totals],[IVA 10,5%]]+I133</f>
        <v>8069135.998250002</v>
      </c>
      <c r="H4" s="627"/>
      <c r="I4" s="39"/>
      <c r="J4" s="628">
        <f>venta_a_mes1[[#Totals],[IMPORTE NETO]]+ventas_b_mes1[[#Totals],[IMPORTE NETO]]</f>
        <v>0</v>
      </c>
      <c r="K4" s="628"/>
      <c r="L4" s="39"/>
      <c r="M4" s="628">
        <f>venta_a_mes1[[#Totals],[IVA 21%]]+venta_a_mes1[[#Totals],[IVA 10,5%]]+ventas_b_mes1[[#Totals],[IVA 21%]]+ventas_b_mes1[[#Totals],[IVA 10,5%]]</f>
        <v>0</v>
      </c>
      <c r="N4" s="628"/>
      <c r="O4" s="39"/>
      <c r="P4" s="616">
        <f>G4-M4</f>
        <v>8069135.998250002</v>
      </c>
      <c r="Q4" s="617"/>
      <c r="R4" s="617"/>
    </row>
    <row r="5" spans="1:26" ht="13.15" customHeight="1" x14ac:dyDescent="0.25"/>
    <row r="6" spans="1:26" ht="10.9" customHeight="1" x14ac:dyDescent="0.25">
      <c r="H6" s="130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88">
        <v>45658</v>
      </c>
      <c r="C9" s="41">
        <v>1</v>
      </c>
      <c r="D9" s="389">
        <v>711</v>
      </c>
      <c r="E9" s="129">
        <v>6577836</v>
      </c>
      <c r="F9" s="390">
        <v>30677237119</v>
      </c>
      <c r="G9" s="391" t="str">
        <f>IFERROR(IF(compras_mes1[[#This Row],[CUIT]]="","-",VLOOKUP(compras_mes1[[#This Row],[CUIT]],Lista_CUIT[#All],2,0)),"CUIT NO CARGADO")</f>
        <v>AUTOPISTAS DEL SOL SA</v>
      </c>
      <c r="H9" s="392">
        <v>10053.15</v>
      </c>
      <c r="I9" s="295">
        <f>IF(compras_mes1[[#This Row],[NETO GRAVADO]]="","",compras_mes1[[#This Row],[NETO GRAVADO]]*0.21)</f>
        <v>2111.1614999999997</v>
      </c>
      <c r="J9" s="393"/>
      <c r="K9" s="393"/>
      <c r="L9" s="393"/>
      <c r="M9" s="393"/>
      <c r="N9" s="393"/>
      <c r="O9" s="393">
        <v>301.58999999999997</v>
      </c>
      <c r="P9" s="394">
        <f>SUM(compras_mes1[[#This Row],[NETO GRAVADO]:[Otros / No Grav.]])</f>
        <v>12465.9015</v>
      </c>
      <c r="Q9" s="395" t="str">
        <f>IFERROR(IF(compras_mes1[[#This Row],[CUIT]]="","-",VLOOKUP(compras_mes1[[#This Row],[CUIT]],Lista_CUIT[#All],3,0)),"CUIT NO CARGADO")</f>
        <v>Autopista</v>
      </c>
      <c r="R9" s="395">
        <f>IFERROR(IF(compras_mes1[[#This Row],[CUIT]]="","-",VLOOKUP(compras_mes1[[#This Row],[CUIT]],Lista_CUIT[#All],4,0)),"CUIT NO CARGADO")</f>
        <v>0</v>
      </c>
    </row>
    <row r="10" spans="1:26" x14ac:dyDescent="0.25">
      <c r="B10" s="288">
        <v>45658</v>
      </c>
      <c r="C10" s="289">
        <v>1</v>
      </c>
      <c r="D10" s="290">
        <v>629</v>
      </c>
      <c r="E10" s="291">
        <v>5740876</v>
      </c>
      <c r="F10" s="292">
        <v>30663498513</v>
      </c>
      <c r="G10" s="293" t="str">
        <f>IFERROR(IF(compras_mes1[[#This Row],[CUIT]]="","-",VLOOKUP(compras_mes1[[#This Row],[CUIT]],Lista_CUIT[#All],2,0)),"CUIT NO CARGADO")</f>
        <v>GRUPO CONCES. DEL OESTE SA</v>
      </c>
      <c r="H10" s="294">
        <v>4968.79</v>
      </c>
      <c r="I10" s="295">
        <f>IF(compras_mes1[[#This Row],[NETO GRAVADO]]="","",compras_mes1[[#This Row],[NETO GRAVADO]]*0.21)</f>
        <v>1043.4458999999999</v>
      </c>
      <c r="J10" s="295"/>
      <c r="K10" s="295"/>
      <c r="L10" s="295"/>
      <c r="M10" s="295"/>
      <c r="N10" s="295"/>
      <c r="O10" s="295"/>
      <c r="P10" s="296">
        <f>SUM(compras_mes1[[#This Row],[NETO GRAVADO]:[Otros / No Grav.]])</f>
        <v>6012.2358999999997</v>
      </c>
      <c r="Q10" s="297" t="str">
        <f>IFERROR(IF(compras_mes1[[#This Row],[CUIT]]="","-",VLOOKUP(compras_mes1[[#This Row],[CUIT]],Lista_CUIT[#All],3,0)),"CUIT NO CARGADO")</f>
        <v>Autopista</v>
      </c>
      <c r="R10" s="297">
        <f>IFERROR(IF(compras_mes1[[#This Row],[CUIT]]="","-",VLOOKUP(compras_mes1[[#This Row],[CUIT]],Lista_CUIT[#All],4,0)),"CUIT NO CARGADO")</f>
        <v>0</v>
      </c>
    </row>
    <row r="11" spans="1:26" x14ac:dyDescent="0.25">
      <c r="B11" s="288">
        <v>45659</v>
      </c>
      <c r="C11" s="289">
        <v>1</v>
      </c>
      <c r="D11" s="290">
        <v>500</v>
      </c>
      <c r="E11" s="291">
        <v>1671509</v>
      </c>
      <c r="F11" s="292">
        <v>30654118767</v>
      </c>
      <c r="G11" s="293" t="str">
        <f>IFERROR(IF(compras_mes1[[#This Row],[CUIT]]="","-",VLOOKUP(compras_mes1[[#This Row],[CUIT]],Lista_CUIT[#All],2,0)),"CUIT NO CARGADO")</f>
        <v>SOLUCIONES MULTIMEDIA SA</v>
      </c>
      <c r="H11" s="294">
        <v>109168.92</v>
      </c>
      <c r="I11" s="295">
        <f>IF(compras_mes1[[#This Row],[NETO GRAVADO]]="","",compras_mes1[[#This Row],[NETO GRAVADO]]*0.21)</f>
        <v>22925.4732</v>
      </c>
      <c r="J11" s="295"/>
      <c r="K11" s="295"/>
      <c r="L11" s="295"/>
      <c r="M11" s="295"/>
      <c r="N11" s="295"/>
      <c r="O11" s="295"/>
      <c r="P11" s="296">
        <f>SUM(compras_mes1[[#This Row],[NETO GRAVADO]:[Otros / No Grav.]])</f>
        <v>132094.39319999999</v>
      </c>
      <c r="Q11" s="297" t="str">
        <f>IFERROR(IF(compras_mes1[[#This Row],[CUIT]]="","-",VLOOKUP(compras_mes1[[#This Row],[CUIT]],Lista_CUIT[#All],3,0)),"CUIT NO CARGADO")</f>
        <v>gastos varios</v>
      </c>
      <c r="R11" s="297">
        <f>IFERROR(IF(compras_mes1[[#This Row],[CUIT]]="","-",VLOOKUP(compras_mes1[[#This Row],[CUIT]],Lista_CUIT[#All],4,0)),"CUIT NO CARGADO")</f>
        <v>0</v>
      </c>
    </row>
    <row r="12" spans="1:26" x14ac:dyDescent="0.25">
      <c r="B12" s="288">
        <v>45659</v>
      </c>
      <c r="C12" s="289">
        <v>1</v>
      </c>
      <c r="D12" s="290">
        <v>3</v>
      </c>
      <c r="E12" s="291">
        <v>4390</v>
      </c>
      <c r="F12" s="292">
        <v>20184052858</v>
      </c>
      <c r="G12" s="293" t="str">
        <f>IFERROR(IF(compras_mes1[[#This Row],[CUIT]]="","-",VLOOKUP(compras_mes1[[#This Row],[CUIT]],Lista_CUIT[#All],2,0)),"CUIT NO CARGADO")</f>
        <v>ABOUD PABLO DANIEL</v>
      </c>
      <c r="H12" s="294">
        <v>54214.86</v>
      </c>
      <c r="I12" s="295">
        <f>IF(compras_mes1[[#This Row],[NETO GRAVADO]]="","",compras_mes1[[#This Row],[NETO GRAVADO]]*0.21)</f>
        <v>11385.1206</v>
      </c>
      <c r="J12" s="295"/>
      <c r="K12" s="295"/>
      <c r="L12" s="295"/>
      <c r="M12" s="295"/>
      <c r="N12" s="295"/>
      <c r="O12" s="295"/>
      <c r="P12" s="296">
        <f>SUM(compras_mes1[[#This Row],[NETO GRAVADO]:[Otros / No Grav.]])</f>
        <v>65599.980599999995</v>
      </c>
      <c r="Q12" s="297" t="str">
        <f>IFERROR(IF(compras_mes1[[#This Row],[CUIT]]="","-",VLOOKUP(compras_mes1[[#This Row],[CUIT]],Lista_CUIT[#All],3,0)),"CUIT NO CARGADO")</f>
        <v>Gastos Varios</v>
      </c>
      <c r="R12" s="297">
        <f>IFERROR(IF(compras_mes1[[#This Row],[CUIT]]="","-",VLOOKUP(compras_mes1[[#This Row],[CUIT]],Lista_CUIT[#All],4,0)),"CUIT NO CARGADO")</f>
        <v>0</v>
      </c>
    </row>
    <row r="13" spans="1:26" x14ac:dyDescent="0.25">
      <c r="B13" s="288">
        <v>45659</v>
      </c>
      <c r="C13" s="289">
        <v>1</v>
      </c>
      <c r="D13" s="290">
        <v>2</v>
      </c>
      <c r="E13" s="291">
        <v>1026</v>
      </c>
      <c r="F13" s="292">
        <v>20272865869</v>
      </c>
      <c r="G13" s="293" t="str">
        <f>IFERROR(IF(compras_mes1[[#This Row],[CUIT]]="","-",VLOOKUP(compras_mes1[[#This Row],[CUIT]],Lista_CUIT[#All],2,0)),"CUIT NO CARGADO")</f>
        <v>DI FEO MARTIN EZEQUIEL</v>
      </c>
      <c r="H13" s="294">
        <v>47550</v>
      </c>
      <c r="I13" s="295">
        <f>IF(compras_mes1[[#This Row],[NETO GRAVADO]]="","",compras_mes1[[#This Row],[NETO GRAVADO]]*0.21)</f>
        <v>9985.5</v>
      </c>
      <c r="J13" s="295"/>
      <c r="K13" s="295"/>
      <c r="L13" s="295"/>
      <c r="M13" s="295"/>
      <c r="N13" s="295"/>
      <c r="O13" s="295"/>
      <c r="P13" s="296">
        <f>SUM(compras_mes1[[#This Row],[NETO GRAVADO]:[Otros / No Grav.]])</f>
        <v>57535.5</v>
      </c>
      <c r="Q13" s="297" t="str">
        <f>IFERROR(IF(compras_mes1[[#This Row],[CUIT]]="","-",VLOOKUP(compras_mes1[[#This Row],[CUIT]],Lista_CUIT[#All],3,0)),"CUIT NO CARGADO")</f>
        <v>INSUMOS</v>
      </c>
      <c r="R13" s="297">
        <f>IFERROR(IF(compras_mes1[[#This Row],[CUIT]]="","-",VLOOKUP(compras_mes1[[#This Row],[CUIT]],Lista_CUIT[#All],4,0)),"CUIT NO CARGADO")</f>
        <v>0</v>
      </c>
    </row>
    <row r="14" spans="1:26" x14ac:dyDescent="0.25">
      <c r="B14" s="388">
        <v>45659</v>
      </c>
      <c r="C14" s="289">
        <v>1</v>
      </c>
      <c r="D14" s="389">
        <v>13</v>
      </c>
      <c r="E14" s="129">
        <v>955</v>
      </c>
      <c r="F14" s="390">
        <v>30714201286</v>
      </c>
      <c r="G14" s="391" t="str">
        <f>IFERROR(IF(compras_mes1[[#This Row],[CUIT]]="","-",VLOOKUP(compras_mes1[[#This Row],[CUIT]],Lista_CUIT[#All],2,0)),"CUIT NO CARGADO")</f>
        <v>T.I.M. TIME IS MONEY S.R.L.</v>
      </c>
      <c r="H14" s="392">
        <v>125000</v>
      </c>
      <c r="I14" s="295">
        <f>IF(compras_mes1[[#This Row],[NETO GRAVADO]]="","",compras_mes1[[#This Row],[NETO GRAVADO]]*0.21)</f>
        <v>26250</v>
      </c>
      <c r="J14" s="393"/>
      <c r="K14" s="393"/>
      <c r="L14" s="393"/>
      <c r="M14" s="393"/>
      <c r="N14" s="393"/>
      <c r="O14" s="393"/>
      <c r="P14" s="394">
        <f>SUM(compras_mes1[[#This Row],[NETO GRAVADO]:[Otros / No Grav.]])</f>
        <v>151250</v>
      </c>
      <c r="Q14" s="395" t="str">
        <f>IFERROR(IF(compras_mes1[[#This Row],[CUIT]]="","-",VLOOKUP(compras_mes1[[#This Row],[CUIT]],Lista_CUIT[#All],3,0)),"CUIT NO CARGADO")</f>
        <v>textil</v>
      </c>
      <c r="R14" s="395">
        <f>IFERROR(IF(compras_mes1[[#This Row],[CUIT]]="","-",VLOOKUP(compras_mes1[[#This Row],[CUIT]],Lista_CUIT[#All],4,0)),"CUIT NO CARGADO")</f>
        <v>0</v>
      </c>
    </row>
    <row r="15" spans="1:26" x14ac:dyDescent="0.25">
      <c r="B15" s="288">
        <v>45659</v>
      </c>
      <c r="C15" s="289">
        <v>1</v>
      </c>
      <c r="D15" s="290">
        <v>3051</v>
      </c>
      <c r="E15" s="291">
        <v>856129</v>
      </c>
      <c r="F15" s="292">
        <v>30678814357</v>
      </c>
      <c r="G15" s="293" t="str">
        <f>IFERROR(IF(compras_mes1[[#This Row],[CUIT]]="","-",VLOOKUP(compras_mes1[[#This Row],[CUIT]],Lista_CUIT[#All],2,0)),"CUIT NO CARGADO")</f>
        <v>TELEFONICA MOVILES ARG SA</v>
      </c>
      <c r="H15" s="294">
        <v>58294</v>
      </c>
      <c r="I15" s="295"/>
      <c r="J15" s="295">
        <f>compras_mes1[[#This Row],[NETO GRAVADO]]*27/100</f>
        <v>15739.38</v>
      </c>
      <c r="K15" s="295"/>
      <c r="L15" s="295"/>
      <c r="M15" s="295"/>
      <c r="N15" s="295"/>
      <c r="O15" s="295"/>
      <c r="P15" s="296">
        <f>SUM(compras_mes1[[#This Row],[NETO GRAVADO]:[Otros / No Grav.]])</f>
        <v>74033.38</v>
      </c>
      <c r="Q15" s="297" t="str">
        <f>IFERROR(IF(compras_mes1[[#This Row],[CUIT]]="","-",VLOOKUP(compras_mes1[[#This Row],[CUIT]],Lista_CUIT[#All],3,0)),"CUIT NO CARGADO")</f>
        <v>SERVICIO</v>
      </c>
      <c r="R15" s="297">
        <f>IFERROR(IF(compras_mes1[[#This Row],[CUIT]]="","-",VLOOKUP(compras_mes1[[#This Row],[CUIT]],Lista_CUIT[#All],4,0)),"CUIT NO CARGADO")</f>
        <v>0</v>
      </c>
    </row>
    <row r="16" spans="1:26" s="56" customFormat="1" x14ac:dyDescent="0.25">
      <c r="B16" s="388">
        <v>45660</v>
      </c>
      <c r="C16" s="289">
        <v>1</v>
      </c>
      <c r="D16" s="389">
        <v>120</v>
      </c>
      <c r="E16" s="129">
        <v>5451</v>
      </c>
      <c r="F16" s="390">
        <v>30587197215</v>
      </c>
      <c r="G16" s="391" t="str">
        <f>IFERROR(IF(compras_mes1[[#This Row],[CUIT]]="","-",VLOOKUP(compras_mes1[[#This Row],[CUIT]],Lista_CUIT[#All],2,0)),"CUIT NO CARGADO")</f>
        <v>PANATEL SOCIEDAD ANONIMA</v>
      </c>
      <c r="H16" s="392">
        <v>95041.32</v>
      </c>
      <c r="I16" s="295">
        <f>IF(compras_mes1[[#This Row],[NETO GRAVADO]]="","",compras_mes1[[#This Row],[NETO GRAVADO]]*0.21)</f>
        <v>19958.677200000002</v>
      </c>
      <c r="J16" s="393"/>
      <c r="K16" s="393"/>
      <c r="L16" s="393"/>
      <c r="M16" s="393"/>
      <c r="N16" s="393"/>
      <c r="O16" s="295"/>
      <c r="P16" s="394">
        <f>SUM(compras_mes1[[#This Row],[NETO GRAVADO]:[Otros / No Grav.]])</f>
        <v>114999.99720000001</v>
      </c>
      <c r="Q16" s="395" t="str">
        <f>IFERROR(IF(compras_mes1[[#This Row],[CUIT]]="","-",VLOOKUP(compras_mes1[[#This Row],[CUIT]],Lista_CUIT[#All],3,0)),"CUIT NO CARGADO")</f>
        <v>SERVICIOS DE ALOJAMIENTO EN HOTELES</v>
      </c>
      <c r="R16" s="395">
        <f>IFERROR(IF(compras_mes1[[#This Row],[CUIT]]="","-",VLOOKUP(compras_mes1[[#This Row],[CUIT]],Lista_CUIT[#All],4,0)),"CUIT NO CARGADO")</f>
        <v>0</v>
      </c>
    </row>
    <row r="17" spans="2:18" x14ac:dyDescent="0.25">
      <c r="B17" s="388">
        <v>45660</v>
      </c>
      <c r="C17" s="289">
        <v>1</v>
      </c>
      <c r="D17" s="389">
        <v>1</v>
      </c>
      <c r="E17" s="129">
        <v>711934</v>
      </c>
      <c r="F17" s="390">
        <v>33716307749</v>
      </c>
      <c r="G17" s="391" t="str">
        <f>IFERROR(IF(compras_mes1[[#This Row],[CUIT]]="","-",VLOOKUP(compras_mes1[[#This Row],[CUIT]],Lista_CUIT[#All],2,0)),"CUIT NO CARGADO")</f>
        <v>VERISURE ARGENTINA MONITOREO DE ALARMAS SA</v>
      </c>
      <c r="H17" s="392">
        <v>49498.9</v>
      </c>
      <c r="I17" s="295">
        <f>IF(compras_mes1[[#This Row],[NETO GRAVADO]]="","",compras_mes1[[#This Row],[NETO GRAVADO]]*0.21)</f>
        <v>10394.769</v>
      </c>
      <c r="J17" s="393"/>
      <c r="K17" s="393"/>
      <c r="L17" s="393"/>
      <c r="M17" s="393"/>
      <c r="N17" s="393"/>
      <c r="O17" s="393"/>
      <c r="P17" s="394">
        <f>SUM(compras_mes1[[#This Row],[NETO GRAVADO]:[Otros / No Grav.]])</f>
        <v>59893.669000000002</v>
      </c>
      <c r="Q17" s="395" t="str">
        <f>IFERROR(IF(compras_mes1[[#This Row],[CUIT]]="","-",VLOOKUP(compras_mes1[[#This Row],[CUIT]],Lista_CUIT[#All],3,0)),"CUIT NO CARGADO")</f>
        <v>Serv. Seguridad</v>
      </c>
      <c r="R17" s="395">
        <f>IFERROR(IF(compras_mes1[[#This Row],[CUIT]]="","-",VLOOKUP(compras_mes1[[#This Row],[CUIT]],Lista_CUIT[#All],4,0)),"CUIT NO CARGADO")</f>
        <v>0</v>
      </c>
    </row>
    <row r="18" spans="2:18" x14ac:dyDescent="0.25">
      <c r="B18" s="288">
        <v>45660</v>
      </c>
      <c r="C18" s="289">
        <v>1</v>
      </c>
      <c r="D18" s="290">
        <v>7</v>
      </c>
      <c r="E18" s="291">
        <v>3573</v>
      </c>
      <c r="F18" s="292">
        <v>20284183534</v>
      </c>
      <c r="G18" s="293" t="str">
        <f>IFERROR(IF(compras_mes1[[#This Row],[CUIT]]="","-",VLOOKUP(compras_mes1[[#This Row],[CUIT]],Lista_CUIT[#All],2,0)),"CUIT NO CARGADO")</f>
        <v>FURLANETTO MARTIN</v>
      </c>
      <c r="H18" s="294">
        <v>9256.19</v>
      </c>
      <c r="I18" s="295">
        <f>IF(compras_mes1[[#This Row],[NETO GRAVADO]]="","",compras_mes1[[#This Row],[NETO GRAVADO]]*0.21)</f>
        <v>1943.7999</v>
      </c>
      <c r="J18" s="295"/>
      <c r="K18" s="295"/>
      <c r="L18" s="295"/>
      <c r="M18" s="295"/>
      <c r="N18" s="295"/>
      <c r="O18" s="295"/>
      <c r="P18" s="296">
        <f>SUM(compras_mes1[[#This Row],[NETO GRAVADO]:[Otros / No Grav.]])</f>
        <v>11199.9899</v>
      </c>
      <c r="Q18" s="297" t="str">
        <f>IFERROR(IF(compras_mes1[[#This Row],[CUIT]]="","-",VLOOKUP(compras_mes1[[#This Row],[CUIT]],Lista_CUIT[#All],3,0)),"CUIT NO CARGADO")</f>
        <v>gastos varios</v>
      </c>
      <c r="R18" s="297">
        <f>IFERROR(IF(compras_mes1[[#This Row],[CUIT]]="","-",VLOOKUP(compras_mes1[[#This Row],[CUIT]],Lista_CUIT[#All],4,0)),"CUIT NO CARGADO")</f>
        <v>0</v>
      </c>
    </row>
    <row r="19" spans="2:18" x14ac:dyDescent="0.25">
      <c r="B19" s="288">
        <v>45663</v>
      </c>
      <c r="C19" s="289">
        <v>1</v>
      </c>
      <c r="D19" s="290">
        <v>5</v>
      </c>
      <c r="E19" s="291">
        <v>1419</v>
      </c>
      <c r="F19" s="292">
        <v>27265302225</v>
      </c>
      <c r="G19" s="293" t="str">
        <f>IFERROR(IF(compras_mes1[[#This Row],[CUIT]]="","-",VLOOKUP(compras_mes1[[#This Row],[CUIT]],Lista_CUIT[#All],2,0)),"CUIT NO CARGADO")</f>
        <v>PRADO MARISOL</v>
      </c>
      <c r="H19" s="294">
        <v>2100000</v>
      </c>
      <c r="I19" s="295">
        <f>IF(compras_mes1[[#This Row],[NETO GRAVADO]]="","",compras_mes1[[#This Row],[NETO GRAVADO]]*0.21)</f>
        <v>441000</v>
      </c>
      <c r="J19" s="295"/>
      <c r="K19" s="295"/>
      <c r="L19" s="295"/>
      <c r="M19" s="295"/>
      <c r="N19" s="295"/>
      <c r="O19" s="295"/>
      <c r="P19" s="296">
        <f>SUM(compras_mes1[[#This Row],[NETO GRAVADO]:[Otros / No Grav.]])</f>
        <v>2541000</v>
      </c>
      <c r="Q19" s="297" t="str">
        <f>IFERROR(IF(compras_mes1[[#This Row],[CUIT]]="","-",VLOOKUP(compras_mes1[[#This Row],[CUIT]],Lista_CUIT[#All],3,0)),"CUIT NO CARGADO")</f>
        <v>INSUMO</v>
      </c>
      <c r="R19" s="297">
        <f>IFERROR(IF(compras_mes1[[#This Row],[CUIT]]="","-",VLOOKUP(compras_mes1[[#This Row],[CUIT]],Lista_CUIT[#All],4,0)),"CUIT NO CARGADO")</f>
        <v>0</v>
      </c>
    </row>
    <row r="20" spans="2:18" ht="14.45" customHeight="1" x14ac:dyDescent="0.25">
      <c r="B20" s="288">
        <v>45663</v>
      </c>
      <c r="C20" s="289">
        <v>1</v>
      </c>
      <c r="D20" s="290">
        <v>1</v>
      </c>
      <c r="E20" s="291">
        <v>112052</v>
      </c>
      <c r="F20" s="292">
        <v>30714864269</v>
      </c>
      <c r="G20" s="293" t="str">
        <f>IFERROR(IF(compras_mes1[[#This Row],[CUIT]]="","-",VLOOKUP(compras_mes1[[#This Row],[CUIT]],Lista_CUIT[#All],2,0)),"CUIT NO CARGADO")</f>
        <v>CONTABILIUM S.A. S. A.</v>
      </c>
      <c r="H20" s="294">
        <v>139127</v>
      </c>
      <c r="I20" s="295">
        <f>IF(compras_mes1[[#This Row],[NETO GRAVADO]]="","",compras_mes1[[#This Row],[NETO GRAVADO]]*0.21)</f>
        <v>29216.67</v>
      </c>
      <c r="J20" s="295"/>
      <c r="K20" s="295"/>
      <c r="L20" s="295"/>
      <c r="M20" s="295"/>
      <c r="N20" s="295"/>
      <c r="O20" s="295"/>
      <c r="P20" s="296">
        <f>SUM(compras_mes1[[#This Row],[NETO GRAVADO]:[Otros / No Grav.]])</f>
        <v>168343.66999999998</v>
      </c>
      <c r="Q20" s="297" t="str">
        <f>IFERROR(IF(compras_mes1[[#This Row],[CUIT]]="","-",VLOOKUP(compras_mes1[[#This Row],[CUIT]],Lista_CUIT[#All],3,0)),"CUIT NO CARGADO")</f>
        <v>USUARIO CONTABLE</v>
      </c>
      <c r="R20" s="297">
        <f>IFERROR(IF(compras_mes1[[#This Row],[CUIT]]="","-",VLOOKUP(compras_mes1[[#This Row],[CUIT]],Lista_CUIT[#All],4,0)),"CUIT NO CARGADO")</f>
        <v>0</v>
      </c>
    </row>
    <row r="21" spans="2:18" x14ac:dyDescent="0.25">
      <c r="B21" s="288">
        <v>45663</v>
      </c>
      <c r="C21" s="289">
        <v>1</v>
      </c>
      <c r="D21" s="290">
        <v>1</v>
      </c>
      <c r="E21" s="291">
        <v>112096</v>
      </c>
      <c r="F21" s="292">
        <v>30714864269</v>
      </c>
      <c r="G21" s="293" t="str">
        <f>IFERROR(IF(compras_mes1[[#This Row],[CUIT]]="","-",VLOOKUP(compras_mes1[[#This Row],[CUIT]],Lista_CUIT[#All],2,0)),"CUIT NO CARGADO")</f>
        <v>CONTABILIUM S.A. S. A.</v>
      </c>
      <c r="H21" s="294">
        <v>139127</v>
      </c>
      <c r="I21" s="295">
        <f>IF(compras_mes1[[#This Row],[NETO GRAVADO]]="","",compras_mes1[[#This Row],[NETO GRAVADO]]*0.21)</f>
        <v>29216.67</v>
      </c>
      <c r="J21" s="295"/>
      <c r="K21" s="295"/>
      <c r="L21" s="295"/>
      <c r="M21" s="295"/>
      <c r="N21" s="295"/>
      <c r="O21" s="295"/>
      <c r="P21" s="296">
        <f>SUM(compras_mes1[[#This Row],[NETO GRAVADO]:[Otros / No Grav.]])</f>
        <v>168343.66999999998</v>
      </c>
      <c r="Q21" s="297" t="str">
        <f>IFERROR(IF(compras_mes1[[#This Row],[CUIT]]="","-",VLOOKUP(compras_mes1[[#This Row],[CUIT]],Lista_CUIT[#All],3,0)),"CUIT NO CARGADO")</f>
        <v>USUARIO CONTABLE</v>
      </c>
      <c r="R21" s="297">
        <f>IFERROR(IF(compras_mes1[[#This Row],[CUIT]]="","-",VLOOKUP(compras_mes1[[#This Row],[CUIT]],Lista_CUIT[#All],4,0)),"CUIT NO CARGADO")</f>
        <v>0</v>
      </c>
    </row>
    <row r="22" spans="2:18" x14ac:dyDescent="0.25">
      <c r="B22" s="288">
        <v>45663</v>
      </c>
      <c r="C22" s="289">
        <v>1</v>
      </c>
      <c r="D22" s="290">
        <v>6</v>
      </c>
      <c r="E22" s="291">
        <v>87976</v>
      </c>
      <c r="F22" s="292">
        <v>30711553564</v>
      </c>
      <c r="G22" s="293" t="str">
        <f>IFERROR(IF(compras_mes1[[#This Row],[CUIT]]="","-",VLOOKUP(compras_mes1[[#This Row],[CUIT]],Lista_CUIT[#All],2,0)),"CUIT NO CARGADO")</f>
        <v>SALUD TEX S.A</v>
      </c>
      <c r="H22" s="294">
        <v>72248</v>
      </c>
      <c r="I22" s="295">
        <f>IF(compras_mes1[[#This Row],[NETO GRAVADO]]="","",compras_mes1[[#This Row],[NETO GRAVADO]]*0.21)</f>
        <v>15172.08</v>
      </c>
      <c r="J22" s="295"/>
      <c r="K22" s="295"/>
      <c r="L22" s="295"/>
      <c r="M22" s="295"/>
      <c r="N22" s="295"/>
      <c r="O22" s="295"/>
      <c r="P22" s="296">
        <f>SUM(compras_mes1[[#This Row],[NETO GRAVADO]:[Otros / No Grav.]])</f>
        <v>87420.08</v>
      </c>
      <c r="Q22" s="297" t="str">
        <f>IFERROR(IF(compras_mes1[[#This Row],[CUIT]]="","-",VLOOKUP(compras_mes1[[#This Row],[CUIT]],Lista_CUIT[#All],3,0)),"CUIT NO CARGADO")</f>
        <v>INSUMO</v>
      </c>
      <c r="R22" s="297">
        <f>IFERROR(IF(compras_mes1[[#This Row],[CUIT]]="","-",VLOOKUP(compras_mes1[[#This Row],[CUIT]],Lista_CUIT[#All],4,0)),"CUIT NO CARGADO")</f>
        <v>0</v>
      </c>
    </row>
    <row r="23" spans="2:18" ht="14.45" customHeight="1" x14ac:dyDescent="0.25">
      <c r="B23" s="288">
        <v>45663</v>
      </c>
      <c r="C23" s="289">
        <v>1</v>
      </c>
      <c r="D23" s="290">
        <v>5</v>
      </c>
      <c r="E23" s="291">
        <v>162444</v>
      </c>
      <c r="F23" s="292">
        <v>30598960093</v>
      </c>
      <c r="G23" s="293" t="str">
        <f>IFERROR(IF(compras_mes1[[#This Row],[CUIT]]="","-",VLOOKUP(compras_mes1[[#This Row],[CUIT]],Lista_CUIT[#All],2,0)),"CUIT NO CARGADO")</f>
        <v>SILVESTRIN FABRIS SRL</v>
      </c>
      <c r="H23" s="294">
        <v>4386223.5</v>
      </c>
      <c r="I23" s="295">
        <f>IF(compras_mes1[[#This Row],[NETO GRAVADO]]="","",compras_mes1[[#This Row],[NETO GRAVADO]]*0.21)</f>
        <v>921106.93499999994</v>
      </c>
      <c r="J23" s="295"/>
      <c r="K23" s="295"/>
      <c r="L23" s="295"/>
      <c r="M23" s="295"/>
      <c r="N23" s="295"/>
      <c r="O23" s="295"/>
      <c r="P23" s="296">
        <f>SUM(compras_mes1[[#This Row],[NETO GRAVADO]:[Otros / No Grav.]])</f>
        <v>5307330.4349999996</v>
      </c>
      <c r="Q23" s="297" t="str">
        <f>IFERROR(IF(compras_mes1[[#This Row],[CUIT]]="","-",VLOOKUP(compras_mes1[[#This Row],[CUIT]],Lista_CUIT[#All],3,0)),"CUIT NO CARGADO")</f>
        <v>INSUMO</v>
      </c>
      <c r="R23" s="297">
        <f>IFERROR(IF(compras_mes1[[#This Row],[CUIT]]="","-",VLOOKUP(compras_mes1[[#This Row],[CUIT]],Lista_CUIT[#All],4,0)),"CUIT NO CARGADO")</f>
        <v>0</v>
      </c>
    </row>
    <row r="24" spans="2:18" ht="14.45" customHeight="1" x14ac:dyDescent="0.25">
      <c r="B24" s="288">
        <v>45663</v>
      </c>
      <c r="C24" s="289">
        <v>1</v>
      </c>
      <c r="D24" s="290">
        <v>11</v>
      </c>
      <c r="E24" s="291">
        <v>69639</v>
      </c>
      <c r="F24" s="292">
        <v>30711091552</v>
      </c>
      <c r="G24" s="293" t="str">
        <f>IFERROR(IF(compras_mes1[[#This Row],[CUIT]]="","-",VLOOKUP(compras_mes1[[#This Row],[CUIT]],Lista_CUIT[#All],2,0)),"CUIT NO CARGADO")</f>
        <v>BIGBOX S.A.</v>
      </c>
      <c r="H24" s="294">
        <v>30578.51</v>
      </c>
      <c r="I24" s="295">
        <f>IF(compras_mes1[[#This Row],[NETO GRAVADO]]="","",compras_mes1[[#This Row],[NETO GRAVADO]]*0.21)</f>
        <v>6421.4870999999994</v>
      </c>
      <c r="J24" s="295"/>
      <c r="K24" s="295"/>
      <c r="L24" s="295"/>
      <c r="M24" s="295"/>
      <c r="N24" s="295"/>
      <c r="O24" s="295"/>
      <c r="P24" s="296">
        <f>SUM(compras_mes1[[#This Row],[NETO GRAVADO]:[Otros / No Grav.]])</f>
        <v>36999.997100000001</v>
      </c>
      <c r="Q24" s="297" t="str">
        <f>IFERROR(IF(compras_mes1[[#This Row],[CUIT]]="","-",VLOOKUP(compras_mes1[[#This Row],[CUIT]],Lista_CUIT[#All],3,0)),"CUIT NO CARGADO")</f>
        <v>INSUMO</v>
      </c>
      <c r="R24" s="297">
        <f>IFERROR(IF(compras_mes1[[#This Row],[CUIT]]="","-",VLOOKUP(compras_mes1[[#This Row],[CUIT]],Lista_CUIT[#All],4,0)),"CUIT NO CARGADO")</f>
        <v>0</v>
      </c>
    </row>
    <row r="25" spans="2:18" ht="15" customHeight="1" x14ac:dyDescent="0.25">
      <c r="B25" s="288">
        <v>45664</v>
      </c>
      <c r="C25" s="289">
        <v>1</v>
      </c>
      <c r="D25" s="290">
        <v>700</v>
      </c>
      <c r="E25" s="291">
        <v>2180405</v>
      </c>
      <c r="F25" s="292">
        <v>30715804812</v>
      </c>
      <c r="G25" s="293" t="str">
        <f>IFERROR(IF(compras_mes1[[#This Row],[CUIT]]="","-",VLOOKUP(compras_mes1[[#This Row],[CUIT]],Lista_CUIT[#All],2,0)),"CUIT NO CARGADO")</f>
        <v>CORREDORES VIALES SOCIEDAD ANONIMA</v>
      </c>
      <c r="H25" s="294">
        <v>8735.85</v>
      </c>
      <c r="I25" s="295">
        <f>IF(compras_mes1[[#This Row],[NETO GRAVADO]]="","",compras_mes1[[#This Row],[NETO GRAVADO]]*0.21)</f>
        <v>1834.5285000000001</v>
      </c>
      <c r="J25" s="295"/>
      <c r="K25" s="295"/>
      <c r="L25" s="295"/>
      <c r="M25" s="295"/>
      <c r="N25" s="295"/>
      <c r="O25" s="295"/>
      <c r="P25" s="296">
        <f>SUM(compras_mes1[[#This Row],[NETO GRAVADO]:[Otros / No Grav.]])</f>
        <v>10570.378500000001</v>
      </c>
      <c r="Q25" s="297" t="str">
        <f>IFERROR(IF(compras_mes1[[#This Row],[CUIT]]="","-",VLOOKUP(compras_mes1[[#This Row],[CUIT]],Lista_CUIT[#All],3,0)),"CUIT NO CARGADO")</f>
        <v>Autopista</v>
      </c>
      <c r="R25" s="297">
        <f>IFERROR(IF(compras_mes1[[#This Row],[CUIT]]="","-",VLOOKUP(compras_mes1[[#This Row],[CUIT]],Lista_CUIT[#All],4,0)),"CUIT NO CARGADO")</f>
        <v>0</v>
      </c>
    </row>
    <row r="26" spans="2:18" ht="15" customHeight="1" x14ac:dyDescent="0.25">
      <c r="B26" s="288">
        <v>45664</v>
      </c>
      <c r="C26" s="289">
        <v>1</v>
      </c>
      <c r="D26" s="290">
        <v>2</v>
      </c>
      <c r="E26" s="291">
        <v>25726</v>
      </c>
      <c r="F26" s="292">
        <v>23233422029</v>
      </c>
      <c r="G26" s="293" t="str">
        <f>IFERROR(IF(compras_mes1[[#This Row],[CUIT]]="","-",VLOOKUP(compras_mes1[[#This Row],[CUIT]],Lista_CUIT[#All],2,0)),"CUIT NO CARGADO")</f>
        <v>RODOLFO SCHULZE</v>
      </c>
      <c r="H26" s="294">
        <v>272814.48</v>
      </c>
      <c r="I26" s="295">
        <f>IF(compras_mes1[[#This Row],[NETO GRAVADO]]="","",compras_mes1[[#This Row],[NETO GRAVADO]]*0.21)</f>
        <v>57291.040799999995</v>
      </c>
      <c r="J26" s="295"/>
      <c r="K26" s="295"/>
      <c r="L26" s="295"/>
      <c r="M26" s="295"/>
      <c r="N26" s="295"/>
      <c r="O26" s="295"/>
      <c r="P26" s="296">
        <f>SUM(compras_mes1[[#This Row],[NETO GRAVADO]:[Otros / No Grav.]])</f>
        <v>330105.5208</v>
      </c>
      <c r="Q26" s="297" t="str">
        <f>IFERROR(IF(compras_mes1[[#This Row],[CUIT]]="","-",VLOOKUP(compras_mes1[[#This Row],[CUIT]],Lista_CUIT[#All],3,0)),"CUIT NO CARGADO")</f>
        <v>INSUMO</v>
      </c>
      <c r="R26" s="297">
        <f>IFERROR(IF(compras_mes1[[#This Row],[CUIT]]="","-",VLOOKUP(compras_mes1[[#This Row],[CUIT]],Lista_CUIT[#All],4,0)),"CUIT NO CARGADO")</f>
        <v>0</v>
      </c>
    </row>
    <row r="27" spans="2:18" ht="15" customHeight="1" x14ac:dyDescent="0.25">
      <c r="B27" s="288">
        <v>45664</v>
      </c>
      <c r="C27" s="289">
        <v>1</v>
      </c>
      <c r="D27" s="290">
        <v>4</v>
      </c>
      <c r="E27" s="291">
        <v>1280</v>
      </c>
      <c r="F27" s="292">
        <v>27148854764</v>
      </c>
      <c r="G27" s="293" t="str">
        <f>IFERROR(IF(compras_mes1[[#This Row],[CUIT]]="","-",VLOOKUP(compras_mes1[[#This Row],[CUIT]],Lista_CUIT[#All],2,0)),"CUIT NO CARGADO")</f>
        <v>PAZ CLAUDIA SILVIA</v>
      </c>
      <c r="H27" s="294">
        <v>12452.89</v>
      </c>
      <c r="I27" s="295">
        <f>IF(compras_mes1[[#This Row],[NETO GRAVADO]]="","",compras_mes1[[#This Row],[NETO GRAVADO]]*0.21)</f>
        <v>2615.1068999999998</v>
      </c>
      <c r="J27" s="295"/>
      <c r="K27" s="295"/>
      <c r="L27" s="295"/>
      <c r="M27" s="295"/>
      <c r="N27" s="295"/>
      <c r="O27" s="295"/>
      <c r="P27" s="296">
        <f>SUM(compras_mes1[[#This Row],[NETO GRAVADO]:[Otros / No Grav.]])</f>
        <v>15067.996899999998</v>
      </c>
      <c r="Q27" s="297" t="str">
        <f>IFERROR(IF(compras_mes1[[#This Row],[CUIT]]="","-",VLOOKUP(compras_mes1[[#This Row],[CUIT]],Lista_CUIT[#All],3,0)),"CUIT NO CARGADO")</f>
        <v>Gastos Varios</v>
      </c>
      <c r="R27" s="297">
        <f>IFERROR(IF(compras_mes1[[#This Row],[CUIT]]="","-",VLOOKUP(compras_mes1[[#This Row],[CUIT]],Lista_CUIT[#All],4,0)),"CUIT NO CARGADO")</f>
        <v>0</v>
      </c>
    </row>
    <row r="28" spans="2:18" ht="15" customHeight="1" x14ac:dyDescent="0.25">
      <c r="B28" s="388">
        <v>45665</v>
      </c>
      <c r="C28" s="289">
        <v>1</v>
      </c>
      <c r="D28" s="389">
        <v>4</v>
      </c>
      <c r="E28" s="129">
        <v>95869</v>
      </c>
      <c r="F28" s="390">
        <v>30708534907</v>
      </c>
      <c r="G28" s="391" t="str">
        <f>IFERROR(IF(compras_mes1[[#This Row],[CUIT]]="","-",VLOOKUP(compras_mes1[[#This Row],[CUIT]],Lista_CUIT[#All],2,0)),"CUIT NO CARGADO")</f>
        <v>VZH SRL</v>
      </c>
      <c r="H28" s="392">
        <v>297792</v>
      </c>
      <c r="I28" s="295">
        <f>IF(compras_mes1[[#This Row],[NETO GRAVADO]]="","",compras_mes1[[#This Row],[NETO GRAVADO]]*0.21)</f>
        <v>62536.32</v>
      </c>
      <c r="J28" s="393"/>
      <c r="K28" s="393"/>
      <c r="L28" s="393"/>
      <c r="M28" s="393"/>
      <c r="N28" s="393"/>
      <c r="O28" s="393"/>
      <c r="P28" s="394">
        <f>SUM(compras_mes1[[#This Row],[NETO GRAVADO]:[Otros / No Grav.]])</f>
        <v>360328.32</v>
      </c>
      <c r="Q28" s="395" t="str">
        <f>IFERROR(IF(compras_mes1[[#This Row],[CUIT]]="","-",VLOOKUP(compras_mes1[[#This Row],[CUIT]],Lista_CUIT[#All],3,0)),"CUIT NO CARGADO")</f>
        <v>SERVICIO</v>
      </c>
      <c r="R28" s="395">
        <f>IFERROR(IF(compras_mes1[[#This Row],[CUIT]]="","-",VLOOKUP(compras_mes1[[#This Row],[CUIT]],Lista_CUIT[#All],4,0)),"CUIT NO CARGADO")</f>
        <v>0</v>
      </c>
    </row>
    <row r="29" spans="2:18" ht="15" customHeight="1" x14ac:dyDescent="0.25">
      <c r="B29" s="288">
        <v>45665</v>
      </c>
      <c r="C29" s="289">
        <v>1</v>
      </c>
      <c r="D29" s="290">
        <v>5015</v>
      </c>
      <c r="E29" s="291">
        <v>711509</v>
      </c>
      <c r="F29" s="292">
        <v>30574876474</v>
      </c>
      <c r="G29" s="293" t="str">
        <f>IFERROR(IF(compras_mes1[[#This Row],[CUIT]]="","-",VLOOKUP(compras_mes1[[#This Row],[CUIT]],Lista_CUIT[#All],2,0)),"CUIT NO CARGADO")</f>
        <v>AUTOP. URBANAS SA</v>
      </c>
      <c r="H29" s="294">
        <v>8690.98</v>
      </c>
      <c r="I29" s="295">
        <f>IF(compras_mes1[[#This Row],[NETO GRAVADO]]="","",compras_mes1[[#This Row],[NETO GRAVADO]]*0.21)</f>
        <v>1825.1057999999998</v>
      </c>
      <c r="J29" s="295"/>
      <c r="K29" s="295"/>
      <c r="L29" s="295"/>
      <c r="M29" s="295"/>
      <c r="N29" s="295"/>
      <c r="O29" s="295"/>
      <c r="P29" s="296">
        <f>SUM(compras_mes1[[#This Row],[NETO GRAVADO]:[Otros / No Grav.]])</f>
        <v>10516.085799999999</v>
      </c>
      <c r="Q29" s="297" t="str">
        <f>IFERROR(IF(compras_mes1[[#This Row],[CUIT]]="","-",VLOOKUP(compras_mes1[[#This Row],[CUIT]],Lista_CUIT[#All],3,0)),"CUIT NO CARGADO")</f>
        <v>PEAJE</v>
      </c>
      <c r="R29" s="297">
        <f>IFERROR(IF(compras_mes1[[#This Row],[CUIT]]="","-",VLOOKUP(compras_mes1[[#This Row],[CUIT]],Lista_CUIT[#All],4,0)),"CUIT NO CARGADO")</f>
        <v>0</v>
      </c>
    </row>
    <row r="30" spans="2:18" x14ac:dyDescent="0.25">
      <c r="B30" s="288">
        <v>45665</v>
      </c>
      <c r="C30" s="289">
        <v>1</v>
      </c>
      <c r="D30" s="290">
        <v>17</v>
      </c>
      <c r="E30" s="291">
        <v>51183</v>
      </c>
      <c r="F30" s="292">
        <v>30699677643</v>
      </c>
      <c r="G30" s="293" t="str">
        <f>IFERROR(IF(compras_mes1[[#This Row],[CUIT]]="","-",VLOOKUP(compras_mes1[[#This Row],[CUIT]],Lista_CUIT[#All],2,0)),"CUIT NO CARGADO")</f>
        <v>EXPRESO EL VASQUITO S A</v>
      </c>
      <c r="H30" s="294">
        <v>20595.849999999999</v>
      </c>
      <c r="I30" s="295">
        <f>IF(compras_mes1[[#This Row],[NETO GRAVADO]]="","",compras_mes1[[#This Row],[NETO GRAVADO]]*0.21)</f>
        <v>4325.1284999999998</v>
      </c>
      <c r="J30" s="295"/>
      <c r="K30" s="295"/>
      <c r="L30" s="295"/>
      <c r="M30" s="295"/>
      <c r="N30" s="295"/>
      <c r="O30" s="295"/>
      <c r="P30" s="296">
        <f>SUM(compras_mes1[[#This Row],[NETO GRAVADO]:[Otros / No Grav.]])</f>
        <v>24920.978499999997</v>
      </c>
      <c r="Q30" s="297" t="str">
        <f>IFERROR(IF(compras_mes1[[#This Row],[CUIT]]="","-",VLOOKUP(compras_mes1[[#This Row],[CUIT]],Lista_CUIT[#All],3,0)),"CUIT NO CARGADO")</f>
        <v>Servicio Transporte</v>
      </c>
      <c r="R30" s="297">
        <f>IFERROR(IF(compras_mes1[[#This Row],[CUIT]]="","-",VLOOKUP(compras_mes1[[#This Row],[CUIT]],Lista_CUIT[#All],4,0)),"CUIT NO CARGADO")</f>
        <v>0</v>
      </c>
    </row>
    <row r="31" spans="2:18" x14ac:dyDescent="0.25">
      <c r="B31" s="288">
        <v>45665</v>
      </c>
      <c r="C31" s="289">
        <v>1</v>
      </c>
      <c r="D31" s="290">
        <v>8</v>
      </c>
      <c r="E31" s="291">
        <v>2906</v>
      </c>
      <c r="F31" s="292">
        <v>30683694556</v>
      </c>
      <c r="G31" s="45" t="str">
        <f>IFERROR(IF(compras_mes1[[#This Row],[CUIT]]="","-",VLOOKUP(compras_mes1[[#This Row],[CUIT]],Lista_CUIT[#All],2,0)),"CUIT NO CARGADO")</f>
        <v>TIME PLAST SRL</v>
      </c>
      <c r="H31" s="294">
        <v>27603.3</v>
      </c>
      <c r="I31" s="295">
        <f>IF(compras_mes1[[#This Row],[NETO GRAVADO]]="","",compras_mes1[[#This Row],[NETO GRAVADO]]*0.21)</f>
        <v>5796.6929999999993</v>
      </c>
      <c r="J31" s="295"/>
      <c r="K31" s="295"/>
      <c r="L31" s="295"/>
      <c r="M31" s="295"/>
      <c r="N31" s="295"/>
      <c r="O31" s="295"/>
      <c r="P31" s="296">
        <f>SUM(compras_mes1[[#This Row],[NETO GRAVADO]:[Otros / No Grav.]])</f>
        <v>33399.993000000002</v>
      </c>
      <c r="Q31" s="297" t="str">
        <f>IFERROR(IF(compras_mes1[[#This Row],[CUIT]]="","-",VLOOKUP(compras_mes1[[#This Row],[CUIT]],Lista_CUIT[#All],3,0)),"CUIT NO CARGADO")</f>
        <v>Gastos Varios</v>
      </c>
      <c r="R31" s="297">
        <f>IFERROR(IF(compras_mes1[[#This Row],[CUIT]]="","-",VLOOKUP(compras_mes1[[#This Row],[CUIT]],Lista_CUIT[#All],4,0)),"CUIT NO CARGADO")</f>
        <v>0</v>
      </c>
    </row>
    <row r="32" spans="2:18" x14ac:dyDescent="0.25">
      <c r="B32" s="388">
        <v>45665</v>
      </c>
      <c r="C32" s="289">
        <v>1</v>
      </c>
      <c r="D32" s="389">
        <v>32</v>
      </c>
      <c r="E32" s="129">
        <v>154383</v>
      </c>
      <c r="F32" s="390">
        <v>30708847247</v>
      </c>
      <c r="G32" s="391" t="str">
        <f>IFERROR(IF(compras_mes1[[#This Row],[CUIT]]="","-",VLOOKUP(compras_mes1[[#This Row],[CUIT]],Lista_CUIT[#All],2,0)),"CUIT NO CARGADO")</f>
        <v>TOAGRA SRL</v>
      </c>
      <c r="H32" s="392">
        <v>13719.71</v>
      </c>
      <c r="I32" s="295">
        <f>IF(compras_mes1[[#This Row],[NETO GRAVADO]]="","",compras_mes1[[#This Row],[NETO GRAVADO]]*0.21)</f>
        <v>2881.1390999999999</v>
      </c>
      <c r="J32" s="393"/>
      <c r="K32" s="393"/>
      <c r="L32" s="393"/>
      <c r="M32" s="393"/>
      <c r="N32" s="393"/>
      <c r="O32" s="393"/>
      <c r="P32" s="394">
        <f>SUM(compras_mes1[[#This Row],[NETO GRAVADO]:[Otros / No Grav.]])</f>
        <v>16600.849099999999</v>
      </c>
      <c r="Q32" s="395" t="str">
        <f>IFERROR(IF(compras_mes1[[#This Row],[CUIT]]="","-",VLOOKUP(compras_mes1[[#This Row],[CUIT]],Lista_CUIT[#All],3,0)),"CUIT NO CARGADO")</f>
        <v>FLETE</v>
      </c>
      <c r="R32" s="395">
        <f>IFERROR(IF(compras_mes1[[#This Row],[CUIT]]="","-",VLOOKUP(compras_mes1[[#This Row],[CUIT]],Lista_CUIT[#All],4,0)),"CUIT NO CARGADO")</f>
        <v>0</v>
      </c>
    </row>
    <row r="33" spans="2:18" x14ac:dyDescent="0.25">
      <c r="B33" s="288">
        <v>45665</v>
      </c>
      <c r="C33" s="289">
        <v>1</v>
      </c>
      <c r="D33" s="290">
        <v>12</v>
      </c>
      <c r="E33" s="291">
        <v>1811132</v>
      </c>
      <c r="F33" s="292">
        <v>30709776564</v>
      </c>
      <c r="G33" s="293" t="str">
        <f>IFERROR(IF(compras_mes1[[#This Row],[CUIT]]="","-",VLOOKUP(compras_mes1[[#This Row],[CUIT]],Lista_CUIT[#All],2,0)),"CUIT NO CARGADO")</f>
        <v>PROSEGUR ACTIVA ARG SA</v>
      </c>
      <c r="H33" s="294">
        <v>129241</v>
      </c>
      <c r="I33" s="295">
        <f>IF(compras_mes1[[#This Row],[NETO GRAVADO]]="","",compras_mes1[[#This Row],[NETO GRAVADO]]*0.21)</f>
        <v>27140.61</v>
      </c>
      <c r="J33" s="295"/>
      <c r="K33" s="295"/>
      <c r="L33" s="295"/>
      <c r="M33" s="295"/>
      <c r="N33" s="295"/>
      <c r="O33" s="295"/>
      <c r="P33" s="296">
        <f>SUM(compras_mes1[[#This Row],[NETO GRAVADO]:[Otros / No Grav.]])</f>
        <v>156381.60999999999</v>
      </c>
      <c r="Q33" s="297" t="str">
        <f>IFERROR(IF(compras_mes1[[#This Row],[CUIT]]="","-",VLOOKUP(compras_mes1[[#This Row],[CUIT]],Lista_CUIT[#All],3,0)),"CUIT NO CARGADO")</f>
        <v>ALARMA SEGURIDAD</v>
      </c>
      <c r="R33" s="297">
        <f>IFERROR(IF(compras_mes1[[#This Row],[CUIT]]="","-",VLOOKUP(compras_mes1[[#This Row],[CUIT]],Lista_CUIT[#All],4,0)),"CUIT NO CARGADO")</f>
        <v>0</v>
      </c>
    </row>
    <row r="34" spans="2:18" x14ac:dyDescent="0.25">
      <c r="B34" s="288">
        <v>45666</v>
      </c>
      <c r="C34" s="289">
        <v>1</v>
      </c>
      <c r="D34" s="290">
        <v>3101</v>
      </c>
      <c r="E34" s="291">
        <v>235363</v>
      </c>
      <c r="F34" s="292">
        <v>30678814357</v>
      </c>
      <c r="G34" s="293" t="str">
        <f>IFERROR(IF(compras_mes1[[#This Row],[CUIT]]="","-",VLOOKUP(compras_mes1[[#This Row],[CUIT]],Lista_CUIT[#All],2,0)),"CUIT NO CARGADO")</f>
        <v>TELEFONICA MOVILES ARG SA</v>
      </c>
      <c r="H34" s="294">
        <v>73526.55</v>
      </c>
      <c r="I34" s="295"/>
      <c r="J34" s="295">
        <f>compras_mes1[[#This Row],[NETO GRAVADO]]*27/100</f>
        <v>19852.1685</v>
      </c>
      <c r="K34" s="295"/>
      <c r="L34" s="295"/>
      <c r="M34" s="295"/>
      <c r="N34" s="295"/>
      <c r="O34" s="295"/>
      <c r="P34" s="296">
        <f>SUM(compras_mes1[[#This Row],[NETO GRAVADO]:[Otros / No Grav.]])</f>
        <v>93378.718500000003</v>
      </c>
      <c r="Q34" s="297" t="str">
        <f>IFERROR(IF(compras_mes1[[#This Row],[CUIT]]="","-",VLOOKUP(compras_mes1[[#This Row],[CUIT]],Lista_CUIT[#All],3,0)),"CUIT NO CARGADO")</f>
        <v>SERVICIO</v>
      </c>
      <c r="R34" s="297">
        <f>IFERROR(IF(compras_mes1[[#This Row],[CUIT]]="","-",VLOOKUP(compras_mes1[[#This Row],[CUIT]],Lista_CUIT[#All],4,0)),"CUIT NO CARGADO")</f>
        <v>0</v>
      </c>
    </row>
    <row r="35" spans="2:18" x14ac:dyDescent="0.25">
      <c r="B35" s="388">
        <v>45666</v>
      </c>
      <c r="C35" s="289">
        <v>1</v>
      </c>
      <c r="D35" s="389">
        <v>2</v>
      </c>
      <c r="E35" s="129">
        <v>1041</v>
      </c>
      <c r="F35" s="390">
        <v>20272865869</v>
      </c>
      <c r="G35" s="391" t="str">
        <f>IFERROR(IF(compras_mes1[[#This Row],[CUIT]]="","-",VLOOKUP(compras_mes1[[#This Row],[CUIT]],Lista_CUIT[#All],2,0)),"CUIT NO CARGADO")</f>
        <v>DI FEO MARTIN EZEQUIEL</v>
      </c>
      <c r="H35" s="392">
        <v>24220</v>
      </c>
      <c r="I35" s="295">
        <f>IF(compras_mes1[[#This Row],[NETO GRAVADO]]="","",compras_mes1[[#This Row],[NETO GRAVADO]]*0.21)</f>
        <v>5086.2</v>
      </c>
      <c r="J35" s="393"/>
      <c r="K35" s="393"/>
      <c r="L35" s="393"/>
      <c r="M35" s="393"/>
      <c r="N35" s="393"/>
      <c r="O35" s="393"/>
      <c r="P35" s="394">
        <f>SUM(compras_mes1[[#This Row],[NETO GRAVADO]:[Otros / No Grav.]])</f>
        <v>29306.2</v>
      </c>
      <c r="Q35" s="395" t="str">
        <f>IFERROR(IF(compras_mes1[[#This Row],[CUIT]]="","-",VLOOKUP(compras_mes1[[#This Row],[CUIT]],Lista_CUIT[#All],3,0)),"CUIT NO CARGADO")</f>
        <v>INSUMOS</v>
      </c>
      <c r="R35" s="395">
        <f>IFERROR(IF(compras_mes1[[#This Row],[CUIT]]="","-",VLOOKUP(compras_mes1[[#This Row],[CUIT]],Lista_CUIT[#All],4,0)),"CUIT NO CARGADO")</f>
        <v>0</v>
      </c>
    </row>
    <row r="36" spans="2:18" x14ac:dyDescent="0.25">
      <c r="B36" s="388">
        <v>45666</v>
      </c>
      <c r="C36" s="289">
        <v>1</v>
      </c>
      <c r="D36" s="389">
        <v>7</v>
      </c>
      <c r="E36" s="129">
        <v>19904</v>
      </c>
      <c r="F36" s="390">
        <v>30709214078</v>
      </c>
      <c r="G36" s="391" t="str">
        <f>IFERROR(IF(compras_mes1[[#This Row],[CUIT]]="","-",VLOOKUP(compras_mes1[[#This Row],[CUIT]],Lista_CUIT[#All],2,0)),"CUIT NO CARGADO")</f>
        <v>REHAVITA S.A</v>
      </c>
      <c r="H36" s="392">
        <v>96246</v>
      </c>
      <c r="I36" s="295">
        <f>IF(compras_mes1[[#This Row],[NETO GRAVADO]]="","",compras_mes1[[#This Row],[NETO GRAVADO]]*0.21)</f>
        <v>20211.66</v>
      </c>
      <c r="J36" s="393"/>
      <c r="K36" s="393"/>
      <c r="L36" s="393"/>
      <c r="M36" s="393"/>
      <c r="N36" s="393"/>
      <c r="O36" s="393"/>
      <c r="P36" s="394">
        <f>SUM(compras_mes1[[#This Row],[NETO GRAVADO]:[Otros / No Grav.]])</f>
        <v>116457.66</v>
      </c>
      <c r="Q36" s="395" t="str">
        <f>IFERROR(IF(compras_mes1[[#This Row],[CUIT]]="","-",VLOOKUP(compras_mes1[[#This Row],[CUIT]],Lista_CUIT[#All],3,0)),"CUIT NO CARGADO")</f>
        <v>INSUMO</v>
      </c>
      <c r="R36" s="395">
        <f>IFERROR(IF(compras_mes1[[#This Row],[CUIT]]="","-",VLOOKUP(compras_mes1[[#This Row],[CUIT]],Lista_CUIT[#All],4,0)),"CUIT NO CARGADO")</f>
        <v>0</v>
      </c>
    </row>
    <row r="37" spans="2:18" s="56" customFormat="1" x14ac:dyDescent="0.25">
      <c r="B37" s="288">
        <v>45667</v>
      </c>
      <c r="C37" s="289">
        <v>1</v>
      </c>
      <c r="D37" s="290">
        <v>2</v>
      </c>
      <c r="E37" s="291">
        <v>226</v>
      </c>
      <c r="F37" s="292">
        <v>30605344352</v>
      </c>
      <c r="G37" s="293" t="str">
        <f>IFERROR(IF(compras_mes1[[#This Row],[CUIT]]="","-",VLOOKUP(compras_mes1[[#This Row],[CUIT]],Lista_CUIT[#All],2,0)),"CUIT NO CARGADO")</f>
        <v>CONSORCIO BARTOLME MITRE 2466</v>
      </c>
      <c r="H37" s="294">
        <v>1200000</v>
      </c>
      <c r="I37" s="295">
        <f>IF(compras_mes1[[#This Row],[NETO GRAVADO]]="","",compras_mes1[[#This Row],[NETO GRAVADO]]*0.21)</f>
        <v>252000</v>
      </c>
      <c r="J37" s="295"/>
      <c r="K37" s="295"/>
      <c r="L37" s="295"/>
      <c r="M37" s="295"/>
      <c r="N37" s="295"/>
      <c r="O37" s="295"/>
      <c r="P37" s="296">
        <f>SUM(compras_mes1[[#This Row],[NETO GRAVADO]:[Otros / No Grav.]])</f>
        <v>1452000</v>
      </c>
      <c r="Q37" s="297" t="str">
        <f>IFERROR(IF(compras_mes1[[#This Row],[CUIT]]="","-",VLOOKUP(compras_mes1[[#This Row],[CUIT]],Lista_CUIT[#All],3,0)),"CUIT NO CARGADO")</f>
        <v>ALQUILER LOCAL</v>
      </c>
      <c r="R37" s="297">
        <f>IFERROR(IF(compras_mes1[[#This Row],[CUIT]]="","-",VLOOKUP(compras_mes1[[#This Row],[CUIT]],Lista_CUIT[#All],4,0)),"CUIT NO CARGADO")</f>
        <v>0</v>
      </c>
    </row>
    <row r="38" spans="2:18" x14ac:dyDescent="0.25">
      <c r="B38" s="288">
        <v>45667</v>
      </c>
      <c r="C38" s="289">
        <v>1</v>
      </c>
      <c r="D38" s="290">
        <v>6</v>
      </c>
      <c r="E38" s="291">
        <v>55729</v>
      </c>
      <c r="F38" s="292">
        <v>30710177658</v>
      </c>
      <c r="G38" s="293" t="str">
        <f>IFERROR(IF(compras_mes1[[#This Row],[CUIT]]="","-",VLOOKUP(compras_mes1[[#This Row],[CUIT]],Lista_CUIT[#All],2,0)),"CUIT NO CARGADO")</f>
        <v>TARGET MEDICAL SA</v>
      </c>
      <c r="H38" s="294">
        <v>904195.2</v>
      </c>
      <c r="I38" s="295">
        <f>IF(compras_mes1[[#This Row],[NETO GRAVADO]]="","",compras_mes1[[#This Row],[NETO GRAVADO]]*0.21)</f>
        <v>189880.99199999997</v>
      </c>
      <c r="J38" s="295"/>
      <c r="K38" s="295"/>
      <c r="L38" s="295"/>
      <c r="M38" s="295"/>
      <c r="N38" s="295"/>
      <c r="O38" s="295"/>
      <c r="P38" s="296">
        <f>SUM(compras_mes1[[#This Row],[NETO GRAVADO]:[Otros / No Grav.]])</f>
        <v>1094076.1919999998</v>
      </c>
      <c r="Q38" s="297" t="str">
        <f>IFERROR(IF(compras_mes1[[#This Row],[CUIT]]="","-",VLOOKUP(compras_mes1[[#This Row],[CUIT]],Lista_CUIT[#All],3,0)),"CUIT NO CARGADO")</f>
        <v>INSUMO</v>
      </c>
      <c r="R38" s="297">
        <f>IFERROR(IF(compras_mes1[[#This Row],[CUIT]]="","-",VLOOKUP(compras_mes1[[#This Row],[CUIT]],Lista_CUIT[#All],4,0)),"CUIT NO CARGADO")</f>
        <v>0</v>
      </c>
    </row>
    <row r="39" spans="2:18" x14ac:dyDescent="0.25">
      <c r="B39" s="288">
        <v>45667</v>
      </c>
      <c r="C39" s="289">
        <v>1</v>
      </c>
      <c r="D39" s="290">
        <v>2</v>
      </c>
      <c r="E39" s="291">
        <v>2471</v>
      </c>
      <c r="F39" s="292">
        <v>33713192509</v>
      </c>
      <c r="G39" s="293" t="str">
        <f>IFERROR(IF(compras_mes1[[#This Row],[CUIT]]="","-",VLOOKUP(compras_mes1[[#This Row],[CUIT]],Lista_CUIT[#All],2,0)),"CUIT NO CARGADO")</f>
        <v>TAIKUE SA</v>
      </c>
      <c r="H39" s="294">
        <v>104958.68</v>
      </c>
      <c r="I39" s="295">
        <f>IF(compras_mes1[[#This Row],[NETO GRAVADO]]="","",compras_mes1[[#This Row],[NETO GRAVADO]]*0.21)</f>
        <v>22041.322799999998</v>
      </c>
      <c r="J39" s="295"/>
      <c r="K39" s="295"/>
      <c r="L39" s="295"/>
      <c r="M39" s="295"/>
      <c r="N39" s="295"/>
      <c r="O39" s="295"/>
      <c r="P39" s="296">
        <f>SUM(compras_mes1[[#This Row],[NETO GRAVADO]:[Otros / No Grav.]])</f>
        <v>127000.00279999999</v>
      </c>
      <c r="Q39" s="297" t="str">
        <f>IFERROR(IF(compras_mes1[[#This Row],[CUIT]]="","-",VLOOKUP(compras_mes1[[#This Row],[CUIT]],Lista_CUIT[#All],3,0)),"CUIT NO CARGADO")</f>
        <v>Mantenimiento</v>
      </c>
      <c r="R39" s="297">
        <f>IFERROR(IF(compras_mes1[[#This Row],[CUIT]]="","-",VLOOKUP(compras_mes1[[#This Row],[CUIT]],Lista_CUIT[#All],4,0)),"CUIT NO CARGADO")</f>
        <v>0</v>
      </c>
    </row>
    <row r="40" spans="2:18" x14ac:dyDescent="0.25">
      <c r="B40" s="564">
        <v>45667</v>
      </c>
      <c r="C40" s="565">
        <v>1</v>
      </c>
      <c r="D40" s="566">
        <v>4</v>
      </c>
      <c r="E40" s="567">
        <v>148</v>
      </c>
      <c r="F40" s="568">
        <v>20317488476</v>
      </c>
      <c r="G40" s="569" t="str">
        <f>IFERROR(IF(compras_mes1[[#This Row],[CUIT]]="","-",VLOOKUP(compras_mes1[[#This Row],[CUIT]],Lista_CUIT[#All],2,0)),"CUIT NO CARGADO")</f>
        <v>MIGUEL ANGEL VILLALBA</v>
      </c>
      <c r="H40" s="570">
        <v>500000</v>
      </c>
      <c r="I40" s="571">
        <f>IF(compras_mes1[[#This Row],[NETO GRAVADO]]="","",compras_mes1[[#This Row],[NETO GRAVADO]]*0.21)</f>
        <v>105000</v>
      </c>
      <c r="J40" s="571"/>
      <c r="K40" s="571"/>
      <c r="L40" s="571"/>
      <c r="M40" s="571"/>
      <c r="N40" s="571"/>
      <c r="O40" s="571"/>
      <c r="P40" s="572">
        <f>SUM(compras_mes1[[#This Row],[NETO GRAVADO]:[Otros / No Grav.]])</f>
        <v>605000</v>
      </c>
      <c r="Q40" s="562" t="s">
        <v>2515</v>
      </c>
      <c r="R40" s="573">
        <f>IFERROR(IF(compras_mes1[[#This Row],[CUIT]]="","-",VLOOKUP(compras_mes1[[#This Row],[CUIT]],Lista_CUIT[#All],4,0)),"CUIT NO CARGADO")</f>
        <v>0</v>
      </c>
    </row>
    <row r="41" spans="2:18" x14ac:dyDescent="0.25">
      <c r="B41" s="388">
        <v>45667</v>
      </c>
      <c r="C41" s="289">
        <v>1</v>
      </c>
      <c r="D41" s="389">
        <v>4</v>
      </c>
      <c r="E41" s="129">
        <v>1291</v>
      </c>
      <c r="F41" s="390">
        <v>20202500138</v>
      </c>
      <c r="G41" s="391" t="str">
        <f>IFERROR(IF(compras_mes1[[#This Row],[CUIT]]="","-",VLOOKUP(compras_mes1[[#This Row],[CUIT]],Lista_CUIT[#All],2,0)),"CUIT NO CARGADO")</f>
        <v>RAMBAUD DIEGO GABRIEL</v>
      </c>
      <c r="H41" s="392">
        <v>39457.01</v>
      </c>
      <c r="I41" s="295"/>
      <c r="J41" s="393"/>
      <c r="K41" s="393">
        <f>compras_mes1[[#This Row],[NETO GRAVADO]]*10.5/100</f>
        <v>4142.9860500000004</v>
      </c>
      <c r="L41" s="393"/>
      <c r="M41" s="393"/>
      <c r="N41" s="393"/>
      <c r="O41" s="393"/>
      <c r="P41" s="394">
        <f>SUM(compras_mes1[[#This Row],[NETO GRAVADO]:[Otros / No Grav.]])</f>
        <v>43599.996050000002</v>
      </c>
      <c r="Q41" s="395" t="str">
        <f>IFERROR(IF(compras_mes1[[#This Row],[CUIT]]="","-",VLOOKUP(compras_mes1[[#This Row],[CUIT]],Lista_CUIT[#All],3,0)),"CUIT NO CARGADO")</f>
        <v>GASTOS VARIOS</v>
      </c>
      <c r="R41" s="395">
        <f>IFERROR(IF(compras_mes1[[#This Row],[CUIT]]="","-",VLOOKUP(compras_mes1[[#This Row],[CUIT]],Lista_CUIT[#All],4,0)),"CUIT NO CARGADO")</f>
        <v>0</v>
      </c>
    </row>
    <row r="42" spans="2:18" x14ac:dyDescent="0.25">
      <c r="B42" s="288">
        <v>45667</v>
      </c>
      <c r="C42" s="289">
        <v>1</v>
      </c>
      <c r="D42" s="290">
        <v>16</v>
      </c>
      <c r="E42" s="291">
        <v>32</v>
      </c>
      <c r="F42" s="292">
        <v>27310367813</v>
      </c>
      <c r="G42" s="293" t="str">
        <f>IFERROR(IF(compras_mes1[[#This Row],[CUIT]]="","-",VLOOKUP(compras_mes1[[#This Row],[CUIT]],Lista_CUIT[#All],2,0)),"CUIT NO CARGADO")</f>
        <v>LA BRUNA MARIA VIRGINIA</v>
      </c>
      <c r="H42" s="294">
        <v>133471.07</v>
      </c>
      <c r="I42" s="295">
        <f>IF(compras_mes1[[#This Row],[NETO GRAVADO]]="","",compras_mes1[[#This Row],[NETO GRAVADO]]*0.21)</f>
        <v>28028.9247</v>
      </c>
      <c r="J42" s="295"/>
      <c r="K42" s="295"/>
      <c r="L42" s="295"/>
      <c r="M42" s="295"/>
      <c r="N42" s="295"/>
      <c r="O42" s="295"/>
      <c r="P42" s="296">
        <f>SUM(compras_mes1[[#This Row],[NETO GRAVADO]:[Otros / No Grav.]])</f>
        <v>161499.99470000001</v>
      </c>
      <c r="Q42" s="297" t="str">
        <f>IFERROR(IF(compras_mes1[[#This Row],[CUIT]]="","-",VLOOKUP(compras_mes1[[#This Row],[CUIT]],Lista_CUIT[#All],3,0)),"CUIT NO CARGADO")</f>
        <v>Hon. Juridicos</v>
      </c>
      <c r="R42" s="297">
        <f>IFERROR(IF(compras_mes1[[#This Row],[CUIT]]="","-",VLOOKUP(compras_mes1[[#This Row],[CUIT]],Lista_CUIT[#All],4,0)),"CUIT NO CARGADO")</f>
        <v>0</v>
      </c>
    </row>
    <row r="43" spans="2:18" x14ac:dyDescent="0.25">
      <c r="B43" s="288">
        <v>45668</v>
      </c>
      <c r="C43" s="289">
        <v>1</v>
      </c>
      <c r="D43" s="290">
        <v>2</v>
      </c>
      <c r="E43" s="291">
        <v>227</v>
      </c>
      <c r="F43" s="292">
        <v>30605344352</v>
      </c>
      <c r="G43" s="293" t="str">
        <f>IFERROR(IF(compras_mes1[[#This Row],[CUIT]]="","-",VLOOKUP(compras_mes1[[#This Row],[CUIT]],Lista_CUIT[#All],2,0)),"CUIT NO CARGADO")</f>
        <v>CONSORCIO BARTOLME MITRE 2466</v>
      </c>
      <c r="H43" s="294">
        <v>366000</v>
      </c>
      <c r="I43" s="295">
        <f>IF(compras_mes1[[#This Row],[NETO GRAVADO]]="","",compras_mes1[[#This Row],[NETO GRAVADO]]*0.21)</f>
        <v>76860</v>
      </c>
      <c r="J43" s="295"/>
      <c r="K43" s="295"/>
      <c r="L43" s="295"/>
      <c r="M43" s="295"/>
      <c r="N43" s="295"/>
      <c r="O43" s="295"/>
      <c r="P43" s="296">
        <f>SUM(compras_mes1[[#This Row],[NETO GRAVADO]:[Otros / No Grav.]])</f>
        <v>442860</v>
      </c>
      <c r="Q43" s="297" t="str">
        <f>IFERROR(IF(compras_mes1[[#This Row],[CUIT]]="","-",VLOOKUP(compras_mes1[[#This Row],[CUIT]],Lista_CUIT[#All],3,0)),"CUIT NO CARGADO")</f>
        <v>ALQUILER LOCAL</v>
      </c>
      <c r="R43" s="297">
        <f>IFERROR(IF(compras_mes1[[#This Row],[CUIT]]="","-",VLOOKUP(compras_mes1[[#This Row],[CUIT]],Lista_CUIT[#All],4,0)),"CUIT NO CARGADO")</f>
        <v>0</v>
      </c>
    </row>
    <row r="44" spans="2:18" x14ac:dyDescent="0.25">
      <c r="B44" s="288">
        <v>45669</v>
      </c>
      <c r="C44" s="289">
        <v>1</v>
      </c>
      <c r="D44" s="290">
        <v>2189</v>
      </c>
      <c r="E44" s="291">
        <v>83402</v>
      </c>
      <c r="F44" s="292">
        <v>30548083156</v>
      </c>
      <c r="G44" s="293" t="str">
        <f>IFERROR(IF(compras_mes1[[#This Row],[CUIT]]="","-",VLOOKUP(compras_mes1[[#This Row],[CUIT]],Lista_CUIT[#All],2,0)),"CUIT NO CARGADO")</f>
        <v>COTO CICSA</v>
      </c>
      <c r="H44" s="294">
        <v>9135.66</v>
      </c>
      <c r="I44" s="295">
        <f>IF(compras_mes1[[#This Row],[NETO GRAVADO]]="","",compras_mes1[[#This Row],[NETO GRAVADO]]*0.21)</f>
        <v>1918.4885999999999</v>
      </c>
      <c r="J44" s="295"/>
      <c r="K44" s="295"/>
      <c r="L44" s="295"/>
      <c r="M44" s="295"/>
      <c r="N44" s="295"/>
      <c r="O44" s="295"/>
      <c r="P44" s="296">
        <f>SUM(compras_mes1[[#This Row],[NETO GRAVADO]:[Otros / No Grav.]])</f>
        <v>11054.1486</v>
      </c>
      <c r="Q44" s="297" t="str">
        <f>IFERROR(IF(compras_mes1[[#This Row],[CUIT]]="","-",VLOOKUP(compras_mes1[[#This Row],[CUIT]],Lista_CUIT[#All],3,0)),"CUIT NO CARGADO")</f>
        <v>Gastos Varios</v>
      </c>
      <c r="R44" s="297">
        <f>IFERROR(IF(compras_mes1[[#This Row],[CUIT]]="","-",VLOOKUP(compras_mes1[[#This Row],[CUIT]],Lista_CUIT[#All],4,0)),"CUIT NO CARGADO")</f>
        <v>0</v>
      </c>
    </row>
    <row r="45" spans="2:18" x14ac:dyDescent="0.25">
      <c r="B45" s="288">
        <v>45671</v>
      </c>
      <c r="C45" s="289">
        <v>1</v>
      </c>
      <c r="D45" s="290">
        <v>104</v>
      </c>
      <c r="E45" s="291">
        <v>7892105</v>
      </c>
      <c r="F45" s="292">
        <v>30715804812</v>
      </c>
      <c r="G45" s="293" t="str">
        <f>IFERROR(IF(compras_mes1[[#This Row],[CUIT]]="","-",VLOOKUP(compras_mes1[[#This Row],[CUIT]],Lista_CUIT[#All],2,0)),"CUIT NO CARGADO")</f>
        <v>CORREDORES VIALES SOCIEDAD ANONIMA</v>
      </c>
      <c r="H45" s="294">
        <v>1039.98</v>
      </c>
      <c r="I45" s="295">
        <f>IF(compras_mes1[[#This Row],[NETO GRAVADO]]="","",compras_mes1[[#This Row],[NETO GRAVADO]]*0.21)</f>
        <v>218.39580000000001</v>
      </c>
      <c r="J45" s="295"/>
      <c r="K45" s="295"/>
      <c r="L45" s="295"/>
      <c r="M45" s="295"/>
      <c r="N45" s="295"/>
      <c r="O45" s="295"/>
      <c r="P45" s="296">
        <f>SUM(compras_mes1[[#This Row],[NETO GRAVADO]:[Otros / No Grav.]])</f>
        <v>1258.3758</v>
      </c>
      <c r="Q45" s="297" t="str">
        <f>IFERROR(IF(compras_mes1[[#This Row],[CUIT]]="","-",VLOOKUP(compras_mes1[[#This Row],[CUIT]],Lista_CUIT[#All],3,0)),"CUIT NO CARGADO")</f>
        <v>Autopista</v>
      </c>
      <c r="R45" s="297">
        <f>IFERROR(IF(compras_mes1[[#This Row],[CUIT]]="","-",VLOOKUP(compras_mes1[[#This Row],[CUIT]],Lista_CUIT[#All],4,0)),"CUIT NO CARGADO")</f>
        <v>0</v>
      </c>
    </row>
    <row r="46" spans="2:18" ht="18" customHeight="1" x14ac:dyDescent="0.25">
      <c r="B46" s="388">
        <v>45671</v>
      </c>
      <c r="C46" s="289">
        <v>1</v>
      </c>
      <c r="D46" s="389">
        <v>101</v>
      </c>
      <c r="E46" s="129">
        <v>8931</v>
      </c>
      <c r="F46" s="390">
        <v>33711430879</v>
      </c>
      <c r="G46" s="391" t="str">
        <f>IFERROR(IF(compras_mes1[[#This Row],[CUIT]]="","-",VLOOKUP(compras_mes1[[#This Row],[CUIT]],Lista_CUIT[#All],2,0)),"CUIT NO CARGADO")</f>
        <v>BALANZE S.A.</v>
      </c>
      <c r="H46" s="392">
        <v>130000</v>
      </c>
      <c r="I46" s="295">
        <f>IF(compras_mes1[[#This Row],[NETO GRAVADO]]="","",compras_mes1[[#This Row],[NETO GRAVADO]]*0.21)</f>
        <v>27300</v>
      </c>
      <c r="J46" s="393"/>
      <c r="K46" s="393"/>
      <c r="L46" s="393"/>
      <c r="M46" s="393"/>
      <c r="N46" s="393"/>
      <c r="O46" s="393"/>
      <c r="P46" s="394">
        <f>SUM(compras_mes1[[#This Row],[NETO GRAVADO]:[Otros / No Grav.]])</f>
        <v>157300</v>
      </c>
      <c r="Q46" s="395" t="str">
        <f>IFERROR(IF(compras_mes1[[#This Row],[CUIT]]="","-",VLOOKUP(compras_mes1[[#This Row],[CUIT]],Lista_CUIT[#All],3,0)),"CUIT NO CARGADO")</f>
        <v>INSUMO</v>
      </c>
      <c r="R46" s="395">
        <f>IFERROR(IF(compras_mes1[[#This Row],[CUIT]]="","-",VLOOKUP(compras_mes1[[#This Row],[CUIT]],Lista_CUIT[#All],4,0)),"CUIT NO CARGADO")</f>
        <v>0</v>
      </c>
    </row>
    <row r="47" spans="2:18" x14ac:dyDescent="0.25">
      <c r="B47" s="388">
        <v>45672</v>
      </c>
      <c r="C47" s="289">
        <v>1</v>
      </c>
      <c r="D47" s="389">
        <v>5015</v>
      </c>
      <c r="E47" s="129">
        <v>714288</v>
      </c>
      <c r="F47" s="390">
        <v>30574876474</v>
      </c>
      <c r="G47" s="391" t="str">
        <f>IFERROR(IF(compras_mes1[[#This Row],[CUIT]]="","-",VLOOKUP(compras_mes1[[#This Row],[CUIT]],Lista_CUIT[#All],2,0)),"CUIT NO CARGADO")</f>
        <v>AUTOP. URBANAS SA</v>
      </c>
      <c r="H47" s="392">
        <v>11727.02</v>
      </c>
      <c r="I47" s="295">
        <f>IF(compras_mes1[[#This Row],[NETO GRAVADO]]="","",compras_mes1[[#This Row],[NETO GRAVADO]]*0.21)</f>
        <v>2462.6741999999999</v>
      </c>
      <c r="J47" s="393"/>
      <c r="K47" s="393"/>
      <c r="L47" s="393"/>
      <c r="M47" s="393"/>
      <c r="N47" s="393"/>
      <c r="O47" s="393"/>
      <c r="P47" s="394">
        <f>SUM(compras_mes1[[#This Row],[NETO GRAVADO]:[Otros / No Grav.]])</f>
        <v>14189.6942</v>
      </c>
      <c r="Q47" s="395" t="str">
        <f>IFERROR(IF(compras_mes1[[#This Row],[CUIT]]="","-",VLOOKUP(compras_mes1[[#This Row],[CUIT]],Lista_CUIT[#All],3,0)),"CUIT NO CARGADO")</f>
        <v>PEAJE</v>
      </c>
      <c r="R47" s="395">
        <f>IFERROR(IF(compras_mes1[[#This Row],[CUIT]]="","-",VLOOKUP(compras_mes1[[#This Row],[CUIT]],Lista_CUIT[#All],4,0)),"CUIT NO CARGADO")</f>
        <v>0</v>
      </c>
    </row>
    <row r="48" spans="2:18" x14ac:dyDescent="0.25">
      <c r="B48" s="388">
        <v>45672</v>
      </c>
      <c r="C48" s="289">
        <v>1</v>
      </c>
      <c r="D48" s="389">
        <v>113</v>
      </c>
      <c r="E48" s="129">
        <v>4022341</v>
      </c>
      <c r="F48" s="390">
        <v>30577207190</v>
      </c>
      <c r="G48" s="391" t="str">
        <f>IFERROR(IF(compras_mes1[[#This Row],[CUIT]]="","-",VLOOKUP(compras_mes1[[#This Row],[CUIT]],Lista_CUIT[#All],2,0)),"CUIT NO CARGADO")</f>
        <v>COORDINACION ECOLOGICA AREA METROPOLITANA SOCIEDAD DEL ESTADO</v>
      </c>
      <c r="H48" s="392">
        <v>5960.33</v>
      </c>
      <c r="I48" s="295">
        <f>IF(compras_mes1[[#This Row],[NETO GRAVADO]]="","",compras_mes1[[#This Row],[NETO GRAVADO]]*0.21)</f>
        <v>1251.6693</v>
      </c>
      <c r="J48" s="393"/>
      <c r="K48" s="393"/>
      <c r="L48" s="393"/>
      <c r="M48" s="393"/>
      <c r="N48" s="393"/>
      <c r="O48" s="393"/>
      <c r="P48" s="394">
        <f>SUM(compras_mes1[[#This Row],[NETO GRAVADO]:[Otros / No Grav.]])</f>
        <v>7211.9992999999995</v>
      </c>
      <c r="Q48" s="395" t="str">
        <f>IFERROR(IF(compras_mes1[[#This Row],[CUIT]]="","-",VLOOKUP(compras_mes1[[#This Row],[CUIT]],Lista_CUIT[#All],3,0)),"CUIT NO CARGADO")</f>
        <v>gastos varios</v>
      </c>
      <c r="R48" s="395">
        <f>IFERROR(IF(compras_mes1[[#This Row],[CUIT]]="","-",VLOOKUP(compras_mes1[[#This Row],[CUIT]],Lista_CUIT[#All],4,0)),"CUIT NO CARGADO")</f>
        <v>0</v>
      </c>
    </row>
    <row r="49" spans="2:18" x14ac:dyDescent="0.25">
      <c r="B49" s="288">
        <v>45672</v>
      </c>
      <c r="C49" s="289">
        <v>1</v>
      </c>
      <c r="D49" s="290">
        <v>5009</v>
      </c>
      <c r="E49" s="291">
        <v>1166794</v>
      </c>
      <c r="F49" s="292">
        <v>30574876474</v>
      </c>
      <c r="G49" s="293" t="str">
        <f>IFERROR(IF(compras_mes1[[#This Row],[CUIT]]="","-",VLOOKUP(compras_mes1[[#This Row],[CUIT]],Lista_CUIT[#All],2,0)),"CUIT NO CARGADO")</f>
        <v>AUTOP. URBANAS SA</v>
      </c>
      <c r="H49" s="294">
        <v>1655.12</v>
      </c>
      <c r="I49" s="295">
        <f>IF(compras_mes1[[#This Row],[NETO GRAVADO]]="","",compras_mes1[[#This Row],[NETO GRAVADO]]*0.21)</f>
        <v>347.57519999999994</v>
      </c>
      <c r="J49" s="295"/>
      <c r="K49" s="295"/>
      <c r="L49" s="295"/>
      <c r="M49" s="295"/>
      <c r="N49" s="295"/>
      <c r="O49" s="295"/>
      <c r="P49" s="296">
        <f>SUM(compras_mes1[[#This Row],[NETO GRAVADO]:[Otros / No Grav.]])</f>
        <v>2002.6951999999999</v>
      </c>
      <c r="Q49" s="297" t="str">
        <f>IFERROR(IF(compras_mes1[[#This Row],[CUIT]]="","-",VLOOKUP(compras_mes1[[#This Row],[CUIT]],Lista_CUIT[#All],3,0)),"CUIT NO CARGADO")</f>
        <v>PEAJE</v>
      </c>
      <c r="R49" s="297">
        <f>IFERROR(IF(compras_mes1[[#This Row],[CUIT]]="","-",VLOOKUP(compras_mes1[[#This Row],[CUIT]],Lista_CUIT[#All],4,0)),"CUIT NO CARGADO")</f>
        <v>0</v>
      </c>
    </row>
    <row r="50" spans="2:18" x14ac:dyDescent="0.25">
      <c r="B50" s="288">
        <v>45673</v>
      </c>
      <c r="C50" s="289">
        <v>1</v>
      </c>
      <c r="D50" s="290">
        <v>2007</v>
      </c>
      <c r="E50" s="291">
        <v>39777</v>
      </c>
      <c r="F50" s="292">
        <v>30516186670</v>
      </c>
      <c r="G50" s="293" t="str">
        <f>IFERROR(IF(compras_mes1[[#This Row],[CUIT]]="","-",VLOOKUP(compras_mes1[[#This Row],[CUIT]],Lista_CUIT[#All],2,0)),"CUIT NO CARGADO")</f>
        <v>DEHEZA SAICF E I</v>
      </c>
      <c r="H50" s="294">
        <v>37022.31</v>
      </c>
      <c r="I50" s="295">
        <f>IF(compras_mes1[[#This Row],[NETO GRAVADO]]="","",compras_mes1[[#This Row],[NETO GRAVADO]]*0.21)</f>
        <v>7774.6850999999988</v>
      </c>
      <c r="J50" s="295"/>
      <c r="K50" s="295"/>
      <c r="L50" s="295"/>
      <c r="M50" s="295"/>
      <c r="N50" s="295"/>
      <c r="O50" s="295"/>
      <c r="P50" s="296">
        <f>SUM(compras_mes1[[#This Row],[NETO GRAVADO]:[Otros / No Grav.]])</f>
        <v>44796.9951</v>
      </c>
      <c r="Q50" s="297" t="str">
        <f>IFERROR(IF(compras_mes1[[#This Row],[CUIT]]="","-",VLOOKUP(compras_mes1[[#This Row],[CUIT]],Lista_CUIT[#All],3,0)),"CUIT NO CARGADO")</f>
        <v>COMBUSTIBLE</v>
      </c>
      <c r="R50" s="297">
        <f>IFERROR(IF(compras_mes1[[#This Row],[CUIT]]="","-",VLOOKUP(compras_mes1[[#This Row],[CUIT]],Lista_CUIT[#All],4,0)),"CUIT NO CARGADO")</f>
        <v>0</v>
      </c>
    </row>
    <row r="51" spans="2:18" x14ac:dyDescent="0.25">
      <c r="B51" s="288">
        <v>45673</v>
      </c>
      <c r="C51" s="289">
        <v>1</v>
      </c>
      <c r="D51" s="290">
        <v>6</v>
      </c>
      <c r="E51" s="291">
        <v>55806</v>
      </c>
      <c r="F51" s="292">
        <v>30710177658</v>
      </c>
      <c r="G51" s="293" t="str">
        <f>IFERROR(IF(compras_mes1[[#This Row],[CUIT]]="","-",VLOOKUP(compras_mes1[[#This Row],[CUIT]],Lista_CUIT[#All],2,0)),"CUIT NO CARGADO")</f>
        <v>TARGET MEDICAL SA</v>
      </c>
      <c r="H51" s="294">
        <v>261124</v>
      </c>
      <c r="I51" s="295">
        <f>IF(compras_mes1[[#This Row],[NETO GRAVADO]]="","",compras_mes1[[#This Row],[NETO GRAVADO]]*0.21)</f>
        <v>54836.04</v>
      </c>
      <c r="J51" s="295"/>
      <c r="K51" s="295"/>
      <c r="L51" s="295"/>
      <c r="M51" s="295"/>
      <c r="N51" s="295"/>
      <c r="O51" s="295"/>
      <c r="P51" s="296">
        <f>SUM(compras_mes1[[#This Row],[NETO GRAVADO]:[Otros / No Grav.]])</f>
        <v>315960.03999999998</v>
      </c>
      <c r="Q51" s="297" t="str">
        <f>IFERROR(IF(compras_mes1[[#This Row],[CUIT]]="","-",VLOOKUP(compras_mes1[[#This Row],[CUIT]],Lista_CUIT[#All],3,0)),"CUIT NO CARGADO")</f>
        <v>INSUMO</v>
      </c>
      <c r="R51" s="297">
        <f>IFERROR(IF(compras_mes1[[#This Row],[CUIT]]="","-",VLOOKUP(compras_mes1[[#This Row],[CUIT]],Lista_CUIT[#All],4,0)),"CUIT NO CARGADO")</f>
        <v>0</v>
      </c>
    </row>
    <row r="52" spans="2:18" x14ac:dyDescent="0.25">
      <c r="B52" s="388">
        <v>45673</v>
      </c>
      <c r="C52" s="289">
        <v>1</v>
      </c>
      <c r="D52" s="389">
        <v>6</v>
      </c>
      <c r="E52" s="129">
        <v>55814</v>
      </c>
      <c r="F52" s="390">
        <v>30710177658</v>
      </c>
      <c r="G52" s="391" t="str">
        <f>IFERROR(IF(compras_mes1[[#This Row],[CUIT]]="","-",VLOOKUP(compras_mes1[[#This Row],[CUIT]],Lista_CUIT[#All],2,0)),"CUIT NO CARGADO")</f>
        <v>TARGET MEDICAL SA</v>
      </c>
      <c r="H52" s="392">
        <v>46510</v>
      </c>
      <c r="I52" s="295">
        <f>IF(compras_mes1[[#This Row],[NETO GRAVADO]]="","",compras_mes1[[#This Row],[NETO GRAVADO]]*0.21)</f>
        <v>9767.1</v>
      </c>
      <c r="J52" s="393"/>
      <c r="K52" s="393"/>
      <c r="L52" s="393"/>
      <c r="M52" s="393"/>
      <c r="N52" s="393"/>
      <c r="O52" s="393"/>
      <c r="P52" s="394">
        <f>SUM(compras_mes1[[#This Row],[NETO GRAVADO]:[Otros / No Grav.]])</f>
        <v>56277.1</v>
      </c>
      <c r="Q52" s="395" t="str">
        <f>IFERROR(IF(compras_mes1[[#This Row],[CUIT]]="","-",VLOOKUP(compras_mes1[[#This Row],[CUIT]],Lista_CUIT[#All],3,0)),"CUIT NO CARGADO")</f>
        <v>INSUMO</v>
      </c>
      <c r="R52" s="395">
        <f>IFERROR(IF(compras_mes1[[#This Row],[CUIT]]="","-",VLOOKUP(compras_mes1[[#This Row],[CUIT]],Lista_CUIT[#All],4,0)),"CUIT NO CARGADO")</f>
        <v>0</v>
      </c>
    </row>
    <row r="53" spans="2:18" x14ac:dyDescent="0.25">
      <c r="B53" s="288">
        <v>45673</v>
      </c>
      <c r="C53" s="289">
        <v>1</v>
      </c>
      <c r="D53" s="290">
        <v>629</v>
      </c>
      <c r="E53" s="291">
        <v>5782099</v>
      </c>
      <c r="F53" s="292">
        <v>30663498513</v>
      </c>
      <c r="G53" s="293" t="str">
        <f>IFERROR(IF(compras_mes1[[#This Row],[CUIT]]="","-",VLOOKUP(compras_mes1[[#This Row],[CUIT]],Lista_CUIT[#All],2,0)),"CUIT NO CARGADO")</f>
        <v>GRUPO CONCES. DEL OESTE SA</v>
      </c>
      <c r="H53" s="294">
        <v>3928.84</v>
      </c>
      <c r="I53" s="295">
        <f>IF(compras_mes1[[#This Row],[NETO GRAVADO]]="","",compras_mes1[[#This Row],[NETO GRAVADO]]*0.21)</f>
        <v>825.05640000000005</v>
      </c>
      <c r="J53" s="295"/>
      <c r="K53" s="295"/>
      <c r="L53" s="295"/>
      <c r="M53" s="295"/>
      <c r="N53" s="295"/>
      <c r="O53" s="295"/>
      <c r="P53" s="296">
        <f>SUM(compras_mes1[[#This Row],[NETO GRAVADO]:[Otros / No Grav.]])</f>
        <v>4753.8964000000005</v>
      </c>
      <c r="Q53" s="297" t="str">
        <f>IFERROR(IF(compras_mes1[[#This Row],[CUIT]]="","-",VLOOKUP(compras_mes1[[#This Row],[CUIT]],Lista_CUIT[#All],3,0)),"CUIT NO CARGADO")</f>
        <v>Autopista</v>
      </c>
      <c r="R53" s="297">
        <f>IFERROR(IF(compras_mes1[[#This Row],[CUIT]]="","-",VLOOKUP(compras_mes1[[#This Row],[CUIT]],Lista_CUIT[#All],4,0)),"CUIT NO CARGADO")</f>
        <v>0</v>
      </c>
    </row>
    <row r="54" spans="2:18" x14ac:dyDescent="0.25">
      <c r="B54" s="288">
        <v>45673</v>
      </c>
      <c r="C54" s="289">
        <v>1</v>
      </c>
      <c r="D54" s="290">
        <v>711</v>
      </c>
      <c r="E54" s="291">
        <v>6636894</v>
      </c>
      <c r="F54" s="292">
        <v>30677237119</v>
      </c>
      <c r="G54" s="293" t="str">
        <f>IFERROR(IF(compras_mes1[[#This Row],[CUIT]]="","-",VLOOKUP(compras_mes1[[#This Row],[CUIT]],Lista_CUIT[#All],2,0)),"CUIT NO CARGADO")</f>
        <v>AUTOPISTAS DEL SOL SA</v>
      </c>
      <c r="H54" s="294">
        <v>7857.59</v>
      </c>
      <c r="I54" s="295">
        <f>IF(compras_mes1[[#This Row],[NETO GRAVADO]]="","",compras_mes1[[#This Row],[NETO GRAVADO]]*0.21)</f>
        <v>1650.0939000000001</v>
      </c>
      <c r="J54" s="295"/>
      <c r="K54" s="295"/>
      <c r="L54" s="295"/>
      <c r="M54" s="295"/>
      <c r="N54" s="295"/>
      <c r="O54" s="295"/>
      <c r="P54" s="296">
        <f>SUM(compras_mes1[[#This Row],[NETO GRAVADO]:[Otros / No Grav.]])</f>
        <v>9507.6839</v>
      </c>
      <c r="Q54" s="297" t="str">
        <f>IFERROR(IF(compras_mes1[[#This Row],[CUIT]]="","-",VLOOKUP(compras_mes1[[#This Row],[CUIT]],Lista_CUIT[#All],3,0)),"CUIT NO CARGADO")</f>
        <v>Autopista</v>
      </c>
      <c r="R54" s="297">
        <f>IFERROR(IF(compras_mes1[[#This Row],[CUIT]]="","-",VLOOKUP(compras_mes1[[#This Row],[CUIT]],Lista_CUIT[#All],4,0)),"CUIT NO CARGADO")</f>
        <v>0</v>
      </c>
    </row>
    <row r="55" spans="2:18" x14ac:dyDescent="0.25">
      <c r="B55" s="388">
        <v>45673</v>
      </c>
      <c r="C55" s="289">
        <v>1</v>
      </c>
      <c r="D55" s="389">
        <v>711</v>
      </c>
      <c r="E55" s="129">
        <v>6636895</v>
      </c>
      <c r="F55" s="390">
        <v>30677237119</v>
      </c>
      <c r="G55" s="391" t="str">
        <f>IFERROR(IF(compras_mes1[[#This Row],[CUIT]]="","-",VLOOKUP(compras_mes1[[#This Row],[CUIT]],Lista_CUIT[#All],2,0)),"CUIT NO CARGADO")</f>
        <v>AUTOPISTAS DEL SOL SA</v>
      </c>
      <c r="H55" s="392">
        <v>2426.61</v>
      </c>
      <c r="I55" s="295">
        <f>IF(compras_mes1[[#This Row],[NETO GRAVADO]]="","",compras_mes1[[#This Row],[NETO GRAVADO]]*0.21)</f>
        <v>509.5881</v>
      </c>
      <c r="J55" s="393"/>
      <c r="K55" s="393"/>
      <c r="L55" s="393"/>
      <c r="M55" s="393"/>
      <c r="N55" s="393"/>
      <c r="O55" s="393"/>
      <c r="P55" s="394">
        <f>SUM(compras_mes1[[#This Row],[NETO GRAVADO]:[Otros / No Grav.]])</f>
        <v>2936.1981000000001</v>
      </c>
      <c r="Q55" s="395" t="str">
        <f>IFERROR(IF(compras_mes1[[#This Row],[CUIT]]="","-",VLOOKUP(compras_mes1[[#This Row],[CUIT]],Lista_CUIT[#All],3,0)),"CUIT NO CARGADO")</f>
        <v>Autopista</v>
      </c>
      <c r="R55" s="395">
        <f>IFERROR(IF(compras_mes1[[#This Row],[CUIT]]="","-",VLOOKUP(compras_mes1[[#This Row],[CUIT]],Lista_CUIT[#All],4,0)),"CUIT NO CARGADO")</f>
        <v>0</v>
      </c>
    </row>
    <row r="56" spans="2:18" x14ac:dyDescent="0.25">
      <c r="B56" s="388">
        <v>45674</v>
      </c>
      <c r="C56" s="289">
        <v>1</v>
      </c>
      <c r="D56" s="389">
        <v>4264</v>
      </c>
      <c r="E56" s="129">
        <v>4926275</v>
      </c>
      <c r="F56" s="390">
        <v>30639453738</v>
      </c>
      <c r="G56" s="391" t="str">
        <f>IFERROR(IF(compras_mes1[[#This Row],[CUIT]]="","-",VLOOKUP(compras_mes1[[#This Row],[CUIT]],Lista_CUIT[#All],2,0)),"CUIT NO CARGADO")</f>
        <v>TELECOM ARGENTINA SA</v>
      </c>
      <c r="H56" s="392">
        <v>41922.94</v>
      </c>
      <c r="I56" s="295">
        <f>IF(compras_mes1[[#This Row],[NETO GRAVADO]]="","",compras_mes1[[#This Row],[NETO GRAVADO]]*0.21)</f>
        <v>8803.8173999999999</v>
      </c>
      <c r="J56" s="393"/>
      <c r="K56" s="393"/>
      <c r="L56" s="393"/>
      <c r="M56" s="393"/>
      <c r="N56" s="393"/>
      <c r="O56" s="393"/>
      <c r="P56" s="394">
        <f>SUM(compras_mes1[[#This Row],[NETO GRAVADO]:[Otros / No Grav.]])</f>
        <v>50726.757400000002</v>
      </c>
      <c r="Q56" s="395" t="str">
        <f>IFERROR(IF(compras_mes1[[#This Row],[CUIT]]="","-",VLOOKUP(compras_mes1[[#This Row],[CUIT]],Lista_CUIT[#All],3,0)),"CUIT NO CARGADO")</f>
        <v>SERVICIO</v>
      </c>
      <c r="R56" s="395">
        <f>IFERROR(IF(compras_mes1[[#This Row],[CUIT]]="","-",VLOOKUP(compras_mes1[[#This Row],[CUIT]],Lista_CUIT[#All],4,0)),"CUIT NO CARGADO")</f>
        <v>0</v>
      </c>
    </row>
    <row r="57" spans="2:18" x14ac:dyDescent="0.25">
      <c r="B57" s="388">
        <v>45674</v>
      </c>
      <c r="C57" s="289">
        <v>1</v>
      </c>
      <c r="D57" s="389">
        <v>3</v>
      </c>
      <c r="E57" s="129">
        <v>52628</v>
      </c>
      <c r="F57" s="390">
        <v>30577744579</v>
      </c>
      <c r="G57" s="391" t="str">
        <f>IFERROR(IF(compras_mes1[[#This Row],[CUIT]]="","-",VLOOKUP(compras_mes1[[#This Row],[CUIT]],Lista_CUIT[#All],2,0)),"CUIT NO CARGADO")</f>
        <v>EXPRESO TROLE SRL</v>
      </c>
      <c r="H57" s="392">
        <v>29610.83</v>
      </c>
      <c r="I57" s="295">
        <f>IF(compras_mes1[[#This Row],[NETO GRAVADO]]="","",compras_mes1[[#This Row],[NETO GRAVADO]]*0.21)</f>
        <v>6218.2743</v>
      </c>
      <c r="J57" s="393"/>
      <c r="K57" s="393"/>
      <c r="L57" s="393"/>
      <c r="M57" s="393"/>
      <c r="N57" s="393"/>
      <c r="O57" s="393"/>
      <c r="P57" s="394">
        <f>SUM(compras_mes1[[#This Row],[NETO GRAVADO]:[Otros / No Grav.]])</f>
        <v>35829.104299999999</v>
      </c>
      <c r="Q57" s="395" t="str">
        <f>IFERROR(IF(compras_mes1[[#This Row],[CUIT]]="","-",VLOOKUP(compras_mes1[[#This Row],[CUIT]],Lista_CUIT[#All],3,0)),"CUIT NO CARGADO")</f>
        <v>Flete</v>
      </c>
      <c r="R57" s="395">
        <f>IFERROR(IF(compras_mes1[[#This Row],[CUIT]]="","-",VLOOKUP(compras_mes1[[#This Row],[CUIT]],Lista_CUIT[#All],4,0)),"CUIT NO CARGADO")</f>
        <v>0</v>
      </c>
    </row>
    <row r="58" spans="2:18" ht="17.25" customHeight="1" x14ac:dyDescent="0.25">
      <c r="B58" s="288">
        <v>45674</v>
      </c>
      <c r="C58" s="289">
        <v>1</v>
      </c>
      <c r="D58" s="290">
        <v>3</v>
      </c>
      <c r="E58" s="291">
        <v>221</v>
      </c>
      <c r="F58" s="292">
        <v>20334976433</v>
      </c>
      <c r="G58" s="293" t="str">
        <f>IFERROR(IF(compras_mes1[[#This Row],[CUIT]]="","-",VLOOKUP(compras_mes1[[#This Row],[CUIT]],Lista_CUIT[#All],2,0)),"CUIT NO CARGADO")</f>
        <v>NARDOMARINO EZEQUIEL EDUARDO</v>
      </c>
      <c r="H58" s="294">
        <v>200000</v>
      </c>
      <c r="I58" s="295">
        <f>IF(compras_mes1[[#This Row],[NETO GRAVADO]]="","",compras_mes1[[#This Row],[NETO GRAVADO]]*0.21)</f>
        <v>42000</v>
      </c>
      <c r="J58" s="295"/>
      <c r="K58" s="295"/>
      <c r="L58" s="295"/>
      <c r="M58" s="295"/>
      <c r="N58" s="295"/>
      <c r="O58" s="295"/>
      <c r="P58" s="296">
        <f>SUM(compras_mes1[[#This Row],[NETO GRAVADO]:[Otros / No Grav.]])</f>
        <v>242000</v>
      </c>
      <c r="Q58" s="297" t="str">
        <f>IFERROR(IF(compras_mes1[[#This Row],[CUIT]]="","-",VLOOKUP(compras_mes1[[#This Row],[CUIT]],Lista_CUIT[#All],3,0)),"CUIT NO CARGADO")</f>
        <v>FLETE</v>
      </c>
      <c r="R58" s="297">
        <f>IFERROR(IF(compras_mes1[[#This Row],[CUIT]]="","-",VLOOKUP(compras_mes1[[#This Row],[CUIT]],Lista_CUIT[#All],4,0)),"CUIT NO CARGADO")</f>
        <v>0</v>
      </c>
    </row>
    <row r="59" spans="2:18" x14ac:dyDescent="0.25">
      <c r="B59" s="288">
        <v>45677</v>
      </c>
      <c r="C59" s="289">
        <v>1</v>
      </c>
      <c r="D59" s="290">
        <v>1</v>
      </c>
      <c r="E59" s="291">
        <v>6064</v>
      </c>
      <c r="F59" s="292">
        <v>30715141201</v>
      </c>
      <c r="G59" s="293" t="str">
        <f>IFERROR(IF(compras_mes1[[#This Row],[CUIT]]="","-",VLOOKUP(compras_mes1[[#This Row],[CUIT]],Lista_CUIT[#All],2,0)),"CUIT NO CARGADO")</f>
        <v>REHAB SRL</v>
      </c>
      <c r="H59" s="294">
        <v>1326528.32</v>
      </c>
      <c r="I59" s="295">
        <f>IF(compras_mes1[[#This Row],[NETO GRAVADO]]="","",compras_mes1[[#This Row],[NETO GRAVADO]]*0.21)</f>
        <v>278570.9472</v>
      </c>
      <c r="J59" s="295"/>
      <c r="K59" s="295"/>
      <c r="L59" s="295"/>
      <c r="M59" s="295"/>
      <c r="N59" s="295"/>
      <c r="O59" s="295"/>
      <c r="P59" s="296">
        <f>SUM(compras_mes1[[#This Row],[NETO GRAVADO]:[Otros / No Grav.]])</f>
        <v>1605099.2672000001</v>
      </c>
      <c r="Q59" s="297" t="str">
        <f>IFERROR(IF(compras_mes1[[#This Row],[CUIT]]="","-",VLOOKUP(compras_mes1[[#This Row],[CUIT]],Lista_CUIT[#All],3,0)),"CUIT NO CARGADO")</f>
        <v>INSUMO</v>
      </c>
      <c r="R59" s="297">
        <f>IFERROR(IF(compras_mes1[[#This Row],[CUIT]]="","-",VLOOKUP(compras_mes1[[#This Row],[CUIT]],Lista_CUIT[#All],4,0)),"CUIT NO CARGADO")</f>
        <v>0</v>
      </c>
    </row>
    <row r="60" spans="2:18" x14ac:dyDescent="0.25">
      <c r="B60" s="388">
        <v>45677</v>
      </c>
      <c r="C60" s="289">
        <v>1</v>
      </c>
      <c r="D60" s="389">
        <v>3</v>
      </c>
      <c r="E60" s="129">
        <v>26</v>
      </c>
      <c r="F60" s="390">
        <v>20216164262</v>
      </c>
      <c r="G60" s="391" t="str">
        <f>IFERROR(IF(compras_mes1[[#This Row],[CUIT]]="","-",VLOOKUP(compras_mes1[[#This Row],[CUIT]],Lista_CUIT[#All],2,0)),"CUIT NO CARGADO")</f>
        <v>VELEZ ALEJANDRO MARCELO</v>
      </c>
      <c r="H60" s="392">
        <v>855371.9</v>
      </c>
      <c r="I60" s="295">
        <f>IF(compras_mes1[[#This Row],[NETO GRAVADO]]="","",compras_mes1[[#This Row],[NETO GRAVADO]]*0.21)</f>
        <v>179628.09899999999</v>
      </c>
      <c r="J60" s="393"/>
      <c r="K60" s="393"/>
      <c r="L60" s="393"/>
      <c r="M60" s="393"/>
      <c r="N60" s="393"/>
      <c r="O60" s="393"/>
      <c r="P60" s="394">
        <f>SUM(compras_mes1[[#This Row],[NETO GRAVADO]:[Otros / No Grav.]])</f>
        <v>1034999.9990000001</v>
      </c>
      <c r="Q60" s="395" t="str">
        <f>IFERROR(IF(compras_mes1[[#This Row],[CUIT]]="","-",VLOOKUP(compras_mes1[[#This Row],[CUIT]],Lista_CUIT[#All],3,0)),"CUIT NO CARGADO")</f>
        <v>Insumos</v>
      </c>
      <c r="R60" s="395">
        <f>IFERROR(IF(compras_mes1[[#This Row],[CUIT]]="","-",VLOOKUP(compras_mes1[[#This Row],[CUIT]],Lista_CUIT[#All],4,0)),"CUIT NO CARGADO")</f>
        <v>0</v>
      </c>
    </row>
    <row r="61" spans="2:18" x14ac:dyDescent="0.25">
      <c r="B61" s="388">
        <v>45677</v>
      </c>
      <c r="C61" s="289">
        <v>1</v>
      </c>
      <c r="D61" s="389">
        <v>7</v>
      </c>
      <c r="E61" s="129">
        <v>18</v>
      </c>
      <c r="F61" s="390">
        <v>27325223273</v>
      </c>
      <c r="G61" s="391" t="str">
        <f>IFERROR(IF(compras_mes1[[#This Row],[CUIT]]="","-",VLOOKUP(compras_mes1[[#This Row],[CUIT]],Lista_CUIT[#All],2,0)),"CUIT NO CARGADO")</f>
        <v>SOUSA ALDERETE ALEJANDRA MABEL</v>
      </c>
      <c r="H61" s="392">
        <v>900000</v>
      </c>
      <c r="I61" s="295">
        <f>IF(compras_mes1[[#This Row],[NETO GRAVADO]]="","",compras_mes1[[#This Row],[NETO GRAVADO]]*0.21)</f>
        <v>189000</v>
      </c>
      <c r="J61" s="393"/>
      <c r="K61" s="393"/>
      <c r="L61" s="393"/>
      <c r="M61" s="393"/>
      <c r="N61" s="393"/>
      <c r="O61" s="393"/>
      <c r="P61" s="394">
        <f>SUM(compras_mes1[[#This Row],[NETO GRAVADO]:[Otros / No Grav.]])</f>
        <v>1089000</v>
      </c>
      <c r="Q61" s="395" t="str">
        <f>IFERROR(IF(compras_mes1[[#This Row],[CUIT]]="","-",VLOOKUP(compras_mes1[[#This Row],[CUIT]],Lista_CUIT[#All],3,0)),"CUIT NO CARGADO")</f>
        <v>Insumos</v>
      </c>
      <c r="R61" s="395">
        <f>IFERROR(IF(compras_mes1[[#This Row],[CUIT]]="","-",VLOOKUP(compras_mes1[[#This Row],[CUIT]],Lista_CUIT[#All],4,0)),"CUIT NO CARGADO")</f>
        <v>0</v>
      </c>
    </row>
    <row r="62" spans="2:18" x14ac:dyDescent="0.25">
      <c r="B62" s="288">
        <v>45677</v>
      </c>
      <c r="C62" s="289">
        <v>1</v>
      </c>
      <c r="D62" s="290">
        <v>3</v>
      </c>
      <c r="E62" s="291">
        <v>222</v>
      </c>
      <c r="F62" s="292">
        <v>20334976433</v>
      </c>
      <c r="G62" s="293" t="str">
        <f>IFERROR(IF(compras_mes1[[#This Row],[CUIT]]="","-",VLOOKUP(compras_mes1[[#This Row],[CUIT]],Lista_CUIT[#All],2,0)),"CUIT NO CARGADO")</f>
        <v>NARDOMARINO EZEQUIEL EDUARDO</v>
      </c>
      <c r="H62" s="294">
        <v>180000</v>
      </c>
      <c r="I62" s="295">
        <f>IF(compras_mes1[[#This Row],[NETO GRAVADO]]="","",compras_mes1[[#This Row],[NETO GRAVADO]]*0.21)</f>
        <v>37800</v>
      </c>
      <c r="J62" s="295"/>
      <c r="K62" s="295"/>
      <c r="L62" s="295"/>
      <c r="M62" s="295"/>
      <c r="N62" s="295"/>
      <c r="O62" s="295"/>
      <c r="P62" s="296">
        <f>SUM(compras_mes1[[#This Row],[NETO GRAVADO]:[Otros / No Grav.]])</f>
        <v>217800</v>
      </c>
      <c r="Q62" s="297" t="str">
        <f>IFERROR(IF(compras_mes1[[#This Row],[CUIT]]="","-",VLOOKUP(compras_mes1[[#This Row],[CUIT]],Lista_CUIT[#All],3,0)),"CUIT NO CARGADO")</f>
        <v>FLETE</v>
      </c>
      <c r="R62" s="297">
        <f>IFERROR(IF(compras_mes1[[#This Row],[CUIT]]="","-",VLOOKUP(compras_mes1[[#This Row],[CUIT]],Lista_CUIT[#All],4,0)),"CUIT NO CARGADO")</f>
        <v>0</v>
      </c>
    </row>
    <row r="63" spans="2:18" x14ac:dyDescent="0.25">
      <c r="B63" s="288">
        <v>45677</v>
      </c>
      <c r="C63" s="289">
        <v>1</v>
      </c>
      <c r="D63" s="290">
        <v>5</v>
      </c>
      <c r="E63" s="291">
        <v>5677</v>
      </c>
      <c r="F63" s="292">
        <v>30715833243</v>
      </c>
      <c r="G63" s="293" t="str">
        <f>IFERROR(IF(compras_mes1[[#This Row],[CUIT]]="","-",VLOOKUP(compras_mes1[[#This Row],[CUIT]],Lista_CUIT[#All],2,0)),"CUIT NO CARGADO")</f>
        <v>BIODINAMICA ASIST E INSUMOS</v>
      </c>
      <c r="H63" s="294">
        <v>43392</v>
      </c>
      <c r="I63" s="295">
        <f>IF(compras_mes1[[#This Row],[NETO GRAVADO]]="","",compras_mes1[[#This Row],[NETO GRAVADO]]*0.21)</f>
        <v>9112.32</v>
      </c>
      <c r="J63" s="295"/>
      <c r="K63" s="295"/>
      <c r="L63" s="295"/>
      <c r="M63" s="295"/>
      <c r="N63" s="295"/>
      <c r="O63" s="295"/>
      <c r="P63" s="296">
        <f>SUM(compras_mes1[[#This Row],[NETO GRAVADO]:[Otros / No Grav.]])</f>
        <v>52504.32</v>
      </c>
      <c r="Q63" s="297" t="str">
        <f>IFERROR(IF(compras_mes1[[#This Row],[CUIT]]="","-",VLOOKUP(compras_mes1[[#This Row],[CUIT]],Lista_CUIT[#All],3,0)),"CUIT NO CARGADO")</f>
        <v>INSUMO</v>
      </c>
      <c r="R63" s="297">
        <f>IFERROR(IF(compras_mes1[[#This Row],[CUIT]]="","-",VLOOKUP(compras_mes1[[#This Row],[CUIT]],Lista_CUIT[#All],4,0)),"CUIT NO CARGADO")</f>
        <v>0</v>
      </c>
    </row>
    <row r="64" spans="2:18" x14ac:dyDescent="0.25">
      <c r="B64" s="288">
        <v>45677</v>
      </c>
      <c r="C64" s="289">
        <v>1</v>
      </c>
      <c r="D64" s="290">
        <v>2</v>
      </c>
      <c r="E64" s="291">
        <v>11293</v>
      </c>
      <c r="F64" s="292">
        <v>30714331082</v>
      </c>
      <c r="G64" s="293" t="str">
        <f>IFERROR(IF(compras_mes1[[#This Row],[CUIT]]="","-",VLOOKUP(compras_mes1[[#This Row],[CUIT]],Lista_CUIT[#All],2,0)),"CUIT NO CARGADO")</f>
        <v>ORTOPEDIA CASA ESCALADA SRL</v>
      </c>
      <c r="H64" s="294">
        <v>687415.73</v>
      </c>
      <c r="I64" s="295">
        <f>IF(compras_mes1[[#This Row],[NETO GRAVADO]]="","",compras_mes1[[#This Row],[NETO GRAVADO]]*0.21)</f>
        <v>144357.3033</v>
      </c>
      <c r="J64" s="295"/>
      <c r="K64" s="295"/>
      <c r="L64" s="295"/>
      <c r="M64" s="295"/>
      <c r="N64" s="295"/>
      <c r="O64" s="295"/>
      <c r="P64" s="296">
        <f>SUM(compras_mes1[[#This Row],[NETO GRAVADO]:[Otros / No Grav.]])</f>
        <v>831773.03330000001</v>
      </c>
      <c r="Q64" s="297" t="str">
        <f>IFERROR(IF(compras_mes1[[#This Row],[CUIT]]="","-",VLOOKUP(compras_mes1[[#This Row],[CUIT]],Lista_CUIT[#All],3,0)),"CUIT NO CARGADO")</f>
        <v>INSUMO</v>
      </c>
      <c r="R64" s="297">
        <f>IFERROR(IF(compras_mes1[[#This Row],[CUIT]]="","-",VLOOKUP(compras_mes1[[#This Row],[CUIT]],Lista_CUIT[#All],4,0)),"CUIT NO CARGADO")</f>
        <v>0</v>
      </c>
    </row>
    <row r="65" spans="2:18" x14ac:dyDescent="0.25">
      <c r="B65" s="288">
        <v>45678</v>
      </c>
      <c r="C65" s="289">
        <v>1</v>
      </c>
      <c r="D65" s="290">
        <v>5</v>
      </c>
      <c r="E65" s="291">
        <v>162894</v>
      </c>
      <c r="F65" s="292">
        <v>30598960093</v>
      </c>
      <c r="G65" s="293" t="str">
        <f>IFERROR(IF(compras_mes1[[#This Row],[CUIT]]="","-",VLOOKUP(compras_mes1[[#This Row],[CUIT]],Lista_CUIT[#All],2,0)),"CUIT NO CARGADO")</f>
        <v>SILVESTRIN FABRIS SRL</v>
      </c>
      <c r="H65" s="294">
        <v>3316083</v>
      </c>
      <c r="I65" s="295">
        <f>IF(compras_mes1[[#This Row],[NETO GRAVADO]]="","",compras_mes1[[#This Row],[NETO GRAVADO]]*0.21)</f>
        <v>696377.42999999993</v>
      </c>
      <c r="J65" s="295"/>
      <c r="K65" s="295"/>
      <c r="L65" s="295"/>
      <c r="M65" s="295"/>
      <c r="N65" s="295"/>
      <c r="O65" s="295"/>
      <c r="P65" s="296">
        <f>SUM(compras_mes1[[#This Row],[NETO GRAVADO]:[Otros / No Grav.]])</f>
        <v>4012460.4299999997</v>
      </c>
      <c r="Q65" s="297" t="str">
        <f>IFERROR(IF(compras_mes1[[#This Row],[CUIT]]="","-",VLOOKUP(compras_mes1[[#This Row],[CUIT]],Lista_CUIT[#All],3,0)),"CUIT NO CARGADO")</f>
        <v>INSUMO</v>
      </c>
      <c r="R65" s="297">
        <f>IFERROR(IF(compras_mes1[[#This Row],[CUIT]]="","-",VLOOKUP(compras_mes1[[#This Row],[CUIT]],Lista_CUIT[#All],4,0)),"CUIT NO CARGADO")</f>
        <v>0</v>
      </c>
    </row>
    <row r="66" spans="2:18" x14ac:dyDescent="0.25">
      <c r="B66" s="288">
        <v>45678</v>
      </c>
      <c r="C66" s="289">
        <v>1</v>
      </c>
      <c r="D66" s="290">
        <v>13</v>
      </c>
      <c r="E66" s="291">
        <v>3283</v>
      </c>
      <c r="F66" s="292">
        <v>20119743959</v>
      </c>
      <c r="G66" s="293" t="str">
        <f>IFERROR(IF(compras_mes1[[#This Row],[CUIT]]="","-",VLOOKUP(compras_mes1[[#This Row],[CUIT]],Lista_CUIT[#All],2,0)),"CUIT NO CARGADO")</f>
        <v>BENNUN FERNANDO RUBEN</v>
      </c>
      <c r="H66" s="294">
        <v>590000</v>
      </c>
      <c r="I66" s="295">
        <f>IF(compras_mes1[[#This Row],[NETO GRAVADO]]="","",compras_mes1[[#This Row],[NETO GRAVADO]]*0.21)</f>
        <v>123900</v>
      </c>
      <c r="J66" s="295"/>
      <c r="K66" s="295"/>
      <c r="L66" s="295"/>
      <c r="M66" s="295"/>
      <c r="N66" s="295"/>
      <c r="O66" s="295"/>
      <c r="P66" s="296">
        <f>SUM(compras_mes1[[#This Row],[NETO GRAVADO]:[Otros / No Grav.]])</f>
        <v>713900</v>
      </c>
      <c r="Q66" s="297" t="str">
        <f>IFERROR(IF(compras_mes1[[#This Row],[CUIT]]="","-",VLOOKUP(compras_mes1[[#This Row],[CUIT]],Lista_CUIT[#All],3,0)),"CUIT NO CARGADO")</f>
        <v>PROVEEDOR</v>
      </c>
      <c r="R66" s="297">
        <f>IFERROR(IF(compras_mes1[[#This Row],[CUIT]]="","-",VLOOKUP(compras_mes1[[#This Row],[CUIT]],Lista_CUIT[#All],4,0)),"CUIT NO CARGADO")</f>
        <v>0</v>
      </c>
    </row>
    <row r="67" spans="2:18" s="330" customFormat="1" x14ac:dyDescent="0.25">
      <c r="B67" s="396">
        <v>45678</v>
      </c>
      <c r="C67" s="397">
        <v>1</v>
      </c>
      <c r="D67" s="398">
        <v>6</v>
      </c>
      <c r="E67" s="399">
        <v>837</v>
      </c>
      <c r="F67" s="400">
        <v>20289111329</v>
      </c>
      <c r="G67" s="401" t="str">
        <f>IFERROR(IF(compras_mes1[[#This Row],[CUIT]]="","-",VLOOKUP(compras_mes1[[#This Row],[CUIT]],Lista_CUIT[#All],2,0)),"CUIT NO CARGADO")</f>
        <v>R. N. LEDESMA</v>
      </c>
      <c r="H67" s="402">
        <v>1147500</v>
      </c>
      <c r="I67" s="403">
        <f>IF(compras_mes1[[#This Row],[NETO GRAVADO]]="","",compras_mes1[[#This Row],[NETO GRAVADO]]*0.21)</f>
        <v>240975</v>
      </c>
      <c r="J67" s="403"/>
      <c r="K67" s="403"/>
      <c r="L67" s="403"/>
      <c r="M67" s="403"/>
      <c r="N67" s="403"/>
      <c r="O67" s="403"/>
      <c r="P67" s="404">
        <f>SUM(compras_mes1[[#This Row],[NETO GRAVADO]:[Otros / No Grav.]])</f>
        <v>1388475</v>
      </c>
      <c r="Q67" s="405" t="str">
        <f>IFERROR(IF(compras_mes1[[#This Row],[CUIT]]="","-",VLOOKUP(compras_mes1[[#This Row],[CUIT]],Lista_CUIT[#All],3,0)),"CUIT NO CARGADO")</f>
        <v>Insumo</v>
      </c>
      <c r="R67" s="405">
        <f>IFERROR(IF(compras_mes1[[#This Row],[CUIT]]="","-",VLOOKUP(compras_mes1[[#This Row],[CUIT]],Lista_CUIT[#All],4,0)),"CUIT NO CARGADO")</f>
        <v>0</v>
      </c>
    </row>
    <row r="68" spans="2:18" x14ac:dyDescent="0.25">
      <c r="B68" s="288">
        <v>45678</v>
      </c>
      <c r="C68" s="289">
        <v>1</v>
      </c>
      <c r="D68" s="290">
        <v>3</v>
      </c>
      <c r="E68" s="291">
        <v>223</v>
      </c>
      <c r="F68" s="292">
        <v>20334976433</v>
      </c>
      <c r="G68" s="293" t="str">
        <f>IFERROR(IF(compras_mes1[[#This Row],[CUIT]]="","-",VLOOKUP(compras_mes1[[#This Row],[CUIT]],Lista_CUIT[#All],2,0)),"CUIT NO CARGADO")</f>
        <v>NARDOMARINO EZEQUIEL EDUARDO</v>
      </c>
      <c r="H68" s="294">
        <v>210000</v>
      </c>
      <c r="I68" s="295">
        <f>IF(compras_mes1[[#This Row],[NETO GRAVADO]]="","",compras_mes1[[#This Row],[NETO GRAVADO]]*0.21)</f>
        <v>44100</v>
      </c>
      <c r="J68" s="295"/>
      <c r="K68" s="295"/>
      <c r="L68" s="295"/>
      <c r="M68" s="295"/>
      <c r="N68" s="295"/>
      <c r="O68" s="295"/>
      <c r="P68" s="296">
        <f>SUM(compras_mes1[[#This Row],[NETO GRAVADO]:[Otros / No Grav.]])</f>
        <v>254100</v>
      </c>
      <c r="Q68" s="297" t="str">
        <f>IFERROR(IF(compras_mes1[[#This Row],[CUIT]]="","-",VLOOKUP(compras_mes1[[#This Row],[CUIT]],Lista_CUIT[#All],3,0)),"CUIT NO CARGADO")</f>
        <v>FLETE</v>
      </c>
      <c r="R68" s="297">
        <f>IFERROR(IF(compras_mes1[[#This Row],[CUIT]]="","-",VLOOKUP(compras_mes1[[#This Row],[CUIT]],Lista_CUIT[#All],4,0)),"CUIT NO CARGADO")</f>
        <v>0</v>
      </c>
    </row>
    <row r="69" spans="2:18" x14ac:dyDescent="0.25">
      <c r="B69" s="388">
        <v>45678</v>
      </c>
      <c r="C69" s="289">
        <v>1</v>
      </c>
      <c r="D69" s="389">
        <v>700</v>
      </c>
      <c r="E69" s="129">
        <v>2213744</v>
      </c>
      <c r="F69" s="390">
        <v>30715804812</v>
      </c>
      <c r="G69" s="391" t="str">
        <f>IFERROR(IF(compras_mes1[[#This Row],[CUIT]]="","-",VLOOKUP(compras_mes1[[#This Row],[CUIT]],Lista_CUIT[#All],2,0)),"CUIT NO CARGADO")</f>
        <v>CORREDORES VIALES SOCIEDAD ANONIMA</v>
      </c>
      <c r="H69" s="392">
        <v>6239.89</v>
      </c>
      <c r="I69" s="295">
        <f>IF(compras_mes1[[#This Row],[NETO GRAVADO]]="","",compras_mes1[[#This Row],[NETO GRAVADO]]*0.21)</f>
        <v>1310.3769</v>
      </c>
      <c r="J69" s="393"/>
      <c r="K69" s="393"/>
      <c r="L69" s="393"/>
      <c r="M69" s="393"/>
      <c r="N69" s="393"/>
      <c r="O69" s="393"/>
      <c r="P69" s="394">
        <f>SUM(compras_mes1[[#This Row],[NETO GRAVADO]:[Otros / No Grav.]])</f>
        <v>7550.2669000000005</v>
      </c>
      <c r="Q69" s="395" t="str">
        <f>IFERROR(IF(compras_mes1[[#This Row],[CUIT]]="","-",VLOOKUP(compras_mes1[[#This Row],[CUIT]],Lista_CUIT[#All],3,0)),"CUIT NO CARGADO")</f>
        <v>Autopista</v>
      </c>
      <c r="R69" s="395">
        <f>IFERROR(IF(compras_mes1[[#This Row],[CUIT]]="","-",VLOOKUP(compras_mes1[[#This Row],[CUIT]],Lista_CUIT[#All],4,0)),"CUIT NO CARGADO")</f>
        <v>0</v>
      </c>
    </row>
    <row r="70" spans="2:18" x14ac:dyDescent="0.25">
      <c r="B70" s="288">
        <v>45678</v>
      </c>
      <c r="C70" s="289">
        <v>1</v>
      </c>
      <c r="D70" s="290">
        <v>700</v>
      </c>
      <c r="E70" s="291">
        <v>2213745</v>
      </c>
      <c r="F70" s="292">
        <v>30715804812</v>
      </c>
      <c r="G70" s="293" t="str">
        <f>IFERROR(IF(compras_mes1[[#This Row],[CUIT]]="","-",VLOOKUP(compras_mes1[[#This Row],[CUIT]],Lista_CUIT[#All],2,0)),"CUIT NO CARGADO")</f>
        <v>CORREDORES VIALES SOCIEDAD ANONIMA</v>
      </c>
      <c r="H70" s="294">
        <v>6863.87</v>
      </c>
      <c r="I70" s="295">
        <f>IF(compras_mes1[[#This Row],[NETO GRAVADO]]="","",compras_mes1[[#This Row],[NETO GRAVADO]]*0.21)</f>
        <v>1441.4126999999999</v>
      </c>
      <c r="J70" s="295"/>
      <c r="K70" s="295"/>
      <c r="L70" s="295"/>
      <c r="M70" s="295"/>
      <c r="N70" s="295"/>
      <c r="O70" s="295"/>
      <c r="P70" s="296">
        <f>SUM(compras_mes1[[#This Row],[NETO GRAVADO]:[Otros / No Grav.]])</f>
        <v>8305.2826999999997</v>
      </c>
      <c r="Q70" s="297" t="str">
        <f>IFERROR(IF(compras_mes1[[#This Row],[CUIT]]="","-",VLOOKUP(compras_mes1[[#This Row],[CUIT]],Lista_CUIT[#All],3,0)),"CUIT NO CARGADO")</f>
        <v>Autopista</v>
      </c>
      <c r="R70" s="297">
        <f>IFERROR(IF(compras_mes1[[#This Row],[CUIT]]="","-",VLOOKUP(compras_mes1[[#This Row],[CUIT]],Lista_CUIT[#All],4,0)),"CUIT NO CARGADO")</f>
        <v>0</v>
      </c>
    </row>
    <row r="71" spans="2:18" x14ac:dyDescent="0.25">
      <c r="B71" s="288">
        <v>45679</v>
      </c>
      <c r="C71" s="289">
        <v>1</v>
      </c>
      <c r="D71" s="290">
        <v>6</v>
      </c>
      <c r="E71" s="291">
        <v>88434</v>
      </c>
      <c r="F71" s="292">
        <v>30711553564</v>
      </c>
      <c r="G71" s="293" t="str">
        <f>IFERROR(IF(compras_mes1[[#This Row],[CUIT]]="","-",VLOOKUP(compras_mes1[[#This Row],[CUIT]],Lista_CUIT[#All],2,0)),"CUIT NO CARGADO")</f>
        <v>SALUD TEX S.A</v>
      </c>
      <c r="H71" s="294">
        <v>511355.55</v>
      </c>
      <c r="I71" s="295">
        <f>IF(compras_mes1[[#This Row],[NETO GRAVADO]]="","",compras_mes1[[#This Row],[NETO GRAVADO]]*0.21)</f>
        <v>107384.66549999999</v>
      </c>
      <c r="J71" s="295"/>
      <c r="K71" s="295"/>
      <c r="L71" s="295"/>
      <c r="M71" s="295"/>
      <c r="N71" s="295"/>
      <c r="O71" s="295"/>
      <c r="P71" s="296">
        <f>SUM(compras_mes1[[#This Row],[NETO GRAVADO]:[Otros / No Grav.]])</f>
        <v>618740.21549999993</v>
      </c>
      <c r="Q71" s="297" t="str">
        <f>IFERROR(IF(compras_mes1[[#This Row],[CUIT]]="","-",VLOOKUP(compras_mes1[[#This Row],[CUIT]],Lista_CUIT[#All],3,0)),"CUIT NO CARGADO")</f>
        <v>INSUMO</v>
      </c>
      <c r="R71" s="297">
        <f>IFERROR(IF(compras_mes1[[#This Row],[CUIT]]="","-",VLOOKUP(compras_mes1[[#This Row],[CUIT]],Lista_CUIT[#All],4,0)),"CUIT NO CARGADO")</f>
        <v>0</v>
      </c>
    </row>
    <row r="72" spans="2:18" x14ac:dyDescent="0.25">
      <c r="B72" s="288">
        <v>45679</v>
      </c>
      <c r="C72" s="289">
        <v>1</v>
      </c>
      <c r="D72" s="290">
        <v>7</v>
      </c>
      <c r="E72" s="291">
        <v>17630</v>
      </c>
      <c r="F72" s="292">
        <v>20308861059</v>
      </c>
      <c r="G72" s="293" t="str">
        <f>IFERROR(IF(compras_mes1[[#This Row],[CUIT]]="","-",VLOOKUP(compras_mes1[[#This Row],[CUIT]],Lista_CUIT[#All],2,0)),"CUIT NO CARGADO")</f>
        <v>MARINELLI JON EZEQUIEL</v>
      </c>
      <c r="H72" s="294">
        <v>23552.15</v>
      </c>
      <c r="I72" s="295">
        <f>IF(compras_mes1[[#This Row],[NETO GRAVADO]]="","",compras_mes1[[#This Row],[NETO GRAVADO]]*0.21)</f>
        <v>4945.9515000000001</v>
      </c>
      <c r="J72" s="295"/>
      <c r="K72" s="295"/>
      <c r="L72" s="295"/>
      <c r="M72" s="295"/>
      <c r="N72" s="295"/>
      <c r="O72" s="295"/>
      <c r="P72" s="296">
        <f>SUM(compras_mes1[[#This Row],[NETO GRAVADO]:[Otros / No Grav.]])</f>
        <v>28498.101500000001</v>
      </c>
      <c r="Q72" s="297" t="str">
        <f>IFERROR(IF(compras_mes1[[#This Row],[CUIT]]="","-",VLOOKUP(compras_mes1[[#This Row],[CUIT]],Lista_CUIT[#All],3,0)),"CUIT NO CARGADO")</f>
        <v>Gastos Varios</v>
      </c>
      <c r="R72" s="297">
        <f>IFERROR(IF(compras_mes1[[#This Row],[CUIT]]="","-",VLOOKUP(compras_mes1[[#This Row],[CUIT]],Lista_CUIT[#All],4,0)),"CUIT NO CARGADO")</f>
        <v>0</v>
      </c>
    </row>
    <row r="73" spans="2:18" x14ac:dyDescent="0.25">
      <c r="B73" s="288">
        <v>45679</v>
      </c>
      <c r="C73" s="289">
        <v>1</v>
      </c>
      <c r="D73" s="290">
        <v>5</v>
      </c>
      <c r="E73" s="291">
        <v>162943</v>
      </c>
      <c r="F73" s="292">
        <v>30598960093</v>
      </c>
      <c r="G73" s="293" t="str">
        <f>IFERROR(IF(compras_mes1[[#This Row],[CUIT]]="","-",VLOOKUP(compras_mes1[[#This Row],[CUIT]],Lista_CUIT[#All],2,0)),"CUIT NO CARGADO")</f>
        <v>SILVESTRIN FABRIS SRL</v>
      </c>
      <c r="H73" s="294">
        <v>1576702.5</v>
      </c>
      <c r="I73" s="295">
        <f>IF(compras_mes1[[#This Row],[NETO GRAVADO]]="","",compras_mes1[[#This Row],[NETO GRAVADO]]*0.21)</f>
        <v>331107.52499999997</v>
      </c>
      <c r="J73" s="295"/>
      <c r="K73" s="295"/>
      <c r="L73" s="295"/>
      <c r="M73" s="295"/>
      <c r="N73" s="295"/>
      <c r="O73" s="295"/>
      <c r="P73" s="296">
        <f>SUM(compras_mes1[[#This Row],[NETO GRAVADO]:[Otros / No Grav.]])</f>
        <v>1907810.0249999999</v>
      </c>
      <c r="Q73" s="297" t="str">
        <f>IFERROR(IF(compras_mes1[[#This Row],[CUIT]]="","-",VLOOKUP(compras_mes1[[#This Row],[CUIT]],Lista_CUIT[#All],3,0)),"CUIT NO CARGADO")</f>
        <v>INSUMO</v>
      </c>
      <c r="R73" s="297">
        <f>IFERROR(IF(compras_mes1[[#This Row],[CUIT]]="","-",VLOOKUP(compras_mes1[[#This Row],[CUIT]],Lista_CUIT[#All],4,0)),"CUIT NO CARGADO")</f>
        <v>0</v>
      </c>
    </row>
    <row r="74" spans="2:18" x14ac:dyDescent="0.25">
      <c r="B74" s="288">
        <v>45679</v>
      </c>
      <c r="C74" s="289">
        <v>1</v>
      </c>
      <c r="D74" s="290">
        <v>2</v>
      </c>
      <c r="E74" s="291">
        <v>7940</v>
      </c>
      <c r="F74" s="292">
        <v>20253990903</v>
      </c>
      <c r="G74" s="293" t="str">
        <f>IFERROR(IF(compras_mes1[[#This Row],[CUIT]]="","-",VLOOKUP(compras_mes1[[#This Row],[CUIT]],Lista_CUIT[#All],2,0)),"CUIT NO CARGADO")</f>
        <v>LOPEZ MATIAS</v>
      </c>
      <c r="H74" s="294">
        <v>172625</v>
      </c>
      <c r="I74" s="295">
        <f>IF(compras_mes1[[#This Row],[NETO GRAVADO]]="","",compras_mes1[[#This Row],[NETO GRAVADO]]*0.21)</f>
        <v>36251.25</v>
      </c>
      <c r="J74" s="295"/>
      <c r="K74" s="295"/>
      <c r="L74" s="295"/>
      <c r="M74" s="295"/>
      <c r="N74" s="295"/>
      <c r="O74" s="295"/>
      <c r="P74" s="296">
        <f>SUM(compras_mes1[[#This Row],[NETO GRAVADO]:[Otros / No Grav.]])</f>
        <v>208876.25</v>
      </c>
      <c r="Q74" s="297" t="str">
        <f>IFERROR(IF(compras_mes1[[#This Row],[CUIT]]="","-",VLOOKUP(compras_mes1[[#This Row],[CUIT]],Lista_CUIT[#All],3,0)),"CUIT NO CARGADO")</f>
        <v>Insumos</v>
      </c>
      <c r="R74" s="297">
        <f>IFERROR(IF(compras_mes1[[#This Row],[CUIT]]="","-",VLOOKUP(compras_mes1[[#This Row],[CUIT]],Lista_CUIT[#All],4,0)),"CUIT NO CARGADO")</f>
        <v>0</v>
      </c>
    </row>
    <row r="75" spans="2:18" x14ac:dyDescent="0.25">
      <c r="B75" s="288">
        <v>45679</v>
      </c>
      <c r="C75" s="289">
        <v>1</v>
      </c>
      <c r="D75" s="290">
        <v>5</v>
      </c>
      <c r="E75" s="291">
        <v>3215541</v>
      </c>
      <c r="F75" s="292">
        <v>30702652975</v>
      </c>
      <c r="G75" s="293" t="str">
        <f>IFERROR(IF(compras_mes1[[#This Row],[CUIT]]="","-",VLOOKUP(compras_mes1[[#This Row],[CUIT]],Lista_CUIT[#All],2,0)),"CUIT NO CARGADO")</f>
        <v>NSS SA</v>
      </c>
      <c r="H75" s="294">
        <v>28528.6</v>
      </c>
      <c r="I75" s="295">
        <f>IF(compras_mes1[[#This Row],[NETO GRAVADO]]="","",compras_mes1[[#This Row],[NETO GRAVADO]]*0.21)</f>
        <v>5991.0059999999994</v>
      </c>
      <c r="J75" s="295"/>
      <c r="K75" s="295"/>
      <c r="L75" s="295"/>
      <c r="M75" s="295"/>
      <c r="N75" s="295"/>
      <c r="O75" s="295"/>
      <c r="P75" s="296">
        <f>SUM(compras_mes1[[#This Row],[NETO GRAVADO]:[Otros / No Grav.]])</f>
        <v>34519.606</v>
      </c>
      <c r="Q75" s="297" t="str">
        <f>IFERROR(IF(compras_mes1[[#This Row],[CUIT]]="","-",VLOOKUP(compras_mes1[[#This Row],[CUIT]],Lista_CUIT[#All],3,0)),"CUIT NO CARGADO")</f>
        <v>SERVICIOS</v>
      </c>
      <c r="R75" s="297">
        <f>IFERROR(IF(compras_mes1[[#This Row],[CUIT]]="","-",VLOOKUP(compras_mes1[[#This Row],[CUIT]],Lista_CUIT[#All],4,0)),"CUIT NO CARGADO")</f>
        <v>0</v>
      </c>
    </row>
    <row r="76" spans="2:18" x14ac:dyDescent="0.25">
      <c r="B76" s="288">
        <v>45679</v>
      </c>
      <c r="C76" s="289">
        <v>1</v>
      </c>
      <c r="D76" s="290">
        <v>3</v>
      </c>
      <c r="E76" s="291">
        <v>5750</v>
      </c>
      <c r="F76" s="292">
        <v>20347113078</v>
      </c>
      <c r="G76" s="293" t="str">
        <f>IFERROR(IF(compras_mes1[[#This Row],[CUIT]]="","-",VLOOKUP(compras_mes1[[#This Row],[CUIT]],Lista_CUIT[#All],2,0)),"CUIT NO CARGADO")</f>
        <v>GARCIA MATIAS EZEQUIEL</v>
      </c>
      <c r="H76" s="294">
        <v>265305</v>
      </c>
      <c r="I76" s="295">
        <f>IF(compras_mes1[[#This Row],[NETO GRAVADO]]="","",compras_mes1[[#This Row],[NETO GRAVADO]]*0.21)</f>
        <v>55714.049999999996</v>
      </c>
      <c r="J76" s="295"/>
      <c r="K76" s="295"/>
      <c r="L76" s="295"/>
      <c r="M76" s="295"/>
      <c r="N76" s="295"/>
      <c r="O76" s="295"/>
      <c r="P76" s="296">
        <f>SUM(compras_mes1[[#This Row],[NETO GRAVADO]:[Otros / No Grav.]])</f>
        <v>321019.05</v>
      </c>
      <c r="Q76" s="297" t="str">
        <f>IFERROR(IF(compras_mes1[[#This Row],[CUIT]]="","-",VLOOKUP(compras_mes1[[#This Row],[CUIT]],Lista_CUIT[#All],3,0)),"CUIT NO CARGADO")</f>
        <v>Insumos</v>
      </c>
      <c r="R76" s="297">
        <f>IFERROR(IF(compras_mes1[[#This Row],[CUIT]]="","-",VLOOKUP(compras_mes1[[#This Row],[CUIT]],Lista_CUIT[#All],4,0)),"CUIT NO CARGADO")</f>
        <v>0</v>
      </c>
    </row>
    <row r="77" spans="2:18" x14ac:dyDescent="0.25">
      <c r="B77" s="288">
        <v>45680</v>
      </c>
      <c r="C77" s="289">
        <v>1</v>
      </c>
      <c r="D77" s="290">
        <v>2</v>
      </c>
      <c r="E77" s="291">
        <v>11332</v>
      </c>
      <c r="F77" s="292">
        <v>30714331082</v>
      </c>
      <c r="G77" s="293" t="str">
        <f>IFERROR(IF(compras_mes1[[#This Row],[CUIT]]="","-",VLOOKUP(compras_mes1[[#This Row],[CUIT]],Lista_CUIT[#All],2,0)),"CUIT NO CARGADO")</f>
        <v>ORTOPEDIA CASA ESCALADA SRL</v>
      </c>
      <c r="H77" s="294">
        <v>252635.98</v>
      </c>
      <c r="I77" s="295">
        <f>IF(compras_mes1[[#This Row],[NETO GRAVADO]]="","",compras_mes1[[#This Row],[NETO GRAVADO]]*0.21)</f>
        <v>53053.555800000002</v>
      </c>
      <c r="J77" s="295"/>
      <c r="K77" s="295"/>
      <c r="L77" s="295"/>
      <c r="M77" s="295"/>
      <c r="N77" s="295"/>
      <c r="O77" s="295"/>
      <c r="P77" s="296">
        <f>SUM(compras_mes1[[#This Row],[NETO GRAVADO]:[Otros / No Grav.]])</f>
        <v>305689.53580000001</v>
      </c>
      <c r="Q77" s="297" t="str">
        <f>IFERROR(IF(compras_mes1[[#This Row],[CUIT]]="","-",VLOOKUP(compras_mes1[[#This Row],[CUIT]],Lista_CUIT[#All],3,0)),"CUIT NO CARGADO")</f>
        <v>INSUMO</v>
      </c>
      <c r="R77" s="297">
        <f>IFERROR(IF(compras_mes1[[#This Row],[CUIT]]="","-",VLOOKUP(compras_mes1[[#This Row],[CUIT]],Lista_CUIT[#All],4,0)),"CUIT NO CARGADO")</f>
        <v>0</v>
      </c>
    </row>
    <row r="78" spans="2:18" x14ac:dyDescent="0.25">
      <c r="B78" s="288">
        <v>45680</v>
      </c>
      <c r="C78" s="289">
        <v>1</v>
      </c>
      <c r="D78" s="290">
        <v>5015</v>
      </c>
      <c r="E78" s="291">
        <v>727495</v>
      </c>
      <c r="F78" s="292">
        <v>30574876474</v>
      </c>
      <c r="G78" s="293" t="str">
        <f>IFERROR(IF(compras_mes1[[#This Row],[CUIT]]="","-",VLOOKUP(compras_mes1[[#This Row],[CUIT]],Lista_CUIT[#All],2,0)),"CUIT NO CARGADO")</f>
        <v>AUTOP. URBANAS SA</v>
      </c>
      <c r="H78" s="294">
        <v>9382.33</v>
      </c>
      <c r="I78" s="295">
        <f>IF(compras_mes1[[#This Row],[NETO GRAVADO]]="","",compras_mes1[[#This Row],[NETO GRAVADO]]*0.21)</f>
        <v>1970.2892999999999</v>
      </c>
      <c r="J78" s="295"/>
      <c r="K78" s="295"/>
      <c r="L78" s="295"/>
      <c r="M78" s="295"/>
      <c r="N78" s="295"/>
      <c r="O78" s="295"/>
      <c r="P78" s="296">
        <f>SUM(compras_mes1[[#This Row],[NETO GRAVADO]:[Otros / No Grav.]])</f>
        <v>11352.6193</v>
      </c>
      <c r="Q78" s="297" t="str">
        <f>IFERROR(IF(compras_mes1[[#This Row],[CUIT]]="","-",VLOOKUP(compras_mes1[[#This Row],[CUIT]],Lista_CUIT[#All],3,0)),"CUIT NO CARGADO")</f>
        <v>PEAJE</v>
      </c>
      <c r="R78" s="297">
        <f>IFERROR(IF(compras_mes1[[#This Row],[CUIT]]="","-",VLOOKUP(compras_mes1[[#This Row],[CUIT]],Lista_CUIT[#All],4,0)),"CUIT NO CARGADO")</f>
        <v>0</v>
      </c>
    </row>
    <row r="79" spans="2:18" x14ac:dyDescent="0.25">
      <c r="B79" s="388">
        <v>45680</v>
      </c>
      <c r="C79" s="289">
        <v>1</v>
      </c>
      <c r="D79" s="389">
        <v>23</v>
      </c>
      <c r="E79" s="129">
        <v>7452</v>
      </c>
      <c r="F79" s="390">
        <v>30711776040</v>
      </c>
      <c r="G79" s="391" t="str">
        <f>IFERROR(IF(compras_mes1[[#This Row],[CUIT]]="","-",VLOOKUP(compras_mes1[[#This Row],[CUIT]],Lista_CUIT[#All],2,0)),"CUIT NO CARGADO")</f>
        <v>EXPRESO BICENTENARIO S.R.L</v>
      </c>
      <c r="H79" s="392">
        <v>14117</v>
      </c>
      <c r="I79" s="295">
        <f>IF(compras_mes1[[#This Row],[NETO GRAVADO]]="","",compras_mes1[[#This Row],[NETO GRAVADO]]*0.21)</f>
        <v>2964.5699999999997</v>
      </c>
      <c r="J79" s="393"/>
      <c r="K79" s="393"/>
      <c r="L79" s="393"/>
      <c r="M79" s="393"/>
      <c r="N79" s="393"/>
      <c r="O79" s="393"/>
      <c r="P79" s="394">
        <f>SUM(compras_mes1[[#This Row],[NETO GRAVADO]:[Otros / No Grav.]])</f>
        <v>17081.57</v>
      </c>
      <c r="Q79" s="395" t="str">
        <f>IFERROR(IF(compras_mes1[[#This Row],[CUIT]]="","-",VLOOKUP(compras_mes1[[#This Row],[CUIT]],Lista_CUIT[#All],3,0)),"CUIT NO CARGADO")</f>
        <v>Servicio Transporte</v>
      </c>
      <c r="R79" s="395">
        <f>IFERROR(IF(compras_mes1[[#This Row],[CUIT]]="","-",VLOOKUP(compras_mes1[[#This Row],[CUIT]],Lista_CUIT[#All],4,0)),"CUIT NO CARGADO")</f>
        <v>0</v>
      </c>
    </row>
    <row r="80" spans="2:18" x14ac:dyDescent="0.25">
      <c r="B80" s="288">
        <v>45680</v>
      </c>
      <c r="C80" s="289">
        <v>1</v>
      </c>
      <c r="D80" s="290">
        <v>2</v>
      </c>
      <c r="E80" s="291">
        <v>11330</v>
      </c>
      <c r="F80" s="292">
        <v>30714331082</v>
      </c>
      <c r="G80" s="293" t="str">
        <f>IFERROR(IF(compras_mes1[[#This Row],[CUIT]]="","-",VLOOKUP(compras_mes1[[#This Row],[CUIT]],Lista_CUIT[#All],2,0)),"CUIT NO CARGADO")</f>
        <v>ORTOPEDIA CASA ESCALADA SRL</v>
      </c>
      <c r="H80" s="294">
        <v>1309665.8999999999</v>
      </c>
      <c r="I80" s="295">
        <f>IF(compras_mes1[[#This Row],[NETO GRAVADO]]="","",compras_mes1[[#This Row],[NETO GRAVADO]]*0.21)</f>
        <v>275029.83899999998</v>
      </c>
      <c r="J80" s="295"/>
      <c r="K80" s="295"/>
      <c r="L80" s="295"/>
      <c r="M80" s="295"/>
      <c r="N80" s="295"/>
      <c r="O80" s="295"/>
      <c r="P80" s="296">
        <f>SUM(compras_mes1[[#This Row],[NETO GRAVADO]:[Otros / No Grav.]])</f>
        <v>1584695.7389999998</v>
      </c>
      <c r="Q80" s="297" t="str">
        <f>IFERROR(IF(compras_mes1[[#This Row],[CUIT]]="","-",VLOOKUP(compras_mes1[[#This Row],[CUIT]],Lista_CUIT[#All],3,0)),"CUIT NO CARGADO")</f>
        <v>INSUMO</v>
      </c>
      <c r="R80" s="297">
        <f>IFERROR(IF(compras_mes1[[#This Row],[CUIT]]="","-",VLOOKUP(compras_mes1[[#This Row],[CUIT]],Lista_CUIT[#All],4,0)),"CUIT NO CARGADO")</f>
        <v>0</v>
      </c>
    </row>
    <row r="81" spans="2:18" x14ac:dyDescent="0.25">
      <c r="B81" s="288">
        <v>45680</v>
      </c>
      <c r="C81" s="289">
        <v>1</v>
      </c>
      <c r="D81" s="290">
        <v>2</v>
      </c>
      <c r="E81" s="291">
        <v>11331</v>
      </c>
      <c r="F81" s="292">
        <v>30714331082</v>
      </c>
      <c r="G81" s="293" t="str">
        <f>IFERROR(IF(compras_mes1[[#This Row],[CUIT]]="","-",VLOOKUP(compras_mes1[[#This Row],[CUIT]],Lista_CUIT[#All],2,0)),"CUIT NO CARGADO")</f>
        <v>ORTOPEDIA CASA ESCALADA SRL</v>
      </c>
      <c r="H81" s="294">
        <v>423275.07</v>
      </c>
      <c r="I81" s="295">
        <f>IF(compras_mes1[[#This Row],[NETO GRAVADO]]="","",compras_mes1[[#This Row],[NETO GRAVADO]]*0.21)</f>
        <v>88887.7647</v>
      </c>
      <c r="J81" s="295"/>
      <c r="K81" s="295"/>
      <c r="L81" s="295"/>
      <c r="M81" s="295"/>
      <c r="N81" s="295"/>
      <c r="O81" s="295"/>
      <c r="P81" s="296">
        <f>SUM(compras_mes1[[#This Row],[NETO GRAVADO]:[Otros / No Grav.]])</f>
        <v>512162.83470000001</v>
      </c>
      <c r="Q81" s="297" t="str">
        <f>IFERROR(IF(compras_mes1[[#This Row],[CUIT]]="","-",VLOOKUP(compras_mes1[[#This Row],[CUIT]],Lista_CUIT[#All],3,0)),"CUIT NO CARGADO")</f>
        <v>INSUMO</v>
      </c>
      <c r="R81" s="297">
        <f>IFERROR(IF(compras_mes1[[#This Row],[CUIT]]="","-",VLOOKUP(compras_mes1[[#This Row],[CUIT]],Lista_CUIT[#All],4,0)),"CUIT NO CARGADO")</f>
        <v>0</v>
      </c>
    </row>
    <row r="82" spans="2:18" x14ac:dyDescent="0.25">
      <c r="B82" s="288">
        <v>45680</v>
      </c>
      <c r="C82" s="289">
        <v>1</v>
      </c>
      <c r="D82" s="290">
        <v>3</v>
      </c>
      <c r="E82" s="291">
        <v>224</v>
      </c>
      <c r="F82" s="292">
        <v>20334976433</v>
      </c>
      <c r="G82" s="293" t="str">
        <f>IFERROR(IF(compras_mes1[[#This Row],[CUIT]]="","-",VLOOKUP(compras_mes1[[#This Row],[CUIT]],Lista_CUIT[#All],2,0)),"CUIT NO CARGADO")</f>
        <v>NARDOMARINO EZEQUIEL EDUARDO</v>
      </c>
      <c r="H82" s="294">
        <v>160000</v>
      </c>
      <c r="I82" s="295">
        <f>IF(compras_mes1[[#This Row],[NETO GRAVADO]]="","",compras_mes1[[#This Row],[NETO GRAVADO]]*0.21)</f>
        <v>33600</v>
      </c>
      <c r="J82" s="295"/>
      <c r="K82" s="295"/>
      <c r="L82" s="295"/>
      <c r="M82" s="295"/>
      <c r="N82" s="295"/>
      <c r="O82" s="295"/>
      <c r="P82" s="296">
        <f>SUM(compras_mes1[[#This Row],[NETO GRAVADO]:[Otros / No Grav.]])</f>
        <v>193600</v>
      </c>
      <c r="Q82" s="297" t="str">
        <f>IFERROR(IF(compras_mes1[[#This Row],[CUIT]]="","-",VLOOKUP(compras_mes1[[#This Row],[CUIT]],Lista_CUIT[#All],3,0)),"CUIT NO CARGADO")</f>
        <v>FLETE</v>
      </c>
      <c r="R82" s="297">
        <f>IFERROR(IF(compras_mes1[[#This Row],[CUIT]]="","-",VLOOKUP(compras_mes1[[#This Row],[CUIT]],Lista_CUIT[#All],4,0)),"CUIT NO CARGADO")</f>
        <v>0</v>
      </c>
    </row>
    <row r="83" spans="2:18" x14ac:dyDescent="0.25">
      <c r="B83" s="288">
        <v>45681</v>
      </c>
      <c r="C83" s="289">
        <v>1</v>
      </c>
      <c r="D83" s="290">
        <v>16</v>
      </c>
      <c r="E83" s="291">
        <v>35</v>
      </c>
      <c r="F83" s="292">
        <v>27310367813</v>
      </c>
      <c r="G83" s="293" t="str">
        <f>IFERROR(IF(compras_mes1[[#This Row],[CUIT]]="","-",VLOOKUP(compras_mes1[[#This Row],[CUIT]],Lista_CUIT[#All],2,0)),"CUIT NO CARGADO")</f>
        <v>LA BRUNA MARIA VIRGINIA</v>
      </c>
      <c r="H83" s="294">
        <v>136115.70000000001</v>
      </c>
      <c r="I83" s="295">
        <f>IF(compras_mes1[[#This Row],[NETO GRAVADO]]="","",compras_mes1[[#This Row],[NETO GRAVADO]]*0.21)</f>
        <v>28584.297000000002</v>
      </c>
      <c r="J83" s="295"/>
      <c r="K83" s="295"/>
      <c r="L83" s="295"/>
      <c r="M83" s="295"/>
      <c r="N83" s="295"/>
      <c r="O83" s="295"/>
      <c r="P83" s="296">
        <f>SUM(compras_mes1[[#This Row],[NETO GRAVADO]:[Otros / No Grav.]])</f>
        <v>164699.997</v>
      </c>
      <c r="Q83" s="297" t="str">
        <f>IFERROR(IF(compras_mes1[[#This Row],[CUIT]]="","-",VLOOKUP(compras_mes1[[#This Row],[CUIT]],Lista_CUIT[#All],3,0)),"CUIT NO CARGADO")</f>
        <v>Hon. Juridicos</v>
      </c>
      <c r="R83" s="297">
        <f>IFERROR(IF(compras_mes1[[#This Row],[CUIT]]="","-",VLOOKUP(compras_mes1[[#This Row],[CUIT]],Lista_CUIT[#All],4,0)),"CUIT NO CARGADO")</f>
        <v>0</v>
      </c>
    </row>
    <row r="84" spans="2:18" x14ac:dyDescent="0.25">
      <c r="B84" s="388">
        <v>45681</v>
      </c>
      <c r="C84" s="289">
        <v>1</v>
      </c>
      <c r="D84" s="389">
        <v>3</v>
      </c>
      <c r="E84" s="129">
        <v>8377</v>
      </c>
      <c r="F84" s="390">
        <v>33708218699</v>
      </c>
      <c r="G84" s="391" t="str">
        <f>IFERROR(IF(compras_mes1[[#This Row],[CUIT]]="","-",VLOOKUP(compras_mes1[[#This Row],[CUIT]],Lista_CUIT[#All],2,0)),"CUIT NO CARGADO")</f>
        <v>MANGGINI PABLO Y MANGGINI ULISES SOC. DE HECHO.</v>
      </c>
      <c r="H84" s="392">
        <v>24000</v>
      </c>
      <c r="I84" s="295">
        <f>IF(compras_mes1[[#This Row],[NETO GRAVADO]]="","",compras_mes1[[#This Row],[NETO GRAVADO]]*0.21)</f>
        <v>5040</v>
      </c>
      <c r="J84" s="393"/>
      <c r="K84" s="393"/>
      <c r="L84" s="393"/>
      <c r="M84" s="393"/>
      <c r="N84" s="393"/>
      <c r="O84" s="393"/>
      <c r="P84" s="394">
        <f>SUM(compras_mes1[[#This Row],[NETO GRAVADO]:[Otros / No Grav.]])</f>
        <v>29040</v>
      </c>
      <c r="Q84" s="395" t="str">
        <f>IFERROR(IF(compras_mes1[[#This Row],[CUIT]]="","-",VLOOKUP(compras_mes1[[#This Row],[CUIT]],Lista_CUIT[#All],3,0)),"CUIT NO CARGADO")</f>
        <v>SERVICIO</v>
      </c>
      <c r="R84" s="395">
        <f>IFERROR(IF(compras_mes1[[#This Row],[CUIT]]="","-",VLOOKUP(compras_mes1[[#This Row],[CUIT]],Lista_CUIT[#All],4,0)),"CUIT NO CARGADO")</f>
        <v>0</v>
      </c>
    </row>
    <row r="85" spans="2:18" x14ac:dyDescent="0.25">
      <c r="B85" s="288">
        <v>45681</v>
      </c>
      <c r="C85" s="289">
        <v>1</v>
      </c>
      <c r="D85" s="290">
        <v>7</v>
      </c>
      <c r="E85" s="291">
        <v>857</v>
      </c>
      <c r="F85" s="292">
        <v>20185132502</v>
      </c>
      <c r="G85" s="293" t="str">
        <f>IFERROR(IF(compras_mes1[[#This Row],[CUIT]]="","-",VLOOKUP(compras_mes1[[#This Row],[CUIT]],Lista_CUIT[#All],2,0)),"CUIT NO CARGADO")</f>
        <v>PEREZ ROMERO JAVIER HERNAN</v>
      </c>
      <c r="H85" s="294">
        <v>40000</v>
      </c>
      <c r="I85" s="295">
        <f>IF(compras_mes1[[#This Row],[NETO GRAVADO]]="","",compras_mes1[[#This Row],[NETO GRAVADO]]*0.21)</f>
        <v>8400</v>
      </c>
      <c r="J85" s="295"/>
      <c r="K85" s="295"/>
      <c r="L85" s="295"/>
      <c r="M85" s="295"/>
      <c r="N85" s="295"/>
      <c r="O85" s="295"/>
      <c r="P85" s="296">
        <f>SUM(compras_mes1[[#This Row],[NETO GRAVADO]:[Otros / No Grav.]])</f>
        <v>48400</v>
      </c>
      <c r="Q85" s="297" t="str">
        <f>IFERROR(IF(compras_mes1[[#This Row],[CUIT]]="","-",VLOOKUP(compras_mes1[[#This Row],[CUIT]],Lista_CUIT[#All],3,0)),"CUIT NO CARGADO")</f>
        <v>Papeleria</v>
      </c>
      <c r="R85" s="297">
        <f>IFERROR(IF(compras_mes1[[#This Row],[CUIT]]="","-",VLOOKUP(compras_mes1[[#This Row],[CUIT]],Lista_CUIT[#All],4,0)),"CUIT NO CARGADO")</f>
        <v>0</v>
      </c>
    </row>
    <row r="86" spans="2:18" x14ac:dyDescent="0.25">
      <c r="B86" s="288">
        <v>45683</v>
      </c>
      <c r="C86" s="289">
        <v>1</v>
      </c>
      <c r="D86" s="290">
        <v>5</v>
      </c>
      <c r="E86" s="291">
        <v>38</v>
      </c>
      <c r="F86" s="292">
        <v>20929183143</v>
      </c>
      <c r="G86" s="293" t="str">
        <f>IFERROR(IF(compras_mes1[[#This Row],[CUIT]]="","-",VLOOKUP(compras_mes1[[#This Row],[CUIT]],Lista_CUIT[#All],2,0)),"CUIT NO CARGADO")</f>
        <v>MA JUN</v>
      </c>
      <c r="H86" s="294">
        <v>70000</v>
      </c>
      <c r="I86" s="295">
        <f>IF(compras_mes1[[#This Row],[NETO GRAVADO]]="","",compras_mes1[[#This Row],[NETO GRAVADO]]*0.21)</f>
        <v>14700</v>
      </c>
      <c r="J86" s="295"/>
      <c r="K86" s="295"/>
      <c r="L86" s="295"/>
      <c r="M86" s="295"/>
      <c r="N86" s="295"/>
      <c r="O86" s="295"/>
      <c r="P86" s="296">
        <f>SUM(compras_mes1[[#This Row],[NETO GRAVADO]:[Otros / No Grav.]])</f>
        <v>84700</v>
      </c>
      <c r="Q86" s="297" t="str">
        <f>IFERROR(IF(compras_mes1[[#This Row],[CUIT]]="","-",VLOOKUP(compras_mes1[[#This Row],[CUIT]],Lista_CUIT[#All],3,0)),"CUIT NO CARGADO")</f>
        <v>Gastos Varios</v>
      </c>
      <c r="R86" s="297">
        <f>IFERROR(IF(compras_mes1[[#This Row],[CUIT]]="","-",VLOOKUP(compras_mes1[[#This Row],[CUIT]],Lista_CUIT[#All],4,0)),"CUIT NO CARGADO")</f>
        <v>0</v>
      </c>
    </row>
    <row r="87" spans="2:18" x14ac:dyDescent="0.25">
      <c r="B87" s="288">
        <v>45684</v>
      </c>
      <c r="C87" s="289">
        <v>1</v>
      </c>
      <c r="D87" s="290">
        <v>9</v>
      </c>
      <c r="E87" s="291">
        <v>4584</v>
      </c>
      <c r="F87" s="292">
        <v>30709904872</v>
      </c>
      <c r="G87" s="293" t="str">
        <f>IFERROR(IF(compras_mes1[[#This Row],[CUIT]]="","-",VLOOKUP(compras_mes1[[#This Row],[CUIT]],Lista_CUIT[#All],2,0)),"CUIT NO CARGADO")</f>
        <v>LOGISTICA DE LA COSTA SA</v>
      </c>
      <c r="H87" s="294">
        <v>30800</v>
      </c>
      <c r="I87" s="85">
        <f>IF(compras_mes1[[#This Row],[NETO GRAVADO]]="","",compras_mes1[[#This Row],[NETO GRAVADO]]*0.21)</f>
        <v>6468</v>
      </c>
      <c r="J87" s="85"/>
      <c r="K87" s="85"/>
      <c r="L87" s="295"/>
      <c r="M87" s="295"/>
      <c r="N87" s="295"/>
      <c r="O87" s="295"/>
      <c r="P87" s="296">
        <f>SUM(compras_mes1[[#This Row],[NETO GRAVADO]:[Otros / No Grav.]])</f>
        <v>37268</v>
      </c>
      <c r="Q87" s="297" t="str">
        <f>IFERROR(IF(compras_mes1[[#This Row],[CUIT]]="","-",VLOOKUP(compras_mes1[[#This Row],[CUIT]],Lista_CUIT[#All],3,0)),"CUIT NO CARGADO")</f>
        <v>Flete</v>
      </c>
      <c r="R87" s="297">
        <f>IFERROR(IF(compras_mes1[[#This Row],[CUIT]]="","-",VLOOKUP(compras_mes1[[#This Row],[CUIT]],Lista_CUIT[#All],4,0)),"CUIT NO CARGADO")</f>
        <v>0</v>
      </c>
    </row>
    <row r="88" spans="2:18" x14ac:dyDescent="0.25">
      <c r="B88" s="288">
        <v>45684</v>
      </c>
      <c r="C88" s="289">
        <v>1</v>
      </c>
      <c r="D88" s="290">
        <v>4</v>
      </c>
      <c r="E88" s="291">
        <v>39236</v>
      </c>
      <c r="F88" s="292">
        <v>20289111329</v>
      </c>
      <c r="G88" s="293" t="str">
        <f>IFERROR(IF(compras_mes1[[#This Row],[CUIT]]="","-",VLOOKUP(compras_mes1[[#This Row],[CUIT]],Lista_CUIT[#All],2,0)),"CUIT NO CARGADO")</f>
        <v>R. N. LEDESMA</v>
      </c>
      <c r="H88" s="294">
        <v>3125342.65</v>
      </c>
      <c r="I88" s="85">
        <f>IF(compras_mes1[[#This Row],[NETO GRAVADO]]="","",compras_mes1[[#This Row],[NETO GRAVADO]]*0.21)</f>
        <v>656321.95649999997</v>
      </c>
      <c r="J88" s="85"/>
      <c r="K88" s="85"/>
      <c r="L88" s="295"/>
      <c r="M88" s="295"/>
      <c r="N88" s="295"/>
      <c r="O88" s="295"/>
      <c r="P88" s="296">
        <f>SUM(compras_mes1[[#This Row],[NETO GRAVADO]:[Otros / No Grav.]])</f>
        <v>3781664.6064999998</v>
      </c>
      <c r="Q88" s="297" t="str">
        <f>IFERROR(IF(compras_mes1[[#This Row],[CUIT]]="","-",VLOOKUP(compras_mes1[[#This Row],[CUIT]],Lista_CUIT[#All],3,0)),"CUIT NO CARGADO")</f>
        <v>Insumo</v>
      </c>
      <c r="R88" s="297">
        <f>IFERROR(IF(compras_mes1[[#This Row],[CUIT]]="","-",VLOOKUP(compras_mes1[[#This Row],[CUIT]],Lista_CUIT[#All],4,0)),"CUIT NO CARGADO")</f>
        <v>0</v>
      </c>
    </row>
    <row r="89" spans="2:18" x14ac:dyDescent="0.25">
      <c r="B89" s="288">
        <v>45684</v>
      </c>
      <c r="C89" s="289">
        <v>1</v>
      </c>
      <c r="D89" s="290">
        <v>7</v>
      </c>
      <c r="E89" s="291">
        <v>258784</v>
      </c>
      <c r="F89" s="292">
        <v>30708395443</v>
      </c>
      <c r="G89" s="293" t="str">
        <f>IFERROR(IF(compras_mes1[[#This Row],[CUIT]]="","-",VLOOKUP(compras_mes1[[#This Row],[CUIT]],Lista_CUIT[#All],2,0)),"CUIT NO CARGADO")</f>
        <v>SUPERFOTO S R L</v>
      </c>
      <c r="H89" s="294">
        <v>132230.57999999999</v>
      </c>
      <c r="I89" s="85">
        <f>IF(compras_mes1[[#This Row],[NETO GRAVADO]]="","",compras_mes1[[#This Row],[NETO GRAVADO]]*0.21)</f>
        <v>27768.421799999996</v>
      </c>
      <c r="J89" s="85"/>
      <c r="K89" s="85"/>
      <c r="L89" s="295"/>
      <c r="M89" s="295"/>
      <c r="N89" s="295"/>
      <c r="O89" s="295"/>
      <c r="P89" s="296">
        <f>SUM(compras_mes1[[#This Row],[NETO GRAVADO]:[Otros / No Grav.]])</f>
        <v>159999.00179999997</v>
      </c>
      <c r="Q89" s="297" t="str">
        <f>IFERROR(IF(compras_mes1[[#This Row],[CUIT]]="","-",VLOOKUP(compras_mes1[[#This Row],[CUIT]],Lista_CUIT[#All],3,0)),"CUIT NO CARGADO")</f>
        <v>Gastos Varios</v>
      </c>
      <c r="R89" s="297">
        <f>IFERROR(IF(compras_mes1[[#This Row],[CUIT]]="","-",VLOOKUP(compras_mes1[[#This Row],[CUIT]],Lista_CUIT[#All],4,0)),"CUIT NO CARGADO")</f>
        <v>0</v>
      </c>
    </row>
    <row r="90" spans="2:18" x14ac:dyDescent="0.25">
      <c r="B90" s="288">
        <v>45684</v>
      </c>
      <c r="C90" s="289">
        <v>1</v>
      </c>
      <c r="D90" s="290">
        <v>13</v>
      </c>
      <c r="E90" s="291">
        <v>3295</v>
      </c>
      <c r="F90" s="292">
        <v>20119743959</v>
      </c>
      <c r="G90" s="293" t="str">
        <f>IFERROR(IF(compras_mes1[[#This Row],[CUIT]]="","-",VLOOKUP(compras_mes1[[#This Row],[CUIT]],Lista_CUIT[#All],2,0)),"CUIT NO CARGADO")</f>
        <v>BENNUN FERNANDO RUBEN</v>
      </c>
      <c r="H90" s="294">
        <v>750000</v>
      </c>
      <c r="I90" s="85">
        <f>IF(compras_mes1[[#This Row],[NETO GRAVADO]]="","",compras_mes1[[#This Row],[NETO GRAVADO]]*0.21)</f>
        <v>157500</v>
      </c>
      <c r="J90" s="85"/>
      <c r="K90" s="85"/>
      <c r="L90" s="295"/>
      <c r="M90" s="295"/>
      <c r="N90" s="295"/>
      <c r="O90" s="295"/>
      <c r="P90" s="296">
        <f>SUM(compras_mes1[[#This Row],[NETO GRAVADO]:[Otros / No Grav.]])</f>
        <v>907500</v>
      </c>
      <c r="Q90" s="297" t="str">
        <f>IFERROR(IF(compras_mes1[[#This Row],[CUIT]]="","-",VLOOKUP(compras_mes1[[#This Row],[CUIT]],Lista_CUIT[#All],3,0)),"CUIT NO CARGADO")</f>
        <v>PROVEEDOR</v>
      </c>
      <c r="R90" s="297">
        <f>IFERROR(IF(compras_mes1[[#This Row],[CUIT]]="","-",VLOOKUP(compras_mes1[[#This Row],[CUIT]],Lista_CUIT[#All],4,0)),"CUIT NO CARGADO")</f>
        <v>0</v>
      </c>
    </row>
    <row r="91" spans="2:18" x14ac:dyDescent="0.25">
      <c r="B91" s="564">
        <v>45684</v>
      </c>
      <c r="C91" s="565">
        <v>1</v>
      </c>
      <c r="D91" s="566">
        <v>4</v>
      </c>
      <c r="E91" s="567">
        <v>150</v>
      </c>
      <c r="F91" s="568">
        <v>20317488476</v>
      </c>
      <c r="G91" s="569" t="str">
        <f>IFERROR(IF(compras_mes1[[#This Row],[CUIT]]="","-",VLOOKUP(compras_mes1[[#This Row],[CUIT]],Lista_CUIT[#All],2,0)),"CUIT NO CARGADO")</f>
        <v>MIGUEL ANGEL VILLALBA</v>
      </c>
      <c r="H91" s="570">
        <v>1155000</v>
      </c>
      <c r="I91" s="574">
        <f>IF(compras_mes1[[#This Row],[NETO GRAVADO]]="","",compras_mes1[[#This Row],[NETO GRAVADO]]*0.21)</f>
        <v>242550</v>
      </c>
      <c r="J91" s="574"/>
      <c r="K91" s="574"/>
      <c r="L91" s="571"/>
      <c r="M91" s="571"/>
      <c r="N91" s="571"/>
      <c r="O91" s="571"/>
      <c r="P91" s="572">
        <f>SUM(compras_mes1[[#This Row],[NETO GRAVADO]:[Otros / No Grav.]])</f>
        <v>1397550</v>
      </c>
      <c r="Q91" s="562" t="s">
        <v>2515</v>
      </c>
      <c r="R91" s="573">
        <f>IFERROR(IF(compras_mes1[[#This Row],[CUIT]]="","-",VLOOKUP(compras_mes1[[#This Row],[CUIT]],Lista_CUIT[#All],4,0)),"CUIT NO CARGADO")</f>
        <v>0</v>
      </c>
    </row>
    <row r="92" spans="2:18" x14ac:dyDescent="0.25">
      <c r="B92" s="288">
        <v>45685</v>
      </c>
      <c r="C92" s="289">
        <v>1</v>
      </c>
      <c r="D92" s="290">
        <v>7</v>
      </c>
      <c r="E92" s="291">
        <v>20115</v>
      </c>
      <c r="F92" s="292">
        <v>30709214078</v>
      </c>
      <c r="G92" s="293" t="str">
        <f>IFERROR(IF(compras_mes1[[#This Row],[CUIT]]="","-",VLOOKUP(compras_mes1[[#This Row],[CUIT]],Lista_CUIT[#All],2,0)),"CUIT NO CARGADO")</f>
        <v>REHAVITA S.A</v>
      </c>
      <c r="H92" s="294">
        <v>632500</v>
      </c>
      <c r="I92" s="85"/>
      <c r="J92" s="85"/>
      <c r="K92" s="85">
        <f>compras_mes1[[#This Row],[NETO GRAVADO]]*10.5/100</f>
        <v>66412.5</v>
      </c>
      <c r="L92" s="295"/>
      <c r="M92" s="295"/>
      <c r="N92" s="295"/>
      <c r="O92" s="295"/>
      <c r="P92" s="296">
        <f>SUM(compras_mes1[[#This Row],[NETO GRAVADO]:[Otros / No Grav.]])</f>
        <v>698912.5</v>
      </c>
      <c r="Q92" s="297" t="str">
        <f>IFERROR(IF(compras_mes1[[#This Row],[CUIT]]="","-",VLOOKUP(compras_mes1[[#This Row],[CUIT]],Lista_CUIT[#All],3,0)),"CUIT NO CARGADO")</f>
        <v>INSUMO</v>
      </c>
      <c r="R92" s="297">
        <f>IFERROR(IF(compras_mes1[[#This Row],[CUIT]]="","-",VLOOKUP(compras_mes1[[#This Row],[CUIT]],Lista_CUIT[#All],4,0)),"CUIT NO CARGADO")</f>
        <v>0</v>
      </c>
    </row>
    <row r="93" spans="2:18" x14ac:dyDescent="0.25">
      <c r="B93" s="388">
        <v>45685</v>
      </c>
      <c r="C93" s="289">
        <v>1</v>
      </c>
      <c r="D93" s="389">
        <v>2</v>
      </c>
      <c r="E93" s="129">
        <v>32</v>
      </c>
      <c r="F93" s="390">
        <v>27243660535</v>
      </c>
      <c r="G93" s="391" t="str">
        <f>IFERROR(IF(compras_mes1[[#This Row],[CUIT]]="","-",VLOOKUP(compras_mes1[[#This Row],[CUIT]],Lista_CUIT[#All],2,0)),"CUIT NO CARGADO")</f>
        <v>BARD MARISA SILVIA</v>
      </c>
      <c r="H93" s="392">
        <v>414537</v>
      </c>
      <c r="I93" s="85">
        <f>IF(compras_mes1[[#This Row],[NETO GRAVADO]]="","",compras_mes1[[#This Row],[NETO GRAVADO]]*0.21)</f>
        <v>87052.76999999999</v>
      </c>
      <c r="J93" s="85"/>
      <c r="K93" s="85"/>
      <c r="L93" s="393"/>
      <c r="M93" s="393"/>
      <c r="N93" s="393"/>
      <c r="O93" s="393"/>
      <c r="P93" s="394">
        <f>SUM(compras_mes1[[#This Row],[NETO GRAVADO]:[Otros / No Grav.]])</f>
        <v>501589.77</v>
      </c>
      <c r="Q93" s="395" t="str">
        <f>IFERROR(IF(compras_mes1[[#This Row],[CUIT]]="","-",VLOOKUP(compras_mes1[[#This Row],[CUIT]],Lista_CUIT[#All],3,0)),"CUIT NO CARGADO")</f>
        <v>Insumos</v>
      </c>
      <c r="R93" s="395">
        <f>IFERROR(IF(compras_mes1[[#This Row],[CUIT]]="","-",VLOOKUP(compras_mes1[[#This Row],[CUIT]],Lista_CUIT[#All],4,0)),"CUIT NO CARGADO")</f>
        <v>0</v>
      </c>
    </row>
    <row r="94" spans="2:18" x14ac:dyDescent="0.25">
      <c r="B94" s="388">
        <v>45685</v>
      </c>
      <c r="C94" s="289">
        <v>1</v>
      </c>
      <c r="D94" s="389">
        <v>6</v>
      </c>
      <c r="E94" s="129">
        <v>55956</v>
      </c>
      <c r="F94" s="390">
        <v>30710177658</v>
      </c>
      <c r="G94" s="391" t="str">
        <f>IFERROR(IF(compras_mes1[[#This Row],[CUIT]]="","-",VLOOKUP(compras_mes1[[#This Row],[CUIT]],Lista_CUIT[#All],2,0)),"CUIT NO CARGADO")</f>
        <v>TARGET MEDICAL SA</v>
      </c>
      <c r="H94" s="392">
        <v>1488106.7</v>
      </c>
      <c r="I94" s="85">
        <f>IF(compras_mes1[[#This Row],[NETO GRAVADO]]="","",compras_mes1[[#This Row],[NETO GRAVADO]]*0.21)</f>
        <v>312502.40700000001</v>
      </c>
      <c r="J94" s="85"/>
      <c r="K94" s="85"/>
      <c r="L94" s="393"/>
      <c r="M94" s="393"/>
      <c r="N94" s="393"/>
      <c r="O94" s="393"/>
      <c r="P94" s="394">
        <f>SUM(compras_mes1[[#This Row],[NETO GRAVADO]:[Otros / No Grav.]])</f>
        <v>1800609.1069999998</v>
      </c>
      <c r="Q94" s="395" t="str">
        <f>IFERROR(IF(compras_mes1[[#This Row],[CUIT]]="","-",VLOOKUP(compras_mes1[[#This Row],[CUIT]],Lista_CUIT[#All],3,0)),"CUIT NO CARGADO")</f>
        <v>INSUMO</v>
      </c>
      <c r="R94" s="395">
        <f>IFERROR(IF(compras_mes1[[#This Row],[CUIT]]="","-",VLOOKUP(compras_mes1[[#This Row],[CUIT]],Lista_CUIT[#All],4,0)),"CUIT NO CARGADO")</f>
        <v>0</v>
      </c>
    </row>
    <row r="95" spans="2:18" x14ac:dyDescent="0.25">
      <c r="B95" s="288">
        <v>45686</v>
      </c>
      <c r="C95" s="289">
        <v>1</v>
      </c>
      <c r="D95" s="290">
        <v>12</v>
      </c>
      <c r="E95" s="291">
        <v>3334726</v>
      </c>
      <c r="F95" s="292">
        <v>30703088534</v>
      </c>
      <c r="G95" s="293" t="str">
        <f>IFERROR(IF(compras_mes1[[#This Row],[CUIT]]="","-",VLOOKUP(compras_mes1[[#This Row],[CUIT]],Lista_CUIT[#All],2,0)),"CUIT NO CARGADO")</f>
        <v>MERCADO LIBRE SRL</v>
      </c>
      <c r="H95" s="294">
        <v>50228.69</v>
      </c>
      <c r="I95" s="85">
        <f>IF(compras_mes1[[#This Row],[NETO GRAVADO]]="","",compras_mes1[[#This Row],[NETO GRAVADO]]*0.21)</f>
        <v>10548.0249</v>
      </c>
      <c r="J95" s="85"/>
      <c r="K95" s="85"/>
      <c r="L95" s="295"/>
      <c r="M95" s="295"/>
      <c r="N95" s="295"/>
      <c r="O95" s="295"/>
      <c r="P95" s="296">
        <f>SUM(compras_mes1[[#This Row],[NETO GRAVADO]:[Otros / No Grav.]])</f>
        <v>60776.714900000006</v>
      </c>
      <c r="Q95" s="297" t="str">
        <f>IFERROR(IF(compras_mes1[[#This Row],[CUIT]]="","-",VLOOKUP(compras_mes1[[#This Row],[CUIT]],Lista_CUIT[#All],3,0)),"CUIT NO CARGADO")</f>
        <v>PLATAFORMA ONLINE</v>
      </c>
      <c r="R95" s="297">
        <f>IFERROR(IF(compras_mes1[[#This Row],[CUIT]]="","-",VLOOKUP(compras_mes1[[#This Row],[CUIT]],Lista_CUIT[#All],4,0)),"CUIT NO CARGADO")</f>
        <v>0</v>
      </c>
    </row>
    <row r="96" spans="2:18" x14ac:dyDescent="0.25">
      <c r="B96" s="388">
        <v>45686</v>
      </c>
      <c r="C96" s="289">
        <v>1</v>
      </c>
      <c r="D96" s="389">
        <v>3</v>
      </c>
      <c r="E96" s="129">
        <v>230</v>
      </c>
      <c r="F96" s="390">
        <v>20334976433</v>
      </c>
      <c r="G96" s="391" t="str">
        <f>IFERROR(IF(compras_mes1[[#This Row],[CUIT]]="","-",VLOOKUP(compras_mes1[[#This Row],[CUIT]],Lista_CUIT[#All],2,0)),"CUIT NO CARGADO")</f>
        <v>NARDOMARINO EZEQUIEL EDUARDO</v>
      </c>
      <c r="H96" s="392">
        <v>130000</v>
      </c>
      <c r="I96" s="85">
        <f>IF(compras_mes1[[#This Row],[NETO GRAVADO]]="","",compras_mes1[[#This Row],[NETO GRAVADO]]*0.21)</f>
        <v>27300</v>
      </c>
      <c r="J96" s="85"/>
      <c r="K96" s="85"/>
      <c r="L96" s="393"/>
      <c r="M96" s="393"/>
      <c r="N96" s="393"/>
      <c r="O96" s="393"/>
      <c r="P96" s="394">
        <f>SUM(compras_mes1[[#This Row],[NETO GRAVADO]:[Otros / No Grav.]])</f>
        <v>157300</v>
      </c>
      <c r="Q96" s="395" t="str">
        <f>IFERROR(IF(compras_mes1[[#This Row],[CUIT]]="","-",VLOOKUP(compras_mes1[[#This Row],[CUIT]],Lista_CUIT[#All],3,0)),"CUIT NO CARGADO")</f>
        <v>FLETE</v>
      </c>
      <c r="R96" s="395">
        <f>IFERROR(IF(compras_mes1[[#This Row],[CUIT]]="","-",VLOOKUP(compras_mes1[[#This Row],[CUIT]],Lista_CUIT[#All],4,0)),"CUIT NO CARGADO")</f>
        <v>0</v>
      </c>
    </row>
    <row r="97" spans="2:18" x14ac:dyDescent="0.25">
      <c r="B97" s="388">
        <v>45686</v>
      </c>
      <c r="C97" s="289">
        <v>1</v>
      </c>
      <c r="D97" s="389">
        <v>3</v>
      </c>
      <c r="E97" s="129">
        <v>231</v>
      </c>
      <c r="F97" s="390">
        <v>20334976433</v>
      </c>
      <c r="G97" s="391" t="str">
        <f>IFERROR(IF(compras_mes1[[#This Row],[CUIT]]="","-",VLOOKUP(compras_mes1[[#This Row],[CUIT]],Lista_CUIT[#All],2,0)),"CUIT NO CARGADO")</f>
        <v>NARDOMARINO EZEQUIEL EDUARDO</v>
      </c>
      <c r="H97" s="392">
        <v>180000</v>
      </c>
      <c r="I97" s="85">
        <f>IF(compras_mes1[[#This Row],[NETO GRAVADO]]="","",compras_mes1[[#This Row],[NETO GRAVADO]]*0.21)</f>
        <v>37800</v>
      </c>
      <c r="J97" s="85"/>
      <c r="K97" s="85"/>
      <c r="L97" s="393"/>
      <c r="M97" s="393"/>
      <c r="N97" s="393"/>
      <c r="O97" s="393"/>
      <c r="P97" s="394">
        <f>SUM(compras_mes1[[#This Row],[NETO GRAVADO]:[Otros / No Grav.]])</f>
        <v>217800</v>
      </c>
      <c r="Q97" s="395" t="str">
        <f>IFERROR(IF(compras_mes1[[#This Row],[CUIT]]="","-",VLOOKUP(compras_mes1[[#This Row],[CUIT]],Lista_CUIT[#All],3,0)),"CUIT NO CARGADO")</f>
        <v>FLETE</v>
      </c>
      <c r="R97" s="395">
        <f>IFERROR(IF(compras_mes1[[#This Row],[CUIT]]="","-",VLOOKUP(compras_mes1[[#This Row],[CUIT]],Lista_CUIT[#All],4,0)),"CUIT NO CARGADO")</f>
        <v>0</v>
      </c>
    </row>
    <row r="98" spans="2:18" x14ac:dyDescent="0.25">
      <c r="B98" s="388">
        <v>45686</v>
      </c>
      <c r="C98" s="289">
        <v>1</v>
      </c>
      <c r="D98" s="389">
        <v>3</v>
      </c>
      <c r="E98" s="129">
        <v>232</v>
      </c>
      <c r="F98" s="390">
        <v>20334976433</v>
      </c>
      <c r="G98" s="391" t="str">
        <f>IFERROR(IF(compras_mes1[[#This Row],[CUIT]]="","-",VLOOKUP(compras_mes1[[#This Row],[CUIT]],Lista_CUIT[#All],2,0)),"CUIT NO CARGADO")</f>
        <v>NARDOMARINO EZEQUIEL EDUARDO</v>
      </c>
      <c r="H98" s="392">
        <v>180000</v>
      </c>
      <c r="I98" s="85">
        <f>IF(compras_mes1[[#This Row],[NETO GRAVADO]]="","",compras_mes1[[#This Row],[NETO GRAVADO]]*0.21)</f>
        <v>37800</v>
      </c>
      <c r="J98" s="85"/>
      <c r="K98" s="85"/>
      <c r="L98" s="393"/>
      <c r="M98" s="393"/>
      <c r="N98" s="393"/>
      <c r="O98" s="393"/>
      <c r="P98" s="394">
        <f>SUM(compras_mes1[[#This Row],[NETO GRAVADO]:[Otros / No Grav.]])</f>
        <v>217800</v>
      </c>
      <c r="Q98" s="395" t="str">
        <f>IFERROR(IF(compras_mes1[[#This Row],[CUIT]]="","-",VLOOKUP(compras_mes1[[#This Row],[CUIT]],Lista_CUIT[#All],3,0)),"CUIT NO CARGADO")</f>
        <v>FLETE</v>
      </c>
      <c r="R98" s="395">
        <f>IFERROR(IF(compras_mes1[[#This Row],[CUIT]]="","-",VLOOKUP(compras_mes1[[#This Row],[CUIT]],Lista_CUIT[#All],4,0)),"CUIT NO CARGADO")</f>
        <v>0</v>
      </c>
    </row>
    <row r="99" spans="2:18" x14ac:dyDescent="0.25">
      <c r="B99" s="388">
        <v>45687</v>
      </c>
      <c r="C99" s="289">
        <v>1</v>
      </c>
      <c r="D99" s="389">
        <v>1</v>
      </c>
      <c r="E99" s="129">
        <v>710</v>
      </c>
      <c r="F99" s="390">
        <v>30715613952</v>
      </c>
      <c r="G99" s="391" t="str">
        <f>IFERROR(IF(compras_mes1[[#This Row],[CUIT]]="","-",VLOOKUP(compras_mes1[[#This Row],[CUIT]],Lista_CUIT[#All],2,0)),"CUIT NO CARGADO")</f>
        <v>LAVALLETEXTIL SA</v>
      </c>
      <c r="H99" s="392">
        <v>120000</v>
      </c>
      <c r="I99" s="85">
        <f>IF(compras_mes1[[#This Row],[NETO GRAVADO]]="","",compras_mes1[[#This Row],[NETO GRAVADO]]*0.21)</f>
        <v>25200</v>
      </c>
      <c r="J99" s="85"/>
      <c r="K99" s="85"/>
      <c r="L99" s="393"/>
      <c r="M99" s="393"/>
      <c r="N99" s="393"/>
      <c r="O99" s="393"/>
      <c r="P99" s="394">
        <f>SUM(compras_mes1[[#This Row],[NETO GRAVADO]:[Otros / No Grav.]])</f>
        <v>145200</v>
      </c>
      <c r="Q99" s="395" t="str">
        <f>IFERROR(IF(compras_mes1[[#This Row],[CUIT]]="","-",VLOOKUP(compras_mes1[[#This Row],[CUIT]],Lista_CUIT[#All],3,0)),"CUIT NO CARGADO")</f>
        <v>textil</v>
      </c>
      <c r="R99" s="395">
        <f>IFERROR(IF(compras_mes1[[#This Row],[CUIT]]="","-",VLOOKUP(compras_mes1[[#This Row],[CUIT]],Lista_CUIT[#All],4,0)),"CUIT NO CARGADO")</f>
        <v>0</v>
      </c>
    </row>
    <row r="100" spans="2:18" x14ac:dyDescent="0.25">
      <c r="B100" s="288">
        <v>45687</v>
      </c>
      <c r="C100" s="289">
        <v>1</v>
      </c>
      <c r="D100" s="290">
        <v>17</v>
      </c>
      <c r="E100" s="291">
        <v>2653</v>
      </c>
      <c r="F100" s="292">
        <v>30711764921</v>
      </c>
      <c r="G100" s="293" t="str">
        <f>IFERROR(IF(compras_mes1[[#This Row],[CUIT]]="","-",VLOOKUP(compras_mes1[[#This Row],[CUIT]],Lista_CUIT[#All],2,0)),"CUIT NO CARGADO")</f>
        <v>RELIEF CENTER SRL</v>
      </c>
      <c r="H100" s="294">
        <v>88640</v>
      </c>
      <c r="I100" s="85">
        <f>IF(compras_mes1[[#This Row],[NETO GRAVADO]]="","",compras_mes1[[#This Row],[NETO GRAVADO]]*0.21)</f>
        <v>18614.399999999998</v>
      </c>
      <c r="J100" s="85"/>
      <c r="K100" s="85"/>
      <c r="L100" s="295"/>
      <c r="M100" s="295"/>
      <c r="N100" s="295"/>
      <c r="O100" s="295"/>
      <c r="P100" s="296">
        <f>SUM(compras_mes1[[#This Row],[NETO GRAVADO]:[Otros / No Grav.]])</f>
        <v>107254.39999999999</v>
      </c>
      <c r="Q100" s="297" t="str">
        <f>IFERROR(IF(compras_mes1[[#This Row],[CUIT]]="","-",VLOOKUP(compras_mes1[[#This Row],[CUIT]],Lista_CUIT[#All],3,0)),"CUIT NO CARGADO")</f>
        <v>INSUMO</v>
      </c>
      <c r="R100" s="297">
        <f>IFERROR(IF(compras_mes1[[#This Row],[CUIT]]="","-",VLOOKUP(compras_mes1[[#This Row],[CUIT]],Lista_CUIT[#All],4,0)),"CUIT NO CARGADO")</f>
        <v>0</v>
      </c>
    </row>
    <row r="101" spans="2:18" x14ac:dyDescent="0.25">
      <c r="B101" s="288">
        <v>45687</v>
      </c>
      <c r="C101" s="289">
        <v>1</v>
      </c>
      <c r="D101" s="290">
        <v>7</v>
      </c>
      <c r="E101" s="291">
        <v>19</v>
      </c>
      <c r="F101" s="292">
        <v>27325223273</v>
      </c>
      <c r="G101" s="293" t="str">
        <f>IFERROR(IF(compras_mes1[[#This Row],[CUIT]]="","-",VLOOKUP(compras_mes1[[#This Row],[CUIT]],Lista_CUIT[#All],2,0)),"CUIT NO CARGADO")</f>
        <v>SOUSA ALDERETE ALEJANDRA MABEL</v>
      </c>
      <c r="H101" s="294">
        <v>49000</v>
      </c>
      <c r="I101" s="85">
        <f>IF(compras_mes1[[#This Row],[NETO GRAVADO]]="","",compras_mes1[[#This Row],[NETO GRAVADO]]*0.21)</f>
        <v>10290</v>
      </c>
      <c r="J101" s="85"/>
      <c r="K101" s="85"/>
      <c r="L101" s="295"/>
      <c r="M101" s="295"/>
      <c r="N101" s="295"/>
      <c r="O101" s="295"/>
      <c r="P101" s="296">
        <f>SUM(compras_mes1[[#This Row],[NETO GRAVADO]:[Otros / No Grav.]])</f>
        <v>59290</v>
      </c>
      <c r="Q101" s="297" t="str">
        <f>IFERROR(IF(compras_mes1[[#This Row],[CUIT]]="","-",VLOOKUP(compras_mes1[[#This Row],[CUIT]],Lista_CUIT[#All],3,0)),"CUIT NO CARGADO")</f>
        <v>Insumos</v>
      </c>
      <c r="R101" s="297">
        <f>IFERROR(IF(compras_mes1[[#This Row],[CUIT]]="","-",VLOOKUP(compras_mes1[[#This Row],[CUIT]],Lista_CUIT[#All],4,0)),"CUIT NO CARGADO")</f>
        <v>0</v>
      </c>
    </row>
    <row r="102" spans="2:18" x14ac:dyDescent="0.25">
      <c r="B102" s="288">
        <v>45687</v>
      </c>
      <c r="C102" s="289">
        <v>1</v>
      </c>
      <c r="D102" s="290">
        <v>2</v>
      </c>
      <c r="E102" s="291">
        <v>11374</v>
      </c>
      <c r="F102" s="292">
        <v>30714331082</v>
      </c>
      <c r="G102" s="293" t="str">
        <f>IFERROR(IF(compras_mes1[[#This Row],[CUIT]]="","-",VLOOKUP(compras_mes1[[#This Row],[CUIT]],Lista_CUIT[#All],2,0)),"CUIT NO CARGADO")</f>
        <v>ORTOPEDIA CASA ESCALADA SRL</v>
      </c>
      <c r="H102" s="294">
        <v>482335.25</v>
      </c>
      <c r="I102" s="85">
        <f>IF(compras_mes1[[#This Row],[NETO GRAVADO]]="","",compras_mes1[[#This Row],[NETO GRAVADO]]*0.21)</f>
        <v>101290.4025</v>
      </c>
      <c r="J102" s="85"/>
      <c r="K102" s="85"/>
      <c r="L102" s="295"/>
      <c r="M102" s="295"/>
      <c r="N102" s="295"/>
      <c r="O102" s="295"/>
      <c r="P102" s="296">
        <f>SUM(compras_mes1[[#This Row],[NETO GRAVADO]:[Otros / No Grav.]])</f>
        <v>583625.65249999997</v>
      </c>
      <c r="Q102" s="297" t="str">
        <f>IFERROR(IF(compras_mes1[[#This Row],[CUIT]]="","-",VLOOKUP(compras_mes1[[#This Row],[CUIT]],Lista_CUIT[#All],3,0)),"CUIT NO CARGADO")</f>
        <v>INSUMO</v>
      </c>
      <c r="R102" s="297">
        <f>IFERROR(IF(compras_mes1[[#This Row],[CUIT]]="","-",VLOOKUP(compras_mes1[[#This Row],[CUIT]],Lista_CUIT[#All],4,0)),"CUIT NO CARGADO")</f>
        <v>0</v>
      </c>
    </row>
    <row r="103" spans="2:18" x14ac:dyDescent="0.25">
      <c r="B103" s="288">
        <v>45688</v>
      </c>
      <c r="C103" s="289">
        <v>1</v>
      </c>
      <c r="D103" s="290">
        <v>6</v>
      </c>
      <c r="E103" s="291">
        <v>18499902</v>
      </c>
      <c r="F103" s="292">
        <v>30620177497</v>
      </c>
      <c r="G103" s="293" t="str">
        <f>IFERROR(IF(compras_mes1[[#This Row],[CUIT]]="","-",VLOOKUP(compras_mes1[[#This Row],[CUIT]],Lista_CUIT[#All],2,0)),"CUIT NO CARGADO")</f>
        <v>POSNET SOCIEDAD DE RESPONSABILIDAD LIMITADA</v>
      </c>
      <c r="H103" s="294">
        <v>0</v>
      </c>
      <c r="I103" s="85">
        <f>IF(compras_mes1[[#This Row],[NETO GRAVADO]]="","",compras_mes1[[#This Row],[NETO GRAVADO]]*0.21)</f>
        <v>0</v>
      </c>
      <c r="J103" s="85"/>
      <c r="K103" s="85"/>
      <c r="L103" s="295"/>
      <c r="M103" s="295"/>
      <c r="N103" s="295"/>
      <c r="O103" s="295"/>
      <c r="P103" s="296">
        <f>SUM(compras_mes1[[#This Row],[NETO GRAVADO]:[Otros / No Grav.]])</f>
        <v>0</v>
      </c>
      <c r="Q103" s="297" t="str">
        <f>IFERROR(IF(compras_mes1[[#This Row],[CUIT]]="","-",VLOOKUP(compras_mes1[[#This Row],[CUIT]],Lista_CUIT[#All],3,0)),"CUIT NO CARGADO")</f>
        <v>Gastos Varios</v>
      </c>
      <c r="R103" s="297">
        <f>IFERROR(IF(compras_mes1[[#This Row],[CUIT]]="","-",VLOOKUP(compras_mes1[[#This Row],[CUIT]],Lista_CUIT[#All],4,0)),"CUIT NO CARGADO")</f>
        <v>0</v>
      </c>
    </row>
    <row r="104" spans="2:18" x14ac:dyDescent="0.25">
      <c r="B104" s="288">
        <v>45688</v>
      </c>
      <c r="C104" s="289">
        <v>1</v>
      </c>
      <c r="D104" s="290">
        <v>5015</v>
      </c>
      <c r="E104" s="291">
        <v>736663</v>
      </c>
      <c r="F104" s="292">
        <v>30574876474</v>
      </c>
      <c r="G104" s="293" t="str">
        <f>IFERROR(IF(compras_mes1[[#This Row],[CUIT]]="","-",VLOOKUP(compras_mes1[[#This Row],[CUIT]],Lista_CUIT[#All],2,0)),"CUIT NO CARGADO")</f>
        <v>AUTOP. URBANAS SA</v>
      </c>
      <c r="H104" s="294">
        <v>6078.1</v>
      </c>
      <c r="I104" s="85">
        <f>IF(compras_mes1[[#This Row],[NETO GRAVADO]]="","",compras_mes1[[#This Row],[NETO GRAVADO]]*0.21)</f>
        <v>1276.4010000000001</v>
      </c>
      <c r="J104" s="85"/>
      <c r="K104" s="85"/>
      <c r="L104" s="295"/>
      <c r="M104" s="295"/>
      <c r="N104" s="295"/>
      <c r="O104" s="295"/>
      <c r="P104" s="296">
        <f>SUM(compras_mes1[[#This Row],[NETO GRAVADO]:[Otros / No Grav.]])</f>
        <v>7354.5010000000002</v>
      </c>
      <c r="Q104" s="297" t="str">
        <f>IFERROR(IF(compras_mes1[[#This Row],[CUIT]]="","-",VLOOKUP(compras_mes1[[#This Row],[CUIT]],Lista_CUIT[#All],3,0)),"CUIT NO CARGADO")</f>
        <v>PEAJE</v>
      </c>
      <c r="R104" s="297">
        <f>IFERROR(IF(compras_mes1[[#This Row],[CUIT]]="","-",VLOOKUP(compras_mes1[[#This Row],[CUIT]],Lista_CUIT[#All],4,0)),"CUIT NO CARGADO")</f>
        <v>0</v>
      </c>
    </row>
    <row r="105" spans="2:18" x14ac:dyDescent="0.25">
      <c r="B105" s="288">
        <v>45688</v>
      </c>
      <c r="C105" s="289">
        <v>1</v>
      </c>
      <c r="D105" s="290">
        <v>3</v>
      </c>
      <c r="E105" s="291">
        <v>47873</v>
      </c>
      <c r="F105" s="292">
        <v>30711454388</v>
      </c>
      <c r="G105" s="293" t="str">
        <f>IFERROR(IF(compras_mes1[[#This Row],[CUIT]]="","-",VLOOKUP(compras_mes1[[#This Row],[CUIT]],Lista_CUIT[#All],2,0)),"CUIT NO CARGADO")</f>
        <v>LIPROT S.R.L.</v>
      </c>
      <c r="H105" s="294">
        <v>121204</v>
      </c>
      <c r="I105" s="85">
        <f>IF(compras_mes1[[#This Row],[NETO GRAVADO]]="","",compras_mes1[[#This Row],[NETO GRAVADO]]*0.21)</f>
        <v>25452.84</v>
      </c>
      <c r="J105" s="85"/>
      <c r="K105" s="85"/>
      <c r="L105" s="295"/>
      <c r="M105" s="295"/>
      <c r="N105" s="295"/>
      <c r="O105" s="295"/>
      <c r="P105" s="296">
        <f>SUM(compras_mes1[[#This Row],[NETO GRAVADO]:[Otros / No Grav.]])</f>
        <v>146656.84</v>
      </c>
      <c r="Q105" s="297" t="str">
        <f>IFERROR(IF(compras_mes1[[#This Row],[CUIT]]="","-",VLOOKUP(compras_mes1[[#This Row],[CUIT]],Lista_CUIT[#All],3,0)),"CUIT NO CARGADO")</f>
        <v>textil</v>
      </c>
      <c r="R105" s="297">
        <f>IFERROR(IF(compras_mes1[[#This Row],[CUIT]]="","-",VLOOKUP(compras_mes1[[#This Row],[CUIT]],Lista_CUIT[#All],4,0)),"CUIT NO CARGADO")</f>
        <v>0</v>
      </c>
    </row>
    <row r="106" spans="2:18" x14ac:dyDescent="0.25">
      <c r="B106" s="288">
        <v>45688</v>
      </c>
      <c r="C106" s="289">
        <v>1</v>
      </c>
      <c r="D106" s="290">
        <v>2</v>
      </c>
      <c r="E106" s="291">
        <v>11381</v>
      </c>
      <c r="F106" s="292">
        <v>30714331082</v>
      </c>
      <c r="G106" s="293" t="str">
        <f>IFERROR(IF(compras_mes1[[#This Row],[CUIT]]="","-",VLOOKUP(compras_mes1[[#This Row],[CUIT]],Lista_CUIT[#All],2,0)),"CUIT NO CARGADO")</f>
        <v>ORTOPEDIA CASA ESCALADA SRL</v>
      </c>
      <c r="H106" s="294">
        <v>75507.34</v>
      </c>
      <c r="I106" s="85">
        <f>IF(compras_mes1[[#This Row],[NETO GRAVADO]]="","",compras_mes1[[#This Row],[NETO GRAVADO]]*0.21)</f>
        <v>15856.541399999998</v>
      </c>
      <c r="J106" s="85"/>
      <c r="K106" s="85"/>
      <c r="L106" s="295"/>
      <c r="M106" s="295"/>
      <c r="N106" s="295"/>
      <c r="O106" s="295"/>
      <c r="P106" s="296">
        <f>SUM(compras_mes1[[#This Row],[NETO GRAVADO]:[Otros / No Grav.]])</f>
        <v>91363.881399999998</v>
      </c>
      <c r="Q106" s="297" t="str">
        <f>IFERROR(IF(compras_mes1[[#This Row],[CUIT]]="","-",VLOOKUP(compras_mes1[[#This Row],[CUIT]],Lista_CUIT[#All],3,0)),"CUIT NO CARGADO")</f>
        <v>INSUMO</v>
      </c>
      <c r="R106" s="297">
        <f>IFERROR(IF(compras_mes1[[#This Row],[CUIT]]="","-",VLOOKUP(compras_mes1[[#This Row],[CUIT]],Lista_CUIT[#All],4,0)),"CUIT NO CARGADO")</f>
        <v>0</v>
      </c>
    </row>
    <row r="107" spans="2:18" x14ac:dyDescent="0.25">
      <c r="B107" s="288">
        <v>45688</v>
      </c>
      <c r="C107" s="289">
        <v>1</v>
      </c>
      <c r="D107" s="290">
        <v>6</v>
      </c>
      <c r="E107" s="291">
        <v>18637304</v>
      </c>
      <c r="F107" s="292">
        <v>30620177497</v>
      </c>
      <c r="G107" s="293" t="str">
        <f>IFERROR(IF(compras_mes1[[#This Row],[CUIT]]="","-",VLOOKUP(compras_mes1[[#This Row],[CUIT]],Lista_CUIT[#All],2,0)),"CUIT NO CARGADO")</f>
        <v>POSNET SOCIEDAD DE RESPONSABILIDAD LIMITADA</v>
      </c>
      <c r="H107" s="294">
        <v>29674.6</v>
      </c>
      <c r="I107" s="85">
        <f>IF(compras_mes1[[#This Row],[NETO GRAVADO]]="","",compras_mes1[[#This Row],[NETO GRAVADO]]*0.21)</f>
        <v>6231.6659999999993</v>
      </c>
      <c r="J107" s="85"/>
      <c r="K107" s="85"/>
      <c r="L107" s="295"/>
      <c r="M107" s="295"/>
      <c r="N107" s="295"/>
      <c r="O107" s="295"/>
      <c r="P107" s="296">
        <f>SUM(compras_mes1[[#This Row],[NETO GRAVADO]:[Otros / No Grav.]])</f>
        <v>35906.265999999996</v>
      </c>
      <c r="Q107" s="297" t="str">
        <f>IFERROR(IF(compras_mes1[[#This Row],[CUIT]]="","-",VLOOKUP(compras_mes1[[#This Row],[CUIT]],Lista_CUIT[#All],3,0)),"CUIT NO CARGADO")</f>
        <v>Gastos Varios</v>
      </c>
      <c r="R107" s="297">
        <f>IFERROR(IF(compras_mes1[[#This Row],[CUIT]]="","-",VLOOKUP(compras_mes1[[#This Row],[CUIT]],Lista_CUIT[#All],4,0)),"CUIT NO CARGADO")</f>
        <v>0</v>
      </c>
    </row>
    <row r="108" spans="2:18" x14ac:dyDescent="0.25">
      <c r="B108" s="288">
        <v>45688</v>
      </c>
      <c r="C108" s="289">
        <v>1</v>
      </c>
      <c r="D108" s="290">
        <v>7</v>
      </c>
      <c r="E108" s="291">
        <v>20</v>
      </c>
      <c r="F108" s="292">
        <v>27325223273</v>
      </c>
      <c r="G108" s="293" t="str">
        <f>IFERROR(IF(compras_mes1[[#This Row],[CUIT]]="","-",VLOOKUP(compras_mes1[[#This Row],[CUIT]],Lista_CUIT[#All],2,0)),"CUIT NO CARGADO")</f>
        <v>SOUSA ALDERETE ALEJANDRA MABEL</v>
      </c>
      <c r="H108" s="294">
        <v>1900000</v>
      </c>
      <c r="I108" s="85">
        <f>IF(compras_mes1[[#This Row],[NETO GRAVADO]]="","",compras_mes1[[#This Row],[NETO GRAVADO]]*0.21)</f>
        <v>399000</v>
      </c>
      <c r="J108" s="85"/>
      <c r="K108" s="85"/>
      <c r="L108" s="295"/>
      <c r="M108" s="295"/>
      <c r="N108" s="295"/>
      <c r="O108" s="295"/>
      <c r="P108" s="296">
        <f>SUM(compras_mes1[[#This Row],[NETO GRAVADO]:[Otros / No Grav.]])</f>
        <v>2299000</v>
      </c>
      <c r="Q108" s="297" t="str">
        <f>IFERROR(IF(compras_mes1[[#This Row],[CUIT]]="","-",VLOOKUP(compras_mes1[[#This Row],[CUIT]],Lista_CUIT[#All],3,0)),"CUIT NO CARGADO")</f>
        <v>Insumos</v>
      </c>
      <c r="R108" s="297">
        <f>IFERROR(IF(compras_mes1[[#This Row],[CUIT]]="","-",VLOOKUP(compras_mes1[[#This Row],[CUIT]],Lista_CUIT[#All],4,0)),"CUIT NO CARGADO")</f>
        <v>0</v>
      </c>
    </row>
    <row r="109" spans="2:18" x14ac:dyDescent="0.25">
      <c r="B109" s="288">
        <v>45688</v>
      </c>
      <c r="C109" s="289">
        <v>1</v>
      </c>
      <c r="D109" s="290">
        <v>6</v>
      </c>
      <c r="E109" s="291">
        <v>47543</v>
      </c>
      <c r="F109" s="292">
        <v>30709459399</v>
      </c>
      <c r="G109" s="293" t="str">
        <f>IFERROR(IF(compras_mes1[[#This Row],[CUIT]]="","-",VLOOKUP(compras_mes1[[#This Row],[CUIT]],Lista_CUIT[#All],2,0)),"CUIT NO CARGADO")</f>
        <v>LA JUNIOR S.R.L.</v>
      </c>
      <c r="H109" s="294">
        <v>13904.45</v>
      </c>
      <c r="I109" s="85">
        <f>IF(compras_mes1[[#This Row],[NETO GRAVADO]]="","",compras_mes1[[#This Row],[NETO GRAVADO]]*0.21)</f>
        <v>2919.9344999999998</v>
      </c>
      <c r="J109" s="85"/>
      <c r="K109" s="85"/>
      <c r="L109" s="295"/>
      <c r="M109" s="295"/>
      <c r="N109" s="295"/>
      <c r="O109" s="295"/>
      <c r="P109" s="296">
        <f>SUM(compras_mes1[[#This Row],[NETO GRAVADO]:[Otros / No Grav.]])</f>
        <v>16824.3845</v>
      </c>
      <c r="Q109" s="297" t="str">
        <f>IFERROR(IF(compras_mes1[[#This Row],[CUIT]]="","-",VLOOKUP(compras_mes1[[#This Row],[CUIT]],Lista_CUIT[#All],3,0)),"CUIT NO CARGADO")</f>
        <v>Insumos</v>
      </c>
      <c r="R109" s="297">
        <f>IFERROR(IF(compras_mes1[[#This Row],[CUIT]]="","-",VLOOKUP(compras_mes1[[#This Row],[CUIT]],Lista_CUIT[#All],4,0)),"CUIT NO CARGADO")</f>
        <v>0</v>
      </c>
    </row>
    <row r="110" spans="2:18" x14ac:dyDescent="0.25">
      <c r="B110" s="388">
        <v>45688</v>
      </c>
      <c r="C110" s="289">
        <v>1</v>
      </c>
      <c r="D110" s="389">
        <v>7</v>
      </c>
      <c r="E110" s="129">
        <v>163173</v>
      </c>
      <c r="F110" s="390">
        <v>20181426846</v>
      </c>
      <c r="G110" s="391" t="str">
        <f>IFERROR(IF(compras_mes1[[#This Row],[CUIT]]="","-",VLOOKUP(compras_mes1[[#This Row],[CUIT]],Lista_CUIT[#All],2,0)),"CUIT NO CARGADO")</f>
        <v>GRIDEL WALTER DIEGO</v>
      </c>
      <c r="H110" s="392">
        <v>27024.79</v>
      </c>
      <c r="I110" s="85">
        <f>IF(compras_mes1[[#This Row],[NETO GRAVADO]]="","",compras_mes1[[#This Row],[NETO GRAVADO]]*0.21)</f>
        <v>5675.2058999999999</v>
      </c>
      <c r="J110" s="85"/>
      <c r="K110" s="85"/>
      <c r="L110" s="393"/>
      <c r="M110" s="393"/>
      <c r="N110" s="393"/>
      <c r="O110" s="393"/>
      <c r="P110" s="394">
        <f>SUM(compras_mes1[[#This Row],[NETO GRAVADO]:[Otros / No Grav.]])</f>
        <v>32699.995900000002</v>
      </c>
      <c r="Q110" s="395" t="str">
        <f>IFERROR(IF(compras_mes1[[#This Row],[CUIT]]="","-",VLOOKUP(compras_mes1[[#This Row],[CUIT]],Lista_CUIT[#All],3,0)),"CUIT NO CARGADO")</f>
        <v>Gastos Varios</v>
      </c>
      <c r="R110" s="395">
        <f>IFERROR(IF(compras_mes1[[#This Row],[CUIT]]="","-",VLOOKUP(compras_mes1[[#This Row],[CUIT]],Lista_CUIT[#All],4,0)),"CUIT NO CARGADO")</f>
        <v>0</v>
      </c>
    </row>
    <row r="111" spans="2:18" x14ac:dyDescent="0.25">
      <c r="B111" s="388">
        <v>45688</v>
      </c>
      <c r="C111" s="289">
        <v>1</v>
      </c>
      <c r="D111" s="389">
        <v>6</v>
      </c>
      <c r="E111" s="129">
        <v>56020</v>
      </c>
      <c r="F111" s="390">
        <v>30710177658</v>
      </c>
      <c r="G111" s="391" t="str">
        <f>IFERROR(IF(compras_mes1[[#This Row],[CUIT]]="","-",VLOOKUP(compras_mes1[[#This Row],[CUIT]],Lista_CUIT[#All],2,0)),"CUIT NO CARGADO")</f>
        <v>TARGET MEDICAL SA</v>
      </c>
      <c r="H111" s="392">
        <v>372380</v>
      </c>
      <c r="I111" s="85">
        <f>IF(compras_mes1[[#This Row],[NETO GRAVADO]]="","",compras_mes1[[#This Row],[NETO GRAVADO]]*0.21)</f>
        <v>78199.8</v>
      </c>
      <c r="J111" s="85"/>
      <c r="K111" s="85"/>
      <c r="L111" s="393"/>
      <c r="M111" s="393"/>
      <c r="N111" s="393"/>
      <c r="O111" s="393"/>
      <c r="P111" s="394">
        <f>SUM(compras_mes1[[#This Row],[NETO GRAVADO]:[Otros / No Grav.]])</f>
        <v>450579.8</v>
      </c>
      <c r="Q111" s="395" t="str">
        <f>IFERROR(IF(compras_mes1[[#This Row],[CUIT]]="","-",VLOOKUP(compras_mes1[[#This Row],[CUIT]],Lista_CUIT[#All],3,0)),"CUIT NO CARGADO")</f>
        <v>INSUMO</v>
      </c>
      <c r="R111" s="395">
        <f>IFERROR(IF(compras_mes1[[#This Row],[CUIT]]="","-",VLOOKUP(compras_mes1[[#This Row],[CUIT]],Lista_CUIT[#All],4,0)),"CUIT NO CARGADO")</f>
        <v>0</v>
      </c>
    </row>
    <row r="112" spans="2:18" x14ac:dyDescent="0.25">
      <c r="B112" s="388">
        <v>45688</v>
      </c>
      <c r="C112" s="289">
        <v>1</v>
      </c>
      <c r="D112" s="389">
        <v>3</v>
      </c>
      <c r="E112" s="129">
        <v>234</v>
      </c>
      <c r="F112" s="390">
        <v>20334976433</v>
      </c>
      <c r="G112" s="391" t="str">
        <f>IFERROR(IF(compras_mes1[[#This Row],[CUIT]]="","-",VLOOKUP(compras_mes1[[#This Row],[CUIT]],Lista_CUIT[#All],2,0)),"CUIT NO CARGADO")</f>
        <v>NARDOMARINO EZEQUIEL EDUARDO</v>
      </c>
      <c r="H112" s="392">
        <v>220000</v>
      </c>
      <c r="I112" s="85">
        <f>IF(compras_mes1[[#This Row],[NETO GRAVADO]]="","",compras_mes1[[#This Row],[NETO GRAVADO]]*0.21)</f>
        <v>46200</v>
      </c>
      <c r="J112" s="85"/>
      <c r="K112" s="85"/>
      <c r="L112" s="393"/>
      <c r="M112" s="393"/>
      <c r="N112" s="85"/>
      <c r="O112" s="393"/>
      <c r="P112" s="394">
        <f>SUM(compras_mes1[[#This Row],[NETO GRAVADO]:[Otros / No Grav.]])</f>
        <v>266200</v>
      </c>
      <c r="Q112" s="395" t="str">
        <f>IFERROR(IF(compras_mes1[[#This Row],[CUIT]]="","-",VLOOKUP(compras_mes1[[#This Row],[CUIT]],Lista_CUIT[#All],3,0)),"CUIT NO CARGADO")</f>
        <v>FLETE</v>
      </c>
      <c r="R112" s="395">
        <f>IFERROR(IF(compras_mes1[[#This Row],[CUIT]]="","-",VLOOKUP(compras_mes1[[#This Row],[CUIT]],Lista_CUIT[#All],4,0)),"CUIT NO CARGADO")</f>
        <v>0</v>
      </c>
    </row>
    <row r="113" spans="2:18" x14ac:dyDescent="0.25">
      <c r="B113" s="388">
        <v>45688</v>
      </c>
      <c r="C113" s="289">
        <v>1</v>
      </c>
      <c r="D113" s="389">
        <v>6</v>
      </c>
      <c r="E113" s="129">
        <v>1352</v>
      </c>
      <c r="F113" s="390">
        <v>30717680762</v>
      </c>
      <c r="G113" s="391" t="str">
        <f>IFERROR(IF(compras_mes1[[#This Row],[CUIT]]="","-",VLOOKUP(compras_mes1[[#This Row],[CUIT]],Lista_CUIT[#All],2,0)),"CUIT NO CARGADO")</f>
        <v>CORRENTI S.A.</v>
      </c>
      <c r="H113" s="392">
        <v>123471.1</v>
      </c>
      <c r="I113" s="85">
        <f>IF(compras_mes1[[#This Row],[NETO GRAVADO]]="","",compras_mes1[[#This Row],[NETO GRAVADO]]*0.21)</f>
        <v>25928.931</v>
      </c>
      <c r="J113" s="85"/>
      <c r="K113" s="85"/>
      <c r="L113" s="393"/>
      <c r="M113" s="393"/>
      <c r="N113" s="393"/>
      <c r="O113" s="393"/>
      <c r="P113" s="394">
        <f>SUM(compras_mes1[[#This Row],[NETO GRAVADO]:[Otros / No Grav.]])</f>
        <v>149400.03100000002</v>
      </c>
      <c r="Q113" s="395" t="str">
        <f>IFERROR(IF(compras_mes1[[#This Row],[CUIT]]="","-",VLOOKUP(compras_mes1[[#This Row],[CUIT]],Lista_CUIT[#All],3,0)),"CUIT NO CARGADO")</f>
        <v>Catering</v>
      </c>
      <c r="R113" s="395">
        <f>IFERROR(IF(compras_mes1[[#This Row],[CUIT]]="","-",VLOOKUP(compras_mes1[[#This Row],[CUIT]],Lista_CUIT[#All],4,0)),"CUIT NO CARGADO")</f>
        <v>0</v>
      </c>
    </row>
    <row r="114" spans="2:18" x14ac:dyDescent="0.25">
      <c r="B114" s="288">
        <v>45688</v>
      </c>
      <c r="C114" s="289">
        <v>1</v>
      </c>
      <c r="D114" s="290">
        <v>5009</v>
      </c>
      <c r="E114" s="291">
        <v>1201314</v>
      </c>
      <c r="F114" s="292">
        <v>30574876474</v>
      </c>
      <c r="G114" s="293" t="str">
        <f>IFERROR(IF(compras_mes1[[#This Row],[CUIT]]="","-",VLOOKUP(compras_mes1[[#This Row],[CUIT]],Lista_CUIT[#All],2,0)),"CUIT NO CARGADO")</f>
        <v>AUTOP. URBANAS SA</v>
      </c>
      <c r="H114" s="294">
        <v>4691.18</v>
      </c>
      <c r="I114" s="85">
        <f>IF(compras_mes1[[#This Row],[NETO GRAVADO]]="","",compras_mes1[[#This Row],[NETO GRAVADO]]*0.21)</f>
        <v>985.14780000000007</v>
      </c>
      <c r="J114" s="85"/>
      <c r="K114" s="85"/>
      <c r="L114" s="295"/>
      <c r="M114" s="295"/>
      <c r="N114" s="295"/>
      <c r="O114" s="295"/>
      <c r="P114" s="296">
        <f>SUM(compras_mes1[[#This Row],[NETO GRAVADO]:[Otros / No Grav.]])</f>
        <v>5676.3278</v>
      </c>
      <c r="Q114" s="297" t="str">
        <f>IFERROR(IF(compras_mes1[[#This Row],[CUIT]]="","-",VLOOKUP(compras_mes1[[#This Row],[CUIT]],Lista_CUIT[#All],3,0)),"CUIT NO CARGADO")</f>
        <v>PEAJE</v>
      </c>
      <c r="R114" s="297">
        <f>IFERROR(IF(compras_mes1[[#This Row],[CUIT]]="","-",VLOOKUP(compras_mes1[[#This Row],[CUIT]],Lista_CUIT[#All],4,0)),"CUIT NO CARGADO")</f>
        <v>0</v>
      </c>
    </row>
    <row r="115" spans="2:18" x14ac:dyDescent="0.25">
      <c r="B115" s="288">
        <v>45666</v>
      </c>
      <c r="C115" s="289">
        <v>3</v>
      </c>
      <c r="D115" s="290">
        <v>1</v>
      </c>
      <c r="E115" s="291">
        <v>2032</v>
      </c>
      <c r="F115" s="292">
        <v>30714864269</v>
      </c>
      <c r="G115" s="293" t="str">
        <f>IFERROR(IF(compras_mes1[[#This Row],[CUIT]]="","-",VLOOKUP(compras_mes1[[#This Row],[CUIT]],Lista_CUIT[#All],2,0)),"CUIT NO CARGADO")</f>
        <v>CONTABILIUM S.A. S. A.</v>
      </c>
      <c r="H115" s="294">
        <v>-139127</v>
      </c>
      <c r="I115" s="295">
        <f>IF(compras_mes1[[#This Row],[NETO GRAVADO]]="","",compras_mes1[[#This Row],[NETO GRAVADO]]*0.21)</f>
        <v>-29216.67</v>
      </c>
      <c r="J115" s="295"/>
      <c r="K115" s="295"/>
      <c r="L115" s="295"/>
      <c r="M115" s="295"/>
      <c r="N115" s="295"/>
      <c r="O115" s="295"/>
      <c r="P115" s="296">
        <f>SUM(compras_mes1[[#This Row],[NETO GRAVADO]:[Otros / No Grav.]])</f>
        <v>-168343.66999999998</v>
      </c>
      <c r="Q115" s="297" t="str">
        <f>IFERROR(IF(compras_mes1[[#This Row],[CUIT]]="","-",VLOOKUP(compras_mes1[[#This Row],[CUIT]],Lista_CUIT[#All],3,0)),"CUIT NO CARGADO")</f>
        <v>USUARIO CONTABLE</v>
      </c>
      <c r="R115" s="297">
        <f>IFERROR(IF(compras_mes1[[#This Row],[CUIT]]="","-",VLOOKUP(compras_mes1[[#This Row],[CUIT]],Lista_CUIT[#All],4,0)),"CUIT NO CARGADO")</f>
        <v>0</v>
      </c>
    </row>
    <row r="116" spans="2:18" x14ac:dyDescent="0.25">
      <c r="B116" s="288">
        <v>45686</v>
      </c>
      <c r="C116" s="289">
        <v>3</v>
      </c>
      <c r="D116" s="290">
        <v>21</v>
      </c>
      <c r="E116" s="291">
        <v>140177</v>
      </c>
      <c r="F116" s="292">
        <v>30703088534</v>
      </c>
      <c r="G116" s="293" t="str">
        <f>IFERROR(IF(compras_mes1[[#This Row],[CUIT]]="","-",VLOOKUP(compras_mes1[[#This Row],[CUIT]],Lista_CUIT[#All],2,0)),"CUIT NO CARGADO")</f>
        <v>MERCADO LIBRE SRL</v>
      </c>
      <c r="H116" s="294">
        <v>-897.93</v>
      </c>
      <c r="I116" s="295">
        <f>IF(compras_mes1[[#This Row],[NETO GRAVADO]]="","",compras_mes1[[#This Row],[NETO GRAVADO]]*0.21)</f>
        <v>-188.56529999999998</v>
      </c>
      <c r="J116" s="295"/>
      <c r="K116" s="295"/>
      <c r="L116" s="295"/>
      <c r="M116" s="295"/>
      <c r="N116" s="295"/>
      <c r="O116" s="295"/>
      <c r="P116" s="296">
        <f>SUM(compras_mes1[[#This Row],[NETO GRAVADO]:[Otros / No Grav.]])</f>
        <v>-1086.4953</v>
      </c>
      <c r="Q116" s="297" t="str">
        <f>IFERROR(IF(compras_mes1[[#This Row],[CUIT]]="","-",VLOOKUP(compras_mes1[[#This Row],[CUIT]],Lista_CUIT[#All],3,0)),"CUIT NO CARGADO")</f>
        <v>PLATAFORMA ONLINE</v>
      </c>
      <c r="R116" s="297">
        <f>IFERROR(IF(compras_mes1[[#This Row],[CUIT]]="","-",VLOOKUP(compras_mes1[[#This Row],[CUIT]],Lista_CUIT[#All],4,0)),"CUIT NO CARGADO")</f>
        <v>0</v>
      </c>
    </row>
    <row r="117" spans="2:18" x14ac:dyDescent="0.25">
      <c r="B117" s="288">
        <v>45660</v>
      </c>
      <c r="C117" s="289">
        <v>1</v>
      </c>
      <c r="D117" s="290">
        <v>6</v>
      </c>
      <c r="E117" s="291">
        <v>20679</v>
      </c>
      <c r="F117" s="292">
        <v>33715594949</v>
      </c>
      <c r="G117" s="293" t="str">
        <f>IFERROR(IF(compras_mes1[[#This Row],[CUIT]]="","-",VLOOKUP(compras_mes1[[#This Row],[CUIT]],Lista_CUIT[#All],2,0)),"CUIT NO CARGADO")</f>
        <v>SOMOS ENERGIA SA</v>
      </c>
      <c r="H117" s="294">
        <v>37009.33</v>
      </c>
      <c r="I117" s="295">
        <f>IF(compras_mes1[[#This Row],[NETO GRAVADO]]="","",compras_mes1[[#This Row],[NETO GRAVADO]]*0.21)</f>
        <v>7771.9593000000004</v>
      </c>
      <c r="J117" s="295"/>
      <c r="K117" s="295"/>
      <c r="L117" s="295"/>
      <c r="M117" s="295"/>
      <c r="N117" s="295"/>
      <c r="O117" s="295"/>
      <c r="P117" s="296">
        <f>SUM(compras_mes1[[#This Row],[NETO GRAVADO]:[Otros / No Grav.]])</f>
        <v>44781.289300000004</v>
      </c>
      <c r="Q117" s="297" t="str">
        <f>IFERROR(IF(compras_mes1[[#This Row],[CUIT]]="","-",VLOOKUP(compras_mes1[[#This Row],[CUIT]],Lista_CUIT[#All],3,0)),"CUIT NO CARGADO")</f>
        <v>COMBUSTIBLE</v>
      </c>
      <c r="R117" s="297">
        <f>IFERROR(IF(compras_mes1[[#This Row],[CUIT]]="","-",VLOOKUP(compras_mes1[[#This Row],[CUIT]],Lista_CUIT[#All],4,0)),"CUIT NO CARGADO")</f>
        <v>0</v>
      </c>
    </row>
    <row r="118" spans="2:18" x14ac:dyDescent="0.25">
      <c r="B118" s="288">
        <v>45680</v>
      </c>
      <c r="C118" s="289">
        <v>1</v>
      </c>
      <c r="D118" s="290">
        <v>49</v>
      </c>
      <c r="E118" s="291">
        <v>3560</v>
      </c>
      <c r="F118" s="292">
        <v>30708560568</v>
      </c>
      <c r="G118" s="293" t="str">
        <f>IFERROR(IF(compras_mes1[[#This Row],[CUIT]]="","-",VLOOKUP(compras_mes1[[#This Row],[CUIT]],Lista_CUIT[#All],2,0)),"CUIT NO CARGADO")</f>
        <v>PINTURERIAS MINUTO SRL</v>
      </c>
      <c r="H118" s="294">
        <v>11404.38</v>
      </c>
      <c r="I118" s="295">
        <f>IF(compras_mes1[[#This Row],[NETO GRAVADO]]="","",compras_mes1[[#This Row],[NETO GRAVADO]]*0.21)</f>
        <v>2394.9197999999997</v>
      </c>
      <c r="J118" s="295"/>
      <c r="K118" s="295"/>
      <c r="L118" s="295"/>
      <c r="M118" s="295"/>
      <c r="N118" s="295"/>
      <c r="O118" s="295"/>
      <c r="P118" s="296">
        <f>SUM(compras_mes1[[#This Row],[NETO GRAVADO]:[Otros / No Grav.]])</f>
        <v>13799.299799999999</v>
      </c>
      <c r="Q118" s="297" t="str">
        <f>IFERROR(IF(compras_mes1[[#This Row],[CUIT]]="","-",VLOOKUP(compras_mes1[[#This Row],[CUIT]],Lista_CUIT[#All],3,0)),"CUIT NO CARGADO")</f>
        <v>Gastos Varios</v>
      </c>
      <c r="R118" s="297">
        <f>IFERROR(IF(compras_mes1[[#This Row],[CUIT]]="","-",VLOOKUP(compras_mes1[[#This Row],[CUIT]],Lista_CUIT[#All],4,0)),"CUIT NO CARGADO")</f>
        <v>0</v>
      </c>
    </row>
    <row r="119" spans="2:18" s="350" customFormat="1" x14ac:dyDescent="0.25">
      <c r="B119" s="342">
        <v>45670</v>
      </c>
      <c r="C119" s="343">
        <v>1</v>
      </c>
      <c r="D119" s="344">
        <v>100</v>
      </c>
      <c r="E119" s="345">
        <v>227194</v>
      </c>
      <c r="F119" s="346">
        <v>30537679855</v>
      </c>
      <c r="G119" s="351" t="str">
        <f>IFERROR(IF(compras_mes1[[#This Row],[CUIT]]="","-",VLOOKUP(compras_mes1[[#This Row],[CUIT]],Lista_CUIT[#All],2,0)),"CUIT NO CARGADO")</f>
        <v>ESTACION LIMA SA</v>
      </c>
      <c r="H119" s="347">
        <v>80650.16</v>
      </c>
      <c r="I119" s="348">
        <f>IF(compras_mes1[[#This Row],[NETO GRAVADO]]="","",compras_mes1[[#This Row],[NETO GRAVADO]]*0.21)</f>
        <v>16936.533599999999</v>
      </c>
      <c r="J119" s="348"/>
      <c r="K119" s="348"/>
      <c r="L119" s="348"/>
      <c r="M119" s="348"/>
      <c r="N119" s="348">
        <v>2761.72</v>
      </c>
      <c r="O119" s="348">
        <f>1167.14+10239.97</f>
        <v>11407.109999999999</v>
      </c>
      <c r="P119" s="349">
        <f>SUM(compras_mes1[[#This Row],[NETO GRAVADO]:[Otros / No Grav.]])</f>
        <v>111755.5236</v>
      </c>
      <c r="Q119" s="352" t="str">
        <f>IFERROR(IF(compras_mes1[[#This Row],[CUIT]]="","-",VLOOKUP(compras_mes1[[#This Row],[CUIT]],Lista_CUIT[#All],3,0)),"CUIT NO CARGADO")</f>
        <v>MERCADERIA</v>
      </c>
      <c r="R119" s="352">
        <f>IFERROR(IF(compras_mes1[[#This Row],[CUIT]]="","-",VLOOKUP(compras_mes1[[#This Row],[CUIT]],Lista_CUIT[#All],4,0)),"CUIT NO CARGADO")</f>
        <v>0</v>
      </c>
    </row>
    <row r="120" spans="2:18" s="350" customFormat="1" x14ac:dyDescent="0.25">
      <c r="B120" s="342">
        <v>45667</v>
      </c>
      <c r="C120" s="343">
        <v>1</v>
      </c>
      <c r="D120" s="344">
        <v>14</v>
      </c>
      <c r="E120" s="345">
        <v>35834</v>
      </c>
      <c r="F120" s="346">
        <v>30600981486</v>
      </c>
      <c r="G120" s="351" t="str">
        <f>IFERROR(IF(compras_mes1[[#This Row],[CUIT]]="","-",VLOOKUP(compras_mes1[[#This Row],[CUIT]],Lista_CUIT[#All],2,0)),"CUIT NO CARGADO")</f>
        <v>EXPRESO LO BRUNO S A </v>
      </c>
      <c r="H120" s="347">
        <v>22873.73</v>
      </c>
      <c r="I120" s="348">
        <f>IF(compras_mes1[[#This Row],[NETO GRAVADO]]="","",compras_mes1[[#This Row],[NETO GRAVADO]]*0.21)</f>
        <v>4803.4832999999999</v>
      </c>
      <c r="J120" s="348"/>
      <c r="K120" s="348"/>
      <c r="L120" s="348"/>
      <c r="M120" s="348"/>
      <c r="N120" s="348"/>
      <c r="O120" s="348"/>
      <c r="P120" s="349">
        <f>SUM(compras_mes1[[#This Row],[NETO GRAVADO]:[Otros / No Grav.]])</f>
        <v>27677.213299999999</v>
      </c>
      <c r="Q120" s="352" t="str">
        <f>IFERROR(IF(compras_mes1[[#This Row],[CUIT]]="","-",VLOOKUP(compras_mes1[[#This Row],[CUIT]],Lista_CUIT[#All],3,0)),"CUIT NO CARGADO")</f>
        <v>Insumos</v>
      </c>
      <c r="R120" s="352">
        <f>IFERROR(IF(compras_mes1[[#This Row],[CUIT]]="","-",VLOOKUP(compras_mes1[[#This Row],[CUIT]],Lista_CUIT[#All],4,0)),"CUIT NO CARGADO")</f>
        <v>0</v>
      </c>
    </row>
    <row r="121" spans="2:18" x14ac:dyDescent="0.25">
      <c r="B121" s="288"/>
      <c r="C121" s="289"/>
      <c r="D121" s="290"/>
      <c r="E121" s="291"/>
      <c r="F121" s="292"/>
      <c r="G121" s="293" t="str">
        <f>IFERROR(IF(compras_mes1[[#This Row],[CUIT]]="","-",VLOOKUP(compras_mes1[[#This Row],[CUIT]],Lista_CUIT[#All],2,0)),"CUIT NO CARGADO")</f>
        <v>-</v>
      </c>
      <c r="H121" s="294"/>
      <c r="I121" s="295" t="str">
        <f>IF(compras_mes1[[#This Row],[NETO GRAVADO]]="","",compras_mes1[[#This Row],[NETO GRAVADO]]*0.21)</f>
        <v/>
      </c>
      <c r="J121" s="295"/>
      <c r="K121" s="295"/>
      <c r="L121" s="295"/>
      <c r="M121" s="295"/>
      <c r="N121" s="295"/>
      <c r="O121" s="295"/>
      <c r="P121" s="296">
        <f>SUM(compras_mes1[[#This Row],[NETO GRAVADO]:[Otros / No Grav.]])</f>
        <v>0</v>
      </c>
      <c r="Q121" s="297" t="str">
        <f>IFERROR(IF(compras_mes1[[#This Row],[CUIT]]="","-",VLOOKUP(compras_mes1[[#This Row],[CUIT]],Lista_CUIT[#All],3,0)),"CUIT NO CARGADO")</f>
        <v>-</v>
      </c>
      <c r="R121" s="297" t="str">
        <f>IFERROR(IF(compras_mes1[[#This Row],[CUIT]]="","-",VLOOKUP(compras_mes1[[#This Row],[CUIT]],Lista_CUIT[#All],4,0)),"CUIT NO CARGADO")</f>
        <v>-</v>
      </c>
    </row>
    <row r="122" spans="2:18" x14ac:dyDescent="0.25">
      <c r="B122" s="95" t="s">
        <v>110</v>
      </c>
      <c r="C122" s="95"/>
      <c r="D122" s="95"/>
      <c r="E122" s="95"/>
      <c r="F122" s="95"/>
      <c r="G122" s="96"/>
      <c r="H122" s="97">
        <f>SUBTOTAL(109,compras_mes1[NETO GRAVADO])</f>
        <v>38655216.529999994</v>
      </c>
      <c r="I122" s="97">
        <f>SUBTOTAL(109,compras_mes1[IVA 21 %])</f>
        <v>7948802.1837000018</v>
      </c>
      <c r="J122" s="97">
        <f>SUBTOTAL(109,compras_mes1[IVA 27%])</f>
        <v>35591.548499999997</v>
      </c>
      <c r="K122" s="97">
        <f>SUBTOTAL(109,compras_mes1[IVA 10,5%])</f>
        <v>70555.486050000007</v>
      </c>
      <c r="L122" s="97">
        <f>SUBTOTAL(109,compras_mes1[PERC. IVA])</f>
        <v>0</v>
      </c>
      <c r="M122" s="97">
        <f>SUBTOTAL(109,compras_mes1[PERC IIBB 
BS AS])</f>
        <v>0</v>
      </c>
      <c r="N122" s="97">
        <f>SUBTOTAL(109,compras_mes1[PERC. IIBB CABA])</f>
        <v>2761.72</v>
      </c>
      <c r="O122" s="97">
        <f>SUBTOTAL(109,compras_mes1[Otros / No Grav.])</f>
        <v>11708.699999999999</v>
      </c>
      <c r="P122" s="97">
        <f>SUBTOTAL(109,compras_mes1[TOTAL])</f>
        <v>46724636.168249995</v>
      </c>
      <c r="Q122" s="95"/>
      <c r="R122" s="95"/>
    </row>
    <row r="123" spans="2:18" x14ac:dyDescent="0.25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2:18" x14ac:dyDescent="0.25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  <c r="M124" s="47"/>
      <c r="N124" s="47"/>
      <c r="O124" s="47"/>
      <c r="P124" s="48"/>
      <c r="Q124" s="49"/>
      <c r="R124" s="49"/>
    </row>
    <row r="125" spans="2:18" x14ac:dyDescent="0.25">
      <c r="B125" s="40"/>
      <c r="C125" s="41"/>
      <c r="D125" s="42"/>
      <c r="E125" s="43"/>
      <c r="F125" s="44"/>
      <c r="G125" s="45"/>
      <c r="H125" s="46"/>
      <c r="I125" s="47"/>
      <c r="J125" s="47"/>
      <c r="K125" s="47"/>
      <c r="L125" s="47"/>
      <c r="M125" s="47"/>
      <c r="N125" s="47"/>
      <c r="O125" s="47"/>
      <c r="P125" s="48"/>
      <c r="Q125" s="49"/>
      <c r="R125" s="49"/>
    </row>
    <row r="126" spans="2:18" x14ac:dyDescent="0.25">
      <c r="B126" s="40"/>
      <c r="C126" s="41"/>
      <c r="D126" s="42"/>
      <c r="E126" s="43"/>
      <c r="F126" s="44"/>
      <c r="G126" s="45"/>
      <c r="H126" s="46"/>
      <c r="I126" s="47"/>
      <c r="J126" s="47"/>
      <c r="K126" s="47"/>
      <c r="L126" s="47"/>
    </row>
    <row r="127" spans="2:18" ht="21" x14ac:dyDescent="0.25">
      <c r="D127" s="618" t="s">
        <v>15</v>
      </c>
      <c r="E127" s="618"/>
      <c r="F127" s="618"/>
      <c r="G127" s="618"/>
      <c r="H127" s="618"/>
      <c r="I127" s="618"/>
      <c r="J127" s="618"/>
      <c r="K127" s="618"/>
      <c r="L127" s="618"/>
    </row>
    <row r="128" spans="2:18" ht="15.75" x14ac:dyDescent="0.25">
      <c r="D128" s="73" t="s">
        <v>0</v>
      </c>
      <c r="E128" s="74" t="s">
        <v>26</v>
      </c>
      <c r="F128" s="74" t="s">
        <v>16</v>
      </c>
      <c r="G128" s="74" t="s">
        <v>5</v>
      </c>
      <c r="H128" s="74" t="s">
        <v>17</v>
      </c>
      <c r="I128" s="74" t="s">
        <v>7</v>
      </c>
      <c r="J128" s="75" t="s">
        <v>18</v>
      </c>
      <c r="K128" s="75" t="s">
        <v>19</v>
      </c>
      <c r="L128" s="76" t="s">
        <v>20</v>
      </c>
    </row>
    <row r="129" spans="4:12" x14ac:dyDescent="0.25">
      <c r="D129" s="50">
        <v>45688</v>
      </c>
      <c r="E129" s="129">
        <v>31202501</v>
      </c>
      <c r="F129" s="80" t="s">
        <v>2237</v>
      </c>
      <c r="G129" s="81">
        <v>37385</v>
      </c>
      <c r="H129" s="81">
        <f>extracto_banco_mes1[[#This Row],[NETO]]*0.21</f>
        <v>7850.8499999999995</v>
      </c>
      <c r="I129" s="81"/>
      <c r="J129" s="81"/>
      <c r="K129" s="81">
        <v>810</v>
      </c>
      <c r="L129" s="81">
        <v>1000</v>
      </c>
    </row>
    <row r="130" spans="4:12" x14ac:dyDescent="0.25">
      <c r="D130" s="50">
        <v>45688</v>
      </c>
      <c r="E130" s="129">
        <v>31012025</v>
      </c>
      <c r="F130" s="80" t="s">
        <v>2238</v>
      </c>
      <c r="G130" s="81">
        <v>30242.19</v>
      </c>
      <c r="H130" s="81">
        <v>6321</v>
      </c>
      <c r="I130" s="81">
        <v>14.93</v>
      </c>
      <c r="J130" s="81"/>
      <c r="K130" s="81">
        <v>900</v>
      </c>
      <c r="L130" s="81">
        <v>1200</v>
      </c>
    </row>
    <row r="131" spans="4:12" x14ac:dyDescent="0.25">
      <c r="D131" s="50"/>
      <c r="E131" s="129"/>
      <c r="F131" s="80"/>
      <c r="G131" s="81"/>
      <c r="H131" s="81">
        <f>extracto_banco_mes1[[#This Row],[NETO]]*0.21</f>
        <v>0</v>
      </c>
      <c r="I131" s="81"/>
      <c r="J131" s="81"/>
      <c r="K131" s="81"/>
      <c r="L131" s="81"/>
    </row>
    <row r="132" spans="4:12" ht="15.75" thickBot="1" x14ac:dyDescent="0.3">
      <c r="D132" s="82" t="s">
        <v>110</v>
      </c>
      <c r="E132" s="80"/>
      <c r="F132" s="80"/>
      <c r="G132" s="83">
        <f>SUBTOTAL(109,extracto_banco_mes1[NETO])</f>
        <v>67627.19</v>
      </c>
      <c r="H132" s="83">
        <f>SUBTOTAL(109,extracto_banco_mes1[IVA 21%])</f>
        <v>14171.849999999999</v>
      </c>
      <c r="I132" s="83">
        <f>SUBTOTAL(109,extracto_banco_mes1[IVA 10,5%])</f>
        <v>14.93</v>
      </c>
      <c r="J132" s="83">
        <f>SUBTOTAL(109,extracto_banco_mes1[RET IIBB CABA])</f>
        <v>0</v>
      </c>
      <c r="K132" s="83">
        <f>SUBTOTAL(109,extracto_banco_mes1[PERC IVA])</f>
        <v>1710</v>
      </c>
      <c r="L132" s="83">
        <f>SUBTOTAL(109,extracto_banco_mes1[PERC IIBB])</f>
        <v>2200</v>
      </c>
    </row>
    <row r="133" spans="4:12" ht="16.5" thickBot="1" x14ac:dyDescent="0.3">
      <c r="H133" s="131" t="s">
        <v>2239</v>
      </c>
      <c r="I133" s="132">
        <f>SUM(extracto_banco_mes1[[#Totals],[IVA 21%]:[IVA 10,5%]])</f>
        <v>14186.779999999999</v>
      </c>
      <c r="J133" t="s">
        <v>2240</v>
      </c>
    </row>
    <row r="136" spans="4:12" ht="21" x14ac:dyDescent="0.25">
      <c r="D136" s="618" t="s">
        <v>25</v>
      </c>
      <c r="E136" s="618"/>
      <c r="F136" s="618"/>
      <c r="G136" s="618"/>
      <c r="H136" s="618"/>
      <c r="I136" s="618"/>
      <c r="J136" s="618"/>
      <c r="K136" s="618"/>
    </row>
    <row r="137" spans="4:12" x14ac:dyDescent="0.25">
      <c r="D137" s="51" t="s">
        <v>0</v>
      </c>
      <c r="E137" s="51" t="s">
        <v>2</v>
      </c>
      <c r="F137" s="51" t="s">
        <v>74</v>
      </c>
      <c r="G137" s="51" t="s">
        <v>3</v>
      </c>
      <c r="H137" s="51" t="s">
        <v>4</v>
      </c>
      <c r="I137" s="52" t="s">
        <v>10</v>
      </c>
      <c r="J137" s="51" t="s">
        <v>13</v>
      </c>
      <c r="K137" s="51" t="s">
        <v>38</v>
      </c>
    </row>
    <row r="138" spans="4:12" x14ac:dyDescent="0.25">
      <c r="D138" s="128"/>
      <c r="E138" s="123"/>
      <c r="F138" s="123"/>
      <c r="G138" s="124">
        <v>20311855671</v>
      </c>
      <c r="H138" s="125" t="str">
        <f>IFERROR(IF(factura_c_mes1[[#This Row],[CUIT]]="","-",VLOOKUP(factura_c_mes1[[#This Row],[CUIT]],Lista_CUIT[#All],2,0)),"CUIT NO CARGADO")</f>
        <v>GUASCH HECTOR RAUL</v>
      </c>
      <c r="I138" s="126">
        <v>160000</v>
      </c>
      <c r="J138" s="127" t="str">
        <f>IFERROR(IF(factura_c_mes1[[#This Row],[CUIT]]="","-",VLOOKUP(factura_c_mes1[[#This Row],[CUIT]],Lista_CUIT[#All],3,0)),"CUIT NO CARGADO")</f>
        <v>Insumos</v>
      </c>
      <c r="K138" s="127">
        <f>IFERROR(IF(factura_c_mes1[[#This Row],[CUIT]]="","-",VLOOKUP(factura_c_mes1[[#This Row],[CUIT]],Lista_CUIT[#All],4,0)),"CUIT NO CARGADO")</f>
        <v>0</v>
      </c>
    </row>
    <row r="139" spans="4:12" x14ac:dyDescent="0.25">
      <c r="D139" s="128"/>
      <c r="E139" s="123"/>
      <c r="F139" s="123"/>
      <c r="G139" s="124">
        <v>23281233084</v>
      </c>
      <c r="H139" s="125" t="str">
        <f>IFERROR(IF(factura_c_mes1[[#This Row],[CUIT]]="","-",VLOOKUP(factura_c_mes1[[#This Row],[CUIT]],Lista_CUIT[#All],2,0)),"CUIT NO CARGADO")</f>
        <v>DRUETTA ANDREA MARIEL</v>
      </c>
      <c r="I139" s="126">
        <v>240000</v>
      </c>
      <c r="J139" s="127" t="str">
        <f>IFERROR(IF(factura_c_mes1[[#This Row],[CUIT]]="","-",VLOOKUP(factura_c_mes1[[#This Row],[CUIT]],Lista_CUIT[#All],3,0)),"CUIT NO CARGADO")</f>
        <v>TECNICO</v>
      </c>
      <c r="K139" s="127">
        <f>IFERROR(IF(factura_c_mes1[[#This Row],[CUIT]]="","-",VLOOKUP(factura_c_mes1[[#This Row],[CUIT]],Lista_CUIT[#All],4,0)),"CUIT NO CARGADO")</f>
        <v>0</v>
      </c>
    </row>
    <row r="140" spans="4:12" x14ac:dyDescent="0.25">
      <c r="D140" s="128"/>
      <c r="E140" s="123"/>
      <c r="F140" s="123"/>
      <c r="G140" s="124">
        <v>27338342840</v>
      </c>
      <c r="H140" s="125" t="str">
        <f>IFERROR(IF(factura_c_mes1[[#This Row],[CUIT]]="","-",VLOOKUP(factura_c_mes1[[#This Row],[CUIT]],Lista_CUIT[#All],2,0)),"CUIT NO CARGADO")</f>
        <v>CANCINO PAMELA RITA</v>
      </c>
      <c r="I140" s="126">
        <v>115000</v>
      </c>
      <c r="J140" s="127" t="str">
        <f>IFERROR(IF(factura_c_mes1[[#This Row],[CUIT]]="","-",VLOOKUP(factura_c_mes1[[#This Row],[CUIT]],Lista_CUIT[#All],3,0)),"CUIT NO CARGADO")</f>
        <v>PROVEEDOR</v>
      </c>
      <c r="K140" s="127">
        <f>IFERROR(IF(factura_c_mes1[[#This Row],[CUIT]]="","-",VLOOKUP(factura_c_mes1[[#This Row],[CUIT]],Lista_CUIT[#All],4,0)),"CUIT NO CARGADO")</f>
        <v>0</v>
      </c>
    </row>
    <row r="141" spans="4:12" x14ac:dyDescent="0.25">
      <c r="D141" s="128"/>
      <c r="E141" s="123"/>
      <c r="F141" s="123"/>
      <c r="G141" s="124">
        <v>27217606255</v>
      </c>
      <c r="H141" s="125" t="str">
        <f>IFERROR(IF(factura_c_mes1[[#This Row],[CUIT]]="","-",VLOOKUP(factura_c_mes1[[#This Row],[CUIT]],Lista_CUIT[#All],2,0)),"CUIT NO CARGADO")</f>
        <v>SAPUNA MARIAN KARINA</v>
      </c>
      <c r="I141" s="126">
        <v>85055.12</v>
      </c>
      <c r="J141" s="127" t="str">
        <f>IFERROR(IF(factura_c_mes1[[#This Row],[CUIT]]="","-",VLOOKUP(factura_c_mes1[[#This Row],[CUIT]],Lista_CUIT[#All],3,0)),"CUIT NO CARGADO")</f>
        <v>PROVEEDOR</v>
      </c>
      <c r="K141" s="127">
        <f>IFERROR(IF(factura_c_mes1[[#This Row],[CUIT]]="","-",VLOOKUP(factura_c_mes1[[#This Row],[CUIT]],Lista_CUIT[#All],4,0)),"CUIT NO CARGADO")</f>
        <v>0</v>
      </c>
    </row>
    <row r="142" spans="4:12" x14ac:dyDescent="0.25">
      <c r="D142" s="128"/>
      <c r="E142" s="123"/>
      <c r="F142" s="123"/>
      <c r="G142" s="124">
        <v>27217606255</v>
      </c>
      <c r="H142" s="125" t="str">
        <f>IFERROR(IF(factura_c_mes1[[#This Row],[CUIT]]="","-",VLOOKUP(factura_c_mes1[[#This Row],[CUIT]],Lista_CUIT[#All],2,0)),"CUIT NO CARGADO")</f>
        <v>SAPUNA MARIAN KARINA</v>
      </c>
      <c r="I142" s="126">
        <v>75334.539999999994</v>
      </c>
      <c r="J142" s="127" t="str">
        <f>IFERROR(IF(factura_c_mes1[[#This Row],[CUIT]]="","-",VLOOKUP(factura_c_mes1[[#This Row],[CUIT]],Lista_CUIT[#All],3,0)),"CUIT NO CARGADO")</f>
        <v>PROVEEDOR</v>
      </c>
      <c r="K142" s="127">
        <f>IFERROR(IF(factura_c_mes1[[#This Row],[CUIT]]="","-",VLOOKUP(factura_c_mes1[[#This Row],[CUIT]],Lista_CUIT[#All],4,0)),"CUIT NO CARGADO")</f>
        <v>0</v>
      </c>
    </row>
    <row r="143" spans="4:12" x14ac:dyDescent="0.25">
      <c r="D143" s="128"/>
      <c r="E143" s="123"/>
      <c r="F143" s="123"/>
      <c r="G143" s="124">
        <v>27217606255</v>
      </c>
      <c r="H143" s="125" t="str">
        <f>IFERROR(IF(factura_c_mes1[[#This Row],[CUIT]]="","-",VLOOKUP(factura_c_mes1[[#This Row],[CUIT]],Lista_CUIT[#All],2,0)),"CUIT NO CARGADO")</f>
        <v>SAPUNA MARIAN KARINA</v>
      </c>
      <c r="I143" s="126">
        <v>82624.98</v>
      </c>
      <c r="J143" s="127" t="str">
        <f>IFERROR(IF(factura_c_mes1[[#This Row],[CUIT]]="","-",VLOOKUP(factura_c_mes1[[#This Row],[CUIT]],Lista_CUIT[#All],3,0)),"CUIT NO CARGADO")</f>
        <v>PROVEEDOR</v>
      </c>
      <c r="K143" s="127">
        <f>IFERROR(IF(factura_c_mes1[[#This Row],[CUIT]]="","-",VLOOKUP(factura_c_mes1[[#This Row],[CUIT]],Lista_CUIT[#All],4,0)),"CUIT NO CARGADO")</f>
        <v>0</v>
      </c>
    </row>
    <row r="144" spans="4:12" x14ac:dyDescent="0.25">
      <c r="D144" s="128"/>
      <c r="E144" s="123"/>
      <c r="F144" s="123"/>
      <c r="G144" s="124">
        <v>27217606255</v>
      </c>
      <c r="H144" s="125" t="str">
        <f>IFERROR(IF(factura_c_mes1[[#This Row],[CUIT]]="","-",VLOOKUP(factura_c_mes1[[#This Row],[CUIT]],Lista_CUIT[#All],2,0)),"CUIT NO CARGADO")</f>
        <v>SAPUNA MARIAN KARINA</v>
      </c>
      <c r="I144" s="126">
        <v>223375.02</v>
      </c>
      <c r="J144" s="127" t="str">
        <f>IFERROR(IF(factura_c_mes1[[#This Row],[CUIT]]="","-",VLOOKUP(factura_c_mes1[[#This Row],[CUIT]],Lista_CUIT[#All],3,0)),"CUIT NO CARGADO")</f>
        <v>PROVEEDOR</v>
      </c>
      <c r="K144" s="127">
        <f>IFERROR(IF(factura_c_mes1[[#This Row],[CUIT]]="","-",VLOOKUP(factura_c_mes1[[#This Row],[CUIT]],Lista_CUIT[#All],4,0)),"CUIT NO CARGADO")</f>
        <v>0</v>
      </c>
    </row>
    <row r="145" spans="4:11" x14ac:dyDescent="0.25">
      <c r="D145" s="128"/>
      <c r="E145" s="123"/>
      <c r="F145" s="123"/>
      <c r="G145" s="124">
        <v>27217606255</v>
      </c>
      <c r="H145" s="125" t="str">
        <f>IFERROR(IF(factura_c_mes1[[#This Row],[CUIT]]="","-",VLOOKUP(factura_c_mes1[[#This Row],[CUIT]],Lista_CUIT[#All],2,0)),"CUIT NO CARGADO")</f>
        <v>SAPUNA MARIAN KARINA</v>
      </c>
      <c r="I145" s="126">
        <v>144536.78</v>
      </c>
      <c r="J145" s="127" t="str">
        <f>IFERROR(IF(factura_c_mes1[[#This Row],[CUIT]]="","-",VLOOKUP(factura_c_mes1[[#This Row],[CUIT]],Lista_CUIT[#All],3,0)),"CUIT NO CARGADO")</f>
        <v>PROVEEDOR</v>
      </c>
      <c r="K145" s="127">
        <f>IFERROR(IF(factura_c_mes1[[#This Row],[CUIT]]="","-",VLOOKUP(factura_c_mes1[[#This Row],[CUIT]],Lista_CUIT[#All],4,0)),"CUIT NO CARGADO")</f>
        <v>0</v>
      </c>
    </row>
    <row r="146" spans="4:11" x14ac:dyDescent="0.25">
      <c r="D146" s="128"/>
      <c r="E146" s="123"/>
      <c r="F146" s="123"/>
      <c r="G146" s="124">
        <v>27217606255</v>
      </c>
      <c r="H146" s="125" t="str">
        <f>IFERROR(IF(factura_c_mes1[[#This Row],[CUIT]]="","-",VLOOKUP(factura_c_mes1[[#This Row],[CUIT]],Lista_CUIT[#All],2,0)),"CUIT NO CARGADO")</f>
        <v>SAPUNA MARIAN KARINA</v>
      </c>
      <c r="I146" s="126">
        <v>157676.49</v>
      </c>
      <c r="J146" s="127" t="str">
        <f>IFERROR(IF(factura_c_mes1[[#This Row],[CUIT]]="","-",VLOOKUP(factura_c_mes1[[#This Row],[CUIT]],Lista_CUIT[#All],3,0)),"CUIT NO CARGADO")</f>
        <v>PROVEEDOR</v>
      </c>
      <c r="K146" s="127">
        <f>IFERROR(IF(factura_c_mes1[[#This Row],[CUIT]]="","-",VLOOKUP(factura_c_mes1[[#This Row],[CUIT]],Lista_CUIT[#All],4,0)),"CUIT NO CARGADO")</f>
        <v>0</v>
      </c>
    </row>
    <row r="147" spans="4:11" x14ac:dyDescent="0.25">
      <c r="D147" s="128"/>
      <c r="E147" s="123"/>
      <c r="F147" s="123"/>
      <c r="G147" s="124">
        <v>27217606255</v>
      </c>
      <c r="H147" s="125" t="str">
        <f>IFERROR(IF(factura_c_mes1[[#This Row],[CUIT]]="","-",VLOOKUP(factura_c_mes1[[#This Row],[CUIT]],Lista_CUIT[#All],2,0)),"CUIT NO CARGADO")</f>
        <v>SAPUNA MARIAN KARINA</v>
      </c>
      <c r="I147" s="126">
        <v>131397.07</v>
      </c>
      <c r="J147" s="127" t="str">
        <f>IFERROR(IF(factura_c_mes1[[#This Row],[CUIT]]="","-",VLOOKUP(factura_c_mes1[[#This Row],[CUIT]],Lista_CUIT[#All],3,0)),"CUIT NO CARGADO")</f>
        <v>PROVEEDOR</v>
      </c>
      <c r="K147" s="127">
        <f>IFERROR(IF(factura_c_mes1[[#This Row],[CUIT]]="","-",VLOOKUP(factura_c_mes1[[#This Row],[CUIT]],Lista_CUIT[#All],4,0)),"CUIT NO CARGADO")</f>
        <v>0</v>
      </c>
    </row>
    <row r="148" spans="4:11" x14ac:dyDescent="0.25">
      <c r="D148" s="128"/>
      <c r="E148" s="123"/>
      <c r="F148" s="123"/>
      <c r="G148" s="124">
        <v>27315710508</v>
      </c>
      <c r="H148" s="125" t="str">
        <f>IFERROR(IF(factura_c_mes1[[#This Row],[CUIT]]="","-",VLOOKUP(factura_c_mes1[[#This Row],[CUIT]],Lista_CUIT[#All],2,0)),"CUIT NO CARGADO")</f>
        <v>RIVERO GABRIELA ROCIO</v>
      </c>
      <c r="I148" s="126">
        <v>40000</v>
      </c>
      <c r="J148" s="127" t="str">
        <f>IFERROR(IF(factura_c_mes1[[#This Row],[CUIT]]="","-",VLOOKUP(factura_c_mes1[[#This Row],[CUIT]],Lista_CUIT[#All],3,0)),"CUIT NO CARGADO")</f>
        <v>Serv. Informaticos</v>
      </c>
      <c r="K148" s="127">
        <f>IFERROR(IF(factura_c_mes1[[#This Row],[CUIT]]="","-",VLOOKUP(factura_c_mes1[[#This Row],[CUIT]],Lista_CUIT[#All],4,0)),"CUIT NO CARGADO")</f>
        <v>0</v>
      </c>
    </row>
    <row r="149" spans="4:11" x14ac:dyDescent="0.25">
      <c r="D149" s="128"/>
      <c r="E149" s="123"/>
      <c r="F149" s="123"/>
      <c r="G149" s="124">
        <v>27265832178</v>
      </c>
      <c r="H149" s="125" t="str">
        <f>IFERROR(IF(factura_c_mes1[[#This Row],[CUIT]]="","-",VLOOKUP(factura_c_mes1[[#This Row],[CUIT]],Lista_CUIT[#All],2,0)),"CUIT NO CARGADO")</f>
        <v>BLASCO MARIA GUADALUPE</v>
      </c>
      <c r="I149" s="126">
        <v>3200000</v>
      </c>
      <c r="J149" s="127" t="str">
        <f>IFERROR(IF(factura_c_mes1[[#This Row],[CUIT]]="","-",VLOOKUP(factura_c_mes1[[#This Row],[CUIT]],Lista_CUIT[#All],3,0)),"CUIT NO CARGADO")</f>
        <v>PROVEEDOR</v>
      </c>
      <c r="K149" s="127">
        <f>IFERROR(IF(factura_c_mes1[[#This Row],[CUIT]]="","-",VLOOKUP(factura_c_mes1[[#This Row],[CUIT]],Lista_CUIT[#All],4,0)),"CUIT NO CARGADO")</f>
        <v>0</v>
      </c>
    </row>
    <row r="150" spans="4:11" x14ac:dyDescent="0.25">
      <c r="D150" s="128"/>
      <c r="E150" s="123"/>
      <c r="F150" s="123"/>
      <c r="G150" s="124">
        <v>20086277523</v>
      </c>
      <c r="H150" s="125" t="str">
        <f>IFERROR(IF(factura_c_mes1[[#This Row],[CUIT]]="","-",VLOOKUP(factura_c_mes1[[#This Row],[CUIT]],Lista_CUIT[#All],2,0)),"CUIT NO CARGADO")</f>
        <v>BOTINDARI JUAN CARLOS</v>
      </c>
      <c r="I150" s="126">
        <v>275500</v>
      </c>
      <c r="J150" s="127" t="str">
        <f>IFERROR(IF(factura_c_mes1[[#This Row],[CUIT]]="","-",VLOOKUP(factura_c_mes1[[#This Row],[CUIT]],Lista_CUIT[#All],3,0)),"CUIT NO CARGADO")</f>
        <v>HONORARIOS</v>
      </c>
      <c r="K150" s="127">
        <f>IFERROR(IF(factura_c_mes1[[#This Row],[CUIT]]="","-",VLOOKUP(factura_c_mes1[[#This Row],[CUIT]],Lista_CUIT[#All],4,0)),"CUIT NO CARGADO")</f>
        <v>0</v>
      </c>
    </row>
    <row r="151" spans="4:11" x14ac:dyDescent="0.25">
      <c r="D151" s="128"/>
      <c r="E151" s="123"/>
      <c r="F151" s="123"/>
      <c r="G151" s="124">
        <v>20216451679</v>
      </c>
      <c r="H151" s="125" t="str">
        <f>IFERROR(IF(factura_c_mes1[[#This Row],[CUIT]]="","-",VLOOKUP(factura_c_mes1[[#This Row],[CUIT]],Lista_CUIT[#All],2,0)),"CUIT NO CARGADO")</f>
        <v>VAZQUEZ RICARDO OSCAR</v>
      </c>
      <c r="I151" s="126">
        <v>356000</v>
      </c>
      <c r="J151" s="127" t="str">
        <f>IFERROR(IF(factura_c_mes1[[#This Row],[CUIT]]="","-",VLOOKUP(factura_c_mes1[[#This Row],[CUIT]],Lista_CUIT[#All],3,0)),"CUIT NO CARGADO")</f>
        <v>PROVEEDOR</v>
      </c>
      <c r="K151" s="127">
        <f>IFERROR(IF(factura_c_mes1[[#This Row],[CUIT]]="","-",VLOOKUP(factura_c_mes1[[#This Row],[CUIT]],Lista_CUIT[#All],4,0)),"CUIT NO CARGADO")</f>
        <v>0</v>
      </c>
    </row>
    <row r="152" spans="4:11" x14ac:dyDescent="0.25">
      <c r="D152" s="128"/>
      <c r="E152" s="123"/>
      <c r="F152" s="123"/>
      <c r="G152" s="124">
        <v>20182999661</v>
      </c>
      <c r="H152" s="125" t="str">
        <f>IFERROR(IF(factura_c_mes1[[#This Row],[CUIT]]="","-",VLOOKUP(factura_c_mes1[[#This Row],[CUIT]],Lista_CUIT[#All],2,0)),"CUIT NO CARGADO")</f>
        <v>KLAINER ABEL JAVIER</v>
      </c>
      <c r="I152" s="126">
        <v>4500</v>
      </c>
      <c r="J152" s="127" t="str">
        <f>IFERROR(IF(factura_c_mes1[[#This Row],[CUIT]]="","-",VLOOKUP(factura_c_mes1[[#This Row],[CUIT]],Lista_CUIT[#All],3,0)),"CUIT NO CARGADO")</f>
        <v>Gastos Varios</v>
      </c>
      <c r="K152" s="127">
        <f>IFERROR(IF(factura_c_mes1[[#This Row],[CUIT]]="","-",VLOOKUP(factura_c_mes1[[#This Row],[CUIT]],Lista_CUIT[#All],4,0)),"CUIT NO CARGADO")</f>
        <v>0</v>
      </c>
    </row>
    <row r="153" spans="4:11" x14ac:dyDescent="0.25">
      <c r="D153" s="128"/>
      <c r="E153" s="123"/>
      <c r="F153" s="123"/>
      <c r="G153" s="124">
        <v>27062343449</v>
      </c>
      <c r="H153" s="125" t="str">
        <f>IFERROR(IF(factura_c_mes1[[#This Row],[CUIT]]="","-",VLOOKUP(factura_c_mes1[[#This Row],[CUIT]],Lista_CUIT[#All],2,0)),"CUIT NO CARGADO")</f>
        <v>FERREIRS LILISNS INES</v>
      </c>
      <c r="I153" s="126">
        <v>350000</v>
      </c>
      <c r="J153" s="127" t="str">
        <f>IFERROR(IF(factura_c_mes1[[#This Row],[CUIT]]="","-",VLOOKUP(factura_c_mes1[[#This Row],[CUIT]],Lista_CUIT[#All],3,0)),"CUIT NO CARGADO")</f>
        <v>FLETE</v>
      </c>
      <c r="K153" s="127">
        <f>IFERROR(IF(factura_c_mes1[[#This Row],[CUIT]]="","-",VLOOKUP(factura_c_mes1[[#This Row],[CUIT]],Lista_CUIT[#All],4,0)),"CUIT NO CARGADO")</f>
        <v>0</v>
      </c>
    </row>
    <row r="154" spans="4:11" x14ac:dyDescent="0.25">
      <c r="D154" s="128"/>
      <c r="E154" s="123"/>
      <c r="F154" s="123"/>
      <c r="G154" s="124"/>
      <c r="H154" s="125" t="str">
        <f>IFERROR(IF(factura_c_mes1[[#This Row],[CUIT]]="","-",VLOOKUP(factura_c_mes1[[#This Row],[CUIT]],Lista_CUIT[#All],2,0)),"CUIT NO CARGADO")</f>
        <v>-</v>
      </c>
      <c r="I154" s="126"/>
      <c r="J154" s="127" t="str">
        <f>IFERROR(IF(factura_c_mes1[[#This Row],[CUIT]]="","-",VLOOKUP(factura_c_mes1[[#This Row],[CUIT]],Lista_CUIT[#All],3,0)),"CUIT NO CARGADO")</f>
        <v>-</v>
      </c>
      <c r="K154" s="127" t="str">
        <f>IFERROR(IF(factura_c_mes1[[#This Row],[CUIT]]="","-",VLOOKUP(factura_c_mes1[[#This Row],[CUIT]],Lista_CUIT[#All],4,0)),"CUIT NO CARGADO")</f>
        <v>-</v>
      </c>
    </row>
    <row r="155" spans="4:11" x14ac:dyDescent="0.25">
      <c r="D155" s="128"/>
      <c r="E155" s="123"/>
      <c r="F155" s="123"/>
      <c r="G155" s="124"/>
      <c r="H155" s="125" t="str">
        <f>IFERROR(IF(factura_c_mes1[[#This Row],[CUIT]]="","-",VLOOKUP(factura_c_mes1[[#This Row],[CUIT]],Lista_CUIT[#All],2,0)),"CUIT NO CARGADO")</f>
        <v>-</v>
      </c>
      <c r="I155" s="126"/>
      <c r="J155" s="127" t="str">
        <f>IFERROR(IF(factura_c_mes1[[#This Row],[CUIT]]="","-",VLOOKUP(factura_c_mes1[[#This Row],[CUIT]],Lista_CUIT[#All],3,0)),"CUIT NO CARGADO")</f>
        <v>-</v>
      </c>
      <c r="K155" s="127" t="str">
        <f>IFERROR(IF(factura_c_mes1[[#This Row],[CUIT]]="","-",VLOOKUP(factura_c_mes1[[#This Row],[CUIT]],Lista_CUIT[#All],4,0)),"CUIT NO CARGADO")</f>
        <v>-</v>
      </c>
    </row>
    <row r="156" spans="4:11" x14ac:dyDescent="0.25">
      <c r="D156" s="128"/>
      <c r="E156" s="123"/>
      <c r="F156" s="123"/>
      <c r="G156" s="124"/>
      <c r="H156" s="125" t="str">
        <f>IFERROR(IF(factura_c_mes1[[#This Row],[CUIT]]="","-",VLOOKUP(factura_c_mes1[[#This Row],[CUIT]],Lista_CUIT[#All],2,0)),"CUIT NO CARGADO")</f>
        <v>-</v>
      </c>
      <c r="I156" s="126"/>
      <c r="J156" s="127" t="str">
        <f>IFERROR(IF(factura_c_mes1[[#This Row],[CUIT]]="","-",VLOOKUP(factura_c_mes1[[#This Row],[CUIT]],Lista_CUIT[#All],3,0)),"CUIT NO CARGADO")</f>
        <v>-</v>
      </c>
      <c r="K156" s="127" t="str">
        <f>IFERROR(IF(factura_c_mes1[[#This Row],[CUIT]]="","-",VLOOKUP(factura_c_mes1[[#This Row],[CUIT]],Lista_CUIT[#All],4,0)),"CUIT NO CARGADO")</f>
        <v>-</v>
      </c>
    </row>
    <row r="157" spans="4:11" x14ac:dyDescent="0.25">
      <c r="D157" s="128"/>
      <c r="E157" s="123"/>
      <c r="F157" s="123"/>
      <c r="G157" s="124"/>
      <c r="H157" s="125" t="str">
        <f>IFERROR(IF(factura_c_mes1[[#This Row],[CUIT]]="","-",VLOOKUP(factura_c_mes1[[#This Row],[CUIT]],Lista_CUIT[#All],2,0)),"CUIT NO CARGADO")</f>
        <v>-</v>
      </c>
      <c r="I157" s="126"/>
      <c r="J157" s="127" t="str">
        <f>IFERROR(IF(factura_c_mes1[[#This Row],[CUIT]]="","-",VLOOKUP(factura_c_mes1[[#This Row],[CUIT]],Lista_CUIT[#All],3,0)),"CUIT NO CARGADO")</f>
        <v>-</v>
      </c>
      <c r="K157" s="127" t="str">
        <f>IFERROR(IF(factura_c_mes1[[#This Row],[CUIT]]="","-",VLOOKUP(factura_c_mes1[[#This Row],[CUIT]],Lista_CUIT[#All],4,0)),"CUIT NO CARGADO")</f>
        <v>-</v>
      </c>
    </row>
    <row r="158" spans="4:11" x14ac:dyDescent="0.25">
      <c r="D158" s="128"/>
      <c r="E158" s="123"/>
      <c r="F158" s="123"/>
      <c r="G158" s="124"/>
      <c r="H158" s="125" t="str">
        <f>IFERROR(IF(factura_c_mes1[[#This Row],[CUIT]]="","-",VLOOKUP(factura_c_mes1[[#This Row],[CUIT]],Lista_CUIT[#All],2,0)),"CUIT NO CARGADO")</f>
        <v>-</v>
      </c>
      <c r="I158" s="126"/>
      <c r="J158" s="127" t="str">
        <f>IFERROR(IF(factura_c_mes1[[#This Row],[CUIT]]="","-",VLOOKUP(factura_c_mes1[[#This Row],[CUIT]],Lista_CUIT[#All],3,0)),"CUIT NO CARGADO")</f>
        <v>-</v>
      </c>
      <c r="K158" s="127" t="str">
        <f>IFERROR(IF(factura_c_mes1[[#This Row],[CUIT]]="","-",VLOOKUP(factura_c_mes1[[#This Row],[CUIT]],Lista_CUIT[#All],4,0)),"CUIT NO CARGADO")</f>
        <v>-</v>
      </c>
    </row>
    <row r="159" spans="4:11" x14ac:dyDescent="0.25">
      <c r="D159" s="128"/>
      <c r="E159" s="123"/>
      <c r="F159" s="123"/>
      <c r="G159" s="124"/>
      <c r="H159" s="125" t="str">
        <f>IFERROR(IF(factura_c_mes1[[#This Row],[CUIT]]="","-",VLOOKUP(factura_c_mes1[[#This Row],[CUIT]],Lista_CUIT[#All],2,0)),"CUIT NO CARGADO")</f>
        <v>-</v>
      </c>
      <c r="I159" s="126"/>
      <c r="J159" s="127" t="str">
        <f>IFERROR(IF(factura_c_mes1[[#This Row],[CUIT]]="","-",VLOOKUP(factura_c_mes1[[#This Row],[CUIT]],Lista_CUIT[#All],3,0)),"CUIT NO CARGADO")</f>
        <v>-</v>
      </c>
      <c r="K159" s="127" t="str">
        <f>IFERROR(IF(factura_c_mes1[[#This Row],[CUIT]]="","-",VLOOKUP(factura_c_mes1[[#This Row],[CUIT]],Lista_CUIT[#All],4,0)),"CUIT NO CARGADO")</f>
        <v>-</v>
      </c>
    </row>
    <row r="160" spans="4:11" x14ac:dyDescent="0.25">
      <c r="D160" s="128"/>
      <c r="E160" s="123"/>
      <c r="F160" s="123"/>
      <c r="G160" s="124"/>
      <c r="H160" s="125" t="str">
        <f>IFERROR(IF(factura_c_mes1[[#This Row],[CUIT]]="","-",VLOOKUP(factura_c_mes1[[#This Row],[CUIT]],Lista_CUIT[#All],2,0)),"CUIT NO CARGADO")</f>
        <v>-</v>
      </c>
      <c r="I160" s="126"/>
      <c r="J160" s="127" t="str">
        <f>IFERROR(IF(factura_c_mes1[[#This Row],[CUIT]]="","-",VLOOKUP(factura_c_mes1[[#This Row],[CUIT]],Lista_CUIT[#All],3,0)),"CUIT NO CARGADO")</f>
        <v>-</v>
      </c>
      <c r="K160" s="127" t="str">
        <f>IFERROR(IF(factura_c_mes1[[#This Row],[CUIT]]="","-",VLOOKUP(factura_c_mes1[[#This Row],[CUIT]],Lista_CUIT[#All],4,0)),"CUIT NO CARGADO")</f>
        <v>-</v>
      </c>
    </row>
    <row r="161" spans="2:18" x14ac:dyDescent="0.25">
      <c r="D161" s="128"/>
      <c r="E161" s="123"/>
      <c r="F161" s="123"/>
      <c r="G161" s="124"/>
      <c r="H161" s="125" t="str">
        <f>IFERROR(IF(factura_c_mes1[[#This Row],[CUIT]]="","-",VLOOKUP(factura_c_mes1[[#This Row],[CUIT]],Lista_CUIT[#All],2,0)),"CUIT NO CARGADO")</f>
        <v>-</v>
      </c>
      <c r="I161" s="126"/>
      <c r="J161" s="127" t="str">
        <f>IFERROR(IF(factura_c_mes1[[#This Row],[CUIT]]="","-",VLOOKUP(factura_c_mes1[[#This Row],[CUIT]],Lista_CUIT[#All],3,0)),"CUIT NO CARGADO")</f>
        <v>-</v>
      </c>
      <c r="K161" s="127" t="str">
        <f>IFERROR(IF(factura_c_mes1[[#This Row],[CUIT]]="","-",VLOOKUP(factura_c_mes1[[#This Row],[CUIT]],Lista_CUIT[#All],4,0)),"CUIT NO CARGADO")</f>
        <v>-</v>
      </c>
    </row>
    <row r="162" spans="2:18" x14ac:dyDescent="0.25">
      <c r="D162" s="128"/>
      <c r="E162" s="123"/>
      <c r="F162" s="123"/>
      <c r="G162" s="124"/>
      <c r="H162" s="125" t="str">
        <f>IFERROR(IF(factura_c_mes1[[#This Row],[CUIT]]="","-",VLOOKUP(factura_c_mes1[[#This Row],[CUIT]],Lista_CUIT[#All],2,0)),"CUIT NO CARGADO")</f>
        <v>-</v>
      </c>
      <c r="I162" s="126"/>
      <c r="J162" s="127" t="str">
        <f>IFERROR(IF(factura_c_mes1[[#This Row],[CUIT]]="","-",VLOOKUP(factura_c_mes1[[#This Row],[CUIT]],Lista_CUIT[#All],3,0)),"CUIT NO CARGADO")</f>
        <v>-</v>
      </c>
      <c r="K162" s="127" t="str">
        <f>IFERROR(IF(factura_c_mes1[[#This Row],[CUIT]]="","-",VLOOKUP(factura_c_mes1[[#This Row],[CUIT]],Lista_CUIT[#All],4,0)),"CUIT NO CARGADO")</f>
        <v>-</v>
      </c>
    </row>
    <row r="163" spans="2:18" x14ac:dyDescent="0.25">
      <c r="D163" s="128"/>
      <c r="E163" s="123"/>
      <c r="F163" s="123"/>
      <c r="G163" s="124"/>
      <c r="H163" s="125" t="str">
        <f>IFERROR(IF(factura_c_mes1[[#This Row],[CUIT]]="","-",VLOOKUP(factura_c_mes1[[#This Row],[CUIT]],Lista_CUIT[#All],2,0)),"CUIT NO CARGADO")</f>
        <v>-</v>
      </c>
      <c r="I163" s="126"/>
      <c r="J163" s="127" t="str">
        <f>IFERROR(IF(factura_c_mes1[[#This Row],[CUIT]]="","-",VLOOKUP(factura_c_mes1[[#This Row],[CUIT]],Lista_CUIT[#All],3,0)),"CUIT NO CARGADO")</f>
        <v>-</v>
      </c>
      <c r="K163" s="127" t="str">
        <f>IFERROR(IF(factura_c_mes1[[#This Row],[CUIT]]="","-",VLOOKUP(factura_c_mes1[[#This Row],[CUIT]],Lista_CUIT[#All],4,0)),"CUIT NO CARGADO")</f>
        <v>-</v>
      </c>
    </row>
    <row r="164" spans="2:18" x14ac:dyDescent="0.25">
      <c r="D164" s="128"/>
      <c r="E164" s="123"/>
      <c r="F164" s="123"/>
      <c r="G164" s="124"/>
      <c r="H164" s="125" t="str">
        <f>IFERROR(IF(factura_c_mes1[[#This Row],[CUIT]]="","-",VLOOKUP(factura_c_mes1[[#This Row],[CUIT]],Lista_CUIT[#All],2,0)),"CUIT NO CARGADO")</f>
        <v>-</v>
      </c>
      <c r="I164" s="126"/>
      <c r="J164" s="127" t="str">
        <f>IFERROR(IF(factura_c_mes1[[#This Row],[CUIT]]="","-",VLOOKUP(factura_c_mes1[[#This Row],[CUIT]],Lista_CUIT[#All],3,0)),"CUIT NO CARGADO")</f>
        <v>-</v>
      </c>
      <c r="K164" s="127" t="str">
        <f>IFERROR(IF(factura_c_mes1[[#This Row],[CUIT]]="","-",VLOOKUP(factura_c_mes1[[#This Row],[CUIT]],Lista_CUIT[#All],4,0)),"CUIT NO CARGADO")</f>
        <v>-</v>
      </c>
    </row>
    <row r="165" spans="2:18" x14ac:dyDescent="0.25">
      <c r="D165" s="128"/>
      <c r="E165" s="123"/>
      <c r="F165" s="123"/>
      <c r="G165" s="124"/>
      <c r="H165" s="125" t="str">
        <f>IFERROR(IF(factura_c_mes1[[#This Row],[CUIT]]="","-",VLOOKUP(factura_c_mes1[[#This Row],[CUIT]],Lista_CUIT[#All],2,0)),"CUIT NO CARGADO")</f>
        <v>-</v>
      </c>
      <c r="I165" s="126"/>
      <c r="J165" s="127" t="str">
        <f>IFERROR(IF(factura_c_mes1[[#This Row],[CUIT]]="","-",VLOOKUP(factura_c_mes1[[#This Row],[CUIT]],Lista_CUIT[#All],3,0)),"CUIT NO CARGADO")</f>
        <v>-</v>
      </c>
      <c r="K165" s="127" t="str">
        <f>IFERROR(IF(factura_c_mes1[[#This Row],[CUIT]]="","-",VLOOKUP(factura_c_mes1[[#This Row],[CUIT]],Lista_CUIT[#All],4,0)),"CUIT NO CARGADO")</f>
        <v>-</v>
      </c>
    </row>
    <row r="166" spans="2:18" x14ac:dyDescent="0.25">
      <c r="D166" s="128"/>
      <c r="E166" s="123"/>
      <c r="F166" s="123"/>
      <c r="G166" s="124"/>
      <c r="H166" s="125" t="str">
        <f>IFERROR(IF(factura_c_mes1[[#This Row],[CUIT]]="","-",VLOOKUP(factura_c_mes1[[#This Row],[CUIT]],Lista_CUIT[#All],2,0)),"CUIT NO CARGADO")</f>
        <v>-</v>
      </c>
      <c r="I166" s="126"/>
      <c r="J166" s="127" t="str">
        <f>IFERROR(IF(factura_c_mes1[[#This Row],[CUIT]]="","-",VLOOKUP(factura_c_mes1[[#This Row],[CUIT]],Lista_CUIT[#All],3,0)),"CUIT NO CARGADO")</f>
        <v>-</v>
      </c>
      <c r="K166" s="127" t="str">
        <f>IFERROR(IF(factura_c_mes1[[#This Row],[CUIT]]="","-",VLOOKUP(factura_c_mes1[[#This Row],[CUIT]],Lista_CUIT[#All],4,0)),"CUIT NO CARGADO")</f>
        <v>-</v>
      </c>
    </row>
    <row r="167" spans="2:18" x14ac:dyDescent="0.25">
      <c r="D167" s="128"/>
      <c r="E167" s="123"/>
      <c r="F167" s="123"/>
      <c r="G167" s="124"/>
      <c r="H167" s="125" t="str">
        <f>IFERROR(IF(factura_c_mes1[[#This Row],[CUIT]]="","-",VLOOKUP(factura_c_mes1[[#This Row],[CUIT]],Lista_CUIT[#All],2,0)),"CUIT NO CARGADO")</f>
        <v>-</v>
      </c>
      <c r="I167" s="126"/>
      <c r="J167" s="127" t="str">
        <f>IFERROR(IF(factura_c_mes1[[#This Row],[CUIT]]="","-",VLOOKUP(factura_c_mes1[[#This Row],[CUIT]],Lista_CUIT[#All],3,0)),"CUIT NO CARGADO")</f>
        <v>-</v>
      </c>
      <c r="K167" s="127" t="str">
        <f>IFERROR(IF(factura_c_mes1[[#This Row],[CUIT]]="","-",VLOOKUP(factura_c_mes1[[#This Row],[CUIT]],Lista_CUIT[#All],4,0)),"CUIT NO CARGADO")</f>
        <v>-</v>
      </c>
    </row>
    <row r="168" spans="2:18" x14ac:dyDescent="0.25">
      <c r="D168" s="128"/>
      <c r="E168" s="123"/>
      <c r="F168" s="123"/>
      <c r="G168" s="124"/>
      <c r="H168" s="125" t="str">
        <f>IFERROR(IF(factura_c_mes1[[#This Row],[CUIT]]="","-",VLOOKUP(factura_c_mes1[[#This Row],[CUIT]],Lista_CUIT[#All],2,0)),"CUIT NO CARGADO")</f>
        <v>-</v>
      </c>
      <c r="I168" s="126"/>
      <c r="J168" s="127" t="str">
        <f>IFERROR(IF(factura_c_mes1[[#This Row],[CUIT]]="","-",VLOOKUP(factura_c_mes1[[#This Row],[CUIT]],Lista_CUIT[#All],3,0)),"CUIT NO CARGADO")</f>
        <v>-</v>
      </c>
      <c r="K168" s="127" t="str">
        <f>IFERROR(IF(factura_c_mes1[[#This Row],[CUIT]]="","-",VLOOKUP(factura_c_mes1[[#This Row],[CUIT]],Lista_CUIT[#All],4,0)),"CUIT NO CARGADO")</f>
        <v>-</v>
      </c>
    </row>
    <row r="169" spans="2:18" x14ac:dyDescent="0.25">
      <c r="D169" s="128"/>
      <c r="E169" s="123"/>
      <c r="F169" s="123"/>
      <c r="G169" s="124"/>
      <c r="H169" s="125" t="str">
        <f>IFERROR(IF(factura_c_mes1[[#This Row],[CUIT]]="","-",VLOOKUP(factura_c_mes1[[#This Row],[CUIT]],Lista_CUIT[#All],2,0)),"CUIT NO CARGADO")</f>
        <v>-</v>
      </c>
      <c r="I169" s="126"/>
      <c r="J169" s="127" t="str">
        <f>IFERROR(IF(factura_c_mes1[[#This Row],[CUIT]]="","-",VLOOKUP(factura_c_mes1[[#This Row],[CUIT]],Lista_CUIT[#All],3,0)),"CUIT NO CARGADO")</f>
        <v>-</v>
      </c>
      <c r="K169" s="127" t="str">
        <f>IFERROR(IF(factura_c_mes1[[#This Row],[CUIT]]="","-",VLOOKUP(factura_c_mes1[[#This Row],[CUIT]],Lista_CUIT[#All],4,0)),"CUIT NO CARGADO")</f>
        <v>-</v>
      </c>
    </row>
    <row r="170" spans="2:18" x14ac:dyDescent="0.25">
      <c r="D170" s="128"/>
      <c r="E170" s="123"/>
      <c r="F170" s="123"/>
      <c r="G170" s="124"/>
      <c r="H170" s="125" t="str">
        <f>IFERROR(IF(factura_c_mes1[[#This Row],[CUIT]]="","-",VLOOKUP(factura_c_mes1[[#This Row],[CUIT]],Lista_CUIT[#All],2,0)),"CUIT NO CARGADO")</f>
        <v>-</v>
      </c>
      <c r="I170" s="126"/>
      <c r="J170" s="127" t="str">
        <f>IFERROR(IF(factura_c_mes1[[#This Row],[CUIT]]="","-",VLOOKUP(factura_c_mes1[[#This Row],[CUIT]],Lista_CUIT[#All],3,0)),"CUIT NO CARGADO")</f>
        <v>-</v>
      </c>
      <c r="K170" s="127" t="str">
        <f>IFERROR(IF(factura_c_mes1[[#This Row],[CUIT]]="","-",VLOOKUP(factura_c_mes1[[#This Row],[CUIT]],Lista_CUIT[#All],4,0)),"CUIT NO CARGADO")</f>
        <v>-</v>
      </c>
    </row>
    <row r="171" spans="2:18" x14ac:dyDescent="0.25">
      <c r="D171" s="55" t="s">
        <v>110</v>
      </c>
      <c r="E171" s="55"/>
      <c r="F171" s="55"/>
      <c r="G171" s="55"/>
      <c r="H171" s="57"/>
      <c r="I171" s="58">
        <f>SUBTOTAL(109,factura_c_mes1[TOTAL])</f>
        <v>5641000</v>
      </c>
      <c r="J171" s="55"/>
      <c r="K171" s="55"/>
    </row>
    <row r="172" spans="2:18" x14ac:dyDescent="0.25">
      <c r="B172" s="56"/>
      <c r="C172" s="56"/>
      <c r="L172" s="56"/>
      <c r="M172" s="56"/>
      <c r="N172" s="56"/>
      <c r="O172" s="56"/>
      <c r="P172" s="56"/>
      <c r="Q172" s="56"/>
      <c r="R172" s="56"/>
    </row>
    <row r="177" spans="2:13" ht="26.25" x14ac:dyDescent="0.25">
      <c r="B177" s="629" t="s">
        <v>29</v>
      </c>
      <c r="C177" s="629"/>
      <c r="D177" s="629"/>
      <c r="E177" s="629"/>
      <c r="F177" s="629"/>
      <c r="G177" s="629"/>
      <c r="H177" s="629"/>
      <c r="I177" s="629"/>
      <c r="J177" s="629"/>
      <c r="K177" s="630">
        <f>N1</f>
        <v>45658</v>
      </c>
      <c r="L177" s="630"/>
      <c r="M177" s="630"/>
    </row>
    <row r="179" spans="2:13" ht="21" x14ac:dyDescent="0.25">
      <c r="B179" s="631" t="s">
        <v>30</v>
      </c>
      <c r="C179" s="631"/>
    </row>
    <row r="180" spans="2:13" ht="15.75" x14ac:dyDescent="0.25">
      <c r="B180" s="60" t="s">
        <v>0</v>
      </c>
      <c r="C180" s="61" t="s">
        <v>1</v>
      </c>
      <c r="D180" s="61" t="s">
        <v>21</v>
      </c>
      <c r="E180" s="61" t="s">
        <v>22</v>
      </c>
      <c r="F180" s="61" t="s">
        <v>3</v>
      </c>
      <c r="G180" s="61" t="s">
        <v>4</v>
      </c>
      <c r="H180" s="61" t="s">
        <v>23</v>
      </c>
      <c r="I180" s="61" t="s">
        <v>17</v>
      </c>
      <c r="J180" s="61" t="s">
        <v>7</v>
      </c>
      <c r="K180" s="61" t="s">
        <v>24</v>
      </c>
      <c r="L180" s="61" t="s">
        <v>10</v>
      </c>
      <c r="M180" s="62" t="s">
        <v>38</v>
      </c>
    </row>
    <row r="181" spans="2:13" x14ac:dyDescent="0.25">
      <c r="B181" s="40"/>
      <c r="C181" s="41"/>
      <c r="D181" s="42"/>
      <c r="E181" s="43"/>
      <c r="F181" s="44"/>
      <c r="G181" s="98" t="str">
        <f>IFERROR(IF(venta_a_mes1[[#This Row],[CUIT]]="","-",VLOOKUP(venta_a_mes1[[#This Row],[CUIT]],Lista_CUIT[#All],2,0)),"CUIT NO CARGADO")</f>
        <v>-</v>
      </c>
      <c r="H181" s="99"/>
      <c r="I181" s="100">
        <f>venta_a_mes1[[#This Row],[IMPORTE NETO]]*0.21</f>
        <v>0</v>
      </c>
      <c r="J181" s="65"/>
      <c r="K181" s="65"/>
      <c r="L181" s="65">
        <f>SUM(venta_a_mes1[[#This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8" t="str">
        <f>IFERROR(IF(venta_a_mes1[[#This Row],[CUIT]]="","-",VLOOKUP(venta_a_mes1[[#This Row],[CUIT]],Lista_CUIT[#All],2,0)),"CUIT NO CARGADO")</f>
        <v>-</v>
      </c>
      <c r="H182" s="99"/>
      <c r="I182" s="100">
        <f>venta_a_mes1[[#This Row],[IMPORTE NETO]]*0.21</f>
        <v>0</v>
      </c>
      <c r="J182" s="65"/>
      <c r="K182" s="65"/>
      <c r="L182" s="65">
        <f>SUM(venta_a_mes1[[#This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8" t="str">
        <f>IFERROR(IF(venta_a_mes1[[#This Row],[CUIT]]="","-",VLOOKUP(venta_a_mes1[[#This Row],[CUIT]],Lista_CUIT[#All],2,0)),"CUIT NO CARGADO")</f>
        <v>-</v>
      </c>
      <c r="H183" s="99"/>
      <c r="I183" s="100">
        <f>venta_a_mes1[[#This Row],[IMPORTE NETO]]*0.21</f>
        <v>0</v>
      </c>
      <c r="J183" s="65"/>
      <c r="K183" s="65"/>
      <c r="L183" s="65">
        <f>SUM(venta_a_mes1[[#This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98" t="str">
        <f>IFERROR(IF(venta_a_mes1[[#This Row],[CUIT]]="","-",VLOOKUP(venta_a_mes1[[#This Row],[CUIT]],Lista_CUIT[#All],2,0)),"CUIT NO CARGADO")</f>
        <v>-</v>
      </c>
      <c r="H184" s="99"/>
      <c r="I184" s="100">
        <f>venta_a_mes1[[#This Row],[IMPORTE NETO]]*0.21</f>
        <v>0</v>
      </c>
      <c r="J184" s="65"/>
      <c r="K184" s="65"/>
      <c r="L184" s="65">
        <f>SUM(venta_a_mes1[[#This Row],[IMPORTE NETO]:[EXENTO]])</f>
        <v>0</v>
      </c>
      <c r="M184" s="59"/>
    </row>
    <row r="185" spans="2:13" x14ac:dyDescent="0.25">
      <c r="B185" s="40"/>
      <c r="C185" s="41"/>
      <c r="D185" s="42"/>
      <c r="E185" s="43"/>
      <c r="F185" s="44"/>
      <c r="G185" s="98" t="str">
        <f>IFERROR(IF(venta_a_mes1[[#This Row],[CUIT]]="","-",VLOOKUP(venta_a_mes1[[#This Row],[CUIT]],Lista_CUIT[#All],2,0)),"CUIT NO CARGADO")</f>
        <v>-</v>
      </c>
      <c r="H185" s="99"/>
      <c r="I185" s="100">
        <f>venta_a_mes1[[#This Row],[IMPORTE NETO]]*0.21</f>
        <v>0</v>
      </c>
      <c r="J185" s="65"/>
      <c r="K185" s="65"/>
      <c r="L185" s="65">
        <f>SUM(venta_a_mes1[[#This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98" t="str">
        <f>IFERROR(IF(venta_a_mes1[[#This Row],[CUIT]]="","-",VLOOKUP(venta_a_mes1[[#This Row],[CUIT]],Lista_CUIT[#All],2,0)),"CUIT NO CARGADO")</f>
        <v>-</v>
      </c>
      <c r="H186" s="99"/>
      <c r="I186" s="100">
        <f>venta_a_mes1[[#This Row],[IMPORTE NETO]]*0.21</f>
        <v>0</v>
      </c>
      <c r="J186" s="65"/>
      <c r="K186" s="65"/>
      <c r="L186" s="65">
        <f>SUM(venta_a_mes1[[#This Row],[IMPORTE NETO]:[EXENTO]])</f>
        <v>0</v>
      </c>
      <c r="M186" s="59"/>
    </row>
    <row r="187" spans="2:13" x14ac:dyDescent="0.25">
      <c r="B187" s="40"/>
      <c r="C187" s="41"/>
      <c r="D187" s="42"/>
      <c r="E187" s="43"/>
      <c r="F187" s="44"/>
      <c r="G187" s="98" t="str">
        <f>IFERROR(IF(venta_a_mes1[[#This Row],[CUIT]]="","-",VLOOKUP(venta_a_mes1[[#This Row],[CUIT]],Lista_CUIT[#All],2,0)),"CUIT NO CARGADO")</f>
        <v>-</v>
      </c>
      <c r="H187" s="99"/>
      <c r="I187" s="100">
        <f>venta_a_mes1[[#This Row],[IMPORTE NETO]]*0.21</f>
        <v>0</v>
      </c>
      <c r="J187" s="65"/>
      <c r="K187" s="65"/>
      <c r="L187" s="65">
        <f>SUM(venta_a_mes1[[#This Row],[IMPORTE NETO]:[EXENTO]])</f>
        <v>0</v>
      </c>
      <c r="M187" s="63"/>
    </row>
    <row r="188" spans="2:13" x14ac:dyDescent="0.25">
      <c r="B188" s="101"/>
      <c r="C188" s="102"/>
      <c r="D188" s="103"/>
      <c r="E188" s="104"/>
      <c r="F188" s="105"/>
      <c r="G188" s="98" t="str">
        <f>IFERROR(IF(venta_a_mes1[[#This Row],[CUIT]]="","-",VLOOKUP(venta_a_mes1[[#This Row],[CUIT]],Lista_CUIT[#All],2,0)),"CUIT NO CARGADO")</f>
        <v>-</v>
      </c>
      <c r="H188" s="106"/>
      <c r="I188" s="107">
        <f>venta_a_mes1[[#This Row],[IMPORTE NETO]]*0.21</f>
        <v>0</v>
      </c>
      <c r="J188" s="72"/>
      <c r="K188" s="72"/>
      <c r="L188" s="72">
        <f>SUM(venta_a_mes1[[#This Row],[IMPORTE NETO]:[EXENTO]])</f>
        <v>0</v>
      </c>
      <c r="M188" s="63"/>
    </row>
    <row r="189" spans="2:13" x14ac:dyDescent="0.25">
      <c r="B189" s="108"/>
      <c r="C189" s="109"/>
      <c r="D189" s="110"/>
      <c r="E189" s="111"/>
      <c r="F189" s="112"/>
      <c r="G189" s="98" t="str">
        <f>IFERROR(IF(venta_a_mes1[[#This Row],[CUIT]]="","-",VLOOKUP(venta_a_mes1[[#This Row],[CUIT]],Lista_CUIT[#All],2,0)),"CUIT NO CARGADO")</f>
        <v>-</v>
      </c>
      <c r="H189" s="99"/>
      <c r="I189" s="100">
        <f>venta_a_mes1[[#This Row],[IMPORTE NETO]]*0.21</f>
        <v>0</v>
      </c>
      <c r="J189" s="65"/>
      <c r="K189" s="65"/>
      <c r="L189" s="65">
        <f>SUM(venta_a_mes1[[#This Row],[IMPORTE NETO]:[EXENTO]])</f>
        <v>0</v>
      </c>
      <c r="M189" s="59"/>
    </row>
    <row r="190" spans="2:13" x14ac:dyDescent="0.25">
      <c r="B190" s="66" t="s">
        <v>110</v>
      </c>
      <c r="C190" s="67"/>
      <c r="D190" s="67"/>
      <c r="E190" s="67"/>
      <c r="F190" s="67"/>
      <c r="G190" s="67"/>
      <c r="H190" s="69">
        <f>SUBTOTAL(109,venta_a_mes1[IMPORTE NETO])</f>
        <v>0</v>
      </c>
      <c r="I190" s="70">
        <f>SUBTOTAL(109,venta_a_mes1[IVA 21%])</f>
        <v>0</v>
      </c>
      <c r="J190" s="71">
        <f>SUBTOTAL(109,venta_a_mes1[IVA 10,5%])</f>
        <v>0</v>
      </c>
      <c r="K190" s="71">
        <f>SUBTOTAL(109,venta_a_mes1[EXENTO])</f>
        <v>0</v>
      </c>
      <c r="L190" s="71">
        <f>SUBTOTAL(109,venta_a_mes1[TOTAL])</f>
        <v>0</v>
      </c>
      <c r="M190" s="68">
        <f>SUBTOTAL(103,venta_a_mes1[Provincia])</f>
        <v>0</v>
      </c>
    </row>
    <row r="193" spans="2:13" ht="21" x14ac:dyDescent="0.25">
      <c r="B193" s="631" t="s">
        <v>31</v>
      </c>
      <c r="C193" s="631"/>
    </row>
    <row r="194" spans="2:13" ht="15.75" x14ac:dyDescent="0.25">
      <c r="B194" s="60" t="s">
        <v>0</v>
      </c>
      <c r="C194" s="61" t="s">
        <v>1</v>
      </c>
      <c r="D194" s="61" t="s">
        <v>21</v>
      </c>
      <c r="E194" s="61" t="s">
        <v>22</v>
      </c>
      <c r="F194" s="61" t="s">
        <v>3</v>
      </c>
      <c r="G194" s="61" t="s">
        <v>4</v>
      </c>
      <c r="H194" s="61" t="s">
        <v>23</v>
      </c>
      <c r="I194" s="61" t="s">
        <v>17</v>
      </c>
      <c r="J194" s="61" t="s">
        <v>7</v>
      </c>
      <c r="K194" s="61" t="s">
        <v>24</v>
      </c>
      <c r="L194" s="61" t="s">
        <v>10</v>
      </c>
      <c r="M194" s="62" t="s">
        <v>38</v>
      </c>
    </row>
    <row r="195" spans="2:13" x14ac:dyDescent="0.25">
      <c r="B195" s="40"/>
      <c r="C195" s="41"/>
      <c r="D195" s="42"/>
      <c r="E195" s="43"/>
      <c r="F195" s="44"/>
      <c r="G195" s="1" t="str">
        <f>IFERROR(IF(ventas_b_mes1[[#This Row],[CUIT]]="","-",VLOOKUP(ventas_b_mes1[[#This Row],[CUIT]],Lista_CUIT[#All],2,0)),"CUIT NO CARGADO")</f>
        <v>-</v>
      </c>
      <c r="H195" s="64"/>
      <c r="I195" s="64"/>
      <c r="J195" s="64"/>
      <c r="K195" s="64"/>
      <c r="L195" s="64">
        <f>SUM(ventas_b_mes1[[#This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SUM(ventas_b_mes1[[#This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SUM(ventas_b_mes1[[#This Row],[IMPORTE NETO]:[EXENTO]])</f>
        <v>0</v>
      </c>
      <c r="M197" s="59"/>
    </row>
    <row r="198" spans="2:13" x14ac:dyDescent="0.25">
      <c r="B198" s="40"/>
      <c r="C198" s="41"/>
      <c r="D198" s="42"/>
      <c r="E198" s="43"/>
      <c r="F198" s="44"/>
      <c r="G198" s="1"/>
      <c r="H198" s="64"/>
      <c r="I198" s="64"/>
      <c r="J198" s="64"/>
      <c r="K198" s="64"/>
      <c r="L198" s="64">
        <f>SUM(ventas_b_mes1[[#This Row],[IMPORTE NETO]:[EXENTO]])</f>
        <v>0</v>
      </c>
      <c r="M198" s="59"/>
    </row>
    <row r="199" spans="2:13" x14ac:dyDescent="0.25">
      <c r="B199" s="40"/>
      <c r="C199" s="41"/>
      <c r="D199" s="42"/>
      <c r="E199" s="43"/>
      <c r="F199" s="44"/>
      <c r="G199" s="1"/>
      <c r="H199" s="64"/>
      <c r="I199" s="64"/>
      <c r="J199" s="64"/>
      <c r="K199" s="64"/>
      <c r="L199" s="64">
        <f>SUM(ventas_b_mes1[[#This Row],[IMPORTE NETO]:[EXENTO]])</f>
        <v>0</v>
      </c>
      <c r="M199" s="59"/>
    </row>
    <row r="200" spans="2:13" x14ac:dyDescent="0.25">
      <c r="B200" s="40"/>
      <c r="C200" s="41"/>
      <c r="D200" s="42"/>
      <c r="E200" s="43"/>
      <c r="F200" s="44"/>
      <c r="G200" s="1"/>
      <c r="H200" s="64"/>
      <c r="I200" s="64"/>
      <c r="J200" s="64"/>
      <c r="K200" s="64"/>
      <c r="L200" s="64">
        <f>SUM(ventas_b_mes1[[#This Row],[IMPORTE NETO]:[EXENTO]])</f>
        <v>0</v>
      </c>
      <c r="M200" s="59"/>
    </row>
    <row r="201" spans="2:13" x14ac:dyDescent="0.25">
      <c r="B201" s="66" t="s">
        <v>110</v>
      </c>
      <c r="C201" s="67"/>
      <c r="D201" s="67"/>
      <c r="E201" s="67"/>
      <c r="F201" s="67"/>
      <c r="G201" s="67"/>
      <c r="H201" s="77">
        <f>SUBTOTAL(109,ventas_b_mes1[IMPORTE NETO])</f>
        <v>0</v>
      </c>
      <c r="I201" s="77">
        <f>SUBTOTAL(109,ventas_b_mes1[IVA 21%])</f>
        <v>0</v>
      </c>
      <c r="J201" s="78">
        <f>SUBTOTAL(109,ventas_b_mes1[IVA 10,5%])</f>
        <v>0</v>
      </c>
      <c r="K201" s="78">
        <f>SUBTOTAL(109,ventas_b_mes1[EXENTO])</f>
        <v>0</v>
      </c>
      <c r="L201" s="78">
        <f>SUBTOTAL(109,ventas_b_mes1[TOTAL])</f>
        <v>0</v>
      </c>
      <c r="M201" s="68">
        <f>SUBTOTAL(103,ventas_b_mes1[Provincia])</f>
        <v>0</v>
      </c>
    </row>
    <row r="208" spans="2:13" ht="15.75" thickBot="1" x14ac:dyDescent="0.3"/>
    <row r="209" spans="3:12" ht="15.75" thickTop="1" x14ac:dyDescent="0.25">
      <c r="C209" s="625" t="s">
        <v>66</v>
      </c>
      <c r="D209" s="625"/>
      <c r="E209" s="625"/>
      <c r="F209" s="625"/>
      <c r="G209" s="625"/>
      <c r="H209" s="32"/>
      <c r="I209" s="32"/>
      <c r="J209" s="32"/>
    </row>
    <row r="210" spans="3:12" ht="15.75" x14ac:dyDescent="0.25">
      <c r="C210" s="113" t="s">
        <v>67</v>
      </c>
      <c r="D210" s="114" t="s">
        <v>68</v>
      </c>
      <c r="E210" s="114" t="s">
        <v>112</v>
      </c>
      <c r="F210" s="114" t="s">
        <v>3</v>
      </c>
      <c r="G210" s="114" t="s">
        <v>4</v>
      </c>
      <c r="H210" s="115" t="s">
        <v>69</v>
      </c>
      <c r="I210" s="115" t="s">
        <v>70</v>
      </c>
      <c r="J210" s="115" t="s">
        <v>71</v>
      </c>
      <c r="K210" s="115" t="s">
        <v>72</v>
      </c>
      <c r="L210" s="115" t="s">
        <v>73</v>
      </c>
    </row>
    <row r="211" spans="3:12" x14ac:dyDescent="0.25">
      <c r="C211" s="116"/>
      <c r="D211" s="117"/>
      <c r="E211" s="117"/>
      <c r="F211" s="118"/>
      <c r="G211" s="53" t="str">
        <f>IFERROR(IF(retenciones_mes1[[#This Row],[CUIT]]="","-",VLOOKUP(retenciones_mes1[[#This Row],[CUIT]],Lista_CUIT[#All],2,0)),"CUIT NO CARGADO")</f>
        <v>-</v>
      </c>
      <c r="H211" s="119"/>
      <c r="I211" s="119"/>
      <c r="J211" s="119"/>
      <c r="K211" s="119"/>
      <c r="L211" s="119"/>
    </row>
    <row r="212" spans="3:12" x14ac:dyDescent="0.25">
      <c r="C212" s="116"/>
      <c r="D212" s="117"/>
      <c r="E212" s="117"/>
      <c r="F212" s="118"/>
      <c r="G212" s="53" t="str">
        <f>IFERROR(IF(retenciones_mes1[[#This Row],[CUIT]]="","-",VLOOKUP(retenciones_mes1[[#This Row],[CUIT]],Lista_CUIT[#All],2,0)),"CUIT NO CARGADO")</f>
        <v>-</v>
      </c>
      <c r="H212" s="119"/>
      <c r="I212" s="119"/>
      <c r="J212" s="119"/>
      <c r="K212" s="119"/>
      <c r="L212" s="119"/>
    </row>
    <row r="213" spans="3:12" x14ac:dyDescent="0.25">
      <c r="C213" s="116"/>
      <c r="D213" s="117"/>
      <c r="E213" s="117"/>
      <c r="F213" s="118"/>
      <c r="G213" s="53" t="str">
        <f>IFERROR(IF(retenciones_mes1[[#This Row],[CUIT]]="","-",VLOOKUP(retenciones_mes1[[#This Row],[CUIT]],Lista_CUIT[#All],2,0)),"CUIT NO CARGADO")</f>
        <v>-</v>
      </c>
      <c r="H213" s="119"/>
      <c r="I213" s="119"/>
      <c r="J213" s="119"/>
      <c r="K213" s="119"/>
      <c r="L213" s="119"/>
    </row>
    <row r="214" spans="3:12" x14ac:dyDescent="0.25">
      <c r="C214" s="116"/>
      <c r="D214" s="117"/>
      <c r="E214" s="117"/>
      <c r="F214" s="118"/>
      <c r="G214" s="53" t="str">
        <f>IFERROR(IF(retenciones_mes1[[#This Row],[CUIT]]="","-",VLOOKUP(retenciones_mes1[[#This Row],[CUIT]],Lista_CUIT[#All],2,0)),"CUIT NO CARGADO")</f>
        <v>-</v>
      </c>
      <c r="H214" s="119"/>
      <c r="I214" s="119"/>
      <c r="J214" s="119"/>
      <c r="K214" s="119"/>
      <c r="L214" s="119"/>
    </row>
    <row r="215" spans="3:12" x14ac:dyDescent="0.25">
      <c r="D215" s="117"/>
      <c r="E215" s="117"/>
      <c r="G215" s="53" t="str">
        <f>IFERROR(IF(retenciones_mes1[[#This Row],[CUIT]]="","-",VLOOKUP(retenciones_mes1[[#This Row],[CUIT]],Lista_CUIT[#All],2,0)),"CUIT NO CARGADO")</f>
        <v>-</v>
      </c>
    </row>
    <row r="216" spans="3:12" x14ac:dyDescent="0.25">
      <c r="C216" s="33"/>
    </row>
  </sheetData>
  <mergeCells count="20">
    <mergeCell ref="J4:K4"/>
    <mergeCell ref="M4:N4"/>
    <mergeCell ref="M3:N3"/>
    <mergeCell ref="C209:G209"/>
    <mergeCell ref="N1:R1"/>
    <mergeCell ref="D127:L127"/>
    <mergeCell ref="B179:C179"/>
    <mergeCell ref="B193:C193"/>
    <mergeCell ref="B1:F1"/>
    <mergeCell ref="G1:M1"/>
    <mergeCell ref="K177:M177"/>
    <mergeCell ref="B3:E3"/>
    <mergeCell ref="B4:E4"/>
    <mergeCell ref="G4:H4"/>
    <mergeCell ref="G3:H3"/>
    <mergeCell ref="B177:J177"/>
    <mergeCell ref="D136:K136"/>
    <mergeCell ref="P4:R4"/>
    <mergeCell ref="P3:R3"/>
    <mergeCell ref="J3:K3"/>
  </mergeCells>
  <phoneticPr fontId="38" type="noConversion"/>
  <dataValidations count="12">
    <dataValidation type="whole" allowBlank="1" showInputMessage="1" showErrorMessage="1" sqref="D181:D189 D195:D200 E138:E170 D9:D121" xr:uid="{00000000-0002-0000-0100-000000000000}">
      <formula1>1</formula1>
      <formula2>9999</formula2>
    </dataValidation>
    <dataValidation type="whole" allowBlank="1" showInputMessage="1" showErrorMessage="1" sqref="E181:E189 E195:E200 F138:F170 E9:E121" xr:uid="{00000000-0002-0000-0100-000001000000}">
      <formula1>1</formula1>
      <formula2>99999999</formula2>
    </dataValidation>
    <dataValidation type="whole" allowBlank="1" showInputMessage="1" showErrorMessage="1" sqref="F181:F189 F195:F200 G138:G170 F9:F121" xr:uid="{00000000-0002-0000-0100-000002000000}">
      <formula1>20000000000</formula1>
      <formula2>33999999999</formula2>
    </dataValidation>
    <dataValidation type="date" allowBlank="1" showInputMessage="1" showErrorMessage="1" sqref="D129:D131 B181:B189 B123:B126 B195:B200 D138:D170 B9:B121" xr:uid="{00000000-0002-0000-0100-000003000000}">
      <formula1>40179</formula1>
      <formula2>TODAY()</formula2>
    </dataValidation>
    <dataValidation type="whole" allowBlank="1" showInputMessage="1" showErrorMessage="1" sqref="C123:C126 C181:C189 C9:C121" xr:uid="{00000000-0002-0000-0100-000004000000}">
      <formula1>1</formula1>
      <formula2>3</formula2>
    </dataValidation>
    <dataValidation type="custom" allowBlank="1" showInputMessage="1" showErrorMessage="1" sqref="H181:K181 H183:K183 H185:K185 H187:K187" xr:uid="{00000000-0002-0000-0100-000005000000}">
      <formula1>IF($C181=3,H181&lt;0,H181&gt;=0)</formula1>
    </dataValidation>
    <dataValidation type="whole" allowBlank="1" showInputMessage="1" showErrorMessage="1" sqref="C195:C200" xr:uid="{00000000-0002-0000-0100-000006000000}">
      <formula1>6</formula1>
      <formula2>8</formula2>
    </dataValidation>
    <dataValidation type="custom" allowBlank="1" showInputMessage="1" showErrorMessage="1" sqref="L181:L182" xr:uid="{00000000-0002-0000-0100-000007000000}">
      <formula1>IF($C9=3,L9&lt;0,L9&gt;=0)</formula1>
    </dataValidation>
    <dataValidation type="custom" allowBlank="1" showInputMessage="1" showErrorMessage="1" sqref="L183:L185" xr:uid="{00000000-0002-0000-0100-000008000000}">
      <formula1>IF($C13=3,L13&lt;0,L13&gt;=0)</formula1>
    </dataValidation>
    <dataValidation type="custom" allowBlank="1" showInputMessage="1" showErrorMessage="1" sqref="H195:L200" xr:uid="{00000000-0002-0000-0100-000009000000}">
      <formula1>IF($C195=8,H195&lt;0,H195&gt;=0)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15:N15 J74:O87 O73 O38 O102 J103:O105 I102:M102 O88 I9:O14 H89:N89 H102:H105 H38:M38 H73:M73 H9:H15 J88:M88 H16:O37 H39:O72 H74:I88 H90:O101 I103:I121" xr:uid="{00000000-0002-0000-0100-00000A000000}">
      <formula1>IF($C9=3,H9&lt;0,H9&gt;=0)</formula1>
    </dataValidation>
    <dataValidation type="custom" allowBlank="1" showInputMessage="1" showErrorMessage="1" sqref="L186:L187" xr:uid="{00000000-0002-0000-0100-00000B000000}">
      <formula1>IF($C122=3,L122&lt;0,L122&gt;=0)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491"/>
  <sheetViews>
    <sheetView showGridLines="0" topLeftCell="G1" zoomScale="70" zoomScaleNormal="70" workbookViewId="0">
      <selection activeCell="G75" sqref="G75"/>
    </sheetView>
  </sheetViews>
  <sheetFormatPr baseColWidth="10" defaultColWidth="0" defaultRowHeight="15" x14ac:dyDescent="0.25"/>
  <cols>
    <col min="1" max="1" width="1.7109375" customWidth="1"/>
    <col min="2" max="2" width="13.7109375" bestFit="1" customWidth="1"/>
    <col min="3" max="3" width="13.140625" customWidth="1"/>
    <col min="4" max="4" width="16.710937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2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2:26" ht="34.9" customHeight="1" x14ac:dyDescent="0.25"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EDATE('Ene-25'!N1,1)</f>
        <v>45689</v>
      </c>
      <c r="O1" s="621"/>
      <c r="P1" s="621"/>
      <c r="Q1" s="621"/>
      <c r="R1" s="621"/>
    </row>
    <row r="2" spans="2:26" ht="15" customHeight="1" x14ac:dyDescent="0.25"/>
    <row r="3" spans="2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2:26" ht="25.15" customHeight="1" x14ac:dyDescent="0.35">
      <c r="B4" s="626">
        <f>SUM(compras_mes2[[#Totals],[NETO GRAVADO]])+extracto_banco_mes2[[#Totals],[NETO]]</f>
        <v>26792808.630000003</v>
      </c>
      <c r="C4" s="626"/>
      <c r="D4" s="626"/>
      <c r="E4" s="626"/>
      <c r="F4" s="39"/>
      <c r="G4" s="627">
        <f>compras_mes2[[#Totals],[IVA 21 %]]+compras_mes2[[#Totals],[IVA 27%]]+compras_mes2[[#Totals],[IVA 10,5%]]+extracto_banco_mes2[[#Totals],[IVA 21%]]+extracto_banco_mes2[[#Totals],[IVA 10,5%]]</f>
        <v>5467560.0677499985</v>
      </c>
      <c r="H4" s="627"/>
      <c r="I4" s="39"/>
      <c r="J4" s="628">
        <f>venta_a_mes2[[#Totals],[IMPORTE NETO]]+ventas_b_mes2[[#Totals],[IMPORTE NETO]]</f>
        <v>0</v>
      </c>
      <c r="K4" s="628"/>
      <c r="L4" s="39"/>
      <c r="M4" s="628">
        <f>venta_a_mes2[[#Totals],[IVA 21%]]+venta_a_mes2[[#Totals],[IVA 10,5%]]+ventas_b_mes2[[#Totals],[IVA 21%]]+ventas_b_mes2[[#Totals],[IVA 10,5%]]</f>
        <v>0</v>
      </c>
      <c r="N4" s="628"/>
      <c r="O4" s="39"/>
      <c r="P4" s="616">
        <f>G4-M4</f>
        <v>5467560.0677499985</v>
      </c>
      <c r="Q4" s="617"/>
      <c r="R4" s="617"/>
    </row>
    <row r="5" spans="2:26" ht="13.15" customHeight="1" x14ac:dyDescent="0.25"/>
    <row r="6" spans="2:26" ht="10.9" customHeight="1" x14ac:dyDescent="0.25"/>
    <row r="7" spans="2:26" s="2" customFormat="1" ht="18.75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2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2:26" x14ac:dyDescent="0.25">
      <c r="B9" s="406">
        <v>45689</v>
      </c>
      <c r="C9" s="407">
        <v>1</v>
      </c>
      <c r="D9" s="408">
        <v>629</v>
      </c>
      <c r="E9" s="409">
        <v>5821744</v>
      </c>
      <c r="F9" s="246">
        <v>30663498513</v>
      </c>
      <c r="G9" s="410" t="str">
        <f>IFERROR(IF(compras_mes2[[#This Row],[CUIT]]="","-",VLOOKUP(compras_mes2[[#This Row],[CUIT]],Lista_CUIT[#All],2,0)),"CUIT NO CARGADO")</f>
        <v>GRUPO CONCES. DEL OESTE SA</v>
      </c>
      <c r="H9" s="411">
        <v>577.76</v>
      </c>
      <c r="I9" s="412">
        <f>IF(compras_mes2[[#This Row],[NETO GRAVADO]]="","",compras_mes2[[#This Row],[NETO GRAVADO]]*0.21)</f>
        <v>121.3296</v>
      </c>
      <c r="J9" s="412"/>
      <c r="K9" s="412"/>
      <c r="L9" s="412"/>
      <c r="M9" s="412"/>
      <c r="N9" s="415"/>
      <c r="O9" s="412"/>
      <c r="P9" s="413">
        <f>SUM(compras_mes2[[#This Row],[NETO GRAVADO]:[Otros / No Grav.]])</f>
        <v>699.08960000000002</v>
      </c>
      <c r="Q9" s="414" t="str">
        <f>IFERROR(IF(compras_mes2[[#This Row],[CUIT]]="","-",VLOOKUP(compras_mes2[[#This Row],[CUIT]],Lista_CUIT[#All],3,0)),"CUIT NO CARGADO")</f>
        <v>Autopista</v>
      </c>
      <c r="R9" s="414">
        <f>IFERROR(IF(compras_mes2[[#This Row],[CUIT]]="","-",VLOOKUP(compras_mes2[[#This Row],[CUIT]],Lista_CUIT[#All],4,0)),"CUIT NO CARGADO")</f>
        <v>0</v>
      </c>
      <c r="S9">
        <v>72378.33</v>
      </c>
    </row>
    <row r="10" spans="2:26" x14ac:dyDescent="0.25">
      <c r="B10" s="406">
        <v>45690</v>
      </c>
      <c r="C10" s="407">
        <v>1</v>
      </c>
      <c r="D10" s="408">
        <v>2031</v>
      </c>
      <c r="E10" s="409">
        <v>194172</v>
      </c>
      <c r="F10" s="246">
        <v>30516186670</v>
      </c>
      <c r="G10" s="410" t="str">
        <f>IFERROR(IF(compras_mes2[[#This Row],[CUIT]]="","-",VLOOKUP(compras_mes2[[#This Row],[CUIT]],Lista_CUIT[#All],2,0)),"CUIT NO CARGADO")</f>
        <v>DEHEZA SAICF E I</v>
      </c>
      <c r="H10" s="411">
        <v>41633.14</v>
      </c>
      <c r="I10" s="412">
        <f>IF(compras_mes2[[#This Row],[NETO GRAVADO]]="","",compras_mes2[[#This Row],[NETO GRAVADO]]*0.21)</f>
        <v>8742.9593999999997</v>
      </c>
      <c r="J10" s="412"/>
      <c r="K10" s="412"/>
      <c r="L10" s="412"/>
      <c r="M10" s="412"/>
      <c r="N10" s="415"/>
      <c r="O10" s="412"/>
      <c r="P10" s="413">
        <f>SUM(compras_mes2[[#This Row],[NETO GRAVADO]:[Otros / No Grav.]])</f>
        <v>50376.099399999999</v>
      </c>
      <c r="Q10" s="414" t="str">
        <f>IFERROR(IF(compras_mes2[[#This Row],[CUIT]]="","-",VLOOKUP(compras_mes2[[#This Row],[CUIT]],Lista_CUIT[#All],3,0)),"CUIT NO CARGADO")</f>
        <v>COMBUSTIBLE</v>
      </c>
      <c r="R10" s="414">
        <f>IFERROR(IF(compras_mes2[[#This Row],[CUIT]]="","-",VLOOKUP(compras_mes2[[#This Row],[CUIT]],Lista_CUIT[#All],4,0)),"CUIT NO CARGADO")</f>
        <v>0</v>
      </c>
      <c r="S10">
        <v>210479.5</v>
      </c>
    </row>
    <row r="11" spans="2:26" x14ac:dyDescent="0.25">
      <c r="B11" s="406">
        <v>45690</v>
      </c>
      <c r="C11" s="407">
        <v>1</v>
      </c>
      <c r="D11" s="408">
        <v>3051</v>
      </c>
      <c r="E11" s="409">
        <v>876626</v>
      </c>
      <c r="F11" s="246">
        <v>30678814357</v>
      </c>
      <c r="G11" s="410" t="str">
        <f>IFERROR(IF(compras_mes2[[#This Row],[CUIT]]="","-",VLOOKUP(compras_mes2[[#This Row],[CUIT]],Lista_CUIT[#All],2,0)),"CUIT NO CARGADO")</f>
        <v>TELEFONICA MOVILES ARG SA</v>
      </c>
      <c r="H11" s="411">
        <v>76614.820000000007</v>
      </c>
      <c r="I11" s="412"/>
      <c r="J11" s="412">
        <f>compras_mes2[[#This Row],[NETO GRAVADO]]*27/100</f>
        <v>20686.001400000001</v>
      </c>
      <c r="K11" s="412"/>
      <c r="L11" s="412"/>
      <c r="M11" s="412"/>
      <c r="N11" s="412"/>
      <c r="O11" s="412"/>
      <c r="P11" s="413">
        <f>SUM(compras_mes2[[#This Row],[NETO GRAVADO]:[Otros / No Grav.]])</f>
        <v>97300.821400000015</v>
      </c>
      <c r="Q11" s="414" t="str">
        <f>IFERROR(IF(compras_mes2[[#This Row],[CUIT]]="","-",VLOOKUP(compras_mes2[[#This Row],[CUIT]],Lista_CUIT[#All],3,0)),"CUIT NO CARGADO")</f>
        <v>SERVICIO</v>
      </c>
      <c r="R11" s="414">
        <f>IFERROR(IF(compras_mes2[[#This Row],[CUIT]]="","-",VLOOKUP(compras_mes2[[#This Row],[CUIT]],Lista_CUIT[#All],4,0)),"CUIT NO CARGADO")</f>
        <v>0</v>
      </c>
      <c r="S11">
        <v>23923.11</v>
      </c>
    </row>
    <row r="12" spans="2:26" x14ac:dyDescent="0.25">
      <c r="B12" s="406">
        <v>45691</v>
      </c>
      <c r="C12" s="407">
        <v>1</v>
      </c>
      <c r="D12" s="408">
        <v>7</v>
      </c>
      <c r="E12" s="409">
        <v>3876</v>
      </c>
      <c r="F12" s="246">
        <v>20347228002</v>
      </c>
      <c r="G12" s="410" t="str">
        <f>IFERROR(IF(compras_mes2[[#This Row],[CUIT]]="","-",VLOOKUP(compras_mes2[[#This Row],[CUIT]],Lista_CUIT[#All],2,0)),"CUIT NO CARGADO")</f>
        <v>MATIAS EZEQUIEL ROMANO</v>
      </c>
      <c r="H12" s="411">
        <v>81817.36</v>
      </c>
      <c r="I12" s="412">
        <f>IF(compras_mes2[[#This Row],[NETO GRAVADO]]="","",compras_mes2[[#This Row],[NETO GRAVADO]]*0.21)</f>
        <v>17181.6456</v>
      </c>
      <c r="J12" s="412"/>
      <c r="K12" s="412"/>
      <c r="L12" s="412"/>
      <c r="M12" s="412"/>
      <c r="N12" s="412"/>
      <c r="O12" s="412"/>
      <c r="P12" s="413">
        <f>SUM(compras_mes2[[#This Row],[NETO GRAVADO]:[Otros / No Grav.]])</f>
        <v>98999.005600000004</v>
      </c>
      <c r="Q12" s="414" t="str">
        <f>IFERROR(IF(compras_mes2[[#This Row],[CUIT]]="","-",VLOOKUP(compras_mes2[[#This Row],[CUIT]],Lista_CUIT[#All],3,0)),"CUIT NO CARGADO")</f>
        <v>INSUMO</v>
      </c>
      <c r="R12" s="414">
        <f>IFERROR(IF(compras_mes2[[#This Row],[CUIT]]="","-",VLOOKUP(compras_mes2[[#This Row],[CUIT]],Lista_CUIT[#All],4,0)),"CUIT NO CARGADO")</f>
        <v>0</v>
      </c>
      <c r="S12">
        <v>48658.91</v>
      </c>
    </row>
    <row r="13" spans="2:26" x14ac:dyDescent="0.25">
      <c r="B13" s="406">
        <v>45691</v>
      </c>
      <c r="C13" s="407">
        <v>1</v>
      </c>
      <c r="D13" s="408">
        <v>2</v>
      </c>
      <c r="E13" s="409">
        <v>229</v>
      </c>
      <c r="F13" s="246">
        <v>30605344352</v>
      </c>
      <c r="G13" s="410" t="str">
        <f>IFERROR(IF(compras_mes2[[#This Row],[CUIT]]="","-",VLOOKUP(compras_mes2[[#This Row],[CUIT]],Lista_CUIT[#All],2,0)),"CUIT NO CARGADO")</f>
        <v>CONSORCIO BARTOLME MITRE 2466</v>
      </c>
      <c r="H13" s="411">
        <v>1200000</v>
      </c>
      <c r="I13" s="412">
        <f>IF(compras_mes2[[#This Row],[NETO GRAVADO]]="","",compras_mes2[[#This Row],[NETO GRAVADO]]*0.21)</f>
        <v>252000</v>
      </c>
      <c r="J13" s="412"/>
      <c r="K13" s="412"/>
      <c r="L13" s="412"/>
      <c r="M13" s="412"/>
      <c r="N13" s="415"/>
      <c r="O13" s="412"/>
      <c r="P13" s="413">
        <f>SUM(compras_mes2[[#This Row],[NETO GRAVADO]:[Otros / No Grav.]])</f>
        <v>1452000</v>
      </c>
      <c r="Q13" s="414" t="str">
        <f>IFERROR(IF(compras_mes2[[#This Row],[CUIT]]="","-",VLOOKUP(compras_mes2[[#This Row],[CUIT]],Lista_CUIT[#All],3,0)),"CUIT NO CARGADO")</f>
        <v>ALQUILER LOCAL</v>
      </c>
      <c r="R13" s="414">
        <f>IFERROR(IF(compras_mes2[[#This Row],[CUIT]]="","-",VLOOKUP(compras_mes2[[#This Row],[CUIT]],Lista_CUIT[#All],4,0)),"CUIT NO CARGADO")</f>
        <v>0</v>
      </c>
      <c r="S13">
        <v>182956.36</v>
      </c>
    </row>
    <row r="14" spans="2:26" x14ac:dyDescent="0.25">
      <c r="B14" s="406">
        <v>45691</v>
      </c>
      <c r="C14" s="407">
        <v>1</v>
      </c>
      <c r="D14" s="408">
        <v>5</v>
      </c>
      <c r="E14" s="409">
        <v>1438</v>
      </c>
      <c r="F14" s="246">
        <v>27265302225</v>
      </c>
      <c r="G14" s="410" t="str">
        <f>IFERROR(IF(compras_mes2[[#This Row],[CUIT]]="","-",VLOOKUP(compras_mes2[[#This Row],[CUIT]],Lista_CUIT[#All],2,0)),"CUIT NO CARGADO")</f>
        <v>PRADO MARISOL</v>
      </c>
      <c r="H14" s="411">
        <v>1200000</v>
      </c>
      <c r="I14" s="412">
        <f>IF(compras_mes2[[#This Row],[NETO GRAVADO]]="","",compras_mes2[[#This Row],[NETO GRAVADO]]*0.21)</f>
        <v>252000</v>
      </c>
      <c r="J14" s="412"/>
      <c r="K14" s="412"/>
      <c r="L14" s="412"/>
      <c r="M14" s="412"/>
      <c r="N14" s="415"/>
      <c r="O14" s="412"/>
      <c r="P14" s="413">
        <f>SUM(compras_mes2[[#This Row],[NETO GRAVADO]:[Otros / No Grav.]])</f>
        <v>1452000</v>
      </c>
      <c r="Q14" s="414" t="str">
        <f>IFERROR(IF(compras_mes2[[#This Row],[CUIT]]="","-",VLOOKUP(compras_mes2[[#This Row],[CUIT]],Lista_CUIT[#All],3,0)),"CUIT NO CARGADO")</f>
        <v>INSUMO</v>
      </c>
      <c r="R14" s="414">
        <f>IFERROR(IF(compras_mes2[[#This Row],[CUIT]]="","-",VLOOKUP(compras_mes2[[#This Row],[CUIT]],Lista_CUIT[#All],4,0)),"CUIT NO CARGADO")</f>
        <v>0</v>
      </c>
      <c r="S14">
        <v>695750</v>
      </c>
    </row>
    <row r="15" spans="2:26" x14ac:dyDescent="0.25">
      <c r="B15" s="406">
        <v>45691</v>
      </c>
      <c r="C15" s="407">
        <v>1</v>
      </c>
      <c r="D15" s="408">
        <v>23</v>
      </c>
      <c r="E15" s="409">
        <v>7614</v>
      </c>
      <c r="F15" s="246">
        <v>30711776040</v>
      </c>
      <c r="G15" s="410" t="str">
        <f>IFERROR(IF(compras_mes2[[#This Row],[CUIT]]="","-",VLOOKUP(compras_mes2[[#This Row],[CUIT]],Lista_CUIT[#All],2,0)),"CUIT NO CARGADO")</f>
        <v>EXPRESO BICENTENARIO S.R.L</v>
      </c>
      <c r="H15" s="411">
        <v>19433</v>
      </c>
      <c r="I15" s="412">
        <f>IF(compras_mes2[[#This Row],[NETO GRAVADO]]="","",compras_mes2[[#This Row],[NETO GRAVADO]]*0.21)</f>
        <v>4080.93</v>
      </c>
      <c r="J15" s="412"/>
      <c r="K15" s="412"/>
      <c r="L15" s="412"/>
      <c r="M15" s="412"/>
      <c r="N15" s="415"/>
      <c r="O15" s="412"/>
      <c r="P15" s="413">
        <f>SUM(compras_mes2[[#This Row],[NETO GRAVADO]:[Otros / No Grav.]])</f>
        <v>23513.93</v>
      </c>
      <c r="Q15" s="414" t="str">
        <f>IFERROR(IF(compras_mes2[[#This Row],[CUIT]]="","-",VLOOKUP(compras_mes2[[#This Row],[CUIT]],Lista_CUIT[#All],3,0)),"CUIT NO CARGADO")</f>
        <v>Servicio Transporte</v>
      </c>
      <c r="R15" s="414">
        <f>IFERROR(IF(compras_mes2[[#This Row],[CUIT]]="","-",VLOOKUP(compras_mes2[[#This Row],[CUIT]],Lista_CUIT[#All],4,0)),"CUIT NO CARGADO")</f>
        <v>0</v>
      </c>
      <c r="S15">
        <v>696359.88</v>
      </c>
    </row>
    <row r="16" spans="2:26" x14ac:dyDescent="0.25">
      <c r="B16" s="406">
        <v>45691</v>
      </c>
      <c r="C16" s="407">
        <v>1</v>
      </c>
      <c r="D16" s="408">
        <v>500</v>
      </c>
      <c r="E16" s="409">
        <v>1681453</v>
      </c>
      <c r="F16" s="246">
        <v>30654118767</v>
      </c>
      <c r="G16" s="410" t="str">
        <f>IFERROR(IF(compras_mes2[[#This Row],[CUIT]]="","-",VLOOKUP(compras_mes2[[#This Row],[CUIT]],Lista_CUIT[#All],2,0)),"CUIT NO CARGADO")</f>
        <v>SOLUCIONES MULTIMEDIA SA</v>
      </c>
      <c r="H16" s="411">
        <v>113718.7</v>
      </c>
      <c r="I16" s="412">
        <f>IF(compras_mes2[[#This Row],[NETO GRAVADO]]="","",compras_mes2[[#This Row],[NETO GRAVADO]]*0.21)</f>
        <v>23880.927</v>
      </c>
      <c r="J16" s="412"/>
      <c r="K16" s="412"/>
      <c r="L16" s="412"/>
      <c r="M16" s="412"/>
      <c r="N16" s="415"/>
      <c r="O16" s="412"/>
      <c r="P16" s="413">
        <f>SUM(compras_mes2[[#This Row],[NETO GRAVADO]:[Otros / No Grav.]])</f>
        <v>137599.62700000001</v>
      </c>
      <c r="Q16" s="414" t="str">
        <f>IFERROR(IF(compras_mes2[[#This Row],[CUIT]]="","-",VLOOKUP(compras_mes2[[#This Row],[CUIT]],Lista_CUIT[#All],3,0)),"CUIT NO CARGADO")</f>
        <v>gastos varios</v>
      </c>
      <c r="R16" s="414">
        <f>IFERROR(IF(compras_mes2[[#This Row],[CUIT]]="","-",VLOOKUP(compras_mes2[[#This Row],[CUIT]],Lista_CUIT[#All],4,0)),"CUIT NO CARGADO")</f>
        <v>0</v>
      </c>
      <c r="S16">
        <v>357748.6</v>
      </c>
    </row>
    <row r="17" spans="2:19" x14ac:dyDescent="0.25">
      <c r="B17" s="406">
        <v>45691</v>
      </c>
      <c r="C17" s="407">
        <v>1</v>
      </c>
      <c r="D17" s="408">
        <v>1</v>
      </c>
      <c r="E17" s="409">
        <v>722566</v>
      </c>
      <c r="F17" s="246">
        <v>33716307749</v>
      </c>
      <c r="G17" s="410" t="str">
        <f>IFERROR(IF(compras_mes2[[#This Row],[CUIT]]="","-",VLOOKUP(compras_mes2[[#This Row],[CUIT]],Lista_CUIT[#All],2,0)),"CUIT NO CARGADO")</f>
        <v>VERISURE ARGENTINA MONITOREO DE ALARMAS SA</v>
      </c>
      <c r="H17" s="411">
        <v>49498.9</v>
      </c>
      <c r="I17" s="412">
        <f>IF(compras_mes2[[#This Row],[NETO GRAVADO]]="","",compras_mes2[[#This Row],[NETO GRAVADO]]*0.21)</f>
        <v>10394.769</v>
      </c>
      <c r="J17" s="412"/>
      <c r="K17" s="412"/>
      <c r="L17" s="412"/>
      <c r="M17" s="412"/>
      <c r="N17" s="412"/>
      <c r="O17" s="412"/>
      <c r="P17" s="413">
        <f>SUM(compras_mes2[[#This Row],[NETO GRAVADO]:[Otros / No Grav.]])</f>
        <v>59893.669000000002</v>
      </c>
      <c r="Q17" s="414" t="str">
        <f>IFERROR(IF(compras_mes2[[#This Row],[CUIT]]="","-",VLOOKUP(compras_mes2[[#This Row],[CUIT]],Lista_CUIT[#All],3,0)),"CUIT NO CARGADO")</f>
        <v>Serv. Seguridad</v>
      </c>
      <c r="R17" s="414">
        <f>IFERROR(IF(compras_mes2[[#This Row],[CUIT]]="","-",VLOOKUP(compras_mes2[[#This Row],[CUIT]],Lista_CUIT[#All],4,0)),"CUIT NO CARGADO")</f>
        <v>0</v>
      </c>
      <c r="S17">
        <v>1200000</v>
      </c>
    </row>
    <row r="18" spans="2:19" x14ac:dyDescent="0.25">
      <c r="B18" s="406">
        <v>45692</v>
      </c>
      <c r="C18" s="407">
        <v>1</v>
      </c>
      <c r="D18" s="408">
        <v>7</v>
      </c>
      <c r="E18" s="409">
        <v>1465</v>
      </c>
      <c r="F18" s="246">
        <v>30712187316</v>
      </c>
      <c r="G18" s="410" t="str">
        <f>IFERROR(IF(compras_mes2[[#This Row],[CUIT]]="","-",VLOOKUP(compras_mes2[[#This Row],[CUIT]],Lista_CUIT[#All],2,0)),"CUIT NO CARGADO")</f>
        <v>ITALOMED PRODUCTOS SRL</v>
      </c>
      <c r="H18" s="411">
        <v>355547.74</v>
      </c>
      <c r="I18" s="412">
        <f>IF(compras_mes2[[#This Row],[NETO GRAVADO]]="","",compras_mes2[[#This Row],[NETO GRAVADO]]*0.21)</f>
        <v>74665.025399999999</v>
      </c>
      <c r="J18" s="412"/>
      <c r="K18" s="412"/>
      <c r="L18" s="412"/>
      <c r="M18" s="412"/>
      <c r="N18" s="415"/>
      <c r="O18" s="412"/>
      <c r="P18" s="413">
        <f>SUM(compras_mes2[[#This Row],[NETO GRAVADO]:[Otros / No Grav.]])</f>
        <v>430212.76539999997</v>
      </c>
      <c r="Q18" s="414" t="str">
        <f>IFERROR(IF(compras_mes2[[#This Row],[CUIT]]="","-",VLOOKUP(compras_mes2[[#This Row],[CUIT]],Lista_CUIT[#All],3,0)),"CUIT NO CARGADO")</f>
        <v>INSUMO</v>
      </c>
      <c r="R18" s="414">
        <f>IFERROR(IF(compras_mes2[[#This Row],[CUIT]]="","-",VLOOKUP(compras_mes2[[#This Row],[CUIT]],Lista_CUIT[#All],4,0)),"CUIT NO CARGADO")</f>
        <v>0</v>
      </c>
      <c r="S18">
        <v>23837</v>
      </c>
    </row>
    <row r="19" spans="2:19" x14ac:dyDescent="0.25">
      <c r="B19" s="406">
        <v>45692</v>
      </c>
      <c r="C19" s="407">
        <v>1</v>
      </c>
      <c r="D19" s="408">
        <v>17</v>
      </c>
      <c r="E19" s="409">
        <v>11625</v>
      </c>
      <c r="F19" s="246">
        <v>30661143610</v>
      </c>
      <c r="G19" s="410" t="str">
        <f>IFERROR(IF(compras_mes2[[#This Row],[CUIT]]="","-",VLOOKUP(compras_mes2[[#This Row],[CUIT]],Lista_CUIT[#All],2,0)),"CUIT NO CARGADO")</f>
        <v>ORTOPEDIA BERNAT SRL</v>
      </c>
      <c r="H19" s="411">
        <v>643559.14</v>
      </c>
      <c r="I19" s="412">
        <f>IF(compras_mes2[[#This Row],[NETO GRAVADO]]="","",compras_mes2[[#This Row],[NETO GRAVADO]]*0.21)</f>
        <v>135147.41939999998</v>
      </c>
      <c r="J19" s="412"/>
      <c r="K19" s="412"/>
      <c r="L19" s="412"/>
      <c r="M19" s="412"/>
      <c r="N19" s="412"/>
      <c r="O19" s="412"/>
      <c r="P19" s="413">
        <f>SUM(compras_mes2[[#This Row],[NETO GRAVADO]:[Otros / No Grav.]])</f>
        <v>778706.55940000003</v>
      </c>
      <c r="Q19" s="414" t="str">
        <f>IFERROR(IF(compras_mes2[[#This Row],[CUIT]]="","-",VLOOKUP(compras_mes2[[#This Row],[CUIT]],Lista_CUIT[#All],3,0)),"CUIT NO CARGADO")</f>
        <v>INSUMO</v>
      </c>
      <c r="R19" s="414">
        <f>IFERROR(IF(compras_mes2[[#This Row],[CUIT]]="","-",VLOOKUP(compras_mes2[[#This Row],[CUIT]],Lista_CUIT[#All],4,0)),"CUIT NO CARGADO")</f>
        <v>0</v>
      </c>
      <c r="S19">
        <v>1394.63</v>
      </c>
    </row>
    <row r="20" spans="2:19" x14ac:dyDescent="0.25">
      <c r="B20" s="406">
        <v>45692</v>
      </c>
      <c r="C20" s="407">
        <v>1</v>
      </c>
      <c r="D20" s="408">
        <v>5</v>
      </c>
      <c r="E20" s="409">
        <v>163325</v>
      </c>
      <c r="F20" s="246">
        <v>30598960093</v>
      </c>
      <c r="G20" s="410" t="str">
        <f>IFERROR(IF(compras_mes2[[#This Row],[CUIT]]="","-",VLOOKUP(compras_mes2[[#This Row],[CUIT]],Lista_CUIT[#All],2,0)),"CUIT NO CARGADO")</f>
        <v>SILVESTRIN FABRIS SRL</v>
      </c>
      <c r="H20" s="411">
        <v>453720</v>
      </c>
      <c r="I20" s="412">
        <f>IF(compras_mes2[[#This Row],[NETO GRAVADO]]="","",compras_mes2[[#This Row],[NETO GRAVADO]]*0.21)</f>
        <v>95281.2</v>
      </c>
      <c r="J20" s="412"/>
      <c r="K20" s="412"/>
      <c r="L20" s="412"/>
      <c r="M20" s="412"/>
      <c r="N20" s="412"/>
      <c r="O20" s="412"/>
      <c r="P20" s="413">
        <f>SUM(compras_mes2[[#This Row],[NETO GRAVADO]:[Otros / No Grav.]])</f>
        <v>549001.19999999995</v>
      </c>
      <c r="Q20" s="414" t="str">
        <f>IFERROR(IF(compras_mes2[[#This Row],[CUIT]]="","-",VLOOKUP(compras_mes2[[#This Row],[CUIT]],Lista_CUIT[#All],3,0)),"CUIT NO CARGADO")</f>
        <v>INSUMO</v>
      </c>
      <c r="R20" s="414">
        <f>IFERROR(IF(compras_mes2[[#This Row],[CUIT]]="","-",VLOOKUP(compras_mes2[[#This Row],[CUIT]],Lista_CUIT[#All],4,0)),"CUIT NO CARGADO")</f>
        <v>0</v>
      </c>
      <c r="S20">
        <v>1394.63</v>
      </c>
    </row>
    <row r="21" spans="2:19" x14ac:dyDescent="0.25">
      <c r="B21" s="406">
        <v>45692</v>
      </c>
      <c r="C21" s="407">
        <v>1</v>
      </c>
      <c r="D21" s="408">
        <v>5</v>
      </c>
      <c r="E21" s="409">
        <v>2205</v>
      </c>
      <c r="F21" s="246">
        <v>30712187316</v>
      </c>
      <c r="G21" s="410" t="str">
        <f>IFERROR(IF(compras_mes2[[#This Row],[CUIT]]="","-",VLOOKUP(compras_mes2[[#This Row],[CUIT]],Lista_CUIT[#All],2,0)),"CUIT NO CARGADO")</f>
        <v>ITALOMED PRODUCTOS SRL</v>
      </c>
      <c r="H21" s="411">
        <v>219513.44</v>
      </c>
      <c r="I21" s="412">
        <f>IF(compras_mes2[[#This Row],[NETO GRAVADO]]="","",compras_mes2[[#This Row],[NETO GRAVADO]]*0.21)</f>
        <v>46097.822399999997</v>
      </c>
      <c r="J21" s="412"/>
      <c r="K21" s="412"/>
      <c r="L21" s="412"/>
      <c r="M21" s="412"/>
      <c r="N21" s="415"/>
      <c r="O21" s="412"/>
      <c r="P21" s="413">
        <f>SUM(compras_mes2[[#This Row],[NETO GRAVADO]:[Otros / No Grav.]])</f>
        <v>265611.26240000001</v>
      </c>
      <c r="Q21" s="414" t="str">
        <f>IFERROR(IF(compras_mes2[[#This Row],[CUIT]]="","-",VLOOKUP(compras_mes2[[#This Row],[CUIT]],Lista_CUIT[#All],3,0)),"CUIT NO CARGADO")</f>
        <v>INSUMO</v>
      </c>
      <c r="R21" s="414">
        <f>IFERROR(IF(compras_mes2[[#This Row],[CUIT]]="","-",VLOOKUP(compras_mes2[[#This Row],[CUIT]],Lista_CUIT[#All],4,0)),"CUIT NO CARGADO")</f>
        <v>0</v>
      </c>
      <c r="S21">
        <v>171435</v>
      </c>
    </row>
    <row r="22" spans="2:19" x14ac:dyDescent="0.25">
      <c r="B22" s="406">
        <v>45693</v>
      </c>
      <c r="C22" s="407">
        <v>1</v>
      </c>
      <c r="D22" s="408">
        <v>700</v>
      </c>
      <c r="E22" s="409">
        <v>2247740</v>
      </c>
      <c r="F22" s="246">
        <v>30715804812</v>
      </c>
      <c r="G22" s="410" t="str">
        <f>IFERROR(IF(compras_mes2[[#This Row],[CUIT]]="","-",VLOOKUP(compras_mes2[[#This Row],[CUIT]],Lista_CUIT[#All],2,0)),"CUIT NO CARGADO")</f>
        <v>CORREDORES VIALES SOCIEDAD ANONIMA</v>
      </c>
      <c r="H22" s="411">
        <v>2079.9699999999998</v>
      </c>
      <c r="I22" s="412">
        <f>IF(compras_mes2[[#This Row],[NETO GRAVADO]]="","",compras_mes2[[#This Row],[NETO GRAVADO]]*0.21)</f>
        <v>436.79369999999994</v>
      </c>
      <c r="J22" s="412"/>
      <c r="K22" s="412"/>
      <c r="L22" s="412"/>
      <c r="M22" s="412"/>
      <c r="N22" s="412"/>
      <c r="O22" s="412"/>
      <c r="P22" s="413">
        <f>SUM(compras_mes2[[#This Row],[NETO GRAVADO]:[Otros / No Grav.]])</f>
        <v>2516.7636999999995</v>
      </c>
      <c r="Q22" s="414" t="str">
        <f>IFERROR(IF(compras_mes2[[#This Row],[CUIT]]="","-",VLOOKUP(compras_mes2[[#This Row],[CUIT]],Lista_CUIT[#All],3,0)),"CUIT NO CARGADO")</f>
        <v>Autopista</v>
      </c>
      <c r="R22" s="414">
        <f>IFERROR(IF(compras_mes2[[#This Row],[CUIT]]="","-",VLOOKUP(compras_mes2[[#This Row],[CUIT]],Lista_CUIT[#All],4,0)),"CUIT NO CARGADO")</f>
        <v>0</v>
      </c>
      <c r="S22">
        <v>481999</v>
      </c>
    </row>
    <row r="23" spans="2:19" x14ac:dyDescent="0.25">
      <c r="B23" s="406">
        <v>45693</v>
      </c>
      <c r="C23" s="407">
        <v>1</v>
      </c>
      <c r="D23" s="408">
        <v>700</v>
      </c>
      <c r="E23" s="409">
        <v>2247741</v>
      </c>
      <c r="F23" s="246">
        <v>30715804812</v>
      </c>
      <c r="G23" s="410" t="str">
        <f>IFERROR(IF(compras_mes2[[#This Row],[CUIT]]="","-",VLOOKUP(compras_mes2[[#This Row],[CUIT]],Lista_CUIT[#All],2,0)),"CUIT NO CARGADO")</f>
        <v>CORREDORES VIALES SOCIEDAD ANONIMA</v>
      </c>
      <c r="H23" s="411">
        <v>5407.9</v>
      </c>
      <c r="I23" s="412">
        <f>IF(compras_mes2[[#This Row],[NETO GRAVADO]]="","",compras_mes2[[#This Row],[NETO GRAVADO]]*0.21)</f>
        <v>1135.6589999999999</v>
      </c>
      <c r="J23" s="412"/>
      <c r="K23" s="412"/>
      <c r="L23" s="412"/>
      <c r="M23" s="412"/>
      <c r="N23" s="415"/>
      <c r="O23" s="412"/>
      <c r="P23" s="413">
        <f>SUM(compras_mes2[[#This Row],[NETO GRAVADO]:[Otros / No Grav.]])</f>
        <v>6543.5589999999993</v>
      </c>
      <c r="Q23" s="414" t="str">
        <f>IFERROR(IF(compras_mes2[[#This Row],[CUIT]]="","-",VLOOKUP(compras_mes2[[#This Row],[CUIT]],Lista_CUIT[#All],3,0)),"CUIT NO CARGADO")</f>
        <v>Autopista</v>
      </c>
      <c r="R23" s="414">
        <f>IFERROR(IF(compras_mes2[[#This Row],[CUIT]]="","-",VLOOKUP(compras_mes2[[#This Row],[CUIT]],Lista_CUIT[#All],4,0)),"CUIT NO CARGADO")</f>
        <v>0</v>
      </c>
      <c r="S23">
        <v>116708</v>
      </c>
    </row>
    <row r="24" spans="2:19" x14ac:dyDescent="0.25">
      <c r="B24" s="406">
        <v>45693</v>
      </c>
      <c r="C24" s="407">
        <v>1</v>
      </c>
      <c r="D24" s="408">
        <v>2</v>
      </c>
      <c r="E24" s="409">
        <v>11396</v>
      </c>
      <c r="F24" s="246">
        <v>30714331082</v>
      </c>
      <c r="G24" s="410" t="str">
        <f>IFERROR(IF(compras_mes2[[#This Row],[CUIT]]="","-",VLOOKUP(compras_mes2[[#This Row],[CUIT]],Lista_CUIT[#All],2,0)),"CUIT NO CARGADO")</f>
        <v>ORTOPEDIA CASA ESCALADA SRL</v>
      </c>
      <c r="H24" s="411">
        <v>59963.53</v>
      </c>
      <c r="I24" s="412">
        <f>IF(compras_mes2[[#This Row],[NETO GRAVADO]]="","",compras_mes2[[#This Row],[NETO GRAVADO]]*0.21)</f>
        <v>12592.3413</v>
      </c>
      <c r="J24" s="412"/>
      <c r="K24" s="412"/>
      <c r="L24" s="412"/>
      <c r="M24" s="412"/>
      <c r="N24" s="415"/>
      <c r="O24" s="412"/>
      <c r="P24" s="413">
        <f>SUM(compras_mes2[[#This Row],[NETO GRAVADO]:[Otros / No Grav.]])</f>
        <v>72555.871299999999</v>
      </c>
      <c r="Q24" s="414" t="str">
        <f>IFERROR(IF(compras_mes2[[#This Row],[CUIT]]="","-",VLOOKUP(compras_mes2[[#This Row],[CUIT]],Lista_CUIT[#All],3,0)),"CUIT NO CARGADO")</f>
        <v>INSUMO</v>
      </c>
      <c r="R24" s="414">
        <f>IFERROR(IF(compras_mes2[[#This Row],[CUIT]]="","-",VLOOKUP(compras_mes2[[#This Row],[CUIT]],Lista_CUIT[#All],4,0)),"CUIT NO CARGADO")</f>
        <v>0</v>
      </c>
      <c r="S24">
        <v>3193035.63</v>
      </c>
    </row>
    <row r="25" spans="2:19" x14ac:dyDescent="0.25">
      <c r="B25" s="406">
        <v>45694</v>
      </c>
      <c r="C25" s="407">
        <v>1</v>
      </c>
      <c r="D25" s="408">
        <v>150</v>
      </c>
      <c r="E25" s="409">
        <v>46006</v>
      </c>
      <c r="F25" s="246">
        <v>30592097482</v>
      </c>
      <c r="G25" s="410" t="str">
        <f>IFERROR(IF(compras_mes2[[#This Row],[CUIT]]="","-",VLOOKUP(compras_mes2[[#This Row],[CUIT]],Lista_CUIT[#All],2,0)),"CUIT NO CARGADO")</f>
        <v>ED GAR SOCIEDAD ANONIMA</v>
      </c>
      <c r="H25" s="411">
        <v>24793.39</v>
      </c>
      <c r="I25" s="412">
        <f>IF(compras_mes2[[#This Row],[NETO GRAVADO]]="","",compras_mes2[[#This Row],[NETO GRAVADO]]*0.21)</f>
        <v>5206.6118999999999</v>
      </c>
      <c r="J25" s="412"/>
      <c r="K25" s="412"/>
      <c r="L25" s="412"/>
      <c r="M25" s="412"/>
      <c r="N25" s="415"/>
      <c r="O25" s="412"/>
      <c r="P25" s="413">
        <f>SUM(compras_mes2[[#This Row],[NETO GRAVADO]:[Otros / No Grav.]])</f>
        <v>30000.001899999999</v>
      </c>
      <c r="Q25" s="414" t="str">
        <f>IFERROR(IF(compras_mes2[[#This Row],[CUIT]]="","-",VLOOKUP(compras_mes2[[#This Row],[CUIT]],Lista_CUIT[#All],3,0)),"CUIT NO CARGADO")</f>
        <v>INSUMO</v>
      </c>
      <c r="R25" s="414">
        <f>IFERROR(IF(compras_mes2[[#This Row],[CUIT]]="","-",VLOOKUP(compras_mes2[[#This Row],[CUIT]],Lista_CUIT[#All],4,0)),"CUIT NO CARGADO")</f>
        <v>0</v>
      </c>
      <c r="S25">
        <v>2212344.81</v>
      </c>
    </row>
    <row r="26" spans="2:19" x14ac:dyDescent="0.25">
      <c r="B26" s="406">
        <v>45694</v>
      </c>
      <c r="C26" s="407">
        <v>1</v>
      </c>
      <c r="D26" s="408">
        <v>40</v>
      </c>
      <c r="E26" s="409">
        <v>1457</v>
      </c>
      <c r="F26" s="246">
        <v>30711091552</v>
      </c>
      <c r="G26" s="410" t="str">
        <f>IFERROR(IF(compras_mes2[[#This Row],[CUIT]]="","-",VLOOKUP(compras_mes2[[#This Row],[CUIT]],Lista_CUIT[#All],2,0)),"CUIT NO CARGADO")</f>
        <v>BIGBOX S.A.</v>
      </c>
      <c r="H26" s="411">
        <v>78512.399999999994</v>
      </c>
      <c r="I26" s="412">
        <f>IF(compras_mes2[[#This Row],[NETO GRAVADO]]="","",compras_mes2[[#This Row],[NETO GRAVADO]]*0.21)</f>
        <v>16487.603999999999</v>
      </c>
      <c r="J26" s="412"/>
      <c r="K26" s="412"/>
      <c r="L26" s="412"/>
      <c r="M26" s="412"/>
      <c r="N26" s="415"/>
      <c r="O26" s="412"/>
      <c r="P26" s="413">
        <f>SUM(compras_mes2[[#This Row],[NETO GRAVADO]:[Otros / No Grav.]])</f>
        <v>95000.003999999986</v>
      </c>
      <c r="Q26" s="414" t="str">
        <f>IFERROR(IF(compras_mes2[[#This Row],[CUIT]]="","-",VLOOKUP(compras_mes2[[#This Row],[CUIT]],Lista_CUIT[#All],3,0)),"CUIT NO CARGADO")</f>
        <v>INSUMO</v>
      </c>
      <c r="R26" s="414">
        <f>IFERROR(IF(compras_mes2[[#This Row],[CUIT]]="","-",VLOOKUP(compras_mes2[[#This Row],[CUIT]],Lista_CUIT[#All],4,0)),"CUIT NO CARGADO")</f>
        <v>0</v>
      </c>
      <c r="S26">
        <v>514250</v>
      </c>
    </row>
    <row r="27" spans="2:19" x14ac:dyDescent="0.25">
      <c r="B27" s="406">
        <v>45694</v>
      </c>
      <c r="C27" s="407">
        <v>1</v>
      </c>
      <c r="D27" s="408">
        <v>4</v>
      </c>
      <c r="E27" s="409">
        <v>20284</v>
      </c>
      <c r="F27" s="246">
        <v>30504854023</v>
      </c>
      <c r="G27" s="410" t="str">
        <f>IFERROR(IF(compras_mes2[[#This Row],[CUIT]]="","-",VLOOKUP(compras_mes2[[#This Row],[CUIT]],Lista_CUIT[#All],2,0)),"CUIT NO CARGADO")</f>
        <v xml:space="preserve">NYLTEF SAICFI </v>
      </c>
      <c r="H27" s="411">
        <v>75232.5</v>
      </c>
      <c r="I27" s="412">
        <f>IF(compras_mes2[[#This Row],[NETO GRAVADO]]="","",compras_mes2[[#This Row],[NETO GRAVADO]]*0.21)</f>
        <v>15798.824999999999</v>
      </c>
      <c r="J27" s="412"/>
      <c r="K27" s="412"/>
      <c r="L27" s="412"/>
      <c r="M27" s="412"/>
      <c r="N27" s="412"/>
      <c r="O27" s="412"/>
      <c r="P27" s="413">
        <f>SUM(compras_mes2[[#This Row],[NETO GRAVADO]:[Otros / No Grav.]])</f>
        <v>91031.324999999997</v>
      </c>
      <c r="Q27" s="414" t="str">
        <f>IFERROR(IF(compras_mes2[[#This Row],[CUIT]]="","-",VLOOKUP(compras_mes2[[#This Row],[CUIT]],Lista_CUIT[#All],3,0)),"CUIT NO CARGADO")</f>
        <v>INSUMO</v>
      </c>
      <c r="R27" s="414">
        <f>IFERROR(IF(compras_mes2[[#This Row],[CUIT]]="","-",VLOOKUP(compras_mes2[[#This Row],[CUIT]],Lista_CUIT[#All],4,0)),"CUIT NO CARGADO")</f>
        <v>0</v>
      </c>
      <c r="S27">
        <v>1633905.88</v>
      </c>
    </row>
    <row r="28" spans="2:19" x14ac:dyDescent="0.25">
      <c r="B28" s="406">
        <v>45694</v>
      </c>
      <c r="C28" s="407">
        <v>1</v>
      </c>
      <c r="D28" s="408">
        <v>1001</v>
      </c>
      <c r="E28" s="409">
        <v>510</v>
      </c>
      <c r="F28" s="246">
        <v>30707370552</v>
      </c>
      <c r="G28" s="410" t="str">
        <f>IFERROR(IF(compras_mes2[[#This Row],[CUIT]]="","-",VLOOKUP(compras_mes2[[#This Row],[CUIT]],Lista_CUIT[#All],2,0)),"CUIT NO CARGADO")</f>
        <v>RAKE SA</v>
      </c>
      <c r="H28" s="411">
        <v>2100000</v>
      </c>
      <c r="I28" s="412">
        <f>IF(compras_mes2[[#This Row],[NETO GRAVADO]]="","",compras_mes2[[#This Row],[NETO GRAVADO]]*0.21)</f>
        <v>441000</v>
      </c>
      <c r="J28" s="412"/>
      <c r="K28" s="412"/>
      <c r="L28" s="412"/>
      <c r="M28" s="412"/>
      <c r="N28" s="415"/>
      <c r="O28" s="412"/>
      <c r="P28" s="413">
        <f>SUM(compras_mes2[[#This Row],[NETO GRAVADO]:[Otros / No Grav.]])</f>
        <v>2541000</v>
      </c>
      <c r="Q28" s="414" t="str">
        <f>IFERROR(IF(compras_mes2[[#This Row],[CUIT]]="","-",VLOOKUP(compras_mes2[[#This Row],[CUIT]],Lista_CUIT[#All],3,0)),"CUIT NO CARGADO")</f>
        <v>GASTOS VARIOS</v>
      </c>
      <c r="R28" s="414">
        <f>IFERROR(IF(compras_mes2[[#This Row],[CUIT]]="","-",VLOOKUP(compras_mes2[[#This Row],[CUIT]],Lista_CUIT[#All],4,0)),"CUIT NO CARGADO")</f>
        <v>0</v>
      </c>
      <c r="S28">
        <v>1123936.2</v>
      </c>
    </row>
    <row r="29" spans="2:19" x14ac:dyDescent="0.25">
      <c r="B29" s="406">
        <v>45694</v>
      </c>
      <c r="C29" s="407">
        <v>1</v>
      </c>
      <c r="D29" s="408">
        <v>101</v>
      </c>
      <c r="E29" s="409">
        <v>8977</v>
      </c>
      <c r="F29" s="246">
        <v>33711430879</v>
      </c>
      <c r="G29" s="410" t="str">
        <f>IFERROR(IF(compras_mes2[[#This Row],[CUIT]]="","-",VLOOKUP(compras_mes2[[#This Row],[CUIT]],Lista_CUIT[#All],2,0)),"CUIT NO CARGADO")</f>
        <v>BALANZE S.A.</v>
      </c>
      <c r="H29" s="411">
        <v>134000</v>
      </c>
      <c r="I29" s="412">
        <f>IF(compras_mes2[[#This Row],[NETO GRAVADO]]="","",compras_mes2[[#This Row],[NETO GRAVADO]]*0.21)</f>
        <v>28140</v>
      </c>
      <c r="J29" s="412"/>
      <c r="K29" s="412"/>
      <c r="L29" s="412"/>
      <c r="M29" s="412"/>
      <c r="N29" s="412"/>
      <c r="O29" s="412"/>
      <c r="P29" s="413">
        <f>SUM(compras_mes2[[#This Row],[NETO GRAVADO]:[Otros / No Grav.]])</f>
        <v>162140</v>
      </c>
      <c r="Q29" s="414" t="str">
        <f>IFERROR(IF(compras_mes2[[#This Row],[CUIT]]="","-",VLOOKUP(compras_mes2[[#This Row],[CUIT]],Lista_CUIT[#All],3,0)),"CUIT NO CARGADO")</f>
        <v>INSUMO</v>
      </c>
      <c r="R29" s="414">
        <f>IFERROR(IF(compras_mes2[[#This Row],[CUIT]]="","-",VLOOKUP(compras_mes2[[#This Row],[CUIT]],Lista_CUIT[#All],4,0)),"CUIT NO CARGADO")</f>
        <v>0</v>
      </c>
      <c r="S29">
        <v>7231.41</v>
      </c>
    </row>
    <row r="30" spans="2:19" x14ac:dyDescent="0.25">
      <c r="B30" s="406">
        <v>45695</v>
      </c>
      <c r="C30" s="407">
        <v>1</v>
      </c>
      <c r="D30" s="408">
        <v>6</v>
      </c>
      <c r="E30" s="409">
        <v>1334</v>
      </c>
      <c r="F30" s="246">
        <v>20247225243</v>
      </c>
      <c r="G30" s="410" t="str">
        <f>IFERROR(IF(compras_mes2[[#This Row],[CUIT]]="","-",VLOOKUP(compras_mes2[[#This Row],[CUIT]],Lista_CUIT[#All],2,0)),"CUIT NO CARGADO")</f>
        <v>VENTO HUGO GABRIEL</v>
      </c>
      <c r="H30" s="411">
        <v>101833</v>
      </c>
      <c r="I30" s="412">
        <f>IF(compras_mes2[[#This Row],[NETO GRAVADO]]="","",compras_mes2[[#This Row],[NETO GRAVADO]]*0.21)</f>
        <v>21384.93</v>
      </c>
      <c r="J30" s="412"/>
      <c r="K30" s="412"/>
      <c r="L30" s="412"/>
      <c r="M30" s="412"/>
      <c r="N30" s="415"/>
      <c r="O30" s="412"/>
      <c r="P30" s="413">
        <f>SUM(compras_mes2[[#This Row],[NETO GRAVADO]:[Otros / No Grav.]])</f>
        <v>123217.93</v>
      </c>
      <c r="Q30" s="414" t="str">
        <f>IFERROR(IF(compras_mes2[[#This Row],[CUIT]]="","-",VLOOKUP(compras_mes2[[#This Row],[CUIT]],Lista_CUIT[#All],3,0)),"CUIT NO CARGADO")</f>
        <v>INSUMO</v>
      </c>
      <c r="R30" s="414">
        <f>IFERROR(IF(compras_mes2[[#This Row],[CUIT]]="","-",VLOOKUP(compras_mes2[[#This Row],[CUIT]],Lista_CUIT[#All],4,0)),"CUIT NO CARGADO")</f>
        <v>0</v>
      </c>
      <c r="S30">
        <v>345000</v>
      </c>
    </row>
    <row r="31" spans="2:19" x14ac:dyDescent="0.25">
      <c r="B31" s="406">
        <v>45696</v>
      </c>
      <c r="C31" s="407">
        <v>1</v>
      </c>
      <c r="D31" s="408">
        <v>2019</v>
      </c>
      <c r="E31" s="409">
        <v>266598</v>
      </c>
      <c r="F31" s="246">
        <v>30516186670</v>
      </c>
      <c r="G31" s="410" t="str">
        <f>IFERROR(IF(compras_mes2[[#This Row],[CUIT]]="","-",VLOOKUP(compras_mes2[[#This Row],[CUIT]],Lista_CUIT[#All],2,0)),"CUIT NO CARGADO")</f>
        <v>DEHEZA SAICF E I</v>
      </c>
      <c r="H31" s="411">
        <v>40217.660000000003</v>
      </c>
      <c r="I31" s="412">
        <f>IF(compras_mes2[[#This Row],[NETO GRAVADO]]="","",compras_mes2[[#This Row],[NETO GRAVADO]]*0.21)</f>
        <v>8445.7085999999999</v>
      </c>
      <c r="J31" s="412"/>
      <c r="K31" s="412"/>
      <c r="L31" s="412"/>
      <c r="M31" s="412"/>
      <c r="N31" s="415"/>
      <c r="O31" s="412"/>
      <c r="P31" s="413">
        <f>SUM(compras_mes2[[#This Row],[NETO GRAVADO]:[Otros / No Grav.]])</f>
        <v>48663.368600000002</v>
      </c>
      <c r="Q31" s="414" t="str">
        <f>IFERROR(IF(compras_mes2[[#This Row],[CUIT]]="","-",VLOOKUP(compras_mes2[[#This Row],[CUIT]],Lista_CUIT[#All],3,0)),"CUIT NO CARGADO")</f>
        <v>COMBUSTIBLE</v>
      </c>
      <c r="R31" s="414">
        <f>IFERROR(IF(compras_mes2[[#This Row],[CUIT]]="","-",VLOOKUP(compras_mes2[[#This Row],[CUIT]],Lista_CUIT[#All],4,0)),"CUIT NO CARGADO")</f>
        <v>0</v>
      </c>
      <c r="S31">
        <v>956080</v>
      </c>
    </row>
    <row r="32" spans="2:19" x14ac:dyDescent="0.25">
      <c r="B32" s="406">
        <v>45696</v>
      </c>
      <c r="C32" s="407">
        <v>1</v>
      </c>
      <c r="D32" s="408">
        <v>711</v>
      </c>
      <c r="E32" s="409">
        <v>6694090</v>
      </c>
      <c r="F32" s="246">
        <v>30677237119</v>
      </c>
      <c r="G32" s="410" t="str">
        <f>IFERROR(IF(compras_mes2[[#This Row],[CUIT]]="","-",VLOOKUP(compras_mes2[[#This Row],[CUIT]],Lista_CUIT[#All],2,0)),"CUIT NO CARGADO")</f>
        <v>AUTOPISTAS DEL SOL SA</v>
      </c>
      <c r="H32" s="411">
        <v>5430.98</v>
      </c>
      <c r="I32" s="412">
        <f>IF(compras_mes2[[#This Row],[NETO GRAVADO]]="","",compras_mes2[[#This Row],[NETO GRAVADO]]*0.21)</f>
        <v>1140.5057999999999</v>
      </c>
      <c r="J32" s="412"/>
      <c r="K32" s="412"/>
      <c r="L32" s="412"/>
      <c r="M32" s="412"/>
      <c r="N32" s="412"/>
      <c r="O32" s="412">
        <v>162.93</v>
      </c>
      <c r="P32" s="413">
        <f>SUM(compras_mes2[[#This Row],[NETO GRAVADO]:[Otros / No Grav.]])</f>
        <v>6734.4157999999998</v>
      </c>
      <c r="Q32" s="414" t="str">
        <f>IFERROR(IF(compras_mes2[[#This Row],[CUIT]]="","-",VLOOKUP(compras_mes2[[#This Row],[CUIT]],Lista_CUIT[#All],3,0)),"CUIT NO CARGADO")</f>
        <v>Autopista</v>
      </c>
      <c r="R32" s="414">
        <f>IFERROR(IF(compras_mes2[[#This Row],[CUIT]]="","-",VLOOKUP(compras_mes2[[#This Row],[CUIT]],Lista_CUIT[#All],4,0)),"CUIT NO CARGADO")</f>
        <v>0</v>
      </c>
      <c r="S32">
        <v>413221.08</v>
      </c>
    </row>
    <row r="33" spans="2:19" x14ac:dyDescent="0.25">
      <c r="B33" s="406">
        <v>45696</v>
      </c>
      <c r="C33" s="407">
        <v>1</v>
      </c>
      <c r="D33" s="408">
        <v>5015</v>
      </c>
      <c r="E33" s="409">
        <v>745697</v>
      </c>
      <c r="F33" s="246">
        <v>30574876474</v>
      </c>
      <c r="G33" s="410" t="str">
        <f>IFERROR(IF(compras_mes2[[#This Row],[CUIT]]="","-",VLOOKUP(compras_mes2[[#This Row],[CUIT]],Lista_CUIT[#All],2,0)),"CUIT NO CARGADO")</f>
        <v>AUTOP. URBANAS SA</v>
      </c>
      <c r="H33" s="411">
        <v>22267.279999999999</v>
      </c>
      <c r="I33" s="412">
        <f>IF(compras_mes2[[#This Row],[NETO GRAVADO]]="","",compras_mes2[[#This Row],[NETO GRAVADO]]*0.21)</f>
        <v>4676.1287999999995</v>
      </c>
      <c r="J33" s="412"/>
      <c r="K33" s="412"/>
      <c r="L33" s="412"/>
      <c r="M33" s="412"/>
      <c r="N33" s="412"/>
      <c r="O33" s="412"/>
      <c r="P33" s="413">
        <f>SUM(compras_mes2[[#This Row],[NETO GRAVADO]:[Otros / No Grav.]])</f>
        <v>26943.408799999997</v>
      </c>
      <c r="Q33" s="414" t="str">
        <f>IFERROR(IF(compras_mes2[[#This Row],[CUIT]]="","-",VLOOKUP(compras_mes2[[#This Row],[CUIT]],Lista_CUIT[#All],3,0)),"CUIT NO CARGADO")</f>
        <v>PEAJE</v>
      </c>
      <c r="R33" s="414">
        <f>IFERROR(IF(compras_mes2[[#This Row],[CUIT]]="","-",VLOOKUP(compras_mes2[[#This Row],[CUIT]],Lista_CUIT[#All],4,0)),"CUIT NO CARGADO")</f>
        <v>0</v>
      </c>
      <c r="S33">
        <v>87109.57</v>
      </c>
    </row>
    <row r="34" spans="2:19" x14ac:dyDescent="0.25">
      <c r="B34" s="406">
        <v>45697</v>
      </c>
      <c r="C34" s="407">
        <v>1</v>
      </c>
      <c r="D34" s="408">
        <v>3101</v>
      </c>
      <c r="E34" s="409">
        <v>263748</v>
      </c>
      <c r="F34" s="246">
        <v>30678814357</v>
      </c>
      <c r="G34" s="410" t="str">
        <f>IFERROR(IF(compras_mes2[[#This Row],[CUIT]]="","-",VLOOKUP(compras_mes2[[#This Row],[CUIT]],Lista_CUIT[#All],2,0)),"CUIT NO CARGADO")</f>
        <v>TELEFONICA MOVILES ARG SA</v>
      </c>
      <c r="H34" s="411">
        <v>91600.07</v>
      </c>
      <c r="I34" s="412"/>
      <c r="J34" s="412">
        <f>compras_mes2[[#This Row],[NETO GRAVADO]]*27/100</f>
        <v>24732.018900000003</v>
      </c>
      <c r="K34" s="412"/>
      <c r="L34" s="412"/>
      <c r="M34" s="412"/>
      <c r="N34" s="412"/>
      <c r="O34" s="412"/>
      <c r="P34" s="413">
        <f>SUM(compras_mes2[[#This Row],[NETO GRAVADO]:[Otros / No Grav.]])</f>
        <v>116332.0889</v>
      </c>
      <c r="Q34" s="414" t="str">
        <f>IFERROR(IF(compras_mes2[[#This Row],[CUIT]]="","-",VLOOKUP(compras_mes2[[#This Row],[CUIT]],Lista_CUIT[#All],3,0)),"CUIT NO CARGADO")</f>
        <v>SERVICIO</v>
      </c>
      <c r="R34" s="414">
        <f>IFERROR(IF(compras_mes2[[#This Row],[CUIT]]="","-",VLOOKUP(compras_mes2[[#This Row],[CUIT]],Lista_CUIT[#All],4,0)),"CUIT NO CARGADO")</f>
        <v>0</v>
      </c>
      <c r="S34">
        <v>5371.9</v>
      </c>
    </row>
    <row r="35" spans="2:19" x14ac:dyDescent="0.25">
      <c r="B35" s="406">
        <v>45698</v>
      </c>
      <c r="C35" s="407">
        <v>1</v>
      </c>
      <c r="D35" s="408">
        <v>2</v>
      </c>
      <c r="E35" s="409">
        <v>11420</v>
      </c>
      <c r="F35" s="246">
        <v>30714331082</v>
      </c>
      <c r="G35" s="410" t="str">
        <f>IFERROR(IF(compras_mes2[[#This Row],[CUIT]]="","-",VLOOKUP(compras_mes2[[#This Row],[CUIT]],Lista_CUIT[#All],2,0)),"CUIT NO CARGADO")</f>
        <v>ORTOPEDIA CASA ESCALADA SRL</v>
      </c>
      <c r="H35" s="411">
        <v>4007577.65</v>
      </c>
      <c r="I35" s="412">
        <f>IF(compras_mes2[[#This Row],[NETO GRAVADO]]="","",compras_mes2[[#This Row],[NETO GRAVADO]]*0.21)</f>
        <v>841591.30649999995</v>
      </c>
      <c r="J35" s="412"/>
      <c r="K35" s="412"/>
      <c r="L35" s="412"/>
      <c r="M35" s="412"/>
      <c r="N35" s="415"/>
      <c r="O35" s="412"/>
      <c r="P35" s="413">
        <f>SUM(compras_mes2[[#This Row],[NETO GRAVADO]:[Otros / No Grav.]])</f>
        <v>4849168.9564999994</v>
      </c>
      <c r="Q35" s="414" t="str">
        <f>IFERROR(IF(compras_mes2[[#This Row],[CUIT]]="","-",VLOOKUP(compras_mes2[[#This Row],[CUIT]],Lista_CUIT[#All],3,0)),"CUIT NO CARGADO")</f>
        <v>INSUMO</v>
      </c>
      <c r="R35" s="414">
        <f>IFERROR(IF(compras_mes2[[#This Row],[CUIT]]="","-",VLOOKUP(compras_mes2[[#This Row],[CUIT]],Lista_CUIT[#All],4,0)),"CUIT NO CARGADO")</f>
        <v>0</v>
      </c>
      <c r="S35">
        <v>6596.25</v>
      </c>
    </row>
    <row r="36" spans="2:19" x14ac:dyDescent="0.25">
      <c r="B36" s="406">
        <v>45698</v>
      </c>
      <c r="C36" s="407">
        <v>1</v>
      </c>
      <c r="D36" s="408">
        <v>2</v>
      </c>
      <c r="E36" s="409">
        <v>11419</v>
      </c>
      <c r="F36" s="246">
        <v>30714331082</v>
      </c>
      <c r="G36" s="410" t="str">
        <f>IFERROR(IF(compras_mes2[[#This Row],[CUIT]]="","-",VLOOKUP(compras_mes2[[#This Row],[CUIT]],Lista_CUIT[#All],2,0)),"CUIT NO CARGADO")</f>
        <v>ORTOPEDIA CASA ESCALADA SRL</v>
      </c>
      <c r="H36" s="411">
        <v>465345.68</v>
      </c>
      <c r="I36" s="412"/>
      <c r="J36" s="412"/>
      <c r="K36" s="412">
        <f>compras_mes2[[#This Row],[NETO GRAVADO]]*10.5/100</f>
        <v>48861.296399999999</v>
      </c>
      <c r="L36" s="412"/>
      <c r="M36" s="412"/>
      <c r="N36" s="415"/>
      <c r="O36" s="412"/>
      <c r="P36" s="413">
        <f>SUM(compras_mes2[[#This Row],[NETO GRAVADO]:[Otros / No Grav.]])</f>
        <v>514206.97639999999</v>
      </c>
      <c r="Q36" s="414" t="str">
        <f>IFERROR(IF(compras_mes2[[#This Row],[CUIT]]="","-",VLOOKUP(compras_mes2[[#This Row],[CUIT]],Lista_CUIT[#All],3,0)),"CUIT NO CARGADO")</f>
        <v>INSUMO</v>
      </c>
      <c r="R36" s="414">
        <f>IFERROR(IF(compras_mes2[[#This Row],[CUIT]]="","-",VLOOKUP(compras_mes2[[#This Row],[CUIT]],Lista_CUIT[#All],4,0)),"CUIT NO CARGADO")</f>
        <v>0</v>
      </c>
      <c r="S36">
        <v>22929.5</v>
      </c>
    </row>
    <row r="37" spans="2:19" x14ac:dyDescent="0.25">
      <c r="B37" s="406">
        <v>45698</v>
      </c>
      <c r="C37" s="407">
        <v>1</v>
      </c>
      <c r="D37" s="408">
        <v>6</v>
      </c>
      <c r="E37" s="409">
        <v>88871</v>
      </c>
      <c r="F37" s="246">
        <v>30711553564</v>
      </c>
      <c r="G37" s="410" t="str">
        <f>IFERROR(IF(compras_mes2[[#This Row],[CUIT]]="","-",VLOOKUP(compras_mes2[[#This Row],[CUIT]],Lista_CUIT[#All],2,0)),"CUIT NO CARGADO")</f>
        <v>SALUD TEX S.A</v>
      </c>
      <c r="H37" s="411">
        <v>279138.5</v>
      </c>
      <c r="I37" s="412">
        <f>IF(compras_mes2[[#This Row],[NETO GRAVADO]]="","",compras_mes2[[#This Row],[NETO GRAVADO]]*0.21)</f>
        <v>58619.084999999999</v>
      </c>
      <c r="J37" s="412"/>
      <c r="K37" s="412"/>
      <c r="L37" s="412"/>
      <c r="M37" s="412"/>
      <c r="N37" s="415"/>
      <c r="O37" s="412"/>
      <c r="P37" s="413">
        <f>SUM(compras_mes2[[#This Row],[NETO GRAVADO]:[Otros / No Grav.]])</f>
        <v>337757.58500000002</v>
      </c>
      <c r="Q37" s="414" t="str">
        <f>IFERROR(IF(compras_mes2[[#This Row],[CUIT]]="","-",VLOOKUP(compras_mes2[[#This Row],[CUIT]],Lista_CUIT[#All],3,0)),"CUIT NO CARGADO")</f>
        <v>INSUMO</v>
      </c>
      <c r="R37" s="414">
        <f>IFERROR(IF(compras_mes2[[#This Row],[CUIT]]="","-",VLOOKUP(compras_mes2[[#This Row],[CUIT]],Lista_CUIT[#All],4,0)),"CUIT NO CARGADO")</f>
        <v>0</v>
      </c>
      <c r="S37">
        <v>285000</v>
      </c>
    </row>
    <row r="38" spans="2:19" x14ac:dyDescent="0.25">
      <c r="B38" s="406">
        <v>45698</v>
      </c>
      <c r="C38" s="407">
        <v>1</v>
      </c>
      <c r="D38" s="408">
        <v>3</v>
      </c>
      <c r="E38" s="409">
        <v>47974</v>
      </c>
      <c r="F38" s="246">
        <v>30711454388</v>
      </c>
      <c r="G38" s="410" t="str">
        <f>IFERROR(IF(compras_mes2[[#This Row],[CUIT]]="","-",VLOOKUP(compras_mes2[[#This Row],[CUIT]],Lista_CUIT[#All],2,0)),"CUIT NO CARGADO")</f>
        <v>LIPROT S.R.L.</v>
      </c>
      <c r="H38" s="411">
        <v>163900</v>
      </c>
      <c r="I38" s="412">
        <f>IF(compras_mes2[[#This Row],[NETO GRAVADO]]="","",compras_mes2[[#This Row],[NETO GRAVADO]]*0.21)</f>
        <v>34419</v>
      </c>
      <c r="J38" s="412"/>
      <c r="K38" s="412"/>
      <c r="L38" s="412"/>
      <c r="M38" s="412"/>
      <c r="N38" s="412"/>
      <c r="O38" s="412"/>
      <c r="P38" s="413">
        <f>SUM(compras_mes2[[#This Row],[NETO GRAVADO]:[Otros / No Grav.]])</f>
        <v>198319</v>
      </c>
      <c r="Q38" s="414" t="str">
        <f>IFERROR(IF(compras_mes2[[#This Row],[CUIT]]="","-",VLOOKUP(compras_mes2[[#This Row],[CUIT]],Lista_CUIT[#All],3,0)),"CUIT NO CARGADO")</f>
        <v>textil</v>
      </c>
      <c r="R38" s="414">
        <f>IFERROR(IF(compras_mes2[[#This Row],[CUIT]]="","-",VLOOKUP(compras_mes2[[#This Row],[CUIT]],Lista_CUIT[#All],4,0)),"CUIT NO CARGADO")</f>
        <v>0</v>
      </c>
      <c r="S38">
        <v>40214.11</v>
      </c>
    </row>
    <row r="39" spans="2:19" x14ac:dyDescent="0.25">
      <c r="B39" s="406">
        <v>45699</v>
      </c>
      <c r="C39" s="407">
        <v>1</v>
      </c>
      <c r="D39" s="408">
        <v>26</v>
      </c>
      <c r="E39" s="409">
        <v>203264</v>
      </c>
      <c r="F39" s="246">
        <v>30708847247</v>
      </c>
      <c r="G39" s="410" t="str">
        <f>IFERROR(IF(compras_mes2[[#This Row],[CUIT]]="","-",VLOOKUP(compras_mes2[[#This Row],[CUIT]],Lista_CUIT[#All],2,0)),"CUIT NO CARGADO")</f>
        <v>TOAGRA SRL</v>
      </c>
      <c r="H39" s="411">
        <v>12815.9</v>
      </c>
      <c r="I39" s="412">
        <f>IF(compras_mes2[[#This Row],[NETO GRAVADO]]="","",compras_mes2[[#This Row],[NETO GRAVADO]]*0.21)</f>
        <v>2691.3389999999999</v>
      </c>
      <c r="J39" s="412"/>
      <c r="K39" s="412"/>
      <c r="L39" s="412"/>
      <c r="M39" s="412"/>
      <c r="N39" s="412"/>
      <c r="O39" s="412"/>
      <c r="P39" s="413">
        <f>SUM(compras_mes2[[#This Row],[NETO GRAVADO]:[Otros / No Grav.]])</f>
        <v>15507.239</v>
      </c>
      <c r="Q39" s="414" t="str">
        <f>IFERROR(IF(compras_mes2[[#This Row],[CUIT]]="","-",VLOOKUP(compras_mes2[[#This Row],[CUIT]],Lista_CUIT[#All],3,0)),"CUIT NO CARGADO")</f>
        <v>FLETE</v>
      </c>
      <c r="R39" s="414">
        <f>IFERROR(IF(compras_mes2[[#This Row],[CUIT]]="","-",VLOOKUP(compras_mes2[[#This Row],[CUIT]],Lista_CUIT[#All],4,0)),"CUIT NO CARGADO")</f>
        <v>0</v>
      </c>
      <c r="S39">
        <v>34999.980000000003</v>
      </c>
    </row>
    <row r="40" spans="2:19" x14ac:dyDescent="0.25">
      <c r="B40" s="406">
        <v>45699</v>
      </c>
      <c r="C40" s="407">
        <v>1</v>
      </c>
      <c r="D40" s="408">
        <v>1</v>
      </c>
      <c r="E40" s="409">
        <v>6332</v>
      </c>
      <c r="F40" s="246">
        <v>30715141201</v>
      </c>
      <c r="G40" s="410" t="str">
        <f>IFERROR(IF(compras_mes2[[#This Row],[CUIT]]="","-",VLOOKUP(compras_mes2[[#This Row],[CUIT]],Lista_CUIT[#All],2,0)),"CUIT NO CARGADO")</f>
        <v>REHAB SRL</v>
      </c>
      <c r="H40" s="411">
        <v>64545</v>
      </c>
      <c r="I40" s="412">
        <f>IF(compras_mes2[[#This Row],[NETO GRAVADO]]="","",compras_mes2[[#This Row],[NETO GRAVADO]]*0.21)</f>
        <v>13554.449999999999</v>
      </c>
      <c r="J40" s="412"/>
      <c r="K40" s="412"/>
      <c r="L40" s="412"/>
      <c r="M40" s="412"/>
      <c r="N40" s="415"/>
      <c r="O40" s="412"/>
      <c r="P40" s="413">
        <f>SUM(compras_mes2[[#This Row],[NETO GRAVADO]:[Otros / No Grav.]])</f>
        <v>78099.45</v>
      </c>
      <c r="Q40" s="414" t="str">
        <f>IFERROR(IF(compras_mes2[[#This Row],[CUIT]]="","-",VLOOKUP(compras_mes2[[#This Row],[CUIT]],Lista_CUIT[#All],3,0)),"CUIT NO CARGADO")</f>
        <v>INSUMO</v>
      </c>
      <c r="R40" s="414">
        <f>IFERROR(IF(compras_mes2[[#This Row],[CUIT]]="","-",VLOOKUP(compras_mes2[[#This Row],[CUIT]],Lista_CUIT[#All],4,0)),"CUIT NO CARGADO")</f>
        <v>0</v>
      </c>
      <c r="S40">
        <v>24000</v>
      </c>
    </row>
    <row r="41" spans="2:19" x14ac:dyDescent="0.25">
      <c r="B41" s="406">
        <v>45699</v>
      </c>
      <c r="C41" s="407">
        <v>1</v>
      </c>
      <c r="D41" s="408">
        <v>32</v>
      </c>
      <c r="E41" s="409">
        <v>156584</v>
      </c>
      <c r="F41" s="246">
        <v>30708847247</v>
      </c>
      <c r="G41" s="410" t="str">
        <f>IFERROR(IF(compras_mes2[[#This Row],[CUIT]]="","-",VLOOKUP(compras_mes2[[#This Row],[CUIT]],Lista_CUIT[#All],2,0)),"CUIT NO CARGADO")</f>
        <v>TOAGRA SRL</v>
      </c>
      <c r="H41" s="411">
        <v>27257.62</v>
      </c>
      <c r="I41" s="412">
        <f>IF(compras_mes2[[#This Row],[NETO GRAVADO]]="","",compras_mes2[[#This Row],[NETO GRAVADO]]*0.21)</f>
        <v>5724.1001999999999</v>
      </c>
      <c r="J41" s="412"/>
      <c r="K41" s="412"/>
      <c r="L41" s="412"/>
      <c r="M41" s="412"/>
      <c r="N41" s="415"/>
      <c r="O41" s="412"/>
      <c r="P41" s="413">
        <f>SUM(compras_mes2[[#This Row],[NETO GRAVADO]:[Otros / No Grav.]])</f>
        <v>32981.720199999996</v>
      </c>
      <c r="Q41" s="414" t="str">
        <f>IFERROR(IF(compras_mes2[[#This Row],[CUIT]]="","-",VLOOKUP(compras_mes2[[#This Row],[CUIT]],Lista_CUIT[#All],3,0)),"CUIT NO CARGADO")</f>
        <v>FLETE</v>
      </c>
      <c r="R41" s="414">
        <f>IFERROR(IF(compras_mes2[[#This Row],[CUIT]]="","-",VLOOKUP(compras_mes2[[#This Row],[CUIT]],Lista_CUIT[#All],4,0)),"CUIT NO CARGADO")</f>
        <v>0</v>
      </c>
      <c r="S41">
        <v>808361.07</v>
      </c>
    </row>
    <row r="42" spans="2:19" x14ac:dyDescent="0.25">
      <c r="B42" s="406">
        <v>45699</v>
      </c>
      <c r="C42" s="407">
        <v>1</v>
      </c>
      <c r="D42" s="408">
        <v>120</v>
      </c>
      <c r="E42" s="409">
        <v>5506</v>
      </c>
      <c r="F42" s="246">
        <v>30587197215</v>
      </c>
      <c r="G42" s="410" t="str">
        <f>IFERROR(IF(compras_mes2[[#This Row],[CUIT]]="","-",VLOOKUP(compras_mes2[[#This Row],[CUIT]],Lista_CUIT[#All],2,0)),"CUIT NO CARGADO")</f>
        <v>PANATEL SOCIEDAD ANONIMA</v>
      </c>
      <c r="H42" s="411">
        <v>95041.32</v>
      </c>
      <c r="I42" s="412">
        <f>IF(compras_mes2[[#This Row],[NETO GRAVADO]]="","",compras_mes2[[#This Row],[NETO GRAVADO]]*0.21)</f>
        <v>19958.677200000002</v>
      </c>
      <c r="J42" s="412"/>
      <c r="K42" s="412"/>
      <c r="L42" s="412"/>
      <c r="M42" s="412"/>
      <c r="N42" s="415"/>
      <c r="O42" s="412"/>
      <c r="P42" s="413">
        <f>SUM(compras_mes2[[#This Row],[NETO GRAVADO]:[Otros / No Grav.]])</f>
        <v>114999.99720000001</v>
      </c>
      <c r="Q42" s="414" t="str">
        <f>IFERROR(IF(compras_mes2[[#This Row],[CUIT]]="","-",VLOOKUP(compras_mes2[[#This Row],[CUIT]],Lista_CUIT[#All],3,0)),"CUIT NO CARGADO")</f>
        <v>SERVICIOS DE ALOJAMIENTO EN HOTELES</v>
      </c>
      <c r="R42" s="414">
        <f>IFERROR(IF(compras_mes2[[#This Row],[CUIT]]="","-",VLOOKUP(compras_mes2[[#This Row],[CUIT]],Lista_CUIT[#All],4,0)),"CUIT NO CARGADO")</f>
        <v>0</v>
      </c>
      <c r="S42">
        <v>2834920</v>
      </c>
    </row>
    <row r="43" spans="2:19" x14ac:dyDescent="0.25">
      <c r="B43" s="406">
        <v>45699</v>
      </c>
      <c r="C43" s="407">
        <v>1</v>
      </c>
      <c r="D43" s="408">
        <v>5</v>
      </c>
      <c r="E43" s="409">
        <v>1460</v>
      </c>
      <c r="F43" s="246">
        <v>27265302225</v>
      </c>
      <c r="G43" s="410" t="str">
        <f>IFERROR(IF(compras_mes2[[#This Row],[CUIT]]="","-",VLOOKUP(compras_mes2[[#This Row],[CUIT]],Lista_CUIT[#All],2,0)),"CUIT NO CARGADO")</f>
        <v>PRADO MARISOL</v>
      </c>
      <c r="H43" s="411">
        <v>1</v>
      </c>
      <c r="I43" s="412">
        <f>IF(compras_mes2[[#This Row],[NETO GRAVADO]]="","",compras_mes2[[#This Row],[NETO GRAVADO]]*0.21)</f>
        <v>0.21</v>
      </c>
      <c r="J43" s="412"/>
      <c r="K43" s="412"/>
      <c r="L43" s="412"/>
      <c r="M43" s="412"/>
      <c r="N43" s="415"/>
      <c r="O43" s="412"/>
      <c r="P43" s="413">
        <f>SUM(compras_mes2[[#This Row],[NETO GRAVADO]:[Otros / No Grav.]])</f>
        <v>1.21</v>
      </c>
      <c r="Q43" s="414" t="str">
        <f>IFERROR(IF(compras_mes2[[#This Row],[CUIT]]="","-",VLOOKUP(compras_mes2[[#This Row],[CUIT]],Lista_CUIT[#All],3,0)),"CUIT NO CARGADO")</f>
        <v>INSUMO</v>
      </c>
      <c r="R43" s="414">
        <f>IFERROR(IF(compras_mes2[[#This Row],[CUIT]]="","-",VLOOKUP(compras_mes2[[#This Row],[CUIT]],Lista_CUIT[#All],4,0)),"CUIT NO CARGADO")</f>
        <v>0</v>
      </c>
      <c r="S43">
        <v>5853.75</v>
      </c>
    </row>
    <row r="44" spans="2:19" x14ac:dyDescent="0.25">
      <c r="B44" s="406">
        <v>45700</v>
      </c>
      <c r="C44" s="407">
        <v>1</v>
      </c>
      <c r="D44" s="408">
        <v>2</v>
      </c>
      <c r="E44" s="409">
        <v>11442</v>
      </c>
      <c r="F44" s="246">
        <v>30714331082</v>
      </c>
      <c r="G44" s="410" t="str">
        <f>IFERROR(IF(compras_mes2[[#This Row],[CUIT]]="","-",VLOOKUP(compras_mes2[[#This Row],[CUIT]],Lista_CUIT[#All],2,0)),"CUIT NO CARGADO")</f>
        <v>ORTOPEDIA CASA ESCALADA SRL</v>
      </c>
      <c r="H44" s="411">
        <v>1269066.26</v>
      </c>
      <c r="I44" s="412">
        <f>IF(compras_mes2[[#This Row],[NETO GRAVADO]]="","",compras_mes2[[#This Row],[NETO GRAVADO]]*0.21)</f>
        <v>266503.91460000002</v>
      </c>
      <c r="J44" s="412"/>
      <c r="K44" s="412"/>
      <c r="L44" s="412"/>
      <c r="M44" s="412"/>
      <c r="N44" s="415"/>
      <c r="O44" s="412"/>
      <c r="P44" s="413">
        <f>SUM(compras_mes2[[#This Row],[NETO GRAVADO]:[Otros / No Grav.]])</f>
        <v>1535570.1746</v>
      </c>
      <c r="Q44" s="414" t="str">
        <f>IFERROR(IF(compras_mes2[[#This Row],[CUIT]]="","-",VLOOKUP(compras_mes2[[#This Row],[CUIT]],Lista_CUIT[#All],3,0)),"CUIT NO CARGADO")</f>
        <v>INSUMO</v>
      </c>
      <c r="R44" s="414">
        <f>IFERROR(IF(compras_mes2[[#This Row],[CUIT]]="","-",VLOOKUP(compras_mes2[[#This Row],[CUIT]],Lista_CUIT[#All],4,0)),"CUIT NO CARGADO")</f>
        <v>0</v>
      </c>
      <c r="S44">
        <v>7290406.4000000004</v>
      </c>
    </row>
    <row r="45" spans="2:19" x14ac:dyDescent="0.25">
      <c r="B45" s="406">
        <v>45700</v>
      </c>
      <c r="C45" s="407">
        <v>1</v>
      </c>
      <c r="D45" s="408">
        <v>5</v>
      </c>
      <c r="E45" s="409">
        <v>163567</v>
      </c>
      <c r="F45" s="246">
        <v>30598960093</v>
      </c>
      <c r="G45" s="410" t="str">
        <f>IFERROR(IF(compras_mes2[[#This Row],[CUIT]]="","-",VLOOKUP(compras_mes2[[#This Row],[CUIT]],Lista_CUIT[#All],2,0)),"CUIT NO CARGADO")</f>
        <v>SILVESTRIN FABRIS SRL</v>
      </c>
      <c r="H45" s="411">
        <v>1231762.2</v>
      </c>
      <c r="I45" s="412">
        <v>25389.88</v>
      </c>
      <c r="J45" s="412"/>
      <c r="K45" s="412">
        <v>116640.09</v>
      </c>
      <c r="L45" s="412"/>
      <c r="M45" s="412"/>
      <c r="N45" s="412"/>
      <c r="O45" s="412"/>
      <c r="P45" s="413">
        <f>SUM(compras_mes2[[#This Row],[NETO GRAVADO]:[Otros / No Grav.]])</f>
        <v>1373792.17</v>
      </c>
      <c r="Q45" s="414" t="str">
        <f>IFERROR(IF(compras_mes2[[#This Row],[CUIT]]="","-",VLOOKUP(compras_mes2[[#This Row],[CUIT]],Lista_CUIT[#All],3,0)),"CUIT NO CARGADO")</f>
        <v>INSUMO</v>
      </c>
      <c r="R45" s="414">
        <f>IFERROR(IF(compras_mes2[[#This Row],[CUIT]]="","-",VLOOKUP(compras_mes2[[#This Row],[CUIT]],Lista_CUIT[#All],4,0)),"CUIT NO CARGADO")</f>
        <v>0</v>
      </c>
      <c r="S45">
        <v>39750.269999999997</v>
      </c>
    </row>
    <row r="46" spans="2:19" x14ac:dyDescent="0.25">
      <c r="B46" s="406">
        <v>45700</v>
      </c>
      <c r="C46" s="407">
        <v>1</v>
      </c>
      <c r="D46" s="408">
        <v>2</v>
      </c>
      <c r="E46" s="409">
        <v>11443</v>
      </c>
      <c r="F46" s="246">
        <v>30714331082</v>
      </c>
      <c r="G46" s="410" t="str">
        <f>IFERROR(IF(compras_mes2[[#This Row],[CUIT]]="","-",VLOOKUP(compras_mes2[[#This Row],[CUIT]],Lista_CUIT[#All],2,0)),"CUIT NO CARGADO")</f>
        <v>ORTOPEDIA CASA ESCALADA SRL</v>
      </c>
      <c r="H46" s="411">
        <v>341383.77</v>
      </c>
      <c r="I46" s="412">
        <f>IF(compras_mes2[[#This Row],[NETO GRAVADO]]="","",compras_mes2[[#This Row],[NETO GRAVADO]]*0.21)</f>
        <v>71690.591700000004</v>
      </c>
      <c r="J46" s="412"/>
      <c r="K46" s="412"/>
      <c r="L46" s="412"/>
      <c r="M46" s="412"/>
      <c r="N46" s="412"/>
      <c r="O46" s="412"/>
      <c r="P46" s="413">
        <f>SUM(compras_mes2[[#This Row],[NETO GRAVADO]:[Otros / No Grav.]])</f>
        <v>413074.36170000001</v>
      </c>
      <c r="Q46" s="414" t="str">
        <f>IFERROR(IF(compras_mes2[[#This Row],[CUIT]]="","-",VLOOKUP(compras_mes2[[#This Row],[CUIT]],Lista_CUIT[#All],3,0)),"CUIT NO CARGADO")</f>
        <v>INSUMO</v>
      </c>
      <c r="R46" s="414">
        <f>IFERROR(IF(compras_mes2[[#This Row],[CUIT]]="","-",VLOOKUP(compras_mes2[[#This Row],[CUIT]],Lista_CUIT[#All],4,0)),"CUIT NO CARGADO")</f>
        <v>0</v>
      </c>
      <c r="S46">
        <v>210139.51</v>
      </c>
    </row>
    <row r="47" spans="2:19" x14ac:dyDescent="0.25">
      <c r="B47" s="406">
        <v>45701</v>
      </c>
      <c r="C47" s="407">
        <v>1</v>
      </c>
      <c r="D47" s="408">
        <v>5</v>
      </c>
      <c r="E47" s="409">
        <v>24333</v>
      </c>
      <c r="F47" s="246">
        <v>30656038752</v>
      </c>
      <c r="G47" s="410" t="str">
        <f>IFERROR(IF(compras_mes2[[#This Row],[CUIT]]="","-",VLOOKUP(compras_mes2[[#This Row],[CUIT]],Lista_CUIT[#All],2,0)),"CUIT NO CARGADO")</f>
        <v xml:space="preserve">ALFREDO OMAR POTENZA SRL </v>
      </c>
      <c r="H47" s="411">
        <v>314389.25</v>
      </c>
      <c r="I47" s="412">
        <f>IF(compras_mes2[[#This Row],[NETO GRAVADO]]="","",compras_mes2[[#This Row],[NETO GRAVADO]]*0.21)</f>
        <v>66021.742499999993</v>
      </c>
      <c r="J47" s="412"/>
      <c r="K47" s="412"/>
      <c r="L47" s="412"/>
      <c r="M47" s="412"/>
      <c r="N47" s="412"/>
      <c r="O47" s="412"/>
      <c r="P47" s="413">
        <f>SUM(compras_mes2[[#This Row],[NETO GRAVADO]:[Otros / No Grav.]])</f>
        <v>380410.99249999999</v>
      </c>
      <c r="Q47" s="414" t="str">
        <f>IFERROR(IF(compras_mes2[[#This Row],[CUIT]]="","-",VLOOKUP(compras_mes2[[#This Row],[CUIT]],Lista_CUIT[#All],3,0)),"CUIT NO CARGADO")</f>
        <v>INSUMO</v>
      </c>
      <c r="R47" s="414">
        <f>IFERROR(IF(compras_mes2[[#This Row],[CUIT]]="","-",VLOOKUP(compras_mes2[[#This Row],[CUIT]],Lista_CUIT[#All],4,0)),"CUIT NO CARGADO")</f>
        <v>0</v>
      </c>
      <c r="S47">
        <v>130482.28</v>
      </c>
    </row>
    <row r="48" spans="2:19" x14ac:dyDescent="0.25">
      <c r="B48" s="406">
        <v>45701</v>
      </c>
      <c r="C48" s="407">
        <v>1</v>
      </c>
      <c r="D48" s="408">
        <v>2</v>
      </c>
      <c r="E48" s="409">
        <v>1080</v>
      </c>
      <c r="F48" s="246">
        <v>20272865869</v>
      </c>
      <c r="G48" s="410" t="str">
        <f>IFERROR(IF(compras_mes2[[#This Row],[CUIT]]="","-",VLOOKUP(compras_mes2[[#This Row],[CUIT]],Lista_CUIT[#All],2,0)),"CUIT NO CARGADO")</f>
        <v>DI FEO MARTIN EZEQUIEL</v>
      </c>
      <c r="H48" s="411">
        <v>397580</v>
      </c>
      <c r="I48" s="412">
        <f>IF(compras_mes2[[#This Row],[NETO GRAVADO]]="","",compras_mes2[[#This Row],[NETO GRAVADO]]*0.21)</f>
        <v>83491.8</v>
      </c>
      <c r="J48" s="412"/>
      <c r="K48" s="412"/>
      <c r="L48" s="412"/>
      <c r="M48" s="412"/>
      <c r="N48" s="415"/>
      <c r="O48" s="412"/>
      <c r="P48" s="413">
        <f>SUM(compras_mes2[[#This Row],[NETO GRAVADO]:[Otros / No Grav.]])</f>
        <v>481071.8</v>
      </c>
      <c r="Q48" s="414" t="str">
        <f>IFERROR(IF(compras_mes2[[#This Row],[CUIT]]="","-",VLOOKUP(compras_mes2[[#This Row],[CUIT]],Lista_CUIT[#All],3,0)),"CUIT NO CARGADO")</f>
        <v>INSUMOS</v>
      </c>
      <c r="R48" s="414">
        <f>IFERROR(IF(compras_mes2[[#This Row],[CUIT]]="","-",VLOOKUP(compras_mes2[[#This Row],[CUIT]],Lista_CUIT[#All],4,0)),"CUIT NO CARGADO")</f>
        <v>0</v>
      </c>
      <c r="S48">
        <v>126445</v>
      </c>
    </row>
    <row r="49" spans="2:19" x14ac:dyDescent="0.25">
      <c r="B49" s="406">
        <v>45702</v>
      </c>
      <c r="C49" s="407">
        <v>1</v>
      </c>
      <c r="D49" s="408">
        <v>5</v>
      </c>
      <c r="E49" s="409">
        <v>2227</v>
      </c>
      <c r="F49" s="246">
        <v>30712187316</v>
      </c>
      <c r="G49" s="410" t="str">
        <f>IFERROR(IF(compras_mes2[[#This Row],[CUIT]]="","-",VLOOKUP(compras_mes2[[#This Row],[CUIT]],Lista_CUIT[#All],2,0)),"CUIT NO CARGADO")</f>
        <v>ITALOMED PRODUCTOS SRL</v>
      </c>
      <c r="H49" s="411">
        <v>400088.92</v>
      </c>
      <c r="I49" s="412">
        <f>IF(compras_mes2[[#This Row],[NETO GRAVADO]]="","",compras_mes2[[#This Row],[NETO GRAVADO]]*0.21)</f>
        <v>84018.67319999999</v>
      </c>
      <c r="J49" s="412"/>
      <c r="K49" s="412"/>
      <c r="L49" s="412"/>
      <c r="M49" s="412"/>
      <c r="N49" s="415"/>
      <c r="O49" s="412"/>
      <c r="P49" s="413">
        <f>SUM(compras_mes2[[#This Row],[NETO GRAVADO]:[Otros / No Grav.]])</f>
        <v>484107.5932</v>
      </c>
      <c r="Q49" s="414" t="str">
        <f>IFERROR(IF(compras_mes2[[#This Row],[CUIT]]="","-",VLOOKUP(compras_mes2[[#This Row],[CUIT]],Lista_CUIT[#All],3,0)),"CUIT NO CARGADO")</f>
        <v>INSUMO</v>
      </c>
      <c r="R49" s="414">
        <f>IFERROR(IF(compras_mes2[[#This Row],[CUIT]]="","-",VLOOKUP(compras_mes2[[#This Row],[CUIT]],Lista_CUIT[#All],4,0)),"CUIT NO CARGADO")</f>
        <v>0</v>
      </c>
      <c r="S49">
        <v>44000</v>
      </c>
    </row>
    <row r="50" spans="2:19" x14ac:dyDescent="0.25">
      <c r="B50" s="406">
        <v>45702</v>
      </c>
      <c r="C50" s="407">
        <v>1</v>
      </c>
      <c r="D50" s="408">
        <v>2</v>
      </c>
      <c r="E50" s="409">
        <v>1083</v>
      </c>
      <c r="F50" s="246">
        <v>20272865869</v>
      </c>
      <c r="G50" s="410" t="str">
        <f>IFERROR(IF(compras_mes2[[#This Row],[CUIT]]="","-",VLOOKUP(compras_mes2[[#This Row],[CUIT]],Lista_CUIT[#All],2,0)),"CUIT NO CARGADO")</f>
        <v>DI FEO MARTIN EZEQUIEL</v>
      </c>
      <c r="H50" s="411">
        <v>12050</v>
      </c>
      <c r="I50" s="412">
        <f>IF(compras_mes2[[#This Row],[NETO GRAVADO]]="","",compras_mes2[[#This Row],[NETO GRAVADO]]*0.21)</f>
        <v>2530.5</v>
      </c>
      <c r="J50" s="412"/>
      <c r="K50" s="412"/>
      <c r="L50" s="412"/>
      <c r="M50" s="412"/>
      <c r="N50" s="415"/>
      <c r="O50" s="412"/>
      <c r="P50" s="413">
        <f>SUM(compras_mes2[[#This Row],[NETO GRAVADO]:[Otros / No Grav.]])</f>
        <v>14580.5</v>
      </c>
      <c r="Q50" s="414" t="str">
        <f>IFERROR(IF(compras_mes2[[#This Row],[CUIT]]="","-",VLOOKUP(compras_mes2[[#This Row],[CUIT]],Lista_CUIT[#All],3,0)),"CUIT NO CARGADO")</f>
        <v>INSUMOS</v>
      </c>
      <c r="R50" s="414">
        <f>IFERROR(IF(compras_mes2[[#This Row],[CUIT]]="","-",VLOOKUP(compras_mes2[[#This Row],[CUIT]],Lista_CUIT[#All],4,0)),"CUIT NO CARGADO")</f>
        <v>0</v>
      </c>
      <c r="S50">
        <v>226834.59</v>
      </c>
    </row>
    <row r="51" spans="2:19" x14ac:dyDescent="0.25">
      <c r="B51" s="406">
        <v>45702</v>
      </c>
      <c r="C51" s="407">
        <v>1</v>
      </c>
      <c r="D51" s="408">
        <v>8</v>
      </c>
      <c r="E51" s="409">
        <v>369</v>
      </c>
      <c r="F51" s="246">
        <v>30643518364</v>
      </c>
      <c r="G51" s="410" t="str">
        <f>IFERROR(IF(compras_mes2[[#This Row],[CUIT]]="","-",VLOOKUP(compras_mes2[[#This Row],[CUIT]],Lista_CUIT[#All],2,0)),"CUIT NO CARGADO")</f>
        <v>FARMACIA DE MEDRANO SCS</v>
      </c>
      <c r="H51" s="411">
        <v>390810</v>
      </c>
      <c r="I51" s="412">
        <f>IF(compras_mes2[[#This Row],[NETO GRAVADO]]="","",compras_mes2[[#This Row],[NETO GRAVADO]]*0.21)</f>
        <v>82070.099999999991</v>
      </c>
      <c r="J51" s="412"/>
      <c r="K51" s="412"/>
      <c r="L51" s="412"/>
      <c r="M51" s="412"/>
      <c r="N51" s="415"/>
      <c r="O51" s="412"/>
      <c r="P51" s="413">
        <f>SUM(compras_mes2[[#This Row],[NETO GRAVADO]:[Otros / No Grav.]])</f>
        <v>472880.1</v>
      </c>
      <c r="Q51" s="414" t="str">
        <f>IFERROR(IF(compras_mes2[[#This Row],[CUIT]]="","-",VLOOKUP(compras_mes2[[#This Row],[CUIT]],Lista_CUIT[#All],3,0)),"CUIT NO CARGADO")</f>
        <v>INSUMO</v>
      </c>
      <c r="R51" s="414">
        <f>IFERROR(IF(compras_mes2[[#This Row],[CUIT]]="","-",VLOOKUP(compras_mes2[[#This Row],[CUIT]],Lista_CUIT[#All],4,0)),"CUIT NO CARGADO")</f>
        <v>0</v>
      </c>
      <c r="S51">
        <v>115000</v>
      </c>
    </row>
    <row r="52" spans="2:19" x14ac:dyDescent="0.25">
      <c r="B52" s="406">
        <v>45702</v>
      </c>
      <c r="C52" s="407">
        <v>1</v>
      </c>
      <c r="D52" s="408">
        <v>17</v>
      </c>
      <c r="E52" s="409">
        <v>11738</v>
      </c>
      <c r="F52" s="246">
        <v>30661143610</v>
      </c>
      <c r="G52" s="410" t="str">
        <f>IFERROR(IF(compras_mes2[[#This Row],[CUIT]]="","-",VLOOKUP(compras_mes2[[#This Row],[CUIT]],Lista_CUIT[#All],2,0)),"CUIT NO CARGADO")</f>
        <v>ORTOPEDIA BERNAT SRL</v>
      </c>
      <c r="H52" s="411">
        <v>609070</v>
      </c>
      <c r="I52" s="412">
        <f>IF(compras_mes2[[#This Row],[NETO GRAVADO]]="","",compras_mes2[[#This Row],[NETO GRAVADO]]*0.21)</f>
        <v>127904.7</v>
      </c>
      <c r="J52" s="412"/>
      <c r="K52" s="412"/>
      <c r="L52" s="412"/>
      <c r="M52" s="412"/>
      <c r="N52" s="415"/>
      <c r="O52" s="412"/>
      <c r="P52" s="413">
        <f>SUM(compras_mes2[[#This Row],[NETO GRAVADO]:[Otros / No Grav.]])</f>
        <v>736974.7</v>
      </c>
      <c r="Q52" s="414" t="str">
        <f>IFERROR(IF(compras_mes2[[#This Row],[CUIT]]="","-",VLOOKUP(compras_mes2[[#This Row],[CUIT]],Lista_CUIT[#All],3,0)),"CUIT NO CARGADO")</f>
        <v>INSUMO</v>
      </c>
      <c r="R52" s="414">
        <f>IFERROR(IF(compras_mes2[[#This Row],[CUIT]]="","-",VLOOKUP(compras_mes2[[#This Row],[CUIT]],Lista_CUIT[#All],4,0)),"CUIT NO CARGADO")</f>
        <v>0</v>
      </c>
      <c r="S52">
        <v>12700</v>
      </c>
    </row>
    <row r="53" spans="2:19" x14ac:dyDescent="0.25">
      <c r="B53" s="406">
        <v>45702</v>
      </c>
      <c r="C53" s="407">
        <v>1</v>
      </c>
      <c r="D53" s="408">
        <v>8</v>
      </c>
      <c r="E53" s="409">
        <v>1749</v>
      </c>
      <c r="F53" s="246">
        <v>30708973501</v>
      </c>
      <c r="G53" s="410" t="str">
        <f>IFERROR(IF(compras_mes2[[#This Row],[CUIT]]="","-",VLOOKUP(compras_mes2[[#This Row],[CUIT]],Lista_CUIT[#All],2,0)),"CUIT NO CARGADO")</f>
        <v>ASIAL SRL</v>
      </c>
      <c r="H53" s="411">
        <v>490420</v>
      </c>
      <c r="I53" s="412">
        <f>IF(compras_mes2[[#This Row],[NETO GRAVADO]]="","",compras_mes2[[#This Row],[NETO GRAVADO]]*0.21)</f>
        <v>102988.2</v>
      </c>
      <c r="J53" s="412"/>
      <c r="K53" s="412"/>
      <c r="L53" s="412"/>
      <c r="M53" s="412"/>
      <c r="N53" s="415"/>
      <c r="O53" s="412"/>
      <c r="P53" s="413">
        <f>SUM(compras_mes2[[#This Row],[NETO GRAVADO]:[Otros / No Grav.]])</f>
        <v>593408.19999999995</v>
      </c>
      <c r="Q53" s="414" t="str">
        <f>IFERROR(IF(compras_mes2[[#This Row],[CUIT]]="","-",VLOOKUP(compras_mes2[[#This Row],[CUIT]],Lista_CUIT[#All],3,0)),"CUIT NO CARGADO")</f>
        <v>INSUMO</v>
      </c>
      <c r="R53" s="414">
        <f>IFERROR(IF(compras_mes2[[#This Row],[CUIT]]="","-",VLOOKUP(compras_mes2[[#This Row],[CUIT]],Lista_CUIT[#All],4,0)),"CUIT NO CARGADO")</f>
        <v>0</v>
      </c>
      <c r="S53">
        <v>6346.25</v>
      </c>
    </row>
    <row r="54" spans="2:19" x14ac:dyDescent="0.25">
      <c r="B54" s="406">
        <v>45703</v>
      </c>
      <c r="C54" s="407">
        <v>1</v>
      </c>
      <c r="D54" s="408">
        <v>5015</v>
      </c>
      <c r="E54" s="409">
        <v>748565</v>
      </c>
      <c r="F54" s="246">
        <v>30574876474</v>
      </c>
      <c r="G54" s="410" t="str">
        <f>IFERROR(IF(compras_mes2[[#This Row],[CUIT]]="","-",VLOOKUP(compras_mes2[[#This Row],[CUIT]],Lista_CUIT[#All],2,0)),"CUIT NO CARGADO")</f>
        <v>AUTOP. URBANAS SA</v>
      </c>
      <c r="H54" s="411">
        <v>28143.42</v>
      </c>
      <c r="I54" s="412">
        <f>IF(compras_mes2[[#This Row],[NETO GRAVADO]]="","",compras_mes2[[#This Row],[NETO GRAVADO]]*0.21)</f>
        <v>5910.118199999999</v>
      </c>
      <c r="J54" s="412"/>
      <c r="K54" s="412"/>
      <c r="L54" s="412"/>
      <c r="M54" s="412"/>
      <c r="N54" s="412"/>
      <c r="O54" s="412"/>
      <c r="P54" s="413">
        <f>SUM(compras_mes2[[#This Row],[NETO GRAVADO]:[Otros / No Grav.]])</f>
        <v>34053.538199999995</v>
      </c>
      <c r="Q54" s="414" t="str">
        <f>IFERROR(IF(compras_mes2[[#This Row],[CUIT]]="","-",VLOOKUP(compras_mes2[[#This Row],[CUIT]],Lista_CUIT[#All],3,0)),"CUIT NO CARGADO")</f>
        <v>PEAJE</v>
      </c>
      <c r="R54" s="414">
        <f>IFERROR(IF(compras_mes2[[#This Row],[CUIT]]="","-",VLOOKUP(compras_mes2[[#This Row],[CUIT]],Lista_CUIT[#All],4,0)),"CUIT NO CARGADO")</f>
        <v>0</v>
      </c>
      <c r="S54">
        <v>4038.75</v>
      </c>
    </row>
    <row r="55" spans="2:19" x14ac:dyDescent="0.25">
      <c r="B55" s="406">
        <v>45703</v>
      </c>
      <c r="C55" s="407">
        <v>1</v>
      </c>
      <c r="D55" s="408">
        <v>5009</v>
      </c>
      <c r="E55" s="409">
        <v>1225857</v>
      </c>
      <c r="F55" s="246">
        <v>30574876474</v>
      </c>
      <c r="G55" s="410" t="str">
        <f>IFERROR(IF(compras_mes2[[#This Row],[CUIT]]="","-",VLOOKUP(compras_mes2[[#This Row],[CUIT]],Lista_CUIT[#All],2,0)),"CUIT NO CARGADO")</f>
        <v>AUTOP. URBANAS SA</v>
      </c>
      <c r="H55" s="411">
        <v>3310.25</v>
      </c>
      <c r="I55" s="412">
        <f>IF(compras_mes2[[#This Row],[NETO GRAVADO]]="","",compras_mes2[[#This Row],[NETO GRAVADO]]*0.21)</f>
        <v>695.15249999999992</v>
      </c>
      <c r="J55" s="412"/>
      <c r="K55" s="412"/>
      <c r="L55" s="412"/>
      <c r="M55" s="412"/>
      <c r="N55" s="415"/>
      <c r="O55" s="412"/>
      <c r="P55" s="413">
        <f>SUM(compras_mes2[[#This Row],[NETO GRAVADO]:[Otros / No Grav.]])</f>
        <v>4005.4025000000001</v>
      </c>
      <c r="Q55" s="414" t="str">
        <f>IFERROR(IF(compras_mes2[[#This Row],[CUIT]]="","-",VLOOKUP(compras_mes2[[#This Row],[CUIT]],Lista_CUIT[#All],3,0)),"CUIT NO CARGADO")</f>
        <v>PEAJE</v>
      </c>
      <c r="R55" s="414">
        <f>IFERROR(IF(compras_mes2[[#This Row],[CUIT]]="","-",VLOOKUP(compras_mes2[[#This Row],[CUIT]],Lista_CUIT[#All],4,0)),"CUIT NO CARGADO")</f>
        <v>0</v>
      </c>
      <c r="S55">
        <v>226834.59</v>
      </c>
    </row>
    <row r="56" spans="2:19" x14ac:dyDescent="0.25">
      <c r="B56" s="406">
        <v>45703</v>
      </c>
      <c r="C56" s="407">
        <v>1</v>
      </c>
      <c r="D56" s="408">
        <v>113</v>
      </c>
      <c r="E56" s="409">
        <v>4072169</v>
      </c>
      <c r="F56" s="246">
        <v>30577207190</v>
      </c>
      <c r="G56" s="410" t="str">
        <f>IFERROR(IF(compras_mes2[[#This Row],[CUIT]]="","-",VLOOKUP(compras_mes2[[#This Row],[CUIT]],Lista_CUIT[#All],2,0)),"CUIT NO CARGADO")</f>
        <v>COORDINACION ECOLOGICA AREA METROPOLITANA SOCIEDAD DEL ESTADO</v>
      </c>
      <c r="H56" s="411">
        <v>1239.67</v>
      </c>
      <c r="I56" s="412">
        <f>IF(compras_mes2[[#This Row],[NETO GRAVADO]]="","",compras_mes2[[#This Row],[NETO GRAVADO]]*0.21)</f>
        <v>260.33069999999998</v>
      </c>
      <c r="J56" s="412"/>
      <c r="K56" s="412"/>
      <c r="L56" s="412"/>
      <c r="M56" s="412"/>
      <c r="N56" s="412"/>
      <c r="O56" s="412"/>
      <c r="P56" s="413">
        <f>SUM(compras_mes2[[#This Row],[NETO GRAVADO]:[Otros / No Grav.]])</f>
        <v>1500.0007000000001</v>
      </c>
      <c r="Q56" s="414" t="str">
        <f>IFERROR(IF(compras_mes2[[#This Row],[CUIT]]="","-",VLOOKUP(compras_mes2[[#This Row],[CUIT]],Lista_CUIT[#All],3,0)),"CUIT NO CARGADO")</f>
        <v>gastos varios</v>
      </c>
      <c r="R56" s="414">
        <f>IFERROR(IF(compras_mes2[[#This Row],[CUIT]]="","-",VLOOKUP(compras_mes2[[#This Row],[CUIT]],Lista_CUIT[#All],4,0)),"CUIT NO CARGADO")</f>
        <v>0</v>
      </c>
      <c r="S56">
        <v>999000.01</v>
      </c>
    </row>
    <row r="57" spans="2:19" x14ac:dyDescent="0.25">
      <c r="B57" s="406">
        <v>45704</v>
      </c>
      <c r="C57" s="407">
        <v>1</v>
      </c>
      <c r="D57" s="408">
        <v>629</v>
      </c>
      <c r="E57" s="409">
        <v>5861197</v>
      </c>
      <c r="F57" s="246">
        <v>30663498513</v>
      </c>
      <c r="G57" s="410" t="str">
        <f>IFERROR(IF(compras_mes2[[#This Row],[CUIT]]="","-",VLOOKUP(compras_mes2[[#This Row],[CUIT]],Lista_CUIT[#All],2,0)),"CUIT NO CARGADO")</f>
        <v>GRUPO CONCES. DEL OESTE SA</v>
      </c>
      <c r="H57" s="411">
        <v>4275.46</v>
      </c>
      <c r="I57" s="412">
        <f>IF(compras_mes2[[#This Row],[NETO GRAVADO]]="","",compras_mes2[[#This Row],[NETO GRAVADO]]*0.21)</f>
        <v>897.84659999999997</v>
      </c>
      <c r="J57" s="412"/>
      <c r="K57" s="412"/>
      <c r="L57" s="412"/>
      <c r="M57" s="412"/>
      <c r="N57" s="415"/>
      <c r="O57" s="412"/>
      <c r="P57" s="413">
        <f>SUM(compras_mes2[[#This Row],[NETO GRAVADO]:[Otros / No Grav.]])</f>
        <v>5173.3065999999999</v>
      </c>
      <c r="Q57" s="414" t="str">
        <f>IFERROR(IF(compras_mes2[[#This Row],[CUIT]]="","-",VLOOKUP(compras_mes2[[#This Row],[CUIT]],Lista_CUIT[#All],3,0)),"CUIT NO CARGADO")</f>
        <v>Autopista</v>
      </c>
      <c r="R57" s="414">
        <f>IFERROR(IF(compras_mes2[[#This Row],[CUIT]]="","-",VLOOKUP(compras_mes2[[#This Row],[CUIT]],Lista_CUIT[#All],4,0)),"CUIT NO CARGADO")</f>
        <v>0</v>
      </c>
      <c r="S57">
        <v>4038.75</v>
      </c>
    </row>
    <row r="58" spans="2:19" x14ac:dyDescent="0.25">
      <c r="B58" s="406">
        <v>45704</v>
      </c>
      <c r="C58" s="407">
        <v>1</v>
      </c>
      <c r="D58" s="408">
        <v>711</v>
      </c>
      <c r="E58" s="409">
        <v>6750565</v>
      </c>
      <c r="F58" s="246">
        <v>30677237119</v>
      </c>
      <c r="G58" s="410" t="str">
        <f>IFERROR(IF(compras_mes2[[#This Row],[CUIT]]="","-",VLOOKUP(compras_mes2[[#This Row],[CUIT]],Lista_CUIT[#All],2,0)),"CUIT NO CARGADO")</f>
        <v>AUTOPISTAS DEL SOL SA</v>
      </c>
      <c r="H58" s="411">
        <v>9244.25</v>
      </c>
      <c r="I58" s="412">
        <f>IF(compras_mes2[[#This Row],[NETO GRAVADO]]="","",compras_mes2[[#This Row],[NETO GRAVADO]]*0.21)</f>
        <v>1941.2925</v>
      </c>
      <c r="J58" s="412"/>
      <c r="K58" s="412"/>
      <c r="L58" s="412"/>
      <c r="M58" s="412"/>
      <c r="N58" s="415"/>
      <c r="O58" s="412">
        <v>277.33</v>
      </c>
      <c r="P58" s="413">
        <f>SUM(compras_mes2[[#This Row],[NETO GRAVADO]:[Otros / No Grav.]])</f>
        <v>11462.872499999999</v>
      </c>
      <c r="Q58" s="414" t="str">
        <f>IFERROR(IF(compras_mes2[[#This Row],[CUIT]]="","-",VLOOKUP(compras_mes2[[#This Row],[CUIT]],Lista_CUIT[#All],3,0)),"CUIT NO CARGADO")</f>
        <v>Autopista</v>
      </c>
      <c r="R58" s="414">
        <f>IFERROR(IF(compras_mes2[[#This Row],[CUIT]]="","-",VLOOKUP(compras_mes2[[#This Row],[CUIT]],Lista_CUIT[#All],4,0)),"CUIT NO CARGADO")</f>
        <v>0</v>
      </c>
      <c r="S58">
        <v>55478.5</v>
      </c>
    </row>
    <row r="59" spans="2:19" x14ac:dyDescent="0.25">
      <c r="B59" s="406">
        <v>45705</v>
      </c>
      <c r="C59" s="407">
        <v>1</v>
      </c>
      <c r="D59" s="408">
        <v>4264</v>
      </c>
      <c r="E59" s="409">
        <v>5062414</v>
      </c>
      <c r="F59" s="246">
        <v>30639453738</v>
      </c>
      <c r="G59" s="410" t="str">
        <f>IFERROR(IF(compras_mes2[[#This Row],[CUIT]]="","-",VLOOKUP(compras_mes2[[#This Row],[CUIT]],Lista_CUIT[#All],2,0)),"CUIT NO CARGADO")</f>
        <v>TELECOM ARGENTINA SA</v>
      </c>
      <c r="H59" s="411">
        <v>41922.94</v>
      </c>
      <c r="I59" s="412">
        <f>IF(compras_mes2[[#This Row],[NETO GRAVADO]]="","",compras_mes2[[#This Row],[NETO GRAVADO]]*0.21)</f>
        <v>8803.8173999999999</v>
      </c>
      <c r="J59" s="412"/>
      <c r="K59" s="412"/>
      <c r="L59" s="412"/>
      <c r="M59" s="412"/>
      <c r="N59" s="415"/>
      <c r="O59" s="412"/>
      <c r="P59" s="413">
        <f>SUM(compras_mes2[[#This Row],[NETO GRAVADO]:[Otros / No Grav.]])</f>
        <v>50726.757400000002</v>
      </c>
      <c r="Q59" s="414" t="str">
        <f>IFERROR(IF(compras_mes2[[#This Row],[CUIT]]="","-",VLOOKUP(compras_mes2[[#This Row],[CUIT]],Lista_CUIT[#All],3,0)),"CUIT NO CARGADO")</f>
        <v>SERVICIO</v>
      </c>
      <c r="R59" s="414">
        <f>IFERROR(IF(compras_mes2[[#This Row],[CUIT]]="","-",VLOOKUP(compras_mes2[[#This Row],[CUIT]],Lista_CUIT[#All],4,0)),"CUIT NO CARGADO")</f>
        <v>0</v>
      </c>
      <c r="S59">
        <v>73447</v>
      </c>
    </row>
    <row r="60" spans="2:19" x14ac:dyDescent="0.25">
      <c r="B60" s="406">
        <v>45705</v>
      </c>
      <c r="C60" s="407">
        <v>1</v>
      </c>
      <c r="D60" s="408">
        <v>3</v>
      </c>
      <c r="E60" s="409">
        <v>28</v>
      </c>
      <c r="F60" s="246">
        <v>20216164262</v>
      </c>
      <c r="G60" s="410" t="str">
        <f>IFERROR(IF(compras_mes2[[#This Row],[CUIT]]="","-",VLOOKUP(compras_mes2[[#This Row],[CUIT]],Lista_CUIT[#All],2,0)),"CUIT NO CARGADO")</f>
        <v>VELEZ ALEJANDRO MARCELO</v>
      </c>
      <c r="H60" s="411">
        <v>2292990.9</v>
      </c>
      <c r="I60" s="412">
        <f>IF(compras_mes2[[#This Row],[NETO GRAVADO]]="","",compras_mes2[[#This Row],[NETO GRAVADO]]*0.21)</f>
        <v>481528.08899999998</v>
      </c>
      <c r="J60" s="412"/>
      <c r="K60" s="412"/>
      <c r="L60" s="412"/>
      <c r="M60" s="412"/>
      <c r="N60" s="415"/>
      <c r="O60" s="412"/>
      <c r="P60" s="413">
        <f>SUM(compras_mes2[[#This Row],[NETO GRAVADO]:[Otros / No Grav.]])</f>
        <v>2774518.9890000001</v>
      </c>
      <c r="Q60" s="414" t="str">
        <f>IFERROR(IF(compras_mes2[[#This Row],[CUIT]]="","-",VLOOKUP(compras_mes2[[#This Row],[CUIT]],Lista_CUIT[#All],3,0)),"CUIT NO CARGADO")</f>
        <v>Insumos</v>
      </c>
      <c r="R60" s="414">
        <f>IFERROR(IF(compras_mes2[[#This Row],[CUIT]]="","-",VLOOKUP(compras_mes2[[#This Row],[CUIT]],Lista_CUIT[#All],4,0)),"CUIT NO CARGADO")</f>
        <v>0</v>
      </c>
      <c r="S60">
        <v>11000.73</v>
      </c>
    </row>
    <row r="61" spans="2:19" x14ac:dyDescent="0.25">
      <c r="B61" s="406">
        <v>45706</v>
      </c>
      <c r="C61" s="407">
        <v>1</v>
      </c>
      <c r="D61" s="408">
        <v>9</v>
      </c>
      <c r="E61" s="409">
        <v>6409</v>
      </c>
      <c r="F61" s="246">
        <v>30693449525</v>
      </c>
      <c r="G61" s="410" t="str">
        <f>IFERROR(IF(compras_mes2[[#This Row],[CUIT]]="","-",VLOOKUP(compras_mes2[[#This Row],[CUIT]],Lista_CUIT[#All],2,0)),"CUIT NO CARGADO")</f>
        <v>PHONEMARK SRL</v>
      </c>
      <c r="H61" s="411">
        <v>74561.98</v>
      </c>
      <c r="I61" s="412">
        <f>IF(compras_mes2[[#This Row],[NETO GRAVADO]]="","",compras_mes2[[#This Row],[NETO GRAVADO]]*0.21)</f>
        <v>15658.015799999999</v>
      </c>
      <c r="J61" s="412"/>
      <c r="K61" s="412"/>
      <c r="L61" s="412"/>
      <c r="M61" s="412"/>
      <c r="N61" s="412"/>
      <c r="O61" s="412"/>
      <c r="P61" s="413">
        <f>SUM(compras_mes2[[#This Row],[NETO GRAVADO]:[Otros / No Grav.]])</f>
        <v>90219.99579999999</v>
      </c>
      <c r="Q61" s="414" t="str">
        <f>IFERROR(IF(compras_mes2[[#This Row],[CUIT]]="","-",VLOOKUP(compras_mes2[[#This Row],[CUIT]],Lista_CUIT[#All],3,0)),"CUIT NO CARGADO")</f>
        <v>Gastos Varios</v>
      </c>
      <c r="R61" s="414">
        <f>IFERROR(IF(compras_mes2[[#This Row],[CUIT]]="","-",VLOOKUP(compras_mes2[[#This Row],[CUIT]],Lista_CUIT[#All],4,0)),"CUIT NO CARGADO")</f>
        <v>0</v>
      </c>
      <c r="S61">
        <v>929.75</v>
      </c>
    </row>
    <row r="62" spans="2:19" x14ac:dyDescent="0.25">
      <c r="B62" s="575">
        <v>45706</v>
      </c>
      <c r="C62" s="576">
        <v>1</v>
      </c>
      <c r="D62" s="577">
        <v>4</v>
      </c>
      <c r="E62" s="578">
        <v>522</v>
      </c>
      <c r="F62" s="579">
        <v>20379223185</v>
      </c>
      <c r="G62" s="580" t="str">
        <f>IFERROR(IF(compras_mes2[[#This Row],[CUIT]]="","-",VLOOKUP(compras_mes2[[#This Row],[CUIT]],Lista_CUIT[#All],2,0)),"CUIT NO CARGADO")</f>
        <v>AYALA MAURICIO JUAN JOSE</v>
      </c>
      <c r="H62" s="581">
        <v>194285</v>
      </c>
      <c r="I62" s="582">
        <f>IF(compras_mes2[[#This Row],[NETO GRAVADO]]="","",compras_mes2[[#This Row],[NETO GRAVADO]]*0.21)</f>
        <v>40799.85</v>
      </c>
      <c r="J62" s="582"/>
      <c r="K62" s="582"/>
      <c r="L62" s="582"/>
      <c r="M62" s="582"/>
      <c r="N62" s="583"/>
      <c r="O62" s="582"/>
      <c r="P62" s="584">
        <f>SUM(compras_mes2[[#This Row],[NETO GRAVADO]:[Otros / No Grav.]])</f>
        <v>235084.85</v>
      </c>
      <c r="Q62" s="585" t="s">
        <v>2515</v>
      </c>
      <c r="R62" s="585">
        <f>IFERROR(IF(compras_mes2[[#This Row],[CUIT]]="","-",VLOOKUP(compras_mes2[[#This Row],[CUIT]],Lista_CUIT[#All],4,0)),"CUIT NO CARGADO")</f>
        <v>0</v>
      </c>
      <c r="S62">
        <v>5003766.24</v>
      </c>
    </row>
    <row r="63" spans="2:19" x14ac:dyDescent="0.25">
      <c r="B63" s="406">
        <v>45707</v>
      </c>
      <c r="C63" s="407">
        <v>1</v>
      </c>
      <c r="D63" s="408">
        <v>6</v>
      </c>
      <c r="E63" s="409">
        <v>1338</v>
      </c>
      <c r="F63" s="246">
        <v>20247225243</v>
      </c>
      <c r="G63" s="410" t="str">
        <f>IFERROR(IF(compras_mes2[[#This Row],[CUIT]]="","-",VLOOKUP(compras_mes2[[#This Row],[CUIT]],Lista_CUIT[#All],2,0)),"CUIT NO CARGADO")</f>
        <v>VENTO HUGO GABRIEL</v>
      </c>
      <c r="H63" s="411">
        <v>82947</v>
      </c>
      <c r="I63" s="412">
        <f>IF(compras_mes2[[#This Row],[NETO GRAVADO]]="","",compras_mes2[[#This Row],[NETO GRAVADO]]*0.21)</f>
        <v>17418.87</v>
      </c>
      <c r="J63" s="412"/>
      <c r="K63" s="412"/>
      <c r="L63" s="412"/>
      <c r="M63" s="412"/>
      <c r="N63" s="415"/>
      <c r="O63" s="412"/>
      <c r="P63" s="413">
        <f>SUM(compras_mes2[[#This Row],[NETO GRAVADO]:[Otros / No Grav.]])</f>
        <v>100365.87</v>
      </c>
      <c r="Q63" s="414" t="str">
        <f>IFERROR(IF(compras_mes2[[#This Row],[CUIT]]="","-",VLOOKUP(compras_mes2[[#This Row],[CUIT]],Lista_CUIT[#All],3,0)),"CUIT NO CARGADO")</f>
        <v>INSUMO</v>
      </c>
      <c r="R63" s="414">
        <f>IFERROR(IF(compras_mes2[[#This Row],[CUIT]]="","-",VLOOKUP(compras_mes2[[#This Row],[CUIT]],Lista_CUIT[#All],4,0)),"CUIT NO CARGADO")</f>
        <v>0</v>
      </c>
      <c r="S63">
        <v>7780.28</v>
      </c>
    </row>
    <row r="64" spans="2:19" x14ac:dyDescent="0.25">
      <c r="B64" s="406">
        <v>45707</v>
      </c>
      <c r="C64" s="407">
        <v>1</v>
      </c>
      <c r="D64" s="408">
        <v>2</v>
      </c>
      <c r="E64" s="409">
        <v>11517</v>
      </c>
      <c r="F64" s="246">
        <v>30714331082</v>
      </c>
      <c r="G64" s="410" t="str">
        <f>IFERROR(IF(compras_mes2[[#This Row],[CUIT]]="","-",VLOOKUP(compras_mes2[[#This Row],[CUIT]],Lista_CUIT[#All],2,0)),"CUIT NO CARGADO")</f>
        <v>ORTOPEDIA CASA ESCALADA SRL</v>
      </c>
      <c r="H64" s="411">
        <v>1480976.58</v>
      </c>
      <c r="I64" s="412">
        <f>IF(compras_mes2[[#This Row],[NETO GRAVADO]]="","",compras_mes2[[#This Row],[NETO GRAVADO]]*0.21)</f>
        <v>311005.08179999999</v>
      </c>
      <c r="J64" s="412"/>
      <c r="K64" s="412"/>
      <c r="L64" s="412"/>
      <c r="M64" s="412"/>
      <c r="N64" s="412"/>
      <c r="O64" s="412"/>
      <c r="P64" s="413">
        <f>SUM(compras_mes2[[#This Row],[NETO GRAVADO]:[Otros / No Grav.]])</f>
        <v>1791981.6618000001</v>
      </c>
      <c r="Q64" s="414" t="str">
        <f>IFERROR(IF(compras_mes2[[#This Row],[CUIT]]="","-",VLOOKUP(compras_mes2[[#This Row],[CUIT]],Lista_CUIT[#All],3,0)),"CUIT NO CARGADO")</f>
        <v>INSUMO</v>
      </c>
      <c r="R64" s="414">
        <f>IFERROR(IF(compras_mes2[[#This Row],[CUIT]]="","-",VLOOKUP(compras_mes2[[#This Row],[CUIT]],Lista_CUIT[#All],4,0)),"CUIT NO CARGADO")</f>
        <v>0</v>
      </c>
      <c r="S64">
        <v>39600</v>
      </c>
    </row>
    <row r="65" spans="2:19" x14ac:dyDescent="0.25">
      <c r="B65" s="406">
        <v>45707</v>
      </c>
      <c r="C65" s="407">
        <v>1</v>
      </c>
      <c r="D65" s="408">
        <v>3</v>
      </c>
      <c r="E65" s="409">
        <v>8524</v>
      </c>
      <c r="F65" s="246">
        <v>33708218699</v>
      </c>
      <c r="G65" s="410" t="str">
        <f>IFERROR(IF(compras_mes2[[#This Row],[CUIT]]="","-",VLOOKUP(compras_mes2[[#This Row],[CUIT]],Lista_CUIT[#All],2,0)),"CUIT NO CARGADO")</f>
        <v>MANGGINI PABLO Y MANGGINI ULISES SOC. DE HECHO.</v>
      </c>
      <c r="H65" s="411">
        <v>24000</v>
      </c>
      <c r="I65" s="412">
        <f>IF(compras_mes2[[#This Row],[NETO GRAVADO]]="","",compras_mes2[[#This Row],[NETO GRAVADO]]*0.21)</f>
        <v>5040</v>
      </c>
      <c r="J65" s="412"/>
      <c r="K65" s="412"/>
      <c r="L65" s="412"/>
      <c r="M65" s="412"/>
      <c r="N65" s="415"/>
      <c r="O65" s="412"/>
      <c r="P65" s="413">
        <f>SUM(compras_mes2[[#This Row],[NETO GRAVADO]:[Otros / No Grav.]])</f>
        <v>29040</v>
      </c>
      <c r="Q65" s="414" t="str">
        <f>IFERROR(IF(compras_mes2[[#This Row],[CUIT]]="","-",VLOOKUP(compras_mes2[[#This Row],[CUIT]],Lista_CUIT[#All],3,0)),"CUIT NO CARGADO")</f>
        <v>SERVICIO</v>
      </c>
      <c r="R65" s="414">
        <f>IFERROR(IF(compras_mes2[[#This Row],[CUIT]]="","-",VLOOKUP(compras_mes2[[#This Row],[CUIT]],Lista_CUIT[#All],4,0)),"CUIT NO CARGADO")</f>
        <v>0</v>
      </c>
      <c r="S65">
        <v>1892885.55</v>
      </c>
    </row>
    <row r="66" spans="2:19" x14ac:dyDescent="0.25">
      <c r="B66" s="406">
        <v>45708</v>
      </c>
      <c r="C66" s="407">
        <v>1</v>
      </c>
      <c r="D66" s="408">
        <v>2</v>
      </c>
      <c r="E66" s="409">
        <v>1100</v>
      </c>
      <c r="F66" s="246">
        <v>20272865869</v>
      </c>
      <c r="G66" s="410" t="str">
        <f>IFERROR(IF(compras_mes2[[#This Row],[CUIT]]="","-",VLOOKUP(compras_mes2[[#This Row],[CUIT]],Lista_CUIT[#All],2,0)),"CUIT NO CARGADO")</f>
        <v>DI FEO MARTIN EZEQUIEL</v>
      </c>
      <c r="H66" s="411">
        <v>147019.5</v>
      </c>
      <c r="I66" s="412">
        <f>IF(compras_mes2[[#This Row],[NETO GRAVADO]]="","",compras_mes2[[#This Row],[NETO GRAVADO]]*0.21)</f>
        <v>30874.094999999998</v>
      </c>
      <c r="J66" s="412"/>
      <c r="K66" s="412"/>
      <c r="L66" s="412"/>
      <c r="M66" s="412"/>
      <c r="N66" s="415"/>
      <c r="O66" s="412"/>
      <c r="P66" s="413">
        <f>SUM(compras_mes2[[#This Row],[NETO GRAVADO]:[Otros / No Grav.]])</f>
        <v>177893.595</v>
      </c>
      <c r="Q66" s="414" t="str">
        <f>IFERROR(IF(compras_mes2[[#This Row],[CUIT]]="","-",VLOOKUP(compras_mes2[[#This Row],[CUIT]],Lista_CUIT[#All],3,0)),"CUIT NO CARGADO")</f>
        <v>INSUMOS</v>
      </c>
      <c r="R66" s="414">
        <f>IFERROR(IF(compras_mes2[[#This Row],[CUIT]]="","-",VLOOKUP(compras_mes2[[#This Row],[CUIT]],Lista_CUIT[#All],4,0)),"CUIT NO CARGADO")</f>
        <v>0</v>
      </c>
      <c r="S66">
        <v>27000</v>
      </c>
    </row>
    <row r="67" spans="2:19" x14ac:dyDescent="0.25">
      <c r="B67" s="406">
        <v>45708</v>
      </c>
      <c r="C67" s="407">
        <v>1</v>
      </c>
      <c r="D67" s="408">
        <v>5</v>
      </c>
      <c r="E67" s="409">
        <v>39</v>
      </c>
      <c r="F67" s="246">
        <v>20929183143</v>
      </c>
      <c r="G67" s="410" t="str">
        <f>IFERROR(IF(compras_mes2[[#This Row],[CUIT]]="","-",VLOOKUP(compras_mes2[[#This Row],[CUIT]],Lista_CUIT[#All],2,0)),"CUIT NO CARGADO")</f>
        <v>MA JUN</v>
      </c>
      <c r="H67" s="411">
        <v>70000</v>
      </c>
      <c r="I67" s="412">
        <f>IF(compras_mes2[[#This Row],[NETO GRAVADO]]="","",compras_mes2[[#This Row],[NETO GRAVADO]]*0.21)</f>
        <v>14700</v>
      </c>
      <c r="J67" s="412"/>
      <c r="K67" s="412"/>
      <c r="L67" s="412"/>
      <c r="M67" s="412"/>
      <c r="N67" s="415"/>
      <c r="O67" s="412"/>
      <c r="P67" s="413">
        <f>SUM(compras_mes2[[#This Row],[NETO GRAVADO]:[Otros / No Grav.]])</f>
        <v>84700</v>
      </c>
      <c r="Q67" s="414" t="str">
        <f>IFERROR(IF(compras_mes2[[#This Row],[CUIT]]="","-",VLOOKUP(compras_mes2[[#This Row],[CUIT]],Lista_CUIT[#All],3,0)),"CUIT NO CARGADO")</f>
        <v>Gastos Varios</v>
      </c>
      <c r="R67" s="414">
        <f>IFERROR(IF(compras_mes2[[#This Row],[CUIT]]="","-",VLOOKUP(compras_mes2[[#This Row],[CUIT]],Lista_CUIT[#All],4,0)),"CUIT NO CARGADO")</f>
        <v>0</v>
      </c>
      <c r="S67">
        <v>115198.82</v>
      </c>
    </row>
    <row r="68" spans="2:19" x14ac:dyDescent="0.25">
      <c r="B68" s="406">
        <v>45708</v>
      </c>
      <c r="C68" s="407">
        <v>1</v>
      </c>
      <c r="D68" s="408">
        <v>700</v>
      </c>
      <c r="E68" s="409">
        <v>2278248</v>
      </c>
      <c r="F68" s="246">
        <v>30715804812</v>
      </c>
      <c r="G68" s="410" t="str">
        <f>IFERROR(IF(compras_mes2[[#This Row],[CUIT]]="","-",VLOOKUP(compras_mes2[[#This Row],[CUIT]],Lista_CUIT[#All],2,0)),"CUIT NO CARGADO")</f>
        <v>CORREDORES VIALES SOCIEDAD ANONIMA</v>
      </c>
      <c r="H68" s="411">
        <v>9775.84</v>
      </c>
      <c r="I68" s="412">
        <f>IF(compras_mes2[[#This Row],[NETO GRAVADO]]="","",compras_mes2[[#This Row],[NETO GRAVADO]]*0.21)</f>
        <v>2052.9263999999998</v>
      </c>
      <c r="J68" s="412"/>
      <c r="K68" s="412"/>
      <c r="L68" s="412"/>
      <c r="M68" s="412"/>
      <c r="N68" s="415"/>
      <c r="O68" s="412"/>
      <c r="P68" s="413">
        <f>SUM(compras_mes2[[#This Row],[NETO GRAVADO]:[Otros / No Grav.]])</f>
        <v>11828.7664</v>
      </c>
      <c r="Q68" s="414" t="str">
        <f>IFERROR(IF(compras_mes2[[#This Row],[CUIT]]="","-",VLOOKUP(compras_mes2[[#This Row],[CUIT]],Lista_CUIT[#All],3,0)),"CUIT NO CARGADO")</f>
        <v>Autopista</v>
      </c>
      <c r="R68" s="414">
        <f>IFERROR(IF(compras_mes2[[#This Row],[CUIT]]="","-",VLOOKUP(compras_mes2[[#This Row],[CUIT]],Lista_CUIT[#All],4,0)),"CUIT NO CARGADO")</f>
        <v>0</v>
      </c>
      <c r="S68">
        <v>1015795</v>
      </c>
    </row>
    <row r="69" spans="2:19" x14ac:dyDescent="0.25">
      <c r="B69" s="406">
        <v>45708</v>
      </c>
      <c r="C69" s="407">
        <v>1</v>
      </c>
      <c r="D69" s="408">
        <v>700</v>
      </c>
      <c r="E69" s="409">
        <v>2278249</v>
      </c>
      <c r="F69" s="246">
        <v>30715804812</v>
      </c>
      <c r="G69" s="410" t="str">
        <f>IFERROR(IF(compras_mes2[[#This Row],[CUIT]]="","-",VLOOKUP(compras_mes2[[#This Row],[CUIT]],Lista_CUIT[#All],2,0)),"CUIT NO CARGADO")</f>
        <v>CORREDORES VIALES SOCIEDAD ANONIMA</v>
      </c>
      <c r="H69" s="411">
        <v>2495.9499999999998</v>
      </c>
      <c r="I69" s="412">
        <f>IF(compras_mes2[[#This Row],[NETO GRAVADO]]="","",compras_mes2[[#This Row],[NETO GRAVADO]]*0.21)</f>
        <v>524.14949999999999</v>
      </c>
      <c r="J69" s="412"/>
      <c r="K69" s="412"/>
      <c r="L69" s="412"/>
      <c r="M69" s="412"/>
      <c r="N69" s="412"/>
      <c r="O69" s="412"/>
      <c r="P69" s="413">
        <f>SUM(compras_mes2[[#This Row],[NETO GRAVADO]:[Otros / No Grav.]])</f>
        <v>3020.0994999999998</v>
      </c>
      <c r="Q69" s="414" t="str">
        <f>IFERROR(IF(compras_mes2[[#This Row],[CUIT]]="","-",VLOOKUP(compras_mes2[[#This Row],[CUIT]],Lista_CUIT[#All],3,0)),"CUIT NO CARGADO")</f>
        <v>Autopista</v>
      </c>
      <c r="R69" s="414">
        <f>IFERROR(IF(compras_mes2[[#This Row],[CUIT]]="","-",VLOOKUP(compras_mes2[[#This Row],[CUIT]],Lista_CUIT[#All],4,0)),"CUIT NO CARGADO")</f>
        <v>0</v>
      </c>
      <c r="S69">
        <v>1084.71</v>
      </c>
    </row>
    <row r="70" spans="2:19" x14ac:dyDescent="0.25">
      <c r="B70" s="406">
        <v>45709</v>
      </c>
      <c r="C70" s="407">
        <v>1</v>
      </c>
      <c r="D70" s="408">
        <v>6</v>
      </c>
      <c r="E70" s="409">
        <v>56322</v>
      </c>
      <c r="F70" s="246">
        <v>30710177658</v>
      </c>
      <c r="G70" s="410" t="str">
        <f>IFERROR(IF(compras_mes2[[#This Row],[CUIT]]="","-",VLOOKUP(compras_mes2[[#This Row],[CUIT]],Lista_CUIT[#All],2,0)),"CUIT NO CARGADO")</f>
        <v>TARGET MEDICAL SA</v>
      </c>
      <c r="H70" s="411">
        <v>145850</v>
      </c>
      <c r="I70" s="412">
        <f>IF(compras_mes2[[#This Row],[NETO GRAVADO]]="","",compras_mes2[[#This Row],[NETO GRAVADO]]*0.21)</f>
        <v>30628.5</v>
      </c>
      <c r="J70" s="412"/>
      <c r="K70" s="412"/>
      <c r="L70" s="412"/>
      <c r="M70" s="412"/>
      <c r="N70" s="412"/>
      <c r="O70" s="412"/>
      <c r="P70" s="413">
        <f>SUM(compras_mes2[[#This Row],[NETO GRAVADO]:[Otros / No Grav.]])</f>
        <v>176478.5</v>
      </c>
      <c r="Q70" s="414" t="str">
        <f>IFERROR(IF(compras_mes2[[#This Row],[CUIT]]="","-",VLOOKUP(compras_mes2[[#This Row],[CUIT]],Lista_CUIT[#All],3,0)),"CUIT NO CARGADO")</f>
        <v>INSUMO</v>
      </c>
      <c r="R70" s="414">
        <f>IFERROR(IF(compras_mes2[[#This Row],[CUIT]]="","-",VLOOKUP(compras_mes2[[#This Row],[CUIT]],Lista_CUIT[#All],4,0)),"CUIT NO CARGADO")</f>
        <v>0</v>
      </c>
      <c r="S70">
        <v>40310.46</v>
      </c>
    </row>
    <row r="71" spans="2:19" x14ac:dyDescent="0.25">
      <c r="B71" s="406">
        <v>45709</v>
      </c>
      <c r="C71" s="407">
        <v>1</v>
      </c>
      <c r="D71" s="408">
        <v>5</v>
      </c>
      <c r="E71" s="409">
        <v>3237037</v>
      </c>
      <c r="F71" s="246">
        <v>30702652975</v>
      </c>
      <c r="G71" s="410" t="str">
        <f>IFERROR(IF(compras_mes2[[#This Row],[CUIT]]="","-",VLOOKUP(compras_mes2[[#This Row],[CUIT]],Lista_CUIT[#All],2,0)),"CUIT NO CARGADO")</f>
        <v>NSS SA</v>
      </c>
      <c r="H71" s="411">
        <v>28528.6</v>
      </c>
      <c r="I71" s="412">
        <f>IF(compras_mes2[[#This Row],[NETO GRAVADO]]="","",compras_mes2[[#This Row],[NETO GRAVADO]]*0.21)</f>
        <v>5991.0059999999994</v>
      </c>
      <c r="J71" s="412"/>
      <c r="K71" s="412"/>
      <c r="L71" s="412"/>
      <c r="M71" s="412"/>
      <c r="N71" s="412"/>
      <c r="O71" s="412"/>
      <c r="P71" s="413">
        <f>SUM(compras_mes2[[#This Row],[NETO GRAVADO]:[Otros / No Grav.]])</f>
        <v>34519.606</v>
      </c>
      <c r="Q71" s="414" t="str">
        <f>IFERROR(IF(compras_mes2[[#This Row],[CUIT]]="","-",VLOOKUP(compras_mes2[[#This Row],[CUIT]],Lista_CUIT[#All],3,0)),"CUIT NO CARGADO")</f>
        <v>SERVICIOS</v>
      </c>
      <c r="R71" s="414">
        <f>IFERROR(IF(compras_mes2[[#This Row],[CUIT]]="","-",VLOOKUP(compras_mes2[[#This Row],[CUIT]],Lista_CUIT[#All],4,0)),"CUIT NO CARGADO")</f>
        <v>0</v>
      </c>
      <c r="S71">
        <v>16214.09</v>
      </c>
    </row>
    <row r="72" spans="2:19" x14ac:dyDescent="0.25">
      <c r="B72" s="406">
        <v>45709</v>
      </c>
      <c r="C72" s="407">
        <v>1</v>
      </c>
      <c r="D72" s="408">
        <v>2</v>
      </c>
      <c r="E72" s="409">
        <v>56296</v>
      </c>
      <c r="F72" s="246">
        <v>30707986189</v>
      </c>
      <c r="G72" s="410" t="str">
        <f>IFERROR(IF(compras_mes2[[#This Row],[CUIT]]="","-",VLOOKUP(compras_mes2[[#This Row],[CUIT]],Lista_CUIT[#All],2,0)),"CUIT NO CARGADO")</f>
        <v>CIERRER, ABROJO &amp; HERRAJES SRL</v>
      </c>
      <c r="H72" s="411">
        <v>294011.7</v>
      </c>
      <c r="I72" s="412">
        <f>IF(compras_mes2[[#This Row],[NETO GRAVADO]]="","",compras_mes2[[#This Row],[NETO GRAVADO]]*0.21)</f>
        <v>61742.457000000002</v>
      </c>
      <c r="J72" s="412"/>
      <c r="K72" s="412"/>
      <c r="L72" s="412"/>
      <c r="M72" s="412"/>
      <c r="N72" s="415"/>
      <c r="O72" s="412"/>
      <c r="P72" s="413">
        <f>SUM(compras_mes2[[#This Row],[NETO GRAVADO]:[Otros / No Grav.]])</f>
        <v>355754.15700000001</v>
      </c>
      <c r="Q72" s="414" t="str">
        <f>IFERROR(IF(compras_mes2[[#This Row],[CUIT]]="","-",VLOOKUP(compras_mes2[[#This Row],[CUIT]],Lista_CUIT[#All],3,0)),"CUIT NO CARGADO")</f>
        <v>INSUMO</v>
      </c>
      <c r="R72" s="414">
        <f>IFERROR(IF(compras_mes2[[#This Row],[CUIT]]="","-",VLOOKUP(compras_mes2[[#This Row],[CUIT]],Lista_CUIT[#All],4,0)),"CUIT NO CARGADO")</f>
        <v>0</v>
      </c>
      <c r="S72">
        <v>840429.7</v>
      </c>
    </row>
    <row r="73" spans="2:19" x14ac:dyDescent="0.25">
      <c r="B73" s="406">
        <v>45709</v>
      </c>
      <c r="C73" s="407">
        <v>1</v>
      </c>
      <c r="D73" s="408">
        <v>4</v>
      </c>
      <c r="E73" s="409">
        <v>39453</v>
      </c>
      <c r="F73" s="246">
        <v>20289111329</v>
      </c>
      <c r="G73" s="410" t="str">
        <f>IFERROR(IF(compras_mes2[[#This Row],[CUIT]]="","-",VLOOKUP(compras_mes2[[#This Row],[CUIT]],Lista_CUIT[#All],2,0)),"CUIT NO CARGADO")</f>
        <v>R. N. LEDESMA</v>
      </c>
      <c r="H73" s="411">
        <v>878787.49</v>
      </c>
      <c r="I73" s="412">
        <f>IF(compras_mes2[[#This Row],[NETO GRAVADO]]="","",compras_mes2[[#This Row],[NETO GRAVADO]]*0.21)</f>
        <v>184545.37289999999</v>
      </c>
      <c r="J73" s="412"/>
      <c r="K73" s="412"/>
      <c r="L73" s="412"/>
      <c r="M73" s="412"/>
      <c r="N73" s="412"/>
      <c r="O73" s="412"/>
      <c r="P73" s="413">
        <f>SUM(compras_mes2[[#This Row],[NETO GRAVADO]:[Otros / No Grav.]])</f>
        <v>1063332.8629000001</v>
      </c>
      <c r="Q73" s="414" t="str">
        <f>IFERROR(IF(compras_mes2[[#This Row],[CUIT]]="","-",VLOOKUP(compras_mes2[[#This Row],[CUIT]],Lista_CUIT[#All],3,0)),"CUIT NO CARGADO")</f>
        <v>Insumo</v>
      </c>
      <c r="R73" s="414">
        <f>IFERROR(IF(compras_mes2[[#This Row],[CUIT]]="","-",VLOOKUP(compras_mes2[[#This Row],[CUIT]],Lista_CUIT[#All],4,0)),"CUIT NO CARGADO")</f>
        <v>0</v>
      </c>
      <c r="S73">
        <v>11249.99</v>
      </c>
    </row>
    <row r="74" spans="2:19" x14ac:dyDescent="0.25">
      <c r="B74" s="406">
        <v>45711</v>
      </c>
      <c r="C74" s="407">
        <v>1</v>
      </c>
      <c r="D74" s="408">
        <v>5015</v>
      </c>
      <c r="E74" s="409">
        <v>762285</v>
      </c>
      <c r="F74" s="246">
        <v>30574876474</v>
      </c>
      <c r="G74" s="410" t="str">
        <f>IFERROR(IF(compras_mes2[[#This Row],[CUIT]]="","-",VLOOKUP(compras_mes2[[#This Row],[CUIT]],Lista_CUIT[#All],2,0)),"CUIT NO CARGADO")</f>
        <v>AUTOP. URBANAS SA</v>
      </c>
      <c r="H74" s="411">
        <v>25893.91</v>
      </c>
      <c r="I74" s="412">
        <f>IF(compras_mes2[[#This Row],[NETO GRAVADO]]="","",compras_mes2[[#This Row],[NETO GRAVADO]]*0.21)</f>
        <v>5437.7210999999998</v>
      </c>
      <c r="J74" s="412"/>
      <c r="K74" s="412"/>
      <c r="L74" s="412"/>
      <c r="M74" s="412"/>
      <c r="N74" s="415"/>
      <c r="O74" s="412"/>
      <c r="P74" s="413">
        <f>SUM(compras_mes2[[#This Row],[NETO GRAVADO]:[Otros / No Grav.]])</f>
        <v>31331.631099999999</v>
      </c>
      <c r="Q74" s="414" t="str">
        <f>IFERROR(IF(compras_mes2[[#This Row],[CUIT]]="","-",VLOOKUP(compras_mes2[[#This Row],[CUIT]],Lista_CUIT[#All],3,0)),"CUIT NO CARGADO")</f>
        <v>PEAJE</v>
      </c>
      <c r="R74" s="414">
        <f>IFERROR(IF(compras_mes2[[#This Row],[CUIT]]="","-",VLOOKUP(compras_mes2[[#This Row],[CUIT]],Lista_CUIT[#All],4,0)),"CUIT NO CARGADO")</f>
        <v>0</v>
      </c>
      <c r="S74">
        <v>322089</v>
      </c>
    </row>
    <row r="75" spans="2:19" x14ac:dyDescent="0.25">
      <c r="B75" s="406">
        <v>45711</v>
      </c>
      <c r="C75" s="407">
        <v>1</v>
      </c>
      <c r="D75" s="408">
        <v>2061</v>
      </c>
      <c r="E75" s="409">
        <v>34740</v>
      </c>
      <c r="F75" s="246">
        <v>30548083156</v>
      </c>
      <c r="G75" s="410" t="str">
        <f>IFERROR(IF(compras_mes2[[#This Row],[CUIT]]="","-",VLOOKUP(compras_mes2[[#This Row],[CUIT]],Lista_CUIT[#All],2,0)),"CUIT NO CARGADO")</f>
        <v>COTO CICSA</v>
      </c>
      <c r="H75" s="411">
        <v>6221.82</v>
      </c>
      <c r="I75" s="412">
        <f>IF(compras_mes2[[#This Row],[NETO GRAVADO]]="","",compras_mes2[[#This Row],[NETO GRAVADO]]*0.21)</f>
        <v>1306.5821999999998</v>
      </c>
      <c r="J75" s="412"/>
      <c r="K75" s="412"/>
      <c r="L75" s="412"/>
      <c r="M75" s="412"/>
      <c r="N75" s="415"/>
      <c r="O75" s="412"/>
      <c r="P75" s="413">
        <f>SUM(compras_mes2[[#This Row],[NETO GRAVADO]:[Otros / No Grav.]])</f>
        <v>7528.4021999999995</v>
      </c>
      <c r="Q75" s="414" t="str">
        <f>IFERROR(IF(compras_mes2[[#This Row],[CUIT]]="","-",VLOOKUP(compras_mes2[[#This Row],[CUIT]],Lista_CUIT[#All],3,0)),"CUIT NO CARGADO")</f>
        <v>Gastos Varios</v>
      </c>
      <c r="R75" s="414">
        <f>IFERROR(IF(compras_mes2[[#This Row],[CUIT]]="","-",VLOOKUP(compras_mes2[[#This Row],[CUIT]],Lista_CUIT[#All],4,0)),"CUIT NO CARGADO")</f>
        <v>0</v>
      </c>
      <c r="S75">
        <v>196020</v>
      </c>
    </row>
    <row r="76" spans="2:19" x14ac:dyDescent="0.25">
      <c r="B76" s="406">
        <v>45712</v>
      </c>
      <c r="C76" s="407">
        <v>1</v>
      </c>
      <c r="D76" s="408">
        <v>2</v>
      </c>
      <c r="E76" s="409">
        <v>33</v>
      </c>
      <c r="F76" s="246">
        <v>27243660535</v>
      </c>
      <c r="G76" s="410" t="str">
        <f>IFERROR(IF(compras_mes2[[#This Row],[CUIT]]="","-",VLOOKUP(compras_mes2[[#This Row],[CUIT]],Lista_CUIT[#All],2,0)),"CUIT NO CARGADO")</f>
        <v>BARD MARISA SILVIA</v>
      </c>
      <c r="H76" s="411">
        <v>414537</v>
      </c>
      <c r="I76" s="412">
        <f>IF(compras_mes2[[#This Row],[NETO GRAVADO]]="","",compras_mes2[[#This Row],[NETO GRAVADO]]*0.21)</f>
        <v>87052.76999999999</v>
      </c>
      <c r="J76" s="412"/>
      <c r="K76" s="412"/>
      <c r="L76" s="412"/>
      <c r="M76" s="412"/>
      <c r="N76" s="415"/>
      <c r="O76" s="412"/>
      <c r="P76" s="413">
        <f>SUM(compras_mes2[[#This Row],[NETO GRAVADO]:[Otros / No Grav.]])</f>
        <v>501589.77</v>
      </c>
      <c r="Q76" s="414" t="str">
        <f>IFERROR(IF(compras_mes2[[#This Row],[CUIT]]="","-",VLOOKUP(compras_mes2[[#This Row],[CUIT]],Lista_CUIT[#All],3,0)),"CUIT NO CARGADO")</f>
        <v>Insumos</v>
      </c>
      <c r="R76" s="414">
        <f>IFERROR(IF(compras_mes2[[#This Row],[CUIT]]="","-",VLOOKUP(compras_mes2[[#This Row],[CUIT]],Lista_CUIT[#All],4,0)),"CUIT NO CARGADO")</f>
        <v>0</v>
      </c>
      <c r="S76">
        <v>56245.95</v>
      </c>
    </row>
    <row r="77" spans="2:19" x14ac:dyDescent="0.25">
      <c r="B77" s="406">
        <v>45713</v>
      </c>
      <c r="C77" s="407">
        <v>1</v>
      </c>
      <c r="D77" s="408">
        <v>2</v>
      </c>
      <c r="E77" s="409">
        <v>11546</v>
      </c>
      <c r="F77" s="246">
        <v>30714331082</v>
      </c>
      <c r="G77" s="410" t="str">
        <f>IFERROR(IF(compras_mes2[[#This Row],[CUIT]]="","-",VLOOKUP(compras_mes2[[#This Row],[CUIT]],Lista_CUIT[#All],2,0)),"CUIT NO CARGADO")</f>
        <v>ORTOPEDIA CASA ESCALADA SRL</v>
      </c>
      <c r="H77" s="411">
        <v>583922.1</v>
      </c>
      <c r="I77" s="412">
        <f>IF(compras_mes2[[#This Row],[NETO GRAVADO]]="","",compras_mes2[[#This Row],[NETO GRAVADO]]*0.21)</f>
        <v>122623.64099999999</v>
      </c>
      <c r="J77" s="412"/>
      <c r="K77" s="412"/>
      <c r="L77" s="412"/>
      <c r="M77" s="412"/>
      <c r="N77" s="415"/>
      <c r="O77" s="412"/>
      <c r="P77" s="413">
        <f>SUM(compras_mes2[[#This Row],[NETO GRAVADO]:[Otros / No Grav.]])</f>
        <v>706545.74099999992</v>
      </c>
      <c r="Q77" s="414" t="str">
        <f>IFERROR(IF(compras_mes2[[#This Row],[CUIT]]="","-",VLOOKUP(compras_mes2[[#This Row],[CUIT]],Lista_CUIT[#All],3,0)),"CUIT NO CARGADO")</f>
        <v>INSUMO</v>
      </c>
      <c r="R77" s="414">
        <f>IFERROR(IF(compras_mes2[[#This Row],[CUIT]]="","-",VLOOKUP(compras_mes2[[#This Row],[CUIT]],Lista_CUIT[#All],4,0)),"CUIT NO CARGADO")</f>
        <v>0</v>
      </c>
      <c r="S77">
        <v>2082482.6</v>
      </c>
    </row>
    <row r="78" spans="2:19" x14ac:dyDescent="0.25">
      <c r="B78" s="406">
        <v>45713</v>
      </c>
      <c r="C78" s="407">
        <v>1</v>
      </c>
      <c r="D78" s="408">
        <v>7</v>
      </c>
      <c r="E78" s="409">
        <v>23</v>
      </c>
      <c r="F78" s="246">
        <v>27325223273</v>
      </c>
      <c r="G78" s="410" t="str">
        <f>IFERROR(IF(compras_mes2[[#This Row],[CUIT]]="","-",VLOOKUP(compras_mes2[[#This Row],[CUIT]],Lista_CUIT[#All],2,0)),"CUIT NO CARGADO")</f>
        <v>SOUSA ALDERETE ALEJANDRA MABEL</v>
      </c>
      <c r="H78" s="411">
        <v>684800</v>
      </c>
      <c r="I78" s="412">
        <f>IF(compras_mes2[[#This Row],[NETO GRAVADO]]="","",compras_mes2[[#This Row],[NETO GRAVADO]]*0.21)</f>
        <v>143808</v>
      </c>
      <c r="J78" s="412"/>
      <c r="K78" s="412"/>
      <c r="L78" s="412"/>
      <c r="M78" s="412"/>
      <c r="N78" s="412"/>
      <c r="O78" s="412"/>
      <c r="P78" s="413">
        <f>SUM(compras_mes2[[#This Row],[NETO GRAVADO]:[Otros / No Grav.]])</f>
        <v>828608</v>
      </c>
      <c r="Q78" s="414" t="str">
        <f>IFERROR(IF(compras_mes2[[#This Row],[CUIT]]="","-",VLOOKUP(compras_mes2[[#This Row],[CUIT]],Lista_CUIT[#All],3,0)),"CUIT NO CARGADO")</f>
        <v>Insumos</v>
      </c>
      <c r="R78" s="414">
        <f>IFERROR(IF(compras_mes2[[#This Row],[CUIT]]="","-",VLOOKUP(compras_mes2[[#This Row],[CUIT]],Lista_CUIT[#All],4,0)),"CUIT NO CARGADO")</f>
        <v>0</v>
      </c>
      <c r="S78">
        <v>4752.0600000000004</v>
      </c>
    </row>
    <row r="79" spans="2:19" x14ac:dyDescent="0.25">
      <c r="B79" s="406">
        <v>45713</v>
      </c>
      <c r="C79" s="407">
        <v>1</v>
      </c>
      <c r="D79" s="408">
        <v>7</v>
      </c>
      <c r="E79" s="409">
        <v>22</v>
      </c>
      <c r="F79" s="246">
        <v>27325223273</v>
      </c>
      <c r="G79" s="410" t="str">
        <f>IFERROR(IF(compras_mes2[[#This Row],[CUIT]]="","-",VLOOKUP(compras_mes2[[#This Row],[CUIT]],Lista_CUIT[#All],2,0)),"CUIT NO CARGADO")</f>
        <v>SOUSA ALDERETE ALEJANDRA MABEL</v>
      </c>
      <c r="H79" s="411">
        <v>648800</v>
      </c>
      <c r="I79" s="412">
        <f>IF(compras_mes2[[#This Row],[NETO GRAVADO]]="","",compras_mes2[[#This Row],[NETO GRAVADO]]*0.21)</f>
        <v>136248</v>
      </c>
      <c r="J79" s="412"/>
      <c r="K79" s="412"/>
      <c r="L79" s="412"/>
      <c r="M79" s="412"/>
      <c r="N79" s="412"/>
      <c r="O79" s="412"/>
      <c r="P79" s="413">
        <f>SUM(compras_mes2[[#This Row],[NETO GRAVADO]:[Otros / No Grav.]])</f>
        <v>785048</v>
      </c>
      <c r="Q79" s="414" t="str">
        <f>IFERROR(IF(compras_mes2[[#This Row],[CUIT]]="","-",VLOOKUP(compras_mes2[[#This Row],[CUIT]],Lista_CUIT[#All],3,0)),"CUIT NO CARGADO")</f>
        <v>Insumos</v>
      </c>
      <c r="R79" s="414">
        <f>IFERROR(IF(compras_mes2[[#This Row],[CUIT]]="","-",VLOOKUP(compras_mes2[[#This Row],[CUIT]],Lista_CUIT[#All],4,0)),"CUIT NO CARGADO")</f>
        <v>0</v>
      </c>
      <c r="S79">
        <v>109050</v>
      </c>
    </row>
    <row r="80" spans="2:19" x14ac:dyDescent="0.25">
      <c r="B80" s="406">
        <v>45713</v>
      </c>
      <c r="C80" s="407">
        <v>1</v>
      </c>
      <c r="D80" s="408">
        <v>2</v>
      </c>
      <c r="E80" s="409">
        <v>25961</v>
      </c>
      <c r="F80" s="246">
        <v>23233422029</v>
      </c>
      <c r="G80" s="410" t="str">
        <f>IFERROR(IF(compras_mes2[[#This Row],[CUIT]]="","-",VLOOKUP(compras_mes2[[#This Row],[CUIT]],Lista_CUIT[#All],2,0)),"CUIT NO CARGADO")</f>
        <v>RODOLFO SCHULZE</v>
      </c>
      <c r="H80" s="411">
        <v>317383.15999999997</v>
      </c>
      <c r="I80" s="412">
        <f>IF(compras_mes2[[#This Row],[NETO GRAVADO]]="","",compras_mes2[[#This Row],[NETO GRAVADO]]*0.21)</f>
        <v>66650.463599999988</v>
      </c>
      <c r="J80" s="412"/>
      <c r="K80" s="412"/>
      <c r="L80" s="412"/>
      <c r="M80" s="412"/>
      <c r="N80" s="412"/>
      <c r="O80" s="412"/>
      <c r="P80" s="413">
        <f>SUM(compras_mes2[[#This Row],[NETO GRAVADO]:[Otros / No Grav.]])</f>
        <v>384033.62359999993</v>
      </c>
      <c r="Q80" s="414" t="str">
        <f>IFERROR(IF(compras_mes2[[#This Row],[CUIT]]="","-",VLOOKUP(compras_mes2[[#This Row],[CUIT]],Lista_CUIT[#All],3,0)),"CUIT NO CARGADO")</f>
        <v>INSUMO</v>
      </c>
      <c r="R80" s="414">
        <f>IFERROR(IF(compras_mes2[[#This Row],[CUIT]]="","-",VLOOKUP(compras_mes2[[#This Row],[CUIT]],Lista_CUIT[#All],4,0)),"CUIT NO CARGADO")</f>
        <v>0</v>
      </c>
      <c r="S80">
        <v>6935.95</v>
      </c>
    </row>
    <row r="81" spans="2:19" x14ac:dyDescent="0.25">
      <c r="B81" s="406">
        <v>45713</v>
      </c>
      <c r="C81" s="407">
        <v>1</v>
      </c>
      <c r="D81" s="408">
        <v>3</v>
      </c>
      <c r="E81" s="409">
        <v>48234</v>
      </c>
      <c r="F81" s="246">
        <v>30711454388</v>
      </c>
      <c r="G81" s="410" t="str">
        <f>IFERROR(IF(compras_mes2[[#This Row],[CUIT]]="","-",VLOOKUP(compras_mes2[[#This Row],[CUIT]],Lista_CUIT[#All],2,0)),"CUIT NO CARGADO")</f>
        <v>LIPROT S.R.L.</v>
      </c>
      <c r="H81" s="411">
        <v>54803</v>
      </c>
      <c r="I81" s="412">
        <f>IF(compras_mes2[[#This Row],[NETO GRAVADO]]="","",compras_mes2[[#This Row],[NETO GRAVADO]]*0.21)</f>
        <v>11508.63</v>
      </c>
      <c r="J81" s="412"/>
      <c r="K81" s="412"/>
      <c r="L81" s="412"/>
      <c r="M81" s="412"/>
      <c r="N81" s="412"/>
      <c r="O81" s="412"/>
      <c r="P81" s="413">
        <f>SUM(compras_mes2[[#This Row],[NETO GRAVADO]:[Otros / No Grav.]])</f>
        <v>66311.63</v>
      </c>
      <c r="Q81" s="414" t="str">
        <f>IFERROR(IF(compras_mes2[[#This Row],[CUIT]]="","-",VLOOKUP(compras_mes2[[#This Row],[CUIT]],Lista_CUIT[#All],3,0)),"CUIT NO CARGADO")</f>
        <v>textil</v>
      </c>
      <c r="R81" s="414">
        <f>IFERROR(IF(compras_mes2[[#This Row],[CUIT]]="","-",VLOOKUP(compras_mes2[[#This Row],[CUIT]],Lista_CUIT[#All],4,0)),"CUIT NO CARGADO")</f>
        <v>0</v>
      </c>
      <c r="S81">
        <v>50000</v>
      </c>
    </row>
    <row r="82" spans="2:19" x14ac:dyDescent="0.25">
      <c r="B82" s="406">
        <v>45713</v>
      </c>
      <c r="C82" s="407">
        <v>1</v>
      </c>
      <c r="D82" s="408">
        <v>3</v>
      </c>
      <c r="E82" s="409">
        <v>48233</v>
      </c>
      <c r="F82" s="246">
        <v>30711454388</v>
      </c>
      <c r="G82" s="410" t="str">
        <f>IFERROR(IF(compras_mes2[[#This Row],[CUIT]]="","-",VLOOKUP(compras_mes2[[#This Row],[CUIT]],Lista_CUIT[#All],2,0)),"CUIT NO CARGADO")</f>
        <v>LIPROT S.R.L.</v>
      </c>
      <c r="H82" s="411">
        <v>195336</v>
      </c>
      <c r="I82" s="412">
        <f>IF(compras_mes2[[#This Row],[NETO GRAVADO]]="","",compras_mes2[[#This Row],[NETO GRAVADO]]*0.21)</f>
        <v>41020.559999999998</v>
      </c>
      <c r="J82" s="412"/>
      <c r="K82" s="412"/>
      <c r="L82" s="412"/>
      <c r="M82" s="412"/>
      <c r="N82" s="415"/>
      <c r="O82" s="412"/>
      <c r="P82" s="413">
        <f>SUM(compras_mes2[[#This Row],[NETO GRAVADO]:[Otros / No Grav.]])</f>
        <v>236356.56</v>
      </c>
      <c r="Q82" s="414" t="str">
        <f>IFERROR(IF(compras_mes2[[#This Row],[CUIT]]="","-",VLOOKUP(compras_mes2[[#This Row],[CUIT]],Lista_CUIT[#All],3,0)),"CUIT NO CARGADO")</f>
        <v>textil</v>
      </c>
      <c r="R82" s="414">
        <f>IFERROR(IF(compras_mes2[[#This Row],[CUIT]]="","-",VLOOKUP(compras_mes2[[#This Row],[CUIT]],Lista_CUIT[#All],4,0)),"CUIT NO CARGADO")</f>
        <v>0</v>
      </c>
      <c r="S82">
        <v>24200</v>
      </c>
    </row>
    <row r="83" spans="2:19" x14ac:dyDescent="0.25">
      <c r="B83" s="406">
        <v>45715</v>
      </c>
      <c r="C83" s="407">
        <v>1</v>
      </c>
      <c r="D83" s="408">
        <v>2</v>
      </c>
      <c r="E83" s="409">
        <v>1112</v>
      </c>
      <c r="F83" s="246">
        <v>20272865869</v>
      </c>
      <c r="G83" s="410" t="str">
        <f>IFERROR(IF(compras_mes2[[#This Row],[CUIT]]="","-",VLOOKUP(compras_mes2[[#This Row],[CUIT]],Lista_CUIT[#All],2,0)),"CUIT NO CARGADO")</f>
        <v>DI FEO MARTIN EZEQUIEL</v>
      </c>
      <c r="H83" s="411">
        <v>154870</v>
      </c>
      <c r="I83" s="412">
        <f>IF(compras_mes2[[#This Row],[NETO GRAVADO]]="","",compras_mes2[[#This Row],[NETO GRAVADO]]*0.21)</f>
        <v>32522.699999999997</v>
      </c>
      <c r="J83" s="412"/>
      <c r="K83" s="412"/>
      <c r="L83" s="412"/>
      <c r="M83" s="412"/>
      <c r="N83" s="415"/>
      <c r="O83" s="412"/>
      <c r="P83" s="413">
        <f>SUM(compras_mes2[[#This Row],[NETO GRAVADO]:[Otros / No Grav.]])</f>
        <v>187392.7</v>
      </c>
      <c r="Q83" s="414" t="str">
        <f>IFERROR(IF(compras_mes2[[#This Row],[CUIT]]="","-",VLOOKUP(compras_mes2[[#This Row],[CUIT]],Lista_CUIT[#All],3,0)),"CUIT NO CARGADO")</f>
        <v>INSUMOS</v>
      </c>
      <c r="R83" s="414">
        <f>IFERROR(IF(compras_mes2[[#This Row],[CUIT]]="","-",VLOOKUP(compras_mes2[[#This Row],[CUIT]],Lista_CUIT[#All],4,0)),"CUIT NO CARGADO")</f>
        <v>0</v>
      </c>
      <c r="S83">
        <v>5938861.1399999997</v>
      </c>
    </row>
    <row r="84" spans="2:19" x14ac:dyDescent="0.25">
      <c r="B84" s="340">
        <v>45715</v>
      </c>
      <c r="C84" s="407">
        <v>1</v>
      </c>
      <c r="D84" s="417">
        <v>10</v>
      </c>
      <c r="E84" s="418">
        <v>2621</v>
      </c>
      <c r="F84" s="419">
        <v>30716229552</v>
      </c>
      <c r="G84" s="420" t="str">
        <f>IFERROR(IF(compras_mes2[[#This Row],[CUIT]]="","-",VLOOKUP(compras_mes2[[#This Row],[CUIT]],Lista_CUIT[#All],2,0)),"CUIT NO CARGADO")</f>
        <v>LUBRICANTES RUTA DE P e H SRL</v>
      </c>
      <c r="H84" s="421">
        <v>27272.73</v>
      </c>
      <c r="I84" s="422">
        <f>IF(compras_mes2[[#This Row],[NETO GRAVADO]]="","",compras_mes2[[#This Row],[NETO GRAVADO]]*0.21)</f>
        <v>5727.2732999999998</v>
      </c>
      <c r="J84" s="422"/>
      <c r="K84" s="422"/>
      <c r="L84" s="422"/>
      <c r="M84" s="422"/>
      <c r="N84" s="422"/>
      <c r="O84" s="422"/>
      <c r="P84" s="423">
        <f>SUM(compras_mes2[[#This Row],[NETO GRAVADO]:[Otros / No Grav.]])</f>
        <v>33000.003299999997</v>
      </c>
      <c r="Q84" s="424" t="str">
        <f>IFERROR(IF(compras_mes2[[#This Row],[CUIT]]="","-",VLOOKUP(compras_mes2[[#This Row],[CUIT]],Lista_CUIT[#All],3,0)),"CUIT NO CARGADO")</f>
        <v>COMBUSTIBLE</v>
      </c>
      <c r="R84" s="424">
        <f>IFERROR(IF(compras_mes2[[#This Row],[CUIT]]="","-",VLOOKUP(compras_mes2[[#This Row],[CUIT]],Lista_CUIT[#All],4,0)),"CUIT NO CARGADO")</f>
        <v>0</v>
      </c>
    </row>
    <row r="85" spans="2:19" ht="17.25" customHeight="1" x14ac:dyDescent="0.25">
      <c r="B85" s="440">
        <v>45715</v>
      </c>
      <c r="C85" s="407">
        <v>1</v>
      </c>
      <c r="D85" s="417">
        <v>6</v>
      </c>
      <c r="E85" s="418">
        <v>56400</v>
      </c>
      <c r="F85" s="419">
        <v>30710177658</v>
      </c>
      <c r="G85" s="420" t="str">
        <f>IFERROR(IF(compras_mes2[[#This Row],[CUIT]]="","-",VLOOKUP(compras_mes2[[#This Row],[CUIT]],Lista_CUIT[#All],2,0)),"CUIT NO CARGADO")</f>
        <v>TARGET MEDICAL SA</v>
      </c>
      <c r="H85" s="421">
        <v>74650</v>
      </c>
      <c r="I85" s="422">
        <f>IF(compras_mes2[[#This Row],[NETO GRAVADO]]="","",compras_mes2[[#This Row],[NETO GRAVADO]]*0.21)</f>
        <v>15676.5</v>
      </c>
      <c r="J85" s="422"/>
      <c r="K85" s="422"/>
      <c r="L85" s="422"/>
      <c r="M85" s="422"/>
      <c r="N85" s="422"/>
      <c r="O85" s="422"/>
      <c r="P85" s="423">
        <f>SUM(compras_mes2[[#This Row],[NETO GRAVADO]:[Otros / No Grav.]])</f>
        <v>90326.5</v>
      </c>
      <c r="Q85" s="424" t="str">
        <f>IFERROR(IF(compras_mes2[[#This Row],[CUIT]]="","-",VLOOKUP(compras_mes2[[#This Row],[CUIT]],Lista_CUIT[#All],3,0)),"CUIT NO CARGADO")</f>
        <v>INSUMO</v>
      </c>
      <c r="R85" s="424">
        <f>IFERROR(IF(compras_mes2[[#This Row],[CUIT]]="","-",VLOOKUP(compras_mes2[[#This Row],[CUIT]],Lista_CUIT[#All],4,0)),"CUIT NO CARGADO")</f>
        <v>0</v>
      </c>
    </row>
    <row r="86" spans="2:19" x14ac:dyDescent="0.25">
      <c r="B86" s="440">
        <v>45716</v>
      </c>
      <c r="C86" s="407">
        <v>1</v>
      </c>
      <c r="D86" s="417">
        <v>503</v>
      </c>
      <c r="E86" s="418">
        <v>1750899</v>
      </c>
      <c r="F86" s="419">
        <v>30639935872</v>
      </c>
      <c r="G86" s="420" t="str">
        <f>IFERROR(IF(compras_mes2[[#This Row],[CUIT]]="","-",VLOOKUP(compras_mes2[[#This Row],[CUIT]],Lista_CUIT[#All],2,0)),"CUIT NO CARGADO")</f>
        <v>CAMINOS DEL RIO URUGUAY S A DE CONSTRUCCIONES Y CONCESIONES VIALES</v>
      </c>
      <c r="H86" s="421">
        <v>3471.36</v>
      </c>
      <c r="I86" s="422">
        <f>IF(compras_mes2[[#This Row],[NETO GRAVADO]]="","",compras_mes2[[#This Row],[NETO GRAVADO]]*0.21)</f>
        <v>728.98559999999998</v>
      </c>
      <c r="J86" s="422"/>
      <c r="K86" s="422"/>
      <c r="L86" s="422"/>
      <c r="M86" s="422"/>
      <c r="N86" s="422"/>
      <c r="O86" s="422"/>
      <c r="P86" s="423">
        <f>SUM(compras_mes2[[#This Row],[NETO GRAVADO]:[Otros / No Grav.]])</f>
        <v>4200.3456000000006</v>
      </c>
      <c r="Q86" s="424" t="str">
        <f>IFERROR(IF(compras_mes2[[#This Row],[CUIT]]="","-",VLOOKUP(compras_mes2[[#This Row],[CUIT]],Lista_CUIT[#All],3,0)),"CUIT NO CARGADO")</f>
        <v>PEAJE</v>
      </c>
      <c r="R86" s="424">
        <f>IFERROR(IF(compras_mes2[[#This Row],[CUIT]]="","-",VLOOKUP(compras_mes2[[#This Row],[CUIT]],Lista_CUIT[#All],4,0)),"CUIT NO CARGADO")</f>
        <v>0</v>
      </c>
    </row>
    <row r="87" spans="2:19" x14ac:dyDescent="0.25">
      <c r="B87" s="440">
        <v>45716</v>
      </c>
      <c r="C87" s="407">
        <v>1</v>
      </c>
      <c r="D87" s="417">
        <v>50</v>
      </c>
      <c r="E87" s="418">
        <v>4169073</v>
      </c>
      <c r="F87" s="419">
        <v>30714112836</v>
      </c>
      <c r="G87" s="420" t="str">
        <f>IFERROR(IF(compras_mes2[[#This Row],[CUIT]]="","-",VLOOKUP(compras_mes2[[#This Row],[CUIT]],Lista_CUIT[#All],2,0)),"CUIT NO CARGADO")</f>
        <v>AUTOPISTAS DE BUENOS AIRES (AUBASA) SA</v>
      </c>
      <c r="H87" s="421">
        <v>1322.14</v>
      </c>
      <c r="I87" s="422">
        <f>IF(compras_mes2[[#This Row],[NETO GRAVADO]]="","",compras_mes2[[#This Row],[NETO GRAVADO]]*0.21)</f>
        <v>277.64940000000001</v>
      </c>
      <c r="J87" s="422"/>
      <c r="K87" s="422"/>
      <c r="L87" s="422"/>
      <c r="M87" s="422"/>
      <c r="N87" s="422"/>
      <c r="O87" s="422"/>
      <c r="P87" s="423">
        <f>SUM(compras_mes2[[#This Row],[NETO GRAVADO]:[Otros / No Grav.]])</f>
        <v>1599.7894000000001</v>
      </c>
      <c r="Q87" s="424" t="str">
        <f>IFERROR(IF(compras_mes2[[#This Row],[CUIT]]="","-",VLOOKUP(compras_mes2[[#This Row],[CUIT]],Lista_CUIT[#All],3,0)),"CUIT NO CARGADO")</f>
        <v>Autopista</v>
      </c>
      <c r="R87" s="424">
        <f>IFERROR(IF(compras_mes2[[#This Row],[CUIT]]="","-",VLOOKUP(compras_mes2[[#This Row],[CUIT]],Lista_CUIT[#All],4,0)),"CUIT NO CARGADO")</f>
        <v>0</v>
      </c>
    </row>
    <row r="88" spans="2:19" x14ac:dyDescent="0.25">
      <c r="B88" s="440">
        <v>45716</v>
      </c>
      <c r="C88" s="407">
        <v>1</v>
      </c>
      <c r="D88" s="417">
        <v>68</v>
      </c>
      <c r="E88" s="418">
        <v>173796</v>
      </c>
      <c r="F88" s="419">
        <v>30703088534</v>
      </c>
      <c r="G88" s="420" t="str">
        <f>IFERROR(IF(compras_mes2[[#This Row],[CUIT]]="","-",VLOOKUP(compras_mes2[[#This Row],[CUIT]],Lista_CUIT[#All],2,0)),"CUIT NO CARGADO")</f>
        <v>MERCADO LIBRE SRL</v>
      </c>
      <c r="H88" s="421">
        <v>72653</v>
      </c>
      <c r="I88" s="422">
        <f>IF(compras_mes2[[#This Row],[NETO GRAVADO]]="","",compras_mes2[[#This Row],[NETO GRAVADO]]*0.21)</f>
        <v>15257.13</v>
      </c>
      <c r="J88" s="422"/>
      <c r="K88" s="422"/>
      <c r="L88" s="422"/>
      <c r="M88" s="422"/>
      <c r="N88" s="422"/>
      <c r="O88" s="422"/>
      <c r="P88" s="423">
        <f>SUM(compras_mes2[[#This Row],[NETO GRAVADO]:[Otros / No Grav.]])</f>
        <v>87910.13</v>
      </c>
      <c r="Q88" s="424" t="str">
        <f>IFERROR(IF(compras_mes2[[#This Row],[CUIT]]="","-",VLOOKUP(compras_mes2[[#This Row],[CUIT]],Lista_CUIT[#All],3,0)),"CUIT NO CARGADO")</f>
        <v>PLATAFORMA ONLINE</v>
      </c>
      <c r="R88" s="424">
        <f>IFERROR(IF(compras_mes2[[#This Row],[CUIT]]="","-",VLOOKUP(compras_mes2[[#This Row],[CUIT]],Lista_CUIT[#All],4,0)),"CUIT NO CARGADO")</f>
        <v>0</v>
      </c>
    </row>
    <row r="89" spans="2:19" x14ac:dyDescent="0.25">
      <c r="B89" s="440">
        <v>45716</v>
      </c>
      <c r="C89" s="407">
        <v>1</v>
      </c>
      <c r="D89" s="417">
        <v>104</v>
      </c>
      <c r="E89" s="418">
        <v>8396216</v>
      </c>
      <c r="F89" s="419">
        <v>30715804812</v>
      </c>
      <c r="G89" s="420" t="str">
        <f>IFERROR(IF(compras_mes2[[#This Row],[CUIT]]="","-",VLOOKUP(compras_mes2[[#This Row],[CUIT]],Lista_CUIT[#All],2,0)),"CUIT NO CARGADO")</f>
        <v>CORREDORES VIALES SOCIEDAD ANONIMA</v>
      </c>
      <c r="H89" s="421">
        <v>3119.95</v>
      </c>
      <c r="I89" s="422">
        <f>IF(compras_mes2[[#This Row],[NETO GRAVADO]]="","",compras_mes2[[#This Row],[NETO GRAVADO]]*0.21)</f>
        <v>655.18949999999995</v>
      </c>
      <c r="J89" s="422"/>
      <c r="K89" s="422"/>
      <c r="L89" s="422"/>
      <c r="M89" s="422"/>
      <c r="N89" s="422"/>
      <c r="O89" s="422"/>
      <c r="P89" s="423">
        <f>SUM(compras_mes2[[#This Row],[NETO GRAVADO]:[Otros / No Grav.]])</f>
        <v>3775.1394999999998</v>
      </c>
      <c r="Q89" s="424" t="str">
        <f>IFERROR(IF(compras_mes2[[#This Row],[CUIT]]="","-",VLOOKUP(compras_mes2[[#This Row],[CUIT]],Lista_CUIT[#All],3,0)),"CUIT NO CARGADO")</f>
        <v>Autopista</v>
      </c>
      <c r="R89" s="424">
        <f>IFERROR(IF(compras_mes2[[#This Row],[CUIT]]="","-",VLOOKUP(compras_mes2[[#This Row],[CUIT]],Lista_CUIT[#All],4,0)),"CUIT NO CARGADO")</f>
        <v>0</v>
      </c>
    </row>
    <row r="90" spans="2:19" x14ac:dyDescent="0.25">
      <c r="B90" s="440">
        <v>45716</v>
      </c>
      <c r="C90" s="407">
        <v>1</v>
      </c>
      <c r="D90" s="417">
        <v>6</v>
      </c>
      <c r="E90" s="418">
        <v>18757461</v>
      </c>
      <c r="F90" s="419">
        <v>30620177497</v>
      </c>
      <c r="G90" s="420" t="str">
        <f>IFERROR(IF(compras_mes2[[#This Row],[CUIT]]="","-",VLOOKUP(compras_mes2[[#This Row],[CUIT]],Lista_CUIT[#All],2,0)),"CUIT NO CARGADO")</f>
        <v>POSNET SOCIEDAD DE RESPONSABILIDAD LIMITADA</v>
      </c>
      <c r="H90" s="421">
        <v>0</v>
      </c>
      <c r="I90" s="422">
        <f>IF(compras_mes2[[#This Row],[NETO GRAVADO]]="","",compras_mes2[[#This Row],[NETO GRAVADO]]*0.21)</f>
        <v>0</v>
      </c>
      <c r="J90" s="422"/>
      <c r="K90" s="422"/>
      <c r="L90" s="422"/>
      <c r="M90" s="422"/>
      <c r="N90" s="422"/>
      <c r="O90" s="422"/>
      <c r="P90" s="423">
        <f>SUM(compras_mes2[[#This Row],[NETO GRAVADO]:[Otros / No Grav.]])</f>
        <v>0</v>
      </c>
      <c r="Q90" s="424" t="str">
        <f>IFERROR(IF(compras_mes2[[#This Row],[CUIT]]="","-",VLOOKUP(compras_mes2[[#This Row],[CUIT]],Lista_CUIT[#All],3,0)),"CUIT NO CARGADO")</f>
        <v>Gastos Varios</v>
      </c>
      <c r="R90" s="424">
        <f>IFERROR(IF(compras_mes2[[#This Row],[CUIT]]="","-",VLOOKUP(compras_mes2[[#This Row],[CUIT]],Lista_CUIT[#All],4,0)),"CUIT NO CARGADO")</f>
        <v>0</v>
      </c>
    </row>
    <row r="91" spans="2:19" x14ac:dyDescent="0.25">
      <c r="B91" s="440">
        <v>45716</v>
      </c>
      <c r="C91" s="407">
        <v>1</v>
      </c>
      <c r="D91" s="417">
        <v>104</v>
      </c>
      <c r="E91" s="418">
        <v>8381772</v>
      </c>
      <c r="F91" s="419">
        <v>30715804812</v>
      </c>
      <c r="G91" s="420" t="str">
        <f>IFERROR(IF(compras_mes2[[#This Row],[CUIT]]="","-",VLOOKUP(compras_mes2[[#This Row],[CUIT]],Lista_CUIT[#All],2,0)),"CUIT NO CARGADO")</f>
        <v>CORREDORES VIALES SOCIEDAD ANONIMA</v>
      </c>
      <c r="H91" s="421">
        <v>1804.5</v>
      </c>
      <c r="I91" s="422">
        <f>IF(compras_mes2[[#This Row],[NETO GRAVADO]]="","",compras_mes2[[#This Row],[NETO GRAVADO]]*0.21)</f>
        <v>378.94499999999999</v>
      </c>
      <c r="J91" s="422"/>
      <c r="K91" s="422"/>
      <c r="L91" s="422"/>
      <c r="M91" s="422"/>
      <c r="N91" s="422"/>
      <c r="O91" s="422"/>
      <c r="P91" s="423">
        <f>SUM(compras_mes2[[#This Row],[NETO GRAVADO]:[Otros / No Grav.]])</f>
        <v>2183.4450000000002</v>
      </c>
      <c r="Q91" s="424" t="str">
        <f>IFERROR(IF(compras_mes2[[#This Row],[CUIT]]="","-",VLOOKUP(compras_mes2[[#This Row],[CUIT]],Lista_CUIT[#All],3,0)),"CUIT NO CARGADO")</f>
        <v>Autopista</v>
      </c>
      <c r="R91" s="424">
        <f>IFERROR(IF(compras_mes2[[#This Row],[CUIT]]="","-",VLOOKUP(compras_mes2[[#This Row],[CUIT]],Lista_CUIT[#All],4,0)),"CUIT NO CARGADO")</f>
        <v>0</v>
      </c>
    </row>
    <row r="92" spans="2:19" x14ac:dyDescent="0.25">
      <c r="B92" s="440">
        <v>45716</v>
      </c>
      <c r="C92" s="407">
        <v>1</v>
      </c>
      <c r="D92" s="417">
        <v>104</v>
      </c>
      <c r="E92" s="418">
        <v>8363803</v>
      </c>
      <c r="F92" s="419">
        <v>30715804812</v>
      </c>
      <c r="G92" s="420" t="str">
        <f>IFERROR(IF(compras_mes2[[#This Row],[CUIT]]="","-",VLOOKUP(compras_mes2[[#This Row],[CUIT]],Lista_CUIT[#All],2,0)),"CUIT NO CARGADO")</f>
        <v>CORREDORES VIALES SOCIEDAD ANONIMA</v>
      </c>
      <c r="H92" s="421">
        <v>1039.98</v>
      </c>
      <c r="I92" s="422">
        <f>IF(compras_mes2[[#This Row],[NETO GRAVADO]]="","",compras_mes2[[#This Row],[NETO GRAVADO]]*0.21)</f>
        <v>218.39580000000001</v>
      </c>
      <c r="J92" s="422"/>
      <c r="K92" s="422"/>
      <c r="L92" s="422"/>
      <c r="M92" s="422"/>
      <c r="N92" s="422"/>
      <c r="O92" s="422"/>
      <c r="P92" s="423">
        <f>SUM(compras_mes2[[#This Row],[NETO GRAVADO]:[Otros / No Grav.]])</f>
        <v>1258.3758</v>
      </c>
      <c r="Q92" s="424" t="str">
        <f>IFERROR(IF(compras_mes2[[#This Row],[CUIT]]="","-",VLOOKUP(compras_mes2[[#This Row],[CUIT]],Lista_CUIT[#All],3,0)),"CUIT NO CARGADO")</f>
        <v>Autopista</v>
      </c>
      <c r="R92" s="424">
        <f>IFERROR(IF(compras_mes2[[#This Row],[CUIT]]="","-",VLOOKUP(compras_mes2[[#This Row],[CUIT]],Lista_CUIT[#All],4,0)),"CUIT NO CARGADO")</f>
        <v>0</v>
      </c>
    </row>
    <row r="93" spans="2:19" x14ac:dyDescent="0.25">
      <c r="B93" s="440">
        <v>45716</v>
      </c>
      <c r="C93" s="407">
        <v>1</v>
      </c>
      <c r="D93" s="417">
        <v>6</v>
      </c>
      <c r="E93" s="418">
        <v>18890384</v>
      </c>
      <c r="F93" s="419">
        <v>30620177497</v>
      </c>
      <c r="G93" s="420" t="str">
        <f>IFERROR(IF(compras_mes2[[#This Row],[CUIT]]="","-",VLOOKUP(compras_mes2[[#This Row],[CUIT]],Lista_CUIT[#All],2,0)),"CUIT NO CARGADO")</f>
        <v>POSNET SOCIEDAD DE RESPONSABILIDAD LIMITADA</v>
      </c>
      <c r="H93" s="421">
        <v>30475.81</v>
      </c>
      <c r="I93" s="422">
        <f>IF(compras_mes2[[#This Row],[NETO GRAVADO]]="","",compras_mes2[[#This Row],[NETO GRAVADO]]*0.21)</f>
        <v>6399.9201000000003</v>
      </c>
      <c r="J93" s="422"/>
      <c r="K93" s="422"/>
      <c r="L93" s="422"/>
      <c r="M93" s="422"/>
      <c r="N93" s="422"/>
      <c r="O93" s="422"/>
      <c r="P93" s="423">
        <f>SUM(compras_mes2[[#This Row],[NETO GRAVADO]:[Otros / No Grav.]])</f>
        <v>36875.730100000001</v>
      </c>
      <c r="Q93" s="424" t="str">
        <f>IFERROR(IF(compras_mes2[[#This Row],[CUIT]]="","-",VLOOKUP(compras_mes2[[#This Row],[CUIT]],Lista_CUIT[#All],3,0)),"CUIT NO CARGADO")</f>
        <v>Gastos Varios</v>
      </c>
      <c r="R93" s="424">
        <f>IFERROR(IF(compras_mes2[[#This Row],[CUIT]]="","-",VLOOKUP(compras_mes2[[#This Row],[CUIT]],Lista_CUIT[#All],4,0)),"CUIT NO CARGADO")</f>
        <v>0</v>
      </c>
    </row>
    <row r="94" spans="2:19" x14ac:dyDescent="0.25">
      <c r="B94" s="440">
        <v>45716</v>
      </c>
      <c r="C94" s="407">
        <v>1</v>
      </c>
      <c r="D94" s="417">
        <v>2</v>
      </c>
      <c r="E94" s="418">
        <v>1119</v>
      </c>
      <c r="F94" s="419">
        <v>20272865869</v>
      </c>
      <c r="G94" s="420" t="str">
        <f>IFERROR(IF(compras_mes2[[#This Row],[CUIT]]="","-",VLOOKUP(compras_mes2[[#This Row],[CUIT]],Lista_CUIT[#All],2,0)),"CUIT NO CARGADO")</f>
        <v>DI FEO MARTIN EZEQUIEL</v>
      </c>
      <c r="H94" s="421">
        <v>188000</v>
      </c>
      <c r="I94" s="422">
        <f>IF(compras_mes2[[#This Row],[NETO GRAVADO]]="","",compras_mes2[[#This Row],[NETO GRAVADO]]*0.21)</f>
        <v>39480</v>
      </c>
      <c r="J94" s="422"/>
      <c r="K94" s="422"/>
      <c r="L94" s="422"/>
      <c r="M94" s="422"/>
      <c r="N94" s="422"/>
      <c r="O94" s="422"/>
      <c r="P94" s="423">
        <f>SUM(compras_mes2[[#This Row],[NETO GRAVADO]:[Otros / No Grav.]])</f>
        <v>227480</v>
      </c>
      <c r="Q94" s="424" t="str">
        <f>IFERROR(IF(compras_mes2[[#This Row],[CUIT]]="","-",VLOOKUP(compras_mes2[[#This Row],[CUIT]],Lista_CUIT[#All],3,0)),"CUIT NO CARGADO")</f>
        <v>INSUMOS</v>
      </c>
      <c r="R94" s="424">
        <f>IFERROR(IF(compras_mes2[[#This Row],[CUIT]]="","-",VLOOKUP(compras_mes2[[#This Row],[CUIT]],Lista_CUIT[#All],4,0)),"CUIT NO CARGADO")</f>
        <v>0</v>
      </c>
    </row>
    <row r="95" spans="2:19" x14ac:dyDescent="0.25">
      <c r="B95" s="440">
        <v>45716</v>
      </c>
      <c r="C95" s="407">
        <v>1</v>
      </c>
      <c r="D95" s="417">
        <v>5009</v>
      </c>
      <c r="E95" s="418">
        <v>1245733</v>
      </c>
      <c r="F95" s="419">
        <v>30574876474</v>
      </c>
      <c r="G95" s="420" t="str">
        <f>IFERROR(IF(compras_mes2[[#This Row],[CUIT]]="","-",VLOOKUP(compras_mes2[[#This Row],[CUIT]],Lista_CUIT[#All],2,0)),"CUIT NO CARGADO")</f>
        <v>AUTOP. URBANAS SA</v>
      </c>
      <c r="H95" s="421">
        <v>8801.57</v>
      </c>
      <c r="I95" s="422">
        <f>IF(compras_mes2[[#This Row],[NETO GRAVADO]]="","",compras_mes2[[#This Row],[NETO GRAVADO]]*0.21)</f>
        <v>1848.3296999999998</v>
      </c>
      <c r="J95" s="422"/>
      <c r="K95" s="422"/>
      <c r="L95" s="422"/>
      <c r="M95" s="422"/>
      <c r="N95" s="422"/>
      <c r="O95" s="422"/>
      <c r="P95" s="423">
        <f>SUM(compras_mes2[[#This Row],[NETO GRAVADO]:[Otros / No Grav.]])</f>
        <v>10649.8997</v>
      </c>
      <c r="Q95" s="424" t="str">
        <f>IFERROR(IF(compras_mes2[[#This Row],[CUIT]]="","-",VLOOKUP(compras_mes2[[#This Row],[CUIT]],Lista_CUIT[#All],3,0)),"CUIT NO CARGADO")</f>
        <v>PEAJE</v>
      </c>
      <c r="R95" s="424">
        <f>IFERROR(IF(compras_mes2[[#This Row],[CUIT]]="","-",VLOOKUP(compras_mes2[[#This Row],[CUIT]],Lista_CUIT[#All],4,0)),"CUIT NO CARGADO")</f>
        <v>0</v>
      </c>
    </row>
    <row r="96" spans="2:19" x14ac:dyDescent="0.25">
      <c r="B96" s="440">
        <v>45716</v>
      </c>
      <c r="C96" s="407">
        <v>1</v>
      </c>
      <c r="D96" s="417">
        <v>1</v>
      </c>
      <c r="E96" s="418">
        <v>116346</v>
      </c>
      <c r="F96" s="419">
        <v>30714864269</v>
      </c>
      <c r="G96" s="420" t="str">
        <f>IFERROR(IF(compras_mes2[[#This Row],[CUIT]]="","-",VLOOKUP(compras_mes2[[#This Row],[CUIT]],Lista_CUIT[#All],2,0)),"CUIT NO CARGADO")</f>
        <v>CONTABILIUM S.A. S. A.</v>
      </c>
      <c r="H96" s="421">
        <v>164170</v>
      </c>
      <c r="I96" s="422">
        <f>IF(compras_mes2[[#This Row],[NETO GRAVADO]]="","",compras_mes2[[#This Row],[NETO GRAVADO]]*0.21)</f>
        <v>34475.699999999997</v>
      </c>
      <c r="J96" s="422"/>
      <c r="K96" s="422"/>
      <c r="L96" s="422"/>
      <c r="M96" s="422"/>
      <c r="N96" s="422"/>
      <c r="O96" s="422"/>
      <c r="P96" s="423">
        <f>SUM(compras_mes2[[#This Row],[NETO GRAVADO]:[Otros / No Grav.]])</f>
        <v>198645.7</v>
      </c>
      <c r="Q96" s="424" t="str">
        <f>IFERROR(IF(compras_mes2[[#This Row],[CUIT]]="","-",VLOOKUP(compras_mes2[[#This Row],[CUIT]],Lista_CUIT[#All],3,0)),"CUIT NO CARGADO")</f>
        <v>USUARIO CONTABLE</v>
      </c>
      <c r="R96" s="424">
        <f>IFERROR(IF(compras_mes2[[#This Row],[CUIT]]="","-",VLOOKUP(compras_mes2[[#This Row],[CUIT]],Lista_CUIT[#All],4,0)),"CUIT NO CARGADO")</f>
        <v>0</v>
      </c>
    </row>
    <row r="97" spans="2:18" x14ac:dyDescent="0.25">
      <c r="B97" s="440">
        <v>45716</v>
      </c>
      <c r="C97" s="407">
        <v>1</v>
      </c>
      <c r="D97" s="417">
        <v>5015</v>
      </c>
      <c r="E97" s="418">
        <v>765166</v>
      </c>
      <c r="F97" s="419">
        <v>30574876474</v>
      </c>
      <c r="G97" s="420" t="str">
        <f>IFERROR(IF(compras_mes2[[#This Row],[CUIT]]="","-",VLOOKUP(compras_mes2[[#This Row],[CUIT]],Lista_CUIT[#All],2,0)),"CUIT NO CARGADO")</f>
        <v>AUTOP. URBANAS SA</v>
      </c>
      <c r="H97" s="421">
        <v>20640.150000000001</v>
      </c>
      <c r="I97" s="422">
        <f>IF(compras_mes2[[#This Row],[NETO GRAVADO]]="","",compras_mes2[[#This Row],[NETO GRAVADO]]*0.21)</f>
        <v>4334.4315000000006</v>
      </c>
      <c r="J97" s="422"/>
      <c r="K97" s="422"/>
      <c r="L97" s="422"/>
      <c r="M97" s="422"/>
      <c r="N97" s="422"/>
      <c r="O97" s="422"/>
      <c r="P97" s="423">
        <f>SUM(compras_mes2[[#This Row],[NETO GRAVADO]:[Otros / No Grav.]])</f>
        <v>24974.5815</v>
      </c>
      <c r="Q97" s="424" t="str">
        <f>IFERROR(IF(compras_mes2[[#This Row],[CUIT]]="","-",VLOOKUP(compras_mes2[[#This Row],[CUIT]],Lista_CUIT[#All],3,0)),"CUIT NO CARGADO")</f>
        <v>PEAJE</v>
      </c>
      <c r="R97" s="424">
        <f>IFERROR(IF(compras_mes2[[#This Row],[CUIT]]="","-",VLOOKUP(compras_mes2[[#This Row],[CUIT]],Lista_CUIT[#All],4,0)),"CUIT NO CARGADO")</f>
        <v>0</v>
      </c>
    </row>
    <row r="98" spans="2:18" x14ac:dyDescent="0.25">
      <c r="B98" s="440">
        <v>45690</v>
      </c>
      <c r="C98" s="407">
        <v>1</v>
      </c>
      <c r="D98" s="417">
        <v>6</v>
      </c>
      <c r="E98" s="418">
        <v>21013</v>
      </c>
      <c r="F98" s="419">
        <v>33715594949</v>
      </c>
      <c r="G98" s="420" t="str">
        <f>IFERROR(IF(compras_mes2[[#This Row],[CUIT]]="","-",VLOOKUP(compras_mes2[[#This Row],[CUIT]],Lista_CUIT[#All],2,0)),"CUIT NO CARGADO")</f>
        <v>SOMOS ENERGIA SA</v>
      </c>
      <c r="H98" s="421">
        <v>22294.62</v>
      </c>
      <c r="I98" s="422">
        <f>IF(compras_mes2[[#This Row],[NETO GRAVADO]]="","",compras_mes2[[#This Row],[NETO GRAVADO]]*0.21)</f>
        <v>4681.8701999999994</v>
      </c>
      <c r="J98" s="422"/>
      <c r="K98" s="422"/>
      <c r="L98" s="422"/>
      <c r="M98" s="422"/>
      <c r="N98" s="422"/>
      <c r="O98" s="422"/>
      <c r="P98" s="423">
        <f>SUM(compras_mes2[[#This Row],[NETO GRAVADO]:[Otros / No Grav.]])</f>
        <v>26976.4902</v>
      </c>
      <c r="Q98" s="424" t="str">
        <f>IFERROR(IF(compras_mes2[[#This Row],[CUIT]]="","-",VLOOKUP(compras_mes2[[#This Row],[CUIT]],Lista_CUIT[#All],3,0)),"CUIT NO CARGADO")</f>
        <v>COMBUSTIBLE</v>
      </c>
      <c r="R98" s="424">
        <f>IFERROR(IF(compras_mes2[[#This Row],[CUIT]]="","-",VLOOKUP(compras_mes2[[#This Row],[CUIT]],Lista_CUIT[#All],4,0)),"CUIT NO CARGADO")</f>
        <v>0</v>
      </c>
    </row>
    <row r="99" spans="2:18" x14ac:dyDescent="0.25">
      <c r="B99" s="440">
        <v>45693</v>
      </c>
      <c r="C99" s="407">
        <v>1</v>
      </c>
      <c r="D99" s="417">
        <v>8</v>
      </c>
      <c r="E99" s="418">
        <v>14120</v>
      </c>
      <c r="F99" s="419">
        <v>33715594949</v>
      </c>
      <c r="G99" s="420" t="str">
        <f>IFERROR(IF(compras_mes2[[#This Row],[CUIT]]="","-",VLOOKUP(compras_mes2[[#This Row],[CUIT]],Lista_CUIT[#All],2,0)),"CUIT NO CARGADO")</f>
        <v>SOMOS ENERGIA SA</v>
      </c>
      <c r="H99" s="421">
        <v>44581.24</v>
      </c>
      <c r="I99" s="422">
        <f>IF(compras_mes2[[#This Row],[NETO GRAVADO]]="","",compras_mes2[[#This Row],[NETO GRAVADO]]*0.21)</f>
        <v>9362.0603999999985</v>
      </c>
      <c r="J99" s="422"/>
      <c r="K99" s="422"/>
      <c r="L99" s="422"/>
      <c r="M99" s="422"/>
      <c r="N99" s="422"/>
      <c r="O99" s="422"/>
      <c r="P99" s="423">
        <f>SUM(compras_mes2[[#This Row],[NETO GRAVADO]:[Otros / No Grav.]])</f>
        <v>53943.300399999993</v>
      </c>
      <c r="Q99" s="424" t="str">
        <f>IFERROR(IF(compras_mes2[[#This Row],[CUIT]]="","-",VLOOKUP(compras_mes2[[#This Row],[CUIT]],Lista_CUIT[#All],3,0)),"CUIT NO CARGADO")</f>
        <v>COMBUSTIBLE</v>
      </c>
      <c r="R99" s="424">
        <f>IFERROR(IF(compras_mes2[[#This Row],[CUIT]]="","-",VLOOKUP(compras_mes2[[#This Row],[CUIT]],Lista_CUIT[#All],4,0)),"CUIT NO CARGADO")</f>
        <v>0</v>
      </c>
    </row>
    <row r="100" spans="2:18" x14ac:dyDescent="0.25">
      <c r="B100" s="440">
        <v>45694</v>
      </c>
      <c r="C100" s="407">
        <v>1</v>
      </c>
      <c r="D100" s="417">
        <v>11</v>
      </c>
      <c r="E100" s="418">
        <v>11388</v>
      </c>
      <c r="F100" s="419">
        <v>20211408511</v>
      </c>
      <c r="G100" s="420" t="str">
        <f>IFERROR(IF(compras_mes2[[#This Row],[CUIT]]="","-",VLOOKUP(compras_mes2[[#This Row],[CUIT]],Lista_CUIT[#All],2,0)),"CUIT NO CARGADO")</f>
        <v>GABRIEL ALEJANDRO SEGAL</v>
      </c>
      <c r="H100" s="421">
        <v>33535.71</v>
      </c>
      <c r="I100" s="422"/>
      <c r="J100" s="422"/>
      <c r="K100" s="422">
        <f>compras_mes2[[#This Row],[NETO GRAVADO]]*10.5/100</f>
        <v>3521.24955</v>
      </c>
      <c r="L100" s="422"/>
      <c r="M100" s="422"/>
      <c r="N100" s="422"/>
      <c r="O100" s="422"/>
      <c r="P100" s="423">
        <f>SUM(compras_mes2[[#This Row],[NETO GRAVADO]:[Otros / No Grav.]])</f>
        <v>37056.95955</v>
      </c>
      <c r="Q100" s="424" t="str">
        <f>IFERROR(IF(compras_mes2[[#This Row],[CUIT]]="","-",VLOOKUP(compras_mes2[[#This Row],[CUIT]],Lista_CUIT[#All],3,0)),"CUIT NO CARGADO")</f>
        <v>Gastos Varios</v>
      </c>
      <c r="R100" s="424">
        <f>IFERROR(IF(compras_mes2[[#This Row],[CUIT]]="","-",VLOOKUP(compras_mes2[[#This Row],[CUIT]],Lista_CUIT[#All],4,0)),"CUIT NO CARGADO")</f>
        <v>0</v>
      </c>
    </row>
    <row r="101" spans="2:18" x14ac:dyDescent="0.25">
      <c r="B101" s="440">
        <v>45697</v>
      </c>
      <c r="C101" s="407">
        <v>1</v>
      </c>
      <c r="D101" s="417">
        <v>8</v>
      </c>
      <c r="E101" s="418">
        <v>14152</v>
      </c>
      <c r="F101" s="419">
        <v>33715594949</v>
      </c>
      <c r="G101" s="420" t="str">
        <f>IFERROR(IF(compras_mes2[[#This Row],[CUIT]]="","-",VLOOKUP(compras_mes2[[#This Row],[CUIT]],Lista_CUIT[#All],2,0)),"CUIT NO CARGADO")</f>
        <v>SOMOS ENERGIA SA</v>
      </c>
      <c r="H101" s="421">
        <v>32287.71</v>
      </c>
      <c r="I101" s="422">
        <f>IF(compras_mes2[[#This Row],[NETO GRAVADO]]="","",compras_mes2[[#This Row],[NETO GRAVADO]]*0.21)</f>
        <v>6780.4190999999992</v>
      </c>
      <c r="J101" s="422"/>
      <c r="K101" s="422"/>
      <c r="L101" s="422"/>
      <c r="M101" s="422"/>
      <c r="N101" s="422"/>
      <c r="O101" s="422"/>
      <c r="P101" s="423">
        <f>SUM(compras_mes2[[#This Row],[NETO GRAVADO]:[Otros / No Grav.]])</f>
        <v>39068.129099999998</v>
      </c>
      <c r="Q101" s="424" t="str">
        <f>IFERROR(IF(compras_mes2[[#This Row],[CUIT]]="","-",VLOOKUP(compras_mes2[[#This Row],[CUIT]],Lista_CUIT[#All],3,0)),"CUIT NO CARGADO")</f>
        <v>COMBUSTIBLE</v>
      </c>
      <c r="R101" s="424">
        <f>IFERROR(IF(compras_mes2[[#This Row],[CUIT]]="","-",VLOOKUP(compras_mes2[[#This Row],[CUIT]],Lista_CUIT[#All],4,0)),"CUIT NO CARGADO")</f>
        <v>0</v>
      </c>
    </row>
    <row r="102" spans="2:18" x14ac:dyDescent="0.25">
      <c r="B102" s="440">
        <v>45699</v>
      </c>
      <c r="C102" s="407">
        <v>1</v>
      </c>
      <c r="D102" s="417">
        <v>8</v>
      </c>
      <c r="E102" s="418">
        <v>14178</v>
      </c>
      <c r="F102" s="419">
        <v>33715594949</v>
      </c>
      <c r="G102" s="420" t="str">
        <f>IFERROR(IF(compras_mes2[[#This Row],[CUIT]]="","-",VLOOKUP(compras_mes2[[#This Row],[CUIT]],Lista_CUIT[#All],2,0)),"CUIT NO CARGADO")</f>
        <v>SOMOS ENERGIA SA</v>
      </c>
      <c r="H102" s="421">
        <v>37151</v>
      </c>
      <c r="I102" s="422">
        <f>IF(compras_mes2[[#This Row],[NETO GRAVADO]]="","",compras_mes2[[#This Row],[NETO GRAVADO]]*0.21)</f>
        <v>7801.71</v>
      </c>
      <c r="J102" s="422"/>
      <c r="K102" s="422"/>
      <c r="L102" s="422"/>
      <c r="M102" s="422"/>
      <c r="N102" s="422"/>
      <c r="O102" s="422"/>
      <c r="P102" s="423">
        <f>SUM(compras_mes2[[#This Row],[NETO GRAVADO]:[Otros / No Grav.]])</f>
        <v>44952.71</v>
      </c>
      <c r="Q102" s="424" t="str">
        <f>IFERROR(IF(compras_mes2[[#This Row],[CUIT]]="","-",VLOOKUP(compras_mes2[[#This Row],[CUIT]],Lista_CUIT[#All],3,0)),"CUIT NO CARGADO")</f>
        <v>COMBUSTIBLE</v>
      </c>
      <c r="R102" s="424">
        <f>IFERROR(IF(compras_mes2[[#This Row],[CUIT]]="","-",VLOOKUP(compras_mes2[[#This Row],[CUIT]],Lista_CUIT[#All],4,0)),"CUIT NO CARGADO")</f>
        <v>0</v>
      </c>
    </row>
    <row r="103" spans="2:18" x14ac:dyDescent="0.25">
      <c r="B103" s="440">
        <v>45705</v>
      </c>
      <c r="C103" s="407">
        <v>1</v>
      </c>
      <c r="D103" s="417">
        <v>6</v>
      </c>
      <c r="E103" s="418">
        <v>1806</v>
      </c>
      <c r="F103" s="419">
        <v>30716815710</v>
      </c>
      <c r="G103" s="420" t="str">
        <f>IFERROR(IF(compras_mes2[[#This Row],[CUIT]]="","-",VLOOKUP(compras_mes2[[#This Row],[CUIT]],Lista_CUIT[#All],2,0)),"CUIT NO CARGADO")</f>
        <v>PAPELERA GEOPEL SRL</v>
      </c>
      <c r="H103" s="421">
        <v>10250</v>
      </c>
      <c r="I103" s="422">
        <f>IF(compras_mes2[[#This Row],[NETO GRAVADO]]="","",compras_mes2[[#This Row],[NETO GRAVADO]]*0.21)</f>
        <v>2152.5</v>
      </c>
      <c r="J103" s="422"/>
      <c r="K103" s="422"/>
      <c r="L103" s="422"/>
      <c r="M103" s="422"/>
      <c r="N103" s="422"/>
      <c r="O103" s="422"/>
      <c r="P103" s="423">
        <f>SUM(compras_mes2[[#This Row],[NETO GRAVADO]:[Otros / No Grav.]])</f>
        <v>12402.5</v>
      </c>
      <c r="Q103" s="424" t="str">
        <f>IFERROR(IF(compras_mes2[[#This Row],[CUIT]]="","-",VLOOKUP(compras_mes2[[#This Row],[CUIT]],Lista_CUIT[#All],3,0)),"CUIT NO CARGADO")</f>
        <v>librería</v>
      </c>
      <c r="R103" s="424">
        <f>IFERROR(IF(compras_mes2[[#This Row],[CUIT]]="","-",VLOOKUP(compras_mes2[[#This Row],[CUIT]],Lista_CUIT[#All],4,0)),"CUIT NO CARGADO")</f>
        <v>0</v>
      </c>
    </row>
    <row r="104" spans="2:18" x14ac:dyDescent="0.25">
      <c r="B104" s="440">
        <v>45713</v>
      </c>
      <c r="C104" s="416">
        <v>2</v>
      </c>
      <c r="D104" s="417">
        <v>7</v>
      </c>
      <c r="E104" s="418">
        <v>1</v>
      </c>
      <c r="F104" s="419">
        <v>27325223273</v>
      </c>
      <c r="G104" s="420" t="str">
        <f>IFERROR(IF(compras_mes2[[#This Row],[CUIT]]="","-",VLOOKUP(compras_mes2[[#This Row],[CUIT]],Lista_CUIT[#All],2,0)),"CUIT NO CARGADO")</f>
        <v>SOUSA ALDERETE ALEJANDRA MABEL</v>
      </c>
      <c r="H104" s="421">
        <v>648800</v>
      </c>
      <c r="I104" s="422">
        <f>IF(compras_mes2[[#This Row],[NETO GRAVADO]]="","",compras_mes2[[#This Row],[NETO GRAVADO]]*0.21)</f>
        <v>136248</v>
      </c>
      <c r="J104" s="422"/>
      <c r="K104" s="422"/>
      <c r="L104" s="422"/>
      <c r="M104" s="422"/>
      <c r="N104" s="422"/>
      <c r="O104" s="422"/>
      <c r="P104" s="423">
        <f>SUM(compras_mes2[[#This Row],[NETO GRAVADO]:[Otros / No Grav.]])</f>
        <v>785048</v>
      </c>
      <c r="Q104" s="424" t="str">
        <f>IFERROR(IF(compras_mes2[[#This Row],[CUIT]]="","-",VLOOKUP(compras_mes2[[#This Row],[CUIT]],Lista_CUIT[#All],3,0)),"CUIT NO CARGADO")</f>
        <v>Insumos</v>
      </c>
      <c r="R104" s="424">
        <f>IFERROR(IF(compras_mes2[[#This Row],[CUIT]]="","-",VLOOKUP(compras_mes2[[#This Row],[CUIT]],Lista_CUIT[#All],4,0)),"CUIT NO CARGADO")</f>
        <v>0</v>
      </c>
    </row>
    <row r="105" spans="2:18" x14ac:dyDescent="0.25">
      <c r="B105" s="440">
        <v>45695</v>
      </c>
      <c r="C105" s="416">
        <v>3</v>
      </c>
      <c r="D105" s="417">
        <v>15</v>
      </c>
      <c r="E105" s="418">
        <v>175552</v>
      </c>
      <c r="F105" s="419">
        <v>30709776564</v>
      </c>
      <c r="G105" s="420" t="str">
        <f>IFERROR(IF(compras_mes2[[#This Row],[CUIT]]="","-",VLOOKUP(compras_mes2[[#This Row],[CUIT]],Lista_CUIT[#All],2,0)),"CUIT NO CARGADO")</f>
        <v>PROSEGUR ACTIVA ARG SA</v>
      </c>
      <c r="H105" s="421">
        <v>-129241</v>
      </c>
      <c r="I105" s="422">
        <f>IF(compras_mes2[[#This Row],[NETO GRAVADO]]="","",compras_mes2[[#This Row],[NETO GRAVADO]]*0.21)</f>
        <v>-27140.61</v>
      </c>
      <c r="J105" s="422"/>
      <c r="K105" s="422"/>
      <c r="L105" s="422"/>
      <c r="M105" s="422"/>
      <c r="N105" s="422"/>
      <c r="O105" s="422"/>
      <c r="P105" s="423">
        <f>SUM(compras_mes2[[#This Row],[NETO GRAVADO]:[Otros / No Grav.]])</f>
        <v>-156381.60999999999</v>
      </c>
      <c r="Q105" s="424" t="str">
        <f>IFERROR(IF(compras_mes2[[#This Row],[CUIT]]="","-",VLOOKUP(compras_mes2[[#This Row],[CUIT]],Lista_CUIT[#All],3,0)),"CUIT NO CARGADO")</f>
        <v>ALARMA SEGURIDAD</v>
      </c>
      <c r="R105" s="424">
        <f>IFERROR(IF(compras_mes2[[#This Row],[CUIT]]="","-",VLOOKUP(compras_mes2[[#This Row],[CUIT]],Lista_CUIT[#All],4,0)),"CUIT NO CARGADO")</f>
        <v>0</v>
      </c>
    </row>
    <row r="106" spans="2:18" x14ac:dyDescent="0.25">
      <c r="B106" s="440">
        <v>45695</v>
      </c>
      <c r="C106" s="416">
        <v>3</v>
      </c>
      <c r="D106" s="417">
        <v>15</v>
      </c>
      <c r="E106" s="418">
        <v>175572</v>
      </c>
      <c r="F106" s="419">
        <v>30709776564</v>
      </c>
      <c r="G106" s="420" t="str">
        <f>IFERROR(IF(compras_mes2[[#This Row],[CUIT]]="","-",VLOOKUP(compras_mes2[[#This Row],[CUIT]],Lista_CUIT[#All],2,0)),"CUIT NO CARGADO")</f>
        <v>PROSEGUR ACTIVA ARG SA</v>
      </c>
      <c r="H106" s="421">
        <v>-129241</v>
      </c>
      <c r="I106" s="422">
        <f>IF(compras_mes2[[#This Row],[NETO GRAVADO]]="","",compras_mes2[[#This Row],[NETO GRAVADO]]*0.21)</f>
        <v>-27140.61</v>
      </c>
      <c r="J106" s="422"/>
      <c r="K106" s="422"/>
      <c r="L106" s="422"/>
      <c r="M106" s="422"/>
      <c r="N106" s="422"/>
      <c r="O106" s="422"/>
      <c r="P106" s="423">
        <f>SUM(compras_mes2[[#This Row],[NETO GRAVADO]:[Otros / No Grav.]])</f>
        <v>-156381.60999999999</v>
      </c>
      <c r="Q106" s="424" t="str">
        <f>IFERROR(IF(compras_mes2[[#This Row],[CUIT]]="","-",VLOOKUP(compras_mes2[[#This Row],[CUIT]],Lista_CUIT[#All],3,0)),"CUIT NO CARGADO")</f>
        <v>ALARMA SEGURIDAD</v>
      </c>
      <c r="R106" s="424">
        <f>IFERROR(IF(compras_mes2[[#This Row],[CUIT]]="","-",VLOOKUP(compras_mes2[[#This Row],[CUIT]],Lista_CUIT[#All],4,0)),"CUIT NO CARGADO")</f>
        <v>0</v>
      </c>
    </row>
    <row r="107" spans="2:18" x14ac:dyDescent="0.25">
      <c r="B107" s="440">
        <v>45695</v>
      </c>
      <c r="C107" s="416">
        <v>3</v>
      </c>
      <c r="D107" s="417">
        <v>15</v>
      </c>
      <c r="E107" s="418">
        <v>175574</v>
      </c>
      <c r="F107" s="419">
        <v>30709776564</v>
      </c>
      <c r="G107" s="420" t="str">
        <f>IFERROR(IF(compras_mes2[[#This Row],[CUIT]]="","-",VLOOKUP(compras_mes2[[#This Row],[CUIT]],Lista_CUIT[#All],2,0)),"CUIT NO CARGADO")</f>
        <v>PROSEGUR ACTIVA ARG SA</v>
      </c>
      <c r="H107" s="421">
        <v>-129241</v>
      </c>
      <c r="I107" s="422">
        <f>IF(compras_mes2[[#This Row],[NETO GRAVADO]]="","",compras_mes2[[#This Row],[NETO GRAVADO]]*0.21)</f>
        <v>-27140.61</v>
      </c>
      <c r="J107" s="422"/>
      <c r="K107" s="422"/>
      <c r="L107" s="422"/>
      <c r="M107" s="422"/>
      <c r="N107" s="422"/>
      <c r="O107" s="422"/>
      <c r="P107" s="423">
        <f>SUM(compras_mes2[[#This Row],[NETO GRAVADO]:[Otros / No Grav.]])</f>
        <v>-156381.60999999999</v>
      </c>
      <c r="Q107" s="424" t="str">
        <f>IFERROR(IF(compras_mes2[[#This Row],[CUIT]]="","-",VLOOKUP(compras_mes2[[#This Row],[CUIT]],Lista_CUIT[#All],3,0)),"CUIT NO CARGADO")</f>
        <v>ALARMA SEGURIDAD</v>
      </c>
      <c r="R107" s="424">
        <f>IFERROR(IF(compras_mes2[[#This Row],[CUIT]]="","-",VLOOKUP(compras_mes2[[#This Row],[CUIT]],Lista_CUIT[#All],4,0)),"CUIT NO CARGADO")</f>
        <v>0</v>
      </c>
    </row>
    <row r="108" spans="2:18" x14ac:dyDescent="0.25">
      <c r="B108" s="440">
        <v>45695</v>
      </c>
      <c r="C108" s="416">
        <v>3</v>
      </c>
      <c r="D108" s="417">
        <v>15</v>
      </c>
      <c r="E108" s="418">
        <v>175677</v>
      </c>
      <c r="F108" s="419">
        <v>30709776564</v>
      </c>
      <c r="G108" s="420" t="str">
        <f>IFERROR(IF(compras_mes2[[#This Row],[CUIT]]="","-",VLOOKUP(compras_mes2[[#This Row],[CUIT]],Lista_CUIT[#All],2,0)),"CUIT NO CARGADO")</f>
        <v>PROSEGUR ACTIVA ARG SA</v>
      </c>
      <c r="H108" s="421">
        <v>-129241</v>
      </c>
      <c r="I108" s="422">
        <f>IF(compras_mes2[[#This Row],[NETO GRAVADO]]="","",compras_mes2[[#This Row],[NETO GRAVADO]]*0.21)</f>
        <v>-27140.61</v>
      </c>
      <c r="J108" s="422"/>
      <c r="K108" s="422"/>
      <c r="L108" s="422"/>
      <c r="M108" s="422"/>
      <c r="N108" s="422"/>
      <c r="O108" s="422"/>
      <c r="P108" s="423">
        <f>SUM(compras_mes2[[#This Row],[NETO GRAVADO]:[Otros / No Grav.]])</f>
        <v>-156381.60999999999</v>
      </c>
      <c r="Q108" s="424" t="str">
        <f>IFERROR(IF(compras_mes2[[#This Row],[CUIT]]="","-",VLOOKUP(compras_mes2[[#This Row],[CUIT]],Lista_CUIT[#All],3,0)),"CUIT NO CARGADO")</f>
        <v>ALARMA SEGURIDAD</v>
      </c>
      <c r="R108" s="424">
        <f>IFERROR(IF(compras_mes2[[#This Row],[CUIT]]="","-",VLOOKUP(compras_mes2[[#This Row],[CUIT]],Lista_CUIT[#All],4,0)),"CUIT NO CARGADO")</f>
        <v>0</v>
      </c>
    </row>
    <row r="109" spans="2:18" x14ac:dyDescent="0.25">
      <c r="B109" s="440">
        <v>45708</v>
      </c>
      <c r="C109" s="416">
        <v>3</v>
      </c>
      <c r="D109" s="417">
        <v>4</v>
      </c>
      <c r="E109" s="418">
        <v>950</v>
      </c>
      <c r="F109" s="419">
        <v>30504854023</v>
      </c>
      <c r="G109" s="420" t="str">
        <f>IFERROR(IF(compras_mes2[[#This Row],[CUIT]]="","-",VLOOKUP(compras_mes2[[#This Row],[CUIT]],Lista_CUIT[#All],2,0)),"CUIT NO CARGADO")</f>
        <v xml:space="preserve">NYLTEF SAICFI </v>
      </c>
      <c r="H109" s="421">
        <v>-75232.5</v>
      </c>
      <c r="I109" s="422">
        <f>IF(compras_mes2[[#This Row],[NETO GRAVADO]]="","",compras_mes2[[#This Row],[NETO GRAVADO]]*0.21)</f>
        <v>-15798.824999999999</v>
      </c>
      <c r="J109" s="422"/>
      <c r="K109" s="422"/>
      <c r="L109" s="422"/>
      <c r="M109" s="422"/>
      <c r="N109" s="422"/>
      <c r="O109" s="422"/>
      <c r="P109" s="423">
        <f>SUM(compras_mes2[[#This Row],[NETO GRAVADO]:[Otros / No Grav.]])</f>
        <v>-91031.324999999997</v>
      </c>
      <c r="Q109" s="424" t="str">
        <f>IFERROR(IF(compras_mes2[[#This Row],[CUIT]]="","-",VLOOKUP(compras_mes2[[#This Row],[CUIT]],Lista_CUIT[#All],3,0)),"CUIT NO CARGADO")</f>
        <v>INSUMO</v>
      </c>
      <c r="R109" s="424">
        <f>IFERROR(IF(compras_mes2[[#This Row],[CUIT]]="","-",VLOOKUP(compras_mes2[[#This Row],[CUIT]],Lista_CUIT[#All],4,0)),"CUIT NO CARGADO")</f>
        <v>0</v>
      </c>
    </row>
    <row r="110" spans="2:18" x14ac:dyDescent="0.25">
      <c r="B110" s="440">
        <v>45713</v>
      </c>
      <c r="C110" s="416">
        <v>3</v>
      </c>
      <c r="D110" s="417">
        <v>7</v>
      </c>
      <c r="E110" s="418">
        <v>2</v>
      </c>
      <c r="F110" s="419">
        <v>27325223273</v>
      </c>
      <c r="G110" s="420" t="str">
        <f>IFERROR(IF(compras_mes2[[#This Row],[CUIT]]="","-",VLOOKUP(compras_mes2[[#This Row],[CUIT]],Lista_CUIT[#All],2,0)),"CUIT NO CARGADO")</f>
        <v>SOUSA ALDERETE ALEJANDRA MABEL</v>
      </c>
      <c r="H110" s="421">
        <v>-648800</v>
      </c>
      <c r="I110" s="422">
        <f>IF(compras_mes2[[#This Row],[NETO GRAVADO]]="","",compras_mes2[[#This Row],[NETO GRAVADO]]*0.21)</f>
        <v>-136248</v>
      </c>
      <c r="J110" s="422"/>
      <c r="K110" s="422"/>
      <c r="L110" s="422"/>
      <c r="M110" s="422"/>
      <c r="N110" s="422"/>
      <c r="O110" s="422"/>
      <c r="P110" s="423">
        <f>SUM(compras_mes2[[#This Row],[NETO GRAVADO]:[Otros / No Grav.]])</f>
        <v>-785048</v>
      </c>
      <c r="Q110" s="424" t="str">
        <f>IFERROR(IF(compras_mes2[[#This Row],[CUIT]]="","-",VLOOKUP(compras_mes2[[#This Row],[CUIT]],Lista_CUIT[#All],3,0)),"CUIT NO CARGADO")</f>
        <v>Insumos</v>
      </c>
      <c r="R110" s="424">
        <f>IFERROR(IF(compras_mes2[[#This Row],[CUIT]]="","-",VLOOKUP(compras_mes2[[#This Row],[CUIT]],Lista_CUIT[#All],4,0)),"CUIT NO CARGADO")</f>
        <v>0</v>
      </c>
    </row>
    <row r="111" spans="2:18" x14ac:dyDescent="0.25">
      <c r="B111" s="440">
        <v>45713</v>
      </c>
      <c r="C111" s="416">
        <v>3</v>
      </c>
      <c r="D111" s="417">
        <v>7</v>
      </c>
      <c r="E111" s="418">
        <v>3</v>
      </c>
      <c r="F111" s="419">
        <v>27325223273</v>
      </c>
      <c r="G111" s="420" t="str">
        <f>IFERROR(IF(compras_mes2[[#This Row],[CUIT]]="","-",VLOOKUP(compras_mes2[[#This Row],[CUIT]],Lista_CUIT[#All],2,0)),"CUIT NO CARGADO")</f>
        <v>SOUSA ALDERETE ALEJANDRA MABEL</v>
      </c>
      <c r="H111" s="421">
        <v>-648800</v>
      </c>
      <c r="I111" s="422">
        <f>IF(compras_mes2[[#This Row],[NETO GRAVADO]]="","",compras_mes2[[#This Row],[NETO GRAVADO]]*0.21)</f>
        <v>-136248</v>
      </c>
      <c r="J111" s="422"/>
      <c r="K111" s="422"/>
      <c r="L111" s="422"/>
      <c r="M111" s="422"/>
      <c r="N111" s="422"/>
      <c r="O111" s="422"/>
      <c r="P111" s="423">
        <f>SUM(compras_mes2[[#This Row],[NETO GRAVADO]:[Otros / No Grav.]])</f>
        <v>-785048</v>
      </c>
      <c r="Q111" s="424" t="str">
        <f>IFERROR(IF(compras_mes2[[#This Row],[CUIT]]="","-",VLOOKUP(compras_mes2[[#This Row],[CUIT]],Lista_CUIT[#All],3,0)),"CUIT NO CARGADO")</f>
        <v>Insumos</v>
      </c>
      <c r="R111" s="424">
        <f>IFERROR(IF(compras_mes2[[#This Row],[CUIT]]="","-",VLOOKUP(compras_mes2[[#This Row],[CUIT]],Lista_CUIT[#All],4,0)),"CUIT NO CARGADO")</f>
        <v>0</v>
      </c>
    </row>
    <row r="112" spans="2:18" x14ac:dyDescent="0.25">
      <c r="B112" s="440">
        <v>45716</v>
      </c>
      <c r="C112" s="416">
        <v>3</v>
      </c>
      <c r="D112" s="417">
        <v>12</v>
      </c>
      <c r="E112" s="418">
        <v>155098</v>
      </c>
      <c r="F112" s="419">
        <v>30703088534</v>
      </c>
      <c r="G112" s="420" t="str">
        <f>IFERROR(IF(compras_mes2[[#This Row],[CUIT]]="","-",VLOOKUP(compras_mes2[[#This Row],[CUIT]],Lista_CUIT[#All],2,0)),"CUIT NO CARGADO")</f>
        <v>MERCADO LIBRE SRL</v>
      </c>
      <c r="H112" s="421">
        <v>-711.57</v>
      </c>
      <c r="I112" s="422">
        <f>IF(compras_mes2[[#This Row],[NETO GRAVADO]]="","",compras_mes2[[#This Row],[NETO GRAVADO]]*0.21)</f>
        <v>-149.4297</v>
      </c>
      <c r="J112" s="422"/>
      <c r="K112" s="422"/>
      <c r="L112" s="422"/>
      <c r="M112" s="422"/>
      <c r="N112" s="422"/>
      <c r="O112" s="422"/>
      <c r="P112" s="423">
        <f>SUM(compras_mes2[[#This Row],[NETO GRAVADO]:[Otros / No Grav.]])</f>
        <v>-860.99970000000008</v>
      </c>
      <c r="Q112" s="424" t="str">
        <f>IFERROR(IF(compras_mes2[[#This Row],[CUIT]]="","-",VLOOKUP(compras_mes2[[#This Row],[CUIT]],Lista_CUIT[#All],3,0)),"CUIT NO CARGADO")</f>
        <v>PLATAFORMA ONLINE</v>
      </c>
      <c r="R112" s="424">
        <f>IFERROR(IF(compras_mes2[[#This Row],[CUIT]]="","-",VLOOKUP(compras_mes2[[#This Row],[CUIT]],Lista_CUIT[#All],4,0)),"CUIT NO CARGADO")</f>
        <v>0</v>
      </c>
    </row>
    <row r="113" spans="1:18" x14ac:dyDescent="0.25">
      <c r="B113" s="440">
        <v>45716</v>
      </c>
      <c r="C113" s="416">
        <v>3</v>
      </c>
      <c r="D113" s="417">
        <v>74</v>
      </c>
      <c r="E113" s="418">
        <v>3384</v>
      </c>
      <c r="F113" s="419">
        <v>30703088534</v>
      </c>
      <c r="G113" s="420" t="str">
        <f>IFERROR(IF(compras_mes2[[#This Row],[CUIT]]="","-",VLOOKUP(compras_mes2[[#This Row],[CUIT]],Lista_CUIT[#All],2,0)),"CUIT NO CARGADO")</f>
        <v>MERCADO LIBRE SRL</v>
      </c>
      <c r="H113" s="421">
        <v>-711.57</v>
      </c>
      <c r="I113" s="422">
        <f>IF(compras_mes2[[#This Row],[NETO GRAVADO]]="","",compras_mes2[[#This Row],[NETO GRAVADO]]*0.21)</f>
        <v>-149.4297</v>
      </c>
      <c r="J113" s="422"/>
      <c r="K113" s="422"/>
      <c r="L113" s="422"/>
      <c r="M113" s="422"/>
      <c r="N113" s="422"/>
      <c r="O113" s="422"/>
      <c r="P113" s="423">
        <f>SUM(compras_mes2[[#This Row],[NETO GRAVADO]:[Otros / No Grav.]])</f>
        <v>-860.99970000000008</v>
      </c>
      <c r="Q113" s="424" t="str">
        <f>IFERROR(IF(compras_mes2[[#This Row],[CUIT]]="","-",VLOOKUP(compras_mes2[[#This Row],[CUIT]],Lista_CUIT[#All],3,0)),"CUIT NO CARGADO")</f>
        <v>PLATAFORMA ONLINE</v>
      </c>
      <c r="R113" s="424">
        <f>IFERROR(IF(compras_mes2[[#This Row],[CUIT]]="","-",VLOOKUP(compras_mes2[[#This Row],[CUIT]],Lista_CUIT[#All],4,0)),"CUIT NO CARGADO")</f>
        <v>0</v>
      </c>
    </row>
    <row r="114" spans="1:18" s="319" customFormat="1" x14ac:dyDescent="0.25">
      <c r="A114"/>
      <c r="B114" s="430">
        <v>45693</v>
      </c>
      <c r="C114" s="431">
        <v>1</v>
      </c>
      <c r="D114" s="432">
        <v>6</v>
      </c>
      <c r="E114" s="433">
        <v>11377</v>
      </c>
      <c r="F114" s="434">
        <v>30707988378</v>
      </c>
      <c r="G114" s="435" t="str">
        <f>IFERROR(IF(compras_mes2[[#This Row],[CUIT]]="","-",VLOOKUP(compras_mes2[[#This Row],[CUIT]],Lista_CUIT[#All],2,0)),"CUIT NO CARGADO")</f>
        <v>CARMAS COMPOSITES S.R.L.</v>
      </c>
      <c r="H114" s="436">
        <f>356.13*1075</f>
        <v>382839.75</v>
      </c>
      <c r="I114" s="437">
        <f>IF(compras_mes2[[#This Row],[NETO GRAVADO]]="","",compras_mes2[[#This Row],[NETO GRAVADO]]*0.21)</f>
        <v>80396.347500000003</v>
      </c>
      <c r="J114" s="437"/>
      <c r="K114" s="437"/>
      <c r="L114" s="437"/>
      <c r="M114" s="437"/>
      <c r="N114" s="437"/>
      <c r="O114" s="437"/>
      <c r="P114" s="438">
        <f>SUM(compras_mes2[[#This Row],[NETO GRAVADO]:[Otros / No Grav.]])</f>
        <v>463236.09750000003</v>
      </c>
      <c r="Q114" s="439" t="str">
        <f>IFERROR(IF(compras_mes2[[#This Row],[CUIT]]="","-",VLOOKUP(compras_mes2[[#This Row],[CUIT]],Lista_CUIT[#All],3,0)),"CUIT NO CARGADO")</f>
        <v>Mantenimiento</v>
      </c>
      <c r="R114" s="439">
        <f>IFERROR(IF(compras_mes2[[#This Row],[CUIT]]="","-",VLOOKUP(compras_mes2[[#This Row],[CUIT]],Lista_CUIT[#All],4,0)),"CUIT NO CARGADO")</f>
        <v>0</v>
      </c>
    </row>
    <row r="115" spans="1:18" s="319" customFormat="1" x14ac:dyDescent="0.25">
      <c r="A115"/>
      <c r="B115" s="430">
        <v>45702</v>
      </c>
      <c r="C115" s="431">
        <v>1</v>
      </c>
      <c r="D115" s="432">
        <v>13</v>
      </c>
      <c r="E115" s="433">
        <v>1932</v>
      </c>
      <c r="F115" s="434">
        <v>33709914109</v>
      </c>
      <c r="G115" s="435" t="str">
        <f>IFERROR(IF(compras_mes2[[#This Row],[CUIT]]="","-",VLOOKUP(compras_mes2[[#This Row],[CUIT]],Lista_CUIT[#All],2,0)),"CUIT NO CARGADO")</f>
        <v xml:space="preserve">ALAN COLLECTION SA </v>
      </c>
      <c r="H115" s="436">
        <v>2066.12</v>
      </c>
      <c r="I115" s="437">
        <f>IF(compras_mes2[[#This Row],[NETO GRAVADO]]="","",compras_mes2[[#This Row],[NETO GRAVADO]]*0.21)</f>
        <v>433.88519999999994</v>
      </c>
      <c r="J115" s="437"/>
      <c r="K115" s="437"/>
      <c r="L115" s="437"/>
      <c r="M115" s="437"/>
      <c r="N115" s="437"/>
      <c r="O115" s="437"/>
      <c r="P115" s="438">
        <f>SUM(compras_mes2[[#This Row],[NETO GRAVADO]:[Otros / No Grav.]])</f>
        <v>2500.0051999999996</v>
      </c>
      <c r="Q115" s="439" t="str">
        <f>IFERROR(IF(compras_mes2[[#This Row],[CUIT]]="","-",VLOOKUP(compras_mes2[[#This Row],[CUIT]],Lista_CUIT[#All],3,0)),"CUIT NO CARGADO")</f>
        <v>MERCADERIA</v>
      </c>
      <c r="R115" s="439">
        <f>IFERROR(IF(compras_mes2[[#This Row],[CUIT]]="","-",VLOOKUP(compras_mes2[[#This Row],[CUIT]],Lista_CUIT[#All],4,0)),"CUIT NO CARGADO")</f>
        <v>0</v>
      </c>
    </row>
    <row r="116" spans="1:18" s="319" customFormat="1" x14ac:dyDescent="0.25">
      <c r="A116"/>
      <c r="B116" s="430">
        <v>45705</v>
      </c>
      <c r="C116" s="431">
        <v>1</v>
      </c>
      <c r="D116" s="432">
        <v>10</v>
      </c>
      <c r="E116" s="433">
        <v>11470</v>
      </c>
      <c r="F116" s="434">
        <v>30709208221</v>
      </c>
      <c r="G116" s="435" t="str">
        <f>IFERROR(IF(compras_mes2[[#This Row],[CUIT]]="","-",VLOOKUP(compras_mes2[[#This Row],[CUIT]],Lista_CUIT[#All],2,0)),"CUIT NO CARGADO")</f>
        <v>GNC MONTE GRANDE SRL</v>
      </c>
      <c r="H116" s="436">
        <v>51565.9</v>
      </c>
      <c r="I116" s="437">
        <f>IF(compras_mes2[[#This Row],[NETO GRAVADO]]="","",compras_mes2[[#This Row],[NETO GRAVADO]]*0.21)</f>
        <v>10828.839</v>
      </c>
      <c r="J116" s="437"/>
      <c r="K116" s="437"/>
      <c r="L116" s="437"/>
      <c r="M116" s="437"/>
      <c r="N116" s="437"/>
      <c r="O116" s="437">
        <v>7605.15</v>
      </c>
      <c r="P116" s="438">
        <f>SUM(compras_mes2[[#This Row],[NETO GRAVADO]:[Otros / No Grav.]])</f>
        <v>69999.888999999996</v>
      </c>
      <c r="Q116" s="439" t="str">
        <f>IFERROR(IF(compras_mes2[[#This Row],[CUIT]]="","-",VLOOKUP(compras_mes2[[#This Row],[CUIT]],Lista_CUIT[#All],3,0)),"CUIT NO CARGADO")</f>
        <v>COMBUSTIBLE</v>
      </c>
      <c r="R116" s="439">
        <f>IFERROR(IF(compras_mes2[[#This Row],[CUIT]]="","-",VLOOKUP(compras_mes2[[#This Row],[CUIT]],Lista_CUIT[#All],4,0)),"CUIT NO CARGADO")</f>
        <v>0</v>
      </c>
    </row>
    <row r="117" spans="1:18" s="428" customFormat="1" x14ac:dyDescent="0.25">
      <c r="A117"/>
      <c r="B117" s="430">
        <v>45708</v>
      </c>
      <c r="C117" s="431">
        <v>1</v>
      </c>
      <c r="D117" s="432">
        <v>6</v>
      </c>
      <c r="E117" s="433">
        <v>21245</v>
      </c>
      <c r="F117" s="434">
        <v>33715594949</v>
      </c>
      <c r="G117" s="435" t="str">
        <f>IFERROR(IF(compras_mes2[[#This Row],[CUIT]]="","-",VLOOKUP(compras_mes2[[#This Row],[CUIT]],Lista_CUIT[#All],2,0)),"CUIT NO CARGADO")</f>
        <v>SOMOS ENERGIA SA</v>
      </c>
      <c r="H117" s="436">
        <v>68875.759999999995</v>
      </c>
      <c r="I117" s="437">
        <f>IF(compras_mes2[[#This Row],[NETO GRAVADO]]="","",compras_mes2[[#This Row],[NETO GRAVADO]]*0.21)</f>
        <v>14463.909599999999</v>
      </c>
      <c r="J117" s="437"/>
      <c r="K117" s="437"/>
      <c r="L117" s="437"/>
      <c r="M117" s="437"/>
      <c r="N117" s="437"/>
      <c r="O117" s="437">
        <v>9357.31</v>
      </c>
      <c r="P117" s="438">
        <f>SUM(compras_mes2[[#This Row],[NETO GRAVADO]:[Otros / No Grav.]])</f>
        <v>92696.979599999991</v>
      </c>
      <c r="Q117" s="439" t="str">
        <f>IFERROR(IF(compras_mes2[[#This Row],[CUIT]]="","-",VLOOKUP(compras_mes2[[#This Row],[CUIT]],Lista_CUIT[#All],3,0)),"CUIT NO CARGADO")</f>
        <v>COMBUSTIBLE</v>
      </c>
      <c r="R117" s="439">
        <f>IFERROR(IF(compras_mes2[[#This Row],[CUIT]]="","-",VLOOKUP(compras_mes2[[#This Row],[CUIT]],Lista_CUIT[#All],4,0)),"CUIT NO CARGADO")</f>
        <v>0</v>
      </c>
    </row>
    <row r="118" spans="1:18" s="428" customFormat="1" x14ac:dyDescent="0.25">
      <c r="A118"/>
      <c r="B118" s="430">
        <v>45715</v>
      </c>
      <c r="C118" s="431">
        <v>1</v>
      </c>
      <c r="D118" s="432">
        <v>6</v>
      </c>
      <c r="E118" s="433">
        <v>1816</v>
      </c>
      <c r="F118" s="434">
        <v>30716815710</v>
      </c>
      <c r="G118" s="435" t="str">
        <f>IFERROR(IF(compras_mes2[[#This Row],[CUIT]]="","-",VLOOKUP(compras_mes2[[#This Row],[CUIT]],Lista_CUIT[#All],2,0)),"CUIT NO CARGADO")</f>
        <v>PAPELERA GEOPEL SRL</v>
      </c>
      <c r="H118" s="436">
        <v>15000</v>
      </c>
      <c r="I118" s="437">
        <f>IF(compras_mes2[[#This Row],[NETO GRAVADO]]="","",compras_mes2[[#This Row],[NETO GRAVADO]]*0.21)</f>
        <v>3150</v>
      </c>
      <c r="J118" s="437"/>
      <c r="K118" s="437"/>
      <c r="L118" s="437"/>
      <c r="M118" s="437"/>
      <c r="N118" s="437"/>
      <c r="O118" s="437"/>
      <c r="P118" s="438">
        <f>SUM(compras_mes2[[#This Row],[NETO GRAVADO]:[Otros / No Grav.]])</f>
        <v>18150</v>
      </c>
      <c r="Q118" s="439" t="str">
        <f>IFERROR(IF(compras_mes2[[#This Row],[CUIT]]="","-",VLOOKUP(compras_mes2[[#This Row],[CUIT]],Lista_CUIT[#All],3,0)),"CUIT NO CARGADO")</f>
        <v>librería</v>
      </c>
      <c r="R118" s="439">
        <f>IFERROR(IF(compras_mes2[[#This Row],[CUIT]]="","-",VLOOKUP(compras_mes2[[#This Row],[CUIT]],Lista_CUIT[#All],4,0)),"CUIT NO CARGADO")</f>
        <v>0</v>
      </c>
    </row>
    <row r="119" spans="1:18" s="428" customFormat="1" x14ac:dyDescent="0.25">
      <c r="A119"/>
      <c r="B119" s="406"/>
      <c r="C119" s="407"/>
      <c r="D119" s="408"/>
      <c r="E119" s="409"/>
      <c r="F119" s="246"/>
      <c r="G119" s="410" t="str">
        <f>IFERROR(IF(compras_mes2[[#This Row],[CUIT]]="","-",VLOOKUP(compras_mes2[[#This Row],[CUIT]],Lista_CUIT[#All],2,0)),"CUIT NO CARGADO")</f>
        <v>-</v>
      </c>
      <c r="H119" s="411"/>
      <c r="I119" s="412"/>
      <c r="J119" s="412"/>
      <c r="K119" s="412"/>
      <c r="L119" s="412"/>
      <c r="M119" s="412"/>
      <c r="N119" s="412"/>
      <c r="O119" s="412"/>
      <c r="P119" s="413">
        <f>SUM(compras_mes2[[#This Row],[NETO GRAVADO]:[Otros / No Grav.]])</f>
        <v>0</v>
      </c>
      <c r="Q119" s="414" t="str">
        <f>IFERROR(IF(compras_mes2[[#This Row],[CUIT]]="","-",VLOOKUP(compras_mes2[[#This Row],[CUIT]],Lista_CUIT[#All],3,0)),"CUIT NO CARGADO")</f>
        <v>-</v>
      </c>
      <c r="R119" s="414" t="str">
        <f>IFERROR(IF(compras_mes2[[#This Row],[CUIT]]="","-",VLOOKUP(compras_mes2[[#This Row],[CUIT]],Lista_CUIT[#All],4,0)),"CUIT NO CARGADO")</f>
        <v>-</v>
      </c>
    </row>
    <row r="120" spans="1:18" s="428" customFormat="1" x14ac:dyDescent="0.25">
      <c r="A120"/>
      <c r="B120" s="406"/>
      <c r="C120" s="407"/>
      <c r="D120" s="408"/>
      <c r="E120" s="409"/>
      <c r="F120" s="246"/>
      <c r="G120" s="410" t="str">
        <f>IFERROR(IF(compras_mes2[[#This Row],[CUIT]]="","-",VLOOKUP(compras_mes2[[#This Row],[CUIT]],Lista_CUIT[#All],2,0)),"CUIT NO CARGADO")</f>
        <v>-</v>
      </c>
      <c r="H120" s="411"/>
      <c r="I120" s="412" t="str">
        <f>IF(compras_mes2[[#This Row],[NETO GRAVADO]]="","",compras_mes2[[#This Row],[NETO GRAVADO]]*0.21)</f>
        <v/>
      </c>
      <c r="J120" s="412"/>
      <c r="K120" s="412"/>
      <c r="L120" s="412"/>
      <c r="M120" s="412"/>
      <c r="N120" s="412"/>
      <c r="O120" s="412"/>
      <c r="P120" s="413">
        <f>SUM(compras_mes2[[#This Row],[NETO GRAVADO]:[Otros / No Grav.]])</f>
        <v>0</v>
      </c>
      <c r="Q120" s="414" t="str">
        <f>IFERROR(IF(compras_mes2[[#This Row],[CUIT]]="","-",VLOOKUP(compras_mes2[[#This Row],[CUIT]],Lista_CUIT[#All],3,0)),"CUIT NO CARGADO")</f>
        <v>-</v>
      </c>
      <c r="R120" s="414" t="str">
        <f>IFERROR(IF(compras_mes2[[#This Row],[CUIT]]="","-",VLOOKUP(compras_mes2[[#This Row],[CUIT]],Lista_CUIT[#All],4,0)),"CUIT NO CARGADO")</f>
        <v>-</v>
      </c>
    </row>
    <row r="121" spans="1:18" x14ac:dyDescent="0.25">
      <c r="B121" s="95" t="s">
        <v>110</v>
      </c>
      <c r="C121" s="95"/>
      <c r="D121" s="95"/>
      <c r="E121" s="95"/>
      <c r="F121" s="95"/>
      <c r="G121" s="96"/>
      <c r="H121" s="97">
        <f>SUBTOTAL(109,compras_mes2[NETO GRAVADO])</f>
        <v>26725598.630000003</v>
      </c>
      <c r="I121" s="97">
        <f>SUBTOTAL(109,compras_mes2[IVA 21 %])</f>
        <v>5239005.3114999989</v>
      </c>
      <c r="J121" s="97">
        <f>SUBTOTAL(109,compras_mes2[IVA 27%])</f>
        <v>45418.020300000004</v>
      </c>
      <c r="K121" s="97">
        <f>SUBTOTAL(109,compras_mes2[IVA 10,5%])</f>
        <v>169022.63595</v>
      </c>
      <c r="L121" s="97">
        <f>SUBTOTAL(109,compras_mes2[PERC. IVA])</f>
        <v>0</v>
      </c>
      <c r="M121" s="97">
        <f>SUBTOTAL(109,compras_mes2[PERC IIBB 
BS AS])</f>
        <v>0</v>
      </c>
      <c r="N121" s="97">
        <f>SUBTOTAL(109,compras_mes2[PERC. IIBB CABA])</f>
        <v>0</v>
      </c>
      <c r="O121" s="97">
        <f>SUBTOTAL(109,compras_mes2[Otros / No Grav.])</f>
        <v>17402.72</v>
      </c>
      <c r="P121" s="97">
        <f>SUBTOTAL(109,compras_mes2[TOTAL])</f>
        <v>32196447.317749996</v>
      </c>
      <c r="Q121" s="95"/>
      <c r="R121" s="95"/>
    </row>
    <row r="122" spans="1:18" x14ac:dyDescent="0.25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  <c r="M122" s="47"/>
      <c r="N122" s="47"/>
      <c r="O122" s="47"/>
      <c r="P122" s="48"/>
      <c r="Q122" s="49"/>
      <c r="R122" s="49"/>
    </row>
    <row r="123" spans="1:18" x14ac:dyDescent="0.25">
      <c r="B123" s="40"/>
      <c r="C123" s="41"/>
      <c r="D123" s="42"/>
      <c r="E123" s="43"/>
      <c r="F123" s="44"/>
      <c r="G123" s="45"/>
      <c r="H123" s="46"/>
      <c r="I123" s="47">
        <v>142029.97</v>
      </c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1:18" x14ac:dyDescent="0.25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  <c r="M124" s="47"/>
      <c r="N124" s="47"/>
      <c r="O124" s="47"/>
      <c r="P124" s="48"/>
      <c r="Q124" s="49"/>
      <c r="R124" s="49"/>
    </row>
    <row r="125" spans="1:18" x14ac:dyDescent="0.25">
      <c r="B125" s="40"/>
      <c r="C125" s="41"/>
      <c r="D125" s="42"/>
      <c r="E125" s="43"/>
      <c r="F125" s="44"/>
      <c r="G125" s="45"/>
      <c r="H125" s="46"/>
      <c r="I125" s="47"/>
      <c r="J125" s="47"/>
      <c r="K125" s="47"/>
      <c r="L125" s="47"/>
    </row>
    <row r="126" spans="1:18" ht="21" x14ac:dyDescent="0.25">
      <c r="D126" s="618" t="s">
        <v>15</v>
      </c>
      <c r="E126" s="618"/>
      <c r="F126" s="618"/>
      <c r="G126" s="618"/>
      <c r="H126" s="618"/>
      <c r="I126" s="618"/>
      <c r="J126" s="618"/>
      <c r="K126" s="618"/>
      <c r="L126" s="618"/>
    </row>
    <row r="127" spans="1:18" ht="15.75" x14ac:dyDescent="0.25">
      <c r="D127" s="73" t="s">
        <v>0</v>
      </c>
      <c r="E127" s="74" t="s">
        <v>26</v>
      </c>
      <c r="F127" s="74" t="s">
        <v>16</v>
      </c>
      <c r="G127" s="74" t="s">
        <v>5</v>
      </c>
      <c r="H127" s="74" t="s">
        <v>17</v>
      </c>
      <c r="I127" s="74" t="s">
        <v>7</v>
      </c>
      <c r="J127" s="75" t="s">
        <v>18</v>
      </c>
      <c r="K127" s="75" t="s">
        <v>19</v>
      </c>
      <c r="L127" s="76" t="s">
        <v>20</v>
      </c>
    </row>
    <row r="128" spans="1:18" x14ac:dyDescent="0.25">
      <c r="D128" s="298">
        <v>45716</v>
      </c>
      <c r="E128" s="301">
        <v>28022025</v>
      </c>
      <c r="F128" s="299" t="s">
        <v>2237</v>
      </c>
      <c r="G128" s="300">
        <v>33635</v>
      </c>
      <c r="H128" s="300">
        <f>extracto_banco_mes2[[#This Row],[NETO]]*0.21</f>
        <v>7063.3499999999995</v>
      </c>
      <c r="I128" s="300"/>
      <c r="J128" s="300"/>
      <c r="K128" s="300">
        <v>870</v>
      </c>
      <c r="L128" s="300">
        <v>1080</v>
      </c>
    </row>
    <row r="129" spans="4:12" x14ac:dyDescent="0.25">
      <c r="D129" s="298">
        <v>45716</v>
      </c>
      <c r="E129" s="301">
        <v>28022025</v>
      </c>
      <c r="F129" s="299" t="s">
        <v>2238</v>
      </c>
      <c r="G129" s="300">
        <v>33575</v>
      </c>
      <c r="H129" s="300">
        <f>extracto_banco_mes2[[#This Row],[NETO]]*0.21</f>
        <v>7050.75</v>
      </c>
      <c r="I129" s="300"/>
      <c r="J129" s="300">
        <v>65.3</v>
      </c>
      <c r="K129" s="300">
        <v>1480.6575</v>
      </c>
      <c r="L129" s="300">
        <v>310.94</v>
      </c>
    </row>
    <row r="130" spans="4:12" x14ac:dyDescent="0.25">
      <c r="D130" s="50"/>
      <c r="E130" s="301"/>
      <c r="F130" s="299"/>
      <c r="G130" s="81"/>
      <c r="H130" s="81">
        <f>extracto_banco_mes2[[#This Row],[NETO]]*0.21</f>
        <v>0</v>
      </c>
      <c r="I130" s="81"/>
      <c r="J130" s="81" t="s">
        <v>2449</v>
      </c>
      <c r="K130" s="81"/>
      <c r="L130" s="81"/>
    </row>
    <row r="131" spans="4:12" x14ac:dyDescent="0.25">
      <c r="D131" s="50"/>
      <c r="E131" s="301"/>
      <c r="F131" s="80"/>
      <c r="G131" s="81"/>
      <c r="H131" s="81">
        <f>extracto_banco_mes2[[#This Row],[NETO]]*0.21</f>
        <v>0</v>
      </c>
      <c r="I131" s="81"/>
      <c r="J131" s="81"/>
      <c r="K131" s="81"/>
      <c r="L131" s="81"/>
    </row>
    <row r="132" spans="4:12" x14ac:dyDescent="0.25">
      <c r="D132" s="50"/>
      <c r="E132" s="301"/>
      <c r="F132" s="80"/>
      <c r="G132" s="81"/>
      <c r="H132" s="81">
        <f>extracto_banco_mes2[[#This Row],[NETO]]*0.21</f>
        <v>0</v>
      </c>
      <c r="I132" s="81"/>
      <c r="J132" s="81"/>
      <c r="K132" s="81"/>
      <c r="L132" s="81"/>
    </row>
    <row r="133" spans="4:12" x14ac:dyDescent="0.25">
      <c r="D133" s="82" t="s">
        <v>110</v>
      </c>
      <c r="E133" s="80"/>
      <c r="F133" s="80"/>
      <c r="G133" s="83">
        <f>SUBTOTAL(109,extracto_banco_mes2[NETO])</f>
        <v>67210</v>
      </c>
      <c r="H133" s="83">
        <f>SUBTOTAL(109,extracto_banco_mes2[IVA 21%])</f>
        <v>14114.099999999999</v>
      </c>
      <c r="I133" s="83">
        <f>SUBTOTAL(109,extracto_banco_mes2[IVA 10,5%])</f>
        <v>0</v>
      </c>
      <c r="J133" s="83">
        <f>SUBTOTAL(109,extracto_banco_mes2[RET IIBB CABA])</f>
        <v>65.3</v>
      </c>
      <c r="K133" s="83">
        <f>SUBTOTAL(109,extracto_banco_mes2[PERC IVA])</f>
        <v>2350.6575000000003</v>
      </c>
      <c r="L133" s="83">
        <f>SUBTOTAL(109,extracto_banco_mes2[PERC IIBB])</f>
        <v>1390.94</v>
      </c>
    </row>
    <row r="137" spans="4:12" ht="21" x14ac:dyDescent="0.25">
      <c r="D137" s="618" t="s">
        <v>25</v>
      </c>
      <c r="E137" s="618"/>
      <c r="F137" s="618"/>
      <c r="G137" s="618"/>
      <c r="H137" s="618"/>
      <c r="I137" s="618"/>
      <c r="J137" s="618"/>
      <c r="K137" s="618"/>
    </row>
    <row r="138" spans="4:12" x14ac:dyDescent="0.25">
      <c r="D138" s="51" t="s">
        <v>0</v>
      </c>
      <c r="E138" s="51" t="s">
        <v>2</v>
      </c>
      <c r="F138" s="51" t="s">
        <v>74</v>
      </c>
      <c r="G138" s="51" t="s">
        <v>3</v>
      </c>
      <c r="H138" s="51" t="s">
        <v>4</v>
      </c>
      <c r="I138" s="52" t="s">
        <v>10</v>
      </c>
      <c r="J138" s="51" t="s">
        <v>13</v>
      </c>
      <c r="K138" s="51" t="s">
        <v>38</v>
      </c>
    </row>
    <row r="139" spans="4:12" x14ac:dyDescent="0.25">
      <c r="D139" s="50">
        <v>45691</v>
      </c>
      <c r="E139" s="133">
        <v>3</v>
      </c>
      <c r="F139" s="133">
        <v>928</v>
      </c>
      <c r="G139" s="134">
        <v>20086277523</v>
      </c>
      <c r="H139" s="135" t="str">
        <f>IFERROR(IF(factura_c_mes2[[#This Row],[CUIT]]="","-",VLOOKUP(factura_c_mes2[[#This Row],[CUIT]],Lista_CUIT[#All],2,0)),"CUIT NO CARGADO")</f>
        <v>BOTINDARI JUAN CARLOS</v>
      </c>
      <c r="I139" s="137">
        <v>275500</v>
      </c>
      <c r="J139" s="136" t="str">
        <f>IFERROR(IF(factura_c_mes2[[#This Row],[CUIT]]="","-",VLOOKUP(factura_c_mes2[[#This Row],[CUIT]],Lista_CUIT[#All],3,0)),"CUIT NO CARGADO")</f>
        <v>HONORARIOS</v>
      </c>
      <c r="K139" s="136">
        <f>IFERROR(IF(factura_c_mes2[[#This Row],[CUIT]]="","-",VLOOKUP(factura_c_mes2[[#This Row],[CUIT]],Lista_CUIT[#All],4,0)),"CUIT NO CARGADO")</f>
        <v>0</v>
      </c>
    </row>
    <row r="140" spans="4:12" x14ac:dyDescent="0.25">
      <c r="D140" s="50">
        <v>45691</v>
      </c>
      <c r="E140" s="133">
        <v>2</v>
      </c>
      <c r="F140" s="133">
        <v>332</v>
      </c>
      <c r="G140" s="134">
        <v>27265832178</v>
      </c>
      <c r="H140" s="135" t="str">
        <f>IFERROR(IF(factura_c_mes2[[#This Row],[CUIT]]="","-",VLOOKUP(factura_c_mes2[[#This Row],[CUIT]],Lista_CUIT[#All],2,0)),"CUIT NO CARGADO")</f>
        <v>BLASCO MARIA GUADALUPE</v>
      </c>
      <c r="I140" s="137">
        <v>3200000</v>
      </c>
      <c r="J140" s="136" t="str">
        <f>IFERROR(IF(factura_c_mes2[[#This Row],[CUIT]]="","-",VLOOKUP(factura_c_mes2[[#This Row],[CUIT]],Lista_CUIT[#All],3,0)),"CUIT NO CARGADO")</f>
        <v>PROVEEDOR</v>
      </c>
      <c r="K140" s="136">
        <f>IFERROR(IF(factura_c_mes2[[#This Row],[CUIT]]="","-",VLOOKUP(factura_c_mes2[[#This Row],[CUIT]],Lista_CUIT[#All],4,0)),"CUIT NO CARGADO")</f>
        <v>0</v>
      </c>
    </row>
    <row r="141" spans="4:12" x14ac:dyDescent="0.25">
      <c r="D141" s="50">
        <v>45692</v>
      </c>
      <c r="E141" s="133">
        <v>1</v>
      </c>
      <c r="F141" s="133">
        <v>11</v>
      </c>
      <c r="G141" s="134">
        <v>27443612713</v>
      </c>
      <c r="H141" s="135" t="str">
        <f>IFERROR(IF(factura_c_mes2[[#This Row],[CUIT]]="","-",VLOOKUP(factura_c_mes2[[#This Row],[CUIT]],Lista_CUIT[#All],2,0)),"CUIT NO CARGADO")</f>
        <v>MIGOYA MORIONDO SOFIA</v>
      </c>
      <c r="I141" s="137">
        <v>850000</v>
      </c>
      <c r="J141" s="136" t="str">
        <f>IFERROR(IF(factura_c_mes2[[#This Row],[CUIT]]="","-",VLOOKUP(factura_c_mes2[[#This Row],[CUIT]],Lista_CUIT[#All],3,0)),"CUIT NO CARGADO")</f>
        <v>GTOS ADMINISTRATIVOS</v>
      </c>
      <c r="K141" s="136">
        <f>IFERROR(IF(factura_c_mes2[[#This Row],[CUIT]]="","-",VLOOKUP(factura_c_mes2[[#This Row],[CUIT]],Lista_CUIT[#All],4,0)),"CUIT NO CARGADO")</f>
        <v>0</v>
      </c>
    </row>
    <row r="142" spans="4:12" x14ac:dyDescent="0.25">
      <c r="D142" s="50">
        <v>45695</v>
      </c>
      <c r="E142" s="133">
        <v>2</v>
      </c>
      <c r="F142" s="133">
        <v>120</v>
      </c>
      <c r="G142" s="134">
        <v>27315710508</v>
      </c>
      <c r="H142" s="135" t="str">
        <f>IFERROR(IF(factura_c_mes2[[#This Row],[CUIT]]="","-",VLOOKUP(factura_c_mes2[[#This Row],[CUIT]],Lista_CUIT[#All],2,0)),"CUIT NO CARGADO")</f>
        <v>RIVERO GABRIELA ROCIO</v>
      </c>
      <c r="I142" s="137">
        <v>43200</v>
      </c>
      <c r="J142" s="136" t="str">
        <f>IFERROR(IF(factura_c_mes2[[#This Row],[CUIT]]="","-",VLOOKUP(factura_c_mes2[[#This Row],[CUIT]],Lista_CUIT[#All],3,0)),"CUIT NO CARGADO")</f>
        <v>Serv. Informaticos</v>
      </c>
      <c r="K142" s="136">
        <f>IFERROR(IF(factura_c_mes2[[#This Row],[CUIT]]="","-",VLOOKUP(factura_c_mes2[[#This Row],[CUIT]],Lista_CUIT[#All],4,0)),"CUIT NO CARGADO")</f>
        <v>0</v>
      </c>
    </row>
    <row r="143" spans="4:12" x14ac:dyDescent="0.25">
      <c r="D143" s="50">
        <v>45698</v>
      </c>
      <c r="E143" s="133">
        <v>1</v>
      </c>
      <c r="F143" s="133">
        <v>77</v>
      </c>
      <c r="G143" s="134">
        <v>23281233084</v>
      </c>
      <c r="H143" s="135" t="str">
        <f>IFERROR(IF(factura_c_mes2[[#This Row],[CUIT]]="","-",VLOOKUP(factura_c_mes2[[#This Row],[CUIT]],Lista_CUIT[#All],2,0)),"CUIT NO CARGADO")</f>
        <v>DRUETTA ANDREA MARIEL</v>
      </c>
      <c r="I143" s="137">
        <v>270000</v>
      </c>
      <c r="J143" s="136" t="str">
        <f>IFERROR(IF(factura_c_mes2[[#This Row],[CUIT]]="","-",VLOOKUP(factura_c_mes2[[#This Row],[CUIT]],Lista_CUIT[#All],3,0)),"CUIT NO CARGADO")</f>
        <v>TECNICO</v>
      </c>
      <c r="K143" s="136">
        <f>IFERROR(IF(factura_c_mes2[[#This Row],[CUIT]]="","-",VLOOKUP(factura_c_mes2[[#This Row],[CUIT]],Lista_CUIT[#All],4,0)),"CUIT NO CARGADO")</f>
        <v>0</v>
      </c>
    </row>
    <row r="144" spans="4:12" x14ac:dyDescent="0.25">
      <c r="D144" s="50">
        <v>45700</v>
      </c>
      <c r="E144" s="133">
        <v>3</v>
      </c>
      <c r="F144" s="133">
        <v>10348</v>
      </c>
      <c r="G144" s="134">
        <v>20167634436</v>
      </c>
      <c r="H144" s="135" t="str">
        <f>IFERROR(IF(factura_c_mes2[[#This Row],[CUIT]]="","-",VLOOKUP(factura_c_mes2[[#This Row],[CUIT]],Lista_CUIT[#All],2,0)),"CUIT NO CARGADO")</f>
        <v>DEMARIA AUGUSTO CARLOS</v>
      </c>
      <c r="I144" s="137">
        <v>5015.08</v>
      </c>
      <c r="J144" s="136" t="str">
        <f>IFERROR(IF(factura_c_mes2[[#This Row],[CUIT]]="","-",VLOOKUP(factura_c_mes2[[#This Row],[CUIT]],Lista_CUIT[#All],3,0)),"CUIT NO CARGADO")</f>
        <v>Gastos Varios</v>
      </c>
      <c r="K144" s="136">
        <f>IFERROR(IF(factura_c_mes2[[#This Row],[CUIT]]="","-",VLOOKUP(factura_c_mes2[[#This Row],[CUIT]],Lista_CUIT[#All],4,0)),"CUIT NO CARGADO")</f>
        <v>0</v>
      </c>
    </row>
    <row r="145" spans="4:11" x14ac:dyDescent="0.25">
      <c r="D145" s="50">
        <v>45700</v>
      </c>
      <c r="E145" s="133">
        <v>1</v>
      </c>
      <c r="F145" s="133">
        <v>21</v>
      </c>
      <c r="G145" s="134">
        <v>20464199633</v>
      </c>
      <c r="H145" s="135" t="str">
        <f>IFERROR(IF(factura_c_mes2[[#This Row],[CUIT]]="","-",VLOOKUP(factura_c_mes2[[#This Row],[CUIT]],Lista_CUIT[#All],2,0)),"CUIT NO CARGADO")</f>
        <v>OVIEDO JIMENEZ TIZIANO LIONEL</v>
      </c>
      <c r="I145" s="137">
        <v>505050</v>
      </c>
      <c r="J145" s="136" t="str">
        <f>IFERROR(IF(factura_c_mes2[[#This Row],[CUIT]]="","-",VLOOKUP(factura_c_mes2[[#This Row],[CUIT]],Lista_CUIT[#All],3,0)),"CUIT NO CARGADO")</f>
        <v>Insumos</v>
      </c>
      <c r="K145" s="136">
        <f>IFERROR(IF(factura_c_mes2[[#This Row],[CUIT]]="","-",VLOOKUP(factura_c_mes2[[#This Row],[CUIT]],Lista_CUIT[#All],4,0)),"CUIT NO CARGADO")</f>
        <v>0</v>
      </c>
    </row>
    <row r="146" spans="4:11" x14ac:dyDescent="0.25">
      <c r="D146" s="50">
        <v>45705</v>
      </c>
      <c r="E146" s="133">
        <v>1</v>
      </c>
      <c r="F146" s="133">
        <v>20</v>
      </c>
      <c r="G146" s="134">
        <v>27443612705</v>
      </c>
      <c r="H146" s="135" t="str">
        <f>IFERROR(IF(factura_c_mes2[[#This Row],[CUIT]]="","-",VLOOKUP(factura_c_mes2[[#This Row],[CUIT]],Lista_CUIT[#All],2,0)),"CUIT NO CARGADO")</f>
        <v>MIGOYA MORIONDO MARIA INES</v>
      </c>
      <c r="I146" s="137">
        <v>450000</v>
      </c>
      <c r="J146" s="136" t="str">
        <f>IFERROR(IF(factura_c_mes2[[#This Row],[CUIT]]="","-",VLOOKUP(factura_c_mes2[[#This Row],[CUIT]],Lista_CUIT[#All],3,0)),"CUIT NO CARGADO")</f>
        <v>GTOS ADMINISTRATIVOS</v>
      </c>
      <c r="K146" s="136">
        <f>IFERROR(IF(factura_c_mes2[[#This Row],[CUIT]]="","-",VLOOKUP(factura_c_mes2[[#This Row],[CUIT]],Lista_CUIT[#All],4,0)),"CUIT NO CARGADO")</f>
        <v>0</v>
      </c>
    </row>
    <row r="147" spans="4:11" x14ac:dyDescent="0.25">
      <c r="D147" s="50">
        <v>45707</v>
      </c>
      <c r="E147" s="133">
        <v>1</v>
      </c>
      <c r="F147" s="133">
        <v>21</v>
      </c>
      <c r="G147" s="134">
        <v>27443612705</v>
      </c>
      <c r="H147" s="135" t="str">
        <f>IFERROR(IF(factura_c_mes2[[#This Row],[CUIT]]="","-",VLOOKUP(factura_c_mes2[[#This Row],[CUIT]],Lista_CUIT[#All],2,0)),"CUIT NO CARGADO")</f>
        <v>MIGOYA MORIONDO MARIA INES</v>
      </c>
      <c r="I147" s="137">
        <v>450000</v>
      </c>
      <c r="J147" s="136" t="str">
        <f>IFERROR(IF(factura_c_mes2[[#This Row],[CUIT]]="","-",VLOOKUP(factura_c_mes2[[#This Row],[CUIT]],Lista_CUIT[#All],3,0)),"CUIT NO CARGADO")</f>
        <v>GTOS ADMINISTRATIVOS</v>
      </c>
      <c r="K147" s="136">
        <f>IFERROR(IF(factura_c_mes2[[#This Row],[CUIT]]="","-",VLOOKUP(factura_c_mes2[[#This Row],[CUIT]],Lista_CUIT[#All],4,0)),"CUIT NO CARGADO")</f>
        <v>0</v>
      </c>
    </row>
    <row r="148" spans="4:11" x14ac:dyDescent="0.25">
      <c r="D148" s="50">
        <v>45709</v>
      </c>
      <c r="E148" s="133">
        <v>3</v>
      </c>
      <c r="F148" s="133">
        <v>21</v>
      </c>
      <c r="G148" s="134">
        <v>20182095215</v>
      </c>
      <c r="H148" s="135" t="str">
        <f>IFERROR(IF(factura_c_mes2[[#This Row],[CUIT]]="","-",VLOOKUP(factura_c_mes2[[#This Row],[CUIT]],Lista_CUIT[#All],2,0)),"CUIT NO CARGADO")</f>
        <v>CESAR ALBERTO MIGOYA</v>
      </c>
      <c r="I148" s="137">
        <v>550000</v>
      </c>
      <c r="J148" s="136" t="str">
        <f>IFERROR(IF(factura_c_mes2[[#This Row],[CUIT]]="","-",VLOOKUP(factura_c_mes2[[#This Row],[CUIT]],Lista_CUIT[#All],3,0)),"CUIT NO CARGADO")</f>
        <v>ALQUILER LOCAL</v>
      </c>
      <c r="K148" s="136">
        <f>IFERROR(IF(factura_c_mes2[[#This Row],[CUIT]]="","-",VLOOKUP(factura_c_mes2[[#This Row],[CUIT]],Lista_CUIT[#All],4,0)),"CUIT NO CARGADO")</f>
        <v>0</v>
      </c>
    </row>
    <row r="149" spans="4:11" x14ac:dyDescent="0.25">
      <c r="D149" s="50">
        <v>45715</v>
      </c>
      <c r="E149" s="133">
        <v>1</v>
      </c>
      <c r="F149" s="133">
        <v>6</v>
      </c>
      <c r="G149" s="134">
        <v>27122903201</v>
      </c>
      <c r="H149" s="135" t="str">
        <f>IFERROR(IF(factura_c_mes2[[#This Row],[CUIT]]="","-",VLOOKUP(factura_c_mes2[[#This Row],[CUIT]],Lista_CUIT[#All],2,0)),"CUIT NO CARGADO")</f>
        <v>ARCE RAQUEL INES</v>
      </c>
      <c r="I149" s="137">
        <v>5200000</v>
      </c>
      <c r="J149" s="136" t="str">
        <f>IFERROR(IF(factura_c_mes2[[#This Row],[CUIT]]="","-",VLOOKUP(factura_c_mes2[[#This Row],[CUIT]],Lista_CUIT[#All],3,0)),"CUIT NO CARGADO")</f>
        <v>Insumos</v>
      </c>
      <c r="K149" s="136">
        <f>IFERROR(IF(factura_c_mes2[[#This Row],[CUIT]]="","-",VLOOKUP(factura_c_mes2[[#This Row],[CUIT]],Lista_CUIT[#All],4,0)),"CUIT NO CARGADO")</f>
        <v>0</v>
      </c>
    </row>
    <row r="150" spans="4:11" x14ac:dyDescent="0.25">
      <c r="D150" s="50">
        <v>45715</v>
      </c>
      <c r="E150" s="133">
        <v>1</v>
      </c>
      <c r="F150" s="133">
        <v>14</v>
      </c>
      <c r="G150" s="134">
        <v>20311855671</v>
      </c>
      <c r="H150" s="135" t="str">
        <f>IFERROR(IF(factura_c_mes2[[#This Row],[CUIT]]="","-",VLOOKUP(factura_c_mes2[[#This Row],[CUIT]],Lista_CUIT[#All],2,0)),"CUIT NO CARGADO")</f>
        <v>GUASCH HECTOR RAUL</v>
      </c>
      <c r="I150" s="137">
        <v>430000</v>
      </c>
      <c r="J150" s="136" t="str">
        <f>IFERROR(IF(factura_c_mes2[[#This Row],[CUIT]]="","-",VLOOKUP(factura_c_mes2[[#This Row],[CUIT]],Lista_CUIT[#All],3,0)),"CUIT NO CARGADO")</f>
        <v>Insumos</v>
      </c>
      <c r="K150" s="136">
        <f>IFERROR(IF(factura_c_mes2[[#This Row],[CUIT]]="","-",VLOOKUP(factura_c_mes2[[#This Row],[CUIT]],Lista_CUIT[#All],4,0)),"CUIT NO CARGADO")</f>
        <v>0</v>
      </c>
    </row>
    <row r="151" spans="4:11" x14ac:dyDescent="0.25">
      <c r="D151" s="50"/>
      <c r="E151" s="133"/>
      <c r="F151" s="133"/>
      <c r="G151" s="134"/>
      <c r="H151" s="135" t="str">
        <f>IFERROR(IF(factura_c_mes2[[#This Row],[CUIT]]="","-",VLOOKUP(factura_c_mes2[[#This Row],[CUIT]],Lista_CUIT[#All],2,0)),"CUIT NO CARGADO")</f>
        <v>-</v>
      </c>
      <c r="I151" s="137"/>
      <c r="J151" s="136" t="str">
        <f>IFERROR(IF(factura_c_mes2[[#This Row],[CUIT]]="","-",VLOOKUP(factura_c_mes2[[#This Row],[CUIT]],Lista_CUIT[#All],3,0)),"CUIT NO CARGADO")</f>
        <v>-</v>
      </c>
      <c r="K151" s="136" t="str">
        <f>IFERROR(IF(factura_c_mes2[[#This Row],[CUIT]]="","-",VLOOKUP(factura_c_mes2[[#This Row],[CUIT]],Lista_CUIT[#All],4,0)),"CUIT NO CARGADO")</f>
        <v>-</v>
      </c>
    </row>
    <row r="152" spans="4:11" x14ac:dyDescent="0.25">
      <c r="D152" s="50"/>
      <c r="E152" s="133"/>
      <c r="F152" s="133"/>
      <c r="G152" s="134"/>
      <c r="H152" s="135" t="str">
        <f>IFERROR(IF(factura_c_mes2[[#This Row],[CUIT]]="","-",VLOOKUP(factura_c_mes2[[#This Row],[CUIT]],Lista_CUIT[#All],2,0)),"CUIT NO CARGADO")</f>
        <v>-</v>
      </c>
      <c r="I152" s="137"/>
      <c r="J152" s="136" t="str">
        <f>IFERROR(IF(factura_c_mes2[[#This Row],[CUIT]]="","-",VLOOKUP(factura_c_mes2[[#This Row],[CUIT]],Lista_CUIT[#All],3,0)),"CUIT NO CARGADO")</f>
        <v>-</v>
      </c>
      <c r="K152" s="136" t="str">
        <f>IFERROR(IF(factura_c_mes2[[#This Row],[CUIT]]="","-",VLOOKUP(factura_c_mes2[[#This Row],[CUIT]],Lista_CUIT[#All],4,0)),"CUIT NO CARGADO")</f>
        <v>-</v>
      </c>
    </row>
    <row r="153" spans="4:11" x14ac:dyDescent="0.25">
      <c r="D153" s="50"/>
      <c r="E153" s="133"/>
      <c r="F153" s="133"/>
      <c r="G153" s="134"/>
      <c r="H153" s="135" t="str">
        <f>IFERROR(IF(factura_c_mes2[[#This Row],[CUIT]]="","-",VLOOKUP(factura_c_mes2[[#This Row],[CUIT]],Lista_CUIT[#All],2,0)),"CUIT NO CARGADO")</f>
        <v>-</v>
      </c>
      <c r="I153" s="137"/>
      <c r="J153" s="136" t="str">
        <f>IFERROR(IF(factura_c_mes2[[#This Row],[CUIT]]="","-",VLOOKUP(factura_c_mes2[[#This Row],[CUIT]],Lista_CUIT[#All],3,0)),"CUIT NO CARGADO")</f>
        <v>-</v>
      </c>
      <c r="K153" s="136" t="str">
        <f>IFERROR(IF(factura_c_mes2[[#This Row],[CUIT]]="","-",VLOOKUP(factura_c_mes2[[#This Row],[CUIT]],Lista_CUIT[#All],4,0)),"CUIT NO CARGADO")</f>
        <v>-</v>
      </c>
    </row>
    <row r="154" spans="4:11" x14ac:dyDescent="0.25">
      <c r="D154" s="50"/>
      <c r="E154" s="133"/>
      <c r="F154" s="133"/>
      <c r="G154" s="134"/>
      <c r="H154" s="135" t="str">
        <f>IFERROR(IF(factura_c_mes2[[#This Row],[CUIT]]="","-",VLOOKUP(factura_c_mes2[[#This Row],[CUIT]],Lista_CUIT[#All],2,0)),"CUIT NO CARGADO")</f>
        <v>-</v>
      </c>
      <c r="I154" s="137"/>
      <c r="J154" s="136" t="str">
        <f>IFERROR(IF(factura_c_mes2[[#This Row],[CUIT]]="","-",VLOOKUP(factura_c_mes2[[#This Row],[CUIT]],Lista_CUIT[#All],3,0)),"CUIT NO CARGADO")</f>
        <v>-</v>
      </c>
      <c r="K154" s="136" t="str">
        <f>IFERROR(IF(factura_c_mes2[[#This Row],[CUIT]]="","-",VLOOKUP(factura_c_mes2[[#This Row],[CUIT]],Lista_CUIT[#All],4,0)),"CUIT NO CARGADO")</f>
        <v>-</v>
      </c>
    </row>
    <row r="155" spans="4:11" x14ac:dyDescent="0.25">
      <c r="D155" s="50"/>
      <c r="E155" s="133"/>
      <c r="F155" s="133"/>
      <c r="G155" s="134"/>
      <c r="H155" s="135" t="str">
        <f>IFERROR(IF(factura_c_mes2[[#This Row],[CUIT]]="","-",VLOOKUP(factura_c_mes2[[#This Row],[CUIT]],Lista_CUIT[#All],2,0)),"CUIT NO CARGADO")</f>
        <v>-</v>
      </c>
      <c r="I155" s="137"/>
      <c r="J155" s="136" t="str">
        <f>IFERROR(IF(factura_c_mes2[[#This Row],[CUIT]]="","-",VLOOKUP(factura_c_mes2[[#This Row],[CUIT]],Lista_CUIT[#All],3,0)),"CUIT NO CARGADO")</f>
        <v>-</v>
      </c>
      <c r="K155" s="136" t="str">
        <f>IFERROR(IF(factura_c_mes2[[#This Row],[CUIT]]="","-",VLOOKUP(factura_c_mes2[[#This Row],[CUIT]],Lista_CUIT[#All],4,0)),"CUIT NO CARGADO")</f>
        <v>-</v>
      </c>
    </row>
    <row r="156" spans="4:11" x14ac:dyDescent="0.25">
      <c r="D156" s="50"/>
      <c r="E156" s="133"/>
      <c r="F156" s="133"/>
      <c r="G156" s="134"/>
      <c r="H156" s="135" t="str">
        <f>IFERROR(IF(factura_c_mes2[[#This Row],[CUIT]]="","-",VLOOKUP(factura_c_mes2[[#This Row],[CUIT]],Lista_CUIT[#All],2,0)),"CUIT NO CARGADO")</f>
        <v>-</v>
      </c>
      <c r="I156" s="137"/>
      <c r="J156" s="136" t="str">
        <f>IFERROR(IF(factura_c_mes2[[#This Row],[CUIT]]="","-",VLOOKUP(factura_c_mes2[[#This Row],[CUIT]],Lista_CUIT[#All],3,0)),"CUIT NO CARGADO")</f>
        <v>-</v>
      </c>
      <c r="K156" s="136" t="str">
        <f>IFERROR(IF(factura_c_mes2[[#This Row],[CUIT]]="","-",VLOOKUP(factura_c_mes2[[#This Row],[CUIT]],Lista_CUIT[#All],4,0)),"CUIT NO CARGADO")</f>
        <v>-</v>
      </c>
    </row>
    <row r="157" spans="4:11" x14ac:dyDescent="0.25">
      <c r="D157" s="50"/>
      <c r="E157" s="133"/>
      <c r="F157" s="133"/>
      <c r="G157" s="134"/>
      <c r="H157" s="135" t="str">
        <f>IFERROR(IF(factura_c_mes2[[#This Row],[CUIT]]="","-",VLOOKUP(factura_c_mes2[[#This Row],[CUIT]],Lista_CUIT[#All],2,0)),"CUIT NO CARGADO")</f>
        <v>-</v>
      </c>
      <c r="I157" s="137"/>
      <c r="J157" s="136" t="str">
        <f>IFERROR(IF(factura_c_mes2[[#This Row],[CUIT]]="","-",VLOOKUP(factura_c_mes2[[#This Row],[CUIT]],Lista_CUIT[#All],3,0)),"CUIT NO CARGADO")</f>
        <v>-</v>
      </c>
      <c r="K157" s="136" t="str">
        <f>IFERROR(IF(factura_c_mes2[[#This Row],[CUIT]]="","-",VLOOKUP(factura_c_mes2[[#This Row],[CUIT]],Lista_CUIT[#All],4,0)),"CUIT NO CARGADO")</f>
        <v>-</v>
      </c>
    </row>
    <row r="158" spans="4:11" x14ac:dyDescent="0.25">
      <c r="D158" s="50"/>
      <c r="E158" s="133"/>
      <c r="F158" s="133"/>
      <c r="G158" s="134"/>
      <c r="H158" s="135" t="str">
        <f>IFERROR(IF(factura_c_mes2[[#This Row],[CUIT]]="","-",VLOOKUP(factura_c_mes2[[#This Row],[CUIT]],Lista_CUIT[#All],2,0)),"CUIT NO CARGADO")</f>
        <v>-</v>
      </c>
      <c r="I158" s="137"/>
      <c r="J158" s="136" t="str">
        <f>IFERROR(IF(factura_c_mes2[[#This Row],[CUIT]]="","-",VLOOKUP(factura_c_mes2[[#This Row],[CUIT]],Lista_CUIT[#All],3,0)),"CUIT NO CARGADO")</f>
        <v>-</v>
      </c>
      <c r="K158" s="136" t="str">
        <f>IFERROR(IF(factura_c_mes2[[#This Row],[CUIT]]="","-",VLOOKUP(factura_c_mes2[[#This Row],[CUIT]],Lista_CUIT[#All],4,0)),"CUIT NO CARGADO")</f>
        <v>-</v>
      </c>
    </row>
    <row r="159" spans="4:11" x14ac:dyDescent="0.25">
      <c r="D159" s="50"/>
      <c r="E159" s="133"/>
      <c r="F159" s="133"/>
      <c r="G159" s="134"/>
      <c r="H159" s="135" t="str">
        <f>IFERROR(IF(factura_c_mes2[[#This Row],[CUIT]]="","-",VLOOKUP(factura_c_mes2[[#This Row],[CUIT]],Lista_CUIT[#All],2,0)),"CUIT NO CARGADO")</f>
        <v>-</v>
      </c>
      <c r="I159" s="137"/>
      <c r="J159" s="136" t="str">
        <f>IFERROR(IF(factura_c_mes2[[#This Row],[CUIT]]="","-",VLOOKUP(factura_c_mes2[[#This Row],[CUIT]],Lista_CUIT[#All],3,0)),"CUIT NO CARGADO")</f>
        <v>-</v>
      </c>
      <c r="K159" s="136" t="str">
        <f>IFERROR(IF(factura_c_mes2[[#This Row],[CUIT]]="","-",VLOOKUP(factura_c_mes2[[#This Row],[CUIT]],Lista_CUIT[#All],4,0)),"CUIT NO CARGADO")</f>
        <v>-</v>
      </c>
    </row>
    <row r="160" spans="4:11" x14ac:dyDescent="0.25">
      <c r="D160" s="50"/>
      <c r="E160" s="133"/>
      <c r="F160" s="133"/>
      <c r="G160" s="134"/>
      <c r="H160" s="135" t="str">
        <f>IFERROR(IF(factura_c_mes2[[#This Row],[CUIT]]="","-",VLOOKUP(factura_c_mes2[[#This Row],[CUIT]],Lista_CUIT[#All],2,0)),"CUIT NO CARGADO")</f>
        <v>-</v>
      </c>
      <c r="I160" s="137"/>
      <c r="J160" s="136" t="str">
        <f>IFERROR(IF(factura_c_mes2[[#This Row],[CUIT]]="","-",VLOOKUP(factura_c_mes2[[#This Row],[CUIT]],Lista_CUIT[#All],3,0)),"CUIT NO CARGADO")</f>
        <v>-</v>
      </c>
      <c r="K160" s="136" t="str">
        <f>IFERROR(IF(factura_c_mes2[[#This Row],[CUIT]]="","-",VLOOKUP(factura_c_mes2[[#This Row],[CUIT]],Lista_CUIT[#All],4,0)),"CUIT NO CARGADO")</f>
        <v>-</v>
      </c>
    </row>
    <row r="161" spans="2:18" x14ac:dyDescent="0.25">
      <c r="D161" s="50"/>
      <c r="E161" s="133"/>
      <c r="F161" s="133"/>
      <c r="G161" s="134"/>
      <c r="H161" s="135" t="str">
        <f>IFERROR(IF(factura_c_mes2[[#This Row],[CUIT]]="","-",VLOOKUP(factura_c_mes2[[#This Row],[CUIT]],Lista_CUIT[#All],2,0)),"CUIT NO CARGADO")</f>
        <v>-</v>
      </c>
      <c r="I161" s="137"/>
      <c r="J161" s="136" t="str">
        <f>IFERROR(IF(factura_c_mes2[[#This Row],[CUIT]]="","-",VLOOKUP(factura_c_mes2[[#This Row],[CUIT]],Lista_CUIT[#All],3,0)),"CUIT NO CARGADO")</f>
        <v>-</v>
      </c>
      <c r="K161" s="136" t="str">
        <f>IFERROR(IF(factura_c_mes2[[#This Row],[CUIT]]="","-",VLOOKUP(factura_c_mes2[[#This Row],[CUIT]],Lista_CUIT[#All],4,0)),"CUIT NO CARGADO")</f>
        <v>-</v>
      </c>
    </row>
    <row r="162" spans="2:18" x14ac:dyDescent="0.25">
      <c r="D162" s="50"/>
      <c r="E162" s="133"/>
      <c r="F162" s="133"/>
      <c r="G162" s="134"/>
      <c r="H162" s="135" t="str">
        <f>IFERROR(IF(factura_c_mes2[[#This Row],[CUIT]]="","-",VLOOKUP(factura_c_mes2[[#This Row],[CUIT]],Lista_CUIT[#All],2,0)),"CUIT NO CARGADO")</f>
        <v>-</v>
      </c>
      <c r="I162" s="137"/>
      <c r="J162" s="136" t="str">
        <f>IFERROR(IF(factura_c_mes2[[#This Row],[CUIT]]="","-",VLOOKUP(factura_c_mes2[[#This Row],[CUIT]],Lista_CUIT[#All],3,0)),"CUIT NO CARGADO")</f>
        <v>-</v>
      </c>
      <c r="K162" s="136" t="str">
        <f>IFERROR(IF(factura_c_mes2[[#This Row],[CUIT]]="","-",VLOOKUP(factura_c_mes2[[#This Row],[CUIT]],Lista_CUIT[#All],4,0)),"CUIT NO CARGADO")</f>
        <v>-</v>
      </c>
    </row>
    <row r="163" spans="2:18" x14ac:dyDescent="0.25">
      <c r="D163" s="50"/>
      <c r="E163" s="133"/>
      <c r="F163" s="133"/>
      <c r="G163" s="134"/>
      <c r="H163" s="135" t="str">
        <f>IFERROR(IF(factura_c_mes2[[#This Row],[CUIT]]="","-",VLOOKUP(factura_c_mes2[[#This Row],[CUIT]],Lista_CUIT[#All],2,0)),"CUIT NO CARGADO")</f>
        <v>-</v>
      </c>
      <c r="I163" s="137"/>
      <c r="J163" s="136" t="str">
        <f>IFERROR(IF(factura_c_mes2[[#This Row],[CUIT]]="","-",VLOOKUP(factura_c_mes2[[#This Row],[CUIT]],Lista_CUIT[#All],3,0)),"CUIT NO CARGADO")</f>
        <v>-</v>
      </c>
      <c r="K163" s="136" t="str">
        <f>IFERROR(IF(factura_c_mes2[[#This Row],[CUIT]]="","-",VLOOKUP(factura_c_mes2[[#This Row],[CUIT]],Lista_CUIT[#All],4,0)),"CUIT NO CARGADO")</f>
        <v>-</v>
      </c>
    </row>
    <row r="164" spans="2:18" x14ac:dyDescent="0.25">
      <c r="D164" s="50"/>
      <c r="E164" s="133"/>
      <c r="F164" s="133"/>
      <c r="G164" s="134"/>
      <c r="H164" s="135" t="str">
        <f>IFERROR(IF(factura_c_mes2[[#This Row],[CUIT]]="","-",VLOOKUP(factura_c_mes2[[#This Row],[CUIT]],Lista_CUIT[#All],2,0)),"CUIT NO CARGADO")</f>
        <v>-</v>
      </c>
      <c r="I164" s="137"/>
      <c r="J164" s="136" t="str">
        <f>IFERROR(IF(factura_c_mes2[[#This Row],[CUIT]]="","-",VLOOKUP(factura_c_mes2[[#This Row],[CUIT]],Lista_CUIT[#All],3,0)),"CUIT NO CARGADO")</f>
        <v>-</v>
      </c>
      <c r="K164" s="136" t="str">
        <f>IFERROR(IF(factura_c_mes2[[#This Row],[CUIT]]="","-",VLOOKUP(factura_c_mes2[[#This Row],[CUIT]],Lista_CUIT[#All],4,0)),"CUIT NO CARGADO")</f>
        <v>-</v>
      </c>
    </row>
    <row r="165" spans="2:18" x14ac:dyDescent="0.25">
      <c r="D165" s="50"/>
      <c r="E165" s="133"/>
      <c r="F165" s="133"/>
      <c r="G165" s="134"/>
      <c r="H165" s="135" t="str">
        <f>IFERROR(IF(factura_c_mes2[[#This Row],[CUIT]]="","-",VLOOKUP(factura_c_mes2[[#This Row],[CUIT]],Lista_CUIT[#All],2,0)),"CUIT NO CARGADO")</f>
        <v>-</v>
      </c>
      <c r="I165" s="137"/>
      <c r="J165" s="136" t="str">
        <f>IFERROR(IF(factura_c_mes2[[#This Row],[CUIT]]="","-",VLOOKUP(factura_c_mes2[[#This Row],[CUIT]],Lista_CUIT[#All],3,0)),"CUIT NO CARGADO")</f>
        <v>-</v>
      </c>
      <c r="K165" s="136" t="str">
        <f>IFERROR(IF(factura_c_mes2[[#This Row],[CUIT]]="","-",VLOOKUP(factura_c_mes2[[#This Row],[CUIT]],Lista_CUIT[#All],4,0)),"CUIT NO CARGADO")</f>
        <v>-</v>
      </c>
    </row>
    <row r="166" spans="2:18" x14ac:dyDescent="0.25">
      <c r="D166" s="50"/>
      <c r="E166" s="133"/>
      <c r="F166" s="133"/>
      <c r="G166" s="134"/>
      <c r="H166" s="135" t="str">
        <f>IFERROR(IF(factura_c_mes2[[#This Row],[CUIT]]="","-",VLOOKUP(factura_c_mes2[[#This Row],[CUIT]],Lista_CUIT[#All],2,0)),"CUIT NO CARGADO")</f>
        <v>-</v>
      </c>
      <c r="I166" s="137"/>
      <c r="J166" s="136" t="str">
        <f>IFERROR(IF(factura_c_mes2[[#This Row],[CUIT]]="","-",VLOOKUP(factura_c_mes2[[#This Row],[CUIT]],Lista_CUIT[#All],3,0)),"CUIT NO CARGADO")</f>
        <v>-</v>
      </c>
      <c r="K166" s="136" t="str">
        <f>IFERROR(IF(factura_c_mes2[[#This Row],[CUIT]]="","-",VLOOKUP(factura_c_mes2[[#This Row],[CUIT]],Lista_CUIT[#All],4,0)),"CUIT NO CARGADO")</f>
        <v>-</v>
      </c>
    </row>
    <row r="167" spans="2:18" x14ac:dyDescent="0.25">
      <c r="D167" s="50"/>
      <c r="E167" s="133"/>
      <c r="F167" s="133"/>
      <c r="G167" s="134"/>
      <c r="H167" s="135" t="str">
        <f>IFERROR(IF(factura_c_mes2[[#This Row],[CUIT]]="","-",VLOOKUP(factura_c_mes2[[#This Row],[CUIT]],Lista_CUIT[#All],2,0)),"CUIT NO CARGADO")</f>
        <v>-</v>
      </c>
      <c r="I167" s="137"/>
      <c r="J167" s="136" t="str">
        <f>IFERROR(IF(factura_c_mes2[[#This Row],[CUIT]]="","-",VLOOKUP(factura_c_mes2[[#This Row],[CUIT]],Lista_CUIT[#All],3,0)),"CUIT NO CARGADO")</f>
        <v>-</v>
      </c>
      <c r="K167" s="136" t="str">
        <f>IFERROR(IF(factura_c_mes2[[#This Row],[CUIT]]="","-",VLOOKUP(factura_c_mes2[[#This Row],[CUIT]],Lista_CUIT[#All],4,0)),"CUIT NO CARGADO")</f>
        <v>-</v>
      </c>
    </row>
    <row r="168" spans="2:18" x14ac:dyDescent="0.25">
      <c r="D168" s="50"/>
      <c r="E168" s="133"/>
      <c r="F168" s="133"/>
      <c r="G168" s="134"/>
      <c r="H168" s="135" t="str">
        <f>IFERROR(IF(factura_c_mes2[[#This Row],[CUIT]]="","-",VLOOKUP(factura_c_mes2[[#This Row],[CUIT]],Lista_CUIT[#All],2,0)),"CUIT NO CARGADO")</f>
        <v>-</v>
      </c>
      <c r="I168" s="137"/>
      <c r="J168" s="136" t="str">
        <f>IFERROR(IF(factura_c_mes2[[#This Row],[CUIT]]="","-",VLOOKUP(factura_c_mes2[[#This Row],[CUIT]],Lista_CUIT[#All],3,0)),"CUIT NO CARGADO")</f>
        <v>-</v>
      </c>
      <c r="K168" s="136" t="str">
        <f>IFERROR(IF(factura_c_mes2[[#This Row],[CUIT]]="","-",VLOOKUP(factura_c_mes2[[#This Row],[CUIT]],Lista_CUIT[#All],4,0)),"CUIT NO CARGADO")</f>
        <v>-</v>
      </c>
    </row>
    <row r="169" spans="2:18" x14ac:dyDescent="0.25">
      <c r="D169" s="50"/>
      <c r="E169" s="133"/>
      <c r="F169" s="133"/>
      <c r="G169" s="134"/>
      <c r="H169" s="135" t="str">
        <f>IFERROR(IF(factura_c_mes2[[#This Row],[CUIT]]="","-",VLOOKUP(factura_c_mes2[[#This Row],[CUIT]],Lista_CUIT[#All],2,0)),"CUIT NO CARGADO")</f>
        <v>-</v>
      </c>
      <c r="I169" s="137"/>
      <c r="J169" s="136" t="str">
        <f>IFERROR(IF(factura_c_mes2[[#This Row],[CUIT]]="","-",VLOOKUP(factura_c_mes2[[#This Row],[CUIT]],Lista_CUIT[#All],3,0)),"CUIT NO CARGADO")</f>
        <v>-</v>
      </c>
      <c r="K169" s="136" t="str">
        <f>IFERROR(IF(factura_c_mes2[[#This Row],[CUIT]]="","-",VLOOKUP(factura_c_mes2[[#This Row],[CUIT]],Lista_CUIT[#All],4,0)),"CUIT NO CARGADO")</f>
        <v>-</v>
      </c>
    </row>
    <row r="170" spans="2:18" x14ac:dyDescent="0.25">
      <c r="D170" s="425" t="s">
        <v>110</v>
      </c>
      <c r="E170" s="425"/>
      <c r="F170" s="425"/>
      <c r="G170" s="425"/>
      <c r="H170" s="426"/>
      <c r="I170" s="427">
        <f>SUBTOTAL(109,factura_c_mes2[TOTAL])</f>
        <v>12228765.08</v>
      </c>
      <c r="J170" s="425"/>
      <c r="K170" s="425"/>
    </row>
    <row r="171" spans="2:18" x14ac:dyDescent="0.25">
      <c r="B171" s="56"/>
      <c r="C171" s="56"/>
      <c r="G171" s="35"/>
      <c r="L171" s="56"/>
      <c r="M171" s="56"/>
      <c r="N171" s="56"/>
      <c r="O171" s="56"/>
      <c r="P171" s="56"/>
      <c r="Q171" s="56"/>
      <c r="R171" s="56"/>
    </row>
    <row r="176" spans="2:18" ht="26.25" x14ac:dyDescent="0.25">
      <c r="B176" s="629" t="s">
        <v>29</v>
      </c>
      <c r="C176" s="629"/>
      <c r="D176" s="629"/>
      <c r="E176" s="629"/>
      <c r="F176" s="629"/>
      <c r="G176" s="629"/>
      <c r="H176" s="629"/>
      <c r="I176" s="629"/>
      <c r="J176" s="629"/>
      <c r="K176" s="630">
        <f>N1</f>
        <v>45689</v>
      </c>
      <c r="L176" s="630"/>
      <c r="M176" s="630"/>
    </row>
    <row r="178" spans="2:13" ht="21" x14ac:dyDescent="0.25">
      <c r="B178" s="631" t="s">
        <v>30</v>
      </c>
      <c r="C178" s="631"/>
    </row>
    <row r="179" spans="2:13" ht="15.75" x14ac:dyDescent="0.25">
      <c r="B179" s="60" t="s">
        <v>0</v>
      </c>
      <c r="C179" s="61" t="s">
        <v>1</v>
      </c>
      <c r="D179" s="61" t="s">
        <v>21</v>
      </c>
      <c r="E179" s="61" t="s">
        <v>22</v>
      </c>
      <c r="F179" s="61" t="s">
        <v>3</v>
      </c>
      <c r="G179" s="61" t="s">
        <v>4</v>
      </c>
      <c r="H179" s="61" t="s">
        <v>23</v>
      </c>
      <c r="I179" s="61" t="s">
        <v>17</v>
      </c>
      <c r="J179" s="61" t="s">
        <v>7</v>
      </c>
      <c r="K179" s="61" t="s">
        <v>24</v>
      </c>
      <c r="L179" s="61" t="s">
        <v>10</v>
      </c>
      <c r="M179" s="62" t="s">
        <v>38</v>
      </c>
    </row>
    <row r="180" spans="2:13" x14ac:dyDescent="0.25">
      <c r="B180" s="40"/>
      <c r="C180" s="41"/>
      <c r="D180" s="42"/>
      <c r="E180" s="43"/>
      <c r="F180" s="44"/>
      <c r="G180" s="98" t="str">
        <f>IFERROR(IF(venta_a_mes2[[#This Row],[CUIT]]="","-",VLOOKUP(venta_a_mes2[[#This Row],[CUIT]],Lista_CUIT[#All],2,0)),"CUIT NO CARGADO")</f>
        <v>-</v>
      </c>
      <c r="H180" s="99"/>
      <c r="I180" s="100">
        <f>venta_a_mes2[[#This Row],[IMPORTE NETO]]*0.21</f>
        <v>0</v>
      </c>
      <c r="J180" s="65"/>
      <c r="K180" s="65"/>
      <c r="L180" s="65">
        <f>SUM(venta_a_mes2[[#This Row],[IMPORTE NETO]:[EXENTO]])</f>
        <v>0</v>
      </c>
      <c r="M180" s="59"/>
    </row>
    <row r="181" spans="2:13" x14ac:dyDescent="0.25">
      <c r="B181" s="40"/>
      <c r="C181" s="41"/>
      <c r="D181" s="42"/>
      <c r="E181" s="43"/>
      <c r="F181" s="44"/>
      <c r="G181" s="98" t="str">
        <f>IFERROR(IF(venta_a_mes2[[#This Row],[CUIT]]="","-",VLOOKUP(venta_a_mes2[[#This Row],[CUIT]],Lista_CUIT[#All],2,0)),"CUIT NO CARGADO")</f>
        <v>-</v>
      </c>
      <c r="H181" s="99"/>
      <c r="I181" s="100">
        <f>venta_a_mes2[[#This Row],[IMPORTE NETO]]*0.21</f>
        <v>0</v>
      </c>
      <c r="J181" s="65"/>
      <c r="K181" s="65"/>
      <c r="L181" s="65">
        <f>SUM(venta_a_mes2[[#This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8" t="str">
        <f>IFERROR(IF(venta_a_mes2[[#This Row],[CUIT]]="","-",VLOOKUP(venta_a_mes2[[#This Row],[CUIT]],Lista_CUIT[#All],2,0)),"CUIT NO CARGADO")</f>
        <v>-</v>
      </c>
      <c r="H182" s="99"/>
      <c r="I182" s="100">
        <f>venta_a_mes2[[#This Row],[IMPORTE NETO]]*0.21</f>
        <v>0</v>
      </c>
      <c r="J182" s="65"/>
      <c r="K182" s="65"/>
      <c r="L182" s="65">
        <f>SUM(venta_a_mes2[[#This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8" t="str">
        <f>IFERROR(IF(venta_a_mes2[[#This Row],[CUIT]]="","-",VLOOKUP(venta_a_mes2[[#This Row],[CUIT]],Lista_CUIT[#All],2,0)),"CUIT NO CARGADO")</f>
        <v>-</v>
      </c>
      <c r="H183" s="99"/>
      <c r="I183" s="100">
        <f>venta_a_mes2[[#This Row],[IMPORTE NETO]]*0.21</f>
        <v>0</v>
      </c>
      <c r="J183" s="65"/>
      <c r="K183" s="65"/>
      <c r="L183" s="65">
        <f>SUM(venta_a_mes2[[#This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98" t="str">
        <f>IFERROR(IF(venta_a_mes2[[#This Row],[CUIT]]="","-",VLOOKUP(venta_a_mes2[[#This Row],[CUIT]],Lista_CUIT[#All],2,0)),"CUIT NO CARGADO")</f>
        <v>-</v>
      </c>
      <c r="H184" s="99"/>
      <c r="I184" s="100">
        <f>venta_a_mes2[[#This Row],[IMPORTE NETO]]*0.21</f>
        <v>0</v>
      </c>
      <c r="J184" s="65"/>
      <c r="K184" s="65"/>
      <c r="L184" s="65">
        <f>SUM(venta_a_mes2[[#This Row],[IMPORTE NETO]:[EXENTO]])</f>
        <v>0</v>
      </c>
      <c r="M184" s="59"/>
    </row>
    <row r="185" spans="2:13" x14ac:dyDescent="0.25">
      <c r="B185" s="40"/>
      <c r="C185" s="41"/>
      <c r="D185" s="42"/>
      <c r="E185" s="43"/>
      <c r="F185" s="44"/>
      <c r="G185" s="98" t="str">
        <f>IFERROR(IF(venta_a_mes2[[#This Row],[CUIT]]="","-",VLOOKUP(venta_a_mes2[[#This Row],[CUIT]],Lista_CUIT[#All],2,0)),"CUIT NO CARGADO")</f>
        <v>-</v>
      </c>
      <c r="H185" s="99"/>
      <c r="I185" s="100">
        <f>venta_a_mes2[[#This Row],[IMPORTE NETO]]*0.21</f>
        <v>0</v>
      </c>
      <c r="J185" s="65"/>
      <c r="K185" s="65"/>
      <c r="L185" s="65">
        <f>SUM(venta_a_mes2[[#This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98" t="str">
        <f>IFERROR(IF(venta_a_mes2[[#This Row],[CUIT]]="","-",VLOOKUP(venta_a_mes2[[#This Row],[CUIT]],Lista_CUIT[#All],2,0)),"CUIT NO CARGADO")</f>
        <v>-</v>
      </c>
      <c r="H186" s="99"/>
      <c r="I186" s="100">
        <f>venta_a_mes2[[#This Row],[IMPORTE NETO]]*0.21</f>
        <v>0</v>
      </c>
      <c r="J186" s="65"/>
      <c r="K186" s="65"/>
      <c r="L186" s="65">
        <f>SUM(venta_a_mes2[[#This Row],[IMPORTE NETO]:[EXENTO]])</f>
        <v>0</v>
      </c>
      <c r="M186" s="63"/>
    </row>
    <row r="187" spans="2:13" x14ac:dyDescent="0.25">
      <c r="B187" s="101"/>
      <c r="C187" s="102"/>
      <c r="D187" s="103"/>
      <c r="E187" s="104"/>
      <c r="F187" s="105"/>
      <c r="G187" s="98" t="str">
        <f>IFERROR(IF(venta_a_mes2[[#This Row],[CUIT]]="","-",VLOOKUP(venta_a_mes2[[#This Row],[CUIT]],Lista_CUIT[#All],2,0)),"CUIT NO CARGADO")</f>
        <v>-</v>
      </c>
      <c r="H187" s="106"/>
      <c r="I187" s="107">
        <f>venta_a_mes2[[#This Row],[IMPORTE NETO]]*0.21</f>
        <v>0</v>
      </c>
      <c r="J187" s="72"/>
      <c r="K187" s="72"/>
      <c r="L187" s="72">
        <f>SUM(venta_a_mes2[[#This Row],[IMPORTE NETO]:[EXENTO]])</f>
        <v>0</v>
      </c>
      <c r="M187" s="63"/>
    </row>
    <row r="188" spans="2:13" x14ac:dyDescent="0.25">
      <c r="B188" s="108"/>
      <c r="C188" s="109"/>
      <c r="D188" s="110"/>
      <c r="E188" s="111"/>
      <c r="F188" s="112"/>
      <c r="G188" s="98" t="str">
        <f>IFERROR(IF(venta_a_mes2[[#This Row],[CUIT]]="","-",VLOOKUP(venta_a_mes2[[#This Row],[CUIT]],Lista_CUIT[#All],2,0)),"CUIT NO CARGADO")</f>
        <v>-</v>
      </c>
      <c r="H188" s="99"/>
      <c r="I188" s="100">
        <f>venta_a_mes2[[#This Row],[IMPORTE NETO]]*0.21</f>
        <v>0</v>
      </c>
      <c r="J188" s="65"/>
      <c r="K188" s="65"/>
      <c r="L188" s="65">
        <f>SUM(venta_a_mes2[[#This Row],[IMPORTE NETO]:[EXENTO]])</f>
        <v>0</v>
      </c>
      <c r="M188" s="59"/>
    </row>
    <row r="189" spans="2:13" x14ac:dyDescent="0.25">
      <c r="B189" s="101"/>
      <c r="C189" s="102"/>
      <c r="D189" s="103"/>
      <c r="E189" s="104"/>
      <c r="F189" s="105"/>
      <c r="G189" s="138" t="str">
        <f>IFERROR(IF(venta_a_mes2[[#This Row],[CUIT]]="","-",VLOOKUP(venta_a_mes2[[#This Row],[CUIT]],Lista_CUIT[#All],2,0)),"CUIT NO CARGADO")</f>
        <v>-</v>
      </c>
      <c r="H189" s="106"/>
      <c r="I189" s="107">
        <f>venta_a_mes2[[#This Row],[IMPORTE NETO]]*0.21</f>
        <v>0</v>
      </c>
      <c r="J189" s="72"/>
      <c r="K189" s="72"/>
      <c r="L189" s="72">
        <f>SUM(venta_a_mes2[[#This Row],[IMPORTE NETO]:[EXENTO]])</f>
        <v>0</v>
      </c>
      <c r="M189" s="63"/>
    </row>
    <row r="190" spans="2:13" x14ac:dyDescent="0.25">
      <c r="B190" s="108"/>
      <c r="C190" s="109"/>
      <c r="D190" s="110"/>
      <c r="E190" s="111"/>
      <c r="F190" s="112"/>
      <c r="G190" s="98" t="str">
        <f>IFERROR(IF(venta_a_mes2[[#This Row],[CUIT]]="","-",VLOOKUP(venta_a_mes2[[#This Row],[CUIT]],Lista_CUIT[#All],2,0)),"CUIT NO CARGADO")</f>
        <v>-</v>
      </c>
      <c r="H190" s="99"/>
      <c r="I190" s="100">
        <f>venta_a_mes2[[#This Row],[IMPORTE NETO]]*0.21</f>
        <v>0</v>
      </c>
      <c r="J190" s="65"/>
      <c r="K190" s="65"/>
      <c r="L190" s="65">
        <f>SUM(venta_a_mes2[[#This Row],[IMPORTE NETO]:[EXENTO]])</f>
        <v>0</v>
      </c>
      <c r="M190" s="59"/>
    </row>
    <row r="191" spans="2:13" x14ac:dyDescent="0.25">
      <c r="B191" s="108"/>
      <c r="C191" s="109"/>
      <c r="D191" s="110"/>
      <c r="E191" s="111"/>
      <c r="F191" s="112"/>
      <c r="G191" s="98" t="str">
        <f>IFERROR(IF(venta_a_mes2[[#This Row],[CUIT]]="","-",VLOOKUP(venta_a_mes2[[#This Row],[CUIT]],Lista_CUIT[#All],2,0)),"CUIT NO CARGADO")</f>
        <v>-</v>
      </c>
      <c r="H191" s="99"/>
      <c r="I191" s="100">
        <f>venta_a_mes2[[#This Row],[IMPORTE NETO]]*0.21</f>
        <v>0</v>
      </c>
      <c r="J191" s="65"/>
      <c r="K191" s="65"/>
      <c r="L191" s="65">
        <f>SUM(venta_a_mes2[[#This Row],[IMPORTE NETO]:[EXENTO]])</f>
        <v>0</v>
      </c>
      <c r="M191" s="59"/>
    </row>
    <row r="192" spans="2:13" x14ac:dyDescent="0.25">
      <c r="B192" s="108"/>
      <c r="C192" s="109"/>
      <c r="D192" s="110"/>
      <c r="E192" s="111"/>
      <c r="F192" s="112"/>
      <c r="G192" s="98" t="str">
        <f>IFERROR(IF(venta_a_mes2[[#This Row],[CUIT]]="","-",VLOOKUP(venta_a_mes2[[#This Row],[CUIT]],Lista_CUIT[#All],2,0)),"CUIT NO CARGADO")</f>
        <v>-</v>
      </c>
      <c r="H192" s="99"/>
      <c r="I192" s="100">
        <f>venta_a_mes2[[#This Row],[IMPORTE NETO]]*0.21</f>
        <v>0</v>
      </c>
      <c r="J192" s="65"/>
      <c r="K192" s="65"/>
      <c r="L192" s="65">
        <f>SUM(venta_a_mes2[[#This Row],[IMPORTE NETO]:[EXENTO]])</f>
        <v>0</v>
      </c>
      <c r="M192" s="59"/>
    </row>
    <row r="193" spans="2:13" x14ac:dyDescent="0.25">
      <c r="B193" s="108"/>
      <c r="C193" s="109"/>
      <c r="D193" s="110"/>
      <c r="E193" s="111"/>
      <c r="F193" s="112"/>
      <c r="G193" s="98" t="str">
        <f>IFERROR(IF(venta_a_mes2[[#This Row],[CUIT]]="","-",VLOOKUP(venta_a_mes2[[#This Row],[CUIT]],Lista_CUIT[#All],2,0)),"CUIT NO CARGADO")</f>
        <v>-</v>
      </c>
      <c r="H193" s="99"/>
      <c r="I193" s="100">
        <f>venta_a_mes2[[#This Row],[IMPORTE NETO]]*0.21</f>
        <v>0</v>
      </c>
      <c r="J193" s="65"/>
      <c r="K193" s="65"/>
      <c r="L193" s="65">
        <f>SUM(venta_a_mes2[[#This Row],[IMPORTE NETO]:[EXENTO]])</f>
        <v>0</v>
      </c>
      <c r="M193" s="59"/>
    </row>
    <row r="194" spans="2:13" x14ac:dyDescent="0.25">
      <c r="B194" s="108"/>
      <c r="C194" s="109"/>
      <c r="D194" s="110"/>
      <c r="E194" s="111"/>
      <c r="F194" s="112"/>
      <c r="G194" s="98" t="str">
        <f>IFERROR(IF(venta_a_mes2[[#This Row],[CUIT]]="","-",VLOOKUP(venta_a_mes2[[#This Row],[CUIT]],Lista_CUIT[#All],2,0)),"CUIT NO CARGADO")</f>
        <v>-</v>
      </c>
      <c r="H194" s="99"/>
      <c r="I194" s="100">
        <f>venta_a_mes2[[#This Row],[IMPORTE NETO]]*0.21</f>
        <v>0</v>
      </c>
      <c r="J194" s="65"/>
      <c r="K194" s="65"/>
      <c r="L194" s="65">
        <f>SUM(venta_a_mes2[[#This Row],[IMPORTE NETO]:[EXENTO]])</f>
        <v>0</v>
      </c>
      <c r="M194" s="59"/>
    </row>
    <row r="195" spans="2:13" x14ac:dyDescent="0.25">
      <c r="B195" s="108"/>
      <c r="C195" s="109"/>
      <c r="D195" s="110"/>
      <c r="E195" s="111"/>
      <c r="F195" s="112"/>
      <c r="G195" s="98" t="str">
        <f>IFERROR(IF(venta_a_mes2[[#This Row],[CUIT]]="","-",VLOOKUP(venta_a_mes2[[#This Row],[CUIT]],Lista_CUIT[#All],2,0)),"CUIT NO CARGADO")</f>
        <v>-</v>
      </c>
      <c r="H195" s="99"/>
      <c r="I195" s="100">
        <f>venta_a_mes2[[#This Row],[IMPORTE NETO]]*0.21</f>
        <v>0</v>
      </c>
      <c r="J195" s="65"/>
      <c r="K195" s="65"/>
      <c r="L195" s="65">
        <f>SUM(venta_a_mes2[[#This Row],[IMPORTE NETO]:[EXENTO]])</f>
        <v>0</v>
      </c>
      <c r="M195" s="59"/>
    </row>
    <row r="196" spans="2:13" x14ac:dyDescent="0.25">
      <c r="B196" s="108"/>
      <c r="C196" s="109"/>
      <c r="D196" s="110"/>
      <c r="E196" s="111"/>
      <c r="F196" s="112"/>
      <c r="G196" s="98" t="str">
        <f>IFERROR(IF(venta_a_mes2[[#This Row],[CUIT]]="","-",VLOOKUP(venta_a_mes2[[#This Row],[CUIT]],Lista_CUIT[#All],2,0)),"CUIT NO CARGADO")</f>
        <v>-</v>
      </c>
      <c r="H196" s="99"/>
      <c r="I196" s="100">
        <f>venta_a_mes2[[#This Row],[IMPORTE NETO]]*0.21</f>
        <v>0</v>
      </c>
      <c r="J196" s="65"/>
      <c r="K196" s="65"/>
      <c r="L196" s="65">
        <f>SUM(venta_a_mes2[[#This Row],[IMPORTE NETO]:[EXENTO]])</f>
        <v>0</v>
      </c>
      <c r="M196" s="59"/>
    </row>
    <row r="197" spans="2:13" x14ac:dyDescent="0.25">
      <c r="B197" s="108"/>
      <c r="C197" s="109"/>
      <c r="D197" s="110"/>
      <c r="E197" s="111"/>
      <c r="F197" s="112"/>
      <c r="G197" s="98" t="str">
        <f>IFERROR(IF(venta_a_mes2[[#This Row],[CUIT]]="","-",VLOOKUP(venta_a_mes2[[#This Row],[CUIT]],Lista_CUIT[#All],2,0)),"CUIT NO CARGADO")</f>
        <v>-</v>
      </c>
      <c r="H197" s="99"/>
      <c r="I197" s="100">
        <f>venta_a_mes2[[#This Row],[IMPORTE NETO]]*0.21</f>
        <v>0</v>
      </c>
      <c r="J197" s="65"/>
      <c r="K197" s="65"/>
      <c r="L197" s="65">
        <f>SUM(venta_a_mes2[[#This Row],[IMPORTE NETO]:[EXENTO]])</f>
        <v>0</v>
      </c>
      <c r="M197" s="59"/>
    </row>
    <row r="198" spans="2:13" x14ac:dyDescent="0.25">
      <c r="B198" s="108"/>
      <c r="C198" s="109"/>
      <c r="D198" s="110"/>
      <c r="E198" s="111"/>
      <c r="F198" s="112"/>
      <c r="G198" s="98" t="str">
        <f>IFERROR(IF(venta_a_mes2[[#This Row],[CUIT]]="","-",VLOOKUP(venta_a_mes2[[#This Row],[CUIT]],Lista_CUIT[#All],2,0)),"CUIT NO CARGADO")</f>
        <v>-</v>
      </c>
      <c r="H198" s="99"/>
      <c r="I198" s="100">
        <f>venta_a_mes2[[#This Row],[IMPORTE NETO]]*0.21</f>
        <v>0</v>
      </c>
      <c r="J198" s="65"/>
      <c r="K198" s="65"/>
      <c r="L198" s="65">
        <f>SUM(venta_a_mes2[[#This Row],[IMPORTE NETO]:[EXENTO]])</f>
        <v>0</v>
      </c>
      <c r="M198" s="59"/>
    </row>
    <row r="199" spans="2:13" x14ac:dyDescent="0.25">
      <c r="B199" s="108"/>
      <c r="C199" s="109"/>
      <c r="D199" s="110"/>
      <c r="E199" s="111"/>
      <c r="F199" s="112"/>
      <c r="G199" s="98" t="str">
        <f>IFERROR(IF(venta_a_mes2[[#This Row],[CUIT]]="","-",VLOOKUP(venta_a_mes2[[#This Row],[CUIT]],Lista_CUIT[#All],2,0)),"CUIT NO CARGADO")</f>
        <v>-</v>
      </c>
      <c r="H199" s="99"/>
      <c r="I199" s="100">
        <f>venta_a_mes2[[#This Row],[IMPORTE NETO]]*0.21</f>
        <v>0</v>
      </c>
      <c r="J199" s="65"/>
      <c r="K199" s="65"/>
      <c r="L199" s="65">
        <f>SUM(venta_a_mes2[[#This Row],[IMPORTE NETO]:[EXENTO]])</f>
        <v>0</v>
      </c>
      <c r="M199" s="59"/>
    </row>
    <row r="200" spans="2:13" x14ac:dyDescent="0.25">
      <c r="B200" s="108"/>
      <c r="C200" s="109"/>
      <c r="D200" s="110"/>
      <c r="E200" s="111"/>
      <c r="F200" s="112"/>
      <c r="G200" s="98" t="str">
        <f>IFERROR(IF(venta_a_mes2[[#This Row],[CUIT]]="","-",VLOOKUP(venta_a_mes2[[#This Row],[CUIT]],Lista_CUIT[#All],2,0)),"CUIT NO CARGADO")</f>
        <v>-</v>
      </c>
      <c r="H200" s="99"/>
      <c r="I200" s="100">
        <f>venta_a_mes2[[#This Row],[IMPORTE NETO]]*0.21</f>
        <v>0</v>
      </c>
      <c r="J200" s="65"/>
      <c r="K200" s="65"/>
      <c r="L200" s="65">
        <f>SUM(venta_a_mes2[[#This Row],[IMPORTE NETO]:[EXENTO]])</f>
        <v>0</v>
      </c>
      <c r="M200" s="59"/>
    </row>
    <row r="201" spans="2:13" x14ac:dyDescent="0.25">
      <c r="B201" s="108"/>
      <c r="C201" s="109"/>
      <c r="D201" s="110"/>
      <c r="E201" s="111"/>
      <c r="F201" s="112"/>
      <c r="G201" s="98" t="str">
        <f>IFERROR(IF(venta_a_mes2[[#This Row],[CUIT]]="","-",VLOOKUP(venta_a_mes2[[#This Row],[CUIT]],Lista_CUIT[#All],2,0)),"CUIT NO CARGADO")</f>
        <v>-</v>
      </c>
      <c r="H201" s="99"/>
      <c r="I201" s="100">
        <f>venta_a_mes2[[#This Row],[IMPORTE NETO]]*0.21</f>
        <v>0</v>
      </c>
      <c r="J201" s="65"/>
      <c r="K201" s="65"/>
      <c r="L201" s="65">
        <f>SUM(venta_a_mes2[[#This Row],[IMPORTE NETO]:[EXENTO]])</f>
        <v>0</v>
      </c>
      <c r="M201" s="59"/>
    </row>
    <row r="202" spans="2:13" x14ac:dyDescent="0.25">
      <c r="B202" s="108"/>
      <c r="C202" s="109"/>
      <c r="D202" s="110"/>
      <c r="E202" s="111"/>
      <c r="F202" s="112"/>
      <c r="G202" s="98" t="str">
        <f>IFERROR(IF(venta_a_mes2[[#This Row],[CUIT]]="","-",VLOOKUP(venta_a_mes2[[#This Row],[CUIT]],Lista_CUIT[#All],2,0)),"CUIT NO CARGADO")</f>
        <v>-</v>
      </c>
      <c r="H202" s="99"/>
      <c r="I202" s="100">
        <f>venta_a_mes2[[#This Row],[IMPORTE NETO]]*0.21</f>
        <v>0</v>
      </c>
      <c r="J202" s="65"/>
      <c r="K202" s="65"/>
      <c r="L202" s="65">
        <f>SUM(venta_a_mes2[[#This Row],[IMPORTE NETO]:[EXENTO]])</f>
        <v>0</v>
      </c>
      <c r="M202" s="59"/>
    </row>
    <row r="203" spans="2:13" x14ac:dyDescent="0.25">
      <c r="B203" s="108"/>
      <c r="C203" s="109"/>
      <c r="D203" s="110"/>
      <c r="E203" s="111"/>
      <c r="F203" s="112"/>
      <c r="G203" s="98" t="str">
        <f>IFERROR(IF(venta_a_mes2[[#This Row],[CUIT]]="","-",VLOOKUP(venta_a_mes2[[#This Row],[CUIT]],Lista_CUIT[#All],2,0)),"CUIT NO CARGADO")</f>
        <v>-</v>
      </c>
      <c r="H203" s="99"/>
      <c r="I203" s="100">
        <f>venta_a_mes2[[#This Row],[IMPORTE NETO]]*0.21</f>
        <v>0</v>
      </c>
      <c r="J203" s="65"/>
      <c r="K203" s="65"/>
      <c r="L203" s="65">
        <f>SUM(venta_a_mes2[[#This Row],[IMPORTE NETO]:[EXENTO]])</f>
        <v>0</v>
      </c>
      <c r="M203" s="59"/>
    </row>
    <row r="204" spans="2:13" x14ac:dyDescent="0.25">
      <c r="B204" s="108"/>
      <c r="C204" s="109"/>
      <c r="D204" s="110"/>
      <c r="E204" s="111"/>
      <c r="F204" s="112"/>
      <c r="G204" s="98" t="str">
        <f>IFERROR(IF(venta_a_mes2[[#This Row],[CUIT]]="","-",VLOOKUP(venta_a_mes2[[#This Row],[CUIT]],Lista_CUIT[#All],2,0)),"CUIT NO CARGADO")</f>
        <v>-</v>
      </c>
      <c r="H204" s="99"/>
      <c r="I204" s="100">
        <f>venta_a_mes2[[#This Row],[IMPORTE NETO]]*0.21</f>
        <v>0</v>
      </c>
      <c r="J204" s="65"/>
      <c r="K204" s="65"/>
      <c r="L204" s="65">
        <f>SUM(venta_a_mes2[[#This Row],[IMPORTE NETO]:[EXENTO]])</f>
        <v>0</v>
      </c>
      <c r="M204" s="59"/>
    </row>
    <row r="205" spans="2:13" x14ac:dyDescent="0.25">
      <c r="B205" s="108"/>
      <c r="C205" s="109"/>
      <c r="D205" s="110"/>
      <c r="E205" s="111"/>
      <c r="F205" s="112"/>
      <c r="G205" s="98" t="str">
        <f>IFERROR(IF(venta_a_mes2[[#This Row],[CUIT]]="","-",VLOOKUP(venta_a_mes2[[#This Row],[CUIT]],Lista_CUIT[#All],2,0)),"CUIT NO CARGADO")</f>
        <v>-</v>
      </c>
      <c r="H205" s="99"/>
      <c r="I205" s="100">
        <f>venta_a_mes2[[#This Row],[IMPORTE NETO]]*0.21</f>
        <v>0</v>
      </c>
      <c r="J205" s="65"/>
      <c r="K205" s="65"/>
      <c r="L205" s="65">
        <f>SUM(venta_a_mes2[[#This Row],[IMPORTE NETO]:[EXENTO]])</f>
        <v>0</v>
      </c>
      <c r="M205" s="59"/>
    </row>
    <row r="206" spans="2:13" x14ac:dyDescent="0.25">
      <c r="B206" s="108"/>
      <c r="C206" s="109"/>
      <c r="D206" s="110"/>
      <c r="E206" s="111"/>
      <c r="F206" s="112"/>
      <c r="G206" s="98" t="str">
        <f>IFERROR(IF(venta_a_mes2[[#This Row],[CUIT]]="","-",VLOOKUP(venta_a_mes2[[#This Row],[CUIT]],Lista_CUIT[#All],2,0)),"CUIT NO CARGADO")</f>
        <v>-</v>
      </c>
      <c r="H206" s="99"/>
      <c r="I206" s="100">
        <f>venta_a_mes2[[#This Row],[IMPORTE NETO]]*0.21</f>
        <v>0</v>
      </c>
      <c r="J206" s="65"/>
      <c r="K206" s="65"/>
      <c r="L206" s="65">
        <f>SUM(venta_a_mes2[[#This Row],[IMPORTE NETO]:[EXENTO]])</f>
        <v>0</v>
      </c>
      <c r="M206" s="59"/>
    </row>
    <row r="207" spans="2:13" x14ac:dyDescent="0.25">
      <c r="B207" s="108"/>
      <c r="C207" s="109"/>
      <c r="D207" s="110"/>
      <c r="E207" s="111"/>
      <c r="F207" s="112"/>
      <c r="G207" s="98" t="str">
        <f>IFERROR(IF(venta_a_mes2[[#This Row],[CUIT]]="","-",VLOOKUP(venta_a_mes2[[#This Row],[CUIT]],Lista_CUIT[#All],2,0)),"CUIT NO CARGADO")</f>
        <v>-</v>
      </c>
      <c r="H207" s="99"/>
      <c r="I207" s="100">
        <f>venta_a_mes2[[#This Row],[IMPORTE NETO]]*0.21</f>
        <v>0</v>
      </c>
      <c r="J207" s="65"/>
      <c r="K207" s="65"/>
      <c r="L207" s="65">
        <f>SUM(venta_a_mes2[[#This Row],[IMPORTE NETO]:[EXENTO]])</f>
        <v>0</v>
      </c>
      <c r="M207" s="59"/>
    </row>
    <row r="208" spans="2:13" x14ac:dyDescent="0.25">
      <c r="B208" s="108"/>
      <c r="C208" s="109"/>
      <c r="D208" s="110"/>
      <c r="E208" s="111"/>
      <c r="F208" s="112"/>
      <c r="G208" s="98" t="str">
        <f>IFERROR(IF(venta_a_mes2[[#This Row],[CUIT]]="","-",VLOOKUP(venta_a_mes2[[#This Row],[CUIT]],Lista_CUIT[#All],2,0)),"CUIT NO CARGADO")</f>
        <v>-</v>
      </c>
      <c r="H208" s="99"/>
      <c r="I208" s="100">
        <f>venta_a_mes2[[#This Row],[IMPORTE NETO]]*0.21</f>
        <v>0</v>
      </c>
      <c r="J208" s="65"/>
      <c r="K208" s="65"/>
      <c r="L208" s="65">
        <f>SUM(venta_a_mes2[[#This Row],[IMPORTE NETO]:[EXENTO]])</f>
        <v>0</v>
      </c>
      <c r="M208" s="59"/>
    </row>
    <row r="209" spans="2:13" x14ac:dyDescent="0.25">
      <c r="B209" s="108"/>
      <c r="C209" s="109"/>
      <c r="D209" s="110"/>
      <c r="E209" s="111"/>
      <c r="F209" s="112"/>
      <c r="G209" s="98" t="str">
        <f>IFERROR(IF(venta_a_mes2[[#This Row],[CUIT]]="","-",VLOOKUP(venta_a_mes2[[#This Row],[CUIT]],Lista_CUIT[#All],2,0)),"CUIT NO CARGADO")</f>
        <v>-</v>
      </c>
      <c r="H209" s="99"/>
      <c r="I209" s="100">
        <f>venta_a_mes2[[#This Row],[IMPORTE NETO]]*0.21</f>
        <v>0</v>
      </c>
      <c r="J209" s="65"/>
      <c r="K209" s="65"/>
      <c r="L209" s="65">
        <f>SUM(venta_a_mes2[[#This Row],[IMPORTE NETO]:[EXENTO]])</f>
        <v>0</v>
      </c>
      <c r="M209" s="59"/>
    </row>
    <row r="210" spans="2:13" x14ac:dyDescent="0.25">
      <c r="B210" s="108"/>
      <c r="C210" s="109"/>
      <c r="D210" s="110"/>
      <c r="E210" s="111"/>
      <c r="F210" s="112"/>
      <c r="G210" s="98" t="str">
        <f>IFERROR(IF(venta_a_mes2[[#This Row],[CUIT]]="","-",VLOOKUP(venta_a_mes2[[#This Row],[CUIT]],Lista_CUIT[#All],2,0)),"CUIT NO CARGADO")</f>
        <v>-</v>
      </c>
      <c r="H210" s="99"/>
      <c r="I210" s="100">
        <f>venta_a_mes2[[#This Row],[IMPORTE NETO]]*0.21</f>
        <v>0</v>
      </c>
      <c r="J210" s="65"/>
      <c r="K210" s="65"/>
      <c r="L210" s="65">
        <f>SUM(venta_a_mes2[[#This Row],[IMPORTE NETO]:[EXENTO]])</f>
        <v>0</v>
      </c>
      <c r="M210" s="59"/>
    </row>
    <row r="211" spans="2:13" x14ac:dyDescent="0.25">
      <c r="B211" s="108"/>
      <c r="C211" s="109"/>
      <c r="D211" s="110"/>
      <c r="E211" s="111"/>
      <c r="F211" s="112"/>
      <c r="G211" s="98" t="str">
        <f>IFERROR(IF(venta_a_mes2[[#This Row],[CUIT]]="","-",VLOOKUP(venta_a_mes2[[#This Row],[CUIT]],Lista_CUIT[#All],2,0)),"CUIT NO CARGADO")</f>
        <v>-</v>
      </c>
      <c r="H211" s="99"/>
      <c r="I211" s="100">
        <f>venta_a_mes2[[#This Row],[IMPORTE NETO]]*0.21</f>
        <v>0</v>
      </c>
      <c r="J211" s="65"/>
      <c r="K211" s="65"/>
      <c r="L211" s="65">
        <f>SUM(venta_a_mes2[[#This Row],[IMPORTE NETO]:[EXENTO]])</f>
        <v>0</v>
      </c>
      <c r="M211" s="59"/>
    </row>
    <row r="212" spans="2:13" x14ac:dyDescent="0.25">
      <c r="B212" s="108"/>
      <c r="C212" s="109"/>
      <c r="D212" s="110"/>
      <c r="E212" s="111"/>
      <c r="F212" s="112"/>
      <c r="G212" s="98" t="str">
        <f>IFERROR(IF(venta_a_mes2[[#This Row],[CUIT]]="","-",VLOOKUP(venta_a_mes2[[#This Row],[CUIT]],Lista_CUIT[#All],2,0)),"CUIT NO CARGADO")</f>
        <v>-</v>
      </c>
      <c r="H212" s="99"/>
      <c r="I212" s="100">
        <f>venta_a_mes2[[#This Row],[IMPORTE NETO]]*0.21</f>
        <v>0</v>
      </c>
      <c r="J212" s="65"/>
      <c r="K212" s="65"/>
      <c r="L212" s="65">
        <f>SUM(venta_a_mes2[[#This Row],[IMPORTE NETO]:[EXENTO]])</f>
        <v>0</v>
      </c>
      <c r="M212" s="59"/>
    </row>
    <row r="213" spans="2:13" x14ac:dyDescent="0.25">
      <c r="B213" s="108"/>
      <c r="C213" s="109"/>
      <c r="D213" s="110"/>
      <c r="E213" s="111"/>
      <c r="F213" s="112"/>
      <c r="G213" s="98" t="str">
        <f>IFERROR(IF(venta_a_mes2[[#This Row],[CUIT]]="","-",VLOOKUP(venta_a_mes2[[#This Row],[CUIT]],Lista_CUIT[#All],2,0)),"CUIT NO CARGADO")</f>
        <v>-</v>
      </c>
      <c r="H213" s="99"/>
      <c r="I213" s="100">
        <f>venta_a_mes2[[#This Row],[IMPORTE NETO]]*0.21</f>
        <v>0</v>
      </c>
      <c r="J213" s="65"/>
      <c r="K213" s="65"/>
      <c r="L213" s="65">
        <f>SUM(venta_a_mes2[[#This Row],[IMPORTE NETO]:[EXENTO]])</f>
        <v>0</v>
      </c>
      <c r="M213" s="59"/>
    </row>
    <row r="214" spans="2:13" x14ac:dyDescent="0.25">
      <c r="B214" s="108"/>
      <c r="C214" s="109"/>
      <c r="D214" s="110"/>
      <c r="E214" s="111"/>
      <c r="F214" s="112"/>
      <c r="G214" s="98" t="str">
        <f>IFERROR(IF(venta_a_mes2[[#This Row],[CUIT]]="","-",VLOOKUP(venta_a_mes2[[#This Row],[CUIT]],Lista_CUIT[#All],2,0)),"CUIT NO CARGADO")</f>
        <v>-</v>
      </c>
      <c r="H214" s="99"/>
      <c r="I214" s="100">
        <f>venta_a_mes2[[#This Row],[IMPORTE NETO]]*0.21</f>
        <v>0</v>
      </c>
      <c r="J214" s="65"/>
      <c r="K214" s="65"/>
      <c r="L214" s="65">
        <f>SUM(venta_a_mes2[[#This Row],[IMPORTE NETO]:[EXENTO]])</f>
        <v>0</v>
      </c>
      <c r="M214" s="59"/>
    </row>
    <row r="215" spans="2:13" x14ac:dyDescent="0.25">
      <c r="B215" s="108"/>
      <c r="C215" s="109"/>
      <c r="D215" s="110"/>
      <c r="E215" s="111"/>
      <c r="F215" s="112"/>
      <c r="G215" s="98" t="str">
        <f>IFERROR(IF(venta_a_mes2[[#This Row],[CUIT]]="","-",VLOOKUP(venta_a_mes2[[#This Row],[CUIT]],Lista_CUIT[#All],2,0)),"CUIT NO CARGADO")</f>
        <v>-</v>
      </c>
      <c r="H215" s="99"/>
      <c r="I215" s="100">
        <f>venta_a_mes2[[#This Row],[IMPORTE NETO]]*0.21</f>
        <v>0</v>
      </c>
      <c r="J215" s="65"/>
      <c r="K215" s="65"/>
      <c r="L215" s="65">
        <f>SUM(venta_a_mes2[[#This Row],[IMPORTE NETO]:[EXENTO]])</f>
        <v>0</v>
      </c>
      <c r="M215" s="59"/>
    </row>
    <row r="216" spans="2:13" x14ac:dyDescent="0.25">
      <c r="B216" s="108"/>
      <c r="C216" s="109"/>
      <c r="D216" s="110"/>
      <c r="E216" s="111"/>
      <c r="F216" s="112"/>
      <c r="G216" s="98" t="str">
        <f>IFERROR(IF(venta_a_mes2[[#This Row],[CUIT]]="","-",VLOOKUP(venta_a_mes2[[#This Row],[CUIT]],Lista_CUIT[#All],2,0)),"CUIT NO CARGADO")</f>
        <v>-</v>
      </c>
      <c r="H216" s="99"/>
      <c r="I216" s="100">
        <f>venta_a_mes2[[#This Row],[IMPORTE NETO]]*0.21</f>
        <v>0</v>
      </c>
      <c r="J216" s="65"/>
      <c r="K216" s="65"/>
      <c r="L216" s="65">
        <f>SUM(venta_a_mes2[[#This Row],[IMPORTE NETO]:[EXENTO]])</f>
        <v>0</v>
      </c>
      <c r="M216" s="59"/>
    </row>
    <row r="217" spans="2:13" x14ac:dyDescent="0.25">
      <c r="B217" s="108"/>
      <c r="C217" s="109"/>
      <c r="D217" s="110"/>
      <c r="E217" s="111"/>
      <c r="F217" s="112"/>
      <c r="G217" s="98" t="str">
        <f>IFERROR(IF(venta_a_mes2[[#This Row],[CUIT]]="","-",VLOOKUP(venta_a_mes2[[#This Row],[CUIT]],Lista_CUIT[#All],2,0)),"CUIT NO CARGADO")</f>
        <v>-</v>
      </c>
      <c r="H217" s="99"/>
      <c r="I217" s="100">
        <f>venta_a_mes2[[#This Row],[IMPORTE NETO]]*0.21</f>
        <v>0</v>
      </c>
      <c r="J217" s="65"/>
      <c r="K217" s="65"/>
      <c r="L217" s="65">
        <f>SUM(venta_a_mes2[[#This Row],[IMPORTE NETO]:[EXENTO]])</f>
        <v>0</v>
      </c>
      <c r="M217" s="59"/>
    </row>
    <row r="218" spans="2:13" x14ac:dyDescent="0.25">
      <c r="B218" s="108"/>
      <c r="C218" s="109"/>
      <c r="D218" s="110"/>
      <c r="E218" s="111"/>
      <c r="F218" s="112"/>
      <c r="G218" s="98" t="str">
        <f>IFERROR(IF(venta_a_mes2[[#This Row],[CUIT]]="","-",VLOOKUP(venta_a_mes2[[#This Row],[CUIT]],Lista_CUIT[#All],2,0)),"CUIT NO CARGADO")</f>
        <v>-</v>
      </c>
      <c r="H218" s="99"/>
      <c r="I218" s="100">
        <f>venta_a_mes2[[#This Row],[IMPORTE NETO]]*0.21</f>
        <v>0</v>
      </c>
      <c r="J218" s="65"/>
      <c r="K218" s="65"/>
      <c r="L218" s="65">
        <f>SUM(venta_a_mes2[[#This Row],[IMPORTE NETO]:[EXENTO]])</f>
        <v>0</v>
      </c>
      <c r="M218" s="59"/>
    </row>
    <row r="219" spans="2:13" x14ac:dyDescent="0.25">
      <c r="B219" s="108"/>
      <c r="C219" s="109"/>
      <c r="D219" s="110"/>
      <c r="E219" s="111"/>
      <c r="F219" s="112"/>
      <c r="G219" s="98" t="str">
        <f>IFERROR(IF(venta_a_mes2[[#This Row],[CUIT]]="","-",VLOOKUP(venta_a_mes2[[#This Row],[CUIT]],Lista_CUIT[#All],2,0)),"CUIT NO CARGADO")</f>
        <v>-</v>
      </c>
      <c r="H219" s="99"/>
      <c r="I219" s="100">
        <f>venta_a_mes2[[#This Row],[IMPORTE NETO]]*0.21</f>
        <v>0</v>
      </c>
      <c r="J219" s="65"/>
      <c r="K219" s="65"/>
      <c r="L219" s="65">
        <f>SUM(venta_a_mes2[[#This Row],[IMPORTE NETO]:[EXENTO]])</f>
        <v>0</v>
      </c>
      <c r="M219" s="59"/>
    </row>
    <row r="220" spans="2:13" x14ac:dyDescent="0.25">
      <c r="B220" s="108"/>
      <c r="C220" s="109"/>
      <c r="D220" s="110"/>
      <c r="E220" s="111"/>
      <c r="F220" s="112"/>
      <c r="G220" s="98" t="str">
        <f>IFERROR(IF(venta_a_mes2[[#This Row],[CUIT]]="","-",VLOOKUP(venta_a_mes2[[#This Row],[CUIT]],Lista_CUIT[#All],2,0)),"CUIT NO CARGADO")</f>
        <v>-</v>
      </c>
      <c r="H220" s="99"/>
      <c r="I220" s="100">
        <f>venta_a_mes2[[#This Row],[IMPORTE NETO]]*0.21</f>
        <v>0</v>
      </c>
      <c r="J220" s="65"/>
      <c r="K220" s="65"/>
      <c r="L220" s="65">
        <f>SUM(venta_a_mes2[[#This Row],[IMPORTE NETO]:[EXENTO]])</f>
        <v>0</v>
      </c>
      <c r="M220" s="59"/>
    </row>
    <row r="221" spans="2:13" x14ac:dyDescent="0.25">
      <c r="B221" s="108"/>
      <c r="C221" s="109"/>
      <c r="D221" s="110"/>
      <c r="E221" s="111"/>
      <c r="F221" s="112"/>
      <c r="G221" s="98" t="str">
        <f>IFERROR(IF(venta_a_mes2[[#This Row],[CUIT]]="","-",VLOOKUP(venta_a_mes2[[#This Row],[CUIT]],Lista_CUIT[#All],2,0)),"CUIT NO CARGADO")</f>
        <v>-</v>
      </c>
      <c r="H221" s="99"/>
      <c r="I221" s="100">
        <f>venta_a_mes2[[#This Row],[IMPORTE NETO]]*0.21</f>
        <v>0</v>
      </c>
      <c r="J221" s="65"/>
      <c r="K221" s="65"/>
      <c r="L221" s="65">
        <f>SUM(venta_a_mes2[[#This Row],[IMPORTE NETO]:[EXENTO]])</f>
        <v>0</v>
      </c>
      <c r="M221" s="59"/>
    </row>
    <row r="222" spans="2:13" x14ac:dyDescent="0.25">
      <c r="B222" s="108"/>
      <c r="C222" s="109"/>
      <c r="D222" s="110"/>
      <c r="E222" s="111"/>
      <c r="F222" s="112"/>
      <c r="G222" s="98" t="str">
        <f>IFERROR(IF(venta_a_mes2[[#This Row],[CUIT]]="","-",VLOOKUP(venta_a_mes2[[#This Row],[CUIT]],Lista_CUIT[#All],2,0)),"CUIT NO CARGADO")</f>
        <v>-</v>
      </c>
      <c r="H222" s="99"/>
      <c r="I222" s="100">
        <f>venta_a_mes2[[#This Row],[IMPORTE NETO]]*0.21</f>
        <v>0</v>
      </c>
      <c r="J222" s="65"/>
      <c r="K222" s="65"/>
      <c r="L222" s="65">
        <f>SUM(venta_a_mes2[[#This Row],[IMPORTE NETO]:[EXENTO]])</f>
        <v>0</v>
      </c>
      <c r="M222" s="59"/>
    </row>
    <row r="223" spans="2:13" x14ac:dyDescent="0.25">
      <c r="B223" s="108"/>
      <c r="C223" s="109"/>
      <c r="D223" s="110"/>
      <c r="E223" s="111"/>
      <c r="F223" s="112"/>
      <c r="G223" s="98" t="str">
        <f>IFERROR(IF(venta_a_mes2[[#This Row],[CUIT]]="","-",VLOOKUP(venta_a_mes2[[#This Row],[CUIT]],Lista_CUIT[#All],2,0)),"CUIT NO CARGADO")</f>
        <v>-</v>
      </c>
      <c r="H223" s="99"/>
      <c r="I223" s="100">
        <f>venta_a_mes2[[#This Row],[IMPORTE NETO]]*0.21</f>
        <v>0</v>
      </c>
      <c r="J223" s="65"/>
      <c r="K223" s="65"/>
      <c r="L223" s="65">
        <f>SUM(venta_a_mes2[[#This Row],[IMPORTE NETO]:[EXENTO]])</f>
        <v>0</v>
      </c>
      <c r="M223" s="59"/>
    </row>
    <row r="224" spans="2:13" x14ac:dyDescent="0.25">
      <c r="B224" s="101"/>
      <c r="C224" s="102"/>
      <c r="D224" s="103"/>
      <c r="E224" s="104"/>
      <c r="F224" s="105"/>
      <c r="G224" s="138" t="str">
        <f>IFERROR(IF(venta_a_mes2[[#This Row],[CUIT]]="","-",VLOOKUP(venta_a_mes2[[#This Row],[CUIT]],Lista_CUIT[#All],2,0)),"CUIT NO CARGADO")</f>
        <v>-</v>
      </c>
      <c r="H224" s="106"/>
      <c r="I224" s="107">
        <f>venta_a_mes2[[#This Row],[IMPORTE NETO]]*0.21</f>
        <v>0</v>
      </c>
      <c r="J224" s="72"/>
      <c r="K224" s="72"/>
      <c r="L224" s="72">
        <f>SUM(venta_a_mes2[[#This Row],[IMPORTE NETO]:[EXENTO]])</f>
        <v>0</v>
      </c>
      <c r="M224" s="63"/>
    </row>
    <row r="225" spans="2:13" x14ac:dyDescent="0.25">
      <c r="B225" s="108"/>
      <c r="C225" s="109"/>
      <c r="D225" s="110"/>
      <c r="E225" s="111"/>
      <c r="F225" s="112"/>
      <c r="G225" s="98" t="str">
        <f>IFERROR(IF(venta_a_mes2[[#This Row],[CUIT]]="","-",VLOOKUP(venta_a_mes2[[#This Row],[CUIT]],Lista_CUIT[#All],2,0)),"CUIT NO CARGADO")</f>
        <v>-</v>
      </c>
      <c r="H225" s="99"/>
      <c r="I225" s="100">
        <f>venta_a_mes2[[#This Row],[IMPORTE NETO]]*0.21</f>
        <v>0</v>
      </c>
      <c r="J225" s="65"/>
      <c r="K225" s="65"/>
      <c r="L225" s="65">
        <f>SUM(venta_a_mes2[[#This Row],[IMPORTE NETO]:[EXENTO]])</f>
        <v>0</v>
      </c>
      <c r="M225" s="59"/>
    </row>
    <row r="226" spans="2:13" x14ac:dyDescent="0.25">
      <c r="B226" s="108"/>
      <c r="C226" s="109"/>
      <c r="D226" s="110"/>
      <c r="E226" s="111"/>
      <c r="F226" s="112"/>
      <c r="G226" s="98" t="str">
        <f>IFERROR(IF(venta_a_mes2[[#This Row],[CUIT]]="","-",VLOOKUP(venta_a_mes2[[#This Row],[CUIT]],Lista_CUIT[#All],2,0)),"CUIT NO CARGADO")</f>
        <v>-</v>
      </c>
      <c r="H226" s="99"/>
      <c r="I226" s="100">
        <f>venta_a_mes2[[#This Row],[IMPORTE NETO]]*0.21</f>
        <v>0</v>
      </c>
      <c r="J226" s="65"/>
      <c r="K226" s="65"/>
      <c r="L226" s="65">
        <f>SUM(venta_a_mes2[[#This Row],[IMPORTE NETO]:[EXENTO]])</f>
        <v>0</v>
      </c>
      <c r="M226" s="59"/>
    </row>
    <row r="227" spans="2:13" x14ac:dyDescent="0.25">
      <c r="B227" s="108"/>
      <c r="C227" s="109"/>
      <c r="D227" s="110"/>
      <c r="E227" s="111"/>
      <c r="F227" s="112"/>
      <c r="G227" s="98" t="str">
        <f>IFERROR(IF(venta_a_mes2[[#This Row],[CUIT]]="","-",VLOOKUP(venta_a_mes2[[#This Row],[CUIT]],Lista_CUIT[#All],2,0)),"CUIT NO CARGADO")</f>
        <v>-</v>
      </c>
      <c r="H227" s="99"/>
      <c r="I227" s="100">
        <f>venta_a_mes2[[#This Row],[IMPORTE NETO]]*0.21</f>
        <v>0</v>
      </c>
      <c r="J227" s="65"/>
      <c r="K227" s="65"/>
      <c r="L227" s="65">
        <f>SUM(venta_a_mes2[[#This Row],[IMPORTE NETO]:[EXENTO]])</f>
        <v>0</v>
      </c>
      <c r="M227" s="59"/>
    </row>
    <row r="228" spans="2:13" x14ac:dyDescent="0.25">
      <c r="B228" s="108"/>
      <c r="C228" s="109"/>
      <c r="D228" s="110"/>
      <c r="E228" s="111"/>
      <c r="F228" s="112"/>
      <c r="G228" s="98" t="str">
        <f>IFERROR(IF(venta_a_mes2[[#This Row],[CUIT]]="","-",VLOOKUP(venta_a_mes2[[#This Row],[CUIT]],Lista_CUIT[#All],2,0)),"CUIT NO CARGADO")</f>
        <v>-</v>
      </c>
      <c r="H228" s="99"/>
      <c r="I228" s="100">
        <f>venta_a_mes2[[#This Row],[IMPORTE NETO]]*0.21</f>
        <v>0</v>
      </c>
      <c r="J228" s="65"/>
      <c r="K228" s="65"/>
      <c r="L228" s="65">
        <f>SUM(venta_a_mes2[[#This Row],[IMPORTE NETO]:[EXENTO]])</f>
        <v>0</v>
      </c>
      <c r="M228" s="59"/>
    </row>
    <row r="229" spans="2:13" x14ac:dyDescent="0.25">
      <c r="B229" s="108"/>
      <c r="C229" s="109"/>
      <c r="D229" s="110"/>
      <c r="E229" s="111"/>
      <c r="F229" s="112"/>
      <c r="G229" s="98" t="str">
        <f>IFERROR(IF(venta_a_mes2[[#This Row],[CUIT]]="","-",VLOOKUP(venta_a_mes2[[#This Row],[CUIT]],Lista_CUIT[#All],2,0)),"CUIT NO CARGADO")</f>
        <v>-</v>
      </c>
      <c r="H229" s="99"/>
      <c r="I229" s="100">
        <f>venta_a_mes2[[#This Row],[IMPORTE NETO]]*0.21</f>
        <v>0</v>
      </c>
      <c r="J229" s="65"/>
      <c r="K229" s="65"/>
      <c r="L229" s="65">
        <f>SUM(venta_a_mes2[[#This Row],[IMPORTE NETO]:[EXENTO]])</f>
        <v>0</v>
      </c>
      <c r="M229" s="59"/>
    </row>
    <row r="230" spans="2:13" x14ac:dyDescent="0.25">
      <c r="B230" s="108"/>
      <c r="C230" s="109"/>
      <c r="D230" s="110"/>
      <c r="E230" s="111"/>
      <c r="F230" s="112"/>
      <c r="G230" s="98" t="str">
        <f>IFERROR(IF(venta_a_mes2[[#This Row],[CUIT]]="","-",VLOOKUP(venta_a_mes2[[#This Row],[CUIT]],Lista_CUIT[#All],2,0)),"CUIT NO CARGADO")</f>
        <v>-</v>
      </c>
      <c r="H230" s="99"/>
      <c r="I230" s="100">
        <f>venta_a_mes2[[#This Row],[IMPORTE NETO]]*0.21</f>
        <v>0</v>
      </c>
      <c r="J230" s="65"/>
      <c r="K230" s="65"/>
      <c r="L230" s="65">
        <f>SUM(venta_a_mes2[[#This Row],[IMPORTE NETO]:[EXENTO]])</f>
        <v>0</v>
      </c>
      <c r="M230" s="59"/>
    </row>
    <row r="231" spans="2:13" x14ac:dyDescent="0.25">
      <c r="B231" s="108"/>
      <c r="C231" s="109"/>
      <c r="D231" s="110"/>
      <c r="E231" s="111"/>
      <c r="F231" s="112"/>
      <c r="G231" s="98" t="str">
        <f>IFERROR(IF(venta_a_mes2[[#This Row],[CUIT]]="","-",VLOOKUP(venta_a_mes2[[#This Row],[CUIT]],Lista_CUIT[#All],2,0)),"CUIT NO CARGADO")</f>
        <v>-</v>
      </c>
      <c r="H231" s="99"/>
      <c r="I231" s="100">
        <f>venta_a_mes2[[#This Row],[IMPORTE NETO]]*0.21</f>
        <v>0</v>
      </c>
      <c r="J231" s="65"/>
      <c r="K231" s="65"/>
      <c r="L231" s="65">
        <f>SUM(venta_a_mes2[[#This Row],[IMPORTE NETO]:[EXENTO]])</f>
        <v>0</v>
      </c>
      <c r="M231" s="59"/>
    </row>
    <row r="232" spans="2:13" x14ac:dyDescent="0.25">
      <c r="B232" s="66" t="s">
        <v>110</v>
      </c>
      <c r="C232" s="67"/>
      <c r="D232" s="67"/>
      <c r="E232" s="67"/>
      <c r="F232" s="67"/>
      <c r="G232" s="67"/>
      <c r="H232" s="69">
        <f>SUBTOTAL(109,venta_a_mes2[IMPORTE NETO])</f>
        <v>0</v>
      </c>
      <c r="I232" s="70">
        <f>SUBTOTAL(109,venta_a_mes2[IVA 21%])</f>
        <v>0</v>
      </c>
      <c r="J232" s="71">
        <f>SUBTOTAL(109,venta_a_mes2[IVA 10,5%])</f>
        <v>0</v>
      </c>
      <c r="K232" s="71">
        <f>SUBTOTAL(109,venta_a_mes2[EXENTO])</f>
        <v>0</v>
      </c>
      <c r="L232" s="71">
        <f>SUBTOTAL(109,venta_a_mes2[TOTAL])</f>
        <v>0</v>
      </c>
      <c r="M232" s="68">
        <f>SUBTOTAL(103,venta_a_mes2[Provincia])</f>
        <v>0</v>
      </c>
    </row>
    <row r="233" spans="2:13" ht="21" x14ac:dyDescent="0.25">
      <c r="B233" s="631" t="s">
        <v>31</v>
      </c>
      <c r="C233" s="631"/>
    </row>
    <row r="234" spans="2:13" ht="15.75" x14ac:dyDescent="0.25">
      <c r="B234" s="60" t="s">
        <v>0</v>
      </c>
      <c r="C234" s="61" t="s">
        <v>1</v>
      </c>
      <c r="D234" s="61" t="s">
        <v>21</v>
      </c>
      <c r="E234" s="61" t="s">
        <v>22</v>
      </c>
      <c r="F234" s="61" t="s">
        <v>3</v>
      </c>
      <c r="G234" s="61" t="s">
        <v>4</v>
      </c>
      <c r="H234" s="61" t="s">
        <v>23</v>
      </c>
      <c r="I234" s="61" t="s">
        <v>17</v>
      </c>
      <c r="J234" s="61" t="s">
        <v>7</v>
      </c>
      <c r="K234" s="61" t="s">
        <v>24</v>
      </c>
      <c r="L234" s="61" t="s">
        <v>10</v>
      </c>
      <c r="M234" s="62" t="s">
        <v>38</v>
      </c>
    </row>
    <row r="235" spans="2:13" x14ac:dyDescent="0.25">
      <c r="B235" s="40"/>
      <c r="C235" s="41"/>
      <c r="D235" s="42"/>
      <c r="E235" s="43"/>
      <c r="F235" s="44"/>
      <c r="G235" s="1" t="str">
        <f>IFERROR(IF(ventas_b_mes2[[#This Row],[CUIT]]="","-",VLOOKUP(ventas_b_mes2[[#This Row],[CUIT]],Lista_CUIT[#All],2,0)),"CUIT NO CARGADO")</f>
        <v>-</v>
      </c>
      <c r="H235" s="64"/>
      <c r="I235" s="64">
        <f>ventas_b_mes2[[#This Row],[IMPORTE NETO]]*0.21</f>
        <v>0</v>
      </c>
      <c r="J235" s="64"/>
      <c r="K235" s="64"/>
      <c r="L235" s="64">
        <f>SUM(ventas_b_mes2[[#This Row],[IMPORTE NETO]:[EXENTO]])</f>
        <v>0</v>
      </c>
      <c r="M235" s="59"/>
    </row>
    <row r="236" spans="2:13" x14ac:dyDescent="0.25">
      <c r="B236" s="40"/>
      <c r="C236" s="41"/>
      <c r="D236" s="42"/>
      <c r="E236" s="43"/>
      <c r="F236" s="44"/>
      <c r="G236" s="1" t="str">
        <f>IFERROR(IF(ventas_b_mes2[[#This Row],[CUIT]]="","-",VLOOKUP(ventas_b_mes2[[#This Row],[CUIT]],Lista_CUIT[#All],2,0)),"CUIT NO CARGADO")</f>
        <v>-</v>
      </c>
      <c r="H236" s="64"/>
      <c r="I236" s="64">
        <f>ventas_b_mes2[[#This Row],[IMPORTE NETO]]*0.21</f>
        <v>0</v>
      </c>
      <c r="J236" s="64"/>
      <c r="K236" s="64"/>
      <c r="L236" s="64">
        <f>SUM(ventas_b_mes2[[#This Row],[IMPORTE NETO]:[EXENTO]])</f>
        <v>0</v>
      </c>
      <c r="M236" s="59"/>
    </row>
    <row r="237" spans="2:13" x14ac:dyDescent="0.25">
      <c r="B237" s="40"/>
      <c r="C237" s="41"/>
      <c r="D237" s="42"/>
      <c r="E237" s="43"/>
      <c r="F237" s="44"/>
      <c r="G237" s="1" t="str">
        <f>IFERROR(IF(ventas_b_mes2[[#This Row],[CUIT]]="","-",VLOOKUP(ventas_b_mes2[[#This Row],[CUIT]],Lista_CUIT[#All],2,0)),"CUIT NO CARGADO")</f>
        <v>-</v>
      </c>
      <c r="H237" s="64"/>
      <c r="I237" s="64">
        <f>ventas_b_mes2[[#This Row],[IMPORTE NETO]]*0.21</f>
        <v>0</v>
      </c>
      <c r="J237" s="64"/>
      <c r="K237" s="64"/>
      <c r="L237" s="64">
        <f>SUM(ventas_b_mes2[[#This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1" t="str">
        <f>IFERROR(IF(ventas_b_mes2[[#This Row],[CUIT]]="","-",VLOOKUP(ventas_b_mes2[[#This Row],[CUIT]],Lista_CUIT[#All],2,0)),"CUIT NO CARGADO")</f>
        <v>-</v>
      </c>
      <c r="H238" s="64"/>
      <c r="I238" s="64">
        <f>ventas_b_mes2[[#This Row],[IMPORTE NETO]]*0.21</f>
        <v>0</v>
      </c>
      <c r="J238" s="64"/>
      <c r="K238" s="64"/>
      <c r="L238" s="64">
        <f>SUM(ventas_b_mes2[[#This Row],[IMPORTE NETO]:[EXENTO]])</f>
        <v>0</v>
      </c>
      <c r="M238" s="59"/>
    </row>
    <row r="239" spans="2:13" x14ac:dyDescent="0.25">
      <c r="B239" s="40"/>
      <c r="C239" s="41"/>
      <c r="D239" s="42"/>
      <c r="E239" s="43"/>
      <c r="F239" s="44"/>
      <c r="G239" s="1" t="str">
        <f>IFERROR(IF(ventas_b_mes2[[#This Row],[CUIT]]="","-",VLOOKUP(ventas_b_mes2[[#This Row],[CUIT]],Lista_CUIT[#All],2,0)),"CUIT NO CARGADO")</f>
        <v>-</v>
      </c>
      <c r="H239" s="64"/>
      <c r="I239" s="64">
        <f>ventas_b_mes2[[#This Row],[IMPORTE NETO]]*0.21</f>
        <v>0</v>
      </c>
      <c r="J239" s="64"/>
      <c r="K239" s="64"/>
      <c r="L239" s="64">
        <f>SUM(ventas_b_mes2[[#This Row],[IMPORTE NETO]:[EXENTO]])</f>
        <v>0</v>
      </c>
      <c r="M239" s="59"/>
    </row>
    <row r="240" spans="2:13" x14ac:dyDescent="0.25">
      <c r="B240" s="40"/>
      <c r="C240" s="41"/>
      <c r="D240" s="42"/>
      <c r="E240" s="43"/>
      <c r="F240" s="44"/>
      <c r="G240" s="1" t="str">
        <f>IFERROR(IF(ventas_b_mes2[[#This Row],[CUIT]]="","-",VLOOKUP(ventas_b_mes2[[#This Row],[CUIT]],Lista_CUIT[#All],2,0)),"CUIT NO CARGADO")</f>
        <v>-</v>
      </c>
      <c r="H240" s="64"/>
      <c r="I240" s="64">
        <f>ventas_b_mes2[[#This Row],[IMPORTE NETO]]*0.21</f>
        <v>0</v>
      </c>
      <c r="J240" s="64"/>
      <c r="K240" s="64"/>
      <c r="L240" s="64">
        <f>SUM(ventas_b_mes2[[#This Row],[IMPORTE NETO]:[EXENTO]])</f>
        <v>0</v>
      </c>
      <c r="M240" s="59"/>
    </row>
    <row r="241" spans="2:13" x14ac:dyDescent="0.25">
      <c r="B241" s="139"/>
      <c r="C241" s="41"/>
      <c r="D241" s="141"/>
      <c r="E241" s="142"/>
      <c r="F241" s="143"/>
      <c r="G241" s="1" t="str">
        <f>IFERROR(IF(ventas_b_mes2[[#This Row],[CUIT]]="","-",VLOOKUP(ventas_b_mes2[[#This Row],[CUIT]],Lista_CUIT[#All],2,0)),"CUIT NO CARGADO")</f>
        <v>-</v>
      </c>
      <c r="H241" s="64"/>
      <c r="I241" s="144">
        <f>ventas_b_mes2[[#This Row],[IMPORTE NETO]]*0.21</f>
        <v>0</v>
      </c>
      <c r="J241" s="145"/>
      <c r="K241" s="145"/>
      <c r="L241" s="145">
        <f>SUM(ventas_b_mes2[[#This Row],[IMPORTE NETO]:[EXENTO]])</f>
        <v>0</v>
      </c>
      <c r="M241" s="59"/>
    </row>
    <row r="242" spans="2:13" x14ac:dyDescent="0.25">
      <c r="B242" s="139"/>
      <c r="C242" s="41"/>
      <c r="D242" s="141"/>
      <c r="E242" s="142"/>
      <c r="F242" s="143"/>
      <c r="G242" s="1" t="str">
        <f>IFERROR(IF(ventas_b_mes2[[#This Row],[CUIT]]="","-",VLOOKUP(ventas_b_mes2[[#This Row],[CUIT]],Lista_CUIT[#All],2,0)),"CUIT NO CARGADO")</f>
        <v>-</v>
      </c>
      <c r="H242" s="64"/>
      <c r="I242" s="144">
        <f>ventas_b_mes2[[#This Row],[IMPORTE NETO]]*0.21</f>
        <v>0</v>
      </c>
      <c r="J242" s="145"/>
      <c r="K242" s="145"/>
      <c r="L242" s="145">
        <f>SUM(ventas_b_mes2[[#This Row],[IMPORTE NETO]:[EXENTO]])</f>
        <v>0</v>
      </c>
      <c r="M242" s="59"/>
    </row>
    <row r="243" spans="2:13" x14ac:dyDescent="0.25">
      <c r="B243" s="139"/>
      <c r="C243" s="41"/>
      <c r="D243" s="141"/>
      <c r="E243" s="142"/>
      <c r="F243" s="143"/>
      <c r="G243" s="1" t="str">
        <f>IFERROR(IF(ventas_b_mes2[[#This Row],[CUIT]]="","-",VLOOKUP(ventas_b_mes2[[#This Row],[CUIT]],Lista_CUIT[#All],2,0)),"CUIT NO CARGADO")</f>
        <v>-</v>
      </c>
      <c r="H243" s="64"/>
      <c r="I243" s="144">
        <f>ventas_b_mes2[[#This Row],[IMPORTE NETO]]*0.21</f>
        <v>0</v>
      </c>
      <c r="J243" s="145"/>
      <c r="K243" s="145"/>
      <c r="L243" s="145">
        <f>SUM(ventas_b_mes2[[#This Row],[IMPORTE NETO]:[EXENTO]])</f>
        <v>0</v>
      </c>
      <c r="M243" s="59"/>
    </row>
    <row r="244" spans="2:13" x14ac:dyDescent="0.25">
      <c r="B244" s="139"/>
      <c r="C244" s="41"/>
      <c r="D244" s="141"/>
      <c r="E244" s="142"/>
      <c r="F244" s="143"/>
      <c r="G244" s="1" t="str">
        <f>IFERROR(IF(ventas_b_mes2[[#This Row],[CUIT]]="","-",VLOOKUP(ventas_b_mes2[[#This Row],[CUIT]],Lista_CUIT[#All],2,0)),"CUIT NO CARGADO")</f>
        <v>-</v>
      </c>
      <c r="H244" s="64"/>
      <c r="I244" s="144">
        <f>ventas_b_mes2[[#This Row],[IMPORTE NETO]]*0.21</f>
        <v>0</v>
      </c>
      <c r="J244" s="145"/>
      <c r="K244" s="145"/>
      <c r="L244" s="145">
        <f>SUM(ventas_b_mes2[[#This Row],[IMPORTE NETO]:[EXENTO]])</f>
        <v>0</v>
      </c>
      <c r="M244" s="59"/>
    </row>
    <row r="245" spans="2:13" x14ac:dyDescent="0.25">
      <c r="B245" s="139"/>
      <c r="C245" s="41"/>
      <c r="D245" s="141"/>
      <c r="E245" s="142"/>
      <c r="F245" s="143"/>
      <c r="G245" s="1" t="str">
        <f>IFERROR(IF(ventas_b_mes2[[#This Row],[CUIT]]="","-",VLOOKUP(ventas_b_mes2[[#This Row],[CUIT]],Lista_CUIT[#All],2,0)),"CUIT NO CARGADO")</f>
        <v>-</v>
      </c>
      <c r="H245" s="64"/>
      <c r="I245" s="144">
        <f>ventas_b_mes2[[#This Row],[IMPORTE NETO]]*0.21</f>
        <v>0</v>
      </c>
      <c r="J245" s="145"/>
      <c r="K245" s="145"/>
      <c r="L245" s="145">
        <f>SUM(ventas_b_mes2[[#This Row],[IMPORTE NETO]:[EXENTO]])</f>
        <v>0</v>
      </c>
      <c r="M245" s="59"/>
    </row>
    <row r="246" spans="2:13" x14ac:dyDescent="0.25">
      <c r="B246" s="139"/>
      <c r="C246" s="41"/>
      <c r="D246" s="141"/>
      <c r="E246" s="142"/>
      <c r="F246" s="143"/>
      <c r="G246" s="1" t="str">
        <f>IFERROR(IF(ventas_b_mes2[[#This Row],[CUIT]]="","-",VLOOKUP(ventas_b_mes2[[#This Row],[CUIT]],Lista_CUIT[#All],2,0)),"CUIT NO CARGADO")</f>
        <v>-</v>
      </c>
      <c r="H246" s="64"/>
      <c r="I246" s="144">
        <f>ventas_b_mes2[[#This Row],[IMPORTE NETO]]*0.21</f>
        <v>0</v>
      </c>
      <c r="J246" s="145"/>
      <c r="K246" s="145"/>
      <c r="L246" s="145">
        <f>SUM(ventas_b_mes2[[#This Row],[IMPORTE NETO]:[EXENTO]])</f>
        <v>0</v>
      </c>
      <c r="M246" s="59"/>
    </row>
    <row r="247" spans="2:13" x14ac:dyDescent="0.25">
      <c r="B247" s="139"/>
      <c r="C247" s="41"/>
      <c r="D247" s="141"/>
      <c r="E247" s="142"/>
      <c r="F247" s="143"/>
      <c r="G247" s="1" t="str">
        <f>IFERROR(IF(ventas_b_mes2[[#This Row],[CUIT]]="","-",VLOOKUP(ventas_b_mes2[[#This Row],[CUIT]],Lista_CUIT[#All],2,0)),"CUIT NO CARGADO")</f>
        <v>-</v>
      </c>
      <c r="H247" s="64"/>
      <c r="I247" s="144">
        <f>ventas_b_mes2[[#This Row],[IMPORTE NETO]]*0.21</f>
        <v>0</v>
      </c>
      <c r="J247" s="145"/>
      <c r="K247" s="145"/>
      <c r="L247" s="145">
        <f>SUM(ventas_b_mes2[[#This Row],[IMPORTE NETO]:[EXENTO]])</f>
        <v>0</v>
      </c>
      <c r="M247" s="59"/>
    </row>
    <row r="248" spans="2:13" x14ac:dyDescent="0.25">
      <c r="B248" s="139"/>
      <c r="C248" s="41"/>
      <c r="D248" s="141"/>
      <c r="E248" s="142"/>
      <c r="F248" s="143"/>
      <c r="G248" s="1" t="str">
        <f>IFERROR(IF(ventas_b_mes2[[#This Row],[CUIT]]="","-",VLOOKUP(ventas_b_mes2[[#This Row],[CUIT]],Lista_CUIT[#All],2,0)),"CUIT NO CARGADO")</f>
        <v>-</v>
      </c>
      <c r="H248" s="64"/>
      <c r="I248" s="144">
        <f>ventas_b_mes2[[#This Row],[IMPORTE NETO]]*0.21</f>
        <v>0</v>
      </c>
      <c r="J248" s="145"/>
      <c r="K248" s="145"/>
      <c r="L248" s="145">
        <f>SUM(ventas_b_mes2[[#This Row],[IMPORTE NETO]:[EXENTO]])</f>
        <v>0</v>
      </c>
      <c r="M248" s="59"/>
    </row>
    <row r="249" spans="2:13" x14ac:dyDescent="0.25">
      <c r="B249" s="139"/>
      <c r="C249" s="41"/>
      <c r="D249" s="141"/>
      <c r="E249" s="142"/>
      <c r="F249" s="143"/>
      <c r="G249" s="1" t="str">
        <f>IFERROR(IF(ventas_b_mes2[[#This Row],[CUIT]]="","-",VLOOKUP(ventas_b_mes2[[#This Row],[CUIT]],Lista_CUIT[#All],2,0)),"CUIT NO CARGADO")</f>
        <v>-</v>
      </c>
      <c r="H249" s="64"/>
      <c r="I249" s="144">
        <f>ventas_b_mes2[[#This Row],[IMPORTE NETO]]*0.21</f>
        <v>0</v>
      </c>
      <c r="J249" s="145"/>
      <c r="K249" s="145"/>
      <c r="L249" s="145">
        <f>SUM(ventas_b_mes2[[#This Row],[IMPORTE NETO]:[EXENTO]])</f>
        <v>0</v>
      </c>
      <c r="M249" s="59"/>
    </row>
    <row r="250" spans="2:13" x14ac:dyDescent="0.25">
      <c r="B250" s="139"/>
      <c r="C250" s="41"/>
      <c r="D250" s="141"/>
      <c r="E250" s="142"/>
      <c r="F250" s="143"/>
      <c r="G250" s="1" t="str">
        <f>IFERROR(IF(ventas_b_mes2[[#This Row],[CUIT]]="","-",VLOOKUP(ventas_b_mes2[[#This Row],[CUIT]],Lista_CUIT[#All],2,0)),"CUIT NO CARGADO")</f>
        <v>-</v>
      </c>
      <c r="H250" s="64"/>
      <c r="I250" s="144">
        <f>ventas_b_mes2[[#This Row],[IMPORTE NETO]]*0.21</f>
        <v>0</v>
      </c>
      <c r="J250" s="145"/>
      <c r="K250" s="145"/>
      <c r="L250" s="145">
        <f>SUM(ventas_b_mes2[[#This Row],[IMPORTE NETO]:[EXENTO]])</f>
        <v>0</v>
      </c>
      <c r="M250" s="59"/>
    </row>
    <row r="251" spans="2:13" x14ac:dyDescent="0.25">
      <c r="B251" s="139"/>
      <c r="C251" s="41"/>
      <c r="D251" s="141"/>
      <c r="E251" s="142"/>
      <c r="F251" s="143"/>
      <c r="G251" s="1" t="str">
        <f>IFERROR(IF(ventas_b_mes2[[#This Row],[CUIT]]="","-",VLOOKUP(ventas_b_mes2[[#This Row],[CUIT]],Lista_CUIT[#All],2,0)),"CUIT NO CARGADO")</f>
        <v>-</v>
      </c>
      <c r="H251" s="64"/>
      <c r="I251" s="144">
        <f>ventas_b_mes2[[#This Row],[IMPORTE NETO]]*0.21</f>
        <v>0</v>
      </c>
      <c r="J251" s="145"/>
      <c r="K251" s="145"/>
      <c r="L251" s="145">
        <f>SUM(ventas_b_mes2[[#This Row],[IMPORTE NETO]:[EXENTO]])</f>
        <v>0</v>
      </c>
      <c r="M251" s="59"/>
    </row>
    <row r="252" spans="2:13" x14ac:dyDescent="0.25">
      <c r="B252" s="139"/>
      <c r="C252" s="41"/>
      <c r="D252" s="141"/>
      <c r="E252" s="142"/>
      <c r="F252" s="143"/>
      <c r="G252" s="1" t="str">
        <f>IFERROR(IF(ventas_b_mes2[[#This Row],[CUIT]]="","-",VLOOKUP(ventas_b_mes2[[#This Row],[CUIT]],Lista_CUIT[#All],2,0)),"CUIT NO CARGADO")</f>
        <v>-</v>
      </c>
      <c r="H252" s="64"/>
      <c r="I252" s="144">
        <f>ventas_b_mes2[[#This Row],[IMPORTE NETO]]*0.21</f>
        <v>0</v>
      </c>
      <c r="J252" s="145"/>
      <c r="K252" s="145"/>
      <c r="L252" s="145">
        <f>SUM(ventas_b_mes2[[#This Row],[IMPORTE NETO]:[EXENTO]])</f>
        <v>0</v>
      </c>
      <c r="M252" s="59"/>
    </row>
    <row r="253" spans="2:13" x14ac:dyDescent="0.25">
      <c r="B253" s="139"/>
      <c r="C253" s="41"/>
      <c r="D253" s="141"/>
      <c r="E253" s="142"/>
      <c r="F253" s="143"/>
      <c r="G253" s="1" t="str">
        <f>IFERROR(IF(ventas_b_mes2[[#This Row],[CUIT]]="","-",VLOOKUP(ventas_b_mes2[[#This Row],[CUIT]],Lista_CUIT[#All],2,0)),"CUIT NO CARGADO")</f>
        <v>-</v>
      </c>
      <c r="H253" s="64"/>
      <c r="I253" s="144">
        <f>ventas_b_mes2[[#This Row],[IMPORTE NETO]]*0.21</f>
        <v>0</v>
      </c>
      <c r="J253" s="145"/>
      <c r="K253" s="145"/>
      <c r="L253" s="145">
        <f>SUM(ventas_b_mes2[[#This Row],[IMPORTE NETO]:[EXENTO]])</f>
        <v>0</v>
      </c>
      <c r="M253" s="59"/>
    </row>
    <row r="254" spans="2:13" x14ac:dyDescent="0.25">
      <c r="B254" s="139"/>
      <c r="C254" s="41"/>
      <c r="D254" s="141"/>
      <c r="E254" s="142"/>
      <c r="F254" s="143"/>
      <c r="G254" s="1" t="str">
        <f>IFERROR(IF(ventas_b_mes2[[#This Row],[CUIT]]="","-",VLOOKUP(ventas_b_mes2[[#This Row],[CUIT]],Lista_CUIT[#All],2,0)),"CUIT NO CARGADO")</f>
        <v>-</v>
      </c>
      <c r="H254" s="64"/>
      <c r="I254" s="144">
        <f>ventas_b_mes2[[#This Row],[IMPORTE NETO]]*0.21</f>
        <v>0</v>
      </c>
      <c r="J254" s="145"/>
      <c r="K254" s="145"/>
      <c r="L254" s="145">
        <f>SUM(ventas_b_mes2[[#This Row],[IMPORTE NETO]:[EXENTO]])</f>
        <v>0</v>
      </c>
      <c r="M254" s="59"/>
    </row>
    <row r="255" spans="2:13" x14ac:dyDescent="0.25">
      <c r="B255" s="139"/>
      <c r="C255" s="41"/>
      <c r="D255" s="141"/>
      <c r="E255" s="142"/>
      <c r="F255" s="143"/>
      <c r="G255" s="1" t="str">
        <f>IFERROR(IF(ventas_b_mes2[[#This Row],[CUIT]]="","-",VLOOKUP(ventas_b_mes2[[#This Row],[CUIT]],Lista_CUIT[#All],2,0)),"CUIT NO CARGADO")</f>
        <v>-</v>
      </c>
      <c r="H255" s="64"/>
      <c r="I255" s="144">
        <f>ventas_b_mes2[[#This Row],[IMPORTE NETO]]*0.21</f>
        <v>0</v>
      </c>
      <c r="J255" s="145"/>
      <c r="K255" s="145"/>
      <c r="L255" s="145">
        <f>SUM(ventas_b_mes2[[#This Row],[IMPORTE NETO]:[EXENTO]])</f>
        <v>0</v>
      </c>
      <c r="M255" s="59"/>
    </row>
    <row r="256" spans="2:13" x14ac:dyDescent="0.25">
      <c r="B256" s="139"/>
      <c r="C256" s="41"/>
      <c r="D256" s="141"/>
      <c r="E256" s="142"/>
      <c r="F256" s="143"/>
      <c r="G256" s="1" t="str">
        <f>IFERROR(IF(ventas_b_mes2[[#This Row],[CUIT]]="","-",VLOOKUP(ventas_b_mes2[[#This Row],[CUIT]],Lista_CUIT[#All],2,0)),"CUIT NO CARGADO")</f>
        <v>-</v>
      </c>
      <c r="H256" s="64"/>
      <c r="I256" s="144">
        <f>ventas_b_mes2[[#This Row],[IMPORTE NETO]]*0.21</f>
        <v>0</v>
      </c>
      <c r="J256" s="145"/>
      <c r="K256" s="145"/>
      <c r="L256" s="145">
        <f>SUM(ventas_b_mes2[[#This Row],[IMPORTE NETO]:[EXENTO]])</f>
        <v>0</v>
      </c>
      <c r="M256" s="59"/>
    </row>
    <row r="257" spans="2:13" x14ac:dyDescent="0.25">
      <c r="B257" s="139"/>
      <c r="C257" s="41"/>
      <c r="D257" s="141"/>
      <c r="E257" s="142"/>
      <c r="F257" s="143"/>
      <c r="G257" s="1" t="str">
        <f>IFERROR(IF(ventas_b_mes2[[#This Row],[CUIT]]="","-",VLOOKUP(ventas_b_mes2[[#This Row],[CUIT]],Lista_CUIT[#All],2,0)),"CUIT NO CARGADO")</f>
        <v>-</v>
      </c>
      <c r="H257" s="64"/>
      <c r="I257" s="144">
        <f>ventas_b_mes2[[#This Row],[IMPORTE NETO]]*0.21</f>
        <v>0</v>
      </c>
      <c r="J257" s="145"/>
      <c r="K257" s="145"/>
      <c r="L257" s="145">
        <f>SUM(ventas_b_mes2[[#This Row],[IMPORTE NETO]:[EXENTO]])</f>
        <v>0</v>
      </c>
      <c r="M257" s="59"/>
    </row>
    <row r="258" spans="2:13" x14ac:dyDescent="0.25">
      <c r="B258" s="139"/>
      <c r="C258" s="41"/>
      <c r="D258" s="141"/>
      <c r="E258" s="142"/>
      <c r="F258" s="143"/>
      <c r="G258" s="1" t="str">
        <f>IFERROR(IF(ventas_b_mes2[[#This Row],[CUIT]]="","-",VLOOKUP(ventas_b_mes2[[#This Row],[CUIT]],Lista_CUIT[#All],2,0)),"CUIT NO CARGADO")</f>
        <v>-</v>
      </c>
      <c r="H258" s="64"/>
      <c r="I258" s="144">
        <f>ventas_b_mes2[[#This Row],[IMPORTE NETO]]*0.21</f>
        <v>0</v>
      </c>
      <c r="J258" s="145"/>
      <c r="K258" s="145"/>
      <c r="L258" s="145">
        <f>SUM(ventas_b_mes2[[#This Row],[IMPORTE NETO]:[EXENTO]])</f>
        <v>0</v>
      </c>
      <c r="M258" s="59"/>
    </row>
    <row r="259" spans="2:13" x14ac:dyDescent="0.25">
      <c r="B259" s="139"/>
      <c r="C259" s="41"/>
      <c r="D259" s="141"/>
      <c r="E259" s="142"/>
      <c r="F259" s="143"/>
      <c r="G259" s="1" t="str">
        <f>IFERROR(IF(ventas_b_mes2[[#This Row],[CUIT]]="","-",VLOOKUP(ventas_b_mes2[[#This Row],[CUIT]],Lista_CUIT[#All],2,0)),"CUIT NO CARGADO")</f>
        <v>-</v>
      </c>
      <c r="H259" s="64"/>
      <c r="I259" s="144">
        <f>ventas_b_mes2[[#This Row],[IMPORTE NETO]]*0.21</f>
        <v>0</v>
      </c>
      <c r="J259" s="145"/>
      <c r="K259" s="145"/>
      <c r="L259" s="145">
        <f>SUM(ventas_b_mes2[[#This Row],[IMPORTE NETO]:[EXENTO]])</f>
        <v>0</v>
      </c>
      <c r="M259" s="59"/>
    </row>
    <row r="260" spans="2:13" x14ac:dyDescent="0.25">
      <c r="B260" s="139"/>
      <c r="C260" s="41"/>
      <c r="D260" s="141"/>
      <c r="E260" s="142"/>
      <c r="F260" s="143"/>
      <c r="G260" s="1" t="str">
        <f>IFERROR(IF(ventas_b_mes2[[#This Row],[CUIT]]="","-",VLOOKUP(ventas_b_mes2[[#This Row],[CUIT]],Lista_CUIT[#All],2,0)),"CUIT NO CARGADO")</f>
        <v>-</v>
      </c>
      <c r="H260" s="64"/>
      <c r="I260" s="144">
        <f>ventas_b_mes2[[#This Row],[IMPORTE NETO]]*0.21</f>
        <v>0</v>
      </c>
      <c r="J260" s="145"/>
      <c r="K260" s="145"/>
      <c r="L260" s="145">
        <f>SUM(ventas_b_mes2[[#This Row],[IMPORTE NETO]:[EXENTO]])</f>
        <v>0</v>
      </c>
      <c r="M260" s="59"/>
    </row>
    <row r="261" spans="2:13" x14ac:dyDescent="0.25">
      <c r="B261" s="139"/>
      <c r="C261" s="41"/>
      <c r="D261" s="141"/>
      <c r="E261" s="142"/>
      <c r="F261" s="143"/>
      <c r="G261" s="1" t="str">
        <f>IFERROR(IF(ventas_b_mes2[[#This Row],[CUIT]]="","-",VLOOKUP(ventas_b_mes2[[#This Row],[CUIT]],Lista_CUIT[#All],2,0)),"CUIT NO CARGADO")</f>
        <v>-</v>
      </c>
      <c r="H261" s="64"/>
      <c r="I261" s="144">
        <f>ventas_b_mes2[[#This Row],[IMPORTE NETO]]*0.21</f>
        <v>0</v>
      </c>
      <c r="J261" s="145"/>
      <c r="K261" s="145"/>
      <c r="L261" s="145">
        <f>SUM(ventas_b_mes2[[#This Row],[IMPORTE NETO]:[EXENTO]])</f>
        <v>0</v>
      </c>
      <c r="M261" s="59"/>
    </row>
    <row r="262" spans="2:13" x14ac:dyDescent="0.25">
      <c r="B262" s="139"/>
      <c r="C262" s="41"/>
      <c r="D262" s="141"/>
      <c r="E262" s="142"/>
      <c r="F262" s="143"/>
      <c r="G262" s="1" t="str">
        <f>IFERROR(IF(ventas_b_mes2[[#This Row],[CUIT]]="","-",VLOOKUP(ventas_b_mes2[[#This Row],[CUIT]],Lista_CUIT[#All],2,0)),"CUIT NO CARGADO")</f>
        <v>-</v>
      </c>
      <c r="H262" s="64"/>
      <c r="I262" s="144">
        <f>ventas_b_mes2[[#This Row],[IMPORTE NETO]]*0.21</f>
        <v>0</v>
      </c>
      <c r="J262" s="145"/>
      <c r="K262" s="145"/>
      <c r="L262" s="145">
        <f>SUM(ventas_b_mes2[[#This Row],[IMPORTE NETO]:[EXENTO]])</f>
        <v>0</v>
      </c>
      <c r="M262" s="59"/>
    </row>
    <row r="263" spans="2:13" x14ac:dyDescent="0.25">
      <c r="B263" s="139"/>
      <c r="C263" s="41"/>
      <c r="D263" s="141"/>
      <c r="E263" s="142"/>
      <c r="F263" s="143"/>
      <c r="G263" s="1" t="str">
        <f>IFERROR(IF(ventas_b_mes2[[#This Row],[CUIT]]="","-",VLOOKUP(ventas_b_mes2[[#This Row],[CUIT]],Lista_CUIT[#All],2,0)),"CUIT NO CARGADO")</f>
        <v>-</v>
      </c>
      <c r="H263" s="64"/>
      <c r="I263" s="144">
        <f>ventas_b_mes2[[#This Row],[IMPORTE NETO]]*0.21</f>
        <v>0</v>
      </c>
      <c r="J263" s="145"/>
      <c r="K263" s="145"/>
      <c r="L263" s="145">
        <f>SUM(ventas_b_mes2[[#This Row],[IMPORTE NETO]:[EXENTO]])</f>
        <v>0</v>
      </c>
      <c r="M263" s="59"/>
    </row>
    <row r="264" spans="2:13" x14ac:dyDescent="0.25">
      <c r="B264" s="139"/>
      <c r="C264" s="41"/>
      <c r="D264" s="141"/>
      <c r="E264" s="142"/>
      <c r="F264" s="143"/>
      <c r="G264" s="1" t="str">
        <f>IFERROR(IF(ventas_b_mes2[[#This Row],[CUIT]]="","-",VLOOKUP(ventas_b_mes2[[#This Row],[CUIT]],Lista_CUIT[#All],2,0)),"CUIT NO CARGADO")</f>
        <v>-</v>
      </c>
      <c r="H264" s="64"/>
      <c r="I264" s="144">
        <f>ventas_b_mes2[[#This Row],[IMPORTE NETO]]*0.21</f>
        <v>0</v>
      </c>
      <c r="J264" s="145"/>
      <c r="K264" s="145"/>
      <c r="L264" s="145">
        <f>SUM(ventas_b_mes2[[#This Row],[IMPORTE NETO]:[EXENTO]])</f>
        <v>0</v>
      </c>
      <c r="M264" s="59"/>
    </row>
    <row r="265" spans="2:13" x14ac:dyDescent="0.25">
      <c r="B265" s="139"/>
      <c r="C265" s="41"/>
      <c r="D265" s="141"/>
      <c r="E265" s="142"/>
      <c r="F265" s="143"/>
      <c r="G265" s="1" t="str">
        <f>IFERROR(IF(ventas_b_mes2[[#This Row],[CUIT]]="","-",VLOOKUP(ventas_b_mes2[[#This Row],[CUIT]],Lista_CUIT[#All],2,0)),"CUIT NO CARGADO")</f>
        <v>-</v>
      </c>
      <c r="H265" s="64"/>
      <c r="I265" s="144">
        <f>ventas_b_mes2[[#This Row],[IMPORTE NETO]]*0.21</f>
        <v>0</v>
      </c>
      <c r="J265" s="145"/>
      <c r="K265" s="145"/>
      <c r="L265" s="145">
        <f>SUM(ventas_b_mes2[[#This Row],[IMPORTE NETO]:[EXENTO]])</f>
        <v>0</v>
      </c>
      <c r="M265" s="59"/>
    </row>
    <row r="266" spans="2:13" x14ac:dyDescent="0.25">
      <c r="B266" s="139"/>
      <c r="C266" s="41"/>
      <c r="D266" s="141"/>
      <c r="E266" s="142"/>
      <c r="F266" s="143"/>
      <c r="G266" s="1" t="str">
        <f>IFERROR(IF(ventas_b_mes2[[#This Row],[CUIT]]="","-",VLOOKUP(ventas_b_mes2[[#This Row],[CUIT]],Lista_CUIT[#All],2,0)),"CUIT NO CARGADO")</f>
        <v>-</v>
      </c>
      <c r="H266" s="64"/>
      <c r="I266" s="144">
        <f>ventas_b_mes2[[#This Row],[IMPORTE NETO]]*0.21</f>
        <v>0</v>
      </c>
      <c r="J266" s="145"/>
      <c r="K266" s="145"/>
      <c r="L266" s="145">
        <f>SUM(ventas_b_mes2[[#This Row],[IMPORTE NETO]:[EXENTO]])</f>
        <v>0</v>
      </c>
      <c r="M266" s="59"/>
    </row>
    <row r="267" spans="2:13" x14ac:dyDescent="0.25">
      <c r="B267" s="139"/>
      <c r="C267" s="41"/>
      <c r="D267" s="141"/>
      <c r="E267" s="142"/>
      <c r="F267" s="143"/>
      <c r="G267" s="1" t="str">
        <f>IFERROR(IF(ventas_b_mes2[[#This Row],[CUIT]]="","-",VLOOKUP(ventas_b_mes2[[#This Row],[CUIT]],Lista_CUIT[#All],2,0)),"CUIT NO CARGADO")</f>
        <v>-</v>
      </c>
      <c r="H267" s="64"/>
      <c r="I267" s="144">
        <f>ventas_b_mes2[[#This Row],[IMPORTE NETO]]*0.21</f>
        <v>0</v>
      </c>
      <c r="J267" s="145"/>
      <c r="K267" s="145"/>
      <c r="L267" s="145">
        <f>SUM(ventas_b_mes2[[#This Row],[IMPORTE NETO]:[EXENTO]])</f>
        <v>0</v>
      </c>
      <c r="M267" s="59"/>
    </row>
    <row r="268" spans="2:13" x14ac:dyDescent="0.25">
      <c r="B268" s="139"/>
      <c r="C268" s="41"/>
      <c r="D268" s="141"/>
      <c r="E268" s="142"/>
      <c r="F268" s="143"/>
      <c r="G268" s="1" t="str">
        <f>IFERROR(IF(ventas_b_mes2[[#This Row],[CUIT]]="","-",VLOOKUP(ventas_b_mes2[[#This Row],[CUIT]],Lista_CUIT[#All],2,0)),"CUIT NO CARGADO")</f>
        <v>-</v>
      </c>
      <c r="H268" s="64"/>
      <c r="I268" s="144">
        <f>ventas_b_mes2[[#This Row],[IMPORTE NETO]]*0.21</f>
        <v>0</v>
      </c>
      <c r="J268" s="145"/>
      <c r="K268" s="145"/>
      <c r="L268" s="145">
        <f>SUM(ventas_b_mes2[[#This Row],[IMPORTE NETO]:[EXENTO]])</f>
        <v>0</v>
      </c>
      <c r="M268" s="59"/>
    </row>
    <row r="269" spans="2:13" x14ac:dyDescent="0.25">
      <c r="B269" s="139"/>
      <c r="C269" s="41"/>
      <c r="D269" s="141"/>
      <c r="E269" s="142"/>
      <c r="F269" s="143"/>
      <c r="G269" s="1" t="str">
        <f>IFERROR(IF(ventas_b_mes2[[#This Row],[CUIT]]="","-",VLOOKUP(ventas_b_mes2[[#This Row],[CUIT]],Lista_CUIT[#All],2,0)),"CUIT NO CARGADO")</f>
        <v>-</v>
      </c>
      <c r="H269" s="64"/>
      <c r="I269" s="144">
        <f>ventas_b_mes2[[#This Row],[IMPORTE NETO]]*0.21</f>
        <v>0</v>
      </c>
      <c r="J269" s="145"/>
      <c r="K269" s="145"/>
      <c r="L269" s="145">
        <f>SUM(ventas_b_mes2[[#This Row],[IMPORTE NETO]:[EXENTO]])</f>
        <v>0</v>
      </c>
      <c r="M269" s="59"/>
    </row>
    <row r="270" spans="2:13" x14ac:dyDescent="0.25">
      <c r="B270" s="139"/>
      <c r="C270" s="41"/>
      <c r="D270" s="141"/>
      <c r="E270" s="142"/>
      <c r="F270" s="143"/>
      <c r="G270" s="1" t="str">
        <f>IFERROR(IF(ventas_b_mes2[[#This Row],[CUIT]]="","-",VLOOKUP(ventas_b_mes2[[#This Row],[CUIT]],Lista_CUIT[#All],2,0)),"CUIT NO CARGADO")</f>
        <v>-</v>
      </c>
      <c r="H270" s="64"/>
      <c r="I270" s="144">
        <f>ventas_b_mes2[[#This Row],[IMPORTE NETO]]*0.21</f>
        <v>0</v>
      </c>
      <c r="J270" s="145"/>
      <c r="K270" s="145"/>
      <c r="L270" s="145">
        <f>SUM(ventas_b_mes2[[#This Row],[IMPORTE NETO]:[EXENTO]])</f>
        <v>0</v>
      </c>
      <c r="M270" s="59"/>
    </row>
    <row r="271" spans="2:13" x14ac:dyDescent="0.25">
      <c r="B271" s="139"/>
      <c r="C271" s="41"/>
      <c r="D271" s="141"/>
      <c r="E271" s="142"/>
      <c r="F271" s="143"/>
      <c r="G271" s="1" t="str">
        <f>IFERROR(IF(ventas_b_mes2[[#This Row],[CUIT]]="","-",VLOOKUP(ventas_b_mes2[[#This Row],[CUIT]],Lista_CUIT[#All],2,0)),"CUIT NO CARGADO")</f>
        <v>-</v>
      </c>
      <c r="H271" s="64"/>
      <c r="I271" s="144">
        <f>ventas_b_mes2[[#This Row],[IMPORTE NETO]]*0.21</f>
        <v>0</v>
      </c>
      <c r="J271" s="145"/>
      <c r="K271" s="145"/>
      <c r="L271" s="145">
        <f>SUM(ventas_b_mes2[[#This Row],[IMPORTE NETO]:[EXENTO]])</f>
        <v>0</v>
      </c>
      <c r="M271" s="59"/>
    </row>
    <row r="272" spans="2:13" x14ac:dyDescent="0.25">
      <c r="B272" s="139"/>
      <c r="C272" s="41"/>
      <c r="D272" s="141"/>
      <c r="E272" s="142"/>
      <c r="F272" s="143"/>
      <c r="G272" s="1" t="str">
        <f>IFERROR(IF(ventas_b_mes2[[#This Row],[CUIT]]="","-",VLOOKUP(ventas_b_mes2[[#This Row],[CUIT]],Lista_CUIT[#All],2,0)),"CUIT NO CARGADO")</f>
        <v>-</v>
      </c>
      <c r="H272" s="64"/>
      <c r="I272" s="144">
        <f>ventas_b_mes2[[#This Row],[IMPORTE NETO]]*0.21</f>
        <v>0</v>
      </c>
      <c r="J272" s="145"/>
      <c r="K272" s="145"/>
      <c r="L272" s="145">
        <f>SUM(ventas_b_mes2[[#This Row],[IMPORTE NETO]:[EXENTO]])</f>
        <v>0</v>
      </c>
      <c r="M272" s="59"/>
    </row>
    <row r="273" spans="2:13" x14ac:dyDescent="0.25">
      <c r="B273" s="139"/>
      <c r="C273" s="41"/>
      <c r="D273" s="141"/>
      <c r="E273" s="142"/>
      <c r="F273" s="143"/>
      <c r="G273" s="1" t="str">
        <f>IFERROR(IF(ventas_b_mes2[[#This Row],[CUIT]]="","-",VLOOKUP(ventas_b_mes2[[#This Row],[CUIT]],Lista_CUIT[#All],2,0)),"CUIT NO CARGADO")</f>
        <v>-</v>
      </c>
      <c r="H273" s="64"/>
      <c r="I273" s="144">
        <f>ventas_b_mes2[[#This Row],[IMPORTE NETO]]*0.21</f>
        <v>0</v>
      </c>
      <c r="J273" s="145"/>
      <c r="K273" s="145"/>
      <c r="L273" s="145">
        <f>SUM(ventas_b_mes2[[#This Row],[IMPORTE NETO]:[EXENTO]])</f>
        <v>0</v>
      </c>
      <c r="M273" s="59"/>
    </row>
    <row r="274" spans="2:13" x14ac:dyDescent="0.25">
      <c r="B274" s="139"/>
      <c r="C274" s="41"/>
      <c r="D274" s="141"/>
      <c r="E274" s="142"/>
      <c r="F274" s="143"/>
      <c r="G274" s="1" t="str">
        <f>IFERROR(IF(ventas_b_mes2[[#This Row],[CUIT]]="","-",VLOOKUP(ventas_b_mes2[[#This Row],[CUIT]],Lista_CUIT[#All],2,0)),"CUIT NO CARGADO")</f>
        <v>-</v>
      </c>
      <c r="H274" s="64"/>
      <c r="I274" s="144">
        <f>ventas_b_mes2[[#This Row],[IMPORTE NETO]]*0.21</f>
        <v>0</v>
      </c>
      <c r="J274" s="145"/>
      <c r="K274" s="145"/>
      <c r="L274" s="145">
        <f>SUM(ventas_b_mes2[[#This Row],[IMPORTE NETO]:[EXENTO]])</f>
        <v>0</v>
      </c>
      <c r="M274" s="59"/>
    </row>
    <row r="275" spans="2:13" x14ac:dyDescent="0.25">
      <c r="B275" s="139"/>
      <c r="C275" s="41"/>
      <c r="D275" s="141"/>
      <c r="E275" s="142"/>
      <c r="F275" s="143"/>
      <c r="G275" s="1" t="str">
        <f>IFERROR(IF(ventas_b_mes2[[#This Row],[CUIT]]="","-",VLOOKUP(ventas_b_mes2[[#This Row],[CUIT]],Lista_CUIT[#All],2,0)),"CUIT NO CARGADO")</f>
        <v>-</v>
      </c>
      <c r="H275" s="64"/>
      <c r="I275" s="144">
        <f>ventas_b_mes2[[#This Row],[IMPORTE NETO]]*0.21</f>
        <v>0</v>
      </c>
      <c r="J275" s="145"/>
      <c r="K275" s="145"/>
      <c r="L275" s="145">
        <f>SUM(ventas_b_mes2[[#This Row],[IMPORTE NETO]:[EXENTO]])</f>
        <v>0</v>
      </c>
      <c r="M275" s="59"/>
    </row>
    <row r="276" spans="2:13" x14ac:dyDescent="0.25">
      <c r="B276" s="139"/>
      <c r="C276" s="41"/>
      <c r="D276" s="141"/>
      <c r="E276" s="142"/>
      <c r="F276" s="143"/>
      <c r="G276" s="1" t="str">
        <f>IFERROR(IF(ventas_b_mes2[[#This Row],[CUIT]]="","-",VLOOKUP(ventas_b_mes2[[#This Row],[CUIT]],Lista_CUIT[#All],2,0)),"CUIT NO CARGADO")</f>
        <v>-</v>
      </c>
      <c r="H276" s="64"/>
      <c r="I276" s="144">
        <f>ventas_b_mes2[[#This Row],[IMPORTE NETO]]*0.21</f>
        <v>0</v>
      </c>
      <c r="J276" s="145"/>
      <c r="K276" s="145"/>
      <c r="L276" s="145">
        <f>SUM(ventas_b_mes2[[#This Row],[IMPORTE NETO]:[EXENTO]])</f>
        <v>0</v>
      </c>
      <c r="M276" s="59"/>
    </row>
    <row r="277" spans="2:13" x14ac:dyDescent="0.25">
      <c r="B277" s="139"/>
      <c r="C277" s="41"/>
      <c r="D277" s="141"/>
      <c r="E277" s="142"/>
      <c r="F277" s="143"/>
      <c r="G277" s="1" t="str">
        <f>IFERROR(IF(ventas_b_mes2[[#This Row],[CUIT]]="","-",VLOOKUP(ventas_b_mes2[[#This Row],[CUIT]],Lista_CUIT[#All],2,0)),"CUIT NO CARGADO")</f>
        <v>-</v>
      </c>
      <c r="H277" s="64"/>
      <c r="I277" s="144">
        <f>ventas_b_mes2[[#This Row],[IMPORTE NETO]]*0.21</f>
        <v>0</v>
      </c>
      <c r="J277" s="145"/>
      <c r="K277" s="145"/>
      <c r="L277" s="145">
        <f>SUM(ventas_b_mes2[[#This Row],[IMPORTE NETO]:[EXENTO]])</f>
        <v>0</v>
      </c>
      <c r="M277" s="59"/>
    </row>
    <row r="278" spans="2:13" x14ac:dyDescent="0.25">
      <c r="B278" s="139"/>
      <c r="C278" s="41"/>
      <c r="D278" s="141"/>
      <c r="E278" s="142"/>
      <c r="F278" s="143"/>
      <c r="G278" s="1" t="str">
        <f>IFERROR(IF(ventas_b_mes2[[#This Row],[CUIT]]="","-",VLOOKUP(ventas_b_mes2[[#This Row],[CUIT]],Lista_CUIT[#All],2,0)),"CUIT NO CARGADO")</f>
        <v>-</v>
      </c>
      <c r="H278" s="64"/>
      <c r="I278" s="144">
        <f>ventas_b_mes2[[#This Row],[IMPORTE NETO]]*0.21</f>
        <v>0</v>
      </c>
      <c r="J278" s="145"/>
      <c r="K278" s="145"/>
      <c r="L278" s="145">
        <f>SUM(ventas_b_mes2[[#This Row],[IMPORTE NETO]:[EXENTO]])</f>
        <v>0</v>
      </c>
      <c r="M278" s="59"/>
    </row>
    <row r="279" spans="2:13" x14ac:dyDescent="0.25">
      <c r="B279" s="139"/>
      <c r="C279" s="41"/>
      <c r="D279" s="141"/>
      <c r="E279" s="142"/>
      <c r="F279" s="143"/>
      <c r="G279" s="1" t="str">
        <f>IFERROR(IF(ventas_b_mes2[[#This Row],[CUIT]]="","-",VLOOKUP(ventas_b_mes2[[#This Row],[CUIT]],Lista_CUIT[#All],2,0)),"CUIT NO CARGADO")</f>
        <v>-</v>
      </c>
      <c r="H279" s="64"/>
      <c r="I279" s="144">
        <f>ventas_b_mes2[[#This Row],[IMPORTE NETO]]*0.21</f>
        <v>0</v>
      </c>
      <c r="J279" s="145"/>
      <c r="K279" s="145"/>
      <c r="L279" s="145">
        <f>SUM(ventas_b_mes2[[#This Row],[IMPORTE NETO]:[EXENTO]])</f>
        <v>0</v>
      </c>
      <c r="M279" s="59"/>
    </row>
    <row r="280" spans="2:13" x14ac:dyDescent="0.25">
      <c r="B280" s="139"/>
      <c r="C280" s="41"/>
      <c r="D280" s="141"/>
      <c r="E280" s="142"/>
      <c r="F280" s="143"/>
      <c r="G280" s="1" t="str">
        <f>IFERROR(IF(ventas_b_mes2[[#This Row],[CUIT]]="","-",VLOOKUP(ventas_b_mes2[[#This Row],[CUIT]],Lista_CUIT[#All],2,0)),"CUIT NO CARGADO")</f>
        <v>-</v>
      </c>
      <c r="H280" s="64"/>
      <c r="I280" s="144">
        <f>ventas_b_mes2[[#This Row],[IMPORTE NETO]]*0.21</f>
        <v>0</v>
      </c>
      <c r="J280" s="145"/>
      <c r="K280" s="145"/>
      <c r="L280" s="145">
        <f>SUM(ventas_b_mes2[[#This Row],[IMPORTE NETO]:[EXENTO]])</f>
        <v>0</v>
      </c>
      <c r="M280" s="59"/>
    </row>
    <row r="281" spans="2:13" x14ac:dyDescent="0.25">
      <c r="B281" s="139"/>
      <c r="C281" s="41"/>
      <c r="D281" s="141"/>
      <c r="E281" s="142"/>
      <c r="F281" s="143"/>
      <c r="G281" s="1" t="str">
        <f>IFERROR(IF(ventas_b_mes2[[#This Row],[CUIT]]="","-",VLOOKUP(ventas_b_mes2[[#This Row],[CUIT]],Lista_CUIT[#All],2,0)),"CUIT NO CARGADO")</f>
        <v>-</v>
      </c>
      <c r="H281" s="64"/>
      <c r="I281" s="144">
        <f>ventas_b_mes2[[#This Row],[IMPORTE NETO]]*0.21</f>
        <v>0</v>
      </c>
      <c r="J281" s="145"/>
      <c r="K281" s="145"/>
      <c r="L281" s="145">
        <f>SUM(ventas_b_mes2[[#This Row],[IMPORTE NETO]:[EXENTO]])</f>
        <v>0</v>
      </c>
      <c r="M281" s="59"/>
    </row>
    <row r="282" spans="2:13" x14ac:dyDescent="0.25">
      <c r="B282" s="139"/>
      <c r="C282" s="41"/>
      <c r="D282" s="141"/>
      <c r="E282" s="142"/>
      <c r="F282" s="143"/>
      <c r="G282" s="1" t="str">
        <f>IFERROR(IF(ventas_b_mes2[[#This Row],[CUIT]]="","-",VLOOKUP(ventas_b_mes2[[#This Row],[CUIT]],Lista_CUIT[#All],2,0)),"CUIT NO CARGADO")</f>
        <v>-</v>
      </c>
      <c r="H282" s="64"/>
      <c r="I282" s="144">
        <f>ventas_b_mes2[[#This Row],[IMPORTE NETO]]*0.21</f>
        <v>0</v>
      </c>
      <c r="J282" s="145"/>
      <c r="K282" s="145"/>
      <c r="L282" s="145">
        <f>SUM(ventas_b_mes2[[#This Row],[IMPORTE NETO]:[EXENTO]])</f>
        <v>0</v>
      </c>
      <c r="M282" s="59"/>
    </row>
    <row r="283" spans="2:13" x14ac:dyDescent="0.25">
      <c r="B283" s="139"/>
      <c r="C283" s="41"/>
      <c r="D283" s="141"/>
      <c r="E283" s="142"/>
      <c r="F283" s="143"/>
      <c r="G283" s="1" t="str">
        <f>IFERROR(IF(ventas_b_mes2[[#This Row],[CUIT]]="","-",VLOOKUP(ventas_b_mes2[[#This Row],[CUIT]],Lista_CUIT[#All],2,0)),"CUIT NO CARGADO")</f>
        <v>-</v>
      </c>
      <c r="H283" s="64"/>
      <c r="I283" s="144">
        <f>ventas_b_mes2[[#This Row],[IMPORTE NETO]]*0.21</f>
        <v>0</v>
      </c>
      <c r="J283" s="145"/>
      <c r="K283" s="145"/>
      <c r="L283" s="145">
        <f>SUM(ventas_b_mes2[[#This Row],[IMPORTE NETO]:[EXENTO]])</f>
        <v>0</v>
      </c>
      <c r="M283" s="59"/>
    </row>
    <row r="284" spans="2:13" x14ac:dyDescent="0.25">
      <c r="B284" s="139"/>
      <c r="C284" s="41"/>
      <c r="D284" s="141"/>
      <c r="E284" s="142"/>
      <c r="F284" s="143"/>
      <c r="G284" s="1" t="str">
        <f>IFERROR(IF(ventas_b_mes2[[#This Row],[CUIT]]="","-",VLOOKUP(ventas_b_mes2[[#This Row],[CUIT]],Lista_CUIT[#All],2,0)),"CUIT NO CARGADO")</f>
        <v>-</v>
      </c>
      <c r="H284" s="64"/>
      <c r="I284" s="144">
        <f>ventas_b_mes2[[#This Row],[IMPORTE NETO]]*0.21</f>
        <v>0</v>
      </c>
      <c r="J284" s="145"/>
      <c r="K284" s="145"/>
      <c r="L284" s="145">
        <f>SUM(ventas_b_mes2[[#This Row],[IMPORTE NETO]:[EXENTO]])</f>
        <v>0</v>
      </c>
      <c r="M284" s="59"/>
    </row>
    <row r="285" spans="2:13" x14ac:dyDescent="0.25">
      <c r="B285" s="139"/>
      <c r="C285" s="41"/>
      <c r="D285" s="141"/>
      <c r="E285" s="142"/>
      <c r="F285" s="143"/>
      <c r="G285" s="1" t="str">
        <f>IFERROR(IF(ventas_b_mes2[[#This Row],[CUIT]]="","-",VLOOKUP(ventas_b_mes2[[#This Row],[CUIT]],Lista_CUIT[#All],2,0)),"CUIT NO CARGADO")</f>
        <v>-</v>
      </c>
      <c r="H285" s="64"/>
      <c r="I285" s="144">
        <f>ventas_b_mes2[[#This Row],[IMPORTE NETO]]*0.21</f>
        <v>0</v>
      </c>
      <c r="J285" s="145"/>
      <c r="K285" s="145"/>
      <c r="L285" s="145">
        <f>SUM(ventas_b_mes2[[#This Row],[IMPORTE NETO]:[EXENTO]])</f>
        <v>0</v>
      </c>
      <c r="M285" s="59"/>
    </row>
    <row r="286" spans="2:13" x14ac:dyDescent="0.25">
      <c r="B286" s="139"/>
      <c r="C286" s="41"/>
      <c r="D286" s="141"/>
      <c r="E286" s="142"/>
      <c r="F286" s="143"/>
      <c r="G286" s="1" t="str">
        <f>IFERROR(IF(ventas_b_mes2[[#This Row],[CUIT]]="","-",VLOOKUP(ventas_b_mes2[[#This Row],[CUIT]],Lista_CUIT[#All],2,0)),"CUIT NO CARGADO")</f>
        <v>-</v>
      </c>
      <c r="H286" s="64"/>
      <c r="I286" s="144">
        <f>ventas_b_mes2[[#This Row],[IMPORTE NETO]]*0.21</f>
        <v>0</v>
      </c>
      <c r="J286" s="145"/>
      <c r="K286" s="145"/>
      <c r="L286" s="145">
        <f>SUM(ventas_b_mes2[[#This Row],[IMPORTE NETO]:[EXENTO]])</f>
        <v>0</v>
      </c>
      <c r="M286" s="59"/>
    </row>
    <row r="287" spans="2:13" x14ac:dyDescent="0.25">
      <c r="B287" s="139"/>
      <c r="C287" s="41"/>
      <c r="D287" s="141"/>
      <c r="E287" s="142"/>
      <c r="F287" s="143"/>
      <c r="G287" s="1" t="str">
        <f>IFERROR(IF(ventas_b_mes2[[#This Row],[CUIT]]="","-",VLOOKUP(ventas_b_mes2[[#This Row],[CUIT]],Lista_CUIT[#All],2,0)),"CUIT NO CARGADO")</f>
        <v>-</v>
      </c>
      <c r="H287" s="64"/>
      <c r="I287" s="144">
        <f>ventas_b_mes2[[#This Row],[IMPORTE NETO]]*0.21</f>
        <v>0</v>
      </c>
      <c r="J287" s="145"/>
      <c r="K287" s="145"/>
      <c r="L287" s="145">
        <f>SUM(ventas_b_mes2[[#This Row],[IMPORTE NETO]:[EXENTO]])</f>
        <v>0</v>
      </c>
      <c r="M287" s="59"/>
    </row>
    <row r="288" spans="2:13" x14ac:dyDescent="0.25">
      <c r="B288" s="139"/>
      <c r="C288" s="41"/>
      <c r="D288" s="141"/>
      <c r="E288" s="142"/>
      <c r="F288" s="143"/>
      <c r="G288" s="1" t="str">
        <f>IFERROR(IF(ventas_b_mes2[[#This Row],[CUIT]]="","-",VLOOKUP(ventas_b_mes2[[#This Row],[CUIT]],Lista_CUIT[#All],2,0)),"CUIT NO CARGADO")</f>
        <v>-</v>
      </c>
      <c r="H288" s="64"/>
      <c r="I288" s="144">
        <f>ventas_b_mes2[[#This Row],[IMPORTE NETO]]*0.21</f>
        <v>0</v>
      </c>
      <c r="J288" s="145"/>
      <c r="K288" s="145"/>
      <c r="L288" s="145">
        <f>SUM(ventas_b_mes2[[#This Row],[IMPORTE NETO]:[EXENTO]])</f>
        <v>0</v>
      </c>
      <c r="M288" s="59"/>
    </row>
    <row r="289" spans="2:13" x14ac:dyDescent="0.25">
      <c r="B289" s="139"/>
      <c r="C289" s="41"/>
      <c r="D289" s="141"/>
      <c r="E289" s="142"/>
      <c r="F289" s="143"/>
      <c r="G289" s="1" t="str">
        <f>IFERROR(IF(ventas_b_mes2[[#This Row],[CUIT]]="","-",VLOOKUP(ventas_b_mes2[[#This Row],[CUIT]],Lista_CUIT[#All],2,0)),"CUIT NO CARGADO")</f>
        <v>-</v>
      </c>
      <c r="H289" s="64"/>
      <c r="I289" s="144">
        <f>ventas_b_mes2[[#This Row],[IMPORTE NETO]]*0.21</f>
        <v>0</v>
      </c>
      <c r="J289" s="145"/>
      <c r="K289" s="145"/>
      <c r="L289" s="145">
        <f>SUM(ventas_b_mes2[[#This Row],[IMPORTE NETO]:[EXENTO]])</f>
        <v>0</v>
      </c>
      <c r="M289" s="59"/>
    </row>
    <row r="290" spans="2:13" x14ac:dyDescent="0.25">
      <c r="B290" s="139"/>
      <c r="C290" s="41"/>
      <c r="D290" s="141"/>
      <c r="E290" s="142"/>
      <c r="F290" s="143"/>
      <c r="G290" s="1" t="str">
        <f>IFERROR(IF(ventas_b_mes2[[#This Row],[CUIT]]="","-",VLOOKUP(ventas_b_mes2[[#This Row],[CUIT]],Lista_CUIT[#All],2,0)),"CUIT NO CARGADO")</f>
        <v>-</v>
      </c>
      <c r="H290" s="64"/>
      <c r="I290" s="144">
        <f>ventas_b_mes2[[#This Row],[IMPORTE NETO]]*0.21</f>
        <v>0</v>
      </c>
      <c r="J290" s="145"/>
      <c r="K290" s="145"/>
      <c r="L290" s="145">
        <f>SUM(ventas_b_mes2[[#This Row],[IMPORTE NETO]:[EXENTO]])</f>
        <v>0</v>
      </c>
      <c r="M290" s="59"/>
    </row>
    <row r="291" spans="2:13" x14ac:dyDescent="0.25">
      <c r="B291" s="139"/>
      <c r="C291" s="41"/>
      <c r="D291" s="141"/>
      <c r="E291" s="142"/>
      <c r="F291" s="143"/>
      <c r="G291" s="1" t="str">
        <f>IFERROR(IF(ventas_b_mes2[[#This Row],[CUIT]]="","-",VLOOKUP(ventas_b_mes2[[#This Row],[CUIT]],Lista_CUIT[#All],2,0)),"CUIT NO CARGADO")</f>
        <v>-</v>
      </c>
      <c r="H291" s="64"/>
      <c r="I291" s="144">
        <f>ventas_b_mes2[[#This Row],[IMPORTE NETO]]*0.21</f>
        <v>0</v>
      </c>
      <c r="J291" s="145"/>
      <c r="K291" s="145"/>
      <c r="L291" s="145">
        <f>SUM(ventas_b_mes2[[#This Row],[IMPORTE NETO]:[EXENTO]])</f>
        <v>0</v>
      </c>
      <c r="M291" s="59"/>
    </row>
    <row r="292" spans="2:13" x14ac:dyDescent="0.25">
      <c r="B292" s="139"/>
      <c r="C292" s="41"/>
      <c r="D292" s="141"/>
      <c r="E292" s="142"/>
      <c r="F292" s="143"/>
      <c r="G292" s="1" t="str">
        <f>IFERROR(IF(ventas_b_mes2[[#This Row],[CUIT]]="","-",VLOOKUP(ventas_b_mes2[[#This Row],[CUIT]],Lista_CUIT[#All],2,0)),"CUIT NO CARGADO")</f>
        <v>-</v>
      </c>
      <c r="H292" s="64"/>
      <c r="I292" s="144">
        <f>ventas_b_mes2[[#This Row],[IMPORTE NETO]]*0.21</f>
        <v>0</v>
      </c>
      <c r="J292" s="145"/>
      <c r="K292" s="145"/>
      <c r="L292" s="145">
        <f>SUM(ventas_b_mes2[[#This Row],[IMPORTE NETO]:[EXENTO]])</f>
        <v>0</v>
      </c>
      <c r="M292" s="59"/>
    </row>
    <row r="293" spans="2:13" x14ac:dyDescent="0.25">
      <c r="B293" s="139"/>
      <c r="C293" s="41"/>
      <c r="D293" s="141"/>
      <c r="E293" s="142"/>
      <c r="F293" s="143"/>
      <c r="G293" s="1" t="str">
        <f>IFERROR(IF(ventas_b_mes2[[#This Row],[CUIT]]="","-",VLOOKUP(ventas_b_mes2[[#This Row],[CUIT]],Lista_CUIT[#All],2,0)),"CUIT NO CARGADO")</f>
        <v>-</v>
      </c>
      <c r="H293" s="64"/>
      <c r="I293" s="144">
        <f>ventas_b_mes2[[#This Row],[IMPORTE NETO]]*0.21</f>
        <v>0</v>
      </c>
      <c r="J293" s="145"/>
      <c r="K293" s="145"/>
      <c r="L293" s="145">
        <f>SUM(ventas_b_mes2[[#This Row],[IMPORTE NETO]:[EXENTO]])</f>
        <v>0</v>
      </c>
      <c r="M293" s="59"/>
    </row>
    <row r="294" spans="2:13" x14ac:dyDescent="0.25">
      <c r="B294" s="139"/>
      <c r="C294" s="41"/>
      <c r="D294" s="141"/>
      <c r="E294" s="142"/>
      <c r="F294" s="143"/>
      <c r="G294" s="1" t="str">
        <f>IFERROR(IF(ventas_b_mes2[[#This Row],[CUIT]]="","-",VLOOKUP(ventas_b_mes2[[#This Row],[CUIT]],Lista_CUIT[#All],2,0)),"CUIT NO CARGADO")</f>
        <v>-</v>
      </c>
      <c r="H294" s="64"/>
      <c r="I294" s="144">
        <f>ventas_b_mes2[[#This Row],[IMPORTE NETO]]*0.21</f>
        <v>0</v>
      </c>
      <c r="J294" s="145"/>
      <c r="K294" s="145"/>
      <c r="L294" s="145">
        <f>SUM(ventas_b_mes2[[#This Row],[IMPORTE NETO]:[EXENTO]])</f>
        <v>0</v>
      </c>
      <c r="M294" s="59"/>
    </row>
    <row r="295" spans="2:13" x14ac:dyDescent="0.25">
      <c r="B295" s="139"/>
      <c r="C295" s="41"/>
      <c r="D295" s="141"/>
      <c r="E295" s="142"/>
      <c r="F295" s="143"/>
      <c r="G295" s="1" t="str">
        <f>IFERROR(IF(ventas_b_mes2[[#This Row],[CUIT]]="","-",VLOOKUP(ventas_b_mes2[[#This Row],[CUIT]],Lista_CUIT[#All],2,0)),"CUIT NO CARGADO")</f>
        <v>-</v>
      </c>
      <c r="H295" s="64"/>
      <c r="I295" s="144">
        <f>ventas_b_mes2[[#This Row],[IMPORTE NETO]]*0.21</f>
        <v>0</v>
      </c>
      <c r="J295" s="145"/>
      <c r="K295" s="145"/>
      <c r="L295" s="145">
        <f>SUM(ventas_b_mes2[[#This Row],[IMPORTE NETO]:[EXENTO]])</f>
        <v>0</v>
      </c>
      <c r="M295" s="59"/>
    </row>
    <row r="296" spans="2:13" x14ac:dyDescent="0.25">
      <c r="B296" s="139"/>
      <c r="C296" s="41"/>
      <c r="D296" s="141"/>
      <c r="E296" s="142"/>
      <c r="F296" s="143"/>
      <c r="G296" s="1" t="str">
        <f>IFERROR(IF(ventas_b_mes2[[#This Row],[CUIT]]="","-",VLOOKUP(ventas_b_mes2[[#This Row],[CUIT]],Lista_CUIT[#All],2,0)),"CUIT NO CARGADO")</f>
        <v>-</v>
      </c>
      <c r="H296" s="64"/>
      <c r="I296" s="144">
        <f>ventas_b_mes2[[#This Row],[IMPORTE NETO]]*0.21</f>
        <v>0</v>
      </c>
      <c r="J296" s="145"/>
      <c r="K296" s="145"/>
      <c r="L296" s="145">
        <f>SUM(ventas_b_mes2[[#This Row],[IMPORTE NETO]:[EXENTO]])</f>
        <v>0</v>
      </c>
      <c r="M296" s="59"/>
    </row>
    <row r="297" spans="2:13" x14ac:dyDescent="0.25">
      <c r="B297" s="139"/>
      <c r="C297" s="41"/>
      <c r="D297" s="141"/>
      <c r="E297" s="142"/>
      <c r="F297" s="143"/>
      <c r="G297" s="1" t="str">
        <f>IFERROR(IF(ventas_b_mes2[[#This Row],[CUIT]]="","-",VLOOKUP(ventas_b_mes2[[#This Row],[CUIT]],Lista_CUIT[#All],2,0)),"CUIT NO CARGADO")</f>
        <v>-</v>
      </c>
      <c r="H297" s="64"/>
      <c r="I297" s="144">
        <f>ventas_b_mes2[[#This Row],[IMPORTE NETO]]*0.21</f>
        <v>0</v>
      </c>
      <c r="J297" s="145"/>
      <c r="K297" s="145"/>
      <c r="L297" s="145">
        <f>SUM(ventas_b_mes2[[#This Row],[IMPORTE NETO]:[EXENTO]])</f>
        <v>0</v>
      </c>
      <c r="M297" s="59"/>
    </row>
    <row r="298" spans="2:13" x14ac:dyDescent="0.25">
      <c r="B298" s="139"/>
      <c r="C298" s="41"/>
      <c r="D298" s="141"/>
      <c r="E298" s="142"/>
      <c r="F298" s="143"/>
      <c r="G298" s="1" t="str">
        <f>IFERROR(IF(ventas_b_mes2[[#This Row],[CUIT]]="","-",VLOOKUP(ventas_b_mes2[[#This Row],[CUIT]],Lista_CUIT[#All],2,0)),"CUIT NO CARGADO")</f>
        <v>-</v>
      </c>
      <c r="H298" s="64"/>
      <c r="I298" s="144">
        <f>ventas_b_mes2[[#This Row],[IMPORTE NETO]]*0.21</f>
        <v>0</v>
      </c>
      <c r="J298" s="145"/>
      <c r="K298" s="145"/>
      <c r="L298" s="145">
        <f>SUM(ventas_b_mes2[[#This Row],[IMPORTE NETO]:[EXENTO]])</f>
        <v>0</v>
      </c>
      <c r="M298" s="59"/>
    </row>
    <row r="299" spans="2:13" x14ac:dyDescent="0.25">
      <c r="B299" s="139"/>
      <c r="C299" s="41"/>
      <c r="D299" s="141"/>
      <c r="E299" s="142"/>
      <c r="F299" s="143"/>
      <c r="G299" s="1" t="str">
        <f>IFERROR(IF(ventas_b_mes2[[#This Row],[CUIT]]="","-",VLOOKUP(ventas_b_mes2[[#This Row],[CUIT]],Lista_CUIT[#All],2,0)),"CUIT NO CARGADO")</f>
        <v>-</v>
      </c>
      <c r="H299" s="64"/>
      <c r="I299" s="144">
        <f>ventas_b_mes2[[#This Row],[IMPORTE NETO]]*0.21</f>
        <v>0</v>
      </c>
      <c r="J299" s="145"/>
      <c r="K299" s="145"/>
      <c r="L299" s="145">
        <f>SUM(ventas_b_mes2[[#This Row],[IMPORTE NETO]:[EXENTO]])</f>
        <v>0</v>
      </c>
      <c r="M299" s="59"/>
    </row>
    <row r="300" spans="2:13" x14ac:dyDescent="0.25">
      <c r="B300" s="139"/>
      <c r="C300" s="41"/>
      <c r="D300" s="141"/>
      <c r="E300" s="142"/>
      <c r="F300" s="143"/>
      <c r="G300" s="1" t="str">
        <f>IFERROR(IF(ventas_b_mes2[[#This Row],[CUIT]]="","-",VLOOKUP(ventas_b_mes2[[#This Row],[CUIT]],Lista_CUIT[#All],2,0)),"CUIT NO CARGADO")</f>
        <v>-</v>
      </c>
      <c r="H300" s="64"/>
      <c r="I300" s="144">
        <f>ventas_b_mes2[[#This Row],[IMPORTE NETO]]*0.21</f>
        <v>0</v>
      </c>
      <c r="J300" s="145"/>
      <c r="K300" s="145"/>
      <c r="L300" s="145">
        <f>SUM(ventas_b_mes2[[#This Row],[IMPORTE NETO]:[EXENTO]])</f>
        <v>0</v>
      </c>
      <c r="M300" s="59"/>
    </row>
    <row r="301" spans="2:13" x14ac:dyDescent="0.25">
      <c r="B301" s="139"/>
      <c r="C301" s="41"/>
      <c r="D301" s="141"/>
      <c r="E301" s="142"/>
      <c r="F301" s="143"/>
      <c r="G301" s="1" t="str">
        <f>IFERROR(IF(ventas_b_mes2[[#This Row],[CUIT]]="","-",VLOOKUP(ventas_b_mes2[[#This Row],[CUIT]],Lista_CUIT[#All],2,0)),"CUIT NO CARGADO")</f>
        <v>-</v>
      </c>
      <c r="H301" s="64"/>
      <c r="I301" s="144">
        <f>ventas_b_mes2[[#This Row],[IMPORTE NETO]]*0.21</f>
        <v>0</v>
      </c>
      <c r="J301" s="145"/>
      <c r="K301" s="145"/>
      <c r="L301" s="145">
        <f>SUM(ventas_b_mes2[[#This Row],[IMPORTE NETO]:[EXENTO]])</f>
        <v>0</v>
      </c>
      <c r="M301" s="59"/>
    </row>
    <row r="302" spans="2:13" x14ac:dyDescent="0.25">
      <c r="B302" s="139"/>
      <c r="C302" s="41"/>
      <c r="D302" s="141"/>
      <c r="E302" s="142"/>
      <c r="F302" s="143"/>
      <c r="G302" s="1" t="str">
        <f>IFERROR(IF(ventas_b_mes2[[#This Row],[CUIT]]="","-",VLOOKUP(ventas_b_mes2[[#This Row],[CUIT]],Lista_CUIT[#All],2,0)),"CUIT NO CARGADO")</f>
        <v>-</v>
      </c>
      <c r="H302" s="64"/>
      <c r="I302" s="144">
        <f>ventas_b_mes2[[#This Row],[IMPORTE NETO]]*0.21</f>
        <v>0</v>
      </c>
      <c r="J302" s="145"/>
      <c r="K302" s="145"/>
      <c r="L302" s="145">
        <f>SUM(ventas_b_mes2[[#This Row],[IMPORTE NETO]:[EXENTO]])</f>
        <v>0</v>
      </c>
      <c r="M302" s="59"/>
    </row>
    <row r="303" spans="2:13" x14ac:dyDescent="0.25">
      <c r="B303" s="139"/>
      <c r="C303" s="41"/>
      <c r="D303" s="141"/>
      <c r="E303" s="142"/>
      <c r="F303" s="143"/>
      <c r="G303" s="1" t="str">
        <f>IFERROR(IF(ventas_b_mes2[[#This Row],[CUIT]]="","-",VLOOKUP(ventas_b_mes2[[#This Row],[CUIT]],Lista_CUIT[#All],2,0)),"CUIT NO CARGADO")</f>
        <v>-</v>
      </c>
      <c r="H303" s="64"/>
      <c r="I303" s="144">
        <f>ventas_b_mes2[[#This Row],[IMPORTE NETO]]*0.21</f>
        <v>0</v>
      </c>
      <c r="J303" s="145"/>
      <c r="K303" s="145"/>
      <c r="L303" s="145">
        <f>SUM(ventas_b_mes2[[#This Row],[IMPORTE NETO]:[EXENTO]])</f>
        <v>0</v>
      </c>
      <c r="M303" s="59"/>
    </row>
    <row r="304" spans="2:13" x14ac:dyDescent="0.25">
      <c r="B304" s="139"/>
      <c r="C304" s="41"/>
      <c r="D304" s="141"/>
      <c r="E304" s="142"/>
      <c r="F304" s="143"/>
      <c r="G304" s="1" t="str">
        <f>IFERROR(IF(ventas_b_mes2[[#This Row],[CUIT]]="","-",VLOOKUP(ventas_b_mes2[[#This Row],[CUIT]],Lista_CUIT[#All],2,0)),"CUIT NO CARGADO")</f>
        <v>-</v>
      </c>
      <c r="H304" s="64"/>
      <c r="I304" s="144">
        <f>ventas_b_mes2[[#This Row],[IMPORTE NETO]]*0.21</f>
        <v>0</v>
      </c>
      <c r="J304" s="145"/>
      <c r="K304" s="145"/>
      <c r="L304" s="145">
        <f>SUM(ventas_b_mes2[[#This Row],[IMPORTE NETO]:[EXENTO]])</f>
        <v>0</v>
      </c>
      <c r="M304" s="59"/>
    </row>
    <row r="305" spans="2:13" x14ac:dyDescent="0.25">
      <c r="B305" s="139"/>
      <c r="C305" s="41"/>
      <c r="D305" s="141"/>
      <c r="E305" s="142"/>
      <c r="F305" s="143"/>
      <c r="G305" s="1" t="str">
        <f>IFERROR(IF(ventas_b_mes2[[#This Row],[CUIT]]="","-",VLOOKUP(ventas_b_mes2[[#This Row],[CUIT]],Lista_CUIT[#All],2,0)),"CUIT NO CARGADO")</f>
        <v>-</v>
      </c>
      <c r="H305" s="64"/>
      <c r="I305" s="144">
        <f>ventas_b_mes2[[#This Row],[IMPORTE NETO]]*0.21</f>
        <v>0</v>
      </c>
      <c r="J305" s="145"/>
      <c r="K305" s="145"/>
      <c r="L305" s="145">
        <f>SUM(ventas_b_mes2[[#This Row],[IMPORTE NETO]:[EXENTO]])</f>
        <v>0</v>
      </c>
      <c r="M305" s="59"/>
    </row>
    <row r="306" spans="2:13" x14ac:dyDescent="0.25">
      <c r="B306" s="146"/>
      <c r="C306" s="41"/>
      <c r="D306" s="147"/>
      <c r="E306" s="148"/>
      <c r="F306" s="149"/>
      <c r="G306" s="150" t="str">
        <f>IFERROR(IF(ventas_b_mes2[[#This Row],[CUIT]]="","-",VLOOKUP(ventas_b_mes2[[#This Row],[CUIT]],Lista_CUIT[#All],2,0)),"CUIT NO CARGADO")</f>
        <v>-</v>
      </c>
      <c r="H306" s="151"/>
      <c r="I306" s="152">
        <f>ventas_b_mes2[[#This Row],[IMPORTE NETO]]*0.21</f>
        <v>0</v>
      </c>
      <c r="J306" s="153"/>
      <c r="K306" s="153"/>
      <c r="L306" s="153">
        <f>SUM(ventas_b_mes2[[#This Row],[IMPORTE NETO]:[EXENTO]])</f>
        <v>0</v>
      </c>
      <c r="M306" s="63"/>
    </row>
    <row r="307" spans="2:13" x14ac:dyDescent="0.25">
      <c r="B307" s="146"/>
      <c r="C307" s="41"/>
      <c r="D307" s="147"/>
      <c r="E307" s="148"/>
      <c r="F307" s="149"/>
      <c r="G307" s="150" t="str">
        <f>IFERROR(IF(ventas_b_mes2[[#This Row],[CUIT]]="","-",VLOOKUP(ventas_b_mes2[[#This Row],[CUIT]],Lista_CUIT[#All],2,0)),"CUIT NO CARGADO")</f>
        <v>-</v>
      </c>
      <c r="H307" s="151"/>
      <c r="I307" s="152">
        <f>ventas_b_mes2[[#This Row],[IMPORTE NETO]]*0.21</f>
        <v>0</v>
      </c>
      <c r="J307" s="153"/>
      <c r="K307" s="153"/>
      <c r="L307" s="153">
        <f>SUM(ventas_b_mes2[[#This Row],[IMPORTE NETO]:[EXENTO]])</f>
        <v>0</v>
      </c>
      <c r="M307" s="63"/>
    </row>
    <row r="308" spans="2:13" x14ac:dyDescent="0.25">
      <c r="B308" s="146"/>
      <c r="C308" s="41"/>
      <c r="D308" s="147"/>
      <c r="E308" s="148"/>
      <c r="F308" s="149"/>
      <c r="G308" s="150" t="str">
        <f>IFERROR(IF(ventas_b_mes2[[#This Row],[CUIT]]="","-",VLOOKUP(ventas_b_mes2[[#This Row],[CUIT]],Lista_CUIT[#All],2,0)),"CUIT NO CARGADO")</f>
        <v>-</v>
      </c>
      <c r="H308" s="151"/>
      <c r="I308" s="152">
        <f>ventas_b_mes2[[#This Row],[IMPORTE NETO]]*0.21</f>
        <v>0</v>
      </c>
      <c r="J308" s="153"/>
      <c r="K308" s="153"/>
      <c r="L308" s="153">
        <f>SUM(ventas_b_mes2[[#This Row],[IMPORTE NETO]:[EXENTO]])</f>
        <v>0</v>
      </c>
      <c r="M308" s="63"/>
    </row>
    <row r="309" spans="2:13" x14ac:dyDescent="0.25">
      <c r="B309" s="146"/>
      <c r="C309" s="41"/>
      <c r="D309" s="147"/>
      <c r="E309" s="148"/>
      <c r="F309" s="149"/>
      <c r="G309" s="150" t="str">
        <f>IFERROR(IF(ventas_b_mes2[[#This Row],[CUIT]]="","-",VLOOKUP(ventas_b_mes2[[#This Row],[CUIT]],Lista_CUIT[#All],2,0)),"CUIT NO CARGADO")</f>
        <v>-</v>
      </c>
      <c r="H309" s="151"/>
      <c r="I309" s="152">
        <f>ventas_b_mes2[[#This Row],[IMPORTE NETO]]*0.21</f>
        <v>0</v>
      </c>
      <c r="J309" s="153"/>
      <c r="K309" s="153"/>
      <c r="L309" s="153">
        <f>SUM(ventas_b_mes2[[#This Row],[IMPORTE NETO]:[EXENTO]])</f>
        <v>0</v>
      </c>
      <c r="M309" s="63"/>
    </row>
    <row r="310" spans="2:13" x14ac:dyDescent="0.25">
      <c r="B310" s="146"/>
      <c r="C310" s="41"/>
      <c r="D310" s="147"/>
      <c r="E310" s="148"/>
      <c r="F310" s="149"/>
      <c r="G310" s="150" t="str">
        <f>IFERROR(IF(ventas_b_mes2[[#This Row],[CUIT]]="","-",VLOOKUP(ventas_b_mes2[[#This Row],[CUIT]],Lista_CUIT[#All],2,0)),"CUIT NO CARGADO")</f>
        <v>-</v>
      </c>
      <c r="H310" s="151"/>
      <c r="I310" s="152">
        <f>ventas_b_mes2[[#This Row],[IMPORTE NETO]]*0.21</f>
        <v>0</v>
      </c>
      <c r="J310" s="153"/>
      <c r="K310" s="153"/>
      <c r="L310" s="153">
        <f>SUM(ventas_b_mes2[[#This Row],[IMPORTE NETO]:[EXENTO]])</f>
        <v>0</v>
      </c>
      <c r="M310" s="63"/>
    </row>
    <row r="311" spans="2:13" x14ac:dyDescent="0.25">
      <c r="B311" s="146"/>
      <c r="C311" s="41"/>
      <c r="D311" s="147"/>
      <c r="E311" s="148"/>
      <c r="F311" s="149"/>
      <c r="G311" s="150" t="str">
        <f>IFERROR(IF(ventas_b_mes2[[#This Row],[CUIT]]="","-",VLOOKUP(ventas_b_mes2[[#This Row],[CUIT]],Lista_CUIT[#All],2,0)),"CUIT NO CARGADO")</f>
        <v>-</v>
      </c>
      <c r="H311" s="151"/>
      <c r="I311" s="152">
        <f>ventas_b_mes2[[#This Row],[IMPORTE NETO]]*0.21</f>
        <v>0</v>
      </c>
      <c r="J311" s="153"/>
      <c r="K311" s="153"/>
      <c r="L311" s="153">
        <f>SUM(ventas_b_mes2[[#This Row],[IMPORTE NETO]:[EXENTO]])</f>
        <v>0</v>
      </c>
      <c r="M311" s="63"/>
    </row>
    <row r="312" spans="2:13" x14ac:dyDescent="0.25">
      <c r="B312" s="146"/>
      <c r="C312" s="41"/>
      <c r="D312" s="147"/>
      <c r="E312" s="148"/>
      <c r="F312" s="149"/>
      <c r="G312" s="150" t="str">
        <f>IFERROR(IF(ventas_b_mes2[[#This Row],[CUIT]]="","-",VLOOKUP(ventas_b_mes2[[#This Row],[CUIT]],Lista_CUIT[#All],2,0)),"CUIT NO CARGADO")</f>
        <v>-</v>
      </c>
      <c r="H312" s="151"/>
      <c r="I312" s="152">
        <f>ventas_b_mes2[[#This Row],[IMPORTE NETO]]*0.21</f>
        <v>0</v>
      </c>
      <c r="J312" s="153"/>
      <c r="K312" s="153"/>
      <c r="L312" s="153">
        <f>SUM(ventas_b_mes2[[#This Row],[IMPORTE NETO]:[EXENTO]])</f>
        <v>0</v>
      </c>
      <c r="M312" s="63"/>
    </row>
    <row r="313" spans="2:13" x14ac:dyDescent="0.25">
      <c r="B313" s="139"/>
      <c r="C313" s="41"/>
      <c r="D313" s="141"/>
      <c r="E313" s="142"/>
      <c r="F313" s="143"/>
      <c r="G313" s="1" t="str">
        <f>IFERROR(IF(ventas_b_mes2[[#This Row],[CUIT]]="","-",VLOOKUP(ventas_b_mes2[[#This Row],[CUIT]],Lista_CUIT[#All],2,0)),"CUIT NO CARGADO")</f>
        <v>-</v>
      </c>
      <c r="H313" s="64"/>
      <c r="I313" s="144">
        <f>ventas_b_mes2[[#This Row],[IMPORTE NETO]]*0.21</f>
        <v>0</v>
      </c>
      <c r="J313" s="145"/>
      <c r="K313" s="145"/>
      <c r="L313" s="145">
        <f>SUM(ventas_b_mes2[[#This Row],[IMPORTE NETO]:[EXENTO]])</f>
        <v>0</v>
      </c>
      <c r="M313" s="59"/>
    </row>
    <row r="314" spans="2:13" x14ac:dyDescent="0.25">
      <c r="B314" s="139"/>
      <c r="C314" s="41"/>
      <c r="D314" s="141"/>
      <c r="E314" s="142"/>
      <c r="F314" s="143"/>
      <c r="G314" s="1" t="str">
        <f>IFERROR(IF(ventas_b_mes2[[#This Row],[CUIT]]="","-",VLOOKUP(ventas_b_mes2[[#This Row],[CUIT]],Lista_CUIT[#All],2,0)),"CUIT NO CARGADO")</f>
        <v>-</v>
      </c>
      <c r="H314" s="64"/>
      <c r="I314" s="144">
        <f>ventas_b_mes2[[#This Row],[IMPORTE NETO]]*0.21</f>
        <v>0</v>
      </c>
      <c r="J314" s="145"/>
      <c r="K314" s="145"/>
      <c r="L314" s="145">
        <f>SUM(ventas_b_mes2[[#This Row],[IMPORTE NETO]:[EXENTO]])</f>
        <v>0</v>
      </c>
      <c r="M314" s="59"/>
    </row>
    <row r="315" spans="2:13" x14ac:dyDescent="0.25">
      <c r="B315" s="139"/>
      <c r="C315" s="41"/>
      <c r="D315" s="141"/>
      <c r="E315" s="142"/>
      <c r="F315" s="143"/>
      <c r="G315" s="1" t="str">
        <f>IFERROR(IF(ventas_b_mes2[[#This Row],[CUIT]]="","-",VLOOKUP(ventas_b_mes2[[#This Row],[CUIT]],Lista_CUIT[#All],2,0)),"CUIT NO CARGADO")</f>
        <v>-</v>
      </c>
      <c r="H315" s="64"/>
      <c r="I315" s="144">
        <f>ventas_b_mes2[[#This Row],[IMPORTE NETO]]*0.21</f>
        <v>0</v>
      </c>
      <c r="J315" s="145"/>
      <c r="K315" s="145"/>
      <c r="L315" s="145">
        <f>SUM(ventas_b_mes2[[#This Row],[IMPORTE NETO]:[EXENTO]])</f>
        <v>0</v>
      </c>
      <c r="M315" s="59"/>
    </row>
    <row r="316" spans="2:13" x14ac:dyDescent="0.25">
      <c r="B316" s="139"/>
      <c r="C316" s="41"/>
      <c r="D316" s="141"/>
      <c r="E316" s="142"/>
      <c r="F316" s="143"/>
      <c r="G316" s="1" t="str">
        <f>IFERROR(IF(ventas_b_mes2[[#This Row],[CUIT]]="","-",VLOOKUP(ventas_b_mes2[[#This Row],[CUIT]],Lista_CUIT[#All],2,0)),"CUIT NO CARGADO")</f>
        <v>-</v>
      </c>
      <c r="H316" s="64"/>
      <c r="I316" s="144">
        <f>ventas_b_mes2[[#This Row],[IMPORTE NETO]]*0.21</f>
        <v>0</v>
      </c>
      <c r="J316" s="145"/>
      <c r="K316" s="145"/>
      <c r="L316" s="145">
        <f>SUM(ventas_b_mes2[[#This Row],[IMPORTE NETO]:[EXENTO]])</f>
        <v>0</v>
      </c>
      <c r="M316" s="59"/>
    </row>
    <row r="317" spans="2:13" x14ac:dyDescent="0.25">
      <c r="B317" s="139"/>
      <c r="C317" s="41"/>
      <c r="D317" s="141"/>
      <c r="E317" s="142"/>
      <c r="F317" s="143"/>
      <c r="G317" s="1" t="str">
        <f>IFERROR(IF(ventas_b_mes2[[#This Row],[CUIT]]="","-",VLOOKUP(ventas_b_mes2[[#This Row],[CUIT]],Lista_CUIT[#All],2,0)),"CUIT NO CARGADO")</f>
        <v>-</v>
      </c>
      <c r="H317" s="64"/>
      <c r="I317" s="144">
        <f>ventas_b_mes2[[#This Row],[IMPORTE NETO]]*0.21</f>
        <v>0</v>
      </c>
      <c r="J317" s="145"/>
      <c r="K317" s="145"/>
      <c r="L317" s="145">
        <f>SUM(ventas_b_mes2[[#This Row],[IMPORTE NETO]:[EXENTO]])</f>
        <v>0</v>
      </c>
      <c r="M317" s="59"/>
    </row>
    <row r="318" spans="2:13" x14ac:dyDescent="0.25">
      <c r="B318" s="139"/>
      <c r="C318" s="41"/>
      <c r="D318" s="141"/>
      <c r="E318" s="142"/>
      <c r="F318" s="143"/>
      <c r="G318" s="1" t="str">
        <f>IFERROR(IF(ventas_b_mes2[[#This Row],[CUIT]]="","-",VLOOKUP(ventas_b_mes2[[#This Row],[CUIT]],Lista_CUIT[#All],2,0)),"CUIT NO CARGADO")</f>
        <v>-</v>
      </c>
      <c r="H318" s="64"/>
      <c r="I318" s="144">
        <f>ventas_b_mes2[[#This Row],[IMPORTE NETO]]*0.21</f>
        <v>0</v>
      </c>
      <c r="J318" s="145"/>
      <c r="K318" s="145"/>
      <c r="L318" s="145">
        <f>SUM(ventas_b_mes2[[#This Row],[IMPORTE NETO]:[EXENTO]])</f>
        <v>0</v>
      </c>
      <c r="M318" s="59"/>
    </row>
    <row r="319" spans="2:13" x14ac:dyDescent="0.25">
      <c r="B319" s="139"/>
      <c r="C319" s="41"/>
      <c r="D319" s="141"/>
      <c r="E319" s="142"/>
      <c r="F319" s="143"/>
      <c r="G319" s="1" t="str">
        <f>IFERROR(IF(ventas_b_mes2[[#This Row],[CUIT]]="","-",VLOOKUP(ventas_b_mes2[[#This Row],[CUIT]],Lista_CUIT[#All],2,0)),"CUIT NO CARGADO")</f>
        <v>-</v>
      </c>
      <c r="H319" s="64"/>
      <c r="I319" s="144">
        <f>ventas_b_mes2[[#This Row],[IMPORTE NETO]]*0.21</f>
        <v>0</v>
      </c>
      <c r="J319" s="145"/>
      <c r="K319" s="145"/>
      <c r="L319" s="145">
        <f>SUM(ventas_b_mes2[[#This Row],[IMPORTE NETO]:[EXENTO]])</f>
        <v>0</v>
      </c>
      <c r="M319" s="59"/>
    </row>
    <row r="320" spans="2:13" x14ac:dyDescent="0.25">
      <c r="B320" s="139"/>
      <c r="C320" s="41"/>
      <c r="D320" s="141"/>
      <c r="E320" s="142"/>
      <c r="F320" s="143"/>
      <c r="G320" s="1" t="str">
        <f>IFERROR(IF(ventas_b_mes2[[#This Row],[CUIT]]="","-",VLOOKUP(ventas_b_mes2[[#This Row],[CUIT]],Lista_CUIT[#All],2,0)),"CUIT NO CARGADO")</f>
        <v>-</v>
      </c>
      <c r="H320" s="64"/>
      <c r="I320" s="144">
        <f>ventas_b_mes2[[#This Row],[IMPORTE NETO]]*0.21</f>
        <v>0</v>
      </c>
      <c r="J320" s="145"/>
      <c r="K320" s="145"/>
      <c r="L320" s="145">
        <f>SUM(ventas_b_mes2[[#This Row],[IMPORTE NETO]:[EXENTO]])</f>
        <v>0</v>
      </c>
      <c r="M320" s="59"/>
    </row>
    <row r="321" spans="2:13" x14ac:dyDescent="0.25">
      <c r="B321" s="139"/>
      <c r="C321" s="41"/>
      <c r="D321" s="141"/>
      <c r="E321" s="142"/>
      <c r="F321" s="143"/>
      <c r="G321" s="1" t="str">
        <f>IFERROR(IF(ventas_b_mes2[[#This Row],[CUIT]]="","-",VLOOKUP(ventas_b_mes2[[#This Row],[CUIT]],Lista_CUIT[#All],2,0)),"CUIT NO CARGADO")</f>
        <v>-</v>
      </c>
      <c r="H321" s="64"/>
      <c r="I321" s="144">
        <f>ventas_b_mes2[[#This Row],[IMPORTE NETO]]*0.21</f>
        <v>0</v>
      </c>
      <c r="J321" s="145"/>
      <c r="K321" s="145"/>
      <c r="L321" s="145">
        <f>SUM(ventas_b_mes2[[#This Row],[IMPORTE NETO]:[EXENTO]])</f>
        <v>0</v>
      </c>
      <c r="M321" s="59"/>
    </row>
    <row r="322" spans="2:13" x14ac:dyDescent="0.25">
      <c r="B322" s="139"/>
      <c r="C322" s="41"/>
      <c r="D322" s="141"/>
      <c r="E322" s="142"/>
      <c r="F322" s="143"/>
      <c r="G322" s="1" t="str">
        <f>IFERROR(IF(ventas_b_mes2[[#This Row],[CUIT]]="","-",VLOOKUP(ventas_b_mes2[[#This Row],[CUIT]],Lista_CUIT[#All],2,0)),"CUIT NO CARGADO")</f>
        <v>-</v>
      </c>
      <c r="H322" s="64"/>
      <c r="I322" s="144">
        <f>ventas_b_mes2[[#This Row],[IMPORTE NETO]]*0.21</f>
        <v>0</v>
      </c>
      <c r="J322" s="145"/>
      <c r="K322" s="145"/>
      <c r="L322" s="145">
        <f>SUM(ventas_b_mes2[[#This Row],[IMPORTE NETO]:[EXENTO]])</f>
        <v>0</v>
      </c>
      <c r="M322" s="59"/>
    </row>
    <row r="323" spans="2:13" x14ac:dyDescent="0.25">
      <c r="B323" s="139"/>
      <c r="C323" s="41"/>
      <c r="D323" s="141"/>
      <c r="E323" s="142"/>
      <c r="F323" s="143"/>
      <c r="G323" s="1" t="str">
        <f>IFERROR(IF(ventas_b_mes2[[#This Row],[CUIT]]="","-",VLOOKUP(ventas_b_mes2[[#This Row],[CUIT]],Lista_CUIT[#All],2,0)),"CUIT NO CARGADO")</f>
        <v>-</v>
      </c>
      <c r="H323" s="64"/>
      <c r="I323" s="144">
        <f>ventas_b_mes2[[#This Row],[IMPORTE NETO]]*0.21</f>
        <v>0</v>
      </c>
      <c r="J323" s="145"/>
      <c r="K323" s="145"/>
      <c r="L323" s="145">
        <f>SUM(ventas_b_mes2[[#This Row],[IMPORTE NETO]:[EXENTO]])</f>
        <v>0</v>
      </c>
      <c r="M323" s="59"/>
    </row>
    <row r="324" spans="2:13" x14ac:dyDescent="0.25">
      <c r="B324" s="139"/>
      <c r="C324" s="41"/>
      <c r="D324" s="141"/>
      <c r="E324" s="142"/>
      <c r="F324" s="143"/>
      <c r="G324" s="1" t="str">
        <f>IFERROR(IF(ventas_b_mes2[[#This Row],[CUIT]]="","-",VLOOKUP(ventas_b_mes2[[#This Row],[CUIT]],Lista_CUIT[#All],2,0)),"CUIT NO CARGADO")</f>
        <v>-</v>
      </c>
      <c r="H324" s="64"/>
      <c r="I324" s="144">
        <f>ventas_b_mes2[[#This Row],[IMPORTE NETO]]*0.21</f>
        <v>0</v>
      </c>
      <c r="J324" s="145"/>
      <c r="K324" s="145"/>
      <c r="L324" s="145">
        <f>SUM(ventas_b_mes2[[#This Row],[IMPORTE NETO]:[EXENTO]])</f>
        <v>0</v>
      </c>
      <c r="M324" s="59"/>
    </row>
    <row r="325" spans="2:13" x14ac:dyDescent="0.25">
      <c r="B325" s="139"/>
      <c r="C325" s="41"/>
      <c r="D325" s="141"/>
      <c r="E325" s="142"/>
      <c r="F325" s="143"/>
      <c r="G325" s="1" t="str">
        <f>IFERROR(IF(ventas_b_mes2[[#This Row],[CUIT]]="","-",VLOOKUP(ventas_b_mes2[[#This Row],[CUIT]],Lista_CUIT[#All],2,0)),"CUIT NO CARGADO")</f>
        <v>-</v>
      </c>
      <c r="H325" s="64"/>
      <c r="I325" s="144">
        <f>ventas_b_mes2[[#This Row],[IMPORTE NETO]]*0.21</f>
        <v>0</v>
      </c>
      <c r="J325" s="145"/>
      <c r="K325" s="145"/>
      <c r="L325" s="145">
        <f>SUM(ventas_b_mes2[[#This Row],[IMPORTE NETO]:[EXENTO]])</f>
        <v>0</v>
      </c>
      <c r="M325" s="59"/>
    </row>
    <row r="326" spans="2:13" x14ac:dyDescent="0.25">
      <c r="B326" s="139"/>
      <c r="C326" s="41"/>
      <c r="D326" s="141"/>
      <c r="E326" s="142"/>
      <c r="F326" s="143"/>
      <c r="G326" s="1" t="str">
        <f>IFERROR(IF(ventas_b_mes2[[#This Row],[CUIT]]="","-",VLOOKUP(ventas_b_mes2[[#This Row],[CUIT]],Lista_CUIT[#All],2,0)),"CUIT NO CARGADO")</f>
        <v>-</v>
      </c>
      <c r="H326" s="64"/>
      <c r="I326" s="144">
        <f>ventas_b_mes2[[#This Row],[IMPORTE NETO]]*0.21</f>
        <v>0</v>
      </c>
      <c r="J326" s="145"/>
      <c r="K326" s="145"/>
      <c r="L326" s="145">
        <f>SUM(ventas_b_mes2[[#This Row],[IMPORTE NETO]:[EXENTO]])</f>
        <v>0</v>
      </c>
      <c r="M326" s="59"/>
    </row>
    <row r="327" spans="2:13" x14ac:dyDescent="0.25">
      <c r="B327" s="139"/>
      <c r="C327" s="41"/>
      <c r="D327" s="141"/>
      <c r="E327" s="142"/>
      <c r="F327" s="143"/>
      <c r="G327" s="1" t="str">
        <f>IFERROR(IF(ventas_b_mes2[[#This Row],[CUIT]]="","-",VLOOKUP(ventas_b_mes2[[#This Row],[CUIT]],Lista_CUIT[#All],2,0)),"CUIT NO CARGADO")</f>
        <v>-</v>
      </c>
      <c r="H327" s="64"/>
      <c r="I327" s="144">
        <f>ventas_b_mes2[[#This Row],[IMPORTE NETO]]*0.21</f>
        <v>0</v>
      </c>
      <c r="J327" s="145"/>
      <c r="K327" s="145"/>
      <c r="L327" s="145">
        <f>SUM(ventas_b_mes2[[#This Row],[IMPORTE NETO]:[EXENTO]])</f>
        <v>0</v>
      </c>
      <c r="M327" s="59"/>
    </row>
    <row r="328" spans="2:13" x14ac:dyDescent="0.25">
      <c r="B328" s="139"/>
      <c r="C328" s="41"/>
      <c r="D328" s="141"/>
      <c r="E328" s="142"/>
      <c r="F328" s="143"/>
      <c r="G328" s="1" t="str">
        <f>IFERROR(IF(ventas_b_mes2[[#This Row],[CUIT]]="","-",VLOOKUP(ventas_b_mes2[[#This Row],[CUIT]],Lista_CUIT[#All],2,0)),"CUIT NO CARGADO")</f>
        <v>-</v>
      </c>
      <c r="H328" s="64"/>
      <c r="I328" s="144">
        <f>ventas_b_mes2[[#This Row],[IMPORTE NETO]]*0.21</f>
        <v>0</v>
      </c>
      <c r="J328" s="145"/>
      <c r="K328" s="145"/>
      <c r="L328" s="145">
        <f>SUM(ventas_b_mes2[[#This Row],[IMPORTE NETO]:[EXENTO]])</f>
        <v>0</v>
      </c>
      <c r="M328" s="59"/>
    </row>
    <row r="329" spans="2:13" x14ac:dyDescent="0.25">
      <c r="B329" s="139"/>
      <c r="C329" s="41"/>
      <c r="D329" s="141"/>
      <c r="E329" s="142"/>
      <c r="F329" s="143"/>
      <c r="G329" s="1" t="str">
        <f>IFERROR(IF(ventas_b_mes2[[#This Row],[CUIT]]="","-",VLOOKUP(ventas_b_mes2[[#This Row],[CUIT]],Lista_CUIT[#All],2,0)),"CUIT NO CARGADO")</f>
        <v>-</v>
      </c>
      <c r="H329" s="64"/>
      <c r="I329" s="144">
        <f>ventas_b_mes2[[#This Row],[IMPORTE NETO]]*0.21</f>
        <v>0</v>
      </c>
      <c r="J329" s="145"/>
      <c r="K329" s="145"/>
      <c r="L329" s="145">
        <f>SUM(ventas_b_mes2[[#This Row],[IMPORTE NETO]:[EXENTO]])</f>
        <v>0</v>
      </c>
      <c r="M329" s="59"/>
    </row>
    <row r="330" spans="2:13" x14ac:dyDescent="0.25">
      <c r="B330" s="139"/>
      <c r="C330" s="41"/>
      <c r="D330" s="141"/>
      <c r="E330" s="142"/>
      <c r="F330" s="143"/>
      <c r="G330" s="1" t="str">
        <f>IFERROR(IF(ventas_b_mes2[[#This Row],[CUIT]]="","-",VLOOKUP(ventas_b_mes2[[#This Row],[CUIT]],Lista_CUIT[#All],2,0)),"CUIT NO CARGADO")</f>
        <v>-</v>
      </c>
      <c r="H330" s="64"/>
      <c r="I330" s="144">
        <f>ventas_b_mes2[[#This Row],[IMPORTE NETO]]*0.21</f>
        <v>0</v>
      </c>
      <c r="J330" s="145"/>
      <c r="K330" s="145"/>
      <c r="L330" s="145">
        <f>SUM(ventas_b_mes2[[#This Row],[IMPORTE NETO]:[EXENTO]])</f>
        <v>0</v>
      </c>
      <c r="M330" s="59"/>
    </row>
    <row r="331" spans="2:13" x14ac:dyDescent="0.25">
      <c r="B331" s="139"/>
      <c r="C331" s="41"/>
      <c r="D331" s="141"/>
      <c r="E331" s="142"/>
      <c r="F331" s="143"/>
      <c r="G331" s="1" t="str">
        <f>IFERROR(IF(ventas_b_mes2[[#This Row],[CUIT]]="","-",VLOOKUP(ventas_b_mes2[[#This Row],[CUIT]],Lista_CUIT[#All],2,0)),"CUIT NO CARGADO")</f>
        <v>-</v>
      </c>
      <c r="H331" s="64"/>
      <c r="I331" s="144">
        <f>ventas_b_mes2[[#This Row],[IMPORTE NETO]]*0.21</f>
        <v>0</v>
      </c>
      <c r="J331" s="145"/>
      <c r="K331" s="145"/>
      <c r="L331" s="145">
        <f>SUM(ventas_b_mes2[[#This Row],[IMPORTE NETO]:[EXENTO]])</f>
        <v>0</v>
      </c>
      <c r="M331" s="59"/>
    </row>
    <row r="332" spans="2:13" x14ac:dyDescent="0.25">
      <c r="B332" s="139"/>
      <c r="C332" s="41"/>
      <c r="D332" s="141"/>
      <c r="E332" s="142"/>
      <c r="F332" s="143"/>
      <c r="G332" s="1" t="str">
        <f>IFERROR(IF(ventas_b_mes2[[#This Row],[CUIT]]="","-",VLOOKUP(ventas_b_mes2[[#This Row],[CUIT]],Lista_CUIT[#All],2,0)),"CUIT NO CARGADO")</f>
        <v>-</v>
      </c>
      <c r="H332" s="64"/>
      <c r="I332" s="144">
        <f>ventas_b_mes2[[#This Row],[IMPORTE NETO]]*0.21</f>
        <v>0</v>
      </c>
      <c r="J332" s="145"/>
      <c r="K332" s="145"/>
      <c r="L332" s="145">
        <f>SUM(ventas_b_mes2[[#This Row],[IMPORTE NETO]:[EXENTO]])</f>
        <v>0</v>
      </c>
      <c r="M332" s="59"/>
    </row>
    <row r="333" spans="2:13" x14ac:dyDescent="0.25">
      <c r="B333" s="139"/>
      <c r="C333" s="41"/>
      <c r="D333" s="141"/>
      <c r="E333" s="142"/>
      <c r="F333" s="143"/>
      <c r="G333" s="1" t="str">
        <f>IFERROR(IF(ventas_b_mes2[[#This Row],[CUIT]]="","-",VLOOKUP(ventas_b_mes2[[#This Row],[CUIT]],Lista_CUIT[#All],2,0)),"CUIT NO CARGADO")</f>
        <v>-</v>
      </c>
      <c r="H333" s="64"/>
      <c r="I333" s="144">
        <f>ventas_b_mes2[[#This Row],[IMPORTE NETO]]*0.21</f>
        <v>0</v>
      </c>
      <c r="J333" s="145"/>
      <c r="K333" s="145"/>
      <c r="L333" s="145">
        <f>SUM(ventas_b_mes2[[#This Row],[IMPORTE NETO]:[EXENTO]])</f>
        <v>0</v>
      </c>
      <c r="M333" s="59"/>
    </row>
    <row r="334" spans="2:13" x14ac:dyDescent="0.25">
      <c r="B334" s="139"/>
      <c r="C334" s="41"/>
      <c r="D334" s="141"/>
      <c r="E334" s="142"/>
      <c r="F334" s="143"/>
      <c r="G334" s="1" t="str">
        <f>IFERROR(IF(ventas_b_mes2[[#This Row],[CUIT]]="","-",VLOOKUP(ventas_b_mes2[[#This Row],[CUIT]],Lista_CUIT[#All],2,0)),"CUIT NO CARGADO")</f>
        <v>-</v>
      </c>
      <c r="H334" s="64"/>
      <c r="I334" s="144">
        <f>ventas_b_mes2[[#This Row],[IMPORTE NETO]]*0.21</f>
        <v>0</v>
      </c>
      <c r="J334" s="145"/>
      <c r="K334" s="145"/>
      <c r="L334" s="145">
        <f>SUM(ventas_b_mes2[[#This Row],[IMPORTE NETO]:[EXENTO]])</f>
        <v>0</v>
      </c>
      <c r="M334" s="59"/>
    </row>
    <row r="335" spans="2:13" x14ac:dyDescent="0.25">
      <c r="B335" s="139"/>
      <c r="C335" s="41"/>
      <c r="D335" s="141"/>
      <c r="E335" s="142"/>
      <c r="F335" s="143"/>
      <c r="G335" s="1" t="str">
        <f>IFERROR(IF(ventas_b_mes2[[#This Row],[CUIT]]="","-",VLOOKUP(ventas_b_mes2[[#This Row],[CUIT]],Lista_CUIT[#All],2,0)),"CUIT NO CARGADO")</f>
        <v>-</v>
      </c>
      <c r="H335" s="64"/>
      <c r="I335" s="144">
        <f>ventas_b_mes2[[#This Row],[IMPORTE NETO]]*0.21</f>
        <v>0</v>
      </c>
      <c r="J335" s="145"/>
      <c r="K335" s="145"/>
      <c r="L335" s="145">
        <f>SUM(ventas_b_mes2[[#This Row],[IMPORTE NETO]:[EXENTO]])</f>
        <v>0</v>
      </c>
      <c r="M335" s="59"/>
    </row>
    <row r="336" spans="2:13" x14ac:dyDescent="0.25">
      <c r="B336" s="139"/>
      <c r="C336" s="41"/>
      <c r="D336" s="141"/>
      <c r="E336" s="142"/>
      <c r="F336" s="143"/>
      <c r="G336" s="1" t="str">
        <f>IFERROR(IF(ventas_b_mes2[[#This Row],[CUIT]]="","-",VLOOKUP(ventas_b_mes2[[#This Row],[CUIT]],Lista_CUIT[#All],2,0)),"CUIT NO CARGADO")</f>
        <v>-</v>
      </c>
      <c r="H336" s="64"/>
      <c r="I336" s="144">
        <f>ventas_b_mes2[[#This Row],[IMPORTE NETO]]*0.21</f>
        <v>0</v>
      </c>
      <c r="J336" s="145"/>
      <c r="K336" s="145"/>
      <c r="L336" s="145">
        <f>SUM(ventas_b_mes2[[#This Row],[IMPORTE NETO]:[EXENTO]])</f>
        <v>0</v>
      </c>
      <c r="M336" s="59"/>
    </row>
    <row r="337" spans="2:13" x14ac:dyDescent="0.25">
      <c r="B337" s="139"/>
      <c r="C337" s="41"/>
      <c r="D337" s="141"/>
      <c r="E337" s="142"/>
      <c r="F337" s="143"/>
      <c r="G337" s="1" t="str">
        <f>IFERROR(IF(ventas_b_mes2[[#This Row],[CUIT]]="","-",VLOOKUP(ventas_b_mes2[[#This Row],[CUIT]],Lista_CUIT[#All],2,0)),"CUIT NO CARGADO")</f>
        <v>-</v>
      </c>
      <c r="H337" s="64"/>
      <c r="I337" s="144">
        <f>ventas_b_mes2[[#This Row],[IMPORTE NETO]]*0.21</f>
        <v>0</v>
      </c>
      <c r="J337" s="145"/>
      <c r="K337" s="145"/>
      <c r="L337" s="145">
        <f>SUM(ventas_b_mes2[[#This Row],[IMPORTE NETO]:[EXENTO]])</f>
        <v>0</v>
      </c>
      <c r="M337" s="59"/>
    </row>
    <row r="338" spans="2:13" x14ac:dyDescent="0.25">
      <c r="B338" s="139"/>
      <c r="C338" s="41"/>
      <c r="D338" s="141"/>
      <c r="E338" s="142"/>
      <c r="F338" s="143"/>
      <c r="G338" s="1" t="str">
        <f>IFERROR(IF(ventas_b_mes2[[#This Row],[CUIT]]="","-",VLOOKUP(ventas_b_mes2[[#This Row],[CUIT]],Lista_CUIT[#All],2,0)),"CUIT NO CARGADO")</f>
        <v>-</v>
      </c>
      <c r="H338" s="64"/>
      <c r="I338" s="144">
        <f>ventas_b_mes2[[#This Row],[IMPORTE NETO]]*0.21</f>
        <v>0</v>
      </c>
      <c r="J338" s="145"/>
      <c r="K338" s="145"/>
      <c r="L338" s="145">
        <f>SUM(ventas_b_mes2[[#This Row],[IMPORTE NETO]:[EXENTO]])</f>
        <v>0</v>
      </c>
      <c r="M338" s="59"/>
    </row>
    <row r="339" spans="2:13" x14ac:dyDescent="0.25">
      <c r="B339" s="139"/>
      <c r="C339" s="41"/>
      <c r="D339" s="141"/>
      <c r="E339" s="142"/>
      <c r="F339" s="143"/>
      <c r="G339" s="1" t="str">
        <f>IFERROR(IF(ventas_b_mes2[[#This Row],[CUIT]]="","-",VLOOKUP(ventas_b_mes2[[#This Row],[CUIT]],Lista_CUIT[#All],2,0)),"CUIT NO CARGADO")</f>
        <v>-</v>
      </c>
      <c r="H339" s="64"/>
      <c r="I339" s="144">
        <f>ventas_b_mes2[[#This Row],[IMPORTE NETO]]*0.21</f>
        <v>0</v>
      </c>
      <c r="J339" s="145"/>
      <c r="K339" s="145"/>
      <c r="L339" s="145">
        <f>SUM(ventas_b_mes2[[#This Row],[IMPORTE NETO]:[EXENTO]])</f>
        <v>0</v>
      </c>
      <c r="M339" s="59"/>
    </row>
    <row r="340" spans="2:13" x14ac:dyDescent="0.25">
      <c r="B340" s="139"/>
      <c r="C340" s="41"/>
      <c r="D340" s="141"/>
      <c r="E340" s="142"/>
      <c r="F340" s="143"/>
      <c r="G340" s="1" t="str">
        <f>IFERROR(IF(ventas_b_mes2[[#This Row],[CUIT]]="","-",VLOOKUP(ventas_b_mes2[[#This Row],[CUIT]],Lista_CUIT[#All],2,0)),"CUIT NO CARGADO")</f>
        <v>-</v>
      </c>
      <c r="H340" s="64"/>
      <c r="I340" s="144">
        <f>ventas_b_mes2[[#This Row],[IMPORTE NETO]]*0.21</f>
        <v>0</v>
      </c>
      <c r="J340" s="145"/>
      <c r="K340" s="145"/>
      <c r="L340" s="145">
        <f>SUM(ventas_b_mes2[[#This Row],[IMPORTE NETO]:[EXENTO]])</f>
        <v>0</v>
      </c>
      <c r="M340" s="59"/>
    </row>
    <row r="341" spans="2:13" x14ac:dyDescent="0.25">
      <c r="B341" s="139"/>
      <c r="C341" s="41"/>
      <c r="D341" s="141"/>
      <c r="E341" s="142"/>
      <c r="F341" s="143"/>
      <c r="G341" s="1" t="str">
        <f>IFERROR(IF(ventas_b_mes2[[#This Row],[CUIT]]="","-",VLOOKUP(ventas_b_mes2[[#This Row],[CUIT]],Lista_CUIT[#All],2,0)),"CUIT NO CARGADO")</f>
        <v>-</v>
      </c>
      <c r="H341" s="64"/>
      <c r="I341" s="144">
        <f>ventas_b_mes2[[#This Row],[IMPORTE NETO]]*0.21</f>
        <v>0</v>
      </c>
      <c r="J341" s="145"/>
      <c r="K341" s="145"/>
      <c r="L341" s="145">
        <f>SUM(ventas_b_mes2[[#This Row],[IMPORTE NETO]:[EXENTO]])</f>
        <v>0</v>
      </c>
      <c r="M341" s="59"/>
    </row>
    <row r="342" spans="2:13" x14ac:dyDescent="0.25">
      <c r="B342" s="139"/>
      <c r="C342" s="41"/>
      <c r="D342" s="141"/>
      <c r="E342" s="142"/>
      <c r="F342" s="143"/>
      <c r="G342" s="1" t="str">
        <f>IFERROR(IF(ventas_b_mes2[[#This Row],[CUIT]]="","-",VLOOKUP(ventas_b_mes2[[#This Row],[CUIT]],Lista_CUIT[#All],2,0)),"CUIT NO CARGADO")</f>
        <v>-</v>
      </c>
      <c r="H342" s="64"/>
      <c r="I342" s="144">
        <f>ventas_b_mes2[[#This Row],[IMPORTE NETO]]*0.21</f>
        <v>0</v>
      </c>
      <c r="J342" s="145"/>
      <c r="K342" s="145"/>
      <c r="L342" s="145">
        <f>SUM(ventas_b_mes2[[#This Row],[IMPORTE NETO]:[EXENTO]])</f>
        <v>0</v>
      </c>
      <c r="M342" s="59"/>
    </row>
    <row r="343" spans="2:13" x14ac:dyDescent="0.25">
      <c r="B343" s="139"/>
      <c r="C343" s="41"/>
      <c r="D343" s="141"/>
      <c r="E343" s="142"/>
      <c r="F343" s="143"/>
      <c r="G343" s="1" t="str">
        <f>IFERROR(IF(ventas_b_mes2[[#This Row],[CUIT]]="","-",VLOOKUP(ventas_b_mes2[[#This Row],[CUIT]],Lista_CUIT[#All],2,0)),"CUIT NO CARGADO")</f>
        <v>-</v>
      </c>
      <c r="H343" s="64"/>
      <c r="I343" s="144">
        <f>ventas_b_mes2[[#This Row],[IMPORTE NETO]]*0.21</f>
        <v>0</v>
      </c>
      <c r="J343" s="145"/>
      <c r="K343" s="145"/>
      <c r="L343" s="145">
        <f>SUM(ventas_b_mes2[[#This Row],[IMPORTE NETO]:[EXENTO]])</f>
        <v>0</v>
      </c>
      <c r="M343" s="59"/>
    </row>
    <row r="344" spans="2:13" x14ac:dyDescent="0.25">
      <c r="B344" s="139"/>
      <c r="C344" s="41"/>
      <c r="D344" s="141"/>
      <c r="E344" s="142"/>
      <c r="F344" s="143"/>
      <c r="G344" s="1" t="str">
        <f>IFERROR(IF(ventas_b_mes2[[#This Row],[CUIT]]="","-",VLOOKUP(ventas_b_mes2[[#This Row],[CUIT]],Lista_CUIT[#All],2,0)),"CUIT NO CARGADO")</f>
        <v>-</v>
      </c>
      <c r="H344" s="64"/>
      <c r="I344" s="144">
        <f>ventas_b_mes2[[#This Row],[IMPORTE NETO]]*0.21</f>
        <v>0</v>
      </c>
      <c r="J344" s="145"/>
      <c r="K344" s="145"/>
      <c r="L344" s="145">
        <f>SUM(ventas_b_mes2[[#This Row],[IMPORTE NETO]:[EXENTO]])</f>
        <v>0</v>
      </c>
      <c r="M344" s="59"/>
    </row>
    <row r="345" spans="2:13" x14ac:dyDescent="0.25">
      <c r="B345" s="139"/>
      <c r="C345" s="41"/>
      <c r="D345" s="141"/>
      <c r="E345" s="142"/>
      <c r="F345" s="143"/>
      <c r="G345" s="1" t="str">
        <f>IFERROR(IF(ventas_b_mes2[[#This Row],[CUIT]]="","-",VLOOKUP(ventas_b_mes2[[#This Row],[CUIT]],Lista_CUIT[#All],2,0)),"CUIT NO CARGADO")</f>
        <v>-</v>
      </c>
      <c r="H345" s="64"/>
      <c r="I345" s="144">
        <f>ventas_b_mes2[[#This Row],[IMPORTE NETO]]*0.21</f>
        <v>0</v>
      </c>
      <c r="J345" s="145"/>
      <c r="K345" s="145"/>
      <c r="L345" s="145">
        <f>SUM(ventas_b_mes2[[#This Row],[IMPORTE NETO]:[EXENTO]])</f>
        <v>0</v>
      </c>
      <c r="M345" s="59"/>
    </row>
    <row r="346" spans="2:13" x14ac:dyDescent="0.25">
      <c r="B346" s="139"/>
      <c r="C346" s="41"/>
      <c r="D346" s="141"/>
      <c r="E346" s="142"/>
      <c r="F346" s="143"/>
      <c r="G346" s="1" t="str">
        <f>IFERROR(IF(ventas_b_mes2[[#This Row],[CUIT]]="","-",VLOOKUP(ventas_b_mes2[[#This Row],[CUIT]],Lista_CUIT[#All],2,0)),"CUIT NO CARGADO")</f>
        <v>-</v>
      </c>
      <c r="H346" s="64"/>
      <c r="I346" s="144">
        <f>ventas_b_mes2[[#This Row],[IMPORTE NETO]]*0.21</f>
        <v>0</v>
      </c>
      <c r="J346" s="145"/>
      <c r="K346" s="145"/>
      <c r="L346" s="145">
        <f>SUM(ventas_b_mes2[[#This Row],[IMPORTE NETO]:[EXENTO]])</f>
        <v>0</v>
      </c>
      <c r="M346" s="59"/>
    </row>
    <row r="347" spans="2:13" x14ac:dyDescent="0.25">
      <c r="B347" s="139"/>
      <c r="C347" s="41"/>
      <c r="D347" s="141"/>
      <c r="E347" s="142"/>
      <c r="F347" s="143"/>
      <c r="G347" s="1" t="str">
        <f>IFERROR(IF(ventas_b_mes2[[#This Row],[CUIT]]="","-",VLOOKUP(ventas_b_mes2[[#This Row],[CUIT]],Lista_CUIT[#All],2,0)),"CUIT NO CARGADO")</f>
        <v>-</v>
      </c>
      <c r="H347" s="64"/>
      <c r="I347" s="144">
        <f>ventas_b_mes2[[#This Row],[IMPORTE NETO]]*0.21</f>
        <v>0</v>
      </c>
      <c r="J347" s="145"/>
      <c r="K347" s="145"/>
      <c r="L347" s="145">
        <f>SUM(ventas_b_mes2[[#This Row],[IMPORTE NETO]:[EXENTO]])</f>
        <v>0</v>
      </c>
      <c r="M347" s="59"/>
    </row>
    <row r="348" spans="2:13" x14ac:dyDescent="0.25">
      <c r="B348" s="139"/>
      <c r="C348" s="41"/>
      <c r="D348" s="141"/>
      <c r="E348" s="142"/>
      <c r="F348" s="143"/>
      <c r="G348" s="1" t="str">
        <f>IFERROR(IF(ventas_b_mes2[[#This Row],[CUIT]]="","-",VLOOKUP(ventas_b_mes2[[#This Row],[CUIT]],Lista_CUIT[#All],2,0)),"CUIT NO CARGADO")</f>
        <v>-</v>
      </c>
      <c r="H348" s="64"/>
      <c r="I348" s="144">
        <f>ventas_b_mes2[[#This Row],[IMPORTE NETO]]*0.21</f>
        <v>0</v>
      </c>
      <c r="J348" s="145"/>
      <c r="K348" s="145"/>
      <c r="L348" s="145">
        <f>SUM(ventas_b_mes2[[#This Row],[IMPORTE NETO]:[EXENTO]])</f>
        <v>0</v>
      </c>
      <c r="M348" s="59"/>
    </row>
    <row r="349" spans="2:13" x14ac:dyDescent="0.25">
      <c r="B349" s="139"/>
      <c r="C349" s="41"/>
      <c r="D349" s="141"/>
      <c r="E349" s="142"/>
      <c r="F349" s="143"/>
      <c r="G349" s="1" t="str">
        <f>IFERROR(IF(ventas_b_mes2[[#This Row],[CUIT]]="","-",VLOOKUP(ventas_b_mes2[[#This Row],[CUIT]],Lista_CUIT[#All],2,0)),"CUIT NO CARGADO")</f>
        <v>-</v>
      </c>
      <c r="H349" s="64"/>
      <c r="I349" s="144">
        <f>ventas_b_mes2[[#This Row],[IMPORTE NETO]]*0.21</f>
        <v>0</v>
      </c>
      <c r="J349" s="145"/>
      <c r="K349" s="145"/>
      <c r="L349" s="145">
        <f>SUM(ventas_b_mes2[[#This Row],[IMPORTE NETO]:[EXENTO]])</f>
        <v>0</v>
      </c>
      <c r="M349" s="59"/>
    </row>
    <row r="350" spans="2:13" x14ac:dyDescent="0.25">
      <c r="B350" s="139"/>
      <c r="C350" s="41"/>
      <c r="D350" s="141"/>
      <c r="E350" s="142"/>
      <c r="F350" s="143"/>
      <c r="G350" s="1" t="str">
        <f>IFERROR(IF(ventas_b_mes2[[#This Row],[CUIT]]="","-",VLOOKUP(ventas_b_mes2[[#This Row],[CUIT]],Lista_CUIT[#All],2,0)),"CUIT NO CARGADO")</f>
        <v>-</v>
      </c>
      <c r="H350" s="64"/>
      <c r="I350" s="144">
        <f>ventas_b_mes2[[#This Row],[IMPORTE NETO]]*0.21</f>
        <v>0</v>
      </c>
      <c r="J350" s="145"/>
      <c r="K350" s="145"/>
      <c r="L350" s="145">
        <f>SUM(ventas_b_mes2[[#This Row],[IMPORTE NETO]:[EXENTO]])</f>
        <v>0</v>
      </c>
      <c r="M350" s="59"/>
    </row>
    <row r="351" spans="2:13" x14ac:dyDescent="0.25">
      <c r="B351" s="139"/>
      <c r="C351" s="41"/>
      <c r="D351" s="141"/>
      <c r="E351" s="142"/>
      <c r="F351" s="143"/>
      <c r="G351" s="1" t="str">
        <f>IFERROR(IF(ventas_b_mes2[[#This Row],[CUIT]]="","-",VLOOKUP(ventas_b_mes2[[#This Row],[CUIT]],Lista_CUIT[#All],2,0)),"CUIT NO CARGADO")</f>
        <v>-</v>
      </c>
      <c r="H351" s="64"/>
      <c r="I351" s="144">
        <f>ventas_b_mes2[[#This Row],[IMPORTE NETO]]*0.21</f>
        <v>0</v>
      </c>
      <c r="J351" s="145"/>
      <c r="K351" s="145"/>
      <c r="L351" s="145">
        <f>SUM(ventas_b_mes2[[#This Row],[IMPORTE NETO]:[EXENTO]])</f>
        <v>0</v>
      </c>
      <c r="M351" s="59"/>
    </row>
    <row r="352" spans="2:13" x14ac:dyDescent="0.25">
      <c r="B352" s="139"/>
      <c r="C352" s="41"/>
      <c r="D352" s="141"/>
      <c r="E352" s="142"/>
      <c r="F352" s="143"/>
      <c r="G352" s="1" t="str">
        <f>IFERROR(IF(ventas_b_mes2[[#This Row],[CUIT]]="","-",VLOOKUP(ventas_b_mes2[[#This Row],[CUIT]],Lista_CUIT[#All],2,0)),"CUIT NO CARGADO")</f>
        <v>-</v>
      </c>
      <c r="H352" s="64"/>
      <c r="I352" s="144">
        <f>ventas_b_mes2[[#This Row],[IMPORTE NETO]]*0.21</f>
        <v>0</v>
      </c>
      <c r="J352" s="145"/>
      <c r="K352" s="145"/>
      <c r="L352" s="145">
        <f>SUM(ventas_b_mes2[[#This Row],[IMPORTE NETO]:[EXENTO]])</f>
        <v>0</v>
      </c>
      <c r="M352" s="59"/>
    </row>
    <row r="353" spans="2:13" x14ac:dyDescent="0.25">
      <c r="B353" s="139"/>
      <c r="C353" s="41"/>
      <c r="D353" s="141"/>
      <c r="E353" s="142"/>
      <c r="F353" s="143"/>
      <c r="G353" s="1" t="str">
        <f>IFERROR(IF(ventas_b_mes2[[#This Row],[CUIT]]="","-",VLOOKUP(ventas_b_mes2[[#This Row],[CUIT]],Lista_CUIT[#All],2,0)),"CUIT NO CARGADO")</f>
        <v>-</v>
      </c>
      <c r="H353" s="64"/>
      <c r="I353" s="144">
        <f>ventas_b_mes2[[#This Row],[IMPORTE NETO]]*0.21</f>
        <v>0</v>
      </c>
      <c r="J353" s="145"/>
      <c r="K353" s="145"/>
      <c r="L353" s="145">
        <f>SUM(ventas_b_mes2[[#This Row],[IMPORTE NETO]:[EXENTO]])</f>
        <v>0</v>
      </c>
      <c r="M353" s="59"/>
    </row>
    <row r="354" spans="2:13" x14ac:dyDescent="0.25">
      <c r="B354" s="139"/>
      <c r="C354" s="41"/>
      <c r="D354" s="141"/>
      <c r="E354" s="142"/>
      <c r="F354" s="143"/>
      <c r="G354" s="1" t="str">
        <f>IFERROR(IF(ventas_b_mes2[[#This Row],[CUIT]]="","-",VLOOKUP(ventas_b_mes2[[#This Row],[CUIT]],Lista_CUIT[#All],2,0)),"CUIT NO CARGADO")</f>
        <v>-</v>
      </c>
      <c r="H354" s="64"/>
      <c r="I354" s="144">
        <f>ventas_b_mes2[[#This Row],[IMPORTE NETO]]*0.21</f>
        <v>0</v>
      </c>
      <c r="J354" s="145"/>
      <c r="K354" s="145"/>
      <c r="L354" s="145">
        <f>SUM(ventas_b_mes2[[#This Row],[IMPORTE NETO]:[EXENTO]])</f>
        <v>0</v>
      </c>
      <c r="M354" s="59"/>
    </row>
    <row r="355" spans="2:13" x14ac:dyDescent="0.25">
      <c r="B355" s="139"/>
      <c r="C355" s="41"/>
      <c r="D355" s="141"/>
      <c r="E355" s="142"/>
      <c r="F355" s="143"/>
      <c r="G355" s="1" t="str">
        <f>IFERROR(IF(ventas_b_mes2[[#This Row],[CUIT]]="","-",VLOOKUP(ventas_b_mes2[[#This Row],[CUIT]],Lista_CUIT[#All],2,0)),"CUIT NO CARGADO")</f>
        <v>-</v>
      </c>
      <c r="H355" s="64"/>
      <c r="I355" s="144">
        <f>ventas_b_mes2[[#This Row],[IMPORTE NETO]]*0.21</f>
        <v>0</v>
      </c>
      <c r="J355" s="145"/>
      <c r="K355" s="145"/>
      <c r="L355" s="145">
        <f>SUM(ventas_b_mes2[[#This Row],[IMPORTE NETO]:[EXENTO]])</f>
        <v>0</v>
      </c>
      <c r="M355" s="59"/>
    </row>
    <row r="356" spans="2:13" x14ac:dyDescent="0.25">
      <c r="B356" s="139"/>
      <c r="C356" s="41"/>
      <c r="D356" s="141"/>
      <c r="E356" s="142"/>
      <c r="F356" s="143"/>
      <c r="G356" s="1" t="str">
        <f>IFERROR(IF(ventas_b_mes2[[#This Row],[CUIT]]="","-",VLOOKUP(ventas_b_mes2[[#This Row],[CUIT]],Lista_CUIT[#All],2,0)),"CUIT NO CARGADO")</f>
        <v>-</v>
      </c>
      <c r="H356" s="64"/>
      <c r="I356" s="144">
        <f>ventas_b_mes2[[#This Row],[IMPORTE NETO]]*0.21</f>
        <v>0</v>
      </c>
      <c r="J356" s="145"/>
      <c r="K356" s="145"/>
      <c r="L356" s="145">
        <f>SUM(ventas_b_mes2[[#This Row],[IMPORTE NETO]:[EXENTO]])</f>
        <v>0</v>
      </c>
      <c r="M356" s="59"/>
    </row>
    <row r="357" spans="2:13" x14ac:dyDescent="0.25">
      <c r="B357" s="139"/>
      <c r="C357" s="41"/>
      <c r="D357" s="141"/>
      <c r="E357" s="142"/>
      <c r="F357" s="143"/>
      <c r="G357" s="1" t="str">
        <f>IFERROR(IF(ventas_b_mes2[[#This Row],[CUIT]]="","-",VLOOKUP(ventas_b_mes2[[#This Row],[CUIT]],Lista_CUIT[#All],2,0)),"CUIT NO CARGADO")</f>
        <v>-</v>
      </c>
      <c r="H357" s="64"/>
      <c r="I357" s="144">
        <f>ventas_b_mes2[[#This Row],[IMPORTE NETO]]*0.21</f>
        <v>0</v>
      </c>
      <c r="J357" s="145"/>
      <c r="K357" s="145"/>
      <c r="L357" s="145">
        <f>SUM(ventas_b_mes2[[#This Row],[IMPORTE NETO]:[EXENTO]])</f>
        <v>0</v>
      </c>
      <c r="M357" s="59"/>
    </row>
    <row r="358" spans="2:13" x14ac:dyDescent="0.25">
      <c r="B358" s="139"/>
      <c r="C358" s="41"/>
      <c r="D358" s="141"/>
      <c r="E358" s="142"/>
      <c r="F358" s="143"/>
      <c r="G358" s="1" t="str">
        <f>IFERROR(IF(ventas_b_mes2[[#This Row],[CUIT]]="","-",VLOOKUP(ventas_b_mes2[[#This Row],[CUIT]],Lista_CUIT[#All],2,0)),"CUIT NO CARGADO")</f>
        <v>-</v>
      </c>
      <c r="H358" s="64"/>
      <c r="I358" s="144">
        <f>ventas_b_mes2[[#This Row],[IMPORTE NETO]]*0.21</f>
        <v>0</v>
      </c>
      <c r="J358" s="145"/>
      <c r="K358" s="145"/>
      <c r="L358" s="145">
        <f>SUM(ventas_b_mes2[[#This Row],[IMPORTE NETO]:[EXENTO]])</f>
        <v>0</v>
      </c>
      <c r="M358" s="59"/>
    </row>
    <row r="359" spans="2:13" x14ac:dyDescent="0.25">
      <c r="B359" s="139"/>
      <c r="C359" s="41"/>
      <c r="D359" s="141"/>
      <c r="E359" s="142"/>
      <c r="F359" s="143"/>
      <c r="G359" s="1" t="str">
        <f>IFERROR(IF(ventas_b_mes2[[#This Row],[CUIT]]="","-",VLOOKUP(ventas_b_mes2[[#This Row],[CUIT]],Lista_CUIT[#All],2,0)),"CUIT NO CARGADO")</f>
        <v>-</v>
      </c>
      <c r="H359" s="64"/>
      <c r="I359" s="144">
        <f>ventas_b_mes2[[#This Row],[IMPORTE NETO]]*0.21</f>
        <v>0</v>
      </c>
      <c r="J359" s="145"/>
      <c r="K359" s="145"/>
      <c r="L359" s="145">
        <f>SUM(ventas_b_mes2[[#This Row],[IMPORTE NETO]:[EXENTO]])</f>
        <v>0</v>
      </c>
      <c r="M359" s="59"/>
    </row>
    <row r="360" spans="2:13" x14ac:dyDescent="0.25">
      <c r="B360" s="139"/>
      <c r="C360" s="41"/>
      <c r="D360" s="141"/>
      <c r="E360" s="142"/>
      <c r="F360" s="143"/>
      <c r="G360" s="1" t="str">
        <f>IFERROR(IF(ventas_b_mes2[[#This Row],[CUIT]]="","-",VLOOKUP(ventas_b_mes2[[#This Row],[CUIT]],Lista_CUIT[#All],2,0)),"CUIT NO CARGADO")</f>
        <v>-</v>
      </c>
      <c r="H360" s="64"/>
      <c r="I360" s="144">
        <f>ventas_b_mes2[[#This Row],[IMPORTE NETO]]*0.21</f>
        <v>0</v>
      </c>
      <c r="J360" s="145"/>
      <c r="K360" s="145"/>
      <c r="L360" s="145">
        <f>SUM(ventas_b_mes2[[#This Row],[IMPORTE NETO]:[EXENTO]])</f>
        <v>0</v>
      </c>
      <c r="M360" s="59"/>
    </row>
    <row r="361" spans="2:13" x14ac:dyDescent="0.25">
      <c r="B361" s="139"/>
      <c r="C361" s="41"/>
      <c r="D361" s="141"/>
      <c r="E361" s="142"/>
      <c r="F361" s="143"/>
      <c r="G361" s="1" t="str">
        <f>IFERROR(IF(ventas_b_mes2[[#This Row],[CUIT]]="","-",VLOOKUP(ventas_b_mes2[[#This Row],[CUIT]],Lista_CUIT[#All],2,0)),"CUIT NO CARGADO")</f>
        <v>-</v>
      </c>
      <c r="H361" s="64"/>
      <c r="I361" s="144">
        <f>ventas_b_mes2[[#This Row],[IMPORTE NETO]]*0.21</f>
        <v>0</v>
      </c>
      <c r="J361" s="145"/>
      <c r="K361" s="145"/>
      <c r="L361" s="145">
        <f>SUM(ventas_b_mes2[[#This Row],[IMPORTE NETO]:[EXENTO]])</f>
        <v>0</v>
      </c>
      <c r="M361" s="59"/>
    </row>
    <row r="362" spans="2:13" x14ac:dyDescent="0.25">
      <c r="B362" s="139"/>
      <c r="C362" s="41"/>
      <c r="D362" s="141"/>
      <c r="E362" s="142"/>
      <c r="F362" s="143"/>
      <c r="G362" s="1" t="str">
        <f>IFERROR(IF(ventas_b_mes2[[#This Row],[CUIT]]="","-",VLOOKUP(ventas_b_mes2[[#This Row],[CUIT]],Lista_CUIT[#All],2,0)),"CUIT NO CARGADO")</f>
        <v>-</v>
      </c>
      <c r="H362" s="64"/>
      <c r="I362" s="144">
        <f>ventas_b_mes2[[#This Row],[IMPORTE NETO]]*0.21</f>
        <v>0</v>
      </c>
      <c r="J362" s="145"/>
      <c r="K362" s="145"/>
      <c r="L362" s="145">
        <f>SUM(ventas_b_mes2[[#This Row],[IMPORTE NETO]:[EXENTO]])</f>
        <v>0</v>
      </c>
      <c r="M362" s="59"/>
    </row>
    <row r="363" spans="2:13" x14ac:dyDescent="0.25">
      <c r="B363" s="139"/>
      <c r="C363" s="41"/>
      <c r="D363" s="141"/>
      <c r="E363" s="142"/>
      <c r="F363" s="143"/>
      <c r="G363" s="1" t="str">
        <f>IFERROR(IF(ventas_b_mes2[[#This Row],[CUIT]]="","-",VLOOKUP(ventas_b_mes2[[#This Row],[CUIT]],Lista_CUIT[#All],2,0)),"CUIT NO CARGADO")</f>
        <v>-</v>
      </c>
      <c r="H363" s="64"/>
      <c r="I363" s="144">
        <f>ventas_b_mes2[[#This Row],[IMPORTE NETO]]*0.21</f>
        <v>0</v>
      </c>
      <c r="J363" s="145"/>
      <c r="K363" s="145"/>
      <c r="L363" s="145">
        <f>SUM(ventas_b_mes2[[#This Row],[IMPORTE NETO]:[EXENTO]])</f>
        <v>0</v>
      </c>
      <c r="M363" s="59"/>
    </row>
    <row r="364" spans="2:13" x14ac:dyDescent="0.25">
      <c r="B364" s="139"/>
      <c r="C364" s="41"/>
      <c r="D364" s="141"/>
      <c r="E364" s="142"/>
      <c r="F364" s="143"/>
      <c r="G364" s="1" t="str">
        <f>IFERROR(IF(ventas_b_mes2[[#This Row],[CUIT]]="","-",VLOOKUP(ventas_b_mes2[[#This Row],[CUIT]],Lista_CUIT[#All],2,0)),"CUIT NO CARGADO")</f>
        <v>-</v>
      </c>
      <c r="H364" s="64"/>
      <c r="I364" s="144">
        <f>ventas_b_mes2[[#This Row],[IMPORTE NETO]]*0.21</f>
        <v>0</v>
      </c>
      <c r="J364" s="145"/>
      <c r="K364" s="145"/>
      <c r="L364" s="145">
        <f>SUM(ventas_b_mes2[[#This Row],[IMPORTE NETO]:[EXENTO]])</f>
        <v>0</v>
      </c>
      <c r="M364" s="59"/>
    </row>
    <row r="365" spans="2:13" x14ac:dyDescent="0.25">
      <c r="B365" s="139"/>
      <c r="C365" s="41"/>
      <c r="D365" s="141"/>
      <c r="E365" s="142"/>
      <c r="F365" s="143"/>
      <c r="G365" s="1" t="str">
        <f>IFERROR(IF(ventas_b_mes2[[#This Row],[CUIT]]="","-",VLOOKUP(ventas_b_mes2[[#This Row],[CUIT]],Lista_CUIT[#All],2,0)),"CUIT NO CARGADO")</f>
        <v>-</v>
      </c>
      <c r="H365" s="64"/>
      <c r="I365" s="144">
        <f>ventas_b_mes2[[#This Row],[IMPORTE NETO]]*0.21</f>
        <v>0</v>
      </c>
      <c r="J365" s="145"/>
      <c r="K365" s="145"/>
      <c r="L365" s="145">
        <f>SUM(ventas_b_mes2[[#This Row],[IMPORTE NETO]:[EXENTO]])</f>
        <v>0</v>
      </c>
      <c r="M365" s="59"/>
    </row>
    <row r="366" spans="2:13" x14ac:dyDescent="0.25">
      <c r="B366" s="139"/>
      <c r="C366" s="41"/>
      <c r="D366" s="141"/>
      <c r="E366" s="142"/>
      <c r="F366" s="143"/>
      <c r="G366" s="1" t="str">
        <f>IFERROR(IF(ventas_b_mes2[[#This Row],[CUIT]]="","-",VLOOKUP(ventas_b_mes2[[#This Row],[CUIT]],Lista_CUIT[#All],2,0)),"CUIT NO CARGADO")</f>
        <v>-</v>
      </c>
      <c r="H366" s="64"/>
      <c r="I366" s="144">
        <f>ventas_b_mes2[[#This Row],[IMPORTE NETO]]*0.21</f>
        <v>0</v>
      </c>
      <c r="J366" s="145"/>
      <c r="K366" s="145"/>
      <c r="L366" s="145">
        <f>SUM(ventas_b_mes2[[#This Row],[IMPORTE NETO]:[EXENTO]])</f>
        <v>0</v>
      </c>
      <c r="M366" s="59"/>
    </row>
    <row r="367" spans="2:13" x14ac:dyDescent="0.25">
      <c r="B367" s="139"/>
      <c r="C367" s="41"/>
      <c r="D367" s="141"/>
      <c r="E367" s="142"/>
      <c r="F367" s="143"/>
      <c r="G367" s="1" t="str">
        <f>IFERROR(IF(ventas_b_mes2[[#This Row],[CUIT]]="","-",VLOOKUP(ventas_b_mes2[[#This Row],[CUIT]],Lista_CUIT[#All],2,0)),"CUIT NO CARGADO")</f>
        <v>-</v>
      </c>
      <c r="H367" s="64"/>
      <c r="I367" s="144">
        <f>ventas_b_mes2[[#This Row],[IMPORTE NETO]]*0.21</f>
        <v>0</v>
      </c>
      <c r="J367" s="145"/>
      <c r="K367" s="145"/>
      <c r="L367" s="145">
        <f>SUM(ventas_b_mes2[[#This Row],[IMPORTE NETO]:[EXENTO]])</f>
        <v>0</v>
      </c>
      <c r="M367" s="59"/>
    </row>
    <row r="368" spans="2:13" x14ac:dyDescent="0.25">
      <c r="B368" s="139"/>
      <c r="C368" s="41"/>
      <c r="D368" s="141"/>
      <c r="E368" s="142"/>
      <c r="F368" s="143"/>
      <c r="G368" s="1" t="str">
        <f>IFERROR(IF(ventas_b_mes2[[#This Row],[CUIT]]="","-",VLOOKUP(ventas_b_mes2[[#This Row],[CUIT]],Lista_CUIT[#All],2,0)),"CUIT NO CARGADO")</f>
        <v>-</v>
      </c>
      <c r="H368" s="64"/>
      <c r="I368" s="144">
        <f>ventas_b_mes2[[#This Row],[IMPORTE NETO]]*0.21</f>
        <v>0</v>
      </c>
      <c r="J368" s="145"/>
      <c r="K368" s="145"/>
      <c r="L368" s="145">
        <f>SUM(ventas_b_mes2[[#This Row],[IMPORTE NETO]:[EXENTO]])</f>
        <v>0</v>
      </c>
      <c r="M368" s="59"/>
    </row>
    <row r="369" spans="2:13" x14ac:dyDescent="0.25">
      <c r="B369" s="139"/>
      <c r="C369" s="41"/>
      <c r="D369" s="141"/>
      <c r="E369" s="142"/>
      <c r="F369" s="143"/>
      <c r="G369" s="1" t="str">
        <f>IFERROR(IF(ventas_b_mes2[[#This Row],[CUIT]]="","-",VLOOKUP(ventas_b_mes2[[#This Row],[CUIT]],Lista_CUIT[#All],2,0)),"CUIT NO CARGADO")</f>
        <v>-</v>
      </c>
      <c r="H369" s="64"/>
      <c r="I369" s="144">
        <f>ventas_b_mes2[[#This Row],[IMPORTE NETO]]*0.21</f>
        <v>0</v>
      </c>
      <c r="J369" s="145"/>
      <c r="K369" s="145"/>
      <c r="L369" s="145">
        <f>SUM(ventas_b_mes2[[#This Row],[IMPORTE NETO]:[EXENTO]])</f>
        <v>0</v>
      </c>
      <c r="M369" s="59"/>
    </row>
    <row r="370" spans="2:13" x14ac:dyDescent="0.25">
      <c r="B370" s="139"/>
      <c r="C370" s="41"/>
      <c r="D370" s="141"/>
      <c r="E370" s="142"/>
      <c r="F370" s="143"/>
      <c r="G370" s="1" t="str">
        <f>IFERROR(IF(ventas_b_mes2[[#This Row],[CUIT]]="","-",VLOOKUP(ventas_b_mes2[[#This Row],[CUIT]],Lista_CUIT[#All],2,0)),"CUIT NO CARGADO")</f>
        <v>-</v>
      </c>
      <c r="H370" s="64"/>
      <c r="I370" s="144">
        <f>ventas_b_mes2[[#This Row],[IMPORTE NETO]]*0.21</f>
        <v>0</v>
      </c>
      <c r="J370" s="145"/>
      <c r="K370" s="145"/>
      <c r="L370" s="145">
        <f>SUM(ventas_b_mes2[[#This Row],[IMPORTE NETO]:[EXENTO]])</f>
        <v>0</v>
      </c>
      <c r="M370" s="59"/>
    </row>
    <row r="371" spans="2:13" x14ac:dyDescent="0.25">
      <c r="B371" s="139"/>
      <c r="C371" s="41"/>
      <c r="D371" s="141"/>
      <c r="E371" s="142"/>
      <c r="F371" s="143"/>
      <c r="G371" s="1" t="str">
        <f>IFERROR(IF(ventas_b_mes2[[#This Row],[CUIT]]="","-",VLOOKUP(ventas_b_mes2[[#This Row],[CUIT]],Lista_CUIT[#All],2,0)),"CUIT NO CARGADO")</f>
        <v>-</v>
      </c>
      <c r="H371" s="64"/>
      <c r="I371" s="144">
        <f>ventas_b_mes2[[#This Row],[IMPORTE NETO]]*0.21</f>
        <v>0</v>
      </c>
      <c r="J371" s="145"/>
      <c r="K371" s="145"/>
      <c r="L371" s="145">
        <f>SUM(ventas_b_mes2[[#This Row],[IMPORTE NETO]:[EXENTO]])</f>
        <v>0</v>
      </c>
      <c r="M371" s="59"/>
    </row>
    <row r="372" spans="2:13" x14ac:dyDescent="0.25">
      <c r="B372" s="139"/>
      <c r="C372" s="41"/>
      <c r="D372" s="141"/>
      <c r="E372" s="142"/>
      <c r="F372" s="143"/>
      <c r="G372" s="1" t="str">
        <f>IFERROR(IF(ventas_b_mes2[[#This Row],[CUIT]]="","-",VLOOKUP(ventas_b_mes2[[#This Row],[CUIT]],Lista_CUIT[#All],2,0)),"CUIT NO CARGADO")</f>
        <v>-</v>
      </c>
      <c r="H372" s="64"/>
      <c r="I372" s="144">
        <f>ventas_b_mes2[[#This Row],[IMPORTE NETO]]*0.21</f>
        <v>0</v>
      </c>
      <c r="J372" s="145"/>
      <c r="K372" s="145"/>
      <c r="L372" s="145">
        <f>SUM(ventas_b_mes2[[#This Row],[IMPORTE NETO]:[EXENTO]])</f>
        <v>0</v>
      </c>
      <c r="M372" s="59"/>
    </row>
    <row r="373" spans="2:13" x14ac:dyDescent="0.25">
      <c r="B373" s="139"/>
      <c r="C373" s="41"/>
      <c r="D373" s="141"/>
      <c r="E373" s="142"/>
      <c r="F373" s="143"/>
      <c r="G373" s="1" t="str">
        <f>IFERROR(IF(ventas_b_mes2[[#This Row],[CUIT]]="","-",VLOOKUP(ventas_b_mes2[[#This Row],[CUIT]],Lista_CUIT[#All],2,0)),"CUIT NO CARGADO")</f>
        <v>-</v>
      </c>
      <c r="H373" s="64"/>
      <c r="I373" s="144">
        <f>ventas_b_mes2[[#This Row],[IMPORTE NETO]]*0.21</f>
        <v>0</v>
      </c>
      <c r="J373" s="145"/>
      <c r="K373" s="145"/>
      <c r="L373" s="145">
        <f>SUM(ventas_b_mes2[[#This Row],[IMPORTE NETO]:[EXENTO]])</f>
        <v>0</v>
      </c>
      <c r="M373" s="59"/>
    </row>
    <row r="374" spans="2:13" x14ac:dyDescent="0.25">
      <c r="B374" s="139"/>
      <c r="C374" s="41"/>
      <c r="D374" s="141"/>
      <c r="E374" s="142"/>
      <c r="F374" s="143"/>
      <c r="G374" s="1" t="str">
        <f>IFERROR(IF(ventas_b_mes2[[#This Row],[CUIT]]="","-",VLOOKUP(ventas_b_mes2[[#This Row],[CUIT]],Lista_CUIT[#All],2,0)),"CUIT NO CARGADO")</f>
        <v>-</v>
      </c>
      <c r="H374" s="64"/>
      <c r="I374" s="144">
        <f>ventas_b_mes2[[#This Row],[IMPORTE NETO]]*0.21</f>
        <v>0</v>
      </c>
      <c r="J374" s="145"/>
      <c r="K374" s="145"/>
      <c r="L374" s="145">
        <f>SUM(ventas_b_mes2[[#This Row],[IMPORTE NETO]:[EXENTO]])</f>
        <v>0</v>
      </c>
      <c r="M374" s="59"/>
    </row>
    <row r="375" spans="2:13" x14ac:dyDescent="0.25">
      <c r="B375" s="139"/>
      <c r="C375" s="41"/>
      <c r="D375" s="141"/>
      <c r="E375" s="142"/>
      <c r="F375" s="143"/>
      <c r="G375" s="1" t="str">
        <f>IFERROR(IF(ventas_b_mes2[[#This Row],[CUIT]]="","-",VLOOKUP(ventas_b_mes2[[#This Row],[CUIT]],Lista_CUIT[#All],2,0)),"CUIT NO CARGADO")</f>
        <v>-</v>
      </c>
      <c r="H375" s="64"/>
      <c r="I375" s="144">
        <f>ventas_b_mes2[[#This Row],[IMPORTE NETO]]*0.21</f>
        <v>0</v>
      </c>
      <c r="J375" s="145"/>
      <c r="K375" s="145"/>
      <c r="L375" s="145">
        <f>SUM(ventas_b_mes2[[#This Row],[IMPORTE NETO]:[EXENTO]])</f>
        <v>0</v>
      </c>
      <c r="M375" s="59"/>
    </row>
    <row r="376" spans="2:13" x14ac:dyDescent="0.25">
      <c r="B376" s="139"/>
      <c r="C376" s="41"/>
      <c r="D376" s="141"/>
      <c r="E376" s="142"/>
      <c r="F376" s="143"/>
      <c r="G376" s="1" t="str">
        <f>IFERROR(IF(ventas_b_mes2[[#This Row],[CUIT]]="","-",VLOOKUP(ventas_b_mes2[[#This Row],[CUIT]],Lista_CUIT[#All],2,0)),"CUIT NO CARGADO")</f>
        <v>-</v>
      </c>
      <c r="H376" s="64"/>
      <c r="I376" s="144">
        <f>ventas_b_mes2[[#This Row],[IMPORTE NETO]]*0.21</f>
        <v>0</v>
      </c>
      <c r="J376" s="145"/>
      <c r="K376" s="145"/>
      <c r="L376" s="145">
        <f>SUM(ventas_b_mes2[[#This Row],[IMPORTE NETO]:[EXENTO]])</f>
        <v>0</v>
      </c>
      <c r="M376" s="59"/>
    </row>
    <row r="377" spans="2:13" x14ac:dyDescent="0.25">
      <c r="B377" s="139"/>
      <c r="C377" s="41"/>
      <c r="D377" s="141"/>
      <c r="E377" s="142"/>
      <c r="F377" s="143"/>
      <c r="G377" s="1" t="str">
        <f>IFERROR(IF(ventas_b_mes2[[#This Row],[CUIT]]="","-",VLOOKUP(ventas_b_mes2[[#This Row],[CUIT]],Lista_CUIT[#All],2,0)),"CUIT NO CARGADO")</f>
        <v>-</v>
      </c>
      <c r="H377" s="64"/>
      <c r="I377" s="144">
        <f>ventas_b_mes2[[#This Row],[IMPORTE NETO]]*0.21</f>
        <v>0</v>
      </c>
      <c r="J377" s="145"/>
      <c r="K377" s="145"/>
      <c r="L377" s="145">
        <f>SUM(ventas_b_mes2[[#This Row],[IMPORTE NETO]:[EXENTO]])</f>
        <v>0</v>
      </c>
      <c r="M377" s="59"/>
    </row>
    <row r="378" spans="2:13" x14ac:dyDescent="0.25">
      <c r="B378" s="139"/>
      <c r="C378" s="41"/>
      <c r="D378" s="141"/>
      <c r="E378" s="142"/>
      <c r="F378" s="143"/>
      <c r="G378" s="1" t="str">
        <f>IFERROR(IF(ventas_b_mes2[[#This Row],[CUIT]]="","-",VLOOKUP(ventas_b_mes2[[#This Row],[CUIT]],Lista_CUIT[#All],2,0)),"CUIT NO CARGADO")</f>
        <v>-</v>
      </c>
      <c r="H378" s="64"/>
      <c r="I378" s="144">
        <f>ventas_b_mes2[[#This Row],[IMPORTE NETO]]*0.21</f>
        <v>0</v>
      </c>
      <c r="J378" s="145"/>
      <c r="K378" s="145"/>
      <c r="L378" s="145">
        <f>SUM(ventas_b_mes2[[#This Row],[IMPORTE NETO]:[EXENTO]])</f>
        <v>0</v>
      </c>
      <c r="M378" s="59"/>
    </row>
    <row r="379" spans="2:13" x14ac:dyDescent="0.25">
      <c r="B379" s="139"/>
      <c r="C379" s="41"/>
      <c r="D379" s="141"/>
      <c r="E379" s="142"/>
      <c r="F379" s="143"/>
      <c r="G379" s="1" t="str">
        <f>IFERROR(IF(ventas_b_mes2[[#This Row],[CUIT]]="","-",VLOOKUP(ventas_b_mes2[[#This Row],[CUIT]],Lista_CUIT[#All],2,0)),"CUIT NO CARGADO")</f>
        <v>-</v>
      </c>
      <c r="H379" s="64"/>
      <c r="I379" s="144">
        <f>ventas_b_mes2[[#This Row],[IMPORTE NETO]]*0.21</f>
        <v>0</v>
      </c>
      <c r="J379" s="145"/>
      <c r="K379" s="145"/>
      <c r="L379" s="145">
        <f>SUM(ventas_b_mes2[[#This Row],[IMPORTE NETO]:[EXENTO]])</f>
        <v>0</v>
      </c>
      <c r="M379" s="59"/>
    </row>
    <row r="380" spans="2:13" x14ac:dyDescent="0.25">
      <c r="B380" s="139"/>
      <c r="C380" s="41"/>
      <c r="D380" s="141"/>
      <c r="E380" s="142"/>
      <c r="F380" s="143"/>
      <c r="G380" s="1" t="str">
        <f>IFERROR(IF(ventas_b_mes2[[#This Row],[CUIT]]="","-",VLOOKUP(ventas_b_mes2[[#This Row],[CUIT]],Lista_CUIT[#All],2,0)),"CUIT NO CARGADO")</f>
        <v>-</v>
      </c>
      <c r="H380" s="64"/>
      <c r="I380" s="144">
        <f>ventas_b_mes2[[#This Row],[IMPORTE NETO]]*0.21</f>
        <v>0</v>
      </c>
      <c r="J380" s="145"/>
      <c r="K380" s="145"/>
      <c r="L380" s="145">
        <f>SUM(ventas_b_mes2[[#This Row],[IMPORTE NETO]:[EXENTO]])</f>
        <v>0</v>
      </c>
      <c r="M380" s="59"/>
    </row>
    <row r="381" spans="2:13" x14ac:dyDescent="0.25">
      <c r="B381" s="139"/>
      <c r="C381" s="41"/>
      <c r="D381" s="141"/>
      <c r="E381" s="142"/>
      <c r="F381" s="143"/>
      <c r="G381" s="1" t="str">
        <f>IFERROR(IF(ventas_b_mes2[[#This Row],[CUIT]]="","-",VLOOKUP(ventas_b_mes2[[#This Row],[CUIT]],Lista_CUIT[#All],2,0)),"CUIT NO CARGADO")</f>
        <v>-</v>
      </c>
      <c r="H381" s="64"/>
      <c r="I381" s="144">
        <f>ventas_b_mes2[[#This Row],[IMPORTE NETO]]*0.21</f>
        <v>0</v>
      </c>
      <c r="J381" s="145"/>
      <c r="K381" s="145"/>
      <c r="L381" s="145">
        <f>SUM(ventas_b_mes2[[#This Row],[IMPORTE NETO]:[EXENTO]])</f>
        <v>0</v>
      </c>
      <c r="M381" s="59"/>
    </row>
    <row r="382" spans="2:13" x14ac:dyDescent="0.25">
      <c r="B382" s="139"/>
      <c r="C382" s="41"/>
      <c r="D382" s="141"/>
      <c r="E382" s="142"/>
      <c r="F382" s="143"/>
      <c r="G382" s="1" t="str">
        <f>IFERROR(IF(ventas_b_mes2[[#This Row],[CUIT]]="","-",VLOOKUP(ventas_b_mes2[[#This Row],[CUIT]],Lista_CUIT[#All],2,0)),"CUIT NO CARGADO")</f>
        <v>-</v>
      </c>
      <c r="H382" s="64"/>
      <c r="I382" s="144">
        <f>ventas_b_mes2[[#This Row],[IMPORTE NETO]]*0.21</f>
        <v>0</v>
      </c>
      <c r="J382" s="145"/>
      <c r="K382" s="145"/>
      <c r="L382" s="145">
        <f>SUM(ventas_b_mes2[[#This Row],[IMPORTE NETO]:[EXENTO]])</f>
        <v>0</v>
      </c>
      <c r="M382" s="59"/>
    </row>
    <row r="383" spans="2:13" x14ac:dyDescent="0.25">
      <c r="B383" s="139"/>
      <c r="C383" s="41"/>
      <c r="D383" s="141"/>
      <c r="E383" s="142"/>
      <c r="F383" s="143"/>
      <c r="G383" s="1" t="str">
        <f>IFERROR(IF(ventas_b_mes2[[#This Row],[CUIT]]="","-",VLOOKUP(ventas_b_mes2[[#This Row],[CUIT]],Lista_CUIT[#All],2,0)),"CUIT NO CARGADO")</f>
        <v>-</v>
      </c>
      <c r="H383" s="64"/>
      <c r="I383" s="144">
        <f>ventas_b_mes2[[#This Row],[IMPORTE NETO]]*0.21</f>
        <v>0</v>
      </c>
      <c r="J383" s="145"/>
      <c r="K383" s="145"/>
      <c r="L383" s="145">
        <f>SUM(ventas_b_mes2[[#This Row],[IMPORTE NETO]:[EXENTO]])</f>
        <v>0</v>
      </c>
      <c r="M383" s="59"/>
    </row>
    <row r="384" spans="2:13" x14ac:dyDescent="0.25">
      <c r="B384" s="139"/>
      <c r="C384" s="41"/>
      <c r="D384" s="141"/>
      <c r="E384" s="142"/>
      <c r="F384" s="143"/>
      <c r="G384" s="1" t="str">
        <f>IFERROR(IF(ventas_b_mes2[[#This Row],[CUIT]]="","-",VLOOKUP(ventas_b_mes2[[#This Row],[CUIT]],Lista_CUIT[#All],2,0)),"CUIT NO CARGADO")</f>
        <v>-</v>
      </c>
      <c r="H384" s="64"/>
      <c r="I384" s="144">
        <f>ventas_b_mes2[[#This Row],[IMPORTE NETO]]*0.21</f>
        <v>0</v>
      </c>
      <c r="J384" s="145"/>
      <c r="K384" s="145"/>
      <c r="L384" s="145">
        <f>SUM(ventas_b_mes2[[#This Row],[IMPORTE NETO]:[EXENTO]])</f>
        <v>0</v>
      </c>
      <c r="M384" s="59"/>
    </row>
    <row r="385" spans="2:13" x14ac:dyDescent="0.25">
      <c r="B385" s="139"/>
      <c r="C385" s="41"/>
      <c r="D385" s="141"/>
      <c r="E385" s="142"/>
      <c r="F385" s="143"/>
      <c r="G385" s="1" t="str">
        <f>IFERROR(IF(ventas_b_mes2[[#This Row],[CUIT]]="","-",VLOOKUP(ventas_b_mes2[[#This Row],[CUIT]],Lista_CUIT[#All],2,0)),"CUIT NO CARGADO")</f>
        <v>-</v>
      </c>
      <c r="H385" s="64"/>
      <c r="I385" s="144">
        <f>ventas_b_mes2[[#This Row],[IMPORTE NETO]]*0.21</f>
        <v>0</v>
      </c>
      <c r="J385" s="145"/>
      <c r="K385" s="145"/>
      <c r="L385" s="145">
        <f>SUM(ventas_b_mes2[[#This Row],[IMPORTE NETO]:[EXENTO]])</f>
        <v>0</v>
      </c>
      <c r="M385" s="59"/>
    </row>
    <row r="386" spans="2:13" x14ac:dyDescent="0.25">
      <c r="B386" s="139"/>
      <c r="C386" s="41"/>
      <c r="D386" s="141"/>
      <c r="E386" s="142"/>
      <c r="F386" s="143"/>
      <c r="G386" s="1" t="str">
        <f>IFERROR(IF(ventas_b_mes2[[#This Row],[CUIT]]="","-",VLOOKUP(ventas_b_mes2[[#This Row],[CUIT]],Lista_CUIT[#All],2,0)),"CUIT NO CARGADO")</f>
        <v>-</v>
      </c>
      <c r="H386" s="64"/>
      <c r="I386" s="144">
        <f>ventas_b_mes2[[#This Row],[IMPORTE NETO]]*0.21</f>
        <v>0</v>
      </c>
      <c r="J386" s="145"/>
      <c r="K386" s="145"/>
      <c r="L386" s="145">
        <f>SUM(ventas_b_mes2[[#This Row],[IMPORTE NETO]:[EXENTO]])</f>
        <v>0</v>
      </c>
      <c r="M386" s="59"/>
    </row>
    <row r="387" spans="2:13" x14ac:dyDescent="0.25">
      <c r="B387" s="139"/>
      <c r="C387" s="41"/>
      <c r="D387" s="141"/>
      <c r="E387" s="142"/>
      <c r="F387" s="143"/>
      <c r="G387" s="1" t="str">
        <f>IFERROR(IF(ventas_b_mes2[[#This Row],[CUIT]]="","-",VLOOKUP(ventas_b_mes2[[#This Row],[CUIT]],Lista_CUIT[#All],2,0)),"CUIT NO CARGADO")</f>
        <v>-</v>
      </c>
      <c r="H387" s="64"/>
      <c r="I387" s="144">
        <f>ventas_b_mes2[[#This Row],[IMPORTE NETO]]*0.21</f>
        <v>0</v>
      </c>
      <c r="J387" s="145"/>
      <c r="K387" s="145"/>
      <c r="L387" s="145">
        <f>SUM(ventas_b_mes2[[#This Row],[IMPORTE NETO]:[EXENTO]])</f>
        <v>0</v>
      </c>
      <c r="M387" s="59"/>
    </row>
    <row r="388" spans="2:13" x14ac:dyDescent="0.25">
      <c r="B388" s="139"/>
      <c r="C388" s="41"/>
      <c r="D388" s="141"/>
      <c r="E388" s="142"/>
      <c r="F388" s="143"/>
      <c r="G388" s="1" t="str">
        <f>IFERROR(IF(ventas_b_mes2[[#This Row],[CUIT]]="","-",VLOOKUP(ventas_b_mes2[[#This Row],[CUIT]],Lista_CUIT[#All],2,0)),"CUIT NO CARGADO")</f>
        <v>-</v>
      </c>
      <c r="H388" s="64"/>
      <c r="I388" s="144">
        <f>ventas_b_mes2[[#This Row],[IMPORTE NETO]]*0.21</f>
        <v>0</v>
      </c>
      <c r="J388" s="145"/>
      <c r="K388" s="145"/>
      <c r="L388" s="145">
        <f>SUM(ventas_b_mes2[[#This Row],[IMPORTE NETO]:[EXENTO]])</f>
        <v>0</v>
      </c>
      <c r="M388" s="59"/>
    </row>
    <row r="389" spans="2:13" x14ac:dyDescent="0.25">
      <c r="B389" s="139"/>
      <c r="C389" s="41"/>
      <c r="D389" s="141"/>
      <c r="E389" s="142"/>
      <c r="F389" s="143"/>
      <c r="G389" s="1" t="str">
        <f>IFERROR(IF(ventas_b_mes2[[#This Row],[CUIT]]="","-",VLOOKUP(ventas_b_mes2[[#This Row],[CUIT]],Lista_CUIT[#All],2,0)),"CUIT NO CARGADO")</f>
        <v>-</v>
      </c>
      <c r="H389" s="64"/>
      <c r="I389" s="144">
        <f>ventas_b_mes2[[#This Row],[IMPORTE NETO]]*0.21</f>
        <v>0</v>
      </c>
      <c r="J389" s="145"/>
      <c r="K389" s="145"/>
      <c r="L389" s="145">
        <f>SUM(ventas_b_mes2[[#This Row],[IMPORTE NETO]:[EXENTO]])</f>
        <v>0</v>
      </c>
      <c r="M389" s="59"/>
    </row>
    <row r="390" spans="2:13" x14ac:dyDescent="0.25">
      <c r="B390" s="139"/>
      <c r="C390" s="41"/>
      <c r="D390" s="141"/>
      <c r="E390" s="142"/>
      <c r="F390" s="143"/>
      <c r="G390" s="1" t="str">
        <f>IFERROR(IF(ventas_b_mes2[[#This Row],[CUIT]]="","-",VLOOKUP(ventas_b_mes2[[#This Row],[CUIT]],Lista_CUIT[#All],2,0)),"CUIT NO CARGADO")</f>
        <v>-</v>
      </c>
      <c r="H390" s="64"/>
      <c r="I390" s="144">
        <f>ventas_b_mes2[[#This Row],[IMPORTE NETO]]*0.21</f>
        <v>0</v>
      </c>
      <c r="J390" s="145"/>
      <c r="K390" s="145"/>
      <c r="L390" s="145">
        <f>SUM(ventas_b_mes2[[#This Row],[IMPORTE NETO]:[EXENTO]])</f>
        <v>0</v>
      </c>
      <c r="M390" s="59"/>
    </row>
    <row r="391" spans="2:13" x14ac:dyDescent="0.25">
      <c r="B391" s="139"/>
      <c r="C391" s="41"/>
      <c r="D391" s="141"/>
      <c r="E391" s="142"/>
      <c r="F391" s="143"/>
      <c r="G391" s="1" t="str">
        <f>IFERROR(IF(ventas_b_mes2[[#This Row],[CUIT]]="","-",VLOOKUP(ventas_b_mes2[[#This Row],[CUIT]],Lista_CUIT[#All],2,0)),"CUIT NO CARGADO")</f>
        <v>-</v>
      </c>
      <c r="H391" s="64"/>
      <c r="I391" s="144">
        <f>ventas_b_mes2[[#This Row],[IMPORTE NETO]]*0.21</f>
        <v>0</v>
      </c>
      <c r="J391" s="145"/>
      <c r="K391" s="145"/>
      <c r="L391" s="145">
        <f>SUM(ventas_b_mes2[[#This Row],[IMPORTE NETO]:[EXENTO]])</f>
        <v>0</v>
      </c>
      <c r="M391" s="59"/>
    </row>
    <row r="392" spans="2:13" x14ac:dyDescent="0.25">
      <c r="B392" s="139"/>
      <c r="C392" s="41"/>
      <c r="D392" s="141"/>
      <c r="E392" s="142"/>
      <c r="F392" s="143"/>
      <c r="G392" s="1" t="str">
        <f>IFERROR(IF(ventas_b_mes2[[#This Row],[CUIT]]="","-",VLOOKUP(ventas_b_mes2[[#This Row],[CUIT]],Lista_CUIT[#All],2,0)),"CUIT NO CARGADO")</f>
        <v>-</v>
      </c>
      <c r="H392" s="64"/>
      <c r="I392" s="144">
        <f>ventas_b_mes2[[#This Row],[IMPORTE NETO]]*0.21</f>
        <v>0</v>
      </c>
      <c r="J392" s="145"/>
      <c r="K392" s="145"/>
      <c r="L392" s="145">
        <f>SUM(ventas_b_mes2[[#This Row],[IMPORTE NETO]:[EXENTO]])</f>
        <v>0</v>
      </c>
      <c r="M392" s="59"/>
    </row>
    <row r="393" spans="2:13" x14ac:dyDescent="0.25">
      <c r="B393" s="139"/>
      <c r="C393" s="41"/>
      <c r="D393" s="141"/>
      <c r="E393" s="142"/>
      <c r="F393" s="143"/>
      <c r="G393" s="1" t="str">
        <f>IFERROR(IF(ventas_b_mes2[[#This Row],[CUIT]]="","-",VLOOKUP(ventas_b_mes2[[#This Row],[CUIT]],Lista_CUIT[#All],2,0)),"CUIT NO CARGADO")</f>
        <v>-</v>
      </c>
      <c r="H393" s="64"/>
      <c r="I393" s="144">
        <f>ventas_b_mes2[[#This Row],[IMPORTE NETO]]*0.21</f>
        <v>0</v>
      </c>
      <c r="J393" s="145"/>
      <c r="K393" s="145"/>
      <c r="L393" s="145">
        <f>SUM(ventas_b_mes2[[#This Row],[IMPORTE NETO]:[EXENTO]])</f>
        <v>0</v>
      </c>
      <c r="M393" s="59"/>
    </row>
    <row r="394" spans="2:13" x14ac:dyDescent="0.25">
      <c r="B394" s="139"/>
      <c r="C394" s="41"/>
      <c r="D394" s="141"/>
      <c r="E394" s="142"/>
      <c r="F394" s="143"/>
      <c r="G394" s="1" t="str">
        <f>IFERROR(IF(ventas_b_mes2[[#This Row],[CUIT]]="","-",VLOOKUP(ventas_b_mes2[[#This Row],[CUIT]],Lista_CUIT[#All],2,0)),"CUIT NO CARGADO")</f>
        <v>-</v>
      </c>
      <c r="H394" s="64"/>
      <c r="I394" s="144">
        <f>ventas_b_mes2[[#This Row],[IMPORTE NETO]]*0.21</f>
        <v>0</v>
      </c>
      <c r="J394" s="145"/>
      <c r="K394" s="145"/>
      <c r="L394" s="145">
        <f>SUM(ventas_b_mes2[[#This Row],[IMPORTE NETO]:[EXENTO]])</f>
        <v>0</v>
      </c>
      <c r="M394" s="59"/>
    </row>
    <row r="395" spans="2:13" x14ac:dyDescent="0.25">
      <c r="B395" s="139"/>
      <c r="C395" s="41"/>
      <c r="D395" s="141"/>
      <c r="E395" s="142"/>
      <c r="F395" s="143"/>
      <c r="G395" s="1" t="str">
        <f>IFERROR(IF(ventas_b_mes2[[#This Row],[CUIT]]="","-",VLOOKUP(ventas_b_mes2[[#This Row],[CUIT]],Lista_CUIT[#All],2,0)),"CUIT NO CARGADO")</f>
        <v>-</v>
      </c>
      <c r="H395" s="64"/>
      <c r="I395" s="144">
        <f>ventas_b_mes2[[#This Row],[IMPORTE NETO]]*0.21</f>
        <v>0</v>
      </c>
      <c r="J395" s="145"/>
      <c r="K395" s="145"/>
      <c r="L395" s="145">
        <f>SUM(ventas_b_mes2[[#This Row],[IMPORTE NETO]:[EXENTO]])</f>
        <v>0</v>
      </c>
      <c r="M395" s="59"/>
    </row>
    <row r="396" spans="2:13" x14ac:dyDescent="0.25">
      <c r="B396" s="139"/>
      <c r="C396" s="41"/>
      <c r="D396" s="141"/>
      <c r="E396" s="142"/>
      <c r="F396" s="143"/>
      <c r="G396" s="1" t="str">
        <f>IFERROR(IF(ventas_b_mes2[[#This Row],[CUIT]]="","-",VLOOKUP(ventas_b_mes2[[#This Row],[CUIT]],Lista_CUIT[#All],2,0)),"CUIT NO CARGADO")</f>
        <v>-</v>
      </c>
      <c r="H396" s="64"/>
      <c r="I396" s="144">
        <f>ventas_b_mes2[[#This Row],[IMPORTE NETO]]*0.21</f>
        <v>0</v>
      </c>
      <c r="J396" s="145"/>
      <c r="K396" s="145"/>
      <c r="L396" s="145">
        <f>SUM(ventas_b_mes2[[#This Row],[IMPORTE NETO]:[EXENTO]])</f>
        <v>0</v>
      </c>
      <c r="M396" s="59"/>
    </row>
    <row r="397" spans="2:13" x14ac:dyDescent="0.25">
      <c r="B397" s="139"/>
      <c r="C397" s="41"/>
      <c r="D397" s="141"/>
      <c r="E397" s="142"/>
      <c r="F397" s="143"/>
      <c r="G397" s="1" t="str">
        <f>IFERROR(IF(ventas_b_mes2[[#This Row],[CUIT]]="","-",VLOOKUP(ventas_b_mes2[[#This Row],[CUIT]],Lista_CUIT[#All],2,0)),"CUIT NO CARGADO")</f>
        <v>-</v>
      </c>
      <c r="H397" s="64"/>
      <c r="I397" s="144">
        <f>ventas_b_mes2[[#This Row],[IMPORTE NETO]]*0.21</f>
        <v>0</v>
      </c>
      <c r="J397" s="145"/>
      <c r="K397" s="145"/>
      <c r="L397" s="145">
        <f>SUM(ventas_b_mes2[[#This Row],[IMPORTE NETO]:[EXENTO]])</f>
        <v>0</v>
      </c>
      <c r="M397" s="59"/>
    </row>
    <row r="398" spans="2:13" x14ac:dyDescent="0.25">
      <c r="B398" s="139"/>
      <c r="C398" s="41"/>
      <c r="D398" s="141"/>
      <c r="E398" s="142"/>
      <c r="F398" s="143"/>
      <c r="G398" s="1" t="str">
        <f>IFERROR(IF(ventas_b_mes2[[#This Row],[CUIT]]="","-",VLOOKUP(ventas_b_mes2[[#This Row],[CUIT]],Lista_CUIT[#All],2,0)),"CUIT NO CARGADO")</f>
        <v>-</v>
      </c>
      <c r="H398" s="64"/>
      <c r="I398" s="144">
        <f>ventas_b_mes2[[#This Row],[IMPORTE NETO]]*0.21</f>
        <v>0</v>
      </c>
      <c r="J398" s="145"/>
      <c r="K398" s="145"/>
      <c r="L398" s="145">
        <f>SUM(ventas_b_mes2[[#This Row],[IMPORTE NETO]:[EXENTO]])</f>
        <v>0</v>
      </c>
      <c r="M398" s="59"/>
    </row>
    <row r="399" spans="2:13" x14ac:dyDescent="0.25">
      <c r="B399" s="139"/>
      <c r="C399" s="41"/>
      <c r="D399" s="141"/>
      <c r="E399" s="142"/>
      <c r="F399" s="143"/>
      <c r="G399" s="1" t="str">
        <f>IFERROR(IF(ventas_b_mes2[[#This Row],[CUIT]]="","-",VLOOKUP(ventas_b_mes2[[#This Row],[CUIT]],Lista_CUIT[#All],2,0)),"CUIT NO CARGADO")</f>
        <v>-</v>
      </c>
      <c r="H399" s="64"/>
      <c r="I399" s="144">
        <f>ventas_b_mes2[[#This Row],[IMPORTE NETO]]*0.21</f>
        <v>0</v>
      </c>
      <c r="J399" s="145"/>
      <c r="K399" s="145"/>
      <c r="L399" s="145">
        <f>SUM(ventas_b_mes2[[#This Row],[IMPORTE NETO]:[EXENTO]])</f>
        <v>0</v>
      </c>
      <c r="M399" s="59"/>
    </row>
    <row r="400" spans="2:13" x14ac:dyDescent="0.25">
      <c r="B400" s="139"/>
      <c r="C400" s="41"/>
      <c r="D400" s="141"/>
      <c r="E400" s="142"/>
      <c r="F400" s="143"/>
      <c r="G400" s="1" t="str">
        <f>IFERROR(IF(ventas_b_mes2[[#This Row],[CUIT]]="","-",VLOOKUP(ventas_b_mes2[[#This Row],[CUIT]],Lista_CUIT[#All],2,0)),"CUIT NO CARGADO")</f>
        <v>-</v>
      </c>
      <c r="H400" s="64"/>
      <c r="I400" s="144">
        <f>ventas_b_mes2[[#This Row],[IMPORTE NETO]]*0.21</f>
        <v>0</v>
      </c>
      <c r="J400" s="145"/>
      <c r="K400" s="145"/>
      <c r="L400" s="145">
        <f>SUM(ventas_b_mes2[[#This Row],[IMPORTE NETO]:[EXENTO]])</f>
        <v>0</v>
      </c>
      <c r="M400" s="59"/>
    </row>
    <row r="401" spans="2:13" x14ac:dyDescent="0.25">
      <c r="B401" s="139"/>
      <c r="C401" s="41"/>
      <c r="D401" s="141"/>
      <c r="E401" s="142"/>
      <c r="F401" s="143"/>
      <c r="G401" s="1" t="str">
        <f>IFERROR(IF(ventas_b_mes2[[#This Row],[CUIT]]="","-",VLOOKUP(ventas_b_mes2[[#This Row],[CUIT]],Lista_CUIT[#All],2,0)),"CUIT NO CARGADO")</f>
        <v>-</v>
      </c>
      <c r="H401" s="64"/>
      <c r="I401" s="144">
        <f>ventas_b_mes2[[#This Row],[IMPORTE NETO]]*0.21</f>
        <v>0</v>
      </c>
      <c r="J401" s="145"/>
      <c r="K401" s="145"/>
      <c r="L401" s="145">
        <f>SUM(ventas_b_mes2[[#This Row],[IMPORTE NETO]:[EXENTO]])</f>
        <v>0</v>
      </c>
      <c r="M401" s="59"/>
    </row>
    <row r="402" spans="2:13" x14ac:dyDescent="0.25">
      <c r="B402" s="139"/>
      <c r="C402" s="41"/>
      <c r="D402" s="141"/>
      <c r="E402" s="142"/>
      <c r="F402" s="143"/>
      <c r="G402" s="1" t="str">
        <f>IFERROR(IF(ventas_b_mes2[[#This Row],[CUIT]]="","-",VLOOKUP(ventas_b_mes2[[#This Row],[CUIT]],Lista_CUIT[#All],2,0)),"CUIT NO CARGADO")</f>
        <v>-</v>
      </c>
      <c r="H402" s="64"/>
      <c r="I402" s="144">
        <f>ventas_b_mes2[[#This Row],[IMPORTE NETO]]*0.21</f>
        <v>0</v>
      </c>
      <c r="J402" s="145"/>
      <c r="K402" s="145"/>
      <c r="L402" s="145">
        <f>SUM(ventas_b_mes2[[#This Row],[IMPORTE NETO]:[EXENTO]])</f>
        <v>0</v>
      </c>
      <c r="M402" s="59"/>
    </row>
    <row r="403" spans="2:13" x14ac:dyDescent="0.25">
      <c r="B403" s="139"/>
      <c r="C403" s="41"/>
      <c r="D403" s="141"/>
      <c r="E403" s="142"/>
      <c r="F403" s="143"/>
      <c r="G403" s="1" t="str">
        <f>IFERROR(IF(ventas_b_mes2[[#This Row],[CUIT]]="","-",VLOOKUP(ventas_b_mes2[[#This Row],[CUIT]],Lista_CUIT[#All],2,0)),"CUIT NO CARGADO")</f>
        <v>-</v>
      </c>
      <c r="H403" s="64"/>
      <c r="I403" s="144">
        <f>ventas_b_mes2[[#This Row],[IMPORTE NETO]]*0.21</f>
        <v>0</v>
      </c>
      <c r="J403" s="145"/>
      <c r="K403" s="145"/>
      <c r="L403" s="145">
        <f>SUM(ventas_b_mes2[[#This Row],[IMPORTE NETO]:[EXENTO]])</f>
        <v>0</v>
      </c>
      <c r="M403" s="59"/>
    </row>
    <row r="404" spans="2:13" x14ac:dyDescent="0.25">
      <c r="B404" s="139"/>
      <c r="C404" s="41"/>
      <c r="D404" s="141"/>
      <c r="E404" s="142"/>
      <c r="F404" s="143"/>
      <c r="G404" s="1" t="str">
        <f>IFERROR(IF(ventas_b_mes2[[#This Row],[CUIT]]="","-",VLOOKUP(ventas_b_mes2[[#This Row],[CUIT]],Lista_CUIT[#All],2,0)),"CUIT NO CARGADO")</f>
        <v>-</v>
      </c>
      <c r="H404" s="64"/>
      <c r="I404" s="144">
        <f>ventas_b_mes2[[#This Row],[IMPORTE NETO]]*0.21</f>
        <v>0</v>
      </c>
      <c r="J404" s="145"/>
      <c r="K404" s="145"/>
      <c r="L404" s="145">
        <f>SUM(ventas_b_mes2[[#This Row],[IMPORTE NETO]:[EXENTO]])</f>
        <v>0</v>
      </c>
      <c r="M404" s="59"/>
    </row>
    <row r="405" spans="2:13" x14ac:dyDescent="0.25">
      <c r="B405" s="139"/>
      <c r="C405" s="41"/>
      <c r="D405" s="141"/>
      <c r="E405" s="142"/>
      <c r="F405" s="143"/>
      <c r="G405" s="1" t="str">
        <f>IFERROR(IF(ventas_b_mes2[[#This Row],[CUIT]]="","-",VLOOKUP(ventas_b_mes2[[#This Row],[CUIT]],Lista_CUIT[#All],2,0)),"CUIT NO CARGADO")</f>
        <v>-</v>
      </c>
      <c r="H405" s="64"/>
      <c r="I405" s="144">
        <f>ventas_b_mes2[[#This Row],[IMPORTE NETO]]*0.21</f>
        <v>0</v>
      </c>
      <c r="J405" s="145"/>
      <c r="K405" s="145"/>
      <c r="L405" s="145">
        <f>SUM(ventas_b_mes2[[#This Row],[IMPORTE NETO]:[EXENTO]])</f>
        <v>0</v>
      </c>
      <c r="M405" s="59"/>
    </row>
    <row r="406" spans="2:13" x14ac:dyDescent="0.25">
      <c r="B406" s="139"/>
      <c r="C406" s="41"/>
      <c r="D406" s="141"/>
      <c r="E406" s="142"/>
      <c r="F406" s="143"/>
      <c r="G406" s="1" t="str">
        <f>IFERROR(IF(ventas_b_mes2[[#This Row],[CUIT]]="","-",VLOOKUP(ventas_b_mes2[[#This Row],[CUIT]],Lista_CUIT[#All],2,0)),"CUIT NO CARGADO")</f>
        <v>-</v>
      </c>
      <c r="H406" s="64"/>
      <c r="I406" s="144">
        <f>ventas_b_mes2[[#This Row],[IMPORTE NETO]]*0.21</f>
        <v>0</v>
      </c>
      <c r="J406" s="145"/>
      <c r="K406" s="145"/>
      <c r="L406" s="145">
        <f>SUM(ventas_b_mes2[[#This Row],[IMPORTE NETO]:[EXENTO]])</f>
        <v>0</v>
      </c>
      <c r="M406" s="59"/>
    </row>
    <row r="407" spans="2:13" x14ac:dyDescent="0.25">
      <c r="B407" s="139"/>
      <c r="C407" s="41"/>
      <c r="D407" s="141"/>
      <c r="E407" s="142"/>
      <c r="F407" s="143"/>
      <c r="G407" s="1" t="str">
        <f>IFERROR(IF(ventas_b_mes2[[#This Row],[CUIT]]="","-",VLOOKUP(ventas_b_mes2[[#This Row],[CUIT]],Lista_CUIT[#All],2,0)),"CUIT NO CARGADO")</f>
        <v>-</v>
      </c>
      <c r="H407" s="64"/>
      <c r="I407" s="144">
        <f>ventas_b_mes2[[#This Row],[IMPORTE NETO]]*0.21</f>
        <v>0</v>
      </c>
      <c r="J407" s="145"/>
      <c r="K407" s="145"/>
      <c r="L407" s="145">
        <f>SUM(ventas_b_mes2[[#This Row],[IMPORTE NETO]:[EXENTO]])</f>
        <v>0</v>
      </c>
      <c r="M407" s="59"/>
    </row>
    <row r="408" spans="2:13" x14ac:dyDescent="0.25">
      <c r="B408" s="139"/>
      <c r="C408" s="41"/>
      <c r="D408" s="141"/>
      <c r="E408" s="142"/>
      <c r="F408" s="143"/>
      <c r="G408" s="1" t="str">
        <f>IFERROR(IF(ventas_b_mes2[[#This Row],[CUIT]]="","-",VLOOKUP(ventas_b_mes2[[#This Row],[CUIT]],Lista_CUIT[#All],2,0)),"CUIT NO CARGADO")</f>
        <v>-</v>
      </c>
      <c r="H408" s="64"/>
      <c r="I408" s="144">
        <f>ventas_b_mes2[[#This Row],[IMPORTE NETO]]*0.21</f>
        <v>0</v>
      </c>
      <c r="J408" s="145"/>
      <c r="K408" s="145"/>
      <c r="L408" s="145">
        <f>SUM(ventas_b_mes2[[#This Row],[IMPORTE NETO]:[EXENTO]])</f>
        <v>0</v>
      </c>
      <c r="M408" s="59"/>
    </row>
    <row r="409" spans="2:13" x14ac:dyDescent="0.25">
      <c r="B409" s="139"/>
      <c r="C409" s="41"/>
      <c r="D409" s="141"/>
      <c r="E409" s="142"/>
      <c r="F409" s="143"/>
      <c r="G409" s="1" t="str">
        <f>IFERROR(IF(ventas_b_mes2[[#This Row],[CUIT]]="","-",VLOOKUP(ventas_b_mes2[[#This Row],[CUIT]],Lista_CUIT[#All],2,0)),"CUIT NO CARGADO")</f>
        <v>-</v>
      </c>
      <c r="H409" s="64"/>
      <c r="I409" s="144">
        <f>ventas_b_mes2[[#This Row],[IMPORTE NETO]]*0.21</f>
        <v>0</v>
      </c>
      <c r="J409" s="145"/>
      <c r="K409" s="145"/>
      <c r="L409" s="145">
        <f>SUM(ventas_b_mes2[[#This Row],[IMPORTE NETO]:[EXENTO]])</f>
        <v>0</v>
      </c>
      <c r="M409" s="59"/>
    </row>
    <row r="410" spans="2:13" x14ac:dyDescent="0.25">
      <c r="B410" s="139"/>
      <c r="C410" s="41"/>
      <c r="D410" s="141"/>
      <c r="E410" s="142"/>
      <c r="F410" s="143"/>
      <c r="G410" s="1" t="str">
        <f>IFERROR(IF(ventas_b_mes2[[#This Row],[CUIT]]="","-",VLOOKUP(ventas_b_mes2[[#This Row],[CUIT]],Lista_CUIT[#All],2,0)),"CUIT NO CARGADO")</f>
        <v>-</v>
      </c>
      <c r="H410" s="64"/>
      <c r="I410" s="144">
        <f>ventas_b_mes2[[#This Row],[IMPORTE NETO]]*0.21</f>
        <v>0</v>
      </c>
      <c r="J410" s="145"/>
      <c r="K410" s="145"/>
      <c r="L410" s="145">
        <f>SUM(ventas_b_mes2[[#This Row],[IMPORTE NETO]:[EXENTO]])</f>
        <v>0</v>
      </c>
      <c r="M410" s="59"/>
    </row>
    <row r="411" spans="2:13" x14ac:dyDescent="0.25">
      <c r="B411" s="139"/>
      <c r="C411" s="41"/>
      <c r="D411" s="141"/>
      <c r="E411" s="142"/>
      <c r="F411" s="143"/>
      <c r="G411" s="1" t="str">
        <f>IFERROR(IF(ventas_b_mes2[[#This Row],[CUIT]]="","-",VLOOKUP(ventas_b_mes2[[#This Row],[CUIT]],Lista_CUIT[#All],2,0)),"CUIT NO CARGADO")</f>
        <v>-</v>
      </c>
      <c r="H411" s="64"/>
      <c r="I411" s="144">
        <f>ventas_b_mes2[[#This Row],[IMPORTE NETO]]*0.21</f>
        <v>0</v>
      </c>
      <c r="J411" s="145"/>
      <c r="K411" s="145"/>
      <c r="L411" s="145">
        <f>SUM(ventas_b_mes2[[#This Row],[IMPORTE NETO]:[EXENTO]])</f>
        <v>0</v>
      </c>
      <c r="M411" s="59"/>
    </row>
    <row r="412" spans="2:13" x14ac:dyDescent="0.25">
      <c r="B412" s="139"/>
      <c r="C412" s="41"/>
      <c r="D412" s="141"/>
      <c r="E412" s="142"/>
      <c r="F412" s="143"/>
      <c r="G412" s="1" t="str">
        <f>IFERROR(IF(ventas_b_mes2[[#This Row],[CUIT]]="","-",VLOOKUP(ventas_b_mes2[[#This Row],[CUIT]],Lista_CUIT[#All],2,0)),"CUIT NO CARGADO")</f>
        <v>-</v>
      </c>
      <c r="H412" s="64"/>
      <c r="I412" s="144">
        <f>ventas_b_mes2[[#This Row],[IMPORTE NETO]]*0.21</f>
        <v>0</v>
      </c>
      <c r="J412" s="145"/>
      <c r="K412" s="145"/>
      <c r="L412" s="145">
        <f>SUM(ventas_b_mes2[[#This Row],[IMPORTE NETO]:[EXENTO]])</f>
        <v>0</v>
      </c>
      <c r="M412" s="59"/>
    </row>
    <row r="413" spans="2:13" x14ac:dyDescent="0.25">
      <c r="B413" s="139"/>
      <c r="C413" s="41"/>
      <c r="D413" s="141"/>
      <c r="E413" s="142"/>
      <c r="F413" s="143"/>
      <c r="G413" s="1" t="str">
        <f>IFERROR(IF(ventas_b_mes2[[#This Row],[CUIT]]="","-",VLOOKUP(ventas_b_mes2[[#This Row],[CUIT]],Lista_CUIT[#All],2,0)),"CUIT NO CARGADO")</f>
        <v>-</v>
      </c>
      <c r="H413" s="64"/>
      <c r="I413" s="144">
        <f>ventas_b_mes2[[#This Row],[IMPORTE NETO]]*0.21</f>
        <v>0</v>
      </c>
      <c r="J413" s="145"/>
      <c r="K413" s="145"/>
      <c r="L413" s="145">
        <f>SUM(ventas_b_mes2[[#This Row],[IMPORTE NETO]:[EXENTO]])</f>
        <v>0</v>
      </c>
      <c r="M413" s="59"/>
    </row>
    <row r="414" spans="2:13" x14ac:dyDescent="0.25">
      <c r="B414" s="139"/>
      <c r="C414" s="41"/>
      <c r="D414" s="141"/>
      <c r="E414" s="142"/>
      <c r="F414" s="143"/>
      <c r="G414" s="1" t="str">
        <f>IFERROR(IF(ventas_b_mes2[[#This Row],[CUIT]]="","-",VLOOKUP(ventas_b_mes2[[#This Row],[CUIT]],Lista_CUIT[#All],2,0)),"CUIT NO CARGADO")</f>
        <v>-</v>
      </c>
      <c r="H414" s="64"/>
      <c r="I414" s="144">
        <f>ventas_b_mes2[[#This Row],[IMPORTE NETO]]*0.21</f>
        <v>0</v>
      </c>
      <c r="J414" s="145"/>
      <c r="K414" s="145"/>
      <c r="L414" s="145">
        <f>SUM(ventas_b_mes2[[#This Row],[IMPORTE NETO]:[EXENTO]])</f>
        <v>0</v>
      </c>
      <c r="M414" s="59"/>
    </row>
    <row r="415" spans="2:13" x14ac:dyDescent="0.25">
      <c r="B415" s="139"/>
      <c r="C415" s="41"/>
      <c r="D415" s="141"/>
      <c r="E415" s="142"/>
      <c r="F415" s="143"/>
      <c r="G415" s="1" t="str">
        <f>IFERROR(IF(ventas_b_mes2[[#This Row],[CUIT]]="","-",VLOOKUP(ventas_b_mes2[[#This Row],[CUIT]],Lista_CUIT[#All],2,0)),"CUIT NO CARGADO")</f>
        <v>-</v>
      </c>
      <c r="H415" s="64"/>
      <c r="I415" s="144">
        <f>ventas_b_mes2[[#This Row],[IMPORTE NETO]]*0.21</f>
        <v>0</v>
      </c>
      <c r="J415" s="145"/>
      <c r="K415" s="145"/>
      <c r="L415" s="145">
        <f>SUM(ventas_b_mes2[[#This Row],[IMPORTE NETO]:[EXENTO]])</f>
        <v>0</v>
      </c>
      <c r="M415" s="59"/>
    </row>
    <row r="416" spans="2:13" x14ac:dyDescent="0.25">
      <c r="B416" s="139"/>
      <c r="C416" s="41"/>
      <c r="D416" s="141"/>
      <c r="E416" s="142"/>
      <c r="F416" s="143"/>
      <c r="G416" s="1" t="str">
        <f>IFERROR(IF(ventas_b_mes2[[#This Row],[CUIT]]="","-",VLOOKUP(ventas_b_mes2[[#This Row],[CUIT]],Lista_CUIT[#All],2,0)),"CUIT NO CARGADO")</f>
        <v>-</v>
      </c>
      <c r="H416" s="64"/>
      <c r="I416" s="144">
        <f>ventas_b_mes2[[#This Row],[IMPORTE NETO]]*0.21</f>
        <v>0</v>
      </c>
      <c r="J416" s="145"/>
      <c r="K416" s="145"/>
      <c r="L416" s="145">
        <f>SUM(ventas_b_mes2[[#This Row],[IMPORTE NETO]:[EXENTO]])</f>
        <v>0</v>
      </c>
      <c r="M416" s="59"/>
    </row>
    <row r="417" spans="2:13" x14ac:dyDescent="0.25">
      <c r="B417" s="139"/>
      <c r="C417" s="41"/>
      <c r="D417" s="141"/>
      <c r="E417" s="142"/>
      <c r="F417" s="143"/>
      <c r="G417" s="1" t="str">
        <f>IFERROR(IF(ventas_b_mes2[[#This Row],[CUIT]]="","-",VLOOKUP(ventas_b_mes2[[#This Row],[CUIT]],Lista_CUIT[#All],2,0)),"CUIT NO CARGADO")</f>
        <v>-</v>
      </c>
      <c r="H417" s="64"/>
      <c r="I417" s="144">
        <f>ventas_b_mes2[[#This Row],[IMPORTE NETO]]*0.21</f>
        <v>0</v>
      </c>
      <c r="J417" s="145"/>
      <c r="K417" s="145"/>
      <c r="L417" s="145">
        <f>SUM(ventas_b_mes2[[#This Row],[IMPORTE NETO]:[EXENTO]])</f>
        <v>0</v>
      </c>
      <c r="M417" s="59"/>
    </row>
    <row r="418" spans="2:13" x14ac:dyDescent="0.25">
      <c r="B418" s="139"/>
      <c r="C418" s="41"/>
      <c r="D418" s="141"/>
      <c r="E418" s="142"/>
      <c r="F418" s="143"/>
      <c r="G418" s="1" t="str">
        <f>IFERROR(IF(ventas_b_mes2[[#This Row],[CUIT]]="","-",VLOOKUP(ventas_b_mes2[[#This Row],[CUIT]],Lista_CUIT[#All],2,0)),"CUIT NO CARGADO")</f>
        <v>-</v>
      </c>
      <c r="H418" s="64"/>
      <c r="I418" s="144">
        <f>ventas_b_mes2[[#This Row],[IMPORTE NETO]]*0.21</f>
        <v>0</v>
      </c>
      <c r="J418" s="145"/>
      <c r="K418" s="145"/>
      <c r="L418" s="145">
        <f>SUM(ventas_b_mes2[[#This Row],[IMPORTE NETO]:[EXENTO]])</f>
        <v>0</v>
      </c>
      <c r="M418" s="59"/>
    </row>
    <row r="419" spans="2:13" x14ac:dyDescent="0.25">
      <c r="B419" s="139"/>
      <c r="C419" s="41"/>
      <c r="D419" s="141"/>
      <c r="E419" s="142"/>
      <c r="F419" s="143"/>
      <c r="G419" s="1" t="str">
        <f>IFERROR(IF(ventas_b_mes2[[#This Row],[CUIT]]="","-",VLOOKUP(ventas_b_mes2[[#This Row],[CUIT]],Lista_CUIT[#All],2,0)),"CUIT NO CARGADO")</f>
        <v>-</v>
      </c>
      <c r="H419" s="64"/>
      <c r="I419" s="144">
        <f>ventas_b_mes2[[#This Row],[IMPORTE NETO]]*0.21</f>
        <v>0</v>
      </c>
      <c r="J419" s="145"/>
      <c r="K419" s="145"/>
      <c r="L419" s="145">
        <f>SUM(ventas_b_mes2[[#This Row],[IMPORTE NETO]:[EXENTO]])</f>
        <v>0</v>
      </c>
      <c r="M419" s="59"/>
    </row>
    <row r="420" spans="2:13" x14ac:dyDescent="0.25">
      <c r="B420" s="139"/>
      <c r="C420" s="41"/>
      <c r="D420" s="141"/>
      <c r="E420" s="142"/>
      <c r="F420" s="143"/>
      <c r="G420" s="1" t="str">
        <f>IFERROR(IF(ventas_b_mes2[[#This Row],[CUIT]]="","-",VLOOKUP(ventas_b_mes2[[#This Row],[CUIT]],Lista_CUIT[#All],2,0)),"CUIT NO CARGADO")</f>
        <v>-</v>
      </c>
      <c r="H420" s="64"/>
      <c r="I420" s="144">
        <f>ventas_b_mes2[[#This Row],[IMPORTE NETO]]*0.21</f>
        <v>0</v>
      </c>
      <c r="J420" s="145"/>
      <c r="K420" s="145"/>
      <c r="L420" s="145">
        <f>SUM(ventas_b_mes2[[#This Row],[IMPORTE NETO]:[EXENTO]])</f>
        <v>0</v>
      </c>
      <c r="M420" s="59"/>
    </row>
    <row r="421" spans="2:13" x14ac:dyDescent="0.25">
      <c r="B421" s="139"/>
      <c r="C421" s="41"/>
      <c r="D421" s="141"/>
      <c r="E421" s="142"/>
      <c r="F421" s="143"/>
      <c r="G421" s="1" t="str">
        <f>IFERROR(IF(ventas_b_mes2[[#This Row],[CUIT]]="","-",VLOOKUP(ventas_b_mes2[[#This Row],[CUIT]],Lista_CUIT[#All],2,0)),"CUIT NO CARGADO")</f>
        <v>-</v>
      </c>
      <c r="H421" s="64"/>
      <c r="I421" s="144">
        <f>ventas_b_mes2[[#This Row],[IMPORTE NETO]]*0.21</f>
        <v>0</v>
      </c>
      <c r="J421" s="145"/>
      <c r="K421" s="145"/>
      <c r="L421" s="145">
        <f>SUM(ventas_b_mes2[[#This Row],[IMPORTE NETO]:[EXENTO]])</f>
        <v>0</v>
      </c>
      <c r="M421" s="59"/>
    </row>
    <row r="422" spans="2:13" x14ac:dyDescent="0.25">
      <c r="B422" s="139"/>
      <c r="C422" s="41"/>
      <c r="D422" s="141"/>
      <c r="E422" s="142"/>
      <c r="F422" s="143"/>
      <c r="G422" s="1" t="str">
        <f>IFERROR(IF(ventas_b_mes2[[#This Row],[CUIT]]="","-",VLOOKUP(ventas_b_mes2[[#This Row],[CUIT]],Lista_CUIT[#All],2,0)),"CUIT NO CARGADO")</f>
        <v>-</v>
      </c>
      <c r="H422" s="64"/>
      <c r="I422" s="144">
        <f>ventas_b_mes2[[#This Row],[IMPORTE NETO]]*0.21</f>
        <v>0</v>
      </c>
      <c r="J422" s="145"/>
      <c r="K422" s="145"/>
      <c r="L422" s="145">
        <f>SUM(ventas_b_mes2[[#This Row],[IMPORTE NETO]:[EXENTO]])</f>
        <v>0</v>
      </c>
      <c r="M422" s="59"/>
    </row>
    <row r="423" spans="2:13" x14ac:dyDescent="0.25">
      <c r="B423" s="139"/>
      <c r="C423" s="41"/>
      <c r="D423" s="141"/>
      <c r="E423" s="142"/>
      <c r="F423" s="143"/>
      <c r="G423" s="1" t="str">
        <f>IFERROR(IF(ventas_b_mes2[[#This Row],[CUIT]]="","-",VLOOKUP(ventas_b_mes2[[#This Row],[CUIT]],Lista_CUIT[#All],2,0)),"CUIT NO CARGADO")</f>
        <v>-</v>
      </c>
      <c r="H423" s="64"/>
      <c r="I423" s="144">
        <f>ventas_b_mes2[[#This Row],[IMPORTE NETO]]*0.21</f>
        <v>0</v>
      </c>
      <c r="J423" s="145"/>
      <c r="K423" s="145"/>
      <c r="L423" s="145">
        <f>SUM(ventas_b_mes2[[#This Row],[IMPORTE NETO]:[EXENTO]])</f>
        <v>0</v>
      </c>
      <c r="M423" s="59"/>
    </row>
    <row r="424" spans="2:13" x14ac:dyDescent="0.25">
      <c r="B424" s="139"/>
      <c r="C424" s="41"/>
      <c r="D424" s="141"/>
      <c r="E424" s="142"/>
      <c r="F424" s="143"/>
      <c r="G424" s="1" t="str">
        <f>IFERROR(IF(ventas_b_mes2[[#This Row],[CUIT]]="","-",VLOOKUP(ventas_b_mes2[[#This Row],[CUIT]],Lista_CUIT[#All],2,0)),"CUIT NO CARGADO")</f>
        <v>-</v>
      </c>
      <c r="H424" s="64"/>
      <c r="I424" s="144">
        <f>ventas_b_mes2[[#This Row],[IMPORTE NETO]]*0.21</f>
        <v>0</v>
      </c>
      <c r="J424" s="145"/>
      <c r="K424" s="145"/>
      <c r="L424" s="145">
        <f>SUM(ventas_b_mes2[[#This Row],[IMPORTE NETO]:[EXENTO]])</f>
        <v>0</v>
      </c>
      <c r="M424" s="59"/>
    </row>
    <row r="425" spans="2:13" x14ac:dyDescent="0.25">
      <c r="B425" s="139"/>
      <c r="C425" s="41"/>
      <c r="D425" s="141"/>
      <c r="E425" s="142"/>
      <c r="F425" s="143"/>
      <c r="G425" s="1" t="str">
        <f>IFERROR(IF(ventas_b_mes2[[#This Row],[CUIT]]="","-",VLOOKUP(ventas_b_mes2[[#This Row],[CUIT]],Lista_CUIT[#All],2,0)),"CUIT NO CARGADO")</f>
        <v>-</v>
      </c>
      <c r="H425" s="64"/>
      <c r="I425" s="144">
        <f>ventas_b_mes2[[#This Row],[IMPORTE NETO]]*0.21</f>
        <v>0</v>
      </c>
      <c r="J425" s="145"/>
      <c r="K425" s="145"/>
      <c r="L425" s="145">
        <f>SUM(ventas_b_mes2[[#This Row],[IMPORTE NETO]:[EXENTO]])</f>
        <v>0</v>
      </c>
      <c r="M425" s="59"/>
    </row>
    <row r="426" spans="2:13" x14ac:dyDescent="0.25">
      <c r="B426" s="139"/>
      <c r="C426" s="41"/>
      <c r="D426" s="141"/>
      <c r="E426" s="142"/>
      <c r="F426" s="143"/>
      <c r="G426" s="1" t="str">
        <f>IFERROR(IF(ventas_b_mes2[[#This Row],[CUIT]]="","-",VLOOKUP(ventas_b_mes2[[#This Row],[CUIT]],Lista_CUIT[#All],2,0)),"CUIT NO CARGADO")</f>
        <v>-</v>
      </c>
      <c r="H426" s="64"/>
      <c r="I426" s="144">
        <f>ventas_b_mes2[[#This Row],[IMPORTE NETO]]*0.21</f>
        <v>0</v>
      </c>
      <c r="J426" s="145"/>
      <c r="K426" s="145"/>
      <c r="L426" s="145">
        <f>SUM(ventas_b_mes2[[#This Row],[IMPORTE NETO]:[EXENTO]])</f>
        <v>0</v>
      </c>
      <c r="M426" s="59"/>
    </row>
    <row r="427" spans="2:13" x14ac:dyDescent="0.25">
      <c r="B427" s="139"/>
      <c r="C427" s="41"/>
      <c r="D427" s="141"/>
      <c r="E427" s="142"/>
      <c r="F427" s="143"/>
      <c r="G427" s="1" t="str">
        <f>IFERROR(IF(ventas_b_mes2[[#This Row],[CUIT]]="","-",VLOOKUP(ventas_b_mes2[[#This Row],[CUIT]],Lista_CUIT[#All],2,0)),"CUIT NO CARGADO")</f>
        <v>-</v>
      </c>
      <c r="H427" s="64"/>
      <c r="I427" s="144">
        <f>ventas_b_mes2[[#This Row],[IMPORTE NETO]]*0.21</f>
        <v>0</v>
      </c>
      <c r="J427" s="145"/>
      <c r="K427" s="145"/>
      <c r="L427" s="145">
        <f>SUM(ventas_b_mes2[[#This Row],[IMPORTE NETO]:[EXENTO]])</f>
        <v>0</v>
      </c>
      <c r="M427" s="59"/>
    </row>
    <row r="428" spans="2:13" x14ac:dyDescent="0.25">
      <c r="B428" s="139"/>
      <c r="C428" s="41"/>
      <c r="D428" s="141"/>
      <c r="E428" s="142"/>
      <c r="F428" s="143"/>
      <c r="G428" s="1" t="str">
        <f>IFERROR(IF(ventas_b_mes2[[#This Row],[CUIT]]="","-",VLOOKUP(ventas_b_mes2[[#This Row],[CUIT]],Lista_CUIT[#All],2,0)),"CUIT NO CARGADO")</f>
        <v>-</v>
      </c>
      <c r="H428" s="64"/>
      <c r="I428" s="144">
        <f>ventas_b_mes2[[#This Row],[IMPORTE NETO]]*0.21</f>
        <v>0</v>
      </c>
      <c r="J428" s="145"/>
      <c r="K428" s="145"/>
      <c r="L428" s="145">
        <f>SUM(ventas_b_mes2[[#This Row],[IMPORTE NETO]:[EXENTO]])</f>
        <v>0</v>
      </c>
      <c r="M428" s="59"/>
    </row>
    <row r="429" spans="2:13" x14ac:dyDescent="0.25">
      <c r="B429" s="139"/>
      <c r="C429" s="41"/>
      <c r="D429" s="141"/>
      <c r="E429" s="142"/>
      <c r="F429" s="143"/>
      <c r="G429" s="1" t="str">
        <f>IFERROR(IF(ventas_b_mes2[[#This Row],[CUIT]]="","-",VLOOKUP(ventas_b_mes2[[#This Row],[CUIT]],Lista_CUIT[#All],2,0)),"CUIT NO CARGADO")</f>
        <v>-</v>
      </c>
      <c r="H429" s="64"/>
      <c r="I429" s="144">
        <f>ventas_b_mes2[[#This Row],[IMPORTE NETO]]*0.21</f>
        <v>0</v>
      </c>
      <c r="J429" s="145"/>
      <c r="K429" s="145"/>
      <c r="L429" s="145">
        <f>SUM(ventas_b_mes2[[#This Row],[IMPORTE NETO]:[EXENTO]])</f>
        <v>0</v>
      </c>
      <c r="M429" s="59"/>
    </row>
    <row r="430" spans="2:13" x14ac:dyDescent="0.25">
      <c r="B430" s="139"/>
      <c r="C430" s="41"/>
      <c r="D430" s="141"/>
      <c r="E430" s="142"/>
      <c r="F430" s="143"/>
      <c r="G430" s="1" t="str">
        <f>IFERROR(IF(ventas_b_mes2[[#This Row],[CUIT]]="","-",VLOOKUP(ventas_b_mes2[[#This Row],[CUIT]],Lista_CUIT[#All],2,0)),"CUIT NO CARGADO")</f>
        <v>-</v>
      </c>
      <c r="H430" s="64"/>
      <c r="I430" s="144">
        <f>ventas_b_mes2[[#This Row],[IMPORTE NETO]]*0.21</f>
        <v>0</v>
      </c>
      <c r="J430" s="145"/>
      <c r="K430" s="145"/>
      <c r="L430" s="145">
        <f>SUM(ventas_b_mes2[[#This Row],[IMPORTE NETO]:[EXENTO]])</f>
        <v>0</v>
      </c>
      <c r="M430" s="59"/>
    </row>
    <row r="431" spans="2:13" x14ac:dyDescent="0.25">
      <c r="B431" s="139"/>
      <c r="C431" s="41"/>
      <c r="D431" s="141"/>
      <c r="E431" s="142"/>
      <c r="F431" s="143"/>
      <c r="G431" s="1" t="str">
        <f>IFERROR(IF(ventas_b_mes2[[#This Row],[CUIT]]="","-",VLOOKUP(ventas_b_mes2[[#This Row],[CUIT]],Lista_CUIT[#All],2,0)),"CUIT NO CARGADO")</f>
        <v>-</v>
      </c>
      <c r="H431" s="64"/>
      <c r="I431" s="144">
        <f>ventas_b_mes2[[#This Row],[IMPORTE NETO]]*0.21</f>
        <v>0</v>
      </c>
      <c r="J431" s="145"/>
      <c r="K431" s="145"/>
      <c r="L431" s="145">
        <f>SUM(ventas_b_mes2[[#This Row],[IMPORTE NETO]:[EXENTO]])</f>
        <v>0</v>
      </c>
      <c r="M431" s="59"/>
    </row>
    <row r="432" spans="2:13" x14ac:dyDescent="0.25">
      <c r="B432" s="139"/>
      <c r="C432" s="41"/>
      <c r="D432" s="141"/>
      <c r="E432" s="142"/>
      <c r="F432" s="143"/>
      <c r="G432" s="1" t="str">
        <f>IFERROR(IF(ventas_b_mes2[[#This Row],[CUIT]]="","-",VLOOKUP(ventas_b_mes2[[#This Row],[CUIT]],Lista_CUIT[#All],2,0)),"CUIT NO CARGADO")</f>
        <v>-</v>
      </c>
      <c r="H432" s="64"/>
      <c r="I432" s="144">
        <f>ventas_b_mes2[[#This Row],[IMPORTE NETO]]*0.21</f>
        <v>0</v>
      </c>
      <c r="J432" s="145"/>
      <c r="K432" s="145"/>
      <c r="L432" s="145">
        <f>SUM(ventas_b_mes2[[#This Row],[IMPORTE NETO]:[EXENTO]])</f>
        <v>0</v>
      </c>
      <c r="M432" s="59"/>
    </row>
    <row r="433" spans="2:13" x14ac:dyDescent="0.25">
      <c r="B433" s="139"/>
      <c r="C433" s="41"/>
      <c r="D433" s="141"/>
      <c r="E433" s="142"/>
      <c r="F433" s="143"/>
      <c r="G433" s="1" t="str">
        <f>IFERROR(IF(ventas_b_mes2[[#This Row],[CUIT]]="","-",VLOOKUP(ventas_b_mes2[[#This Row],[CUIT]],Lista_CUIT[#All],2,0)),"CUIT NO CARGADO")</f>
        <v>-</v>
      </c>
      <c r="H433" s="64"/>
      <c r="I433" s="144">
        <f>ventas_b_mes2[[#This Row],[IMPORTE NETO]]*0.21</f>
        <v>0</v>
      </c>
      <c r="J433" s="145"/>
      <c r="K433" s="145"/>
      <c r="L433" s="145">
        <f>SUM(ventas_b_mes2[[#This Row],[IMPORTE NETO]:[EXENTO]])</f>
        <v>0</v>
      </c>
      <c r="M433" s="59"/>
    </row>
    <row r="434" spans="2:13" x14ac:dyDescent="0.25">
      <c r="B434" s="139"/>
      <c r="C434" s="41"/>
      <c r="D434" s="141"/>
      <c r="E434" s="142"/>
      <c r="F434" s="143"/>
      <c r="G434" s="1" t="str">
        <f>IFERROR(IF(ventas_b_mes2[[#This Row],[CUIT]]="","-",VLOOKUP(ventas_b_mes2[[#This Row],[CUIT]],Lista_CUIT[#All],2,0)),"CUIT NO CARGADO")</f>
        <v>-</v>
      </c>
      <c r="H434" s="64"/>
      <c r="I434" s="144">
        <f>ventas_b_mes2[[#This Row],[IMPORTE NETO]]*0.21</f>
        <v>0</v>
      </c>
      <c r="J434" s="145"/>
      <c r="K434" s="145"/>
      <c r="L434" s="145">
        <f>SUM(ventas_b_mes2[[#This Row],[IMPORTE NETO]:[EXENTO]])</f>
        <v>0</v>
      </c>
      <c r="M434" s="59"/>
    </row>
    <row r="435" spans="2:13" x14ac:dyDescent="0.25">
      <c r="B435" s="139"/>
      <c r="C435" s="41"/>
      <c r="D435" s="141"/>
      <c r="E435" s="142"/>
      <c r="F435" s="143"/>
      <c r="G435" s="1" t="str">
        <f>IFERROR(IF(ventas_b_mes2[[#This Row],[CUIT]]="","-",VLOOKUP(ventas_b_mes2[[#This Row],[CUIT]],Lista_CUIT[#All],2,0)),"CUIT NO CARGADO")</f>
        <v>-</v>
      </c>
      <c r="H435" s="64"/>
      <c r="I435" s="144">
        <f>ventas_b_mes2[[#This Row],[IMPORTE NETO]]*0.21</f>
        <v>0</v>
      </c>
      <c r="J435" s="145"/>
      <c r="K435" s="145"/>
      <c r="L435" s="145">
        <f>SUM(ventas_b_mes2[[#This Row],[IMPORTE NETO]:[EXENTO]])</f>
        <v>0</v>
      </c>
      <c r="M435" s="59"/>
    </row>
    <row r="436" spans="2:13" x14ac:dyDescent="0.25">
      <c r="B436" s="139"/>
      <c r="C436" s="41"/>
      <c r="D436" s="141"/>
      <c r="E436" s="142"/>
      <c r="F436" s="143"/>
      <c r="G436" s="1" t="str">
        <f>IFERROR(IF(ventas_b_mes2[[#This Row],[CUIT]]="","-",VLOOKUP(ventas_b_mes2[[#This Row],[CUIT]],Lista_CUIT[#All],2,0)),"CUIT NO CARGADO")</f>
        <v>-</v>
      </c>
      <c r="H436" s="64"/>
      <c r="I436" s="144">
        <f>ventas_b_mes2[[#This Row],[IMPORTE NETO]]*0.21</f>
        <v>0</v>
      </c>
      <c r="J436" s="145"/>
      <c r="K436" s="145"/>
      <c r="L436" s="145">
        <f>SUM(ventas_b_mes2[[#This Row],[IMPORTE NETO]:[EXENTO]])</f>
        <v>0</v>
      </c>
      <c r="M436" s="59"/>
    </row>
    <row r="437" spans="2:13" x14ac:dyDescent="0.25">
      <c r="B437" s="139"/>
      <c r="C437" s="41"/>
      <c r="D437" s="141"/>
      <c r="E437" s="142"/>
      <c r="F437" s="143"/>
      <c r="G437" s="1" t="str">
        <f>IFERROR(IF(ventas_b_mes2[[#This Row],[CUIT]]="","-",VLOOKUP(ventas_b_mes2[[#This Row],[CUIT]],Lista_CUIT[#All],2,0)),"CUIT NO CARGADO")</f>
        <v>-</v>
      </c>
      <c r="H437" s="64"/>
      <c r="I437" s="144">
        <f>ventas_b_mes2[[#This Row],[IMPORTE NETO]]*0.21</f>
        <v>0</v>
      </c>
      <c r="J437" s="145"/>
      <c r="K437" s="145"/>
      <c r="L437" s="145">
        <f>SUM(ventas_b_mes2[[#This Row],[IMPORTE NETO]:[EXENTO]])</f>
        <v>0</v>
      </c>
      <c r="M437" s="59"/>
    </row>
    <row r="438" spans="2:13" x14ac:dyDescent="0.25">
      <c r="B438" s="139"/>
      <c r="C438" s="41"/>
      <c r="D438" s="141"/>
      <c r="E438" s="142"/>
      <c r="F438" s="143"/>
      <c r="G438" s="1" t="str">
        <f>IFERROR(IF(ventas_b_mes2[[#This Row],[CUIT]]="","-",VLOOKUP(ventas_b_mes2[[#This Row],[CUIT]],Lista_CUIT[#All],2,0)),"CUIT NO CARGADO")</f>
        <v>-</v>
      </c>
      <c r="H438" s="64"/>
      <c r="I438" s="144">
        <f>ventas_b_mes2[[#This Row],[IMPORTE NETO]]*0.21</f>
        <v>0</v>
      </c>
      <c r="J438" s="145"/>
      <c r="K438" s="145"/>
      <c r="L438" s="145">
        <f>SUM(ventas_b_mes2[[#This Row],[IMPORTE NETO]:[EXENTO]])</f>
        <v>0</v>
      </c>
      <c r="M438" s="59"/>
    </row>
    <row r="439" spans="2:13" x14ac:dyDescent="0.25">
      <c r="B439" s="139"/>
      <c r="C439" s="41"/>
      <c r="D439" s="141"/>
      <c r="E439" s="142"/>
      <c r="F439" s="143"/>
      <c r="G439" s="1" t="str">
        <f>IFERROR(IF(ventas_b_mes2[[#This Row],[CUIT]]="","-",VLOOKUP(ventas_b_mes2[[#This Row],[CUIT]],Lista_CUIT[#All],2,0)),"CUIT NO CARGADO")</f>
        <v>-</v>
      </c>
      <c r="H439" s="64"/>
      <c r="I439" s="144">
        <f>ventas_b_mes2[[#This Row],[IMPORTE NETO]]*0.21</f>
        <v>0</v>
      </c>
      <c r="J439" s="145"/>
      <c r="K439" s="145"/>
      <c r="L439" s="145">
        <f>SUM(ventas_b_mes2[[#This Row],[IMPORTE NETO]:[EXENTO]])</f>
        <v>0</v>
      </c>
      <c r="M439" s="59"/>
    </row>
    <row r="440" spans="2:13" x14ac:dyDescent="0.25">
      <c r="B440" s="139"/>
      <c r="C440" s="41"/>
      <c r="D440" s="141"/>
      <c r="E440" s="142"/>
      <c r="F440" s="143"/>
      <c r="G440" s="1" t="str">
        <f>IFERROR(IF(ventas_b_mes2[[#This Row],[CUIT]]="","-",VLOOKUP(ventas_b_mes2[[#This Row],[CUIT]],Lista_CUIT[#All],2,0)),"CUIT NO CARGADO")</f>
        <v>-</v>
      </c>
      <c r="H440" s="64"/>
      <c r="I440" s="144">
        <f>ventas_b_mes2[[#This Row],[IMPORTE NETO]]*0.21</f>
        <v>0</v>
      </c>
      <c r="J440" s="145"/>
      <c r="K440" s="145"/>
      <c r="L440" s="145">
        <f>SUM(ventas_b_mes2[[#This Row],[IMPORTE NETO]:[EXENTO]])</f>
        <v>0</v>
      </c>
      <c r="M440" s="59"/>
    </row>
    <row r="441" spans="2:13" x14ac:dyDescent="0.25">
      <c r="B441" s="139"/>
      <c r="C441" s="41"/>
      <c r="D441" s="141"/>
      <c r="E441" s="142"/>
      <c r="F441" s="143"/>
      <c r="G441" s="1" t="str">
        <f>IFERROR(IF(ventas_b_mes2[[#This Row],[CUIT]]="","-",VLOOKUP(ventas_b_mes2[[#This Row],[CUIT]],Lista_CUIT[#All],2,0)),"CUIT NO CARGADO")</f>
        <v>-</v>
      </c>
      <c r="H441" s="64"/>
      <c r="I441" s="144">
        <f>ventas_b_mes2[[#This Row],[IMPORTE NETO]]*0.21</f>
        <v>0</v>
      </c>
      <c r="J441" s="145"/>
      <c r="K441" s="145"/>
      <c r="L441" s="145">
        <f>SUM(ventas_b_mes2[[#This Row],[IMPORTE NETO]:[EXENTO]])</f>
        <v>0</v>
      </c>
      <c r="M441" s="59"/>
    </row>
    <row r="442" spans="2:13" x14ac:dyDescent="0.25">
      <c r="B442" s="139"/>
      <c r="C442" s="41"/>
      <c r="D442" s="141"/>
      <c r="E442" s="142"/>
      <c r="F442" s="143"/>
      <c r="G442" s="1" t="str">
        <f>IFERROR(IF(ventas_b_mes2[[#This Row],[CUIT]]="","-",VLOOKUP(ventas_b_mes2[[#This Row],[CUIT]],Lista_CUIT[#All],2,0)),"CUIT NO CARGADO")</f>
        <v>-</v>
      </c>
      <c r="H442" s="64"/>
      <c r="I442" s="144">
        <f>ventas_b_mes2[[#This Row],[IMPORTE NETO]]*0.21</f>
        <v>0</v>
      </c>
      <c r="J442" s="145"/>
      <c r="K442" s="145"/>
      <c r="L442" s="145">
        <f>SUM(ventas_b_mes2[[#This Row],[IMPORTE NETO]:[EXENTO]])</f>
        <v>0</v>
      </c>
      <c r="M442" s="59"/>
    </row>
    <row r="443" spans="2:13" x14ac:dyDescent="0.25">
      <c r="B443" s="139"/>
      <c r="C443" s="41"/>
      <c r="D443" s="141"/>
      <c r="E443" s="142"/>
      <c r="F443" s="143"/>
      <c r="G443" s="1" t="str">
        <f>IFERROR(IF(ventas_b_mes2[[#This Row],[CUIT]]="","-",VLOOKUP(ventas_b_mes2[[#This Row],[CUIT]],Lista_CUIT[#All],2,0)),"CUIT NO CARGADO")</f>
        <v>-</v>
      </c>
      <c r="H443" s="64"/>
      <c r="I443" s="144">
        <f>ventas_b_mes2[[#This Row],[IMPORTE NETO]]*0.21</f>
        <v>0</v>
      </c>
      <c r="J443" s="145"/>
      <c r="K443" s="145"/>
      <c r="L443" s="145">
        <f>SUM(ventas_b_mes2[[#This Row],[IMPORTE NETO]:[EXENTO]])</f>
        <v>0</v>
      </c>
      <c r="M443" s="59"/>
    </row>
    <row r="444" spans="2:13" x14ac:dyDescent="0.25">
      <c r="B444" s="139"/>
      <c r="C444" s="41"/>
      <c r="D444" s="141"/>
      <c r="E444" s="142"/>
      <c r="F444" s="143"/>
      <c r="G444" s="1" t="str">
        <f>IFERROR(IF(ventas_b_mes2[[#This Row],[CUIT]]="","-",VLOOKUP(ventas_b_mes2[[#This Row],[CUIT]],Lista_CUIT[#All],2,0)),"CUIT NO CARGADO")</f>
        <v>-</v>
      </c>
      <c r="H444" s="64"/>
      <c r="I444" s="144">
        <f>ventas_b_mes2[[#This Row],[IMPORTE NETO]]*0.21</f>
        <v>0</v>
      </c>
      <c r="J444" s="145"/>
      <c r="K444" s="145"/>
      <c r="L444" s="145">
        <f>SUM(ventas_b_mes2[[#This Row],[IMPORTE NETO]:[EXENTO]])</f>
        <v>0</v>
      </c>
      <c r="M444" s="59"/>
    </row>
    <row r="445" spans="2:13" x14ac:dyDescent="0.25">
      <c r="B445" s="139"/>
      <c r="C445" s="41"/>
      <c r="D445" s="141"/>
      <c r="E445" s="142"/>
      <c r="F445" s="143"/>
      <c r="G445" s="1" t="str">
        <f>IFERROR(IF(ventas_b_mes2[[#This Row],[CUIT]]="","-",VLOOKUP(ventas_b_mes2[[#This Row],[CUIT]],Lista_CUIT[#All],2,0)),"CUIT NO CARGADO")</f>
        <v>-</v>
      </c>
      <c r="H445" s="64"/>
      <c r="I445" s="144">
        <f>ventas_b_mes2[[#This Row],[IMPORTE NETO]]*0.21</f>
        <v>0</v>
      </c>
      <c r="J445" s="145"/>
      <c r="K445" s="145"/>
      <c r="L445" s="145">
        <f>SUM(ventas_b_mes2[[#This Row],[IMPORTE NETO]:[EXENTO]])</f>
        <v>0</v>
      </c>
      <c r="M445" s="59"/>
    </row>
    <row r="446" spans="2:13" x14ac:dyDescent="0.25">
      <c r="B446" s="139"/>
      <c r="C446" s="41"/>
      <c r="D446" s="141"/>
      <c r="E446" s="142"/>
      <c r="F446" s="143"/>
      <c r="G446" s="1" t="str">
        <f>IFERROR(IF(ventas_b_mes2[[#This Row],[CUIT]]="","-",VLOOKUP(ventas_b_mes2[[#This Row],[CUIT]],Lista_CUIT[#All],2,0)),"CUIT NO CARGADO")</f>
        <v>-</v>
      </c>
      <c r="H446" s="64"/>
      <c r="I446" s="144">
        <f>ventas_b_mes2[[#This Row],[IMPORTE NETO]]*0.21</f>
        <v>0</v>
      </c>
      <c r="J446" s="145"/>
      <c r="K446" s="145"/>
      <c r="L446" s="145">
        <f>SUM(ventas_b_mes2[[#This Row],[IMPORTE NETO]:[EXENTO]])</f>
        <v>0</v>
      </c>
      <c r="M446" s="59"/>
    </row>
    <row r="447" spans="2:13" x14ac:dyDescent="0.25">
      <c r="B447" s="139"/>
      <c r="C447" s="41"/>
      <c r="D447" s="141"/>
      <c r="E447" s="142"/>
      <c r="F447" s="143"/>
      <c r="G447" s="1" t="str">
        <f>IFERROR(IF(ventas_b_mes2[[#This Row],[CUIT]]="","-",VLOOKUP(ventas_b_mes2[[#This Row],[CUIT]],Lista_CUIT[#All],2,0)),"CUIT NO CARGADO")</f>
        <v>-</v>
      </c>
      <c r="H447" s="64"/>
      <c r="I447" s="144">
        <f>ventas_b_mes2[[#This Row],[IMPORTE NETO]]*0.21</f>
        <v>0</v>
      </c>
      <c r="J447" s="145"/>
      <c r="K447" s="145"/>
      <c r="L447" s="145">
        <f>SUM(ventas_b_mes2[[#This Row],[IMPORTE NETO]:[EXENTO]])</f>
        <v>0</v>
      </c>
      <c r="M447" s="59"/>
    </row>
    <row r="448" spans="2:13" x14ac:dyDescent="0.25">
      <c r="B448" s="139"/>
      <c r="C448" s="41"/>
      <c r="D448" s="141"/>
      <c r="E448" s="142"/>
      <c r="F448" s="143"/>
      <c r="G448" s="1" t="str">
        <f>IFERROR(IF(ventas_b_mes2[[#This Row],[CUIT]]="","-",VLOOKUP(ventas_b_mes2[[#This Row],[CUIT]],Lista_CUIT[#All],2,0)),"CUIT NO CARGADO")</f>
        <v>-</v>
      </c>
      <c r="H448" s="64"/>
      <c r="I448" s="144">
        <f>ventas_b_mes2[[#This Row],[IMPORTE NETO]]*0.21</f>
        <v>0</v>
      </c>
      <c r="J448" s="145"/>
      <c r="K448" s="145"/>
      <c r="L448" s="145">
        <f>SUM(ventas_b_mes2[[#This Row],[IMPORTE NETO]:[EXENTO]])</f>
        <v>0</v>
      </c>
      <c r="M448" s="59"/>
    </row>
    <row r="449" spans="2:13" x14ac:dyDescent="0.25">
      <c r="B449" s="139"/>
      <c r="C449" s="41"/>
      <c r="D449" s="141"/>
      <c r="E449" s="142"/>
      <c r="F449" s="143"/>
      <c r="G449" s="1" t="str">
        <f>IFERROR(IF(ventas_b_mes2[[#This Row],[CUIT]]="","-",VLOOKUP(ventas_b_mes2[[#This Row],[CUIT]],Lista_CUIT[#All],2,0)),"CUIT NO CARGADO")</f>
        <v>-</v>
      </c>
      <c r="H449" s="64"/>
      <c r="I449" s="144">
        <f>ventas_b_mes2[[#This Row],[IMPORTE NETO]]*0.21</f>
        <v>0</v>
      </c>
      <c r="J449" s="145"/>
      <c r="K449" s="145"/>
      <c r="L449" s="145">
        <f>SUM(ventas_b_mes2[[#This Row],[IMPORTE NETO]:[EXENTO]])</f>
        <v>0</v>
      </c>
      <c r="M449" s="59"/>
    </row>
    <row r="450" spans="2:13" x14ac:dyDescent="0.25">
      <c r="B450" s="139"/>
      <c r="C450" s="41"/>
      <c r="D450" s="141"/>
      <c r="E450" s="142"/>
      <c r="F450" s="143"/>
      <c r="G450" s="1" t="str">
        <f>IFERROR(IF(ventas_b_mes2[[#This Row],[CUIT]]="","-",VLOOKUP(ventas_b_mes2[[#This Row],[CUIT]],Lista_CUIT[#All],2,0)),"CUIT NO CARGADO")</f>
        <v>-</v>
      </c>
      <c r="H450" s="64"/>
      <c r="I450" s="144">
        <f>ventas_b_mes2[[#This Row],[IMPORTE NETO]]*0.21</f>
        <v>0</v>
      </c>
      <c r="J450" s="145"/>
      <c r="K450" s="145"/>
      <c r="L450" s="145">
        <f>SUM(ventas_b_mes2[[#This Row],[IMPORTE NETO]:[EXENTO]])</f>
        <v>0</v>
      </c>
      <c r="M450" s="59"/>
    </row>
    <row r="451" spans="2:13" x14ac:dyDescent="0.25">
      <c r="B451" s="139"/>
      <c r="C451" s="41"/>
      <c r="D451" s="141"/>
      <c r="E451" s="142"/>
      <c r="F451" s="143"/>
      <c r="G451" s="1" t="str">
        <f>IFERROR(IF(ventas_b_mes2[[#This Row],[CUIT]]="","-",VLOOKUP(ventas_b_mes2[[#This Row],[CUIT]],Lista_CUIT[#All],2,0)),"CUIT NO CARGADO")</f>
        <v>-</v>
      </c>
      <c r="H451" s="64"/>
      <c r="I451" s="144">
        <f>ventas_b_mes2[[#This Row],[IMPORTE NETO]]*0.21</f>
        <v>0</v>
      </c>
      <c r="J451" s="145"/>
      <c r="K451" s="145"/>
      <c r="L451" s="145">
        <f>SUM(ventas_b_mes2[[#This Row],[IMPORTE NETO]:[EXENTO]])</f>
        <v>0</v>
      </c>
      <c r="M451" s="59"/>
    </row>
    <row r="452" spans="2:13" x14ac:dyDescent="0.25">
      <c r="B452" s="139"/>
      <c r="C452" s="41"/>
      <c r="D452" s="141"/>
      <c r="E452" s="142"/>
      <c r="F452" s="143"/>
      <c r="G452" s="1" t="str">
        <f>IFERROR(IF(ventas_b_mes2[[#This Row],[CUIT]]="","-",VLOOKUP(ventas_b_mes2[[#This Row],[CUIT]],Lista_CUIT[#All],2,0)),"CUIT NO CARGADO")</f>
        <v>-</v>
      </c>
      <c r="H452" s="64"/>
      <c r="I452" s="144">
        <f>ventas_b_mes2[[#This Row],[IMPORTE NETO]]*0.21</f>
        <v>0</v>
      </c>
      <c r="J452" s="145"/>
      <c r="K452" s="145"/>
      <c r="L452" s="145">
        <f>SUM(ventas_b_mes2[[#This Row],[IMPORTE NETO]:[EXENTO]])</f>
        <v>0</v>
      </c>
      <c r="M452" s="59"/>
    </row>
    <row r="453" spans="2:13" x14ac:dyDescent="0.25">
      <c r="B453" s="139"/>
      <c r="C453" s="41"/>
      <c r="D453" s="141"/>
      <c r="E453" s="142"/>
      <c r="F453" s="143"/>
      <c r="G453" s="1" t="str">
        <f>IFERROR(IF(ventas_b_mes2[[#This Row],[CUIT]]="","-",VLOOKUP(ventas_b_mes2[[#This Row],[CUIT]],Lista_CUIT[#All],2,0)),"CUIT NO CARGADO")</f>
        <v>-</v>
      </c>
      <c r="H453" s="64"/>
      <c r="I453" s="144">
        <f>ventas_b_mes2[[#This Row],[IMPORTE NETO]]*0.21</f>
        <v>0</v>
      </c>
      <c r="J453" s="145"/>
      <c r="K453" s="145"/>
      <c r="L453" s="145">
        <f>SUM(ventas_b_mes2[[#This Row],[IMPORTE NETO]:[EXENTO]])</f>
        <v>0</v>
      </c>
      <c r="M453" s="59"/>
    </row>
    <row r="454" spans="2:13" x14ac:dyDescent="0.25">
      <c r="B454" s="139"/>
      <c r="C454" s="41"/>
      <c r="D454" s="141"/>
      <c r="E454" s="142"/>
      <c r="F454" s="143"/>
      <c r="G454" s="1" t="str">
        <f>IFERROR(IF(ventas_b_mes2[[#This Row],[CUIT]]="","-",VLOOKUP(ventas_b_mes2[[#This Row],[CUIT]],Lista_CUIT[#All],2,0)),"CUIT NO CARGADO")</f>
        <v>-</v>
      </c>
      <c r="H454" s="64"/>
      <c r="I454" s="144">
        <f>ventas_b_mes2[[#This Row],[IMPORTE NETO]]*0.21</f>
        <v>0</v>
      </c>
      <c r="J454" s="145"/>
      <c r="K454" s="145"/>
      <c r="L454" s="145">
        <f>SUM(ventas_b_mes2[[#This Row],[IMPORTE NETO]:[EXENTO]])</f>
        <v>0</v>
      </c>
      <c r="M454" s="59"/>
    </row>
    <row r="455" spans="2:13" x14ac:dyDescent="0.25">
      <c r="B455" s="139"/>
      <c r="C455" s="41"/>
      <c r="D455" s="141"/>
      <c r="E455" s="142"/>
      <c r="F455" s="143"/>
      <c r="G455" s="1" t="str">
        <f>IFERROR(IF(ventas_b_mes2[[#This Row],[CUIT]]="","-",VLOOKUP(ventas_b_mes2[[#This Row],[CUIT]],Lista_CUIT[#All],2,0)),"CUIT NO CARGADO")</f>
        <v>-</v>
      </c>
      <c r="H455" s="64"/>
      <c r="I455" s="144">
        <f>ventas_b_mes2[[#This Row],[IMPORTE NETO]]*0.21</f>
        <v>0</v>
      </c>
      <c r="J455" s="145"/>
      <c r="K455" s="145"/>
      <c r="L455" s="145">
        <f>SUM(ventas_b_mes2[[#This Row],[IMPORTE NETO]:[EXENTO]])</f>
        <v>0</v>
      </c>
      <c r="M455" s="59"/>
    </row>
    <row r="456" spans="2:13" x14ac:dyDescent="0.25">
      <c r="B456" s="139"/>
      <c r="C456" s="41"/>
      <c r="D456" s="141"/>
      <c r="E456" s="142"/>
      <c r="F456" s="143"/>
      <c r="G456" s="1" t="str">
        <f>IFERROR(IF(ventas_b_mes2[[#This Row],[CUIT]]="","-",VLOOKUP(ventas_b_mes2[[#This Row],[CUIT]],Lista_CUIT[#All],2,0)),"CUIT NO CARGADO")</f>
        <v>-</v>
      </c>
      <c r="H456" s="64"/>
      <c r="I456" s="144">
        <f>ventas_b_mes2[[#This Row],[IMPORTE NETO]]*0.21</f>
        <v>0</v>
      </c>
      <c r="J456" s="145"/>
      <c r="K456" s="145"/>
      <c r="L456" s="145">
        <f>SUM(ventas_b_mes2[[#This Row],[IMPORTE NETO]:[EXENTO]])</f>
        <v>0</v>
      </c>
      <c r="M456" s="59"/>
    </row>
    <row r="457" spans="2:13" x14ac:dyDescent="0.25">
      <c r="B457" s="139"/>
      <c r="C457" s="41"/>
      <c r="D457" s="141"/>
      <c r="E457" s="142"/>
      <c r="F457" s="143"/>
      <c r="G457" s="1" t="str">
        <f>IFERROR(IF(ventas_b_mes2[[#This Row],[CUIT]]="","-",VLOOKUP(ventas_b_mes2[[#This Row],[CUIT]],Lista_CUIT[#All],2,0)),"CUIT NO CARGADO")</f>
        <v>-</v>
      </c>
      <c r="H457" s="64"/>
      <c r="I457" s="144">
        <f>ventas_b_mes2[[#This Row],[IMPORTE NETO]]*0.21</f>
        <v>0</v>
      </c>
      <c r="J457" s="145"/>
      <c r="K457" s="145"/>
      <c r="L457" s="145">
        <f>SUM(ventas_b_mes2[[#This Row],[IMPORTE NETO]:[EXENTO]])</f>
        <v>0</v>
      </c>
      <c r="M457" s="59"/>
    </row>
    <row r="458" spans="2:13" x14ac:dyDescent="0.25">
      <c r="B458" s="139"/>
      <c r="C458" s="41"/>
      <c r="D458" s="141"/>
      <c r="E458" s="142"/>
      <c r="F458" s="143"/>
      <c r="G458" s="1" t="str">
        <f>IFERROR(IF(ventas_b_mes2[[#This Row],[CUIT]]="","-",VLOOKUP(ventas_b_mes2[[#This Row],[CUIT]],Lista_CUIT[#All],2,0)),"CUIT NO CARGADO")</f>
        <v>-</v>
      </c>
      <c r="H458" s="64"/>
      <c r="I458" s="144">
        <f>ventas_b_mes2[[#This Row],[IMPORTE NETO]]*0.21</f>
        <v>0</v>
      </c>
      <c r="J458" s="145"/>
      <c r="K458" s="145"/>
      <c r="L458" s="145">
        <f>SUM(ventas_b_mes2[[#This Row],[IMPORTE NETO]:[EXENTO]])</f>
        <v>0</v>
      </c>
      <c r="M458" s="59"/>
    </row>
    <row r="459" spans="2:13" x14ac:dyDescent="0.25">
      <c r="B459" s="139"/>
      <c r="C459" s="41"/>
      <c r="D459" s="141"/>
      <c r="E459" s="142"/>
      <c r="F459" s="143"/>
      <c r="G459" s="1" t="str">
        <f>IFERROR(IF(ventas_b_mes2[[#This Row],[CUIT]]="","-",VLOOKUP(ventas_b_mes2[[#This Row],[CUIT]],Lista_CUIT[#All],2,0)),"CUIT NO CARGADO")</f>
        <v>-</v>
      </c>
      <c r="H459" s="64"/>
      <c r="I459" s="144">
        <f>ventas_b_mes2[[#This Row],[IMPORTE NETO]]*0.21</f>
        <v>0</v>
      </c>
      <c r="J459" s="145"/>
      <c r="K459" s="145"/>
      <c r="L459" s="145">
        <f>SUM(ventas_b_mes2[[#This Row],[IMPORTE NETO]:[EXENTO]])</f>
        <v>0</v>
      </c>
      <c r="M459" s="59"/>
    </row>
    <row r="460" spans="2:13" x14ac:dyDescent="0.25">
      <c r="B460" s="139"/>
      <c r="C460" s="140"/>
      <c r="D460" s="141"/>
      <c r="E460" s="142"/>
      <c r="F460" s="143"/>
      <c r="G460" s="1" t="str">
        <f>IFERROR(IF(ventas_b_mes2[[#This Row],[CUIT]]="","-",VLOOKUP(ventas_b_mes2[[#This Row],[CUIT]],Lista_CUIT[#All],2,0)),"CUIT NO CARGADO")</f>
        <v>-</v>
      </c>
      <c r="H460" s="64"/>
      <c r="I460" s="144">
        <f>ventas_b_mes2[[#This Row],[IMPORTE NETO]]*0.21</f>
        <v>0</v>
      </c>
      <c r="J460" s="145"/>
      <c r="K460" s="145"/>
      <c r="L460" s="145">
        <f>SUM(ventas_b_mes2[[#This Row],[IMPORTE NETO]:[EXENTO]])</f>
        <v>0</v>
      </c>
      <c r="M460" s="59"/>
    </row>
    <row r="461" spans="2:13" x14ac:dyDescent="0.25">
      <c r="B461" s="139"/>
      <c r="C461" s="140"/>
      <c r="D461" s="141"/>
      <c r="E461" s="142"/>
      <c r="F461" s="143"/>
      <c r="G461" s="1" t="str">
        <f>IFERROR(IF(ventas_b_mes2[[#This Row],[CUIT]]="","-",VLOOKUP(ventas_b_mes2[[#This Row],[CUIT]],Lista_CUIT[#All],2,0)),"CUIT NO CARGADO")</f>
        <v>-</v>
      </c>
      <c r="H461" s="64"/>
      <c r="I461" s="144">
        <f>ventas_b_mes2[[#This Row],[IMPORTE NETO]]*0.21</f>
        <v>0</v>
      </c>
      <c r="J461" s="145"/>
      <c r="K461" s="145"/>
      <c r="L461" s="145">
        <f>SUM(ventas_b_mes2[[#This Row],[IMPORTE NETO]:[EXENTO]])</f>
        <v>0</v>
      </c>
      <c r="M461" s="59"/>
    </row>
    <row r="462" spans="2:13" ht="15.75" thickBot="1" x14ac:dyDescent="0.3">
      <c r="B462" s="66" t="s">
        <v>110</v>
      </c>
      <c r="C462" s="67"/>
      <c r="D462" s="67"/>
      <c r="E462" s="67"/>
      <c r="F462" s="67"/>
      <c r="G462" s="67"/>
      <c r="H462" s="77">
        <f>SUBTOTAL(109,ventas_b_mes2[IMPORTE NETO])</f>
        <v>0</v>
      </c>
      <c r="I462" s="77">
        <f>SUBTOTAL(109,ventas_b_mes2[IVA 21%])</f>
        <v>0</v>
      </c>
      <c r="J462" s="78">
        <f>SUBTOTAL(109,ventas_b_mes2[IVA 10,5%])</f>
        <v>0</v>
      </c>
      <c r="K462" s="78">
        <f>SUBTOTAL(109,ventas_b_mes2[EXENTO])</f>
        <v>0</v>
      </c>
      <c r="L462" s="78">
        <f>SUBTOTAL(109,ventas_b_mes2[TOTAL])</f>
        <v>0</v>
      </c>
      <c r="M462" s="68">
        <f>SUBTOTAL(103,ventas_b_mes2[Provincia])</f>
        <v>0</v>
      </c>
    </row>
    <row r="463" spans="2:13" ht="15.75" thickTop="1" x14ac:dyDescent="0.25">
      <c r="C463" s="625" t="s">
        <v>66</v>
      </c>
      <c r="D463" s="625"/>
      <c r="E463" s="625"/>
      <c r="F463" s="625"/>
      <c r="G463" s="625"/>
      <c r="H463" s="32"/>
      <c r="I463" s="32"/>
      <c r="J463" s="32"/>
    </row>
    <row r="464" spans="2:13" ht="15.75" x14ac:dyDescent="0.25">
      <c r="C464" s="113" t="s">
        <v>67</v>
      </c>
      <c r="D464" s="114" t="s">
        <v>68</v>
      </c>
      <c r="E464" s="114" t="s">
        <v>112</v>
      </c>
      <c r="F464" s="114" t="s">
        <v>3</v>
      </c>
      <c r="G464" s="114" t="s">
        <v>4</v>
      </c>
      <c r="H464" s="115" t="s">
        <v>69</v>
      </c>
      <c r="I464" s="115" t="s">
        <v>70</v>
      </c>
      <c r="J464" s="115" t="s">
        <v>71</v>
      </c>
      <c r="K464" s="115" t="s">
        <v>72</v>
      </c>
      <c r="L464" s="115" t="s">
        <v>73</v>
      </c>
    </row>
    <row r="465" spans="3:12" x14ac:dyDescent="0.25">
      <c r="C465" s="116"/>
      <c r="D465" s="117"/>
      <c r="E465" s="117"/>
      <c r="F465" s="118"/>
      <c r="G465" s="53" t="str">
        <f>IFERROR(IF(Retenciones_mes2[[#This Row],[CUIT]]="","-",VLOOKUP(Retenciones_mes2[[#This Row],[CUIT]],Lista_CUIT[#All],2,0)),"CUIT NO CARGADO")</f>
        <v>-</v>
      </c>
      <c r="H465" s="119"/>
      <c r="I465" s="119"/>
      <c r="J465" s="119"/>
      <c r="K465" s="119"/>
      <c r="L465" s="119"/>
    </row>
    <row r="466" spans="3:12" x14ac:dyDescent="0.25">
      <c r="C466" s="116"/>
      <c r="D466" s="117"/>
      <c r="E466" s="117"/>
      <c r="F466" s="118"/>
      <c r="G466" s="53" t="str">
        <f>IFERROR(IF(Retenciones_mes2[[#This Row],[CUIT]]="","-",VLOOKUP(Retenciones_mes2[[#This Row],[CUIT]],Lista_CUIT[#All],2,0)),"CUIT NO CARGADO")</f>
        <v>-</v>
      </c>
      <c r="H466" s="119"/>
      <c r="I466" s="119"/>
      <c r="J466" s="119"/>
      <c r="K466" s="119"/>
      <c r="L466" s="119"/>
    </row>
    <row r="467" spans="3:12" x14ac:dyDescent="0.25">
      <c r="C467" s="116"/>
      <c r="D467" s="117"/>
      <c r="E467" s="117"/>
      <c r="F467" s="118"/>
      <c r="G467" s="53" t="str">
        <f>IFERROR(IF(Retenciones_mes2[[#This Row],[CUIT]]="","-",VLOOKUP(Retenciones_mes2[[#This Row],[CUIT]],Lista_CUIT[#All],2,0)),"CUIT NO CARGADO")</f>
        <v>-</v>
      </c>
      <c r="H467" s="119"/>
      <c r="I467" s="119"/>
      <c r="J467" s="119"/>
      <c r="K467" s="119"/>
      <c r="L467" s="119"/>
    </row>
    <row r="468" spans="3:12" x14ac:dyDescent="0.25">
      <c r="C468" s="116"/>
      <c r="D468" s="117"/>
      <c r="E468" s="117"/>
      <c r="F468" s="118"/>
      <c r="G468" s="53" t="str">
        <f>IFERROR(IF(Retenciones_mes2[[#This Row],[CUIT]]="","-",VLOOKUP(Retenciones_mes2[[#This Row],[CUIT]],Lista_CUIT[#All],2,0)),"CUIT NO CARGADO")</f>
        <v>-</v>
      </c>
      <c r="H468" s="119"/>
      <c r="I468" s="119"/>
      <c r="J468" s="119"/>
      <c r="K468" s="119"/>
      <c r="L468" s="119"/>
    </row>
    <row r="469" spans="3:12" x14ac:dyDescent="0.25">
      <c r="C469" s="116"/>
      <c r="D469" s="117"/>
      <c r="E469" s="117"/>
      <c r="F469" s="118"/>
      <c r="G469" s="53" t="str">
        <f>IFERROR(IF(Retenciones_mes2[[#This Row],[CUIT]]="","-",VLOOKUP(Retenciones_mes2[[#This Row],[CUIT]],Lista_CUIT[#All],2,0)),"CUIT NO CARGADO")</f>
        <v>-</v>
      </c>
    </row>
    <row r="470" spans="3:12" x14ac:dyDescent="0.25">
      <c r="C470" s="116"/>
      <c r="D470" s="155"/>
      <c r="E470" s="155"/>
      <c r="F470" s="118"/>
      <c r="G470" s="157" t="str">
        <f>IFERROR(IF(Retenciones_mes2[[#This Row],[CUIT]]="","-",VLOOKUP(Retenciones_mes2[[#This Row],[CUIT]],Lista_CUIT[#All],2,0)),"CUIT NO CARGADO")</f>
        <v>-</v>
      </c>
      <c r="H470" s="158"/>
      <c r="I470" s="158"/>
      <c r="J470" s="158"/>
      <c r="K470" s="158"/>
      <c r="L470" s="158"/>
    </row>
    <row r="471" spans="3:12" x14ac:dyDescent="0.25">
      <c r="C471" s="116"/>
      <c r="D471" s="155"/>
      <c r="E471" s="155"/>
      <c r="F471" s="118"/>
      <c r="G471" s="157" t="str">
        <f>IFERROR(IF(Retenciones_mes2[[#This Row],[CUIT]]="","-",VLOOKUP(Retenciones_mes2[[#This Row],[CUIT]],Lista_CUIT[#All],2,0)),"CUIT NO CARGADO")</f>
        <v>-</v>
      </c>
      <c r="H471" s="158"/>
      <c r="I471" s="158"/>
      <c r="J471" s="158"/>
      <c r="K471" s="158"/>
      <c r="L471" s="158"/>
    </row>
    <row r="472" spans="3:12" x14ac:dyDescent="0.25">
      <c r="C472" s="116"/>
      <c r="D472" s="155"/>
      <c r="E472" s="155"/>
      <c r="F472" s="118"/>
      <c r="G472" s="157" t="str">
        <f>IFERROR(IF(Retenciones_mes2[[#This Row],[CUIT]]="","-",VLOOKUP(Retenciones_mes2[[#This Row],[CUIT]],Lista_CUIT[#All],2,0)),"CUIT NO CARGADO")</f>
        <v>-</v>
      </c>
      <c r="H472" s="158"/>
      <c r="I472" s="158"/>
      <c r="J472" s="158"/>
      <c r="K472" s="158"/>
      <c r="L472" s="158"/>
    </row>
    <row r="473" spans="3:12" x14ac:dyDescent="0.25">
      <c r="C473" s="116"/>
      <c r="D473" s="155"/>
      <c r="E473" s="155"/>
      <c r="F473" s="118"/>
      <c r="G473" s="157" t="str">
        <f>IFERROR(IF(Retenciones_mes2[[#This Row],[CUIT]]="","-",VLOOKUP(Retenciones_mes2[[#This Row],[CUIT]],Lista_CUIT[#All],2,0)),"CUIT NO CARGADO")</f>
        <v>-</v>
      </c>
      <c r="H473" s="158"/>
      <c r="I473" s="158"/>
      <c r="J473" s="158"/>
      <c r="K473" s="158"/>
      <c r="L473" s="158"/>
    </row>
    <row r="474" spans="3:12" x14ac:dyDescent="0.25">
      <c r="C474" s="154"/>
      <c r="D474" s="155"/>
      <c r="E474" s="155"/>
      <c r="F474" s="156"/>
      <c r="G474" s="157" t="str">
        <f>IFERROR(IF(Retenciones_mes2[[#This Row],[CUIT]]="","-",VLOOKUP(Retenciones_mes2[[#This Row],[CUIT]],Lista_CUIT[#All],2,0)),"CUIT NO CARGADO")</f>
        <v>-</v>
      </c>
      <c r="H474" s="158"/>
      <c r="I474" s="158"/>
      <c r="J474" s="158"/>
      <c r="K474" s="158"/>
      <c r="L474" s="158"/>
    </row>
    <row r="475" spans="3:12" x14ac:dyDescent="0.25">
      <c r="C475" s="154"/>
      <c r="D475" s="155"/>
      <c r="E475" s="155"/>
      <c r="F475" s="156"/>
      <c r="G475" s="157" t="str">
        <f>IFERROR(IF(Retenciones_mes2[[#This Row],[CUIT]]="","-",VLOOKUP(Retenciones_mes2[[#This Row],[CUIT]],Lista_CUIT[#All],2,0)),"CUIT NO CARGADO")</f>
        <v>-</v>
      </c>
      <c r="H475" s="158"/>
      <c r="I475" s="158"/>
      <c r="J475" s="158"/>
      <c r="K475" s="158"/>
      <c r="L475" s="158"/>
    </row>
    <row r="476" spans="3:12" x14ac:dyDescent="0.25">
      <c r="C476" s="154"/>
      <c r="D476" s="155"/>
      <c r="E476" s="155"/>
      <c r="F476" s="156"/>
      <c r="G476" s="157" t="str">
        <f>IFERROR(IF(Retenciones_mes2[[#This Row],[CUIT]]="","-",VLOOKUP(Retenciones_mes2[[#This Row],[CUIT]],Lista_CUIT[#All],2,0)),"CUIT NO CARGADO")</f>
        <v>-</v>
      </c>
      <c r="H476" s="158"/>
      <c r="I476" s="158"/>
      <c r="J476" s="158"/>
      <c r="K476" s="158"/>
      <c r="L476" s="158"/>
    </row>
    <row r="477" spans="3:12" x14ac:dyDescent="0.25">
      <c r="C477" s="154"/>
      <c r="D477" s="155"/>
      <c r="E477" s="155"/>
      <c r="F477" s="156"/>
      <c r="G477" s="157" t="str">
        <f>IFERROR(IF(Retenciones_mes2[[#This Row],[CUIT]]="","-",VLOOKUP(Retenciones_mes2[[#This Row],[CUIT]],Lista_CUIT[#All],2,0)),"CUIT NO CARGADO")</f>
        <v>-</v>
      </c>
      <c r="H477" s="158"/>
      <c r="I477" s="158"/>
      <c r="J477" s="158"/>
      <c r="K477" s="158"/>
      <c r="L477" s="158"/>
    </row>
    <row r="478" spans="3:12" x14ac:dyDescent="0.25">
      <c r="C478" s="154"/>
      <c r="D478" s="155"/>
      <c r="E478" s="155"/>
      <c r="F478" s="156"/>
      <c r="G478" s="157" t="str">
        <f>IFERROR(IF(Retenciones_mes2[[#This Row],[CUIT]]="","-",VLOOKUP(Retenciones_mes2[[#This Row],[CUIT]],Lista_CUIT[#All],2,0)),"CUIT NO CARGADO")</f>
        <v>-</v>
      </c>
      <c r="H478" s="158"/>
      <c r="I478" s="158"/>
      <c r="J478" s="158"/>
      <c r="K478" s="158"/>
      <c r="L478" s="158"/>
    </row>
    <row r="479" spans="3:12" x14ac:dyDescent="0.25">
      <c r="C479" s="154"/>
      <c r="D479" s="155"/>
      <c r="E479" s="155"/>
      <c r="F479" s="156"/>
      <c r="G479" s="157" t="str">
        <f>IFERROR(IF(Retenciones_mes2[[#This Row],[CUIT]]="","-",VLOOKUP(Retenciones_mes2[[#This Row],[CUIT]],Lista_CUIT[#All],2,0)),"CUIT NO CARGADO")</f>
        <v>-</v>
      </c>
      <c r="H479" s="158"/>
      <c r="I479" s="158"/>
      <c r="J479" s="158"/>
      <c r="K479" s="158"/>
      <c r="L479" s="158"/>
    </row>
    <row r="480" spans="3:12" x14ac:dyDescent="0.25">
      <c r="C480" s="154"/>
      <c r="D480" s="155"/>
      <c r="E480" s="155"/>
      <c r="F480" s="156"/>
      <c r="G480" s="157" t="str">
        <f>IFERROR(IF(Retenciones_mes2[[#This Row],[CUIT]]="","-",VLOOKUP(Retenciones_mes2[[#This Row],[CUIT]],Lista_CUIT[#All],2,0)),"CUIT NO CARGADO")</f>
        <v>-</v>
      </c>
      <c r="H480" s="158"/>
      <c r="I480" s="158"/>
      <c r="J480" s="158"/>
      <c r="K480" s="158"/>
      <c r="L480" s="158"/>
    </row>
    <row r="481" spans="3:12" x14ac:dyDescent="0.25">
      <c r="C481" s="154"/>
      <c r="D481" s="155"/>
      <c r="E481" s="155"/>
      <c r="F481" s="156"/>
      <c r="G481" s="157" t="str">
        <f>IFERROR(IF(Retenciones_mes2[[#This Row],[CUIT]]="","-",VLOOKUP(Retenciones_mes2[[#This Row],[CUIT]],Lista_CUIT[#All],2,0)),"CUIT NO CARGADO")</f>
        <v>-</v>
      </c>
      <c r="H481" s="158"/>
      <c r="I481" s="158"/>
      <c r="J481" s="158"/>
      <c r="K481" s="158"/>
      <c r="L481" s="158"/>
    </row>
    <row r="482" spans="3:12" x14ac:dyDescent="0.25">
      <c r="C482" s="154"/>
      <c r="D482" s="155"/>
      <c r="E482" s="155"/>
      <c r="F482" s="156"/>
      <c r="G482" s="157" t="str">
        <f>IFERROR(IF(Retenciones_mes2[[#This Row],[CUIT]]="","-",VLOOKUP(Retenciones_mes2[[#This Row],[CUIT]],Lista_CUIT[#All],2,0)),"CUIT NO CARGADO")</f>
        <v>-</v>
      </c>
      <c r="H482" s="158"/>
      <c r="I482" s="158"/>
      <c r="J482" s="158"/>
      <c r="K482" s="158"/>
      <c r="L482" s="158"/>
    </row>
    <row r="483" spans="3:12" x14ac:dyDescent="0.25">
      <c r="C483" s="154"/>
      <c r="D483" s="155"/>
      <c r="E483" s="155"/>
      <c r="F483" s="156"/>
      <c r="G483" s="157" t="str">
        <f>IFERROR(IF(Retenciones_mes2[[#This Row],[CUIT]]="","-",VLOOKUP(Retenciones_mes2[[#This Row],[CUIT]],Lista_CUIT[#All],2,0)),"CUIT NO CARGADO")</f>
        <v>-</v>
      </c>
      <c r="H483" s="158"/>
      <c r="I483" s="158"/>
      <c r="J483" s="158"/>
      <c r="K483" s="158"/>
      <c r="L483" s="158"/>
    </row>
    <row r="484" spans="3:12" x14ac:dyDescent="0.25">
      <c r="C484" s="154"/>
      <c r="D484" s="155"/>
      <c r="E484" s="155"/>
      <c r="F484" s="156"/>
      <c r="G484" s="157" t="str">
        <f>IFERROR(IF(Retenciones_mes2[[#This Row],[CUIT]]="","-",VLOOKUP(Retenciones_mes2[[#This Row],[CUIT]],Lista_CUIT[#All],2,0)),"CUIT NO CARGADO")</f>
        <v>-</v>
      </c>
      <c r="H484" s="158"/>
      <c r="I484" s="158"/>
      <c r="J484" s="158"/>
      <c r="K484" s="158"/>
      <c r="L484" s="158"/>
    </row>
    <row r="485" spans="3:12" x14ac:dyDescent="0.25">
      <c r="C485" s="154"/>
      <c r="D485" s="155"/>
      <c r="E485" s="155"/>
      <c r="F485" s="156"/>
      <c r="G485" s="157" t="str">
        <f>IFERROR(IF(Retenciones_mes2[[#This Row],[CUIT]]="","-",VLOOKUP(Retenciones_mes2[[#This Row],[CUIT]],Lista_CUIT[#All],2,0)),"CUIT NO CARGADO")</f>
        <v>-</v>
      </c>
      <c r="H485" s="158"/>
      <c r="I485" s="158"/>
      <c r="J485" s="158"/>
      <c r="K485" s="158"/>
      <c r="L485" s="158"/>
    </row>
    <row r="486" spans="3:12" x14ac:dyDescent="0.25">
      <c r="C486" s="154"/>
      <c r="D486" s="155"/>
      <c r="E486" s="155"/>
      <c r="F486" s="156"/>
      <c r="G486" s="157" t="str">
        <f>IFERROR(IF(Retenciones_mes2[[#This Row],[CUIT]]="","-",VLOOKUP(Retenciones_mes2[[#This Row],[CUIT]],Lista_CUIT[#All],2,0)),"CUIT NO CARGADO")</f>
        <v>-</v>
      </c>
      <c r="H486" s="158"/>
      <c r="I486" s="158"/>
      <c r="J486" s="158"/>
      <c r="K486" s="158"/>
      <c r="L486" s="158"/>
    </row>
    <row r="487" spans="3:12" x14ac:dyDescent="0.25">
      <c r="C487" s="154"/>
      <c r="D487" s="155"/>
      <c r="E487" s="155"/>
      <c r="F487" s="156"/>
      <c r="G487" s="157" t="str">
        <f>IFERROR(IF(Retenciones_mes2[[#This Row],[CUIT]]="","-",VLOOKUP(Retenciones_mes2[[#This Row],[CUIT]],Lista_CUIT[#All],2,0)),"CUIT NO CARGADO")</f>
        <v>-</v>
      </c>
      <c r="H487" s="158"/>
      <c r="I487" s="158"/>
      <c r="J487" s="158"/>
      <c r="K487" s="158"/>
      <c r="L487" s="158"/>
    </row>
    <row r="488" spans="3:12" x14ac:dyDescent="0.25">
      <c r="C488" s="154"/>
      <c r="D488" s="155"/>
      <c r="E488" s="155"/>
      <c r="F488" s="156"/>
      <c r="G488" s="157" t="str">
        <f>IFERROR(IF(Retenciones_mes2[[#This Row],[CUIT]]="","-",VLOOKUP(Retenciones_mes2[[#This Row],[CUIT]],Lista_CUIT[#All],2,0)),"CUIT NO CARGADO")</f>
        <v>-</v>
      </c>
      <c r="H488" s="158"/>
      <c r="I488" s="158"/>
      <c r="J488" s="158"/>
      <c r="K488" s="158"/>
      <c r="L488" s="158"/>
    </row>
    <row r="489" spans="3:12" x14ac:dyDescent="0.25">
      <c r="C489" s="154"/>
      <c r="D489" s="155"/>
      <c r="E489" s="155"/>
      <c r="F489" s="156"/>
      <c r="G489" s="157" t="str">
        <f>IFERROR(IF(Retenciones_mes2[[#This Row],[CUIT]]="","-",VLOOKUP(Retenciones_mes2[[#This Row],[CUIT]],Lista_CUIT[#All],2,0)),"CUIT NO CARGADO")</f>
        <v>-</v>
      </c>
      <c r="H489" s="158"/>
      <c r="I489" s="158"/>
      <c r="J489" s="158"/>
      <c r="K489" s="158"/>
      <c r="L489" s="158"/>
    </row>
    <row r="490" spans="3:12" x14ac:dyDescent="0.25">
      <c r="C490" s="154"/>
      <c r="D490" s="155"/>
      <c r="E490" s="155"/>
      <c r="F490" s="156"/>
      <c r="G490" s="157" t="str">
        <f>IFERROR(IF(Retenciones_mes2[[#This Row],[CUIT]]="","-",VLOOKUP(Retenciones_mes2[[#This Row],[CUIT]],Lista_CUIT[#All],2,0)),"CUIT NO CARGADO")</f>
        <v>-</v>
      </c>
      <c r="H490" s="158"/>
      <c r="I490" s="158"/>
      <c r="J490" s="158"/>
      <c r="K490" s="158"/>
      <c r="L490" s="158"/>
    </row>
    <row r="491" spans="3:12" x14ac:dyDescent="0.25">
      <c r="C491" s="154"/>
      <c r="D491" s="155"/>
      <c r="E491" s="155"/>
      <c r="F491" s="156"/>
      <c r="G491" s="157" t="str">
        <f>IFERROR(IF(Retenciones_mes2[[#This Row],[CUIT]]="","-",VLOOKUP(Retenciones_mes2[[#This Row],[CUIT]],Lista_CUIT[#All],2,0)),"CUIT NO CARGADO")</f>
        <v>-</v>
      </c>
      <c r="H491" s="158"/>
      <c r="I491" s="158"/>
      <c r="J491" s="158"/>
      <c r="K491" s="158"/>
      <c r="L491" s="158"/>
    </row>
  </sheetData>
  <mergeCells count="20">
    <mergeCell ref="C463:G463"/>
    <mergeCell ref="B4:E4"/>
    <mergeCell ref="G4:H4"/>
    <mergeCell ref="J4:K4"/>
    <mergeCell ref="M4:N4"/>
    <mergeCell ref="D137:K137"/>
    <mergeCell ref="B176:J176"/>
    <mergeCell ref="K176:M176"/>
    <mergeCell ref="B178:C178"/>
    <mergeCell ref="B233:C233"/>
    <mergeCell ref="P4:R4"/>
    <mergeCell ref="D126:L12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35:L461" xr:uid="{00000000-0002-0000-0200-000000000000}">
      <formula1>IF($C235=8,H235&lt;0,H235&gt;=0)</formula1>
    </dataValidation>
    <dataValidation type="custom" allowBlank="1" showInputMessage="1" showErrorMessage="1" sqref="L182:L184" xr:uid="{00000000-0002-0000-0200-000001000000}">
      <formula1>IF(#REF!=3,#REF!&lt;0,#REF!&gt;=0)</formula1>
    </dataValidation>
    <dataValidation type="custom" allowBlank="1" showInputMessage="1" showErrorMessage="1" sqref="L180:L181" xr:uid="{00000000-0002-0000-0200-000002000000}">
      <formula1>IF($C9=3,L9&lt;0,L9&gt;=0)</formula1>
    </dataValidation>
    <dataValidation type="whole" allowBlank="1" showInputMessage="1" showErrorMessage="1" sqref="C235:C461" xr:uid="{00000000-0002-0000-0200-000003000000}">
      <formula1>6</formula1>
      <formula2>8</formula2>
    </dataValidation>
    <dataValidation type="custom" allowBlank="1" showInputMessage="1" showErrorMessage="1" sqref="H180:K180 H182:K182 H184:K184 H186:K186" xr:uid="{00000000-0002-0000-0200-000004000000}">
      <formula1>IF($C180=3,H180&lt;0,H180&gt;=0)</formula1>
    </dataValidation>
    <dataValidation type="whole" allowBlank="1" showInputMessage="1" showErrorMessage="1" sqref="C122:C125 C180:C231 C9:C120" xr:uid="{00000000-0002-0000-02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M54:O54 H54:K54 O49 I49:M49 I9:I48 O15 H55:O83 J15:M15 J9:O14 H9:H49 H50:O53 J16:O48" xr:uid="{00000000-0002-0000-0200-000006000000}">
      <formula1>IF($C9=3,H9&lt;0,H9&gt;=0)</formula1>
    </dataValidation>
    <dataValidation type="date" allowBlank="1" showInputMessage="1" showErrorMessage="1" sqref="D128:D132 B180:B231 B122:B125 B235:B461 D139:D169 B9:B120" xr:uid="{00000000-0002-0000-0200-000007000000}">
      <formula1>40179</formula1>
      <formula2>TODAY()</formula2>
    </dataValidation>
    <dataValidation type="whole" allowBlank="1" showInputMessage="1" showErrorMessage="1" sqref="F180:F231 F235:F461 G139:G169 F9:F120" xr:uid="{00000000-0002-0000-0200-000008000000}">
      <formula1>20000000000</formula1>
      <formula2>33999999999</formula2>
    </dataValidation>
    <dataValidation type="whole" allowBlank="1" showInputMessage="1" showErrorMessage="1" sqref="E180:E231 E235:E461 F139:F169 E9:E120" xr:uid="{00000000-0002-0000-0200-000009000000}">
      <formula1>1</formula1>
      <formula2>99999999</formula2>
    </dataValidation>
    <dataValidation type="whole" allowBlank="1" showInputMessage="1" showErrorMessage="1" sqref="D180:D231 D235:D461 E139:E169 D9:D120" xr:uid="{00000000-0002-0000-0200-00000A000000}">
      <formula1>1</formula1>
      <formula2>9999</formula2>
    </dataValidation>
    <dataValidation type="custom" allowBlank="1" showInputMessage="1" showErrorMessage="1" sqref="L185:L186" xr:uid="{00000000-0002-0000-0200-00000B000000}">
      <formula1>IF($C121=3,L121&lt;0,L121&gt;=0)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216"/>
  <sheetViews>
    <sheetView showGridLines="0" topLeftCell="G83" zoomScale="70" zoomScaleNormal="70" workbookViewId="0">
      <selection activeCell="G94" sqref="G94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0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EDATE('Ene-25'!N1,2)</f>
        <v>45717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SUM(compras_mes3[[#Totals],[NETO GRAVADO]])+extracto_banco_mes3[[#Totals],[NETO]]+O72</f>
        <v>22713889.969999999</v>
      </c>
      <c r="C4" s="626"/>
      <c r="D4" s="626"/>
      <c r="E4" s="626"/>
      <c r="F4" s="39"/>
      <c r="G4" s="627">
        <f>compras_mes3[[#Totals],[IVA 21 %]]+compras_mes3[[#Totals],[IVA 27%]]+compras_mes3[[#Totals],[IVA 10,5%]]+extracto_banco_mes3[[#Totals],[IVA 21%]]+extracto_banco_mes3[[#Totals],[IVA 10,5%]]</f>
        <v>4741924.9031999987</v>
      </c>
      <c r="H4" s="627"/>
      <c r="I4" s="39"/>
      <c r="J4" s="628">
        <f>venta_a_mes3[[#Totals],[IMPORTE NETO]]+ventas_b_mes3[[#Totals],[IMPORTE NETO]]</f>
        <v>0</v>
      </c>
      <c r="K4" s="628"/>
      <c r="L4" s="39"/>
      <c r="M4" s="628">
        <f>venta_a_mes3[[#Totals],[IVA 21%]]+venta_a_mes3[[#Totals],[IVA 10,5%]]+ventas_b_mes3[[#Totals],[IVA 21%]]+ventas_b_mes3[[#Totals],[IVA 10,5%]]</f>
        <v>0</v>
      </c>
      <c r="N4" s="628"/>
      <c r="O4" s="39"/>
      <c r="P4" s="616">
        <f>G4-M4</f>
        <v>4741924.9031999987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428" customFormat="1" x14ac:dyDescent="0.25">
      <c r="B9" s="441">
        <v>45718</v>
      </c>
      <c r="C9" s="442">
        <v>1</v>
      </c>
      <c r="D9" s="443">
        <v>3051</v>
      </c>
      <c r="E9" s="444">
        <v>885516</v>
      </c>
      <c r="F9" s="445">
        <v>30678814357</v>
      </c>
      <c r="G9" s="446" t="str">
        <f>IFERROR(IF(compras_mes3[[#This Row],[CUIT]]="","-",VLOOKUP(compras_mes3[[#This Row],[CUIT]],Lista_CUIT[#All],2,0)),"CUIT NO CARGADO")</f>
        <v>TELEFONICA MOVILES ARG SA</v>
      </c>
      <c r="H9" s="386">
        <v>65394</v>
      </c>
      <c r="I9" s="386"/>
      <c r="J9" s="387">
        <f>compras_mes3[[#This Row],[NETO GRAVADO]]*27/100</f>
        <v>17656.38</v>
      </c>
      <c r="K9" s="387"/>
      <c r="L9" s="387"/>
      <c r="M9" s="387"/>
      <c r="N9" s="387"/>
      <c r="O9" s="387"/>
      <c r="P9" s="447">
        <f>SUM(compras_mes3[[#This Row],[NETO GRAVADO]:[Otros / No Grav.]])</f>
        <v>83050.38</v>
      </c>
      <c r="Q9" s="448" t="str">
        <f>IFERROR(IF(compras_mes3[[#This Row],[CUIT]]="","-",VLOOKUP(compras_mes3[[#This Row],[CUIT]],Lista_CUIT[#All],3,0)),"CUIT NO CARGADO")</f>
        <v>SERVICIO</v>
      </c>
      <c r="R9" s="448">
        <f>IFERROR(IF(compras_mes3[[#This Row],[CUIT]]="","-",VLOOKUP(compras_mes3[[#This Row],[CUIT]],Lista_CUIT[#All],4,0)),"CUIT NO CARGADO")</f>
        <v>0</v>
      </c>
    </row>
    <row r="10" spans="1:26" s="428" customFormat="1" x14ac:dyDescent="0.25">
      <c r="B10" s="320">
        <v>45720</v>
      </c>
      <c r="C10" s="321">
        <v>1</v>
      </c>
      <c r="D10" s="322">
        <v>1</v>
      </c>
      <c r="E10" s="323">
        <v>753841</v>
      </c>
      <c r="F10" s="324">
        <v>33716307749</v>
      </c>
      <c r="G10" s="325" t="str">
        <f>IFERROR(IF(compras_mes3[[#This Row],[CUIT]]="","-",VLOOKUP(compras_mes3[[#This Row],[CUIT]],Lista_CUIT[#All],2,0)),"CUIT NO CARGADO")</f>
        <v>VERISURE ARGENTINA MONITOREO DE ALARMAS SA</v>
      </c>
      <c r="H10" s="326">
        <v>49498.9</v>
      </c>
      <c r="I10" s="326">
        <f>IF(compras_mes3[[#This Row],[NETO GRAVADO]]="","",compras_mes3[[#This Row],[NETO GRAVADO]]*0.21)</f>
        <v>10394.769</v>
      </c>
      <c r="J10" s="327"/>
      <c r="K10" s="327"/>
      <c r="L10" s="327"/>
      <c r="M10" s="327"/>
      <c r="N10" s="327"/>
      <c r="O10" s="327"/>
      <c r="P10" s="328">
        <f>SUM(compras_mes3[[#This Row],[NETO GRAVADO]:[Otros / No Grav.]])</f>
        <v>59893.669000000002</v>
      </c>
      <c r="Q10" s="329" t="str">
        <f>IFERROR(IF(compras_mes3[[#This Row],[CUIT]]="","-",VLOOKUP(compras_mes3[[#This Row],[CUIT]],Lista_CUIT[#All],3,0)),"CUIT NO CARGADO")</f>
        <v>Serv. Seguridad</v>
      </c>
      <c r="R10" s="329">
        <f>IFERROR(IF(compras_mes3[[#This Row],[CUIT]]="","-",VLOOKUP(compras_mes3[[#This Row],[CUIT]],Lista_CUIT[#All],4,0)),"CUIT NO CARGADO")</f>
        <v>0</v>
      </c>
    </row>
    <row r="11" spans="1:26" s="428" customFormat="1" x14ac:dyDescent="0.25">
      <c r="B11" s="441">
        <v>45726</v>
      </c>
      <c r="C11" s="442">
        <v>1</v>
      </c>
      <c r="D11" s="443">
        <v>2002</v>
      </c>
      <c r="E11" s="444">
        <v>79578</v>
      </c>
      <c r="F11" s="445">
        <v>30716425165</v>
      </c>
      <c r="G11" s="446" t="str">
        <f>IFERROR(IF(compras_mes3[[#This Row],[CUIT]]="","-",VLOOKUP(compras_mes3[[#This Row],[CUIT]],Lista_CUIT[#All],2,0)),"CUIT NO CARGADO")</f>
        <v>MERCADO TOTAL SAS</v>
      </c>
      <c r="H11" s="386">
        <v>4796.38</v>
      </c>
      <c r="I11" s="386"/>
      <c r="J11" s="387"/>
      <c r="K11" s="387">
        <f>compras_mes3[[#This Row],[NETO GRAVADO]]*10.5/100</f>
        <v>503.61989999999997</v>
      </c>
      <c r="L11" s="387"/>
      <c r="M11" s="387"/>
      <c r="N11" s="387"/>
      <c r="O11" s="387"/>
      <c r="P11" s="447">
        <f>SUM(compras_mes3[[#This Row],[NETO GRAVADO]:[Otros / No Grav.]])</f>
        <v>5299.9998999999998</v>
      </c>
      <c r="Q11" s="448" t="str">
        <f>IFERROR(IF(compras_mes3[[#This Row],[CUIT]]="","-",VLOOKUP(compras_mes3[[#This Row],[CUIT]],Lista_CUIT[#All],3,0)),"CUIT NO CARGADO")</f>
        <v>gastos varios</v>
      </c>
      <c r="R11" s="448">
        <f>IFERROR(IF(compras_mes3[[#This Row],[CUIT]]="","-",VLOOKUP(compras_mes3[[#This Row],[CUIT]],Lista_CUIT[#All],4,0)),"CUIT NO CARGADO")</f>
        <v>0</v>
      </c>
    </row>
    <row r="12" spans="1:26" s="428" customFormat="1" x14ac:dyDescent="0.25">
      <c r="B12" s="441">
        <v>45727</v>
      </c>
      <c r="C12" s="442">
        <v>1</v>
      </c>
      <c r="D12" s="443">
        <v>7</v>
      </c>
      <c r="E12" s="444">
        <v>268472</v>
      </c>
      <c r="F12" s="445">
        <v>30708395443</v>
      </c>
      <c r="G12" s="446" t="str">
        <f>IFERROR(IF(compras_mes3[[#This Row],[CUIT]]="","-",VLOOKUP(compras_mes3[[#This Row],[CUIT]],Lista_CUIT[#All],2,0)),"CUIT NO CARGADO")</f>
        <v>SUPERFOTO S R L</v>
      </c>
      <c r="H12" s="386">
        <v>132230.57999999999</v>
      </c>
      <c r="I12" s="386">
        <f>IF(compras_mes3[[#This Row],[NETO GRAVADO]]="","",compras_mes3[[#This Row],[NETO GRAVADO]]*0.21)</f>
        <v>27768.421799999996</v>
      </c>
      <c r="J12" s="387"/>
      <c r="K12" s="387"/>
      <c r="L12" s="387"/>
      <c r="M12" s="387"/>
      <c r="N12" s="387"/>
      <c r="O12" s="387"/>
      <c r="P12" s="447">
        <f>SUM(compras_mes3[[#This Row],[NETO GRAVADO]:[Otros / No Grav.]])</f>
        <v>159999.00179999997</v>
      </c>
      <c r="Q12" s="448" t="str">
        <f>IFERROR(IF(compras_mes3[[#This Row],[CUIT]]="","-",VLOOKUP(compras_mes3[[#This Row],[CUIT]],Lista_CUIT[#All],3,0)),"CUIT NO CARGADO")</f>
        <v>Gastos Varios</v>
      </c>
      <c r="R12" s="448">
        <f>IFERROR(IF(compras_mes3[[#This Row],[CUIT]]="","-",VLOOKUP(compras_mes3[[#This Row],[CUIT]],Lista_CUIT[#All],4,0)),"CUIT NO CARGADO")</f>
        <v>0</v>
      </c>
    </row>
    <row r="13" spans="1:26" s="428" customFormat="1" x14ac:dyDescent="0.25">
      <c r="B13" s="441">
        <v>45727</v>
      </c>
      <c r="C13" s="442">
        <v>1</v>
      </c>
      <c r="D13" s="443">
        <v>120</v>
      </c>
      <c r="E13" s="444">
        <v>5534</v>
      </c>
      <c r="F13" s="445">
        <v>30587197215</v>
      </c>
      <c r="G13" s="446" t="str">
        <f>IFERROR(IF(compras_mes3[[#This Row],[CUIT]]="","-",VLOOKUP(compras_mes3[[#This Row],[CUIT]],Lista_CUIT[#All],2,0)),"CUIT NO CARGADO")</f>
        <v>PANATEL SOCIEDAD ANONIMA</v>
      </c>
      <c r="H13" s="386">
        <v>95041.32</v>
      </c>
      <c r="I13" s="386">
        <f>IF(compras_mes3[[#This Row],[NETO GRAVADO]]="","",compras_mes3[[#This Row],[NETO GRAVADO]]*0.21)</f>
        <v>19958.677200000002</v>
      </c>
      <c r="J13" s="387"/>
      <c r="K13" s="387"/>
      <c r="L13" s="387"/>
      <c r="M13" s="387"/>
      <c r="N13" s="387"/>
      <c r="O13" s="387"/>
      <c r="P13" s="447">
        <f>SUM(compras_mes3[[#This Row],[NETO GRAVADO]:[Otros / No Grav.]])</f>
        <v>114999.99720000001</v>
      </c>
      <c r="Q13" s="448" t="str">
        <f>IFERROR(IF(compras_mes3[[#This Row],[CUIT]]="","-",VLOOKUP(compras_mes3[[#This Row],[CUIT]],Lista_CUIT[#All],3,0)),"CUIT NO CARGADO")</f>
        <v>SERVICIOS DE ALOJAMIENTO EN HOTELES</v>
      </c>
      <c r="R13" s="448">
        <f>IFERROR(IF(compras_mes3[[#This Row],[CUIT]]="","-",VLOOKUP(compras_mes3[[#This Row],[CUIT]],Lista_CUIT[#All],4,0)),"CUIT NO CARGADO")</f>
        <v>0</v>
      </c>
    </row>
    <row r="14" spans="1:26" s="428" customFormat="1" x14ac:dyDescent="0.25">
      <c r="B14" s="441">
        <v>45730</v>
      </c>
      <c r="C14" s="442">
        <v>1</v>
      </c>
      <c r="D14" s="443">
        <v>7</v>
      </c>
      <c r="E14" s="444">
        <v>4517</v>
      </c>
      <c r="F14" s="445">
        <v>20307464269</v>
      </c>
      <c r="G14" s="446" t="str">
        <f>IFERROR(IF(compras_mes3[[#This Row],[CUIT]]="","-",VLOOKUP(compras_mes3[[#This Row],[CUIT]],Lista_CUIT[#All],2,0)),"CUIT NO CARGADO")</f>
        <v>ABRAMOWICZ DEMIAN MARCELO</v>
      </c>
      <c r="H14" s="386">
        <v>8146.58</v>
      </c>
      <c r="I14" s="386">
        <f>IF(compras_mes3[[#This Row],[NETO GRAVADO]]="","",compras_mes3[[#This Row],[NETO GRAVADO]]*0.21)</f>
        <v>1710.7818</v>
      </c>
      <c r="J14" s="387"/>
      <c r="K14" s="387"/>
      <c r="L14" s="387"/>
      <c r="M14" s="387"/>
      <c r="N14" s="387"/>
      <c r="O14" s="387"/>
      <c r="P14" s="447">
        <f>SUM(compras_mes3[[#This Row],[NETO GRAVADO]:[Otros / No Grav.]])</f>
        <v>9857.3618000000006</v>
      </c>
      <c r="Q14" s="448" t="str">
        <f>IFERROR(IF(compras_mes3[[#This Row],[CUIT]]="","-",VLOOKUP(compras_mes3[[#This Row],[CUIT]],Lista_CUIT[#All],3,0)),"CUIT NO CARGADO")</f>
        <v>Gastos Varios</v>
      </c>
      <c r="R14" s="448">
        <f>IFERROR(IF(compras_mes3[[#This Row],[CUIT]]="","-",VLOOKUP(compras_mes3[[#This Row],[CUIT]],Lista_CUIT[#All],4,0)),"CUIT NO CARGADO")</f>
        <v>0</v>
      </c>
    </row>
    <row r="15" spans="1:26" s="428" customFormat="1" x14ac:dyDescent="0.25">
      <c r="B15" s="441">
        <v>45730</v>
      </c>
      <c r="C15" s="442">
        <v>1</v>
      </c>
      <c r="D15" s="443">
        <v>4</v>
      </c>
      <c r="E15" s="444">
        <v>13184</v>
      </c>
      <c r="F15" s="445">
        <v>33711386179</v>
      </c>
      <c r="G15" s="446" t="str">
        <f>IFERROR(IF(compras_mes3[[#This Row],[CUIT]]="","-",VLOOKUP(compras_mes3[[#This Row],[CUIT]],Lista_CUIT[#All],2,0)),"CUIT NO CARGADO")</f>
        <v>SHOPNOW S.R.L.</v>
      </c>
      <c r="H15" s="386">
        <v>192187.6</v>
      </c>
      <c r="I15" s="386">
        <f>IF(compras_mes3[[#This Row],[NETO GRAVADO]]="","",compras_mes3[[#This Row],[NETO GRAVADO]]*0.21)</f>
        <v>40359.396000000001</v>
      </c>
      <c r="J15" s="387"/>
      <c r="K15" s="387"/>
      <c r="L15" s="387"/>
      <c r="M15" s="387"/>
      <c r="N15" s="387"/>
      <c r="O15" s="387"/>
      <c r="P15" s="447">
        <f>SUM(compras_mes3[[#This Row],[NETO GRAVADO]:[Otros / No Grav.]])</f>
        <v>232546.99600000001</v>
      </c>
      <c r="Q15" s="448" t="str">
        <f>IFERROR(IF(compras_mes3[[#This Row],[CUIT]]="","-",VLOOKUP(compras_mes3[[#This Row],[CUIT]],Lista_CUIT[#All],3,0)),"CUIT NO CARGADO")</f>
        <v>Insumos</v>
      </c>
      <c r="R15" s="448">
        <f>IFERROR(IF(compras_mes3[[#This Row],[CUIT]]="","-",VLOOKUP(compras_mes3[[#This Row],[CUIT]],Lista_CUIT[#All],4,0)),"CUIT NO CARGADO")</f>
        <v>0</v>
      </c>
    </row>
    <row r="16" spans="1:26" s="428" customFormat="1" x14ac:dyDescent="0.25">
      <c r="B16" s="320">
        <v>45730</v>
      </c>
      <c r="C16" s="321">
        <v>1</v>
      </c>
      <c r="D16" s="322">
        <v>1</v>
      </c>
      <c r="E16" s="323">
        <v>6677</v>
      </c>
      <c r="F16" s="324">
        <v>30715141201</v>
      </c>
      <c r="G16" s="325" t="str">
        <f>IFERROR(IF(compras_mes3[[#This Row],[CUIT]]="","-",VLOOKUP(compras_mes3[[#This Row],[CUIT]],Lista_CUIT[#All],2,0)),"CUIT NO CARGADO")</f>
        <v>REHAB SRL</v>
      </c>
      <c r="H16" s="326">
        <v>529546.88</v>
      </c>
      <c r="I16" s="326">
        <f>IF(compras_mes3[[#This Row],[NETO GRAVADO]]="","",compras_mes3[[#This Row],[NETO GRAVADO]]*0.21)</f>
        <v>111204.84479999999</v>
      </c>
      <c r="J16" s="327"/>
      <c r="K16" s="327"/>
      <c r="L16" s="327"/>
      <c r="M16" s="327"/>
      <c r="N16" s="327"/>
      <c r="O16" s="327"/>
      <c r="P16" s="328">
        <f>SUM(compras_mes3[[#This Row],[NETO GRAVADO]:[Otros / No Grav.]])</f>
        <v>640751.72479999997</v>
      </c>
      <c r="Q16" s="329" t="str">
        <f>IFERROR(IF(compras_mes3[[#This Row],[CUIT]]="","-",VLOOKUP(compras_mes3[[#This Row],[CUIT]],Lista_CUIT[#All],3,0)),"CUIT NO CARGADO")</f>
        <v>INSUMO</v>
      </c>
      <c r="R16" s="329">
        <f>IFERROR(IF(compras_mes3[[#This Row],[CUIT]]="","-",VLOOKUP(compras_mes3[[#This Row],[CUIT]],Lista_CUIT[#All],4,0)),"CUIT NO CARGADO")</f>
        <v>0</v>
      </c>
    </row>
    <row r="17" spans="2:18" s="428" customFormat="1" x14ac:dyDescent="0.25">
      <c r="B17" s="320">
        <v>45733</v>
      </c>
      <c r="C17" s="321">
        <v>1</v>
      </c>
      <c r="D17" s="322">
        <v>7</v>
      </c>
      <c r="E17" s="323">
        <v>3750</v>
      </c>
      <c r="F17" s="324">
        <v>20284183534</v>
      </c>
      <c r="G17" s="325" t="str">
        <f>IFERROR(IF(compras_mes3[[#This Row],[CUIT]]="","-",VLOOKUP(compras_mes3[[#This Row],[CUIT]],Lista_CUIT[#All],2,0)),"CUIT NO CARGADO")</f>
        <v>FURLANETTO MARTIN</v>
      </c>
      <c r="H17" s="326">
        <v>7933.86</v>
      </c>
      <c r="I17" s="326">
        <f>IF(compras_mes3[[#This Row],[NETO GRAVADO]]="","",compras_mes3[[#This Row],[NETO GRAVADO]]*0.21)</f>
        <v>1666.1106</v>
      </c>
      <c r="J17" s="327"/>
      <c r="K17" s="327"/>
      <c r="L17" s="327"/>
      <c r="M17" s="327"/>
      <c r="N17" s="327"/>
      <c r="O17" s="327"/>
      <c r="P17" s="328">
        <f>SUM(compras_mes3[[#This Row],[NETO GRAVADO]:[Otros / No Grav.]])</f>
        <v>9599.9706000000006</v>
      </c>
      <c r="Q17" s="329" t="str">
        <f>IFERROR(IF(compras_mes3[[#This Row],[CUIT]]="","-",VLOOKUP(compras_mes3[[#This Row],[CUIT]],Lista_CUIT[#All],3,0)),"CUIT NO CARGADO")</f>
        <v>gastos varios</v>
      </c>
      <c r="R17" s="329">
        <f>IFERROR(IF(compras_mes3[[#This Row],[CUIT]]="","-",VLOOKUP(compras_mes3[[#This Row],[CUIT]],Lista_CUIT[#All],4,0)),"CUIT NO CARGADO")</f>
        <v>0</v>
      </c>
    </row>
    <row r="18" spans="2:18" s="428" customFormat="1" x14ac:dyDescent="0.25">
      <c r="B18" s="441">
        <v>45734</v>
      </c>
      <c r="C18" s="442">
        <v>1</v>
      </c>
      <c r="D18" s="443">
        <v>13</v>
      </c>
      <c r="E18" s="444">
        <v>7271</v>
      </c>
      <c r="F18" s="445">
        <v>27256759646</v>
      </c>
      <c r="G18" s="446" t="str">
        <f>IFERROR(IF(compras_mes3[[#This Row],[CUIT]]="","-",VLOOKUP(compras_mes3[[#This Row],[CUIT]],Lista_CUIT[#All],2,0)),"CUIT NO CARGADO")</f>
        <v>ORTOPEDIA Y CIRUGIA MODELO</v>
      </c>
      <c r="H18" s="386">
        <v>43899.17</v>
      </c>
      <c r="I18" s="386">
        <f>IF(compras_mes3[[#This Row],[NETO GRAVADO]]="","",compras_mes3[[#This Row],[NETO GRAVADO]]*0.21)</f>
        <v>9218.8256999999994</v>
      </c>
      <c r="J18" s="387"/>
      <c r="K18" s="387"/>
      <c r="L18" s="387"/>
      <c r="M18" s="387"/>
      <c r="N18" s="387"/>
      <c r="O18" s="387"/>
      <c r="P18" s="447">
        <f>SUM(compras_mes3[[#This Row],[NETO GRAVADO]:[Otros / No Grav.]])</f>
        <v>53117.995699999999</v>
      </c>
      <c r="Q18" s="448" t="str">
        <f>IFERROR(IF(compras_mes3[[#This Row],[CUIT]]="","-",VLOOKUP(compras_mes3[[#This Row],[CUIT]],Lista_CUIT[#All],3,0)),"CUIT NO CARGADO")</f>
        <v>INSUMO</v>
      </c>
      <c r="R18" s="448">
        <f>IFERROR(IF(compras_mes3[[#This Row],[CUIT]]="","-",VLOOKUP(compras_mes3[[#This Row],[CUIT]],Lista_CUIT[#All],4,0)),"CUIT NO CARGADO")</f>
        <v>0</v>
      </c>
    </row>
    <row r="19" spans="2:18" s="428" customFormat="1" x14ac:dyDescent="0.25">
      <c r="B19" s="441">
        <v>45735</v>
      </c>
      <c r="C19" s="442">
        <v>1</v>
      </c>
      <c r="D19" s="443">
        <v>32</v>
      </c>
      <c r="E19" s="444">
        <v>14788</v>
      </c>
      <c r="F19" s="445">
        <v>30707304886</v>
      </c>
      <c r="G19" s="446" t="str">
        <f>IFERROR(IF(compras_mes3[[#This Row],[CUIT]]="","-",VLOOKUP(compras_mes3[[#This Row],[CUIT]],Lista_CUIT[#All],2,0)),"CUIT NO CARGADO")</f>
        <v>ARMORAUT SA</v>
      </c>
      <c r="H19" s="386">
        <v>284107.44</v>
      </c>
      <c r="I19" s="386">
        <f>IF(compras_mes3[[#This Row],[NETO GRAVADO]]="","",compras_mes3[[#This Row],[NETO GRAVADO]]*0.21)</f>
        <v>59662.562399999995</v>
      </c>
      <c r="J19" s="387"/>
      <c r="K19" s="387"/>
      <c r="L19" s="387"/>
      <c r="M19" s="387"/>
      <c r="N19" s="387"/>
      <c r="O19" s="387"/>
      <c r="P19" s="447">
        <f>SUM(compras_mes3[[#This Row],[NETO GRAVADO]:[Otros / No Grav.]])</f>
        <v>343770.0024</v>
      </c>
      <c r="Q19" s="448" t="str">
        <f>IFERROR(IF(compras_mes3[[#This Row],[CUIT]]="","-",VLOOKUP(compras_mes3[[#This Row],[CUIT]],Lista_CUIT[#All],3,0)),"CUIT NO CARGADO")</f>
        <v>Mantenimiento</v>
      </c>
      <c r="R19" s="448">
        <f>IFERROR(IF(compras_mes3[[#This Row],[CUIT]]="","-",VLOOKUP(compras_mes3[[#This Row],[CUIT]],Lista_CUIT[#All],4,0)),"CUIT NO CARGADO")</f>
        <v>0</v>
      </c>
    </row>
    <row r="20" spans="2:18" s="428" customFormat="1" x14ac:dyDescent="0.25">
      <c r="B20" s="441">
        <v>45737</v>
      </c>
      <c r="C20" s="442">
        <v>1</v>
      </c>
      <c r="D20" s="443">
        <v>2</v>
      </c>
      <c r="E20" s="444">
        <v>56906</v>
      </c>
      <c r="F20" s="445">
        <v>30717110052</v>
      </c>
      <c r="G20" s="446" t="str">
        <f>IFERROR(IF(compras_mes3[[#This Row],[CUIT]]="","-",VLOOKUP(compras_mes3[[#This Row],[CUIT]],Lista_CUIT[#All],2,0)),"CUIT NO CARGADO")</f>
        <v>TAP SERVICES S.A.</v>
      </c>
      <c r="H20" s="386">
        <v>4421.49</v>
      </c>
      <c r="I20" s="386">
        <f>IF(compras_mes3[[#This Row],[NETO GRAVADO]]="","",compras_mes3[[#This Row],[NETO GRAVADO]]*0.21)</f>
        <v>928.51289999999995</v>
      </c>
      <c r="J20" s="387"/>
      <c r="K20" s="387"/>
      <c r="L20" s="387"/>
      <c r="M20" s="387"/>
      <c r="N20" s="387"/>
      <c r="O20" s="387"/>
      <c r="P20" s="447">
        <f>SUM(compras_mes3[[#This Row],[NETO GRAVADO]:[Otros / No Grav.]])</f>
        <v>5350.0028999999995</v>
      </c>
      <c r="Q20" s="448" t="str">
        <f>IFERROR(IF(compras_mes3[[#This Row],[CUIT]]="","-",VLOOKUP(compras_mes3[[#This Row],[CUIT]],Lista_CUIT[#All],3,0)),"CUIT NO CARGADO")</f>
        <v>Bienes</v>
      </c>
      <c r="R20" s="448">
        <f>IFERROR(IF(compras_mes3[[#This Row],[CUIT]]="","-",VLOOKUP(compras_mes3[[#This Row],[CUIT]],Lista_CUIT[#All],4,0)),"CUIT NO CARGADO")</f>
        <v>0</v>
      </c>
    </row>
    <row r="21" spans="2:18" s="428" customFormat="1" x14ac:dyDescent="0.25">
      <c r="B21" s="320">
        <v>45737</v>
      </c>
      <c r="C21" s="321">
        <v>1</v>
      </c>
      <c r="D21" s="322">
        <v>700</v>
      </c>
      <c r="E21" s="323">
        <v>2340949</v>
      </c>
      <c r="F21" s="324">
        <v>30715804812</v>
      </c>
      <c r="G21" s="325" t="str">
        <f>IFERROR(IF(compras_mes3[[#This Row],[CUIT]]="","-",VLOOKUP(compras_mes3[[#This Row],[CUIT]],Lista_CUIT[#All],2,0)),"CUIT NO CARGADO")</f>
        <v>CORREDORES VIALES SOCIEDAD ANONIMA</v>
      </c>
      <c r="H21" s="326">
        <v>831.98</v>
      </c>
      <c r="I21" s="326">
        <f>IF(compras_mes3[[#This Row],[NETO GRAVADO]]="","",compras_mes3[[#This Row],[NETO GRAVADO]]*0.21)</f>
        <v>174.7158</v>
      </c>
      <c r="J21" s="327"/>
      <c r="K21" s="327"/>
      <c r="L21" s="327"/>
      <c r="M21" s="327"/>
      <c r="N21" s="327"/>
      <c r="O21" s="327"/>
      <c r="P21" s="328">
        <f>SUM(compras_mes3[[#This Row],[NETO GRAVADO]:[Otros / No Grav.]])</f>
        <v>1006.6958</v>
      </c>
      <c r="Q21" s="329" t="str">
        <f>IFERROR(IF(compras_mes3[[#This Row],[CUIT]]="","-",VLOOKUP(compras_mes3[[#This Row],[CUIT]],Lista_CUIT[#All],3,0)),"CUIT NO CARGADO")</f>
        <v>Autopista</v>
      </c>
      <c r="R21" s="329">
        <f>IFERROR(IF(compras_mes3[[#This Row],[CUIT]]="","-",VLOOKUP(compras_mes3[[#This Row],[CUIT]],Lista_CUIT[#All],4,0)),"CUIT NO CARGADO")</f>
        <v>0</v>
      </c>
    </row>
    <row r="22" spans="2:18" s="428" customFormat="1" x14ac:dyDescent="0.25">
      <c r="B22" s="342">
        <v>45743</v>
      </c>
      <c r="C22" s="343">
        <v>1</v>
      </c>
      <c r="D22" s="344">
        <v>6</v>
      </c>
      <c r="E22" s="345">
        <v>1851</v>
      </c>
      <c r="F22" s="346">
        <v>30716815710</v>
      </c>
      <c r="G22" s="351" t="str">
        <f>IFERROR(IF(compras_mes3[[#This Row],[CUIT]]="","-",VLOOKUP(compras_mes3[[#This Row],[CUIT]],Lista_CUIT[#All],2,0)),"CUIT NO CARGADO")</f>
        <v>PAPELERA GEOPEL SRL</v>
      </c>
      <c r="H22" s="347">
        <v>17000</v>
      </c>
      <c r="I22" s="347">
        <f>IF(compras_mes3[[#This Row],[NETO GRAVADO]]="","",compras_mes3[[#This Row],[NETO GRAVADO]]*0.21)</f>
        <v>3570</v>
      </c>
      <c r="J22" s="348"/>
      <c r="K22" s="348"/>
      <c r="L22" s="348"/>
      <c r="M22" s="348"/>
      <c r="N22" s="348"/>
      <c r="O22" s="348"/>
      <c r="P22" s="349">
        <f>SUM(compras_mes3[[#This Row],[NETO GRAVADO]:[Otros / No Grav.]])</f>
        <v>20570</v>
      </c>
      <c r="Q22" s="352" t="str">
        <f>IFERROR(IF(compras_mes3[[#This Row],[CUIT]]="","-",VLOOKUP(compras_mes3[[#This Row],[CUIT]],Lista_CUIT[#All],3,0)),"CUIT NO CARGADO")</f>
        <v>librería</v>
      </c>
      <c r="R22" s="352">
        <f>IFERROR(IF(compras_mes3[[#This Row],[CUIT]]="","-",VLOOKUP(compras_mes3[[#This Row],[CUIT]],Lista_CUIT[#All],4,0)),"CUIT NO CARGADO")</f>
        <v>0</v>
      </c>
    </row>
    <row r="23" spans="2:18" s="428" customFormat="1" x14ac:dyDescent="0.25">
      <c r="B23" s="342">
        <v>45742</v>
      </c>
      <c r="C23" s="343">
        <v>1</v>
      </c>
      <c r="D23" s="344">
        <v>6</v>
      </c>
      <c r="E23" s="345">
        <v>11449</v>
      </c>
      <c r="F23" s="346">
        <v>30707988378</v>
      </c>
      <c r="G23" s="351" t="str">
        <f>IFERROR(IF(compras_mes3[[#This Row],[CUIT]]="","-",VLOOKUP(compras_mes3[[#This Row],[CUIT]],Lista_CUIT[#All],2,0)),"CUIT NO CARGADO")</f>
        <v>CARMAS COMPOSITES S.R.L.</v>
      </c>
      <c r="H23" s="347">
        <f>224.7*1091.5</f>
        <v>245260.05</v>
      </c>
      <c r="I23" s="347">
        <f>IF(compras_mes3[[#This Row],[NETO GRAVADO]]="","",compras_mes3[[#This Row],[NETO GRAVADO]]*0.21)</f>
        <v>51504.610499999995</v>
      </c>
      <c r="J23" s="348"/>
      <c r="K23" s="348"/>
      <c r="L23" s="348"/>
      <c r="M23" s="348"/>
      <c r="N23" s="348"/>
      <c r="O23" s="348"/>
      <c r="P23" s="349">
        <f>SUM(compras_mes3[[#This Row],[NETO GRAVADO]:[Otros / No Grav.]])</f>
        <v>296764.6605</v>
      </c>
      <c r="Q23" s="352" t="str">
        <f>IFERROR(IF(compras_mes3[[#This Row],[CUIT]]="","-",VLOOKUP(compras_mes3[[#This Row],[CUIT]],Lista_CUIT[#All],3,0)),"CUIT NO CARGADO")</f>
        <v>Mantenimiento</v>
      </c>
      <c r="R23" s="352">
        <f>IFERROR(IF(compras_mes3[[#This Row],[CUIT]]="","-",VLOOKUP(compras_mes3[[#This Row],[CUIT]],Lista_CUIT[#All],4,0)),"CUIT NO CARGADO")</f>
        <v>0</v>
      </c>
    </row>
    <row r="24" spans="2:18" s="428" customFormat="1" x14ac:dyDescent="0.25">
      <c r="B24" s="342">
        <v>45714</v>
      </c>
      <c r="C24" s="343">
        <v>1</v>
      </c>
      <c r="D24" s="344">
        <v>6</v>
      </c>
      <c r="E24" s="345">
        <v>21293</v>
      </c>
      <c r="F24" s="346">
        <v>33715594949</v>
      </c>
      <c r="G24" s="351" t="str">
        <f>IFERROR(IF(compras_mes3[[#This Row],[CUIT]]="","-",VLOOKUP(compras_mes3[[#This Row],[CUIT]],Lista_CUIT[#All],2,0)),"CUIT NO CARGADO")</f>
        <v>SOMOS ENERGIA SA</v>
      </c>
      <c r="H24" s="347">
        <v>63156.77</v>
      </c>
      <c r="I24" s="347">
        <f>IF(compras_mes3[[#This Row],[NETO GRAVADO]]="","",compras_mes3[[#This Row],[NETO GRAVADO]]*0.21)</f>
        <v>13262.921699999999</v>
      </c>
      <c r="J24" s="348"/>
      <c r="K24" s="348"/>
      <c r="L24" s="348"/>
      <c r="M24" s="348"/>
      <c r="N24" s="348"/>
      <c r="O24" s="348">
        <v>8580.35</v>
      </c>
      <c r="P24" s="349">
        <f>SUM(compras_mes3[[#This Row],[NETO GRAVADO]:[Otros / No Grav.]])</f>
        <v>85000.041700000002</v>
      </c>
      <c r="Q24" s="352" t="str">
        <f>IFERROR(IF(compras_mes3[[#This Row],[CUIT]]="","-",VLOOKUP(compras_mes3[[#This Row],[CUIT]],Lista_CUIT[#All],3,0)),"CUIT NO CARGADO")</f>
        <v>COMBUSTIBLE</v>
      </c>
      <c r="R24" s="352">
        <f>IFERROR(IF(compras_mes3[[#This Row],[CUIT]]="","-",VLOOKUP(compras_mes3[[#This Row],[CUIT]],Lista_CUIT[#All],4,0)),"CUIT NO CARGADO")</f>
        <v>0</v>
      </c>
    </row>
    <row r="25" spans="2:18" s="428" customFormat="1" x14ac:dyDescent="0.25">
      <c r="B25" s="342">
        <v>45727</v>
      </c>
      <c r="C25" s="343">
        <v>1</v>
      </c>
      <c r="D25" s="344">
        <v>8</v>
      </c>
      <c r="E25" s="345">
        <v>14425</v>
      </c>
      <c r="F25" s="346">
        <v>33715594949</v>
      </c>
      <c r="G25" s="351" t="str">
        <f>IFERROR(IF(compras_mes3[[#This Row],[CUIT]]="","-",VLOOKUP(compras_mes3[[#This Row],[CUIT]],Lista_CUIT[#All],2,0)),"CUIT NO CARGADO")</f>
        <v>SOMOS ENERGIA SA</v>
      </c>
      <c r="H25" s="347">
        <v>20948.88</v>
      </c>
      <c r="I25" s="347">
        <f>IF(compras_mes3[[#This Row],[NETO GRAVADO]]="","",compras_mes3[[#This Row],[NETO GRAVADO]]*0.21)</f>
        <v>4399.2647999999999</v>
      </c>
      <c r="J25" s="348"/>
      <c r="K25" s="348"/>
      <c r="L25" s="348"/>
      <c r="M25" s="348"/>
      <c r="N25" s="348"/>
      <c r="O25" s="348">
        <v>5651.9</v>
      </c>
      <c r="P25" s="349">
        <f>SUM(compras_mes3[[#This Row],[NETO GRAVADO]:[Otros / No Grav.]])</f>
        <v>31000.044800000003</v>
      </c>
      <c r="Q25" s="352" t="str">
        <f>IFERROR(IF(compras_mes3[[#This Row],[CUIT]]="","-",VLOOKUP(compras_mes3[[#This Row],[CUIT]],Lista_CUIT[#All],3,0)),"CUIT NO CARGADO")</f>
        <v>COMBUSTIBLE</v>
      </c>
      <c r="R25" s="352">
        <f>IFERROR(IF(compras_mes3[[#This Row],[CUIT]]="","-",VLOOKUP(compras_mes3[[#This Row],[CUIT]],Lista_CUIT[#All],4,0)),"CUIT NO CARGADO")</f>
        <v>0</v>
      </c>
    </row>
    <row r="26" spans="2:18" s="428" customFormat="1" x14ac:dyDescent="0.25">
      <c r="B26" s="342">
        <v>45743</v>
      </c>
      <c r="C26" s="343">
        <v>1</v>
      </c>
      <c r="D26" s="344">
        <v>8</v>
      </c>
      <c r="E26" s="345">
        <v>14585</v>
      </c>
      <c r="F26" s="346">
        <v>33715594949</v>
      </c>
      <c r="G26" s="351" t="str">
        <f>IFERROR(IF(compras_mes3[[#This Row],[CUIT]]="","-",VLOOKUP(compras_mes3[[#This Row],[CUIT]],Lista_CUIT[#All],2,0)),"CUIT NO CARGADO")</f>
        <v>SOMOS ENERGIA SA</v>
      </c>
      <c r="H26" s="347">
        <v>37115.449999999997</v>
      </c>
      <c r="I26" s="347">
        <f>IF(compras_mes3[[#This Row],[NETO GRAVADO]]="","",compras_mes3[[#This Row],[NETO GRAVADO]]*0.21)</f>
        <v>7794.2444999999989</v>
      </c>
      <c r="J26" s="348"/>
      <c r="K26" s="348"/>
      <c r="L26" s="348"/>
      <c r="M26" s="348"/>
      <c r="N26" s="348"/>
      <c r="O26" s="348">
        <v>5091.34</v>
      </c>
      <c r="P26" s="349">
        <f>SUM(compras_mes3[[#This Row],[NETO GRAVADO]:[Otros / No Grav.]])</f>
        <v>50001.034499999994</v>
      </c>
      <c r="Q26" s="352" t="str">
        <f>IFERROR(IF(compras_mes3[[#This Row],[CUIT]]="","-",VLOOKUP(compras_mes3[[#This Row],[CUIT]],Lista_CUIT[#All],3,0)),"CUIT NO CARGADO")</f>
        <v>COMBUSTIBLE</v>
      </c>
      <c r="R26" s="352">
        <f>IFERROR(IF(compras_mes3[[#This Row],[CUIT]]="","-",VLOOKUP(compras_mes3[[#This Row],[CUIT]],Lista_CUIT[#All],4,0)),"CUIT NO CARGADO")</f>
        <v>0</v>
      </c>
    </row>
    <row r="27" spans="2:18" s="428" customFormat="1" x14ac:dyDescent="0.25">
      <c r="B27" s="342">
        <v>45735</v>
      </c>
      <c r="C27" s="343">
        <v>1</v>
      </c>
      <c r="D27" s="344">
        <v>10</v>
      </c>
      <c r="E27" s="345">
        <v>11795</v>
      </c>
      <c r="F27" s="346">
        <v>30709208221</v>
      </c>
      <c r="G27" s="351" t="str">
        <f>IFERROR(IF(compras_mes3[[#This Row],[CUIT]]="","-",VLOOKUP(compras_mes3[[#This Row],[CUIT]],Lista_CUIT[#All],2,0)),"CUIT NO CARGADO")</f>
        <v>GNC MONTE GRANDE SRL</v>
      </c>
      <c r="H27" s="347">
        <v>51867.12</v>
      </c>
      <c r="I27" s="347">
        <f>IF(compras_mes3[[#This Row],[NETO GRAVADO]]="","",compras_mes3[[#This Row],[NETO GRAVADO]]*0.21)</f>
        <v>10892.0952</v>
      </c>
      <c r="J27" s="348"/>
      <c r="K27" s="348"/>
      <c r="L27" s="348"/>
      <c r="M27" s="348"/>
      <c r="N27" s="348"/>
      <c r="O27" s="348">
        <v>7240.83</v>
      </c>
      <c r="P27" s="349">
        <f>SUM(compras_mes3[[#This Row],[NETO GRAVADO]:[Otros / No Grav.]])</f>
        <v>70000.045200000008</v>
      </c>
      <c r="Q27" s="352" t="str">
        <f>IFERROR(IF(compras_mes3[[#This Row],[CUIT]]="","-",VLOOKUP(compras_mes3[[#This Row],[CUIT]],Lista_CUIT[#All],3,0)),"CUIT NO CARGADO")</f>
        <v>COMBUSTIBLE</v>
      </c>
      <c r="R27" s="352">
        <f>IFERROR(IF(compras_mes3[[#This Row],[CUIT]]="","-",VLOOKUP(compras_mes3[[#This Row],[CUIT]],Lista_CUIT[#All],4,0)),"CUIT NO CARGADO")</f>
        <v>0</v>
      </c>
    </row>
    <row r="28" spans="2:18" x14ac:dyDescent="0.25">
      <c r="B28" s="342">
        <v>45730</v>
      </c>
      <c r="C28" s="343">
        <v>1</v>
      </c>
      <c r="D28" s="344">
        <v>7</v>
      </c>
      <c r="E28" s="345">
        <v>5105</v>
      </c>
      <c r="F28" s="346">
        <v>30709904872</v>
      </c>
      <c r="G28" s="351" t="str">
        <f>IFERROR(IF(compras_mes3[[#This Row],[CUIT]]="","-",VLOOKUP(compras_mes3[[#This Row],[CUIT]],Lista_CUIT[#All],2,0)),"CUIT NO CARGADO")</f>
        <v>LOGISTICA DE LA COSTA SA</v>
      </c>
      <c r="H28" s="347">
        <v>65800</v>
      </c>
      <c r="I28" s="347">
        <f>IF(compras_mes3[[#This Row],[NETO GRAVADO]]="","",compras_mes3[[#This Row],[NETO GRAVADO]]*0.21)</f>
        <v>13818</v>
      </c>
      <c r="J28" s="348"/>
      <c r="K28" s="348"/>
      <c r="L28" s="348"/>
      <c r="M28" s="348"/>
      <c r="N28" s="348"/>
      <c r="O28" s="348"/>
      <c r="P28" s="349">
        <f>SUM(compras_mes3[[#This Row],[NETO GRAVADO]:[Otros / No Grav.]])</f>
        <v>79618</v>
      </c>
      <c r="Q28" s="352" t="str">
        <f>IFERROR(IF(compras_mes3[[#This Row],[CUIT]]="","-",VLOOKUP(compras_mes3[[#This Row],[CUIT]],Lista_CUIT[#All],3,0)),"CUIT NO CARGADO")</f>
        <v>Flete</v>
      </c>
      <c r="R28" s="352">
        <f>IFERROR(IF(compras_mes3[[#This Row],[CUIT]]="","-",VLOOKUP(compras_mes3[[#This Row],[CUIT]],Lista_CUIT[#All],4,0)),"CUIT NO CARGADO")</f>
        <v>0</v>
      </c>
    </row>
    <row r="29" spans="2:18" x14ac:dyDescent="0.25">
      <c r="B29" s="342">
        <v>45721</v>
      </c>
      <c r="C29" s="343">
        <v>1</v>
      </c>
      <c r="D29" s="344">
        <v>2399</v>
      </c>
      <c r="E29" s="345">
        <v>84206</v>
      </c>
      <c r="F29" s="346">
        <v>30708574836</v>
      </c>
      <c r="G29" s="351" t="str">
        <f>IFERROR(IF(compras_mes3[[#This Row],[CUIT]]="","-",VLOOKUP(compras_mes3[[#This Row],[CUIT]],Lista_CUIT[#All],2,0)),"CUIT NO CARGADO")</f>
        <v>CORREO OFICIAL DE LA REPUBLICA ARGENTINA SOCIEDAD ANONIMA</v>
      </c>
      <c r="H29" s="347">
        <v>21100</v>
      </c>
      <c r="I29" s="347"/>
      <c r="J29" s="348"/>
      <c r="K29" s="348"/>
      <c r="L29" s="348"/>
      <c r="M29" s="348"/>
      <c r="N29" s="348"/>
      <c r="O29" s="348"/>
      <c r="P29" s="349">
        <f>SUM(compras_mes3[[#This Row],[NETO GRAVADO]:[Otros / No Grav.]])</f>
        <v>21100</v>
      </c>
      <c r="Q29" s="352" t="str">
        <f>IFERROR(IF(compras_mes3[[#This Row],[CUIT]]="","-",VLOOKUP(compras_mes3[[#This Row],[CUIT]],Lista_CUIT[#All],3,0)),"CUIT NO CARGADO")</f>
        <v>Gastos Varios</v>
      </c>
      <c r="R29" s="352">
        <f>IFERROR(IF(compras_mes3[[#This Row],[CUIT]]="","-",VLOOKUP(compras_mes3[[#This Row],[CUIT]],Lista_CUIT[#All],4,0)),"CUIT NO CARGADO")</f>
        <v>0</v>
      </c>
    </row>
    <row r="30" spans="2:18" x14ac:dyDescent="0.25">
      <c r="B30" s="441">
        <v>45717</v>
      </c>
      <c r="C30" s="442">
        <v>1</v>
      </c>
      <c r="D30" s="443">
        <v>629</v>
      </c>
      <c r="E30" s="444">
        <v>5901502</v>
      </c>
      <c r="F30" s="445">
        <v>30663498513</v>
      </c>
      <c r="G30" s="446" t="str">
        <f>IFERROR(IF(compras_mes3[[#This Row],[CUIT]]="","-",VLOOKUP(compras_mes3[[#This Row],[CUIT]],Lista_CUIT[#All],2,0)),"CUIT NO CARGADO")</f>
        <v>GRUPO CONCES. DEL OESTE SA</v>
      </c>
      <c r="H30" s="386">
        <v>1155.52</v>
      </c>
      <c r="I30" s="386">
        <f>IF(compras_mes3[[#This Row],[NETO GRAVADO]]="","",compras_mes3[[#This Row],[NETO GRAVADO]]*0.21)</f>
        <v>242.6592</v>
      </c>
      <c r="J30" s="387"/>
      <c r="K30" s="387"/>
      <c r="L30" s="387"/>
      <c r="M30" s="387"/>
      <c r="N30" s="387"/>
      <c r="O30" s="387"/>
      <c r="P30" s="447">
        <f>SUM(compras_mes3[[#This Row],[NETO GRAVADO]:[Otros / No Grav.]])</f>
        <v>1398.1792</v>
      </c>
      <c r="Q30" s="448" t="str">
        <f>IFERROR(IF(compras_mes3[[#This Row],[CUIT]]="","-",VLOOKUP(compras_mes3[[#This Row],[CUIT]],Lista_CUIT[#All],3,0)),"CUIT NO CARGADO")</f>
        <v>Autopista</v>
      </c>
      <c r="R30" s="448">
        <f>IFERROR(IF(compras_mes3[[#This Row],[CUIT]]="","-",VLOOKUP(compras_mes3[[#This Row],[CUIT]],Lista_CUIT[#All],4,0)),"CUIT NO CARGADO")</f>
        <v>0</v>
      </c>
    </row>
    <row r="31" spans="2:18" s="428" customFormat="1" x14ac:dyDescent="0.25">
      <c r="B31" s="441">
        <v>45717</v>
      </c>
      <c r="C31" s="442">
        <v>1</v>
      </c>
      <c r="D31" s="443">
        <v>1</v>
      </c>
      <c r="E31" s="444">
        <v>116458</v>
      </c>
      <c r="F31" s="445">
        <v>30714864269</v>
      </c>
      <c r="G31" s="446" t="str">
        <f>IFERROR(IF(compras_mes3[[#This Row],[CUIT]]="","-",VLOOKUP(compras_mes3[[#This Row],[CUIT]],Lista_CUIT[#All],2,0)),"CUIT NO CARGADO")</f>
        <v>CONTABILIUM S.A. S. A.</v>
      </c>
      <c r="H31" s="386">
        <v>164170</v>
      </c>
      <c r="I31" s="386">
        <f>IF(compras_mes3[[#This Row],[NETO GRAVADO]]="","",compras_mes3[[#This Row],[NETO GRAVADO]]*0.21)</f>
        <v>34475.699999999997</v>
      </c>
      <c r="J31" s="387"/>
      <c r="K31" s="387"/>
      <c r="L31" s="387"/>
      <c r="M31" s="387"/>
      <c r="N31" s="387"/>
      <c r="O31" s="387"/>
      <c r="P31" s="447">
        <f>SUM(compras_mes3[[#This Row],[NETO GRAVADO]:[Otros / No Grav.]])</f>
        <v>198645.7</v>
      </c>
      <c r="Q31" s="448" t="str">
        <f>IFERROR(IF(compras_mes3[[#This Row],[CUIT]]="","-",VLOOKUP(compras_mes3[[#This Row],[CUIT]],Lista_CUIT[#All],3,0)),"CUIT NO CARGADO")</f>
        <v>USUARIO CONTABLE</v>
      </c>
      <c r="R31" s="448">
        <f>IFERROR(IF(compras_mes3[[#This Row],[CUIT]]="","-",VLOOKUP(compras_mes3[[#This Row],[CUIT]],Lista_CUIT[#All],4,0)),"CUIT NO CARGADO")</f>
        <v>0</v>
      </c>
    </row>
    <row r="32" spans="2:18" s="428" customFormat="1" x14ac:dyDescent="0.25">
      <c r="B32" s="441">
        <v>45717</v>
      </c>
      <c r="C32" s="442">
        <v>1</v>
      </c>
      <c r="D32" s="443">
        <v>711</v>
      </c>
      <c r="E32" s="444">
        <v>6809656</v>
      </c>
      <c r="F32" s="445">
        <v>30677237119</v>
      </c>
      <c r="G32" s="446" t="str">
        <f>IFERROR(IF(compras_mes3[[#This Row],[CUIT]]="","-",VLOOKUP(compras_mes3[[#This Row],[CUIT]],Lista_CUIT[#All],2,0)),"CUIT NO CARGADO")</f>
        <v>AUTOPISTAS DEL SOL SA</v>
      </c>
      <c r="H32" s="386">
        <v>1155.52</v>
      </c>
      <c r="I32" s="386">
        <f>IF(compras_mes3[[#This Row],[NETO GRAVADO]]="","",compras_mes3[[#This Row],[NETO GRAVADO]]*0.21)</f>
        <v>242.6592</v>
      </c>
      <c r="J32" s="387"/>
      <c r="K32" s="387"/>
      <c r="L32" s="387"/>
      <c r="M32" s="387"/>
      <c r="N32" s="387"/>
      <c r="O32" s="387"/>
      <c r="P32" s="447">
        <f>SUM(compras_mes3[[#This Row],[NETO GRAVADO]:[Otros / No Grav.]])</f>
        <v>1398.1792</v>
      </c>
      <c r="Q32" s="448" t="str">
        <f>IFERROR(IF(compras_mes3[[#This Row],[CUIT]]="","-",VLOOKUP(compras_mes3[[#This Row],[CUIT]],Lista_CUIT[#All],3,0)),"CUIT NO CARGADO")</f>
        <v>Autopista</v>
      </c>
      <c r="R32" s="448">
        <f>IFERROR(IF(compras_mes3[[#This Row],[CUIT]]="","-",VLOOKUP(compras_mes3[[#This Row],[CUIT]],Lista_CUIT[#All],4,0)),"CUIT NO CARGADO")</f>
        <v>0</v>
      </c>
    </row>
    <row r="33" spans="2:18" s="428" customFormat="1" x14ac:dyDescent="0.25">
      <c r="B33" s="441">
        <v>45719</v>
      </c>
      <c r="C33" s="442">
        <v>1</v>
      </c>
      <c r="D33" s="443">
        <v>2</v>
      </c>
      <c r="E33" s="444">
        <v>231</v>
      </c>
      <c r="F33" s="445">
        <v>30605344352</v>
      </c>
      <c r="G33" s="446" t="str">
        <f>IFERROR(IF(compras_mes3[[#This Row],[CUIT]]="","-",VLOOKUP(compras_mes3[[#This Row],[CUIT]],Lista_CUIT[#All],2,0)),"CUIT NO CARGADO")</f>
        <v>CONSORCIO BARTOLME MITRE 2466</v>
      </c>
      <c r="H33" s="386">
        <v>1200000</v>
      </c>
      <c r="I33" s="386">
        <f>IF(compras_mes3[[#This Row],[NETO GRAVADO]]="","",compras_mes3[[#This Row],[NETO GRAVADO]]*0.21)</f>
        <v>252000</v>
      </c>
      <c r="J33" s="387"/>
      <c r="K33" s="387"/>
      <c r="L33" s="387"/>
      <c r="M33" s="387"/>
      <c r="N33" s="387"/>
      <c r="O33" s="387"/>
      <c r="P33" s="447">
        <f>SUM(compras_mes3[[#This Row],[NETO GRAVADO]:[Otros / No Grav.]])</f>
        <v>1452000</v>
      </c>
      <c r="Q33" s="448" t="str">
        <f>IFERROR(IF(compras_mes3[[#This Row],[CUIT]]="","-",VLOOKUP(compras_mes3[[#This Row],[CUIT]],Lista_CUIT[#All],3,0)),"CUIT NO CARGADO")</f>
        <v>ALQUILER LOCAL</v>
      </c>
      <c r="R33" s="448">
        <f>IFERROR(IF(compras_mes3[[#This Row],[CUIT]]="","-",VLOOKUP(compras_mes3[[#This Row],[CUIT]],Lista_CUIT[#All],4,0)),"CUIT NO CARGADO")</f>
        <v>0</v>
      </c>
    </row>
    <row r="34" spans="2:18" s="428" customFormat="1" x14ac:dyDescent="0.25">
      <c r="B34" s="441">
        <v>45719</v>
      </c>
      <c r="C34" s="442">
        <v>1</v>
      </c>
      <c r="D34" s="443">
        <v>500</v>
      </c>
      <c r="E34" s="444">
        <v>1694216</v>
      </c>
      <c r="F34" s="445">
        <v>30654118767</v>
      </c>
      <c r="G34" s="446" t="str">
        <f>IFERROR(IF(compras_mes3[[#This Row],[CUIT]]="","-",VLOOKUP(compras_mes3[[#This Row],[CUIT]],Lista_CUIT[#All],2,0)),"CUIT NO CARGADO")</f>
        <v>SOLUCIONES MULTIMEDIA SA</v>
      </c>
      <c r="H34" s="386">
        <v>117349.04</v>
      </c>
      <c r="I34" s="386">
        <f>IF(compras_mes3[[#This Row],[NETO GRAVADO]]="","",compras_mes3[[#This Row],[NETO GRAVADO]]*0.21)</f>
        <v>24643.298399999996</v>
      </c>
      <c r="J34" s="387"/>
      <c r="K34" s="387"/>
      <c r="L34" s="387"/>
      <c r="M34" s="387"/>
      <c r="N34" s="387"/>
      <c r="O34" s="387"/>
      <c r="P34" s="447">
        <f>SUM(compras_mes3[[#This Row],[NETO GRAVADO]:[Otros / No Grav.]])</f>
        <v>141992.33839999998</v>
      </c>
      <c r="Q34" s="448" t="str">
        <f>IFERROR(IF(compras_mes3[[#This Row],[CUIT]]="","-",VLOOKUP(compras_mes3[[#This Row],[CUIT]],Lista_CUIT[#All],3,0)),"CUIT NO CARGADO")</f>
        <v>gastos varios</v>
      </c>
      <c r="R34" s="448">
        <f>IFERROR(IF(compras_mes3[[#This Row],[CUIT]]="","-",VLOOKUP(compras_mes3[[#This Row],[CUIT]],Lista_CUIT[#All],4,0)),"CUIT NO CARGADO")</f>
        <v>0</v>
      </c>
    </row>
    <row r="35" spans="2:18" s="428" customFormat="1" x14ac:dyDescent="0.25">
      <c r="B35" s="441">
        <v>45721</v>
      </c>
      <c r="C35" s="442">
        <v>1</v>
      </c>
      <c r="D35" s="443">
        <v>3</v>
      </c>
      <c r="E35" s="444">
        <v>30</v>
      </c>
      <c r="F35" s="445">
        <v>20216164262</v>
      </c>
      <c r="G35" s="446" t="str">
        <f>IFERROR(IF(compras_mes3[[#This Row],[CUIT]]="","-",VLOOKUP(compras_mes3[[#This Row],[CUIT]],Lista_CUIT[#All],2,0)),"CUIT NO CARGADO")</f>
        <v>VELEZ ALEJANDRO MARCELO</v>
      </c>
      <c r="H35" s="386">
        <v>1166562</v>
      </c>
      <c r="I35" s="386">
        <f>IF(compras_mes3[[#This Row],[NETO GRAVADO]]="","",compras_mes3[[#This Row],[NETO GRAVADO]]*0.21)</f>
        <v>244978.02</v>
      </c>
      <c r="J35" s="387"/>
      <c r="K35" s="387"/>
      <c r="L35" s="387"/>
      <c r="M35" s="387"/>
      <c r="N35" s="387"/>
      <c r="O35" s="387"/>
      <c r="P35" s="447">
        <f>SUM(compras_mes3[[#This Row],[NETO GRAVADO]:[Otros / No Grav.]])</f>
        <v>1411540.02</v>
      </c>
      <c r="Q35" s="448" t="str">
        <f>IFERROR(IF(compras_mes3[[#This Row],[CUIT]]="","-",VLOOKUP(compras_mes3[[#This Row],[CUIT]],Lista_CUIT[#All],3,0)),"CUIT NO CARGADO")</f>
        <v>Insumos</v>
      </c>
      <c r="R35" s="448">
        <f>IFERROR(IF(compras_mes3[[#This Row],[CUIT]]="","-",VLOOKUP(compras_mes3[[#This Row],[CUIT]],Lista_CUIT[#All],4,0)),"CUIT NO CARGADO")</f>
        <v>0</v>
      </c>
    </row>
    <row r="36" spans="2:18" s="428" customFormat="1" x14ac:dyDescent="0.25">
      <c r="B36" s="441">
        <v>45722</v>
      </c>
      <c r="C36" s="442">
        <v>1</v>
      </c>
      <c r="D36" s="443">
        <v>2</v>
      </c>
      <c r="E36" s="444">
        <v>1132</v>
      </c>
      <c r="F36" s="445">
        <v>20272865869</v>
      </c>
      <c r="G36" s="446" t="str">
        <f>IFERROR(IF(compras_mes3[[#This Row],[CUIT]]="","-",VLOOKUP(compras_mes3[[#This Row],[CUIT]],Lista_CUIT[#All],2,0)),"CUIT NO CARGADO")</f>
        <v>DI FEO MARTIN EZEQUIEL</v>
      </c>
      <c r="H36" s="386">
        <v>155850</v>
      </c>
      <c r="I36" s="386">
        <f>IF(compras_mes3[[#This Row],[NETO GRAVADO]]="","",compras_mes3[[#This Row],[NETO GRAVADO]]*0.21)</f>
        <v>32728.5</v>
      </c>
      <c r="J36" s="387"/>
      <c r="K36" s="387"/>
      <c r="L36" s="387"/>
      <c r="M36" s="387"/>
      <c r="N36" s="387"/>
      <c r="O36" s="387"/>
      <c r="P36" s="447">
        <f>SUM(compras_mes3[[#This Row],[NETO GRAVADO]:[Otros / No Grav.]])</f>
        <v>188578.5</v>
      </c>
      <c r="Q36" s="448" t="str">
        <f>IFERROR(IF(compras_mes3[[#This Row],[CUIT]]="","-",VLOOKUP(compras_mes3[[#This Row],[CUIT]],Lista_CUIT[#All],3,0)),"CUIT NO CARGADO")</f>
        <v>INSUMOS</v>
      </c>
      <c r="R36" s="448">
        <f>IFERROR(IF(compras_mes3[[#This Row],[CUIT]]="","-",VLOOKUP(compras_mes3[[#This Row],[CUIT]],Lista_CUIT[#All],4,0)),"CUIT NO CARGADO")</f>
        <v>0</v>
      </c>
    </row>
    <row r="37" spans="2:18" s="428" customFormat="1" x14ac:dyDescent="0.25">
      <c r="B37" s="441">
        <v>45722</v>
      </c>
      <c r="C37" s="442">
        <v>1</v>
      </c>
      <c r="D37" s="443">
        <v>700</v>
      </c>
      <c r="E37" s="444">
        <v>2313354</v>
      </c>
      <c r="F37" s="445">
        <v>30715804812</v>
      </c>
      <c r="G37" s="446" t="str">
        <f>IFERROR(IF(compras_mes3[[#This Row],[CUIT]]="","-",VLOOKUP(compras_mes3[[#This Row],[CUIT]],Lista_CUIT[#All],2,0)),"CUIT NO CARGADO")</f>
        <v>CORREDORES VIALES SOCIEDAD ANONIMA</v>
      </c>
      <c r="H37" s="386">
        <v>7695.87</v>
      </c>
      <c r="I37" s="386">
        <f>IF(compras_mes3[[#This Row],[NETO GRAVADO]]="","",compras_mes3[[#This Row],[NETO GRAVADO]]*0.21)</f>
        <v>1616.1326999999999</v>
      </c>
      <c r="J37" s="387"/>
      <c r="K37" s="387"/>
      <c r="L37" s="387"/>
      <c r="M37" s="387"/>
      <c r="N37" s="387"/>
      <c r="O37" s="387"/>
      <c r="P37" s="447">
        <f>SUM(compras_mes3[[#This Row],[NETO GRAVADO]:[Otros / No Grav.]])</f>
        <v>9312.0026999999991</v>
      </c>
      <c r="Q37" s="448" t="str">
        <f>IFERROR(IF(compras_mes3[[#This Row],[CUIT]]="","-",VLOOKUP(compras_mes3[[#This Row],[CUIT]],Lista_CUIT[#All],3,0)),"CUIT NO CARGADO")</f>
        <v>Autopista</v>
      </c>
      <c r="R37" s="448">
        <f>IFERROR(IF(compras_mes3[[#This Row],[CUIT]]="","-",VLOOKUP(compras_mes3[[#This Row],[CUIT]],Lista_CUIT[#All],4,0)),"CUIT NO CARGADO")</f>
        <v>0</v>
      </c>
    </row>
    <row r="38" spans="2:18" s="428" customFormat="1" x14ac:dyDescent="0.25">
      <c r="B38" s="441">
        <v>45722</v>
      </c>
      <c r="C38" s="442">
        <v>1</v>
      </c>
      <c r="D38" s="443">
        <v>700</v>
      </c>
      <c r="E38" s="444">
        <v>2313355</v>
      </c>
      <c r="F38" s="445">
        <v>30715804812</v>
      </c>
      <c r="G38" s="446" t="str">
        <f>IFERROR(IF(compras_mes3[[#This Row],[CUIT]]="","-",VLOOKUP(compras_mes3[[#This Row],[CUIT]],Lista_CUIT[#All],2,0)),"CUIT NO CARGADO")</f>
        <v>CORREDORES VIALES SOCIEDAD ANONIMA</v>
      </c>
      <c r="H38" s="386">
        <v>9151.84</v>
      </c>
      <c r="I38" s="386">
        <f>IF(compras_mes3[[#This Row],[NETO GRAVADO]]="","",compras_mes3[[#This Row],[NETO GRAVADO]]*0.21)</f>
        <v>1921.8863999999999</v>
      </c>
      <c r="J38" s="387"/>
      <c r="K38" s="387"/>
      <c r="L38" s="387"/>
      <c r="M38" s="387"/>
      <c r="N38" s="387"/>
      <c r="O38" s="387"/>
      <c r="P38" s="447">
        <f>SUM(compras_mes3[[#This Row],[NETO GRAVADO]:[Otros / No Grav.]])</f>
        <v>11073.7264</v>
      </c>
      <c r="Q38" s="448" t="str">
        <f>IFERROR(IF(compras_mes3[[#This Row],[CUIT]]="","-",VLOOKUP(compras_mes3[[#This Row],[CUIT]],Lista_CUIT[#All],3,0)),"CUIT NO CARGADO")</f>
        <v>Autopista</v>
      </c>
      <c r="R38" s="448">
        <f>IFERROR(IF(compras_mes3[[#This Row],[CUIT]]="","-",VLOOKUP(compras_mes3[[#This Row],[CUIT]],Lista_CUIT[#All],4,0)),"CUIT NO CARGADO")</f>
        <v>0</v>
      </c>
    </row>
    <row r="39" spans="2:18" s="428" customFormat="1" x14ac:dyDescent="0.25">
      <c r="B39" s="441">
        <v>45723</v>
      </c>
      <c r="C39" s="442">
        <v>1</v>
      </c>
      <c r="D39" s="443">
        <v>2</v>
      </c>
      <c r="E39" s="444">
        <v>1133</v>
      </c>
      <c r="F39" s="445">
        <v>20272865869</v>
      </c>
      <c r="G39" s="446" t="str">
        <f>IFERROR(IF(compras_mes3[[#This Row],[CUIT]]="","-",VLOOKUP(compras_mes3[[#This Row],[CUIT]],Lista_CUIT[#All],2,0)),"CUIT NO CARGADO")</f>
        <v>DI FEO MARTIN EZEQUIEL</v>
      </c>
      <c r="H39" s="386">
        <v>39000</v>
      </c>
      <c r="I39" s="386">
        <f>IF(compras_mes3[[#This Row],[NETO GRAVADO]]="","",compras_mes3[[#This Row],[NETO GRAVADO]]*0.21)</f>
        <v>8190</v>
      </c>
      <c r="J39" s="387"/>
      <c r="K39" s="387"/>
      <c r="L39" s="387"/>
      <c r="M39" s="387"/>
      <c r="N39" s="387"/>
      <c r="O39" s="387"/>
      <c r="P39" s="447">
        <f>SUM(compras_mes3[[#This Row],[NETO GRAVADO]:[Otros / No Grav.]])</f>
        <v>47190</v>
      </c>
      <c r="Q39" s="448" t="str">
        <f>IFERROR(IF(compras_mes3[[#This Row],[CUIT]]="","-",VLOOKUP(compras_mes3[[#This Row],[CUIT]],Lista_CUIT[#All],3,0)),"CUIT NO CARGADO")</f>
        <v>INSUMOS</v>
      </c>
      <c r="R39" s="448">
        <f>IFERROR(IF(compras_mes3[[#This Row],[CUIT]]="","-",VLOOKUP(compras_mes3[[#This Row],[CUIT]],Lista_CUIT[#All],4,0)),"CUIT NO CARGADO")</f>
        <v>0</v>
      </c>
    </row>
    <row r="40" spans="2:18" s="428" customFormat="1" x14ac:dyDescent="0.25">
      <c r="B40" s="441">
        <v>45723</v>
      </c>
      <c r="C40" s="442">
        <v>1</v>
      </c>
      <c r="D40" s="443">
        <v>7</v>
      </c>
      <c r="E40" s="444">
        <v>27</v>
      </c>
      <c r="F40" s="445">
        <v>27325223273</v>
      </c>
      <c r="G40" s="446" t="str">
        <f>IFERROR(IF(compras_mes3[[#This Row],[CUIT]]="","-",VLOOKUP(compras_mes3[[#This Row],[CUIT]],Lista_CUIT[#All],2,0)),"CUIT NO CARGADO")</f>
        <v>SOUSA ALDERETE ALEJANDRA MABEL</v>
      </c>
      <c r="H40" s="386">
        <v>1650000</v>
      </c>
      <c r="I40" s="386">
        <f>IF(compras_mes3[[#This Row],[NETO GRAVADO]]="","",compras_mes3[[#This Row],[NETO GRAVADO]]*0.21)</f>
        <v>346500</v>
      </c>
      <c r="J40" s="387"/>
      <c r="K40" s="387"/>
      <c r="L40" s="387"/>
      <c r="M40" s="387"/>
      <c r="N40" s="387"/>
      <c r="O40" s="387"/>
      <c r="P40" s="447">
        <f>SUM(compras_mes3[[#This Row],[NETO GRAVADO]:[Otros / No Grav.]])</f>
        <v>1996500</v>
      </c>
      <c r="Q40" s="448" t="str">
        <f>IFERROR(IF(compras_mes3[[#This Row],[CUIT]]="","-",VLOOKUP(compras_mes3[[#This Row],[CUIT]],Lista_CUIT[#All],3,0)),"CUIT NO CARGADO")</f>
        <v>Insumos</v>
      </c>
      <c r="R40" s="448">
        <f>IFERROR(IF(compras_mes3[[#This Row],[CUIT]]="","-",VLOOKUP(compras_mes3[[#This Row],[CUIT]],Lista_CUIT[#All],4,0)),"CUIT NO CARGADO")</f>
        <v>0</v>
      </c>
    </row>
    <row r="41" spans="2:18" s="428" customFormat="1" x14ac:dyDescent="0.25">
      <c r="B41" s="441">
        <v>45723</v>
      </c>
      <c r="C41" s="442">
        <v>1</v>
      </c>
      <c r="D41" s="443">
        <v>2</v>
      </c>
      <c r="E41" s="444">
        <v>487</v>
      </c>
      <c r="F41" s="445">
        <v>30711610096</v>
      </c>
      <c r="G41" s="446" t="str">
        <f>IFERROR(IF(compras_mes3[[#This Row],[CUIT]]="","-",VLOOKUP(compras_mes3[[#This Row],[CUIT]],Lista_CUIT[#All],2,0)),"CUIT NO CARGADO")</f>
        <v>46 SPEED S.A.</v>
      </c>
      <c r="H41" s="386">
        <v>698000</v>
      </c>
      <c r="I41" s="386">
        <f>IF(compras_mes3[[#This Row],[NETO GRAVADO]]="","",compras_mes3[[#This Row],[NETO GRAVADO]]*0.21)</f>
        <v>146580</v>
      </c>
      <c r="J41" s="387"/>
      <c r="K41" s="387"/>
      <c r="L41" s="387"/>
      <c r="M41" s="387"/>
      <c r="N41" s="387"/>
      <c r="O41" s="387"/>
      <c r="P41" s="447">
        <f>SUM(compras_mes3[[#This Row],[NETO GRAVADO]:[Otros / No Grav.]])</f>
        <v>844580</v>
      </c>
      <c r="Q41" s="448" t="str">
        <f>IFERROR(IF(compras_mes3[[#This Row],[CUIT]]="","-",VLOOKUP(compras_mes3[[#This Row],[CUIT]],Lista_CUIT[#All],3,0)),"CUIT NO CARGADO")</f>
        <v>Insumos</v>
      </c>
      <c r="R41" s="448">
        <f>IFERROR(IF(compras_mes3[[#This Row],[CUIT]]="","-",VLOOKUP(compras_mes3[[#This Row],[CUIT]],Lista_CUIT[#All],4,0)),"CUIT NO CARGADO")</f>
        <v>0</v>
      </c>
    </row>
    <row r="42" spans="2:18" x14ac:dyDescent="0.25">
      <c r="B42" s="441">
        <v>45723</v>
      </c>
      <c r="C42" s="442">
        <v>1</v>
      </c>
      <c r="D42" s="443">
        <v>2</v>
      </c>
      <c r="E42" s="444">
        <v>1135</v>
      </c>
      <c r="F42" s="445">
        <v>20272865869</v>
      </c>
      <c r="G42" s="446" t="str">
        <f>IFERROR(IF(compras_mes3[[#This Row],[CUIT]]="","-",VLOOKUP(compras_mes3[[#This Row],[CUIT]],Lista_CUIT[#All],2,0)),"CUIT NO CARGADO")</f>
        <v>DI FEO MARTIN EZEQUIEL</v>
      </c>
      <c r="H42" s="386">
        <v>11006.61</v>
      </c>
      <c r="I42" s="386">
        <f>IF(compras_mes3[[#This Row],[NETO GRAVADO]]="","",compras_mes3[[#This Row],[NETO GRAVADO]]*0.21)</f>
        <v>2311.3881000000001</v>
      </c>
      <c r="J42" s="387"/>
      <c r="K42" s="387"/>
      <c r="L42" s="387"/>
      <c r="M42" s="387"/>
      <c r="N42" s="387"/>
      <c r="O42" s="387"/>
      <c r="P42" s="447">
        <f>SUM(compras_mes3[[#This Row],[NETO GRAVADO]:[Otros / No Grav.]])</f>
        <v>13317.998100000001</v>
      </c>
      <c r="Q42" s="448" t="str">
        <f>IFERROR(IF(compras_mes3[[#This Row],[CUIT]]="","-",VLOOKUP(compras_mes3[[#This Row],[CUIT]],Lista_CUIT[#All],3,0)),"CUIT NO CARGADO")</f>
        <v>INSUMOS</v>
      </c>
      <c r="R42" s="448">
        <f>IFERROR(IF(compras_mes3[[#This Row],[CUIT]]="","-",VLOOKUP(compras_mes3[[#This Row],[CUIT]],Lista_CUIT[#All],4,0)),"CUIT NO CARGADO")</f>
        <v>0</v>
      </c>
    </row>
    <row r="43" spans="2:18" s="428" customFormat="1" x14ac:dyDescent="0.25">
      <c r="B43" s="441">
        <v>45723</v>
      </c>
      <c r="C43" s="442">
        <v>1</v>
      </c>
      <c r="D43" s="443">
        <v>5</v>
      </c>
      <c r="E43" s="444">
        <v>164287</v>
      </c>
      <c r="F43" s="445">
        <v>30598960093</v>
      </c>
      <c r="G43" s="446" t="str">
        <f>IFERROR(IF(compras_mes3[[#This Row],[CUIT]]="","-",VLOOKUP(compras_mes3[[#This Row],[CUIT]],Lista_CUIT[#All],2,0)),"CUIT NO CARGADO")</f>
        <v>SILVESTRIN FABRIS SRL</v>
      </c>
      <c r="H43" s="386">
        <v>2026728</v>
      </c>
      <c r="I43" s="386">
        <f>IF(compras_mes3[[#This Row],[NETO GRAVADO]]="","",compras_mes3[[#This Row],[NETO GRAVADO]]*0.21)</f>
        <v>425612.88</v>
      </c>
      <c r="J43" s="387"/>
      <c r="K43" s="387"/>
      <c r="L43" s="387"/>
      <c r="M43" s="387"/>
      <c r="N43" s="387"/>
      <c r="O43" s="387"/>
      <c r="P43" s="447">
        <f>SUM(compras_mes3[[#This Row],[NETO GRAVADO]:[Otros / No Grav.]])</f>
        <v>2452340.88</v>
      </c>
      <c r="Q43" s="448" t="str">
        <f>IFERROR(IF(compras_mes3[[#This Row],[CUIT]]="","-",VLOOKUP(compras_mes3[[#This Row],[CUIT]],Lista_CUIT[#All],3,0)),"CUIT NO CARGADO")</f>
        <v>INSUMO</v>
      </c>
      <c r="R43" s="448">
        <f>IFERROR(IF(compras_mes3[[#This Row],[CUIT]]="","-",VLOOKUP(compras_mes3[[#This Row],[CUIT]],Lista_CUIT[#All],4,0)),"CUIT NO CARGADO")</f>
        <v>0</v>
      </c>
    </row>
    <row r="44" spans="2:18" s="428" customFormat="1" x14ac:dyDescent="0.25">
      <c r="B44" s="441">
        <v>45724</v>
      </c>
      <c r="C44" s="442">
        <v>1</v>
      </c>
      <c r="D44" s="443">
        <v>5015</v>
      </c>
      <c r="E44" s="444">
        <v>778963</v>
      </c>
      <c r="F44" s="445">
        <v>30574876474</v>
      </c>
      <c r="G44" s="446" t="str">
        <f>IFERROR(IF(compras_mes3[[#This Row],[CUIT]]="","-",VLOOKUP(compras_mes3[[#This Row],[CUIT]],Lista_CUIT[#All],2,0)),"CUIT NO CARGADO")</f>
        <v>AUTOP. URBANAS SA</v>
      </c>
      <c r="H44" s="386">
        <v>13213.87</v>
      </c>
      <c r="I44" s="386">
        <f>IF(compras_mes3[[#This Row],[NETO GRAVADO]]="","",compras_mes3[[#This Row],[NETO GRAVADO]]*0.21)</f>
        <v>2774.9126999999999</v>
      </c>
      <c r="J44" s="387"/>
      <c r="K44" s="387"/>
      <c r="L44" s="387"/>
      <c r="M44" s="387"/>
      <c r="N44" s="387"/>
      <c r="O44" s="387"/>
      <c r="P44" s="447">
        <f>SUM(compras_mes3[[#This Row],[NETO GRAVADO]:[Otros / No Grav.]])</f>
        <v>15988.7827</v>
      </c>
      <c r="Q44" s="448" t="str">
        <f>IFERROR(IF(compras_mes3[[#This Row],[CUIT]]="","-",VLOOKUP(compras_mes3[[#This Row],[CUIT]],Lista_CUIT[#All],3,0)),"CUIT NO CARGADO")</f>
        <v>PEAJE</v>
      </c>
      <c r="R44" s="448">
        <f>IFERROR(IF(compras_mes3[[#This Row],[CUIT]]="","-",VLOOKUP(compras_mes3[[#This Row],[CUIT]],Lista_CUIT[#All],4,0)),"CUIT NO CARGADO")</f>
        <v>0</v>
      </c>
    </row>
    <row r="45" spans="2:18" s="428" customFormat="1" x14ac:dyDescent="0.25">
      <c r="B45" s="441">
        <v>45725</v>
      </c>
      <c r="C45" s="442">
        <v>1</v>
      </c>
      <c r="D45" s="443">
        <v>3101</v>
      </c>
      <c r="E45" s="444">
        <v>278864</v>
      </c>
      <c r="F45" s="445">
        <v>30678814357</v>
      </c>
      <c r="G45" s="446" t="str">
        <f>IFERROR(IF(compras_mes3[[#This Row],[CUIT]]="","-",VLOOKUP(compras_mes3[[#This Row],[CUIT]],Lista_CUIT[#All],2,0)),"CUIT NO CARGADO")</f>
        <v>TELEFONICA MOVILES ARG SA</v>
      </c>
      <c r="H45" s="386">
        <v>82083.600000000006</v>
      </c>
      <c r="I45" s="386"/>
      <c r="J45" s="387">
        <f>compras_mes3[[#This Row],[NETO GRAVADO]]*27/100</f>
        <v>22162.572</v>
      </c>
      <c r="K45" s="387"/>
      <c r="L45" s="387"/>
      <c r="M45" s="387"/>
      <c r="N45" s="387"/>
      <c r="O45" s="387"/>
      <c r="P45" s="447">
        <f>SUM(compras_mes3[[#This Row],[NETO GRAVADO]:[Otros / No Grav.]])</f>
        <v>104246.17200000001</v>
      </c>
      <c r="Q45" s="448" t="str">
        <f>IFERROR(IF(compras_mes3[[#This Row],[CUIT]]="","-",VLOOKUP(compras_mes3[[#This Row],[CUIT]],Lista_CUIT[#All],3,0)),"CUIT NO CARGADO")</f>
        <v>SERVICIO</v>
      </c>
      <c r="R45" s="448">
        <f>IFERROR(IF(compras_mes3[[#This Row],[CUIT]]="","-",VLOOKUP(compras_mes3[[#This Row],[CUIT]],Lista_CUIT[#All],4,0)),"CUIT NO CARGADO")</f>
        <v>0</v>
      </c>
    </row>
    <row r="46" spans="2:18" s="428" customFormat="1" x14ac:dyDescent="0.25">
      <c r="B46" s="441">
        <v>45725</v>
      </c>
      <c r="C46" s="442">
        <v>1</v>
      </c>
      <c r="D46" s="443">
        <v>2189</v>
      </c>
      <c r="E46" s="444">
        <v>86551</v>
      </c>
      <c r="F46" s="445">
        <v>30548083156</v>
      </c>
      <c r="G46" s="446" t="str">
        <f>IFERROR(IF(compras_mes3[[#This Row],[CUIT]]="","-",VLOOKUP(compras_mes3[[#This Row],[CUIT]],Lista_CUIT[#All],2,0)),"CUIT NO CARGADO")</f>
        <v>COTO CICSA</v>
      </c>
      <c r="H46" s="386">
        <v>7295.47</v>
      </c>
      <c r="I46" s="386">
        <f>IF(compras_mes3[[#This Row],[NETO GRAVADO]]="","",compras_mes3[[#This Row],[NETO GRAVADO]]*0.21)</f>
        <v>1532.0487000000001</v>
      </c>
      <c r="J46" s="387"/>
      <c r="K46" s="387"/>
      <c r="L46" s="387"/>
      <c r="M46" s="387"/>
      <c r="N46" s="387"/>
      <c r="O46" s="387"/>
      <c r="P46" s="447">
        <f>SUM(compras_mes3[[#This Row],[NETO GRAVADO]:[Otros / No Grav.]])</f>
        <v>8827.5187000000005</v>
      </c>
      <c r="Q46" s="448" t="str">
        <f>IFERROR(IF(compras_mes3[[#This Row],[CUIT]]="","-",VLOOKUP(compras_mes3[[#This Row],[CUIT]],Lista_CUIT[#All],3,0)),"CUIT NO CARGADO")</f>
        <v>Gastos Varios</v>
      </c>
      <c r="R46" s="448">
        <f>IFERROR(IF(compras_mes3[[#This Row],[CUIT]]="","-",VLOOKUP(compras_mes3[[#This Row],[CUIT]],Lista_CUIT[#All],4,0)),"CUIT NO CARGADO")</f>
        <v>0</v>
      </c>
    </row>
    <row r="47" spans="2:18" s="428" customFormat="1" x14ac:dyDescent="0.25">
      <c r="B47" s="441">
        <v>45727</v>
      </c>
      <c r="C47" s="442">
        <v>1</v>
      </c>
      <c r="D47" s="443">
        <v>2</v>
      </c>
      <c r="E47" s="444">
        <v>11604</v>
      </c>
      <c r="F47" s="445">
        <v>30714331082</v>
      </c>
      <c r="G47" s="446" t="str">
        <f>IFERROR(IF(compras_mes3[[#This Row],[CUIT]]="","-",VLOOKUP(compras_mes3[[#This Row],[CUIT]],Lista_CUIT[#All],2,0)),"CUIT NO CARGADO")</f>
        <v>ORTOPEDIA CASA ESCALADA SRL</v>
      </c>
      <c r="H47" s="386">
        <v>423275.07</v>
      </c>
      <c r="I47" s="386">
        <f>IF(compras_mes3[[#This Row],[NETO GRAVADO]]="","",compras_mes3[[#This Row],[NETO GRAVADO]]*0.21)</f>
        <v>88887.7647</v>
      </c>
      <c r="J47" s="387"/>
      <c r="K47" s="387"/>
      <c r="L47" s="387"/>
      <c r="M47" s="387"/>
      <c r="N47" s="387"/>
      <c r="O47" s="387"/>
      <c r="P47" s="447">
        <f>SUM(compras_mes3[[#This Row],[NETO GRAVADO]:[Otros / No Grav.]])</f>
        <v>512162.83470000001</v>
      </c>
      <c r="Q47" s="448" t="str">
        <f>IFERROR(IF(compras_mes3[[#This Row],[CUIT]]="","-",VLOOKUP(compras_mes3[[#This Row],[CUIT]],Lista_CUIT[#All],3,0)),"CUIT NO CARGADO")</f>
        <v>INSUMO</v>
      </c>
      <c r="R47" s="448">
        <f>IFERROR(IF(compras_mes3[[#This Row],[CUIT]]="","-",VLOOKUP(compras_mes3[[#This Row],[CUIT]],Lista_CUIT[#All],4,0)),"CUIT NO CARGADO")</f>
        <v>0</v>
      </c>
    </row>
    <row r="48" spans="2:18" s="428" customFormat="1" x14ac:dyDescent="0.25">
      <c r="B48" s="441">
        <v>45728</v>
      </c>
      <c r="C48" s="442">
        <v>1</v>
      </c>
      <c r="D48" s="443">
        <v>4</v>
      </c>
      <c r="E48" s="444">
        <v>39574</v>
      </c>
      <c r="F48" s="445">
        <v>20289111329</v>
      </c>
      <c r="G48" s="446" t="str">
        <f>IFERROR(IF(compras_mes3[[#This Row],[CUIT]]="","-",VLOOKUP(compras_mes3[[#This Row],[CUIT]],Lista_CUIT[#All],2,0)),"CUIT NO CARGADO")</f>
        <v>R. N. LEDESMA</v>
      </c>
      <c r="H48" s="386">
        <v>292865.40999999997</v>
      </c>
      <c r="I48" s="386">
        <f>IF(compras_mes3[[#This Row],[NETO GRAVADO]]="","",compras_mes3[[#This Row],[NETO GRAVADO]]*0.21)</f>
        <v>61501.736099999995</v>
      </c>
      <c r="J48" s="387"/>
      <c r="K48" s="387"/>
      <c r="L48" s="387"/>
      <c r="M48" s="387"/>
      <c r="N48" s="387"/>
      <c r="O48" s="387"/>
      <c r="P48" s="447">
        <f>SUM(compras_mes3[[#This Row],[NETO GRAVADO]:[Otros / No Grav.]])</f>
        <v>354367.14609999995</v>
      </c>
      <c r="Q48" s="448" t="str">
        <f>IFERROR(IF(compras_mes3[[#This Row],[CUIT]]="","-",VLOOKUP(compras_mes3[[#This Row],[CUIT]],Lista_CUIT[#All],3,0)),"CUIT NO CARGADO")</f>
        <v>Insumo</v>
      </c>
      <c r="R48" s="448">
        <f>IFERROR(IF(compras_mes3[[#This Row],[CUIT]]="","-",VLOOKUP(compras_mes3[[#This Row],[CUIT]],Lista_CUIT[#All],4,0)),"CUIT NO CARGADO")</f>
        <v>0</v>
      </c>
    </row>
    <row r="49" spans="2:18" s="428" customFormat="1" x14ac:dyDescent="0.25">
      <c r="B49" s="441">
        <v>45728</v>
      </c>
      <c r="C49" s="442">
        <v>1</v>
      </c>
      <c r="D49" s="443">
        <v>4</v>
      </c>
      <c r="E49" s="444">
        <v>39572</v>
      </c>
      <c r="F49" s="445">
        <v>20289111329</v>
      </c>
      <c r="G49" s="446" t="str">
        <f>IFERROR(IF(compras_mes3[[#This Row],[CUIT]]="","-",VLOOKUP(compras_mes3[[#This Row],[CUIT]],Lista_CUIT[#All],2,0)),"CUIT NO CARGADO")</f>
        <v>R. N. LEDESMA</v>
      </c>
      <c r="H49" s="386">
        <v>585348.09</v>
      </c>
      <c r="I49" s="386">
        <f>IF(compras_mes3[[#This Row],[NETO GRAVADO]]="","",compras_mes3[[#This Row],[NETO GRAVADO]]*0.21)</f>
        <v>122923.09889999998</v>
      </c>
      <c r="J49" s="387"/>
      <c r="K49" s="387"/>
      <c r="L49" s="387"/>
      <c r="M49" s="387"/>
      <c r="N49" s="387"/>
      <c r="O49" s="387"/>
      <c r="P49" s="447">
        <f>SUM(compras_mes3[[#This Row],[NETO GRAVADO]:[Otros / No Grav.]])</f>
        <v>708271.18889999995</v>
      </c>
      <c r="Q49" s="448" t="str">
        <f>IFERROR(IF(compras_mes3[[#This Row],[CUIT]]="","-",VLOOKUP(compras_mes3[[#This Row],[CUIT]],Lista_CUIT[#All],3,0)),"CUIT NO CARGADO")</f>
        <v>Insumo</v>
      </c>
      <c r="R49" s="448">
        <f>IFERROR(IF(compras_mes3[[#This Row],[CUIT]]="","-",VLOOKUP(compras_mes3[[#This Row],[CUIT]],Lista_CUIT[#All],4,0)),"CUIT NO CARGADO")</f>
        <v>0</v>
      </c>
    </row>
    <row r="50" spans="2:18" s="428" customFormat="1" x14ac:dyDescent="0.25">
      <c r="B50" s="441">
        <v>45728</v>
      </c>
      <c r="C50" s="442">
        <v>1</v>
      </c>
      <c r="D50" s="443">
        <v>6</v>
      </c>
      <c r="E50" s="444">
        <v>89635</v>
      </c>
      <c r="F50" s="445">
        <v>30711553564</v>
      </c>
      <c r="G50" s="446" t="str">
        <f>IFERROR(IF(compras_mes3[[#This Row],[CUIT]]="","-",VLOOKUP(compras_mes3[[#This Row],[CUIT]],Lista_CUIT[#All],2,0)),"CUIT NO CARGADO")</f>
        <v>SALUD TEX S.A</v>
      </c>
      <c r="H50" s="386">
        <v>846283.75</v>
      </c>
      <c r="I50" s="386">
        <f>IF(compras_mes3[[#This Row],[NETO GRAVADO]]="","",compras_mes3[[#This Row],[NETO GRAVADO]]*0.21)</f>
        <v>177719.58749999999</v>
      </c>
      <c r="J50" s="387"/>
      <c r="K50" s="387"/>
      <c r="L50" s="387"/>
      <c r="M50" s="387"/>
      <c r="N50" s="387"/>
      <c r="O50" s="387"/>
      <c r="P50" s="447">
        <f>SUM(compras_mes3[[#This Row],[NETO GRAVADO]:[Otros / No Grav.]])</f>
        <v>1024003.3375</v>
      </c>
      <c r="Q50" s="448" t="str">
        <f>IFERROR(IF(compras_mes3[[#This Row],[CUIT]]="","-",VLOOKUP(compras_mes3[[#This Row],[CUIT]],Lista_CUIT[#All],3,0)),"CUIT NO CARGADO")</f>
        <v>INSUMO</v>
      </c>
      <c r="R50" s="448">
        <f>IFERROR(IF(compras_mes3[[#This Row],[CUIT]]="","-",VLOOKUP(compras_mes3[[#This Row],[CUIT]],Lista_CUIT[#All],4,0)),"CUIT NO CARGADO")</f>
        <v>0</v>
      </c>
    </row>
    <row r="51" spans="2:18" x14ac:dyDescent="0.25">
      <c r="B51" s="441">
        <v>45729</v>
      </c>
      <c r="C51" s="442">
        <v>1</v>
      </c>
      <c r="D51" s="443">
        <v>5</v>
      </c>
      <c r="E51" s="444">
        <v>1485</v>
      </c>
      <c r="F51" s="445">
        <v>27265302225</v>
      </c>
      <c r="G51" s="446" t="str">
        <f>IFERROR(IF(compras_mes3[[#This Row],[CUIT]]="","-",VLOOKUP(compras_mes3[[#This Row],[CUIT]],Lista_CUIT[#All],2,0)),"CUIT NO CARGADO")</f>
        <v>PRADO MARISOL</v>
      </c>
      <c r="H51" s="386">
        <v>800000</v>
      </c>
      <c r="I51" s="386">
        <f>IF(compras_mes3[[#This Row],[NETO GRAVADO]]="","",compras_mes3[[#This Row],[NETO GRAVADO]]*0.21)</f>
        <v>168000</v>
      </c>
      <c r="J51" s="387"/>
      <c r="K51" s="387"/>
      <c r="L51" s="387"/>
      <c r="M51" s="387"/>
      <c r="N51" s="387"/>
      <c r="O51" s="387"/>
      <c r="P51" s="447">
        <f>SUM(compras_mes3[[#This Row],[NETO GRAVADO]:[Otros / No Grav.]])</f>
        <v>968000</v>
      </c>
      <c r="Q51" s="448" t="str">
        <f>IFERROR(IF(compras_mes3[[#This Row],[CUIT]]="","-",VLOOKUP(compras_mes3[[#This Row],[CUIT]],Lista_CUIT[#All],3,0)),"CUIT NO CARGADO")</f>
        <v>INSUMO</v>
      </c>
      <c r="R51" s="448">
        <f>IFERROR(IF(compras_mes3[[#This Row],[CUIT]]="","-",VLOOKUP(compras_mes3[[#This Row],[CUIT]],Lista_CUIT[#All],4,0)),"CUIT NO CARGADO")</f>
        <v>0</v>
      </c>
    </row>
    <row r="52" spans="2:18" x14ac:dyDescent="0.25">
      <c r="B52" s="441">
        <v>45729</v>
      </c>
      <c r="C52" s="442">
        <v>1</v>
      </c>
      <c r="D52" s="443">
        <v>3</v>
      </c>
      <c r="E52" s="444">
        <v>48480</v>
      </c>
      <c r="F52" s="445">
        <v>30711454388</v>
      </c>
      <c r="G52" s="446" t="str">
        <f>IFERROR(IF(compras_mes3[[#This Row],[CUIT]]="","-",VLOOKUP(compras_mes3[[#This Row],[CUIT]],Lista_CUIT[#All],2,0)),"CUIT NO CARGADO")</f>
        <v>LIPROT S.R.L.</v>
      </c>
      <c r="H52" s="386">
        <v>137543</v>
      </c>
      <c r="I52" s="386">
        <f>IF(compras_mes3[[#This Row],[NETO GRAVADO]]="","",compras_mes3[[#This Row],[NETO GRAVADO]]*0.21)</f>
        <v>28884.03</v>
      </c>
      <c r="J52" s="387"/>
      <c r="K52" s="387"/>
      <c r="L52" s="387"/>
      <c r="M52" s="387"/>
      <c r="N52" s="387"/>
      <c r="O52" s="387"/>
      <c r="P52" s="447">
        <f>SUM(compras_mes3[[#This Row],[NETO GRAVADO]:[Otros / No Grav.]])</f>
        <v>166427.03</v>
      </c>
      <c r="Q52" s="448" t="str">
        <f>IFERROR(IF(compras_mes3[[#This Row],[CUIT]]="","-",VLOOKUP(compras_mes3[[#This Row],[CUIT]],Lista_CUIT[#All],3,0)),"CUIT NO CARGADO")</f>
        <v>textil</v>
      </c>
      <c r="R52" s="448">
        <f>IFERROR(IF(compras_mes3[[#This Row],[CUIT]]="","-",VLOOKUP(compras_mes3[[#This Row],[CUIT]],Lista_CUIT[#All],4,0)),"CUIT NO CARGADO")</f>
        <v>0</v>
      </c>
    </row>
    <row r="53" spans="2:18" s="428" customFormat="1" x14ac:dyDescent="0.25">
      <c r="B53" s="441">
        <v>45729</v>
      </c>
      <c r="C53" s="442">
        <v>1</v>
      </c>
      <c r="D53" s="443">
        <v>2</v>
      </c>
      <c r="E53" s="444">
        <v>1151</v>
      </c>
      <c r="F53" s="445">
        <v>20272865869</v>
      </c>
      <c r="G53" s="446" t="str">
        <f>IFERROR(IF(compras_mes3[[#This Row],[CUIT]]="","-",VLOOKUP(compras_mes3[[#This Row],[CUIT]],Lista_CUIT[#All],2,0)),"CUIT NO CARGADO")</f>
        <v>DI FEO MARTIN EZEQUIEL</v>
      </c>
      <c r="H53" s="386">
        <v>87550</v>
      </c>
      <c r="I53" s="386">
        <f>IF(compras_mes3[[#This Row],[NETO GRAVADO]]="","",compras_mes3[[#This Row],[NETO GRAVADO]]*0.21)</f>
        <v>18385.5</v>
      </c>
      <c r="J53" s="387"/>
      <c r="K53" s="387"/>
      <c r="L53" s="387"/>
      <c r="M53" s="387"/>
      <c r="N53" s="387"/>
      <c r="O53" s="387"/>
      <c r="P53" s="447">
        <f>SUM(compras_mes3[[#This Row],[NETO GRAVADO]:[Otros / No Grav.]])</f>
        <v>105935.5</v>
      </c>
      <c r="Q53" s="448" t="str">
        <f>IFERROR(IF(compras_mes3[[#This Row],[CUIT]]="","-",VLOOKUP(compras_mes3[[#This Row],[CUIT]],Lista_CUIT[#All],3,0)),"CUIT NO CARGADO")</f>
        <v>INSUMOS</v>
      </c>
      <c r="R53" s="448">
        <f>IFERROR(IF(compras_mes3[[#This Row],[CUIT]]="","-",VLOOKUP(compras_mes3[[#This Row],[CUIT]],Lista_CUIT[#All],4,0)),"CUIT NO CARGADO")</f>
        <v>0</v>
      </c>
    </row>
    <row r="54" spans="2:18" s="428" customFormat="1" x14ac:dyDescent="0.25">
      <c r="B54" s="441">
        <v>45729</v>
      </c>
      <c r="C54" s="442">
        <v>1</v>
      </c>
      <c r="D54" s="443">
        <v>3</v>
      </c>
      <c r="E54" s="444">
        <v>8664</v>
      </c>
      <c r="F54" s="445">
        <v>33708218699</v>
      </c>
      <c r="G54" s="446" t="str">
        <f>IFERROR(IF(compras_mes3[[#This Row],[CUIT]]="","-",VLOOKUP(compras_mes3[[#This Row],[CUIT]],Lista_CUIT[#All],2,0)),"CUIT NO CARGADO")</f>
        <v>MANGGINI PABLO Y MANGGINI ULISES SOC. DE HECHO.</v>
      </c>
      <c r="H54" s="386">
        <v>24000</v>
      </c>
      <c r="I54" s="386">
        <f>IF(compras_mes3[[#This Row],[NETO GRAVADO]]="","",compras_mes3[[#This Row],[NETO GRAVADO]]*0.21)</f>
        <v>5040</v>
      </c>
      <c r="J54" s="387"/>
      <c r="K54" s="387"/>
      <c r="L54" s="387"/>
      <c r="M54" s="387"/>
      <c r="N54" s="387"/>
      <c r="O54" s="387"/>
      <c r="P54" s="447">
        <f>SUM(compras_mes3[[#This Row],[NETO GRAVADO]:[Otros / No Grav.]])</f>
        <v>29040</v>
      </c>
      <c r="Q54" s="448" t="str">
        <f>IFERROR(IF(compras_mes3[[#This Row],[CUIT]]="","-",VLOOKUP(compras_mes3[[#This Row],[CUIT]],Lista_CUIT[#All],3,0)),"CUIT NO CARGADO")</f>
        <v>SERVICIO</v>
      </c>
      <c r="R54" s="448">
        <f>IFERROR(IF(compras_mes3[[#This Row],[CUIT]]="","-",VLOOKUP(compras_mes3[[#This Row],[CUIT]],Lista_CUIT[#All],4,0)),"CUIT NO CARGADO")</f>
        <v>0</v>
      </c>
    </row>
    <row r="55" spans="2:18" s="428" customFormat="1" x14ac:dyDescent="0.25">
      <c r="B55" s="441">
        <v>45729</v>
      </c>
      <c r="C55" s="442">
        <v>1</v>
      </c>
      <c r="D55" s="443">
        <v>3</v>
      </c>
      <c r="E55" s="444">
        <v>48479</v>
      </c>
      <c r="F55" s="445">
        <v>30711454388</v>
      </c>
      <c r="G55" s="446" t="str">
        <f>IFERROR(IF(compras_mes3[[#This Row],[CUIT]]="","-",VLOOKUP(compras_mes3[[#This Row],[CUIT]],Lista_CUIT[#All],2,0)),"CUIT NO CARGADO")</f>
        <v>LIPROT S.R.L.</v>
      </c>
      <c r="H55" s="386">
        <v>213732</v>
      </c>
      <c r="I55" s="386">
        <f>IF(compras_mes3[[#This Row],[NETO GRAVADO]]="","",compras_mes3[[#This Row],[NETO GRAVADO]]*0.21)</f>
        <v>44883.72</v>
      </c>
      <c r="J55" s="387"/>
      <c r="K55" s="387"/>
      <c r="L55" s="387"/>
      <c r="M55" s="387"/>
      <c r="N55" s="387"/>
      <c r="O55" s="387"/>
      <c r="P55" s="447">
        <f>SUM(compras_mes3[[#This Row],[NETO GRAVADO]:[Otros / No Grav.]])</f>
        <v>258615.72</v>
      </c>
      <c r="Q55" s="448" t="str">
        <f>IFERROR(IF(compras_mes3[[#This Row],[CUIT]]="","-",VLOOKUP(compras_mes3[[#This Row],[CUIT]],Lista_CUIT[#All],3,0)),"CUIT NO CARGADO")</f>
        <v>textil</v>
      </c>
      <c r="R55" s="448">
        <f>IFERROR(IF(compras_mes3[[#This Row],[CUIT]]="","-",VLOOKUP(compras_mes3[[#This Row],[CUIT]],Lista_CUIT[#All],4,0)),"CUIT NO CARGADO")</f>
        <v>0</v>
      </c>
    </row>
    <row r="56" spans="2:18" s="428" customFormat="1" x14ac:dyDescent="0.25">
      <c r="B56" s="441">
        <v>45729</v>
      </c>
      <c r="C56" s="442">
        <v>1</v>
      </c>
      <c r="D56" s="443">
        <v>1000</v>
      </c>
      <c r="E56" s="444">
        <v>215377</v>
      </c>
      <c r="F56" s="445">
        <v>30715123483</v>
      </c>
      <c r="G56" s="446" t="str">
        <f>IFERROR(IF(compras_mes3[[#This Row],[CUIT]]="","-",VLOOKUP(compras_mes3[[#This Row],[CUIT]],Lista_CUIT[#All],2,0)),"CUIT NO CARGADO")</f>
        <v>ITPROUSER SA</v>
      </c>
      <c r="H56" s="386">
        <v>15170.24</v>
      </c>
      <c r="I56" s="386">
        <f>IF(compras_mes3[[#This Row],[NETO GRAVADO]]="","",compras_mes3[[#This Row],[NETO GRAVADO]]*0.21)</f>
        <v>3185.7503999999999</v>
      </c>
      <c r="J56" s="387"/>
      <c r="K56" s="387"/>
      <c r="L56" s="387"/>
      <c r="M56" s="387"/>
      <c r="N56" s="387"/>
      <c r="O56" s="387"/>
      <c r="P56" s="447">
        <f>SUM(compras_mes3[[#This Row],[NETO GRAVADO]:[Otros / No Grav.]])</f>
        <v>18355.990399999999</v>
      </c>
      <c r="Q56" s="448" t="str">
        <f>IFERROR(IF(compras_mes3[[#This Row],[CUIT]]="","-",VLOOKUP(compras_mes3[[#This Row],[CUIT]],Lista_CUIT[#All],3,0)),"CUIT NO CARGADO")</f>
        <v>FLETE</v>
      </c>
      <c r="R56" s="448">
        <f>IFERROR(IF(compras_mes3[[#This Row],[CUIT]]="","-",VLOOKUP(compras_mes3[[#This Row],[CUIT]],Lista_CUIT[#All],4,0)),"CUIT NO CARGADO")</f>
        <v>0</v>
      </c>
    </row>
    <row r="57" spans="2:18" s="428" customFormat="1" x14ac:dyDescent="0.25">
      <c r="B57" s="441">
        <v>45729</v>
      </c>
      <c r="C57" s="442">
        <v>1</v>
      </c>
      <c r="D57" s="443">
        <v>8</v>
      </c>
      <c r="E57" s="444">
        <v>1763</v>
      </c>
      <c r="F57" s="445">
        <v>30708973501</v>
      </c>
      <c r="G57" s="446" t="str">
        <f>IFERROR(IF(compras_mes3[[#This Row],[CUIT]]="","-",VLOOKUP(compras_mes3[[#This Row],[CUIT]],Lista_CUIT[#All],2,0)),"CUIT NO CARGADO")</f>
        <v>ASIAL SRL</v>
      </c>
      <c r="H57" s="386">
        <v>616271</v>
      </c>
      <c r="I57" s="386">
        <f>IF(compras_mes3[[#This Row],[NETO GRAVADO]]="","",compras_mes3[[#This Row],[NETO GRAVADO]]*0.21)</f>
        <v>129416.90999999999</v>
      </c>
      <c r="J57" s="387"/>
      <c r="K57" s="387"/>
      <c r="L57" s="387"/>
      <c r="M57" s="387"/>
      <c r="N57" s="387"/>
      <c r="O57" s="387"/>
      <c r="P57" s="447">
        <f>SUM(compras_mes3[[#This Row],[NETO GRAVADO]:[Otros / No Grav.]])</f>
        <v>745687.91</v>
      </c>
      <c r="Q57" s="448" t="str">
        <f>IFERROR(IF(compras_mes3[[#This Row],[CUIT]]="","-",VLOOKUP(compras_mes3[[#This Row],[CUIT]],Lista_CUIT[#All],3,0)),"CUIT NO CARGADO")</f>
        <v>INSUMO</v>
      </c>
      <c r="R57" s="448">
        <f>IFERROR(IF(compras_mes3[[#This Row],[CUIT]]="","-",VLOOKUP(compras_mes3[[#This Row],[CUIT]],Lista_CUIT[#All],4,0)),"CUIT NO CARGADO")</f>
        <v>0</v>
      </c>
    </row>
    <row r="58" spans="2:18" s="428" customFormat="1" x14ac:dyDescent="0.25">
      <c r="B58" s="441">
        <v>45730</v>
      </c>
      <c r="C58" s="442">
        <v>1</v>
      </c>
      <c r="D58" s="443">
        <v>2</v>
      </c>
      <c r="E58" s="444">
        <v>2175</v>
      </c>
      <c r="F58" s="445">
        <v>20238470502</v>
      </c>
      <c r="G58" s="446" t="str">
        <f>IFERROR(IF(compras_mes3[[#This Row],[CUIT]]="","-",VLOOKUP(compras_mes3[[#This Row],[CUIT]],Lista_CUIT[#All],2,0)),"CUIT NO CARGADO")</f>
        <v>ALCOCER MARIO DANIEL</v>
      </c>
      <c r="H58" s="386">
        <v>2150000</v>
      </c>
      <c r="I58" s="386">
        <f>IF(compras_mes3[[#This Row],[NETO GRAVADO]]="","",compras_mes3[[#This Row],[NETO GRAVADO]]*0.21)</f>
        <v>451500</v>
      </c>
      <c r="J58" s="387"/>
      <c r="K58" s="387"/>
      <c r="L58" s="387"/>
      <c r="M58" s="387"/>
      <c r="N58" s="387"/>
      <c r="O58" s="387"/>
      <c r="P58" s="447">
        <f>SUM(compras_mes3[[#This Row],[NETO GRAVADO]:[Otros / No Grav.]])</f>
        <v>2601500</v>
      </c>
      <c r="Q58" s="448" t="str">
        <f>IFERROR(IF(compras_mes3[[#This Row],[CUIT]]="","-",VLOOKUP(compras_mes3[[#This Row],[CUIT]],Lista_CUIT[#All],3,0)),"CUIT NO CARGADO")</f>
        <v>INSUMOS</v>
      </c>
      <c r="R58" s="448">
        <f>IFERROR(IF(compras_mes3[[#This Row],[CUIT]]="","-",VLOOKUP(compras_mes3[[#This Row],[CUIT]],Lista_CUIT[#All],4,0)),"CUIT NO CARGADO")</f>
        <v>0</v>
      </c>
    </row>
    <row r="59" spans="2:18" s="428" customFormat="1" x14ac:dyDescent="0.25">
      <c r="B59" s="441">
        <v>45730</v>
      </c>
      <c r="C59" s="442">
        <v>1</v>
      </c>
      <c r="D59" s="443">
        <v>2</v>
      </c>
      <c r="E59" s="444">
        <v>1153</v>
      </c>
      <c r="F59" s="445">
        <v>20272865869</v>
      </c>
      <c r="G59" s="446" t="str">
        <f>IFERROR(IF(compras_mes3[[#This Row],[CUIT]]="","-",VLOOKUP(compras_mes3[[#This Row],[CUIT]],Lista_CUIT[#All],2,0)),"CUIT NO CARGADO")</f>
        <v>DI FEO MARTIN EZEQUIEL</v>
      </c>
      <c r="H59" s="386">
        <v>180000</v>
      </c>
      <c r="I59" s="386">
        <f>IF(compras_mes3[[#This Row],[NETO GRAVADO]]="","",compras_mes3[[#This Row],[NETO GRAVADO]]*0.21)</f>
        <v>37800</v>
      </c>
      <c r="J59" s="387"/>
      <c r="K59" s="387"/>
      <c r="L59" s="387"/>
      <c r="M59" s="387"/>
      <c r="N59" s="387"/>
      <c r="O59" s="387"/>
      <c r="P59" s="447">
        <f>SUM(compras_mes3[[#This Row],[NETO GRAVADO]:[Otros / No Grav.]])</f>
        <v>217800</v>
      </c>
      <c r="Q59" s="448" t="str">
        <f>IFERROR(IF(compras_mes3[[#This Row],[CUIT]]="","-",VLOOKUP(compras_mes3[[#This Row],[CUIT]],Lista_CUIT[#All],3,0)),"CUIT NO CARGADO")</f>
        <v>INSUMOS</v>
      </c>
      <c r="R59" s="448">
        <f>IFERROR(IF(compras_mes3[[#This Row],[CUIT]]="","-",VLOOKUP(compras_mes3[[#This Row],[CUIT]],Lista_CUIT[#All],4,0)),"CUIT NO CARGADO")</f>
        <v>0</v>
      </c>
    </row>
    <row r="60" spans="2:18" s="428" customFormat="1" x14ac:dyDescent="0.25">
      <c r="B60" s="441">
        <v>45730</v>
      </c>
      <c r="C60" s="442">
        <v>1</v>
      </c>
      <c r="D60" s="443">
        <v>3</v>
      </c>
      <c r="E60" s="444">
        <v>48502</v>
      </c>
      <c r="F60" s="445">
        <v>30711454388</v>
      </c>
      <c r="G60" s="446" t="str">
        <f>IFERROR(IF(compras_mes3[[#This Row],[CUIT]]="","-",VLOOKUP(compras_mes3[[#This Row],[CUIT]],Lista_CUIT[#All],2,0)),"CUIT NO CARGADO")</f>
        <v>LIPROT S.R.L.</v>
      </c>
      <c r="H60" s="386">
        <v>42275</v>
      </c>
      <c r="I60" s="386">
        <f>IF(compras_mes3[[#This Row],[NETO GRAVADO]]="","",compras_mes3[[#This Row],[NETO GRAVADO]]*0.21)</f>
        <v>8877.75</v>
      </c>
      <c r="J60" s="387"/>
      <c r="K60" s="387"/>
      <c r="L60" s="387"/>
      <c r="M60" s="387"/>
      <c r="N60" s="387"/>
      <c r="O60" s="387"/>
      <c r="P60" s="447">
        <f>SUM(compras_mes3[[#This Row],[NETO GRAVADO]:[Otros / No Grav.]])</f>
        <v>51152.75</v>
      </c>
      <c r="Q60" s="448" t="str">
        <f>IFERROR(IF(compras_mes3[[#This Row],[CUIT]]="","-",VLOOKUP(compras_mes3[[#This Row],[CUIT]],Lista_CUIT[#All],3,0)),"CUIT NO CARGADO")</f>
        <v>textil</v>
      </c>
      <c r="R60" s="448">
        <f>IFERROR(IF(compras_mes3[[#This Row],[CUIT]]="","-",VLOOKUP(compras_mes3[[#This Row],[CUIT]],Lista_CUIT[#All],4,0)),"CUIT NO CARGADO")</f>
        <v>0</v>
      </c>
    </row>
    <row r="61" spans="2:18" s="428" customFormat="1" x14ac:dyDescent="0.25">
      <c r="B61" s="441">
        <v>45730</v>
      </c>
      <c r="C61" s="442">
        <v>1</v>
      </c>
      <c r="D61" s="443">
        <v>5</v>
      </c>
      <c r="E61" s="444">
        <v>2281</v>
      </c>
      <c r="F61" s="445">
        <v>30712187316</v>
      </c>
      <c r="G61" s="446" t="str">
        <f>IFERROR(IF(compras_mes3[[#This Row],[CUIT]]="","-",VLOOKUP(compras_mes3[[#This Row],[CUIT]],Lista_CUIT[#All],2,0)),"CUIT NO CARGADO")</f>
        <v>ITALOMED PRODUCTOS SRL</v>
      </c>
      <c r="H61" s="386">
        <v>294807.15000000002</v>
      </c>
      <c r="I61" s="386">
        <f>IF(compras_mes3[[#This Row],[NETO GRAVADO]]="","",compras_mes3[[#This Row],[NETO GRAVADO]]*0.21)</f>
        <v>61909.501500000006</v>
      </c>
      <c r="J61" s="387"/>
      <c r="K61" s="387"/>
      <c r="L61" s="387"/>
      <c r="M61" s="387"/>
      <c r="N61" s="387"/>
      <c r="O61" s="387"/>
      <c r="P61" s="447">
        <f>SUM(compras_mes3[[#This Row],[NETO GRAVADO]:[Otros / No Grav.]])</f>
        <v>356716.65150000004</v>
      </c>
      <c r="Q61" s="448" t="str">
        <f>IFERROR(IF(compras_mes3[[#This Row],[CUIT]]="","-",VLOOKUP(compras_mes3[[#This Row],[CUIT]],Lista_CUIT[#All],3,0)),"CUIT NO CARGADO")</f>
        <v>INSUMO</v>
      </c>
      <c r="R61" s="448">
        <f>IFERROR(IF(compras_mes3[[#This Row],[CUIT]]="","-",VLOOKUP(compras_mes3[[#This Row],[CUIT]],Lista_CUIT[#All],4,0)),"CUIT NO CARGADO")</f>
        <v>0</v>
      </c>
    </row>
    <row r="62" spans="2:18" x14ac:dyDescent="0.25">
      <c r="B62" s="441">
        <v>45730</v>
      </c>
      <c r="C62" s="442">
        <v>1</v>
      </c>
      <c r="D62" s="443">
        <v>4</v>
      </c>
      <c r="E62" s="444">
        <v>39596</v>
      </c>
      <c r="F62" s="445">
        <v>20289111329</v>
      </c>
      <c r="G62" s="446" t="str">
        <f>IFERROR(IF(compras_mes3[[#This Row],[CUIT]]="","-",VLOOKUP(compras_mes3[[#This Row],[CUIT]],Lista_CUIT[#All],2,0)),"CUIT NO CARGADO")</f>
        <v>R. N. LEDESMA</v>
      </c>
      <c r="H62" s="386">
        <v>585348.09</v>
      </c>
      <c r="I62" s="386">
        <f>IF(compras_mes3[[#This Row],[NETO GRAVADO]]="","",compras_mes3[[#This Row],[NETO GRAVADO]]*0.21)</f>
        <v>122923.09889999998</v>
      </c>
      <c r="J62" s="387"/>
      <c r="K62" s="387"/>
      <c r="L62" s="387"/>
      <c r="M62" s="387"/>
      <c r="N62" s="387"/>
      <c r="O62" s="387"/>
      <c r="P62" s="447">
        <f>SUM(compras_mes3[[#This Row],[NETO GRAVADO]:[Otros / No Grav.]])</f>
        <v>708271.18889999995</v>
      </c>
      <c r="Q62" s="448" t="str">
        <f>IFERROR(IF(compras_mes3[[#This Row],[CUIT]]="","-",VLOOKUP(compras_mes3[[#This Row],[CUIT]],Lista_CUIT[#All],3,0)),"CUIT NO CARGADO")</f>
        <v>Insumo</v>
      </c>
      <c r="R62" s="448">
        <f>IFERROR(IF(compras_mes3[[#This Row],[CUIT]]="","-",VLOOKUP(compras_mes3[[#This Row],[CUIT]],Lista_CUIT[#All],4,0)),"CUIT NO CARGADO")</f>
        <v>0</v>
      </c>
    </row>
    <row r="63" spans="2:18" s="428" customFormat="1" x14ac:dyDescent="0.25">
      <c r="B63" s="441">
        <v>45730</v>
      </c>
      <c r="C63" s="442">
        <v>1</v>
      </c>
      <c r="D63" s="443">
        <v>104</v>
      </c>
      <c r="E63" s="444">
        <v>8427202</v>
      </c>
      <c r="F63" s="445">
        <v>30715804812</v>
      </c>
      <c r="G63" s="446" t="str">
        <f>IFERROR(IF(compras_mes3[[#This Row],[CUIT]]="","-",VLOOKUP(compras_mes3[[#This Row],[CUIT]],Lista_CUIT[#All],2,0)),"CUIT NO CARGADO")</f>
        <v>CORREDORES VIALES SOCIEDAD ANONIMA</v>
      </c>
      <c r="H63" s="386">
        <v>2079.9699999999998</v>
      </c>
      <c r="I63" s="386">
        <f>IF(compras_mes3[[#This Row],[NETO GRAVADO]]="","",compras_mes3[[#This Row],[NETO GRAVADO]]*0.21)</f>
        <v>436.79369999999994</v>
      </c>
      <c r="J63" s="387"/>
      <c r="K63" s="387"/>
      <c r="L63" s="387"/>
      <c r="M63" s="387"/>
      <c r="N63" s="387"/>
      <c r="O63" s="387"/>
      <c r="P63" s="447">
        <f>SUM(compras_mes3[[#This Row],[NETO GRAVADO]:[Otros / No Grav.]])</f>
        <v>2516.7636999999995</v>
      </c>
      <c r="Q63" s="448" t="str">
        <f>IFERROR(IF(compras_mes3[[#This Row],[CUIT]]="","-",VLOOKUP(compras_mes3[[#This Row],[CUIT]],Lista_CUIT[#All],3,0)),"CUIT NO CARGADO")</f>
        <v>Autopista</v>
      </c>
      <c r="R63" s="448">
        <f>IFERROR(IF(compras_mes3[[#This Row],[CUIT]]="","-",VLOOKUP(compras_mes3[[#This Row],[CUIT]],Lista_CUIT[#All],4,0)),"CUIT NO CARGADO")</f>
        <v>0</v>
      </c>
    </row>
    <row r="64" spans="2:18" s="428" customFormat="1" x14ac:dyDescent="0.25">
      <c r="B64" s="441">
        <v>45730</v>
      </c>
      <c r="C64" s="442">
        <v>1</v>
      </c>
      <c r="D64" s="443">
        <v>104</v>
      </c>
      <c r="E64" s="444">
        <v>8464397</v>
      </c>
      <c r="F64" s="445">
        <v>30715804812</v>
      </c>
      <c r="G64" s="446" t="str">
        <f>IFERROR(IF(compras_mes3[[#This Row],[CUIT]]="","-",VLOOKUP(compras_mes3[[#This Row],[CUIT]],Lista_CUIT[#All],2,0)),"CUIT NO CARGADO")</f>
        <v>CORREDORES VIALES SOCIEDAD ANONIMA</v>
      </c>
      <c r="H64" s="386">
        <v>1804.5</v>
      </c>
      <c r="I64" s="386">
        <f>IF(compras_mes3[[#This Row],[NETO GRAVADO]]="","",compras_mes3[[#This Row],[NETO GRAVADO]]*0.21)</f>
        <v>378.94499999999999</v>
      </c>
      <c r="J64" s="387"/>
      <c r="K64" s="387"/>
      <c r="L64" s="387"/>
      <c r="M64" s="387"/>
      <c r="N64" s="387"/>
      <c r="O64" s="387"/>
      <c r="P64" s="447">
        <f>SUM(compras_mes3[[#This Row],[NETO GRAVADO]:[Otros / No Grav.]])</f>
        <v>2183.4450000000002</v>
      </c>
      <c r="Q64" s="448" t="str">
        <f>IFERROR(IF(compras_mes3[[#This Row],[CUIT]]="","-",VLOOKUP(compras_mes3[[#This Row],[CUIT]],Lista_CUIT[#All],3,0)),"CUIT NO CARGADO")</f>
        <v>Autopista</v>
      </c>
      <c r="R64" s="448">
        <f>IFERROR(IF(compras_mes3[[#This Row],[CUIT]]="","-",VLOOKUP(compras_mes3[[#This Row],[CUIT]],Lista_CUIT[#All],4,0)),"CUIT NO CARGADO")</f>
        <v>0</v>
      </c>
    </row>
    <row r="65" spans="2:18" s="428" customFormat="1" x14ac:dyDescent="0.25">
      <c r="B65" s="441">
        <v>45730</v>
      </c>
      <c r="C65" s="442">
        <v>1</v>
      </c>
      <c r="D65" s="443">
        <v>503</v>
      </c>
      <c r="E65" s="444">
        <v>1763876</v>
      </c>
      <c r="F65" s="445">
        <v>30639935872</v>
      </c>
      <c r="G65" s="446" t="str">
        <f>IFERROR(IF(compras_mes3[[#This Row],[CUIT]]="","-",VLOOKUP(compras_mes3[[#This Row],[CUIT]],Lista_CUIT[#All],2,0)),"CUIT NO CARGADO")</f>
        <v>CAMINOS DEL RIO URUGUAY S A DE CONSTRUCCIONES Y CONCESIONES VIALES</v>
      </c>
      <c r="H65" s="386">
        <v>3471.36</v>
      </c>
      <c r="I65" s="386">
        <f>IF(compras_mes3[[#This Row],[NETO GRAVADO]]="","",compras_mes3[[#This Row],[NETO GRAVADO]]*0.21)</f>
        <v>728.98559999999998</v>
      </c>
      <c r="J65" s="387"/>
      <c r="K65" s="387"/>
      <c r="L65" s="387"/>
      <c r="M65" s="387"/>
      <c r="N65" s="387"/>
      <c r="O65" s="387"/>
      <c r="P65" s="447">
        <f>SUM(compras_mes3[[#This Row],[NETO GRAVADO]:[Otros / No Grav.]])</f>
        <v>4200.3456000000006</v>
      </c>
      <c r="Q65" s="448" t="str">
        <f>IFERROR(IF(compras_mes3[[#This Row],[CUIT]]="","-",VLOOKUP(compras_mes3[[#This Row],[CUIT]],Lista_CUIT[#All],3,0)),"CUIT NO CARGADO")</f>
        <v>PEAJE</v>
      </c>
      <c r="R65" s="448">
        <f>IFERROR(IF(compras_mes3[[#This Row],[CUIT]]="","-",VLOOKUP(compras_mes3[[#This Row],[CUIT]],Lista_CUIT[#All],4,0)),"CUIT NO CARGADO")</f>
        <v>0</v>
      </c>
    </row>
    <row r="66" spans="2:18" s="428" customFormat="1" x14ac:dyDescent="0.25">
      <c r="B66" s="441">
        <v>45731</v>
      </c>
      <c r="C66" s="442">
        <v>1</v>
      </c>
      <c r="D66" s="443">
        <v>5015</v>
      </c>
      <c r="E66" s="444">
        <v>781809</v>
      </c>
      <c r="F66" s="445">
        <v>30574876474</v>
      </c>
      <c r="G66" s="446" t="str">
        <f>IFERROR(IF(compras_mes3[[#This Row],[CUIT]]="","-",VLOOKUP(compras_mes3[[#This Row],[CUIT]],Lista_CUIT[#All],2,0)),"CUIT NO CARGADO")</f>
        <v>AUTOP. URBANAS SA</v>
      </c>
      <c r="H66" s="386">
        <v>17603.13</v>
      </c>
      <c r="I66" s="386">
        <f>IF(compras_mes3[[#This Row],[NETO GRAVADO]]="","",compras_mes3[[#This Row],[NETO GRAVADO]]*0.21)</f>
        <v>3696.6572999999999</v>
      </c>
      <c r="J66" s="387"/>
      <c r="K66" s="387"/>
      <c r="L66" s="387"/>
      <c r="M66" s="387"/>
      <c r="N66" s="387"/>
      <c r="O66" s="387"/>
      <c r="P66" s="447">
        <f>SUM(compras_mes3[[#This Row],[NETO GRAVADO]:[Otros / No Grav.]])</f>
        <v>21299.7873</v>
      </c>
      <c r="Q66" s="448" t="str">
        <f>IFERROR(IF(compras_mes3[[#This Row],[CUIT]]="","-",VLOOKUP(compras_mes3[[#This Row],[CUIT]],Lista_CUIT[#All],3,0)),"CUIT NO CARGADO")</f>
        <v>PEAJE</v>
      </c>
      <c r="R66" s="448">
        <f>IFERROR(IF(compras_mes3[[#This Row],[CUIT]]="","-",VLOOKUP(compras_mes3[[#This Row],[CUIT]],Lista_CUIT[#All],4,0)),"CUIT NO CARGADO")</f>
        <v>0</v>
      </c>
    </row>
    <row r="67" spans="2:18" x14ac:dyDescent="0.25">
      <c r="B67" s="441">
        <v>45731</v>
      </c>
      <c r="C67" s="442">
        <v>1</v>
      </c>
      <c r="D67" s="443">
        <v>50</v>
      </c>
      <c r="E67" s="444">
        <v>4203839</v>
      </c>
      <c r="F67" s="445">
        <v>30714112836</v>
      </c>
      <c r="G67" s="446" t="str">
        <f>IFERROR(IF(compras_mes3[[#This Row],[CUIT]]="","-",VLOOKUP(compras_mes3[[#This Row],[CUIT]],Lista_CUIT[#All],2,0)),"CUIT NO CARGADO")</f>
        <v>AUTOPISTAS DE BUENOS AIRES (AUBASA) SA</v>
      </c>
      <c r="H67" s="386">
        <v>4495.2700000000004</v>
      </c>
      <c r="I67" s="386">
        <f>IF(compras_mes3[[#This Row],[NETO GRAVADO]]="","",compras_mes3[[#This Row],[NETO GRAVADO]]*0.21)</f>
        <v>944.00670000000002</v>
      </c>
      <c r="J67" s="387"/>
      <c r="K67" s="387"/>
      <c r="L67" s="387"/>
      <c r="M67" s="387"/>
      <c r="N67" s="387"/>
      <c r="O67" s="387"/>
      <c r="P67" s="447">
        <f>SUM(compras_mes3[[#This Row],[NETO GRAVADO]:[Otros / No Grav.]])</f>
        <v>5439.2767000000003</v>
      </c>
      <c r="Q67" s="448" t="str">
        <f>IFERROR(IF(compras_mes3[[#This Row],[CUIT]]="","-",VLOOKUP(compras_mes3[[#This Row],[CUIT]],Lista_CUIT[#All],3,0)),"CUIT NO CARGADO")</f>
        <v>Autopista</v>
      </c>
      <c r="R67" s="448">
        <f>IFERROR(IF(compras_mes3[[#This Row],[CUIT]]="","-",VLOOKUP(compras_mes3[[#This Row],[CUIT]],Lista_CUIT[#All],4,0)),"CUIT NO CARGADO")</f>
        <v>0</v>
      </c>
    </row>
    <row r="68" spans="2:18" x14ac:dyDescent="0.25">
      <c r="B68" s="441">
        <v>45731</v>
      </c>
      <c r="C68" s="442">
        <v>1</v>
      </c>
      <c r="D68" s="443">
        <v>50</v>
      </c>
      <c r="E68" s="444">
        <v>4203840</v>
      </c>
      <c r="F68" s="445">
        <v>30714112836</v>
      </c>
      <c r="G68" s="446" t="str">
        <f>IFERROR(IF(compras_mes3[[#This Row],[CUIT]]="","-",VLOOKUP(compras_mes3[[#This Row],[CUIT]],Lista_CUIT[#All],2,0)),"CUIT NO CARGADO")</f>
        <v>AUTOPISTAS DE BUENOS AIRES (AUBASA) SA</v>
      </c>
      <c r="H68" s="386">
        <v>1322.14</v>
      </c>
      <c r="I68" s="386">
        <f>IF(compras_mes3[[#This Row],[NETO GRAVADO]]="","",compras_mes3[[#This Row],[NETO GRAVADO]]*0.21)</f>
        <v>277.64940000000001</v>
      </c>
      <c r="J68" s="387"/>
      <c r="K68" s="387"/>
      <c r="L68" s="387"/>
      <c r="M68" s="387"/>
      <c r="N68" s="387"/>
      <c r="O68" s="387"/>
      <c r="P68" s="447">
        <f>SUM(compras_mes3[[#This Row],[NETO GRAVADO]:[Otros / No Grav.]])</f>
        <v>1599.7894000000001</v>
      </c>
      <c r="Q68" s="448" t="str">
        <f>IFERROR(IF(compras_mes3[[#This Row],[CUIT]]="","-",VLOOKUP(compras_mes3[[#This Row],[CUIT]],Lista_CUIT[#All],3,0)),"CUIT NO CARGADO")</f>
        <v>Autopista</v>
      </c>
      <c r="R68" s="448">
        <f>IFERROR(IF(compras_mes3[[#This Row],[CUIT]]="","-",VLOOKUP(compras_mes3[[#This Row],[CUIT]],Lista_CUIT[#All],4,0)),"CUIT NO CARGADO")</f>
        <v>0</v>
      </c>
    </row>
    <row r="69" spans="2:18" s="428" customFormat="1" x14ac:dyDescent="0.25">
      <c r="B69" s="441">
        <v>45731</v>
      </c>
      <c r="C69" s="442">
        <v>1</v>
      </c>
      <c r="D69" s="443">
        <v>113</v>
      </c>
      <c r="E69" s="444">
        <v>4122520</v>
      </c>
      <c r="F69" s="445">
        <v>30577207190</v>
      </c>
      <c r="G69" s="446" t="str">
        <f>IFERROR(IF(compras_mes3[[#This Row],[CUIT]]="","-",VLOOKUP(compras_mes3[[#This Row],[CUIT]],Lista_CUIT[#All],2,0)),"CUIT NO CARGADO")</f>
        <v>COORDINACION ECOLOGICA AREA METROPOLITANA SOCIEDAD DEL ESTADO</v>
      </c>
      <c r="H69" s="386">
        <v>2479.34</v>
      </c>
      <c r="I69" s="386">
        <f>IF(compras_mes3[[#This Row],[NETO GRAVADO]]="","",compras_mes3[[#This Row],[NETO GRAVADO]]*0.21)</f>
        <v>520.66139999999996</v>
      </c>
      <c r="J69" s="387"/>
      <c r="K69" s="387"/>
      <c r="L69" s="387"/>
      <c r="M69" s="387"/>
      <c r="N69" s="387"/>
      <c r="O69" s="387"/>
      <c r="P69" s="447">
        <f>SUM(compras_mes3[[#This Row],[NETO GRAVADO]:[Otros / No Grav.]])</f>
        <v>3000.0014000000001</v>
      </c>
      <c r="Q69" s="448" t="str">
        <f>IFERROR(IF(compras_mes3[[#This Row],[CUIT]]="","-",VLOOKUP(compras_mes3[[#This Row],[CUIT]],Lista_CUIT[#All],3,0)),"CUIT NO CARGADO")</f>
        <v>gastos varios</v>
      </c>
      <c r="R69" s="448">
        <f>IFERROR(IF(compras_mes3[[#This Row],[CUIT]]="","-",VLOOKUP(compras_mes3[[#This Row],[CUIT]],Lista_CUIT[#All],4,0)),"CUIT NO CARGADO")</f>
        <v>0</v>
      </c>
    </row>
    <row r="70" spans="2:18" s="428" customFormat="1" x14ac:dyDescent="0.25">
      <c r="B70" s="441">
        <v>45731</v>
      </c>
      <c r="C70" s="442">
        <v>1</v>
      </c>
      <c r="D70" s="443">
        <v>5009</v>
      </c>
      <c r="E70" s="444">
        <v>1272797</v>
      </c>
      <c r="F70" s="445">
        <v>30574876474</v>
      </c>
      <c r="G70" s="446" t="str">
        <f>IFERROR(IF(compras_mes3[[#This Row],[CUIT]]="","-",VLOOKUP(compras_mes3[[#This Row],[CUIT]],Lista_CUIT[#All],2,0)),"CUIT NO CARGADO")</f>
        <v>AUTOP. URBANAS SA</v>
      </c>
      <c r="H70" s="386">
        <v>1820.64</v>
      </c>
      <c r="I70" s="386">
        <f>IF(compras_mes3[[#This Row],[NETO GRAVADO]]="","",compras_mes3[[#This Row],[NETO GRAVADO]]*0.21)</f>
        <v>382.33440000000002</v>
      </c>
      <c r="J70" s="387"/>
      <c r="K70" s="387"/>
      <c r="L70" s="387"/>
      <c r="M70" s="387"/>
      <c r="N70" s="387"/>
      <c r="O70" s="387"/>
      <c r="P70" s="447">
        <f>SUM(compras_mes3[[#This Row],[NETO GRAVADO]:[Otros / No Grav.]])</f>
        <v>2202.9744000000001</v>
      </c>
      <c r="Q70" s="448" t="str">
        <f>IFERROR(IF(compras_mes3[[#This Row],[CUIT]]="","-",VLOOKUP(compras_mes3[[#This Row],[CUIT]],Lista_CUIT[#All],3,0)),"CUIT NO CARGADO")</f>
        <v>PEAJE</v>
      </c>
      <c r="R70" s="448">
        <f>IFERROR(IF(compras_mes3[[#This Row],[CUIT]]="","-",VLOOKUP(compras_mes3[[#This Row],[CUIT]],Lista_CUIT[#All],4,0)),"CUIT NO CARGADO")</f>
        <v>0</v>
      </c>
    </row>
    <row r="71" spans="2:18" s="428" customFormat="1" x14ac:dyDescent="0.25">
      <c r="B71" s="441">
        <v>45732</v>
      </c>
      <c r="C71" s="442">
        <v>1</v>
      </c>
      <c r="D71" s="443">
        <v>629</v>
      </c>
      <c r="E71" s="444">
        <v>5940679</v>
      </c>
      <c r="F71" s="445">
        <v>30663498513</v>
      </c>
      <c r="G71" s="446" t="str">
        <f>IFERROR(IF(compras_mes3[[#This Row],[CUIT]]="","-",VLOOKUP(compras_mes3[[#This Row],[CUIT]],Lista_CUIT[#All],2,0)),"CUIT NO CARGADO")</f>
        <v>GRUPO CONCES. DEL OESTE SA</v>
      </c>
      <c r="H71" s="386">
        <v>3813.27</v>
      </c>
      <c r="I71" s="386">
        <f>IF(compras_mes3[[#This Row],[NETO GRAVADO]]="","",compras_mes3[[#This Row],[NETO GRAVADO]]*0.21)</f>
        <v>800.7867</v>
      </c>
      <c r="J71" s="387"/>
      <c r="K71" s="387"/>
      <c r="L71" s="387"/>
      <c r="M71" s="387"/>
      <c r="N71" s="387"/>
      <c r="O71" s="387"/>
      <c r="P71" s="447">
        <f>SUM(compras_mes3[[#This Row],[NETO GRAVADO]:[Otros / No Grav.]])</f>
        <v>4614.0567000000001</v>
      </c>
      <c r="Q71" s="448" t="str">
        <f>IFERROR(IF(compras_mes3[[#This Row],[CUIT]]="","-",VLOOKUP(compras_mes3[[#This Row],[CUIT]],Lista_CUIT[#All],3,0)),"CUIT NO CARGADO")</f>
        <v>Autopista</v>
      </c>
      <c r="R71" s="448">
        <f>IFERROR(IF(compras_mes3[[#This Row],[CUIT]]="","-",VLOOKUP(compras_mes3[[#This Row],[CUIT]],Lista_CUIT[#All],4,0)),"CUIT NO CARGADO")</f>
        <v>0</v>
      </c>
    </row>
    <row r="72" spans="2:18" s="428" customFormat="1" x14ac:dyDescent="0.25">
      <c r="B72" s="441">
        <v>45732</v>
      </c>
      <c r="C72" s="442">
        <v>1</v>
      </c>
      <c r="D72" s="443">
        <v>711</v>
      </c>
      <c r="E72" s="444">
        <v>6867805</v>
      </c>
      <c r="F72" s="445">
        <v>30677237119</v>
      </c>
      <c r="G72" s="446" t="str">
        <f>IFERROR(IF(compras_mes3[[#This Row],[CUIT]]="","-",VLOOKUP(compras_mes3[[#This Row],[CUIT]],Lista_CUIT[#All],2,0)),"CUIT NO CARGADO")</f>
        <v>AUTOPISTAS DEL SOL SA</v>
      </c>
      <c r="H72" s="386">
        <v>4448.7700000000004</v>
      </c>
      <c r="I72" s="386">
        <f>IF(compras_mes3[[#This Row],[NETO GRAVADO]]="","",compras_mes3[[#This Row],[NETO GRAVADO]]*0.21)</f>
        <v>934.24170000000004</v>
      </c>
      <c r="J72" s="387"/>
      <c r="K72" s="387"/>
      <c r="L72" s="387">
        <v>133.46</v>
      </c>
      <c r="M72" s="387"/>
      <c r="N72" s="387"/>
      <c r="O72" s="387">
        <v>133.46</v>
      </c>
      <c r="P72" s="447">
        <f>SUM(compras_mes3[[#This Row],[NETO GRAVADO]:[Otros / No Grav.]])</f>
        <v>5649.931700000001</v>
      </c>
      <c r="Q72" s="448" t="str">
        <f>IFERROR(IF(compras_mes3[[#This Row],[CUIT]]="","-",VLOOKUP(compras_mes3[[#This Row],[CUIT]],Lista_CUIT[#All],3,0)),"CUIT NO CARGADO")</f>
        <v>Autopista</v>
      </c>
      <c r="R72" s="448">
        <f>IFERROR(IF(compras_mes3[[#This Row],[CUIT]]="","-",VLOOKUP(compras_mes3[[#This Row],[CUIT]],Lista_CUIT[#All],4,0)),"CUIT NO CARGADO")</f>
        <v>0</v>
      </c>
    </row>
    <row r="73" spans="2:18" s="428" customFormat="1" x14ac:dyDescent="0.25">
      <c r="B73" s="441">
        <v>45733</v>
      </c>
      <c r="C73" s="442">
        <v>1</v>
      </c>
      <c r="D73" s="443">
        <v>5</v>
      </c>
      <c r="E73" s="444">
        <v>40</v>
      </c>
      <c r="F73" s="445">
        <v>20929183143</v>
      </c>
      <c r="G73" s="446" t="str">
        <f>IFERROR(IF(compras_mes3[[#This Row],[CUIT]]="","-",VLOOKUP(compras_mes3[[#This Row],[CUIT]],Lista_CUIT[#All],2,0)),"CUIT NO CARGADO")</f>
        <v>MA JUN</v>
      </c>
      <c r="H73" s="386">
        <v>70000</v>
      </c>
      <c r="I73" s="386">
        <f>IF(compras_mes3[[#This Row],[NETO GRAVADO]]="","",compras_mes3[[#This Row],[NETO GRAVADO]]*0.21)</f>
        <v>14700</v>
      </c>
      <c r="J73" s="387"/>
      <c r="K73" s="387"/>
      <c r="L73" s="387"/>
      <c r="M73" s="387"/>
      <c r="N73" s="387"/>
      <c r="O73" s="387"/>
      <c r="P73" s="447">
        <f>SUM(compras_mes3[[#This Row],[NETO GRAVADO]:[Otros / No Grav.]])</f>
        <v>84700</v>
      </c>
      <c r="Q73" s="448" t="str">
        <f>IFERROR(IF(compras_mes3[[#This Row],[CUIT]]="","-",VLOOKUP(compras_mes3[[#This Row],[CUIT]],Lista_CUIT[#All],3,0)),"CUIT NO CARGADO")</f>
        <v>Gastos Varios</v>
      </c>
      <c r="R73" s="448">
        <f>IFERROR(IF(compras_mes3[[#This Row],[CUIT]]="","-",VLOOKUP(compras_mes3[[#This Row],[CUIT]],Lista_CUIT[#All],4,0)),"CUIT NO CARGADO")</f>
        <v>0</v>
      </c>
    </row>
    <row r="74" spans="2:18" s="428" customFormat="1" x14ac:dyDescent="0.25">
      <c r="B74" s="441">
        <v>45733</v>
      </c>
      <c r="C74" s="442">
        <v>1</v>
      </c>
      <c r="D74" s="443">
        <v>7</v>
      </c>
      <c r="E74" s="444">
        <v>20435</v>
      </c>
      <c r="F74" s="445">
        <v>30709214078</v>
      </c>
      <c r="G74" s="446" t="str">
        <f>IFERROR(IF(compras_mes3[[#This Row],[CUIT]]="","-",VLOOKUP(compras_mes3[[#This Row],[CUIT]],Lista_CUIT[#All],2,0)),"CUIT NO CARGADO")</f>
        <v>REHAVITA S.A</v>
      </c>
      <c r="H74" s="386">
        <v>250800</v>
      </c>
      <c r="I74" s="386"/>
      <c r="J74" s="387"/>
      <c r="K74" s="387">
        <f>compras_mes3[[#This Row],[NETO GRAVADO]]*10.5/100</f>
        <v>26334</v>
      </c>
      <c r="L74" s="387"/>
      <c r="M74" s="387"/>
      <c r="N74" s="387"/>
      <c r="O74" s="387"/>
      <c r="P74" s="447">
        <f>SUM(compras_mes3[[#This Row],[NETO GRAVADO]:[Otros / No Grav.]])</f>
        <v>277134</v>
      </c>
      <c r="Q74" s="448" t="str">
        <f>IFERROR(IF(compras_mes3[[#This Row],[CUIT]]="","-",VLOOKUP(compras_mes3[[#This Row],[CUIT]],Lista_CUIT[#All],3,0)),"CUIT NO CARGADO")</f>
        <v>INSUMO</v>
      </c>
      <c r="R74" s="448">
        <f>IFERROR(IF(compras_mes3[[#This Row],[CUIT]]="","-",VLOOKUP(compras_mes3[[#This Row],[CUIT]],Lista_CUIT[#All],4,0)),"CUIT NO CARGADO")</f>
        <v>0</v>
      </c>
    </row>
    <row r="75" spans="2:18" x14ac:dyDescent="0.25">
      <c r="B75" s="441">
        <v>45733</v>
      </c>
      <c r="C75" s="442">
        <v>1</v>
      </c>
      <c r="D75" s="443">
        <v>4</v>
      </c>
      <c r="E75" s="444">
        <v>20470</v>
      </c>
      <c r="F75" s="445">
        <v>30504854023</v>
      </c>
      <c r="G75" s="446" t="str">
        <f>IFERROR(IF(compras_mes3[[#This Row],[CUIT]]="","-",VLOOKUP(compras_mes3[[#This Row],[CUIT]],Lista_CUIT[#All],2,0)),"CUIT NO CARGADO")</f>
        <v xml:space="preserve">NYLTEF SAICFI </v>
      </c>
      <c r="H75" s="386">
        <v>167552</v>
      </c>
      <c r="I75" s="386">
        <f>IF(compras_mes3[[#This Row],[NETO GRAVADO]]="","",compras_mes3[[#This Row],[NETO GRAVADO]]*0.21)</f>
        <v>35185.919999999998</v>
      </c>
      <c r="J75" s="387"/>
      <c r="K75" s="387"/>
      <c r="L75" s="387"/>
      <c r="M75" s="387"/>
      <c r="N75" s="387"/>
      <c r="O75" s="387"/>
      <c r="P75" s="447">
        <f>SUM(compras_mes3[[#This Row],[NETO GRAVADO]:[Otros / No Grav.]])</f>
        <v>202737.91999999998</v>
      </c>
      <c r="Q75" s="448" t="str">
        <f>IFERROR(IF(compras_mes3[[#This Row],[CUIT]]="","-",VLOOKUP(compras_mes3[[#This Row],[CUIT]],Lista_CUIT[#All],3,0)),"CUIT NO CARGADO")</f>
        <v>INSUMO</v>
      </c>
      <c r="R75" s="448">
        <f>IFERROR(IF(compras_mes3[[#This Row],[CUIT]]="","-",VLOOKUP(compras_mes3[[#This Row],[CUIT]],Lista_CUIT[#All],4,0)),"CUIT NO CARGADO")</f>
        <v>0</v>
      </c>
    </row>
    <row r="76" spans="2:18" s="428" customFormat="1" x14ac:dyDescent="0.25">
      <c r="B76" s="441">
        <v>45733</v>
      </c>
      <c r="C76" s="442">
        <v>1</v>
      </c>
      <c r="D76" s="443">
        <v>2</v>
      </c>
      <c r="E76" s="444">
        <v>11657</v>
      </c>
      <c r="F76" s="445">
        <v>30714331082</v>
      </c>
      <c r="G76" s="446" t="str">
        <f>IFERROR(IF(compras_mes3[[#This Row],[CUIT]]="","-",VLOOKUP(compras_mes3[[#This Row],[CUIT]],Lista_CUIT[#All],2,0)),"CUIT NO CARGADO")</f>
        <v>ORTOPEDIA CASA ESCALADA SRL</v>
      </c>
      <c r="H76" s="386">
        <v>77787.649999999994</v>
      </c>
      <c r="I76" s="386">
        <f>IF(compras_mes3[[#This Row],[NETO GRAVADO]]="","",compras_mes3[[#This Row],[NETO GRAVADO]]*0.21)</f>
        <v>16335.406499999997</v>
      </c>
      <c r="J76" s="387"/>
      <c r="K76" s="387"/>
      <c r="L76" s="387"/>
      <c r="M76" s="387"/>
      <c r="N76" s="387"/>
      <c r="O76" s="387"/>
      <c r="P76" s="447">
        <f>SUM(compras_mes3[[#This Row],[NETO GRAVADO]:[Otros / No Grav.]])</f>
        <v>94123.056499999992</v>
      </c>
      <c r="Q76" s="448" t="str">
        <f>IFERROR(IF(compras_mes3[[#This Row],[CUIT]]="","-",VLOOKUP(compras_mes3[[#This Row],[CUIT]],Lista_CUIT[#All],3,0)),"CUIT NO CARGADO")</f>
        <v>INSUMO</v>
      </c>
      <c r="R76" s="448">
        <f>IFERROR(IF(compras_mes3[[#This Row],[CUIT]]="","-",VLOOKUP(compras_mes3[[#This Row],[CUIT]],Lista_CUIT[#All],4,0)),"CUIT NO CARGADO")</f>
        <v>0</v>
      </c>
    </row>
    <row r="77" spans="2:18" s="428" customFormat="1" x14ac:dyDescent="0.25">
      <c r="B77" s="441">
        <v>45734</v>
      </c>
      <c r="C77" s="442">
        <v>1</v>
      </c>
      <c r="D77" s="443">
        <v>1001</v>
      </c>
      <c r="E77" s="444">
        <v>523</v>
      </c>
      <c r="F77" s="445">
        <v>30707370552</v>
      </c>
      <c r="G77" s="446" t="str">
        <f>IFERROR(IF(compras_mes3[[#This Row],[CUIT]]="","-",VLOOKUP(compras_mes3[[#This Row],[CUIT]],Lista_CUIT[#All],2,0)),"CUIT NO CARGADO")</f>
        <v>RAKE SA</v>
      </c>
      <c r="H77" s="386">
        <v>1198760.33</v>
      </c>
      <c r="I77" s="386">
        <f>IF(compras_mes3[[#This Row],[NETO GRAVADO]]="","",compras_mes3[[#This Row],[NETO GRAVADO]]*0.21)</f>
        <v>251739.66930000001</v>
      </c>
      <c r="J77" s="387"/>
      <c r="K77" s="387"/>
      <c r="L77" s="387"/>
      <c r="M77" s="387"/>
      <c r="N77" s="387"/>
      <c r="O77" s="387"/>
      <c r="P77" s="447">
        <f>SUM(compras_mes3[[#This Row],[NETO GRAVADO]:[Otros / No Grav.]])</f>
        <v>1450499.9993</v>
      </c>
      <c r="Q77" s="448" t="str">
        <f>IFERROR(IF(compras_mes3[[#This Row],[CUIT]]="","-",VLOOKUP(compras_mes3[[#This Row],[CUIT]],Lista_CUIT[#All],3,0)),"CUIT NO CARGADO")</f>
        <v>GASTOS VARIOS</v>
      </c>
      <c r="R77" s="448">
        <f>IFERROR(IF(compras_mes3[[#This Row],[CUIT]]="","-",VLOOKUP(compras_mes3[[#This Row],[CUIT]],Lista_CUIT[#All],4,0)),"CUIT NO CARGADO")</f>
        <v>0</v>
      </c>
    </row>
    <row r="78" spans="2:18" s="428" customFormat="1" x14ac:dyDescent="0.25">
      <c r="B78" s="441">
        <v>45734</v>
      </c>
      <c r="C78" s="442">
        <v>1</v>
      </c>
      <c r="D78" s="443">
        <v>7</v>
      </c>
      <c r="E78" s="444">
        <v>20461</v>
      </c>
      <c r="F78" s="445">
        <v>30709214078</v>
      </c>
      <c r="G78" s="446" t="str">
        <f>IFERROR(IF(compras_mes3[[#This Row],[CUIT]]="","-",VLOOKUP(compras_mes3[[#This Row],[CUIT]],Lista_CUIT[#All],2,0)),"CUIT NO CARGADO")</f>
        <v>REHAVITA S.A</v>
      </c>
      <c r="H78" s="386">
        <v>303600</v>
      </c>
      <c r="I78" s="386"/>
      <c r="J78" s="387"/>
      <c r="K78" s="387">
        <f>compras_mes3[[#This Row],[NETO GRAVADO]]*10.5/100</f>
        <v>31878</v>
      </c>
      <c r="L78" s="387"/>
      <c r="M78" s="387"/>
      <c r="N78" s="387"/>
      <c r="O78" s="387"/>
      <c r="P78" s="447">
        <f>SUM(compras_mes3[[#This Row],[NETO GRAVADO]:[Otros / No Grav.]])</f>
        <v>335478</v>
      </c>
      <c r="Q78" s="448" t="str">
        <f>IFERROR(IF(compras_mes3[[#This Row],[CUIT]]="","-",VLOOKUP(compras_mes3[[#This Row],[CUIT]],Lista_CUIT[#All],3,0)),"CUIT NO CARGADO")</f>
        <v>INSUMO</v>
      </c>
      <c r="R78" s="448">
        <f>IFERROR(IF(compras_mes3[[#This Row],[CUIT]]="","-",VLOOKUP(compras_mes3[[#This Row],[CUIT]],Lista_CUIT[#All],4,0)),"CUIT NO CARGADO")</f>
        <v>0</v>
      </c>
    </row>
    <row r="79" spans="2:18" s="428" customFormat="1" x14ac:dyDescent="0.25">
      <c r="B79" s="441">
        <v>45735</v>
      </c>
      <c r="C79" s="442">
        <v>1</v>
      </c>
      <c r="D79" s="443">
        <v>15</v>
      </c>
      <c r="E79" s="444">
        <v>4306</v>
      </c>
      <c r="F79" s="445">
        <v>30688140923</v>
      </c>
      <c r="G79" s="446" t="str">
        <f>IFERROR(IF(compras_mes3[[#This Row],[CUIT]]="","-",VLOOKUP(compras_mes3[[#This Row],[CUIT]],Lista_CUIT[#All],2,0)),"CUIT NO CARGADO")</f>
        <v>COLTEX SRL</v>
      </c>
      <c r="H79" s="386">
        <v>528360.28</v>
      </c>
      <c r="I79" s="386">
        <f>IF(compras_mes3[[#This Row],[NETO GRAVADO]]="","",compras_mes3[[#This Row],[NETO GRAVADO]]*0.21)</f>
        <v>110955.6588</v>
      </c>
      <c r="J79" s="387"/>
      <c r="K79" s="387"/>
      <c r="L79" s="387"/>
      <c r="M79" s="387"/>
      <c r="N79" s="387"/>
      <c r="O79" s="387"/>
      <c r="P79" s="447">
        <f>SUM(compras_mes3[[#This Row],[NETO GRAVADO]:[Otros / No Grav.]])</f>
        <v>639315.9388</v>
      </c>
      <c r="Q79" s="448" t="str">
        <f>IFERROR(IF(compras_mes3[[#This Row],[CUIT]]="","-",VLOOKUP(compras_mes3[[#This Row],[CUIT]],Lista_CUIT[#All],3,0)),"CUIT NO CARGADO")</f>
        <v>INSUMO</v>
      </c>
      <c r="R79" s="448">
        <f>IFERROR(IF(compras_mes3[[#This Row],[CUIT]]="","-",VLOOKUP(compras_mes3[[#This Row],[CUIT]],Lista_CUIT[#All],4,0)),"CUIT NO CARGADO")</f>
        <v>0</v>
      </c>
    </row>
    <row r="80" spans="2:18" s="449" customFormat="1" ht="18.600000000000001" customHeight="1" x14ac:dyDescent="0.25">
      <c r="B80" s="441">
        <v>45735</v>
      </c>
      <c r="C80" s="442">
        <v>1</v>
      </c>
      <c r="D80" s="443">
        <v>4264</v>
      </c>
      <c r="E80" s="444">
        <v>5198709</v>
      </c>
      <c r="F80" s="445">
        <v>30639453738</v>
      </c>
      <c r="G80" s="446" t="str">
        <f>IFERROR(IF(compras_mes3[[#This Row],[CUIT]]="","-",VLOOKUP(compras_mes3[[#This Row],[CUIT]],Lista_CUIT[#All],2,0)),"CUIT NO CARGADO")</f>
        <v>TELECOM ARGENTINA SA</v>
      </c>
      <c r="H80" s="386">
        <v>42961.16</v>
      </c>
      <c r="I80" s="386">
        <f>IF(compras_mes3[[#This Row],[NETO GRAVADO]]="","",compras_mes3[[#This Row],[NETO GRAVADO]]*0.21)</f>
        <v>9021.8436000000002</v>
      </c>
      <c r="J80" s="387"/>
      <c r="K80" s="387"/>
      <c r="L80" s="387"/>
      <c r="M80" s="387"/>
      <c r="N80" s="387"/>
      <c r="O80" s="387"/>
      <c r="P80" s="447">
        <f>SUM(compras_mes3[[#This Row],[NETO GRAVADO]:[Otros / No Grav.]])</f>
        <v>51983.003600000004</v>
      </c>
      <c r="Q80" s="448" t="str">
        <f>IFERROR(IF(compras_mes3[[#This Row],[CUIT]]="","-",VLOOKUP(compras_mes3[[#This Row],[CUIT]],Lista_CUIT[#All],3,0)),"CUIT NO CARGADO")</f>
        <v>SERVICIO</v>
      </c>
      <c r="R80" s="448">
        <f>IFERROR(IF(compras_mes3[[#This Row],[CUIT]]="","-",VLOOKUP(compras_mes3[[#This Row],[CUIT]],Lista_CUIT[#All],4,0)),"CUIT NO CARGADO")</f>
        <v>0</v>
      </c>
    </row>
    <row r="81" spans="2:18" x14ac:dyDescent="0.25">
      <c r="B81" s="441">
        <v>45735</v>
      </c>
      <c r="C81" s="442">
        <v>1</v>
      </c>
      <c r="D81" s="443">
        <v>6</v>
      </c>
      <c r="E81" s="444">
        <v>56633</v>
      </c>
      <c r="F81" s="445">
        <v>30710177658</v>
      </c>
      <c r="G81" s="446" t="str">
        <f>IFERROR(IF(compras_mes3[[#This Row],[CUIT]]="","-",VLOOKUP(compras_mes3[[#This Row],[CUIT]],Lista_CUIT[#All],2,0)),"CUIT NO CARGADO")</f>
        <v>TARGET MEDICAL SA</v>
      </c>
      <c r="H81" s="386">
        <v>658080</v>
      </c>
      <c r="I81" s="386">
        <f>IF(compras_mes3[[#This Row],[NETO GRAVADO]]="","",compras_mes3[[#This Row],[NETO GRAVADO]]*0.21)</f>
        <v>138196.79999999999</v>
      </c>
      <c r="J81" s="387"/>
      <c r="K81" s="387"/>
      <c r="L81" s="387"/>
      <c r="M81" s="387"/>
      <c r="N81" s="387"/>
      <c r="O81" s="387"/>
      <c r="P81" s="447">
        <f>SUM(compras_mes3[[#This Row],[NETO GRAVADO]:[Otros / No Grav.]])</f>
        <v>796276.8</v>
      </c>
      <c r="Q81" s="448" t="str">
        <f>IFERROR(IF(compras_mes3[[#This Row],[CUIT]]="","-",VLOOKUP(compras_mes3[[#This Row],[CUIT]],Lista_CUIT[#All],3,0)),"CUIT NO CARGADO")</f>
        <v>INSUMO</v>
      </c>
      <c r="R81" s="448">
        <f>IFERROR(IF(compras_mes3[[#This Row],[CUIT]]="","-",VLOOKUP(compras_mes3[[#This Row],[CUIT]],Lista_CUIT[#All],4,0)),"CUIT NO CARGADO")</f>
        <v>0</v>
      </c>
    </row>
    <row r="82" spans="2:18" s="428" customFormat="1" x14ac:dyDescent="0.25">
      <c r="B82" s="441">
        <v>45736</v>
      </c>
      <c r="C82" s="442">
        <v>1</v>
      </c>
      <c r="D82" s="443">
        <v>2</v>
      </c>
      <c r="E82" s="444">
        <v>35</v>
      </c>
      <c r="F82" s="445">
        <v>27243660535</v>
      </c>
      <c r="G82" s="446" t="str">
        <f>IFERROR(IF(compras_mes3[[#This Row],[CUIT]]="","-",VLOOKUP(compras_mes3[[#This Row],[CUIT]],Lista_CUIT[#All],2,0)),"CUIT NO CARGADO")</f>
        <v>BARD MARISA SILVIA</v>
      </c>
      <c r="H82" s="386">
        <v>414537</v>
      </c>
      <c r="I82" s="386">
        <f>IF(compras_mes3[[#This Row],[NETO GRAVADO]]="","",compras_mes3[[#This Row],[NETO GRAVADO]]*0.21)</f>
        <v>87052.76999999999</v>
      </c>
      <c r="J82" s="387"/>
      <c r="K82" s="387"/>
      <c r="L82" s="387"/>
      <c r="M82" s="387"/>
      <c r="N82" s="387"/>
      <c r="O82" s="387"/>
      <c r="P82" s="447">
        <f>SUM(compras_mes3[[#This Row],[NETO GRAVADO]:[Otros / No Grav.]])</f>
        <v>501589.77</v>
      </c>
      <c r="Q82" s="448" t="str">
        <f>IFERROR(IF(compras_mes3[[#This Row],[CUIT]]="","-",VLOOKUP(compras_mes3[[#This Row],[CUIT]],Lista_CUIT[#All],3,0)),"CUIT NO CARGADO")</f>
        <v>Insumos</v>
      </c>
      <c r="R82" s="448">
        <f>IFERROR(IF(compras_mes3[[#This Row],[CUIT]]="","-",VLOOKUP(compras_mes3[[#This Row],[CUIT]],Lista_CUIT[#All],4,0)),"CUIT NO CARGADO")</f>
        <v>0</v>
      </c>
    </row>
    <row r="83" spans="2:18" s="428" customFormat="1" x14ac:dyDescent="0.25">
      <c r="B83" s="441">
        <v>45736</v>
      </c>
      <c r="C83" s="442">
        <v>1</v>
      </c>
      <c r="D83" s="443">
        <v>2</v>
      </c>
      <c r="E83" s="444">
        <v>1161</v>
      </c>
      <c r="F83" s="445">
        <v>20272865869</v>
      </c>
      <c r="G83" s="446" t="str">
        <f>IFERROR(IF(compras_mes3[[#This Row],[CUIT]]="","-",VLOOKUP(compras_mes3[[#This Row],[CUIT]],Lista_CUIT[#All],2,0)),"CUIT NO CARGADO")</f>
        <v>DI FEO MARTIN EZEQUIEL</v>
      </c>
      <c r="H83" s="386">
        <v>78550</v>
      </c>
      <c r="I83" s="386">
        <f>IF(compras_mes3[[#This Row],[NETO GRAVADO]]="","",compras_mes3[[#This Row],[NETO GRAVADO]]*0.21)</f>
        <v>16495.5</v>
      </c>
      <c r="J83" s="387"/>
      <c r="K83" s="387"/>
      <c r="L83" s="387"/>
      <c r="M83" s="387"/>
      <c r="N83" s="387"/>
      <c r="O83" s="387"/>
      <c r="P83" s="447">
        <f>SUM(compras_mes3[[#This Row],[NETO GRAVADO]:[Otros / No Grav.]])</f>
        <v>95045.5</v>
      </c>
      <c r="Q83" s="448" t="str">
        <f>IFERROR(IF(compras_mes3[[#This Row],[CUIT]]="","-",VLOOKUP(compras_mes3[[#This Row],[CUIT]],Lista_CUIT[#All],3,0)),"CUIT NO CARGADO")</f>
        <v>INSUMOS</v>
      </c>
      <c r="R83" s="448">
        <f>IFERROR(IF(compras_mes3[[#This Row],[CUIT]]="","-",VLOOKUP(compras_mes3[[#This Row],[CUIT]],Lista_CUIT[#All],4,0)),"CUIT NO CARGADO")</f>
        <v>0</v>
      </c>
    </row>
    <row r="84" spans="2:18" s="428" customFormat="1" ht="14.45" customHeight="1" x14ac:dyDescent="0.25">
      <c r="B84" s="441">
        <v>45737</v>
      </c>
      <c r="C84" s="442">
        <v>1</v>
      </c>
      <c r="D84" s="443">
        <v>10</v>
      </c>
      <c r="E84" s="444">
        <v>32746</v>
      </c>
      <c r="F84" s="445">
        <v>20373457796</v>
      </c>
      <c r="G84" s="446" t="str">
        <f>IFERROR(IF(compras_mes3[[#This Row],[CUIT]]="","-",VLOOKUP(compras_mes3[[#This Row],[CUIT]],Lista_CUIT[#All],2,0)),"CUIT NO CARGADO")</f>
        <v>ONETO TOMAS AUGUSTO</v>
      </c>
      <c r="H84" s="386">
        <v>18619.830000000002</v>
      </c>
      <c r="I84" s="386">
        <f>IF(compras_mes3[[#This Row],[NETO GRAVADO]]="","",compras_mes3[[#This Row],[NETO GRAVADO]]*0.21)</f>
        <v>3910.1643000000004</v>
      </c>
      <c r="J84" s="387"/>
      <c r="K84" s="387"/>
      <c r="L84" s="387"/>
      <c r="M84" s="387"/>
      <c r="N84" s="387"/>
      <c r="O84" s="387"/>
      <c r="P84" s="447">
        <f>SUM(compras_mes3[[#This Row],[NETO GRAVADO]:[Otros / No Grav.]])</f>
        <v>22529.994300000002</v>
      </c>
      <c r="Q84" s="448" t="str">
        <f>IFERROR(IF(compras_mes3[[#This Row],[CUIT]]="","-",VLOOKUP(compras_mes3[[#This Row],[CUIT]],Lista_CUIT[#All],3,0)),"CUIT NO CARGADO")</f>
        <v>Papeleria</v>
      </c>
      <c r="R84" s="448">
        <f>IFERROR(IF(compras_mes3[[#This Row],[CUIT]]="","-",VLOOKUP(compras_mes3[[#This Row],[CUIT]],Lista_CUIT[#All],4,0)),"CUIT NO CARGADO")</f>
        <v>0</v>
      </c>
    </row>
    <row r="85" spans="2:18" s="428" customFormat="1" x14ac:dyDescent="0.25">
      <c r="B85" s="441">
        <v>45737</v>
      </c>
      <c r="C85" s="442">
        <v>1</v>
      </c>
      <c r="D85" s="443">
        <v>13</v>
      </c>
      <c r="E85" s="444">
        <v>84834</v>
      </c>
      <c r="F85" s="445">
        <v>30709256420</v>
      </c>
      <c r="G85" s="446" t="str">
        <f>IFERROR(IF(compras_mes3[[#This Row],[CUIT]]="","-",VLOOKUP(compras_mes3[[#This Row],[CUIT]],Lista_CUIT[#All],2,0)),"CUIT NO CARGADO")</f>
        <v>N.G.A. SRL</v>
      </c>
      <c r="H85" s="386">
        <v>4704.55</v>
      </c>
      <c r="I85" s="386">
        <f>IF(compras_mes3[[#This Row],[NETO GRAVADO]]="","",compras_mes3[[#This Row],[NETO GRAVADO]]*0.21)</f>
        <v>987.95550000000003</v>
      </c>
      <c r="J85" s="387"/>
      <c r="K85" s="387"/>
      <c r="L85" s="387"/>
      <c r="M85" s="387"/>
      <c r="N85" s="387"/>
      <c r="O85" s="387"/>
      <c r="P85" s="447">
        <f>SUM(compras_mes3[[#This Row],[NETO GRAVADO]:[Otros / No Grav.]])</f>
        <v>5692.5055000000002</v>
      </c>
      <c r="Q85" s="448" t="str">
        <f>IFERROR(IF(compras_mes3[[#This Row],[CUIT]]="","-",VLOOKUP(compras_mes3[[#This Row],[CUIT]],Lista_CUIT[#All],3,0)),"CUIT NO CARGADO")</f>
        <v>Gastos Varios</v>
      </c>
      <c r="R85" s="448">
        <f>IFERROR(IF(compras_mes3[[#This Row],[CUIT]]="","-",VLOOKUP(compras_mes3[[#This Row],[CUIT]],Lista_CUIT[#All],4,0)),"CUIT NO CARGADO")</f>
        <v>0</v>
      </c>
    </row>
    <row r="86" spans="2:18" s="428" customFormat="1" x14ac:dyDescent="0.25">
      <c r="B86" s="441">
        <v>45737</v>
      </c>
      <c r="C86" s="442">
        <v>1</v>
      </c>
      <c r="D86" s="443">
        <v>13</v>
      </c>
      <c r="E86" s="444">
        <v>84832</v>
      </c>
      <c r="F86" s="445">
        <v>30709256420</v>
      </c>
      <c r="G86" s="446" t="str">
        <f>IFERROR(IF(compras_mes3[[#This Row],[CUIT]]="","-",VLOOKUP(compras_mes3[[#This Row],[CUIT]],Lista_CUIT[#All],2,0)),"CUIT NO CARGADO")</f>
        <v>N.G.A. SRL</v>
      </c>
      <c r="H86" s="386">
        <v>4485.9799999999996</v>
      </c>
      <c r="I86" s="386">
        <f>IF(compras_mes3[[#This Row],[NETO GRAVADO]]="","",compras_mes3[[#This Row],[NETO GRAVADO]]*0.21)</f>
        <v>942.05579999999986</v>
      </c>
      <c r="J86" s="387"/>
      <c r="K86" s="387"/>
      <c r="L86" s="387"/>
      <c r="M86" s="387"/>
      <c r="N86" s="387"/>
      <c r="O86" s="387"/>
      <c r="P86" s="447">
        <f>SUM(compras_mes3[[#This Row],[NETO GRAVADO]:[Otros / No Grav.]])</f>
        <v>5428.0357999999997</v>
      </c>
      <c r="Q86" s="448" t="str">
        <f>IFERROR(IF(compras_mes3[[#This Row],[CUIT]]="","-",VLOOKUP(compras_mes3[[#This Row],[CUIT]],Lista_CUIT[#All],3,0)),"CUIT NO CARGADO")</f>
        <v>Gastos Varios</v>
      </c>
      <c r="R86" s="448">
        <f>IFERROR(IF(compras_mes3[[#This Row],[CUIT]]="","-",VLOOKUP(compras_mes3[[#This Row],[CUIT]],Lista_CUIT[#All],4,0)),"CUIT NO CARGADO")</f>
        <v>0</v>
      </c>
    </row>
    <row r="87" spans="2:18" s="428" customFormat="1" ht="14.45" customHeight="1" x14ac:dyDescent="0.25">
      <c r="B87" s="441">
        <v>45737</v>
      </c>
      <c r="C87" s="442">
        <v>1</v>
      </c>
      <c r="D87" s="443">
        <v>40</v>
      </c>
      <c r="E87" s="444">
        <v>1480</v>
      </c>
      <c r="F87" s="445">
        <v>30711091552</v>
      </c>
      <c r="G87" s="446" t="str">
        <f>IFERROR(IF(compras_mes3[[#This Row],[CUIT]]="","-",VLOOKUP(compras_mes3[[#This Row],[CUIT]],Lista_CUIT[#All],2,0)),"CUIT NO CARGADO")</f>
        <v>BIGBOX S.A.</v>
      </c>
      <c r="H87" s="386">
        <v>70247.929999999993</v>
      </c>
      <c r="I87" s="386">
        <f>IF(compras_mes3[[#This Row],[NETO GRAVADO]]="","",compras_mes3[[#This Row],[NETO GRAVADO]]*0.21)</f>
        <v>14752.065299999998</v>
      </c>
      <c r="J87" s="387"/>
      <c r="K87" s="387"/>
      <c r="L87" s="387"/>
      <c r="M87" s="387"/>
      <c r="N87" s="387"/>
      <c r="O87" s="387"/>
      <c r="P87" s="447">
        <f>SUM(compras_mes3[[#This Row],[NETO GRAVADO]:[Otros / No Grav.]])</f>
        <v>84999.995299999995</v>
      </c>
      <c r="Q87" s="448" t="str">
        <f>IFERROR(IF(compras_mes3[[#This Row],[CUIT]]="","-",VLOOKUP(compras_mes3[[#This Row],[CUIT]],Lista_CUIT[#All],3,0)),"CUIT NO CARGADO")</f>
        <v>INSUMO</v>
      </c>
      <c r="R87" s="448">
        <f>IFERROR(IF(compras_mes3[[#This Row],[CUIT]]="","-",VLOOKUP(compras_mes3[[#This Row],[CUIT]],Lista_CUIT[#All],4,0)),"CUIT NO CARGADO")</f>
        <v>0</v>
      </c>
    </row>
    <row r="88" spans="2:18" s="428" customFormat="1" ht="14.45" customHeight="1" x14ac:dyDescent="0.25">
      <c r="B88" s="441">
        <v>45737</v>
      </c>
      <c r="C88" s="442">
        <v>1</v>
      </c>
      <c r="D88" s="443">
        <v>8</v>
      </c>
      <c r="E88" s="444">
        <v>42491</v>
      </c>
      <c r="F88" s="445">
        <v>30709953482</v>
      </c>
      <c r="G88" s="446" t="str">
        <f>IFERROR(IF(compras_mes3[[#This Row],[CUIT]]="","-",VLOOKUP(compras_mes3[[#This Row],[CUIT]],Lista_CUIT[#All],2,0)),"CUIT NO CARGADO")</f>
        <v>HONRE SA</v>
      </c>
      <c r="H88" s="386">
        <v>1532.24</v>
      </c>
      <c r="I88" s="386">
        <f>IF(compras_mes3[[#This Row],[NETO GRAVADO]]="","",compras_mes3[[#This Row],[NETO GRAVADO]]*0.21)</f>
        <v>321.7704</v>
      </c>
      <c r="J88" s="387"/>
      <c r="K88" s="387"/>
      <c r="L88" s="387"/>
      <c r="M88" s="387"/>
      <c r="N88" s="387"/>
      <c r="O88" s="387"/>
      <c r="P88" s="447">
        <f>SUM(compras_mes3[[#This Row],[NETO GRAVADO]:[Otros / No Grav.]])</f>
        <v>1854.0104000000001</v>
      </c>
      <c r="Q88" s="448" t="str">
        <f>IFERROR(IF(compras_mes3[[#This Row],[CUIT]]="","-",VLOOKUP(compras_mes3[[#This Row],[CUIT]],Lista_CUIT[#All],3,0)),"CUIT NO CARGADO")</f>
        <v>Gastos Varios</v>
      </c>
      <c r="R88" s="448">
        <f>IFERROR(IF(compras_mes3[[#This Row],[CUIT]]="","-",VLOOKUP(compras_mes3[[#This Row],[CUIT]],Lista_CUIT[#All],4,0)),"CUIT NO CARGADO")</f>
        <v>0</v>
      </c>
    </row>
    <row r="89" spans="2:18" s="428" customFormat="1" ht="15" customHeight="1" x14ac:dyDescent="0.25">
      <c r="B89" s="441">
        <v>45737</v>
      </c>
      <c r="C89" s="442">
        <v>1</v>
      </c>
      <c r="D89" s="443">
        <v>700</v>
      </c>
      <c r="E89" s="444">
        <v>2340948</v>
      </c>
      <c r="F89" s="445">
        <v>30715804812</v>
      </c>
      <c r="G89" s="446" t="str">
        <f>IFERROR(IF(compras_mes3[[#This Row],[CUIT]]="","-",VLOOKUP(compras_mes3[[#This Row],[CUIT]],Lista_CUIT[#All],2,0)),"CUIT NO CARGADO")</f>
        <v>CORREDORES VIALES SOCIEDAD ANONIMA</v>
      </c>
      <c r="H89" s="386">
        <v>8943.84</v>
      </c>
      <c r="I89" s="386">
        <f>IF(compras_mes3[[#This Row],[NETO GRAVADO]]="","",compras_mes3[[#This Row],[NETO GRAVADO]]*0.21)</f>
        <v>1878.2064</v>
      </c>
      <c r="J89" s="387"/>
      <c r="K89" s="387"/>
      <c r="L89" s="387"/>
      <c r="M89" s="387"/>
      <c r="N89" s="387"/>
      <c r="O89" s="387"/>
      <c r="P89" s="447">
        <f>SUM(compras_mes3[[#This Row],[NETO GRAVADO]:[Otros / No Grav.]])</f>
        <v>10822.046399999999</v>
      </c>
      <c r="Q89" s="448" t="str">
        <f>IFERROR(IF(compras_mes3[[#This Row],[CUIT]]="","-",VLOOKUP(compras_mes3[[#This Row],[CUIT]],Lista_CUIT[#All],3,0)),"CUIT NO CARGADO")</f>
        <v>Autopista</v>
      </c>
      <c r="R89" s="448">
        <f>IFERROR(IF(compras_mes3[[#This Row],[CUIT]]="","-",VLOOKUP(compras_mes3[[#This Row],[CUIT]],Lista_CUIT[#All],4,0)),"CUIT NO CARGADO")</f>
        <v>0</v>
      </c>
    </row>
    <row r="90" spans="2:18" s="428" customFormat="1" ht="15" customHeight="1" x14ac:dyDescent="0.25">
      <c r="B90" s="441">
        <v>45737</v>
      </c>
      <c r="C90" s="442">
        <v>1</v>
      </c>
      <c r="D90" s="443">
        <v>36</v>
      </c>
      <c r="E90" s="444">
        <v>57170</v>
      </c>
      <c r="F90" s="445">
        <v>30714769290</v>
      </c>
      <c r="G90" s="446" t="str">
        <f>IFERROR(IF(compras_mes3[[#This Row],[CUIT]]="","-",VLOOKUP(compras_mes3[[#This Row],[CUIT]],Lista_CUIT[#All],2,0)),"CUIT NO CARGADO")</f>
        <v>GOLONOR SA</v>
      </c>
      <c r="H90" s="386">
        <v>6609.92</v>
      </c>
      <c r="I90" s="386">
        <f>IF(compras_mes3[[#This Row],[NETO GRAVADO]]="","",compras_mes3[[#This Row],[NETO GRAVADO]]*0.21)</f>
        <v>1388.0832</v>
      </c>
      <c r="J90" s="387"/>
      <c r="K90" s="387"/>
      <c r="L90" s="387"/>
      <c r="M90" s="387"/>
      <c r="N90" s="387"/>
      <c r="O90" s="387"/>
      <c r="P90" s="447">
        <f>SUM(compras_mes3[[#This Row],[NETO GRAVADO]:[Otros / No Grav.]])</f>
        <v>7998.0032000000001</v>
      </c>
      <c r="Q90" s="448" t="str">
        <f>IFERROR(IF(compras_mes3[[#This Row],[CUIT]]="","-",VLOOKUP(compras_mes3[[#This Row],[CUIT]],Lista_CUIT[#All],3,0)),"CUIT NO CARGADO")</f>
        <v>Gastos Varios</v>
      </c>
      <c r="R90" s="448">
        <f>IFERROR(IF(compras_mes3[[#This Row],[CUIT]]="","-",VLOOKUP(compras_mes3[[#This Row],[CUIT]],Lista_CUIT[#All],4,0)),"CUIT NO CARGADO")</f>
        <v>0</v>
      </c>
    </row>
    <row r="91" spans="2:18" s="428" customFormat="1" ht="15" customHeight="1" x14ac:dyDescent="0.25">
      <c r="B91" s="441">
        <v>45737</v>
      </c>
      <c r="C91" s="442">
        <v>1</v>
      </c>
      <c r="D91" s="443">
        <v>36</v>
      </c>
      <c r="E91" s="444">
        <v>57200</v>
      </c>
      <c r="F91" s="445">
        <v>30714769290</v>
      </c>
      <c r="G91" s="446" t="str">
        <f>IFERROR(IF(compras_mes3[[#This Row],[CUIT]]="","-",VLOOKUP(compras_mes3[[#This Row],[CUIT]],Lista_CUIT[#All],2,0)),"CUIT NO CARGADO")</f>
        <v>GOLONOR SA</v>
      </c>
      <c r="H91" s="386">
        <v>6609.92</v>
      </c>
      <c r="I91" s="386">
        <f>IF(compras_mes3[[#This Row],[NETO GRAVADO]]="","",compras_mes3[[#This Row],[NETO GRAVADO]]*0.21)</f>
        <v>1388.0832</v>
      </c>
      <c r="J91" s="387"/>
      <c r="K91" s="387"/>
      <c r="L91" s="387"/>
      <c r="M91" s="387"/>
      <c r="N91" s="387"/>
      <c r="O91" s="387"/>
      <c r="P91" s="447">
        <f>SUM(compras_mes3[[#This Row],[NETO GRAVADO]:[Otros / No Grav.]])</f>
        <v>7998.0032000000001</v>
      </c>
      <c r="Q91" s="448" t="str">
        <f>IFERROR(IF(compras_mes3[[#This Row],[CUIT]]="","-",VLOOKUP(compras_mes3[[#This Row],[CUIT]],Lista_CUIT[#All],3,0)),"CUIT NO CARGADO")</f>
        <v>Gastos Varios</v>
      </c>
      <c r="R91" s="448">
        <f>IFERROR(IF(compras_mes3[[#This Row],[CUIT]]="","-",VLOOKUP(compras_mes3[[#This Row],[CUIT]],Lista_CUIT[#All],4,0)),"CUIT NO CARGADO")</f>
        <v>0</v>
      </c>
    </row>
    <row r="92" spans="2:18" s="428" customFormat="1" ht="15" customHeight="1" x14ac:dyDescent="0.25">
      <c r="B92" s="441">
        <v>45738</v>
      </c>
      <c r="C92" s="442">
        <v>1</v>
      </c>
      <c r="D92" s="443">
        <v>7</v>
      </c>
      <c r="E92" s="444">
        <v>30784</v>
      </c>
      <c r="F92" s="445">
        <v>30710819552</v>
      </c>
      <c r="G92" s="446" t="str">
        <f>IFERROR(IF(compras_mes3[[#This Row],[CUIT]]="","-",VLOOKUP(compras_mes3[[#This Row],[CUIT]],Lista_CUIT[#All],2,0)),"CUIT NO CARGADO")</f>
        <v>EL CACIQUE LIMPIEZA SRL</v>
      </c>
      <c r="H92" s="386">
        <v>4705.78</v>
      </c>
      <c r="I92" s="386">
        <f>IF(compras_mes3[[#This Row],[NETO GRAVADO]]="","",compras_mes3[[#This Row],[NETO GRAVADO]]*0.21)</f>
        <v>988.21379999999988</v>
      </c>
      <c r="J92" s="387"/>
      <c r="K92" s="387"/>
      <c r="L92" s="387"/>
      <c r="M92" s="387"/>
      <c r="N92" s="387"/>
      <c r="O92" s="387"/>
      <c r="P92" s="447">
        <f>SUM(compras_mes3[[#This Row],[NETO GRAVADO]:[Otros / No Grav.]])</f>
        <v>5693.9937999999993</v>
      </c>
      <c r="Q92" s="448" t="str">
        <f>IFERROR(IF(compras_mes3[[#This Row],[CUIT]]="","-",VLOOKUP(compras_mes3[[#This Row],[CUIT]],Lista_CUIT[#All],3,0)),"CUIT NO CARGADO")</f>
        <v>Limpieza</v>
      </c>
      <c r="R92" s="448">
        <f>IFERROR(IF(compras_mes3[[#This Row],[CUIT]]="","-",VLOOKUP(compras_mes3[[#This Row],[CUIT]],Lista_CUIT[#All],4,0)),"CUIT NO CARGADO")</f>
        <v>0</v>
      </c>
    </row>
    <row r="93" spans="2:18" s="428" customFormat="1" ht="15" customHeight="1" x14ac:dyDescent="0.25">
      <c r="B93" s="441">
        <v>45739</v>
      </c>
      <c r="C93" s="442">
        <v>1</v>
      </c>
      <c r="D93" s="443">
        <v>5015</v>
      </c>
      <c r="E93" s="444">
        <v>795207</v>
      </c>
      <c r="F93" s="445">
        <v>30574876474</v>
      </c>
      <c r="G93" s="446" t="str">
        <f>IFERROR(IF(compras_mes3[[#This Row],[CUIT]]="","-",VLOOKUP(compras_mes3[[#This Row],[CUIT]],Lista_CUIT[#All],2,0)),"CUIT NO CARGADO")</f>
        <v>AUTOP. URBANAS SA</v>
      </c>
      <c r="H93" s="386">
        <v>30503.83</v>
      </c>
      <c r="I93" s="386">
        <f>IF(compras_mes3[[#This Row],[NETO GRAVADO]]="","",compras_mes3[[#This Row],[NETO GRAVADO]]*0.21)</f>
        <v>6405.8042999999998</v>
      </c>
      <c r="J93" s="387"/>
      <c r="K93" s="387"/>
      <c r="L93" s="387"/>
      <c r="M93" s="387"/>
      <c r="N93" s="387"/>
      <c r="O93" s="387"/>
      <c r="P93" s="447">
        <f>SUM(compras_mes3[[#This Row],[NETO GRAVADO]:[Otros / No Grav.]])</f>
        <v>36909.634300000005</v>
      </c>
      <c r="Q93" s="448" t="str">
        <f>IFERROR(IF(compras_mes3[[#This Row],[CUIT]]="","-",VLOOKUP(compras_mes3[[#This Row],[CUIT]],Lista_CUIT[#All],3,0)),"CUIT NO CARGADO")</f>
        <v>PEAJE</v>
      </c>
      <c r="R93" s="448">
        <f>IFERROR(IF(compras_mes3[[#This Row],[CUIT]]="","-",VLOOKUP(compras_mes3[[#This Row],[CUIT]],Lista_CUIT[#All],4,0)),"CUIT NO CARGADO")</f>
        <v>0</v>
      </c>
    </row>
    <row r="94" spans="2:18" s="428" customFormat="1" x14ac:dyDescent="0.25">
      <c r="B94" s="441">
        <v>45739</v>
      </c>
      <c r="C94" s="442">
        <v>1</v>
      </c>
      <c r="D94" s="443">
        <v>14</v>
      </c>
      <c r="E94" s="444">
        <v>86169</v>
      </c>
      <c r="F94" s="445">
        <v>20271822058</v>
      </c>
      <c r="G94" s="446" t="str">
        <f>IFERROR(IF(compras_mes3[[#This Row],[CUIT]]="","-",VLOOKUP(compras_mes3[[#This Row],[CUIT]],Lista_CUIT[#All],2,0)),"CUIT NO CARGADO")</f>
        <v>CASSINI MARTIN</v>
      </c>
      <c r="H94" s="386">
        <v>3040.56</v>
      </c>
      <c r="I94" s="386">
        <f>IF(compras_mes3[[#This Row],[NETO GRAVADO]]="","",compras_mes3[[#This Row],[NETO GRAVADO]]*0.21)</f>
        <v>638.51760000000002</v>
      </c>
      <c r="J94" s="387"/>
      <c r="K94" s="387"/>
      <c r="L94" s="387"/>
      <c r="M94" s="387"/>
      <c r="N94" s="387"/>
      <c r="O94" s="387"/>
      <c r="P94" s="447">
        <f>SUM(compras_mes3[[#This Row],[NETO GRAVADO]:[Otros / No Grav.]])</f>
        <v>3679.0776000000001</v>
      </c>
      <c r="Q94" s="448" t="str">
        <f>IFERROR(IF(compras_mes3[[#This Row],[CUIT]]="","-",VLOOKUP(compras_mes3[[#This Row],[CUIT]],Lista_CUIT[#All],3,0)),"CUIT NO CARGADO")</f>
        <v>Limpieza</v>
      </c>
      <c r="R94" s="448">
        <f>IFERROR(IF(compras_mes3[[#This Row],[CUIT]]="","-",VLOOKUP(compras_mes3[[#This Row],[CUIT]],Lista_CUIT[#All],4,0)),"CUIT NO CARGADO")</f>
        <v>0</v>
      </c>
    </row>
    <row r="95" spans="2:18" s="428" customFormat="1" x14ac:dyDescent="0.25">
      <c r="B95" s="441">
        <v>45741</v>
      </c>
      <c r="C95" s="442">
        <v>1</v>
      </c>
      <c r="D95" s="443">
        <v>2</v>
      </c>
      <c r="E95" s="444">
        <v>1191</v>
      </c>
      <c r="F95" s="445">
        <v>30718601483</v>
      </c>
      <c r="G95" s="446" t="str">
        <f>IFERROR(IF(compras_mes3[[#This Row],[CUIT]]="","-",VLOOKUP(compras_mes3[[#This Row],[CUIT]],Lista_CUIT[#All],2,0)),"CUIT NO CARGADO")</f>
        <v>PERFUM.AR SRL</v>
      </c>
      <c r="H95" s="386">
        <v>17954.97</v>
      </c>
      <c r="I95" s="386">
        <f>IF(compras_mes3[[#This Row],[NETO GRAVADO]]="","",compras_mes3[[#This Row],[NETO GRAVADO]]*0.21)</f>
        <v>3770.5437000000002</v>
      </c>
      <c r="J95" s="387"/>
      <c r="K95" s="387"/>
      <c r="L95" s="387"/>
      <c r="M95" s="387"/>
      <c r="N95" s="387"/>
      <c r="O95" s="387"/>
      <c r="P95" s="447">
        <f>SUM(compras_mes3[[#This Row],[NETO GRAVADO]:[Otros / No Grav.]])</f>
        <v>21725.513700000003</v>
      </c>
      <c r="Q95" s="448" t="str">
        <f>IFERROR(IF(compras_mes3[[#This Row],[CUIT]]="","-",VLOOKUP(compras_mes3[[#This Row],[CUIT]],Lista_CUIT[#All],3,0)),"CUIT NO CARGADO")</f>
        <v>Limpieza</v>
      </c>
      <c r="R95" s="448">
        <f>IFERROR(IF(compras_mes3[[#This Row],[CUIT]]="","-",VLOOKUP(compras_mes3[[#This Row],[CUIT]],Lista_CUIT[#All],4,0)),"CUIT NO CARGADO")</f>
        <v>0</v>
      </c>
    </row>
    <row r="96" spans="2:18" s="428" customFormat="1" x14ac:dyDescent="0.25">
      <c r="B96" s="441">
        <v>45741</v>
      </c>
      <c r="C96" s="442">
        <v>1</v>
      </c>
      <c r="D96" s="443">
        <v>2007</v>
      </c>
      <c r="E96" s="444">
        <v>41611</v>
      </c>
      <c r="F96" s="445">
        <v>30516186670</v>
      </c>
      <c r="G96" s="446" t="str">
        <f>IFERROR(IF(compras_mes3[[#This Row],[CUIT]]="","-",VLOOKUP(compras_mes3[[#This Row],[CUIT]],Lista_CUIT[#All],2,0)),"CUIT NO CARGADO")</f>
        <v>DEHEZA SAICF E I</v>
      </c>
      <c r="H96" s="386">
        <v>37022.31</v>
      </c>
      <c r="I96" s="386">
        <f>IF(compras_mes3[[#This Row],[NETO GRAVADO]]="","",compras_mes3[[#This Row],[NETO GRAVADO]]*0.21)</f>
        <v>7774.6850999999988</v>
      </c>
      <c r="J96" s="387"/>
      <c r="K96" s="387"/>
      <c r="L96" s="387"/>
      <c r="M96" s="387"/>
      <c r="N96" s="387"/>
      <c r="O96" s="387"/>
      <c r="P96" s="447">
        <f>SUM(compras_mes3[[#This Row],[NETO GRAVADO]:[Otros / No Grav.]])</f>
        <v>44796.9951</v>
      </c>
      <c r="Q96" s="448" t="str">
        <f>IFERROR(IF(compras_mes3[[#This Row],[CUIT]]="","-",VLOOKUP(compras_mes3[[#This Row],[CUIT]],Lista_CUIT[#All],3,0)),"CUIT NO CARGADO")</f>
        <v>COMBUSTIBLE</v>
      </c>
      <c r="R96" s="448">
        <f>IFERROR(IF(compras_mes3[[#This Row],[CUIT]]="","-",VLOOKUP(compras_mes3[[#This Row],[CUIT]],Lista_CUIT[#All],4,0)),"CUIT NO CARGADO")</f>
        <v>0</v>
      </c>
    </row>
    <row r="97" spans="2:18" s="428" customFormat="1" x14ac:dyDescent="0.25">
      <c r="B97" s="441">
        <v>45741</v>
      </c>
      <c r="C97" s="442">
        <v>1</v>
      </c>
      <c r="D97" s="443">
        <v>5</v>
      </c>
      <c r="E97" s="444">
        <v>3258632</v>
      </c>
      <c r="F97" s="445">
        <v>30702652975</v>
      </c>
      <c r="G97" s="446" t="str">
        <f>IFERROR(IF(compras_mes3[[#This Row],[CUIT]]="","-",VLOOKUP(compras_mes3[[#This Row],[CUIT]],Lista_CUIT[#All],2,0)),"CUIT NO CARGADO")</f>
        <v>NSS SA</v>
      </c>
      <c r="H97" s="386">
        <v>28861.58</v>
      </c>
      <c r="I97" s="386">
        <f>IF(compras_mes3[[#This Row],[NETO GRAVADO]]="","",compras_mes3[[#This Row],[NETO GRAVADO]]*0.21)</f>
        <v>6060.9318000000003</v>
      </c>
      <c r="J97" s="387"/>
      <c r="K97" s="387"/>
      <c r="L97" s="387"/>
      <c r="M97" s="387"/>
      <c r="N97" s="387"/>
      <c r="O97" s="387"/>
      <c r="P97" s="447">
        <f>SUM(compras_mes3[[#This Row],[NETO GRAVADO]:[Otros / No Grav.]])</f>
        <v>34922.5118</v>
      </c>
      <c r="Q97" s="448" t="str">
        <f>IFERROR(IF(compras_mes3[[#This Row],[CUIT]]="","-",VLOOKUP(compras_mes3[[#This Row],[CUIT]],Lista_CUIT[#All],3,0)),"CUIT NO CARGADO")</f>
        <v>SERVICIOS</v>
      </c>
      <c r="R97" s="448">
        <f>IFERROR(IF(compras_mes3[[#This Row],[CUIT]]="","-",VLOOKUP(compras_mes3[[#This Row],[CUIT]],Lista_CUIT[#All],4,0)),"CUIT NO CARGADO")</f>
        <v>0</v>
      </c>
    </row>
    <row r="98" spans="2:18" s="428" customFormat="1" x14ac:dyDescent="0.25">
      <c r="B98" s="441">
        <v>45742</v>
      </c>
      <c r="C98" s="442">
        <v>1</v>
      </c>
      <c r="D98" s="443">
        <v>14</v>
      </c>
      <c r="E98" s="444">
        <v>7058</v>
      </c>
      <c r="F98" s="445">
        <v>30693293754</v>
      </c>
      <c r="G98" s="446" t="str">
        <f>IFERROR(IF(compras_mes3[[#This Row],[CUIT]]="","-",VLOOKUP(compras_mes3[[#This Row],[CUIT]],Lista_CUIT[#All],2,0)),"CUIT NO CARGADO")</f>
        <v>CPT INTEGRAL SA</v>
      </c>
      <c r="H98" s="386">
        <v>51569.42</v>
      </c>
      <c r="I98" s="386">
        <f>IF(compras_mes3[[#This Row],[NETO GRAVADO]]="","",compras_mes3[[#This Row],[NETO GRAVADO]]*0.21)</f>
        <v>10829.5782</v>
      </c>
      <c r="J98" s="387"/>
      <c r="K98" s="387"/>
      <c r="L98" s="387"/>
      <c r="M98" s="387"/>
      <c r="N98" s="387"/>
      <c r="O98" s="387"/>
      <c r="P98" s="447">
        <f>SUM(compras_mes3[[#This Row],[NETO GRAVADO]:[Otros / No Grav.]])</f>
        <v>62398.998200000002</v>
      </c>
      <c r="Q98" s="448" t="str">
        <f>IFERROR(IF(compras_mes3[[#This Row],[CUIT]]="","-",VLOOKUP(compras_mes3[[#This Row],[CUIT]],Lista_CUIT[#All],3,0)),"CUIT NO CARGADO")</f>
        <v>INSUMOS</v>
      </c>
      <c r="R98" s="448">
        <f>IFERROR(IF(compras_mes3[[#This Row],[CUIT]]="","-",VLOOKUP(compras_mes3[[#This Row],[CUIT]],Lista_CUIT[#All],4,0)),"CUIT NO CARGADO")</f>
        <v>0</v>
      </c>
    </row>
    <row r="99" spans="2:18" s="428" customFormat="1" ht="12.75" customHeight="1" x14ac:dyDescent="0.25">
      <c r="B99" s="441">
        <v>45742</v>
      </c>
      <c r="C99" s="442">
        <v>1</v>
      </c>
      <c r="D99" s="443">
        <v>7</v>
      </c>
      <c r="E99" s="444">
        <v>17982</v>
      </c>
      <c r="F99" s="445">
        <v>20308861059</v>
      </c>
      <c r="G99" s="446" t="str">
        <f>IFERROR(IF(compras_mes3[[#This Row],[CUIT]]="","-",VLOOKUP(compras_mes3[[#This Row],[CUIT]],Lista_CUIT[#All],2,0)),"CUIT NO CARGADO")</f>
        <v>MARINELLI JON EZEQUIEL</v>
      </c>
      <c r="H99" s="386">
        <v>23552.15</v>
      </c>
      <c r="I99" s="386">
        <f>IF(compras_mes3[[#This Row],[NETO GRAVADO]]="","",compras_mes3[[#This Row],[NETO GRAVADO]]*0.21)</f>
        <v>4945.9515000000001</v>
      </c>
      <c r="J99" s="387"/>
      <c r="K99" s="387"/>
      <c r="L99" s="387"/>
      <c r="M99" s="387"/>
      <c r="N99" s="387"/>
      <c r="O99" s="387"/>
      <c r="P99" s="447">
        <f>SUM(compras_mes3[[#This Row],[NETO GRAVADO]:[Otros / No Grav.]])</f>
        <v>28498.101500000001</v>
      </c>
      <c r="Q99" s="448" t="str">
        <f>IFERROR(IF(compras_mes3[[#This Row],[CUIT]]="","-",VLOOKUP(compras_mes3[[#This Row],[CUIT]],Lista_CUIT[#All],3,0)),"CUIT NO CARGADO")</f>
        <v>Gastos Varios</v>
      </c>
      <c r="R99" s="448">
        <f>IFERROR(IF(compras_mes3[[#This Row],[CUIT]]="","-",VLOOKUP(compras_mes3[[#This Row],[CUIT]],Lista_CUIT[#All],4,0)),"CUIT NO CARGADO")</f>
        <v>0</v>
      </c>
    </row>
    <row r="100" spans="2:18" s="428" customFormat="1" x14ac:dyDescent="0.25">
      <c r="B100" s="441">
        <v>45742</v>
      </c>
      <c r="C100" s="442">
        <v>1</v>
      </c>
      <c r="D100" s="443">
        <v>7</v>
      </c>
      <c r="E100" s="444">
        <v>28</v>
      </c>
      <c r="F100" s="445">
        <v>27325223273</v>
      </c>
      <c r="G100" s="446" t="str">
        <f>IFERROR(IF(compras_mes3[[#This Row],[CUIT]]="","-",VLOOKUP(compras_mes3[[#This Row],[CUIT]],Lista_CUIT[#All],2,0)),"CUIT NO CARGADO")</f>
        <v>SOUSA ALDERETE ALEJANDRA MABEL</v>
      </c>
      <c r="H100" s="386">
        <v>1050000</v>
      </c>
      <c r="I100" s="386">
        <f>IF(compras_mes3[[#This Row],[NETO GRAVADO]]="","",compras_mes3[[#This Row],[NETO GRAVADO]]*0.21)</f>
        <v>220500</v>
      </c>
      <c r="J100" s="387"/>
      <c r="K100" s="387"/>
      <c r="L100" s="387"/>
      <c r="M100" s="387"/>
      <c r="N100" s="387"/>
      <c r="O100" s="387"/>
      <c r="P100" s="447">
        <f>SUM(compras_mes3[[#This Row],[NETO GRAVADO]:[Otros / No Grav.]])</f>
        <v>1270500</v>
      </c>
      <c r="Q100" s="448" t="str">
        <f>IFERROR(IF(compras_mes3[[#This Row],[CUIT]]="","-",VLOOKUP(compras_mes3[[#This Row],[CUIT]],Lista_CUIT[#All],3,0)),"CUIT NO CARGADO")</f>
        <v>Insumos</v>
      </c>
      <c r="R100" s="448">
        <f>IFERROR(IF(compras_mes3[[#This Row],[CUIT]]="","-",VLOOKUP(compras_mes3[[#This Row],[CUIT]],Lista_CUIT[#All],4,0)),"CUIT NO CARGADO")</f>
        <v>0</v>
      </c>
    </row>
    <row r="101" spans="2:18" s="449" customFormat="1" ht="18.600000000000001" customHeight="1" x14ac:dyDescent="0.25">
      <c r="B101" s="441">
        <v>45743</v>
      </c>
      <c r="C101" s="442">
        <v>1</v>
      </c>
      <c r="D101" s="443">
        <v>2</v>
      </c>
      <c r="E101" s="444">
        <v>1177</v>
      </c>
      <c r="F101" s="445">
        <v>20272865869</v>
      </c>
      <c r="G101" s="446" t="str">
        <f>IFERROR(IF(compras_mes3[[#This Row],[CUIT]]="","-",VLOOKUP(compras_mes3[[#This Row],[CUIT]],Lista_CUIT[#All],2,0)),"CUIT NO CARGADO")</f>
        <v>DI FEO MARTIN EZEQUIEL</v>
      </c>
      <c r="H101" s="386">
        <v>12500</v>
      </c>
      <c r="I101" s="386">
        <f>IF(compras_mes3[[#This Row],[NETO GRAVADO]]="","",compras_mes3[[#This Row],[NETO GRAVADO]]*0.21)</f>
        <v>2625</v>
      </c>
      <c r="J101" s="387"/>
      <c r="K101" s="387"/>
      <c r="L101" s="387"/>
      <c r="M101" s="387"/>
      <c r="N101" s="387"/>
      <c r="O101" s="387"/>
      <c r="P101" s="447">
        <f>SUM(compras_mes3[[#This Row],[NETO GRAVADO]:[Otros / No Grav.]])</f>
        <v>15125</v>
      </c>
      <c r="Q101" s="448" t="str">
        <f>IFERROR(IF(compras_mes3[[#This Row],[CUIT]]="","-",VLOOKUP(compras_mes3[[#This Row],[CUIT]],Lista_CUIT[#All],3,0)),"CUIT NO CARGADO")</f>
        <v>INSUMOS</v>
      </c>
      <c r="R101" s="448">
        <f>IFERROR(IF(compras_mes3[[#This Row],[CUIT]]="","-",VLOOKUP(compras_mes3[[#This Row],[CUIT]],Lista_CUIT[#All],4,0)),"CUIT NO CARGADO")</f>
        <v>0</v>
      </c>
    </row>
    <row r="102" spans="2:18" s="428" customFormat="1" x14ac:dyDescent="0.25">
      <c r="B102" s="441">
        <v>45743</v>
      </c>
      <c r="C102" s="442">
        <v>1</v>
      </c>
      <c r="D102" s="443">
        <v>2</v>
      </c>
      <c r="E102" s="444">
        <v>1173</v>
      </c>
      <c r="F102" s="445">
        <v>20272865869</v>
      </c>
      <c r="G102" s="446" t="str">
        <f>IFERROR(IF(compras_mes3[[#This Row],[CUIT]]="","-",VLOOKUP(compras_mes3[[#This Row],[CUIT]],Lista_CUIT[#All],2,0)),"CUIT NO CARGADO")</f>
        <v>DI FEO MARTIN EZEQUIEL</v>
      </c>
      <c r="H102" s="386">
        <v>106500</v>
      </c>
      <c r="I102" s="386">
        <f>IF(compras_mes3[[#This Row],[NETO GRAVADO]]="","",compras_mes3[[#This Row],[NETO GRAVADO]]*0.21)</f>
        <v>22365</v>
      </c>
      <c r="J102" s="387"/>
      <c r="K102" s="387"/>
      <c r="L102" s="387"/>
      <c r="M102" s="387"/>
      <c r="N102" s="387"/>
      <c r="O102" s="387"/>
      <c r="P102" s="447">
        <f>SUM(compras_mes3[[#This Row],[NETO GRAVADO]:[Otros / No Grav.]])</f>
        <v>128865</v>
      </c>
      <c r="Q102" s="448" t="str">
        <f>IFERROR(IF(compras_mes3[[#This Row],[CUIT]]="","-",VLOOKUP(compras_mes3[[#This Row],[CUIT]],Lista_CUIT[#All],3,0)),"CUIT NO CARGADO")</f>
        <v>INSUMOS</v>
      </c>
      <c r="R102" s="448">
        <f>IFERROR(IF(compras_mes3[[#This Row],[CUIT]]="","-",VLOOKUP(compras_mes3[[#This Row],[CUIT]],Lista_CUIT[#All],4,0)),"CUIT NO CARGADO")</f>
        <v>0</v>
      </c>
    </row>
    <row r="103" spans="2:18" s="428" customFormat="1" x14ac:dyDescent="0.25">
      <c r="B103" s="441">
        <v>45743</v>
      </c>
      <c r="C103" s="442">
        <v>1</v>
      </c>
      <c r="D103" s="443">
        <v>1</v>
      </c>
      <c r="E103" s="444">
        <v>6469</v>
      </c>
      <c r="F103" s="445">
        <v>30715430769</v>
      </c>
      <c r="G103" s="446" t="str">
        <f>IFERROR(IF(compras_mes3[[#This Row],[CUIT]]="","-",VLOOKUP(compras_mes3[[#This Row],[CUIT]],Lista_CUIT[#All],2,0)),"CUIT NO CARGADO")</f>
        <v>INFORMATICA BARRACAS SRL</v>
      </c>
      <c r="H103" s="386">
        <v>20698.669999999998</v>
      </c>
      <c r="I103" s="386">
        <f>IF(compras_mes3[[#This Row],[NETO GRAVADO]]="","",compras_mes3[[#This Row],[NETO GRAVADO]]*0.21)</f>
        <v>4346.7206999999999</v>
      </c>
      <c r="J103" s="387"/>
      <c r="K103" s="387"/>
      <c r="L103" s="387"/>
      <c r="M103" s="387"/>
      <c r="N103" s="387"/>
      <c r="O103" s="387"/>
      <c r="P103" s="447">
        <f>SUM(compras_mes3[[#This Row],[NETO GRAVADO]:[Otros / No Grav.]])</f>
        <v>25045.390699999996</v>
      </c>
      <c r="Q103" s="448" t="str">
        <f>IFERROR(IF(compras_mes3[[#This Row],[CUIT]]="","-",VLOOKUP(compras_mes3[[#This Row],[CUIT]],Lista_CUIT[#All],3,0)),"CUIT NO CARGADO")</f>
        <v>Insumos</v>
      </c>
      <c r="R103" s="448">
        <f>IFERROR(IF(compras_mes3[[#This Row],[CUIT]]="","-",VLOOKUP(compras_mes3[[#This Row],[CUIT]],Lista_CUIT[#All],4,0)),"CUIT NO CARGADO")</f>
        <v>0</v>
      </c>
    </row>
    <row r="104" spans="2:18" s="428" customFormat="1" x14ac:dyDescent="0.25">
      <c r="B104" s="441">
        <v>45745</v>
      </c>
      <c r="C104" s="442">
        <v>1</v>
      </c>
      <c r="D104" s="443">
        <v>104</v>
      </c>
      <c r="E104" s="444">
        <v>8683654</v>
      </c>
      <c r="F104" s="445">
        <v>30715804812</v>
      </c>
      <c r="G104" s="446" t="str">
        <f>IFERROR(IF(compras_mes3[[#This Row],[CUIT]]="","-",VLOOKUP(compras_mes3[[#This Row],[CUIT]],Lista_CUIT[#All],2,0)),"CUIT NO CARGADO")</f>
        <v>CORREDORES VIALES SOCIEDAD ANONIMA</v>
      </c>
      <c r="H104" s="386">
        <v>1039.98</v>
      </c>
      <c r="I104" s="386">
        <f>IF(compras_mes3[[#This Row],[NETO GRAVADO]]="","",compras_mes3[[#This Row],[NETO GRAVADO]]*0.21)</f>
        <v>218.39580000000001</v>
      </c>
      <c r="J104" s="387"/>
      <c r="K104" s="387"/>
      <c r="L104" s="387"/>
      <c r="M104" s="387"/>
      <c r="N104" s="387"/>
      <c r="O104" s="387"/>
      <c r="P104" s="447">
        <f>SUM(compras_mes3[[#This Row],[NETO GRAVADO]:[Otros / No Grav.]])</f>
        <v>1258.3758</v>
      </c>
      <c r="Q104" s="448" t="str">
        <f>IFERROR(IF(compras_mes3[[#This Row],[CUIT]]="","-",VLOOKUP(compras_mes3[[#This Row],[CUIT]],Lista_CUIT[#All],3,0)),"CUIT NO CARGADO")</f>
        <v>Autopista</v>
      </c>
      <c r="R104" s="448">
        <f>IFERROR(IF(compras_mes3[[#This Row],[CUIT]]="","-",VLOOKUP(compras_mes3[[#This Row],[CUIT]],Lista_CUIT[#All],4,0)),"CUIT NO CARGADO")</f>
        <v>0</v>
      </c>
    </row>
    <row r="105" spans="2:18" s="428" customFormat="1" x14ac:dyDescent="0.25">
      <c r="B105" s="441">
        <v>45745</v>
      </c>
      <c r="C105" s="442">
        <v>1</v>
      </c>
      <c r="D105" s="443">
        <v>104</v>
      </c>
      <c r="E105" s="444">
        <v>8640520</v>
      </c>
      <c r="F105" s="445">
        <v>30715804812</v>
      </c>
      <c r="G105" s="446" t="str">
        <f>IFERROR(IF(compras_mes3[[#This Row],[CUIT]]="","-",VLOOKUP(compras_mes3[[#This Row],[CUIT]],Lista_CUIT[#All],2,0)),"CUIT NO CARGADO")</f>
        <v>CORREDORES VIALES SOCIEDAD ANONIMA</v>
      </c>
      <c r="H105" s="386">
        <v>2079.9699999999998</v>
      </c>
      <c r="I105" s="386">
        <f>IF(compras_mes3[[#This Row],[NETO GRAVADO]]="","",compras_mes3[[#This Row],[NETO GRAVADO]]*0.21)</f>
        <v>436.79369999999994</v>
      </c>
      <c r="J105" s="387"/>
      <c r="K105" s="387"/>
      <c r="L105" s="387"/>
      <c r="M105" s="387"/>
      <c r="N105" s="387"/>
      <c r="O105" s="387"/>
      <c r="P105" s="447">
        <f>SUM(compras_mes3[[#This Row],[NETO GRAVADO]:[Otros / No Grav.]])</f>
        <v>2516.7636999999995</v>
      </c>
      <c r="Q105" s="448" t="str">
        <f>IFERROR(IF(compras_mes3[[#This Row],[CUIT]]="","-",VLOOKUP(compras_mes3[[#This Row],[CUIT]],Lista_CUIT[#All],3,0)),"CUIT NO CARGADO")</f>
        <v>Autopista</v>
      </c>
      <c r="R105" s="448">
        <f>IFERROR(IF(compras_mes3[[#This Row],[CUIT]]="","-",VLOOKUP(compras_mes3[[#This Row],[CUIT]],Lista_CUIT[#All],4,0)),"CUIT NO CARGADO")</f>
        <v>0</v>
      </c>
    </row>
    <row r="106" spans="2:18" s="428" customFormat="1" x14ac:dyDescent="0.25">
      <c r="B106" s="441">
        <v>45745</v>
      </c>
      <c r="C106" s="442">
        <v>1</v>
      </c>
      <c r="D106" s="443">
        <v>10</v>
      </c>
      <c r="E106" s="444">
        <v>2722</v>
      </c>
      <c r="F106" s="445">
        <v>30716229552</v>
      </c>
      <c r="G106" s="446" t="str">
        <f>IFERROR(IF(compras_mes3[[#This Row],[CUIT]]="","-",VLOOKUP(compras_mes3[[#This Row],[CUIT]],Lista_CUIT[#All],2,0)),"CUIT NO CARGADO")</f>
        <v>LUBRICANTES RUTA DE P e H SRL</v>
      </c>
      <c r="H106" s="386">
        <v>12396.69</v>
      </c>
      <c r="I106" s="386">
        <f>IF(compras_mes3[[#This Row],[NETO GRAVADO]]="","",compras_mes3[[#This Row],[NETO GRAVADO]]*0.21)</f>
        <v>2603.3049000000001</v>
      </c>
      <c r="J106" s="387"/>
      <c r="K106" s="387"/>
      <c r="L106" s="387"/>
      <c r="M106" s="387"/>
      <c r="N106" s="387"/>
      <c r="O106" s="387"/>
      <c r="P106" s="447">
        <f>SUM(compras_mes3[[#This Row],[NETO GRAVADO]:[Otros / No Grav.]])</f>
        <v>14999.994900000002</v>
      </c>
      <c r="Q106" s="448" t="str">
        <f>IFERROR(IF(compras_mes3[[#This Row],[CUIT]]="","-",VLOOKUP(compras_mes3[[#This Row],[CUIT]],Lista_CUIT[#All],3,0)),"CUIT NO CARGADO")</f>
        <v>COMBUSTIBLE</v>
      </c>
      <c r="R106" s="448">
        <f>IFERROR(IF(compras_mes3[[#This Row],[CUIT]]="","-",VLOOKUP(compras_mes3[[#This Row],[CUIT]],Lista_CUIT[#All],4,0)),"CUIT NO CARGADO")</f>
        <v>0</v>
      </c>
    </row>
    <row r="107" spans="2:18" s="428" customFormat="1" x14ac:dyDescent="0.25">
      <c r="B107" s="441">
        <v>45745</v>
      </c>
      <c r="C107" s="442">
        <v>1</v>
      </c>
      <c r="D107" s="443">
        <v>24</v>
      </c>
      <c r="E107" s="444">
        <v>3066212</v>
      </c>
      <c r="F107" s="445">
        <v>30703088534</v>
      </c>
      <c r="G107" s="446" t="str">
        <f>IFERROR(IF(compras_mes3[[#This Row],[CUIT]]="","-",VLOOKUP(compras_mes3[[#This Row],[CUIT]],Lista_CUIT[#All],2,0)),"CUIT NO CARGADO")</f>
        <v>MERCADO LIBRE SRL</v>
      </c>
      <c r="H107" s="386">
        <v>67805.64</v>
      </c>
      <c r="I107" s="386">
        <f>IF(compras_mes3[[#This Row],[NETO GRAVADO]]="","",compras_mes3[[#This Row],[NETO GRAVADO]]*0.21)</f>
        <v>14239.1844</v>
      </c>
      <c r="J107" s="387"/>
      <c r="K107" s="387"/>
      <c r="L107" s="387"/>
      <c r="M107" s="387"/>
      <c r="N107" s="387"/>
      <c r="O107" s="387"/>
      <c r="P107" s="447">
        <f>SUM(compras_mes3[[#This Row],[NETO GRAVADO]:[Otros / No Grav.]])</f>
        <v>82044.824399999998</v>
      </c>
      <c r="Q107" s="448" t="str">
        <f>IFERROR(IF(compras_mes3[[#This Row],[CUIT]]="","-",VLOOKUP(compras_mes3[[#This Row],[CUIT]],Lista_CUIT[#All],3,0)),"CUIT NO CARGADO")</f>
        <v>PLATAFORMA ONLINE</v>
      </c>
      <c r="R107" s="448">
        <f>IFERROR(IF(compras_mes3[[#This Row],[CUIT]]="","-",VLOOKUP(compras_mes3[[#This Row],[CUIT]],Lista_CUIT[#All],4,0)),"CUIT NO CARGADO")</f>
        <v>0</v>
      </c>
    </row>
    <row r="108" spans="2:18" s="428" customFormat="1" x14ac:dyDescent="0.25">
      <c r="B108" s="441">
        <v>45747</v>
      </c>
      <c r="C108" s="442">
        <v>1</v>
      </c>
      <c r="D108" s="443">
        <v>113</v>
      </c>
      <c r="E108" s="444">
        <v>4149140</v>
      </c>
      <c r="F108" s="445">
        <v>30577207190</v>
      </c>
      <c r="G108" s="446" t="str">
        <f>IFERROR(IF(compras_mes3[[#This Row],[CUIT]]="","-",VLOOKUP(compras_mes3[[#This Row],[CUIT]],Lista_CUIT[#All],2,0)),"CUIT NO CARGADO")</f>
        <v>COORDINACION ECOLOGICA AREA METROPOLITANA SOCIEDAD DEL ESTADO</v>
      </c>
      <c r="H108" s="386">
        <v>3719.01</v>
      </c>
      <c r="I108" s="386">
        <f>IF(compras_mes3[[#This Row],[NETO GRAVADO]]="","",compras_mes3[[#This Row],[NETO GRAVADO]]*0.21)</f>
        <v>780.99210000000005</v>
      </c>
      <c r="J108" s="387"/>
      <c r="K108" s="387"/>
      <c r="L108" s="387"/>
      <c r="M108" s="387"/>
      <c r="N108" s="387"/>
      <c r="O108" s="387"/>
      <c r="P108" s="447">
        <f>SUM(compras_mes3[[#This Row],[NETO GRAVADO]:[Otros / No Grav.]])</f>
        <v>4500.0021000000006</v>
      </c>
      <c r="Q108" s="448" t="str">
        <f>IFERROR(IF(compras_mes3[[#This Row],[CUIT]]="","-",VLOOKUP(compras_mes3[[#This Row],[CUIT]],Lista_CUIT[#All],3,0)),"CUIT NO CARGADO")</f>
        <v>gastos varios</v>
      </c>
      <c r="R108" s="448">
        <f>IFERROR(IF(compras_mes3[[#This Row],[CUIT]]="","-",VLOOKUP(compras_mes3[[#This Row],[CUIT]],Lista_CUIT[#All],4,0)),"CUIT NO CARGADO")</f>
        <v>0</v>
      </c>
    </row>
    <row r="109" spans="2:18" s="428" customFormat="1" x14ac:dyDescent="0.25">
      <c r="B109" s="441">
        <v>45747</v>
      </c>
      <c r="C109" s="442">
        <v>1</v>
      </c>
      <c r="D109" s="443">
        <v>17</v>
      </c>
      <c r="E109" s="444">
        <v>12116</v>
      </c>
      <c r="F109" s="445">
        <v>30661143610</v>
      </c>
      <c r="G109" s="446" t="str">
        <f>IFERROR(IF(compras_mes3[[#This Row],[CUIT]]="","-",VLOOKUP(compras_mes3[[#This Row],[CUIT]],Lista_CUIT[#All],2,0)),"CUIT NO CARGADO")</f>
        <v>ORTOPEDIA BERNAT SRL</v>
      </c>
      <c r="H109" s="386">
        <v>1194454.6299999999</v>
      </c>
      <c r="I109" s="386">
        <f>IF(compras_mes3[[#This Row],[NETO GRAVADO]]="","",compras_mes3[[#This Row],[NETO GRAVADO]]*0.21)</f>
        <v>250835.47229999996</v>
      </c>
      <c r="J109" s="387"/>
      <c r="K109" s="387"/>
      <c r="L109" s="387"/>
      <c r="M109" s="387"/>
      <c r="N109" s="387"/>
      <c r="O109" s="387"/>
      <c r="P109" s="447">
        <f>SUM(compras_mes3[[#This Row],[NETO GRAVADO]:[Otros / No Grav.]])</f>
        <v>1445290.1022999999</v>
      </c>
      <c r="Q109" s="448" t="str">
        <f>IFERROR(IF(compras_mes3[[#This Row],[CUIT]]="","-",VLOOKUP(compras_mes3[[#This Row],[CUIT]],Lista_CUIT[#All],3,0)),"CUIT NO CARGADO")</f>
        <v>INSUMO</v>
      </c>
      <c r="R109" s="448">
        <f>IFERROR(IF(compras_mes3[[#This Row],[CUIT]]="","-",VLOOKUP(compras_mes3[[#This Row],[CUIT]],Lista_CUIT[#All],4,0)),"CUIT NO CARGADO")</f>
        <v>0</v>
      </c>
    </row>
    <row r="110" spans="2:18" s="428" customFormat="1" x14ac:dyDescent="0.25">
      <c r="B110" s="441">
        <v>45747</v>
      </c>
      <c r="C110" s="442">
        <v>1</v>
      </c>
      <c r="D110" s="443">
        <v>5009</v>
      </c>
      <c r="E110" s="444">
        <v>1316261</v>
      </c>
      <c r="F110" s="445">
        <v>30574876474</v>
      </c>
      <c r="G110" s="446" t="str">
        <f>IFERROR(IF(compras_mes3[[#This Row],[CUIT]]="","-",VLOOKUP(compras_mes3[[#This Row],[CUIT]],Lista_CUIT[#All],2,0)),"CUIT NO CARGADO")</f>
        <v>AUTOP. URBANAS SA</v>
      </c>
      <c r="H110" s="386">
        <v>6798.01</v>
      </c>
      <c r="I110" s="386">
        <f>IF(compras_mes3[[#This Row],[NETO GRAVADO]]="","",compras_mes3[[#This Row],[NETO GRAVADO]]*0.21)</f>
        <v>1427.5821000000001</v>
      </c>
      <c r="J110" s="387"/>
      <c r="K110" s="387"/>
      <c r="L110" s="387"/>
      <c r="M110" s="387"/>
      <c r="N110" s="387"/>
      <c r="O110" s="387"/>
      <c r="P110" s="447">
        <f>SUM(compras_mes3[[#This Row],[NETO GRAVADO]:[Otros / No Grav.]])</f>
        <v>8225.5920999999998</v>
      </c>
      <c r="Q110" s="448" t="str">
        <f>IFERROR(IF(compras_mes3[[#This Row],[CUIT]]="","-",VLOOKUP(compras_mes3[[#This Row],[CUIT]],Lista_CUIT[#All],3,0)),"CUIT NO CARGADO")</f>
        <v>PEAJE</v>
      </c>
      <c r="R110" s="448">
        <f>IFERROR(IF(compras_mes3[[#This Row],[CUIT]]="","-",VLOOKUP(compras_mes3[[#This Row],[CUIT]],Lista_CUIT[#All],4,0)),"CUIT NO CARGADO")</f>
        <v>0</v>
      </c>
    </row>
    <row r="111" spans="2:18" s="428" customFormat="1" x14ac:dyDescent="0.25">
      <c r="B111" s="441">
        <v>45747</v>
      </c>
      <c r="C111" s="442">
        <v>1</v>
      </c>
      <c r="D111" s="443">
        <v>3</v>
      </c>
      <c r="E111" s="444">
        <v>3364</v>
      </c>
      <c r="F111" s="445">
        <v>20320131260</v>
      </c>
      <c r="G111" s="446" t="str">
        <f>IFERROR(IF(compras_mes3[[#This Row],[CUIT]]="","-",VLOOKUP(compras_mes3[[#This Row],[CUIT]],Lista_CUIT[#All],2,0)),"CUIT NO CARGADO")</f>
        <v>RODRIGUEZ JONATAN</v>
      </c>
      <c r="H111" s="386">
        <v>3124.15</v>
      </c>
      <c r="I111" s="386">
        <f>IF(compras_mes3[[#This Row],[NETO GRAVADO]]="","",compras_mes3[[#This Row],[NETO GRAVADO]]*0.21)</f>
        <v>656.07150000000001</v>
      </c>
      <c r="J111" s="387"/>
      <c r="K111" s="387"/>
      <c r="L111" s="387"/>
      <c r="M111" s="387"/>
      <c r="N111" s="387"/>
      <c r="O111" s="387"/>
      <c r="P111" s="447">
        <f>SUM(compras_mes3[[#This Row],[NETO GRAVADO]:[Otros / No Grav.]])</f>
        <v>3780.2215000000001</v>
      </c>
      <c r="Q111" s="448" t="str">
        <f>IFERROR(IF(compras_mes3[[#This Row],[CUIT]]="","-",VLOOKUP(compras_mes3[[#This Row],[CUIT]],Lista_CUIT[#All],3,0)),"CUIT NO CARGADO")</f>
        <v>Papeleria</v>
      </c>
      <c r="R111" s="448">
        <f>IFERROR(IF(compras_mes3[[#This Row],[CUIT]]="","-",VLOOKUP(compras_mes3[[#This Row],[CUIT]],Lista_CUIT[#All],4,0)),"CUIT NO CARGADO")</f>
        <v>0</v>
      </c>
    </row>
    <row r="112" spans="2:18" x14ac:dyDescent="0.25">
      <c r="B112" s="441">
        <v>45747</v>
      </c>
      <c r="C112" s="442">
        <v>1</v>
      </c>
      <c r="D112" s="443">
        <v>6</v>
      </c>
      <c r="E112" s="444">
        <v>19159238</v>
      </c>
      <c r="F112" s="445">
        <v>30620177497</v>
      </c>
      <c r="G112" s="446" t="str">
        <f>IFERROR(IF(compras_mes3[[#This Row],[CUIT]]="","-",VLOOKUP(compras_mes3[[#This Row],[CUIT]],Lista_CUIT[#All],2,0)),"CUIT NO CARGADO")</f>
        <v>POSNET SOCIEDAD DE RESPONSABILIDAD LIMITADA</v>
      </c>
      <c r="H112" s="386">
        <v>31146.28</v>
      </c>
      <c r="I112" s="386">
        <f>IF(compras_mes3[[#This Row],[NETO GRAVADO]]="","",compras_mes3[[#This Row],[NETO GRAVADO]]*0.21)</f>
        <v>6540.7187999999996</v>
      </c>
      <c r="J112" s="387"/>
      <c r="K112" s="387"/>
      <c r="L112" s="387"/>
      <c r="M112" s="387"/>
      <c r="N112" s="387"/>
      <c r="O112" s="387"/>
      <c r="P112" s="447">
        <f>SUM(compras_mes3[[#This Row],[NETO GRAVADO]:[Otros / No Grav.]])</f>
        <v>37686.998800000001</v>
      </c>
      <c r="Q112" s="448" t="str">
        <f>IFERROR(IF(compras_mes3[[#This Row],[CUIT]]="","-",VLOOKUP(compras_mes3[[#This Row],[CUIT]],Lista_CUIT[#All],3,0)),"CUIT NO CARGADO")</f>
        <v>Gastos Varios</v>
      </c>
      <c r="R112" s="448">
        <f>IFERROR(IF(compras_mes3[[#This Row],[CUIT]]="","-",VLOOKUP(compras_mes3[[#This Row],[CUIT]],Lista_CUIT[#All],4,0)),"CUIT NO CARGADO")</f>
        <v>0</v>
      </c>
    </row>
    <row r="113" spans="2:18" x14ac:dyDescent="0.25">
      <c r="B113" s="441">
        <v>45747</v>
      </c>
      <c r="C113" s="442">
        <v>1</v>
      </c>
      <c r="D113" s="443">
        <v>11</v>
      </c>
      <c r="E113" s="444">
        <v>95662</v>
      </c>
      <c r="F113" s="445">
        <v>30526582884</v>
      </c>
      <c r="G113" s="446" t="str">
        <f>IFERROR(IF(compras_mes3[[#This Row],[CUIT]]="","-",VLOOKUP(compras_mes3[[#This Row],[CUIT]],Lista_CUIT[#All],2,0)),"CUIT NO CARGADO")</f>
        <v>EXPRESO MAR DEL PLATA S.A.</v>
      </c>
      <c r="H113" s="386">
        <v>43545.45</v>
      </c>
      <c r="I113" s="386">
        <f>IF(compras_mes3[[#This Row],[NETO GRAVADO]]="","",compras_mes3[[#This Row],[NETO GRAVADO]]*0.21)</f>
        <v>9144.5444999999982</v>
      </c>
      <c r="J113" s="387"/>
      <c r="K113" s="387"/>
      <c r="L113" s="387"/>
      <c r="M113" s="387"/>
      <c r="N113" s="387"/>
      <c r="O113" s="387"/>
      <c r="P113" s="447">
        <f>SUM(compras_mes3[[#This Row],[NETO GRAVADO]:[Otros / No Grav.]])</f>
        <v>52689.994499999993</v>
      </c>
      <c r="Q113" s="448" t="str">
        <f>IFERROR(IF(compras_mes3[[#This Row],[CUIT]]="","-",VLOOKUP(compras_mes3[[#This Row],[CUIT]],Lista_CUIT[#All],3,0)),"CUIT NO CARGADO")</f>
        <v>SERVICIOS</v>
      </c>
      <c r="R113" s="448">
        <f>IFERROR(IF(compras_mes3[[#This Row],[CUIT]]="","-",VLOOKUP(compras_mes3[[#This Row],[CUIT]],Lista_CUIT[#All],4,0)),"CUIT NO CARGADO")</f>
        <v>0</v>
      </c>
    </row>
    <row r="114" spans="2:18" x14ac:dyDescent="0.25">
      <c r="B114" s="441">
        <v>45747</v>
      </c>
      <c r="C114" s="442">
        <v>1</v>
      </c>
      <c r="D114" s="443">
        <v>5015</v>
      </c>
      <c r="E114" s="444">
        <v>801800</v>
      </c>
      <c r="F114" s="445">
        <v>30574876474</v>
      </c>
      <c r="G114" s="446" t="str">
        <f>IFERROR(IF(compras_mes3[[#This Row],[CUIT]]="","-",VLOOKUP(compras_mes3[[#This Row],[CUIT]],Lista_CUIT[#All],2,0)),"CUIT NO CARGADO")</f>
        <v>AUTOP. URBANAS SA</v>
      </c>
      <c r="H114" s="386">
        <v>33681.65</v>
      </c>
      <c r="I114" s="386">
        <f>IF(compras_mes3[[#This Row],[NETO GRAVADO]]="","",compras_mes3[[#This Row],[NETO GRAVADO]]*0.21)</f>
        <v>7073.1464999999998</v>
      </c>
      <c r="J114" s="387"/>
      <c r="K114" s="387"/>
      <c r="L114" s="387"/>
      <c r="M114" s="387"/>
      <c r="N114" s="387"/>
      <c r="O114" s="387"/>
      <c r="P114" s="447">
        <f>SUM(compras_mes3[[#This Row],[NETO GRAVADO]:[Otros / No Grav.]])</f>
        <v>40754.796500000004</v>
      </c>
      <c r="Q114" s="448" t="str">
        <f>IFERROR(IF(compras_mes3[[#This Row],[CUIT]]="","-",VLOOKUP(compras_mes3[[#This Row],[CUIT]],Lista_CUIT[#All],3,0)),"CUIT NO CARGADO")</f>
        <v>PEAJE</v>
      </c>
      <c r="R114" s="448">
        <f>IFERROR(IF(compras_mes3[[#This Row],[CUIT]]="","-",VLOOKUP(compras_mes3[[#This Row],[CUIT]],Lista_CUIT[#All],4,0)),"CUIT NO CARGADO")</f>
        <v>0</v>
      </c>
    </row>
    <row r="115" spans="2:18" x14ac:dyDescent="0.25">
      <c r="B115" s="441">
        <v>45747</v>
      </c>
      <c r="C115" s="442">
        <v>1</v>
      </c>
      <c r="D115" s="443">
        <v>50</v>
      </c>
      <c r="E115" s="444">
        <v>4240541</v>
      </c>
      <c r="F115" s="445">
        <v>30714112836</v>
      </c>
      <c r="G115" s="446" t="str">
        <f>IFERROR(IF(compras_mes3[[#This Row],[CUIT]]="","-",VLOOKUP(compras_mes3[[#This Row],[CUIT]],Lista_CUIT[#All],2,0)),"CUIT NO CARGADO")</f>
        <v>AUTOPISTAS DE BUENOS AIRES (AUBASA) SA</v>
      </c>
      <c r="H115" s="386">
        <v>4888.16</v>
      </c>
      <c r="I115" s="386">
        <f>IF(compras_mes3[[#This Row],[NETO GRAVADO]]="","",compras_mes3[[#This Row],[NETO GRAVADO]]*0.21)</f>
        <v>1026.5136</v>
      </c>
      <c r="J115" s="387"/>
      <c r="K115" s="387"/>
      <c r="L115" s="387"/>
      <c r="M115" s="387"/>
      <c r="N115" s="387"/>
      <c r="O115" s="387"/>
      <c r="P115" s="447">
        <f>SUM(compras_mes3[[#This Row],[NETO GRAVADO]:[Otros / No Grav.]])</f>
        <v>5914.6736000000001</v>
      </c>
      <c r="Q115" s="448" t="str">
        <f>IFERROR(IF(compras_mes3[[#This Row],[CUIT]]="","-",VLOOKUP(compras_mes3[[#This Row],[CUIT]],Lista_CUIT[#All],3,0)),"CUIT NO CARGADO")</f>
        <v>Autopista</v>
      </c>
      <c r="R115" s="448">
        <f>IFERROR(IF(compras_mes3[[#This Row],[CUIT]]="","-",VLOOKUP(compras_mes3[[#This Row],[CUIT]],Lista_CUIT[#All],4,0)),"CUIT NO CARGADO")</f>
        <v>0</v>
      </c>
    </row>
    <row r="116" spans="2:18" x14ac:dyDescent="0.25">
      <c r="B116" s="441">
        <v>45747</v>
      </c>
      <c r="C116" s="442">
        <v>1</v>
      </c>
      <c r="D116" s="443">
        <v>6</v>
      </c>
      <c r="E116" s="444">
        <v>19031466</v>
      </c>
      <c r="F116" s="445">
        <v>30620177497</v>
      </c>
      <c r="G116" s="446" t="str">
        <f>IFERROR(IF(compras_mes3[[#This Row],[CUIT]]="","-",VLOOKUP(compras_mes3[[#This Row],[CUIT]],Lista_CUIT[#All],2,0)),"CUIT NO CARGADO")</f>
        <v>POSNET SOCIEDAD DE RESPONSABILIDAD LIMITADA</v>
      </c>
      <c r="H116" s="386">
        <v>0</v>
      </c>
      <c r="I116" s="386">
        <f>IF(compras_mes3[[#This Row],[NETO GRAVADO]]="","",compras_mes3[[#This Row],[NETO GRAVADO]]*0.21)</f>
        <v>0</v>
      </c>
      <c r="J116" s="387"/>
      <c r="K116" s="387"/>
      <c r="L116" s="387"/>
      <c r="M116" s="387"/>
      <c r="N116" s="387"/>
      <c r="O116" s="387"/>
      <c r="P116" s="447">
        <f>SUM(compras_mes3[[#This Row],[NETO GRAVADO]:[Otros / No Grav.]])</f>
        <v>0</v>
      </c>
      <c r="Q116" s="448" t="str">
        <f>IFERROR(IF(compras_mes3[[#This Row],[CUIT]]="","-",VLOOKUP(compras_mes3[[#This Row],[CUIT]],Lista_CUIT[#All],3,0)),"CUIT NO CARGADO")</f>
        <v>Gastos Varios</v>
      </c>
      <c r="R116" s="448">
        <f>IFERROR(IF(compras_mes3[[#This Row],[CUIT]]="","-",VLOOKUP(compras_mes3[[#This Row],[CUIT]],Lista_CUIT[#All],4,0)),"CUIT NO CARGADO")</f>
        <v>0</v>
      </c>
    </row>
    <row r="117" spans="2:18" x14ac:dyDescent="0.25">
      <c r="B117" s="441">
        <v>45730</v>
      </c>
      <c r="C117" s="442">
        <v>3</v>
      </c>
      <c r="D117" s="443">
        <v>2</v>
      </c>
      <c r="E117" s="444">
        <v>476</v>
      </c>
      <c r="F117" s="445">
        <v>30714331082</v>
      </c>
      <c r="G117" s="446" t="str">
        <f>IFERROR(IF(compras_mes3[[#This Row],[CUIT]]="","-",VLOOKUP(compras_mes3[[#This Row],[CUIT]],Lista_CUIT[#All],2,0)),"CUIT NO CARGADO")</f>
        <v>ORTOPEDIA CASA ESCALADA SRL</v>
      </c>
      <c r="H117" s="386">
        <v>-423275.07</v>
      </c>
      <c r="I117" s="386">
        <f>IF(compras_mes3[[#This Row],[NETO GRAVADO]]="","",compras_mes3[[#This Row],[NETO GRAVADO]]*0.21)</f>
        <v>-88887.7647</v>
      </c>
      <c r="J117" s="387"/>
      <c r="K117" s="387"/>
      <c r="L117" s="387"/>
      <c r="M117" s="387"/>
      <c r="N117" s="387"/>
      <c r="O117" s="387"/>
      <c r="P117" s="447">
        <f>SUM(compras_mes3[[#This Row],[NETO GRAVADO]:[Otros / No Grav.]])</f>
        <v>-512162.83470000001</v>
      </c>
      <c r="Q117" s="448" t="str">
        <f>IFERROR(IF(compras_mes3[[#This Row],[CUIT]]="","-",VLOOKUP(compras_mes3[[#This Row],[CUIT]],Lista_CUIT[#All],3,0)),"CUIT NO CARGADO")</f>
        <v>INSUMO</v>
      </c>
      <c r="R117" s="448">
        <f>IFERROR(IF(compras_mes3[[#This Row],[CUIT]]="","-",VLOOKUP(compras_mes3[[#This Row],[CUIT]],Lista_CUIT[#All],4,0)),"CUIT NO CARGADO")</f>
        <v>0</v>
      </c>
    </row>
    <row r="118" spans="2:18" x14ac:dyDescent="0.25">
      <c r="B118" s="441">
        <v>45734</v>
      </c>
      <c r="C118" s="442">
        <v>3</v>
      </c>
      <c r="D118" s="443">
        <v>7</v>
      </c>
      <c r="E118" s="444">
        <v>1375</v>
      </c>
      <c r="F118" s="445">
        <v>30709214078</v>
      </c>
      <c r="G118" s="446" t="str">
        <f>IFERROR(IF(compras_mes3[[#This Row],[CUIT]]="","-",VLOOKUP(compras_mes3[[#This Row],[CUIT]],Lista_CUIT[#All],2,0)),"CUIT NO CARGADO")</f>
        <v>REHAVITA S.A</v>
      </c>
      <c r="H118" s="386">
        <v>-250800</v>
      </c>
      <c r="I118" s="386"/>
      <c r="J118" s="387"/>
      <c r="K118" s="387">
        <f>compras_mes3[[#This Row],[NETO GRAVADO]]*10.5/100</f>
        <v>-26334</v>
      </c>
      <c r="L118" s="387"/>
      <c r="M118" s="387"/>
      <c r="N118" s="387"/>
      <c r="O118" s="387"/>
      <c r="P118" s="447">
        <f>SUM(compras_mes3[[#This Row],[NETO GRAVADO]:[Otros / No Grav.]])</f>
        <v>-277134</v>
      </c>
      <c r="Q118" s="448" t="str">
        <f>IFERROR(IF(compras_mes3[[#This Row],[CUIT]]="","-",VLOOKUP(compras_mes3[[#This Row],[CUIT]],Lista_CUIT[#All],3,0)),"CUIT NO CARGADO")</f>
        <v>INSUMO</v>
      </c>
      <c r="R118" s="448">
        <f>IFERROR(IF(compras_mes3[[#This Row],[CUIT]]="","-",VLOOKUP(compras_mes3[[#This Row],[CUIT]],Lista_CUIT[#All],4,0)),"CUIT NO CARGADO")</f>
        <v>0</v>
      </c>
    </row>
    <row r="119" spans="2:18" x14ac:dyDescent="0.25">
      <c r="B119" s="441">
        <v>45737</v>
      </c>
      <c r="C119" s="442">
        <v>3</v>
      </c>
      <c r="D119" s="443">
        <v>36</v>
      </c>
      <c r="E119" s="444">
        <v>5376</v>
      </c>
      <c r="F119" s="445">
        <v>30714769290</v>
      </c>
      <c r="G119" s="446" t="str">
        <f>IFERROR(IF(compras_mes3[[#This Row],[CUIT]]="","-",VLOOKUP(compras_mes3[[#This Row],[CUIT]],Lista_CUIT[#All],2,0)),"CUIT NO CARGADO")</f>
        <v>GOLONOR SA</v>
      </c>
      <c r="H119" s="386">
        <v>-6609.92</v>
      </c>
      <c r="I119" s="386">
        <f>IF(compras_mes3[[#This Row],[NETO GRAVADO]]="","",compras_mes3[[#This Row],[NETO GRAVADO]]*0.21)</f>
        <v>-1388.0832</v>
      </c>
      <c r="J119" s="387"/>
      <c r="K119" s="387"/>
      <c r="L119" s="387"/>
      <c r="M119" s="387"/>
      <c r="N119" s="387"/>
      <c r="O119" s="387"/>
      <c r="P119" s="447">
        <f>SUM(compras_mes3[[#This Row],[NETO GRAVADO]:[Otros / No Grav.]])</f>
        <v>-7998.0032000000001</v>
      </c>
      <c r="Q119" s="448" t="str">
        <f>IFERROR(IF(compras_mes3[[#This Row],[CUIT]]="","-",VLOOKUP(compras_mes3[[#This Row],[CUIT]],Lista_CUIT[#All],3,0)),"CUIT NO CARGADO")</f>
        <v>Gastos Varios</v>
      </c>
      <c r="R119" s="448">
        <f>IFERROR(IF(compras_mes3[[#This Row],[CUIT]]="","-",VLOOKUP(compras_mes3[[#This Row],[CUIT]],Lista_CUIT[#All],4,0)),"CUIT NO CARGADO")</f>
        <v>0</v>
      </c>
    </row>
    <row r="120" spans="2:18" ht="18" customHeight="1" x14ac:dyDescent="0.25">
      <c r="B120" s="95" t="s">
        <v>110</v>
      </c>
      <c r="C120" s="95"/>
      <c r="D120" s="95"/>
      <c r="E120" s="95"/>
      <c r="F120" s="95"/>
      <c r="G120" s="96"/>
      <c r="H120" s="97">
        <f>SUBTOTAL(109,compras_mes3[NETO GRAVADO])</f>
        <v>22652155.509999998</v>
      </c>
      <c r="I120" s="97">
        <f>SUBTOTAL(109,compras_mes3[IVA 21 %])</f>
        <v>4656788.1212999988</v>
      </c>
      <c r="J120" s="97">
        <f>SUBTOTAL(109,compras_mes3[IVA 27%])</f>
        <v>39818.952000000005</v>
      </c>
      <c r="K120" s="97">
        <f>SUBTOTAL(109,compras_mes3[IVA 10,5%])</f>
        <v>32381.619900000005</v>
      </c>
      <c r="L120" s="97">
        <f>SUBTOTAL(109,compras_mes3[PERC. IVA])</f>
        <v>133.46</v>
      </c>
      <c r="M120" s="97">
        <f>SUBTOTAL(109,compras_mes3[PERC IIBB 
BS AS])</f>
        <v>0</v>
      </c>
      <c r="N120" s="97">
        <f>SUBTOTAL(109,compras_mes3[PERC. IIBB CABA])</f>
        <v>0</v>
      </c>
      <c r="O120" s="97">
        <f>SUBTOTAL(109,compras_mes3[Otros / No Grav.])</f>
        <v>26697.879999999997</v>
      </c>
      <c r="P120" s="97">
        <f>SUBTOTAL(109,compras_mes3[TOTAL])</f>
        <v>27407975.543200001</v>
      </c>
      <c r="Q120" s="95"/>
      <c r="R120" s="95"/>
    </row>
    <row r="121" spans="2:18" x14ac:dyDescent="0.25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  <c r="M121" s="47"/>
      <c r="N121" s="47"/>
      <c r="O121" s="47"/>
      <c r="P121" s="48"/>
      <c r="Q121" s="49"/>
      <c r="R121" s="49"/>
    </row>
    <row r="122" spans="2:18" x14ac:dyDescent="0.25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  <c r="M122" s="47"/>
      <c r="N122" s="47"/>
      <c r="O122" s="47"/>
      <c r="P122" s="48"/>
      <c r="Q122" s="49"/>
      <c r="R122" s="49"/>
    </row>
    <row r="123" spans="2:18" x14ac:dyDescent="0.25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2:18" x14ac:dyDescent="0.25">
      <c r="B124" s="40"/>
      <c r="C124" s="41"/>
      <c r="D124" s="42"/>
      <c r="E124" s="43"/>
      <c r="F124" s="44">
        <v>30500006613</v>
      </c>
      <c r="G124" s="45"/>
      <c r="H124" s="46"/>
      <c r="I124" s="47"/>
      <c r="J124" s="47"/>
      <c r="K124" s="47"/>
      <c r="L124" s="47"/>
    </row>
    <row r="125" spans="2:18" ht="21" x14ac:dyDescent="0.25">
      <c r="D125" s="618" t="s">
        <v>15</v>
      </c>
      <c r="E125" s="618"/>
      <c r="F125" s="618"/>
      <c r="G125" s="618"/>
      <c r="H125" s="618"/>
      <c r="I125" s="618"/>
      <c r="J125" s="618"/>
      <c r="K125" s="618"/>
      <c r="L125" s="618"/>
    </row>
    <row r="126" spans="2:18" ht="15.75" x14ac:dyDescent="0.25">
      <c r="D126" s="73" t="s">
        <v>0</v>
      </c>
      <c r="E126" s="74" t="s">
        <v>26</v>
      </c>
      <c r="F126" s="74" t="s">
        <v>16</v>
      </c>
      <c r="G126" s="74" t="s">
        <v>5</v>
      </c>
      <c r="H126" s="74" t="s">
        <v>17</v>
      </c>
      <c r="I126" s="74" t="s">
        <v>7</v>
      </c>
      <c r="J126" s="75" t="s">
        <v>18</v>
      </c>
      <c r="K126" s="75" t="s">
        <v>19</v>
      </c>
      <c r="L126" s="76" t="s">
        <v>20</v>
      </c>
      <c r="M126" s="303" t="s">
        <v>10</v>
      </c>
    </row>
    <row r="127" spans="2:18" x14ac:dyDescent="0.25">
      <c r="D127" s="50">
        <v>45747</v>
      </c>
      <c r="E127" s="159">
        <v>566718388</v>
      </c>
      <c r="F127" s="80" t="s">
        <v>2237</v>
      </c>
      <c r="G127" s="81">
        <v>31551</v>
      </c>
      <c r="H127" s="81">
        <f>extracto_banco_mes3[[#This Row],[NETO]]*0.21</f>
        <v>6625.71</v>
      </c>
      <c r="I127" s="81"/>
      <c r="J127" s="81"/>
      <c r="K127" s="81">
        <v>870</v>
      </c>
      <c r="L127" s="81">
        <v>1080</v>
      </c>
      <c r="M127" s="302">
        <f>extracto_banco_mes3[[#This Row],[PERC IIBB]]+extracto_banco_mes3[[#This Row],[PERC IVA]]+extracto_banco_mes3[[#This Row],[NETO]]+extracto_banco_mes3[[#This Row],[IVA 10,5%]]+extracto_banco_mes3[[#This Row],[IVA 21%]]</f>
        <v>40126.71</v>
      </c>
    </row>
    <row r="128" spans="2:18" x14ac:dyDescent="0.25">
      <c r="D128" s="50">
        <v>45747</v>
      </c>
      <c r="E128" s="159">
        <v>119007808</v>
      </c>
      <c r="F128" s="80" t="s">
        <v>2238</v>
      </c>
      <c r="G128" s="81">
        <v>30050</v>
      </c>
      <c r="H128" s="81">
        <f>extracto_banco_mes3[[#This Row],[NETO]]*0.21</f>
        <v>6310.5</v>
      </c>
      <c r="I128" s="81"/>
      <c r="J128" s="81"/>
      <c r="K128" s="81">
        <v>900</v>
      </c>
      <c r="L128" s="81">
        <v>1200</v>
      </c>
      <c r="M128" s="302">
        <f>extracto_banco_mes3[[#This Row],[PERC IIBB]]+extracto_banco_mes3[[#This Row],[PERC IVA]]+extracto_banco_mes3[[#This Row],[NETO]]+extracto_banco_mes3[[#This Row],[IVA 10,5%]]+extracto_banco_mes3[[#This Row],[IVA 21%]]</f>
        <v>38460.5</v>
      </c>
    </row>
    <row r="129" spans="4:13" x14ac:dyDescent="0.25">
      <c r="D129" s="50"/>
      <c r="E129" s="159"/>
      <c r="F129" s="80" t="s">
        <v>2349</v>
      </c>
      <c r="G129" s="81"/>
      <c r="H129" s="81">
        <f>extracto_banco_mes3[[#This Row],[NETO]]*0.21</f>
        <v>0</v>
      </c>
      <c r="I129" s="81"/>
      <c r="J129" s="81"/>
      <c r="K129" s="81"/>
      <c r="L129" s="81"/>
      <c r="M129" s="302">
        <f>extracto_banco_mes3[[#This Row],[PERC IIBB]]+extracto_banco_mes3[[#This Row],[PERC IVA]]+extracto_banco_mes3[[#This Row],[NETO]]+extracto_banco_mes3[[#This Row],[IVA 10,5%]]+extracto_banco_mes3[[#This Row],[IVA 21%]]</f>
        <v>0</v>
      </c>
    </row>
    <row r="130" spans="4:13" x14ac:dyDescent="0.25">
      <c r="D130" s="50"/>
      <c r="E130" s="43"/>
      <c r="F130" s="80" t="s">
        <v>2350</v>
      </c>
      <c r="G130" s="81"/>
      <c r="H130" s="81">
        <f>extracto_banco_mes3[[#This Row],[NETO]]*0.21</f>
        <v>0</v>
      </c>
      <c r="I130" s="81"/>
      <c r="J130" s="81"/>
      <c r="K130" s="81"/>
      <c r="L130" s="81"/>
      <c r="M130" s="302">
        <f>extracto_banco_mes3[[#This Row],[PERC IIBB]]+extracto_banco_mes3[[#This Row],[PERC IVA]]+extracto_banco_mes3[[#This Row],[NETO]]+extracto_banco_mes3[[#This Row],[IVA 10,5%]]+extracto_banco_mes3[[#This Row],[IVA 21%]]</f>
        <v>0</v>
      </c>
    </row>
    <row r="131" spans="4:13" x14ac:dyDescent="0.25">
      <c r="D131" s="82" t="s">
        <v>110</v>
      </c>
      <c r="E131" s="80"/>
      <c r="F131" s="80"/>
      <c r="G131" s="83">
        <f>SUBTOTAL(109,extracto_banco_mes3[NETO])</f>
        <v>61601</v>
      </c>
      <c r="H131" s="83">
        <f>SUBTOTAL(109,extracto_banco_mes3[IVA 21%])</f>
        <v>12936.21</v>
      </c>
      <c r="I131" s="83">
        <f>SUBTOTAL(109,extracto_banco_mes3[IVA 10,5%])</f>
        <v>0</v>
      </c>
      <c r="J131" s="83">
        <f>SUBTOTAL(109,extracto_banco_mes3[RET IIBB CABA])</f>
        <v>0</v>
      </c>
      <c r="K131" s="83">
        <f>SUBTOTAL(109,extracto_banco_mes3[PERC IVA])</f>
        <v>1770</v>
      </c>
      <c r="L131" s="83">
        <f>SUBTOTAL(109,extracto_banco_mes3[PERC IIBB])</f>
        <v>2280</v>
      </c>
      <c r="M131" s="256"/>
    </row>
    <row r="132" spans="4:13" ht="17.25" customHeight="1" x14ac:dyDescent="0.25"/>
    <row r="134" spans="4:13" ht="21" x14ac:dyDescent="0.25">
      <c r="D134" s="618" t="s">
        <v>25</v>
      </c>
      <c r="E134" s="618"/>
      <c r="F134" s="618"/>
      <c r="G134" s="618"/>
      <c r="H134" s="618"/>
      <c r="I134" s="618"/>
      <c r="J134" s="618"/>
      <c r="K134" s="618"/>
    </row>
    <row r="135" spans="4:13" ht="25.5" customHeight="1" x14ac:dyDescent="0.25">
      <c r="D135" s="51" t="s">
        <v>0</v>
      </c>
      <c r="E135" s="51" t="s">
        <v>2</v>
      </c>
      <c r="F135" s="51" t="s">
        <v>74</v>
      </c>
      <c r="G135" s="51" t="s">
        <v>3</v>
      </c>
      <c r="H135" s="51" t="s">
        <v>4</v>
      </c>
      <c r="I135" s="52" t="s">
        <v>10</v>
      </c>
      <c r="J135" s="51" t="s">
        <v>13</v>
      </c>
      <c r="K135" s="51" t="s">
        <v>38</v>
      </c>
    </row>
    <row r="136" spans="4:13" x14ac:dyDescent="0.25">
      <c r="D136" s="40">
        <v>45719</v>
      </c>
      <c r="E136" s="161">
        <v>2</v>
      </c>
      <c r="F136" s="161">
        <v>338</v>
      </c>
      <c r="G136" s="156">
        <v>27265832178</v>
      </c>
      <c r="H136" s="157" t="str">
        <f>IFERROR(IF(factura_c_mes3[[#This Row],[CUIT]]="","-",VLOOKUP(factura_c_mes3[[#This Row],[CUIT]],Lista_CUIT[#All],2,0)),"CUIT NO CARGADO")</f>
        <v>BLASCO MARIA GUADALUPE</v>
      </c>
      <c r="I136" s="162">
        <v>3200000</v>
      </c>
      <c r="J136" s="163" t="str">
        <f>IFERROR(IF(factura_c_mes3[[#This Row],[CUIT]]="","-",VLOOKUP(factura_c_mes3[[#This Row],[CUIT]],Lista_CUIT[#All],3,0)),"CUIT NO CARGADO")</f>
        <v>PROVEEDOR</v>
      </c>
      <c r="K136" s="163">
        <f>IFERROR(IF(factura_c_mes3[[#This Row],[CUIT]]="","-",VLOOKUP(factura_c_mes3[[#This Row],[CUIT]],Lista_CUIT[#All],4,0)),"CUIT NO CARGADO")</f>
        <v>0</v>
      </c>
    </row>
    <row r="137" spans="4:13" x14ac:dyDescent="0.25">
      <c r="D137" s="40">
        <v>45721</v>
      </c>
      <c r="E137" s="161">
        <v>1</v>
      </c>
      <c r="F137" s="161">
        <v>78</v>
      </c>
      <c r="G137" s="156">
        <v>23281233084</v>
      </c>
      <c r="H137" s="157" t="str">
        <f>IFERROR(IF(factura_c_mes3[[#This Row],[CUIT]]="","-",VLOOKUP(factura_c_mes3[[#This Row],[CUIT]],Lista_CUIT[#All],2,0)),"CUIT NO CARGADO")</f>
        <v>DRUETTA ANDREA MARIEL</v>
      </c>
      <c r="I137" s="162">
        <v>270000</v>
      </c>
      <c r="J137" s="163" t="str">
        <f>IFERROR(IF(factura_c_mes3[[#This Row],[CUIT]]="","-",VLOOKUP(factura_c_mes3[[#This Row],[CUIT]],Lista_CUIT[#All],3,0)),"CUIT NO CARGADO")</f>
        <v>TECNICO</v>
      </c>
      <c r="K137" s="163">
        <f>IFERROR(IF(factura_c_mes3[[#This Row],[CUIT]]="","-",VLOOKUP(factura_c_mes3[[#This Row],[CUIT]],Lista_CUIT[#All],4,0)),"CUIT NO CARGADO")</f>
        <v>0</v>
      </c>
    </row>
    <row r="138" spans="4:13" x14ac:dyDescent="0.25">
      <c r="D138" s="40">
        <v>45721</v>
      </c>
      <c r="E138" s="161">
        <v>3</v>
      </c>
      <c r="F138" s="161">
        <v>938</v>
      </c>
      <c r="G138" s="156">
        <v>20086277523</v>
      </c>
      <c r="H138" s="157" t="str">
        <f>IFERROR(IF(factura_c_mes3[[#This Row],[CUIT]]="","-",VLOOKUP(factura_c_mes3[[#This Row],[CUIT]],Lista_CUIT[#All],2,0)),"CUIT NO CARGADO")</f>
        <v>BOTINDARI JUAN CARLOS</v>
      </c>
      <c r="I138" s="162">
        <v>275500</v>
      </c>
      <c r="J138" s="163" t="str">
        <f>IFERROR(IF(factura_c_mes3[[#This Row],[CUIT]]="","-",VLOOKUP(factura_c_mes3[[#This Row],[CUIT]],Lista_CUIT[#All],3,0)),"CUIT NO CARGADO")</f>
        <v>HONORARIOS</v>
      </c>
      <c r="K138" s="163">
        <f>IFERROR(IF(factura_c_mes3[[#This Row],[CUIT]]="","-",VLOOKUP(factura_c_mes3[[#This Row],[CUIT]],Lista_CUIT[#All],4,0)),"CUIT NO CARGADO")</f>
        <v>0</v>
      </c>
    </row>
    <row r="139" spans="4:13" x14ac:dyDescent="0.25">
      <c r="D139" s="40">
        <v>45723</v>
      </c>
      <c r="E139" s="161">
        <v>2</v>
      </c>
      <c r="F139" s="161">
        <v>123</v>
      </c>
      <c r="G139" s="156">
        <v>27315710508</v>
      </c>
      <c r="H139" s="157" t="str">
        <f>IFERROR(IF(factura_c_mes3[[#This Row],[CUIT]]="","-",VLOOKUP(factura_c_mes3[[#This Row],[CUIT]],Lista_CUIT[#All],2,0)),"CUIT NO CARGADO")</f>
        <v>RIVERO GABRIELA ROCIO</v>
      </c>
      <c r="I139" s="162">
        <v>43200</v>
      </c>
      <c r="J139" s="163" t="str">
        <f>IFERROR(IF(factura_c_mes3[[#This Row],[CUIT]]="","-",VLOOKUP(factura_c_mes3[[#This Row],[CUIT]],Lista_CUIT[#All],3,0)),"CUIT NO CARGADO")</f>
        <v>Serv. Informaticos</v>
      </c>
      <c r="K139" s="163">
        <f>IFERROR(IF(factura_c_mes3[[#This Row],[CUIT]]="","-",VLOOKUP(factura_c_mes3[[#This Row],[CUIT]],Lista_CUIT[#All],4,0)),"CUIT NO CARGADO")</f>
        <v>0</v>
      </c>
    </row>
    <row r="140" spans="4:13" x14ac:dyDescent="0.25">
      <c r="D140" s="40">
        <v>45727</v>
      </c>
      <c r="E140" s="161">
        <v>1</v>
      </c>
      <c r="F140" s="161">
        <v>12</v>
      </c>
      <c r="G140" s="156">
        <v>27443612713</v>
      </c>
      <c r="H140" s="157" t="str">
        <f>IFERROR(IF(factura_c_mes3[[#This Row],[CUIT]]="","-",VLOOKUP(factura_c_mes3[[#This Row],[CUIT]],Lista_CUIT[#All],2,0)),"CUIT NO CARGADO")</f>
        <v>MIGOYA MORIONDO SOFIA</v>
      </c>
      <c r="I140" s="162">
        <v>850000</v>
      </c>
      <c r="J140" s="163" t="str">
        <f>IFERROR(IF(factura_c_mes3[[#This Row],[CUIT]]="","-",VLOOKUP(factura_c_mes3[[#This Row],[CUIT]],Lista_CUIT[#All],3,0)),"CUIT NO CARGADO")</f>
        <v>GTOS ADMINISTRATIVOS</v>
      </c>
      <c r="K140" s="163">
        <f>IFERROR(IF(factura_c_mes3[[#This Row],[CUIT]]="","-",VLOOKUP(factura_c_mes3[[#This Row],[CUIT]],Lista_CUIT[#All],4,0)),"CUIT NO CARGADO")</f>
        <v>0</v>
      </c>
    </row>
    <row r="141" spans="4:13" x14ac:dyDescent="0.25">
      <c r="D141" s="40">
        <v>45727</v>
      </c>
      <c r="E141" s="161">
        <v>1</v>
      </c>
      <c r="F141" s="161">
        <v>44</v>
      </c>
      <c r="G141" s="156">
        <v>20190742297</v>
      </c>
      <c r="H141" s="157" t="str">
        <f>IFERROR(IF(factura_c_mes3[[#This Row],[CUIT]]="","-",VLOOKUP(factura_c_mes3[[#This Row],[CUIT]],Lista_CUIT[#All],2,0)),"CUIT NO CARGADO")</f>
        <v>CHANCO VILLAVICENCIO ERNESTO ANTONIO</v>
      </c>
      <c r="I141" s="162">
        <v>150000</v>
      </c>
      <c r="J141" s="163" t="str">
        <f>IFERROR(IF(factura_c_mes3[[#This Row],[CUIT]]="","-",VLOOKUP(factura_c_mes3[[#This Row],[CUIT]],Lista_CUIT[#All],3,0)),"CUIT NO CARGADO")</f>
        <v>GTOS ADMINISTRATIVOS</v>
      </c>
      <c r="K141" s="163">
        <f>IFERROR(IF(factura_c_mes3[[#This Row],[CUIT]]="","-",VLOOKUP(factura_c_mes3[[#This Row],[CUIT]],Lista_CUIT[#All],4,0)),"CUIT NO CARGADO")</f>
        <v>0</v>
      </c>
    </row>
    <row r="142" spans="4:13" x14ac:dyDescent="0.25">
      <c r="D142" s="40">
        <v>45728</v>
      </c>
      <c r="E142" s="161">
        <v>3</v>
      </c>
      <c r="F142" s="161">
        <v>2395</v>
      </c>
      <c r="G142" s="156">
        <v>20182999661</v>
      </c>
      <c r="H142" s="157" t="str">
        <f>IFERROR(IF(factura_c_mes3[[#This Row],[CUIT]]="","-",VLOOKUP(factura_c_mes3[[#This Row],[CUIT]],Lista_CUIT[#All],2,0)),"CUIT NO CARGADO")</f>
        <v>KLAINER ABEL JAVIER</v>
      </c>
      <c r="I142" s="162">
        <v>57000</v>
      </c>
      <c r="J142" s="163" t="str">
        <f>IFERROR(IF(factura_c_mes3[[#This Row],[CUIT]]="","-",VLOOKUP(factura_c_mes3[[#This Row],[CUIT]],Lista_CUIT[#All],3,0)),"CUIT NO CARGADO")</f>
        <v>Gastos Varios</v>
      </c>
      <c r="K142" s="163">
        <f>IFERROR(IF(factura_c_mes3[[#This Row],[CUIT]]="","-",VLOOKUP(factura_c_mes3[[#This Row],[CUIT]],Lista_CUIT[#All],4,0)),"CUIT NO CARGADO")</f>
        <v>0</v>
      </c>
    </row>
    <row r="143" spans="4:13" x14ac:dyDescent="0.25">
      <c r="D143" s="40">
        <v>45728</v>
      </c>
      <c r="E143" s="161">
        <v>1</v>
      </c>
      <c r="F143" s="161">
        <v>167</v>
      </c>
      <c r="G143" s="156">
        <v>27338342840</v>
      </c>
      <c r="H143" s="157" t="str">
        <f>IFERROR(IF(factura_c_mes3[[#This Row],[CUIT]]="","-",VLOOKUP(factura_c_mes3[[#This Row],[CUIT]],Lista_CUIT[#All],2,0)),"CUIT NO CARGADO")</f>
        <v>CANCINO PAMELA RITA</v>
      </c>
      <c r="I143" s="162">
        <v>652800</v>
      </c>
      <c r="J143" s="163" t="str">
        <f>IFERROR(IF(factura_c_mes3[[#This Row],[CUIT]]="","-",VLOOKUP(factura_c_mes3[[#This Row],[CUIT]],Lista_CUIT[#All],3,0)),"CUIT NO CARGADO")</f>
        <v>PROVEEDOR</v>
      </c>
      <c r="K143" s="163">
        <f>IFERROR(IF(factura_c_mes3[[#This Row],[CUIT]]="","-",VLOOKUP(factura_c_mes3[[#This Row],[CUIT]],Lista_CUIT[#All],4,0)),"CUIT NO CARGADO")</f>
        <v>0</v>
      </c>
    </row>
    <row r="144" spans="4:13" x14ac:dyDescent="0.25">
      <c r="D144" s="40">
        <v>45729</v>
      </c>
      <c r="E144" s="161">
        <v>5</v>
      </c>
      <c r="F144" s="161">
        <v>177</v>
      </c>
      <c r="G144" s="156">
        <v>27062343449</v>
      </c>
      <c r="H144" s="157" t="str">
        <f>IFERROR(IF(factura_c_mes3[[#This Row],[CUIT]]="","-",VLOOKUP(factura_c_mes3[[#This Row],[CUIT]],Lista_CUIT[#All],2,0)),"CUIT NO CARGADO")</f>
        <v>FERREIRS LILISNS INES</v>
      </c>
      <c r="I144" s="162">
        <v>350000</v>
      </c>
      <c r="J144" s="163" t="str">
        <f>IFERROR(IF(factura_c_mes3[[#This Row],[CUIT]]="","-",VLOOKUP(factura_c_mes3[[#This Row],[CUIT]],Lista_CUIT[#All],3,0)),"CUIT NO CARGADO")</f>
        <v>FLETE</v>
      </c>
      <c r="K144" s="163">
        <f>IFERROR(IF(factura_c_mes3[[#This Row],[CUIT]]="","-",VLOOKUP(factura_c_mes3[[#This Row],[CUIT]],Lista_CUIT[#All],4,0)),"CUIT NO CARGADO")</f>
        <v>0</v>
      </c>
    </row>
    <row r="145" spans="4:11" x14ac:dyDescent="0.25">
      <c r="D145" s="40">
        <v>45729</v>
      </c>
      <c r="E145" s="161">
        <v>5</v>
      </c>
      <c r="F145" s="161">
        <v>176</v>
      </c>
      <c r="G145" s="156">
        <v>27062343449</v>
      </c>
      <c r="H145" s="157" t="str">
        <f>IFERROR(IF(factura_c_mes3[[#This Row],[CUIT]]="","-",VLOOKUP(factura_c_mes3[[#This Row],[CUIT]],Lista_CUIT[#All],2,0)),"CUIT NO CARGADO")</f>
        <v>FERREIRS LILISNS INES</v>
      </c>
      <c r="I145" s="162">
        <v>250000</v>
      </c>
      <c r="J145" s="163" t="str">
        <f>IFERROR(IF(factura_c_mes3[[#This Row],[CUIT]]="","-",VLOOKUP(factura_c_mes3[[#This Row],[CUIT]],Lista_CUIT[#All],3,0)),"CUIT NO CARGADO")</f>
        <v>FLETE</v>
      </c>
      <c r="K145" s="163">
        <f>IFERROR(IF(factura_c_mes3[[#This Row],[CUIT]]="","-",VLOOKUP(factura_c_mes3[[#This Row],[CUIT]],Lista_CUIT[#All],4,0)),"CUIT NO CARGADO")</f>
        <v>0</v>
      </c>
    </row>
    <row r="146" spans="4:11" x14ac:dyDescent="0.25">
      <c r="D146" s="40">
        <v>45730</v>
      </c>
      <c r="E146" s="161">
        <v>1</v>
      </c>
      <c r="F146" s="161">
        <v>15</v>
      </c>
      <c r="G146" s="156">
        <v>20311855671</v>
      </c>
      <c r="H146" s="157" t="str">
        <f>IFERROR(IF(factura_c_mes3[[#This Row],[CUIT]]="","-",VLOOKUP(factura_c_mes3[[#This Row],[CUIT]],Lista_CUIT[#All],2,0)),"CUIT NO CARGADO")</f>
        <v>GUASCH HECTOR RAUL</v>
      </c>
      <c r="I146" s="162">
        <v>110000</v>
      </c>
      <c r="J146" s="163" t="str">
        <f>IFERROR(IF(factura_c_mes3[[#This Row],[CUIT]]="","-",VLOOKUP(factura_c_mes3[[#This Row],[CUIT]],Lista_CUIT[#All],3,0)),"CUIT NO CARGADO")</f>
        <v>Insumos</v>
      </c>
      <c r="K146" s="163">
        <f>IFERROR(IF(factura_c_mes3[[#This Row],[CUIT]]="","-",VLOOKUP(factura_c_mes3[[#This Row],[CUIT]],Lista_CUIT[#All],4,0)),"CUIT NO CARGADO")</f>
        <v>0</v>
      </c>
    </row>
    <row r="147" spans="4:11" x14ac:dyDescent="0.25">
      <c r="D147" s="40">
        <v>45734</v>
      </c>
      <c r="E147" s="161">
        <v>1</v>
      </c>
      <c r="F147" s="161">
        <v>23</v>
      </c>
      <c r="G147" s="156">
        <v>27443612705</v>
      </c>
      <c r="H147" s="157" t="str">
        <f>IFERROR(IF(factura_c_mes3[[#This Row],[CUIT]]="","-",VLOOKUP(factura_c_mes3[[#This Row],[CUIT]],Lista_CUIT[#All],2,0)),"CUIT NO CARGADO")</f>
        <v>MIGOYA MORIONDO MARIA INES</v>
      </c>
      <c r="I147" s="162">
        <v>900000</v>
      </c>
      <c r="J147" s="163" t="str">
        <f>IFERROR(IF(factura_c_mes3[[#This Row],[CUIT]]="","-",VLOOKUP(factura_c_mes3[[#This Row],[CUIT]],Lista_CUIT[#All],3,0)),"CUIT NO CARGADO")</f>
        <v>GTOS ADMINISTRATIVOS</v>
      </c>
      <c r="K147" s="163">
        <f>IFERROR(IF(factura_c_mes3[[#This Row],[CUIT]]="","-",VLOOKUP(factura_c_mes3[[#This Row],[CUIT]],Lista_CUIT[#All],4,0)),"CUIT NO CARGADO")</f>
        <v>0</v>
      </c>
    </row>
    <row r="148" spans="4:11" x14ac:dyDescent="0.25">
      <c r="D148" s="40">
        <v>45734</v>
      </c>
      <c r="E148" s="161">
        <v>1</v>
      </c>
      <c r="F148" s="161">
        <v>22</v>
      </c>
      <c r="G148" s="156">
        <v>27443612705</v>
      </c>
      <c r="H148" s="157" t="str">
        <f>IFERROR(IF(factura_c_mes3[[#This Row],[CUIT]]="","-",VLOOKUP(factura_c_mes3[[#This Row],[CUIT]],Lista_CUIT[#All],2,0)),"CUIT NO CARGADO")</f>
        <v>MIGOYA MORIONDO MARIA INES</v>
      </c>
      <c r="I148" s="162">
        <v>120000</v>
      </c>
      <c r="J148" s="163" t="str">
        <f>IFERROR(IF(factura_c_mes3[[#This Row],[CUIT]]="","-",VLOOKUP(factura_c_mes3[[#This Row],[CUIT]],Lista_CUIT[#All],3,0)),"CUIT NO CARGADO")</f>
        <v>GTOS ADMINISTRATIVOS</v>
      </c>
      <c r="K148" s="163">
        <f>IFERROR(IF(factura_c_mes3[[#This Row],[CUIT]]="","-",VLOOKUP(factura_c_mes3[[#This Row],[CUIT]],Lista_CUIT[#All],4,0)),"CUIT NO CARGADO")</f>
        <v>0</v>
      </c>
    </row>
    <row r="149" spans="4:11" x14ac:dyDescent="0.25">
      <c r="D149" s="40">
        <v>45734</v>
      </c>
      <c r="E149" s="161">
        <v>1</v>
      </c>
      <c r="F149" s="161">
        <v>16</v>
      </c>
      <c r="G149" s="156">
        <v>20311855671</v>
      </c>
      <c r="H149" s="157" t="str">
        <f>IFERROR(IF(factura_c_mes3[[#This Row],[CUIT]]="","-",VLOOKUP(factura_c_mes3[[#This Row],[CUIT]],Lista_CUIT[#All],2,0)),"CUIT NO CARGADO")</f>
        <v>GUASCH HECTOR RAUL</v>
      </c>
      <c r="I149" s="162">
        <v>326000</v>
      </c>
      <c r="J149" s="163" t="str">
        <f>IFERROR(IF(factura_c_mes3[[#This Row],[CUIT]]="","-",VLOOKUP(factura_c_mes3[[#This Row],[CUIT]],Lista_CUIT[#All],3,0)),"CUIT NO CARGADO")</f>
        <v>Insumos</v>
      </c>
      <c r="K149" s="163">
        <f>IFERROR(IF(factura_c_mes3[[#This Row],[CUIT]]="","-",VLOOKUP(factura_c_mes3[[#This Row],[CUIT]],Lista_CUIT[#All],4,0)),"CUIT NO CARGADO")</f>
        <v>0</v>
      </c>
    </row>
    <row r="150" spans="4:11" x14ac:dyDescent="0.25">
      <c r="D150" s="40">
        <v>45735</v>
      </c>
      <c r="E150" s="161">
        <v>2</v>
      </c>
      <c r="F150" s="161">
        <v>2</v>
      </c>
      <c r="G150" s="156">
        <v>27344304551</v>
      </c>
      <c r="H150" s="157" t="str">
        <f>IFERROR(IF(factura_c_mes3[[#This Row],[CUIT]]="","-",VLOOKUP(factura_c_mes3[[#This Row],[CUIT]],Lista_CUIT[#All],2,0)),"CUIT NO CARGADO")</f>
        <v>BOCCACCI MARIA FLORENCIA</v>
      </c>
      <c r="I150" s="162">
        <v>150000</v>
      </c>
      <c r="J150" s="163" t="str">
        <f>IFERROR(IF(factura_c_mes3[[#This Row],[CUIT]]="","-",VLOOKUP(factura_c_mes3[[#This Row],[CUIT]],Lista_CUIT[#All],3,0)),"CUIT NO CARGADO")</f>
        <v>Servicios</v>
      </c>
      <c r="K150" s="163">
        <f>IFERROR(IF(factura_c_mes3[[#This Row],[CUIT]]="","-",VLOOKUP(factura_c_mes3[[#This Row],[CUIT]],Lista_CUIT[#All],4,0)),"CUIT NO CARGADO")</f>
        <v>0</v>
      </c>
    </row>
    <row r="151" spans="4:11" x14ac:dyDescent="0.25">
      <c r="D151" s="40">
        <v>45743</v>
      </c>
      <c r="E151" s="161">
        <v>2</v>
      </c>
      <c r="F151" s="161">
        <v>3</v>
      </c>
      <c r="G151" s="156">
        <v>27344304551</v>
      </c>
      <c r="H151" s="157" t="str">
        <f>IFERROR(IF(factura_c_mes3[[#This Row],[CUIT]]="","-",VLOOKUP(factura_c_mes3[[#This Row],[CUIT]],Lista_CUIT[#All],2,0)),"CUIT NO CARGADO")</f>
        <v>BOCCACCI MARIA FLORENCIA</v>
      </c>
      <c r="I151" s="162">
        <v>150000</v>
      </c>
      <c r="J151" s="163" t="str">
        <f>IFERROR(IF(factura_c_mes3[[#This Row],[CUIT]]="","-",VLOOKUP(factura_c_mes3[[#This Row],[CUIT]],Lista_CUIT[#All],3,0)),"CUIT NO CARGADO")</f>
        <v>Servicios</v>
      </c>
      <c r="K151" s="163">
        <f>IFERROR(IF(factura_c_mes3[[#This Row],[CUIT]]="","-",VLOOKUP(factura_c_mes3[[#This Row],[CUIT]],Lista_CUIT[#All],4,0)),"CUIT NO CARGADO")</f>
        <v>0</v>
      </c>
    </row>
    <row r="152" spans="4:11" x14ac:dyDescent="0.25">
      <c r="D152" s="40"/>
      <c r="E152" s="161"/>
      <c r="F152" s="161"/>
      <c r="G152" s="156"/>
      <c r="H152" s="157" t="str">
        <f>IFERROR(IF(factura_c_mes3[[#This Row],[CUIT]]="","-",VLOOKUP(factura_c_mes3[[#This Row],[CUIT]],Lista_CUIT[#All],2,0)),"CUIT NO CARGADO")</f>
        <v>-</v>
      </c>
      <c r="I152" s="162"/>
      <c r="J152" s="163" t="str">
        <f>IFERROR(IF(factura_c_mes3[[#This Row],[CUIT]]="","-",VLOOKUP(factura_c_mes3[[#This Row],[CUIT]],Lista_CUIT[#All],3,0)),"CUIT NO CARGADO")</f>
        <v>-</v>
      </c>
      <c r="K152" s="163" t="str">
        <f>IFERROR(IF(factura_c_mes3[[#This Row],[CUIT]]="","-",VLOOKUP(factura_c_mes3[[#This Row],[CUIT]],Lista_CUIT[#All],4,0)),"CUIT NO CARGADO")</f>
        <v>-</v>
      </c>
    </row>
    <row r="153" spans="4:11" x14ac:dyDescent="0.25">
      <c r="D153" s="40"/>
      <c r="E153" s="161"/>
      <c r="F153" s="161"/>
      <c r="G153" s="156"/>
      <c r="H153" s="157" t="str">
        <f>IFERROR(IF(factura_c_mes3[[#This Row],[CUIT]]="","-",VLOOKUP(factura_c_mes3[[#This Row],[CUIT]],Lista_CUIT[#All],2,0)),"CUIT NO CARGADO")</f>
        <v>-</v>
      </c>
      <c r="I153" s="162"/>
      <c r="J153" s="163" t="str">
        <f>IFERROR(IF(factura_c_mes3[[#This Row],[CUIT]]="","-",VLOOKUP(factura_c_mes3[[#This Row],[CUIT]],Lista_CUIT[#All],3,0)),"CUIT NO CARGADO")</f>
        <v>-</v>
      </c>
      <c r="K153" s="163" t="str">
        <f>IFERROR(IF(factura_c_mes3[[#This Row],[CUIT]]="","-",VLOOKUP(factura_c_mes3[[#This Row],[CUIT]],Lista_CUIT[#All],4,0)),"CUIT NO CARGADO")</f>
        <v>-</v>
      </c>
    </row>
    <row r="154" spans="4:11" x14ac:dyDescent="0.25">
      <c r="D154" s="40"/>
      <c r="E154" s="161"/>
      <c r="F154" s="161"/>
      <c r="G154" s="156"/>
      <c r="H154" s="157" t="str">
        <f>IFERROR(IF(factura_c_mes3[[#This Row],[CUIT]]="","-",VLOOKUP(factura_c_mes3[[#This Row],[CUIT]],Lista_CUIT[#All],2,0)),"CUIT NO CARGADO")</f>
        <v>-</v>
      </c>
      <c r="I154" s="162"/>
      <c r="J154" s="163" t="str">
        <f>IFERROR(IF(factura_c_mes3[[#This Row],[CUIT]]="","-",VLOOKUP(factura_c_mes3[[#This Row],[CUIT]],Lista_CUIT[#All],3,0)),"CUIT NO CARGADO")</f>
        <v>-</v>
      </c>
      <c r="K154" s="163" t="str">
        <f>IFERROR(IF(factura_c_mes3[[#This Row],[CUIT]]="","-",VLOOKUP(factura_c_mes3[[#This Row],[CUIT]],Lista_CUIT[#All],4,0)),"CUIT NO CARGADO")</f>
        <v>-</v>
      </c>
    </row>
    <row r="155" spans="4:11" x14ac:dyDescent="0.25">
      <c r="D155" s="40"/>
      <c r="E155" s="161"/>
      <c r="F155" s="161"/>
      <c r="G155" s="156"/>
      <c r="H155" s="157" t="str">
        <f>IFERROR(IF(factura_c_mes3[[#This Row],[CUIT]]="","-",VLOOKUP(factura_c_mes3[[#This Row],[CUIT]],Lista_CUIT[#All],2,0)),"CUIT NO CARGADO")</f>
        <v>-</v>
      </c>
      <c r="I155" s="162"/>
      <c r="J155" s="163" t="str">
        <f>IFERROR(IF(factura_c_mes3[[#This Row],[CUIT]]="","-",VLOOKUP(factura_c_mes3[[#This Row],[CUIT]],Lista_CUIT[#All],3,0)),"CUIT NO CARGADO")</f>
        <v>-</v>
      </c>
      <c r="K155" s="163" t="str">
        <f>IFERROR(IF(factura_c_mes3[[#This Row],[CUIT]]="","-",VLOOKUP(factura_c_mes3[[#This Row],[CUIT]],Lista_CUIT[#All],4,0)),"CUIT NO CARGADO")</f>
        <v>-</v>
      </c>
    </row>
    <row r="156" spans="4:11" x14ac:dyDescent="0.25">
      <c r="D156" s="40"/>
      <c r="E156" s="161"/>
      <c r="F156" s="161"/>
      <c r="G156" s="156"/>
      <c r="H156" s="157" t="str">
        <f>IFERROR(IF(factura_c_mes3[[#This Row],[CUIT]]="","-",VLOOKUP(factura_c_mes3[[#This Row],[CUIT]],Lista_CUIT[#All],2,0)),"CUIT NO CARGADO")</f>
        <v>-</v>
      </c>
      <c r="I156" s="162"/>
      <c r="J156" s="163" t="str">
        <f>IFERROR(IF(factura_c_mes3[[#This Row],[CUIT]]="","-",VLOOKUP(factura_c_mes3[[#This Row],[CUIT]],Lista_CUIT[#All],3,0)),"CUIT NO CARGADO")</f>
        <v>-</v>
      </c>
      <c r="K156" s="163" t="str">
        <f>IFERROR(IF(factura_c_mes3[[#This Row],[CUIT]]="","-",VLOOKUP(factura_c_mes3[[#This Row],[CUIT]],Lista_CUIT[#All],4,0)),"CUIT NO CARGADO")</f>
        <v>-</v>
      </c>
    </row>
    <row r="157" spans="4:11" x14ac:dyDescent="0.25">
      <c r="D157" s="40"/>
      <c r="E157" s="161"/>
      <c r="F157" s="161"/>
      <c r="G157" s="156"/>
      <c r="H157" s="157" t="str">
        <f>IFERROR(IF(factura_c_mes3[[#This Row],[CUIT]]="","-",VLOOKUP(factura_c_mes3[[#This Row],[CUIT]],Lista_CUIT[#All],2,0)),"CUIT NO CARGADO")</f>
        <v>-</v>
      </c>
      <c r="I157" s="162"/>
      <c r="J157" s="163" t="str">
        <f>IFERROR(IF(factura_c_mes3[[#This Row],[CUIT]]="","-",VLOOKUP(factura_c_mes3[[#This Row],[CUIT]],Lista_CUIT[#All],3,0)),"CUIT NO CARGADO")</f>
        <v>-</v>
      </c>
      <c r="K157" s="163" t="str">
        <f>IFERROR(IF(factura_c_mes3[[#This Row],[CUIT]]="","-",VLOOKUP(factura_c_mes3[[#This Row],[CUIT]],Lista_CUIT[#All],4,0)),"CUIT NO CARGADO")</f>
        <v>-</v>
      </c>
    </row>
    <row r="158" spans="4:11" x14ac:dyDescent="0.25">
      <c r="D158" s="40"/>
      <c r="E158" s="161"/>
      <c r="F158" s="161"/>
      <c r="G158" s="156"/>
      <c r="H158" s="157" t="str">
        <f>IFERROR(IF(factura_c_mes3[[#This Row],[CUIT]]="","-",VLOOKUP(factura_c_mes3[[#This Row],[CUIT]],Lista_CUIT[#All],2,0)),"CUIT NO CARGADO")</f>
        <v>-</v>
      </c>
      <c r="I158" s="162"/>
      <c r="J158" s="163" t="str">
        <f>IFERROR(IF(factura_c_mes3[[#This Row],[CUIT]]="","-",VLOOKUP(factura_c_mes3[[#This Row],[CUIT]],Lista_CUIT[#All],3,0)),"CUIT NO CARGADO")</f>
        <v>-</v>
      </c>
      <c r="K158" s="163" t="str">
        <f>IFERROR(IF(factura_c_mes3[[#This Row],[CUIT]]="","-",VLOOKUP(factura_c_mes3[[#This Row],[CUIT]],Lista_CUIT[#All],4,0)),"CUIT NO CARGADO")</f>
        <v>-</v>
      </c>
    </row>
    <row r="159" spans="4:11" x14ac:dyDescent="0.25">
      <c r="D159" s="40"/>
      <c r="E159" s="161"/>
      <c r="F159" s="161"/>
      <c r="G159" s="156"/>
      <c r="H159" s="157" t="str">
        <f>IFERROR(IF(factura_c_mes3[[#This Row],[CUIT]]="","-",VLOOKUP(factura_c_mes3[[#This Row],[CUIT]],Lista_CUIT[#All],2,0)),"CUIT NO CARGADO")</f>
        <v>-</v>
      </c>
      <c r="I159" s="162"/>
      <c r="J159" s="163" t="str">
        <f>IFERROR(IF(factura_c_mes3[[#This Row],[CUIT]]="","-",VLOOKUP(factura_c_mes3[[#This Row],[CUIT]],Lista_CUIT[#All],3,0)),"CUIT NO CARGADO")</f>
        <v>-</v>
      </c>
      <c r="K159" s="163" t="str">
        <f>IFERROR(IF(factura_c_mes3[[#This Row],[CUIT]]="","-",VLOOKUP(factura_c_mes3[[#This Row],[CUIT]],Lista_CUIT[#All],4,0)),"CUIT NO CARGADO")</f>
        <v>-</v>
      </c>
    </row>
    <row r="160" spans="4:11" x14ac:dyDescent="0.25">
      <c r="D160" s="40"/>
      <c r="E160" s="161"/>
      <c r="F160" s="161"/>
      <c r="G160" s="156"/>
      <c r="H160" s="157" t="str">
        <f>IFERROR(IF(factura_c_mes3[[#This Row],[CUIT]]="","-",VLOOKUP(factura_c_mes3[[#This Row],[CUIT]],Lista_CUIT[#All],2,0)),"CUIT NO CARGADO")</f>
        <v>-</v>
      </c>
      <c r="I160" s="162"/>
      <c r="J160" s="163" t="str">
        <f>IFERROR(IF(factura_c_mes3[[#This Row],[CUIT]]="","-",VLOOKUP(factura_c_mes3[[#This Row],[CUIT]],Lista_CUIT[#All],3,0)),"CUIT NO CARGADO")</f>
        <v>-</v>
      </c>
      <c r="K160" s="163" t="str">
        <f>IFERROR(IF(factura_c_mes3[[#This Row],[CUIT]]="","-",VLOOKUP(factura_c_mes3[[#This Row],[CUIT]],Lista_CUIT[#All],4,0)),"CUIT NO CARGADO")</f>
        <v>-</v>
      </c>
    </row>
    <row r="161" spans="2:18" x14ac:dyDescent="0.25">
      <c r="D161" s="40"/>
      <c r="E161" s="161"/>
      <c r="F161" s="161"/>
      <c r="G161" s="156"/>
      <c r="H161" s="157" t="str">
        <f>IFERROR(IF(factura_c_mes3[[#This Row],[CUIT]]="","-",VLOOKUP(factura_c_mes3[[#This Row],[CUIT]],Lista_CUIT[#All],2,0)),"CUIT NO CARGADO")</f>
        <v>-</v>
      </c>
      <c r="I161" s="162"/>
      <c r="J161" s="163" t="str">
        <f>IFERROR(IF(factura_c_mes3[[#This Row],[CUIT]]="","-",VLOOKUP(factura_c_mes3[[#This Row],[CUIT]],Lista_CUIT[#All],3,0)),"CUIT NO CARGADO")</f>
        <v>-</v>
      </c>
      <c r="K161" s="163" t="str">
        <f>IFERROR(IF(factura_c_mes3[[#This Row],[CUIT]]="","-",VLOOKUP(factura_c_mes3[[#This Row],[CUIT]],Lista_CUIT[#All],4,0)),"CUIT NO CARGADO")</f>
        <v>-</v>
      </c>
    </row>
    <row r="162" spans="2:18" x14ac:dyDescent="0.25">
      <c r="D162" s="40"/>
      <c r="E162" s="161"/>
      <c r="F162" s="161"/>
      <c r="G162" s="156"/>
      <c r="H162" s="157" t="str">
        <f>IFERROR(IF(factura_c_mes3[[#This Row],[CUIT]]="","-",VLOOKUP(factura_c_mes3[[#This Row],[CUIT]],Lista_CUIT[#All],2,0)),"CUIT NO CARGADO")</f>
        <v>-</v>
      </c>
      <c r="I162" s="162"/>
      <c r="J162" s="163" t="str">
        <f>IFERROR(IF(factura_c_mes3[[#This Row],[CUIT]]="","-",VLOOKUP(factura_c_mes3[[#This Row],[CUIT]],Lista_CUIT[#All],3,0)),"CUIT NO CARGADO")</f>
        <v>-</v>
      </c>
      <c r="K162" s="163" t="str">
        <f>IFERROR(IF(factura_c_mes3[[#This Row],[CUIT]]="","-",VLOOKUP(factura_c_mes3[[#This Row],[CUIT]],Lista_CUIT[#All],4,0)),"CUIT NO CARGADO")</f>
        <v>-</v>
      </c>
    </row>
    <row r="163" spans="2:18" x14ac:dyDescent="0.25">
      <c r="D163" s="40"/>
      <c r="E163" s="161"/>
      <c r="F163" s="161"/>
      <c r="G163" s="156"/>
      <c r="H163" s="157" t="str">
        <f>IFERROR(IF(factura_c_mes3[[#This Row],[CUIT]]="","-",VLOOKUP(factura_c_mes3[[#This Row],[CUIT]],Lista_CUIT[#All],2,0)),"CUIT NO CARGADO")</f>
        <v>-</v>
      </c>
      <c r="I163" s="162"/>
      <c r="J163" s="163" t="str">
        <f>IFERROR(IF(factura_c_mes3[[#This Row],[CUIT]]="","-",VLOOKUP(factura_c_mes3[[#This Row],[CUIT]],Lista_CUIT[#All],3,0)),"CUIT NO CARGADO")</f>
        <v>-</v>
      </c>
      <c r="K163" s="163" t="str">
        <f>IFERROR(IF(factura_c_mes3[[#This Row],[CUIT]]="","-",VLOOKUP(factura_c_mes3[[#This Row],[CUIT]],Lista_CUIT[#All],4,0)),"CUIT NO CARGADO")</f>
        <v>-</v>
      </c>
    </row>
    <row r="164" spans="2:18" x14ac:dyDescent="0.25">
      <c r="D164" s="40"/>
      <c r="E164" s="161"/>
      <c r="F164" s="161"/>
      <c r="G164" s="156"/>
      <c r="H164" s="157" t="str">
        <f>IFERROR(IF(factura_c_mes3[[#This Row],[CUIT]]="","-",VLOOKUP(factura_c_mes3[[#This Row],[CUIT]],Lista_CUIT[#All],2,0)),"CUIT NO CARGADO")</f>
        <v>-</v>
      </c>
      <c r="I164" s="162"/>
      <c r="J164" s="163" t="str">
        <f>IFERROR(IF(factura_c_mes3[[#This Row],[CUIT]]="","-",VLOOKUP(factura_c_mes3[[#This Row],[CUIT]],Lista_CUIT[#All],3,0)),"CUIT NO CARGADO")</f>
        <v>-</v>
      </c>
      <c r="K164" s="163" t="str">
        <f>IFERROR(IF(factura_c_mes3[[#This Row],[CUIT]]="","-",VLOOKUP(factura_c_mes3[[#This Row],[CUIT]],Lista_CUIT[#All],4,0)),"CUIT NO CARGADO")</f>
        <v>-</v>
      </c>
    </row>
    <row r="165" spans="2:18" x14ac:dyDescent="0.25">
      <c r="D165" s="40"/>
      <c r="E165" s="161"/>
      <c r="F165" s="161"/>
      <c r="G165" s="156"/>
      <c r="H165" s="157" t="str">
        <f>IFERROR(IF(factura_c_mes3[[#This Row],[CUIT]]="","-",VLOOKUP(factura_c_mes3[[#This Row],[CUIT]],Lista_CUIT[#All],2,0)),"CUIT NO CARGADO")</f>
        <v>-</v>
      </c>
      <c r="I165" s="162"/>
      <c r="J165" s="163" t="str">
        <f>IFERROR(IF(factura_c_mes3[[#This Row],[CUIT]]="","-",VLOOKUP(factura_c_mes3[[#This Row],[CUIT]],Lista_CUIT[#All],3,0)),"CUIT NO CARGADO")</f>
        <v>-</v>
      </c>
      <c r="K165" s="163" t="str">
        <f>IFERROR(IF(factura_c_mes3[[#This Row],[CUIT]]="","-",VLOOKUP(factura_c_mes3[[#This Row],[CUIT]],Lista_CUIT[#All],4,0)),"CUIT NO CARGADO")</f>
        <v>-</v>
      </c>
    </row>
    <row r="166" spans="2:18" x14ac:dyDescent="0.25">
      <c r="D166" s="40"/>
      <c r="E166" s="161"/>
      <c r="F166" s="161"/>
      <c r="G166" s="156"/>
      <c r="H166" s="157" t="str">
        <f>IFERROR(IF(factura_c_mes3[[#This Row],[CUIT]]="","-",VLOOKUP(factura_c_mes3[[#This Row],[CUIT]],Lista_CUIT[#All],2,0)),"CUIT NO CARGADO")</f>
        <v>-</v>
      </c>
      <c r="I166" s="162"/>
      <c r="J166" s="163" t="str">
        <f>IFERROR(IF(factura_c_mes3[[#This Row],[CUIT]]="","-",VLOOKUP(factura_c_mes3[[#This Row],[CUIT]],Lista_CUIT[#All],3,0)),"CUIT NO CARGADO")</f>
        <v>-</v>
      </c>
      <c r="K166" s="163" t="str">
        <f>IFERROR(IF(factura_c_mes3[[#This Row],[CUIT]]="","-",VLOOKUP(factura_c_mes3[[#This Row],[CUIT]],Lista_CUIT[#All],4,0)),"CUIT NO CARGADO")</f>
        <v>-</v>
      </c>
    </row>
    <row r="167" spans="2:18" x14ac:dyDescent="0.25">
      <c r="D167" s="40"/>
      <c r="E167" s="161"/>
      <c r="F167" s="161"/>
      <c r="G167" s="156"/>
      <c r="H167" s="157" t="str">
        <f>IFERROR(IF(factura_c_mes3[[#This Row],[CUIT]]="","-",VLOOKUP(factura_c_mes3[[#This Row],[CUIT]],Lista_CUIT[#All],2,0)),"CUIT NO CARGADO")</f>
        <v>-</v>
      </c>
      <c r="I167" s="162"/>
      <c r="J167" s="163" t="str">
        <f>IFERROR(IF(factura_c_mes3[[#This Row],[CUIT]]="","-",VLOOKUP(factura_c_mes3[[#This Row],[CUIT]],Lista_CUIT[#All],3,0)),"CUIT NO CARGADO")</f>
        <v>-</v>
      </c>
      <c r="K167" s="163" t="str">
        <f>IFERROR(IF(factura_c_mes3[[#This Row],[CUIT]]="","-",VLOOKUP(factura_c_mes3[[#This Row],[CUIT]],Lista_CUIT[#All],4,0)),"CUIT NO CARGADO")</f>
        <v>-</v>
      </c>
    </row>
    <row r="168" spans="2:18" x14ac:dyDescent="0.25">
      <c r="D168" s="40"/>
      <c r="E168" s="161"/>
      <c r="F168" s="161"/>
      <c r="G168" s="156"/>
      <c r="H168" s="157" t="str">
        <f>IFERROR(IF(factura_c_mes3[[#This Row],[CUIT]]="","-",VLOOKUP(factura_c_mes3[[#This Row],[CUIT]],Lista_CUIT[#All],2,0)),"CUIT NO CARGADO")</f>
        <v>-</v>
      </c>
      <c r="I168" s="162"/>
      <c r="J168" s="163" t="str">
        <f>IFERROR(IF(factura_c_mes3[[#This Row],[CUIT]]="","-",VLOOKUP(factura_c_mes3[[#This Row],[CUIT]],Lista_CUIT[#All],3,0)),"CUIT NO CARGADO")</f>
        <v>-</v>
      </c>
      <c r="K168" s="163" t="str">
        <f>IFERROR(IF(factura_c_mes3[[#This Row],[CUIT]]="","-",VLOOKUP(factura_c_mes3[[#This Row],[CUIT]],Lista_CUIT[#All],4,0)),"CUIT NO CARGADO")</f>
        <v>-</v>
      </c>
    </row>
    <row r="169" spans="2:18" x14ac:dyDescent="0.25">
      <c r="D169" s="40"/>
      <c r="E169" s="161"/>
      <c r="F169" s="161"/>
      <c r="G169" s="156"/>
      <c r="H169" s="157" t="str">
        <f>IFERROR(IF(factura_c_mes3[[#This Row],[CUIT]]="","-",VLOOKUP(factura_c_mes3[[#This Row],[CUIT]],Lista_CUIT[#All],2,0)),"CUIT NO CARGADO")</f>
        <v>-</v>
      </c>
      <c r="I169" s="162"/>
      <c r="J169" s="163" t="str">
        <f>IFERROR(IF(factura_c_mes3[[#This Row],[CUIT]]="","-",VLOOKUP(factura_c_mes3[[#This Row],[CUIT]],Lista_CUIT[#All],3,0)),"CUIT NO CARGADO")</f>
        <v>-</v>
      </c>
      <c r="K169" s="163" t="str">
        <f>IFERROR(IF(factura_c_mes3[[#This Row],[CUIT]]="","-",VLOOKUP(factura_c_mes3[[#This Row],[CUIT]],Lista_CUIT[#All],4,0)),"CUIT NO CARGADO")</f>
        <v>-</v>
      </c>
    </row>
    <row r="170" spans="2:18" x14ac:dyDescent="0.25">
      <c r="D170" s="40"/>
      <c r="E170" s="161"/>
      <c r="F170" s="161"/>
      <c r="G170" s="156"/>
      <c r="H170" s="157" t="str">
        <f>IFERROR(IF(factura_c_mes3[[#This Row],[CUIT]]="","-",VLOOKUP(factura_c_mes3[[#This Row],[CUIT]],Lista_CUIT[#All],2,0)),"CUIT NO CARGADO")</f>
        <v>-</v>
      </c>
      <c r="I170" s="162"/>
      <c r="J170" s="163" t="str">
        <f>IFERROR(IF(factura_c_mes3[[#This Row],[CUIT]]="","-",VLOOKUP(factura_c_mes3[[#This Row],[CUIT]],Lista_CUIT[#All],3,0)),"CUIT NO CARGADO")</f>
        <v>-</v>
      </c>
      <c r="K170" s="163" t="str">
        <f>IFERROR(IF(factura_c_mes3[[#This Row],[CUIT]]="","-",VLOOKUP(factura_c_mes3[[#This Row],[CUIT]],Lista_CUIT[#All],4,0)),"CUIT NO CARGADO")</f>
        <v>-</v>
      </c>
    </row>
    <row r="171" spans="2:18" x14ac:dyDescent="0.25">
      <c r="D171" s="55" t="s">
        <v>110</v>
      </c>
      <c r="E171" s="55"/>
      <c r="F171" s="55"/>
      <c r="G171" s="55"/>
      <c r="H171" s="57"/>
      <c r="I171" s="58">
        <f>SUBTOTAL(109,factura_c_mes3[TOTAL])</f>
        <v>7854500</v>
      </c>
      <c r="J171" s="55"/>
      <c r="K171" s="55"/>
    </row>
    <row r="172" spans="2:18" x14ac:dyDescent="0.25">
      <c r="B172" s="56"/>
      <c r="C172" s="56"/>
      <c r="L172" s="56"/>
      <c r="M172" s="56"/>
      <c r="N172" s="56"/>
      <c r="O172" s="56"/>
      <c r="P172" s="56"/>
      <c r="Q172" s="56"/>
      <c r="R172" s="56"/>
    </row>
    <row r="177" spans="2:13" ht="26.25" x14ac:dyDescent="0.25">
      <c r="B177" s="629" t="s">
        <v>29</v>
      </c>
      <c r="C177" s="629"/>
      <c r="D177" s="629"/>
      <c r="E177" s="629"/>
      <c r="F177" s="629"/>
      <c r="G177" s="629"/>
      <c r="H177" s="629"/>
      <c r="I177" s="629"/>
      <c r="J177" s="629"/>
      <c r="K177" s="630">
        <f>N1</f>
        <v>45717</v>
      </c>
      <c r="L177" s="630"/>
      <c r="M177" s="630"/>
    </row>
    <row r="179" spans="2:13" ht="21" x14ac:dyDescent="0.25">
      <c r="B179" s="631" t="s">
        <v>30</v>
      </c>
      <c r="C179" s="631"/>
    </row>
    <row r="180" spans="2:13" ht="15.75" x14ac:dyDescent="0.25">
      <c r="B180" s="60" t="s">
        <v>0</v>
      </c>
      <c r="C180" s="61" t="s">
        <v>1</v>
      </c>
      <c r="D180" s="61" t="s">
        <v>21</v>
      </c>
      <c r="E180" s="61" t="s">
        <v>22</v>
      </c>
      <c r="F180" s="61" t="s">
        <v>3</v>
      </c>
      <c r="G180" s="61" t="s">
        <v>4</v>
      </c>
      <c r="H180" s="61" t="s">
        <v>23</v>
      </c>
      <c r="I180" s="61" t="s">
        <v>17</v>
      </c>
      <c r="J180" s="61" t="s">
        <v>7</v>
      </c>
      <c r="K180" s="61" t="s">
        <v>24</v>
      </c>
      <c r="L180" s="61" t="s">
        <v>10</v>
      </c>
      <c r="M180" s="62" t="s">
        <v>38</v>
      </c>
    </row>
    <row r="181" spans="2:13" x14ac:dyDescent="0.25">
      <c r="B181" s="40"/>
      <c r="C181" s="41"/>
      <c r="D181" s="42"/>
      <c r="E181" s="43"/>
      <c r="F181" s="44"/>
      <c r="G181" s="98" t="str">
        <f>IFERROR(IF(venta_a_mes3[[#This Row],[CUIT]]="","-",VLOOKUP(venta_a_mes3[[#This Row],[CUIT]],Lista_CUIT[#All],2,0)),"CUIT NO CARGADO")</f>
        <v>-</v>
      </c>
      <c r="H181" s="99"/>
      <c r="I181" s="100">
        <f>venta_a_mes3[[#This Row],[IMPORTE NETO]]*0.21</f>
        <v>0</v>
      </c>
      <c r="J181" s="65"/>
      <c r="K181" s="65"/>
      <c r="L181" s="65">
        <f>SUM(venta_a_mes3[[#This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8" t="str">
        <f>IFERROR(IF(venta_a_mes3[[#This Row],[CUIT]]="","-",VLOOKUP(venta_a_mes3[[#This Row],[CUIT]],Lista_CUIT[#All],2,0)),"CUIT NO CARGADO")</f>
        <v>-</v>
      </c>
      <c r="H182" s="99"/>
      <c r="I182" s="100">
        <f>venta_a_mes3[[#This Row],[IMPORTE NETO]]*0.21</f>
        <v>0</v>
      </c>
      <c r="J182" s="65"/>
      <c r="K182" s="65"/>
      <c r="L182" s="65">
        <f>SUM(venta_a_mes3[[#This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8" t="str">
        <f>IFERROR(IF(venta_a_mes3[[#This Row],[CUIT]]="","-",VLOOKUP(venta_a_mes3[[#This Row],[CUIT]],Lista_CUIT[#All],2,0)),"CUIT NO CARGADO")</f>
        <v>-</v>
      </c>
      <c r="H183" s="99"/>
      <c r="I183" s="100">
        <f>venta_a_mes3[[#This Row],[IMPORTE NETO]]*0.21</f>
        <v>0</v>
      </c>
      <c r="J183" s="65"/>
      <c r="K183" s="65"/>
      <c r="L183" s="65">
        <f>SUM(venta_a_mes3[[#This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98" t="str">
        <f>IFERROR(IF(venta_a_mes3[[#This Row],[CUIT]]="","-",VLOOKUP(venta_a_mes3[[#This Row],[CUIT]],Lista_CUIT[#All],2,0)),"CUIT NO CARGADO")</f>
        <v>-</v>
      </c>
      <c r="H184" s="99"/>
      <c r="I184" s="100">
        <f>venta_a_mes3[[#This Row],[IMPORTE NETO]]*0.21</f>
        <v>0</v>
      </c>
      <c r="J184" s="65"/>
      <c r="K184" s="65"/>
      <c r="L184" s="65">
        <f>SUM(venta_a_mes3[[#This Row],[IMPORTE NETO]:[EXENTO]])</f>
        <v>0</v>
      </c>
      <c r="M184" s="59"/>
    </row>
    <row r="185" spans="2:13" x14ac:dyDescent="0.25">
      <c r="B185" s="40"/>
      <c r="C185" s="41"/>
      <c r="D185" s="42"/>
      <c r="E185" s="43"/>
      <c r="F185" s="44"/>
      <c r="G185" s="98" t="str">
        <f>IFERROR(IF(venta_a_mes3[[#This Row],[CUIT]]="","-",VLOOKUP(venta_a_mes3[[#This Row],[CUIT]],Lista_CUIT[#All],2,0)),"CUIT NO CARGADO")</f>
        <v>-</v>
      </c>
      <c r="H185" s="99"/>
      <c r="I185" s="100">
        <f>venta_a_mes3[[#This Row],[IMPORTE NETO]]*0.21</f>
        <v>0</v>
      </c>
      <c r="J185" s="65"/>
      <c r="K185" s="65"/>
      <c r="L185" s="65">
        <f>SUM(venta_a_mes3[[#This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98" t="str">
        <f>IFERROR(IF(venta_a_mes3[[#This Row],[CUIT]]="","-",VLOOKUP(venta_a_mes3[[#This Row],[CUIT]],Lista_CUIT[#All],2,0)),"CUIT NO CARGADO")</f>
        <v>-</v>
      </c>
      <c r="H186" s="99"/>
      <c r="I186" s="100">
        <f>venta_a_mes3[[#This Row],[IMPORTE NETO]]*0.21</f>
        <v>0</v>
      </c>
      <c r="J186" s="65"/>
      <c r="K186" s="65"/>
      <c r="L186" s="65">
        <f>SUM(venta_a_mes3[[#This Row],[IMPORTE NETO]:[EXENTO]])</f>
        <v>0</v>
      </c>
      <c r="M186" s="59"/>
    </row>
    <row r="187" spans="2:13" x14ac:dyDescent="0.25">
      <c r="B187" s="40"/>
      <c r="C187" s="41"/>
      <c r="D187" s="42"/>
      <c r="E187" s="43"/>
      <c r="F187" s="44"/>
      <c r="G187" s="98" t="str">
        <f>IFERROR(IF(venta_a_mes3[[#This Row],[CUIT]]="","-",VLOOKUP(venta_a_mes3[[#This Row],[CUIT]],Lista_CUIT[#All],2,0)),"CUIT NO CARGADO")</f>
        <v>-</v>
      </c>
      <c r="H187" s="99"/>
      <c r="I187" s="100">
        <f>venta_a_mes3[[#This Row],[IMPORTE NETO]]*0.21</f>
        <v>0</v>
      </c>
      <c r="J187" s="65"/>
      <c r="K187" s="65"/>
      <c r="L187" s="65">
        <f>SUM(venta_a_mes3[[#This Row],[IMPORTE NETO]:[EXENTO]])</f>
        <v>0</v>
      </c>
      <c r="M187" s="63"/>
    </row>
    <row r="188" spans="2:13" x14ac:dyDescent="0.25">
      <c r="B188" s="101"/>
      <c r="C188" s="102"/>
      <c r="D188" s="103"/>
      <c r="E188" s="104"/>
      <c r="F188" s="105"/>
      <c r="G188" s="98" t="str">
        <f>IFERROR(IF(venta_a_mes3[[#This Row],[CUIT]]="","-",VLOOKUP(venta_a_mes3[[#This Row],[CUIT]],Lista_CUIT[#All],2,0)),"CUIT NO CARGADO")</f>
        <v>-</v>
      </c>
      <c r="H188" s="106"/>
      <c r="I188" s="107">
        <f>venta_a_mes3[[#This Row],[IMPORTE NETO]]*0.21</f>
        <v>0</v>
      </c>
      <c r="J188" s="72"/>
      <c r="K188" s="72"/>
      <c r="L188" s="72">
        <f>SUM(venta_a_mes3[[#This Row],[IMPORTE NETO]:[EXENTO]])</f>
        <v>0</v>
      </c>
      <c r="M188" s="63"/>
    </row>
    <row r="189" spans="2:13" x14ac:dyDescent="0.25">
      <c r="B189" s="108"/>
      <c r="C189" s="109"/>
      <c r="D189" s="110"/>
      <c r="E189" s="111"/>
      <c r="F189" s="112"/>
      <c r="G189" s="98" t="str">
        <f>IFERROR(IF(venta_a_mes3[[#This Row],[CUIT]]="","-",VLOOKUP(venta_a_mes3[[#This Row],[CUIT]],Lista_CUIT[#All],2,0)),"CUIT NO CARGADO")</f>
        <v>-</v>
      </c>
      <c r="H189" s="99"/>
      <c r="I189" s="100">
        <f>venta_a_mes3[[#This Row],[IMPORTE NETO]]*0.21</f>
        <v>0</v>
      </c>
      <c r="J189" s="65"/>
      <c r="K189" s="65"/>
      <c r="L189" s="65">
        <f>SUM(venta_a_mes3[[#This Row],[IMPORTE NETO]:[EXENTO]])</f>
        <v>0</v>
      </c>
      <c r="M189" s="59"/>
    </row>
    <row r="190" spans="2:13" x14ac:dyDescent="0.25">
      <c r="B190" s="66" t="s">
        <v>110</v>
      </c>
      <c r="C190" s="67"/>
      <c r="D190" s="67"/>
      <c r="E190" s="67"/>
      <c r="F190" s="67"/>
      <c r="G190" s="67"/>
      <c r="H190" s="69">
        <f>SUBTOTAL(109,venta_a_mes3[IMPORTE NETO])</f>
        <v>0</v>
      </c>
      <c r="I190" s="70">
        <f>SUBTOTAL(109,venta_a_mes3[IVA 21%])</f>
        <v>0</v>
      </c>
      <c r="J190" s="71">
        <f>SUBTOTAL(109,venta_a_mes3[IVA 10,5%])</f>
        <v>0</v>
      </c>
      <c r="K190" s="71">
        <f>SUBTOTAL(109,venta_a_mes3[EXENTO])</f>
        <v>0</v>
      </c>
      <c r="L190" s="71">
        <f>SUBTOTAL(109,venta_a_mes3[TOTAL])</f>
        <v>0</v>
      </c>
      <c r="M190" s="68">
        <f>SUBTOTAL(103,venta_a_mes3[Provincia])</f>
        <v>0</v>
      </c>
    </row>
    <row r="193" spans="2:13" ht="21" x14ac:dyDescent="0.25">
      <c r="B193" s="631" t="s">
        <v>31</v>
      </c>
      <c r="C193" s="631"/>
    </row>
    <row r="194" spans="2:13" ht="15.75" x14ac:dyDescent="0.25">
      <c r="B194" s="60" t="s">
        <v>0</v>
      </c>
      <c r="C194" s="61" t="s">
        <v>1</v>
      </c>
      <c r="D194" s="61" t="s">
        <v>21</v>
      </c>
      <c r="E194" s="61" t="s">
        <v>22</v>
      </c>
      <c r="F194" s="61" t="s">
        <v>3</v>
      </c>
      <c r="G194" s="61" t="s">
        <v>4</v>
      </c>
      <c r="H194" s="61" t="s">
        <v>23</v>
      </c>
      <c r="I194" s="61" t="s">
        <v>17</v>
      </c>
      <c r="J194" s="61" t="s">
        <v>7</v>
      </c>
      <c r="K194" s="61" t="s">
        <v>24</v>
      </c>
      <c r="L194" s="61" t="s">
        <v>10</v>
      </c>
      <c r="M194" s="62" t="s">
        <v>38</v>
      </c>
    </row>
    <row r="195" spans="2:13" x14ac:dyDescent="0.25">
      <c r="B195" s="40"/>
      <c r="C195" s="41"/>
      <c r="D195" s="42"/>
      <c r="E195" s="43"/>
      <c r="F195" s="44"/>
      <c r="G195" s="1" t="str">
        <f>IFERROR(IF(ventas_b_mes3[[#This Row],[CUIT]]="","-",VLOOKUP(ventas_b_mes3[[#This Row],[CUIT]],Lista_CUIT[#All],2,0)),"CUIT NO CARGADO")</f>
        <v>-</v>
      </c>
      <c r="H195" s="64"/>
      <c r="I195" s="64"/>
      <c r="J195" s="64"/>
      <c r="K195" s="64"/>
      <c r="L195" s="64">
        <f>SUM(ventas_b_mes3[[#This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SUM(ventas_b_mes3[[#This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SUM(ventas_b_mes3[[#This Row],[IMPORTE NETO]:[EXENTO]])</f>
        <v>0</v>
      </c>
      <c r="M197" s="59"/>
    </row>
    <row r="198" spans="2:13" x14ac:dyDescent="0.25">
      <c r="B198" s="40"/>
      <c r="C198" s="41"/>
      <c r="D198" s="42"/>
      <c r="E198" s="43"/>
      <c r="F198" s="44"/>
      <c r="G198" s="1"/>
      <c r="H198" s="64"/>
      <c r="I198" s="64"/>
      <c r="J198" s="64"/>
      <c r="K198" s="64"/>
      <c r="L198" s="64">
        <f>SUM(ventas_b_mes3[[#This Row],[IMPORTE NETO]:[EXENTO]])</f>
        <v>0</v>
      </c>
      <c r="M198" s="59"/>
    </row>
    <row r="199" spans="2:13" x14ac:dyDescent="0.25">
      <c r="B199" s="40"/>
      <c r="C199" s="41"/>
      <c r="D199" s="42"/>
      <c r="E199" s="43"/>
      <c r="F199" s="44"/>
      <c r="G199" s="1"/>
      <c r="H199" s="64"/>
      <c r="I199" s="64"/>
      <c r="J199" s="64"/>
      <c r="K199" s="64"/>
      <c r="L199" s="64">
        <f>SUM(ventas_b_mes3[[#This Row],[IMPORTE NETO]:[EXENTO]])</f>
        <v>0</v>
      </c>
      <c r="M199" s="59"/>
    </row>
    <row r="200" spans="2:13" x14ac:dyDescent="0.25">
      <c r="B200" s="40"/>
      <c r="C200" s="41"/>
      <c r="D200" s="42"/>
      <c r="E200" s="43"/>
      <c r="F200" s="44"/>
      <c r="G200" s="1"/>
      <c r="H200" s="64"/>
      <c r="I200" s="64"/>
      <c r="J200" s="64"/>
      <c r="K200" s="64"/>
      <c r="L200" s="64">
        <f>SUM(ventas_b_mes3[[#This Row],[IMPORTE NETO]:[EXENTO]])</f>
        <v>0</v>
      </c>
      <c r="M200" s="59"/>
    </row>
    <row r="201" spans="2:13" x14ac:dyDescent="0.25">
      <c r="B201" s="66" t="s">
        <v>110</v>
      </c>
      <c r="C201" s="67"/>
      <c r="D201" s="67"/>
      <c r="E201" s="67"/>
      <c r="F201" s="67"/>
      <c r="G201" s="67"/>
      <c r="H201" s="77">
        <f>SUBTOTAL(109,ventas_b_mes3[IMPORTE NETO])</f>
        <v>0</v>
      </c>
      <c r="I201" s="77">
        <f>SUBTOTAL(109,ventas_b_mes3[IVA 21%])</f>
        <v>0</v>
      </c>
      <c r="J201" s="78">
        <f>SUBTOTAL(109,ventas_b_mes3[IVA 10,5%])</f>
        <v>0</v>
      </c>
      <c r="K201" s="78">
        <f>SUBTOTAL(109,ventas_b_mes3[EXENTO])</f>
        <v>0</v>
      </c>
      <c r="L201" s="78">
        <f>SUBTOTAL(109,ventas_b_mes3[TOTAL])</f>
        <v>0</v>
      </c>
      <c r="M201" s="68">
        <f>SUBTOTAL(103,ventas_b_mes3[Provincia])</f>
        <v>0</v>
      </c>
    </row>
    <row r="208" spans="2:13" ht="15.75" thickBot="1" x14ac:dyDescent="0.3"/>
    <row r="209" spans="3:12" ht="15.75" thickTop="1" x14ac:dyDescent="0.25">
      <c r="C209" s="625" t="s">
        <v>66</v>
      </c>
      <c r="D209" s="625"/>
      <c r="E209" s="625"/>
      <c r="F209" s="625"/>
      <c r="G209" s="625"/>
      <c r="H209" s="32"/>
      <c r="I209" s="32"/>
      <c r="J209" s="32"/>
    </row>
    <row r="210" spans="3:12" ht="15.75" x14ac:dyDescent="0.25">
      <c r="C210" s="113" t="s">
        <v>67</v>
      </c>
      <c r="D210" s="114" t="s">
        <v>68</v>
      </c>
      <c r="E210" s="114" t="s">
        <v>112</v>
      </c>
      <c r="F210" s="114" t="s">
        <v>3</v>
      </c>
      <c r="G210" s="114" t="s">
        <v>4</v>
      </c>
      <c r="H210" s="115" t="s">
        <v>69</v>
      </c>
      <c r="I210" s="115" t="s">
        <v>70</v>
      </c>
      <c r="J210" s="115" t="s">
        <v>71</v>
      </c>
      <c r="K210" s="115" t="s">
        <v>72</v>
      </c>
      <c r="L210" s="115" t="s">
        <v>73</v>
      </c>
    </row>
    <row r="211" spans="3:12" x14ac:dyDescent="0.25">
      <c r="C211" s="116"/>
      <c r="D211" s="117"/>
      <c r="E211" s="117"/>
      <c r="F211" s="118"/>
      <c r="G211" s="53" t="str">
        <f>IFERROR(IF(Retenciones_mes3[[#This Row],[CUIT]]="","-",VLOOKUP(Retenciones_mes3[[#This Row],[CUIT]],Lista_CUIT[#All],2,0)),"CUIT NO CARGADO")</f>
        <v>-</v>
      </c>
      <c r="H211" s="119"/>
      <c r="I211" s="119">
        <v>9597.94</v>
      </c>
      <c r="J211" s="119">
        <v>914.09</v>
      </c>
      <c r="K211" s="119"/>
      <c r="L211" s="119"/>
    </row>
    <row r="212" spans="3:12" x14ac:dyDescent="0.25">
      <c r="C212" s="116"/>
      <c r="D212" s="117"/>
      <c r="E212" s="117"/>
      <c r="F212" s="118"/>
      <c r="G212" s="53" t="str">
        <f>IFERROR(IF(Retenciones_mes3[[#This Row],[CUIT]]="","-",VLOOKUP(Retenciones_mes3[[#This Row],[CUIT]],Lista_CUIT[#All],2,0)),"CUIT NO CARGADO")</f>
        <v>-</v>
      </c>
      <c r="H212" s="119"/>
      <c r="I212" s="119"/>
      <c r="J212" s="119"/>
      <c r="K212" s="119"/>
      <c r="L212" s="119"/>
    </row>
    <row r="213" spans="3:12" x14ac:dyDescent="0.25">
      <c r="C213" s="116"/>
      <c r="D213" s="117"/>
      <c r="E213" s="117"/>
      <c r="F213" s="118"/>
      <c r="G213" s="53" t="str">
        <f>IFERROR(IF(Retenciones_mes3[[#This Row],[CUIT]]="","-",VLOOKUP(Retenciones_mes3[[#This Row],[CUIT]],Lista_CUIT[#All],2,0)),"CUIT NO CARGADO")</f>
        <v>-</v>
      </c>
      <c r="H213" s="119"/>
      <c r="I213" s="119"/>
      <c r="J213" s="119"/>
      <c r="K213" s="119"/>
      <c r="L213" s="119"/>
    </row>
    <row r="214" spans="3:12" x14ac:dyDescent="0.25">
      <c r="C214" s="116"/>
      <c r="D214" s="117"/>
      <c r="E214" s="117"/>
      <c r="F214" s="118"/>
      <c r="G214" s="53" t="str">
        <f>IFERROR(IF(Retenciones_mes3[[#This Row],[CUIT]]="","-",VLOOKUP(Retenciones_mes3[[#This Row],[CUIT]],Lista_CUIT[#All],2,0)),"CUIT NO CARGADO")</f>
        <v>-</v>
      </c>
      <c r="H214" s="119"/>
      <c r="I214" s="119"/>
      <c r="J214" s="119"/>
      <c r="K214" s="119"/>
      <c r="L214" s="119"/>
    </row>
    <row r="215" spans="3:12" x14ac:dyDescent="0.25">
      <c r="D215" s="117"/>
      <c r="E215" s="117"/>
      <c r="G215" s="53" t="str">
        <f>IFERROR(IF(Retenciones_mes3[[#This Row],[CUIT]]="","-",VLOOKUP(Retenciones_mes3[[#This Row],[CUIT]],Lista_CUIT[#All],2,0)),"CUIT NO CARGADO")</f>
        <v>-</v>
      </c>
    </row>
    <row r="216" spans="3:12" x14ac:dyDescent="0.25">
      <c r="C216" s="33"/>
    </row>
  </sheetData>
  <mergeCells count="20">
    <mergeCell ref="C209:G209"/>
    <mergeCell ref="B4:E4"/>
    <mergeCell ref="G4:H4"/>
    <mergeCell ref="J4:K4"/>
    <mergeCell ref="M4:N4"/>
    <mergeCell ref="D134:K134"/>
    <mergeCell ref="B177:J177"/>
    <mergeCell ref="K177:M177"/>
    <mergeCell ref="B179:C179"/>
    <mergeCell ref="B193:C193"/>
    <mergeCell ref="P4:R4"/>
    <mergeCell ref="D125:L12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181:D189 D195:D200 D9:D119 E136:E170" xr:uid="{00000000-0002-0000-0300-000000000000}">
      <formula1>1</formula1>
      <formula2>9999</formula2>
    </dataValidation>
    <dataValidation type="whole" allowBlank="1" showInputMessage="1" showErrorMessage="1" sqref="E181:E189 E195:E200 E9:E119 F136:F170" xr:uid="{00000000-0002-0000-0300-000001000000}">
      <formula1>1</formula1>
      <formula2>99999999</formula2>
    </dataValidation>
    <dataValidation type="whole" allowBlank="1" showInputMessage="1" showErrorMessage="1" sqref="F181:F189 F195:F200 F9:F119 G136:G170" xr:uid="{00000000-0002-0000-0300-000002000000}">
      <formula1>20000000000</formula1>
      <formula2>33999999999</formula2>
    </dataValidation>
    <dataValidation type="date" allowBlank="1" showInputMessage="1" showErrorMessage="1" sqref="D127:D130 B181:B189 B121:B124 B195:B200 B9:B119 D136:D170" xr:uid="{00000000-0002-0000-0300-000003000000}">
      <formula1>40179</formula1>
      <formula2>TODAY()</formula2>
    </dataValidation>
    <dataValidation type="whole" allowBlank="1" showInputMessage="1" showErrorMessage="1" sqref="C121:C124 C181:C189 C9:C119" xr:uid="{00000000-0002-0000-0300-000004000000}">
      <formula1>1</formula1>
      <formula2>3</formula2>
    </dataValidation>
    <dataValidation type="custom" allowBlank="1" showInputMessage="1" showErrorMessage="1" sqref="H181:K181 H183:K183 H185:K185 H187:K187" xr:uid="{00000000-0002-0000-0300-000005000000}">
      <formula1>IF($C181=3,H181&lt;0,H181&gt;=0)</formula1>
    </dataValidation>
    <dataValidation type="whole" allowBlank="1" showInputMessage="1" showErrorMessage="1" sqref="C195:C200" xr:uid="{00000000-0002-0000-0300-000006000000}">
      <formula1>6</formula1>
      <formula2>8</formula2>
    </dataValidation>
    <dataValidation type="custom" allowBlank="1" showInputMessage="1" showErrorMessage="1" sqref="L181:L182" xr:uid="{00000000-0002-0000-0300-000007000000}">
      <formula1>IF($C9=3,L9&lt;0,L9&gt;=0)</formula1>
    </dataValidation>
    <dataValidation type="custom" allowBlank="1" showInputMessage="1" showErrorMessage="1" sqref="L183:L185" xr:uid="{00000000-0002-0000-0300-000008000000}">
      <formula1>IF($C77=3,L77&lt;0,L77&gt;=0)</formula1>
    </dataValidation>
    <dataValidation type="custom" allowBlank="1" showInputMessage="1" showErrorMessage="1" sqref="H195:L200" xr:uid="{00000000-0002-0000-0300-000009000000}">
      <formula1>IF($C195=8,H195&lt;0,H195&gt;=0)</formula1>
    </dataValidation>
    <dataValidation type="custom" allowBlank="1" showInputMessage="1" showErrorMessage="1" sqref="L186:L187" xr:uid="{00000000-0002-0000-0300-00000A000000}">
      <formula1>IF($C120=3,L120&lt;0,L120&gt;=0)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9" xr:uid="{00000000-0002-0000-03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539"/>
  <sheetViews>
    <sheetView showGridLines="0" topLeftCell="G1" zoomScale="70" zoomScaleNormal="70" workbookViewId="0">
      <selection activeCell="M38" sqref="M38"/>
    </sheetView>
  </sheetViews>
  <sheetFormatPr baseColWidth="1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5.28515625" customWidth="1"/>
    <col min="6" max="6" width="17.7109375" customWidth="1"/>
    <col min="7" max="7" width="32.42578125" customWidth="1"/>
    <col min="8" max="8" width="33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EDATE('Ene-25'!N1,3)</f>
        <v>45748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SUM(compras_mes4[[#Totals],[NETO GRAVADO]])+extracto_banco_mes4[[#Totals],[NETO]]</f>
        <v>49849567.089999989</v>
      </c>
      <c r="C4" s="626"/>
      <c r="D4" s="626"/>
      <c r="E4" s="626"/>
      <c r="F4" s="39"/>
      <c r="G4" s="627">
        <f>compras_mes4[[#Totals],[IVA 21 %]]+compras_mes4[[#Totals],[IVA 27%]]+compras_mes4[[#Totals],[IVA 10,5%]]+extracto_banco_mes4[[#Totals],[IVA 21%]]+extracto_banco_mes4[[#Totals],[IVA 10,5%]]</f>
        <v>9989295.1967499983</v>
      </c>
      <c r="H4" s="627"/>
      <c r="I4" s="39"/>
      <c r="J4" s="628">
        <f>venta_a_mes4[[#Totals],[IMPORTE NETO]]+ventas_b_mes4[[#Totals],[IMPORTE NETO]]</f>
        <v>0</v>
      </c>
      <c r="K4" s="628"/>
      <c r="L4" s="39"/>
      <c r="M4" s="628">
        <f>venta_a_mes4[[#Totals],[IVA 21%]]+venta_a_mes4[[#Totals],[IVA 10,5%]]+ventas_b_mes4[[#Totals],[IVA 21%]]+ventas_b_mes4[[#Totals],[IVA 10,5%]]</f>
        <v>0</v>
      </c>
      <c r="N4" s="628"/>
      <c r="O4" s="39"/>
      <c r="P4" s="616">
        <f>G4-M4</f>
        <v>9989295.1967499983</v>
      </c>
      <c r="Q4" s="617"/>
      <c r="R4" s="617"/>
    </row>
    <row r="5" spans="1:26" ht="13.15" customHeight="1" x14ac:dyDescent="0.25"/>
    <row r="6" spans="1:26" ht="33" customHeight="1" x14ac:dyDescent="0.25"/>
    <row r="7" spans="1:26" s="2" customFormat="1" ht="28.5" customHeight="1" x14ac:dyDescent="0.25">
      <c r="B7" s="40"/>
      <c r="C7" s="41"/>
      <c r="D7" s="42"/>
      <c r="E7" s="43"/>
      <c r="F7" s="44"/>
      <c r="G7" s="166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ht="14.45" customHeight="1" x14ac:dyDescent="0.25">
      <c r="B9" s="342">
        <v>45766</v>
      </c>
      <c r="C9" s="343">
        <v>1</v>
      </c>
      <c r="D9" s="344">
        <v>59</v>
      </c>
      <c r="E9" s="345">
        <v>1059</v>
      </c>
      <c r="F9" s="346">
        <v>30687104133</v>
      </c>
      <c r="G9" s="351" t="str">
        <f>IFERROR(IF(compras_mes4[[#This Row],[CUIT]]="","-",VLOOKUP(compras_mes4[[#This Row],[CUIT]],Lista_CUIT[#All],2,0)),"CUIT NO CARGADO")</f>
        <v>BORDER S  PARKING  SRL</v>
      </c>
      <c r="H9" s="347">
        <v>29752.07</v>
      </c>
      <c r="I9" s="348">
        <f>IF(compras_mes4[[#This Row],[NETO GRAVADO]]="","",compras_mes4[[#This Row],[NETO GRAVADO]]*0.21)</f>
        <v>6247.9346999999998</v>
      </c>
      <c r="J9" s="348"/>
      <c r="K9" s="348"/>
      <c r="L9" s="348"/>
      <c r="M9" s="348"/>
      <c r="N9" s="348"/>
      <c r="O9" s="348"/>
      <c r="P9" s="349">
        <f>SUM(compras_mes4[[#This Row],[NETO GRAVADO]:[Otros / No Grav.]])</f>
        <v>36000.004699999998</v>
      </c>
      <c r="Q9" s="352" t="str">
        <f>IFERROR(IF(compras_mes4[[#This Row],[CUIT]]="","-",VLOOKUP(compras_mes4[[#This Row],[CUIT]],Lista_CUIT[#All],3,0)),"CUIT NO CARGADO")</f>
        <v>Gastos Varios</v>
      </c>
      <c r="R9" s="352">
        <f>IFERROR(IF(compras_mes4[[#This Row],[CUIT]]="","-",VLOOKUP(compras_mes4[[#This Row],[CUIT]],Lista_CUIT[#All],4,0)),"CUIT NO CARGADO")</f>
        <v>0</v>
      </c>
    </row>
    <row r="10" spans="1:26" ht="14.45" customHeight="1" x14ac:dyDescent="0.25">
      <c r="B10" s="342">
        <v>45750</v>
      </c>
      <c r="C10" s="343">
        <v>1</v>
      </c>
      <c r="D10" s="344">
        <v>6</v>
      </c>
      <c r="E10" s="345">
        <v>21707</v>
      </c>
      <c r="F10" s="346">
        <v>33715594949</v>
      </c>
      <c r="G10" s="351" t="str">
        <f>IFERROR(IF(compras_mes4[[#This Row],[CUIT]]="","-",VLOOKUP(compras_mes4[[#This Row],[CUIT]],Lista_CUIT[#All],2,0)),"CUIT NO CARGADO")</f>
        <v>SOMOS ENERGIA SA</v>
      </c>
      <c r="H10" s="347">
        <v>22245.39</v>
      </c>
      <c r="I10" s="348">
        <f>IF(compras_mes4[[#This Row],[NETO GRAVADO]]="","",compras_mes4[[#This Row],[NETO GRAVADO]]*0.21)</f>
        <v>4671.5319</v>
      </c>
      <c r="J10" s="348"/>
      <c r="K10" s="348"/>
      <c r="L10" s="348"/>
      <c r="M10" s="348"/>
      <c r="N10" s="348"/>
      <c r="O10" s="348">
        <v>3084.1</v>
      </c>
      <c r="P10" s="349">
        <f>SUM(compras_mes4[[#This Row],[NETO GRAVADO]:[Otros / No Grav.]])</f>
        <v>30001.0219</v>
      </c>
      <c r="Q10" s="352" t="str">
        <f>IFERROR(IF(compras_mes4[[#This Row],[CUIT]]="","-",VLOOKUP(compras_mes4[[#This Row],[CUIT]],Lista_CUIT[#All],3,0)),"CUIT NO CARGADO")</f>
        <v>COMBUSTIBLE</v>
      </c>
      <c r="R10" s="352">
        <f>IFERROR(IF(compras_mes4[[#This Row],[CUIT]]="","-",VLOOKUP(compras_mes4[[#This Row],[CUIT]],Lista_CUIT[#All],4,0)),"CUIT NO CARGADO")</f>
        <v>0</v>
      </c>
    </row>
    <row r="11" spans="1:26" ht="14.45" customHeight="1" x14ac:dyDescent="0.25">
      <c r="B11" s="342">
        <v>45747</v>
      </c>
      <c r="C11" s="343">
        <v>1</v>
      </c>
      <c r="D11" s="344">
        <v>8</v>
      </c>
      <c r="E11" s="345">
        <v>14617</v>
      </c>
      <c r="F11" s="346">
        <v>33715594949</v>
      </c>
      <c r="G11" s="351" t="str">
        <f>IFERROR(IF(compras_mes4[[#This Row],[CUIT]]="","-",VLOOKUP(compras_mes4[[#This Row],[CUIT]],Lista_CUIT[#All],2,0)),"CUIT NO CARGADO")</f>
        <v>SOMOS ENERGIA SA</v>
      </c>
      <c r="H11" s="347">
        <v>37115.440000000002</v>
      </c>
      <c r="I11" s="348">
        <f>IF(compras_mes4[[#This Row],[NETO GRAVADO]]="","",compras_mes4[[#This Row],[NETO GRAVADO]]*0.21)</f>
        <v>7794.2424000000001</v>
      </c>
      <c r="J11" s="348"/>
      <c r="K11" s="348"/>
      <c r="L11" s="348"/>
      <c r="M11" s="348"/>
      <c r="N11" s="348"/>
      <c r="O11" s="348">
        <v>5091.34</v>
      </c>
      <c r="P11" s="349">
        <f>SUM(compras_mes4[[#This Row],[NETO GRAVADO]:[Otros / No Grav.]])</f>
        <v>50001.022400000002</v>
      </c>
      <c r="Q11" s="352" t="str">
        <f>IFERROR(IF(compras_mes4[[#This Row],[CUIT]]="","-",VLOOKUP(compras_mes4[[#This Row],[CUIT]],Lista_CUIT[#All],3,0)),"CUIT NO CARGADO")</f>
        <v>COMBUSTIBLE</v>
      </c>
      <c r="R11" s="352">
        <f>IFERROR(IF(compras_mes4[[#This Row],[CUIT]]="","-",VLOOKUP(compras_mes4[[#This Row],[CUIT]],Lista_CUIT[#All],4,0)),"CUIT NO CARGADO")</f>
        <v>0</v>
      </c>
    </row>
    <row r="12" spans="1:26" ht="14.45" customHeight="1" x14ac:dyDescent="0.25">
      <c r="B12" s="342">
        <v>45771</v>
      </c>
      <c r="C12" s="343">
        <v>1</v>
      </c>
      <c r="D12" s="344">
        <v>2399</v>
      </c>
      <c r="E12" s="345">
        <v>84457</v>
      </c>
      <c r="F12" s="346">
        <v>30708574836</v>
      </c>
      <c r="G12" s="351" t="str">
        <f>IFERROR(IF(compras_mes4[[#This Row],[CUIT]]="","-",VLOOKUP(compras_mes4[[#This Row],[CUIT]],Lista_CUIT[#All],2,0)),"CUIT NO CARGADO")</f>
        <v>CORREO OFICIAL DE LA REPUBLICA ARGENTINA SOCIEDAD ANONIMA</v>
      </c>
      <c r="H12" s="347">
        <v>0</v>
      </c>
      <c r="I12" s="348">
        <f>IF(compras_mes4[[#This Row],[NETO GRAVADO]]="","",compras_mes4[[#This Row],[NETO GRAVADO]]*0.21)</f>
        <v>0</v>
      </c>
      <c r="J12" s="348"/>
      <c r="K12" s="348"/>
      <c r="L12" s="348"/>
      <c r="M12" s="348"/>
      <c r="N12" s="348"/>
      <c r="O12" s="348"/>
      <c r="P12" s="349">
        <f>SUM(compras_mes4[[#This Row],[NETO GRAVADO]:[Otros / No Grav.]])</f>
        <v>0</v>
      </c>
      <c r="Q12" s="352" t="str">
        <f>IFERROR(IF(compras_mes4[[#This Row],[CUIT]]="","-",VLOOKUP(compras_mes4[[#This Row],[CUIT]],Lista_CUIT[#All],3,0)),"CUIT NO CARGADO")</f>
        <v>Gastos Varios</v>
      </c>
      <c r="R12" s="352">
        <f>IFERROR(IF(compras_mes4[[#This Row],[CUIT]]="","-",VLOOKUP(compras_mes4[[#This Row],[CUIT]],Lista_CUIT[#All],4,0)),"CUIT NO CARGADO")</f>
        <v>0</v>
      </c>
    </row>
    <row r="13" spans="1:26" ht="14.45" customHeight="1" x14ac:dyDescent="0.25">
      <c r="B13" s="40">
        <v>45748</v>
      </c>
      <c r="C13" s="41">
        <v>1</v>
      </c>
      <c r="D13" s="42">
        <v>4</v>
      </c>
      <c r="E13" s="43">
        <v>13294</v>
      </c>
      <c r="F13" s="44">
        <v>33711386179</v>
      </c>
      <c r="G13" s="45" t="str">
        <f>IFERROR(IF(compras_mes4[[#This Row],[CUIT]]="","-",VLOOKUP(compras_mes4[[#This Row],[CUIT]],Lista_CUIT[#All],2,0)),"CUIT NO CARGADO")</f>
        <v>SHOPNOW S.R.L.</v>
      </c>
      <c r="H13" s="46">
        <v>289255.37</v>
      </c>
      <c r="I13" s="85">
        <f>IF(compras_mes4[[#This Row],[NETO GRAVADO]]="","",compras_mes4[[#This Row],[NETO GRAVADO]]*0.21)</f>
        <v>60743.627699999997</v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349998.99770000001</v>
      </c>
      <c r="Q13" s="49" t="str">
        <f>IFERROR(IF(compras_mes4[[#This Row],[CUIT]]="","-",VLOOKUP(compras_mes4[[#This Row],[CUIT]],Lista_CUIT[#All],3,0)),"CUIT NO CARGADO")</f>
        <v>Insumos</v>
      </c>
      <c r="R13" s="49">
        <f>IFERROR(IF(compras_mes4[[#This Row],[CUIT]]="","-",VLOOKUP(compras_mes4[[#This Row],[CUIT]],Lista_CUIT[#All],4,0)),"CUIT NO CARGADO")</f>
        <v>0</v>
      </c>
    </row>
    <row r="14" spans="1:26" ht="14.45" customHeight="1" x14ac:dyDescent="0.25">
      <c r="B14" s="40">
        <v>45748</v>
      </c>
      <c r="C14" s="41">
        <v>1</v>
      </c>
      <c r="D14" s="42">
        <v>25</v>
      </c>
      <c r="E14" s="43">
        <v>119955</v>
      </c>
      <c r="F14" s="44">
        <v>30714864269</v>
      </c>
      <c r="G14" s="45" t="str">
        <f>IFERROR(IF(compras_mes4[[#This Row],[CUIT]]="","-",VLOOKUP(compras_mes4[[#This Row],[CUIT]],Lista_CUIT[#All],2,0)),"CUIT NO CARGADO")</f>
        <v>CONTABILIUM S.A. S. A.</v>
      </c>
      <c r="H14" s="46">
        <v>164170</v>
      </c>
      <c r="I14" s="85">
        <f>IF(compras_mes4[[#This Row],[NETO GRAVADO]]="","",compras_mes4[[#This Row],[NETO GRAVADO]]*0.21)</f>
        <v>34475.699999999997</v>
      </c>
      <c r="J14" s="85"/>
      <c r="K14" s="85"/>
      <c r="L14" s="85"/>
      <c r="M14" s="85"/>
      <c r="N14" s="85"/>
      <c r="O14" s="85"/>
      <c r="P14" s="48">
        <f>SUM(compras_mes4[[#This Row],[NETO GRAVADO]:[Otros / No Grav.]])</f>
        <v>198645.7</v>
      </c>
      <c r="Q14" s="49" t="str">
        <f>IFERROR(IF(compras_mes4[[#This Row],[CUIT]]="","-",VLOOKUP(compras_mes4[[#This Row],[CUIT]],Lista_CUIT[#All],3,0)),"CUIT NO CARGADO")</f>
        <v>USUARIO CONTABLE</v>
      </c>
      <c r="R14" s="49">
        <f>IFERROR(IF(compras_mes4[[#This Row],[CUIT]]="","-",VLOOKUP(compras_mes4[[#This Row],[CUIT]],Lista_CUIT[#All],4,0)),"CUIT NO CARGADO")</f>
        <v>0</v>
      </c>
    </row>
    <row r="15" spans="1:26" x14ac:dyDescent="0.25">
      <c r="B15" s="40">
        <v>45748</v>
      </c>
      <c r="C15" s="41">
        <v>1</v>
      </c>
      <c r="D15" s="42">
        <v>500</v>
      </c>
      <c r="E15" s="43">
        <v>1711580</v>
      </c>
      <c r="F15" s="44">
        <v>30654118767</v>
      </c>
      <c r="G15" s="45" t="str">
        <f>IFERROR(IF(compras_mes4[[#This Row],[CUIT]]="","-",VLOOKUP(compras_mes4[[#This Row],[CUIT]],Lista_CUIT[#All],2,0)),"CUIT NO CARGADO")</f>
        <v>SOLUCIONES MULTIMEDIA SA</v>
      </c>
      <c r="H15" s="46">
        <v>122163.85</v>
      </c>
      <c r="I15" s="85">
        <f>IF(compras_mes4[[#This Row],[NETO GRAVADO]]="","",compras_mes4[[#This Row],[NETO GRAVADO]]*0.21)</f>
        <v>25654.408500000001</v>
      </c>
      <c r="J15" s="85"/>
      <c r="K15" s="85"/>
      <c r="L15" s="85"/>
      <c r="M15" s="85"/>
      <c r="N15" s="85"/>
      <c r="O15" s="85"/>
      <c r="P15" s="48">
        <f>SUM(compras_mes4[[#This Row],[NETO GRAVADO]:[Otros / No Grav.]])</f>
        <v>147818.2585</v>
      </c>
      <c r="Q15" s="49" t="str">
        <f>IFERROR(IF(compras_mes4[[#This Row],[CUIT]]="","-",VLOOKUP(compras_mes4[[#This Row],[CUIT]],Lista_CUIT[#All],3,0)),"CUIT NO CARGADO")</f>
        <v>gastos varios</v>
      </c>
      <c r="R15" s="49">
        <f>IFERROR(IF(compras_mes4[[#This Row],[CUIT]]="","-",VLOOKUP(compras_mes4[[#This Row],[CUIT]],Lista_CUIT[#All],4,0)),"CUIT NO CARGADO")</f>
        <v>0</v>
      </c>
    </row>
    <row r="16" spans="1:26" x14ac:dyDescent="0.25">
      <c r="B16" s="40">
        <v>45748</v>
      </c>
      <c r="C16" s="41">
        <v>1</v>
      </c>
      <c r="D16" s="42">
        <v>629</v>
      </c>
      <c r="E16" s="43">
        <v>5982817</v>
      </c>
      <c r="F16" s="44">
        <v>30663498513</v>
      </c>
      <c r="G16" s="45" t="str">
        <f>IFERROR(IF(compras_mes4[[#This Row],[CUIT]]="","-",VLOOKUP(compras_mes4[[#This Row],[CUIT]],Lista_CUIT[#All],2,0)),"CUIT NO CARGADO")</f>
        <v>GRUPO CONCES. DEL OESTE SA</v>
      </c>
      <c r="H16" s="46">
        <v>5662.12</v>
      </c>
      <c r="I16" s="85">
        <f>IF(compras_mes4[[#This Row],[NETO GRAVADO]]="","",compras_mes4[[#This Row],[NETO GRAVADO]]*0.21)</f>
        <v>1189.0452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6851.1651999999995</v>
      </c>
      <c r="Q16" s="49" t="str">
        <f>IFERROR(IF(compras_mes4[[#This Row],[CUIT]]="","-",VLOOKUP(compras_mes4[[#This Row],[CUIT]],Lista_CUIT[#All],3,0)),"CUIT NO CARGADO")</f>
        <v>Autopista</v>
      </c>
      <c r="R16" s="49">
        <f>IFERROR(IF(compras_mes4[[#This Row],[CUIT]]="","-",VLOOKUP(compras_mes4[[#This Row],[CUIT]],Lista_CUIT[#All],4,0)),"CUIT NO CARGADO")</f>
        <v>0</v>
      </c>
    </row>
    <row r="17" spans="2:18" x14ac:dyDescent="0.25">
      <c r="B17" s="40">
        <v>45748</v>
      </c>
      <c r="C17" s="41">
        <v>1</v>
      </c>
      <c r="D17" s="42">
        <v>711</v>
      </c>
      <c r="E17" s="43">
        <v>6930599</v>
      </c>
      <c r="F17" s="44">
        <v>30677237119</v>
      </c>
      <c r="G17" s="45" t="str">
        <f>IFERROR(IF(compras_mes4[[#This Row],[CUIT]]="","-",VLOOKUP(compras_mes4[[#This Row],[CUIT]],Lista_CUIT[#All],2,0)),"CUIT NO CARGADO")</f>
        <v>AUTOPISTAS DEL SOL SA</v>
      </c>
      <c r="H17" s="46">
        <v>9359.7800000000007</v>
      </c>
      <c r="I17" s="85">
        <f>IF(compras_mes4[[#This Row],[NETO GRAVADO]]="","",compras_mes4[[#This Row],[NETO GRAVADO]]*0.21)</f>
        <v>1965.5538000000001</v>
      </c>
      <c r="J17" s="85"/>
      <c r="K17" s="85"/>
      <c r="L17" s="85"/>
      <c r="M17" s="85"/>
      <c r="N17" s="85"/>
      <c r="O17" s="85"/>
      <c r="P17" s="48">
        <f>SUM(compras_mes4[[#This Row],[NETO GRAVADO]:[Otros / No Grav.]])</f>
        <v>11325.3338</v>
      </c>
      <c r="Q17" s="49" t="str">
        <f>IFERROR(IF(compras_mes4[[#This Row],[CUIT]]="","-",VLOOKUP(compras_mes4[[#This Row],[CUIT]],Lista_CUIT[#All],3,0)),"CUIT NO CARGADO")</f>
        <v>Autopista</v>
      </c>
      <c r="R17" s="49">
        <f>IFERROR(IF(compras_mes4[[#This Row],[CUIT]]="","-",VLOOKUP(compras_mes4[[#This Row],[CUIT]],Lista_CUIT[#All],4,0)),"CUIT NO CARGADO")</f>
        <v>0</v>
      </c>
    </row>
    <row r="18" spans="2:18" x14ac:dyDescent="0.25">
      <c r="B18" s="40">
        <v>45748</v>
      </c>
      <c r="C18" s="41">
        <v>1</v>
      </c>
      <c r="D18" s="42">
        <v>3</v>
      </c>
      <c r="E18" s="43">
        <v>4490</v>
      </c>
      <c r="F18" s="44">
        <v>20184052858</v>
      </c>
      <c r="G18" s="45" t="str">
        <f>IFERROR(IF(compras_mes4[[#This Row],[CUIT]]="","-",VLOOKUP(compras_mes4[[#This Row],[CUIT]],Lista_CUIT[#All],2,0)),"CUIT NO CARGADO")</f>
        <v>ABOUD PABLO DANIEL</v>
      </c>
      <c r="H18" s="46">
        <v>56198.36</v>
      </c>
      <c r="I18" s="85">
        <f>IF(compras_mes4[[#This Row],[NETO GRAVADO]]="","",compras_mes4[[#This Row],[NETO GRAVADO]]*0.21)</f>
        <v>11801.6556</v>
      </c>
      <c r="J18" s="85"/>
      <c r="K18" s="85"/>
      <c r="L18" s="85"/>
      <c r="M18" s="85"/>
      <c r="N18" s="85"/>
      <c r="O18" s="85"/>
      <c r="P18" s="48">
        <f>SUM(compras_mes4[[#This Row],[NETO GRAVADO]:[Otros / No Grav.]])</f>
        <v>68000.015599999999</v>
      </c>
      <c r="Q18" s="49" t="str">
        <f>IFERROR(IF(compras_mes4[[#This Row],[CUIT]]="","-",VLOOKUP(compras_mes4[[#This Row],[CUIT]],Lista_CUIT[#All],3,0)),"CUIT NO CARGADO")</f>
        <v>Gastos Varios</v>
      </c>
      <c r="R18" s="49">
        <f>IFERROR(IF(compras_mes4[[#This Row],[CUIT]]="","-",VLOOKUP(compras_mes4[[#This Row],[CUIT]],Lista_CUIT[#All],4,0)),"CUIT NO CARGADO")</f>
        <v>0</v>
      </c>
    </row>
    <row r="19" spans="2:18" x14ac:dyDescent="0.25">
      <c r="B19" s="465">
        <v>45749</v>
      </c>
      <c r="C19" s="41">
        <v>1</v>
      </c>
      <c r="D19" s="466">
        <v>2</v>
      </c>
      <c r="E19" s="43">
        <v>233</v>
      </c>
      <c r="F19" s="467">
        <v>30605344352</v>
      </c>
      <c r="G19" s="468" t="str">
        <f>IFERROR(IF(compras_mes4[[#This Row],[CUIT]]="","-",VLOOKUP(compras_mes4[[#This Row],[CUIT]],Lista_CUIT[#All],2,0)),"CUIT NO CARGADO")</f>
        <v>CONSORCIO BARTOLME MITRE 2466</v>
      </c>
      <c r="H19" s="469">
        <v>1200000</v>
      </c>
      <c r="I19" s="464">
        <f>IF(compras_mes4[[#This Row],[NETO GRAVADO]]="","",compras_mes4[[#This Row],[NETO GRAVADO]]*0.21)</f>
        <v>252000</v>
      </c>
      <c r="J19" s="464"/>
      <c r="K19" s="464"/>
      <c r="L19" s="464"/>
      <c r="M19" s="464"/>
      <c r="N19" s="464"/>
      <c r="O19" s="464"/>
      <c r="P19" s="470">
        <f>SUM(compras_mes4[[#This Row],[NETO GRAVADO]:[Otros / No Grav.]])</f>
        <v>1452000</v>
      </c>
      <c r="Q19" s="471" t="str">
        <f>IFERROR(IF(compras_mes4[[#This Row],[CUIT]]="","-",VLOOKUP(compras_mes4[[#This Row],[CUIT]],Lista_CUIT[#All],3,0)),"CUIT NO CARGADO")</f>
        <v>ALQUILER LOCAL</v>
      </c>
      <c r="R19" s="471">
        <f>IFERROR(IF(compras_mes4[[#This Row],[CUIT]]="","-",VLOOKUP(compras_mes4[[#This Row],[CUIT]],Lista_CUIT[#All],4,0)),"CUIT NO CARGADO")</f>
        <v>0</v>
      </c>
    </row>
    <row r="20" spans="2:18" x14ac:dyDescent="0.25">
      <c r="B20" s="40">
        <v>45749</v>
      </c>
      <c r="C20" s="41">
        <v>1</v>
      </c>
      <c r="D20" s="42">
        <v>3051</v>
      </c>
      <c r="E20" s="43">
        <v>899470</v>
      </c>
      <c r="F20" s="44">
        <v>30678814357</v>
      </c>
      <c r="G20" s="45" t="str">
        <f>IFERROR(IF(compras_mes4[[#This Row],[CUIT]]="","-",VLOOKUP(compras_mes4[[#This Row],[CUIT]],Lista_CUIT[#All],2,0)),"CUIT NO CARGADO")</f>
        <v>TELEFONICA MOVILES ARG SA</v>
      </c>
      <c r="H20" s="46">
        <v>68564</v>
      </c>
      <c r="I20" s="85"/>
      <c r="J20" s="85">
        <f>compras_mes4[[#This Row],[NETO GRAVADO]]*27/100</f>
        <v>18512.28</v>
      </c>
      <c r="K20" s="85"/>
      <c r="L20" s="85"/>
      <c r="M20" s="85"/>
      <c r="N20" s="85"/>
      <c r="O20" s="85"/>
      <c r="P20" s="48">
        <f>SUM(compras_mes4[[#This Row],[NETO GRAVADO]:[Otros / No Grav.]])</f>
        <v>87076.28</v>
      </c>
      <c r="Q20" s="49" t="str">
        <f>IFERROR(IF(compras_mes4[[#This Row],[CUIT]]="","-",VLOOKUP(compras_mes4[[#This Row],[CUIT]],Lista_CUIT[#All],3,0)),"CUIT NO CARGADO")</f>
        <v>SERVICIO</v>
      </c>
      <c r="R20" s="49">
        <f>IFERROR(IF(compras_mes4[[#This Row],[CUIT]]="","-",VLOOKUP(compras_mes4[[#This Row],[CUIT]],Lista_CUIT[#All],4,0)),"CUIT NO CARGADO")</f>
        <v>0</v>
      </c>
    </row>
    <row r="21" spans="2:18" x14ac:dyDescent="0.25">
      <c r="B21" s="465">
        <v>45749</v>
      </c>
      <c r="C21" s="41">
        <v>1</v>
      </c>
      <c r="D21" s="466">
        <v>1</v>
      </c>
      <c r="E21" s="43">
        <v>795324</v>
      </c>
      <c r="F21" s="467">
        <v>33716307749</v>
      </c>
      <c r="G21" s="468" t="str">
        <f>IFERROR(IF(compras_mes4[[#This Row],[CUIT]]="","-",VLOOKUP(compras_mes4[[#This Row],[CUIT]],Lista_CUIT[#All],2,0)),"CUIT NO CARGADO")</f>
        <v>VERISURE ARGENTINA MONITOREO DE ALARMAS SA</v>
      </c>
      <c r="H21" s="469">
        <v>53953.8</v>
      </c>
      <c r="I21" s="464">
        <f>IF(compras_mes4[[#This Row],[NETO GRAVADO]]="","",compras_mes4[[#This Row],[NETO GRAVADO]]*0.21)</f>
        <v>11330.298000000001</v>
      </c>
      <c r="J21" s="464"/>
      <c r="K21" s="464"/>
      <c r="L21" s="464"/>
      <c r="M21" s="464"/>
      <c r="N21" s="464"/>
      <c r="O21" s="464"/>
      <c r="P21" s="470">
        <f>SUM(compras_mes4[[#This Row],[NETO GRAVADO]:[Otros / No Grav.]])</f>
        <v>65284.098000000005</v>
      </c>
      <c r="Q21" s="471" t="str">
        <f>IFERROR(IF(compras_mes4[[#This Row],[CUIT]]="","-",VLOOKUP(compras_mes4[[#This Row],[CUIT]],Lista_CUIT[#All],3,0)),"CUIT NO CARGADO")</f>
        <v>Serv. Seguridad</v>
      </c>
      <c r="R21" s="471">
        <f>IFERROR(IF(compras_mes4[[#This Row],[CUIT]]="","-",VLOOKUP(compras_mes4[[#This Row],[CUIT]],Lista_CUIT[#All],4,0)),"CUIT NO CARGADO")</f>
        <v>0</v>
      </c>
    </row>
    <row r="22" spans="2:18" ht="14.45" customHeight="1" x14ac:dyDescent="0.25">
      <c r="B22" s="40">
        <v>45750</v>
      </c>
      <c r="C22" s="41">
        <v>1</v>
      </c>
      <c r="D22" s="42">
        <v>1</v>
      </c>
      <c r="E22" s="43">
        <v>6492</v>
      </c>
      <c r="F22" s="44">
        <v>30715430769</v>
      </c>
      <c r="G22" s="45" t="str">
        <f>IFERROR(IF(compras_mes4[[#This Row],[CUIT]]="","-",VLOOKUP(compras_mes4[[#This Row],[CUIT]],Lista_CUIT[#All],2,0)),"CUIT NO CARGADO")</f>
        <v>INFORMATICA BARRACAS SRL</v>
      </c>
      <c r="H22" s="46">
        <v>41397.379999999997</v>
      </c>
      <c r="I22" s="85">
        <f>IF(compras_mes4[[#This Row],[NETO GRAVADO]]="","",compras_mes4[[#This Row],[NETO GRAVADO]]*0.21)</f>
        <v>8693.4497999999985</v>
      </c>
      <c r="J22" s="85"/>
      <c r="K22" s="85"/>
      <c r="L22" s="85"/>
      <c r="M22" s="85"/>
      <c r="N22" s="85"/>
      <c r="O22" s="85"/>
      <c r="P22" s="48">
        <f>SUM(compras_mes4[[#This Row],[NETO GRAVADO]:[Otros / No Grav.]])</f>
        <v>50090.829799999992</v>
      </c>
      <c r="Q22" s="49" t="str">
        <f>IFERROR(IF(compras_mes4[[#This Row],[CUIT]]="","-",VLOOKUP(compras_mes4[[#This Row],[CUIT]],Lista_CUIT[#All],3,0)),"CUIT NO CARGADO")</f>
        <v>Insumos</v>
      </c>
      <c r="R22" s="49">
        <f>IFERROR(IF(compras_mes4[[#This Row],[CUIT]]="","-",VLOOKUP(compras_mes4[[#This Row],[CUIT]],Lista_CUIT[#All],4,0)),"CUIT NO CARGADO")</f>
        <v>0</v>
      </c>
    </row>
    <row r="23" spans="2:18" ht="14.45" customHeight="1" x14ac:dyDescent="0.25">
      <c r="B23" s="40">
        <v>45750</v>
      </c>
      <c r="C23" s="41">
        <v>1</v>
      </c>
      <c r="D23" s="42">
        <v>2</v>
      </c>
      <c r="E23" s="43">
        <v>1189</v>
      </c>
      <c r="F23" s="44">
        <v>20272865869</v>
      </c>
      <c r="G23" s="45" t="str">
        <f>IFERROR(IF(compras_mes4[[#This Row],[CUIT]]="","-",VLOOKUP(compras_mes4[[#This Row],[CUIT]],Lista_CUIT[#All],2,0)),"CUIT NO CARGADO")</f>
        <v>DI FEO MARTIN EZEQUIEL</v>
      </c>
      <c r="H23" s="46">
        <v>143200</v>
      </c>
      <c r="I23" s="85">
        <f>IF(compras_mes4[[#This Row],[NETO GRAVADO]]="","",compras_mes4[[#This Row],[NETO GRAVADO]]*0.21)</f>
        <v>30072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173272</v>
      </c>
      <c r="Q23" s="49" t="str">
        <f>IFERROR(IF(compras_mes4[[#This Row],[CUIT]]="","-",VLOOKUP(compras_mes4[[#This Row],[CUIT]],Lista_CUIT[#All],3,0)),"CUIT NO CARGADO")</f>
        <v>INSUMOS</v>
      </c>
      <c r="R23" s="49">
        <f>IFERROR(IF(compras_mes4[[#This Row],[CUIT]]="","-",VLOOKUP(compras_mes4[[#This Row],[CUIT]],Lista_CUIT[#All],4,0)),"CUIT NO CARGADO")</f>
        <v>0</v>
      </c>
    </row>
    <row r="24" spans="2:18" ht="14.45" customHeight="1" x14ac:dyDescent="0.25">
      <c r="B24" s="40">
        <v>45750</v>
      </c>
      <c r="C24" s="41">
        <v>1</v>
      </c>
      <c r="D24" s="42">
        <v>6</v>
      </c>
      <c r="E24" s="43">
        <v>56866</v>
      </c>
      <c r="F24" s="44">
        <v>30710177658</v>
      </c>
      <c r="G24" s="45" t="str">
        <f>IFERROR(IF(compras_mes4[[#This Row],[CUIT]]="","-",VLOOKUP(compras_mes4[[#This Row],[CUIT]],Lista_CUIT[#All],2,0)),"CUIT NO CARGADO")</f>
        <v>TARGET MEDICAL SA</v>
      </c>
      <c r="H24" s="46">
        <v>277404.59999999998</v>
      </c>
      <c r="I24" s="85">
        <f>IF(compras_mes4[[#This Row],[NETO GRAVADO]]="","",compras_mes4[[#This Row],[NETO GRAVADO]]*0.21)</f>
        <v>58254.965999999993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335659.56599999999</v>
      </c>
      <c r="Q24" s="49" t="str">
        <f>IFERROR(IF(compras_mes4[[#This Row],[CUIT]]="","-",VLOOKUP(compras_mes4[[#This Row],[CUIT]],Lista_CUIT[#All],3,0)),"CUIT NO CARGADO")</f>
        <v>INSUMO</v>
      </c>
      <c r="R24" s="49">
        <f>IFERROR(IF(compras_mes4[[#This Row],[CUIT]]="","-",VLOOKUP(compras_mes4[[#This Row],[CUIT]],Lista_CUIT[#All],4,0)),"CUIT NO CARGADO")</f>
        <v>0</v>
      </c>
    </row>
    <row r="25" spans="2:18" ht="14.45" customHeight="1" x14ac:dyDescent="0.25">
      <c r="B25" s="40">
        <v>45750</v>
      </c>
      <c r="C25" s="41">
        <v>1</v>
      </c>
      <c r="D25" s="42">
        <v>1</v>
      </c>
      <c r="E25" s="43">
        <v>2953</v>
      </c>
      <c r="F25" s="44">
        <v>30717179389</v>
      </c>
      <c r="G25" s="45" t="str">
        <f>IFERROR(IF(compras_mes4[[#This Row],[CUIT]]="","-",VLOOKUP(compras_mes4[[#This Row],[CUIT]],Lista_CUIT[#All],2,0)),"CUIT NO CARGADO")</f>
        <v>NICOLAS TOBIAS SEQUEIRA Y MARIA GABRIELA RATTNER SOCIEDAD DE LA SECCION IV LGS</v>
      </c>
      <c r="H25" s="46">
        <v>57024.79</v>
      </c>
      <c r="I25" s="85">
        <f>IF(compras_mes4[[#This Row],[NETO GRAVADO]]="","",compras_mes4[[#This Row],[NETO GRAVADO]]*0.21)</f>
        <v>11975.205899999999</v>
      </c>
      <c r="J25" s="85"/>
      <c r="K25" s="85"/>
      <c r="L25" s="85"/>
      <c r="M25" s="85"/>
      <c r="N25" s="85"/>
      <c r="O25" s="85"/>
      <c r="P25" s="48">
        <f>SUM(compras_mes4[[#This Row],[NETO GRAVADO]:[Otros / No Grav.]])</f>
        <v>68999.995899999994</v>
      </c>
      <c r="Q25" s="49" t="str">
        <f>IFERROR(IF(compras_mes4[[#This Row],[CUIT]]="","-",VLOOKUP(compras_mes4[[#This Row],[CUIT]],Lista_CUIT[#All],3,0)),"CUIT NO CARGADO")</f>
        <v>Ropa de Trabajo</v>
      </c>
      <c r="R25" s="49">
        <f>IFERROR(IF(compras_mes4[[#This Row],[CUIT]]="","-",VLOOKUP(compras_mes4[[#This Row],[CUIT]],Lista_CUIT[#All],4,0)),"CUIT NO CARGADO")</f>
        <v>0</v>
      </c>
    </row>
    <row r="26" spans="2:18" ht="14.45" customHeight="1" x14ac:dyDescent="0.25">
      <c r="B26" s="40">
        <v>45751</v>
      </c>
      <c r="C26" s="41">
        <v>1</v>
      </c>
      <c r="D26" s="42">
        <v>2</v>
      </c>
      <c r="E26" s="43">
        <v>1192</v>
      </c>
      <c r="F26" s="44">
        <v>20272865869</v>
      </c>
      <c r="G26" s="45" t="str">
        <f>IFERROR(IF(compras_mes4[[#This Row],[CUIT]]="","-",VLOOKUP(compras_mes4[[#This Row],[CUIT]],Lista_CUIT[#All],2,0)),"CUIT NO CARGADO")</f>
        <v>DI FEO MARTIN EZEQUIEL</v>
      </c>
      <c r="H26" s="46">
        <v>180000</v>
      </c>
      <c r="I26" s="85">
        <f>IF(compras_mes4[[#This Row],[NETO GRAVADO]]="","",compras_mes4[[#This Row],[NETO GRAVADO]]*0.21)</f>
        <v>37800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217800</v>
      </c>
      <c r="Q26" s="49" t="str">
        <f>IFERROR(IF(compras_mes4[[#This Row],[CUIT]]="","-",VLOOKUP(compras_mes4[[#This Row],[CUIT]],Lista_CUIT[#All],3,0)),"CUIT NO CARGADO")</f>
        <v>INSUMOS</v>
      </c>
      <c r="R26" s="49">
        <f>IFERROR(IF(compras_mes4[[#This Row],[CUIT]]="","-",VLOOKUP(compras_mes4[[#This Row],[CUIT]],Lista_CUIT[#All],4,0)),"CUIT NO CARGADO")</f>
        <v>0</v>
      </c>
    </row>
    <row r="27" spans="2:18" ht="14.45" customHeight="1" x14ac:dyDescent="0.25">
      <c r="B27" s="40">
        <v>45751</v>
      </c>
      <c r="C27" s="41">
        <v>1</v>
      </c>
      <c r="D27" s="42">
        <v>3</v>
      </c>
      <c r="E27" s="43">
        <v>36</v>
      </c>
      <c r="F27" s="44">
        <v>20216164262</v>
      </c>
      <c r="G27" s="45" t="str">
        <f>IFERROR(IF(compras_mes4[[#This Row],[CUIT]]="","-",VLOOKUP(compras_mes4[[#This Row],[CUIT]],Lista_CUIT[#All],2,0)),"CUIT NO CARGADO")</f>
        <v>VELEZ ALEJANDRO MARCELO</v>
      </c>
      <c r="H27" s="46">
        <v>5186745</v>
      </c>
      <c r="I27" s="85">
        <f>IF(compras_mes4[[#This Row],[NETO GRAVADO]]="","",compras_mes4[[#This Row],[NETO GRAVADO]]*0.21)</f>
        <v>1089216.45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6275961.4500000002</v>
      </c>
      <c r="Q27" s="49" t="str">
        <f>IFERROR(IF(compras_mes4[[#This Row],[CUIT]]="","-",VLOOKUP(compras_mes4[[#This Row],[CUIT]],Lista_CUIT[#All],3,0)),"CUIT NO CARGADO")</f>
        <v>Insumos</v>
      </c>
      <c r="R27" s="49">
        <f>IFERROR(IF(compras_mes4[[#This Row],[CUIT]]="","-",VLOOKUP(compras_mes4[[#This Row],[CUIT]],Lista_CUIT[#All],4,0)),"CUIT NO CARGADO")</f>
        <v>0</v>
      </c>
    </row>
    <row r="28" spans="2:18" ht="14.45" customHeight="1" x14ac:dyDescent="0.25">
      <c r="B28" s="40">
        <v>45751</v>
      </c>
      <c r="C28" s="41">
        <v>1</v>
      </c>
      <c r="D28" s="42">
        <v>5</v>
      </c>
      <c r="E28" s="43">
        <v>165179</v>
      </c>
      <c r="F28" s="44">
        <v>30598960093</v>
      </c>
      <c r="G28" s="45" t="str">
        <f>IFERROR(IF(compras_mes4[[#This Row],[CUIT]]="","-",VLOOKUP(compras_mes4[[#This Row],[CUIT]],Lista_CUIT[#All],2,0)),"CUIT NO CARGADO")</f>
        <v>SILVESTRIN FABRIS SRL</v>
      </c>
      <c r="H28" s="46">
        <v>935934.75</v>
      </c>
      <c r="I28" s="85">
        <f>IF(compras_mes4[[#This Row],[NETO GRAVADO]]="","",compras_mes4[[#This Row],[NETO GRAVADO]]*0.21)</f>
        <v>196546.29749999999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1132481.0474999999</v>
      </c>
      <c r="Q28" s="49" t="str">
        <f>IFERROR(IF(compras_mes4[[#This Row],[CUIT]]="","-",VLOOKUP(compras_mes4[[#This Row],[CUIT]],Lista_CUIT[#All],3,0)),"CUIT NO CARGADO")</f>
        <v>INSUMO</v>
      </c>
      <c r="R28" s="49">
        <f>IFERROR(IF(compras_mes4[[#This Row],[CUIT]]="","-",VLOOKUP(compras_mes4[[#This Row],[CUIT]],Lista_CUIT[#All],4,0)),"CUIT NO CARGADO")</f>
        <v>0</v>
      </c>
    </row>
    <row r="29" spans="2:18" ht="14.45" customHeight="1" x14ac:dyDescent="0.25">
      <c r="B29" s="40">
        <v>45754</v>
      </c>
      <c r="C29" s="41">
        <v>1</v>
      </c>
      <c r="D29" s="42">
        <v>6</v>
      </c>
      <c r="E29" s="43">
        <v>90416</v>
      </c>
      <c r="F29" s="44">
        <v>30711553564</v>
      </c>
      <c r="G29" s="45" t="str">
        <f>IFERROR(IF(compras_mes4[[#This Row],[CUIT]]="","-",VLOOKUP(compras_mes4[[#This Row],[CUIT]],Lista_CUIT[#All],2,0)),"CUIT NO CARGADO")</f>
        <v>SALUD TEX S.A</v>
      </c>
      <c r="H29" s="46">
        <v>856409</v>
      </c>
      <c r="I29" s="85">
        <f>IF(compras_mes4[[#This Row],[NETO GRAVADO]]="","",compras_mes4[[#This Row],[NETO GRAVADO]]*0.21)</f>
        <v>179845.88999999998</v>
      </c>
      <c r="J29" s="85"/>
      <c r="K29" s="85"/>
      <c r="L29" s="85"/>
      <c r="M29" s="85"/>
      <c r="N29" s="85"/>
      <c r="O29" s="85"/>
      <c r="P29" s="48">
        <f>SUM(compras_mes4[[#This Row],[NETO GRAVADO]:[Otros / No Grav.]])</f>
        <v>1036254.89</v>
      </c>
      <c r="Q29" s="49" t="str">
        <f>IFERROR(IF(compras_mes4[[#This Row],[CUIT]]="","-",VLOOKUP(compras_mes4[[#This Row],[CUIT]],Lista_CUIT[#All],3,0)),"CUIT NO CARGADO")</f>
        <v>INSUMO</v>
      </c>
      <c r="R29" s="49">
        <f>IFERROR(IF(compras_mes4[[#This Row],[CUIT]]="","-",VLOOKUP(compras_mes4[[#This Row],[CUIT]],Lista_CUIT[#All],4,0)),"CUIT NO CARGADO")</f>
        <v>0</v>
      </c>
    </row>
    <row r="30" spans="2:18" x14ac:dyDescent="0.25">
      <c r="B30" s="40">
        <v>45754</v>
      </c>
      <c r="C30" s="41">
        <v>1</v>
      </c>
      <c r="D30" s="42">
        <v>700</v>
      </c>
      <c r="E30" s="43">
        <v>2376669</v>
      </c>
      <c r="F30" s="44">
        <v>30715804812</v>
      </c>
      <c r="G30" s="45" t="str">
        <f>IFERROR(IF(compras_mes4[[#This Row],[CUIT]]="","-",VLOOKUP(compras_mes4[[#This Row],[CUIT]],Lista_CUIT[#All],2,0)),"CUIT NO CARGADO")</f>
        <v>CORREDORES VIALES SOCIEDAD ANONIMA</v>
      </c>
      <c r="H30" s="46">
        <v>23919.59</v>
      </c>
      <c r="I30" s="85">
        <f>IF(compras_mes4[[#This Row],[NETO GRAVADO]]="","",compras_mes4[[#This Row],[NETO GRAVADO]]*0.21)</f>
        <v>5023.1139000000003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28942.7039</v>
      </c>
      <c r="Q30" s="49" t="str">
        <f>IFERROR(IF(compras_mes4[[#This Row],[CUIT]]="","-",VLOOKUP(compras_mes4[[#This Row],[CUIT]],Lista_CUIT[#All],3,0)),"CUIT NO CARGADO")</f>
        <v>Autopista</v>
      </c>
      <c r="R30" s="49">
        <f>IFERROR(IF(compras_mes4[[#This Row],[CUIT]]="","-",VLOOKUP(compras_mes4[[#This Row],[CUIT]],Lista_CUIT[#All],4,0)),"CUIT NO CARGADO")</f>
        <v>0</v>
      </c>
    </row>
    <row r="31" spans="2:18" x14ac:dyDescent="0.25">
      <c r="B31" s="40">
        <v>45754</v>
      </c>
      <c r="C31" s="41">
        <v>1</v>
      </c>
      <c r="D31" s="42">
        <v>700</v>
      </c>
      <c r="E31" s="43">
        <v>2376670</v>
      </c>
      <c r="F31" s="44">
        <v>30715804812</v>
      </c>
      <c r="G31" s="45" t="str">
        <f>IFERROR(IF(compras_mes4[[#This Row],[CUIT]]="","-",VLOOKUP(compras_mes4[[#This Row],[CUIT]],Lista_CUIT[#All],2,0)),"CUIT NO CARGADO")</f>
        <v>CORREDORES VIALES SOCIEDAD ANONIMA</v>
      </c>
      <c r="H31" s="46">
        <v>1871.97</v>
      </c>
      <c r="I31" s="85">
        <f>IF(compras_mes4[[#This Row],[NETO GRAVADO]]="","",compras_mes4[[#This Row],[NETO GRAVADO]]*0.21)</f>
        <v>393.11369999999999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2265.0837000000001</v>
      </c>
      <c r="Q31" s="49" t="str">
        <f>IFERROR(IF(compras_mes4[[#This Row],[CUIT]]="","-",VLOOKUP(compras_mes4[[#This Row],[CUIT]],Lista_CUIT[#All],3,0)),"CUIT NO CARGADO")</f>
        <v>Autopista</v>
      </c>
      <c r="R31" s="49">
        <f>IFERROR(IF(compras_mes4[[#This Row],[CUIT]]="","-",VLOOKUP(compras_mes4[[#This Row],[CUIT]],Lista_CUIT[#All],4,0)),"CUIT NO CARGADO")</f>
        <v>0</v>
      </c>
    </row>
    <row r="32" spans="2:18" x14ac:dyDescent="0.25">
      <c r="B32" s="40">
        <v>45754</v>
      </c>
      <c r="C32" s="41">
        <v>1</v>
      </c>
      <c r="D32" s="42">
        <v>6</v>
      </c>
      <c r="E32" s="43">
        <v>90417</v>
      </c>
      <c r="F32" s="44">
        <v>30711553564</v>
      </c>
      <c r="G32" s="45" t="str">
        <f>IFERROR(IF(compras_mes4[[#This Row],[CUIT]]="","-",VLOOKUP(compras_mes4[[#This Row],[CUIT]],Lista_CUIT[#All],2,0)),"CUIT NO CARGADO")</f>
        <v>SALUD TEX S.A</v>
      </c>
      <c r="H32" s="46">
        <v>120600</v>
      </c>
      <c r="I32" s="85">
        <f>IF(compras_mes4[[#This Row],[NETO GRAVADO]]="","",compras_mes4[[#This Row],[NETO GRAVADO]]*0.21)</f>
        <v>25326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145926</v>
      </c>
      <c r="Q32" s="49" t="str">
        <f>IFERROR(IF(compras_mes4[[#This Row],[CUIT]]="","-",VLOOKUP(compras_mes4[[#This Row],[CUIT]],Lista_CUIT[#All],3,0)),"CUIT NO CARGADO")</f>
        <v>INSUMO</v>
      </c>
      <c r="R32" s="49">
        <f>IFERROR(IF(compras_mes4[[#This Row],[CUIT]]="","-",VLOOKUP(compras_mes4[[#This Row],[CUIT]],Lista_CUIT[#All],4,0)),"CUIT NO CARGADO")</f>
        <v>0</v>
      </c>
    </row>
    <row r="33" spans="2:18" ht="14.45" customHeight="1" x14ac:dyDescent="0.25">
      <c r="B33" s="40">
        <v>45755</v>
      </c>
      <c r="C33" s="41">
        <v>1</v>
      </c>
      <c r="D33" s="42">
        <v>2</v>
      </c>
      <c r="E33" s="43">
        <v>529</v>
      </c>
      <c r="F33" s="44">
        <v>30711610096</v>
      </c>
      <c r="G33" s="45" t="str">
        <f>IFERROR(IF(compras_mes4[[#This Row],[CUIT]]="","-",VLOOKUP(compras_mes4[[#This Row],[CUIT]],Lista_CUIT[#All],2,0)),"CUIT NO CARGADO")</f>
        <v>46 SPEED S.A.</v>
      </c>
      <c r="H33" s="46">
        <v>454000</v>
      </c>
      <c r="I33" s="85">
        <f>IF(compras_mes4[[#This Row],[NETO GRAVADO]]="","",compras_mes4[[#This Row],[NETO GRAVADO]]*0.21)</f>
        <v>95340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549340</v>
      </c>
      <c r="Q33" s="49" t="str">
        <f>IFERROR(IF(compras_mes4[[#This Row],[CUIT]]="","-",VLOOKUP(compras_mes4[[#This Row],[CUIT]],Lista_CUIT[#All],3,0)),"CUIT NO CARGADO")</f>
        <v>Insumos</v>
      </c>
      <c r="R33" s="49">
        <f>IFERROR(IF(compras_mes4[[#This Row],[CUIT]]="","-",VLOOKUP(compras_mes4[[#This Row],[CUIT]],Lista_CUIT[#All],4,0)),"CUIT NO CARGADO")</f>
        <v>0</v>
      </c>
    </row>
    <row r="34" spans="2:18" ht="14.45" customHeight="1" x14ac:dyDescent="0.25">
      <c r="B34" s="586">
        <v>45755</v>
      </c>
      <c r="C34" s="587">
        <v>1</v>
      </c>
      <c r="D34" s="588">
        <v>4</v>
      </c>
      <c r="E34" s="589">
        <v>158</v>
      </c>
      <c r="F34" s="590">
        <v>20317488476</v>
      </c>
      <c r="G34" s="591" t="str">
        <f>IFERROR(IF(compras_mes4[[#This Row],[CUIT]]="","-",VLOOKUP(compras_mes4[[#This Row],[CUIT]],Lista_CUIT[#All],2,0)),"CUIT NO CARGADO")</f>
        <v>MIGUEL ANGEL VILLALBA</v>
      </c>
      <c r="H34" s="592">
        <v>300000</v>
      </c>
      <c r="I34" s="574">
        <f>IF(compras_mes4[[#This Row],[NETO GRAVADO]]="","",compras_mes4[[#This Row],[NETO GRAVADO]]*0.21)</f>
        <v>63000</v>
      </c>
      <c r="J34" s="574"/>
      <c r="K34" s="574"/>
      <c r="L34" s="574"/>
      <c r="M34" s="574"/>
      <c r="N34" s="574"/>
      <c r="O34" s="574"/>
      <c r="P34" s="593">
        <f>SUM(compras_mes4[[#This Row],[NETO GRAVADO]:[Otros / No Grav.]])</f>
        <v>363000</v>
      </c>
      <c r="Q34" s="562" t="s">
        <v>2515</v>
      </c>
      <c r="R34" s="562">
        <f>IFERROR(IF(compras_mes4[[#This Row],[CUIT]]="","-",VLOOKUP(compras_mes4[[#This Row],[CUIT]],Lista_CUIT[#All],4,0)),"CUIT NO CARGADO")</f>
        <v>0</v>
      </c>
    </row>
    <row r="35" spans="2:18" ht="14.45" customHeight="1" x14ac:dyDescent="0.25">
      <c r="B35" s="40">
        <v>45755</v>
      </c>
      <c r="C35" s="41">
        <v>1</v>
      </c>
      <c r="D35" s="42">
        <v>5</v>
      </c>
      <c r="E35" s="43">
        <v>1506</v>
      </c>
      <c r="F35" s="44">
        <v>27265302225</v>
      </c>
      <c r="G35" s="45" t="str">
        <f>IFERROR(IF(compras_mes4[[#This Row],[CUIT]]="","-",VLOOKUP(compras_mes4[[#This Row],[CUIT]],Lista_CUIT[#All],2,0)),"CUIT NO CARGADO")</f>
        <v>PRADO MARISOL</v>
      </c>
      <c r="H35" s="46">
        <v>3500000</v>
      </c>
      <c r="I35" s="85">
        <f>IF(compras_mes4[[#This Row],[NETO GRAVADO]]="","",compras_mes4[[#This Row],[NETO GRAVADO]]*0.21)</f>
        <v>735000</v>
      </c>
      <c r="J35" s="85"/>
      <c r="K35" s="85"/>
      <c r="L35" s="85"/>
      <c r="M35" s="85"/>
      <c r="N35" s="85"/>
      <c r="O35" s="85"/>
      <c r="P35" s="48">
        <f>SUM(compras_mes4[[#This Row],[NETO GRAVADO]:[Otros / No Grav.]])</f>
        <v>4235000</v>
      </c>
      <c r="Q35" s="49" t="str">
        <f>IFERROR(IF(compras_mes4[[#This Row],[CUIT]]="","-",VLOOKUP(compras_mes4[[#This Row],[CUIT]],Lista_CUIT[#All],3,0)),"CUIT NO CARGADO")</f>
        <v>INSUMO</v>
      </c>
      <c r="R35" s="49">
        <f>IFERROR(IF(compras_mes4[[#This Row],[CUIT]]="","-",VLOOKUP(compras_mes4[[#This Row],[CUIT]],Lista_CUIT[#All],4,0)),"CUIT NO CARGADO")</f>
        <v>0</v>
      </c>
    </row>
    <row r="36" spans="2:18" ht="14.45" customHeight="1" x14ac:dyDescent="0.25">
      <c r="B36" s="40">
        <v>45755</v>
      </c>
      <c r="C36" s="41">
        <v>1</v>
      </c>
      <c r="D36" s="42">
        <v>120</v>
      </c>
      <c r="E36" s="43">
        <v>5590</v>
      </c>
      <c r="F36" s="44">
        <v>30587197215</v>
      </c>
      <c r="G36" s="45" t="str">
        <f>IFERROR(IF(compras_mes4[[#This Row],[CUIT]]="","-",VLOOKUP(compras_mes4[[#This Row],[CUIT]],Lista_CUIT[#All],2,0)),"CUIT NO CARGADO")</f>
        <v>PANATEL SOCIEDAD ANONIMA</v>
      </c>
      <c r="H36" s="46">
        <v>95041.32</v>
      </c>
      <c r="I36" s="85">
        <f>IF(compras_mes4[[#This Row],[NETO GRAVADO]]="","",compras_mes4[[#This Row],[NETO GRAVADO]]*0.21)</f>
        <v>19958.677200000002</v>
      </c>
      <c r="J36" s="85"/>
      <c r="K36" s="85"/>
      <c r="L36" s="85"/>
      <c r="M36" s="85"/>
      <c r="N36" s="85"/>
      <c r="O36" s="85"/>
      <c r="P36" s="48">
        <f>SUM(compras_mes4[[#This Row],[NETO GRAVADO]:[Otros / No Grav.]])</f>
        <v>114999.99720000001</v>
      </c>
      <c r="Q36" s="49" t="str">
        <f>IFERROR(IF(compras_mes4[[#This Row],[CUIT]]="","-",VLOOKUP(compras_mes4[[#This Row],[CUIT]],Lista_CUIT[#All],3,0)),"CUIT NO CARGADO")</f>
        <v>SERVICIOS DE ALOJAMIENTO EN HOTELES</v>
      </c>
      <c r="R36" s="49">
        <f>IFERROR(IF(compras_mes4[[#This Row],[CUIT]]="","-",VLOOKUP(compras_mes4[[#This Row],[CUIT]],Lista_CUIT[#All],4,0)),"CUIT NO CARGADO")</f>
        <v>0</v>
      </c>
    </row>
    <row r="37" spans="2:18" ht="14.45" customHeight="1" x14ac:dyDescent="0.25">
      <c r="B37" s="40">
        <v>45756</v>
      </c>
      <c r="C37" s="41">
        <v>1</v>
      </c>
      <c r="D37" s="42">
        <v>3</v>
      </c>
      <c r="E37" s="43">
        <v>2930578</v>
      </c>
      <c r="F37" s="44">
        <v>30712019359</v>
      </c>
      <c r="G37" s="45" t="str">
        <f>IFERROR(IF(compras_mes4[[#This Row],[CUIT]]="","-",VLOOKUP(compras_mes4[[#This Row],[CUIT]],Lista_CUIT[#All],2,0)),"CUIT NO CARGADO")</f>
        <v>LINKEDSTORE ARGENTINA SRL</v>
      </c>
      <c r="H37" s="46">
        <v>14875.21</v>
      </c>
      <c r="I37" s="85">
        <f>IF(compras_mes4[[#This Row],[NETO GRAVADO]]="","",compras_mes4[[#This Row],[NETO GRAVADO]]*0.21)</f>
        <v>3123.7940999999996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17999.004099999998</v>
      </c>
      <c r="Q37" s="49" t="str">
        <f>IFERROR(IF(compras_mes4[[#This Row],[CUIT]]="","-",VLOOKUP(compras_mes4[[#This Row],[CUIT]],Lista_CUIT[#All],3,0)),"CUIT NO CARGADO")</f>
        <v>pROVEEDOR</v>
      </c>
      <c r="R37" s="49">
        <f>IFERROR(IF(compras_mes4[[#This Row],[CUIT]]="","-",VLOOKUP(compras_mes4[[#This Row],[CUIT]],Lista_CUIT[#All],4,0)),"CUIT NO CARGADO")</f>
        <v>0</v>
      </c>
    </row>
    <row r="38" spans="2:18" ht="14.45" customHeight="1" x14ac:dyDescent="0.25">
      <c r="B38" s="40">
        <v>45756</v>
      </c>
      <c r="C38" s="41">
        <v>1</v>
      </c>
      <c r="D38" s="42">
        <v>3101</v>
      </c>
      <c r="E38" s="43">
        <v>293915</v>
      </c>
      <c r="F38" s="44">
        <v>30678814357</v>
      </c>
      <c r="G38" s="45" t="str">
        <f>IFERROR(IF(compras_mes4[[#This Row],[CUIT]]="","-",VLOOKUP(compras_mes4[[#This Row],[CUIT]],Lista_CUIT[#All],2,0)),"CUIT NO CARGADO")</f>
        <v>TELEFONICA MOVILES ARG SA</v>
      </c>
      <c r="H38" s="46">
        <v>62596.17</v>
      </c>
      <c r="I38" s="85"/>
      <c r="J38" s="85">
        <f>compras_mes4[[#This Row],[NETO GRAVADO]]*27/100</f>
        <v>16900.965899999999</v>
      </c>
      <c r="K38" s="85"/>
      <c r="L38" s="85"/>
      <c r="M38" s="85"/>
      <c r="N38" s="85"/>
      <c r="O38" s="85"/>
      <c r="P38" s="48">
        <f>SUM(compras_mes4[[#This Row],[NETO GRAVADO]:[Otros / No Grav.]])</f>
        <v>79497.135899999994</v>
      </c>
      <c r="Q38" s="49" t="str">
        <f>IFERROR(IF(compras_mes4[[#This Row],[CUIT]]="","-",VLOOKUP(compras_mes4[[#This Row],[CUIT]],Lista_CUIT[#All],3,0)),"CUIT NO CARGADO")</f>
        <v>SERVICIO</v>
      </c>
      <c r="R38" s="49">
        <f>IFERROR(IF(compras_mes4[[#This Row],[CUIT]]="","-",VLOOKUP(compras_mes4[[#This Row],[CUIT]],Lista_CUIT[#All],4,0)),"CUIT NO CARGADO")</f>
        <v>0</v>
      </c>
    </row>
    <row r="39" spans="2:18" ht="14.45" customHeight="1" x14ac:dyDescent="0.25">
      <c r="B39" s="40">
        <v>45756</v>
      </c>
      <c r="C39" s="41">
        <v>1</v>
      </c>
      <c r="D39" s="42">
        <v>4</v>
      </c>
      <c r="E39" s="43">
        <v>2085</v>
      </c>
      <c r="F39" s="44">
        <v>30711707472</v>
      </c>
      <c r="G39" s="45" t="str">
        <f>IFERROR(IF(compras_mes4[[#This Row],[CUIT]]="","-",VLOOKUP(compras_mes4[[#This Row],[CUIT]],Lista_CUIT[#All],2,0)),"CUIT NO CARGADO")</f>
        <v>EXPRESO TARAGÜI  S.R.L.</v>
      </c>
      <c r="H39" s="46">
        <v>28267.56</v>
      </c>
      <c r="I39" s="85">
        <f>IF(compras_mes4[[#This Row],[NETO GRAVADO]]="","",compras_mes4[[#This Row],[NETO GRAVADO]]*0.21)</f>
        <v>5936.1876000000002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34203.747600000002</v>
      </c>
      <c r="Q39" s="49" t="str">
        <f>IFERROR(IF(compras_mes4[[#This Row],[CUIT]]="","-",VLOOKUP(compras_mes4[[#This Row],[CUIT]],Lista_CUIT[#All],3,0)),"CUIT NO CARGADO")</f>
        <v>Flete</v>
      </c>
      <c r="R39" s="49">
        <f>IFERROR(IF(compras_mes4[[#This Row],[CUIT]]="","-",VLOOKUP(compras_mes4[[#This Row],[CUIT]],Lista_CUIT[#All],4,0)),"CUIT NO CARGADO")</f>
        <v>0</v>
      </c>
    </row>
    <row r="40" spans="2:18" ht="14.45" customHeight="1" x14ac:dyDescent="0.25">
      <c r="B40" s="40">
        <v>45756</v>
      </c>
      <c r="C40" s="41">
        <v>1</v>
      </c>
      <c r="D40" s="42">
        <v>68</v>
      </c>
      <c r="E40" s="43">
        <v>18576</v>
      </c>
      <c r="F40" s="44">
        <v>30546504286</v>
      </c>
      <c r="G40" s="45" t="str">
        <f>IFERROR(IF(compras_mes4[[#This Row],[CUIT]]="","-",VLOOKUP(compras_mes4[[#This Row],[CUIT]],Lista_CUIT[#All],2,0)),"CUIT NO CARGADO")</f>
        <v>EMPRESA CENTRAL ARGENTINO S.A.</v>
      </c>
      <c r="H40" s="46">
        <v>31400</v>
      </c>
      <c r="I40" s="85">
        <f>IF(compras_mes4[[#This Row],[NETO GRAVADO]]="","",compras_mes4[[#This Row],[NETO GRAVADO]]*0.21)</f>
        <v>6594</v>
      </c>
      <c r="J40" s="85"/>
      <c r="K40" s="85"/>
      <c r="L40" s="85"/>
      <c r="M40" s="85"/>
      <c r="N40" s="85"/>
      <c r="O40" s="85"/>
      <c r="P40" s="48">
        <f>SUM(compras_mes4[[#This Row],[NETO GRAVADO]:[Otros / No Grav.]])</f>
        <v>37994</v>
      </c>
      <c r="Q40" s="49" t="str">
        <f>IFERROR(IF(compras_mes4[[#This Row],[CUIT]]="","-",VLOOKUP(compras_mes4[[#This Row],[CUIT]],Lista_CUIT[#All],3,0)),"CUIT NO CARGADO")</f>
        <v>Flete</v>
      </c>
      <c r="R40" s="49">
        <f>IFERROR(IF(compras_mes4[[#This Row],[CUIT]]="","-",VLOOKUP(compras_mes4[[#This Row],[CUIT]],Lista_CUIT[#All],4,0)),"CUIT NO CARGADO")</f>
        <v>0</v>
      </c>
    </row>
    <row r="41" spans="2:18" ht="14.45" customHeight="1" x14ac:dyDescent="0.25">
      <c r="B41" s="40">
        <v>45757</v>
      </c>
      <c r="C41" s="41">
        <v>1</v>
      </c>
      <c r="D41" s="42">
        <v>46</v>
      </c>
      <c r="E41" s="43">
        <v>1181</v>
      </c>
      <c r="F41" s="44">
        <v>30696676026</v>
      </c>
      <c r="G41" s="45" t="str">
        <f>IFERROR(IF(compras_mes4[[#This Row],[CUIT]]="","-",VLOOKUP(compras_mes4[[#This Row],[CUIT]],Lista_CUIT[#All],2,0)),"CUIT NO CARGADO")</f>
        <v>EL UNIVERSO DEL CONTROL REMOTO S.R.L.</v>
      </c>
      <c r="H41" s="46">
        <v>24793.39</v>
      </c>
      <c r="I41" s="85">
        <f>IF(compras_mes4[[#This Row],[NETO GRAVADO]]="","",compras_mes4[[#This Row],[NETO GRAVADO]]*0.21)</f>
        <v>5206.6118999999999</v>
      </c>
      <c r="J41" s="85"/>
      <c r="K41" s="85"/>
      <c r="L41" s="85"/>
      <c r="M41" s="85"/>
      <c r="N41" s="85"/>
      <c r="O41" s="211"/>
      <c r="P41" s="48">
        <f>SUM(compras_mes4[[#This Row],[NETO GRAVADO]:[Otros / No Grav.]])</f>
        <v>30000.001899999999</v>
      </c>
      <c r="Q41" s="49" t="str">
        <f>IFERROR(IF(compras_mes4[[#This Row],[CUIT]]="","-",VLOOKUP(compras_mes4[[#This Row],[CUIT]],Lista_CUIT[#All],3,0)),"CUIT NO CARGADO")</f>
        <v>Gastos Varios</v>
      </c>
      <c r="R41" s="49">
        <f>IFERROR(IF(compras_mes4[[#This Row],[CUIT]]="","-",VLOOKUP(compras_mes4[[#This Row],[CUIT]],Lista_CUIT[#All],4,0)),"CUIT NO CARGADO")</f>
        <v>0</v>
      </c>
    </row>
    <row r="42" spans="2:18" ht="14.45" customHeight="1" x14ac:dyDescent="0.25">
      <c r="B42" s="40">
        <v>45757</v>
      </c>
      <c r="C42" s="41">
        <v>1</v>
      </c>
      <c r="D42" s="42">
        <v>2</v>
      </c>
      <c r="E42" s="43">
        <v>1209</v>
      </c>
      <c r="F42" s="44">
        <v>20272865869</v>
      </c>
      <c r="G42" s="45" t="str">
        <f>IFERROR(IF(compras_mes4[[#This Row],[CUIT]]="","-",VLOOKUP(compras_mes4[[#This Row],[CUIT]],Lista_CUIT[#All],2,0)),"CUIT NO CARGADO")</f>
        <v>DI FEO MARTIN EZEQUIEL</v>
      </c>
      <c r="H42" s="46">
        <v>105249.17</v>
      </c>
      <c r="I42" s="85">
        <f>IF(compras_mes4[[#This Row],[NETO GRAVADO]]="","",compras_mes4[[#This Row],[NETO GRAVADO]]*0.21)</f>
        <v>22102.325699999998</v>
      </c>
      <c r="J42" s="85"/>
      <c r="K42" s="85"/>
      <c r="L42" s="85"/>
      <c r="M42" s="85"/>
      <c r="N42" s="85"/>
      <c r="O42" s="85"/>
      <c r="P42" s="48">
        <f>SUM(compras_mes4[[#This Row],[NETO GRAVADO]:[Otros / No Grav.]])</f>
        <v>127351.4957</v>
      </c>
      <c r="Q42" s="49" t="str">
        <f>IFERROR(IF(compras_mes4[[#This Row],[CUIT]]="","-",VLOOKUP(compras_mes4[[#This Row],[CUIT]],Lista_CUIT[#All],3,0)),"CUIT NO CARGADO")</f>
        <v>INSUMOS</v>
      </c>
      <c r="R42" s="49">
        <f>IFERROR(IF(compras_mes4[[#This Row],[CUIT]]="","-",VLOOKUP(compras_mes4[[#This Row],[CUIT]],Lista_CUIT[#All],4,0)),"CUIT NO CARGADO")</f>
        <v>0</v>
      </c>
    </row>
    <row r="43" spans="2:18" ht="14.45" customHeight="1" x14ac:dyDescent="0.25">
      <c r="B43" s="40">
        <v>45757</v>
      </c>
      <c r="C43" s="41">
        <v>1</v>
      </c>
      <c r="D43" s="42">
        <v>3</v>
      </c>
      <c r="E43" s="43">
        <v>48949</v>
      </c>
      <c r="F43" s="44">
        <v>30711454388</v>
      </c>
      <c r="G43" s="45" t="str">
        <f>IFERROR(IF(compras_mes4[[#This Row],[CUIT]]="","-",VLOOKUP(compras_mes4[[#This Row],[CUIT]],Lista_CUIT[#All],2,0)),"CUIT NO CARGADO")</f>
        <v>LIPROT S.R.L.</v>
      </c>
      <c r="H43" s="46">
        <v>206964</v>
      </c>
      <c r="I43" s="85">
        <f>IF(compras_mes4[[#This Row],[NETO GRAVADO]]="","",compras_mes4[[#This Row],[NETO GRAVADO]]*0.21)</f>
        <v>43462.439999999995</v>
      </c>
      <c r="J43" s="85"/>
      <c r="K43" s="85"/>
      <c r="L43" s="85"/>
      <c r="M43" s="85"/>
      <c r="N43" s="85"/>
      <c r="O43" s="85"/>
      <c r="P43" s="48">
        <f>SUM(compras_mes4[[#This Row],[NETO GRAVADO]:[Otros / No Grav.]])</f>
        <v>250426.44</v>
      </c>
      <c r="Q43" s="49" t="str">
        <f>IFERROR(IF(compras_mes4[[#This Row],[CUIT]]="","-",VLOOKUP(compras_mes4[[#This Row],[CUIT]],Lista_CUIT[#All],3,0)),"CUIT NO CARGADO")</f>
        <v>textil</v>
      </c>
      <c r="R43" s="49">
        <f>IFERROR(IF(compras_mes4[[#This Row],[CUIT]]="","-",VLOOKUP(compras_mes4[[#This Row],[CUIT]],Lista_CUIT[#All],4,0)),"CUIT NO CARGADO")</f>
        <v>0</v>
      </c>
    </row>
    <row r="44" spans="2:18" ht="14.45" customHeight="1" x14ac:dyDescent="0.25">
      <c r="B44" s="40">
        <v>45758</v>
      </c>
      <c r="C44" s="41">
        <v>1</v>
      </c>
      <c r="D44" s="42">
        <v>5</v>
      </c>
      <c r="E44" s="43">
        <v>1509</v>
      </c>
      <c r="F44" s="44">
        <v>27265302225</v>
      </c>
      <c r="G44" s="45" t="str">
        <f>IFERROR(IF(compras_mes4[[#This Row],[CUIT]]="","-",VLOOKUP(compras_mes4[[#This Row],[CUIT]],Lista_CUIT[#All],2,0)),"CUIT NO CARGADO")</f>
        <v>PRADO MARISOL</v>
      </c>
      <c r="H44" s="46">
        <v>2000000</v>
      </c>
      <c r="I44" s="85">
        <f>IF(compras_mes4[[#This Row],[NETO GRAVADO]]="","",compras_mes4[[#This Row],[NETO GRAVADO]]*0.21)</f>
        <v>420000</v>
      </c>
      <c r="J44" s="85"/>
      <c r="K44" s="85"/>
      <c r="L44" s="85"/>
      <c r="M44" s="85"/>
      <c r="N44" s="85"/>
      <c r="O44" s="85"/>
      <c r="P44" s="48">
        <f>SUM(compras_mes4[[#This Row],[NETO GRAVADO]:[Otros / No Grav.]])</f>
        <v>2420000</v>
      </c>
      <c r="Q44" s="49" t="str">
        <f>IFERROR(IF(compras_mes4[[#This Row],[CUIT]]="","-",VLOOKUP(compras_mes4[[#This Row],[CUIT]],Lista_CUIT[#All],3,0)),"CUIT NO CARGADO")</f>
        <v>INSUMO</v>
      </c>
      <c r="R44" s="49">
        <f>IFERROR(IF(compras_mes4[[#This Row],[CUIT]]="","-",VLOOKUP(compras_mes4[[#This Row],[CUIT]],Lista_CUIT[#All],4,0)),"CUIT NO CARGADO")</f>
        <v>0</v>
      </c>
    </row>
    <row r="45" spans="2:18" ht="14.45" customHeight="1" x14ac:dyDescent="0.25">
      <c r="B45" s="40">
        <v>45758</v>
      </c>
      <c r="C45" s="41">
        <v>1</v>
      </c>
      <c r="D45" s="42">
        <v>17</v>
      </c>
      <c r="E45" s="43">
        <v>83</v>
      </c>
      <c r="F45" s="44">
        <v>27310367813</v>
      </c>
      <c r="G45" s="45" t="str">
        <f>IFERROR(IF(compras_mes4[[#This Row],[CUIT]]="","-",VLOOKUP(compras_mes4[[#This Row],[CUIT]],Lista_CUIT[#All],2,0)),"CUIT NO CARGADO")</f>
        <v>LA BRUNA MARIA VIRGINIA</v>
      </c>
      <c r="H45" s="46">
        <v>147933.89000000001</v>
      </c>
      <c r="I45" s="85">
        <f>IF(compras_mes4[[#This Row],[NETO GRAVADO]]="","",compras_mes4[[#This Row],[NETO GRAVADO]]*0.21)</f>
        <v>31066.116900000001</v>
      </c>
      <c r="J45" s="85"/>
      <c r="K45" s="85"/>
      <c r="L45" s="85"/>
      <c r="M45" s="85"/>
      <c r="N45" s="85"/>
      <c r="O45" s="85"/>
      <c r="P45" s="48">
        <f>SUM(compras_mes4[[#This Row],[NETO GRAVADO]:[Otros / No Grav.]])</f>
        <v>179000.00690000001</v>
      </c>
      <c r="Q45" s="49" t="str">
        <f>IFERROR(IF(compras_mes4[[#This Row],[CUIT]]="","-",VLOOKUP(compras_mes4[[#This Row],[CUIT]],Lista_CUIT[#All],3,0)),"CUIT NO CARGADO")</f>
        <v>Hon. Juridicos</v>
      </c>
      <c r="R45" s="49">
        <f>IFERROR(IF(compras_mes4[[#This Row],[CUIT]]="","-",VLOOKUP(compras_mes4[[#This Row],[CUIT]],Lista_CUIT[#All],4,0)),"CUIT NO CARGADO")</f>
        <v>0</v>
      </c>
    </row>
    <row r="46" spans="2:18" ht="14.45" customHeight="1" x14ac:dyDescent="0.25">
      <c r="B46" s="40">
        <v>45758</v>
      </c>
      <c r="C46" s="41">
        <v>1</v>
      </c>
      <c r="D46" s="42">
        <v>5</v>
      </c>
      <c r="E46" s="43">
        <v>165437</v>
      </c>
      <c r="F46" s="44">
        <v>30598960093</v>
      </c>
      <c r="G46" s="45" t="str">
        <f>IFERROR(IF(compras_mes4[[#This Row],[CUIT]]="","-",VLOOKUP(compras_mes4[[#This Row],[CUIT]],Lista_CUIT[#All],2,0)),"CUIT NO CARGADO")</f>
        <v>SILVESTRIN FABRIS SRL</v>
      </c>
      <c r="H46" s="46">
        <v>497159.25</v>
      </c>
      <c r="I46" s="85">
        <f>IF(compras_mes4[[#This Row],[NETO GRAVADO]]="","",compras_mes4[[#This Row],[NETO GRAVADO]]*0.21)</f>
        <v>104403.44249999999</v>
      </c>
      <c r="J46" s="85"/>
      <c r="K46" s="85"/>
      <c r="L46" s="85"/>
      <c r="M46" s="85"/>
      <c r="N46" s="85"/>
      <c r="O46" s="85"/>
      <c r="P46" s="48">
        <f>SUM(compras_mes4[[#This Row],[NETO GRAVADO]:[Otros / No Grav.]])</f>
        <v>601562.6925</v>
      </c>
      <c r="Q46" s="49" t="str">
        <f>IFERROR(IF(compras_mes4[[#This Row],[CUIT]]="","-",VLOOKUP(compras_mes4[[#This Row],[CUIT]],Lista_CUIT[#All],3,0)),"CUIT NO CARGADO")</f>
        <v>INSUMO</v>
      </c>
      <c r="R46" s="49">
        <f>IFERROR(IF(compras_mes4[[#This Row],[CUIT]]="","-",VLOOKUP(compras_mes4[[#This Row],[CUIT]],Lista_CUIT[#All],4,0)),"CUIT NO CARGADO")</f>
        <v>0</v>
      </c>
    </row>
    <row r="47" spans="2:18" ht="14.45" customHeight="1" x14ac:dyDescent="0.25">
      <c r="B47" s="40">
        <v>45759</v>
      </c>
      <c r="C47" s="41">
        <v>1</v>
      </c>
      <c r="D47" s="42">
        <v>3</v>
      </c>
      <c r="E47" s="43">
        <v>11218</v>
      </c>
      <c r="F47" s="44">
        <v>30557281289</v>
      </c>
      <c r="G47" s="45" t="str">
        <f>IFERROR(IF(compras_mes4[[#This Row],[CUIT]]="","-",VLOOKUP(compras_mes4[[#This Row],[CUIT]],Lista_CUIT[#All],2,0)),"CUIT NO CARGADO")</f>
        <v>NAONIS SRL</v>
      </c>
      <c r="H47" s="46">
        <v>485255.22</v>
      </c>
      <c r="I47" s="85">
        <f>IF(compras_mes4[[#This Row],[NETO GRAVADO]]="","",compras_mes4[[#This Row],[NETO GRAVADO]]*0.21)</f>
        <v>101903.59619999999</v>
      </c>
      <c r="J47" s="85"/>
      <c r="K47" s="85"/>
      <c r="L47" s="85"/>
      <c r="M47" s="85"/>
      <c r="N47" s="85"/>
      <c r="O47" s="85"/>
      <c r="P47" s="48">
        <f>SUM(compras_mes4[[#This Row],[NETO GRAVADO]:[Otros / No Grav.]])</f>
        <v>587158.8162</v>
      </c>
      <c r="Q47" s="49" t="str">
        <f>IFERROR(IF(compras_mes4[[#This Row],[CUIT]]="","-",VLOOKUP(compras_mes4[[#This Row],[CUIT]],Lista_CUIT[#All],3,0)),"CUIT NO CARGADO")</f>
        <v>Insumos</v>
      </c>
      <c r="R47" s="49">
        <f>IFERROR(IF(compras_mes4[[#This Row],[CUIT]]="","-",VLOOKUP(compras_mes4[[#This Row],[CUIT]],Lista_CUIT[#All],4,0)),"CUIT NO CARGADO")</f>
        <v>0</v>
      </c>
    </row>
    <row r="48" spans="2:18" ht="14.45" customHeight="1" x14ac:dyDescent="0.25">
      <c r="B48" s="40">
        <v>45761</v>
      </c>
      <c r="C48" s="41">
        <v>1</v>
      </c>
      <c r="D48" s="42">
        <v>3</v>
      </c>
      <c r="E48" s="43">
        <v>40</v>
      </c>
      <c r="F48" s="44">
        <v>30716651165</v>
      </c>
      <c r="G48" s="45" t="str">
        <f>IFERROR(IF(compras_mes4[[#This Row],[CUIT]]="","-",VLOOKUP(compras_mes4[[#This Row],[CUIT]],Lista_CUIT[#All],2,0)),"CUIT NO CARGADO")</f>
        <v>AMTRASK</v>
      </c>
      <c r="H48" s="46">
        <v>132230.57999999999</v>
      </c>
      <c r="I48" s="85">
        <f>IF(compras_mes4[[#This Row],[NETO GRAVADO]]="","",compras_mes4[[#This Row],[NETO GRAVADO]]*0.21)</f>
        <v>27768.421799999996</v>
      </c>
      <c r="J48" s="85"/>
      <c r="K48" s="85"/>
      <c r="L48" s="85"/>
      <c r="M48" s="85"/>
      <c r="N48" s="85"/>
      <c r="O48" s="85"/>
      <c r="P48" s="48">
        <f>SUM(compras_mes4[[#This Row],[NETO GRAVADO]:[Otros / No Grav.]])</f>
        <v>159999.00179999997</v>
      </c>
      <c r="Q48" s="49" t="str">
        <f>IFERROR(IF(compras_mes4[[#This Row],[CUIT]]="","-",VLOOKUP(compras_mes4[[#This Row],[CUIT]],Lista_CUIT[#All],3,0)),"CUIT NO CARGADO")</f>
        <v>Gastos Varios</v>
      </c>
      <c r="R48" s="49">
        <f>IFERROR(IF(compras_mes4[[#This Row],[CUIT]]="","-",VLOOKUP(compras_mes4[[#This Row],[CUIT]],Lista_CUIT[#All],4,0)),"CUIT NO CARGADO")</f>
        <v>0</v>
      </c>
    </row>
    <row r="49" spans="2:18" ht="14.45" customHeight="1" x14ac:dyDescent="0.25">
      <c r="B49" s="40">
        <v>45761</v>
      </c>
      <c r="C49" s="41">
        <v>1</v>
      </c>
      <c r="D49" s="42">
        <v>11</v>
      </c>
      <c r="E49" s="43">
        <v>95936</v>
      </c>
      <c r="F49" s="44">
        <v>30526582884</v>
      </c>
      <c r="G49" s="45" t="str">
        <f>IFERROR(IF(compras_mes4[[#This Row],[CUIT]]="","-",VLOOKUP(compras_mes4[[#This Row],[CUIT]],Lista_CUIT[#All],2,0)),"CUIT NO CARGADO")</f>
        <v>EXPRESO MAR DEL PLATA S.A.</v>
      </c>
      <c r="H49" s="46">
        <v>86000</v>
      </c>
      <c r="I49" s="85">
        <f>IF(compras_mes4[[#This Row],[NETO GRAVADO]]="","",compras_mes4[[#This Row],[NETO GRAVADO]]*0.21)</f>
        <v>18060</v>
      </c>
      <c r="J49" s="85"/>
      <c r="K49" s="85"/>
      <c r="L49" s="85"/>
      <c r="M49" s="85"/>
      <c r="N49" s="85"/>
      <c r="O49" s="85"/>
      <c r="P49" s="48">
        <f>SUM(compras_mes4[[#This Row],[NETO GRAVADO]:[Otros / No Grav.]])</f>
        <v>104060</v>
      </c>
      <c r="Q49" s="49" t="str">
        <f>IFERROR(IF(compras_mes4[[#This Row],[CUIT]]="","-",VLOOKUP(compras_mes4[[#This Row],[CUIT]],Lista_CUIT[#All],3,0)),"CUIT NO CARGADO")</f>
        <v>SERVICIOS</v>
      </c>
      <c r="R49" s="49">
        <f>IFERROR(IF(compras_mes4[[#This Row],[CUIT]]="","-",VLOOKUP(compras_mes4[[#This Row],[CUIT]],Lista_CUIT[#All],4,0)),"CUIT NO CARGADO")</f>
        <v>0</v>
      </c>
    </row>
    <row r="50" spans="2:18" ht="14.45" customHeight="1" x14ac:dyDescent="0.25">
      <c r="B50" s="40">
        <v>45761</v>
      </c>
      <c r="C50" s="41">
        <v>1</v>
      </c>
      <c r="D50" s="42">
        <v>13</v>
      </c>
      <c r="E50" s="43">
        <v>15980</v>
      </c>
      <c r="F50" s="44">
        <v>23106878269</v>
      </c>
      <c r="G50" s="45" t="str">
        <f>IFERROR(IF(compras_mes4[[#This Row],[CUIT]]="","-",VLOOKUP(compras_mes4[[#This Row],[CUIT]],Lista_CUIT[#All],2,0)),"CUIT NO CARGADO")</f>
        <v xml:space="preserve">RIOS RUBEN ALBERTO </v>
      </c>
      <c r="H50" s="46">
        <v>262274.03000000003</v>
      </c>
      <c r="I50" s="85">
        <f>IF(compras_mes4[[#This Row],[NETO GRAVADO]]="","",compras_mes4[[#This Row],[NETO GRAVADO]]*0.21)</f>
        <v>55077.546300000002</v>
      </c>
      <c r="J50" s="85"/>
      <c r="K50" s="85"/>
      <c r="L50" s="85"/>
      <c r="M50" s="85"/>
      <c r="N50" s="85"/>
      <c r="O50" s="85"/>
      <c r="P50" s="48">
        <f>SUM(compras_mes4[[#This Row],[NETO GRAVADO]:[Otros / No Grav.]])</f>
        <v>317351.57630000002</v>
      </c>
      <c r="Q50" s="49" t="str">
        <f>IFERROR(IF(compras_mes4[[#This Row],[CUIT]]="","-",VLOOKUP(compras_mes4[[#This Row],[CUIT]],Lista_CUIT[#All],3,0)),"CUIT NO CARGADO")</f>
        <v>INSUMO</v>
      </c>
      <c r="R50" s="49">
        <f>IFERROR(IF(compras_mes4[[#This Row],[CUIT]]="","-",VLOOKUP(compras_mes4[[#This Row],[CUIT]],Lista_CUIT[#All],4,0)),"CUIT NO CARGADO")</f>
        <v>0</v>
      </c>
    </row>
    <row r="51" spans="2:18" ht="14.45" customHeight="1" x14ac:dyDescent="0.25">
      <c r="B51" s="40">
        <v>45761</v>
      </c>
      <c r="C51" s="41">
        <v>1</v>
      </c>
      <c r="D51" s="42">
        <v>17</v>
      </c>
      <c r="E51" s="43">
        <v>12234</v>
      </c>
      <c r="F51" s="44">
        <v>30661143610</v>
      </c>
      <c r="G51" s="45" t="str">
        <f>IFERROR(IF(compras_mes4[[#This Row],[CUIT]]="","-",VLOOKUP(compras_mes4[[#This Row],[CUIT]],Lista_CUIT[#All],2,0)),"CUIT NO CARGADO")</f>
        <v>ORTOPEDIA BERNAT SRL</v>
      </c>
      <c r="H51" s="46">
        <v>621940</v>
      </c>
      <c r="I51" s="85">
        <f>IF(compras_mes4[[#This Row],[NETO GRAVADO]]="","",compras_mes4[[#This Row],[NETO GRAVADO]]*0.21)</f>
        <v>130607.4</v>
      </c>
      <c r="J51" s="85"/>
      <c r="K51" s="85"/>
      <c r="L51" s="85"/>
      <c r="M51" s="85"/>
      <c r="N51" s="85"/>
      <c r="O51" s="85"/>
      <c r="P51" s="48">
        <f>SUM(compras_mes4[[#This Row],[NETO GRAVADO]:[Otros / No Grav.]])</f>
        <v>752547.4</v>
      </c>
      <c r="Q51" s="49" t="str">
        <f>IFERROR(IF(compras_mes4[[#This Row],[CUIT]]="","-",VLOOKUP(compras_mes4[[#This Row],[CUIT]],Lista_CUIT[#All],3,0)),"CUIT NO CARGADO")</f>
        <v>INSUMO</v>
      </c>
      <c r="R51" s="49">
        <f>IFERROR(IF(compras_mes4[[#This Row],[CUIT]]="","-",VLOOKUP(compras_mes4[[#This Row],[CUIT]],Lista_CUIT[#All],4,0)),"CUIT NO CARGADO")</f>
        <v>0</v>
      </c>
    </row>
    <row r="52" spans="2:18" ht="14.45" customHeight="1" x14ac:dyDescent="0.25">
      <c r="B52" s="40">
        <v>45761</v>
      </c>
      <c r="C52" s="41">
        <v>1</v>
      </c>
      <c r="D52" s="42">
        <v>5009</v>
      </c>
      <c r="E52" s="43">
        <v>1345646</v>
      </c>
      <c r="F52" s="44">
        <v>30574876474</v>
      </c>
      <c r="G52" s="45" t="str">
        <f>IFERROR(IF(compras_mes4[[#This Row],[CUIT]]="","-",VLOOKUP(compras_mes4[[#This Row],[CUIT]],Lista_CUIT[#All],2,0)),"CUIT NO CARGADO")</f>
        <v>AUTOP. URBANAS SA</v>
      </c>
      <c r="H52" s="46">
        <v>3801.48</v>
      </c>
      <c r="I52" s="85">
        <f>IF(compras_mes4[[#This Row],[NETO GRAVADO]]="","",compras_mes4[[#This Row],[NETO GRAVADO]]*0.21)</f>
        <v>798.31079999999997</v>
      </c>
      <c r="J52" s="85"/>
      <c r="K52" s="85"/>
      <c r="L52" s="85"/>
      <c r="M52" s="85"/>
      <c r="N52" s="85"/>
      <c r="O52" s="85"/>
      <c r="P52" s="48">
        <f>SUM(compras_mes4[[#This Row],[NETO GRAVADO]:[Otros / No Grav.]])</f>
        <v>4599.7907999999998</v>
      </c>
      <c r="Q52" s="49" t="str">
        <f>IFERROR(IF(compras_mes4[[#This Row],[CUIT]]="","-",VLOOKUP(compras_mes4[[#This Row],[CUIT]],Lista_CUIT[#All],3,0)),"CUIT NO CARGADO")</f>
        <v>PEAJE</v>
      </c>
      <c r="R52" s="49">
        <f>IFERROR(IF(compras_mes4[[#This Row],[CUIT]]="","-",VLOOKUP(compras_mes4[[#This Row],[CUIT]],Lista_CUIT[#All],4,0)),"CUIT NO CARGADO")</f>
        <v>0</v>
      </c>
    </row>
    <row r="53" spans="2:18" ht="14.45" customHeight="1" x14ac:dyDescent="0.25">
      <c r="B53" s="40">
        <v>45761</v>
      </c>
      <c r="C53" s="41">
        <v>1</v>
      </c>
      <c r="D53" s="42">
        <v>5015</v>
      </c>
      <c r="E53" s="43">
        <v>816930</v>
      </c>
      <c r="F53" s="44">
        <v>30574876474</v>
      </c>
      <c r="G53" s="45" t="str">
        <f>IFERROR(IF(compras_mes4[[#This Row],[CUIT]]="","-",VLOOKUP(compras_mes4[[#This Row],[CUIT]],Lista_CUIT[#All],2,0)),"CUIT NO CARGADO")</f>
        <v>AUTOP. URBANAS SA</v>
      </c>
      <c r="H53" s="46">
        <v>59645.2</v>
      </c>
      <c r="I53" s="85">
        <f>IF(compras_mes4[[#This Row],[NETO GRAVADO]]="","",compras_mes4[[#This Row],[NETO GRAVADO]]*0.21)</f>
        <v>12525.491999999998</v>
      </c>
      <c r="J53" s="85"/>
      <c r="K53" s="85"/>
      <c r="L53" s="85"/>
      <c r="M53" s="85"/>
      <c r="N53" s="85"/>
      <c r="O53" s="85"/>
      <c r="P53" s="48">
        <f>SUM(compras_mes4[[#This Row],[NETO GRAVADO]:[Otros / No Grav.]])</f>
        <v>72170.691999999995</v>
      </c>
      <c r="Q53" s="49" t="str">
        <f>IFERROR(IF(compras_mes4[[#This Row],[CUIT]]="","-",VLOOKUP(compras_mes4[[#This Row],[CUIT]],Lista_CUIT[#All],3,0)),"CUIT NO CARGADO")</f>
        <v>PEAJE</v>
      </c>
      <c r="R53" s="49">
        <f>IFERROR(IF(compras_mes4[[#This Row],[CUIT]]="","-",VLOOKUP(compras_mes4[[#This Row],[CUIT]],Lista_CUIT[#All],4,0)),"CUIT NO CARGADO")</f>
        <v>0</v>
      </c>
    </row>
    <row r="54" spans="2:18" ht="14.45" customHeight="1" x14ac:dyDescent="0.25">
      <c r="B54" s="40">
        <v>45761</v>
      </c>
      <c r="C54" s="41">
        <v>1</v>
      </c>
      <c r="D54" s="42">
        <v>59</v>
      </c>
      <c r="E54" s="43">
        <v>18121</v>
      </c>
      <c r="F54" s="44">
        <v>30541849307</v>
      </c>
      <c r="G54" s="45" t="str">
        <f>IFERROR(IF(compras_mes4[[#This Row],[CUIT]]="","-",VLOOKUP(compras_mes4[[#This Row],[CUIT]],Lista_CUIT[#All],2,0)),"CUIT NO CARGADO")</f>
        <v>GUILLERMO DIETRICH SA.</v>
      </c>
      <c r="H54" s="46">
        <v>372376.03</v>
      </c>
      <c r="I54" s="85">
        <f>IF(compras_mes4[[#This Row],[NETO GRAVADO]]="","",compras_mes4[[#This Row],[NETO GRAVADO]]*0.21)</f>
        <v>78198.9663</v>
      </c>
      <c r="J54" s="85"/>
      <c r="K54" s="85"/>
      <c r="L54" s="85"/>
      <c r="M54" s="85"/>
      <c r="N54" s="85"/>
      <c r="O54" s="85"/>
      <c r="P54" s="48">
        <f>SUM(compras_mes4[[#This Row],[NETO GRAVADO]:[Otros / No Grav.]])</f>
        <v>450574.9963</v>
      </c>
      <c r="Q54" s="49" t="str">
        <f>IFERROR(IF(compras_mes4[[#This Row],[CUIT]]="","-",VLOOKUP(compras_mes4[[#This Row],[CUIT]],Lista_CUIT[#All],3,0)),"CUIT NO CARGADO")</f>
        <v>INSUMO</v>
      </c>
      <c r="R54" s="49">
        <f>IFERROR(IF(compras_mes4[[#This Row],[CUIT]]="","-",VLOOKUP(compras_mes4[[#This Row],[CUIT]],Lista_CUIT[#All],4,0)),"CUIT NO CARGADO")</f>
        <v>0</v>
      </c>
    </row>
    <row r="55" spans="2:18" ht="14.45" customHeight="1" x14ac:dyDescent="0.25">
      <c r="B55" s="40">
        <v>45762</v>
      </c>
      <c r="C55" s="41">
        <v>1</v>
      </c>
      <c r="D55" s="42">
        <v>7</v>
      </c>
      <c r="E55" s="43">
        <v>33</v>
      </c>
      <c r="F55" s="44">
        <v>27325223273</v>
      </c>
      <c r="G55" s="45" t="str">
        <f>IFERROR(IF(compras_mes4[[#This Row],[CUIT]]="","-",VLOOKUP(compras_mes4[[#This Row],[CUIT]],Lista_CUIT[#All],2,0)),"CUIT NO CARGADO")</f>
        <v>SOUSA ALDERETE ALEJANDRA MABEL</v>
      </c>
      <c r="H55" s="46">
        <v>1195000</v>
      </c>
      <c r="I55" s="85">
        <f>IF(compras_mes4[[#This Row],[NETO GRAVADO]]="","",compras_mes4[[#This Row],[NETO GRAVADO]]*0.21)</f>
        <v>250950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1445950</v>
      </c>
      <c r="Q55" s="49" t="str">
        <f>IFERROR(IF(compras_mes4[[#This Row],[CUIT]]="","-",VLOOKUP(compras_mes4[[#This Row],[CUIT]],Lista_CUIT[#All],3,0)),"CUIT NO CARGADO")</f>
        <v>Insumos</v>
      </c>
      <c r="R55" s="49">
        <f>IFERROR(IF(compras_mes4[[#This Row],[CUIT]]="","-",VLOOKUP(compras_mes4[[#This Row],[CUIT]],Lista_CUIT[#All],4,0)),"CUIT NO CARGADO")</f>
        <v>0</v>
      </c>
    </row>
    <row r="56" spans="2:18" ht="14.45" customHeight="1" x14ac:dyDescent="0.25">
      <c r="B56" s="89">
        <v>45762</v>
      </c>
      <c r="C56" s="41">
        <v>1</v>
      </c>
      <c r="D56" s="90">
        <v>50</v>
      </c>
      <c r="E56" s="43">
        <v>4273839</v>
      </c>
      <c r="F56" s="92">
        <v>30714112836</v>
      </c>
      <c r="G56" s="93" t="str">
        <f>IFERROR(IF(compras_mes4[[#This Row],[CUIT]]="","-",VLOOKUP(compras_mes4[[#This Row],[CUIT]],Lista_CUIT[#All],2,0)),"CUIT NO CARGADO")</f>
        <v>AUTOPISTAS DE BUENOS AIRES (AUBASA) SA</v>
      </c>
      <c r="H56" s="94">
        <v>1437.7</v>
      </c>
      <c r="I56" s="85">
        <f>IF(compras_mes4[[#This Row],[NETO GRAVADO]]="","",compras_mes4[[#This Row],[NETO GRAVADO]]*0.21)</f>
        <v>301.91699999999997</v>
      </c>
      <c r="J56" s="86"/>
      <c r="K56" s="86"/>
      <c r="L56" s="86"/>
      <c r="M56" s="86"/>
      <c r="N56" s="86"/>
      <c r="O56" s="86"/>
      <c r="P56" s="87">
        <f>SUM(compras_mes4[[#This Row],[NETO GRAVADO]:[Otros / No Grav.]])</f>
        <v>1739.617</v>
      </c>
      <c r="Q56" s="88" t="str">
        <f>IFERROR(IF(compras_mes4[[#This Row],[CUIT]]="","-",VLOOKUP(compras_mes4[[#This Row],[CUIT]],Lista_CUIT[#All],3,0)),"CUIT NO CARGADO")</f>
        <v>Autopista</v>
      </c>
      <c r="R56" s="88">
        <f>IFERROR(IF(compras_mes4[[#This Row],[CUIT]]="","-",VLOOKUP(compras_mes4[[#This Row],[CUIT]],Lista_CUIT[#All],4,0)),"CUIT NO CARGADO")</f>
        <v>0</v>
      </c>
    </row>
    <row r="57" spans="2:18" ht="14.45" customHeight="1" x14ac:dyDescent="0.25">
      <c r="B57" s="40">
        <v>45762</v>
      </c>
      <c r="C57" s="41">
        <v>1</v>
      </c>
      <c r="D57" s="42">
        <v>113</v>
      </c>
      <c r="E57" s="43">
        <v>4177115</v>
      </c>
      <c r="F57" s="44">
        <v>30577207190</v>
      </c>
      <c r="G57" s="45" t="str">
        <f>IFERROR(IF(compras_mes4[[#This Row],[CUIT]]="","-",VLOOKUP(compras_mes4[[#This Row],[CUIT]],Lista_CUIT[#All],2,0)),"CUIT NO CARGADO")</f>
        <v>COORDINACION ECOLOGICA AREA METROPOLITANA SOCIEDAD DEL ESTADO</v>
      </c>
      <c r="H57" s="46">
        <v>3719.01</v>
      </c>
      <c r="I57" s="85">
        <f>IF(compras_mes4[[#This Row],[NETO GRAVADO]]="","",compras_mes4[[#This Row],[NETO GRAVADO]]*0.21)</f>
        <v>780.99210000000005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4500.0021000000006</v>
      </c>
      <c r="Q57" s="49" t="str">
        <f>IFERROR(IF(compras_mes4[[#This Row],[CUIT]]="","-",VLOOKUP(compras_mes4[[#This Row],[CUIT]],Lista_CUIT[#All],3,0)),"CUIT NO CARGADO")</f>
        <v>gastos varios</v>
      </c>
      <c r="R57" s="49">
        <f>IFERROR(IF(compras_mes4[[#This Row],[CUIT]]="","-",VLOOKUP(compras_mes4[[#This Row],[CUIT]],Lista_CUIT[#All],4,0)),"CUIT NO CARGADO")</f>
        <v>0</v>
      </c>
    </row>
    <row r="58" spans="2:18" ht="14.45" customHeight="1" x14ac:dyDescent="0.25">
      <c r="B58" s="40">
        <v>45763</v>
      </c>
      <c r="C58" s="41">
        <v>1</v>
      </c>
      <c r="D58" s="42">
        <v>6</v>
      </c>
      <c r="E58" s="43">
        <v>57050</v>
      </c>
      <c r="F58" s="44">
        <v>30710177658</v>
      </c>
      <c r="G58" s="45" t="str">
        <f>IFERROR(IF(compras_mes4[[#This Row],[CUIT]]="","-",VLOOKUP(compras_mes4[[#This Row],[CUIT]],Lista_CUIT[#All],2,0)),"CUIT NO CARGADO")</f>
        <v>TARGET MEDICAL SA</v>
      </c>
      <c r="H58" s="46">
        <v>103920</v>
      </c>
      <c r="I58" s="85">
        <f>IF(compras_mes4[[#This Row],[NETO GRAVADO]]="","",compras_mes4[[#This Row],[NETO GRAVADO]]*0.21)</f>
        <v>21823.200000000001</v>
      </c>
      <c r="J58" s="85"/>
      <c r="K58" s="85"/>
      <c r="L58" s="85"/>
      <c r="M58" s="85"/>
      <c r="N58" s="85"/>
      <c r="O58" s="211"/>
      <c r="P58" s="48">
        <f>SUM(compras_mes4[[#This Row],[NETO GRAVADO]:[Otros / No Grav.]])</f>
        <v>125743.2</v>
      </c>
      <c r="Q58" s="49" t="str">
        <f>IFERROR(IF(compras_mes4[[#This Row],[CUIT]]="","-",VLOOKUP(compras_mes4[[#This Row],[CUIT]],Lista_CUIT[#All],3,0)),"CUIT NO CARGADO")</f>
        <v>INSUMO</v>
      </c>
      <c r="R58" s="49">
        <f>IFERROR(IF(compras_mes4[[#This Row],[CUIT]]="","-",VLOOKUP(compras_mes4[[#This Row],[CUIT]],Lista_CUIT[#All],4,0)),"CUIT NO CARGADO")</f>
        <v>0</v>
      </c>
    </row>
    <row r="59" spans="2:18" ht="14.45" customHeight="1" x14ac:dyDescent="0.25">
      <c r="B59" s="40">
        <v>45763</v>
      </c>
      <c r="C59" s="41">
        <v>1</v>
      </c>
      <c r="D59" s="42">
        <v>1001</v>
      </c>
      <c r="E59" s="43">
        <v>6992826</v>
      </c>
      <c r="F59" s="44">
        <v>30677237119</v>
      </c>
      <c r="G59" s="45" t="str">
        <f>IFERROR(IF(compras_mes4[[#This Row],[CUIT]]="","-",VLOOKUP(compras_mes4[[#This Row],[CUIT]],Lista_CUIT[#All],2,0)),"CUIT NO CARGADO")</f>
        <v>AUTOPISTAS DEL SOL SA</v>
      </c>
      <c r="H59" s="46">
        <v>11439.81</v>
      </c>
      <c r="I59" s="85">
        <f>IF(compras_mes4[[#This Row],[NETO GRAVADO]]="","",compras_mes4[[#This Row],[NETO GRAVADO]]*0.21)</f>
        <v>2402.3600999999999</v>
      </c>
      <c r="J59" s="85"/>
      <c r="K59" s="85"/>
      <c r="L59" s="85"/>
      <c r="M59" s="85"/>
      <c r="N59" s="85"/>
      <c r="O59" s="85"/>
      <c r="P59" s="48">
        <f>SUM(compras_mes4[[#This Row],[NETO GRAVADO]:[Otros / No Grav.]])</f>
        <v>13842.170099999999</v>
      </c>
      <c r="Q59" s="49" t="str">
        <f>IFERROR(IF(compras_mes4[[#This Row],[CUIT]]="","-",VLOOKUP(compras_mes4[[#This Row],[CUIT]],Lista_CUIT[#All],3,0)),"CUIT NO CARGADO")</f>
        <v>Autopista</v>
      </c>
      <c r="R59" s="49">
        <f>IFERROR(IF(compras_mes4[[#This Row],[CUIT]]="","-",VLOOKUP(compras_mes4[[#This Row],[CUIT]],Lista_CUIT[#All],4,0)),"CUIT NO CARGADO")</f>
        <v>0</v>
      </c>
    </row>
    <row r="60" spans="2:18" ht="14.45" customHeight="1" x14ac:dyDescent="0.25">
      <c r="B60" s="40">
        <v>45763</v>
      </c>
      <c r="C60" s="41">
        <v>1</v>
      </c>
      <c r="D60" s="42">
        <v>1001</v>
      </c>
      <c r="E60" s="43">
        <v>528</v>
      </c>
      <c r="F60" s="44">
        <v>30707370552</v>
      </c>
      <c r="G60" s="45" t="str">
        <f>IFERROR(IF(compras_mes4[[#This Row],[CUIT]]="","-",VLOOKUP(compras_mes4[[#This Row],[CUIT]],Lista_CUIT[#All],2,0)),"CUIT NO CARGADO")</f>
        <v>RAKE SA</v>
      </c>
      <c r="H60" s="46">
        <v>1198760.33</v>
      </c>
      <c r="I60" s="85">
        <f>IF(compras_mes4[[#This Row],[NETO GRAVADO]]="","",compras_mes4[[#This Row],[NETO GRAVADO]]*0.21)</f>
        <v>251739.66930000001</v>
      </c>
      <c r="J60" s="85"/>
      <c r="K60" s="85"/>
      <c r="L60" s="85"/>
      <c r="M60" s="85"/>
      <c r="N60" s="85"/>
      <c r="O60" s="85"/>
      <c r="P60" s="48">
        <f>SUM(compras_mes4[[#This Row],[NETO GRAVADO]:[Otros / No Grav.]])</f>
        <v>1450499.9993</v>
      </c>
      <c r="Q60" s="49" t="str">
        <f>IFERROR(IF(compras_mes4[[#This Row],[CUIT]]="","-",VLOOKUP(compras_mes4[[#This Row],[CUIT]],Lista_CUIT[#All],3,0)),"CUIT NO CARGADO")</f>
        <v>GASTOS VARIOS</v>
      </c>
      <c r="R60" s="49">
        <f>IFERROR(IF(compras_mes4[[#This Row],[CUIT]]="","-",VLOOKUP(compras_mes4[[#This Row],[CUIT]],Lista_CUIT[#All],4,0)),"CUIT NO CARGADO")</f>
        <v>0</v>
      </c>
    </row>
    <row r="61" spans="2:18" ht="14.45" customHeight="1" x14ac:dyDescent="0.25">
      <c r="B61" s="40">
        <v>45763</v>
      </c>
      <c r="C61" s="41">
        <v>1</v>
      </c>
      <c r="D61" s="42">
        <v>1001</v>
      </c>
      <c r="E61" s="43">
        <v>530</v>
      </c>
      <c r="F61" s="44">
        <v>30707370552</v>
      </c>
      <c r="G61" s="45" t="str">
        <f>IFERROR(IF(compras_mes4[[#This Row],[CUIT]]="","-",VLOOKUP(compras_mes4[[#This Row],[CUIT]],Lista_CUIT[#All],2,0)),"CUIT NO CARGADO")</f>
        <v>RAKE SA</v>
      </c>
      <c r="H61" s="46">
        <v>1198760.33</v>
      </c>
      <c r="I61" s="85">
        <f>IF(compras_mes4[[#This Row],[NETO GRAVADO]]="","",compras_mes4[[#This Row],[NETO GRAVADO]]*0.21)</f>
        <v>251739.66930000001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1450499.9993</v>
      </c>
      <c r="Q61" s="49" t="str">
        <f>IFERROR(IF(compras_mes4[[#This Row],[CUIT]]="","-",VLOOKUP(compras_mes4[[#This Row],[CUIT]],Lista_CUIT[#All],3,0)),"CUIT NO CARGADO")</f>
        <v>GASTOS VARIOS</v>
      </c>
      <c r="R61" s="49">
        <f>IFERROR(IF(compras_mes4[[#This Row],[CUIT]]="","-",VLOOKUP(compras_mes4[[#This Row],[CUIT]],Lista_CUIT[#All],4,0)),"CUIT NO CARGADO")</f>
        <v>0</v>
      </c>
    </row>
    <row r="62" spans="2:18" ht="14.45" customHeight="1" x14ac:dyDescent="0.25">
      <c r="B62" s="40">
        <v>45763</v>
      </c>
      <c r="C62" s="41">
        <v>1</v>
      </c>
      <c r="D62" s="42">
        <v>629</v>
      </c>
      <c r="E62" s="43">
        <v>6025383</v>
      </c>
      <c r="F62" s="44">
        <v>30663498513</v>
      </c>
      <c r="G62" s="45" t="str">
        <f>IFERROR(IF(compras_mes4[[#This Row],[CUIT]]="","-",VLOOKUP(compras_mes4[[#This Row],[CUIT]],Lista_CUIT[#All],2,0)),"CUIT NO CARGADO")</f>
        <v>GRUPO CONCES. DEL OESTE SA</v>
      </c>
      <c r="H62" s="46">
        <v>1155.52</v>
      </c>
      <c r="I62" s="85">
        <f>IF(compras_mes4[[#This Row],[NETO GRAVADO]]="","",compras_mes4[[#This Row],[NETO GRAVADO]]*0.21)</f>
        <v>242.6592</v>
      </c>
      <c r="J62" s="85"/>
      <c r="K62" s="85"/>
      <c r="L62" s="85"/>
      <c r="M62" s="85"/>
      <c r="N62" s="85"/>
      <c r="O62" s="85"/>
      <c r="P62" s="48">
        <f>SUM(compras_mes4[[#This Row],[NETO GRAVADO]:[Otros / No Grav.]])</f>
        <v>1398.1792</v>
      </c>
      <c r="Q62" s="49" t="str">
        <f>IFERROR(IF(compras_mes4[[#This Row],[CUIT]]="","-",VLOOKUP(compras_mes4[[#This Row],[CUIT]],Lista_CUIT[#All],3,0)),"CUIT NO CARGADO")</f>
        <v>Autopista</v>
      </c>
      <c r="R62" s="49">
        <f>IFERROR(IF(compras_mes4[[#This Row],[CUIT]]="","-",VLOOKUP(compras_mes4[[#This Row],[CUIT]],Lista_CUIT[#All],4,0)),"CUIT NO CARGADO")</f>
        <v>0</v>
      </c>
    </row>
    <row r="63" spans="2:18" ht="14.45" customHeight="1" x14ac:dyDescent="0.25">
      <c r="B63" s="40">
        <v>45765</v>
      </c>
      <c r="C63" s="41">
        <v>1</v>
      </c>
      <c r="D63" s="42">
        <v>4264</v>
      </c>
      <c r="E63" s="43">
        <v>5335279</v>
      </c>
      <c r="F63" s="44">
        <v>30639453738</v>
      </c>
      <c r="G63" s="45" t="str">
        <f>IFERROR(IF(compras_mes4[[#This Row],[CUIT]]="","-",VLOOKUP(compras_mes4[[#This Row],[CUIT]],Lista_CUIT[#All],2,0)),"CUIT NO CARGADO")</f>
        <v>TELECOM ARGENTINA SA</v>
      </c>
      <c r="H63" s="46">
        <v>45073.97</v>
      </c>
      <c r="I63" s="85">
        <f>IF(compras_mes4[[#This Row],[NETO GRAVADO]]="","",compras_mes4[[#This Row],[NETO GRAVADO]]*0.21)</f>
        <v>9465.5337</v>
      </c>
      <c r="J63" s="85"/>
      <c r="K63" s="85"/>
      <c r="L63" s="85"/>
      <c r="M63" s="85"/>
      <c r="N63" s="85"/>
      <c r="O63" s="85"/>
      <c r="P63" s="48">
        <f>SUM(compras_mes4[[#This Row],[NETO GRAVADO]:[Otros / No Grav.]])</f>
        <v>54539.503700000001</v>
      </c>
      <c r="Q63" s="49" t="str">
        <f>IFERROR(IF(compras_mes4[[#This Row],[CUIT]]="","-",VLOOKUP(compras_mes4[[#This Row],[CUIT]],Lista_CUIT[#All],3,0)),"CUIT NO CARGADO")</f>
        <v>SERVICIO</v>
      </c>
      <c r="R63" s="49">
        <f>IFERROR(IF(compras_mes4[[#This Row],[CUIT]]="","-",VLOOKUP(compras_mes4[[#This Row],[CUIT]],Lista_CUIT[#All],4,0)),"CUIT NO CARGADO")</f>
        <v>0</v>
      </c>
    </row>
    <row r="64" spans="2:18" ht="14.45" customHeight="1" x14ac:dyDescent="0.25">
      <c r="B64" s="40">
        <v>45768</v>
      </c>
      <c r="C64" s="41">
        <v>1</v>
      </c>
      <c r="D64" s="42">
        <v>5</v>
      </c>
      <c r="E64" s="43">
        <v>165748</v>
      </c>
      <c r="F64" s="44">
        <v>30598960093</v>
      </c>
      <c r="G64" s="45" t="str">
        <f>IFERROR(IF(compras_mes4[[#This Row],[CUIT]]="","-",VLOOKUP(compras_mes4[[#This Row],[CUIT]],Lista_CUIT[#All],2,0)),"CUIT NO CARGADO")</f>
        <v>SILVESTRIN FABRIS SRL</v>
      </c>
      <c r="H64" s="46">
        <v>2631062.4</v>
      </c>
      <c r="I64" s="85">
        <v>64162.23</v>
      </c>
      <c r="J64" s="85"/>
      <c r="K64" s="85">
        <v>244180.44</v>
      </c>
      <c r="L64" s="85"/>
      <c r="M64" s="85"/>
      <c r="N64" s="85">
        <v>105242.5</v>
      </c>
      <c r="O64" s="85"/>
      <c r="P64" s="48">
        <f>SUM(compras_mes4[[#This Row],[NETO GRAVADO]:[Otros / No Grav.]])</f>
        <v>3044647.57</v>
      </c>
      <c r="Q64" s="49" t="str">
        <f>IFERROR(IF(compras_mes4[[#This Row],[CUIT]]="","-",VLOOKUP(compras_mes4[[#This Row],[CUIT]],Lista_CUIT[#All],3,0)),"CUIT NO CARGADO")</f>
        <v>INSUMO</v>
      </c>
      <c r="R64" s="49">
        <f>IFERROR(IF(compras_mes4[[#This Row],[CUIT]]="","-",VLOOKUP(compras_mes4[[#This Row],[CUIT]],Lista_CUIT[#All],4,0)),"CUIT NO CARGADO")</f>
        <v>0</v>
      </c>
    </row>
    <row r="65" spans="2:18" s="56" customFormat="1" ht="18.600000000000001" customHeight="1" x14ac:dyDescent="0.25">
      <c r="B65" s="40">
        <v>45768</v>
      </c>
      <c r="C65" s="41">
        <v>1</v>
      </c>
      <c r="D65" s="42">
        <v>17</v>
      </c>
      <c r="E65" s="43">
        <v>12252</v>
      </c>
      <c r="F65" s="44">
        <v>30661143610</v>
      </c>
      <c r="G65" s="45" t="str">
        <f>IFERROR(IF(compras_mes4[[#This Row],[CUIT]]="","-",VLOOKUP(compras_mes4[[#This Row],[CUIT]],Lista_CUIT[#All],2,0)),"CUIT NO CARGADO")</f>
        <v>ORTOPEDIA BERNAT SRL</v>
      </c>
      <c r="H65" s="46">
        <v>677300.8</v>
      </c>
      <c r="I65" s="85">
        <f>IF(compras_mes4[[#This Row],[NETO GRAVADO]]="","",compras_mes4[[#This Row],[NETO GRAVADO]]*0.21)</f>
        <v>142233.16800000001</v>
      </c>
      <c r="J65" s="85"/>
      <c r="K65" s="85"/>
      <c r="L65" s="85"/>
      <c r="M65" s="85"/>
      <c r="N65" s="85"/>
      <c r="O65" s="85"/>
      <c r="P65" s="48">
        <f>SUM(compras_mes4[[#This Row],[NETO GRAVADO]:[Otros / No Grav.]])</f>
        <v>819533.96800000011</v>
      </c>
      <c r="Q65" s="49" t="str">
        <f>IFERROR(IF(compras_mes4[[#This Row],[CUIT]]="","-",VLOOKUP(compras_mes4[[#This Row],[CUIT]],Lista_CUIT[#All],3,0)),"CUIT NO CARGADO")</f>
        <v>INSUMO</v>
      </c>
      <c r="R65" s="49">
        <f>IFERROR(IF(compras_mes4[[#This Row],[CUIT]]="","-",VLOOKUP(compras_mes4[[#This Row],[CUIT]],Lista_CUIT[#All],4,0)),"CUIT NO CARGADO")</f>
        <v>0</v>
      </c>
    </row>
    <row r="66" spans="2:18" ht="14.45" customHeight="1" x14ac:dyDescent="0.25">
      <c r="B66" s="40">
        <v>45768</v>
      </c>
      <c r="C66" s="41">
        <v>1</v>
      </c>
      <c r="D66" s="42">
        <v>6</v>
      </c>
      <c r="E66" s="43">
        <v>1884</v>
      </c>
      <c r="F66" s="44">
        <v>30716815710</v>
      </c>
      <c r="G66" s="45" t="str">
        <f>IFERROR(IF(compras_mes4[[#This Row],[CUIT]]="","-",VLOOKUP(compras_mes4[[#This Row],[CUIT]],Lista_CUIT[#All],2,0)),"CUIT NO CARGADO")</f>
        <v>PAPELERA GEOPEL SRL</v>
      </c>
      <c r="H66" s="46">
        <v>16400</v>
      </c>
      <c r="I66" s="85">
        <f>IF(compras_mes4[[#This Row],[NETO GRAVADO]]="","",compras_mes4[[#This Row],[NETO GRAVADO]]*0.21)</f>
        <v>3444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19844</v>
      </c>
      <c r="Q66" s="49" t="str">
        <f>IFERROR(IF(compras_mes4[[#This Row],[CUIT]]="","-",VLOOKUP(compras_mes4[[#This Row],[CUIT]],Lista_CUIT[#All],3,0)),"CUIT NO CARGADO")</f>
        <v>librería</v>
      </c>
      <c r="R66" s="49">
        <f>IFERROR(IF(compras_mes4[[#This Row],[CUIT]]="","-",VLOOKUP(compras_mes4[[#This Row],[CUIT]],Lista_CUIT[#All],4,0)),"CUIT NO CARGADO")</f>
        <v>0</v>
      </c>
    </row>
    <row r="67" spans="2:18" ht="14.45" customHeight="1" x14ac:dyDescent="0.25">
      <c r="B67" s="40">
        <v>45769</v>
      </c>
      <c r="C67" s="41">
        <v>1</v>
      </c>
      <c r="D67" s="42">
        <v>2</v>
      </c>
      <c r="E67" s="43">
        <v>11884</v>
      </c>
      <c r="F67" s="44">
        <v>30714331082</v>
      </c>
      <c r="G67" s="45" t="str">
        <f>IFERROR(IF(compras_mes4[[#This Row],[CUIT]]="","-",VLOOKUP(compras_mes4[[#This Row],[CUIT]],Lista_CUIT[#All],2,0)),"CUIT NO CARGADO")</f>
        <v>ORTOPEDIA CASA ESCALADA SRL</v>
      </c>
      <c r="H67" s="46">
        <v>1395074.35</v>
      </c>
      <c r="I67" s="85">
        <f>IF(compras_mes4[[#This Row],[NETO GRAVADO]]="","",compras_mes4[[#This Row],[NETO GRAVADO]]*0.21)</f>
        <v>292965.61350000004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1688039.9635000001</v>
      </c>
      <c r="Q67" s="49" t="str">
        <f>IFERROR(IF(compras_mes4[[#This Row],[CUIT]]="","-",VLOOKUP(compras_mes4[[#This Row],[CUIT]],Lista_CUIT[#All],3,0)),"CUIT NO CARGADO")</f>
        <v>INSUMO</v>
      </c>
      <c r="R67" s="49">
        <f>IFERROR(IF(compras_mes4[[#This Row],[CUIT]]="","-",VLOOKUP(compras_mes4[[#This Row],[CUIT]],Lista_CUIT[#All],4,0)),"CUIT NO CARGADO")</f>
        <v>0</v>
      </c>
    </row>
    <row r="68" spans="2:18" ht="14.45" customHeight="1" x14ac:dyDescent="0.25">
      <c r="B68" s="40">
        <v>45769</v>
      </c>
      <c r="C68" s="41">
        <v>1</v>
      </c>
      <c r="D68" s="42">
        <v>2</v>
      </c>
      <c r="E68" s="43">
        <v>11885</v>
      </c>
      <c r="F68" s="44">
        <v>30714331082</v>
      </c>
      <c r="G68" s="45" t="str">
        <f>IFERROR(IF(compras_mes4[[#This Row],[CUIT]]="","-",VLOOKUP(compras_mes4[[#This Row],[CUIT]],Lista_CUIT[#All],2,0)),"CUIT NO CARGADO")</f>
        <v>ORTOPEDIA CASA ESCALADA SRL</v>
      </c>
      <c r="H68" s="46">
        <v>1395074.35</v>
      </c>
      <c r="I68" s="85">
        <f>IF(compras_mes4[[#This Row],[NETO GRAVADO]]="","",compras_mes4[[#This Row],[NETO GRAVADO]]*0.21)</f>
        <v>292965.61350000004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1688039.9635000001</v>
      </c>
      <c r="Q68" s="49" t="str">
        <f>IFERROR(IF(compras_mes4[[#This Row],[CUIT]]="","-",VLOOKUP(compras_mes4[[#This Row],[CUIT]],Lista_CUIT[#All],3,0)),"CUIT NO CARGADO")</f>
        <v>INSUMO</v>
      </c>
      <c r="R68" s="49">
        <f>IFERROR(IF(compras_mes4[[#This Row],[CUIT]]="","-",VLOOKUP(compras_mes4[[#This Row],[CUIT]],Lista_CUIT[#All],4,0)),"CUIT NO CARGADO")</f>
        <v>0</v>
      </c>
    </row>
    <row r="69" spans="2:18" ht="14.45" customHeight="1" x14ac:dyDescent="0.25">
      <c r="B69" s="40">
        <v>45769</v>
      </c>
      <c r="C69" s="41">
        <v>1</v>
      </c>
      <c r="D69" s="42">
        <v>6</v>
      </c>
      <c r="E69" s="43">
        <v>57138</v>
      </c>
      <c r="F69" s="44">
        <v>30710177658</v>
      </c>
      <c r="G69" s="45" t="str">
        <f>IFERROR(IF(compras_mes4[[#This Row],[CUIT]]="","-",VLOOKUP(compras_mes4[[#This Row],[CUIT]],Lista_CUIT[#All],2,0)),"CUIT NO CARGADO")</f>
        <v>TARGET MEDICAL SA</v>
      </c>
      <c r="H69" s="46">
        <v>103630</v>
      </c>
      <c r="I69" s="85">
        <f>IF(compras_mes4[[#This Row],[NETO GRAVADO]]="","",compras_mes4[[#This Row],[NETO GRAVADO]]*0.21)</f>
        <v>21762.3</v>
      </c>
      <c r="J69" s="85"/>
      <c r="K69" s="85"/>
      <c r="L69" s="85"/>
      <c r="M69" s="85"/>
      <c r="N69" s="85"/>
      <c r="O69" s="85"/>
      <c r="P69" s="48">
        <f>SUM(compras_mes4[[#This Row],[NETO GRAVADO]:[Otros / No Grav.]])</f>
        <v>125392.3</v>
      </c>
      <c r="Q69" s="49" t="str">
        <f>IFERROR(IF(compras_mes4[[#This Row],[CUIT]]="","-",VLOOKUP(compras_mes4[[#This Row],[CUIT]],Lista_CUIT[#All],3,0)),"CUIT NO CARGADO")</f>
        <v>INSUMO</v>
      </c>
      <c r="R69" s="49">
        <f>IFERROR(IF(compras_mes4[[#This Row],[CUIT]]="","-",VLOOKUP(compras_mes4[[#This Row],[CUIT]],Lista_CUIT[#All],4,0)),"CUIT NO CARGADO")</f>
        <v>0</v>
      </c>
    </row>
    <row r="70" spans="2:18" ht="14.45" customHeight="1" x14ac:dyDescent="0.25">
      <c r="B70" s="40">
        <v>45769</v>
      </c>
      <c r="C70" s="41">
        <v>1</v>
      </c>
      <c r="D70" s="42">
        <v>8</v>
      </c>
      <c r="E70" s="43">
        <v>395</v>
      </c>
      <c r="F70" s="44">
        <v>30643518364</v>
      </c>
      <c r="G70" s="45" t="str">
        <f>IFERROR(IF(compras_mes4[[#This Row],[CUIT]]="","-",VLOOKUP(compras_mes4[[#This Row],[CUIT]],Lista_CUIT[#All],2,0)),"CUIT NO CARGADO")</f>
        <v>FARMACIA DE MEDRANO SCS</v>
      </c>
      <c r="H70" s="46">
        <v>221800</v>
      </c>
      <c r="I70" s="85">
        <f>IF(compras_mes4[[#This Row],[NETO GRAVADO]]="","",compras_mes4[[#This Row],[NETO GRAVADO]]*0.21)</f>
        <v>46578</v>
      </c>
      <c r="J70" s="85"/>
      <c r="K70" s="85"/>
      <c r="L70" s="85"/>
      <c r="M70" s="85"/>
      <c r="N70" s="85"/>
      <c r="O70" s="211"/>
      <c r="P70" s="48">
        <f>SUM(compras_mes4[[#This Row],[NETO GRAVADO]:[Otros / No Grav.]])</f>
        <v>268378</v>
      </c>
      <c r="Q70" s="49" t="str">
        <f>IFERROR(IF(compras_mes4[[#This Row],[CUIT]]="","-",VLOOKUP(compras_mes4[[#This Row],[CUIT]],Lista_CUIT[#All],3,0)),"CUIT NO CARGADO")</f>
        <v>INSUMO</v>
      </c>
      <c r="R70" s="49">
        <f>IFERROR(IF(compras_mes4[[#This Row],[CUIT]]="","-",VLOOKUP(compras_mes4[[#This Row],[CUIT]],Lista_CUIT[#All],4,0)),"CUIT NO CARGADO")</f>
        <v>0</v>
      </c>
    </row>
    <row r="71" spans="2:18" ht="14.45" customHeight="1" x14ac:dyDescent="0.25">
      <c r="B71" s="40">
        <v>45769</v>
      </c>
      <c r="C71" s="41">
        <v>1</v>
      </c>
      <c r="D71" s="42">
        <v>700</v>
      </c>
      <c r="E71" s="43">
        <v>2405994</v>
      </c>
      <c r="F71" s="44">
        <v>30715804812</v>
      </c>
      <c r="G71" s="45" t="str">
        <f>IFERROR(IF(compras_mes4[[#This Row],[CUIT]]="","-",VLOOKUP(compras_mes4[[#This Row],[CUIT]],Lista_CUIT[#All],2,0)),"CUIT NO CARGADO")</f>
        <v>CORREDORES VIALES SOCIEDAD ANONIMA</v>
      </c>
      <c r="H71" s="46">
        <v>16431.72</v>
      </c>
      <c r="I71" s="85">
        <f>IF(compras_mes4[[#This Row],[NETO GRAVADO]]="","",compras_mes4[[#This Row],[NETO GRAVADO]]*0.21)</f>
        <v>3450.6612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19882.3812</v>
      </c>
      <c r="Q71" s="49" t="str">
        <f>IFERROR(IF(compras_mes4[[#This Row],[CUIT]]="","-",VLOOKUP(compras_mes4[[#This Row],[CUIT]],Lista_CUIT[#All],3,0)),"CUIT NO CARGADO")</f>
        <v>Autopista</v>
      </c>
      <c r="R71" s="49">
        <f>IFERROR(IF(compras_mes4[[#This Row],[CUIT]]="","-",VLOOKUP(compras_mes4[[#This Row],[CUIT]],Lista_CUIT[#All],4,0)),"CUIT NO CARGADO")</f>
        <v>0</v>
      </c>
    </row>
    <row r="72" spans="2:18" ht="14.45" customHeight="1" x14ac:dyDescent="0.25">
      <c r="B72" s="40">
        <v>45769</v>
      </c>
      <c r="C72" s="41">
        <v>1</v>
      </c>
      <c r="D72" s="42">
        <v>700</v>
      </c>
      <c r="E72" s="43">
        <v>2405995</v>
      </c>
      <c r="F72" s="44">
        <v>30715804812</v>
      </c>
      <c r="G72" s="45" t="str">
        <f>IFERROR(IF(compras_mes4[[#This Row],[CUIT]]="","-",VLOOKUP(compras_mes4[[#This Row],[CUIT]],Lista_CUIT[#All],2,0)),"CUIT NO CARGADO")</f>
        <v>CORREDORES VIALES SOCIEDAD ANONIMA</v>
      </c>
      <c r="H72" s="46">
        <v>1663.97</v>
      </c>
      <c r="I72" s="85">
        <f>IF(compras_mes4[[#This Row],[NETO GRAVADO]]="","",compras_mes4[[#This Row],[NETO GRAVADO]]*0.21)</f>
        <v>349.43369999999999</v>
      </c>
      <c r="J72" s="85"/>
      <c r="K72" s="85"/>
      <c r="L72" s="85"/>
      <c r="M72" s="85"/>
      <c r="N72" s="85"/>
      <c r="O72" s="85"/>
      <c r="P72" s="48">
        <f>SUM(compras_mes4[[#This Row],[NETO GRAVADO]:[Otros / No Grav.]])</f>
        <v>2013.4037000000001</v>
      </c>
      <c r="Q72" s="49" t="str">
        <f>IFERROR(IF(compras_mes4[[#This Row],[CUIT]]="","-",VLOOKUP(compras_mes4[[#This Row],[CUIT]],Lista_CUIT[#All],3,0)),"CUIT NO CARGADO")</f>
        <v>Autopista</v>
      </c>
      <c r="R72" s="49">
        <f>IFERROR(IF(compras_mes4[[#This Row],[CUIT]]="","-",VLOOKUP(compras_mes4[[#This Row],[CUIT]],Lista_CUIT[#All],4,0)),"CUIT NO CARGADO")</f>
        <v>0</v>
      </c>
    </row>
    <row r="73" spans="2:18" ht="14.45" customHeight="1" x14ac:dyDescent="0.25">
      <c r="B73" s="40">
        <v>45769</v>
      </c>
      <c r="C73" s="41">
        <v>1</v>
      </c>
      <c r="D73" s="42">
        <v>8</v>
      </c>
      <c r="E73" s="43">
        <v>14813</v>
      </c>
      <c r="F73" s="44">
        <v>33715594949</v>
      </c>
      <c r="G73" s="45" t="str">
        <f>IFERROR(IF(compras_mes4[[#This Row],[CUIT]]="","-",VLOOKUP(compras_mes4[[#This Row],[CUIT]],Lista_CUIT[#All],2,0)),"CUIT NO CARGADO")</f>
        <v>SOMOS ENERGIA SA</v>
      </c>
      <c r="H73" s="46">
        <v>37074.449999999997</v>
      </c>
      <c r="I73" s="85">
        <f>IF(compras_mes4[[#This Row],[NETO GRAVADO]]="","",compras_mes4[[#This Row],[NETO GRAVADO]]*0.21)</f>
        <v>7785.6344999999992</v>
      </c>
      <c r="J73" s="85"/>
      <c r="K73" s="85"/>
      <c r="L73" s="85"/>
      <c r="M73" s="85"/>
      <c r="N73" s="85"/>
      <c r="O73" s="85"/>
      <c r="P73" s="48">
        <f>SUM(compras_mes4[[#This Row],[NETO GRAVADO]:[Otros / No Grav.]])</f>
        <v>44860.084499999997</v>
      </c>
      <c r="Q73" s="49" t="str">
        <f>IFERROR(IF(compras_mes4[[#This Row],[CUIT]]="","-",VLOOKUP(compras_mes4[[#This Row],[CUIT]],Lista_CUIT[#All],3,0)),"CUIT NO CARGADO")</f>
        <v>COMBUSTIBLE</v>
      </c>
      <c r="R73" s="49">
        <f>IFERROR(IF(compras_mes4[[#This Row],[CUIT]]="","-",VLOOKUP(compras_mes4[[#This Row],[CUIT]],Lista_CUIT[#All],4,0)),"CUIT NO CARGADO")</f>
        <v>0</v>
      </c>
    </row>
    <row r="74" spans="2:18" ht="14.45" customHeight="1" x14ac:dyDescent="0.25">
      <c r="B74" s="40">
        <v>45770</v>
      </c>
      <c r="C74" s="41">
        <v>1</v>
      </c>
      <c r="D74" s="42">
        <v>6</v>
      </c>
      <c r="E74" s="43">
        <v>57161</v>
      </c>
      <c r="F74" s="44">
        <v>30710177658</v>
      </c>
      <c r="G74" s="45" t="str">
        <f>IFERROR(IF(compras_mes4[[#This Row],[CUIT]]="","-",VLOOKUP(compras_mes4[[#This Row],[CUIT]],Lista_CUIT[#All],2,0)),"CUIT NO CARGADO")</f>
        <v>TARGET MEDICAL SA</v>
      </c>
      <c r="H74" s="46">
        <v>2312455.4700000002</v>
      </c>
      <c r="I74" s="85"/>
      <c r="J74" s="85"/>
      <c r="K74" s="85">
        <f>compras_mes4[[#This Row],[NETO GRAVADO]]*10.5/100</f>
        <v>242807.82435000001</v>
      </c>
      <c r="L74" s="85"/>
      <c r="M74" s="85"/>
      <c r="N74" s="85"/>
      <c r="O74" s="85"/>
      <c r="P74" s="48">
        <f>SUM(compras_mes4[[#This Row],[NETO GRAVADO]:[Otros / No Grav.]])</f>
        <v>2555263.2943500001</v>
      </c>
      <c r="Q74" s="49" t="str">
        <f>IFERROR(IF(compras_mes4[[#This Row],[CUIT]]="","-",VLOOKUP(compras_mes4[[#This Row],[CUIT]],Lista_CUIT[#All],3,0)),"CUIT NO CARGADO")</f>
        <v>INSUMO</v>
      </c>
      <c r="R74" s="49">
        <f>IFERROR(IF(compras_mes4[[#This Row],[CUIT]]="","-",VLOOKUP(compras_mes4[[#This Row],[CUIT]],Lista_CUIT[#All],4,0)),"CUIT NO CARGADO")</f>
        <v>0</v>
      </c>
    </row>
    <row r="75" spans="2:18" ht="14.45" customHeight="1" x14ac:dyDescent="0.25">
      <c r="B75" s="40">
        <v>45770</v>
      </c>
      <c r="C75" s="41">
        <v>1</v>
      </c>
      <c r="D75" s="42">
        <v>7</v>
      </c>
      <c r="E75" s="43">
        <v>1548</v>
      </c>
      <c r="F75" s="44">
        <v>30712187316</v>
      </c>
      <c r="G75" s="45" t="str">
        <f>IFERROR(IF(compras_mes4[[#This Row],[CUIT]]="","-",VLOOKUP(compras_mes4[[#This Row],[CUIT]],Lista_CUIT[#All],2,0)),"CUIT NO CARGADO")</f>
        <v>ITALOMED PRODUCTOS SRL</v>
      </c>
      <c r="H75" s="46">
        <f>132.79*1160</f>
        <v>154036.4</v>
      </c>
      <c r="I75" s="85">
        <f>27.89*1160</f>
        <v>32352.400000000001</v>
      </c>
      <c r="J75" s="85"/>
      <c r="K75" s="85"/>
      <c r="L75" s="85"/>
      <c r="M75" s="85"/>
      <c r="N75" s="85"/>
      <c r="O75" s="85"/>
      <c r="P75" s="48">
        <f>SUM(compras_mes4[[#This Row],[NETO GRAVADO]:[Otros / No Grav.]])</f>
        <v>186388.8</v>
      </c>
      <c r="Q75" s="49" t="str">
        <f>IFERROR(IF(compras_mes4[[#This Row],[CUIT]]="","-",VLOOKUP(compras_mes4[[#This Row],[CUIT]],Lista_CUIT[#All],3,0)),"CUIT NO CARGADO")</f>
        <v>INSUMO</v>
      </c>
      <c r="R75" s="49">
        <f>IFERROR(IF(compras_mes4[[#This Row],[CUIT]]="","-",VLOOKUP(compras_mes4[[#This Row],[CUIT]],Lista_CUIT[#All],4,0)),"CUIT NO CARGADO")</f>
        <v>0</v>
      </c>
    </row>
    <row r="76" spans="2:18" ht="14.45" customHeight="1" x14ac:dyDescent="0.25">
      <c r="B76" s="40">
        <v>45770</v>
      </c>
      <c r="C76" s="41">
        <v>1</v>
      </c>
      <c r="D76" s="42">
        <v>43</v>
      </c>
      <c r="E76" s="43">
        <v>1060</v>
      </c>
      <c r="F76" s="44">
        <v>30516199292</v>
      </c>
      <c r="G76" s="45" t="str">
        <f>IFERROR(IF(compras_mes4[[#This Row],[CUIT]]="","-",VLOOKUP(compras_mes4[[#This Row],[CUIT]],Lista_CUIT[#All],2,0)),"CUIT NO CARGADO")</f>
        <v>S V A SACIFI</v>
      </c>
      <c r="H76" s="46">
        <v>292495.86</v>
      </c>
      <c r="I76" s="85">
        <f>IF(compras_mes4[[#This Row],[NETO GRAVADO]]="","",compras_mes4[[#This Row],[NETO GRAVADO]]*0.21)</f>
        <v>61424.130599999997</v>
      </c>
      <c r="J76" s="85"/>
      <c r="K76" s="85"/>
      <c r="L76" s="85"/>
      <c r="M76" s="85"/>
      <c r="N76" s="85"/>
      <c r="O76" s="85"/>
      <c r="P76" s="48">
        <f>SUM(compras_mes4[[#This Row],[NETO GRAVADO]:[Otros / No Grav.]])</f>
        <v>353919.99059999996</v>
      </c>
      <c r="Q76" s="49" t="str">
        <f>IFERROR(IF(compras_mes4[[#This Row],[CUIT]]="","-",VLOOKUP(compras_mes4[[#This Row],[CUIT]],Lista_CUIT[#All],3,0)),"CUIT NO CARGADO")</f>
        <v>Mantenimiento</v>
      </c>
      <c r="R76" s="49">
        <f>IFERROR(IF(compras_mes4[[#This Row],[CUIT]]="","-",VLOOKUP(compras_mes4[[#This Row],[CUIT]],Lista_CUIT[#All],4,0)),"CUIT NO CARGADO")</f>
        <v>0</v>
      </c>
    </row>
    <row r="77" spans="2:18" ht="14.45" customHeight="1" x14ac:dyDescent="0.25">
      <c r="B77" s="465">
        <v>45770</v>
      </c>
      <c r="C77" s="41">
        <v>1</v>
      </c>
      <c r="D77" s="466">
        <v>2</v>
      </c>
      <c r="E77" s="43">
        <v>36</v>
      </c>
      <c r="F77" s="467">
        <v>27243660535</v>
      </c>
      <c r="G77" s="468" t="str">
        <f>IFERROR(IF(compras_mes4[[#This Row],[CUIT]]="","-",VLOOKUP(compras_mes4[[#This Row],[CUIT]],Lista_CUIT[#All],2,0)),"CUIT NO CARGADO")</f>
        <v>BARD MARISA SILVIA</v>
      </c>
      <c r="H77" s="469">
        <v>414537</v>
      </c>
      <c r="I77" s="464">
        <f>IF(compras_mes4[[#This Row],[NETO GRAVADO]]="","",compras_mes4[[#This Row],[NETO GRAVADO]]*0.21)</f>
        <v>87052.76999999999</v>
      </c>
      <c r="J77" s="464"/>
      <c r="K77" s="464"/>
      <c r="L77" s="464"/>
      <c r="M77" s="464"/>
      <c r="N77" s="464"/>
      <c r="O77" s="464"/>
      <c r="P77" s="470">
        <f>SUM(compras_mes4[[#This Row],[NETO GRAVADO]:[Otros / No Grav.]])</f>
        <v>501589.77</v>
      </c>
      <c r="Q77" s="471" t="str">
        <f>IFERROR(IF(compras_mes4[[#This Row],[CUIT]]="","-",VLOOKUP(compras_mes4[[#This Row],[CUIT]],Lista_CUIT[#All],3,0)),"CUIT NO CARGADO")</f>
        <v>Insumos</v>
      </c>
      <c r="R77" s="471">
        <f>IFERROR(IF(compras_mes4[[#This Row],[CUIT]]="","-",VLOOKUP(compras_mes4[[#This Row],[CUIT]],Lista_CUIT[#All],4,0)),"CUIT NO CARGADO")</f>
        <v>0</v>
      </c>
    </row>
    <row r="78" spans="2:18" ht="14.45" customHeight="1" x14ac:dyDescent="0.25">
      <c r="B78" s="40">
        <v>45770</v>
      </c>
      <c r="C78" s="41">
        <v>1</v>
      </c>
      <c r="D78" s="42">
        <v>5</v>
      </c>
      <c r="E78" s="43">
        <v>45</v>
      </c>
      <c r="F78" s="44">
        <v>20929183143</v>
      </c>
      <c r="G78" s="45" t="str">
        <f>IFERROR(IF(compras_mes4[[#This Row],[CUIT]]="","-",VLOOKUP(compras_mes4[[#This Row],[CUIT]],Lista_CUIT[#All],2,0)),"CUIT NO CARGADO")</f>
        <v>MA JUN</v>
      </c>
      <c r="H78" s="46">
        <v>85000</v>
      </c>
      <c r="I78" s="85">
        <f>IF(compras_mes4[[#This Row],[NETO GRAVADO]]="","",compras_mes4[[#This Row],[NETO GRAVADO]]*0.21)</f>
        <v>17850</v>
      </c>
      <c r="J78" s="85"/>
      <c r="K78" s="85"/>
      <c r="L78" s="85"/>
      <c r="M78" s="85"/>
      <c r="N78" s="85"/>
      <c r="O78" s="85"/>
      <c r="P78" s="48">
        <f>SUM(compras_mes4[[#This Row],[NETO GRAVADO]:[Otros / No Grav.]])</f>
        <v>102850</v>
      </c>
      <c r="Q78" s="49" t="str">
        <f>IFERROR(IF(compras_mes4[[#This Row],[CUIT]]="","-",VLOOKUP(compras_mes4[[#This Row],[CUIT]],Lista_CUIT[#All],3,0)),"CUIT NO CARGADO")</f>
        <v>Gastos Varios</v>
      </c>
      <c r="R78" s="49">
        <f>IFERROR(IF(compras_mes4[[#This Row],[CUIT]]="","-",VLOOKUP(compras_mes4[[#This Row],[CUIT]],Lista_CUIT[#All],4,0)),"CUIT NO CARGADO")</f>
        <v>0</v>
      </c>
    </row>
    <row r="79" spans="2:18" ht="14.45" customHeight="1" x14ac:dyDescent="0.25">
      <c r="B79" s="40">
        <v>45771</v>
      </c>
      <c r="C79" s="41">
        <v>1</v>
      </c>
      <c r="D79" s="42">
        <v>7</v>
      </c>
      <c r="E79" s="43">
        <v>3842</v>
      </c>
      <c r="F79" s="44">
        <v>20284183534</v>
      </c>
      <c r="G79" s="45" t="str">
        <f>IFERROR(IF(compras_mes4[[#This Row],[CUIT]]="","-",VLOOKUP(compras_mes4[[#This Row],[CUIT]],Lista_CUIT[#All],2,0)),"CUIT NO CARGADO")</f>
        <v>FURLANETTO MARTIN</v>
      </c>
      <c r="H79" s="46">
        <v>8181.79</v>
      </c>
      <c r="I79" s="85">
        <f>IF(compras_mes4[[#This Row],[NETO GRAVADO]]="","",compras_mes4[[#This Row],[NETO GRAVADO]]*0.21)</f>
        <v>1718.1759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9899.9658999999992</v>
      </c>
      <c r="Q79" s="49" t="str">
        <f>IFERROR(IF(compras_mes4[[#This Row],[CUIT]]="","-",VLOOKUP(compras_mes4[[#This Row],[CUIT]],Lista_CUIT[#All],3,0)),"CUIT NO CARGADO")</f>
        <v>gastos varios</v>
      </c>
      <c r="R79" s="49">
        <f>IFERROR(IF(compras_mes4[[#This Row],[CUIT]]="","-",VLOOKUP(compras_mes4[[#This Row],[CUIT]],Lista_CUIT[#All],4,0)),"CUIT NO CARGADO")</f>
        <v>0</v>
      </c>
    </row>
    <row r="80" spans="2:18" ht="14.45" customHeight="1" x14ac:dyDescent="0.25">
      <c r="B80" s="40">
        <v>45771</v>
      </c>
      <c r="C80" s="41">
        <v>1</v>
      </c>
      <c r="D80" s="42">
        <v>7</v>
      </c>
      <c r="E80" s="43">
        <v>3844</v>
      </c>
      <c r="F80" s="44">
        <v>20284183534</v>
      </c>
      <c r="G80" s="45" t="str">
        <f>IFERROR(IF(compras_mes4[[#This Row],[CUIT]]="","-",VLOOKUP(compras_mes4[[#This Row],[CUIT]],Lista_CUIT[#All],2,0)),"CUIT NO CARGADO")</f>
        <v>FURLANETTO MARTIN</v>
      </c>
      <c r="H80" s="46">
        <v>26652.89</v>
      </c>
      <c r="I80" s="85">
        <f>IF(compras_mes4[[#This Row],[NETO GRAVADO]]="","",compras_mes4[[#This Row],[NETO GRAVADO]]*0.21)</f>
        <v>5597.1068999999998</v>
      </c>
      <c r="J80" s="85"/>
      <c r="K80" s="85"/>
      <c r="L80" s="85"/>
      <c r="M80" s="85"/>
      <c r="N80" s="85"/>
      <c r="O80" s="85"/>
      <c r="P80" s="48">
        <f>SUM(compras_mes4[[#This Row],[NETO GRAVADO]:[Otros / No Grav.]])</f>
        <v>32249.996899999998</v>
      </c>
      <c r="Q80" s="49" t="str">
        <f>IFERROR(IF(compras_mes4[[#This Row],[CUIT]]="","-",VLOOKUP(compras_mes4[[#This Row],[CUIT]],Lista_CUIT[#All],3,0)),"CUIT NO CARGADO")</f>
        <v>gastos varios</v>
      </c>
      <c r="R80" s="49">
        <f>IFERROR(IF(compras_mes4[[#This Row],[CUIT]]="","-",VLOOKUP(compras_mes4[[#This Row],[CUIT]],Lista_CUIT[#All],4,0)),"CUIT NO CARGADO")</f>
        <v>0</v>
      </c>
    </row>
    <row r="81" spans="2:18" ht="14.45" customHeight="1" x14ac:dyDescent="0.25">
      <c r="B81" s="40">
        <v>45771</v>
      </c>
      <c r="C81" s="41">
        <v>1</v>
      </c>
      <c r="D81" s="42">
        <v>20</v>
      </c>
      <c r="E81" s="43">
        <v>40132</v>
      </c>
      <c r="F81" s="44">
        <v>30717210847</v>
      </c>
      <c r="G81" s="45" t="str">
        <f>IFERROR(IF(compras_mes4[[#This Row],[CUIT]]="","-",VLOOKUP(compras_mes4[[#This Row],[CUIT]],Lista_CUIT[#All],2,0)),"CUIT NO CARGADO")</f>
        <v>STENDY</v>
      </c>
      <c r="H81" s="46">
        <v>7666.11</v>
      </c>
      <c r="I81" s="85">
        <f>IF(compras_mes4[[#This Row],[NETO GRAVADO]]="","",compras_mes4[[#This Row],[NETO GRAVADO]]*0.21)</f>
        <v>1609.8830999999998</v>
      </c>
      <c r="J81" s="85"/>
      <c r="K81" s="85"/>
      <c r="L81" s="85"/>
      <c r="M81" s="85"/>
      <c r="N81" s="85"/>
      <c r="O81" s="85"/>
      <c r="P81" s="48">
        <f>SUM(compras_mes4[[#This Row],[NETO GRAVADO]:[Otros / No Grav.]])</f>
        <v>9275.9930999999997</v>
      </c>
      <c r="Q81" s="49" t="str">
        <f>IFERROR(IF(compras_mes4[[#This Row],[CUIT]]="","-",VLOOKUP(compras_mes4[[#This Row],[CUIT]],Lista_CUIT[#All],3,0)),"CUIT NO CARGADO")</f>
        <v>Gastos Varios</v>
      </c>
      <c r="R81" s="49">
        <f>IFERROR(IF(compras_mes4[[#This Row],[CUIT]]="","-",VLOOKUP(compras_mes4[[#This Row],[CUIT]],Lista_CUIT[#All],4,0)),"CUIT NO CARGADO")</f>
        <v>0</v>
      </c>
    </row>
    <row r="82" spans="2:18" x14ac:dyDescent="0.25">
      <c r="B82" s="40">
        <v>45771</v>
      </c>
      <c r="C82" s="41">
        <v>1</v>
      </c>
      <c r="D82" s="42">
        <v>2</v>
      </c>
      <c r="E82" s="43">
        <v>1234</v>
      </c>
      <c r="F82" s="44">
        <v>20272865869</v>
      </c>
      <c r="G82" s="45" t="str">
        <f>IFERROR(IF(compras_mes4[[#This Row],[CUIT]]="","-",VLOOKUP(compras_mes4[[#This Row],[CUIT]],Lista_CUIT[#All],2,0)),"CUIT NO CARGADO")</f>
        <v>DI FEO MARTIN EZEQUIEL</v>
      </c>
      <c r="H82" s="46">
        <v>97900</v>
      </c>
      <c r="I82" s="85">
        <f>IF(compras_mes4[[#This Row],[NETO GRAVADO]]="","",compras_mes4[[#This Row],[NETO GRAVADO]]*0.21)</f>
        <v>20559</v>
      </c>
      <c r="J82" s="85"/>
      <c r="K82" s="85"/>
      <c r="L82" s="85"/>
      <c r="M82" s="85"/>
      <c r="N82" s="85"/>
      <c r="O82" s="85"/>
      <c r="P82" s="48">
        <f>SUM(compras_mes4[[#This Row],[NETO GRAVADO]:[Otros / No Grav.]])</f>
        <v>118459</v>
      </c>
      <c r="Q82" s="49" t="str">
        <f>IFERROR(IF(compras_mes4[[#This Row],[CUIT]]="","-",VLOOKUP(compras_mes4[[#This Row],[CUIT]],Lista_CUIT[#All],3,0)),"CUIT NO CARGADO")</f>
        <v>INSUMOS</v>
      </c>
      <c r="R82" s="49">
        <f>IFERROR(IF(compras_mes4[[#This Row],[CUIT]]="","-",VLOOKUP(compras_mes4[[#This Row],[CUIT]],Lista_CUIT[#All],4,0)),"CUIT NO CARGADO")</f>
        <v>0</v>
      </c>
    </row>
    <row r="83" spans="2:18" ht="14.45" customHeight="1" x14ac:dyDescent="0.25">
      <c r="B83" s="40">
        <v>45771</v>
      </c>
      <c r="C83" s="41">
        <v>1</v>
      </c>
      <c r="D83" s="42">
        <v>6</v>
      </c>
      <c r="E83" s="43">
        <v>1418</v>
      </c>
      <c r="F83" s="44">
        <v>20247225243</v>
      </c>
      <c r="G83" s="45" t="str">
        <f>IFERROR(IF(compras_mes4[[#This Row],[CUIT]]="","-",VLOOKUP(compras_mes4[[#This Row],[CUIT]],Lista_CUIT[#All],2,0)),"CUIT NO CARGADO")</f>
        <v>VENTO HUGO GABRIEL</v>
      </c>
      <c r="H83" s="46">
        <v>73834</v>
      </c>
      <c r="I83" s="85">
        <f>IF(compras_mes4[[#This Row],[NETO GRAVADO]]="","",compras_mes4[[#This Row],[NETO GRAVADO]]*0.21)</f>
        <v>15505.14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89339.14</v>
      </c>
      <c r="Q83" s="49" t="str">
        <f>IFERROR(IF(compras_mes4[[#This Row],[CUIT]]="","-",VLOOKUP(compras_mes4[[#This Row],[CUIT]],Lista_CUIT[#All],3,0)),"CUIT NO CARGADO")</f>
        <v>INSUMO</v>
      </c>
      <c r="R83" s="49">
        <f>IFERROR(IF(compras_mes4[[#This Row],[CUIT]]="","-",VLOOKUP(compras_mes4[[#This Row],[CUIT]],Lista_CUIT[#All],4,0)),"CUIT NO CARGADO")</f>
        <v>0</v>
      </c>
    </row>
    <row r="84" spans="2:18" x14ac:dyDescent="0.25">
      <c r="B84" s="40">
        <v>45772</v>
      </c>
      <c r="C84" s="41">
        <v>1</v>
      </c>
      <c r="D84" s="42">
        <v>3</v>
      </c>
      <c r="E84" s="43">
        <v>187</v>
      </c>
      <c r="F84" s="44">
        <v>20127096733</v>
      </c>
      <c r="G84" s="45" t="str">
        <f>IFERROR(IF(compras_mes4[[#This Row],[CUIT]]="","-",VLOOKUP(compras_mes4[[#This Row],[CUIT]],Lista_CUIT[#All],2,0)),"CUIT NO CARGADO")</f>
        <v>MORILLA HORACIO ALBERTO</v>
      </c>
      <c r="H84" s="46">
        <v>265000</v>
      </c>
      <c r="I84" s="85">
        <f>IF(compras_mes4[[#This Row],[NETO GRAVADO]]="","",compras_mes4[[#This Row],[NETO GRAVADO]]*0.21)</f>
        <v>55650</v>
      </c>
      <c r="J84" s="85"/>
      <c r="K84" s="85"/>
      <c r="L84" s="85"/>
      <c r="M84" s="85"/>
      <c r="N84" s="85"/>
      <c r="O84" s="85"/>
      <c r="P84" s="48">
        <f>SUM(compras_mes4[[#This Row],[NETO GRAVADO]:[Otros / No Grav.]])</f>
        <v>320650</v>
      </c>
      <c r="Q84" s="49" t="str">
        <f>IFERROR(IF(compras_mes4[[#This Row],[CUIT]]="","-",VLOOKUP(compras_mes4[[#This Row],[CUIT]],Lista_CUIT[#All],3,0)),"CUIT NO CARGADO")</f>
        <v>INSUMO</v>
      </c>
      <c r="R84" s="49">
        <f>IFERROR(IF(compras_mes4[[#This Row],[CUIT]]="","-",VLOOKUP(compras_mes4[[#This Row],[CUIT]],Lista_CUIT[#All],4,0)),"CUIT NO CARGADO")</f>
        <v>0</v>
      </c>
    </row>
    <row r="85" spans="2:18" ht="15" customHeight="1" x14ac:dyDescent="0.25">
      <c r="B85" s="40">
        <v>45772</v>
      </c>
      <c r="C85" s="41">
        <v>1</v>
      </c>
      <c r="D85" s="42">
        <v>6</v>
      </c>
      <c r="E85" s="43">
        <v>46</v>
      </c>
      <c r="F85" s="44">
        <v>30716401541</v>
      </c>
      <c r="G85" s="45" t="str">
        <f>IFERROR(IF(compras_mes4[[#This Row],[CUIT]]="","-",VLOOKUP(compras_mes4[[#This Row],[CUIT]],Lista_CUIT[#All],2,0)),"CUIT NO CARGADO")</f>
        <v>HIGH MOBILITY S.A.S.</v>
      </c>
      <c r="H85" s="46">
        <v>2041755</v>
      </c>
      <c r="I85" s="85">
        <f>IF(compras_mes4[[#This Row],[NETO GRAVADO]]="","",compras_mes4[[#This Row],[NETO GRAVADO]]*0.21)</f>
        <v>428768.55</v>
      </c>
      <c r="J85" s="85"/>
      <c r="K85" s="85"/>
      <c r="L85" s="85"/>
      <c r="M85" s="85"/>
      <c r="N85" s="85"/>
      <c r="O85" s="85"/>
      <c r="P85" s="48">
        <f>SUM(compras_mes4[[#This Row],[NETO GRAVADO]:[Otros / No Grav.]])</f>
        <v>2470523.5499999998</v>
      </c>
      <c r="Q85" s="49" t="str">
        <f>IFERROR(IF(compras_mes4[[#This Row],[CUIT]]="","-",VLOOKUP(compras_mes4[[#This Row],[CUIT]],Lista_CUIT[#All],3,0)),"CUIT NO CARGADO")</f>
        <v>Insumos</v>
      </c>
      <c r="R85" s="49">
        <f>IFERROR(IF(compras_mes4[[#This Row],[CUIT]]="","-",VLOOKUP(compras_mes4[[#This Row],[CUIT]],Lista_CUIT[#All],4,0)),"CUIT NO CARGADO")</f>
        <v>0</v>
      </c>
    </row>
    <row r="86" spans="2:18" x14ac:dyDescent="0.25">
      <c r="B86" s="40">
        <v>45772</v>
      </c>
      <c r="C86" s="41">
        <v>1</v>
      </c>
      <c r="D86" s="42">
        <v>7</v>
      </c>
      <c r="E86" s="43">
        <v>28815</v>
      </c>
      <c r="F86" s="44">
        <v>20271532483</v>
      </c>
      <c r="G86" s="45" t="str">
        <f>IFERROR(IF(compras_mes4[[#This Row],[CUIT]]="","-",VLOOKUP(compras_mes4[[#This Row],[CUIT]],Lista_CUIT[#All],2,0)),"CUIT NO CARGADO")</f>
        <v>DIEGO MARTIN RIOS</v>
      </c>
      <c r="H86" s="46">
        <v>597088.11</v>
      </c>
      <c r="I86" s="85">
        <f>IF(compras_mes4[[#This Row],[NETO GRAVADO]]="","",compras_mes4[[#This Row],[NETO GRAVADO]]*0.21)</f>
        <v>125388.50309999999</v>
      </c>
      <c r="J86" s="85"/>
      <c r="K86" s="85"/>
      <c r="L86" s="85"/>
      <c r="M86" s="85"/>
      <c r="N86" s="85"/>
      <c r="O86" s="85"/>
      <c r="P86" s="48">
        <f>SUM(compras_mes4[[#This Row],[NETO GRAVADO]:[Otros / No Grav.]])</f>
        <v>722476.61309999996</v>
      </c>
      <c r="Q86" s="49" t="str">
        <f>IFERROR(IF(compras_mes4[[#This Row],[CUIT]]="","-",VLOOKUP(compras_mes4[[#This Row],[CUIT]],Lista_CUIT[#All],3,0)),"CUIT NO CARGADO")</f>
        <v>INSUMO</v>
      </c>
      <c r="R86" s="49">
        <f>IFERROR(IF(compras_mes4[[#This Row],[CUIT]]="","-",VLOOKUP(compras_mes4[[#This Row],[CUIT]],Lista_CUIT[#All],4,0)),"CUIT NO CARGADO")</f>
        <v>0</v>
      </c>
    </row>
    <row r="87" spans="2:18" ht="15" customHeight="1" x14ac:dyDescent="0.25">
      <c r="B87" s="40">
        <v>45772</v>
      </c>
      <c r="C87" s="41">
        <v>1</v>
      </c>
      <c r="D87" s="42">
        <v>1001</v>
      </c>
      <c r="E87" s="43">
        <v>15859</v>
      </c>
      <c r="F87" s="44">
        <v>30715988956</v>
      </c>
      <c r="G87" s="45" t="str">
        <f>IFERROR(IF(compras_mes4[[#This Row],[CUIT]]="","-",VLOOKUP(compras_mes4[[#This Row],[CUIT]],Lista_CUIT[#All],2,0)),"CUIT NO CARGADO")</f>
        <v>CONSTRUCCION EN SECO CANNING S.R.L.</v>
      </c>
      <c r="H87" s="46">
        <v>1368942.91</v>
      </c>
      <c r="I87" s="85">
        <f>IF(compras_mes4[[#This Row],[NETO GRAVADO]]="","",compras_mes4[[#This Row],[NETO GRAVADO]]*0.21)</f>
        <v>287478.01109999995</v>
      </c>
      <c r="J87" s="85"/>
      <c r="K87" s="85"/>
      <c r="L87" s="85"/>
      <c r="M87" s="85"/>
      <c r="N87" s="85"/>
      <c r="O87" s="85"/>
      <c r="P87" s="48">
        <f>SUM(compras_mes4[[#This Row],[NETO GRAVADO]:[Otros / No Grav.]])</f>
        <v>1656420.9210999999</v>
      </c>
      <c r="Q87" s="49" t="str">
        <f>IFERROR(IF(compras_mes4[[#This Row],[CUIT]]="","-",VLOOKUP(compras_mes4[[#This Row],[CUIT]],Lista_CUIT[#All],3,0)),"CUIT NO CARGADO")</f>
        <v>Insumos</v>
      </c>
      <c r="R87" s="49">
        <f>IFERROR(IF(compras_mes4[[#This Row],[CUIT]]="","-",VLOOKUP(compras_mes4[[#This Row],[CUIT]],Lista_CUIT[#All],4,0)),"CUIT NO CARGADO")</f>
        <v>0</v>
      </c>
    </row>
    <row r="88" spans="2:18" ht="15" customHeight="1" x14ac:dyDescent="0.25">
      <c r="B88" s="40">
        <v>45769</v>
      </c>
      <c r="C88" s="41">
        <v>1</v>
      </c>
      <c r="D88" s="42">
        <v>5</v>
      </c>
      <c r="E88" s="43">
        <v>3278673</v>
      </c>
      <c r="F88" s="44">
        <v>30702652975</v>
      </c>
      <c r="G88" s="45" t="str">
        <f>IFERROR(IF(compras_mes4[[#This Row],[CUIT]]="","-",VLOOKUP(compras_mes4[[#This Row],[CUIT]],Lista_CUIT[#All],2,0)),"CUIT NO CARGADO")</f>
        <v>NSS SA</v>
      </c>
      <c r="H88" s="46">
        <v>35660.75</v>
      </c>
      <c r="I88" s="85">
        <f>IF(compras_mes4[[#This Row],[NETO GRAVADO]]="","",compras_mes4[[#This Row],[NETO GRAVADO]]*0.21)</f>
        <v>7488.7574999999997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43149.5075</v>
      </c>
      <c r="Q88" s="49" t="str">
        <f>IFERROR(IF(compras_mes4[[#This Row],[CUIT]]="","-",VLOOKUP(compras_mes4[[#This Row],[CUIT]],Lista_CUIT[#All],3,0)),"CUIT NO CARGADO")</f>
        <v>SERVICIOS</v>
      </c>
      <c r="R88" s="49">
        <f>IFERROR(IF(compras_mes4[[#This Row],[CUIT]]="","-",VLOOKUP(compras_mes4[[#This Row],[CUIT]],Lista_CUIT[#All],4,0)),"CUIT NO CARGADO")</f>
        <v>0</v>
      </c>
    </row>
    <row r="89" spans="2:18" ht="15" customHeight="1" x14ac:dyDescent="0.25">
      <c r="B89" s="40">
        <v>45771</v>
      </c>
      <c r="C89" s="41">
        <v>1</v>
      </c>
      <c r="D89" s="42">
        <v>6</v>
      </c>
      <c r="E89" s="43">
        <v>57183</v>
      </c>
      <c r="F89" s="44">
        <v>30710177658</v>
      </c>
      <c r="G89" s="45" t="str">
        <f>IFERROR(IF(compras_mes4[[#This Row],[CUIT]]="","-",VLOOKUP(compras_mes4[[#This Row],[CUIT]],Lista_CUIT[#All],2,0)),"CUIT NO CARGADO")</f>
        <v>TARGET MEDICAL SA</v>
      </c>
      <c r="H89" s="46">
        <v>262035.8</v>
      </c>
      <c r="I89" s="85">
        <f>IF(compras_mes4[[#This Row],[NETO GRAVADO]]="","",compras_mes4[[#This Row],[NETO GRAVADO]]*0.21)</f>
        <v>55027.517999999996</v>
      </c>
      <c r="J89" s="85"/>
      <c r="K89" s="85"/>
      <c r="L89" s="85"/>
      <c r="M89" s="85"/>
      <c r="N89" s="85"/>
      <c r="O89" s="85"/>
      <c r="P89" s="48">
        <f>SUM(compras_mes4[[#This Row],[NETO GRAVADO]:[Otros / No Grav.]])</f>
        <v>317063.31799999997</v>
      </c>
      <c r="Q89" s="49" t="str">
        <f>IFERROR(IF(compras_mes4[[#This Row],[CUIT]]="","-",VLOOKUP(compras_mes4[[#This Row],[CUIT]],Lista_CUIT[#All],3,0)),"CUIT NO CARGADO")</f>
        <v>INSUMO</v>
      </c>
      <c r="R89" s="49">
        <f>IFERROR(IF(compras_mes4[[#This Row],[CUIT]]="","-",VLOOKUP(compras_mes4[[#This Row],[CUIT]],Lista_CUIT[#All],4,0)),"CUIT NO CARGADO")</f>
        <v>0</v>
      </c>
    </row>
    <row r="90" spans="2:18" x14ac:dyDescent="0.25">
      <c r="B90" s="40">
        <v>45773</v>
      </c>
      <c r="C90" s="41">
        <v>1</v>
      </c>
      <c r="D90" s="42">
        <v>3</v>
      </c>
      <c r="E90" s="43">
        <v>49224</v>
      </c>
      <c r="F90" s="44">
        <v>30711454388</v>
      </c>
      <c r="G90" s="45" t="str">
        <f>IFERROR(IF(compras_mes4[[#This Row],[CUIT]]="","-",VLOOKUP(compras_mes4[[#This Row],[CUIT]],Lista_CUIT[#All],2,0)),"CUIT NO CARGADO")</f>
        <v>LIPROT S.R.L.</v>
      </c>
      <c r="H90" s="46">
        <v>202920</v>
      </c>
      <c r="I90" s="85">
        <f>IF(compras_mes4[[#This Row],[NETO GRAVADO]]="","",compras_mes4[[#This Row],[NETO GRAVADO]]*0.21)</f>
        <v>42613.2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245533.2</v>
      </c>
      <c r="Q90" s="49" t="str">
        <f>IFERROR(IF(compras_mes4[[#This Row],[CUIT]]="","-",VLOOKUP(compras_mes4[[#This Row],[CUIT]],Lista_CUIT[#All],3,0)),"CUIT NO CARGADO")</f>
        <v>textil</v>
      </c>
      <c r="R90" s="49">
        <f>IFERROR(IF(compras_mes4[[#This Row],[CUIT]]="","-",VLOOKUP(compras_mes4[[#This Row],[CUIT]],Lista_CUIT[#All],4,0)),"CUIT NO CARGADO")</f>
        <v>0</v>
      </c>
    </row>
    <row r="91" spans="2:18" x14ac:dyDescent="0.25">
      <c r="B91" s="40">
        <v>45775</v>
      </c>
      <c r="C91" s="41">
        <v>1</v>
      </c>
      <c r="D91" s="42">
        <v>1</v>
      </c>
      <c r="E91" s="43">
        <v>3006</v>
      </c>
      <c r="F91" s="44">
        <v>30717179389</v>
      </c>
      <c r="G91" s="45" t="str">
        <f>IFERROR(IF(compras_mes4[[#This Row],[CUIT]]="","-",VLOOKUP(compras_mes4[[#This Row],[CUIT]],Lista_CUIT[#All],2,0)),"CUIT NO CARGADO")</f>
        <v>NICOLAS TOBIAS SEQUEIRA Y MARIA GABRIELA RATTNER SOCIEDAD DE LA SECCION IV LGS</v>
      </c>
      <c r="H91" s="46">
        <v>41322.31</v>
      </c>
      <c r="I91" s="85">
        <f>IF(compras_mes4[[#This Row],[NETO GRAVADO]]="","",compras_mes4[[#This Row],[NETO GRAVADO]]*0.21)</f>
        <v>8677.6850999999988</v>
      </c>
      <c r="J91" s="85"/>
      <c r="K91" s="85"/>
      <c r="L91" s="85"/>
      <c r="M91" s="85"/>
      <c r="N91" s="85"/>
      <c r="O91" s="85"/>
      <c r="P91" s="48">
        <f>SUM(compras_mes4[[#This Row],[NETO GRAVADO]:[Otros / No Grav.]])</f>
        <v>49999.9951</v>
      </c>
      <c r="Q91" s="49" t="str">
        <f>IFERROR(IF(compras_mes4[[#This Row],[CUIT]]="","-",VLOOKUP(compras_mes4[[#This Row],[CUIT]],Lista_CUIT[#All],3,0)),"CUIT NO CARGADO")</f>
        <v>Ropa de Trabajo</v>
      </c>
      <c r="R91" s="49">
        <f>IFERROR(IF(compras_mes4[[#This Row],[CUIT]]="","-",VLOOKUP(compras_mes4[[#This Row],[CUIT]],Lista_CUIT[#All],4,0)),"CUIT NO CARGADO")</f>
        <v>0</v>
      </c>
    </row>
    <row r="92" spans="2:18" x14ac:dyDescent="0.25">
      <c r="B92" s="40">
        <v>45775</v>
      </c>
      <c r="C92" s="41">
        <v>1</v>
      </c>
      <c r="D92" s="42">
        <v>2</v>
      </c>
      <c r="E92" s="43">
        <v>11925</v>
      </c>
      <c r="F92" s="44">
        <v>30714331082</v>
      </c>
      <c r="G92" s="45" t="str">
        <f>IFERROR(IF(compras_mes4[[#This Row],[CUIT]]="","-",VLOOKUP(compras_mes4[[#This Row],[CUIT]],Lista_CUIT[#All],2,0)),"CUIT NO CARGADO")</f>
        <v>ORTOPEDIA CASA ESCALADA SRL</v>
      </c>
      <c r="H92" s="46">
        <v>88241.23</v>
      </c>
      <c r="I92" s="85">
        <f>IF(compras_mes4[[#This Row],[NETO GRAVADO]]="","",compras_mes4[[#This Row],[NETO GRAVADO]]*0.21)</f>
        <v>18530.658299999999</v>
      </c>
      <c r="J92" s="85"/>
      <c r="K92" s="85"/>
      <c r="L92" s="85"/>
      <c r="M92" s="85"/>
      <c r="N92" s="85"/>
      <c r="O92" s="85"/>
      <c r="P92" s="48">
        <f>SUM(compras_mes4[[#This Row],[NETO GRAVADO]:[Otros / No Grav.]])</f>
        <v>106771.88829999999</v>
      </c>
      <c r="Q92" s="49" t="str">
        <f>IFERROR(IF(compras_mes4[[#This Row],[CUIT]]="","-",VLOOKUP(compras_mes4[[#This Row],[CUIT]],Lista_CUIT[#All],3,0)),"CUIT NO CARGADO")</f>
        <v>INSUMO</v>
      </c>
      <c r="R92" s="49">
        <f>IFERROR(IF(compras_mes4[[#This Row],[CUIT]]="","-",VLOOKUP(compras_mes4[[#This Row],[CUIT]],Lista_CUIT[#All],4,0)),"CUIT NO CARGADO")</f>
        <v>0</v>
      </c>
    </row>
    <row r="93" spans="2:18" x14ac:dyDescent="0.25">
      <c r="B93" s="40">
        <v>45775</v>
      </c>
      <c r="C93" s="41">
        <v>1</v>
      </c>
      <c r="D93" s="42">
        <v>2</v>
      </c>
      <c r="E93" s="43">
        <v>11929</v>
      </c>
      <c r="F93" s="44">
        <v>30714331082</v>
      </c>
      <c r="G93" s="45" t="str">
        <f>IFERROR(IF(compras_mes4[[#This Row],[CUIT]]="","-",VLOOKUP(compras_mes4[[#This Row],[CUIT]],Lista_CUIT[#All],2,0)),"CUIT NO CARGADO")</f>
        <v>ORTOPEDIA CASA ESCALADA SRL</v>
      </c>
      <c r="H93" s="46">
        <v>1325320.6299999999</v>
      </c>
      <c r="I93" s="85">
        <f>IF(compras_mes4[[#This Row],[NETO GRAVADO]]="","",compras_mes4[[#This Row],[NETO GRAVADO]]*0.21)</f>
        <v>278317.33229999995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1603637.9622999998</v>
      </c>
      <c r="Q93" s="49" t="str">
        <f>IFERROR(IF(compras_mes4[[#This Row],[CUIT]]="","-",VLOOKUP(compras_mes4[[#This Row],[CUIT]],Lista_CUIT[#All],3,0)),"CUIT NO CARGADO")</f>
        <v>INSUMO</v>
      </c>
      <c r="R93" s="49">
        <f>IFERROR(IF(compras_mes4[[#This Row],[CUIT]]="","-",VLOOKUP(compras_mes4[[#This Row],[CUIT]],Lista_CUIT[#All],4,0)),"CUIT NO CARGADO")</f>
        <v>0</v>
      </c>
    </row>
    <row r="94" spans="2:18" x14ac:dyDescent="0.25">
      <c r="B94" s="40">
        <v>45775</v>
      </c>
      <c r="C94" s="41">
        <v>1</v>
      </c>
      <c r="D94" s="42">
        <v>3</v>
      </c>
      <c r="E94" s="43">
        <v>8212</v>
      </c>
      <c r="F94" s="44">
        <v>30710449658</v>
      </c>
      <c r="G94" s="45" t="str">
        <f>IFERROR(IF(compras_mes4[[#This Row],[CUIT]]="","-",VLOOKUP(compras_mes4[[#This Row],[CUIT]],Lista_CUIT[#All],2,0)),"CUIT NO CARGADO")</f>
        <v>PORTUMAT  S.R.L.</v>
      </c>
      <c r="H94" s="46">
        <v>260330.52</v>
      </c>
      <c r="I94" s="85">
        <f>IF(compras_mes4[[#This Row],[NETO GRAVADO]]="","",compras_mes4[[#This Row],[NETO GRAVADO]]*0.21)</f>
        <v>54669.409199999995</v>
      </c>
      <c r="J94" s="85"/>
      <c r="K94" s="85"/>
      <c r="L94" s="85"/>
      <c r="M94" s="85"/>
      <c r="N94" s="85"/>
      <c r="O94" s="85"/>
      <c r="P94" s="48">
        <f>SUM(compras_mes4[[#This Row],[NETO GRAVADO]:[Otros / No Grav.]])</f>
        <v>314999.92920000001</v>
      </c>
      <c r="Q94" s="49" t="str">
        <f>IFERROR(IF(compras_mes4[[#This Row],[CUIT]]="","-",VLOOKUP(compras_mes4[[#This Row],[CUIT]],Lista_CUIT[#All],3,0)),"CUIT NO CARGADO")</f>
        <v>Insumos</v>
      </c>
      <c r="R94" s="49">
        <f>IFERROR(IF(compras_mes4[[#This Row],[CUIT]]="","-",VLOOKUP(compras_mes4[[#This Row],[CUIT]],Lista_CUIT[#All],4,0)),"CUIT NO CARGADO")</f>
        <v>0</v>
      </c>
    </row>
    <row r="95" spans="2:18" x14ac:dyDescent="0.25">
      <c r="B95" s="40">
        <v>45775</v>
      </c>
      <c r="C95" s="41">
        <v>1</v>
      </c>
      <c r="D95" s="42">
        <v>101</v>
      </c>
      <c r="E95" s="43">
        <v>9121</v>
      </c>
      <c r="F95" s="44">
        <v>33711430879</v>
      </c>
      <c r="G95" s="45" t="str">
        <f>IFERROR(IF(compras_mes4[[#This Row],[CUIT]]="","-",VLOOKUP(compras_mes4[[#This Row],[CUIT]],Lista_CUIT[#All],2,0)),"CUIT NO CARGADO")</f>
        <v>BALANZE S.A.</v>
      </c>
      <c r="H95" s="46">
        <v>290000</v>
      </c>
      <c r="I95" s="85">
        <f>IF(compras_mes4[[#This Row],[NETO GRAVADO]]="","",compras_mes4[[#This Row],[NETO GRAVADO]]*0.21)</f>
        <v>60900</v>
      </c>
      <c r="J95" s="85"/>
      <c r="K95" s="85"/>
      <c r="L95" s="85"/>
      <c r="M95" s="85"/>
      <c r="N95" s="85"/>
      <c r="O95" s="85"/>
      <c r="P95" s="48">
        <f>SUM(compras_mes4[[#This Row],[NETO GRAVADO]:[Otros / No Grav.]])</f>
        <v>350900</v>
      </c>
      <c r="Q95" s="49" t="str">
        <f>IFERROR(IF(compras_mes4[[#This Row],[CUIT]]="","-",VLOOKUP(compras_mes4[[#This Row],[CUIT]],Lista_CUIT[#All],3,0)),"CUIT NO CARGADO")</f>
        <v>INSUMO</v>
      </c>
      <c r="R95" s="49">
        <f>IFERROR(IF(compras_mes4[[#This Row],[CUIT]]="","-",VLOOKUP(compras_mes4[[#This Row],[CUIT]],Lista_CUIT[#All],4,0)),"CUIT NO CARGADO")</f>
        <v>0</v>
      </c>
    </row>
    <row r="96" spans="2:18" s="56" customFormat="1" ht="18.600000000000001" customHeight="1" x14ac:dyDescent="0.25">
      <c r="B96" s="40">
        <v>45775</v>
      </c>
      <c r="C96" s="41">
        <v>1</v>
      </c>
      <c r="D96" s="42">
        <v>8</v>
      </c>
      <c r="E96" s="43">
        <v>14885</v>
      </c>
      <c r="F96" s="44">
        <v>33715594949</v>
      </c>
      <c r="G96" s="45" t="str">
        <f>IFERROR(IF(compras_mes4[[#This Row],[CUIT]]="","-",VLOOKUP(compras_mes4[[#This Row],[CUIT]],Lista_CUIT[#All],2,0)),"CUIT NO CARGADO")</f>
        <v>SOMOS ENERGIA SA</v>
      </c>
      <c r="H96" s="46">
        <v>69697.67</v>
      </c>
      <c r="I96" s="85">
        <f>IF(compras_mes4[[#This Row],[NETO GRAVADO]]="","",compras_mes4[[#This Row],[NETO GRAVADO]]*0.21)</f>
        <v>14636.510699999999</v>
      </c>
      <c r="J96" s="85"/>
      <c r="K96" s="85"/>
      <c r="L96" s="85"/>
      <c r="M96" s="85"/>
      <c r="N96" s="85"/>
      <c r="O96" s="85"/>
      <c r="P96" s="48">
        <f>SUM(compras_mes4[[#This Row],[NETO GRAVADO]:[Otros / No Grav.]])</f>
        <v>84334.180699999997</v>
      </c>
      <c r="Q96" s="49" t="str">
        <f>IFERROR(IF(compras_mes4[[#This Row],[CUIT]]="","-",VLOOKUP(compras_mes4[[#This Row],[CUIT]],Lista_CUIT[#All],3,0)),"CUIT NO CARGADO")</f>
        <v>COMBUSTIBLE</v>
      </c>
      <c r="R96" s="49">
        <f>IFERROR(IF(compras_mes4[[#This Row],[CUIT]]="","-",VLOOKUP(compras_mes4[[#This Row],[CUIT]],Lista_CUIT[#All],4,0)),"CUIT NO CARGADO")</f>
        <v>0</v>
      </c>
    </row>
    <row r="97" spans="2:18" x14ac:dyDescent="0.25">
      <c r="B97" s="40">
        <v>45776</v>
      </c>
      <c r="C97" s="41">
        <v>1</v>
      </c>
      <c r="D97" s="42">
        <v>5</v>
      </c>
      <c r="E97" s="43">
        <v>166111</v>
      </c>
      <c r="F97" s="44">
        <v>30598960093</v>
      </c>
      <c r="G97" s="45" t="str">
        <f>IFERROR(IF(compras_mes4[[#This Row],[CUIT]]="","-",VLOOKUP(compras_mes4[[#This Row],[CUIT]],Lista_CUIT[#All],2,0)),"CUIT NO CARGADO")</f>
        <v>SILVESTRIN FABRIS SRL</v>
      </c>
      <c r="H97" s="46">
        <v>2389452.5</v>
      </c>
      <c r="I97" s="85">
        <f>IF(compras_mes4[[#This Row],[NETO GRAVADO]]="","",compras_mes4[[#This Row],[NETO GRAVADO]]*0.21)</f>
        <v>501785.02499999997</v>
      </c>
      <c r="J97" s="85"/>
      <c r="K97" s="85"/>
      <c r="L97" s="85"/>
      <c r="M97" s="85"/>
      <c r="N97" s="85"/>
      <c r="O97" s="85"/>
      <c r="P97" s="48">
        <f>SUM(compras_mes4[[#This Row],[NETO GRAVADO]:[Otros / No Grav.]])</f>
        <v>2891237.5249999999</v>
      </c>
      <c r="Q97" s="49" t="str">
        <f>IFERROR(IF(compras_mes4[[#This Row],[CUIT]]="","-",VLOOKUP(compras_mes4[[#This Row],[CUIT]],Lista_CUIT[#All],3,0)),"CUIT NO CARGADO")</f>
        <v>INSUMO</v>
      </c>
      <c r="R97" s="49">
        <f>IFERROR(IF(compras_mes4[[#This Row],[CUIT]]="","-",VLOOKUP(compras_mes4[[#This Row],[CUIT]],Lista_CUIT[#All],4,0)),"CUIT NO CARGADO")</f>
        <v>0</v>
      </c>
    </row>
    <row r="98" spans="2:18" x14ac:dyDescent="0.25">
      <c r="B98" s="40">
        <v>45776</v>
      </c>
      <c r="C98" s="41">
        <v>1</v>
      </c>
      <c r="D98" s="42">
        <v>104</v>
      </c>
      <c r="E98" s="43">
        <v>8983014</v>
      </c>
      <c r="F98" s="44">
        <v>30715804812</v>
      </c>
      <c r="G98" s="45" t="str">
        <f>IFERROR(IF(compras_mes4[[#This Row],[CUIT]]="","-",VLOOKUP(compras_mes4[[#This Row],[CUIT]],Lista_CUIT[#All],2,0)),"CUIT NO CARGADO")</f>
        <v>CORREDORES VIALES SOCIEDAD ANONIMA</v>
      </c>
      <c r="H98" s="46">
        <v>2079.9699999999998</v>
      </c>
      <c r="I98" s="85">
        <f>IF(compras_mes4[[#This Row],[NETO GRAVADO]]="","",compras_mes4[[#This Row],[NETO GRAVADO]]*0.21)</f>
        <v>436.79369999999994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2516.7636999999995</v>
      </c>
      <c r="Q98" s="49" t="str">
        <f>IFERROR(IF(compras_mes4[[#This Row],[CUIT]]="","-",VLOOKUP(compras_mes4[[#This Row],[CUIT]],Lista_CUIT[#All],3,0)),"CUIT NO CARGADO")</f>
        <v>Autopista</v>
      </c>
      <c r="R98" s="49">
        <f>IFERROR(IF(compras_mes4[[#This Row],[CUIT]]="","-",VLOOKUP(compras_mes4[[#This Row],[CUIT]],Lista_CUIT[#All],4,0)),"CUIT NO CARGADO")</f>
        <v>0</v>
      </c>
    </row>
    <row r="99" spans="2:18" x14ac:dyDescent="0.25">
      <c r="B99" s="40">
        <v>45776</v>
      </c>
      <c r="C99" s="41">
        <v>1</v>
      </c>
      <c r="D99" s="42">
        <v>6</v>
      </c>
      <c r="E99" s="43">
        <v>47</v>
      </c>
      <c r="F99" s="44">
        <v>30716401541</v>
      </c>
      <c r="G99" s="45" t="str">
        <f>IFERROR(IF(compras_mes4[[#This Row],[CUIT]]="","-",VLOOKUP(compras_mes4[[#This Row],[CUIT]],Lista_CUIT[#All],2,0)),"CUIT NO CARGADO")</f>
        <v>HIGH MOBILITY S.A.S.</v>
      </c>
      <c r="H99" s="46">
        <v>1555687</v>
      </c>
      <c r="I99" s="85">
        <f>IF(compras_mes4[[#This Row],[NETO GRAVADO]]="","",compras_mes4[[#This Row],[NETO GRAVADO]]*0.21)</f>
        <v>326694.26999999996</v>
      </c>
      <c r="J99" s="85"/>
      <c r="K99" s="85"/>
      <c r="L99" s="85"/>
      <c r="M99" s="85"/>
      <c r="N99" s="85"/>
      <c r="O99" s="85"/>
      <c r="P99" s="48">
        <f>SUM(compras_mes4[[#This Row],[NETO GRAVADO]:[Otros / No Grav.]])</f>
        <v>1882381.27</v>
      </c>
      <c r="Q99" s="49" t="str">
        <f>IFERROR(IF(compras_mes4[[#This Row],[CUIT]]="","-",VLOOKUP(compras_mes4[[#This Row],[CUIT]],Lista_CUIT[#All],3,0)),"CUIT NO CARGADO")</f>
        <v>Insumos</v>
      </c>
      <c r="R99" s="49">
        <f>IFERROR(IF(compras_mes4[[#This Row],[CUIT]]="","-",VLOOKUP(compras_mes4[[#This Row],[CUIT]],Lista_CUIT[#All],4,0)),"CUIT NO CARGADO")</f>
        <v>0</v>
      </c>
    </row>
    <row r="100" spans="2:18" x14ac:dyDescent="0.25">
      <c r="B100" s="40">
        <v>45776</v>
      </c>
      <c r="C100" s="41">
        <v>1</v>
      </c>
      <c r="D100" s="42">
        <v>7</v>
      </c>
      <c r="E100" s="43">
        <v>35</v>
      </c>
      <c r="F100" s="44">
        <v>27325223273</v>
      </c>
      <c r="G100" s="45" t="str">
        <f>IFERROR(IF(compras_mes4[[#This Row],[CUIT]]="","-",VLOOKUP(compras_mes4[[#This Row],[CUIT]],Lista_CUIT[#All],2,0)),"CUIT NO CARGADO")</f>
        <v>SOUSA ALDERETE ALEJANDRA MABEL</v>
      </c>
      <c r="H100" s="46">
        <v>1650000</v>
      </c>
      <c r="I100" s="85">
        <f>IF(compras_mes4[[#This Row],[NETO GRAVADO]]="","",compras_mes4[[#This Row],[NETO GRAVADO]]*0.21)</f>
        <v>346500</v>
      </c>
      <c r="J100" s="85"/>
      <c r="K100" s="85"/>
      <c r="L100" s="85"/>
      <c r="M100" s="85"/>
      <c r="N100" s="85"/>
      <c r="O100" s="85"/>
      <c r="P100" s="48">
        <f>SUM(compras_mes4[[#This Row],[NETO GRAVADO]:[Otros / No Grav.]])</f>
        <v>1996500</v>
      </c>
      <c r="Q100" s="49" t="str">
        <f>IFERROR(IF(compras_mes4[[#This Row],[CUIT]]="","-",VLOOKUP(compras_mes4[[#This Row],[CUIT]],Lista_CUIT[#All],3,0)),"CUIT NO CARGADO")</f>
        <v>Insumos</v>
      </c>
      <c r="R100" s="49">
        <f>IFERROR(IF(compras_mes4[[#This Row],[CUIT]]="","-",VLOOKUP(compras_mes4[[#This Row],[CUIT]],Lista_CUIT[#All],4,0)),"CUIT NO CARGADO")</f>
        <v>0</v>
      </c>
    </row>
    <row r="101" spans="2:18" x14ac:dyDescent="0.25">
      <c r="B101" s="40">
        <v>45777</v>
      </c>
      <c r="C101" s="41">
        <v>1</v>
      </c>
      <c r="D101" s="42">
        <v>2</v>
      </c>
      <c r="E101" s="43">
        <v>234</v>
      </c>
      <c r="F101" s="44">
        <v>30605344352</v>
      </c>
      <c r="G101" s="45" t="str">
        <f>IFERROR(IF(compras_mes4[[#This Row],[CUIT]]="","-",VLOOKUP(compras_mes4[[#This Row],[CUIT]],Lista_CUIT[#All],2,0)),"CUIT NO CARGADO")</f>
        <v>CONSORCIO BARTOLME MITRE 2466</v>
      </c>
      <c r="H101" s="46">
        <v>548000</v>
      </c>
      <c r="I101" s="85">
        <f>IF(compras_mes4[[#This Row],[NETO GRAVADO]]="","",compras_mes4[[#This Row],[NETO GRAVADO]]*0.21)</f>
        <v>115080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663080</v>
      </c>
      <c r="Q101" s="49" t="str">
        <f>IFERROR(IF(compras_mes4[[#This Row],[CUIT]]="","-",VLOOKUP(compras_mes4[[#This Row],[CUIT]],Lista_CUIT[#All],3,0)),"CUIT NO CARGADO")</f>
        <v>ALQUILER LOCAL</v>
      </c>
      <c r="R101" s="49">
        <f>IFERROR(IF(compras_mes4[[#This Row],[CUIT]]="","-",VLOOKUP(compras_mes4[[#This Row],[CUIT]],Lista_CUIT[#All],4,0)),"CUIT NO CARGADO")</f>
        <v>0</v>
      </c>
    </row>
    <row r="102" spans="2:18" x14ac:dyDescent="0.25">
      <c r="B102" s="40">
        <v>45777</v>
      </c>
      <c r="C102" s="41">
        <v>1</v>
      </c>
      <c r="D102" s="42">
        <v>2</v>
      </c>
      <c r="E102" s="43">
        <v>235</v>
      </c>
      <c r="F102" s="44">
        <v>30605344352</v>
      </c>
      <c r="G102" s="45" t="str">
        <f>IFERROR(IF(compras_mes4[[#This Row],[CUIT]]="","-",VLOOKUP(compras_mes4[[#This Row],[CUIT]],Lista_CUIT[#All],2,0)),"CUIT NO CARGADO")</f>
        <v>CONSORCIO BARTOLME MITRE 2466</v>
      </c>
      <c r="H102" s="46">
        <v>968000</v>
      </c>
      <c r="I102" s="85">
        <f>IF(compras_mes4[[#This Row],[NETO GRAVADO]]="","",compras_mes4[[#This Row],[NETO GRAVADO]]*0.21)</f>
        <v>203280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1171280</v>
      </c>
      <c r="Q102" s="49" t="str">
        <f>IFERROR(IF(compras_mes4[[#This Row],[CUIT]]="","-",VLOOKUP(compras_mes4[[#This Row],[CUIT]],Lista_CUIT[#All],3,0)),"CUIT NO CARGADO")</f>
        <v>ALQUILER LOCAL</v>
      </c>
      <c r="R102" s="49">
        <f>IFERROR(IF(compras_mes4[[#This Row],[CUIT]]="","-",VLOOKUP(compras_mes4[[#This Row],[CUIT]],Lista_CUIT[#All],4,0)),"CUIT NO CARGADO")</f>
        <v>0</v>
      </c>
    </row>
    <row r="103" spans="2:18" x14ac:dyDescent="0.25">
      <c r="B103" s="40">
        <v>45777</v>
      </c>
      <c r="C103" s="41">
        <v>1</v>
      </c>
      <c r="D103" s="42">
        <v>2</v>
      </c>
      <c r="E103" s="43">
        <v>236</v>
      </c>
      <c r="F103" s="44">
        <v>30605344352</v>
      </c>
      <c r="G103" s="45" t="str">
        <f>IFERROR(IF(compras_mes4[[#This Row],[CUIT]]="","-",VLOOKUP(compras_mes4[[#This Row],[CUIT]],Lista_CUIT[#All],2,0)),"CUIT NO CARGADO")</f>
        <v>CONSORCIO BARTOLME MITRE 2466</v>
      </c>
      <c r="H103" s="46">
        <v>800000</v>
      </c>
      <c r="I103" s="85">
        <f>IF(compras_mes4[[#This Row],[NETO GRAVADO]]="","",compras_mes4[[#This Row],[NETO GRAVADO]]*0.21)</f>
        <v>168000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968000</v>
      </c>
      <c r="Q103" s="49" t="str">
        <f>IFERROR(IF(compras_mes4[[#This Row],[CUIT]]="","-",VLOOKUP(compras_mes4[[#This Row],[CUIT]],Lista_CUIT[#All],3,0)),"CUIT NO CARGADO")</f>
        <v>ALQUILER LOCAL</v>
      </c>
      <c r="R103" s="49">
        <f>IFERROR(IF(compras_mes4[[#This Row],[CUIT]]="","-",VLOOKUP(compras_mes4[[#This Row],[CUIT]],Lista_CUIT[#All],4,0)),"CUIT NO CARGADO")</f>
        <v>0</v>
      </c>
    </row>
    <row r="104" spans="2:18" x14ac:dyDescent="0.25">
      <c r="B104" s="40">
        <v>45777</v>
      </c>
      <c r="C104" s="41">
        <v>1</v>
      </c>
      <c r="D104" s="42">
        <v>2</v>
      </c>
      <c r="E104" s="43">
        <v>237</v>
      </c>
      <c r="F104" s="44">
        <v>30605344352</v>
      </c>
      <c r="G104" s="45" t="str">
        <f>IFERROR(IF(compras_mes4[[#This Row],[CUIT]]="","-",VLOOKUP(compras_mes4[[#This Row],[CUIT]],Lista_CUIT[#All],2,0)),"CUIT NO CARGADO")</f>
        <v>CONSORCIO BARTOLME MITRE 2466</v>
      </c>
      <c r="H104" s="46">
        <v>800000</v>
      </c>
      <c r="I104" s="85">
        <f>IF(compras_mes4[[#This Row],[NETO GRAVADO]]="","",compras_mes4[[#This Row],[NETO GRAVADO]]*0.21)</f>
        <v>168000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968000</v>
      </c>
      <c r="Q104" s="49" t="str">
        <f>IFERROR(IF(compras_mes4[[#This Row],[CUIT]]="","-",VLOOKUP(compras_mes4[[#This Row],[CUIT]],Lista_CUIT[#All],3,0)),"CUIT NO CARGADO")</f>
        <v>ALQUILER LOCAL</v>
      </c>
      <c r="R104" s="49">
        <f>IFERROR(IF(compras_mes4[[#This Row],[CUIT]]="","-",VLOOKUP(compras_mes4[[#This Row],[CUIT]],Lista_CUIT[#All],4,0)),"CUIT NO CARGADO")</f>
        <v>0</v>
      </c>
    </row>
    <row r="105" spans="2:18" x14ac:dyDescent="0.25">
      <c r="B105" s="40">
        <v>45777</v>
      </c>
      <c r="C105" s="41">
        <v>1</v>
      </c>
      <c r="D105" s="42">
        <v>2</v>
      </c>
      <c r="E105" s="43">
        <v>1249</v>
      </c>
      <c r="F105" s="44">
        <v>20272865869</v>
      </c>
      <c r="G105" s="45" t="str">
        <f>IFERROR(IF(compras_mes4[[#This Row],[CUIT]]="","-",VLOOKUP(compras_mes4[[#This Row],[CUIT]],Lista_CUIT[#All],2,0)),"CUIT NO CARGADO")</f>
        <v>DI FEO MARTIN EZEQUIEL</v>
      </c>
      <c r="H105" s="46">
        <v>289219.42</v>
      </c>
      <c r="I105" s="85">
        <f>IF(compras_mes4[[#This Row],[NETO GRAVADO]]="","",compras_mes4[[#This Row],[NETO GRAVADO]]*0.21)</f>
        <v>60736.078199999996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349955.49819999997</v>
      </c>
      <c r="Q105" s="49" t="str">
        <f>IFERROR(IF(compras_mes4[[#This Row],[CUIT]]="","-",VLOOKUP(compras_mes4[[#This Row],[CUIT]],Lista_CUIT[#All],3,0)),"CUIT NO CARGADO")</f>
        <v>INSUMOS</v>
      </c>
      <c r="R105" s="49">
        <f>IFERROR(IF(compras_mes4[[#This Row],[CUIT]]="","-",VLOOKUP(compras_mes4[[#This Row],[CUIT]],Lista_CUIT[#All],4,0)),"CUIT NO CARGADO")</f>
        <v>0</v>
      </c>
    </row>
    <row r="106" spans="2:18" x14ac:dyDescent="0.25">
      <c r="B106" s="40">
        <v>45777</v>
      </c>
      <c r="C106" s="41">
        <v>1</v>
      </c>
      <c r="D106" s="42">
        <v>2</v>
      </c>
      <c r="E106" s="43">
        <v>1250</v>
      </c>
      <c r="F106" s="44">
        <v>20272865869</v>
      </c>
      <c r="G106" s="45" t="str">
        <f>IFERROR(IF(compras_mes4[[#This Row],[CUIT]]="","-",VLOOKUP(compras_mes4[[#This Row],[CUIT]],Lista_CUIT[#All],2,0)),"CUIT NO CARGADO")</f>
        <v>DI FEO MARTIN EZEQUIEL</v>
      </c>
      <c r="H106" s="46">
        <v>15050</v>
      </c>
      <c r="I106" s="85">
        <f>IF(compras_mes4[[#This Row],[NETO GRAVADO]]="","",compras_mes4[[#This Row],[NETO GRAVADO]]*0.21)</f>
        <v>3160.5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18210.5</v>
      </c>
      <c r="Q106" s="49" t="str">
        <f>IFERROR(IF(compras_mes4[[#This Row],[CUIT]]="","-",VLOOKUP(compras_mes4[[#This Row],[CUIT]],Lista_CUIT[#All],3,0)),"CUIT NO CARGADO")</f>
        <v>INSUMOS</v>
      </c>
      <c r="R106" s="49">
        <f>IFERROR(IF(compras_mes4[[#This Row],[CUIT]]="","-",VLOOKUP(compras_mes4[[#This Row],[CUIT]],Lista_CUIT[#All],4,0)),"CUIT NO CARGADO")</f>
        <v>0</v>
      </c>
    </row>
    <row r="107" spans="2:18" x14ac:dyDescent="0.25">
      <c r="B107" s="89">
        <v>45777</v>
      </c>
      <c r="C107" s="41">
        <v>1</v>
      </c>
      <c r="D107" s="42">
        <v>3</v>
      </c>
      <c r="E107" s="43">
        <v>8216</v>
      </c>
      <c r="F107" s="92">
        <v>30710449658</v>
      </c>
      <c r="G107" s="93" t="str">
        <f>IFERROR(IF(compras_mes4[[#This Row],[CUIT]]="","-",VLOOKUP(compras_mes4[[#This Row],[CUIT]],Lista_CUIT[#All],2,0)),"CUIT NO CARGADO")</f>
        <v>PORTUMAT  S.R.L.</v>
      </c>
      <c r="H107" s="94">
        <v>99173.56</v>
      </c>
      <c r="I107" s="85">
        <f>IF(compras_mes4[[#This Row],[NETO GRAVADO]]="","",compras_mes4[[#This Row],[NETO GRAVADO]]*0.21)</f>
        <v>20826.4476</v>
      </c>
      <c r="J107" s="86"/>
      <c r="K107" s="86"/>
      <c r="L107" s="86"/>
      <c r="M107" s="86"/>
      <c r="N107" s="86"/>
      <c r="O107" s="86"/>
      <c r="P107" s="87">
        <f>SUM(compras_mes4[[#This Row],[NETO GRAVADO]:[Otros / No Grav.]])</f>
        <v>120000.0076</v>
      </c>
      <c r="Q107" s="88" t="str">
        <f>IFERROR(IF(compras_mes4[[#This Row],[CUIT]]="","-",VLOOKUP(compras_mes4[[#This Row],[CUIT]],Lista_CUIT[#All],3,0)),"CUIT NO CARGADO")</f>
        <v>Insumos</v>
      </c>
      <c r="R107" s="88">
        <f>IFERROR(IF(compras_mes4[[#This Row],[CUIT]]="","-",VLOOKUP(compras_mes4[[#This Row],[CUIT]],Lista_CUIT[#All],4,0)),"CUIT NO CARGADO")</f>
        <v>0</v>
      </c>
    </row>
    <row r="108" spans="2:18" x14ac:dyDescent="0.25">
      <c r="B108" s="40">
        <v>45777</v>
      </c>
      <c r="C108" s="41">
        <v>1</v>
      </c>
      <c r="D108" s="42">
        <v>6</v>
      </c>
      <c r="E108" s="43">
        <v>48</v>
      </c>
      <c r="F108" s="44">
        <v>30716401541</v>
      </c>
      <c r="G108" s="45" t="str">
        <f>IFERROR(IF(compras_mes4[[#This Row],[CUIT]]="","-",VLOOKUP(compras_mes4[[#This Row],[CUIT]],Lista_CUIT[#All],2,0)),"CUIT NO CARGADO")</f>
        <v>HIGH MOBILITY S.A.S.</v>
      </c>
      <c r="H108" s="46">
        <v>1738709</v>
      </c>
      <c r="I108" s="85">
        <f>IF(compras_mes4[[#This Row],[NETO GRAVADO]]="","",compras_mes4[[#This Row],[NETO GRAVADO]]*0.21)</f>
        <v>365128.89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2103837.89</v>
      </c>
      <c r="Q108" s="49" t="str">
        <f>IFERROR(IF(compras_mes4[[#This Row],[CUIT]]="","-",VLOOKUP(compras_mes4[[#This Row],[CUIT]],Lista_CUIT[#All],3,0)),"CUIT NO CARGADO")</f>
        <v>Insumos</v>
      </c>
      <c r="R108" s="49">
        <f>IFERROR(IF(compras_mes4[[#This Row],[CUIT]]="","-",VLOOKUP(compras_mes4[[#This Row],[CUIT]],Lista_CUIT[#All],4,0)),"CUIT NO CARGADO")</f>
        <v>0</v>
      </c>
    </row>
    <row r="109" spans="2:18" x14ac:dyDescent="0.25">
      <c r="B109" s="40">
        <v>45777</v>
      </c>
      <c r="C109" s="41">
        <v>1</v>
      </c>
      <c r="D109" s="42">
        <v>6</v>
      </c>
      <c r="E109" s="43">
        <v>19419509</v>
      </c>
      <c r="F109" s="44">
        <v>30620177497</v>
      </c>
      <c r="G109" s="45" t="str">
        <f>IFERROR(IF(compras_mes4[[#This Row],[CUIT]]="","-",VLOOKUP(compras_mes4[[#This Row],[CUIT]],Lista_CUIT[#All],2,0)),"CUIT NO CARGADO")</f>
        <v>POSNET SOCIEDAD DE RESPONSABILIDAD LIMITADA</v>
      </c>
      <c r="H109" s="46">
        <v>31893.79</v>
      </c>
      <c r="I109" s="85">
        <f>IF(compras_mes4[[#This Row],[NETO GRAVADO]]="","",compras_mes4[[#This Row],[NETO GRAVADO]]*0.21)</f>
        <v>6697.6958999999997</v>
      </c>
      <c r="J109" s="85"/>
      <c r="K109" s="85"/>
      <c r="L109" s="85"/>
      <c r="M109" s="85"/>
      <c r="N109" s="85"/>
      <c r="O109" s="85"/>
      <c r="P109" s="48">
        <f>SUM(compras_mes4[[#This Row],[NETO GRAVADO]:[Otros / No Grav.]])</f>
        <v>38591.4859</v>
      </c>
      <c r="Q109" s="49" t="str">
        <f>IFERROR(IF(compras_mes4[[#This Row],[CUIT]]="","-",VLOOKUP(compras_mes4[[#This Row],[CUIT]],Lista_CUIT[#All],3,0)),"CUIT NO CARGADO")</f>
        <v>Gastos Varios</v>
      </c>
      <c r="R109" s="49">
        <f>IFERROR(IF(compras_mes4[[#This Row],[CUIT]]="","-",VLOOKUP(compras_mes4[[#This Row],[CUIT]],Lista_CUIT[#All],4,0)),"CUIT NO CARGADO")</f>
        <v>0</v>
      </c>
    </row>
    <row r="110" spans="2:18" x14ac:dyDescent="0.25">
      <c r="B110" s="89">
        <v>45777</v>
      </c>
      <c r="C110" s="41">
        <v>1</v>
      </c>
      <c r="D110" s="90">
        <v>32</v>
      </c>
      <c r="E110" s="43">
        <v>161116</v>
      </c>
      <c r="F110" s="92">
        <v>30708847247</v>
      </c>
      <c r="G110" s="93" t="str">
        <f>IFERROR(IF(compras_mes4[[#This Row],[CUIT]]="","-",VLOOKUP(compras_mes4[[#This Row],[CUIT]],Lista_CUIT[#All],2,0)),"CUIT NO CARGADO")</f>
        <v>TOAGRA SRL</v>
      </c>
      <c r="H110" s="94">
        <v>15342.16</v>
      </c>
      <c r="I110" s="85">
        <f>IF(compras_mes4[[#This Row],[NETO GRAVADO]]="","",compras_mes4[[#This Row],[NETO GRAVADO]]*0.21)</f>
        <v>3221.8535999999999</v>
      </c>
      <c r="J110" s="86"/>
      <c r="K110" s="86"/>
      <c r="L110" s="86"/>
      <c r="M110" s="86"/>
      <c r="N110" s="86"/>
      <c r="O110" s="86"/>
      <c r="P110" s="87">
        <f>SUM(compras_mes4[[#This Row],[NETO GRAVADO]:[Otros / No Grav.]])</f>
        <v>18564.013599999998</v>
      </c>
      <c r="Q110" s="88" t="str">
        <f>IFERROR(IF(compras_mes4[[#This Row],[CUIT]]="","-",VLOOKUP(compras_mes4[[#This Row],[CUIT]],Lista_CUIT[#All],3,0)),"CUIT NO CARGADO")</f>
        <v>FLETE</v>
      </c>
      <c r="R110" s="88">
        <f>IFERROR(IF(compras_mes4[[#This Row],[CUIT]]="","-",VLOOKUP(compras_mes4[[#This Row],[CUIT]],Lista_CUIT[#All],4,0)),"CUIT NO CARGADO")</f>
        <v>0</v>
      </c>
    </row>
    <row r="111" spans="2:18" x14ac:dyDescent="0.25">
      <c r="B111" s="40">
        <v>45777</v>
      </c>
      <c r="C111" s="41">
        <v>1</v>
      </c>
      <c r="D111" s="42">
        <v>32</v>
      </c>
      <c r="E111" s="43">
        <v>161117</v>
      </c>
      <c r="F111" s="44">
        <v>30708847247</v>
      </c>
      <c r="G111" s="45" t="str">
        <f>IFERROR(IF(compras_mes4[[#This Row],[CUIT]]="","-",VLOOKUP(compras_mes4[[#This Row],[CUIT]],Lista_CUIT[#All],2,0)),"CUIT NO CARGADO")</f>
        <v>TOAGRA SRL</v>
      </c>
      <c r="H111" s="46">
        <v>15342.16</v>
      </c>
      <c r="I111" s="85">
        <f>IF(compras_mes4[[#This Row],[NETO GRAVADO]]="","",compras_mes4[[#This Row],[NETO GRAVADO]]*0.21)</f>
        <v>3221.8535999999999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18564.013599999998</v>
      </c>
      <c r="Q111" s="49" t="str">
        <f>IFERROR(IF(compras_mes4[[#This Row],[CUIT]]="","-",VLOOKUP(compras_mes4[[#This Row],[CUIT]],Lista_CUIT[#All],3,0)),"CUIT NO CARGADO")</f>
        <v>FLETE</v>
      </c>
      <c r="R111" s="49">
        <f>IFERROR(IF(compras_mes4[[#This Row],[CUIT]]="","-",VLOOKUP(compras_mes4[[#This Row],[CUIT]],Lista_CUIT[#All],4,0)),"CUIT NO CARGADO")</f>
        <v>0</v>
      </c>
    </row>
    <row r="112" spans="2:18" x14ac:dyDescent="0.25">
      <c r="B112" s="40">
        <v>45777</v>
      </c>
      <c r="C112" s="41">
        <v>1</v>
      </c>
      <c r="D112" s="42">
        <v>50</v>
      </c>
      <c r="E112" s="43">
        <v>4308216</v>
      </c>
      <c r="F112" s="44">
        <v>30714112836</v>
      </c>
      <c r="G112" s="45" t="str">
        <f>IFERROR(IF(compras_mes4[[#This Row],[CUIT]]="","-",VLOOKUP(compras_mes4[[#This Row],[CUIT]],Lista_CUIT[#All],2,0)),"CUIT NO CARGADO")</f>
        <v>AUTOPISTAS DE BUENOS AIRES (AUBASA) SA</v>
      </c>
      <c r="H112" s="46">
        <v>8566.66</v>
      </c>
      <c r="I112" s="85">
        <f>IF(compras_mes4[[#This Row],[NETO GRAVADO]]="","",compras_mes4[[#This Row],[NETO GRAVADO]]*0.21)</f>
        <v>1798.9985999999999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10365.658599999999</v>
      </c>
      <c r="Q112" s="49" t="str">
        <f>IFERROR(IF(compras_mes4[[#This Row],[CUIT]]="","-",VLOOKUP(compras_mes4[[#This Row],[CUIT]],Lista_CUIT[#All],3,0)),"CUIT NO CARGADO")</f>
        <v>Autopista</v>
      </c>
      <c r="R112" s="49">
        <f>IFERROR(IF(compras_mes4[[#This Row],[CUIT]]="","-",VLOOKUP(compras_mes4[[#This Row],[CUIT]],Lista_CUIT[#All],4,0)),"CUIT NO CARGADO")</f>
        <v>0</v>
      </c>
    </row>
    <row r="113" spans="2:18" x14ac:dyDescent="0.25">
      <c r="B113" s="40">
        <v>45777</v>
      </c>
      <c r="C113" s="41">
        <v>1</v>
      </c>
      <c r="D113" s="42">
        <v>58</v>
      </c>
      <c r="E113" s="43">
        <v>212998</v>
      </c>
      <c r="F113" s="44">
        <v>30703088534</v>
      </c>
      <c r="G113" s="45" t="str">
        <f>IFERROR(IF(compras_mes4[[#This Row],[CUIT]]="","-",VLOOKUP(compras_mes4[[#This Row],[CUIT]],Lista_CUIT[#All],2,0)),"CUIT NO CARGADO")</f>
        <v>MERCADO LIBRE SRL</v>
      </c>
      <c r="H113" s="46">
        <v>123590.08</v>
      </c>
      <c r="I113" s="85">
        <f>IF(compras_mes4[[#This Row],[NETO GRAVADO]]="","",compras_mes4[[#This Row],[NETO GRAVADO]]*0.21)</f>
        <v>25953.916799999999</v>
      </c>
      <c r="J113" s="85"/>
      <c r="K113" s="85"/>
      <c r="L113" s="85"/>
      <c r="M113" s="85"/>
      <c r="N113" s="85"/>
      <c r="O113" s="85"/>
      <c r="P113" s="48">
        <f>SUM(compras_mes4[[#This Row],[NETO GRAVADO]:[Otros / No Grav.]])</f>
        <v>149543.99679999999</v>
      </c>
      <c r="Q113" s="49" t="str">
        <f>IFERROR(IF(compras_mes4[[#This Row],[CUIT]]="","-",VLOOKUP(compras_mes4[[#This Row],[CUIT]],Lista_CUIT[#All],3,0)),"CUIT NO CARGADO")</f>
        <v>PLATAFORMA ONLINE</v>
      </c>
      <c r="R113" s="49">
        <f>IFERROR(IF(compras_mes4[[#This Row],[CUIT]]="","-",VLOOKUP(compras_mes4[[#This Row],[CUIT]],Lista_CUIT[#All],4,0)),"CUIT NO CARGADO")</f>
        <v>0</v>
      </c>
    </row>
    <row r="114" spans="2:18" x14ac:dyDescent="0.25">
      <c r="B114" s="40">
        <v>45776</v>
      </c>
      <c r="C114" s="41">
        <v>1</v>
      </c>
      <c r="D114" s="42">
        <v>62</v>
      </c>
      <c r="E114" s="43">
        <v>241803</v>
      </c>
      <c r="F114" s="44">
        <v>30703088534</v>
      </c>
      <c r="G114" s="45" t="str">
        <f>IFERROR(IF(compras_mes4[[#This Row],[CUIT]]="","-",VLOOKUP(compras_mes4[[#This Row],[CUIT]],Lista_CUIT[#All],2,0)),"CUIT NO CARGADO")</f>
        <v>MERCADO LIBRE SRL</v>
      </c>
      <c r="H114" s="46">
        <v>77439.19</v>
      </c>
      <c r="I114" s="85">
        <f>IF(compras_mes4[[#This Row],[NETO GRAVADO]]="","",compras_mes4[[#This Row],[NETO GRAVADO]]*0.21)</f>
        <v>16262.2299</v>
      </c>
      <c r="J114" s="85"/>
      <c r="K114" s="85"/>
      <c r="L114" s="85"/>
      <c r="M114" s="85"/>
      <c r="N114" s="85"/>
      <c r="O114" s="85"/>
      <c r="P114" s="48">
        <f>SUM(compras_mes4[[#This Row],[NETO GRAVADO]:[Otros / No Grav.]])</f>
        <v>93701.419900000008</v>
      </c>
      <c r="Q114" s="49" t="str">
        <f>IFERROR(IF(compras_mes4[[#This Row],[CUIT]]="","-",VLOOKUP(compras_mes4[[#This Row],[CUIT]],Lista_CUIT[#All],3,0)),"CUIT NO CARGADO")</f>
        <v>PLATAFORMA ONLINE</v>
      </c>
      <c r="R114" s="49">
        <f>IFERROR(IF(compras_mes4[[#This Row],[CUIT]]="","-",VLOOKUP(compras_mes4[[#This Row],[CUIT]],Lista_CUIT[#All],4,0)),"CUIT NO CARGADO")</f>
        <v>0</v>
      </c>
    </row>
    <row r="115" spans="2:18" x14ac:dyDescent="0.25">
      <c r="B115" s="40">
        <v>45777</v>
      </c>
      <c r="C115" s="41">
        <v>1</v>
      </c>
      <c r="D115" s="42">
        <v>113</v>
      </c>
      <c r="E115" s="43">
        <v>4205467</v>
      </c>
      <c r="F115" s="44">
        <v>30577207190</v>
      </c>
      <c r="G115" s="45" t="str">
        <f>IFERROR(IF(compras_mes4[[#This Row],[CUIT]]="","-",VLOOKUP(compras_mes4[[#This Row],[CUIT]],Lista_CUIT[#All],2,0)),"CUIT NO CARGADO")</f>
        <v>COORDINACION ECOLOGICA AREA METROPOLITANA SOCIEDAD DEL ESTADO</v>
      </c>
      <c r="H115" s="46">
        <v>2479.34</v>
      </c>
      <c r="I115" s="85">
        <f>IF(compras_mes4[[#This Row],[NETO GRAVADO]]="","",compras_mes4[[#This Row],[NETO GRAVADO]]*0.21)</f>
        <v>520.66139999999996</v>
      </c>
      <c r="J115" s="85"/>
      <c r="K115" s="85"/>
      <c r="L115" s="85"/>
      <c r="M115" s="85"/>
      <c r="N115" s="85"/>
      <c r="O115" s="85"/>
      <c r="P115" s="48">
        <f>SUM(compras_mes4[[#This Row],[NETO GRAVADO]:[Otros / No Grav.]])</f>
        <v>3000.0014000000001</v>
      </c>
      <c r="Q115" s="49" t="str">
        <f>IFERROR(IF(compras_mes4[[#This Row],[CUIT]]="","-",VLOOKUP(compras_mes4[[#This Row],[CUIT]],Lista_CUIT[#All],3,0)),"CUIT NO CARGADO")</f>
        <v>gastos varios</v>
      </c>
      <c r="R115" s="49">
        <f>IFERROR(IF(compras_mes4[[#This Row],[CUIT]]="","-",VLOOKUP(compras_mes4[[#This Row],[CUIT]],Lista_CUIT[#All],4,0)),"CUIT NO CARGADO")</f>
        <v>0</v>
      </c>
    </row>
    <row r="116" spans="2:18" x14ac:dyDescent="0.25">
      <c r="B116" s="40">
        <v>45777</v>
      </c>
      <c r="C116" s="41">
        <v>1</v>
      </c>
      <c r="D116" s="42">
        <v>5015</v>
      </c>
      <c r="E116" s="43">
        <v>832362</v>
      </c>
      <c r="F116" s="44">
        <v>30574876474</v>
      </c>
      <c r="G116" s="45" t="str">
        <f>IFERROR(IF(compras_mes4[[#This Row],[CUIT]]="","-",VLOOKUP(compras_mes4[[#This Row],[CUIT]],Lista_CUIT[#All],2,0)),"CUIT NO CARGADO")</f>
        <v>AUTOP. URBANAS SA</v>
      </c>
      <c r="H116" s="46">
        <v>82310.490000000005</v>
      </c>
      <c r="I116" s="85">
        <f>IF(compras_mes4[[#This Row],[NETO GRAVADO]]="","",compras_mes4[[#This Row],[NETO GRAVADO]]*0.21)</f>
        <v>17285.2029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99595.692900000009</v>
      </c>
      <c r="Q116" s="49" t="str">
        <f>IFERROR(IF(compras_mes4[[#This Row],[CUIT]]="","-",VLOOKUP(compras_mes4[[#This Row],[CUIT]],Lista_CUIT[#All],3,0)),"CUIT NO CARGADO")</f>
        <v>PEAJE</v>
      </c>
      <c r="R116" s="49">
        <f>IFERROR(IF(compras_mes4[[#This Row],[CUIT]]="","-",VLOOKUP(compras_mes4[[#This Row],[CUIT]],Lista_CUIT[#All],4,0)),"CUIT NO CARGADO")</f>
        <v>0</v>
      </c>
    </row>
    <row r="117" spans="2:18" x14ac:dyDescent="0.25">
      <c r="B117" s="453">
        <v>45761</v>
      </c>
      <c r="C117" s="454">
        <v>1</v>
      </c>
      <c r="D117" s="455">
        <v>7</v>
      </c>
      <c r="E117" s="456">
        <v>30</v>
      </c>
      <c r="F117" s="457">
        <v>27325223273</v>
      </c>
      <c r="G117" s="458" t="str">
        <f>IFERROR(IF(compras_mes4[[#This Row],[CUIT]]="","-",VLOOKUP(compras_mes4[[#This Row],[CUIT]],Lista_CUIT[#All],2,0)),"CUIT NO CARGADO")</f>
        <v>SOUSA ALDERETE ALEJANDRA MABEL</v>
      </c>
      <c r="H117" s="459">
        <v>414596.62</v>
      </c>
      <c r="I117" s="460">
        <f>IF(compras_mes4[[#This Row],[NETO GRAVADO]]="","",compras_mes4[[#This Row],[NETO GRAVADO]]*0.21)</f>
        <v>87065.290199999989</v>
      </c>
      <c r="J117" s="460"/>
      <c r="K117" s="460"/>
      <c r="L117" s="460"/>
      <c r="M117" s="460"/>
      <c r="N117" s="460"/>
      <c r="O117" s="460"/>
      <c r="P117" s="461">
        <f>SUM(compras_mes4[[#This Row],[NETO GRAVADO]:[Otros / No Grav.]])</f>
        <v>501661.91019999998</v>
      </c>
      <c r="Q117" s="462" t="str">
        <f>IFERROR(IF(compras_mes4[[#This Row],[CUIT]]="","-",VLOOKUP(compras_mes4[[#This Row],[CUIT]],Lista_CUIT[#All],3,0)),"CUIT NO CARGADO")</f>
        <v>Insumos</v>
      </c>
      <c r="R117" s="462">
        <f>IFERROR(IF(compras_mes4[[#This Row],[CUIT]]="","-",VLOOKUP(compras_mes4[[#This Row],[CUIT]],Lista_CUIT[#All],4,0)),"CUIT NO CARGADO")</f>
        <v>0</v>
      </c>
    </row>
    <row r="118" spans="2:18" x14ac:dyDescent="0.25">
      <c r="B118" s="463">
        <v>45761</v>
      </c>
      <c r="C118" s="454">
        <v>1</v>
      </c>
      <c r="D118" s="455">
        <v>7</v>
      </c>
      <c r="E118" s="456">
        <v>31</v>
      </c>
      <c r="F118" s="457">
        <v>27325223273</v>
      </c>
      <c r="G118" s="458" t="str">
        <f>IFERROR(IF(compras_mes4[[#This Row],[CUIT]]="","-",VLOOKUP(compras_mes4[[#This Row],[CUIT]],Lista_CUIT[#All],2,0)),"CUIT NO CARGADO")</f>
        <v>SOUSA ALDERETE ALEJANDRA MABEL</v>
      </c>
      <c r="H118" s="459">
        <v>20000</v>
      </c>
      <c r="I118" s="460">
        <f>IF(compras_mes4[[#This Row],[NETO GRAVADO]]="","",compras_mes4[[#This Row],[NETO GRAVADO]]*0.21)</f>
        <v>4200</v>
      </c>
      <c r="J118" s="460"/>
      <c r="K118" s="460"/>
      <c r="L118" s="460"/>
      <c r="M118" s="460"/>
      <c r="N118" s="460"/>
      <c r="O118" s="460"/>
      <c r="P118" s="461">
        <f>SUM(compras_mes4[[#This Row],[NETO GRAVADO]:[Otros / No Grav.]])</f>
        <v>24200</v>
      </c>
      <c r="Q118" s="462" t="str">
        <f>IFERROR(IF(compras_mes4[[#This Row],[CUIT]]="","-",VLOOKUP(compras_mes4[[#This Row],[CUIT]],Lista_CUIT[#All],3,0)),"CUIT NO CARGADO")</f>
        <v>Insumos</v>
      </c>
      <c r="R118" s="462">
        <f>IFERROR(IF(compras_mes4[[#This Row],[CUIT]]="","-",VLOOKUP(compras_mes4[[#This Row],[CUIT]],Lista_CUIT[#All],4,0)),"CUIT NO CARGADO")</f>
        <v>0</v>
      </c>
    </row>
    <row r="119" spans="2:18" x14ac:dyDescent="0.25">
      <c r="B119" s="463">
        <v>45761</v>
      </c>
      <c r="C119" s="454">
        <v>3</v>
      </c>
      <c r="D119" s="455">
        <v>7</v>
      </c>
      <c r="E119" s="456">
        <v>5</v>
      </c>
      <c r="F119" s="457">
        <v>27325223273</v>
      </c>
      <c r="G119" s="458" t="str">
        <f>IFERROR(IF(compras_mes4[[#This Row],[CUIT]]="","-",VLOOKUP(compras_mes4[[#This Row],[CUIT]],Lista_CUIT[#All],2,0)),"CUIT NO CARGADO")</f>
        <v>SOUSA ALDERETE ALEJANDRA MABEL</v>
      </c>
      <c r="H119" s="459">
        <v>-20000</v>
      </c>
      <c r="I119" s="460">
        <f>IF(compras_mes4[[#This Row],[NETO GRAVADO]]="","",compras_mes4[[#This Row],[NETO GRAVADO]]*0.21)</f>
        <v>-4200</v>
      </c>
      <c r="J119" s="460"/>
      <c r="K119" s="460"/>
      <c r="L119" s="460"/>
      <c r="M119" s="460"/>
      <c r="N119" s="460"/>
      <c r="O119" s="460"/>
      <c r="P119" s="461">
        <f>SUM(compras_mes4[[#This Row],[NETO GRAVADO]:[Otros / No Grav.]])</f>
        <v>-24200</v>
      </c>
      <c r="Q119" s="462" t="str">
        <f>IFERROR(IF(compras_mes4[[#This Row],[CUIT]]="","-",VLOOKUP(compras_mes4[[#This Row],[CUIT]],Lista_CUIT[#All],3,0)),"CUIT NO CARGADO")</f>
        <v>Insumos</v>
      </c>
      <c r="R119" s="462">
        <f>IFERROR(IF(compras_mes4[[#This Row],[CUIT]]="","-",VLOOKUP(compras_mes4[[#This Row],[CUIT]],Lista_CUIT[#All],4,0)),"CUIT NO CARGADO")</f>
        <v>0</v>
      </c>
    </row>
    <row r="120" spans="2:18" x14ac:dyDescent="0.25">
      <c r="B120" s="463">
        <v>45761</v>
      </c>
      <c r="C120" s="454">
        <v>3</v>
      </c>
      <c r="D120" s="455">
        <v>7</v>
      </c>
      <c r="E120" s="456">
        <v>4</v>
      </c>
      <c r="F120" s="457">
        <v>27325223273</v>
      </c>
      <c r="G120" s="458" t="str">
        <f>IFERROR(IF(compras_mes4[[#This Row],[CUIT]]="","-",VLOOKUP(compras_mes4[[#This Row],[CUIT]],Lista_CUIT[#All],2,0)),"CUIT NO CARGADO")</f>
        <v>SOUSA ALDERETE ALEJANDRA MABEL</v>
      </c>
      <c r="H120" s="459">
        <v>-414596.62</v>
      </c>
      <c r="I120" s="460">
        <f>IF(compras_mes4[[#This Row],[NETO GRAVADO]]="","",compras_mes4[[#This Row],[NETO GRAVADO]]*0.21)</f>
        <v>-87065.290199999989</v>
      </c>
      <c r="J120" s="460"/>
      <c r="K120" s="460"/>
      <c r="L120" s="460"/>
      <c r="M120" s="460"/>
      <c r="N120" s="460"/>
      <c r="O120" s="460"/>
      <c r="P120" s="461">
        <f>SUM(compras_mes4[[#This Row],[NETO GRAVADO]:[Otros / No Grav.]])</f>
        <v>-501661.91019999998</v>
      </c>
      <c r="Q120" s="462" t="str">
        <f>IFERROR(IF(compras_mes4[[#This Row],[CUIT]]="","-",VLOOKUP(compras_mes4[[#This Row],[CUIT]],Lista_CUIT[#All],3,0)),"CUIT NO CARGADO")</f>
        <v>Insumos</v>
      </c>
      <c r="R120" s="462">
        <f>IFERROR(IF(compras_mes4[[#This Row],[CUIT]]="","-",VLOOKUP(compras_mes4[[#This Row],[CUIT]],Lista_CUIT[#All],4,0)),"CUIT NO CARGADO")</f>
        <v>0</v>
      </c>
    </row>
    <row r="121" spans="2:18" x14ac:dyDescent="0.25">
      <c r="B121" s="463">
        <v>45762</v>
      </c>
      <c r="C121" s="454">
        <v>1</v>
      </c>
      <c r="D121" s="455">
        <v>6</v>
      </c>
      <c r="E121" s="456">
        <v>21834</v>
      </c>
      <c r="F121" s="457">
        <v>33715594949</v>
      </c>
      <c r="G121" s="458" t="str">
        <f>IFERROR(IF(compras_mes4[[#This Row],[CUIT]]="","-",VLOOKUP(compras_mes4[[#This Row],[CUIT]],Lista_CUIT[#All],2,0)),"CUIT NO CARGADO")</f>
        <v>SOMOS ENERGIA SA</v>
      </c>
      <c r="H121" s="459">
        <v>37074.43</v>
      </c>
      <c r="I121" s="460">
        <f>IF(compras_mes4[[#This Row],[NETO GRAVADO]]="","",compras_mes4[[#This Row],[NETO GRAVADO]]*0.21)</f>
        <v>7785.6302999999998</v>
      </c>
      <c r="J121" s="460"/>
      <c r="K121" s="460"/>
      <c r="L121" s="460"/>
      <c r="M121" s="460"/>
      <c r="N121" s="460"/>
      <c r="O121" s="460"/>
      <c r="P121" s="461">
        <f>SUM(compras_mes4[[#This Row],[NETO GRAVADO]:[Otros / No Grav.]])</f>
        <v>44860.060299999997</v>
      </c>
      <c r="Q121" s="462" t="str">
        <f>IFERROR(IF(compras_mes4[[#This Row],[CUIT]]="","-",VLOOKUP(compras_mes4[[#This Row],[CUIT]],Lista_CUIT[#All],3,0)),"CUIT NO CARGADO")</f>
        <v>COMBUSTIBLE</v>
      </c>
      <c r="R121" s="462">
        <f>IFERROR(IF(compras_mes4[[#This Row],[CUIT]]="","-",VLOOKUP(compras_mes4[[#This Row],[CUIT]],Lista_CUIT[#All],4,0)),"CUIT NO CARGADO")</f>
        <v>0</v>
      </c>
    </row>
    <row r="122" spans="2:18" x14ac:dyDescent="0.25">
      <c r="B122" s="463">
        <v>45763</v>
      </c>
      <c r="C122" s="454">
        <v>1</v>
      </c>
      <c r="D122" s="455">
        <v>3</v>
      </c>
      <c r="E122" s="456">
        <v>8851</v>
      </c>
      <c r="F122" s="457">
        <v>33708218699</v>
      </c>
      <c r="G122" s="458" t="str">
        <f>IFERROR(IF(compras_mes4[[#This Row],[CUIT]]="","-",VLOOKUP(compras_mes4[[#This Row],[CUIT]],Lista_CUIT[#All],2,0)),"CUIT NO CARGADO")</f>
        <v>MANGGINI PABLO Y MANGGINI ULISES SOC. DE HECHO.</v>
      </c>
      <c r="H122" s="459">
        <v>24000</v>
      </c>
      <c r="I122" s="460">
        <f>IF(compras_mes4[[#This Row],[NETO GRAVADO]]="","",compras_mes4[[#This Row],[NETO GRAVADO]]*0.21)</f>
        <v>5040</v>
      </c>
      <c r="J122" s="460"/>
      <c r="K122" s="460"/>
      <c r="L122" s="460"/>
      <c r="M122" s="460"/>
      <c r="N122" s="460"/>
      <c r="O122" s="460"/>
      <c r="P122" s="461">
        <f>SUM(compras_mes4[[#This Row],[NETO GRAVADO]:[Otros / No Grav.]])</f>
        <v>29040</v>
      </c>
      <c r="Q122" s="462" t="str">
        <f>IFERROR(IF(compras_mes4[[#This Row],[CUIT]]="","-",VLOOKUP(compras_mes4[[#This Row],[CUIT]],Lista_CUIT[#All],3,0)),"CUIT NO CARGADO")</f>
        <v>SERVICIO</v>
      </c>
      <c r="R122" s="462">
        <f>IFERROR(IF(compras_mes4[[#This Row],[CUIT]]="","-",VLOOKUP(compras_mes4[[#This Row],[CUIT]],Lista_CUIT[#All],4,0)),"CUIT NO CARGADO")</f>
        <v>0</v>
      </c>
    </row>
    <row r="123" spans="2:18" x14ac:dyDescent="0.25">
      <c r="B123" s="463">
        <v>45763</v>
      </c>
      <c r="C123" s="454">
        <v>1</v>
      </c>
      <c r="D123" s="455">
        <v>1001</v>
      </c>
      <c r="E123" s="456">
        <v>529</v>
      </c>
      <c r="F123" s="457">
        <v>30707370552</v>
      </c>
      <c r="G123" s="458" t="str">
        <f>IFERROR(IF(compras_mes4[[#This Row],[CUIT]]="","-",VLOOKUP(compras_mes4[[#This Row],[CUIT]],Lista_CUIT[#All],2,0)),"CUIT NO CARGADO")</f>
        <v>RAKE SA</v>
      </c>
      <c r="H123" s="459">
        <v>1198760.33</v>
      </c>
      <c r="I123" s="460">
        <f>IF(compras_mes4[[#This Row],[NETO GRAVADO]]="","",compras_mes4[[#This Row],[NETO GRAVADO]]*0.21)</f>
        <v>251739.66930000001</v>
      </c>
      <c r="J123" s="460"/>
      <c r="K123" s="460"/>
      <c r="L123" s="460"/>
      <c r="M123" s="460"/>
      <c r="N123" s="460"/>
      <c r="O123" s="460"/>
      <c r="P123" s="461">
        <f>SUM(compras_mes4[[#This Row],[NETO GRAVADO]:[Otros / No Grav.]])</f>
        <v>1450499.9993</v>
      </c>
      <c r="Q123" s="462" t="str">
        <f>IFERROR(IF(compras_mes4[[#This Row],[CUIT]]="","-",VLOOKUP(compras_mes4[[#This Row],[CUIT]],Lista_CUIT[#All],3,0)),"CUIT NO CARGADO")</f>
        <v>GASTOS VARIOS</v>
      </c>
      <c r="R123" s="462">
        <f>IFERROR(IF(compras_mes4[[#This Row],[CUIT]]="","-",VLOOKUP(compras_mes4[[#This Row],[CUIT]],Lista_CUIT[#All],4,0)),"CUIT NO CARGADO")</f>
        <v>0</v>
      </c>
    </row>
    <row r="124" spans="2:18" x14ac:dyDescent="0.25">
      <c r="B124" s="463">
        <v>45763</v>
      </c>
      <c r="C124" s="454">
        <v>3</v>
      </c>
      <c r="D124" s="455">
        <v>1001</v>
      </c>
      <c r="E124" s="456">
        <v>21</v>
      </c>
      <c r="F124" s="457">
        <v>30707370552</v>
      </c>
      <c r="G124" s="458" t="str">
        <f>IFERROR(IF(compras_mes4[[#This Row],[CUIT]]="","-",VLOOKUP(compras_mes4[[#This Row],[CUIT]],Lista_CUIT[#All],2,0)),"CUIT NO CARGADO")</f>
        <v>RAKE SA</v>
      </c>
      <c r="H124" s="459">
        <v>-1198760.33</v>
      </c>
      <c r="I124" s="460">
        <f>IF(compras_mes4[[#This Row],[NETO GRAVADO]]="","",compras_mes4[[#This Row],[NETO GRAVADO]]*0.21)</f>
        <v>-251739.66930000001</v>
      </c>
      <c r="J124" s="460"/>
      <c r="K124" s="460"/>
      <c r="L124" s="460"/>
      <c r="M124" s="460"/>
      <c r="N124" s="460"/>
      <c r="O124" s="460"/>
      <c r="P124" s="461">
        <f>SUM(compras_mes4[[#This Row],[NETO GRAVADO]:[Otros / No Grav.]])</f>
        <v>-1450499.9993</v>
      </c>
      <c r="Q124" s="462" t="str">
        <f>IFERROR(IF(compras_mes4[[#This Row],[CUIT]]="","-",VLOOKUP(compras_mes4[[#This Row],[CUIT]],Lista_CUIT[#All],3,0)),"CUIT NO CARGADO")</f>
        <v>GASTOS VARIOS</v>
      </c>
      <c r="R124" s="462">
        <f>IFERROR(IF(compras_mes4[[#This Row],[CUIT]]="","-",VLOOKUP(compras_mes4[[#This Row],[CUIT]],Lista_CUIT[#All],4,0)),"CUIT NO CARGADO")</f>
        <v>0</v>
      </c>
    </row>
    <row r="125" spans="2:18" x14ac:dyDescent="0.25">
      <c r="B125" s="463">
        <v>45767</v>
      </c>
      <c r="C125" s="454">
        <v>1</v>
      </c>
      <c r="D125" s="455">
        <v>6</v>
      </c>
      <c r="E125" s="456">
        <v>21886</v>
      </c>
      <c r="F125" s="457">
        <v>33715594949</v>
      </c>
      <c r="G125" s="458" t="str">
        <f>IFERROR(IF(compras_mes4[[#This Row],[CUIT]]="","-",VLOOKUP(compras_mes4[[#This Row],[CUIT]],Lista_CUIT[#All],2,0)),"CUIT NO CARGADO")</f>
        <v>SOMOS ENERGIA SA</v>
      </c>
      <c r="H125" s="459">
        <v>29659.52</v>
      </c>
      <c r="I125" s="460">
        <f>IF(compras_mes4[[#This Row],[NETO GRAVADO]]="","",compras_mes4[[#This Row],[NETO GRAVADO]]*0.21)</f>
        <v>6228.4992000000002</v>
      </c>
      <c r="J125" s="460"/>
      <c r="K125" s="460"/>
      <c r="L125" s="460"/>
      <c r="M125" s="460"/>
      <c r="N125" s="460"/>
      <c r="O125" s="460"/>
      <c r="P125" s="461">
        <f>SUM(compras_mes4[[#This Row],[NETO GRAVADO]:[Otros / No Grav.]])</f>
        <v>35888.019200000002</v>
      </c>
      <c r="Q125" s="462" t="str">
        <f>IFERROR(IF(compras_mes4[[#This Row],[CUIT]]="","-",VLOOKUP(compras_mes4[[#This Row],[CUIT]],Lista_CUIT[#All],3,0)),"CUIT NO CARGADO")</f>
        <v>COMBUSTIBLE</v>
      </c>
      <c r="R125" s="462">
        <f>IFERROR(IF(compras_mes4[[#This Row],[CUIT]]="","-",VLOOKUP(compras_mes4[[#This Row],[CUIT]],Lista_CUIT[#All],4,0)),"CUIT NO CARGADO")</f>
        <v>0</v>
      </c>
    </row>
    <row r="126" spans="2:18" x14ac:dyDescent="0.25">
      <c r="B126" s="463">
        <v>45774</v>
      </c>
      <c r="C126" s="454">
        <v>1</v>
      </c>
      <c r="D126" s="455">
        <v>8</v>
      </c>
      <c r="E126" s="456">
        <v>14871</v>
      </c>
      <c r="F126" s="457">
        <v>33715594949</v>
      </c>
      <c r="G126" s="458" t="str">
        <f>IFERROR(IF(compras_mes4[[#This Row],[CUIT]]="","-",VLOOKUP(compras_mes4[[#This Row],[CUIT]],Lista_CUIT[#All],2,0)),"CUIT NO CARGADO")</f>
        <v>SOMOS ENERGIA SA</v>
      </c>
      <c r="H126" s="459">
        <v>36332.9</v>
      </c>
      <c r="I126" s="460">
        <f>IF(compras_mes4[[#This Row],[NETO GRAVADO]]="","",compras_mes4[[#This Row],[NETO GRAVADO]]*0.21)</f>
        <v>7629.9089999999997</v>
      </c>
      <c r="J126" s="460"/>
      <c r="K126" s="460"/>
      <c r="L126" s="460"/>
      <c r="M126" s="460"/>
      <c r="N126" s="460"/>
      <c r="O126" s="460"/>
      <c r="P126" s="461">
        <f>SUM(compras_mes4[[#This Row],[NETO GRAVADO]:[Otros / No Grav.]])</f>
        <v>43962.809000000001</v>
      </c>
      <c r="Q126" s="462" t="str">
        <f>IFERROR(IF(compras_mes4[[#This Row],[CUIT]]="","-",VLOOKUP(compras_mes4[[#This Row],[CUIT]],Lista_CUIT[#All],3,0)),"CUIT NO CARGADO")</f>
        <v>COMBUSTIBLE</v>
      </c>
      <c r="R126" s="462">
        <f>IFERROR(IF(compras_mes4[[#This Row],[CUIT]]="","-",VLOOKUP(compras_mes4[[#This Row],[CUIT]],Lista_CUIT[#All],4,0)),"CUIT NO CARGADO")</f>
        <v>0</v>
      </c>
    </row>
    <row r="127" spans="2:18" x14ac:dyDescent="0.25">
      <c r="B127" s="463">
        <v>45777</v>
      </c>
      <c r="C127" s="454">
        <v>1</v>
      </c>
      <c r="D127" s="455">
        <v>6</v>
      </c>
      <c r="E127" s="456">
        <v>19293379</v>
      </c>
      <c r="F127" s="457">
        <v>30620177497</v>
      </c>
      <c r="G127" s="458" t="str">
        <f>IFERROR(IF(compras_mes4[[#This Row],[CUIT]]="","-",VLOOKUP(compras_mes4[[#This Row],[CUIT]],Lista_CUIT[#All],2,0)),"CUIT NO CARGADO")</f>
        <v>POSNET SOCIEDAD DE RESPONSABILIDAD LIMITADA</v>
      </c>
      <c r="H127" s="459">
        <v>0</v>
      </c>
      <c r="I127" s="460">
        <f>IF(compras_mes4[[#This Row],[NETO GRAVADO]]="","",compras_mes4[[#This Row],[NETO GRAVADO]]*0.21)</f>
        <v>0</v>
      </c>
      <c r="J127" s="460"/>
      <c r="K127" s="460"/>
      <c r="L127" s="460"/>
      <c r="M127" s="460"/>
      <c r="N127" s="460"/>
      <c r="O127" s="460"/>
      <c r="P127" s="461">
        <f>SUM(compras_mes4[[#This Row],[NETO GRAVADO]:[Otros / No Grav.]])</f>
        <v>0</v>
      </c>
      <c r="Q127" s="462" t="str">
        <f>IFERROR(IF(compras_mes4[[#This Row],[CUIT]]="","-",VLOOKUP(compras_mes4[[#This Row],[CUIT]],Lista_CUIT[#All],3,0)),"CUIT NO CARGADO")</f>
        <v>Gastos Varios</v>
      </c>
      <c r="R127" s="462">
        <f>IFERROR(IF(compras_mes4[[#This Row],[CUIT]]="","-",VLOOKUP(compras_mes4[[#This Row],[CUIT]],Lista_CUIT[#All],4,0)),"CUIT NO CARGADO")</f>
        <v>0</v>
      </c>
    </row>
    <row r="128" spans="2:18" x14ac:dyDescent="0.25">
      <c r="B128" s="463">
        <v>45777</v>
      </c>
      <c r="C128" s="454">
        <v>3</v>
      </c>
      <c r="D128" s="455">
        <v>2</v>
      </c>
      <c r="E128" s="456">
        <v>2</v>
      </c>
      <c r="F128" s="457">
        <v>30605344352</v>
      </c>
      <c r="G128" s="458" t="str">
        <f>IFERROR(IF(compras_mes4[[#This Row],[CUIT]]="","-",VLOOKUP(compras_mes4[[#This Row],[CUIT]],Lista_CUIT[#All],2,0)),"CUIT NO CARGADO")</f>
        <v>CONSORCIO BARTOLME MITRE 2466</v>
      </c>
      <c r="H128" s="459">
        <v>-548000</v>
      </c>
      <c r="I128" s="460">
        <f>IF(compras_mes4[[#This Row],[NETO GRAVADO]]="","",compras_mes4[[#This Row],[NETO GRAVADO]]*0.21)</f>
        <v>-115080</v>
      </c>
      <c r="J128" s="460"/>
      <c r="K128" s="460"/>
      <c r="L128" s="460"/>
      <c r="M128" s="460"/>
      <c r="N128" s="460"/>
      <c r="O128" s="460"/>
      <c r="P128" s="461">
        <f>SUM(compras_mes4[[#This Row],[NETO GRAVADO]:[Otros / No Grav.]])</f>
        <v>-663080</v>
      </c>
      <c r="Q128" s="462" t="str">
        <f>IFERROR(IF(compras_mes4[[#This Row],[CUIT]]="","-",VLOOKUP(compras_mes4[[#This Row],[CUIT]],Lista_CUIT[#All],3,0)),"CUIT NO CARGADO")</f>
        <v>ALQUILER LOCAL</v>
      </c>
      <c r="R128" s="462">
        <f>IFERROR(IF(compras_mes4[[#This Row],[CUIT]]="","-",VLOOKUP(compras_mes4[[#This Row],[CUIT]],Lista_CUIT[#All],4,0)),"CUIT NO CARGADO")</f>
        <v>0</v>
      </c>
    </row>
    <row r="129" spans="2:18" x14ac:dyDescent="0.25">
      <c r="B129" s="463">
        <v>45777</v>
      </c>
      <c r="C129" s="454">
        <v>3</v>
      </c>
      <c r="D129" s="455">
        <v>2</v>
      </c>
      <c r="E129" s="456">
        <v>3</v>
      </c>
      <c r="F129" s="457">
        <v>30605344352</v>
      </c>
      <c r="G129" s="458" t="str">
        <f>IFERROR(IF(compras_mes4[[#This Row],[CUIT]]="","-",VLOOKUP(compras_mes4[[#This Row],[CUIT]],Lista_CUIT[#All],2,0)),"CUIT NO CARGADO")</f>
        <v>CONSORCIO BARTOLME MITRE 2466</v>
      </c>
      <c r="H129" s="459">
        <v>-968000</v>
      </c>
      <c r="I129" s="460">
        <f>IF(compras_mes4[[#This Row],[NETO GRAVADO]]="","",compras_mes4[[#This Row],[NETO GRAVADO]]*0.21)</f>
        <v>-203280</v>
      </c>
      <c r="J129" s="460"/>
      <c r="K129" s="460"/>
      <c r="L129" s="460"/>
      <c r="M129" s="460"/>
      <c r="N129" s="460"/>
      <c r="O129" s="460"/>
      <c r="P129" s="461">
        <f>SUM(compras_mes4[[#This Row],[NETO GRAVADO]:[Otros / No Grav.]])</f>
        <v>-1171280</v>
      </c>
      <c r="Q129" s="462" t="str">
        <f>IFERROR(IF(compras_mes4[[#This Row],[CUIT]]="","-",VLOOKUP(compras_mes4[[#This Row],[CUIT]],Lista_CUIT[#All],3,0)),"CUIT NO CARGADO")</f>
        <v>ALQUILER LOCAL</v>
      </c>
      <c r="R129" s="462">
        <f>IFERROR(IF(compras_mes4[[#This Row],[CUIT]]="","-",VLOOKUP(compras_mes4[[#This Row],[CUIT]],Lista_CUIT[#All],4,0)),"CUIT NO CARGADO")</f>
        <v>0</v>
      </c>
    </row>
    <row r="130" spans="2:18" x14ac:dyDescent="0.25">
      <c r="B130" s="450" t="s">
        <v>110</v>
      </c>
      <c r="C130" s="450"/>
      <c r="D130" s="450"/>
      <c r="E130" s="450"/>
      <c r="F130" s="450"/>
      <c r="G130" s="451"/>
      <c r="H130" s="452">
        <f>SUBTOTAL(109,compras_mes4[NETO GRAVADO])</f>
        <v>49774005.089999989</v>
      </c>
      <c r="I130" s="452">
        <f>SUBTOTAL(109,compras_mes4[IVA 21 %])</f>
        <v>9451025.6664999984</v>
      </c>
      <c r="J130" s="452">
        <f>SUBTOTAL(109,compras_mes4[IVA 27%])</f>
        <v>35413.245899999994</v>
      </c>
      <c r="K130" s="452">
        <f>SUBTOTAL(109,compras_mes4[IVA 10,5%])</f>
        <v>486988.26435000001</v>
      </c>
      <c r="L130" s="452">
        <f>SUBTOTAL(109,compras_mes4[PERC. IVA])</f>
        <v>0</v>
      </c>
      <c r="M130" s="452">
        <f>SUBTOTAL(109,compras_mes4[PERC IIBB 
BS AS])</f>
        <v>0</v>
      </c>
      <c r="N130" s="452">
        <f>SUBTOTAL(109,compras_mes4[PERC. IIBB CABA])</f>
        <v>105242.5</v>
      </c>
      <c r="O130" s="452">
        <f>SUBTOTAL(109,compras_mes4[Otros / No Grav.])</f>
        <v>8175.4400000000005</v>
      </c>
      <c r="P130" s="452">
        <f>SUBTOTAL(109,compras_mes4[TOTAL])</f>
        <v>59860850.206749991</v>
      </c>
      <c r="Q130" s="450"/>
      <c r="R130" s="450"/>
    </row>
    <row r="131" spans="2:18" x14ac:dyDescent="0.25">
      <c r="B131" s="40"/>
      <c r="C131" s="41"/>
      <c r="D131" s="42"/>
      <c r="E131" s="43"/>
      <c r="F131" s="44"/>
      <c r="G131" s="45"/>
      <c r="H131" s="46"/>
      <c r="I131" s="47"/>
      <c r="J131" s="47"/>
      <c r="K131" s="47"/>
      <c r="L131" s="47"/>
      <c r="M131" s="47"/>
      <c r="N131" s="47"/>
      <c r="O131" s="47"/>
      <c r="P131" s="48"/>
      <c r="Q131" s="49"/>
      <c r="R131" s="49"/>
    </row>
    <row r="132" spans="2:18" x14ac:dyDescent="0.25">
      <c r="B132" s="40"/>
      <c r="C132" s="41"/>
      <c r="D132" s="42"/>
      <c r="E132" s="43"/>
      <c r="F132" s="44"/>
      <c r="G132" s="45"/>
      <c r="H132" s="46"/>
      <c r="I132" s="47"/>
      <c r="J132" s="47"/>
      <c r="K132" s="47"/>
      <c r="L132" s="47"/>
      <c r="M132" s="47"/>
      <c r="N132" s="47"/>
      <c r="O132" s="47"/>
      <c r="P132" s="48"/>
      <c r="Q132" s="49"/>
      <c r="R132" s="49"/>
    </row>
    <row r="133" spans="2:18" x14ac:dyDescent="0.25">
      <c r="B133" s="40"/>
      <c r="C133" s="41"/>
      <c r="D133" s="42"/>
      <c r="E133" s="43"/>
      <c r="F133">
        <v>30571421352</v>
      </c>
      <c r="G133" s="45"/>
      <c r="H133" s="46"/>
      <c r="I133" s="47"/>
      <c r="J133" s="47"/>
      <c r="K133" s="47"/>
      <c r="L133" s="47"/>
      <c r="M133" s="47"/>
      <c r="N133" s="47"/>
      <c r="O133" s="47"/>
      <c r="P133" s="48"/>
      <c r="Q133" s="49"/>
      <c r="R133" s="49"/>
    </row>
    <row r="134" spans="2:18" x14ac:dyDescent="0.25">
      <c r="B134" s="40"/>
      <c r="C134" s="41"/>
      <c r="D134" s="42"/>
      <c r="E134" s="43"/>
      <c r="F134" s="44">
        <v>30500006613</v>
      </c>
      <c r="G134" s="45"/>
      <c r="H134" s="46"/>
      <c r="I134" s="47"/>
      <c r="J134" s="47"/>
      <c r="K134" s="47"/>
      <c r="L134" s="47"/>
    </row>
    <row r="135" spans="2:18" ht="21" x14ac:dyDescent="0.25">
      <c r="D135" s="618" t="s">
        <v>15</v>
      </c>
      <c r="E135" s="618"/>
      <c r="F135" s="618"/>
      <c r="G135" s="618"/>
      <c r="H135" s="618"/>
      <c r="I135" s="618"/>
      <c r="J135" s="618"/>
      <c r="K135" s="618"/>
      <c r="L135" s="618"/>
    </row>
    <row r="136" spans="2:18" ht="15.75" x14ac:dyDescent="0.25">
      <c r="D136" s="73" t="s">
        <v>0</v>
      </c>
      <c r="E136" s="74" t="s">
        <v>26</v>
      </c>
      <c r="F136" s="74" t="s">
        <v>16</v>
      </c>
      <c r="G136" s="74" t="s">
        <v>5</v>
      </c>
      <c r="H136" s="74" t="s">
        <v>17</v>
      </c>
      <c r="I136" s="74" t="s">
        <v>7</v>
      </c>
      <c r="J136" s="75" t="s">
        <v>18</v>
      </c>
      <c r="K136" s="75" t="s">
        <v>19</v>
      </c>
      <c r="L136" s="76" t="s">
        <v>20</v>
      </c>
    </row>
    <row r="137" spans="2:18" x14ac:dyDescent="0.25">
      <c r="D137" s="50">
        <v>45777</v>
      </c>
      <c r="E137" s="159">
        <v>3665314</v>
      </c>
      <c r="F137" s="80" t="s">
        <v>2237</v>
      </c>
      <c r="G137" s="81">
        <v>36937</v>
      </c>
      <c r="H137" s="81">
        <f>extracto_banco_mes4[[#This Row],[NETO]]*0.21</f>
        <v>7756.7699999999995</v>
      </c>
      <c r="I137" s="81"/>
      <c r="J137" s="81"/>
      <c r="K137" s="81">
        <v>870</v>
      </c>
      <c r="L137" s="81">
        <v>1080</v>
      </c>
    </row>
    <row r="138" spans="2:18" x14ac:dyDescent="0.25">
      <c r="D138" s="50">
        <v>45777</v>
      </c>
      <c r="E138" s="80">
        <v>30042025</v>
      </c>
      <c r="F138" s="80" t="s">
        <v>2238</v>
      </c>
      <c r="G138" s="81">
        <v>38625</v>
      </c>
      <c r="H138" s="81">
        <f>extracto_banco_mes4[[#This Row],[NETO]]*0.21</f>
        <v>8111.25</v>
      </c>
      <c r="I138" s="81"/>
      <c r="J138" s="81"/>
      <c r="K138" s="81">
        <v>1158</v>
      </c>
      <c r="L138" s="81">
        <v>144</v>
      </c>
    </row>
    <row r="139" spans="2:18" x14ac:dyDescent="0.25">
      <c r="D139" s="304"/>
      <c r="E139" s="80"/>
      <c r="F139" s="305"/>
      <c r="G139" s="306"/>
      <c r="H139" s="306">
        <f>extracto_banco_mes4[[#This Row],[NETO]]*0.21</f>
        <v>0</v>
      </c>
      <c r="I139" s="306"/>
      <c r="J139" s="306"/>
      <c r="K139" s="306"/>
      <c r="L139" s="306"/>
    </row>
    <row r="140" spans="2:18" x14ac:dyDescent="0.25">
      <c r="D140" s="307" t="s">
        <v>110</v>
      </c>
      <c r="E140" s="305"/>
      <c r="F140" s="305"/>
      <c r="G140" s="308">
        <f>SUBTOTAL(109,extracto_banco_mes4[NETO])</f>
        <v>75562</v>
      </c>
      <c r="H140" s="308">
        <f>SUBTOTAL(109,extracto_banco_mes4[IVA 21%])</f>
        <v>15868.02</v>
      </c>
      <c r="I140" s="308">
        <f>SUBTOTAL(109,extracto_banco_mes4[IVA 10,5%])</f>
        <v>0</v>
      </c>
      <c r="J140" s="308">
        <f>SUBTOTAL(109,extracto_banco_mes4[RET IIBB CABA])</f>
        <v>0</v>
      </c>
      <c r="K140" s="308">
        <f>SUBTOTAL(109,extracto_banco_mes4[PERC IVA])</f>
        <v>2028</v>
      </c>
      <c r="L140" s="308">
        <f>SUBTOTAL(109,extracto_banco_mes4[PERC IIBB])</f>
        <v>1224</v>
      </c>
    </row>
    <row r="143" spans="2:18" ht="21" x14ac:dyDescent="0.25">
      <c r="D143" s="618" t="s">
        <v>25</v>
      </c>
      <c r="E143" s="618"/>
      <c r="F143" s="618"/>
      <c r="G143" s="618"/>
      <c r="H143" s="618"/>
      <c r="I143" s="618"/>
      <c r="J143" s="618"/>
      <c r="K143" s="618"/>
    </row>
    <row r="144" spans="2:18" x14ac:dyDescent="0.25">
      <c r="D144" s="51" t="s">
        <v>0</v>
      </c>
      <c r="E144" s="51" t="s">
        <v>2</v>
      </c>
      <c r="F144" s="51" t="s">
        <v>74</v>
      </c>
      <c r="G144" s="51" t="s">
        <v>3</v>
      </c>
      <c r="H144" s="51" t="s">
        <v>4</v>
      </c>
      <c r="I144" s="52" t="s">
        <v>10</v>
      </c>
      <c r="J144" s="51" t="s">
        <v>13</v>
      </c>
      <c r="K144" s="51" t="s">
        <v>38</v>
      </c>
    </row>
    <row r="145" spans="4:11" x14ac:dyDescent="0.25">
      <c r="D145" s="50">
        <v>45748</v>
      </c>
      <c r="E145" s="42">
        <v>1</v>
      </c>
      <c r="F145" s="164">
        <v>18</v>
      </c>
      <c r="G145" s="44">
        <v>20311855671</v>
      </c>
      <c r="H145" s="53" t="str">
        <f>IFERROR(IF(factura_c_mes4[[#This Row],[CUIT]]="","-",VLOOKUP(factura_c_mes4[[#This Row],[CUIT]],Lista_CUIT[#All],2,0)),"CUIT NO CARGADO")</f>
        <v>GUASCH HECTOR RAUL</v>
      </c>
      <c r="I145" s="81">
        <v>180000</v>
      </c>
      <c r="J145" s="54" t="str">
        <f>IFERROR(IF(factura_c_mes4[[#This Row],[CUIT]]="","-",VLOOKUP(factura_c_mes4[[#This Row],[CUIT]],Lista_CUIT[#All],3,0)),"CUIT NO CARGADO")</f>
        <v>Insumos</v>
      </c>
      <c r="K145" s="54">
        <f>IFERROR(IF(factura_c_mes4[[#This Row],[CUIT]]="","-",VLOOKUP(factura_c_mes4[[#This Row],[CUIT]],Lista_CUIT[#All],4,0)),"CUIT NO CARGADO")</f>
        <v>0</v>
      </c>
    </row>
    <row r="146" spans="4:11" x14ac:dyDescent="0.25">
      <c r="D146" s="50">
        <v>45750</v>
      </c>
      <c r="E146" s="164">
        <v>4</v>
      </c>
      <c r="F146" s="164">
        <v>2</v>
      </c>
      <c r="G146" s="118">
        <v>20086277523</v>
      </c>
      <c r="H146" s="53" t="str">
        <f>IFERROR(IF(factura_c_mes4[[#This Row],[CUIT]]="","-",VLOOKUP(factura_c_mes4[[#This Row],[CUIT]],Lista_CUIT[#All],2,0)),"CUIT NO CARGADO")</f>
        <v>BOTINDARI JUAN CARLOS</v>
      </c>
      <c r="I146" s="165">
        <v>275500</v>
      </c>
      <c r="J146" s="54" t="str">
        <f>IFERROR(IF(factura_c_mes4[[#This Row],[CUIT]]="","-",VLOOKUP(factura_c_mes4[[#This Row],[CUIT]],Lista_CUIT[#All],3,0)),"CUIT NO CARGADO")</f>
        <v>HONORARIOS</v>
      </c>
      <c r="K146" s="54">
        <f>IFERROR(IF(factura_c_mes4[[#This Row],[CUIT]]="","-",VLOOKUP(factura_c_mes4[[#This Row],[CUIT]],Lista_CUIT[#All],4,0)),"CUIT NO CARGADO")</f>
        <v>0</v>
      </c>
    </row>
    <row r="147" spans="4:11" x14ac:dyDescent="0.25">
      <c r="D147" s="50">
        <v>45752</v>
      </c>
      <c r="E147" s="164">
        <v>2</v>
      </c>
      <c r="F147" s="164">
        <v>125</v>
      </c>
      <c r="G147" s="118">
        <v>27315710508</v>
      </c>
      <c r="H147" s="53" t="str">
        <f>IFERROR(IF(factura_c_mes4[[#This Row],[CUIT]]="","-",VLOOKUP(factura_c_mes4[[#This Row],[CUIT]],Lista_CUIT[#All],2,0)),"CUIT NO CARGADO")</f>
        <v>RIVERO GABRIELA ROCIO</v>
      </c>
      <c r="I147" s="165">
        <v>43200</v>
      </c>
      <c r="J147" s="54" t="str">
        <f>IFERROR(IF(factura_c_mes4[[#This Row],[CUIT]]="","-",VLOOKUP(factura_c_mes4[[#This Row],[CUIT]],Lista_CUIT[#All],3,0)),"CUIT NO CARGADO")</f>
        <v>Serv. Informaticos</v>
      </c>
      <c r="K147" s="54">
        <f>IFERROR(IF(factura_c_mes4[[#This Row],[CUIT]]="","-",VLOOKUP(factura_c_mes4[[#This Row],[CUIT]],Lista_CUIT[#All],4,0)),"CUIT NO CARGADO")</f>
        <v>0</v>
      </c>
    </row>
    <row r="148" spans="4:11" ht="17.25" customHeight="1" x14ac:dyDescent="0.25">
      <c r="D148" s="50">
        <v>45754</v>
      </c>
      <c r="E148" s="164">
        <v>1</v>
      </c>
      <c r="F148" s="164">
        <v>19</v>
      </c>
      <c r="G148" s="118">
        <v>20311855671</v>
      </c>
      <c r="H148" s="53" t="str">
        <f>IFERROR(IF(factura_c_mes4[[#This Row],[CUIT]]="","-",VLOOKUP(factura_c_mes4[[#This Row],[CUIT]],Lista_CUIT[#All],2,0)),"CUIT NO CARGADO")</f>
        <v>GUASCH HECTOR RAUL</v>
      </c>
      <c r="I148" s="165">
        <v>278000</v>
      </c>
      <c r="J148" s="54" t="str">
        <f>IFERROR(IF(factura_c_mes4[[#This Row],[CUIT]]="","-",VLOOKUP(factura_c_mes4[[#This Row],[CUIT]],Lista_CUIT[#All],3,0)),"CUIT NO CARGADO")</f>
        <v>Insumos</v>
      </c>
      <c r="K148" s="54">
        <f>IFERROR(IF(factura_c_mes4[[#This Row],[CUIT]]="","-",VLOOKUP(factura_c_mes4[[#This Row],[CUIT]],Lista_CUIT[#All],4,0)),"CUIT NO CARGADO")</f>
        <v>0</v>
      </c>
    </row>
    <row r="149" spans="4:11" x14ac:dyDescent="0.25">
      <c r="D149" s="50">
        <v>45754</v>
      </c>
      <c r="E149" s="164">
        <v>2</v>
      </c>
      <c r="F149" s="164">
        <v>345</v>
      </c>
      <c r="G149" s="118">
        <v>27265832178</v>
      </c>
      <c r="H149" s="53" t="str">
        <f>IFERROR(IF(factura_c_mes4[[#This Row],[CUIT]]="","-",VLOOKUP(factura_c_mes4[[#This Row],[CUIT]],Lista_CUIT[#All],2,0)),"CUIT NO CARGADO")</f>
        <v>BLASCO MARIA GUADALUPE</v>
      </c>
      <c r="I149" s="165">
        <v>3200000</v>
      </c>
      <c r="J149" s="54" t="str">
        <f>IFERROR(IF(factura_c_mes4[[#This Row],[CUIT]]="","-",VLOOKUP(factura_c_mes4[[#This Row],[CUIT]],Lista_CUIT[#All],3,0)),"CUIT NO CARGADO")</f>
        <v>PROVEEDOR</v>
      </c>
      <c r="K149" s="54">
        <f>IFERROR(IF(factura_c_mes4[[#This Row],[CUIT]]="","-",VLOOKUP(factura_c_mes4[[#This Row],[CUIT]],Lista_CUIT[#All],4,0)),"CUIT NO CARGADO")</f>
        <v>0</v>
      </c>
    </row>
    <row r="150" spans="4:11" x14ac:dyDescent="0.25">
      <c r="D150" s="50">
        <v>45755</v>
      </c>
      <c r="E150" s="164">
        <v>1</v>
      </c>
      <c r="F150" s="164">
        <v>20</v>
      </c>
      <c r="G150" s="118">
        <v>20311855671</v>
      </c>
      <c r="H150" s="53" t="str">
        <f>IFERROR(IF(factura_c_mes4[[#This Row],[CUIT]]="","-",VLOOKUP(factura_c_mes4[[#This Row],[CUIT]],Lista_CUIT[#All],2,0)),"CUIT NO CARGADO")</f>
        <v>GUASCH HECTOR RAUL</v>
      </c>
      <c r="I150" s="165">
        <v>360000</v>
      </c>
      <c r="J150" s="54" t="str">
        <f>IFERROR(IF(factura_c_mes4[[#This Row],[CUIT]]="","-",VLOOKUP(factura_c_mes4[[#This Row],[CUIT]],Lista_CUIT[#All],3,0)),"CUIT NO CARGADO")</f>
        <v>Insumos</v>
      </c>
      <c r="K150" s="54">
        <f>IFERROR(IF(factura_c_mes4[[#This Row],[CUIT]]="","-",VLOOKUP(factura_c_mes4[[#This Row],[CUIT]],Lista_CUIT[#All],4,0)),"CUIT NO CARGADO")</f>
        <v>0</v>
      </c>
    </row>
    <row r="151" spans="4:11" x14ac:dyDescent="0.25">
      <c r="D151" s="50">
        <v>45755</v>
      </c>
      <c r="E151" s="164">
        <v>1</v>
      </c>
      <c r="F151" s="164">
        <v>13</v>
      </c>
      <c r="G151" s="118">
        <v>27443612713</v>
      </c>
      <c r="H151" s="53" t="str">
        <f>IFERROR(IF(factura_c_mes4[[#This Row],[CUIT]]="","-",VLOOKUP(factura_c_mes4[[#This Row],[CUIT]],Lista_CUIT[#All],2,0)),"CUIT NO CARGADO")</f>
        <v>MIGOYA MORIONDO SOFIA</v>
      </c>
      <c r="I151" s="165">
        <v>850000</v>
      </c>
      <c r="J151" s="54" t="str">
        <f>IFERROR(IF(factura_c_mes4[[#This Row],[CUIT]]="","-",VLOOKUP(factura_c_mes4[[#This Row],[CUIT]],Lista_CUIT[#All],3,0)),"CUIT NO CARGADO")</f>
        <v>GTOS ADMINISTRATIVOS</v>
      </c>
      <c r="K151" s="54">
        <f>IFERROR(IF(factura_c_mes4[[#This Row],[CUIT]]="","-",VLOOKUP(factura_c_mes4[[#This Row],[CUIT]],Lista_CUIT[#All],4,0)),"CUIT NO CARGADO")</f>
        <v>0</v>
      </c>
    </row>
    <row r="152" spans="4:11" x14ac:dyDescent="0.25">
      <c r="D152" s="50">
        <v>45757</v>
      </c>
      <c r="E152" s="164">
        <v>10</v>
      </c>
      <c r="F152" s="164">
        <v>15</v>
      </c>
      <c r="G152" s="118">
        <v>27207433867</v>
      </c>
      <c r="H152" s="53" t="str">
        <f>IFERROR(IF(factura_c_mes4[[#This Row],[CUIT]]="","-",VLOOKUP(factura_c_mes4[[#This Row],[CUIT]],Lista_CUIT[#All],2,0)),"CUIT NO CARGADO")</f>
        <v>CIGNONI ALEJANDRA FABIANA</v>
      </c>
      <c r="I152" s="165">
        <v>250000</v>
      </c>
      <c r="J152" s="54" t="str">
        <f>IFERROR(IF(factura_c_mes4[[#This Row],[CUIT]]="","-",VLOOKUP(factura_c_mes4[[#This Row],[CUIT]],Lista_CUIT[#All],3,0)),"CUIT NO CARGADO")</f>
        <v>GTOS ADMINISTRATIVOS</v>
      </c>
      <c r="K152" s="54">
        <f>IFERROR(IF(factura_c_mes4[[#This Row],[CUIT]]="","-",VLOOKUP(factura_c_mes4[[#This Row],[CUIT]],Lista_CUIT[#All],4,0)),"CUIT NO CARGADO")</f>
        <v>0</v>
      </c>
    </row>
    <row r="153" spans="4:11" x14ac:dyDescent="0.25">
      <c r="D153" s="50">
        <v>45758</v>
      </c>
      <c r="E153" s="164">
        <v>5</v>
      </c>
      <c r="F153" s="164">
        <v>179</v>
      </c>
      <c r="G153" s="118">
        <v>27062343449</v>
      </c>
      <c r="H153" s="53" t="str">
        <f>IFERROR(IF(factura_c_mes4[[#This Row],[CUIT]]="","-",VLOOKUP(factura_c_mes4[[#This Row],[CUIT]],Lista_CUIT[#All],2,0)),"CUIT NO CARGADO")</f>
        <v>FERREIRS LILISNS INES</v>
      </c>
      <c r="I153" s="165">
        <v>350000</v>
      </c>
      <c r="J153" s="54" t="str">
        <f>IFERROR(IF(factura_c_mes4[[#This Row],[CUIT]]="","-",VLOOKUP(factura_c_mes4[[#This Row],[CUIT]],Lista_CUIT[#All],3,0)),"CUIT NO CARGADO")</f>
        <v>FLETE</v>
      </c>
      <c r="K153" s="54">
        <f>IFERROR(IF(factura_c_mes4[[#This Row],[CUIT]]="","-",VLOOKUP(factura_c_mes4[[#This Row],[CUIT]],Lista_CUIT[#All],4,0)),"CUIT NO CARGADO")</f>
        <v>0</v>
      </c>
    </row>
    <row r="154" spans="4:11" x14ac:dyDescent="0.25">
      <c r="D154" s="50">
        <v>45758</v>
      </c>
      <c r="E154" s="164">
        <v>1</v>
      </c>
      <c r="F154" s="164">
        <v>79</v>
      </c>
      <c r="G154" s="118">
        <v>23281233084</v>
      </c>
      <c r="H154" s="53" t="str">
        <f>IFERROR(IF(factura_c_mes4[[#This Row],[CUIT]]="","-",VLOOKUP(factura_c_mes4[[#This Row],[CUIT]],Lista_CUIT[#All],2,0)),"CUIT NO CARGADO")</f>
        <v>DRUETTA ANDREA MARIEL</v>
      </c>
      <c r="I154" s="165">
        <v>270000</v>
      </c>
      <c r="J154" s="54" t="str">
        <f>IFERROR(IF(factura_c_mes4[[#This Row],[CUIT]]="","-",VLOOKUP(factura_c_mes4[[#This Row],[CUIT]],Lista_CUIT[#All],3,0)),"CUIT NO CARGADO")</f>
        <v>TECNICO</v>
      </c>
      <c r="K154" s="54">
        <f>IFERROR(IF(factura_c_mes4[[#This Row],[CUIT]]="","-",VLOOKUP(factura_c_mes4[[#This Row],[CUIT]],Lista_CUIT[#All],4,0)),"CUIT NO CARGADO")</f>
        <v>0</v>
      </c>
    </row>
    <row r="155" spans="4:11" x14ac:dyDescent="0.25">
      <c r="D155" s="50">
        <v>45758</v>
      </c>
      <c r="E155" s="164">
        <v>5</v>
      </c>
      <c r="F155" s="164">
        <v>178</v>
      </c>
      <c r="G155" s="118">
        <v>27062343449</v>
      </c>
      <c r="H155" s="53" t="str">
        <f>IFERROR(IF(factura_c_mes4[[#This Row],[CUIT]]="","-",VLOOKUP(factura_c_mes4[[#This Row],[CUIT]],Lista_CUIT[#All],2,0)),"CUIT NO CARGADO")</f>
        <v>FERREIRS LILISNS INES</v>
      </c>
      <c r="I155" s="165">
        <v>350000</v>
      </c>
      <c r="J155" s="54" t="str">
        <f>IFERROR(IF(factura_c_mes4[[#This Row],[CUIT]]="","-",VLOOKUP(factura_c_mes4[[#This Row],[CUIT]],Lista_CUIT[#All],3,0)),"CUIT NO CARGADO")</f>
        <v>FLETE</v>
      </c>
      <c r="K155" s="54">
        <f>IFERROR(IF(factura_c_mes4[[#This Row],[CUIT]]="","-",VLOOKUP(factura_c_mes4[[#This Row],[CUIT]],Lista_CUIT[#All],4,0)),"CUIT NO CARGADO")</f>
        <v>0</v>
      </c>
    </row>
    <row r="156" spans="4:11" x14ac:dyDescent="0.25">
      <c r="D156" s="50">
        <v>45763</v>
      </c>
      <c r="E156" s="164">
        <v>4</v>
      </c>
      <c r="F156" s="164">
        <v>1</v>
      </c>
      <c r="G156" s="118">
        <v>20231292285</v>
      </c>
      <c r="H156" s="53" t="str">
        <f>IFERROR(IF(factura_c_mes4[[#This Row],[CUIT]]="","-",VLOOKUP(factura_c_mes4[[#This Row],[CUIT]],Lista_CUIT[#All],2,0)),"CUIT NO CARGADO")</f>
        <v>GRANDI GUSTAVO GABRIEL</v>
      </c>
      <c r="I156" s="165">
        <v>750000</v>
      </c>
      <c r="J156" s="54" t="str">
        <f>IFERROR(IF(factura_c_mes4[[#This Row],[CUIT]]="","-",VLOOKUP(factura_c_mes4[[#This Row],[CUIT]],Lista_CUIT[#All],3,0)),"CUIT NO CARGADO")</f>
        <v>Insumos</v>
      </c>
      <c r="K156" s="54">
        <f>IFERROR(IF(factura_c_mes4[[#This Row],[CUIT]]="","-",VLOOKUP(factura_c_mes4[[#This Row],[CUIT]],Lista_CUIT[#All],4,0)),"CUIT NO CARGADO")</f>
        <v>0</v>
      </c>
    </row>
    <row r="157" spans="4:11" x14ac:dyDescent="0.25">
      <c r="D157" s="50">
        <v>45766</v>
      </c>
      <c r="E157" s="164">
        <v>1</v>
      </c>
      <c r="F157" s="164">
        <v>21</v>
      </c>
      <c r="G157" s="118">
        <v>20311855671</v>
      </c>
      <c r="H157" s="53" t="str">
        <f>IFERROR(IF(factura_c_mes4[[#This Row],[CUIT]]="","-",VLOOKUP(factura_c_mes4[[#This Row],[CUIT]],Lista_CUIT[#All],2,0)),"CUIT NO CARGADO")</f>
        <v>GUASCH HECTOR RAUL</v>
      </c>
      <c r="I157" s="165">
        <v>121000</v>
      </c>
      <c r="J157" s="54" t="str">
        <f>IFERROR(IF(factura_c_mes4[[#This Row],[CUIT]]="","-",VLOOKUP(factura_c_mes4[[#This Row],[CUIT]],Lista_CUIT[#All],3,0)),"CUIT NO CARGADO")</f>
        <v>Insumos</v>
      </c>
      <c r="K157" s="54">
        <f>IFERROR(IF(factura_c_mes4[[#This Row],[CUIT]]="","-",VLOOKUP(factura_c_mes4[[#This Row],[CUIT]],Lista_CUIT[#All],4,0)),"CUIT NO CARGADO")</f>
        <v>0</v>
      </c>
    </row>
    <row r="158" spans="4:11" x14ac:dyDescent="0.25">
      <c r="D158" s="50">
        <v>45768</v>
      </c>
      <c r="E158" s="164">
        <v>1</v>
      </c>
      <c r="F158" s="164">
        <v>22</v>
      </c>
      <c r="G158" s="118">
        <v>20311855671</v>
      </c>
      <c r="H158" s="53" t="str">
        <f>IFERROR(IF(factura_c_mes4[[#This Row],[CUIT]]="","-",VLOOKUP(factura_c_mes4[[#This Row],[CUIT]],Lista_CUIT[#All],2,0)),"CUIT NO CARGADO")</f>
        <v>GUASCH HECTOR RAUL</v>
      </c>
      <c r="I158" s="165">
        <v>278000</v>
      </c>
      <c r="J158" s="54" t="str">
        <f>IFERROR(IF(factura_c_mes4[[#This Row],[CUIT]]="","-",VLOOKUP(factura_c_mes4[[#This Row],[CUIT]],Lista_CUIT[#All],3,0)),"CUIT NO CARGADO")</f>
        <v>Insumos</v>
      </c>
      <c r="K158" s="54">
        <f>IFERROR(IF(factura_c_mes4[[#This Row],[CUIT]]="","-",VLOOKUP(factura_c_mes4[[#This Row],[CUIT]],Lista_CUIT[#All],4,0)),"CUIT NO CARGADO")</f>
        <v>0</v>
      </c>
    </row>
    <row r="159" spans="4:11" ht="19.149999999999999" customHeight="1" x14ac:dyDescent="0.25">
      <c r="D159" s="50">
        <v>45768</v>
      </c>
      <c r="E159" s="164">
        <v>1</v>
      </c>
      <c r="F159" s="164">
        <v>24</v>
      </c>
      <c r="G159" s="118">
        <v>20311855671</v>
      </c>
      <c r="H159" s="53" t="str">
        <f>IFERROR(IF(factura_c_mes4[[#This Row],[CUIT]]="","-",VLOOKUP(factura_c_mes4[[#This Row],[CUIT]],Lista_CUIT[#All],2,0)),"CUIT NO CARGADO")</f>
        <v>GUASCH HECTOR RAUL</v>
      </c>
      <c r="I159" s="165">
        <v>66000</v>
      </c>
      <c r="J159" s="54" t="str">
        <f>IFERROR(IF(factura_c_mes4[[#This Row],[CUIT]]="","-",VLOOKUP(factura_c_mes4[[#This Row],[CUIT]],Lista_CUIT[#All],3,0)),"CUIT NO CARGADO")</f>
        <v>Insumos</v>
      </c>
      <c r="K159" s="54">
        <f>IFERROR(IF(factura_c_mes4[[#This Row],[CUIT]]="","-",VLOOKUP(factura_c_mes4[[#This Row],[CUIT]],Lista_CUIT[#All],4,0)),"CUIT NO CARGADO")</f>
        <v>0</v>
      </c>
    </row>
    <row r="160" spans="4:11" x14ac:dyDescent="0.25">
      <c r="D160" s="50">
        <v>45768</v>
      </c>
      <c r="E160" s="164">
        <v>1</v>
      </c>
      <c r="F160" s="164">
        <v>23</v>
      </c>
      <c r="G160" s="118">
        <v>20311855671</v>
      </c>
      <c r="H160" s="53" t="str">
        <f>IFERROR(IF(factura_c_mes4[[#This Row],[CUIT]]="","-",VLOOKUP(factura_c_mes4[[#This Row],[CUIT]],Lista_CUIT[#All],2,0)),"CUIT NO CARGADO")</f>
        <v>GUASCH HECTOR RAUL</v>
      </c>
      <c r="I160" s="165">
        <v>490000</v>
      </c>
      <c r="J160" s="54" t="str">
        <f>IFERROR(IF(factura_c_mes4[[#This Row],[CUIT]]="","-",VLOOKUP(factura_c_mes4[[#This Row],[CUIT]],Lista_CUIT[#All],3,0)),"CUIT NO CARGADO")</f>
        <v>Insumos</v>
      </c>
      <c r="K160" s="54">
        <f>IFERROR(IF(factura_c_mes4[[#This Row],[CUIT]]="","-",VLOOKUP(factura_c_mes4[[#This Row],[CUIT]],Lista_CUIT[#All],4,0)),"CUIT NO CARGADO")</f>
        <v>0</v>
      </c>
    </row>
    <row r="161" spans="4:11" x14ac:dyDescent="0.25">
      <c r="D161" s="50">
        <v>45769</v>
      </c>
      <c r="E161" s="164">
        <v>3</v>
      </c>
      <c r="F161" s="164">
        <v>3</v>
      </c>
      <c r="G161" s="118">
        <v>20310489930</v>
      </c>
      <c r="H161" s="53" t="str">
        <f>IFERROR(IF(factura_c_mes4[[#This Row],[CUIT]]="","-",VLOOKUP(factura_c_mes4[[#This Row],[CUIT]],Lista_CUIT[#All],2,0)),"CUIT NO CARGADO")</f>
        <v>OVIEDO LUIS ALBERTO</v>
      </c>
      <c r="I161" s="165">
        <v>516730</v>
      </c>
      <c r="J161" s="54" t="str">
        <f>IFERROR(IF(factura_c_mes4[[#This Row],[CUIT]]="","-",VLOOKUP(factura_c_mes4[[#This Row],[CUIT]],Lista_CUIT[#All],3,0)),"CUIT NO CARGADO")</f>
        <v>Insumos</v>
      </c>
      <c r="K161" s="54">
        <f>IFERROR(IF(factura_c_mes4[[#This Row],[CUIT]]="","-",VLOOKUP(factura_c_mes4[[#This Row],[CUIT]],Lista_CUIT[#All],4,0)),"CUIT NO CARGADO")</f>
        <v>0</v>
      </c>
    </row>
    <row r="162" spans="4:11" x14ac:dyDescent="0.25">
      <c r="D162" s="50"/>
      <c r="E162" s="164"/>
      <c r="F162" s="164"/>
      <c r="G162" s="118"/>
      <c r="H162" s="53" t="str">
        <f>IFERROR(IF(factura_c_mes4[[#This Row],[CUIT]]="","-",VLOOKUP(factura_c_mes4[[#This Row],[CUIT]],Lista_CUIT[#All],2,0)),"CUIT NO CARGADO")</f>
        <v>-</v>
      </c>
      <c r="I162" s="165"/>
      <c r="J162" s="54" t="str">
        <f>IFERROR(IF(factura_c_mes4[[#This Row],[CUIT]]="","-",VLOOKUP(factura_c_mes4[[#This Row],[CUIT]],Lista_CUIT[#All],3,0)),"CUIT NO CARGADO")</f>
        <v>-</v>
      </c>
      <c r="K162" s="54" t="str">
        <f>IFERROR(IF(factura_c_mes4[[#This Row],[CUIT]]="","-",VLOOKUP(factura_c_mes4[[#This Row],[CUIT]],Lista_CUIT[#All],4,0)),"CUIT NO CARGADO")</f>
        <v>-</v>
      </c>
    </row>
    <row r="163" spans="4:11" x14ac:dyDescent="0.25">
      <c r="D163" s="50"/>
      <c r="E163" s="164"/>
      <c r="F163" s="164"/>
      <c r="G163" s="118"/>
      <c r="H163" s="53" t="str">
        <f>IFERROR(IF(factura_c_mes4[[#This Row],[CUIT]]="","-",VLOOKUP(factura_c_mes4[[#This Row],[CUIT]],Lista_CUIT[#All],2,0)),"CUIT NO CARGADO")</f>
        <v>-</v>
      </c>
      <c r="I163" s="165"/>
      <c r="J163" s="54" t="str">
        <f>IFERROR(IF(factura_c_mes4[[#This Row],[CUIT]]="","-",VLOOKUP(factura_c_mes4[[#This Row],[CUIT]],Lista_CUIT[#All],3,0)),"CUIT NO CARGADO")</f>
        <v>-</v>
      </c>
      <c r="K163" s="54" t="str">
        <f>IFERROR(IF(factura_c_mes4[[#This Row],[CUIT]]="","-",VLOOKUP(factura_c_mes4[[#This Row],[CUIT]],Lista_CUIT[#All],4,0)),"CUIT NO CARGADO")</f>
        <v>-</v>
      </c>
    </row>
    <row r="164" spans="4:11" x14ac:dyDescent="0.25">
      <c r="D164" s="50"/>
      <c r="E164" s="164"/>
      <c r="F164" s="164"/>
      <c r="G164" s="118"/>
      <c r="H164" s="53" t="str">
        <f>IFERROR(IF(factura_c_mes4[[#This Row],[CUIT]]="","-",VLOOKUP(factura_c_mes4[[#This Row],[CUIT]],Lista_CUIT[#All],2,0)),"CUIT NO CARGADO")</f>
        <v>-</v>
      </c>
      <c r="I164" s="165"/>
      <c r="J164" s="54" t="str">
        <f>IFERROR(IF(factura_c_mes4[[#This Row],[CUIT]]="","-",VLOOKUP(factura_c_mes4[[#This Row],[CUIT]],Lista_CUIT[#All],3,0)),"CUIT NO CARGADO")</f>
        <v>-</v>
      </c>
      <c r="K164" s="54" t="str">
        <f>IFERROR(IF(factura_c_mes4[[#This Row],[CUIT]]="","-",VLOOKUP(factura_c_mes4[[#This Row],[CUIT]],Lista_CUIT[#All],4,0)),"CUIT NO CARGADO")</f>
        <v>-</v>
      </c>
    </row>
    <row r="165" spans="4:11" x14ac:dyDescent="0.25">
      <c r="D165" s="50"/>
      <c r="E165" s="164"/>
      <c r="F165" s="164"/>
      <c r="G165" s="118"/>
      <c r="H165" s="53" t="str">
        <f>IFERROR(IF(factura_c_mes4[[#This Row],[CUIT]]="","-",VLOOKUP(factura_c_mes4[[#This Row],[CUIT]],Lista_CUIT[#All],2,0)),"CUIT NO CARGADO")</f>
        <v>-</v>
      </c>
      <c r="I165" s="165"/>
      <c r="J165" s="54" t="str">
        <f>IFERROR(IF(factura_c_mes4[[#This Row],[CUIT]]="","-",VLOOKUP(factura_c_mes4[[#This Row],[CUIT]],Lista_CUIT[#All],3,0)),"CUIT NO CARGADO")</f>
        <v>-</v>
      </c>
      <c r="K165" s="54" t="str">
        <f>IFERROR(IF(factura_c_mes4[[#This Row],[CUIT]]="","-",VLOOKUP(factura_c_mes4[[#This Row],[CUIT]],Lista_CUIT[#All],4,0)),"CUIT NO CARGADO")</f>
        <v>-</v>
      </c>
    </row>
    <row r="166" spans="4:11" x14ac:dyDescent="0.25">
      <c r="D166" s="50"/>
      <c r="E166" s="164"/>
      <c r="F166" s="164"/>
      <c r="G166" s="118"/>
      <c r="H166" s="53" t="str">
        <f>IFERROR(IF(factura_c_mes4[[#This Row],[CUIT]]="","-",VLOOKUP(factura_c_mes4[[#This Row],[CUIT]],Lista_CUIT[#All],2,0)),"CUIT NO CARGADO")</f>
        <v>-</v>
      </c>
      <c r="I166" s="165"/>
      <c r="J166" s="54" t="str">
        <f>IFERROR(IF(factura_c_mes4[[#This Row],[CUIT]]="","-",VLOOKUP(factura_c_mes4[[#This Row],[CUIT]],Lista_CUIT[#All],3,0)),"CUIT NO CARGADO")</f>
        <v>-</v>
      </c>
      <c r="K166" s="54" t="str">
        <f>IFERROR(IF(factura_c_mes4[[#This Row],[CUIT]]="","-",VLOOKUP(factura_c_mes4[[#This Row],[CUIT]],Lista_CUIT[#All],4,0)),"CUIT NO CARGADO")</f>
        <v>-</v>
      </c>
    </row>
    <row r="167" spans="4:11" x14ac:dyDescent="0.25">
      <c r="D167" s="50"/>
      <c r="E167" s="164"/>
      <c r="F167" s="164"/>
      <c r="G167" s="118"/>
      <c r="H167" s="53" t="str">
        <f>IFERROR(IF(factura_c_mes4[[#This Row],[CUIT]]="","-",VLOOKUP(factura_c_mes4[[#This Row],[CUIT]],Lista_CUIT[#All],2,0)),"CUIT NO CARGADO")</f>
        <v>-</v>
      </c>
      <c r="I167" s="165"/>
      <c r="J167" s="54" t="str">
        <f>IFERROR(IF(factura_c_mes4[[#This Row],[CUIT]]="","-",VLOOKUP(factura_c_mes4[[#This Row],[CUIT]],Lista_CUIT[#All],3,0)),"CUIT NO CARGADO")</f>
        <v>-</v>
      </c>
      <c r="K167" s="54" t="str">
        <f>IFERROR(IF(factura_c_mes4[[#This Row],[CUIT]]="","-",VLOOKUP(factura_c_mes4[[#This Row],[CUIT]],Lista_CUIT[#All],4,0)),"CUIT NO CARGADO")</f>
        <v>-</v>
      </c>
    </row>
    <row r="168" spans="4:11" x14ac:dyDescent="0.25">
      <c r="D168" s="50"/>
      <c r="E168" s="164"/>
      <c r="F168" s="164"/>
      <c r="G168" s="118"/>
      <c r="H168" s="53" t="str">
        <f>IFERROR(IF(factura_c_mes4[[#This Row],[CUIT]]="","-",VLOOKUP(factura_c_mes4[[#This Row],[CUIT]],Lista_CUIT[#All],2,0)),"CUIT NO CARGADO")</f>
        <v>-</v>
      </c>
      <c r="I168" s="165"/>
      <c r="J168" s="54" t="str">
        <f>IFERROR(IF(factura_c_mes4[[#This Row],[CUIT]]="","-",VLOOKUP(factura_c_mes4[[#This Row],[CUIT]],Lista_CUIT[#All],3,0)),"CUIT NO CARGADO")</f>
        <v>-</v>
      </c>
      <c r="K168" s="54" t="str">
        <f>IFERROR(IF(factura_c_mes4[[#This Row],[CUIT]]="","-",VLOOKUP(factura_c_mes4[[#This Row],[CUIT]],Lista_CUIT[#All],4,0)),"CUIT NO CARGADO")</f>
        <v>-</v>
      </c>
    </row>
    <row r="169" spans="4:11" x14ac:dyDescent="0.25">
      <c r="D169" s="50"/>
      <c r="E169" s="164"/>
      <c r="F169" s="164"/>
      <c r="G169" s="118"/>
      <c r="H169" s="53" t="str">
        <f>IFERROR(IF(factura_c_mes4[[#This Row],[CUIT]]="","-",VLOOKUP(factura_c_mes4[[#This Row],[CUIT]],Lista_CUIT[#All],2,0)),"CUIT NO CARGADO")</f>
        <v>-</v>
      </c>
      <c r="I169" s="165"/>
      <c r="J169" s="54" t="str">
        <f>IFERROR(IF(factura_c_mes4[[#This Row],[CUIT]]="","-",VLOOKUP(factura_c_mes4[[#This Row],[CUIT]],Lista_CUIT[#All],3,0)),"CUIT NO CARGADO")</f>
        <v>-</v>
      </c>
      <c r="K169" s="54" t="str">
        <f>IFERROR(IF(factura_c_mes4[[#This Row],[CUIT]]="","-",VLOOKUP(factura_c_mes4[[#This Row],[CUIT]],Lista_CUIT[#All],4,0)),"CUIT NO CARGADO")</f>
        <v>-</v>
      </c>
    </row>
    <row r="170" spans="4:11" x14ac:dyDescent="0.25">
      <c r="D170" s="50"/>
      <c r="E170" s="164"/>
      <c r="F170" s="164"/>
      <c r="G170" s="118"/>
      <c r="H170" s="53" t="str">
        <f>IFERROR(IF(factura_c_mes4[[#This Row],[CUIT]]="","-",VLOOKUP(factura_c_mes4[[#This Row],[CUIT]],Lista_CUIT[#All],2,0)),"CUIT NO CARGADO")</f>
        <v>-</v>
      </c>
      <c r="I170" s="165"/>
      <c r="J170" s="54" t="str">
        <f>IFERROR(IF(factura_c_mes4[[#This Row],[CUIT]]="","-",VLOOKUP(factura_c_mes4[[#This Row],[CUIT]],Lista_CUIT[#All],3,0)),"CUIT NO CARGADO")</f>
        <v>-</v>
      </c>
      <c r="K170" s="54" t="str">
        <f>IFERROR(IF(factura_c_mes4[[#This Row],[CUIT]]="","-",VLOOKUP(factura_c_mes4[[#This Row],[CUIT]],Lista_CUIT[#All],4,0)),"CUIT NO CARGADO")</f>
        <v>-</v>
      </c>
    </row>
    <row r="171" spans="4:11" x14ac:dyDescent="0.25">
      <c r="D171" s="50"/>
      <c r="E171" s="164"/>
      <c r="F171" s="164"/>
      <c r="G171" s="118"/>
      <c r="H171" s="53" t="str">
        <f>IFERROR(IF(factura_c_mes4[[#This Row],[CUIT]]="","-",VLOOKUP(factura_c_mes4[[#This Row],[CUIT]],Lista_CUIT[#All],2,0)),"CUIT NO CARGADO")</f>
        <v>-</v>
      </c>
      <c r="I171" s="165"/>
      <c r="J171" s="54" t="str">
        <f>IFERROR(IF(factura_c_mes4[[#This Row],[CUIT]]="","-",VLOOKUP(factura_c_mes4[[#This Row],[CUIT]],Lista_CUIT[#All],3,0)),"CUIT NO CARGADO")</f>
        <v>-</v>
      </c>
      <c r="K171" s="54" t="str">
        <f>IFERROR(IF(factura_c_mes4[[#This Row],[CUIT]]="","-",VLOOKUP(factura_c_mes4[[#This Row],[CUIT]],Lista_CUIT[#All],4,0)),"CUIT NO CARGADO")</f>
        <v>-</v>
      </c>
    </row>
    <row r="172" spans="4:11" x14ac:dyDescent="0.25">
      <c r="D172" s="50"/>
      <c r="E172" s="164"/>
      <c r="F172" s="164"/>
      <c r="G172" s="118"/>
      <c r="H172" s="53" t="str">
        <f>IFERROR(IF(factura_c_mes4[[#This Row],[CUIT]]="","-",VLOOKUP(factura_c_mes4[[#This Row],[CUIT]],Lista_CUIT[#All],2,0)),"CUIT NO CARGADO")</f>
        <v>-</v>
      </c>
      <c r="I172" s="165"/>
      <c r="J172" s="54" t="str">
        <f>IFERROR(IF(factura_c_mes4[[#This Row],[CUIT]]="","-",VLOOKUP(factura_c_mes4[[#This Row],[CUIT]],Lista_CUIT[#All],3,0)),"CUIT NO CARGADO")</f>
        <v>-</v>
      </c>
      <c r="K172" s="54" t="str">
        <f>IFERROR(IF(factura_c_mes4[[#This Row],[CUIT]]="","-",VLOOKUP(factura_c_mes4[[#This Row],[CUIT]],Lista_CUIT[#All],4,0)),"CUIT NO CARGADO")</f>
        <v>-</v>
      </c>
    </row>
    <row r="173" spans="4:11" x14ac:dyDescent="0.25">
      <c r="D173" s="50"/>
      <c r="E173" s="164"/>
      <c r="F173" s="164"/>
      <c r="G173" s="118"/>
      <c r="H173" s="53" t="str">
        <f>IFERROR(IF(factura_c_mes4[[#This Row],[CUIT]]="","-",VLOOKUP(factura_c_mes4[[#This Row],[CUIT]],Lista_CUIT[#All],2,0)),"CUIT NO CARGADO")</f>
        <v>-</v>
      </c>
      <c r="I173" s="165"/>
      <c r="J173" s="54" t="str">
        <f>IFERROR(IF(factura_c_mes4[[#This Row],[CUIT]]="","-",VLOOKUP(factura_c_mes4[[#This Row],[CUIT]],Lista_CUIT[#All],3,0)),"CUIT NO CARGADO")</f>
        <v>-</v>
      </c>
      <c r="K173" s="54" t="str">
        <f>IFERROR(IF(factura_c_mes4[[#This Row],[CUIT]]="","-",VLOOKUP(factura_c_mes4[[#This Row],[CUIT]],Lista_CUIT[#All],4,0)),"CUIT NO CARGADO")</f>
        <v>-</v>
      </c>
    </row>
    <row r="174" spans="4:11" x14ac:dyDescent="0.25">
      <c r="D174" s="50"/>
      <c r="E174" s="164"/>
      <c r="F174" s="164"/>
      <c r="G174" s="118"/>
      <c r="H174" s="53" t="str">
        <f>IFERROR(IF(factura_c_mes4[[#This Row],[CUIT]]="","-",VLOOKUP(factura_c_mes4[[#This Row],[CUIT]],Lista_CUIT[#All],2,0)),"CUIT NO CARGADO")</f>
        <v>-</v>
      </c>
      <c r="I174" s="165"/>
      <c r="J174" s="54" t="str">
        <f>IFERROR(IF(factura_c_mes4[[#This Row],[CUIT]]="","-",VLOOKUP(factura_c_mes4[[#This Row],[CUIT]],Lista_CUIT[#All],3,0)),"CUIT NO CARGADO")</f>
        <v>-</v>
      </c>
      <c r="K174" s="54" t="str">
        <f>IFERROR(IF(factura_c_mes4[[#This Row],[CUIT]]="","-",VLOOKUP(factura_c_mes4[[#This Row],[CUIT]],Lista_CUIT[#All],4,0)),"CUIT NO CARGADO")</f>
        <v>-</v>
      </c>
    </row>
    <row r="175" spans="4:11" x14ac:dyDescent="0.25">
      <c r="D175" s="50"/>
      <c r="E175" s="164"/>
      <c r="F175" s="164"/>
      <c r="G175" s="118"/>
      <c r="H175" s="53" t="str">
        <f>IFERROR(IF(factura_c_mes4[[#This Row],[CUIT]]="","-",VLOOKUP(factura_c_mes4[[#This Row],[CUIT]],Lista_CUIT[#All],2,0)),"CUIT NO CARGADO")</f>
        <v>-</v>
      </c>
      <c r="I175" s="165"/>
      <c r="J175" s="54" t="str">
        <f>IFERROR(IF(factura_c_mes4[[#This Row],[CUIT]]="","-",VLOOKUP(factura_c_mes4[[#This Row],[CUIT]],Lista_CUIT[#All],3,0)),"CUIT NO CARGADO")</f>
        <v>-</v>
      </c>
      <c r="K175" s="54" t="str">
        <f>IFERROR(IF(factura_c_mes4[[#This Row],[CUIT]]="","-",VLOOKUP(factura_c_mes4[[#This Row],[CUIT]],Lista_CUIT[#All],4,0)),"CUIT NO CARGADO")</f>
        <v>-</v>
      </c>
    </row>
    <row r="176" spans="4:11" x14ac:dyDescent="0.25">
      <c r="D176" s="50"/>
      <c r="E176" s="164"/>
      <c r="F176" s="164"/>
      <c r="G176" s="118"/>
      <c r="H176" s="53" t="str">
        <f>IFERROR(IF(factura_c_mes4[[#This Row],[CUIT]]="","-",VLOOKUP(factura_c_mes4[[#This Row],[CUIT]],Lista_CUIT[#All],2,0)),"CUIT NO CARGADO")</f>
        <v>-</v>
      </c>
      <c r="I176" s="165"/>
      <c r="J176" s="54" t="str">
        <f>IFERROR(IF(factura_c_mes4[[#This Row],[CUIT]]="","-",VLOOKUP(factura_c_mes4[[#This Row],[CUIT]],Lista_CUIT[#All],3,0)),"CUIT NO CARGADO")</f>
        <v>-</v>
      </c>
      <c r="K176" s="54" t="str">
        <f>IFERROR(IF(factura_c_mes4[[#This Row],[CUIT]]="","-",VLOOKUP(factura_c_mes4[[#This Row],[CUIT]],Lista_CUIT[#All],4,0)),"CUIT NO CARGADO")</f>
        <v>-</v>
      </c>
    </row>
    <row r="177" spans="4:11" x14ac:dyDescent="0.25">
      <c r="D177" s="50"/>
      <c r="E177" s="164"/>
      <c r="F177" s="164"/>
      <c r="G177" s="118"/>
      <c r="H177" s="53" t="str">
        <f>IFERROR(IF(factura_c_mes4[[#This Row],[CUIT]]="","-",VLOOKUP(factura_c_mes4[[#This Row],[CUIT]],Lista_CUIT[#All],2,0)),"CUIT NO CARGADO")</f>
        <v>-</v>
      </c>
      <c r="I177" s="165"/>
      <c r="J177" s="54" t="str">
        <f>IFERROR(IF(factura_c_mes4[[#This Row],[CUIT]]="","-",VLOOKUP(factura_c_mes4[[#This Row],[CUIT]],Lista_CUIT[#All],3,0)),"CUIT NO CARGADO")</f>
        <v>-</v>
      </c>
      <c r="K177" s="54" t="str">
        <f>IFERROR(IF(factura_c_mes4[[#This Row],[CUIT]]="","-",VLOOKUP(factura_c_mes4[[#This Row],[CUIT]],Lista_CUIT[#All],4,0)),"CUIT NO CARGADO")</f>
        <v>-</v>
      </c>
    </row>
    <row r="178" spans="4:11" x14ac:dyDescent="0.25">
      <c r="D178" s="50"/>
      <c r="E178" s="164"/>
      <c r="F178" s="164"/>
      <c r="G178" s="118"/>
      <c r="H178" s="53" t="str">
        <f>IFERROR(IF(factura_c_mes4[[#This Row],[CUIT]]="","-",VLOOKUP(factura_c_mes4[[#This Row],[CUIT]],Lista_CUIT[#All],2,0)),"CUIT NO CARGADO")</f>
        <v>-</v>
      </c>
      <c r="I178" s="165"/>
      <c r="J178" s="54" t="str">
        <f>IFERROR(IF(factura_c_mes4[[#This Row],[CUIT]]="","-",VLOOKUP(factura_c_mes4[[#This Row],[CUIT]],Lista_CUIT[#All],3,0)),"CUIT NO CARGADO")</f>
        <v>-</v>
      </c>
      <c r="K178" s="54" t="str">
        <f>IFERROR(IF(factura_c_mes4[[#This Row],[CUIT]]="","-",VLOOKUP(factura_c_mes4[[#This Row],[CUIT]],Lista_CUIT[#All],4,0)),"CUIT NO CARGADO")</f>
        <v>-</v>
      </c>
    </row>
    <row r="179" spans="4:11" x14ac:dyDescent="0.25">
      <c r="D179" s="50"/>
      <c r="E179" s="164"/>
      <c r="F179" s="164"/>
      <c r="G179" s="118"/>
      <c r="H179" s="53" t="str">
        <f>IFERROR(IF(factura_c_mes4[[#This Row],[CUIT]]="","-",VLOOKUP(factura_c_mes4[[#This Row],[CUIT]],Lista_CUIT[#All],2,0)),"CUIT NO CARGADO")</f>
        <v>-</v>
      </c>
      <c r="I179" s="165"/>
      <c r="J179" s="54" t="str">
        <f>IFERROR(IF(factura_c_mes4[[#This Row],[CUIT]]="","-",VLOOKUP(factura_c_mes4[[#This Row],[CUIT]],Lista_CUIT[#All],3,0)),"CUIT NO CARGADO")</f>
        <v>-</v>
      </c>
      <c r="K179" s="54" t="str">
        <f>IFERROR(IF(factura_c_mes4[[#This Row],[CUIT]]="","-",VLOOKUP(factura_c_mes4[[#This Row],[CUIT]],Lista_CUIT[#All],4,0)),"CUIT NO CARGADO")</f>
        <v>-</v>
      </c>
    </row>
    <row r="180" spans="4:11" x14ac:dyDescent="0.25">
      <c r="D180" s="50"/>
      <c r="E180" s="164"/>
      <c r="F180" s="164"/>
      <c r="G180" s="118"/>
      <c r="H180" s="53" t="str">
        <f>IFERROR(IF(factura_c_mes4[[#This Row],[CUIT]]="","-",VLOOKUP(factura_c_mes4[[#This Row],[CUIT]],Lista_CUIT[#All],2,0)),"CUIT NO CARGADO")</f>
        <v>-</v>
      </c>
      <c r="I180" s="165"/>
      <c r="J180" s="54" t="str">
        <f>IFERROR(IF(factura_c_mes4[[#This Row],[CUIT]]="","-",VLOOKUP(factura_c_mes4[[#This Row],[CUIT]],Lista_CUIT[#All],3,0)),"CUIT NO CARGADO")</f>
        <v>-</v>
      </c>
      <c r="K180" s="54" t="str">
        <f>IFERROR(IF(factura_c_mes4[[#This Row],[CUIT]]="","-",VLOOKUP(factura_c_mes4[[#This Row],[CUIT]],Lista_CUIT[#All],4,0)),"CUIT NO CARGADO")</f>
        <v>-</v>
      </c>
    </row>
    <row r="181" spans="4:11" x14ac:dyDescent="0.25">
      <c r="D181" s="50"/>
      <c r="E181" s="164"/>
      <c r="F181" s="164"/>
      <c r="G181" s="118"/>
      <c r="H181" s="53" t="str">
        <f>IFERROR(IF(factura_c_mes4[[#This Row],[CUIT]]="","-",VLOOKUP(factura_c_mes4[[#This Row],[CUIT]],Lista_CUIT[#All],2,0)),"CUIT NO CARGADO")</f>
        <v>-</v>
      </c>
      <c r="I181" s="165"/>
      <c r="J181" s="54" t="str">
        <f>IFERROR(IF(factura_c_mes4[[#This Row],[CUIT]]="","-",VLOOKUP(factura_c_mes4[[#This Row],[CUIT]],Lista_CUIT[#All],3,0)),"CUIT NO CARGADO")</f>
        <v>-</v>
      </c>
      <c r="K181" s="54" t="str">
        <f>IFERROR(IF(factura_c_mes4[[#This Row],[CUIT]]="","-",VLOOKUP(factura_c_mes4[[#This Row],[CUIT]],Lista_CUIT[#All],4,0)),"CUIT NO CARGADO")</f>
        <v>-</v>
      </c>
    </row>
    <row r="182" spans="4:11" x14ac:dyDescent="0.25">
      <c r="D182" s="50"/>
      <c r="E182" s="164"/>
      <c r="F182" s="164"/>
      <c r="G182" s="118"/>
      <c r="H182" s="53" t="str">
        <f>IFERROR(IF(factura_c_mes4[[#This Row],[CUIT]]="","-",VLOOKUP(factura_c_mes4[[#This Row],[CUIT]],Lista_CUIT[#All],2,0)),"CUIT NO CARGADO")</f>
        <v>-</v>
      </c>
      <c r="I182" s="165"/>
      <c r="J182" s="54" t="str">
        <f>IFERROR(IF(factura_c_mes4[[#This Row],[CUIT]]="","-",VLOOKUP(factura_c_mes4[[#This Row],[CUIT]],Lista_CUIT[#All],3,0)),"CUIT NO CARGADO")</f>
        <v>-</v>
      </c>
      <c r="K182" s="54" t="str">
        <f>IFERROR(IF(factura_c_mes4[[#This Row],[CUIT]]="","-",VLOOKUP(factura_c_mes4[[#This Row],[CUIT]],Lista_CUIT[#All],4,0)),"CUIT NO CARGADO")</f>
        <v>-</v>
      </c>
    </row>
    <row r="183" spans="4:11" x14ac:dyDescent="0.25">
      <c r="D183" s="50"/>
      <c r="E183" s="164"/>
      <c r="F183" s="164"/>
      <c r="G183" s="118"/>
      <c r="H183" s="53" t="str">
        <f>IFERROR(IF(factura_c_mes4[[#This Row],[CUIT]]="","-",VLOOKUP(factura_c_mes4[[#This Row],[CUIT]],Lista_CUIT[#All],2,0)),"CUIT NO CARGADO")</f>
        <v>-</v>
      </c>
      <c r="I183" s="165"/>
      <c r="J183" s="54" t="str">
        <f>IFERROR(IF(factura_c_mes4[[#This Row],[CUIT]]="","-",VLOOKUP(factura_c_mes4[[#This Row],[CUIT]],Lista_CUIT[#All],3,0)),"CUIT NO CARGADO")</f>
        <v>-</v>
      </c>
      <c r="K183" s="54" t="str">
        <f>IFERROR(IF(factura_c_mes4[[#This Row],[CUIT]]="","-",VLOOKUP(factura_c_mes4[[#This Row],[CUIT]],Lista_CUIT[#All],4,0)),"CUIT NO CARGADO")</f>
        <v>-</v>
      </c>
    </row>
    <row r="184" spans="4:11" x14ac:dyDescent="0.25">
      <c r="D184" s="50"/>
      <c r="E184" s="164"/>
      <c r="F184" s="164"/>
      <c r="G184" s="118"/>
      <c r="H184" s="53" t="str">
        <f>IFERROR(IF(factura_c_mes4[[#This Row],[CUIT]]="","-",VLOOKUP(factura_c_mes4[[#This Row],[CUIT]],Lista_CUIT[#All],2,0)),"CUIT NO CARGADO")</f>
        <v>-</v>
      </c>
      <c r="I184" s="165"/>
      <c r="J184" s="54" t="str">
        <f>IFERROR(IF(factura_c_mes4[[#This Row],[CUIT]]="","-",VLOOKUP(factura_c_mes4[[#This Row],[CUIT]],Lista_CUIT[#All],3,0)),"CUIT NO CARGADO")</f>
        <v>-</v>
      </c>
      <c r="K184" s="54" t="str">
        <f>IFERROR(IF(factura_c_mes4[[#This Row],[CUIT]]="","-",VLOOKUP(factura_c_mes4[[#This Row],[CUIT]],Lista_CUIT[#All],4,0)),"CUIT NO CARGADO")</f>
        <v>-</v>
      </c>
    </row>
    <row r="185" spans="4:11" x14ac:dyDescent="0.25">
      <c r="D185" s="50"/>
      <c r="E185" s="164"/>
      <c r="F185" s="164"/>
      <c r="G185" s="118"/>
      <c r="H185" s="53" t="str">
        <f>IFERROR(IF(factura_c_mes4[[#This Row],[CUIT]]="","-",VLOOKUP(factura_c_mes4[[#This Row],[CUIT]],Lista_CUIT[#All],2,0)),"CUIT NO CARGADO")</f>
        <v>-</v>
      </c>
      <c r="I185" s="165"/>
      <c r="J185" s="54" t="str">
        <f>IFERROR(IF(factura_c_mes4[[#This Row],[CUIT]]="","-",VLOOKUP(factura_c_mes4[[#This Row],[CUIT]],Lista_CUIT[#All],3,0)),"CUIT NO CARGADO")</f>
        <v>-</v>
      </c>
      <c r="K185" s="54" t="str">
        <f>IFERROR(IF(factura_c_mes4[[#This Row],[CUIT]]="","-",VLOOKUP(factura_c_mes4[[#This Row],[CUIT]],Lista_CUIT[#All],4,0)),"CUIT NO CARGADO")</f>
        <v>-</v>
      </c>
    </row>
    <row r="186" spans="4:11" x14ac:dyDescent="0.25">
      <c r="D186" s="50"/>
      <c r="E186" s="164"/>
      <c r="F186" s="164"/>
      <c r="G186" s="118"/>
      <c r="H186" s="53" t="str">
        <f>IFERROR(IF(factura_c_mes4[[#This Row],[CUIT]]="","-",VLOOKUP(factura_c_mes4[[#This Row],[CUIT]],Lista_CUIT[#All],2,0)),"CUIT NO CARGADO")</f>
        <v>-</v>
      </c>
      <c r="I186" s="165"/>
      <c r="J186" s="54" t="str">
        <f>IFERROR(IF(factura_c_mes4[[#This Row],[CUIT]]="","-",VLOOKUP(factura_c_mes4[[#This Row],[CUIT]],Lista_CUIT[#All],3,0)),"CUIT NO CARGADO")</f>
        <v>-</v>
      </c>
      <c r="K186" s="54" t="str">
        <f>IFERROR(IF(factura_c_mes4[[#This Row],[CUIT]]="","-",VLOOKUP(factura_c_mes4[[#This Row],[CUIT]],Lista_CUIT[#All],4,0)),"CUIT NO CARGADO")</f>
        <v>-</v>
      </c>
    </row>
    <row r="187" spans="4:11" x14ac:dyDescent="0.25">
      <c r="D187" s="50"/>
      <c r="E187" s="164"/>
      <c r="F187" s="164"/>
      <c r="G187" s="118"/>
      <c r="H187" s="53" t="str">
        <f>IFERROR(IF(factura_c_mes4[[#This Row],[CUIT]]="","-",VLOOKUP(factura_c_mes4[[#This Row],[CUIT]],Lista_CUIT[#All],2,0)),"CUIT NO CARGADO")</f>
        <v>-</v>
      </c>
      <c r="I187" s="165"/>
      <c r="J187" s="54" t="str">
        <f>IFERROR(IF(factura_c_mes4[[#This Row],[CUIT]]="","-",VLOOKUP(factura_c_mes4[[#This Row],[CUIT]],Lista_CUIT[#All],3,0)),"CUIT NO CARGADO")</f>
        <v>-</v>
      </c>
      <c r="K187" s="54" t="str">
        <f>IFERROR(IF(factura_c_mes4[[#This Row],[CUIT]]="","-",VLOOKUP(factura_c_mes4[[#This Row],[CUIT]],Lista_CUIT[#All],4,0)),"CUIT NO CARGADO")</f>
        <v>-</v>
      </c>
    </row>
    <row r="188" spans="4:11" x14ac:dyDescent="0.25">
      <c r="D188" s="50"/>
      <c r="E188" s="164"/>
      <c r="F188" s="164"/>
      <c r="G188" s="118"/>
      <c r="H188" s="53" t="str">
        <f>IFERROR(IF(factura_c_mes4[[#This Row],[CUIT]]="","-",VLOOKUP(factura_c_mes4[[#This Row],[CUIT]],Lista_CUIT[#All],2,0)),"CUIT NO CARGADO")</f>
        <v>-</v>
      </c>
      <c r="I188" s="165"/>
      <c r="J188" s="54" t="str">
        <f>IFERROR(IF(factura_c_mes4[[#This Row],[CUIT]]="","-",VLOOKUP(factura_c_mes4[[#This Row],[CUIT]],Lista_CUIT[#All],3,0)),"CUIT NO CARGADO")</f>
        <v>-</v>
      </c>
      <c r="K188" s="54" t="str">
        <f>IFERROR(IF(factura_c_mes4[[#This Row],[CUIT]]="","-",VLOOKUP(factura_c_mes4[[#This Row],[CUIT]],Lista_CUIT[#All],4,0)),"CUIT NO CARGADO")</f>
        <v>-</v>
      </c>
    </row>
    <row r="189" spans="4:11" x14ac:dyDescent="0.25">
      <c r="D189" s="50"/>
      <c r="E189" s="164"/>
      <c r="F189" s="164"/>
      <c r="G189" s="118"/>
      <c r="H189" s="53" t="str">
        <f>IFERROR(IF(factura_c_mes4[[#This Row],[CUIT]]="","-",VLOOKUP(factura_c_mes4[[#This Row],[CUIT]],Lista_CUIT[#All],2,0)),"CUIT NO CARGADO")</f>
        <v>-</v>
      </c>
      <c r="I189" s="165"/>
      <c r="J189" s="54" t="str">
        <f>IFERROR(IF(factura_c_mes4[[#This Row],[CUIT]]="","-",VLOOKUP(factura_c_mes4[[#This Row],[CUIT]],Lista_CUIT[#All],3,0)),"CUIT NO CARGADO")</f>
        <v>-</v>
      </c>
      <c r="K189" s="54" t="str">
        <f>IFERROR(IF(factura_c_mes4[[#This Row],[CUIT]]="","-",VLOOKUP(factura_c_mes4[[#This Row],[CUIT]],Lista_CUIT[#All],4,0)),"CUIT NO CARGADO")</f>
        <v>-</v>
      </c>
    </row>
    <row r="190" spans="4:11" x14ac:dyDescent="0.25">
      <c r="D190" s="50"/>
      <c r="E190" s="164"/>
      <c r="F190" s="164"/>
      <c r="G190" s="118"/>
      <c r="H190" s="53" t="str">
        <f>IFERROR(IF(factura_c_mes4[[#This Row],[CUIT]]="","-",VLOOKUP(factura_c_mes4[[#This Row],[CUIT]],Lista_CUIT[#All],2,0)),"CUIT NO CARGADO")</f>
        <v>-</v>
      </c>
      <c r="I190" s="165"/>
      <c r="J190" s="54" t="str">
        <f>IFERROR(IF(factura_c_mes4[[#This Row],[CUIT]]="","-",VLOOKUP(factura_c_mes4[[#This Row],[CUIT]],Lista_CUIT[#All],3,0)),"CUIT NO CARGADO")</f>
        <v>-</v>
      </c>
      <c r="K190" s="54" t="str">
        <f>IFERROR(IF(factura_c_mes4[[#This Row],[CUIT]]="","-",VLOOKUP(factura_c_mes4[[#This Row],[CUIT]],Lista_CUIT[#All],4,0)),"CUIT NO CARGADO")</f>
        <v>-</v>
      </c>
    </row>
    <row r="191" spans="4:11" x14ac:dyDescent="0.25">
      <c r="D191" s="50"/>
      <c r="E191" s="42"/>
      <c r="F191" s="43"/>
      <c r="G191" s="44"/>
      <c r="H191" s="53" t="str">
        <f>IFERROR(IF(factura_c_mes4[[#This Row],[CUIT]]="","-",VLOOKUP(factura_c_mes4[[#This Row],[CUIT]],Lista_CUIT[#All],2,0)),"CUIT NO CARGADO")</f>
        <v>-</v>
      </c>
      <c r="I191" s="81"/>
      <c r="J191" s="54" t="str">
        <f>IFERROR(IF(factura_c_mes4[[#This Row],[CUIT]]="","-",VLOOKUP(factura_c_mes4[[#This Row],[CUIT]],Lista_CUIT[#All],3,0)),"CUIT NO CARGADO")</f>
        <v>-</v>
      </c>
      <c r="K191" s="54" t="str">
        <f>IFERROR(IF(factura_c_mes4[[#This Row],[CUIT]]="","-",VLOOKUP(factura_c_mes4[[#This Row],[CUIT]],Lista_CUIT[#All],4,0)),"CUIT NO CARGADO")</f>
        <v>-</v>
      </c>
    </row>
    <row r="192" spans="4:11" x14ac:dyDescent="0.25">
      <c r="D192" s="55" t="s">
        <v>110</v>
      </c>
      <c r="E192" s="55"/>
      <c r="F192" s="55"/>
      <c r="G192" s="55"/>
      <c r="H192" s="57"/>
      <c r="I192" s="58">
        <f>SUBTOTAL(109,factura_c_mes4[TOTAL])</f>
        <v>8628430</v>
      </c>
      <c r="J192" s="55"/>
      <c r="K192" s="55"/>
    </row>
    <row r="193" spans="2:18" x14ac:dyDescent="0.25">
      <c r="B193" s="56"/>
      <c r="C193" s="56"/>
      <c r="L193" s="56"/>
      <c r="M193" s="56"/>
      <c r="N193" s="56"/>
      <c r="O193" s="56"/>
      <c r="P193" s="56"/>
      <c r="Q193" s="56"/>
      <c r="R193" s="56"/>
    </row>
    <row r="198" spans="2:18" ht="26.25" x14ac:dyDescent="0.25">
      <c r="B198" s="629" t="s">
        <v>29</v>
      </c>
      <c r="C198" s="629"/>
      <c r="D198" s="629"/>
      <c r="E198" s="629"/>
      <c r="F198" s="629"/>
      <c r="G198" s="629"/>
      <c r="H198" s="629"/>
      <c r="I198" s="629"/>
      <c r="J198" s="629"/>
      <c r="K198" s="630">
        <f>N1</f>
        <v>45748</v>
      </c>
      <c r="L198" s="630"/>
      <c r="M198" s="630"/>
    </row>
    <row r="200" spans="2:18" ht="21" x14ac:dyDescent="0.25">
      <c r="B200" s="631" t="s">
        <v>30</v>
      </c>
      <c r="C200" s="631"/>
    </row>
    <row r="201" spans="2:18" ht="15.75" x14ac:dyDescent="0.25">
      <c r="B201" s="60" t="s">
        <v>0</v>
      </c>
      <c r="C201" s="61" t="s">
        <v>1</v>
      </c>
      <c r="D201" s="61" t="s">
        <v>21</v>
      </c>
      <c r="E201" s="61" t="s">
        <v>22</v>
      </c>
      <c r="F201" s="61" t="s">
        <v>3</v>
      </c>
      <c r="G201" s="61" t="s">
        <v>4</v>
      </c>
      <c r="H201" s="61" t="s">
        <v>23</v>
      </c>
      <c r="I201" s="61" t="s">
        <v>17</v>
      </c>
      <c r="J201" s="61" t="s">
        <v>7</v>
      </c>
      <c r="K201" s="61" t="s">
        <v>24</v>
      </c>
      <c r="L201" s="61" t="s">
        <v>10</v>
      </c>
      <c r="M201" s="62" t="s">
        <v>38</v>
      </c>
    </row>
    <row r="202" spans="2:18" x14ac:dyDescent="0.25">
      <c r="B202" s="40"/>
      <c r="C202" s="41"/>
      <c r="D202" s="42"/>
      <c r="E202" s="43"/>
      <c r="F202" s="44"/>
      <c r="G202" s="98" t="str">
        <f>IFERROR(IF(venta_a_mes4[[#This Row],[CUIT]]="","-",VLOOKUP(venta_a_mes4[[#This Row],[CUIT]],Lista_CUIT[#All],2,0)),"CUIT NO CARGADO")</f>
        <v>-</v>
      </c>
      <c r="H202" s="99"/>
      <c r="I202" s="100">
        <f>venta_a_mes4[[#This Row],[IMPORTE NETO]]*0.21</f>
        <v>0</v>
      </c>
      <c r="J202" s="65"/>
      <c r="K202" s="65"/>
      <c r="L202" s="65">
        <f>SUM(venta_a_mes4[[#This Row],[IMPORTE NETO]:[EXENTO]])</f>
        <v>0</v>
      </c>
      <c r="M202" s="59"/>
    </row>
    <row r="203" spans="2:18" x14ac:dyDescent="0.25">
      <c r="B203" s="40"/>
      <c r="C203" s="41"/>
      <c r="D203" s="42"/>
      <c r="E203" s="43"/>
      <c r="F203" s="44"/>
      <c r="G203" s="98" t="str">
        <f>IFERROR(IF(venta_a_mes4[[#This Row],[CUIT]]="","-",VLOOKUP(venta_a_mes4[[#This Row],[CUIT]],Lista_CUIT[#All],2,0)),"CUIT NO CARGADO")</f>
        <v>-</v>
      </c>
      <c r="H203" s="99"/>
      <c r="I203" s="100">
        <f>venta_a_mes4[[#This Row],[IMPORTE NETO]]*0.21</f>
        <v>0</v>
      </c>
      <c r="J203" s="65"/>
      <c r="K203" s="65"/>
      <c r="L203" s="65">
        <f>SUM(venta_a_mes4[[#This Row],[IMPORTE NETO]:[EXENTO]])</f>
        <v>0</v>
      </c>
      <c r="M203" s="59"/>
    </row>
    <row r="204" spans="2:18" x14ac:dyDescent="0.25">
      <c r="B204" s="40"/>
      <c r="C204" s="41"/>
      <c r="D204" s="42"/>
      <c r="E204" s="43"/>
      <c r="F204" s="44"/>
      <c r="G204" s="98" t="str">
        <f>IFERROR(IF(venta_a_mes4[[#This Row],[CUIT]]="","-",VLOOKUP(venta_a_mes4[[#This Row],[CUIT]],Lista_CUIT[#All],2,0)),"CUIT NO CARGADO")</f>
        <v>-</v>
      </c>
      <c r="H204" s="99"/>
      <c r="I204" s="100">
        <f>venta_a_mes4[[#This Row],[IMPORTE NETO]]*0.21</f>
        <v>0</v>
      </c>
      <c r="J204" s="65"/>
      <c r="K204" s="65"/>
      <c r="L204" s="65">
        <f>SUM(venta_a_mes4[[#This Row],[IMPORTE NETO]:[EXENTO]])</f>
        <v>0</v>
      </c>
      <c r="M204" s="59"/>
    </row>
    <row r="205" spans="2:18" x14ac:dyDescent="0.25">
      <c r="B205" s="40"/>
      <c r="C205" s="41"/>
      <c r="D205" s="42"/>
      <c r="E205" s="43"/>
      <c r="F205" s="44"/>
      <c r="G205" s="98" t="str">
        <f>IFERROR(IF(venta_a_mes4[[#This Row],[CUIT]]="","-",VLOOKUP(venta_a_mes4[[#This Row],[CUIT]],Lista_CUIT[#All],2,0)),"CUIT NO CARGADO")</f>
        <v>-</v>
      </c>
      <c r="H205" s="99"/>
      <c r="I205" s="100">
        <f>venta_a_mes4[[#This Row],[IMPORTE NETO]]*0.21</f>
        <v>0</v>
      </c>
      <c r="J205" s="65"/>
      <c r="K205" s="65"/>
      <c r="L205" s="65">
        <f>SUM(venta_a_mes4[[#This Row],[IMPORTE NETO]:[EXENTO]])</f>
        <v>0</v>
      </c>
      <c r="M205" s="59"/>
    </row>
    <row r="206" spans="2:18" x14ac:dyDescent="0.25">
      <c r="B206" s="40"/>
      <c r="C206" s="41"/>
      <c r="D206" s="42"/>
      <c r="E206" s="43"/>
      <c r="F206" s="44"/>
      <c r="G206" s="98" t="str">
        <f>IFERROR(IF(venta_a_mes4[[#This Row],[CUIT]]="","-",VLOOKUP(venta_a_mes4[[#This Row],[CUIT]],Lista_CUIT[#All],2,0)),"CUIT NO CARGADO")</f>
        <v>-</v>
      </c>
      <c r="H206" s="99"/>
      <c r="I206" s="100">
        <f>venta_a_mes4[[#This Row],[IMPORTE NETO]]*0.21</f>
        <v>0</v>
      </c>
      <c r="J206" s="65"/>
      <c r="K206" s="65"/>
      <c r="L206" s="65">
        <f>SUM(venta_a_mes4[[#This Row],[IMPORTE NETO]:[EXENTO]])</f>
        <v>0</v>
      </c>
      <c r="M206" s="59"/>
    </row>
    <row r="207" spans="2:18" x14ac:dyDescent="0.25">
      <c r="B207" s="40"/>
      <c r="C207" s="41"/>
      <c r="D207" s="42"/>
      <c r="E207" s="43"/>
      <c r="F207" s="44"/>
      <c r="G207" s="98" t="str">
        <f>IFERROR(IF(venta_a_mes4[[#This Row],[CUIT]]="","-",VLOOKUP(venta_a_mes4[[#This Row],[CUIT]],Lista_CUIT[#All],2,0)),"CUIT NO CARGADO")</f>
        <v>-</v>
      </c>
      <c r="H207" s="99"/>
      <c r="I207" s="100">
        <f>venta_a_mes4[[#This Row],[IMPORTE NETO]]*0.21</f>
        <v>0</v>
      </c>
      <c r="J207" s="65"/>
      <c r="K207" s="65"/>
      <c r="L207" s="65">
        <f>SUM(venta_a_mes4[[#This Row],[IMPORTE NETO]:[EXENTO]])</f>
        <v>0</v>
      </c>
      <c r="M207" s="59"/>
    </row>
    <row r="208" spans="2:18" x14ac:dyDescent="0.25">
      <c r="B208" s="40"/>
      <c r="C208" s="41"/>
      <c r="D208" s="42"/>
      <c r="E208" s="43"/>
      <c r="F208" s="44"/>
      <c r="G208" s="98" t="str">
        <f>IFERROR(IF(venta_a_mes4[[#This Row],[CUIT]]="","-",VLOOKUP(venta_a_mes4[[#This Row],[CUIT]],Lista_CUIT[#All],2,0)),"CUIT NO CARGADO")</f>
        <v>-</v>
      </c>
      <c r="H208" s="99"/>
      <c r="I208" s="100">
        <f>venta_a_mes4[[#This Row],[IMPORTE NETO]]*0.21</f>
        <v>0</v>
      </c>
      <c r="J208" s="65"/>
      <c r="K208" s="65"/>
      <c r="L208" s="65">
        <f>SUM(venta_a_mes4[[#This Row],[IMPORTE NETO]:[EXENTO]])</f>
        <v>0</v>
      </c>
      <c r="M208" s="63"/>
    </row>
    <row r="209" spans="2:13" x14ac:dyDescent="0.25">
      <c r="B209" s="101"/>
      <c r="C209" s="41"/>
      <c r="D209" s="103"/>
      <c r="E209" s="104"/>
      <c r="F209" s="105"/>
      <c r="G209" s="98" t="str">
        <f>IFERROR(IF(venta_a_mes4[[#This Row],[CUIT]]="","-",VLOOKUP(venta_a_mes4[[#This Row],[CUIT]],Lista_CUIT[#All],2,0)),"CUIT NO CARGADO")</f>
        <v>-</v>
      </c>
      <c r="H209" s="106"/>
      <c r="I209" s="107">
        <f>venta_a_mes4[[#This Row],[IMPORTE NETO]]*0.21</f>
        <v>0</v>
      </c>
      <c r="J209" s="72"/>
      <c r="K209" s="72"/>
      <c r="L209" s="72">
        <f>SUM(venta_a_mes4[[#This Row],[IMPORTE NETO]:[EXENTO]])</f>
        <v>0</v>
      </c>
      <c r="M209" s="63"/>
    </row>
    <row r="210" spans="2:13" x14ac:dyDescent="0.25">
      <c r="B210" s="108"/>
      <c r="C210" s="41"/>
      <c r="D210" s="110"/>
      <c r="E210" s="111"/>
      <c r="F210" s="112"/>
      <c r="G210" s="98" t="str">
        <f>IFERROR(IF(venta_a_mes4[[#This Row],[CUIT]]="","-",VLOOKUP(venta_a_mes4[[#This Row],[CUIT]],Lista_CUIT[#All],2,0)),"CUIT NO CARGADO")</f>
        <v>-</v>
      </c>
      <c r="H210" s="99"/>
      <c r="I210" s="100">
        <f>venta_a_mes4[[#This Row],[IMPORTE NETO]]*0.21</f>
        <v>0</v>
      </c>
      <c r="J210" s="65"/>
      <c r="K210" s="65"/>
      <c r="L210" s="65">
        <f>SUM(venta_a_mes4[[#This Row],[IMPORTE NETO]:[EXENTO]])</f>
        <v>0</v>
      </c>
      <c r="M210" s="59"/>
    </row>
    <row r="211" spans="2:13" x14ac:dyDescent="0.25">
      <c r="B211" s="183"/>
      <c r="C211" s="41"/>
      <c r="D211" s="184"/>
      <c r="E211" s="185"/>
      <c r="F211" s="186"/>
      <c r="G211" s="187" t="str">
        <f>IFERROR(IF(venta_a_mes4[[#This Row],[CUIT]]="","-",VLOOKUP(venta_a_mes4[[#This Row],[CUIT]],Lista_CUIT[#All],2,0)),"CUIT NO CARGADO")</f>
        <v>-</v>
      </c>
      <c r="H211" s="188"/>
      <c r="I211" s="189">
        <f>venta_a_mes4[[#This Row],[IMPORTE NETO]]*0.21</f>
        <v>0</v>
      </c>
      <c r="J211" s="190"/>
      <c r="K211" s="190"/>
      <c r="L211" s="190">
        <f>SUM(venta_a_mes4[[#This Row],[IMPORTE NETO]:[EXENTO]])</f>
        <v>0</v>
      </c>
      <c r="M211" s="191"/>
    </row>
    <row r="212" spans="2:13" x14ac:dyDescent="0.25">
      <c r="B212" s="183"/>
      <c r="C212" s="41"/>
      <c r="D212" s="184"/>
      <c r="E212" s="185"/>
      <c r="F212" s="186"/>
      <c r="G212" s="187" t="str">
        <f>IFERROR(IF(venta_a_mes4[[#This Row],[CUIT]]="","-",VLOOKUP(venta_a_mes4[[#This Row],[CUIT]],Lista_CUIT[#All],2,0)),"CUIT NO CARGADO")</f>
        <v>-</v>
      </c>
      <c r="H212" s="188"/>
      <c r="I212" s="189">
        <f>venta_a_mes4[[#This Row],[IMPORTE NETO]]*0.21</f>
        <v>0</v>
      </c>
      <c r="J212" s="190"/>
      <c r="K212" s="190"/>
      <c r="L212" s="190">
        <f>SUM(venta_a_mes4[[#This Row],[IMPORTE NETO]:[EXENTO]])</f>
        <v>0</v>
      </c>
      <c r="M212" s="191"/>
    </row>
    <row r="213" spans="2:13" x14ac:dyDescent="0.25">
      <c r="B213" s="173"/>
      <c r="C213" s="41"/>
      <c r="D213" s="175"/>
      <c r="E213" s="176"/>
      <c r="F213" s="177"/>
      <c r="G213" s="178" t="str">
        <f>IFERROR(IF(venta_a_mes4[[#This Row],[CUIT]]="","-",VLOOKUP(venta_a_mes4[[#This Row],[CUIT]],Lista_CUIT[#All],2,0)),"CUIT NO CARGADO")</f>
        <v>-</v>
      </c>
      <c r="H213" s="179"/>
      <c r="I213" s="180">
        <f>venta_a_mes4[[#This Row],[IMPORTE NETO]]*0.21</f>
        <v>0</v>
      </c>
      <c r="J213" s="181"/>
      <c r="K213" s="181"/>
      <c r="L213" s="181">
        <f>SUM(venta_a_mes4[[#This Row],[IMPORTE NETO]:[EXENTO]])</f>
        <v>0</v>
      </c>
      <c r="M213" s="182"/>
    </row>
    <row r="214" spans="2:13" x14ac:dyDescent="0.25">
      <c r="B214" s="173"/>
      <c r="C214" s="41"/>
      <c r="D214" s="175"/>
      <c r="E214" s="176"/>
      <c r="F214" s="177"/>
      <c r="G214" s="178" t="str">
        <f>IFERROR(IF(venta_a_mes4[[#This Row],[CUIT]]="","-",VLOOKUP(venta_a_mes4[[#This Row],[CUIT]],Lista_CUIT[#All],2,0)),"CUIT NO CARGADO")</f>
        <v>-</v>
      </c>
      <c r="H214" s="179"/>
      <c r="I214" s="180">
        <f>venta_a_mes4[[#This Row],[IMPORTE NETO]]*0.21</f>
        <v>0</v>
      </c>
      <c r="J214" s="181"/>
      <c r="K214" s="181"/>
      <c r="L214" s="181">
        <f>SUM(venta_a_mes4[[#This Row],[IMPORTE NETO]:[EXENTO]])</f>
        <v>0</v>
      </c>
      <c r="M214" s="182"/>
    </row>
    <row r="215" spans="2:13" x14ac:dyDescent="0.25">
      <c r="B215" s="173"/>
      <c r="C215" s="41"/>
      <c r="D215" s="175"/>
      <c r="E215" s="176"/>
      <c r="F215" s="177"/>
      <c r="G215" s="178" t="str">
        <f>IFERROR(IF(venta_a_mes4[[#This Row],[CUIT]]="","-",VLOOKUP(venta_a_mes4[[#This Row],[CUIT]],Lista_CUIT[#All],2,0)),"CUIT NO CARGADO")</f>
        <v>-</v>
      </c>
      <c r="H215" s="179"/>
      <c r="I215" s="180">
        <f>venta_a_mes4[[#This Row],[IMPORTE NETO]]*0.21</f>
        <v>0</v>
      </c>
      <c r="J215" s="181"/>
      <c r="K215" s="181"/>
      <c r="L215" s="181">
        <f>SUM(venta_a_mes4[[#This Row],[IMPORTE NETO]:[EXENTO]])</f>
        <v>0</v>
      </c>
      <c r="M215" s="182"/>
    </row>
    <row r="216" spans="2:13" x14ac:dyDescent="0.25">
      <c r="B216" s="173"/>
      <c r="C216" s="41"/>
      <c r="D216" s="175"/>
      <c r="E216" s="176"/>
      <c r="F216" s="177"/>
      <c r="G216" s="178" t="str">
        <f>IFERROR(IF(venta_a_mes4[[#This Row],[CUIT]]="","-",VLOOKUP(venta_a_mes4[[#This Row],[CUIT]],Lista_CUIT[#All],2,0)),"CUIT NO CARGADO")</f>
        <v>-</v>
      </c>
      <c r="H216" s="179"/>
      <c r="I216" s="180">
        <f>venta_a_mes4[[#This Row],[IMPORTE NETO]]*0.21</f>
        <v>0</v>
      </c>
      <c r="J216" s="181"/>
      <c r="K216" s="181"/>
      <c r="L216" s="181">
        <f>SUM(venta_a_mes4[[#This Row],[IMPORTE NETO]:[EXENTO]])</f>
        <v>0</v>
      </c>
      <c r="M216" s="182"/>
    </row>
    <row r="217" spans="2:13" x14ac:dyDescent="0.25">
      <c r="B217" s="173"/>
      <c r="C217" s="41"/>
      <c r="D217" s="175"/>
      <c r="E217" s="176"/>
      <c r="F217" s="177"/>
      <c r="G217" s="178" t="str">
        <f>IFERROR(IF(venta_a_mes4[[#This Row],[CUIT]]="","-",VLOOKUP(venta_a_mes4[[#This Row],[CUIT]],Lista_CUIT[#All],2,0)),"CUIT NO CARGADO")</f>
        <v>-</v>
      </c>
      <c r="H217" s="179"/>
      <c r="I217" s="180">
        <f>venta_a_mes4[[#This Row],[IMPORTE NETO]]*0.21</f>
        <v>0</v>
      </c>
      <c r="J217" s="181"/>
      <c r="K217" s="181"/>
      <c r="L217" s="181">
        <f>SUM(venta_a_mes4[[#This Row],[IMPORTE NETO]:[EXENTO]])</f>
        <v>0</v>
      </c>
      <c r="M217" s="182"/>
    </row>
    <row r="218" spans="2:13" x14ac:dyDescent="0.25">
      <c r="B218" s="173"/>
      <c r="C218" s="41"/>
      <c r="D218" s="175"/>
      <c r="E218" s="176"/>
      <c r="F218" s="177"/>
      <c r="G218" s="178" t="str">
        <f>IFERROR(IF(venta_a_mes4[[#This Row],[CUIT]]="","-",VLOOKUP(venta_a_mes4[[#This Row],[CUIT]],Lista_CUIT[#All],2,0)),"CUIT NO CARGADO")</f>
        <v>-</v>
      </c>
      <c r="H218" s="179"/>
      <c r="I218" s="180">
        <f>venta_a_mes4[[#This Row],[IMPORTE NETO]]*0.21</f>
        <v>0</v>
      </c>
      <c r="J218" s="181"/>
      <c r="K218" s="181"/>
      <c r="L218" s="181">
        <f>SUM(venta_a_mes4[[#This Row],[IMPORTE NETO]:[EXENTO]])</f>
        <v>0</v>
      </c>
      <c r="M218" s="182"/>
    </row>
    <row r="219" spans="2:13" x14ac:dyDescent="0.25">
      <c r="B219" s="173"/>
      <c r="C219" s="41"/>
      <c r="D219" s="175"/>
      <c r="E219" s="176"/>
      <c r="F219" s="177"/>
      <c r="G219" s="178" t="str">
        <f>IFERROR(IF(venta_a_mes4[[#This Row],[CUIT]]="","-",VLOOKUP(venta_a_mes4[[#This Row],[CUIT]],Lista_CUIT[#All],2,0)),"CUIT NO CARGADO")</f>
        <v>-</v>
      </c>
      <c r="H219" s="179"/>
      <c r="I219" s="180">
        <f>venta_a_mes4[[#This Row],[IMPORTE NETO]]*0.21</f>
        <v>0</v>
      </c>
      <c r="J219" s="181"/>
      <c r="K219" s="181"/>
      <c r="L219" s="181">
        <f>SUM(venta_a_mes4[[#This Row],[IMPORTE NETO]:[EXENTO]])</f>
        <v>0</v>
      </c>
      <c r="M219" s="182"/>
    </row>
    <row r="220" spans="2:13" x14ac:dyDescent="0.25">
      <c r="B220" s="173"/>
      <c r="C220" s="41"/>
      <c r="D220" s="175"/>
      <c r="E220" s="176"/>
      <c r="F220" s="177"/>
      <c r="G220" s="178" t="str">
        <f>IFERROR(IF(venta_a_mes4[[#This Row],[CUIT]]="","-",VLOOKUP(venta_a_mes4[[#This Row],[CUIT]],Lista_CUIT[#All],2,0)),"CUIT NO CARGADO")</f>
        <v>-</v>
      </c>
      <c r="H220" s="179"/>
      <c r="I220" s="180">
        <f>venta_a_mes4[[#This Row],[IMPORTE NETO]]*0.21</f>
        <v>0</v>
      </c>
      <c r="J220" s="181"/>
      <c r="K220" s="181"/>
      <c r="L220" s="181">
        <f>SUM(venta_a_mes4[[#This Row],[IMPORTE NETO]:[EXENTO]])</f>
        <v>0</v>
      </c>
      <c r="M220" s="182"/>
    </row>
    <row r="221" spans="2:13" x14ac:dyDescent="0.25">
      <c r="B221" s="173"/>
      <c r="C221" s="41"/>
      <c r="D221" s="175"/>
      <c r="E221" s="176"/>
      <c r="F221" s="177"/>
      <c r="G221" s="178" t="str">
        <f>IFERROR(IF(venta_a_mes4[[#This Row],[CUIT]]="","-",VLOOKUP(venta_a_mes4[[#This Row],[CUIT]],Lista_CUIT[#All],2,0)),"CUIT NO CARGADO")</f>
        <v>-</v>
      </c>
      <c r="H221" s="179"/>
      <c r="I221" s="180">
        <f>venta_a_mes4[[#This Row],[IMPORTE NETO]]*0.21</f>
        <v>0</v>
      </c>
      <c r="J221" s="181"/>
      <c r="K221" s="181"/>
      <c r="L221" s="181">
        <f>SUM(venta_a_mes4[[#This Row],[IMPORTE NETO]:[EXENTO]])</f>
        <v>0</v>
      </c>
      <c r="M221" s="182"/>
    </row>
    <row r="222" spans="2:13" x14ac:dyDescent="0.25">
      <c r="B222" s="173"/>
      <c r="C222" s="41"/>
      <c r="D222" s="175"/>
      <c r="E222" s="176"/>
      <c r="F222" s="177"/>
      <c r="G222" s="178" t="str">
        <f>IFERROR(IF(venta_a_mes4[[#This Row],[CUIT]]="","-",VLOOKUP(venta_a_mes4[[#This Row],[CUIT]],Lista_CUIT[#All],2,0)),"CUIT NO CARGADO")</f>
        <v>-</v>
      </c>
      <c r="H222" s="179"/>
      <c r="I222" s="180">
        <f>venta_a_mes4[[#This Row],[IMPORTE NETO]]*0.21</f>
        <v>0</v>
      </c>
      <c r="J222" s="181"/>
      <c r="K222" s="181"/>
      <c r="L222" s="181">
        <f>SUM(venta_a_mes4[[#This Row],[IMPORTE NETO]:[EXENTO]])</f>
        <v>0</v>
      </c>
      <c r="M222" s="182"/>
    </row>
    <row r="223" spans="2:13" x14ac:dyDescent="0.25">
      <c r="B223" s="173"/>
      <c r="C223" s="41"/>
      <c r="D223" s="175"/>
      <c r="E223" s="176"/>
      <c r="F223" s="177"/>
      <c r="G223" s="178" t="str">
        <f>IFERROR(IF(venta_a_mes4[[#This Row],[CUIT]]="","-",VLOOKUP(venta_a_mes4[[#This Row],[CUIT]],Lista_CUIT[#All],2,0)),"CUIT NO CARGADO")</f>
        <v>-</v>
      </c>
      <c r="H223" s="179"/>
      <c r="I223" s="180">
        <f>venta_a_mes4[[#This Row],[IMPORTE NETO]]*0.21</f>
        <v>0</v>
      </c>
      <c r="J223" s="181"/>
      <c r="K223" s="181"/>
      <c r="L223" s="181">
        <f>SUM(venta_a_mes4[[#This Row],[IMPORTE NETO]:[EXENTO]])</f>
        <v>0</v>
      </c>
      <c r="M223" s="182"/>
    </row>
    <row r="224" spans="2:13" x14ac:dyDescent="0.25">
      <c r="B224" s="173"/>
      <c r="C224" s="41"/>
      <c r="D224" s="175"/>
      <c r="E224" s="176"/>
      <c r="F224" s="177"/>
      <c r="G224" s="178" t="str">
        <f>IFERROR(IF(venta_a_mes4[[#This Row],[CUIT]]="","-",VLOOKUP(venta_a_mes4[[#This Row],[CUIT]],Lista_CUIT[#All],2,0)),"CUIT NO CARGADO")</f>
        <v>-</v>
      </c>
      <c r="H224" s="179"/>
      <c r="I224" s="180">
        <f>venta_a_mes4[[#This Row],[IMPORTE NETO]]*0.21</f>
        <v>0</v>
      </c>
      <c r="J224" s="181"/>
      <c r="K224" s="181"/>
      <c r="L224" s="181">
        <f>SUM(venta_a_mes4[[#This Row],[IMPORTE NETO]:[EXENTO]])</f>
        <v>0</v>
      </c>
      <c r="M224" s="182"/>
    </row>
    <row r="225" spans="2:13" x14ac:dyDescent="0.25">
      <c r="B225" s="173"/>
      <c r="C225" s="41"/>
      <c r="D225" s="175"/>
      <c r="E225" s="176"/>
      <c r="F225" s="177"/>
      <c r="G225" s="178" t="str">
        <f>IFERROR(IF(venta_a_mes4[[#This Row],[CUIT]]="","-",VLOOKUP(venta_a_mes4[[#This Row],[CUIT]],Lista_CUIT[#All],2,0)),"CUIT NO CARGADO")</f>
        <v>-</v>
      </c>
      <c r="H225" s="179"/>
      <c r="I225" s="180">
        <f>venta_a_mes4[[#This Row],[IMPORTE NETO]]*0.21</f>
        <v>0</v>
      </c>
      <c r="J225" s="181"/>
      <c r="K225" s="181"/>
      <c r="L225" s="181">
        <f>SUM(venta_a_mes4[[#This Row],[IMPORTE NETO]:[EXENTO]])</f>
        <v>0</v>
      </c>
      <c r="M225" s="182"/>
    </row>
    <row r="226" spans="2:13" x14ac:dyDescent="0.25">
      <c r="B226" s="173"/>
      <c r="C226" s="41"/>
      <c r="D226" s="175"/>
      <c r="E226" s="176"/>
      <c r="F226" s="177"/>
      <c r="G226" s="178" t="str">
        <f>IFERROR(IF(venta_a_mes4[[#This Row],[CUIT]]="","-",VLOOKUP(venta_a_mes4[[#This Row],[CUIT]],Lista_CUIT[#All],2,0)),"CUIT NO CARGADO")</f>
        <v>-</v>
      </c>
      <c r="H226" s="179"/>
      <c r="I226" s="180">
        <f>venta_a_mes4[[#This Row],[IMPORTE NETO]]*0.21</f>
        <v>0</v>
      </c>
      <c r="J226" s="181"/>
      <c r="K226" s="181"/>
      <c r="L226" s="181">
        <f>SUM(venta_a_mes4[[#This Row],[IMPORTE NETO]:[EXENTO]])</f>
        <v>0</v>
      </c>
      <c r="M226" s="182"/>
    </row>
    <row r="227" spans="2:13" x14ac:dyDescent="0.25">
      <c r="B227" s="173"/>
      <c r="C227" s="41"/>
      <c r="D227" s="175"/>
      <c r="E227" s="176"/>
      <c r="F227" s="177"/>
      <c r="G227" s="178" t="str">
        <f>IFERROR(IF(venta_a_mes4[[#This Row],[CUIT]]="","-",VLOOKUP(venta_a_mes4[[#This Row],[CUIT]],Lista_CUIT[#All],2,0)),"CUIT NO CARGADO")</f>
        <v>-</v>
      </c>
      <c r="H227" s="179"/>
      <c r="I227" s="180">
        <f>venta_a_mes4[[#This Row],[IMPORTE NETO]]*0.21</f>
        <v>0</v>
      </c>
      <c r="J227" s="181"/>
      <c r="K227" s="181"/>
      <c r="L227" s="181">
        <f>SUM(venta_a_mes4[[#This Row],[IMPORTE NETO]:[EXENTO]])</f>
        <v>0</v>
      </c>
      <c r="M227" s="182"/>
    </row>
    <row r="228" spans="2:13" x14ac:dyDescent="0.25">
      <c r="B228" s="173"/>
      <c r="C228" s="41"/>
      <c r="D228" s="175"/>
      <c r="E228" s="176"/>
      <c r="F228" s="177"/>
      <c r="G228" s="178" t="str">
        <f>IFERROR(IF(venta_a_mes4[[#This Row],[CUIT]]="","-",VLOOKUP(venta_a_mes4[[#This Row],[CUIT]],Lista_CUIT[#All],2,0)),"CUIT NO CARGADO")</f>
        <v>-</v>
      </c>
      <c r="H228" s="179"/>
      <c r="I228" s="180">
        <f>venta_a_mes4[[#This Row],[IMPORTE NETO]]*0.21</f>
        <v>0</v>
      </c>
      <c r="J228" s="181"/>
      <c r="K228" s="181"/>
      <c r="L228" s="181">
        <f>SUM(venta_a_mes4[[#This Row],[IMPORTE NETO]:[EXENTO]])</f>
        <v>0</v>
      </c>
      <c r="M228" s="182"/>
    </row>
    <row r="229" spans="2:13" x14ac:dyDescent="0.25">
      <c r="B229" s="173"/>
      <c r="C229" s="41"/>
      <c r="D229" s="175"/>
      <c r="E229" s="176"/>
      <c r="F229" s="177"/>
      <c r="G229" s="178" t="str">
        <f>IFERROR(IF(venta_a_mes4[[#This Row],[CUIT]]="","-",VLOOKUP(venta_a_mes4[[#This Row],[CUIT]],Lista_CUIT[#All],2,0)),"CUIT NO CARGADO")</f>
        <v>-</v>
      </c>
      <c r="H229" s="179"/>
      <c r="I229" s="180">
        <f>venta_a_mes4[[#This Row],[IMPORTE NETO]]*0.21</f>
        <v>0</v>
      </c>
      <c r="J229" s="181"/>
      <c r="K229" s="181"/>
      <c r="L229" s="181">
        <f>SUM(venta_a_mes4[[#This Row],[IMPORTE NETO]:[EXENTO]])</f>
        <v>0</v>
      </c>
      <c r="M229" s="182"/>
    </row>
    <row r="230" spans="2:13" x14ac:dyDescent="0.25">
      <c r="B230" s="173"/>
      <c r="C230" s="41"/>
      <c r="D230" s="175"/>
      <c r="E230" s="176"/>
      <c r="F230" s="177"/>
      <c r="G230" s="178" t="str">
        <f>IFERROR(IF(venta_a_mes4[[#This Row],[CUIT]]="","-",VLOOKUP(venta_a_mes4[[#This Row],[CUIT]],Lista_CUIT[#All],2,0)),"CUIT NO CARGADO")</f>
        <v>-</v>
      </c>
      <c r="H230" s="179"/>
      <c r="I230" s="180">
        <f>venta_a_mes4[[#This Row],[IMPORTE NETO]]*0.21</f>
        <v>0</v>
      </c>
      <c r="J230" s="181"/>
      <c r="K230" s="181"/>
      <c r="L230" s="181">
        <f>SUM(venta_a_mes4[[#This Row],[IMPORTE NETO]:[EXENTO]])</f>
        <v>0</v>
      </c>
      <c r="M230" s="182"/>
    </row>
    <row r="231" spans="2:13" x14ac:dyDescent="0.25">
      <c r="B231" s="173"/>
      <c r="C231" s="41"/>
      <c r="D231" s="175"/>
      <c r="E231" s="176"/>
      <c r="F231" s="177"/>
      <c r="G231" s="178" t="str">
        <f>IFERROR(IF(venta_a_mes4[[#This Row],[CUIT]]="","-",VLOOKUP(venta_a_mes4[[#This Row],[CUIT]],Lista_CUIT[#All],2,0)),"CUIT NO CARGADO")</f>
        <v>-</v>
      </c>
      <c r="H231" s="179"/>
      <c r="I231" s="180">
        <f>venta_a_mes4[[#This Row],[IMPORTE NETO]]*0.21</f>
        <v>0</v>
      </c>
      <c r="J231" s="181"/>
      <c r="K231" s="181"/>
      <c r="L231" s="181">
        <f>SUM(venta_a_mes4[[#This Row],[IMPORTE NETO]:[EXENTO]])</f>
        <v>0</v>
      </c>
      <c r="M231" s="182"/>
    </row>
    <row r="232" spans="2:13" x14ac:dyDescent="0.25">
      <c r="B232" s="173"/>
      <c r="C232" s="41"/>
      <c r="D232" s="175"/>
      <c r="E232" s="176"/>
      <c r="F232" s="177"/>
      <c r="G232" s="178" t="str">
        <f>IFERROR(IF(venta_a_mes4[[#This Row],[CUIT]]="","-",VLOOKUP(venta_a_mes4[[#This Row],[CUIT]],Lista_CUIT[#All],2,0)),"CUIT NO CARGADO")</f>
        <v>-</v>
      </c>
      <c r="H232" s="179"/>
      <c r="I232" s="180">
        <f>venta_a_mes4[[#This Row],[IMPORTE NETO]]*0.21</f>
        <v>0</v>
      </c>
      <c r="J232" s="181"/>
      <c r="K232" s="181"/>
      <c r="L232" s="181">
        <f>SUM(venta_a_mes4[[#This Row],[IMPORTE NETO]:[EXENTO]])</f>
        <v>0</v>
      </c>
      <c r="M232" s="182"/>
    </row>
    <row r="233" spans="2:13" x14ac:dyDescent="0.25">
      <c r="B233" s="173"/>
      <c r="C233" s="41"/>
      <c r="D233" s="175"/>
      <c r="E233" s="176"/>
      <c r="F233" s="177"/>
      <c r="G233" s="178" t="str">
        <f>IFERROR(IF(venta_a_mes4[[#This Row],[CUIT]]="","-",VLOOKUP(venta_a_mes4[[#This Row],[CUIT]],Lista_CUIT[#All],2,0)),"CUIT NO CARGADO")</f>
        <v>-</v>
      </c>
      <c r="H233" s="179"/>
      <c r="I233" s="180">
        <f>venta_a_mes4[[#This Row],[IMPORTE NETO]]*0.21</f>
        <v>0</v>
      </c>
      <c r="J233" s="181"/>
      <c r="K233" s="181"/>
      <c r="L233" s="181">
        <f>SUM(venta_a_mes4[[#This Row],[IMPORTE NETO]:[EXENTO]])</f>
        <v>0</v>
      </c>
      <c r="M233" s="182"/>
    </row>
    <row r="234" spans="2:13" x14ac:dyDescent="0.25">
      <c r="B234" s="173"/>
      <c r="C234" s="41"/>
      <c r="D234" s="175"/>
      <c r="E234" s="176"/>
      <c r="F234" s="177"/>
      <c r="G234" s="178" t="str">
        <f>IFERROR(IF(venta_a_mes4[[#This Row],[CUIT]]="","-",VLOOKUP(venta_a_mes4[[#This Row],[CUIT]],Lista_CUIT[#All],2,0)),"CUIT NO CARGADO")</f>
        <v>-</v>
      </c>
      <c r="H234" s="179"/>
      <c r="I234" s="180">
        <f>venta_a_mes4[[#This Row],[IMPORTE NETO]]*0.21</f>
        <v>0</v>
      </c>
      <c r="J234" s="181"/>
      <c r="K234" s="181"/>
      <c r="L234" s="181">
        <f>SUM(venta_a_mes4[[#This Row],[IMPORTE NETO]:[EXENTO]])</f>
        <v>0</v>
      </c>
      <c r="M234" s="182"/>
    </row>
    <row r="235" spans="2:13" x14ac:dyDescent="0.25">
      <c r="B235" s="173"/>
      <c r="C235" s="41"/>
      <c r="D235" s="175"/>
      <c r="E235" s="176"/>
      <c r="F235" s="177"/>
      <c r="G235" s="178" t="str">
        <f>IFERROR(IF(venta_a_mes4[[#This Row],[CUIT]]="","-",VLOOKUP(venta_a_mes4[[#This Row],[CUIT]],Lista_CUIT[#All],2,0)),"CUIT NO CARGADO")</f>
        <v>-</v>
      </c>
      <c r="H235" s="179"/>
      <c r="I235" s="180">
        <f>venta_a_mes4[[#This Row],[IMPORTE NETO]]*0.21</f>
        <v>0</v>
      </c>
      <c r="J235" s="181"/>
      <c r="K235" s="181"/>
      <c r="L235" s="181">
        <f>SUM(venta_a_mes4[[#This Row],[IMPORTE NETO]:[EXENTO]])</f>
        <v>0</v>
      </c>
      <c r="M235" s="182"/>
    </row>
    <row r="236" spans="2:13" x14ac:dyDescent="0.25">
      <c r="B236" s="173"/>
      <c r="C236" s="41"/>
      <c r="D236" s="175"/>
      <c r="E236" s="176"/>
      <c r="F236" s="177"/>
      <c r="G236" s="178" t="str">
        <f>IFERROR(IF(venta_a_mes4[[#This Row],[CUIT]]="","-",VLOOKUP(venta_a_mes4[[#This Row],[CUIT]],Lista_CUIT[#All],2,0)),"CUIT NO CARGADO")</f>
        <v>-</v>
      </c>
      <c r="H236" s="179"/>
      <c r="I236" s="180">
        <f>venta_a_mes4[[#This Row],[IMPORTE NETO]]*0.21</f>
        <v>0</v>
      </c>
      <c r="J236" s="181"/>
      <c r="K236" s="181"/>
      <c r="L236" s="181">
        <f>SUM(venta_a_mes4[[#This Row],[IMPORTE NETO]:[EXENTO]])</f>
        <v>0</v>
      </c>
      <c r="M236" s="182"/>
    </row>
    <row r="237" spans="2:13" x14ac:dyDescent="0.25">
      <c r="B237" s="173"/>
      <c r="C237" s="41"/>
      <c r="D237" s="175"/>
      <c r="E237" s="176"/>
      <c r="F237" s="177"/>
      <c r="G237" s="178" t="str">
        <f>IFERROR(IF(venta_a_mes4[[#This Row],[CUIT]]="","-",VLOOKUP(venta_a_mes4[[#This Row],[CUIT]],Lista_CUIT[#All],2,0)),"CUIT NO CARGADO")</f>
        <v>-</v>
      </c>
      <c r="H237" s="179"/>
      <c r="I237" s="180">
        <f>venta_a_mes4[[#This Row],[IMPORTE NETO]]*0.21</f>
        <v>0</v>
      </c>
      <c r="J237" s="181"/>
      <c r="K237" s="181"/>
      <c r="L237" s="181">
        <f>SUM(venta_a_mes4[[#This Row],[IMPORTE NETO]:[EXENTO]])</f>
        <v>0</v>
      </c>
      <c r="M237" s="182"/>
    </row>
    <row r="238" spans="2:13" x14ac:dyDescent="0.25">
      <c r="B238" s="173"/>
      <c r="C238" s="41"/>
      <c r="D238" s="175"/>
      <c r="E238" s="176"/>
      <c r="F238" s="177"/>
      <c r="G238" s="178" t="str">
        <f>IFERROR(IF(venta_a_mes4[[#This Row],[CUIT]]="","-",VLOOKUP(venta_a_mes4[[#This Row],[CUIT]],Lista_CUIT[#All],2,0)),"CUIT NO CARGADO")</f>
        <v>-</v>
      </c>
      <c r="H238" s="179"/>
      <c r="I238" s="180">
        <f>venta_a_mes4[[#This Row],[IMPORTE NETO]]*0.21</f>
        <v>0</v>
      </c>
      <c r="J238" s="181"/>
      <c r="K238" s="181"/>
      <c r="L238" s="181">
        <f>SUM(venta_a_mes4[[#This Row],[IMPORTE NETO]:[EXENTO]])</f>
        <v>0</v>
      </c>
      <c r="M238" s="182"/>
    </row>
    <row r="239" spans="2:13" x14ac:dyDescent="0.25">
      <c r="B239" s="173"/>
      <c r="C239" s="41"/>
      <c r="D239" s="175"/>
      <c r="E239" s="176"/>
      <c r="F239" s="177"/>
      <c r="G239" s="178" t="str">
        <f>IFERROR(IF(venta_a_mes4[[#This Row],[CUIT]]="","-",VLOOKUP(venta_a_mes4[[#This Row],[CUIT]],Lista_CUIT[#All],2,0)),"CUIT NO CARGADO")</f>
        <v>-</v>
      </c>
      <c r="H239" s="179"/>
      <c r="I239" s="180">
        <f>venta_a_mes4[[#This Row],[IMPORTE NETO]]*0.21</f>
        <v>0</v>
      </c>
      <c r="J239" s="181"/>
      <c r="K239" s="181"/>
      <c r="L239" s="181">
        <f>SUM(venta_a_mes4[[#This Row],[IMPORTE NETO]:[EXENTO]])</f>
        <v>0</v>
      </c>
      <c r="M239" s="182"/>
    </row>
    <row r="240" spans="2:13" x14ac:dyDescent="0.25">
      <c r="B240" s="173"/>
      <c r="C240" s="41"/>
      <c r="D240" s="175"/>
      <c r="E240" s="176"/>
      <c r="F240" s="177"/>
      <c r="G240" s="178" t="str">
        <f>IFERROR(IF(venta_a_mes4[[#This Row],[CUIT]]="","-",VLOOKUP(venta_a_mes4[[#This Row],[CUIT]],Lista_CUIT[#All],2,0)),"CUIT NO CARGADO")</f>
        <v>-</v>
      </c>
      <c r="H240" s="179"/>
      <c r="I240" s="180">
        <f>venta_a_mes4[[#This Row],[IMPORTE NETO]]*0.21</f>
        <v>0</v>
      </c>
      <c r="J240" s="181"/>
      <c r="K240" s="181"/>
      <c r="L240" s="181">
        <f>SUM(venta_a_mes4[[#This Row],[IMPORTE NETO]:[EXENTO]])</f>
        <v>0</v>
      </c>
      <c r="M240" s="182"/>
    </row>
    <row r="241" spans="2:13" x14ac:dyDescent="0.25">
      <c r="B241" s="173"/>
      <c r="C241" s="41"/>
      <c r="D241" s="175"/>
      <c r="E241" s="176"/>
      <c r="F241" s="177"/>
      <c r="G241" s="178" t="str">
        <f>IFERROR(IF(venta_a_mes4[[#This Row],[CUIT]]="","-",VLOOKUP(venta_a_mes4[[#This Row],[CUIT]],Lista_CUIT[#All],2,0)),"CUIT NO CARGADO")</f>
        <v>-</v>
      </c>
      <c r="H241" s="179"/>
      <c r="I241" s="180">
        <f>venta_a_mes4[[#This Row],[IMPORTE NETO]]*0.21</f>
        <v>0</v>
      </c>
      <c r="J241" s="181"/>
      <c r="K241" s="181"/>
      <c r="L241" s="181">
        <f>SUM(venta_a_mes4[[#This Row],[IMPORTE NETO]:[EXENTO]])</f>
        <v>0</v>
      </c>
      <c r="M241" s="182"/>
    </row>
    <row r="242" spans="2:13" x14ac:dyDescent="0.25">
      <c r="B242" s="173"/>
      <c r="C242" s="41"/>
      <c r="D242" s="175"/>
      <c r="E242" s="176"/>
      <c r="F242" s="177"/>
      <c r="G242" s="178" t="str">
        <f>IFERROR(IF(venta_a_mes4[[#This Row],[CUIT]]="","-",VLOOKUP(venta_a_mes4[[#This Row],[CUIT]],Lista_CUIT[#All],2,0)),"CUIT NO CARGADO")</f>
        <v>-</v>
      </c>
      <c r="H242" s="179"/>
      <c r="I242" s="180">
        <f>venta_a_mes4[[#This Row],[IMPORTE NETO]]*0.21</f>
        <v>0</v>
      </c>
      <c r="J242" s="181"/>
      <c r="K242" s="181"/>
      <c r="L242" s="181">
        <f>SUM(venta_a_mes4[[#This Row],[IMPORTE NETO]:[EXENTO]])</f>
        <v>0</v>
      </c>
      <c r="M242" s="182"/>
    </row>
    <row r="243" spans="2:13" x14ac:dyDescent="0.25">
      <c r="B243" s="173"/>
      <c r="C243" s="41"/>
      <c r="D243" s="175"/>
      <c r="E243" s="176"/>
      <c r="F243" s="177"/>
      <c r="G243" s="178" t="str">
        <f>IFERROR(IF(venta_a_mes4[[#This Row],[CUIT]]="","-",VLOOKUP(venta_a_mes4[[#This Row],[CUIT]],Lista_CUIT[#All],2,0)),"CUIT NO CARGADO")</f>
        <v>-</v>
      </c>
      <c r="H243" s="179"/>
      <c r="I243" s="180">
        <f>venta_a_mes4[[#This Row],[IMPORTE NETO]]*0.21</f>
        <v>0</v>
      </c>
      <c r="J243" s="181"/>
      <c r="K243" s="181"/>
      <c r="L243" s="181">
        <f>SUM(venta_a_mes4[[#This Row],[IMPORTE NETO]:[EXENTO]])</f>
        <v>0</v>
      </c>
      <c r="M243" s="182"/>
    </row>
    <row r="244" spans="2:13" x14ac:dyDescent="0.25">
      <c r="B244" s="173"/>
      <c r="C244" s="41"/>
      <c r="D244" s="175"/>
      <c r="E244" s="176"/>
      <c r="F244" s="177"/>
      <c r="G244" s="178" t="str">
        <f>IFERROR(IF(venta_a_mes4[[#This Row],[CUIT]]="","-",VLOOKUP(venta_a_mes4[[#This Row],[CUIT]],Lista_CUIT[#All],2,0)),"CUIT NO CARGADO")</f>
        <v>-</v>
      </c>
      <c r="H244" s="179"/>
      <c r="I244" s="180">
        <f>venta_a_mes4[[#This Row],[IMPORTE NETO]]*0.21</f>
        <v>0</v>
      </c>
      <c r="J244" s="181"/>
      <c r="K244" s="181"/>
      <c r="L244" s="181">
        <f>SUM(venta_a_mes4[[#This Row],[IMPORTE NETO]:[EXENTO]])</f>
        <v>0</v>
      </c>
      <c r="M244" s="182"/>
    </row>
    <row r="245" spans="2:13" x14ac:dyDescent="0.25">
      <c r="B245" s="173"/>
      <c r="C245" s="174"/>
      <c r="D245" s="175"/>
      <c r="E245" s="176"/>
      <c r="F245" s="177"/>
      <c r="G245" s="178" t="str">
        <f>IFERROR(IF(venta_a_mes4[[#This Row],[CUIT]]="","-",VLOOKUP(venta_a_mes4[[#This Row],[CUIT]],Lista_CUIT[#All],2,0)),"CUIT NO CARGADO")</f>
        <v>-</v>
      </c>
      <c r="H245" s="179"/>
      <c r="I245" s="180">
        <f>venta_a_mes4[[#This Row],[IMPORTE NETO]]*0.21</f>
        <v>0</v>
      </c>
      <c r="J245" s="181"/>
      <c r="K245" s="181"/>
      <c r="L245" s="181">
        <f>SUM(venta_a_mes4[[#This Row],[IMPORTE NETO]:[EXENTO]])</f>
        <v>0</v>
      </c>
      <c r="M245" s="182"/>
    </row>
    <row r="246" spans="2:13" x14ac:dyDescent="0.25">
      <c r="B246" s="173"/>
      <c r="C246" s="174"/>
      <c r="D246" s="175"/>
      <c r="E246" s="176"/>
      <c r="F246" s="177"/>
      <c r="G246" s="178" t="str">
        <f>IFERROR(IF(venta_a_mes4[[#This Row],[CUIT]]="","-",VLOOKUP(venta_a_mes4[[#This Row],[CUIT]],Lista_CUIT[#All],2,0)),"CUIT NO CARGADO")</f>
        <v>-</v>
      </c>
      <c r="H246" s="179"/>
      <c r="I246" s="180">
        <f>venta_a_mes4[[#This Row],[IMPORTE NETO]]*0.21</f>
        <v>0</v>
      </c>
      <c r="J246" s="181"/>
      <c r="K246" s="181"/>
      <c r="L246" s="181">
        <f>SUM(venta_a_mes4[[#This Row],[IMPORTE NETO]:[EXENTO]])</f>
        <v>0</v>
      </c>
      <c r="M246" s="182"/>
    </row>
    <row r="247" spans="2:13" x14ac:dyDescent="0.25">
      <c r="B247" s="173"/>
      <c r="C247" s="174"/>
      <c r="D247" s="175"/>
      <c r="E247" s="176"/>
      <c r="F247" s="177"/>
      <c r="G247" s="178" t="str">
        <f>IFERROR(IF(venta_a_mes4[[#This Row],[CUIT]]="","-",VLOOKUP(venta_a_mes4[[#This Row],[CUIT]],Lista_CUIT[#All],2,0)),"CUIT NO CARGADO")</f>
        <v>-</v>
      </c>
      <c r="H247" s="179"/>
      <c r="I247" s="180">
        <f>venta_a_mes4[[#This Row],[IMPORTE NETO]]*0.21</f>
        <v>0</v>
      </c>
      <c r="J247" s="181"/>
      <c r="K247" s="181"/>
      <c r="L247" s="181">
        <f>SUM(venta_a_mes4[[#This Row],[IMPORTE NETO]:[EXENTO]])</f>
        <v>0</v>
      </c>
      <c r="M247" s="182"/>
    </row>
    <row r="248" spans="2:13" x14ac:dyDescent="0.25">
      <c r="B248" s="173"/>
      <c r="C248" s="174"/>
      <c r="D248" s="175"/>
      <c r="E248" s="176"/>
      <c r="F248" s="177"/>
      <c r="G248" s="178" t="str">
        <f>IFERROR(IF(venta_a_mes4[[#This Row],[CUIT]]="","-",VLOOKUP(venta_a_mes4[[#This Row],[CUIT]],Lista_CUIT[#All],2,0)),"CUIT NO CARGADO")</f>
        <v>-</v>
      </c>
      <c r="H248" s="179"/>
      <c r="I248" s="180">
        <f>venta_a_mes4[[#This Row],[IMPORTE NETO]]*0.21</f>
        <v>0</v>
      </c>
      <c r="J248" s="181"/>
      <c r="K248" s="181"/>
      <c r="L248" s="181">
        <f>SUM(venta_a_mes4[[#This Row],[IMPORTE NETO]:[EXENTO]])</f>
        <v>0</v>
      </c>
      <c r="M248" s="182"/>
    </row>
    <row r="249" spans="2:13" x14ac:dyDescent="0.25">
      <c r="B249" s="173"/>
      <c r="C249" s="174"/>
      <c r="D249" s="175"/>
      <c r="E249" s="176"/>
      <c r="F249" s="177"/>
      <c r="G249" s="178" t="str">
        <f>IFERROR(IF(venta_a_mes4[[#This Row],[CUIT]]="","-",VLOOKUP(venta_a_mes4[[#This Row],[CUIT]],Lista_CUIT[#All],2,0)),"CUIT NO CARGADO")</f>
        <v>-</v>
      </c>
      <c r="H249" s="179"/>
      <c r="I249" s="180">
        <f>venta_a_mes4[[#This Row],[IMPORTE NETO]]*0.21</f>
        <v>0</v>
      </c>
      <c r="J249" s="181"/>
      <c r="K249" s="181"/>
      <c r="L249" s="181">
        <f>SUM(venta_a_mes4[[#This Row],[IMPORTE NETO]:[EXENTO]])</f>
        <v>0</v>
      </c>
      <c r="M249" s="182"/>
    </row>
    <row r="250" spans="2:13" x14ac:dyDescent="0.25">
      <c r="B250" s="173"/>
      <c r="C250" s="174"/>
      <c r="D250" s="175"/>
      <c r="E250" s="176"/>
      <c r="F250" s="177"/>
      <c r="G250" s="178" t="str">
        <f>IFERROR(IF(venta_a_mes4[[#This Row],[CUIT]]="","-",VLOOKUP(venta_a_mes4[[#This Row],[CUIT]],Lista_CUIT[#All],2,0)),"CUIT NO CARGADO")</f>
        <v>-</v>
      </c>
      <c r="H250" s="179"/>
      <c r="I250" s="180">
        <f>venta_a_mes4[[#This Row],[IMPORTE NETO]]*0.21</f>
        <v>0</v>
      </c>
      <c r="J250" s="181"/>
      <c r="K250" s="181"/>
      <c r="L250" s="181">
        <f>SUM(venta_a_mes4[[#This Row],[IMPORTE NETO]:[EXENTO]])</f>
        <v>0</v>
      </c>
      <c r="M250" s="182"/>
    </row>
    <row r="251" spans="2:13" x14ac:dyDescent="0.25">
      <c r="B251" s="173"/>
      <c r="C251" s="174"/>
      <c r="D251" s="175"/>
      <c r="E251" s="176"/>
      <c r="F251" s="177"/>
      <c r="G251" s="178" t="str">
        <f>IFERROR(IF(venta_a_mes4[[#This Row],[CUIT]]="","-",VLOOKUP(venta_a_mes4[[#This Row],[CUIT]],Lista_CUIT[#All],2,0)),"CUIT NO CARGADO")</f>
        <v>-</v>
      </c>
      <c r="H251" s="179"/>
      <c r="I251" s="180">
        <f>venta_a_mes4[[#This Row],[IMPORTE NETO]]*0.21</f>
        <v>0</v>
      </c>
      <c r="J251" s="181"/>
      <c r="K251" s="181"/>
      <c r="L251" s="181">
        <f>SUM(venta_a_mes4[[#This Row],[IMPORTE NETO]:[EXENTO]])</f>
        <v>0</v>
      </c>
      <c r="M251" s="182"/>
    </row>
    <row r="252" spans="2:13" x14ac:dyDescent="0.25">
      <c r="B252" s="173"/>
      <c r="C252" s="174"/>
      <c r="D252" s="175"/>
      <c r="E252" s="176"/>
      <c r="F252" s="177"/>
      <c r="G252" s="178" t="str">
        <f>IFERROR(IF(venta_a_mes4[[#This Row],[CUIT]]="","-",VLOOKUP(venta_a_mes4[[#This Row],[CUIT]],Lista_CUIT[#All],2,0)),"CUIT NO CARGADO")</f>
        <v>-</v>
      </c>
      <c r="H252" s="179"/>
      <c r="I252" s="180">
        <f>venta_a_mes4[[#This Row],[IMPORTE NETO]]*0.21</f>
        <v>0</v>
      </c>
      <c r="J252" s="181"/>
      <c r="K252" s="181"/>
      <c r="L252" s="181">
        <f>SUM(venta_a_mes4[[#This Row],[IMPORTE NETO]:[EXENTO]])</f>
        <v>0</v>
      </c>
      <c r="M252" s="182"/>
    </row>
    <row r="253" spans="2:13" x14ac:dyDescent="0.25">
      <c r="B253" s="173"/>
      <c r="C253" s="174"/>
      <c r="D253" s="175"/>
      <c r="E253" s="176"/>
      <c r="F253" s="177"/>
      <c r="G253" s="178" t="str">
        <f>IFERROR(IF(venta_a_mes4[[#This Row],[CUIT]]="","-",VLOOKUP(venta_a_mes4[[#This Row],[CUIT]],Lista_CUIT[#All],2,0)),"CUIT NO CARGADO")</f>
        <v>-</v>
      </c>
      <c r="H253" s="179"/>
      <c r="I253" s="180">
        <f>venta_a_mes4[[#This Row],[IMPORTE NETO]]*0.21</f>
        <v>0</v>
      </c>
      <c r="J253" s="181"/>
      <c r="K253" s="181"/>
      <c r="L253" s="181">
        <f>SUM(venta_a_mes4[[#This Row],[IMPORTE NETO]:[EXENTO]])</f>
        <v>0</v>
      </c>
      <c r="M253" s="182"/>
    </row>
    <row r="254" spans="2:13" x14ac:dyDescent="0.25">
      <c r="B254" s="173"/>
      <c r="C254" s="174"/>
      <c r="D254" s="175"/>
      <c r="E254" s="176"/>
      <c r="F254" s="177"/>
      <c r="G254" s="178" t="str">
        <f>IFERROR(IF(venta_a_mes4[[#This Row],[CUIT]]="","-",VLOOKUP(venta_a_mes4[[#This Row],[CUIT]],Lista_CUIT[#All],2,0)),"CUIT NO CARGADO")</f>
        <v>-</v>
      </c>
      <c r="H254" s="179"/>
      <c r="I254" s="180">
        <f>venta_a_mes4[[#This Row],[IMPORTE NETO]]*0.21</f>
        <v>0</v>
      </c>
      <c r="J254" s="181"/>
      <c r="K254" s="181"/>
      <c r="L254" s="181">
        <f>SUM(venta_a_mes4[[#This Row],[IMPORTE NETO]:[EXENTO]])</f>
        <v>0</v>
      </c>
      <c r="M254" s="182"/>
    </row>
    <row r="255" spans="2:13" x14ac:dyDescent="0.25">
      <c r="B255" s="173"/>
      <c r="C255" s="174"/>
      <c r="D255" s="175"/>
      <c r="E255" s="176"/>
      <c r="F255" s="177"/>
      <c r="G255" s="178" t="str">
        <f>IFERROR(IF(venta_a_mes4[[#This Row],[CUIT]]="","-",VLOOKUP(venta_a_mes4[[#This Row],[CUIT]],Lista_CUIT[#All],2,0)),"CUIT NO CARGADO")</f>
        <v>-</v>
      </c>
      <c r="H255" s="179"/>
      <c r="I255" s="180">
        <f>venta_a_mes4[[#This Row],[IMPORTE NETO]]*0.21</f>
        <v>0</v>
      </c>
      <c r="J255" s="181"/>
      <c r="K255" s="181"/>
      <c r="L255" s="181">
        <f>SUM(venta_a_mes4[[#This Row],[IMPORTE NETO]:[EXENTO]])</f>
        <v>0</v>
      </c>
      <c r="M255" s="182"/>
    </row>
    <row r="256" spans="2:13" x14ac:dyDescent="0.25">
      <c r="B256" s="173"/>
      <c r="C256" s="174"/>
      <c r="D256" s="175"/>
      <c r="E256" s="176"/>
      <c r="F256" s="177"/>
      <c r="G256" s="178" t="str">
        <f>IFERROR(IF(venta_a_mes4[[#This Row],[CUIT]]="","-",VLOOKUP(venta_a_mes4[[#This Row],[CUIT]],Lista_CUIT[#All],2,0)),"CUIT NO CARGADO")</f>
        <v>-</v>
      </c>
      <c r="H256" s="179"/>
      <c r="I256" s="180">
        <f>venta_a_mes4[[#This Row],[IMPORTE NETO]]*0.21</f>
        <v>0</v>
      </c>
      <c r="J256" s="181"/>
      <c r="K256" s="181"/>
      <c r="L256" s="181">
        <f>SUM(venta_a_mes4[[#This Row],[IMPORTE NETO]:[EXENTO]])</f>
        <v>0</v>
      </c>
      <c r="M256" s="182"/>
    </row>
    <row r="257" spans="2:13" x14ac:dyDescent="0.25">
      <c r="B257" s="173"/>
      <c r="C257" s="174"/>
      <c r="D257" s="175"/>
      <c r="E257" s="176"/>
      <c r="F257" s="177"/>
      <c r="G257" s="178" t="str">
        <f>IFERROR(IF(venta_a_mes4[[#This Row],[CUIT]]="","-",VLOOKUP(venta_a_mes4[[#This Row],[CUIT]],Lista_CUIT[#All],2,0)),"CUIT NO CARGADO")</f>
        <v>-</v>
      </c>
      <c r="H257" s="179"/>
      <c r="I257" s="180">
        <f>venta_a_mes4[[#This Row],[IMPORTE NETO]]*0.21</f>
        <v>0</v>
      </c>
      <c r="J257" s="181"/>
      <c r="K257" s="181"/>
      <c r="L257" s="181">
        <f>SUM(venta_a_mes4[[#This Row],[IMPORTE NETO]:[EXENTO]])</f>
        <v>0</v>
      </c>
      <c r="M257" s="182"/>
    </row>
    <row r="258" spans="2:13" x14ac:dyDescent="0.25">
      <c r="B258" s="173"/>
      <c r="C258" s="174"/>
      <c r="D258" s="175"/>
      <c r="E258" s="176"/>
      <c r="F258" s="177"/>
      <c r="G258" s="178" t="str">
        <f>IFERROR(IF(venta_a_mes4[[#This Row],[CUIT]]="","-",VLOOKUP(venta_a_mes4[[#This Row],[CUIT]],Lista_CUIT[#All],2,0)),"CUIT NO CARGADO")</f>
        <v>-</v>
      </c>
      <c r="H258" s="179"/>
      <c r="I258" s="180">
        <f>venta_a_mes4[[#This Row],[IMPORTE NETO]]*0.21</f>
        <v>0</v>
      </c>
      <c r="J258" s="181"/>
      <c r="K258" s="181"/>
      <c r="L258" s="181">
        <f>SUM(venta_a_mes4[[#This Row],[IMPORTE NETO]:[EXENTO]])</f>
        <v>0</v>
      </c>
      <c r="M258" s="182"/>
    </row>
    <row r="259" spans="2:13" x14ac:dyDescent="0.25">
      <c r="B259" s="173"/>
      <c r="C259" s="174"/>
      <c r="D259" s="175"/>
      <c r="E259" s="176"/>
      <c r="F259" s="177"/>
      <c r="G259" s="178" t="str">
        <f>IFERROR(IF(venta_a_mes4[[#This Row],[CUIT]]="","-",VLOOKUP(venta_a_mes4[[#This Row],[CUIT]],Lista_CUIT[#All],2,0)),"CUIT NO CARGADO")</f>
        <v>-</v>
      </c>
      <c r="H259" s="179"/>
      <c r="I259" s="180">
        <f>venta_a_mes4[[#This Row],[IMPORTE NETO]]*0.21</f>
        <v>0</v>
      </c>
      <c r="J259" s="181"/>
      <c r="K259" s="181"/>
      <c r="L259" s="181">
        <f>SUM(venta_a_mes4[[#This Row],[IMPORTE NETO]:[EXENTO]])</f>
        <v>0</v>
      </c>
      <c r="M259" s="182"/>
    </row>
    <row r="260" spans="2:13" x14ac:dyDescent="0.25">
      <c r="B260" s="173"/>
      <c r="C260" s="174"/>
      <c r="D260" s="175"/>
      <c r="E260" s="176"/>
      <c r="F260" s="177"/>
      <c r="G260" s="178" t="str">
        <f>IFERROR(IF(venta_a_mes4[[#This Row],[CUIT]]="","-",VLOOKUP(venta_a_mes4[[#This Row],[CUIT]],Lista_CUIT[#All],2,0)),"CUIT NO CARGADO")</f>
        <v>-</v>
      </c>
      <c r="H260" s="179"/>
      <c r="I260" s="180">
        <f>venta_a_mes4[[#This Row],[IMPORTE NETO]]*0.21</f>
        <v>0</v>
      </c>
      <c r="J260" s="181"/>
      <c r="K260" s="181"/>
      <c r="L260" s="181">
        <f>SUM(venta_a_mes4[[#This Row],[IMPORTE NETO]:[EXENTO]])</f>
        <v>0</v>
      </c>
      <c r="M260" s="182"/>
    </row>
    <row r="261" spans="2:13" x14ac:dyDescent="0.25">
      <c r="B261" s="173"/>
      <c r="C261" s="174"/>
      <c r="D261" s="175"/>
      <c r="E261" s="176"/>
      <c r="F261" s="177"/>
      <c r="G261" s="178" t="str">
        <f>IFERROR(IF(venta_a_mes4[[#This Row],[CUIT]]="","-",VLOOKUP(venta_a_mes4[[#This Row],[CUIT]],Lista_CUIT[#All],2,0)),"CUIT NO CARGADO")</f>
        <v>-</v>
      </c>
      <c r="H261" s="179"/>
      <c r="I261" s="180">
        <f>venta_a_mes4[[#This Row],[IMPORTE NETO]]*0.21</f>
        <v>0</v>
      </c>
      <c r="J261" s="181"/>
      <c r="K261" s="181"/>
      <c r="L261" s="181">
        <f>SUM(venta_a_mes4[[#This Row],[IMPORTE NETO]:[EXENTO]])</f>
        <v>0</v>
      </c>
      <c r="M261" s="182"/>
    </row>
    <row r="262" spans="2:13" x14ac:dyDescent="0.25">
      <c r="B262" s="173"/>
      <c r="C262" s="174"/>
      <c r="D262" s="175"/>
      <c r="E262" s="176"/>
      <c r="F262" s="177"/>
      <c r="G262" s="178" t="str">
        <f>IFERROR(IF(venta_a_mes4[[#This Row],[CUIT]]="","-",VLOOKUP(venta_a_mes4[[#This Row],[CUIT]],Lista_CUIT[#All],2,0)),"CUIT NO CARGADO")</f>
        <v>-</v>
      </c>
      <c r="H262" s="179"/>
      <c r="I262" s="180">
        <f>venta_a_mes4[[#This Row],[IMPORTE NETO]]*0.21</f>
        <v>0</v>
      </c>
      <c r="J262" s="181"/>
      <c r="K262" s="181"/>
      <c r="L262" s="181">
        <f>SUM(venta_a_mes4[[#This Row],[IMPORTE NETO]:[EXENTO]])</f>
        <v>0</v>
      </c>
      <c r="M262" s="182"/>
    </row>
    <row r="263" spans="2:13" x14ac:dyDescent="0.25">
      <c r="B263" s="173"/>
      <c r="C263" s="174"/>
      <c r="D263" s="175"/>
      <c r="E263" s="176"/>
      <c r="F263" s="177"/>
      <c r="G263" s="178" t="str">
        <f>IFERROR(IF(venta_a_mes4[[#This Row],[CUIT]]="","-",VLOOKUP(venta_a_mes4[[#This Row],[CUIT]],Lista_CUIT[#All],2,0)),"CUIT NO CARGADO")</f>
        <v>-</v>
      </c>
      <c r="H263" s="179"/>
      <c r="I263" s="180">
        <f>venta_a_mes4[[#This Row],[IMPORTE NETO]]*0.21</f>
        <v>0</v>
      </c>
      <c r="J263" s="181"/>
      <c r="K263" s="181"/>
      <c r="L263" s="181">
        <f>SUM(venta_a_mes4[[#This Row],[IMPORTE NETO]:[EXENTO]])</f>
        <v>0</v>
      </c>
      <c r="M263" s="182"/>
    </row>
    <row r="264" spans="2:13" x14ac:dyDescent="0.25">
      <c r="B264" s="173"/>
      <c r="C264" s="174"/>
      <c r="D264" s="175"/>
      <c r="E264" s="176"/>
      <c r="F264" s="177"/>
      <c r="G264" s="178" t="str">
        <f>IFERROR(IF(venta_a_mes4[[#This Row],[CUIT]]="","-",VLOOKUP(venta_a_mes4[[#This Row],[CUIT]],Lista_CUIT[#All],2,0)),"CUIT NO CARGADO")</f>
        <v>-</v>
      </c>
      <c r="H264" s="179"/>
      <c r="I264" s="180">
        <f>venta_a_mes4[[#This Row],[IMPORTE NETO]]*0.21</f>
        <v>0</v>
      </c>
      <c r="J264" s="181"/>
      <c r="K264" s="181"/>
      <c r="L264" s="181">
        <f>SUM(venta_a_mes4[[#This Row],[IMPORTE NETO]:[EXENTO]])</f>
        <v>0</v>
      </c>
      <c r="M264" s="182"/>
    </row>
    <row r="265" spans="2:13" x14ac:dyDescent="0.25">
      <c r="B265" s="167" t="s">
        <v>110</v>
      </c>
      <c r="C265" s="168"/>
      <c r="D265" s="168"/>
      <c r="E265" s="168"/>
      <c r="F265" s="168"/>
      <c r="G265" s="168"/>
      <c r="H265" s="169">
        <f>SUBTOTAL(109,venta_a_mes4[IMPORTE NETO])</f>
        <v>0</v>
      </c>
      <c r="I265" s="170">
        <f>SUBTOTAL(109,venta_a_mes4[IVA 21%])</f>
        <v>0</v>
      </c>
      <c r="J265" s="171">
        <f>SUBTOTAL(109,venta_a_mes4[IVA 10,5%])</f>
        <v>0</v>
      </c>
      <c r="K265" s="171">
        <f>SUBTOTAL(109,venta_a_mes4[EXENTO])</f>
        <v>0</v>
      </c>
      <c r="L265" s="171">
        <f>SUBTOTAL(109,venta_a_mes4[TOTAL])</f>
        <v>0</v>
      </c>
      <c r="M265" s="172">
        <f>SUBTOTAL(103,venta_a_mes4[Provincia])</f>
        <v>0</v>
      </c>
    </row>
    <row r="266" spans="2:13" ht="21" x14ac:dyDescent="0.25">
      <c r="B266" s="631" t="s">
        <v>31</v>
      </c>
      <c r="C266" s="631"/>
    </row>
    <row r="267" spans="2:13" ht="15.75" x14ac:dyDescent="0.25">
      <c r="B267" s="60" t="s">
        <v>0</v>
      </c>
      <c r="C267" s="61" t="s">
        <v>1</v>
      </c>
      <c r="D267" s="61" t="s">
        <v>21</v>
      </c>
      <c r="E267" s="61" t="s">
        <v>22</v>
      </c>
      <c r="F267" s="61" t="s">
        <v>3</v>
      </c>
      <c r="G267" s="61" t="s">
        <v>4</v>
      </c>
      <c r="H267" s="61" t="s">
        <v>23</v>
      </c>
      <c r="I267" s="61" t="s">
        <v>17</v>
      </c>
      <c r="J267" s="61" t="s">
        <v>7</v>
      </c>
      <c r="K267" s="61" t="s">
        <v>24</v>
      </c>
      <c r="L267" s="61" t="s">
        <v>10</v>
      </c>
      <c r="M267" s="62" t="s">
        <v>38</v>
      </c>
    </row>
    <row r="268" spans="2:13" x14ac:dyDescent="0.25">
      <c r="B268" s="40"/>
      <c r="C268" s="41"/>
      <c r="D268" s="42"/>
      <c r="E268" s="43"/>
      <c r="F268" s="44"/>
      <c r="G268" s="1" t="str">
        <f>IFERROR(IF(ventas_b_mes4[[#This Row],[CUIT]]="","-",VLOOKUP(ventas_b_mes4[[#This Row],[CUIT]],Lista_CUIT[#All],2,0)),"CUIT NO CARGADO")</f>
        <v>-</v>
      </c>
      <c r="H268" s="64"/>
      <c r="I268" s="64">
        <f>ventas_b_mes4[[#This Row],[IMPORTE NETO]]*0.21</f>
        <v>0</v>
      </c>
      <c r="J268" s="64"/>
      <c r="K268" s="64"/>
      <c r="L268" s="64">
        <f>SUM(ventas_b_mes4[[#This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1"/>
      <c r="H269" s="64"/>
      <c r="I269" s="64">
        <f>ventas_b_mes4[[#This Row],[IMPORTE NETO]]*0.21</f>
        <v>0</v>
      </c>
      <c r="J269" s="64"/>
      <c r="K269" s="64"/>
      <c r="L269" s="64">
        <f>SUM(ventas_b_mes4[[#This Row],[IMPORTE NETO]:[EXENTO]])</f>
        <v>0</v>
      </c>
      <c r="M269" s="59"/>
    </row>
    <row r="270" spans="2:13" x14ac:dyDescent="0.25">
      <c r="B270" s="40"/>
      <c r="C270" s="41"/>
      <c r="D270" s="42"/>
      <c r="E270" s="43"/>
      <c r="F270" s="44"/>
      <c r="G270" s="1"/>
      <c r="H270" s="64"/>
      <c r="I270" s="64">
        <f>ventas_b_mes4[[#This Row],[IMPORTE NETO]]*0.21</f>
        <v>0</v>
      </c>
      <c r="J270" s="64"/>
      <c r="K270" s="64"/>
      <c r="L270" s="64">
        <f>SUM(ventas_b_mes4[[#This Row],[IMPORTE NETO]:[EXENTO]])</f>
        <v>0</v>
      </c>
      <c r="M270" s="59"/>
    </row>
    <row r="271" spans="2:13" x14ac:dyDescent="0.25">
      <c r="B271" s="40"/>
      <c r="C271" s="41"/>
      <c r="D271" s="42"/>
      <c r="E271" s="43"/>
      <c r="F271" s="44"/>
      <c r="G271" s="1"/>
      <c r="H271" s="64"/>
      <c r="I271" s="64">
        <f>ventas_b_mes4[[#This Row],[IMPORTE NETO]]*0.21</f>
        <v>0</v>
      </c>
      <c r="J271" s="64"/>
      <c r="K271" s="64"/>
      <c r="L271" s="64">
        <f>SUM(ventas_b_mes4[[#This Row],[IMPORTE NETO]:[EXENTO]])</f>
        <v>0</v>
      </c>
      <c r="M271" s="59"/>
    </row>
    <row r="272" spans="2:13" x14ac:dyDescent="0.25">
      <c r="B272" s="40"/>
      <c r="C272" s="41"/>
      <c r="D272" s="42"/>
      <c r="E272" s="43"/>
      <c r="F272" s="44"/>
      <c r="G272" s="1"/>
      <c r="H272" s="64"/>
      <c r="I272" s="64">
        <f>ventas_b_mes4[[#This Row],[IMPORTE NETO]]*0.21</f>
        <v>0</v>
      </c>
      <c r="J272" s="64"/>
      <c r="K272" s="64"/>
      <c r="L272" s="64">
        <f>SUM(ventas_b_mes4[[#This Row],[IMPORTE NETO]:[EXENTO]])</f>
        <v>0</v>
      </c>
      <c r="M272" s="59"/>
    </row>
    <row r="273" spans="2:13" x14ac:dyDescent="0.25">
      <c r="B273" s="194"/>
      <c r="C273" s="41"/>
      <c r="D273" s="196"/>
      <c r="E273" s="197"/>
      <c r="F273" s="198"/>
      <c r="G273" s="199" t="str">
        <f>IFERROR(IF(ventas_b_mes4[[#This Row],[CUIT]]="","-",VLOOKUP(ventas_b_mes4[[#This Row],[CUIT]],Lista_CUIT[#All],2,0)),"CUIT NO CARGADO")</f>
        <v>-</v>
      </c>
      <c r="H273" s="200"/>
      <c r="I273" s="201">
        <f>ventas_b_mes4[[#This Row],[IMPORTE NETO]]*0.21</f>
        <v>0</v>
      </c>
      <c r="J273" s="202"/>
      <c r="K273" s="202"/>
      <c r="L273" s="202">
        <f>SUM(ventas_b_mes4[[#This Row],[IMPORTE NETO]:[EXENTO]])</f>
        <v>0</v>
      </c>
      <c r="M273" s="182"/>
    </row>
    <row r="274" spans="2:13" x14ac:dyDescent="0.25">
      <c r="B274" s="194"/>
      <c r="C274" s="41"/>
      <c r="D274" s="196"/>
      <c r="E274" s="197"/>
      <c r="F274" s="198"/>
      <c r="G274" s="199" t="str">
        <f>IFERROR(IF(ventas_b_mes4[[#This Row],[CUIT]]="","-",VLOOKUP(ventas_b_mes4[[#This Row],[CUIT]],Lista_CUIT[#All],2,0)),"CUIT NO CARGADO")</f>
        <v>-</v>
      </c>
      <c r="H274" s="200"/>
      <c r="I274" s="201">
        <f>ventas_b_mes4[[#This Row],[IMPORTE NETO]]*0.21</f>
        <v>0</v>
      </c>
      <c r="J274" s="202"/>
      <c r="K274" s="202"/>
      <c r="L274" s="202">
        <f>SUM(ventas_b_mes4[[#This Row],[IMPORTE NETO]:[EXENTO]])</f>
        <v>0</v>
      </c>
      <c r="M274" s="182"/>
    </row>
    <row r="275" spans="2:13" x14ac:dyDescent="0.25">
      <c r="B275" s="194"/>
      <c r="C275" s="41"/>
      <c r="D275" s="196"/>
      <c r="E275" s="197"/>
      <c r="F275" s="198"/>
      <c r="G275" s="199" t="str">
        <f>IFERROR(IF(ventas_b_mes4[[#This Row],[CUIT]]="","-",VLOOKUP(ventas_b_mes4[[#This Row],[CUIT]],Lista_CUIT[#All],2,0)),"CUIT NO CARGADO")</f>
        <v>-</v>
      </c>
      <c r="H275" s="200"/>
      <c r="I275" s="201">
        <f>ventas_b_mes4[[#This Row],[IMPORTE NETO]]*0.21</f>
        <v>0</v>
      </c>
      <c r="J275" s="202"/>
      <c r="K275" s="202"/>
      <c r="L275" s="202">
        <f>SUM(ventas_b_mes4[[#This Row],[IMPORTE NETO]:[EXENTO]])</f>
        <v>0</v>
      </c>
      <c r="M275" s="182"/>
    </row>
    <row r="276" spans="2:13" x14ac:dyDescent="0.25">
      <c r="B276" s="194"/>
      <c r="C276" s="41"/>
      <c r="D276" s="196"/>
      <c r="E276" s="197"/>
      <c r="F276" s="198"/>
      <c r="G276" s="199" t="str">
        <f>IFERROR(IF(ventas_b_mes4[[#This Row],[CUIT]]="","-",VLOOKUP(ventas_b_mes4[[#This Row],[CUIT]],Lista_CUIT[#All],2,0)),"CUIT NO CARGADO")</f>
        <v>-</v>
      </c>
      <c r="H276" s="200"/>
      <c r="I276" s="201">
        <f>ventas_b_mes4[[#This Row],[IMPORTE NETO]]*0.21</f>
        <v>0</v>
      </c>
      <c r="J276" s="202"/>
      <c r="K276" s="202"/>
      <c r="L276" s="202">
        <f>SUM(ventas_b_mes4[[#This Row],[IMPORTE NETO]:[EXENTO]])</f>
        <v>0</v>
      </c>
      <c r="M276" s="182"/>
    </row>
    <row r="277" spans="2:13" x14ac:dyDescent="0.25">
      <c r="B277" s="194"/>
      <c r="C277" s="41"/>
      <c r="D277" s="196"/>
      <c r="E277" s="197"/>
      <c r="F277" s="198"/>
      <c r="G277" s="199" t="str">
        <f>IFERROR(IF(ventas_b_mes4[[#This Row],[CUIT]]="","-",VLOOKUP(ventas_b_mes4[[#This Row],[CUIT]],Lista_CUIT[#All],2,0)),"CUIT NO CARGADO")</f>
        <v>-</v>
      </c>
      <c r="H277" s="200"/>
      <c r="I277" s="201">
        <f>ventas_b_mes4[[#This Row],[IMPORTE NETO]]*0.21</f>
        <v>0</v>
      </c>
      <c r="J277" s="202"/>
      <c r="K277" s="202"/>
      <c r="L277" s="202">
        <f>SUM(ventas_b_mes4[[#This Row],[IMPORTE NETO]:[EXENTO]])</f>
        <v>0</v>
      </c>
      <c r="M277" s="182"/>
    </row>
    <row r="278" spans="2:13" x14ac:dyDescent="0.25">
      <c r="B278" s="194"/>
      <c r="C278" s="41"/>
      <c r="D278" s="196"/>
      <c r="E278" s="197"/>
      <c r="F278" s="198"/>
      <c r="G278" s="199" t="str">
        <f>IFERROR(IF(ventas_b_mes4[[#This Row],[CUIT]]="","-",VLOOKUP(ventas_b_mes4[[#This Row],[CUIT]],Lista_CUIT[#All],2,0)),"CUIT NO CARGADO")</f>
        <v>-</v>
      </c>
      <c r="H278" s="200"/>
      <c r="I278" s="201">
        <f>ventas_b_mes4[[#This Row],[IMPORTE NETO]]*0.21</f>
        <v>0</v>
      </c>
      <c r="J278" s="202"/>
      <c r="K278" s="202"/>
      <c r="L278" s="202">
        <f>SUM(ventas_b_mes4[[#This Row],[IMPORTE NETO]:[EXENTO]])</f>
        <v>0</v>
      </c>
      <c r="M278" s="182"/>
    </row>
    <row r="279" spans="2:13" x14ac:dyDescent="0.25">
      <c r="B279" s="194"/>
      <c r="C279" s="41"/>
      <c r="D279" s="196"/>
      <c r="E279" s="197"/>
      <c r="F279" s="198"/>
      <c r="G279" s="199" t="str">
        <f>IFERROR(IF(ventas_b_mes4[[#This Row],[CUIT]]="","-",VLOOKUP(ventas_b_mes4[[#This Row],[CUIT]],Lista_CUIT[#All],2,0)),"CUIT NO CARGADO")</f>
        <v>-</v>
      </c>
      <c r="H279" s="200"/>
      <c r="I279" s="201">
        <f>ventas_b_mes4[[#This Row],[IMPORTE NETO]]*0.21</f>
        <v>0</v>
      </c>
      <c r="J279" s="202"/>
      <c r="K279" s="202"/>
      <c r="L279" s="202">
        <f>SUM(ventas_b_mes4[[#This Row],[IMPORTE NETO]:[EXENTO]])</f>
        <v>0</v>
      </c>
      <c r="M279" s="182"/>
    </row>
    <row r="280" spans="2:13" x14ac:dyDescent="0.25">
      <c r="B280" s="194"/>
      <c r="C280" s="41"/>
      <c r="D280" s="196"/>
      <c r="E280" s="197"/>
      <c r="F280" s="198"/>
      <c r="G280" s="199" t="str">
        <f>IFERROR(IF(ventas_b_mes4[[#This Row],[CUIT]]="","-",VLOOKUP(ventas_b_mes4[[#This Row],[CUIT]],Lista_CUIT[#All],2,0)),"CUIT NO CARGADO")</f>
        <v>-</v>
      </c>
      <c r="H280" s="200"/>
      <c r="I280" s="201">
        <f>ventas_b_mes4[[#This Row],[IMPORTE NETO]]*0.21</f>
        <v>0</v>
      </c>
      <c r="J280" s="202"/>
      <c r="K280" s="202"/>
      <c r="L280" s="202">
        <f>SUM(ventas_b_mes4[[#This Row],[IMPORTE NETO]:[EXENTO]])</f>
        <v>0</v>
      </c>
      <c r="M280" s="182"/>
    </row>
    <row r="281" spans="2:13" x14ac:dyDescent="0.25">
      <c r="B281" s="194"/>
      <c r="C281" s="41"/>
      <c r="D281" s="196"/>
      <c r="E281" s="197"/>
      <c r="F281" s="198"/>
      <c r="G281" s="199" t="str">
        <f>IFERROR(IF(ventas_b_mes4[[#This Row],[CUIT]]="","-",VLOOKUP(ventas_b_mes4[[#This Row],[CUIT]],Lista_CUIT[#All],2,0)),"CUIT NO CARGADO")</f>
        <v>-</v>
      </c>
      <c r="H281" s="200"/>
      <c r="I281" s="201">
        <f>ventas_b_mes4[[#This Row],[IMPORTE NETO]]*0.21</f>
        <v>0</v>
      </c>
      <c r="J281" s="202"/>
      <c r="K281" s="202"/>
      <c r="L281" s="202">
        <f>SUM(ventas_b_mes4[[#This Row],[IMPORTE NETO]:[EXENTO]])</f>
        <v>0</v>
      </c>
      <c r="M281" s="182"/>
    </row>
    <row r="282" spans="2:13" x14ac:dyDescent="0.25">
      <c r="B282" s="194"/>
      <c r="C282" s="41"/>
      <c r="D282" s="196"/>
      <c r="E282" s="197"/>
      <c r="F282" s="198"/>
      <c r="G282" s="199" t="str">
        <f>IFERROR(IF(ventas_b_mes4[[#This Row],[CUIT]]="","-",VLOOKUP(ventas_b_mes4[[#This Row],[CUIT]],Lista_CUIT[#All],2,0)),"CUIT NO CARGADO")</f>
        <v>-</v>
      </c>
      <c r="H282" s="200"/>
      <c r="I282" s="201">
        <f>ventas_b_mes4[[#This Row],[IMPORTE NETO]]*0.21</f>
        <v>0</v>
      </c>
      <c r="J282" s="202"/>
      <c r="K282" s="202"/>
      <c r="L282" s="202">
        <f>SUM(ventas_b_mes4[[#This Row],[IMPORTE NETO]:[EXENTO]])</f>
        <v>0</v>
      </c>
      <c r="M282" s="182"/>
    </row>
    <row r="283" spans="2:13" x14ac:dyDescent="0.25">
      <c r="B283" s="194"/>
      <c r="C283" s="41"/>
      <c r="D283" s="196"/>
      <c r="E283" s="197"/>
      <c r="F283" s="198"/>
      <c r="G283" s="199" t="str">
        <f>IFERROR(IF(ventas_b_mes4[[#This Row],[CUIT]]="","-",VLOOKUP(ventas_b_mes4[[#This Row],[CUIT]],Lista_CUIT[#All],2,0)),"CUIT NO CARGADO")</f>
        <v>-</v>
      </c>
      <c r="H283" s="200"/>
      <c r="I283" s="201">
        <f>ventas_b_mes4[[#This Row],[IMPORTE NETO]]*0.21</f>
        <v>0</v>
      </c>
      <c r="J283" s="202"/>
      <c r="K283" s="202"/>
      <c r="L283" s="202">
        <f>SUM(ventas_b_mes4[[#This Row],[IMPORTE NETO]:[EXENTO]])</f>
        <v>0</v>
      </c>
      <c r="M283" s="182"/>
    </row>
    <row r="284" spans="2:13" x14ac:dyDescent="0.25">
      <c r="B284" s="194"/>
      <c r="C284" s="41"/>
      <c r="D284" s="196"/>
      <c r="E284" s="197"/>
      <c r="F284" s="198"/>
      <c r="G284" s="199" t="str">
        <f>IFERROR(IF(ventas_b_mes4[[#This Row],[CUIT]]="","-",VLOOKUP(ventas_b_mes4[[#This Row],[CUIT]],Lista_CUIT[#All],2,0)),"CUIT NO CARGADO")</f>
        <v>-</v>
      </c>
      <c r="H284" s="200"/>
      <c r="I284" s="201">
        <f>ventas_b_mes4[[#This Row],[IMPORTE NETO]]*0.21</f>
        <v>0</v>
      </c>
      <c r="J284" s="202"/>
      <c r="K284" s="202"/>
      <c r="L284" s="202">
        <f>SUM(ventas_b_mes4[[#This Row],[IMPORTE NETO]:[EXENTO]])</f>
        <v>0</v>
      </c>
      <c r="M284" s="182"/>
    </row>
    <row r="285" spans="2:13" x14ac:dyDescent="0.25">
      <c r="B285" s="194"/>
      <c r="C285" s="41"/>
      <c r="D285" s="196"/>
      <c r="E285" s="197"/>
      <c r="F285" s="198"/>
      <c r="G285" s="199" t="str">
        <f>IFERROR(IF(ventas_b_mes4[[#This Row],[CUIT]]="","-",VLOOKUP(ventas_b_mes4[[#This Row],[CUIT]],Lista_CUIT[#All],2,0)),"CUIT NO CARGADO")</f>
        <v>-</v>
      </c>
      <c r="H285" s="200"/>
      <c r="I285" s="201">
        <f>ventas_b_mes4[[#This Row],[IMPORTE NETO]]*0.21</f>
        <v>0</v>
      </c>
      <c r="J285" s="202"/>
      <c r="K285" s="202"/>
      <c r="L285" s="202">
        <f>SUM(ventas_b_mes4[[#This Row],[IMPORTE NETO]:[EXENTO]])</f>
        <v>0</v>
      </c>
      <c r="M285" s="182"/>
    </row>
    <row r="286" spans="2:13" x14ac:dyDescent="0.25">
      <c r="B286" s="194"/>
      <c r="C286" s="41"/>
      <c r="D286" s="196"/>
      <c r="E286" s="197"/>
      <c r="F286" s="198"/>
      <c r="G286" s="199" t="str">
        <f>IFERROR(IF(ventas_b_mes4[[#This Row],[CUIT]]="","-",VLOOKUP(ventas_b_mes4[[#This Row],[CUIT]],Lista_CUIT[#All],2,0)),"CUIT NO CARGADO")</f>
        <v>-</v>
      </c>
      <c r="H286" s="200"/>
      <c r="I286" s="201">
        <f>ventas_b_mes4[[#This Row],[IMPORTE NETO]]*0.21</f>
        <v>0</v>
      </c>
      <c r="J286" s="202"/>
      <c r="K286" s="202"/>
      <c r="L286" s="202">
        <f>SUM(ventas_b_mes4[[#This Row],[IMPORTE NETO]:[EXENTO]])</f>
        <v>0</v>
      </c>
      <c r="M286" s="182"/>
    </row>
    <row r="287" spans="2:13" x14ac:dyDescent="0.25">
      <c r="B287" s="194"/>
      <c r="C287" s="41"/>
      <c r="D287" s="196"/>
      <c r="E287" s="197"/>
      <c r="F287" s="198"/>
      <c r="G287" s="199" t="str">
        <f>IFERROR(IF(ventas_b_mes4[[#This Row],[CUIT]]="","-",VLOOKUP(ventas_b_mes4[[#This Row],[CUIT]],Lista_CUIT[#All],2,0)),"CUIT NO CARGADO")</f>
        <v>-</v>
      </c>
      <c r="H287" s="200"/>
      <c r="I287" s="201">
        <f>ventas_b_mes4[[#This Row],[IMPORTE NETO]]*0.21</f>
        <v>0</v>
      </c>
      <c r="J287" s="202"/>
      <c r="K287" s="202"/>
      <c r="L287" s="202">
        <f>SUM(ventas_b_mes4[[#This Row],[IMPORTE NETO]:[EXENTO]])</f>
        <v>0</v>
      </c>
      <c r="M287" s="182"/>
    </row>
    <row r="288" spans="2:13" x14ac:dyDescent="0.25">
      <c r="B288" s="194"/>
      <c r="C288" s="41"/>
      <c r="D288" s="196"/>
      <c r="E288" s="197"/>
      <c r="F288" s="198"/>
      <c r="G288" s="199" t="str">
        <f>IFERROR(IF(ventas_b_mes4[[#This Row],[CUIT]]="","-",VLOOKUP(ventas_b_mes4[[#This Row],[CUIT]],Lista_CUIT[#All],2,0)),"CUIT NO CARGADO")</f>
        <v>-</v>
      </c>
      <c r="H288" s="200"/>
      <c r="I288" s="201">
        <f>ventas_b_mes4[[#This Row],[IMPORTE NETO]]*0.21</f>
        <v>0</v>
      </c>
      <c r="J288" s="202"/>
      <c r="K288" s="202"/>
      <c r="L288" s="202">
        <f>SUM(ventas_b_mes4[[#This Row],[IMPORTE NETO]:[EXENTO]])</f>
        <v>0</v>
      </c>
      <c r="M288" s="182"/>
    </row>
    <row r="289" spans="2:13" x14ac:dyDescent="0.25">
      <c r="B289" s="194"/>
      <c r="C289" s="41"/>
      <c r="D289" s="196"/>
      <c r="E289" s="197"/>
      <c r="F289" s="198"/>
      <c r="G289" s="199" t="str">
        <f>IFERROR(IF(ventas_b_mes4[[#This Row],[CUIT]]="","-",VLOOKUP(ventas_b_mes4[[#This Row],[CUIT]],Lista_CUIT[#All],2,0)),"CUIT NO CARGADO")</f>
        <v>-</v>
      </c>
      <c r="H289" s="200"/>
      <c r="I289" s="201">
        <f>ventas_b_mes4[[#This Row],[IMPORTE NETO]]*0.21</f>
        <v>0</v>
      </c>
      <c r="J289" s="202"/>
      <c r="K289" s="202"/>
      <c r="L289" s="202">
        <f>SUM(ventas_b_mes4[[#This Row],[IMPORTE NETO]:[EXENTO]])</f>
        <v>0</v>
      </c>
      <c r="M289" s="182"/>
    </row>
    <row r="290" spans="2:13" x14ac:dyDescent="0.25">
      <c r="B290" s="194"/>
      <c r="C290" s="41"/>
      <c r="D290" s="196"/>
      <c r="E290" s="197"/>
      <c r="F290" s="198"/>
      <c r="G290" s="199" t="str">
        <f>IFERROR(IF(ventas_b_mes4[[#This Row],[CUIT]]="","-",VLOOKUP(ventas_b_mes4[[#This Row],[CUIT]],Lista_CUIT[#All],2,0)),"CUIT NO CARGADO")</f>
        <v>-</v>
      </c>
      <c r="H290" s="200"/>
      <c r="I290" s="201">
        <f>ventas_b_mes4[[#This Row],[IMPORTE NETO]]*0.21</f>
        <v>0</v>
      </c>
      <c r="J290" s="202"/>
      <c r="K290" s="202"/>
      <c r="L290" s="202">
        <f>SUM(ventas_b_mes4[[#This Row],[IMPORTE NETO]:[EXENTO]])</f>
        <v>0</v>
      </c>
      <c r="M290" s="182"/>
    </row>
    <row r="291" spans="2:13" x14ac:dyDescent="0.25">
      <c r="B291" s="194"/>
      <c r="C291" s="41"/>
      <c r="D291" s="196"/>
      <c r="E291" s="197"/>
      <c r="F291" s="198"/>
      <c r="G291" s="199" t="str">
        <f>IFERROR(IF(ventas_b_mes4[[#This Row],[CUIT]]="","-",VLOOKUP(ventas_b_mes4[[#This Row],[CUIT]],Lista_CUIT[#All],2,0)),"CUIT NO CARGADO")</f>
        <v>-</v>
      </c>
      <c r="H291" s="200"/>
      <c r="I291" s="201">
        <f>ventas_b_mes4[[#This Row],[IMPORTE NETO]]*0.21</f>
        <v>0</v>
      </c>
      <c r="J291" s="202"/>
      <c r="K291" s="202"/>
      <c r="L291" s="202">
        <f>SUM(ventas_b_mes4[[#This Row],[IMPORTE NETO]:[EXENTO]])</f>
        <v>0</v>
      </c>
      <c r="M291" s="182"/>
    </row>
    <row r="292" spans="2:13" x14ac:dyDescent="0.25">
      <c r="B292" s="194"/>
      <c r="C292" s="41"/>
      <c r="D292" s="196"/>
      <c r="E292" s="197"/>
      <c r="F292" s="198"/>
      <c r="G292" s="199" t="str">
        <f>IFERROR(IF(ventas_b_mes4[[#This Row],[CUIT]]="","-",VLOOKUP(ventas_b_mes4[[#This Row],[CUIT]],Lista_CUIT[#All],2,0)),"CUIT NO CARGADO")</f>
        <v>-</v>
      </c>
      <c r="H292" s="200"/>
      <c r="I292" s="201">
        <f>ventas_b_mes4[[#This Row],[IMPORTE NETO]]*0.21</f>
        <v>0</v>
      </c>
      <c r="J292" s="202"/>
      <c r="K292" s="202"/>
      <c r="L292" s="202">
        <f>SUM(ventas_b_mes4[[#This Row],[IMPORTE NETO]:[EXENTO]])</f>
        <v>0</v>
      </c>
      <c r="M292" s="182"/>
    </row>
    <row r="293" spans="2:13" x14ac:dyDescent="0.25">
      <c r="B293" s="194"/>
      <c r="C293" s="41"/>
      <c r="D293" s="196"/>
      <c r="E293" s="197"/>
      <c r="F293" s="198"/>
      <c r="G293" s="199" t="str">
        <f>IFERROR(IF(ventas_b_mes4[[#This Row],[CUIT]]="","-",VLOOKUP(ventas_b_mes4[[#This Row],[CUIT]],Lista_CUIT[#All],2,0)),"CUIT NO CARGADO")</f>
        <v>-</v>
      </c>
      <c r="H293" s="200"/>
      <c r="I293" s="201">
        <f>ventas_b_mes4[[#This Row],[IMPORTE NETO]]*0.21</f>
        <v>0</v>
      </c>
      <c r="J293" s="202"/>
      <c r="K293" s="202"/>
      <c r="L293" s="202">
        <f>SUM(ventas_b_mes4[[#This Row],[IMPORTE NETO]:[EXENTO]])</f>
        <v>0</v>
      </c>
      <c r="M293" s="182"/>
    </row>
    <row r="294" spans="2:13" x14ac:dyDescent="0.25">
      <c r="B294" s="194"/>
      <c r="C294" s="41"/>
      <c r="D294" s="196"/>
      <c r="E294" s="197"/>
      <c r="F294" s="198"/>
      <c r="G294" s="199" t="str">
        <f>IFERROR(IF(ventas_b_mes4[[#This Row],[CUIT]]="","-",VLOOKUP(ventas_b_mes4[[#This Row],[CUIT]],Lista_CUIT[#All],2,0)),"CUIT NO CARGADO")</f>
        <v>-</v>
      </c>
      <c r="H294" s="200"/>
      <c r="I294" s="201">
        <f>ventas_b_mes4[[#This Row],[IMPORTE NETO]]*0.21</f>
        <v>0</v>
      </c>
      <c r="J294" s="202"/>
      <c r="K294" s="202"/>
      <c r="L294" s="202">
        <f>SUM(ventas_b_mes4[[#This Row],[IMPORTE NETO]:[EXENTO]])</f>
        <v>0</v>
      </c>
      <c r="M294" s="182"/>
    </row>
    <row r="295" spans="2:13" x14ac:dyDescent="0.25">
      <c r="B295" s="194"/>
      <c r="C295" s="41"/>
      <c r="D295" s="196"/>
      <c r="E295" s="197"/>
      <c r="F295" s="198"/>
      <c r="G295" s="199" t="str">
        <f>IFERROR(IF(ventas_b_mes4[[#This Row],[CUIT]]="","-",VLOOKUP(ventas_b_mes4[[#This Row],[CUIT]],Lista_CUIT[#All],2,0)),"CUIT NO CARGADO")</f>
        <v>-</v>
      </c>
      <c r="H295" s="200"/>
      <c r="I295" s="201">
        <f>ventas_b_mes4[[#This Row],[IMPORTE NETO]]*0.21</f>
        <v>0</v>
      </c>
      <c r="J295" s="202"/>
      <c r="K295" s="202"/>
      <c r="L295" s="202">
        <f>SUM(ventas_b_mes4[[#This Row],[IMPORTE NETO]:[EXENTO]])</f>
        <v>0</v>
      </c>
      <c r="M295" s="182"/>
    </row>
    <row r="296" spans="2:13" x14ac:dyDescent="0.25">
      <c r="B296" s="194"/>
      <c r="C296" s="41"/>
      <c r="D296" s="196"/>
      <c r="E296" s="197"/>
      <c r="F296" s="198"/>
      <c r="G296" s="199" t="str">
        <f>IFERROR(IF(ventas_b_mes4[[#This Row],[CUIT]]="","-",VLOOKUP(ventas_b_mes4[[#This Row],[CUIT]],Lista_CUIT[#All],2,0)),"CUIT NO CARGADO")</f>
        <v>-</v>
      </c>
      <c r="H296" s="200"/>
      <c r="I296" s="201">
        <f>ventas_b_mes4[[#This Row],[IMPORTE NETO]]*0.21</f>
        <v>0</v>
      </c>
      <c r="J296" s="202"/>
      <c r="K296" s="202"/>
      <c r="L296" s="202">
        <f>SUM(ventas_b_mes4[[#This Row],[IMPORTE NETO]:[EXENTO]])</f>
        <v>0</v>
      </c>
      <c r="M296" s="182"/>
    </row>
    <row r="297" spans="2:13" x14ac:dyDescent="0.25">
      <c r="B297" s="194"/>
      <c r="C297" s="41"/>
      <c r="D297" s="196"/>
      <c r="E297" s="197"/>
      <c r="F297" s="198"/>
      <c r="G297" s="199" t="str">
        <f>IFERROR(IF(ventas_b_mes4[[#This Row],[CUIT]]="","-",VLOOKUP(ventas_b_mes4[[#This Row],[CUIT]],Lista_CUIT[#All],2,0)),"CUIT NO CARGADO")</f>
        <v>-</v>
      </c>
      <c r="H297" s="200"/>
      <c r="I297" s="201">
        <f>ventas_b_mes4[[#This Row],[IMPORTE NETO]]*0.21</f>
        <v>0</v>
      </c>
      <c r="J297" s="202"/>
      <c r="K297" s="202"/>
      <c r="L297" s="202">
        <f>SUM(ventas_b_mes4[[#This Row],[IMPORTE NETO]:[EXENTO]])</f>
        <v>0</v>
      </c>
      <c r="M297" s="182"/>
    </row>
    <row r="298" spans="2:13" x14ac:dyDescent="0.25">
      <c r="B298" s="194"/>
      <c r="C298" s="41"/>
      <c r="D298" s="196"/>
      <c r="E298" s="197"/>
      <c r="F298" s="198"/>
      <c r="G298" s="199" t="str">
        <f>IFERROR(IF(ventas_b_mes4[[#This Row],[CUIT]]="","-",VLOOKUP(ventas_b_mes4[[#This Row],[CUIT]],Lista_CUIT[#All],2,0)),"CUIT NO CARGADO")</f>
        <v>-</v>
      </c>
      <c r="H298" s="200"/>
      <c r="I298" s="201">
        <f>ventas_b_mes4[[#This Row],[IMPORTE NETO]]*0.21</f>
        <v>0</v>
      </c>
      <c r="J298" s="202"/>
      <c r="K298" s="202"/>
      <c r="L298" s="202">
        <f>SUM(ventas_b_mes4[[#This Row],[IMPORTE NETO]:[EXENTO]])</f>
        <v>0</v>
      </c>
      <c r="M298" s="182"/>
    </row>
    <row r="299" spans="2:13" x14ac:dyDescent="0.25">
      <c r="B299" s="194"/>
      <c r="C299" s="41"/>
      <c r="D299" s="196"/>
      <c r="E299" s="197"/>
      <c r="F299" s="198"/>
      <c r="G299" s="199" t="str">
        <f>IFERROR(IF(ventas_b_mes4[[#This Row],[CUIT]]="","-",VLOOKUP(ventas_b_mes4[[#This Row],[CUIT]],Lista_CUIT[#All],2,0)),"CUIT NO CARGADO")</f>
        <v>-</v>
      </c>
      <c r="H299" s="200"/>
      <c r="I299" s="201">
        <f>ventas_b_mes4[[#This Row],[IMPORTE NETO]]*0.21</f>
        <v>0</v>
      </c>
      <c r="J299" s="202"/>
      <c r="K299" s="202"/>
      <c r="L299" s="202">
        <f>SUM(ventas_b_mes4[[#This Row],[IMPORTE NETO]:[EXENTO]])</f>
        <v>0</v>
      </c>
      <c r="M299" s="182"/>
    </row>
    <row r="300" spans="2:13" x14ac:dyDescent="0.25">
      <c r="B300" s="40"/>
      <c r="C300" s="41"/>
      <c r="D300" s="42"/>
      <c r="E300" s="43"/>
      <c r="F300" s="44"/>
      <c r="G300" s="1"/>
      <c r="H300" s="64"/>
      <c r="I300" s="64">
        <f>ventas_b_mes4[[#This Row],[IMPORTE NETO]]*0.21</f>
        <v>0</v>
      </c>
      <c r="J300" s="64"/>
      <c r="K300" s="64"/>
      <c r="L300" s="64">
        <f>SUM(ventas_b_mes4[[#This Row],[IMPORTE NETO]:[EXENTO]])</f>
        <v>0</v>
      </c>
      <c r="M300" s="59"/>
    </row>
    <row r="301" spans="2:13" x14ac:dyDescent="0.25">
      <c r="B301" s="203"/>
      <c r="C301" s="41"/>
      <c r="D301" s="204"/>
      <c r="E301" s="205"/>
      <c r="F301" s="206"/>
      <c r="G301" s="207" t="str">
        <f>IFERROR(IF(ventas_b_mes4[[#This Row],[CUIT]]="","-",VLOOKUP(ventas_b_mes4[[#This Row],[CUIT]],Lista_CUIT[#All],2,0)),"CUIT NO CARGADO")</f>
        <v>-</v>
      </c>
      <c r="H301" s="208"/>
      <c r="I301" s="209">
        <f>ventas_b_mes4[[#This Row],[IMPORTE NETO]]*0.21</f>
        <v>0</v>
      </c>
      <c r="J301" s="210"/>
      <c r="K301" s="210"/>
      <c r="L301" s="210">
        <f>SUM(ventas_b_mes4[[#This Row],[IMPORTE NETO]:[EXENTO]])</f>
        <v>0</v>
      </c>
      <c r="M301" s="191"/>
    </row>
    <row r="302" spans="2:13" x14ac:dyDescent="0.25">
      <c r="B302" s="203"/>
      <c r="C302" s="41"/>
      <c r="D302" s="204"/>
      <c r="E302" s="205"/>
      <c r="F302" s="206"/>
      <c r="G302" s="207" t="str">
        <f>IFERROR(IF(ventas_b_mes4[[#This Row],[CUIT]]="","-",VLOOKUP(ventas_b_mes4[[#This Row],[CUIT]],Lista_CUIT[#All],2,0)),"CUIT NO CARGADO")</f>
        <v>-</v>
      </c>
      <c r="H302" s="208"/>
      <c r="I302" s="209">
        <f>ventas_b_mes4[[#This Row],[IMPORTE NETO]]*0.21</f>
        <v>0</v>
      </c>
      <c r="J302" s="210"/>
      <c r="K302" s="210"/>
      <c r="L302" s="210">
        <f>SUM(ventas_b_mes4[[#This Row],[IMPORTE NETO]:[EXENTO]])</f>
        <v>0</v>
      </c>
      <c r="M302" s="191"/>
    </row>
    <row r="303" spans="2:13" x14ac:dyDescent="0.25">
      <c r="B303" s="203"/>
      <c r="C303" s="41"/>
      <c r="D303" s="204"/>
      <c r="E303" s="205"/>
      <c r="F303" s="206"/>
      <c r="G303" s="207" t="str">
        <f>IFERROR(IF(ventas_b_mes4[[#This Row],[CUIT]]="","-",VLOOKUP(ventas_b_mes4[[#This Row],[CUIT]],Lista_CUIT[#All],2,0)),"CUIT NO CARGADO")</f>
        <v>-</v>
      </c>
      <c r="H303" s="208"/>
      <c r="I303" s="209">
        <f>ventas_b_mes4[[#This Row],[IMPORTE NETO]]*0.21</f>
        <v>0</v>
      </c>
      <c r="J303" s="210"/>
      <c r="K303" s="210"/>
      <c r="L303" s="210">
        <f>SUM(ventas_b_mes4[[#This Row],[IMPORTE NETO]:[EXENTO]])</f>
        <v>0</v>
      </c>
      <c r="M303" s="191"/>
    </row>
    <row r="304" spans="2:13" x14ac:dyDescent="0.25">
      <c r="B304" s="203"/>
      <c r="C304" s="41"/>
      <c r="D304" s="204"/>
      <c r="E304" s="205"/>
      <c r="F304" s="206"/>
      <c r="G304" s="207" t="str">
        <f>IFERROR(IF(ventas_b_mes4[[#This Row],[CUIT]]="","-",VLOOKUP(ventas_b_mes4[[#This Row],[CUIT]],Lista_CUIT[#All],2,0)),"CUIT NO CARGADO")</f>
        <v>-</v>
      </c>
      <c r="H304" s="208"/>
      <c r="I304" s="209">
        <f>ventas_b_mes4[[#This Row],[IMPORTE NETO]]*0.21</f>
        <v>0</v>
      </c>
      <c r="J304" s="210"/>
      <c r="K304" s="210"/>
      <c r="L304" s="210">
        <f>SUM(ventas_b_mes4[[#This Row],[IMPORTE NETO]:[EXENTO]])</f>
        <v>0</v>
      </c>
      <c r="M304" s="191"/>
    </row>
    <row r="305" spans="2:13" x14ac:dyDescent="0.25">
      <c r="B305" s="203"/>
      <c r="C305" s="41"/>
      <c r="D305" s="204"/>
      <c r="E305" s="205"/>
      <c r="F305" s="206"/>
      <c r="G305" s="207" t="str">
        <f>IFERROR(IF(ventas_b_mes4[[#This Row],[CUIT]]="","-",VLOOKUP(ventas_b_mes4[[#This Row],[CUIT]],Lista_CUIT[#All],2,0)),"CUIT NO CARGADO")</f>
        <v>-</v>
      </c>
      <c r="H305" s="208"/>
      <c r="I305" s="209">
        <f>ventas_b_mes4[[#This Row],[IMPORTE NETO]]*0.21</f>
        <v>0</v>
      </c>
      <c r="J305" s="210"/>
      <c r="K305" s="210"/>
      <c r="L305" s="210">
        <f>SUM(ventas_b_mes4[[#This Row],[IMPORTE NETO]:[EXENTO]])</f>
        <v>0</v>
      </c>
      <c r="M305" s="191"/>
    </row>
    <row r="306" spans="2:13" x14ac:dyDescent="0.25">
      <c r="B306" s="203"/>
      <c r="C306" s="41"/>
      <c r="D306" s="204"/>
      <c r="E306" s="205"/>
      <c r="F306" s="206"/>
      <c r="G306" s="207" t="str">
        <f>IFERROR(IF(ventas_b_mes4[[#This Row],[CUIT]]="","-",VLOOKUP(ventas_b_mes4[[#This Row],[CUIT]],Lista_CUIT[#All],2,0)),"CUIT NO CARGADO")</f>
        <v>-</v>
      </c>
      <c r="H306" s="208"/>
      <c r="I306" s="209">
        <f>ventas_b_mes4[[#This Row],[IMPORTE NETO]]*0.21</f>
        <v>0</v>
      </c>
      <c r="J306" s="210"/>
      <c r="K306" s="210"/>
      <c r="L306" s="210">
        <f>SUM(ventas_b_mes4[[#This Row],[IMPORTE NETO]:[EXENTO]])</f>
        <v>0</v>
      </c>
      <c r="M306" s="191"/>
    </row>
    <row r="307" spans="2:13" x14ac:dyDescent="0.25">
      <c r="B307" s="203"/>
      <c r="C307" s="41"/>
      <c r="D307" s="204"/>
      <c r="E307" s="205"/>
      <c r="F307" s="206"/>
      <c r="G307" s="207" t="str">
        <f>IFERROR(IF(ventas_b_mes4[[#This Row],[CUIT]]="","-",VLOOKUP(ventas_b_mes4[[#This Row],[CUIT]],Lista_CUIT[#All],2,0)),"CUIT NO CARGADO")</f>
        <v>-</v>
      </c>
      <c r="H307" s="208"/>
      <c r="I307" s="209">
        <f>ventas_b_mes4[[#This Row],[IMPORTE NETO]]*0.21</f>
        <v>0</v>
      </c>
      <c r="J307" s="210"/>
      <c r="K307" s="210"/>
      <c r="L307" s="210">
        <f>SUM(ventas_b_mes4[[#This Row],[IMPORTE NETO]:[EXENTO]])</f>
        <v>0</v>
      </c>
      <c r="M307" s="191"/>
    </row>
    <row r="308" spans="2:13" x14ac:dyDescent="0.25">
      <c r="B308" s="194"/>
      <c r="C308" s="41"/>
      <c r="D308" s="196"/>
      <c r="E308" s="197"/>
      <c r="F308" s="198"/>
      <c r="G308" s="199" t="str">
        <f>IFERROR(IF(ventas_b_mes4[[#This Row],[CUIT]]="","-",VLOOKUP(ventas_b_mes4[[#This Row],[CUIT]],Lista_CUIT[#All],2,0)),"CUIT NO CARGADO")</f>
        <v>-</v>
      </c>
      <c r="H308" s="200"/>
      <c r="I308" s="201">
        <f>ventas_b_mes4[[#This Row],[IMPORTE NETO]]*0.21</f>
        <v>0</v>
      </c>
      <c r="J308" s="202"/>
      <c r="K308" s="202"/>
      <c r="L308" s="202">
        <f>SUM(ventas_b_mes4[[#This Row],[IMPORTE NETO]:[EXENTO]])</f>
        <v>0</v>
      </c>
      <c r="M308" s="182"/>
    </row>
    <row r="309" spans="2:13" x14ac:dyDescent="0.25">
      <c r="B309" s="194"/>
      <c r="C309" s="41"/>
      <c r="D309" s="196"/>
      <c r="E309" s="197"/>
      <c r="F309" s="198"/>
      <c r="G309" s="199" t="str">
        <f>IFERROR(IF(ventas_b_mes4[[#This Row],[CUIT]]="","-",VLOOKUP(ventas_b_mes4[[#This Row],[CUIT]],Lista_CUIT[#All],2,0)),"CUIT NO CARGADO")</f>
        <v>-</v>
      </c>
      <c r="H309" s="200"/>
      <c r="I309" s="201">
        <f>ventas_b_mes4[[#This Row],[IMPORTE NETO]]*0.21</f>
        <v>0</v>
      </c>
      <c r="J309" s="202"/>
      <c r="K309" s="202"/>
      <c r="L309" s="202">
        <f>SUM(ventas_b_mes4[[#This Row],[IMPORTE NETO]:[EXENTO]])</f>
        <v>0</v>
      </c>
      <c r="M309" s="182"/>
    </row>
    <row r="310" spans="2:13" x14ac:dyDescent="0.25">
      <c r="B310" s="194"/>
      <c r="C310" s="41"/>
      <c r="D310" s="196"/>
      <c r="E310" s="197"/>
      <c r="F310" s="198"/>
      <c r="G310" s="199" t="str">
        <f>IFERROR(IF(ventas_b_mes4[[#This Row],[CUIT]]="","-",VLOOKUP(ventas_b_mes4[[#This Row],[CUIT]],Lista_CUIT[#All],2,0)),"CUIT NO CARGADO")</f>
        <v>-</v>
      </c>
      <c r="H310" s="200"/>
      <c r="I310" s="201">
        <f>ventas_b_mes4[[#This Row],[IMPORTE NETO]]*0.21</f>
        <v>0</v>
      </c>
      <c r="J310" s="202"/>
      <c r="K310" s="202"/>
      <c r="L310" s="202">
        <f>SUM(ventas_b_mes4[[#This Row],[IMPORTE NETO]:[EXENTO]])</f>
        <v>0</v>
      </c>
      <c r="M310" s="182"/>
    </row>
    <row r="311" spans="2:13" x14ac:dyDescent="0.25">
      <c r="B311" s="194"/>
      <c r="C311" s="41"/>
      <c r="D311" s="196"/>
      <c r="E311" s="197"/>
      <c r="F311" s="198"/>
      <c r="G311" s="199" t="str">
        <f>IFERROR(IF(ventas_b_mes4[[#This Row],[CUIT]]="","-",VLOOKUP(ventas_b_mes4[[#This Row],[CUIT]],Lista_CUIT[#All],2,0)),"CUIT NO CARGADO")</f>
        <v>-</v>
      </c>
      <c r="H311" s="200"/>
      <c r="I311" s="201">
        <f>ventas_b_mes4[[#This Row],[IMPORTE NETO]]*0.21</f>
        <v>0</v>
      </c>
      <c r="J311" s="202"/>
      <c r="K311" s="202"/>
      <c r="L311" s="202">
        <f>SUM(ventas_b_mes4[[#This Row],[IMPORTE NETO]:[EXENTO]])</f>
        <v>0</v>
      </c>
      <c r="M311" s="182"/>
    </row>
    <row r="312" spans="2:13" x14ac:dyDescent="0.25">
      <c r="B312" s="194"/>
      <c r="C312" s="41"/>
      <c r="D312" s="196"/>
      <c r="E312" s="197"/>
      <c r="F312" s="198"/>
      <c r="G312" s="199" t="str">
        <f>IFERROR(IF(ventas_b_mes4[[#This Row],[CUIT]]="","-",VLOOKUP(ventas_b_mes4[[#This Row],[CUIT]],Lista_CUIT[#All],2,0)),"CUIT NO CARGADO")</f>
        <v>-</v>
      </c>
      <c r="H312" s="200"/>
      <c r="I312" s="201">
        <f>ventas_b_mes4[[#This Row],[IMPORTE NETO]]*0.21</f>
        <v>0</v>
      </c>
      <c r="J312" s="202"/>
      <c r="K312" s="202"/>
      <c r="L312" s="202">
        <f>SUM(ventas_b_mes4[[#This Row],[IMPORTE NETO]:[EXENTO]])</f>
        <v>0</v>
      </c>
      <c r="M312" s="182"/>
    </row>
    <row r="313" spans="2:13" x14ac:dyDescent="0.25">
      <c r="B313" s="194"/>
      <c r="C313" s="41"/>
      <c r="D313" s="196"/>
      <c r="E313" s="197"/>
      <c r="F313" s="198"/>
      <c r="G313" s="199" t="str">
        <f>IFERROR(IF(ventas_b_mes4[[#This Row],[CUIT]]="","-",VLOOKUP(ventas_b_mes4[[#This Row],[CUIT]],Lista_CUIT[#All],2,0)),"CUIT NO CARGADO")</f>
        <v>-</v>
      </c>
      <c r="H313" s="200"/>
      <c r="I313" s="201">
        <f>ventas_b_mes4[[#This Row],[IMPORTE NETO]]*0.21</f>
        <v>0</v>
      </c>
      <c r="J313" s="202"/>
      <c r="K313" s="202"/>
      <c r="L313" s="202">
        <f>SUM(ventas_b_mes4[[#This Row],[IMPORTE NETO]:[EXENTO]])</f>
        <v>0</v>
      </c>
      <c r="M313" s="182"/>
    </row>
    <row r="314" spans="2:13" x14ac:dyDescent="0.25">
      <c r="B314" s="194"/>
      <c r="C314" s="41"/>
      <c r="D314" s="196"/>
      <c r="E314" s="197"/>
      <c r="F314" s="198"/>
      <c r="G314" s="199" t="str">
        <f>IFERROR(IF(ventas_b_mes4[[#This Row],[CUIT]]="","-",VLOOKUP(ventas_b_mes4[[#This Row],[CUIT]],Lista_CUIT[#All],2,0)),"CUIT NO CARGADO")</f>
        <v>-</v>
      </c>
      <c r="H314" s="200"/>
      <c r="I314" s="201">
        <f>ventas_b_mes4[[#This Row],[IMPORTE NETO]]*0.21</f>
        <v>0</v>
      </c>
      <c r="J314" s="202"/>
      <c r="K314" s="202"/>
      <c r="L314" s="202">
        <f>SUM(ventas_b_mes4[[#This Row],[IMPORTE NETO]:[EXENTO]])</f>
        <v>0</v>
      </c>
      <c r="M314" s="182"/>
    </row>
    <row r="315" spans="2:13" x14ac:dyDescent="0.25">
      <c r="B315" s="194"/>
      <c r="C315" s="41"/>
      <c r="D315" s="196"/>
      <c r="E315" s="197"/>
      <c r="F315" s="198"/>
      <c r="G315" s="199" t="str">
        <f>IFERROR(IF(ventas_b_mes4[[#This Row],[CUIT]]="","-",VLOOKUP(ventas_b_mes4[[#This Row],[CUIT]],Lista_CUIT[#All],2,0)),"CUIT NO CARGADO")</f>
        <v>-</v>
      </c>
      <c r="H315" s="200"/>
      <c r="I315" s="201">
        <f>ventas_b_mes4[[#This Row],[IMPORTE NETO]]*0.21</f>
        <v>0</v>
      </c>
      <c r="J315" s="202"/>
      <c r="K315" s="202"/>
      <c r="L315" s="202">
        <f>SUM(ventas_b_mes4[[#This Row],[IMPORTE NETO]:[EXENTO]])</f>
        <v>0</v>
      </c>
      <c r="M315" s="182"/>
    </row>
    <row r="316" spans="2:13" x14ac:dyDescent="0.25">
      <c r="B316" s="194"/>
      <c r="C316" s="41"/>
      <c r="D316" s="196"/>
      <c r="E316" s="197"/>
      <c r="F316" s="198"/>
      <c r="G316" s="199" t="str">
        <f>IFERROR(IF(ventas_b_mes4[[#This Row],[CUIT]]="","-",VLOOKUP(ventas_b_mes4[[#This Row],[CUIT]],Lista_CUIT[#All],2,0)),"CUIT NO CARGADO")</f>
        <v>-</v>
      </c>
      <c r="H316" s="200"/>
      <c r="I316" s="201">
        <f>ventas_b_mes4[[#This Row],[IMPORTE NETO]]*0.21</f>
        <v>0</v>
      </c>
      <c r="J316" s="202"/>
      <c r="K316" s="202"/>
      <c r="L316" s="202">
        <f>SUM(ventas_b_mes4[[#This Row],[IMPORTE NETO]:[EXENTO]])</f>
        <v>0</v>
      </c>
      <c r="M316" s="182"/>
    </row>
    <row r="317" spans="2:13" x14ac:dyDescent="0.25">
      <c r="B317" s="194"/>
      <c r="C317" s="41"/>
      <c r="D317" s="196"/>
      <c r="E317" s="197"/>
      <c r="F317" s="198"/>
      <c r="G317" s="199" t="str">
        <f>IFERROR(IF(ventas_b_mes4[[#This Row],[CUIT]]="","-",VLOOKUP(ventas_b_mes4[[#This Row],[CUIT]],Lista_CUIT[#All],2,0)),"CUIT NO CARGADO")</f>
        <v>-</v>
      </c>
      <c r="H317" s="200"/>
      <c r="I317" s="201">
        <f>ventas_b_mes4[[#This Row],[IMPORTE NETO]]*0.21</f>
        <v>0</v>
      </c>
      <c r="J317" s="202"/>
      <c r="K317" s="202"/>
      <c r="L317" s="202">
        <f>SUM(ventas_b_mes4[[#This Row],[IMPORTE NETO]:[EXENTO]])</f>
        <v>0</v>
      </c>
      <c r="M317" s="182"/>
    </row>
    <row r="318" spans="2:13" x14ac:dyDescent="0.25">
      <c r="B318" s="194"/>
      <c r="C318" s="41"/>
      <c r="D318" s="196"/>
      <c r="E318" s="197"/>
      <c r="F318" s="198"/>
      <c r="G318" s="199" t="str">
        <f>IFERROR(IF(ventas_b_mes4[[#This Row],[CUIT]]="","-",VLOOKUP(ventas_b_mes4[[#This Row],[CUIT]],Lista_CUIT[#All],2,0)),"CUIT NO CARGADO")</f>
        <v>-</v>
      </c>
      <c r="H318" s="200"/>
      <c r="I318" s="201">
        <f>ventas_b_mes4[[#This Row],[IMPORTE NETO]]*0.21</f>
        <v>0</v>
      </c>
      <c r="J318" s="202"/>
      <c r="K318" s="202"/>
      <c r="L318" s="202">
        <f>SUM(ventas_b_mes4[[#This Row],[IMPORTE NETO]:[EXENTO]])</f>
        <v>0</v>
      </c>
      <c r="M318" s="182"/>
    </row>
    <row r="319" spans="2:13" x14ac:dyDescent="0.25">
      <c r="B319" s="194"/>
      <c r="C319" s="41"/>
      <c r="D319" s="196"/>
      <c r="E319" s="197"/>
      <c r="F319" s="198"/>
      <c r="G319" s="199" t="str">
        <f>IFERROR(IF(ventas_b_mes4[[#This Row],[CUIT]]="","-",VLOOKUP(ventas_b_mes4[[#This Row],[CUIT]],Lista_CUIT[#All],2,0)),"CUIT NO CARGADO")</f>
        <v>-</v>
      </c>
      <c r="H319" s="200"/>
      <c r="I319" s="201">
        <f>ventas_b_mes4[[#This Row],[IMPORTE NETO]]*0.21</f>
        <v>0</v>
      </c>
      <c r="J319" s="202"/>
      <c r="K319" s="202"/>
      <c r="L319" s="202">
        <f>SUM(ventas_b_mes4[[#This Row],[IMPORTE NETO]:[EXENTO]])</f>
        <v>0</v>
      </c>
      <c r="M319" s="182"/>
    </row>
    <row r="320" spans="2:13" x14ac:dyDescent="0.25">
      <c r="B320" s="194"/>
      <c r="C320" s="41"/>
      <c r="D320" s="196"/>
      <c r="E320" s="197"/>
      <c r="F320" s="198"/>
      <c r="G320" s="199" t="str">
        <f>IFERROR(IF(ventas_b_mes4[[#This Row],[CUIT]]="","-",VLOOKUP(ventas_b_mes4[[#This Row],[CUIT]],Lista_CUIT[#All],2,0)),"CUIT NO CARGADO")</f>
        <v>-</v>
      </c>
      <c r="H320" s="200"/>
      <c r="I320" s="201">
        <f>ventas_b_mes4[[#This Row],[IMPORTE NETO]]*0.21</f>
        <v>0</v>
      </c>
      <c r="J320" s="202"/>
      <c r="K320" s="202"/>
      <c r="L320" s="202">
        <f>SUM(ventas_b_mes4[[#This Row],[IMPORTE NETO]:[EXENTO]])</f>
        <v>0</v>
      </c>
      <c r="M320" s="182"/>
    </row>
    <row r="321" spans="2:13" x14ac:dyDescent="0.25">
      <c r="B321" s="194"/>
      <c r="C321" s="41"/>
      <c r="D321" s="196"/>
      <c r="E321" s="197"/>
      <c r="F321" s="198"/>
      <c r="G321" s="199" t="str">
        <f>IFERROR(IF(ventas_b_mes4[[#This Row],[CUIT]]="","-",VLOOKUP(ventas_b_mes4[[#This Row],[CUIT]],Lista_CUIT[#All],2,0)),"CUIT NO CARGADO")</f>
        <v>-</v>
      </c>
      <c r="H321" s="200"/>
      <c r="I321" s="201">
        <f>ventas_b_mes4[[#This Row],[IMPORTE NETO]]*0.21</f>
        <v>0</v>
      </c>
      <c r="J321" s="202"/>
      <c r="K321" s="202"/>
      <c r="L321" s="202">
        <f>SUM(ventas_b_mes4[[#This Row],[IMPORTE NETO]:[EXENTO]])</f>
        <v>0</v>
      </c>
      <c r="M321" s="182"/>
    </row>
    <row r="322" spans="2:13" x14ac:dyDescent="0.25">
      <c r="B322" s="194"/>
      <c r="C322" s="41"/>
      <c r="D322" s="196"/>
      <c r="E322" s="197"/>
      <c r="F322" s="198"/>
      <c r="G322" s="199" t="str">
        <f>IFERROR(IF(ventas_b_mes4[[#This Row],[CUIT]]="","-",VLOOKUP(ventas_b_mes4[[#This Row],[CUIT]],Lista_CUIT[#All],2,0)),"CUIT NO CARGADO")</f>
        <v>-</v>
      </c>
      <c r="H322" s="200"/>
      <c r="I322" s="201">
        <f>ventas_b_mes4[[#This Row],[IMPORTE NETO]]*0.21</f>
        <v>0</v>
      </c>
      <c r="J322" s="202"/>
      <c r="K322" s="202"/>
      <c r="L322" s="202">
        <f>SUM(ventas_b_mes4[[#This Row],[IMPORTE NETO]:[EXENTO]])</f>
        <v>0</v>
      </c>
      <c r="M322" s="182"/>
    </row>
    <row r="323" spans="2:13" x14ac:dyDescent="0.25">
      <c r="B323" s="194"/>
      <c r="C323" s="41"/>
      <c r="D323" s="196"/>
      <c r="E323" s="197"/>
      <c r="F323" s="198"/>
      <c r="G323" s="199" t="str">
        <f>IFERROR(IF(ventas_b_mes4[[#This Row],[CUIT]]="","-",VLOOKUP(ventas_b_mes4[[#This Row],[CUIT]],Lista_CUIT[#All],2,0)),"CUIT NO CARGADO")</f>
        <v>-</v>
      </c>
      <c r="H323" s="200"/>
      <c r="I323" s="201">
        <f>ventas_b_mes4[[#This Row],[IMPORTE NETO]]*0.21</f>
        <v>0</v>
      </c>
      <c r="J323" s="202"/>
      <c r="K323" s="202"/>
      <c r="L323" s="202">
        <f>SUM(ventas_b_mes4[[#This Row],[IMPORTE NETO]:[EXENTO]])</f>
        <v>0</v>
      </c>
      <c r="M323" s="182"/>
    </row>
    <row r="324" spans="2:13" x14ac:dyDescent="0.25">
      <c r="B324" s="194"/>
      <c r="C324" s="41"/>
      <c r="D324" s="196"/>
      <c r="E324" s="197"/>
      <c r="F324" s="198"/>
      <c r="G324" s="199" t="str">
        <f>IFERROR(IF(ventas_b_mes4[[#This Row],[CUIT]]="","-",VLOOKUP(ventas_b_mes4[[#This Row],[CUIT]],Lista_CUIT[#All],2,0)),"CUIT NO CARGADO")</f>
        <v>-</v>
      </c>
      <c r="H324" s="200"/>
      <c r="I324" s="201">
        <f>ventas_b_mes4[[#This Row],[IMPORTE NETO]]*0.21</f>
        <v>0</v>
      </c>
      <c r="J324" s="202"/>
      <c r="K324" s="202"/>
      <c r="L324" s="202">
        <f>SUM(ventas_b_mes4[[#This Row],[IMPORTE NETO]:[EXENTO]])</f>
        <v>0</v>
      </c>
      <c r="M324" s="182"/>
    </row>
    <row r="325" spans="2:13" x14ac:dyDescent="0.25">
      <c r="B325" s="194"/>
      <c r="C325" s="41"/>
      <c r="D325" s="196"/>
      <c r="E325" s="197"/>
      <c r="F325" s="198"/>
      <c r="G325" s="199" t="str">
        <f>IFERROR(IF(ventas_b_mes4[[#This Row],[CUIT]]="","-",VLOOKUP(ventas_b_mes4[[#This Row],[CUIT]],Lista_CUIT[#All],2,0)),"CUIT NO CARGADO")</f>
        <v>-</v>
      </c>
      <c r="H325" s="200"/>
      <c r="I325" s="201">
        <f>ventas_b_mes4[[#This Row],[IMPORTE NETO]]*0.21</f>
        <v>0</v>
      </c>
      <c r="J325" s="202"/>
      <c r="K325" s="202"/>
      <c r="L325" s="202">
        <f>SUM(ventas_b_mes4[[#This Row],[IMPORTE NETO]:[EXENTO]])</f>
        <v>0</v>
      </c>
      <c r="M325" s="182"/>
    </row>
    <row r="326" spans="2:13" x14ac:dyDescent="0.25">
      <c r="B326" s="194"/>
      <c r="C326" s="41"/>
      <c r="D326" s="196"/>
      <c r="E326" s="197"/>
      <c r="F326" s="198"/>
      <c r="G326" s="199" t="str">
        <f>IFERROR(IF(ventas_b_mes4[[#This Row],[CUIT]]="","-",VLOOKUP(ventas_b_mes4[[#This Row],[CUIT]],Lista_CUIT[#All],2,0)),"CUIT NO CARGADO")</f>
        <v>-</v>
      </c>
      <c r="H326" s="200"/>
      <c r="I326" s="201">
        <f>ventas_b_mes4[[#This Row],[IMPORTE NETO]]*0.21</f>
        <v>0</v>
      </c>
      <c r="J326" s="202"/>
      <c r="K326" s="202"/>
      <c r="L326" s="202">
        <f>SUM(ventas_b_mes4[[#This Row],[IMPORTE NETO]:[EXENTO]])</f>
        <v>0</v>
      </c>
      <c r="M326" s="182"/>
    </row>
    <row r="327" spans="2:13" x14ac:dyDescent="0.25">
      <c r="B327" s="194"/>
      <c r="C327" s="41"/>
      <c r="D327" s="196"/>
      <c r="E327" s="197"/>
      <c r="F327" s="198"/>
      <c r="G327" s="199" t="str">
        <f>IFERROR(IF(ventas_b_mes4[[#This Row],[CUIT]]="","-",VLOOKUP(ventas_b_mes4[[#This Row],[CUIT]],Lista_CUIT[#All],2,0)),"CUIT NO CARGADO")</f>
        <v>-</v>
      </c>
      <c r="H327" s="200"/>
      <c r="I327" s="201">
        <f>ventas_b_mes4[[#This Row],[IMPORTE NETO]]*0.21</f>
        <v>0</v>
      </c>
      <c r="J327" s="202"/>
      <c r="K327" s="202"/>
      <c r="L327" s="202">
        <f>SUM(ventas_b_mes4[[#This Row],[IMPORTE NETO]:[EXENTO]])</f>
        <v>0</v>
      </c>
      <c r="M327" s="182"/>
    </row>
    <row r="328" spans="2:13" x14ac:dyDescent="0.25">
      <c r="B328" s="194"/>
      <c r="C328" s="41"/>
      <c r="D328" s="196"/>
      <c r="E328" s="197"/>
      <c r="F328" s="198"/>
      <c r="G328" s="199" t="str">
        <f>IFERROR(IF(ventas_b_mes4[[#This Row],[CUIT]]="","-",VLOOKUP(ventas_b_mes4[[#This Row],[CUIT]],Lista_CUIT[#All],2,0)),"CUIT NO CARGADO")</f>
        <v>-</v>
      </c>
      <c r="H328" s="200"/>
      <c r="I328" s="201">
        <f>ventas_b_mes4[[#This Row],[IMPORTE NETO]]*0.21</f>
        <v>0</v>
      </c>
      <c r="J328" s="202"/>
      <c r="K328" s="202"/>
      <c r="L328" s="202">
        <f>SUM(ventas_b_mes4[[#This Row],[IMPORTE NETO]:[EXENTO]])</f>
        <v>0</v>
      </c>
      <c r="M328" s="182"/>
    </row>
    <row r="329" spans="2:13" x14ac:dyDescent="0.25">
      <c r="B329" s="194"/>
      <c r="C329" s="41"/>
      <c r="D329" s="196"/>
      <c r="E329" s="197"/>
      <c r="F329" s="198"/>
      <c r="G329" s="199" t="str">
        <f>IFERROR(IF(ventas_b_mes4[[#This Row],[CUIT]]="","-",VLOOKUP(ventas_b_mes4[[#This Row],[CUIT]],Lista_CUIT[#All],2,0)),"CUIT NO CARGADO")</f>
        <v>-</v>
      </c>
      <c r="H329" s="200"/>
      <c r="I329" s="201">
        <f>ventas_b_mes4[[#This Row],[IMPORTE NETO]]*0.21</f>
        <v>0</v>
      </c>
      <c r="J329" s="202"/>
      <c r="K329" s="202"/>
      <c r="L329" s="202">
        <f>SUM(ventas_b_mes4[[#This Row],[IMPORTE NETO]:[EXENTO]])</f>
        <v>0</v>
      </c>
      <c r="M329" s="182"/>
    </row>
    <row r="330" spans="2:13" x14ac:dyDescent="0.25">
      <c r="B330" s="194"/>
      <c r="C330" s="41"/>
      <c r="D330" s="196"/>
      <c r="E330" s="197"/>
      <c r="F330" s="198"/>
      <c r="G330" s="199" t="str">
        <f>IFERROR(IF(ventas_b_mes4[[#This Row],[CUIT]]="","-",VLOOKUP(ventas_b_mes4[[#This Row],[CUIT]],Lista_CUIT[#All],2,0)),"CUIT NO CARGADO")</f>
        <v>-</v>
      </c>
      <c r="H330" s="200"/>
      <c r="I330" s="201">
        <f>ventas_b_mes4[[#This Row],[IMPORTE NETO]]*0.21</f>
        <v>0</v>
      </c>
      <c r="J330" s="202"/>
      <c r="K330" s="202"/>
      <c r="L330" s="202">
        <f>SUM(ventas_b_mes4[[#This Row],[IMPORTE NETO]:[EXENTO]])</f>
        <v>0</v>
      </c>
      <c r="M330" s="182"/>
    </row>
    <row r="331" spans="2:13" x14ac:dyDescent="0.25">
      <c r="B331" s="194"/>
      <c r="C331" s="41"/>
      <c r="D331" s="196"/>
      <c r="E331" s="197"/>
      <c r="F331" s="198"/>
      <c r="G331" s="199" t="str">
        <f>IFERROR(IF(ventas_b_mes4[[#This Row],[CUIT]]="","-",VLOOKUP(ventas_b_mes4[[#This Row],[CUIT]],Lista_CUIT[#All],2,0)),"CUIT NO CARGADO")</f>
        <v>-</v>
      </c>
      <c r="H331" s="200"/>
      <c r="I331" s="201">
        <f>ventas_b_mes4[[#This Row],[IMPORTE NETO]]*0.21</f>
        <v>0</v>
      </c>
      <c r="J331" s="202"/>
      <c r="K331" s="202"/>
      <c r="L331" s="202">
        <f>SUM(ventas_b_mes4[[#This Row],[IMPORTE NETO]:[EXENTO]])</f>
        <v>0</v>
      </c>
      <c r="M331" s="182"/>
    </row>
    <row r="332" spans="2:13" x14ac:dyDescent="0.25">
      <c r="B332" s="194"/>
      <c r="C332" s="41"/>
      <c r="D332" s="196"/>
      <c r="E332" s="197"/>
      <c r="F332" s="198"/>
      <c r="G332" s="199" t="str">
        <f>IFERROR(IF(ventas_b_mes4[[#This Row],[CUIT]]="","-",VLOOKUP(ventas_b_mes4[[#This Row],[CUIT]],Lista_CUIT[#All],2,0)),"CUIT NO CARGADO")</f>
        <v>-</v>
      </c>
      <c r="H332" s="200"/>
      <c r="I332" s="201">
        <f>ventas_b_mes4[[#This Row],[IMPORTE NETO]]*0.21</f>
        <v>0</v>
      </c>
      <c r="J332" s="202"/>
      <c r="K332" s="202"/>
      <c r="L332" s="202">
        <f>SUM(ventas_b_mes4[[#This Row],[IMPORTE NETO]:[EXENTO]])</f>
        <v>0</v>
      </c>
      <c r="M332" s="182"/>
    </row>
    <row r="333" spans="2:13" x14ac:dyDescent="0.25">
      <c r="B333" s="194"/>
      <c r="C333" s="41"/>
      <c r="D333" s="196"/>
      <c r="E333" s="197"/>
      <c r="F333" s="198"/>
      <c r="G333" s="199" t="str">
        <f>IFERROR(IF(ventas_b_mes4[[#This Row],[CUIT]]="","-",VLOOKUP(ventas_b_mes4[[#This Row],[CUIT]],Lista_CUIT[#All],2,0)),"CUIT NO CARGADO")</f>
        <v>-</v>
      </c>
      <c r="H333" s="200"/>
      <c r="I333" s="201">
        <f>ventas_b_mes4[[#This Row],[IMPORTE NETO]]*0.21</f>
        <v>0</v>
      </c>
      <c r="J333" s="202"/>
      <c r="K333" s="202"/>
      <c r="L333" s="202">
        <f>SUM(ventas_b_mes4[[#This Row],[IMPORTE NETO]:[EXENTO]])</f>
        <v>0</v>
      </c>
      <c r="M333" s="182"/>
    </row>
    <row r="334" spans="2:13" x14ac:dyDescent="0.25">
      <c r="B334" s="194"/>
      <c r="C334" s="41"/>
      <c r="D334" s="196"/>
      <c r="E334" s="197"/>
      <c r="F334" s="198"/>
      <c r="G334" s="199" t="str">
        <f>IFERROR(IF(ventas_b_mes4[[#This Row],[CUIT]]="","-",VLOOKUP(ventas_b_mes4[[#This Row],[CUIT]],Lista_CUIT[#All],2,0)),"CUIT NO CARGADO")</f>
        <v>-</v>
      </c>
      <c r="H334" s="200"/>
      <c r="I334" s="201">
        <f>ventas_b_mes4[[#This Row],[IMPORTE NETO]]*0.21</f>
        <v>0</v>
      </c>
      <c r="J334" s="202"/>
      <c r="K334" s="202"/>
      <c r="L334" s="202">
        <f>SUM(ventas_b_mes4[[#This Row],[IMPORTE NETO]:[EXENTO]])</f>
        <v>0</v>
      </c>
      <c r="M334" s="182"/>
    </row>
    <row r="335" spans="2:13" x14ac:dyDescent="0.25">
      <c r="B335" s="194"/>
      <c r="C335" s="41"/>
      <c r="D335" s="196"/>
      <c r="E335" s="197"/>
      <c r="F335" s="198"/>
      <c r="G335" s="199" t="str">
        <f>IFERROR(IF(ventas_b_mes4[[#This Row],[CUIT]]="","-",VLOOKUP(ventas_b_mes4[[#This Row],[CUIT]],Lista_CUIT[#All],2,0)),"CUIT NO CARGADO")</f>
        <v>-</v>
      </c>
      <c r="H335" s="200"/>
      <c r="I335" s="201">
        <f>ventas_b_mes4[[#This Row],[IMPORTE NETO]]*0.21</f>
        <v>0</v>
      </c>
      <c r="J335" s="202"/>
      <c r="K335" s="202"/>
      <c r="L335" s="202">
        <f>SUM(ventas_b_mes4[[#This Row],[IMPORTE NETO]:[EXENTO]])</f>
        <v>0</v>
      </c>
      <c r="M335" s="182"/>
    </row>
    <row r="336" spans="2:13" x14ac:dyDescent="0.25">
      <c r="B336" s="194"/>
      <c r="C336" s="41"/>
      <c r="D336" s="196"/>
      <c r="E336" s="197"/>
      <c r="F336" s="198"/>
      <c r="G336" s="199" t="str">
        <f>IFERROR(IF(ventas_b_mes4[[#This Row],[CUIT]]="","-",VLOOKUP(ventas_b_mes4[[#This Row],[CUIT]],Lista_CUIT[#All],2,0)),"CUIT NO CARGADO")</f>
        <v>-</v>
      </c>
      <c r="H336" s="200"/>
      <c r="I336" s="201">
        <f>ventas_b_mes4[[#This Row],[IMPORTE NETO]]*0.21</f>
        <v>0</v>
      </c>
      <c r="J336" s="202"/>
      <c r="K336" s="202"/>
      <c r="L336" s="202">
        <f>SUM(ventas_b_mes4[[#This Row],[IMPORTE NETO]:[EXENTO]])</f>
        <v>0</v>
      </c>
      <c r="M336" s="182"/>
    </row>
    <row r="337" spans="2:13" x14ac:dyDescent="0.25">
      <c r="B337" s="194"/>
      <c r="C337" s="41"/>
      <c r="D337" s="196"/>
      <c r="E337" s="197"/>
      <c r="F337" s="198"/>
      <c r="G337" s="199" t="str">
        <f>IFERROR(IF(ventas_b_mes4[[#This Row],[CUIT]]="","-",VLOOKUP(ventas_b_mes4[[#This Row],[CUIT]],Lista_CUIT[#All],2,0)),"CUIT NO CARGADO")</f>
        <v>-</v>
      </c>
      <c r="H337" s="200"/>
      <c r="I337" s="201">
        <f>ventas_b_mes4[[#This Row],[IMPORTE NETO]]*0.21</f>
        <v>0</v>
      </c>
      <c r="J337" s="202"/>
      <c r="K337" s="202"/>
      <c r="L337" s="202">
        <f>SUM(ventas_b_mes4[[#This Row],[IMPORTE NETO]:[EXENTO]])</f>
        <v>0</v>
      </c>
      <c r="M337" s="182"/>
    </row>
    <row r="338" spans="2:13" x14ac:dyDescent="0.25">
      <c r="B338" s="194"/>
      <c r="C338" s="41"/>
      <c r="D338" s="196"/>
      <c r="E338" s="197"/>
      <c r="F338" s="198"/>
      <c r="G338" s="199" t="str">
        <f>IFERROR(IF(ventas_b_mes4[[#This Row],[CUIT]]="","-",VLOOKUP(ventas_b_mes4[[#This Row],[CUIT]],Lista_CUIT[#All],2,0)),"CUIT NO CARGADO")</f>
        <v>-</v>
      </c>
      <c r="H338" s="200"/>
      <c r="I338" s="201">
        <f>ventas_b_mes4[[#This Row],[IMPORTE NETO]]*0.21</f>
        <v>0</v>
      </c>
      <c r="J338" s="202"/>
      <c r="K338" s="202"/>
      <c r="L338" s="202">
        <f>SUM(ventas_b_mes4[[#This Row],[IMPORTE NETO]:[EXENTO]])</f>
        <v>0</v>
      </c>
      <c r="M338" s="182"/>
    </row>
    <row r="339" spans="2:13" x14ac:dyDescent="0.25">
      <c r="B339" s="194"/>
      <c r="C339" s="41"/>
      <c r="D339" s="196"/>
      <c r="E339" s="197"/>
      <c r="F339" s="198"/>
      <c r="G339" s="199" t="str">
        <f>IFERROR(IF(ventas_b_mes4[[#This Row],[CUIT]]="","-",VLOOKUP(ventas_b_mes4[[#This Row],[CUIT]],Lista_CUIT[#All],2,0)),"CUIT NO CARGADO")</f>
        <v>-</v>
      </c>
      <c r="H339" s="200"/>
      <c r="I339" s="201">
        <f>ventas_b_mes4[[#This Row],[IMPORTE NETO]]*0.21</f>
        <v>0</v>
      </c>
      <c r="J339" s="202"/>
      <c r="K339" s="202"/>
      <c r="L339" s="202">
        <f>SUM(ventas_b_mes4[[#This Row],[IMPORTE NETO]:[EXENTO]])</f>
        <v>0</v>
      </c>
      <c r="M339" s="182"/>
    </row>
    <row r="340" spans="2:13" x14ac:dyDescent="0.25">
      <c r="B340" s="194"/>
      <c r="C340" s="41"/>
      <c r="D340" s="196"/>
      <c r="E340" s="197"/>
      <c r="F340" s="198"/>
      <c r="G340" s="199" t="str">
        <f>IFERROR(IF(ventas_b_mes4[[#This Row],[CUIT]]="","-",VLOOKUP(ventas_b_mes4[[#This Row],[CUIT]],Lista_CUIT[#All],2,0)),"CUIT NO CARGADO")</f>
        <v>-</v>
      </c>
      <c r="H340" s="200"/>
      <c r="I340" s="201">
        <f>ventas_b_mes4[[#This Row],[IMPORTE NETO]]*0.21</f>
        <v>0</v>
      </c>
      <c r="J340" s="202"/>
      <c r="K340" s="202"/>
      <c r="L340" s="202">
        <f>SUM(ventas_b_mes4[[#This Row],[IMPORTE NETO]:[EXENTO]])</f>
        <v>0</v>
      </c>
      <c r="M340" s="182"/>
    </row>
    <row r="341" spans="2:13" x14ac:dyDescent="0.25">
      <c r="B341" s="194"/>
      <c r="C341" s="41"/>
      <c r="D341" s="196"/>
      <c r="E341" s="197"/>
      <c r="F341" s="198"/>
      <c r="G341" s="199" t="str">
        <f>IFERROR(IF(ventas_b_mes4[[#This Row],[CUIT]]="","-",VLOOKUP(ventas_b_mes4[[#This Row],[CUIT]],Lista_CUIT[#All],2,0)),"CUIT NO CARGADO")</f>
        <v>-</v>
      </c>
      <c r="H341" s="200"/>
      <c r="I341" s="201">
        <f>ventas_b_mes4[[#This Row],[IMPORTE NETO]]*0.21</f>
        <v>0</v>
      </c>
      <c r="J341" s="202"/>
      <c r="K341" s="202"/>
      <c r="L341" s="202">
        <f>SUM(ventas_b_mes4[[#This Row],[IMPORTE NETO]:[EXENTO]])</f>
        <v>0</v>
      </c>
      <c r="M341" s="182"/>
    </row>
    <row r="342" spans="2:13" x14ac:dyDescent="0.25">
      <c r="B342" s="194"/>
      <c r="C342" s="41"/>
      <c r="D342" s="196"/>
      <c r="E342" s="197"/>
      <c r="F342" s="198"/>
      <c r="G342" s="199" t="str">
        <f>IFERROR(IF(ventas_b_mes4[[#This Row],[CUIT]]="","-",VLOOKUP(ventas_b_mes4[[#This Row],[CUIT]],Lista_CUIT[#All],2,0)),"CUIT NO CARGADO")</f>
        <v>-</v>
      </c>
      <c r="H342" s="200"/>
      <c r="I342" s="201">
        <f>ventas_b_mes4[[#This Row],[IMPORTE NETO]]*0.21</f>
        <v>0</v>
      </c>
      <c r="J342" s="202"/>
      <c r="K342" s="202"/>
      <c r="L342" s="202">
        <f>SUM(ventas_b_mes4[[#This Row],[IMPORTE NETO]:[EXENTO]])</f>
        <v>0</v>
      </c>
      <c r="M342" s="182"/>
    </row>
    <row r="343" spans="2:13" x14ac:dyDescent="0.25">
      <c r="B343" s="194"/>
      <c r="C343" s="41"/>
      <c r="D343" s="196"/>
      <c r="E343" s="197"/>
      <c r="F343" s="198"/>
      <c r="G343" s="199" t="str">
        <f>IFERROR(IF(ventas_b_mes4[[#This Row],[CUIT]]="","-",VLOOKUP(ventas_b_mes4[[#This Row],[CUIT]],Lista_CUIT[#All],2,0)),"CUIT NO CARGADO")</f>
        <v>-</v>
      </c>
      <c r="H343" s="200"/>
      <c r="I343" s="201">
        <f>ventas_b_mes4[[#This Row],[IMPORTE NETO]]*0.21</f>
        <v>0</v>
      </c>
      <c r="J343" s="202"/>
      <c r="K343" s="202"/>
      <c r="L343" s="202">
        <f>SUM(ventas_b_mes4[[#This Row],[IMPORTE NETO]:[EXENTO]])</f>
        <v>0</v>
      </c>
      <c r="M343" s="182"/>
    </row>
    <row r="344" spans="2:13" x14ac:dyDescent="0.25">
      <c r="B344" s="194"/>
      <c r="C344" s="41"/>
      <c r="D344" s="196"/>
      <c r="E344" s="197"/>
      <c r="F344" s="198"/>
      <c r="G344" s="199" t="str">
        <f>IFERROR(IF(ventas_b_mes4[[#This Row],[CUIT]]="","-",VLOOKUP(ventas_b_mes4[[#This Row],[CUIT]],Lista_CUIT[#All],2,0)),"CUIT NO CARGADO")</f>
        <v>-</v>
      </c>
      <c r="H344" s="200"/>
      <c r="I344" s="201">
        <f>ventas_b_mes4[[#This Row],[IMPORTE NETO]]*0.21</f>
        <v>0</v>
      </c>
      <c r="J344" s="202"/>
      <c r="K344" s="202"/>
      <c r="L344" s="202">
        <f>SUM(ventas_b_mes4[[#This Row],[IMPORTE NETO]:[EXENTO]])</f>
        <v>0</v>
      </c>
      <c r="M344" s="182"/>
    </row>
    <row r="345" spans="2:13" x14ac:dyDescent="0.25">
      <c r="B345" s="194"/>
      <c r="C345" s="41"/>
      <c r="D345" s="196"/>
      <c r="E345" s="197"/>
      <c r="F345" s="198"/>
      <c r="G345" s="199" t="str">
        <f>IFERROR(IF(ventas_b_mes4[[#This Row],[CUIT]]="","-",VLOOKUP(ventas_b_mes4[[#This Row],[CUIT]],Lista_CUIT[#All],2,0)),"CUIT NO CARGADO")</f>
        <v>-</v>
      </c>
      <c r="H345" s="200"/>
      <c r="I345" s="201">
        <f>ventas_b_mes4[[#This Row],[IMPORTE NETO]]*0.21</f>
        <v>0</v>
      </c>
      <c r="J345" s="202"/>
      <c r="K345" s="202"/>
      <c r="L345" s="202">
        <f>SUM(ventas_b_mes4[[#This Row],[IMPORTE NETO]:[EXENTO]])</f>
        <v>0</v>
      </c>
      <c r="M345" s="182"/>
    </row>
    <row r="346" spans="2:13" x14ac:dyDescent="0.25">
      <c r="B346" s="194"/>
      <c r="C346" s="41"/>
      <c r="D346" s="196"/>
      <c r="E346" s="197"/>
      <c r="F346" s="198"/>
      <c r="G346" s="199" t="str">
        <f>IFERROR(IF(ventas_b_mes4[[#This Row],[CUIT]]="","-",VLOOKUP(ventas_b_mes4[[#This Row],[CUIT]],Lista_CUIT[#All],2,0)),"CUIT NO CARGADO")</f>
        <v>-</v>
      </c>
      <c r="H346" s="200"/>
      <c r="I346" s="201">
        <f>ventas_b_mes4[[#This Row],[IMPORTE NETO]]*0.21</f>
        <v>0</v>
      </c>
      <c r="J346" s="202"/>
      <c r="K346" s="202"/>
      <c r="L346" s="202">
        <f>SUM(ventas_b_mes4[[#This Row],[IMPORTE NETO]:[EXENTO]])</f>
        <v>0</v>
      </c>
      <c r="M346" s="182"/>
    </row>
    <row r="347" spans="2:13" x14ac:dyDescent="0.25">
      <c r="B347" s="194"/>
      <c r="C347" s="41"/>
      <c r="D347" s="196"/>
      <c r="E347" s="197"/>
      <c r="F347" s="198"/>
      <c r="G347" s="199" t="str">
        <f>IFERROR(IF(ventas_b_mes4[[#This Row],[CUIT]]="","-",VLOOKUP(ventas_b_mes4[[#This Row],[CUIT]],Lista_CUIT[#All],2,0)),"CUIT NO CARGADO")</f>
        <v>-</v>
      </c>
      <c r="H347" s="200"/>
      <c r="I347" s="201">
        <f>ventas_b_mes4[[#This Row],[IMPORTE NETO]]*0.21</f>
        <v>0</v>
      </c>
      <c r="J347" s="202"/>
      <c r="K347" s="202"/>
      <c r="L347" s="202">
        <f>SUM(ventas_b_mes4[[#This Row],[IMPORTE NETO]:[EXENTO]])</f>
        <v>0</v>
      </c>
      <c r="M347" s="182"/>
    </row>
    <row r="348" spans="2:13" x14ac:dyDescent="0.25">
      <c r="B348" s="194"/>
      <c r="C348" s="41"/>
      <c r="D348" s="196"/>
      <c r="E348" s="197"/>
      <c r="F348" s="198"/>
      <c r="G348" s="199" t="str">
        <f>IFERROR(IF(ventas_b_mes4[[#This Row],[CUIT]]="","-",VLOOKUP(ventas_b_mes4[[#This Row],[CUIT]],Lista_CUIT[#All],2,0)),"CUIT NO CARGADO")</f>
        <v>-</v>
      </c>
      <c r="H348" s="200"/>
      <c r="I348" s="201">
        <f>ventas_b_mes4[[#This Row],[IMPORTE NETO]]*0.21</f>
        <v>0</v>
      </c>
      <c r="J348" s="202"/>
      <c r="K348" s="202"/>
      <c r="L348" s="202">
        <f>SUM(ventas_b_mes4[[#This Row],[IMPORTE NETO]:[EXENTO]])</f>
        <v>0</v>
      </c>
      <c r="M348" s="182"/>
    </row>
    <row r="349" spans="2:13" x14ac:dyDescent="0.25">
      <c r="B349" s="194"/>
      <c r="C349" s="41"/>
      <c r="D349" s="196"/>
      <c r="E349" s="197"/>
      <c r="F349" s="198"/>
      <c r="G349" s="199" t="str">
        <f>IFERROR(IF(ventas_b_mes4[[#This Row],[CUIT]]="","-",VLOOKUP(ventas_b_mes4[[#This Row],[CUIT]],Lista_CUIT[#All],2,0)),"CUIT NO CARGADO")</f>
        <v>-</v>
      </c>
      <c r="H349" s="200"/>
      <c r="I349" s="201">
        <f>ventas_b_mes4[[#This Row],[IMPORTE NETO]]*0.21</f>
        <v>0</v>
      </c>
      <c r="J349" s="202"/>
      <c r="K349" s="202"/>
      <c r="L349" s="202">
        <f>SUM(ventas_b_mes4[[#This Row],[IMPORTE NETO]:[EXENTO]])</f>
        <v>0</v>
      </c>
      <c r="M349" s="182"/>
    </row>
    <row r="350" spans="2:13" x14ac:dyDescent="0.25">
      <c r="B350" s="194"/>
      <c r="C350" s="41"/>
      <c r="D350" s="196"/>
      <c r="E350" s="197"/>
      <c r="F350" s="198"/>
      <c r="G350" s="199" t="str">
        <f>IFERROR(IF(ventas_b_mes4[[#This Row],[CUIT]]="","-",VLOOKUP(ventas_b_mes4[[#This Row],[CUIT]],Lista_CUIT[#All],2,0)),"CUIT NO CARGADO")</f>
        <v>-</v>
      </c>
      <c r="H350" s="200"/>
      <c r="I350" s="201">
        <f>ventas_b_mes4[[#This Row],[IMPORTE NETO]]*0.21</f>
        <v>0</v>
      </c>
      <c r="J350" s="202"/>
      <c r="K350" s="202"/>
      <c r="L350" s="202">
        <f>SUM(ventas_b_mes4[[#This Row],[IMPORTE NETO]:[EXENTO]])</f>
        <v>0</v>
      </c>
      <c r="M350" s="182"/>
    </row>
    <row r="351" spans="2:13" x14ac:dyDescent="0.25">
      <c r="B351" s="194"/>
      <c r="C351" s="41"/>
      <c r="D351" s="196"/>
      <c r="E351" s="197"/>
      <c r="F351" s="198"/>
      <c r="G351" s="199" t="str">
        <f>IFERROR(IF(ventas_b_mes4[[#This Row],[CUIT]]="","-",VLOOKUP(ventas_b_mes4[[#This Row],[CUIT]],Lista_CUIT[#All],2,0)),"CUIT NO CARGADO")</f>
        <v>-</v>
      </c>
      <c r="H351" s="200"/>
      <c r="I351" s="201">
        <f>ventas_b_mes4[[#This Row],[IMPORTE NETO]]*0.21</f>
        <v>0</v>
      </c>
      <c r="J351" s="202"/>
      <c r="K351" s="202"/>
      <c r="L351" s="202">
        <f>SUM(ventas_b_mes4[[#This Row],[IMPORTE NETO]:[EXENTO]])</f>
        <v>0</v>
      </c>
      <c r="M351" s="182"/>
    </row>
    <row r="352" spans="2:13" x14ac:dyDescent="0.25">
      <c r="B352" s="194"/>
      <c r="C352" s="41"/>
      <c r="D352" s="196"/>
      <c r="E352" s="197"/>
      <c r="F352" s="198"/>
      <c r="G352" s="199" t="str">
        <f>IFERROR(IF(ventas_b_mes4[[#This Row],[CUIT]]="","-",VLOOKUP(ventas_b_mes4[[#This Row],[CUIT]],Lista_CUIT[#All],2,0)),"CUIT NO CARGADO")</f>
        <v>-</v>
      </c>
      <c r="H352" s="200"/>
      <c r="I352" s="201">
        <f>ventas_b_mes4[[#This Row],[IMPORTE NETO]]*0.21</f>
        <v>0</v>
      </c>
      <c r="J352" s="202"/>
      <c r="K352" s="202"/>
      <c r="L352" s="202">
        <f>SUM(ventas_b_mes4[[#This Row],[IMPORTE NETO]:[EXENTO]])</f>
        <v>0</v>
      </c>
      <c r="M352" s="182"/>
    </row>
    <row r="353" spans="2:13" x14ac:dyDescent="0.25">
      <c r="B353" s="194"/>
      <c r="C353" s="41"/>
      <c r="D353" s="196"/>
      <c r="E353" s="197"/>
      <c r="F353" s="198"/>
      <c r="G353" s="199" t="str">
        <f>IFERROR(IF(ventas_b_mes4[[#This Row],[CUIT]]="","-",VLOOKUP(ventas_b_mes4[[#This Row],[CUIT]],Lista_CUIT[#All],2,0)),"CUIT NO CARGADO")</f>
        <v>-</v>
      </c>
      <c r="H353" s="200"/>
      <c r="I353" s="201">
        <f>ventas_b_mes4[[#This Row],[IMPORTE NETO]]*0.21</f>
        <v>0</v>
      </c>
      <c r="J353" s="202"/>
      <c r="K353" s="202"/>
      <c r="L353" s="202">
        <f>SUM(ventas_b_mes4[[#This Row],[IMPORTE NETO]:[EXENTO]])</f>
        <v>0</v>
      </c>
      <c r="M353" s="182"/>
    </row>
    <row r="354" spans="2:13" x14ac:dyDescent="0.25">
      <c r="B354" s="194"/>
      <c r="C354" s="41"/>
      <c r="D354" s="196"/>
      <c r="E354" s="197"/>
      <c r="F354" s="198"/>
      <c r="G354" s="199" t="str">
        <f>IFERROR(IF(ventas_b_mes4[[#This Row],[CUIT]]="","-",VLOOKUP(ventas_b_mes4[[#This Row],[CUIT]],Lista_CUIT[#All],2,0)),"CUIT NO CARGADO")</f>
        <v>-</v>
      </c>
      <c r="H354" s="200"/>
      <c r="I354" s="201">
        <f>ventas_b_mes4[[#This Row],[IMPORTE NETO]]*0.21</f>
        <v>0</v>
      </c>
      <c r="J354" s="202"/>
      <c r="K354" s="202"/>
      <c r="L354" s="202">
        <f>SUM(ventas_b_mes4[[#This Row],[IMPORTE NETO]:[EXENTO]])</f>
        <v>0</v>
      </c>
      <c r="M354" s="182"/>
    </row>
    <row r="355" spans="2:13" x14ac:dyDescent="0.25">
      <c r="B355" s="194"/>
      <c r="C355" s="41"/>
      <c r="D355" s="196"/>
      <c r="E355" s="197"/>
      <c r="F355" s="198"/>
      <c r="G355" s="199" t="str">
        <f>IFERROR(IF(ventas_b_mes4[[#This Row],[CUIT]]="","-",VLOOKUP(ventas_b_mes4[[#This Row],[CUIT]],Lista_CUIT[#All],2,0)),"CUIT NO CARGADO")</f>
        <v>-</v>
      </c>
      <c r="H355" s="200"/>
      <c r="I355" s="201">
        <f>ventas_b_mes4[[#This Row],[IMPORTE NETO]]*0.21</f>
        <v>0</v>
      </c>
      <c r="J355" s="202"/>
      <c r="K355" s="202"/>
      <c r="L355" s="202">
        <f>SUM(ventas_b_mes4[[#This Row],[IMPORTE NETO]:[EXENTO]])</f>
        <v>0</v>
      </c>
      <c r="M355" s="182"/>
    </row>
    <row r="356" spans="2:13" x14ac:dyDescent="0.25">
      <c r="B356" s="194"/>
      <c r="C356" s="41"/>
      <c r="D356" s="196"/>
      <c r="E356" s="197"/>
      <c r="F356" s="198"/>
      <c r="G356" s="199" t="str">
        <f>IFERROR(IF(ventas_b_mes4[[#This Row],[CUIT]]="","-",VLOOKUP(ventas_b_mes4[[#This Row],[CUIT]],Lista_CUIT[#All],2,0)),"CUIT NO CARGADO")</f>
        <v>-</v>
      </c>
      <c r="H356" s="200"/>
      <c r="I356" s="201">
        <f>ventas_b_mes4[[#This Row],[IMPORTE NETO]]*0.21</f>
        <v>0</v>
      </c>
      <c r="J356" s="202"/>
      <c r="K356" s="202"/>
      <c r="L356" s="202">
        <f>SUM(ventas_b_mes4[[#This Row],[IMPORTE NETO]:[EXENTO]])</f>
        <v>0</v>
      </c>
      <c r="M356" s="182"/>
    </row>
    <row r="357" spans="2:13" x14ac:dyDescent="0.25">
      <c r="B357" s="194"/>
      <c r="C357" s="41"/>
      <c r="D357" s="196"/>
      <c r="E357" s="197"/>
      <c r="F357" s="198"/>
      <c r="G357" s="199" t="str">
        <f>IFERROR(IF(ventas_b_mes4[[#This Row],[CUIT]]="","-",VLOOKUP(ventas_b_mes4[[#This Row],[CUIT]],Lista_CUIT[#All],2,0)),"CUIT NO CARGADO")</f>
        <v>-</v>
      </c>
      <c r="H357" s="200"/>
      <c r="I357" s="201">
        <f>ventas_b_mes4[[#This Row],[IMPORTE NETO]]*0.21</f>
        <v>0</v>
      </c>
      <c r="J357" s="202"/>
      <c r="K357" s="202"/>
      <c r="L357" s="202">
        <f>SUM(ventas_b_mes4[[#This Row],[IMPORTE NETO]:[EXENTO]])</f>
        <v>0</v>
      </c>
      <c r="M357" s="182"/>
    </row>
    <row r="358" spans="2:13" x14ac:dyDescent="0.25">
      <c r="B358" s="194"/>
      <c r="C358" s="41"/>
      <c r="D358" s="196"/>
      <c r="E358" s="197"/>
      <c r="F358" s="198"/>
      <c r="G358" s="199" t="str">
        <f>IFERROR(IF(ventas_b_mes4[[#This Row],[CUIT]]="","-",VLOOKUP(ventas_b_mes4[[#This Row],[CUIT]],Lista_CUIT[#All],2,0)),"CUIT NO CARGADO")</f>
        <v>-</v>
      </c>
      <c r="H358" s="200"/>
      <c r="I358" s="201">
        <f>ventas_b_mes4[[#This Row],[IMPORTE NETO]]*0.21</f>
        <v>0</v>
      </c>
      <c r="J358" s="202"/>
      <c r="K358" s="202"/>
      <c r="L358" s="202">
        <f>SUM(ventas_b_mes4[[#This Row],[IMPORTE NETO]:[EXENTO]])</f>
        <v>0</v>
      </c>
      <c r="M358" s="182"/>
    </row>
    <row r="359" spans="2:13" x14ac:dyDescent="0.25">
      <c r="B359" s="194"/>
      <c r="C359" s="41"/>
      <c r="D359" s="196"/>
      <c r="E359" s="197"/>
      <c r="F359" s="198"/>
      <c r="G359" s="199" t="str">
        <f>IFERROR(IF(ventas_b_mes4[[#This Row],[CUIT]]="","-",VLOOKUP(ventas_b_mes4[[#This Row],[CUIT]],Lista_CUIT[#All],2,0)),"CUIT NO CARGADO")</f>
        <v>-</v>
      </c>
      <c r="H359" s="200"/>
      <c r="I359" s="201">
        <f>ventas_b_mes4[[#This Row],[IMPORTE NETO]]*0.21</f>
        <v>0</v>
      </c>
      <c r="J359" s="202"/>
      <c r="K359" s="202"/>
      <c r="L359" s="202">
        <f>SUM(ventas_b_mes4[[#This Row],[IMPORTE NETO]:[EXENTO]])</f>
        <v>0</v>
      </c>
      <c r="M359" s="182"/>
    </row>
    <row r="360" spans="2:13" x14ac:dyDescent="0.25">
      <c r="B360" s="194"/>
      <c r="C360" s="41"/>
      <c r="D360" s="196"/>
      <c r="E360" s="197"/>
      <c r="F360" s="198"/>
      <c r="G360" s="199" t="str">
        <f>IFERROR(IF(ventas_b_mes4[[#This Row],[CUIT]]="","-",VLOOKUP(ventas_b_mes4[[#This Row],[CUIT]],Lista_CUIT[#All],2,0)),"CUIT NO CARGADO")</f>
        <v>-</v>
      </c>
      <c r="H360" s="200"/>
      <c r="I360" s="201">
        <f>ventas_b_mes4[[#This Row],[IMPORTE NETO]]*0.21</f>
        <v>0</v>
      </c>
      <c r="J360" s="202"/>
      <c r="K360" s="202"/>
      <c r="L360" s="202">
        <f>SUM(ventas_b_mes4[[#This Row],[IMPORTE NETO]:[EXENTO]])</f>
        <v>0</v>
      </c>
      <c r="M360" s="182"/>
    </row>
    <row r="361" spans="2:13" x14ac:dyDescent="0.25">
      <c r="B361" s="194"/>
      <c r="C361" s="41"/>
      <c r="D361" s="196"/>
      <c r="E361" s="197"/>
      <c r="F361" s="198"/>
      <c r="G361" s="199" t="str">
        <f>IFERROR(IF(ventas_b_mes4[[#This Row],[CUIT]]="","-",VLOOKUP(ventas_b_mes4[[#This Row],[CUIT]],Lista_CUIT[#All],2,0)),"CUIT NO CARGADO")</f>
        <v>-</v>
      </c>
      <c r="H361" s="200"/>
      <c r="I361" s="201">
        <f>ventas_b_mes4[[#This Row],[IMPORTE NETO]]*0.21</f>
        <v>0</v>
      </c>
      <c r="J361" s="202"/>
      <c r="K361" s="202"/>
      <c r="L361" s="202">
        <f>SUM(ventas_b_mes4[[#This Row],[IMPORTE NETO]:[EXENTO]])</f>
        <v>0</v>
      </c>
      <c r="M361" s="182"/>
    </row>
    <row r="362" spans="2:13" x14ac:dyDescent="0.25">
      <c r="B362" s="194"/>
      <c r="C362" s="41"/>
      <c r="D362" s="196"/>
      <c r="E362" s="197"/>
      <c r="F362" s="198"/>
      <c r="G362" s="199" t="str">
        <f>IFERROR(IF(ventas_b_mes4[[#This Row],[CUIT]]="","-",VLOOKUP(ventas_b_mes4[[#This Row],[CUIT]],Lista_CUIT[#All],2,0)),"CUIT NO CARGADO")</f>
        <v>-</v>
      </c>
      <c r="H362" s="200"/>
      <c r="I362" s="201">
        <f>ventas_b_mes4[[#This Row],[IMPORTE NETO]]*0.21</f>
        <v>0</v>
      </c>
      <c r="J362" s="202"/>
      <c r="K362" s="202"/>
      <c r="L362" s="202">
        <f>SUM(ventas_b_mes4[[#This Row],[IMPORTE NETO]:[EXENTO]])</f>
        <v>0</v>
      </c>
      <c r="M362" s="182"/>
    </row>
    <row r="363" spans="2:13" x14ac:dyDescent="0.25">
      <c r="B363" s="194"/>
      <c r="C363" s="41"/>
      <c r="D363" s="196"/>
      <c r="E363" s="197"/>
      <c r="F363" s="198"/>
      <c r="G363" s="199" t="str">
        <f>IFERROR(IF(ventas_b_mes4[[#This Row],[CUIT]]="","-",VLOOKUP(ventas_b_mes4[[#This Row],[CUIT]],Lista_CUIT[#All],2,0)),"CUIT NO CARGADO")</f>
        <v>-</v>
      </c>
      <c r="H363" s="200"/>
      <c r="I363" s="201">
        <f>ventas_b_mes4[[#This Row],[IMPORTE NETO]]*0.21</f>
        <v>0</v>
      </c>
      <c r="J363" s="202"/>
      <c r="K363" s="202"/>
      <c r="L363" s="202">
        <f>SUM(ventas_b_mes4[[#This Row],[IMPORTE NETO]:[EXENTO]])</f>
        <v>0</v>
      </c>
      <c r="M363" s="182"/>
    </row>
    <row r="364" spans="2:13" x14ac:dyDescent="0.25">
      <c r="B364" s="194"/>
      <c r="C364" s="41"/>
      <c r="D364" s="196"/>
      <c r="E364" s="197"/>
      <c r="F364" s="198"/>
      <c r="G364" s="199" t="str">
        <f>IFERROR(IF(ventas_b_mes4[[#This Row],[CUIT]]="","-",VLOOKUP(ventas_b_mes4[[#This Row],[CUIT]],Lista_CUIT[#All],2,0)),"CUIT NO CARGADO")</f>
        <v>-</v>
      </c>
      <c r="H364" s="200"/>
      <c r="I364" s="201">
        <f>ventas_b_mes4[[#This Row],[IMPORTE NETO]]*0.21</f>
        <v>0</v>
      </c>
      <c r="J364" s="202"/>
      <c r="K364" s="202"/>
      <c r="L364" s="202">
        <f>SUM(ventas_b_mes4[[#This Row],[IMPORTE NETO]:[EXENTO]])</f>
        <v>0</v>
      </c>
      <c r="M364" s="182"/>
    </row>
    <row r="365" spans="2:13" x14ac:dyDescent="0.25">
      <c r="B365" s="194"/>
      <c r="C365" s="41"/>
      <c r="D365" s="196"/>
      <c r="E365" s="197"/>
      <c r="F365" s="198"/>
      <c r="G365" s="199" t="str">
        <f>IFERROR(IF(ventas_b_mes4[[#This Row],[CUIT]]="","-",VLOOKUP(ventas_b_mes4[[#This Row],[CUIT]],Lista_CUIT[#All],2,0)),"CUIT NO CARGADO")</f>
        <v>-</v>
      </c>
      <c r="H365" s="200"/>
      <c r="I365" s="201">
        <f>ventas_b_mes4[[#This Row],[IMPORTE NETO]]*0.21</f>
        <v>0</v>
      </c>
      <c r="J365" s="202"/>
      <c r="K365" s="202"/>
      <c r="L365" s="202">
        <f>SUM(ventas_b_mes4[[#This Row],[IMPORTE NETO]:[EXENTO]])</f>
        <v>0</v>
      </c>
      <c r="M365" s="182"/>
    </row>
    <row r="366" spans="2:13" x14ac:dyDescent="0.25">
      <c r="B366" s="194"/>
      <c r="C366" s="41"/>
      <c r="D366" s="196"/>
      <c r="E366" s="197"/>
      <c r="F366" s="198"/>
      <c r="G366" s="199" t="str">
        <f>IFERROR(IF(ventas_b_mes4[[#This Row],[CUIT]]="","-",VLOOKUP(ventas_b_mes4[[#This Row],[CUIT]],Lista_CUIT[#All],2,0)),"CUIT NO CARGADO")</f>
        <v>-</v>
      </c>
      <c r="H366" s="200"/>
      <c r="I366" s="201">
        <f>ventas_b_mes4[[#This Row],[IMPORTE NETO]]*0.21</f>
        <v>0</v>
      </c>
      <c r="J366" s="202"/>
      <c r="K366" s="202"/>
      <c r="L366" s="202">
        <f>SUM(ventas_b_mes4[[#This Row],[IMPORTE NETO]:[EXENTO]])</f>
        <v>0</v>
      </c>
      <c r="M366" s="182"/>
    </row>
    <row r="367" spans="2:13" x14ac:dyDescent="0.25">
      <c r="B367" s="194"/>
      <c r="C367" s="41"/>
      <c r="D367" s="196"/>
      <c r="E367" s="197"/>
      <c r="F367" s="198"/>
      <c r="G367" s="199" t="str">
        <f>IFERROR(IF(ventas_b_mes4[[#This Row],[CUIT]]="","-",VLOOKUP(ventas_b_mes4[[#This Row],[CUIT]],Lista_CUIT[#All],2,0)),"CUIT NO CARGADO")</f>
        <v>-</v>
      </c>
      <c r="H367" s="200"/>
      <c r="I367" s="201">
        <f>ventas_b_mes4[[#This Row],[IMPORTE NETO]]*0.21</f>
        <v>0</v>
      </c>
      <c r="J367" s="202"/>
      <c r="K367" s="202"/>
      <c r="L367" s="202">
        <f>SUM(ventas_b_mes4[[#This Row],[IMPORTE NETO]:[EXENTO]])</f>
        <v>0</v>
      </c>
      <c r="M367" s="182"/>
    </row>
    <row r="368" spans="2:13" x14ac:dyDescent="0.25">
      <c r="B368" s="194"/>
      <c r="C368" s="41"/>
      <c r="D368" s="196"/>
      <c r="E368" s="197"/>
      <c r="F368" s="198"/>
      <c r="G368" s="199" t="str">
        <f>IFERROR(IF(ventas_b_mes4[[#This Row],[CUIT]]="","-",VLOOKUP(ventas_b_mes4[[#This Row],[CUIT]],Lista_CUIT[#All],2,0)),"CUIT NO CARGADO")</f>
        <v>-</v>
      </c>
      <c r="H368" s="200"/>
      <c r="I368" s="201">
        <f>ventas_b_mes4[[#This Row],[IMPORTE NETO]]*0.21</f>
        <v>0</v>
      </c>
      <c r="J368" s="202"/>
      <c r="K368" s="202"/>
      <c r="L368" s="202">
        <f>SUM(ventas_b_mes4[[#This Row],[IMPORTE NETO]:[EXENTO]])</f>
        <v>0</v>
      </c>
      <c r="M368" s="182"/>
    </row>
    <row r="369" spans="2:13" x14ac:dyDescent="0.25">
      <c r="B369" s="194"/>
      <c r="C369" s="41"/>
      <c r="D369" s="196"/>
      <c r="E369" s="197"/>
      <c r="F369" s="198"/>
      <c r="G369" s="199" t="str">
        <f>IFERROR(IF(ventas_b_mes4[[#This Row],[CUIT]]="","-",VLOOKUP(ventas_b_mes4[[#This Row],[CUIT]],Lista_CUIT[#All],2,0)),"CUIT NO CARGADO")</f>
        <v>-</v>
      </c>
      <c r="H369" s="200"/>
      <c r="I369" s="201">
        <f>ventas_b_mes4[[#This Row],[IMPORTE NETO]]*0.21</f>
        <v>0</v>
      </c>
      <c r="J369" s="202"/>
      <c r="K369" s="202"/>
      <c r="L369" s="202">
        <f>SUM(ventas_b_mes4[[#This Row],[IMPORTE NETO]:[EXENTO]])</f>
        <v>0</v>
      </c>
      <c r="M369" s="182"/>
    </row>
    <row r="370" spans="2:13" x14ac:dyDescent="0.25">
      <c r="B370" s="194"/>
      <c r="C370" s="41"/>
      <c r="D370" s="196"/>
      <c r="E370" s="197"/>
      <c r="F370" s="198"/>
      <c r="G370" s="199" t="str">
        <f>IFERROR(IF(ventas_b_mes4[[#This Row],[CUIT]]="","-",VLOOKUP(ventas_b_mes4[[#This Row],[CUIT]],Lista_CUIT[#All],2,0)),"CUIT NO CARGADO")</f>
        <v>-</v>
      </c>
      <c r="H370" s="200"/>
      <c r="I370" s="201">
        <f>ventas_b_mes4[[#This Row],[IMPORTE NETO]]*0.21</f>
        <v>0</v>
      </c>
      <c r="J370" s="202"/>
      <c r="K370" s="202"/>
      <c r="L370" s="202">
        <f>SUM(ventas_b_mes4[[#This Row],[IMPORTE NETO]:[EXENTO]])</f>
        <v>0</v>
      </c>
      <c r="M370" s="182"/>
    </row>
    <row r="371" spans="2:13" x14ac:dyDescent="0.25">
      <c r="B371" s="194"/>
      <c r="C371" s="41"/>
      <c r="D371" s="196"/>
      <c r="E371" s="197"/>
      <c r="F371" s="198"/>
      <c r="G371" s="199" t="str">
        <f>IFERROR(IF(ventas_b_mes4[[#This Row],[CUIT]]="","-",VLOOKUP(ventas_b_mes4[[#This Row],[CUIT]],Lista_CUIT[#All],2,0)),"CUIT NO CARGADO")</f>
        <v>-</v>
      </c>
      <c r="H371" s="200"/>
      <c r="I371" s="201">
        <f>ventas_b_mes4[[#This Row],[IMPORTE NETO]]*0.21</f>
        <v>0</v>
      </c>
      <c r="J371" s="202"/>
      <c r="K371" s="202"/>
      <c r="L371" s="202">
        <f>SUM(ventas_b_mes4[[#This Row],[IMPORTE NETO]:[EXENTO]])</f>
        <v>0</v>
      </c>
      <c r="M371" s="182"/>
    </row>
    <row r="372" spans="2:13" x14ac:dyDescent="0.25">
      <c r="B372" s="194"/>
      <c r="C372" s="41"/>
      <c r="D372" s="196"/>
      <c r="E372" s="197"/>
      <c r="F372" s="198"/>
      <c r="G372" s="199" t="str">
        <f>IFERROR(IF(ventas_b_mes4[[#This Row],[CUIT]]="","-",VLOOKUP(ventas_b_mes4[[#This Row],[CUIT]],Lista_CUIT[#All],2,0)),"CUIT NO CARGADO")</f>
        <v>-</v>
      </c>
      <c r="H372" s="200"/>
      <c r="I372" s="201">
        <f>ventas_b_mes4[[#This Row],[IMPORTE NETO]]*0.21</f>
        <v>0</v>
      </c>
      <c r="J372" s="202"/>
      <c r="K372" s="202"/>
      <c r="L372" s="202">
        <f>SUM(ventas_b_mes4[[#This Row],[IMPORTE NETO]:[EXENTO]])</f>
        <v>0</v>
      </c>
      <c r="M372" s="182"/>
    </row>
    <row r="373" spans="2:13" x14ac:dyDescent="0.25">
      <c r="B373" s="194"/>
      <c r="C373" s="41"/>
      <c r="D373" s="196"/>
      <c r="E373" s="197"/>
      <c r="F373" s="198"/>
      <c r="G373" s="199" t="str">
        <f>IFERROR(IF(ventas_b_mes4[[#This Row],[CUIT]]="","-",VLOOKUP(ventas_b_mes4[[#This Row],[CUIT]],Lista_CUIT[#All],2,0)),"CUIT NO CARGADO")</f>
        <v>-</v>
      </c>
      <c r="H373" s="200"/>
      <c r="I373" s="201">
        <f>ventas_b_mes4[[#This Row],[IMPORTE NETO]]*0.21</f>
        <v>0</v>
      </c>
      <c r="J373" s="202"/>
      <c r="K373" s="202"/>
      <c r="L373" s="202">
        <f>SUM(ventas_b_mes4[[#This Row],[IMPORTE NETO]:[EXENTO]])</f>
        <v>0</v>
      </c>
      <c r="M373" s="182"/>
    </row>
    <row r="374" spans="2:13" x14ac:dyDescent="0.25">
      <c r="B374" s="194"/>
      <c r="C374" s="41"/>
      <c r="D374" s="196"/>
      <c r="E374" s="197"/>
      <c r="F374" s="198"/>
      <c r="G374" s="199" t="str">
        <f>IFERROR(IF(ventas_b_mes4[[#This Row],[CUIT]]="","-",VLOOKUP(ventas_b_mes4[[#This Row],[CUIT]],Lista_CUIT[#All],2,0)),"CUIT NO CARGADO")</f>
        <v>-</v>
      </c>
      <c r="H374" s="200"/>
      <c r="I374" s="201">
        <f>ventas_b_mes4[[#This Row],[IMPORTE NETO]]*0.21</f>
        <v>0</v>
      </c>
      <c r="J374" s="202"/>
      <c r="K374" s="202"/>
      <c r="L374" s="202">
        <f>SUM(ventas_b_mes4[[#This Row],[IMPORTE NETO]:[EXENTO]])</f>
        <v>0</v>
      </c>
      <c r="M374" s="182"/>
    </row>
    <row r="375" spans="2:13" x14ac:dyDescent="0.25">
      <c r="B375" s="194"/>
      <c r="C375" s="41"/>
      <c r="D375" s="196"/>
      <c r="E375" s="197"/>
      <c r="F375" s="198"/>
      <c r="G375" s="199" t="str">
        <f>IFERROR(IF(ventas_b_mes4[[#This Row],[CUIT]]="","-",VLOOKUP(ventas_b_mes4[[#This Row],[CUIT]],Lista_CUIT[#All],2,0)),"CUIT NO CARGADO")</f>
        <v>-</v>
      </c>
      <c r="H375" s="200"/>
      <c r="I375" s="201">
        <f>ventas_b_mes4[[#This Row],[IMPORTE NETO]]*0.21</f>
        <v>0</v>
      </c>
      <c r="J375" s="202"/>
      <c r="K375" s="202"/>
      <c r="L375" s="202">
        <f>SUM(ventas_b_mes4[[#This Row],[IMPORTE NETO]:[EXENTO]])</f>
        <v>0</v>
      </c>
      <c r="M375" s="182"/>
    </row>
    <row r="376" spans="2:13" x14ac:dyDescent="0.25">
      <c r="B376" s="194"/>
      <c r="C376" s="41"/>
      <c r="D376" s="196"/>
      <c r="E376" s="197"/>
      <c r="F376" s="198"/>
      <c r="G376" s="199" t="str">
        <f>IFERROR(IF(ventas_b_mes4[[#This Row],[CUIT]]="","-",VLOOKUP(ventas_b_mes4[[#This Row],[CUIT]],Lista_CUIT[#All],2,0)),"CUIT NO CARGADO")</f>
        <v>-</v>
      </c>
      <c r="H376" s="200"/>
      <c r="I376" s="201">
        <f>ventas_b_mes4[[#This Row],[IMPORTE NETO]]*0.21</f>
        <v>0</v>
      </c>
      <c r="J376" s="202"/>
      <c r="K376" s="202"/>
      <c r="L376" s="202">
        <f>SUM(ventas_b_mes4[[#This Row],[IMPORTE NETO]:[EXENTO]])</f>
        <v>0</v>
      </c>
      <c r="M376" s="182"/>
    </row>
    <row r="377" spans="2:13" x14ac:dyDescent="0.25">
      <c r="B377" s="194"/>
      <c r="C377" s="41"/>
      <c r="D377" s="196"/>
      <c r="E377" s="197"/>
      <c r="F377" s="198"/>
      <c r="G377" s="199" t="str">
        <f>IFERROR(IF(ventas_b_mes4[[#This Row],[CUIT]]="","-",VLOOKUP(ventas_b_mes4[[#This Row],[CUIT]],Lista_CUIT[#All],2,0)),"CUIT NO CARGADO")</f>
        <v>-</v>
      </c>
      <c r="H377" s="200"/>
      <c r="I377" s="201">
        <f>ventas_b_mes4[[#This Row],[IMPORTE NETO]]*0.21</f>
        <v>0</v>
      </c>
      <c r="J377" s="202"/>
      <c r="K377" s="202"/>
      <c r="L377" s="202">
        <f>SUM(ventas_b_mes4[[#This Row],[IMPORTE NETO]:[EXENTO]])</f>
        <v>0</v>
      </c>
      <c r="M377" s="182"/>
    </row>
    <row r="378" spans="2:13" x14ac:dyDescent="0.25">
      <c r="B378" s="194"/>
      <c r="C378" s="41"/>
      <c r="D378" s="196"/>
      <c r="E378" s="197"/>
      <c r="F378" s="198"/>
      <c r="G378" s="199" t="str">
        <f>IFERROR(IF(ventas_b_mes4[[#This Row],[CUIT]]="","-",VLOOKUP(ventas_b_mes4[[#This Row],[CUIT]],Lista_CUIT[#All],2,0)),"CUIT NO CARGADO")</f>
        <v>-</v>
      </c>
      <c r="H378" s="200"/>
      <c r="I378" s="201">
        <f>ventas_b_mes4[[#This Row],[IMPORTE NETO]]*0.21</f>
        <v>0</v>
      </c>
      <c r="J378" s="202"/>
      <c r="K378" s="202"/>
      <c r="L378" s="202">
        <f>SUM(ventas_b_mes4[[#This Row],[IMPORTE NETO]:[EXENTO]])</f>
        <v>0</v>
      </c>
      <c r="M378" s="182"/>
    </row>
    <row r="379" spans="2:13" x14ac:dyDescent="0.25">
      <c r="B379" s="194"/>
      <c r="C379" s="41"/>
      <c r="D379" s="196"/>
      <c r="E379" s="197"/>
      <c r="F379" s="198"/>
      <c r="G379" s="199" t="str">
        <f>IFERROR(IF(ventas_b_mes4[[#This Row],[CUIT]]="","-",VLOOKUP(ventas_b_mes4[[#This Row],[CUIT]],Lista_CUIT[#All],2,0)),"CUIT NO CARGADO")</f>
        <v>-</v>
      </c>
      <c r="H379" s="200"/>
      <c r="I379" s="201">
        <f>ventas_b_mes4[[#This Row],[IMPORTE NETO]]*0.21</f>
        <v>0</v>
      </c>
      <c r="J379" s="202"/>
      <c r="K379" s="202"/>
      <c r="L379" s="202">
        <f>SUM(ventas_b_mes4[[#This Row],[IMPORTE NETO]:[EXENTO]])</f>
        <v>0</v>
      </c>
      <c r="M379" s="182"/>
    </row>
    <row r="380" spans="2:13" x14ac:dyDescent="0.25">
      <c r="B380" s="194"/>
      <c r="C380" s="41"/>
      <c r="D380" s="196"/>
      <c r="E380" s="197"/>
      <c r="F380" s="198"/>
      <c r="G380" s="199" t="str">
        <f>IFERROR(IF(ventas_b_mes4[[#This Row],[CUIT]]="","-",VLOOKUP(ventas_b_mes4[[#This Row],[CUIT]],Lista_CUIT[#All],2,0)),"CUIT NO CARGADO")</f>
        <v>-</v>
      </c>
      <c r="H380" s="200"/>
      <c r="I380" s="201">
        <f>ventas_b_mes4[[#This Row],[IMPORTE NETO]]*0.21</f>
        <v>0</v>
      </c>
      <c r="J380" s="202"/>
      <c r="K380" s="202"/>
      <c r="L380" s="202">
        <f>SUM(ventas_b_mes4[[#This Row],[IMPORTE NETO]:[EXENTO]])</f>
        <v>0</v>
      </c>
      <c r="M380" s="182"/>
    </row>
    <row r="381" spans="2:13" x14ac:dyDescent="0.25">
      <c r="B381" s="194"/>
      <c r="C381" s="41"/>
      <c r="D381" s="196"/>
      <c r="E381" s="197"/>
      <c r="F381" s="198"/>
      <c r="G381" s="199" t="str">
        <f>IFERROR(IF(ventas_b_mes4[[#This Row],[CUIT]]="","-",VLOOKUP(ventas_b_mes4[[#This Row],[CUIT]],Lista_CUIT[#All],2,0)),"CUIT NO CARGADO")</f>
        <v>-</v>
      </c>
      <c r="H381" s="200"/>
      <c r="I381" s="201">
        <f>ventas_b_mes4[[#This Row],[IMPORTE NETO]]*0.21</f>
        <v>0</v>
      </c>
      <c r="J381" s="202"/>
      <c r="K381" s="202"/>
      <c r="L381" s="202">
        <f>SUM(ventas_b_mes4[[#This Row],[IMPORTE NETO]:[EXENTO]])</f>
        <v>0</v>
      </c>
      <c r="M381" s="182"/>
    </row>
    <row r="382" spans="2:13" x14ac:dyDescent="0.25">
      <c r="B382" s="194"/>
      <c r="C382" s="41"/>
      <c r="D382" s="196"/>
      <c r="E382" s="197"/>
      <c r="F382" s="198"/>
      <c r="G382" s="199" t="str">
        <f>IFERROR(IF(ventas_b_mes4[[#This Row],[CUIT]]="","-",VLOOKUP(ventas_b_mes4[[#This Row],[CUIT]],Lista_CUIT[#All],2,0)),"CUIT NO CARGADO")</f>
        <v>-</v>
      </c>
      <c r="H382" s="200"/>
      <c r="I382" s="201">
        <f>ventas_b_mes4[[#This Row],[IMPORTE NETO]]*0.21</f>
        <v>0</v>
      </c>
      <c r="J382" s="202"/>
      <c r="K382" s="202"/>
      <c r="L382" s="202">
        <f>SUM(ventas_b_mes4[[#This Row],[IMPORTE NETO]:[EXENTO]])</f>
        <v>0</v>
      </c>
      <c r="M382" s="182"/>
    </row>
    <row r="383" spans="2:13" x14ac:dyDescent="0.25">
      <c r="B383" s="194"/>
      <c r="C383" s="41"/>
      <c r="D383" s="196"/>
      <c r="E383" s="197"/>
      <c r="F383" s="198"/>
      <c r="G383" s="199" t="str">
        <f>IFERROR(IF(ventas_b_mes4[[#This Row],[CUIT]]="","-",VLOOKUP(ventas_b_mes4[[#This Row],[CUIT]],Lista_CUIT[#All],2,0)),"CUIT NO CARGADO")</f>
        <v>-</v>
      </c>
      <c r="H383" s="200"/>
      <c r="I383" s="201">
        <f>ventas_b_mes4[[#This Row],[IMPORTE NETO]]*0.21</f>
        <v>0</v>
      </c>
      <c r="J383" s="202"/>
      <c r="K383" s="202"/>
      <c r="L383" s="202">
        <f>SUM(ventas_b_mes4[[#This Row],[IMPORTE NETO]:[EXENTO]])</f>
        <v>0</v>
      </c>
      <c r="M383" s="182"/>
    </row>
    <row r="384" spans="2:13" x14ac:dyDescent="0.25">
      <c r="B384" s="194"/>
      <c r="C384" s="41"/>
      <c r="D384" s="196"/>
      <c r="E384" s="197"/>
      <c r="F384" s="198"/>
      <c r="G384" s="199" t="str">
        <f>IFERROR(IF(ventas_b_mes4[[#This Row],[CUIT]]="","-",VLOOKUP(ventas_b_mes4[[#This Row],[CUIT]],Lista_CUIT[#All],2,0)),"CUIT NO CARGADO")</f>
        <v>-</v>
      </c>
      <c r="H384" s="200"/>
      <c r="I384" s="201">
        <f>ventas_b_mes4[[#This Row],[IMPORTE NETO]]*0.21</f>
        <v>0</v>
      </c>
      <c r="J384" s="202"/>
      <c r="K384" s="202"/>
      <c r="L384" s="202">
        <f>SUM(ventas_b_mes4[[#This Row],[IMPORTE NETO]:[EXENTO]])</f>
        <v>0</v>
      </c>
      <c r="M384" s="182"/>
    </row>
    <row r="385" spans="2:13" x14ac:dyDescent="0.25">
      <c r="B385" s="194"/>
      <c r="C385" s="41"/>
      <c r="D385" s="196"/>
      <c r="E385" s="197"/>
      <c r="F385" s="198"/>
      <c r="G385" s="199" t="str">
        <f>IFERROR(IF(ventas_b_mes4[[#This Row],[CUIT]]="","-",VLOOKUP(ventas_b_mes4[[#This Row],[CUIT]],Lista_CUIT[#All],2,0)),"CUIT NO CARGADO")</f>
        <v>-</v>
      </c>
      <c r="H385" s="200"/>
      <c r="I385" s="201">
        <f>ventas_b_mes4[[#This Row],[IMPORTE NETO]]*0.21</f>
        <v>0</v>
      </c>
      <c r="J385" s="202"/>
      <c r="K385" s="202"/>
      <c r="L385" s="202">
        <f>SUM(ventas_b_mes4[[#This Row],[IMPORTE NETO]:[EXENTO]])</f>
        <v>0</v>
      </c>
      <c r="M385" s="182"/>
    </row>
    <row r="386" spans="2:13" x14ac:dyDescent="0.25">
      <c r="B386" s="194"/>
      <c r="C386" s="41"/>
      <c r="D386" s="196"/>
      <c r="E386" s="197"/>
      <c r="F386" s="198"/>
      <c r="G386" s="199" t="str">
        <f>IFERROR(IF(ventas_b_mes4[[#This Row],[CUIT]]="","-",VLOOKUP(ventas_b_mes4[[#This Row],[CUIT]],Lista_CUIT[#All],2,0)),"CUIT NO CARGADO")</f>
        <v>-</v>
      </c>
      <c r="H386" s="200"/>
      <c r="I386" s="201">
        <f>ventas_b_mes4[[#This Row],[IMPORTE NETO]]*0.21</f>
        <v>0</v>
      </c>
      <c r="J386" s="202"/>
      <c r="K386" s="202"/>
      <c r="L386" s="202">
        <f>SUM(ventas_b_mes4[[#This Row],[IMPORTE NETO]:[EXENTO]])</f>
        <v>0</v>
      </c>
      <c r="M386" s="182"/>
    </row>
    <row r="387" spans="2:13" x14ac:dyDescent="0.25">
      <c r="B387" s="194"/>
      <c r="C387" s="41"/>
      <c r="D387" s="196"/>
      <c r="E387" s="197"/>
      <c r="F387" s="198"/>
      <c r="G387" s="199" t="str">
        <f>IFERROR(IF(ventas_b_mes4[[#This Row],[CUIT]]="","-",VLOOKUP(ventas_b_mes4[[#This Row],[CUIT]],Lista_CUIT[#All],2,0)),"CUIT NO CARGADO")</f>
        <v>-</v>
      </c>
      <c r="H387" s="200"/>
      <c r="I387" s="201">
        <f>ventas_b_mes4[[#This Row],[IMPORTE NETO]]*0.21</f>
        <v>0</v>
      </c>
      <c r="J387" s="202"/>
      <c r="K387" s="202"/>
      <c r="L387" s="202">
        <f>SUM(ventas_b_mes4[[#This Row],[IMPORTE NETO]:[EXENTO]])</f>
        <v>0</v>
      </c>
      <c r="M387" s="182"/>
    </row>
    <row r="388" spans="2:13" x14ac:dyDescent="0.25">
      <c r="B388" s="194"/>
      <c r="C388" s="41"/>
      <c r="D388" s="196"/>
      <c r="E388" s="197"/>
      <c r="F388" s="198"/>
      <c r="G388" s="199" t="str">
        <f>IFERROR(IF(ventas_b_mes4[[#This Row],[CUIT]]="","-",VLOOKUP(ventas_b_mes4[[#This Row],[CUIT]],Lista_CUIT[#All],2,0)),"CUIT NO CARGADO")</f>
        <v>-</v>
      </c>
      <c r="H388" s="200"/>
      <c r="I388" s="201">
        <f>ventas_b_mes4[[#This Row],[IMPORTE NETO]]*0.21</f>
        <v>0</v>
      </c>
      <c r="J388" s="202"/>
      <c r="K388" s="202"/>
      <c r="L388" s="202">
        <f>SUM(ventas_b_mes4[[#This Row],[IMPORTE NETO]:[EXENTO]])</f>
        <v>0</v>
      </c>
      <c r="M388" s="182"/>
    </row>
    <row r="389" spans="2:13" x14ac:dyDescent="0.25">
      <c r="B389" s="194"/>
      <c r="C389" s="41"/>
      <c r="D389" s="196"/>
      <c r="E389" s="197"/>
      <c r="F389" s="198"/>
      <c r="G389" s="199" t="str">
        <f>IFERROR(IF(ventas_b_mes4[[#This Row],[CUIT]]="","-",VLOOKUP(ventas_b_mes4[[#This Row],[CUIT]],Lista_CUIT[#All],2,0)),"CUIT NO CARGADO")</f>
        <v>-</v>
      </c>
      <c r="H389" s="200"/>
      <c r="I389" s="201">
        <f>ventas_b_mes4[[#This Row],[IMPORTE NETO]]*0.21</f>
        <v>0</v>
      </c>
      <c r="J389" s="202"/>
      <c r="K389" s="202"/>
      <c r="L389" s="202">
        <f>SUM(ventas_b_mes4[[#This Row],[IMPORTE NETO]:[EXENTO]])</f>
        <v>0</v>
      </c>
      <c r="M389" s="182"/>
    </row>
    <row r="390" spans="2:13" x14ac:dyDescent="0.25">
      <c r="B390" s="194"/>
      <c r="C390" s="41"/>
      <c r="D390" s="196"/>
      <c r="E390" s="197"/>
      <c r="F390" s="198"/>
      <c r="G390" s="199" t="str">
        <f>IFERROR(IF(ventas_b_mes4[[#This Row],[CUIT]]="","-",VLOOKUP(ventas_b_mes4[[#This Row],[CUIT]],Lista_CUIT[#All],2,0)),"CUIT NO CARGADO")</f>
        <v>-</v>
      </c>
      <c r="H390" s="200"/>
      <c r="I390" s="201">
        <f>ventas_b_mes4[[#This Row],[IMPORTE NETO]]*0.21</f>
        <v>0</v>
      </c>
      <c r="J390" s="202"/>
      <c r="K390" s="202"/>
      <c r="L390" s="202">
        <f>SUM(ventas_b_mes4[[#This Row],[IMPORTE NETO]:[EXENTO]])</f>
        <v>0</v>
      </c>
      <c r="M390" s="182"/>
    </row>
    <row r="391" spans="2:13" x14ac:dyDescent="0.25">
      <c r="B391" s="194"/>
      <c r="C391" s="41"/>
      <c r="D391" s="196"/>
      <c r="E391" s="197"/>
      <c r="F391" s="198"/>
      <c r="G391" s="199" t="str">
        <f>IFERROR(IF(ventas_b_mes4[[#This Row],[CUIT]]="","-",VLOOKUP(ventas_b_mes4[[#This Row],[CUIT]],Lista_CUIT[#All],2,0)),"CUIT NO CARGADO")</f>
        <v>-</v>
      </c>
      <c r="H391" s="200"/>
      <c r="I391" s="201">
        <f>ventas_b_mes4[[#This Row],[IMPORTE NETO]]*0.21</f>
        <v>0</v>
      </c>
      <c r="J391" s="202"/>
      <c r="K391" s="202"/>
      <c r="L391" s="202">
        <f>SUM(ventas_b_mes4[[#This Row],[IMPORTE NETO]:[EXENTO]])</f>
        <v>0</v>
      </c>
      <c r="M391" s="182"/>
    </row>
    <row r="392" spans="2:13" x14ac:dyDescent="0.25">
      <c r="B392" s="194"/>
      <c r="C392" s="41"/>
      <c r="D392" s="196"/>
      <c r="E392" s="197"/>
      <c r="F392" s="198"/>
      <c r="G392" s="199" t="str">
        <f>IFERROR(IF(ventas_b_mes4[[#This Row],[CUIT]]="","-",VLOOKUP(ventas_b_mes4[[#This Row],[CUIT]],Lista_CUIT[#All],2,0)),"CUIT NO CARGADO")</f>
        <v>-</v>
      </c>
      <c r="H392" s="200"/>
      <c r="I392" s="201">
        <f>ventas_b_mes4[[#This Row],[IMPORTE NETO]]*0.21</f>
        <v>0</v>
      </c>
      <c r="J392" s="202"/>
      <c r="K392" s="202"/>
      <c r="L392" s="202">
        <f>SUM(ventas_b_mes4[[#This Row],[IMPORTE NETO]:[EXENTO]])</f>
        <v>0</v>
      </c>
      <c r="M392" s="182"/>
    </row>
    <row r="393" spans="2:13" x14ac:dyDescent="0.25">
      <c r="B393" s="194"/>
      <c r="C393" s="41"/>
      <c r="D393" s="196"/>
      <c r="E393" s="197"/>
      <c r="F393" s="198"/>
      <c r="G393" s="199" t="str">
        <f>IFERROR(IF(ventas_b_mes4[[#This Row],[CUIT]]="","-",VLOOKUP(ventas_b_mes4[[#This Row],[CUIT]],Lista_CUIT[#All],2,0)),"CUIT NO CARGADO")</f>
        <v>-</v>
      </c>
      <c r="H393" s="200"/>
      <c r="I393" s="201">
        <f>ventas_b_mes4[[#This Row],[IMPORTE NETO]]*0.21</f>
        <v>0</v>
      </c>
      <c r="J393" s="202"/>
      <c r="K393" s="202"/>
      <c r="L393" s="202">
        <f>SUM(ventas_b_mes4[[#This Row],[IMPORTE NETO]:[EXENTO]])</f>
        <v>0</v>
      </c>
      <c r="M393" s="182"/>
    </row>
    <row r="394" spans="2:13" x14ac:dyDescent="0.25">
      <c r="B394" s="194"/>
      <c r="C394" s="41"/>
      <c r="D394" s="196"/>
      <c r="E394" s="197"/>
      <c r="F394" s="198"/>
      <c r="G394" s="199" t="str">
        <f>IFERROR(IF(ventas_b_mes4[[#This Row],[CUIT]]="","-",VLOOKUP(ventas_b_mes4[[#This Row],[CUIT]],Lista_CUIT[#All],2,0)),"CUIT NO CARGADO")</f>
        <v>-</v>
      </c>
      <c r="H394" s="200"/>
      <c r="I394" s="201">
        <f>ventas_b_mes4[[#This Row],[IMPORTE NETO]]*0.21</f>
        <v>0</v>
      </c>
      <c r="J394" s="202"/>
      <c r="K394" s="202"/>
      <c r="L394" s="202">
        <f>SUM(ventas_b_mes4[[#This Row],[IMPORTE NETO]:[EXENTO]])</f>
        <v>0</v>
      </c>
      <c r="M394" s="182"/>
    </row>
    <row r="395" spans="2:13" x14ac:dyDescent="0.25">
      <c r="B395" s="194"/>
      <c r="C395" s="41"/>
      <c r="D395" s="196"/>
      <c r="E395" s="197"/>
      <c r="F395" s="198"/>
      <c r="G395" s="199" t="str">
        <f>IFERROR(IF(ventas_b_mes4[[#This Row],[CUIT]]="","-",VLOOKUP(ventas_b_mes4[[#This Row],[CUIT]],Lista_CUIT[#All],2,0)),"CUIT NO CARGADO")</f>
        <v>-</v>
      </c>
      <c r="H395" s="200"/>
      <c r="I395" s="201">
        <f>ventas_b_mes4[[#This Row],[IMPORTE NETO]]*0.21</f>
        <v>0</v>
      </c>
      <c r="J395" s="202"/>
      <c r="K395" s="202"/>
      <c r="L395" s="202">
        <f>SUM(ventas_b_mes4[[#This Row],[IMPORTE NETO]:[EXENTO]])</f>
        <v>0</v>
      </c>
      <c r="M395" s="182"/>
    </row>
    <row r="396" spans="2:13" x14ac:dyDescent="0.25">
      <c r="B396" s="194"/>
      <c r="C396" s="41"/>
      <c r="D396" s="196"/>
      <c r="E396" s="197"/>
      <c r="F396" s="198"/>
      <c r="G396" s="199" t="str">
        <f>IFERROR(IF(ventas_b_mes4[[#This Row],[CUIT]]="","-",VLOOKUP(ventas_b_mes4[[#This Row],[CUIT]],Lista_CUIT[#All],2,0)),"CUIT NO CARGADO")</f>
        <v>-</v>
      </c>
      <c r="H396" s="200"/>
      <c r="I396" s="201">
        <f>ventas_b_mes4[[#This Row],[IMPORTE NETO]]*0.21</f>
        <v>0</v>
      </c>
      <c r="J396" s="202"/>
      <c r="K396" s="202"/>
      <c r="L396" s="202">
        <f>SUM(ventas_b_mes4[[#This Row],[IMPORTE NETO]:[EXENTO]])</f>
        <v>0</v>
      </c>
      <c r="M396" s="182"/>
    </row>
    <row r="397" spans="2:13" x14ac:dyDescent="0.25">
      <c r="B397" s="194"/>
      <c r="C397" s="41"/>
      <c r="D397" s="196"/>
      <c r="E397" s="197"/>
      <c r="F397" s="198"/>
      <c r="G397" s="199" t="str">
        <f>IFERROR(IF(ventas_b_mes4[[#This Row],[CUIT]]="","-",VLOOKUP(ventas_b_mes4[[#This Row],[CUIT]],Lista_CUIT[#All],2,0)),"CUIT NO CARGADO")</f>
        <v>-</v>
      </c>
      <c r="H397" s="200"/>
      <c r="I397" s="201">
        <f>ventas_b_mes4[[#This Row],[IMPORTE NETO]]*0.21</f>
        <v>0</v>
      </c>
      <c r="J397" s="202"/>
      <c r="K397" s="202"/>
      <c r="L397" s="202">
        <f>SUM(ventas_b_mes4[[#This Row],[IMPORTE NETO]:[EXENTO]])</f>
        <v>0</v>
      </c>
      <c r="M397" s="182"/>
    </row>
    <row r="398" spans="2:13" x14ac:dyDescent="0.25">
      <c r="B398" s="194"/>
      <c r="C398" s="41"/>
      <c r="D398" s="196"/>
      <c r="E398" s="197"/>
      <c r="F398" s="198"/>
      <c r="G398" s="199" t="str">
        <f>IFERROR(IF(ventas_b_mes4[[#This Row],[CUIT]]="","-",VLOOKUP(ventas_b_mes4[[#This Row],[CUIT]],Lista_CUIT[#All],2,0)),"CUIT NO CARGADO")</f>
        <v>-</v>
      </c>
      <c r="H398" s="200"/>
      <c r="I398" s="201">
        <f>ventas_b_mes4[[#This Row],[IMPORTE NETO]]*0.21</f>
        <v>0</v>
      </c>
      <c r="J398" s="202"/>
      <c r="K398" s="202"/>
      <c r="L398" s="202">
        <f>SUM(ventas_b_mes4[[#This Row],[IMPORTE NETO]:[EXENTO]])</f>
        <v>0</v>
      </c>
      <c r="M398" s="182"/>
    </row>
    <row r="399" spans="2:13" x14ac:dyDescent="0.25">
      <c r="B399" s="194"/>
      <c r="C399" s="41"/>
      <c r="D399" s="196"/>
      <c r="E399" s="197"/>
      <c r="F399" s="198"/>
      <c r="G399" s="199" t="str">
        <f>IFERROR(IF(ventas_b_mes4[[#This Row],[CUIT]]="","-",VLOOKUP(ventas_b_mes4[[#This Row],[CUIT]],Lista_CUIT[#All],2,0)),"CUIT NO CARGADO")</f>
        <v>-</v>
      </c>
      <c r="H399" s="200"/>
      <c r="I399" s="201">
        <f>ventas_b_mes4[[#This Row],[IMPORTE NETO]]*0.21</f>
        <v>0</v>
      </c>
      <c r="J399" s="202"/>
      <c r="K399" s="202"/>
      <c r="L399" s="202">
        <f>SUM(ventas_b_mes4[[#This Row],[IMPORTE NETO]:[EXENTO]])</f>
        <v>0</v>
      </c>
      <c r="M399" s="182"/>
    </row>
    <row r="400" spans="2:13" x14ac:dyDescent="0.25">
      <c r="B400" s="194"/>
      <c r="C400" s="41"/>
      <c r="D400" s="196"/>
      <c r="E400" s="197"/>
      <c r="F400" s="198"/>
      <c r="G400" s="199" t="str">
        <f>IFERROR(IF(ventas_b_mes4[[#This Row],[CUIT]]="","-",VLOOKUP(ventas_b_mes4[[#This Row],[CUIT]],Lista_CUIT[#All],2,0)),"CUIT NO CARGADO")</f>
        <v>-</v>
      </c>
      <c r="H400" s="200"/>
      <c r="I400" s="201">
        <f>ventas_b_mes4[[#This Row],[IMPORTE NETO]]*0.21</f>
        <v>0</v>
      </c>
      <c r="J400" s="202"/>
      <c r="K400" s="202"/>
      <c r="L400" s="202">
        <f>SUM(ventas_b_mes4[[#This Row],[IMPORTE NETO]:[EXENTO]])</f>
        <v>0</v>
      </c>
      <c r="M400" s="182"/>
    </row>
    <row r="401" spans="2:13" x14ac:dyDescent="0.25">
      <c r="B401" s="194"/>
      <c r="C401" s="41"/>
      <c r="D401" s="196"/>
      <c r="E401" s="197"/>
      <c r="F401" s="198"/>
      <c r="G401" s="199" t="str">
        <f>IFERROR(IF(ventas_b_mes4[[#This Row],[CUIT]]="","-",VLOOKUP(ventas_b_mes4[[#This Row],[CUIT]],Lista_CUIT[#All],2,0)),"CUIT NO CARGADO")</f>
        <v>-</v>
      </c>
      <c r="H401" s="200"/>
      <c r="I401" s="201">
        <f>ventas_b_mes4[[#This Row],[IMPORTE NETO]]*0.21</f>
        <v>0</v>
      </c>
      <c r="J401" s="202"/>
      <c r="K401" s="202"/>
      <c r="L401" s="202">
        <f>SUM(ventas_b_mes4[[#This Row],[IMPORTE NETO]:[EXENTO]])</f>
        <v>0</v>
      </c>
      <c r="M401" s="182"/>
    </row>
    <row r="402" spans="2:13" x14ac:dyDescent="0.25">
      <c r="B402" s="194"/>
      <c r="C402" s="41"/>
      <c r="D402" s="196"/>
      <c r="E402" s="197"/>
      <c r="F402" s="198"/>
      <c r="G402" s="199" t="str">
        <f>IFERROR(IF(ventas_b_mes4[[#This Row],[CUIT]]="","-",VLOOKUP(ventas_b_mes4[[#This Row],[CUIT]],Lista_CUIT[#All],2,0)),"CUIT NO CARGADO")</f>
        <v>-</v>
      </c>
      <c r="H402" s="200"/>
      <c r="I402" s="201">
        <f>ventas_b_mes4[[#This Row],[IMPORTE NETO]]*0.21</f>
        <v>0</v>
      </c>
      <c r="J402" s="202"/>
      <c r="K402" s="202"/>
      <c r="L402" s="202">
        <f>SUM(ventas_b_mes4[[#This Row],[IMPORTE NETO]:[EXENTO]])</f>
        <v>0</v>
      </c>
      <c r="M402" s="182"/>
    </row>
    <row r="403" spans="2:13" x14ac:dyDescent="0.25">
      <c r="B403" s="194"/>
      <c r="C403" s="41"/>
      <c r="D403" s="196"/>
      <c r="E403" s="197"/>
      <c r="F403" s="198"/>
      <c r="G403" s="199" t="str">
        <f>IFERROR(IF(ventas_b_mes4[[#This Row],[CUIT]]="","-",VLOOKUP(ventas_b_mes4[[#This Row],[CUIT]],Lista_CUIT[#All],2,0)),"CUIT NO CARGADO")</f>
        <v>-</v>
      </c>
      <c r="H403" s="200"/>
      <c r="I403" s="201">
        <f>ventas_b_mes4[[#This Row],[IMPORTE NETO]]*0.21</f>
        <v>0</v>
      </c>
      <c r="J403" s="202"/>
      <c r="K403" s="202"/>
      <c r="L403" s="202">
        <f>SUM(ventas_b_mes4[[#This Row],[IMPORTE NETO]:[EXENTO]])</f>
        <v>0</v>
      </c>
      <c r="M403" s="182"/>
    </row>
    <row r="404" spans="2:13" x14ac:dyDescent="0.25">
      <c r="B404" s="194"/>
      <c r="C404" s="41"/>
      <c r="D404" s="196"/>
      <c r="E404" s="197"/>
      <c r="F404" s="198"/>
      <c r="G404" s="199" t="str">
        <f>IFERROR(IF(ventas_b_mes4[[#This Row],[CUIT]]="","-",VLOOKUP(ventas_b_mes4[[#This Row],[CUIT]],Lista_CUIT[#All],2,0)),"CUIT NO CARGADO")</f>
        <v>-</v>
      </c>
      <c r="H404" s="200"/>
      <c r="I404" s="201">
        <f>ventas_b_mes4[[#This Row],[IMPORTE NETO]]*0.21</f>
        <v>0</v>
      </c>
      <c r="J404" s="202"/>
      <c r="K404" s="202"/>
      <c r="L404" s="202">
        <f>SUM(ventas_b_mes4[[#This Row],[IMPORTE NETO]:[EXENTO]])</f>
        <v>0</v>
      </c>
      <c r="M404" s="182"/>
    </row>
    <row r="405" spans="2:13" x14ac:dyDescent="0.25">
      <c r="B405" s="194"/>
      <c r="C405" s="41"/>
      <c r="D405" s="196"/>
      <c r="E405" s="197"/>
      <c r="F405" s="198"/>
      <c r="G405" s="199" t="str">
        <f>IFERROR(IF(ventas_b_mes4[[#This Row],[CUIT]]="","-",VLOOKUP(ventas_b_mes4[[#This Row],[CUIT]],Lista_CUIT[#All],2,0)),"CUIT NO CARGADO")</f>
        <v>-</v>
      </c>
      <c r="H405" s="200"/>
      <c r="I405" s="201">
        <f>ventas_b_mes4[[#This Row],[IMPORTE NETO]]*0.21</f>
        <v>0</v>
      </c>
      <c r="J405" s="202"/>
      <c r="K405" s="202"/>
      <c r="L405" s="202">
        <f>SUM(ventas_b_mes4[[#This Row],[IMPORTE NETO]:[EXENTO]])</f>
        <v>0</v>
      </c>
      <c r="M405" s="182"/>
    </row>
    <row r="406" spans="2:13" x14ac:dyDescent="0.25">
      <c r="B406" s="194"/>
      <c r="C406" s="41"/>
      <c r="D406" s="196"/>
      <c r="E406" s="197"/>
      <c r="F406" s="198"/>
      <c r="G406" s="199" t="str">
        <f>IFERROR(IF(ventas_b_mes4[[#This Row],[CUIT]]="","-",VLOOKUP(ventas_b_mes4[[#This Row],[CUIT]],Lista_CUIT[#All],2,0)),"CUIT NO CARGADO")</f>
        <v>-</v>
      </c>
      <c r="H406" s="200"/>
      <c r="I406" s="201">
        <f>ventas_b_mes4[[#This Row],[IMPORTE NETO]]*0.21</f>
        <v>0</v>
      </c>
      <c r="J406" s="202"/>
      <c r="K406" s="202"/>
      <c r="L406" s="202">
        <f>SUM(ventas_b_mes4[[#This Row],[IMPORTE NETO]:[EXENTO]])</f>
        <v>0</v>
      </c>
      <c r="M406" s="182"/>
    </row>
    <row r="407" spans="2:13" x14ac:dyDescent="0.25">
      <c r="B407" s="194"/>
      <c r="C407" s="41"/>
      <c r="D407" s="196"/>
      <c r="E407" s="197"/>
      <c r="F407" s="198"/>
      <c r="G407" s="199" t="str">
        <f>IFERROR(IF(ventas_b_mes4[[#This Row],[CUIT]]="","-",VLOOKUP(ventas_b_mes4[[#This Row],[CUIT]],Lista_CUIT[#All],2,0)),"CUIT NO CARGADO")</f>
        <v>-</v>
      </c>
      <c r="H407" s="200"/>
      <c r="I407" s="201">
        <f>ventas_b_mes4[[#This Row],[IMPORTE NETO]]*0.21</f>
        <v>0</v>
      </c>
      <c r="J407" s="202"/>
      <c r="K407" s="202"/>
      <c r="L407" s="202">
        <f>SUM(ventas_b_mes4[[#This Row],[IMPORTE NETO]:[EXENTO]])</f>
        <v>0</v>
      </c>
      <c r="M407" s="182"/>
    </row>
    <row r="408" spans="2:13" x14ac:dyDescent="0.25">
      <c r="B408" s="194"/>
      <c r="C408" s="41"/>
      <c r="D408" s="196"/>
      <c r="E408" s="197"/>
      <c r="F408" s="198"/>
      <c r="G408" s="199" t="str">
        <f>IFERROR(IF(ventas_b_mes4[[#This Row],[CUIT]]="","-",VLOOKUP(ventas_b_mes4[[#This Row],[CUIT]],Lista_CUIT[#All],2,0)),"CUIT NO CARGADO")</f>
        <v>-</v>
      </c>
      <c r="H408" s="200"/>
      <c r="I408" s="201">
        <f>ventas_b_mes4[[#This Row],[IMPORTE NETO]]*0.21</f>
        <v>0</v>
      </c>
      <c r="J408" s="202"/>
      <c r="K408" s="202"/>
      <c r="L408" s="202">
        <f>SUM(ventas_b_mes4[[#This Row],[IMPORTE NETO]:[EXENTO]])</f>
        <v>0</v>
      </c>
      <c r="M408" s="182"/>
    </row>
    <row r="409" spans="2:13" x14ac:dyDescent="0.25">
      <c r="B409" s="194"/>
      <c r="C409" s="41"/>
      <c r="D409" s="196"/>
      <c r="E409" s="197"/>
      <c r="F409" s="198"/>
      <c r="G409" s="199" t="str">
        <f>IFERROR(IF(ventas_b_mes4[[#This Row],[CUIT]]="","-",VLOOKUP(ventas_b_mes4[[#This Row],[CUIT]],Lista_CUIT[#All],2,0)),"CUIT NO CARGADO")</f>
        <v>-</v>
      </c>
      <c r="H409" s="200"/>
      <c r="I409" s="201">
        <f>ventas_b_mes4[[#This Row],[IMPORTE NETO]]*0.21</f>
        <v>0</v>
      </c>
      <c r="J409" s="202"/>
      <c r="K409" s="202"/>
      <c r="L409" s="202">
        <f>SUM(ventas_b_mes4[[#This Row],[IMPORTE NETO]:[EXENTO]])</f>
        <v>0</v>
      </c>
      <c r="M409" s="182"/>
    </row>
    <row r="410" spans="2:13" x14ac:dyDescent="0.25">
      <c r="B410" s="194"/>
      <c r="C410" s="41"/>
      <c r="D410" s="196"/>
      <c r="E410" s="197"/>
      <c r="F410" s="198"/>
      <c r="G410" s="199" t="str">
        <f>IFERROR(IF(ventas_b_mes4[[#This Row],[CUIT]]="","-",VLOOKUP(ventas_b_mes4[[#This Row],[CUIT]],Lista_CUIT[#All],2,0)),"CUIT NO CARGADO")</f>
        <v>-</v>
      </c>
      <c r="H410" s="200"/>
      <c r="I410" s="201">
        <f>ventas_b_mes4[[#This Row],[IMPORTE NETO]]*0.21</f>
        <v>0</v>
      </c>
      <c r="J410" s="202"/>
      <c r="K410" s="202"/>
      <c r="L410" s="202">
        <f>SUM(ventas_b_mes4[[#This Row],[IMPORTE NETO]:[EXENTO]])</f>
        <v>0</v>
      </c>
      <c r="M410" s="182"/>
    </row>
    <row r="411" spans="2:13" x14ac:dyDescent="0.25">
      <c r="B411" s="194"/>
      <c r="C411" s="41"/>
      <c r="D411" s="196"/>
      <c r="E411" s="197"/>
      <c r="F411" s="198"/>
      <c r="G411" s="199" t="str">
        <f>IFERROR(IF(ventas_b_mes4[[#This Row],[CUIT]]="","-",VLOOKUP(ventas_b_mes4[[#This Row],[CUIT]],Lista_CUIT[#All],2,0)),"CUIT NO CARGADO")</f>
        <v>-</v>
      </c>
      <c r="H411" s="200"/>
      <c r="I411" s="201">
        <f>ventas_b_mes4[[#This Row],[IMPORTE NETO]]*0.21</f>
        <v>0</v>
      </c>
      <c r="J411" s="202"/>
      <c r="K411" s="202"/>
      <c r="L411" s="202">
        <f>SUM(ventas_b_mes4[[#This Row],[IMPORTE NETO]:[EXENTO]])</f>
        <v>0</v>
      </c>
      <c r="M411" s="182"/>
    </row>
    <row r="412" spans="2:13" x14ac:dyDescent="0.25">
      <c r="B412" s="194"/>
      <c r="C412" s="41"/>
      <c r="D412" s="196"/>
      <c r="E412" s="197"/>
      <c r="F412" s="198"/>
      <c r="G412" s="199" t="str">
        <f>IFERROR(IF(ventas_b_mes4[[#This Row],[CUIT]]="","-",VLOOKUP(ventas_b_mes4[[#This Row],[CUIT]],Lista_CUIT[#All],2,0)),"CUIT NO CARGADO")</f>
        <v>-</v>
      </c>
      <c r="H412" s="200"/>
      <c r="I412" s="201">
        <f>ventas_b_mes4[[#This Row],[IMPORTE NETO]]*0.21</f>
        <v>0</v>
      </c>
      <c r="J412" s="202"/>
      <c r="K412" s="202"/>
      <c r="L412" s="202">
        <f>SUM(ventas_b_mes4[[#This Row],[IMPORTE NETO]:[EXENTO]])</f>
        <v>0</v>
      </c>
      <c r="M412" s="182"/>
    </row>
    <row r="413" spans="2:13" x14ac:dyDescent="0.25">
      <c r="B413" s="194"/>
      <c r="C413" s="41"/>
      <c r="D413" s="196"/>
      <c r="E413" s="197"/>
      <c r="F413" s="198"/>
      <c r="G413" s="199" t="str">
        <f>IFERROR(IF(ventas_b_mes4[[#This Row],[CUIT]]="","-",VLOOKUP(ventas_b_mes4[[#This Row],[CUIT]],Lista_CUIT[#All],2,0)),"CUIT NO CARGADO")</f>
        <v>-</v>
      </c>
      <c r="H413" s="200"/>
      <c r="I413" s="201">
        <f>ventas_b_mes4[[#This Row],[IMPORTE NETO]]*0.21</f>
        <v>0</v>
      </c>
      <c r="J413" s="202"/>
      <c r="K413" s="202"/>
      <c r="L413" s="202">
        <f>SUM(ventas_b_mes4[[#This Row],[IMPORTE NETO]:[EXENTO]])</f>
        <v>0</v>
      </c>
      <c r="M413" s="182"/>
    </row>
    <row r="414" spans="2:13" x14ac:dyDescent="0.25">
      <c r="B414" s="194"/>
      <c r="C414" s="41"/>
      <c r="D414" s="196"/>
      <c r="E414" s="197"/>
      <c r="F414" s="198"/>
      <c r="G414" s="199" t="str">
        <f>IFERROR(IF(ventas_b_mes4[[#This Row],[CUIT]]="","-",VLOOKUP(ventas_b_mes4[[#This Row],[CUIT]],Lista_CUIT[#All],2,0)),"CUIT NO CARGADO")</f>
        <v>-</v>
      </c>
      <c r="H414" s="200"/>
      <c r="I414" s="201">
        <f>ventas_b_mes4[[#This Row],[IMPORTE NETO]]*0.21</f>
        <v>0</v>
      </c>
      <c r="J414" s="202"/>
      <c r="K414" s="202"/>
      <c r="L414" s="202">
        <f>SUM(ventas_b_mes4[[#This Row],[IMPORTE NETO]:[EXENTO]])</f>
        <v>0</v>
      </c>
      <c r="M414" s="182"/>
    </row>
    <row r="415" spans="2:13" x14ac:dyDescent="0.25">
      <c r="B415" s="194"/>
      <c r="C415" s="41"/>
      <c r="D415" s="196"/>
      <c r="E415" s="197"/>
      <c r="F415" s="198"/>
      <c r="G415" s="199" t="str">
        <f>IFERROR(IF(ventas_b_mes4[[#This Row],[CUIT]]="","-",VLOOKUP(ventas_b_mes4[[#This Row],[CUIT]],Lista_CUIT[#All],2,0)),"CUIT NO CARGADO")</f>
        <v>-</v>
      </c>
      <c r="H415" s="200"/>
      <c r="I415" s="201">
        <f>ventas_b_mes4[[#This Row],[IMPORTE NETO]]*0.21</f>
        <v>0</v>
      </c>
      <c r="J415" s="202"/>
      <c r="K415" s="202"/>
      <c r="L415" s="202">
        <f>SUM(ventas_b_mes4[[#This Row],[IMPORTE NETO]:[EXENTO]])</f>
        <v>0</v>
      </c>
      <c r="M415" s="182"/>
    </row>
    <row r="416" spans="2:13" x14ac:dyDescent="0.25">
      <c r="B416" s="194"/>
      <c r="C416" s="41"/>
      <c r="D416" s="196"/>
      <c r="E416" s="197"/>
      <c r="F416" s="198"/>
      <c r="G416" s="199" t="str">
        <f>IFERROR(IF(ventas_b_mes4[[#This Row],[CUIT]]="","-",VLOOKUP(ventas_b_mes4[[#This Row],[CUIT]],Lista_CUIT[#All],2,0)),"CUIT NO CARGADO")</f>
        <v>-</v>
      </c>
      <c r="H416" s="200"/>
      <c r="I416" s="201">
        <f>ventas_b_mes4[[#This Row],[IMPORTE NETO]]*0.21</f>
        <v>0</v>
      </c>
      <c r="J416" s="202"/>
      <c r="K416" s="202"/>
      <c r="L416" s="202">
        <f>SUM(ventas_b_mes4[[#This Row],[IMPORTE NETO]:[EXENTO]])</f>
        <v>0</v>
      </c>
      <c r="M416" s="182"/>
    </row>
    <row r="417" spans="2:13" x14ac:dyDescent="0.25">
      <c r="B417" s="194"/>
      <c r="C417" s="41"/>
      <c r="D417" s="196"/>
      <c r="E417" s="197"/>
      <c r="F417" s="198"/>
      <c r="G417" s="199" t="str">
        <f>IFERROR(IF(ventas_b_mes4[[#This Row],[CUIT]]="","-",VLOOKUP(ventas_b_mes4[[#This Row],[CUIT]],Lista_CUIT[#All],2,0)),"CUIT NO CARGADO")</f>
        <v>-</v>
      </c>
      <c r="H417" s="200"/>
      <c r="I417" s="201">
        <f>ventas_b_mes4[[#This Row],[IMPORTE NETO]]*0.21</f>
        <v>0</v>
      </c>
      <c r="J417" s="202"/>
      <c r="K417" s="202"/>
      <c r="L417" s="202">
        <f>SUM(ventas_b_mes4[[#This Row],[IMPORTE NETO]:[EXENTO]])</f>
        <v>0</v>
      </c>
      <c r="M417" s="182"/>
    </row>
    <row r="418" spans="2:13" x14ac:dyDescent="0.25">
      <c r="B418" s="194"/>
      <c r="C418" s="41"/>
      <c r="D418" s="196"/>
      <c r="E418" s="197"/>
      <c r="F418" s="198"/>
      <c r="G418" s="199" t="str">
        <f>IFERROR(IF(ventas_b_mes4[[#This Row],[CUIT]]="","-",VLOOKUP(ventas_b_mes4[[#This Row],[CUIT]],Lista_CUIT[#All],2,0)),"CUIT NO CARGADO")</f>
        <v>-</v>
      </c>
      <c r="H418" s="200"/>
      <c r="I418" s="201">
        <f>ventas_b_mes4[[#This Row],[IMPORTE NETO]]*0.21</f>
        <v>0</v>
      </c>
      <c r="J418" s="202"/>
      <c r="K418" s="202"/>
      <c r="L418" s="202">
        <f>SUM(ventas_b_mes4[[#This Row],[IMPORTE NETO]:[EXENTO]])</f>
        <v>0</v>
      </c>
      <c r="M418" s="182"/>
    </row>
    <row r="419" spans="2:13" x14ac:dyDescent="0.25">
      <c r="B419" s="194"/>
      <c r="C419" s="41"/>
      <c r="D419" s="196"/>
      <c r="E419" s="197"/>
      <c r="F419" s="198"/>
      <c r="G419" s="199" t="str">
        <f>IFERROR(IF(ventas_b_mes4[[#This Row],[CUIT]]="","-",VLOOKUP(ventas_b_mes4[[#This Row],[CUIT]],Lista_CUIT[#All],2,0)),"CUIT NO CARGADO")</f>
        <v>-</v>
      </c>
      <c r="H419" s="200"/>
      <c r="I419" s="201">
        <f>ventas_b_mes4[[#This Row],[IMPORTE NETO]]*0.21</f>
        <v>0</v>
      </c>
      <c r="J419" s="202"/>
      <c r="K419" s="202"/>
      <c r="L419" s="202">
        <f>SUM(ventas_b_mes4[[#This Row],[IMPORTE NETO]:[EXENTO]])</f>
        <v>0</v>
      </c>
      <c r="M419" s="182"/>
    </row>
    <row r="420" spans="2:13" x14ac:dyDescent="0.25">
      <c r="B420" s="194"/>
      <c r="C420" s="41"/>
      <c r="D420" s="196"/>
      <c r="E420" s="197"/>
      <c r="F420" s="198"/>
      <c r="G420" s="199" t="str">
        <f>IFERROR(IF(ventas_b_mes4[[#This Row],[CUIT]]="","-",VLOOKUP(ventas_b_mes4[[#This Row],[CUIT]],Lista_CUIT[#All],2,0)),"CUIT NO CARGADO")</f>
        <v>-</v>
      </c>
      <c r="H420" s="200"/>
      <c r="I420" s="201">
        <f>ventas_b_mes4[[#This Row],[IMPORTE NETO]]*0.21</f>
        <v>0</v>
      </c>
      <c r="J420" s="202"/>
      <c r="K420" s="202"/>
      <c r="L420" s="202">
        <f>SUM(ventas_b_mes4[[#This Row],[IMPORTE NETO]:[EXENTO]])</f>
        <v>0</v>
      </c>
      <c r="M420" s="182"/>
    </row>
    <row r="421" spans="2:13" x14ac:dyDescent="0.25">
      <c r="B421" s="194"/>
      <c r="C421" s="41"/>
      <c r="D421" s="196"/>
      <c r="E421" s="197"/>
      <c r="F421" s="198"/>
      <c r="G421" s="199" t="str">
        <f>IFERROR(IF(ventas_b_mes4[[#This Row],[CUIT]]="","-",VLOOKUP(ventas_b_mes4[[#This Row],[CUIT]],Lista_CUIT[#All],2,0)),"CUIT NO CARGADO")</f>
        <v>-</v>
      </c>
      <c r="H421" s="200"/>
      <c r="I421" s="201">
        <f>ventas_b_mes4[[#This Row],[IMPORTE NETO]]*0.21</f>
        <v>0</v>
      </c>
      <c r="J421" s="202"/>
      <c r="K421" s="202"/>
      <c r="L421" s="202">
        <f>SUM(ventas_b_mes4[[#This Row],[IMPORTE NETO]:[EXENTO]])</f>
        <v>0</v>
      </c>
      <c r="M421" s="182"/>
    </row>
    <row r="422" spans="2:13" x14ac:dyDescent="0.25">
      <c r="B422" s="194"/>
      <c r="C422" s="41"/>
      <c r="D422" s="196"/>
      <c r="E422" s="197"/>
      <c r="F422" s="198"/>
      <c r="G422" s="199" t="str">
        <f>IFERROR(IF(ventas_b_mes4[[#This Row],[CUIT]]="","-",VLOOKUP(ventas_b_mes4[[#This Row],[CUIT]],Lista_CUIT[#All],2,0)),"CUIT NO CARGADO")</f>
        <v>-</v>
      </c>
      <c r="H422" s="200"/>
      <c r="I422" s="201">
        <f>ventas_b_mes4[[#This Row],[IMPORTE NETO]]*0.21</f>
        <v>0</v>
      </c>
      <c r="J422" s="202"/>
      <c r="K422" s="202"/>
      <c r="L422" s="202">
        <f>SUM(ventas_b_mes4[[#This Row],[IMPORTE NETO]:[EXENTO]])</f>
        <v>0</v>
      </c>
      <c r="M422" s="182"/>
    </row>
    <row r="423" spans="2:13" x14ac:dyDescent="0.25">
      <c r="B423" s="194"/>
      <c r="C423" s="41"/>
      <c r="D423" s="196"/>
      <c r="E423" s="197"/>
      <c r="F423" s="198"/>
      <c r="G423" s="199" t="str">
        <f>IFERROR(IF(ventas_b_mes4[[#This Row],[CUIT]]="","-",VLOOKUP(ventas_b_mes4[[#This Row],[CUIT]],Lista_CUIT[#All],2,0)),"CUIT NO CARGADO")</f>
        <v>-</v>
      </c>
      <c r="H423" s="200"/>
      <c r="I423" s="201">
        <f>ventas_b_mes4[[#This Row],[IMPORTE NETO]]*0.21</f>
        <v>0</v>
      </c>
      <c r="J423" s="202"/>
      <c r="K423" s="202"/>
      <c r="L423" s="202">
        <f>SUM(ventas_b_mes4[[#This Row],[IMPORTE NETO]:[EXENTO]])</f>
        <v>0</v>
      </c>
      <c r="M423" s="182"/>
    </row>
    <row r="424" spans="2:13" x14ac:dyDescent="0.25">
      <c r="B424" s="194"/>
      <c r="C424" s="41"/>
      <c r="D424" s="196"/>
      <c r="E424" s="197"/>
      <c r="F424" s="198"/>
      <c r="G424" s="199" t="str">
        <f>IFERROR(IF(ventas_b_mes4[[#This Row],[CUIT]]="","-",VLOOKUP(ventas_b_mes4[[#This Row],[CUIT]],Lista_CUIT[#All],2,0)),"CUIT NO CARGADO")</f>
        <v>-</v>
      </c>
      <c r="H424" s="200"/>
      <c r="I424" s="201">
        <f>ventas_b_mes4[[#This Row],[IMPORTE NETO]]*0.21</f>
        <v>0</v>
      </c>
      <c r="J424" s="202"/>
      <c r="K424" s="202"/>
      <c r="L424" s="202">
        <f>SUM(ventas_b_mes4[[#This Row],[IMPORTE NETO]:[EXENTO]])</f>
        <v>0</v>
      </c>
      <c r="M424" s="182"/>
    </row>
    <row r="425" spans="2:13" x14ac:dyDescent="0.25">
      <c r="B425" s="194"/>
      <c r="C425" s="41"/>
      <c r="D425" s="196"/>
      <c r="E425" s="197"/>
      <c r="F425" s="198"/>
      <c r="G425" s="199" t="str">
        <f>IFERROR(IF(ventas_b_mes4[[#This Row],[CUIT]]="","-",VLOOKUP(ventas_b_mes4[[#This Row],[CUIT]],Lista_CUIT[#All],2,0)),"CUIT NO CARGADO")</f>
        <v>-</v>
      </c>
      <c r="H425" s="200"/>
      <c r="I425" s="201">
        <f>ventas_b_mes4[[#This Row],[IMPORTE NETO]]*0.21</f>
        <v>0</v>
      </c>
      <c r="J425" s="202"/>
      <c r="K425" s="202"/>
      <c r="L425" s="202">
        <f>SUM(ventas_b_mes4[[#This Row],[IMPORTE NETO]:[EXENTO]])</f>
        <v>0</v>
      </c>
      <c r="M425" s="182"/>
    </row>
    <row r="426" spans="2:13" x14ac:dyDescent="0.25">
      <c r="B426" s="194"/>
      <c r="C426" s="41"/>
      <c r="D426" s="196"/>
      <c r="E426" s="197"/>
      <c r="F426" s="198"/>
      <c r="G426" s="199" t="str">
        <f>IFERROR(IF(ventas_b_mes4[[#This Row],[CUIT]]="","-",VLOOKUP(ventas_b_mes4[[#This Row],[CUIT]],Lista_CUIT[#All],2,0)),"CUIT NO CARGADO")</f>
        <v>-</v>
      </c>
      <c r="H426" s="200"/>
      <c r="I426" s="201">
        <f>ventas_b_mes4[[#This Row],[IMPORTE NETO]]*0.21</f>
        <v>0</v>
      </c>
      <c r="J426" s="202"/>
      <c r="K426" s="202"/>
      <c r="L426" s="202">
        <f>SUM(ventas_b_mes4[[#This Row],[IMPORTE NETO]:[EXENTO]])</f>
        <v>0</v>
      </c>
      <c r="M426" s="182"/>
    </row>
    <row r="427" spans="2:13" x14ac:dyDescent="0.25">
      <c r="B427" s="194"/>
      <c r="C427" s="41"/>
      <c r="D427" s="196"/>
      <c r="E427" s="197"/>
      <c r="F427" s="198"/>
      <c r="G427" s="199" t="str">
        <f>IFERROR(IF(ventas_b_mes4[[#This Row],[CUIT]]="","-",VLOOKUP(ventas_b_mes4[[#This Row],[CUIT]],Lista_CUIT[#All],2,0)),"CUIT NO CARGADO")</f>
        <v>-</v>
      </c>
      <c r="H427" s="200"/>
      <c r="I427" s="201">
        <f>ventas_b_mes4[[#This Row],[IMPORTE NETO]]*0.21</f>
        <v>0</v>
      </c>
      <c r="J427" s="202"/>
      <c r="K427" s="202"/>
      <c r="L427" s="202">
        <f>SUM(ventas_b_mes4[[#This Row],[IMPORTE NETO]:[EXENTO]])</f>
        <v>0</v>
      </c>
      <c r="M427" s="182"/>
    </row>
    <row r="428" spans="2:13" x14ac:dyDescent="0.25">
      <c r="B428" s="194"/>
      <c r="C428" s="41"/>
      <c r="D428" s="196"/>
      <c r="E428" s="197"/>
      <c r="F428" s="198"/>
      <c r="G428" s="199" t="str">
        <f>IFERROR(IF(ventas_b_mes4[[#This Row],[CUIT]]="","-",VLOOKUP(ventas_b_mes4[[#This Row],[CUIT]],Lista_CUIT[#All],2,0)),"CUIT NO CARGADO")</f>
        <v>-</v>
      </c>
      <c r="H428" s="200"/>
      <c r="I428" s="201">
        <f>ventas_b_mes4[[#This Row],[IMPORTE NETO]]*0.21</f>
        <v>0</v>
      </c>
      <c r="J428" s="202"/>
      <c r="K428" s="202"/>
      <c r="L428" s="202">
        <f>SUM(ventas_b_mes4[[#This Row],[IMPORTE NETO]:[EXENTO]])</f>
        <v>0</v>
      </c>
      <c r="M428" s="182"/>
    </row>
    <row r="429" spans="2:13" x14ac:dyDescent="0.25">
      <c r="B429" s="194"/>
      <c r="C429" s="41"/>
      <c r="D429" s="196"/>
      <c r="E429" s="197"/>
      <c r="F429" s="198"/>
      <c r="G429" s="199" t="str">
        <f>IFERROR(IF(ventas_b_mes4[[#This Row],[CUIT]]="","-",VLOOKUP(ventas_b_mes4[[#This Row],[CUIT]],Lista_CUIT[#All],2,0)),"CUIT NO CARGADO")</f>
        <v>-</v>
      </c>
      <c r="H429" s="200"/>
      <c r="I429" s="201">
        <f>ventas_b_mes4[[#This Row],[IMPORTE NETO]]*0.21</f>
        <v>0</v>
      </c>
      <c r="J429" s="202"/>
      <c r="K429" s="202"/>
      <c r="L429" s="202">
        <f>SUM(ventas_b_mes4[[#This Row],[IMPORTE NETO]:[EXENTO]])</f>
        <v>0</v>
      </c>
      <c r="M429" s="182"/>
    </row>
    <row r="430" spans="2:13" x14ac:dyDescent="0.25">
      <c r="B430" s="194"/>
      <c r="C430" s="41"/>
      <c r="D430" s="196"/>
      <c r="E430" s="197"/>
      <c r="F430" s="198"/>
      <c r="G430" s="199" t="str">
        <f>IFERROR(IF(ventas_b_mes4[[#This Row],[CUIT]]="","-",VLOOKUP(ventas_b_mes4[[#This Row],[CUIT]],Lista_CUIT[#All],2,0)),"CUIT NO CARGADO")</f>
        <v>-</v>
      </c>
      <c r="H430" s="200"/>
      <c r="I430" s="201">
        <f>ventas_b_mes4[[#This Row],[IMPORTE NETO]]*0.21</f>
        <v>0</v>
      </c>
      <c r="J430" s="202"/>
      <c r="K430" s="202"/>
      <c r="L430" s="202">
        <f>SUM(ventas_b_mes4[[#This Row],[IMPORTE NETO]:[EXENTO]])</f>
        <v>0</v>
      </c>
      <c r="M430" s="182"/>
    </row>
    <row r="431" spans="2:13" x14ac:dyDescent="0.25">
      <c r="B431" s="194"/>
      <c r="C431" s="41"/>
      <c r="D431" s="196"/>
      <c r="E431" s="197"/>
      <c r="F431" s="198"/>
      <c r="G431" s="199" t="str">
        <f>IFERROR(IF(ventas_b_mes4[[#This Row],[CUIT]]="","-",VLOOKUP(ventas_b_mes4[[#This Row],[CUIT]],Lista_CUIT[#All],2,0)),"CUIT NO CARGADO")</f>
        <v>-</v>
      </c>
      <c r="H431" s="200"/>
      <c r="I431" s="201">
        <f>ventas_b_mes4[[#This Row],[IMPORTE NETO]]*0.21</f>
        <v>0</v>
      </c>
      <c r="J431" s="202"/>
      <c r="K431" s="202"/>
      <c r="L431" s="202">
        <f>SUM(ventas_b_mes4[[#This Row],[IMPORTE NETO]:[EXENTO]])</f>
        <v>0</v>
      </c>
      <c r="M431" s="182"/>
    </row>
    <row r="432" spans="2:13" x14ac:dyDescent="0.25">
      <c r="B432" s="194"/>
      <c r="C432" s="41"/>
      <c r="D432" s="196"/>
      <c r="E432" s="197"/>
      <c r="F432" s="198"/>
      <c r="G432" s="199" t="str">
        <f>IFERROR(IF(ventas_b_mes4[[#This Row],[CUIT]]="","-",VLOOKUP(ventas_b_mes4[[#This Row],[CUIT]],Lista_CUIT[#All],2,0)),"CUIT NO CARGADO")</f>
        <v>-</v>
      </c>
      <c r="H432" s="200"/>
      <c r="I432" s="201">
        <f>ventas_b_mes4[[#This Row],[IMPORTE NETO]]*0.21</f>
        <v>0</v>
      </c>
      <c r="J432" s="202"/>
      <c r="K432" s="202"/>
      <c r="L432" s="202">
        <f>SUM(ventas_b_mes4[[#This Row],[IMPORTE NETO]:[EXENTO]])</f>
        <v>0</v>
      </c>
      <c r="M432" s="182"/>
    </row>
    <row r="433" spans="2:13" x14ac:dyDescent="0.25">
      <c r="B433" s="194"/>
      <c r="C433" s="41"/>
      <c r="D433" s="196"/>
      <c r="E433" s="197"/>
      <c r="F433" s="198"/>
      <c r="G433" s="199" t="str">
        <f>IFERROR(IF(ventas_b_mes4[[#This Row],[CUIT]]="","-",VLOOKUP(ventas_b_mes4[[#This Row],[CUIT]],Lista_CUIT[#All],2,0)),"CUIT NO CARGADO")</f>
        <v>-</v>
      </c>
      <c r="H433" s="200"/>
      <c r="I433" s="201">
        <f>ventas_b_mes4[[#This Row],[IMPORTE NETO]]*0.21</f>
        <v>0</v>
      </c>
      <c r="J433" s="202"/>
      <c r="K433" s="202"/>
      <c r="L433" s="202">
        <f>SUM(ventas_b_mes4[[#This Row],[IMPORTE NETO]:[EXENTO]])</f>
        <v>0</v>
      </c>
      <c r="M433" s="182"/>
    </row>
    <row r="434" spans="2:13" x14ac:dyDescent="0.25">
      <c r="B434" s="194"/>
      <c r="C434" s="41"/>
      <c r="D434" s="196"/>
      <c r="E434" s="197"/>
      <c r="F434" s="198"/>
      <c r="G434" s="199" t="str">
        <f>IFERROR(IF(ventas_b_mes4[[#This Row],[CUIT]]="","-",VLOOKUP(ventas_b_mes4[[#This Row],[CUIT]],Lista_CUIT[#All],2,0)),"CUIT NO CARGADO")</f>
        <v>-</v>
      </c>
      <c r="H434" s="200"/>
      <c r="I434" s="201">
        <f>ventas_b_mes4[[#This Row],[IMPORTE NETO]]*0.21</f>
        <v>0</v>
      </c>
      <c r="J434" s="202"/>
      <c r="K434" s="202"/>
      <c r="L434" s="202">
        <f>SUM(ventas_b_mes4[[#This Row],[IMPORTE NETO]:[EXENTO]])</f>
        <v>0</v>
      </c>
      <c r="M434" s="182"/>
    </row>
    <row r="435" spans="2:13" x14ac:dyDescent="0.25">
      <c r="B435" s="194"/>
      <c r="C435" s="41"/>
      <c r="D435" s="196"/>
      <c r="E435" s="197"/>
      <c r="F435" s="198"/>
      <c r="G435" s="199" t="str">
        <f>IFERROR(IF(ventas_b_mes4[[#This Row],[CUIT]]="","-",VLOOKUP(ventas_b_mes4[[#This Row],[CUIT]],Lista_CUIT[#All],2,0)),"CUIT NO CARGADO")</f>
        <v>-</v>
      </c>
      <c r="H435" s="200"/>
      <c r="I435" s="201">
        <f>ventas_b_mes4[[#This Row],[IMPORTE NETO]]*0.21</f>
        <v>0</v>
      </c>
      <c r="J435" s="202"/>
      <c r="K435" s="202"/>
      <c r="L435" s="202">
        <f>SUM(ventas_b_mes4[[#This Row],[IMPORTE NETO]:[EXENTO]])</f>
        <v>0</v>
      </c>
      <c r="M435" s="182"/>
    </row>
    <row r="436" spans="2:13" x14ac:dyDescent="0.25">
      <c r="B436" s="194"/>
      <c r="C436" s="41"/>
      <c r="D436" s="196"/>
      <c r="E436" s="197"/>
      <c r="F436" s="198"/>
      <c r="G436" s="199" t="str">
        <f>IFERROR(IF(ventas_b_mes4[[#This Row],[CUIT]]="","-",VLOOKUP(ventas_b_mes4[[#This Row],[CUIT]],Lista_CUIT[#All],2,0)),"CUIT NO CARGADO")</f>
        <v>-</v>
      </c>
      <c r="H436" s="200"/>
      <c r="I436" s="201">
        <f>ventas_b_mes4[[#This Row],[IMPORTE NETO]]*0.21</f>
        <v>0</v>
      </c>
      <c r="J436" s="202"/>
      <c r="K436" s="202"/>
      <c r="L436" s="202">
        <f>SUM(ventas_b_mes4[[#This Row],[IMPORTE NETO]:[EXENTO]])</f>
        <v>0</v>
      </c>
      <c r="M436" s="182"/>
    </row>
    <row r="437" spans="2:13" x14ac:dyDescent="0.25">
      <c r="B437" s="194"/>
      <c r="C437" s="41"/>
      <c r="D437" s="196"/>
      <c r="E437" s="197"/>
      <c r="F437" s="198"/>
      <c r="G437" s="199" t="str">
        <f>IFERROR(IF(ventas_b_mes4[[#This Row],[CUIT]]="","-",VLOOKUP(ventas_b_mes4[[#This Row],[CUIT]],Lista_CUIT[#All],2,0)),"CUIT NO CARGADO")</f>
        <v>-</v>
      </c>
      <c r="H437" s="200"/>
      <c r="I437" s="201">
        <f>ventas_b_mes4[[#This Row],[IMPORTE NETO]]*0.21</f>
        <v>0</v>
      </c>
      <c r="J437" s="202"/>
      <c r="K437" s="202"/>
      <c r="L437" s="202">
        <f>SUM(ventas_b_mes4[[#This Row],[IMPORTE NETO]:[EXENTO]])</f>
        <v>0</v>
      </c>
      <c r="M437" s="182"/>
    </row>
    <row r="438" spans="2:13" x14ac:dyDescent="0.25">
      <c r="B438" s="194"/>
      <c r="C438" s="41"/>
      <c r="D438" s="196"/>
      <c r="E438" s="197"/>
      <c r="F438" s="198"/>
      <c r="G438" s="199" t="str">
        <f>IFERROR(IF(ventas_b_mes4[[#This Row],[CUIT]]="","-",VLOOKUP(ventas_b_mes4[[#This Row],[CUIT]],Lista_CUIT[#All],2,0)),"CUIT NO CARGADO")</f>
        <v>-</v>
      </c>
      <c r="H438" s="200"/>
      <c r="I438" s="201">
        <f>ventas_b_mes4[[#This Row],[IMPORTE NETO]]*0.21</f>
        <v>0</v>
      </c>
      <c r="J438" s="202"/>
      <c r="K438" s="202"/>
      <c r="L438" s="202">
        <f>SUM(ventas_b_mes4[[#This Row],[IMPORTE NETO]:[EXENTO]])</f>
        <v>0</v>
      </c>
      <c r="M438" s="182"/>
    </row>
    <row r="439" spans="2:13" x14ac:dyDescent="0.25">
      <c r="B439" s="194"/>
      <c r="C439" s="41"/>
      <c r="D439" s="196"/>
      <c r="E439" s="197"/>
      <c r="F439" s="198"/>
      <c r="G439" s="199" t="str">
        <f>IFERROR(IF(ventas_b_mes4[[#This Row],[CUIT]]="","-",VLOOKUP(ventas_b_mes4[[#This Row],[CUIT]],Lista_CUIT[#All],2,0)),"CUIT NO CARGADO")</f>
        <v>-</v>
      </c>
      <c r="H439" s="200"/>
      <c r="I439" s="201">
        <f>ventas_b_mes4[[#This Row],[IMPORTE NETO]]*0.21</f>
        <v>0</v>
      </c>
      <c r="J439" s="202"/>
      <c r="K439" s="202"/>
      <c r="L439" s="202">
        <f>SUM(ventas_b_mes4[[#This Row],[IMPORTE NETO]:[EXENTO]])</f>
        <v>0</v>
      </c>
      <c r="M439" s="182"/>
    </row>
    <row r="440" spans="2:13" x14ac:dyDescent="0.25">
      <c r="B440" s="194"/>
      <c r="C440" s="41"/>
      <c r="D440" s="196"/>
      <c r="E440" s="197"/>
      <c r="F440" s="198"/>
      <c r="G440" s="199" t="str">
        <f>IFERROR(IF(ventas_b_mes4[[#This Row],[CUIT]]="","-",VLOOKUP(ventas_b_mes4[[#This Row],[CUIT]],Lista_CUIT[#All],2,0)),"CUIT NO CARGADO")</f>
        <v>-</v>
      </c>
      <c r="H440" s="200"/>
      <c r="I440" s="201">
        <f>ventas_b_mes4[[#This Row],[IMPORTE NETO]]*0.21</f>
        <v>0</v>
      </c>
      <c r="J440" s="202"/>
      <c r="K440" s="202"/>
      <c r="L440" s="202">
        <f>SUM(ventas_b_mes4[[#This Row],[IMPORTE NETO]:[EXENTO]])</f>
        <v>0</v>
      </c>
      <c r="M440" s="182"/>
    </row>
    <row r="441" spans="2:13" x14ac:dyDescent="0.25">
      <c r="B441" s="194"/>
      <c r="C441" s="41"/>
      <c r="D441" s="196"/>
      <c r="E441" s="197"/>
      <c r="F441" s="198"/>
      <c r="G441" s="199" t="str">
        <f>IFERROR(IF(ventas_b_mes4[[#This Row],[CUIT]]="","-",VLOOKUP(ventas_b_mes4[[#This Row],[CUIT]],Lista_CUIT[#All],2,0)),"CUIT NO CARGADO")</f>
        <v>-</v>
      </c>
      <c r="H441" s="200"/>
      <c r="I441" s="201">
        <f>ventas_b_mes4[[#This Row],[IMPORTE NETO]]*0.21</f>
        <v>0</v>
      </c>
      <c r="J441" s="202"/>
      <c r="K441" s="202"/>
      <c r="L441" s="202">
        <f>SUM(ventas_b_mes4[[#This Row],[IMPORTE NETO]:[EXENTO]])</f>
        <v>0</v>
      </c>
      <c r="M441" s="182"/>
    </row>
    <row r="442" spans="2:13" x14ac:dyDescent="0.25">
      <c r="B442" s="194"/>
      <c r="C442" s="41"/>
      <c r="D442" s="196"/>
      <c r="E442" s="197"/>
      <c r="F442" s="198"/>
      <c r="G442" s="199" t="str">
        <f>IFERROR(IF(ventas_b_mes4[[#This Row],[CUIT]]="","-",VLOOKUP(ventas_b_mes4[[#This Row],[CUIT]],Lista_CUIT[#All],2,0)),"CUIT NO CARGADO")</f>
        <v>-</v>
      </c>
      <c r="H442" s="200"/>
      <c r="I442" s="201">
        <f>ventas_b_mes4[[#This Row],[IMPORTE NETO]]*0.21</f>
        <v>0</v>
      </c>
      <c r="J442" s="202"/>
      <c r="K442" s="202"/>
      <c r="L442" s="202">
        <f>SUM(ventas_b_mes4[[#This Row],[IMPORTE NETO]:[EXENTO]])</f>
        <v>0</v>
      </c>
      <c r="M442" s="182"/>
    </row>
    <row r="443" spans="2:13" x14ac:dyDescent="0.25">
      <c r="B443" s="194"/>
      <c r="C443" s="41"/>
      <c r="D443" s="196"/>
      <c r="E443" s="197"/>
      <c r="F443" s="198"/>
      <c r="G443" s="199" t="str">
        <f>IFERROR(IF(ventas_b_mes4[[#This Row],[CUIT]]="","-",VLOOKUP(ventas_b_mes4[[#This Row],[CUIT]],Lista_CUIT[#All],2,0)),"CUIT NO CARGADO")</f>
        <v>-</v>
      </c>
      <c r="H443" s="200"/>
      <c r="I443" s="201">
        <f>ventas_b_mes4[[#This Row],[IMPORTE NETO]]*0.21</f>
        <v>0</v>
      </c>
      <c r="J443" s="202"/>
      <c r="K443" s="202"/>
      <c r="L443" s="202">
        <f>SUM(ventas_b_mes4[[#This Row],[IMPORTE NETO]:[EXENTO]])</f>
        <v>0</v>
      </c>
      <c r="M443" s="182"/>
    </row>
    <row r="444" spans="2:13" x14ac:dyDescent="0.25">
      <c r="B444" s="194"/>
      <c r="C444" s="41"/>
      <c r="D444" s="196"/>
      <c r="E444" s="197"/>
      <c r="F444" s="198"/>
      <c r="G444" s="199" t="str">
        <f>IFERROR(IF(ventas_b_mes4[[#This Row],[CUIT]]="","-",VLOOKUP(ventas_b_mes4[[#This Row],[CUIT]],Lista_CUIT[#All],2,0)),"CUIT NO CARGADO")</f>
        <v>-</v>
      </c>
      <c r="H444" s="200"/>
      <c r="I444" s="201">
        <f>ventas_b_mes4[[#This Row],[IMPORTE NETO]]*0.21</f>
        <v>0</v>
      </c>
      <c r="J444" s="202"/>
      <c r="K444" s="202"/>
      <c r="L444" s="202">
        <f>SUM(ventas_b_mes4[[#This Row],[IMPORTE NETO]:[EXENTO]])</f>
        <v>0</v>
      </c>
      <c r="M444" s="182"/>
    </row>
    <row r="445" spans="2:13" x14ac:dyDescent="0.25">
      <c r="B445" s="194"/>
      <c r="C445" s="41"/>
      <c r="D445" s="196"/>
      <c r="E445" s="197"/>
      <c r="F445" s="198"/>
      <c r="G445" s="199" t="str">
        <f>IFERROR(IF(ventas_b_mes4[[#This Row],[CUIT]]="","-",VLOOKUP(ventas_b_mes4[[#This Row],[CUIT]],Lista_CUIT[#All],2,0)),"CUIT NO CARGADO")</f>
        <v>-</v>
      </c>
      <c r="H445" s="200"/>
      <c r="I445" s="201">
        <f>ventas_b_mes4[[#This Row],[IMPORTE NETO]]*0.21</f>
        <v>0</v>
      </c>
      <c r="J445" s="202"/>
      <c r="K445" s="202"/>
      <c r="L445" s="202">
        <f>SUM(ventas_b_mes4[[#This Row],[IMPORTE NETO]:[EXENTO]])</f>
        <v>0</v>
      </c>
      <c r="M445" s="182"/>
    </row>
    <row r="446" spans="2:13" x14ac:dyDescent="0.25">
      <c r="B446" s="194"/>
      <c r="C446" s="41"/>
      <c r="D446" s="196"/>
      <c r="E446" s="197"/>
      <c r="F446" s="198"/>
      <c r="G446" s="199" t="str">
        <f>IFERROR(IF(ventas_b_mes4[[#This Row],[CUIT]]="","-",VLOOKUP(ventas_b_mes4[[#This Row],[CUIT]],Lista_CUIT[#All],2,0)),"CUIT NO CARGADO")</f>
        <v>-</v>
      </c>
      <c r="H446" s="200"/>
      <c r="I446" s="201">
        <f>ventas_b_mes4[[#This Row],[IMPORTE NETO]]*0.21</f>
        <v>0</v>
      </c>
      <c r="J446" s="202"/>
      <c r="K446" s="202"/>
      <c r="L446" s="202">
        <f>SUM(ventas_b_mes4[[#This Row],[IMPORTE NETO]:[EXENTO]])</f>
        <v>0</v>
      </c>
      <c r="M446" s="182"/>
    </row>
    <row r="447" spans="2:13" x14ac:dyDescent="0.25">
      <c r="B447" s="194"/>
      <c r="C447" s="41"/>
      <c r="D447" s="196"/>
      <c r="E447" s="197"/>
      <c r="F447" s="198"/>
      <c r="G447" s="199" t="str">
        <f>IFERROR(IF(ventas_b_mes4[[#This Row],[CUIT]]="","-",VLOOKUP(ventas_b_mes4[[#This Row],[CUIT]],Lista_CUIT[#All],2,0)),"CUIT NO CARGADO")</f>
        <v>-</v>
      </c>
      <c r="H447" s="200"/>
      <c r="I447" s="201">
        <f>ventas_b_mes4[[#This Row],[IMPORTE NETO]]*0.21</f>
        <v>0</v>
      </c>
      <c r="J447" s="202"/>
      <c r="K447" s="202"/>
      <c r="L447" s="202">
        <f>SUM(ventas_b_mes4[[#This Row],[IMPORTE NETO]:[EXENTO]])</f>
        <v>0</v>
      </c>
      <c r="M447" s="182"/>
    </row>
    <row r="448" spans="2:13" x14ac:dyDescent="0.25">
      <c r="B448" s="194"/>
      <c r="C448" s="41"/>
      <c r="D448" s="196"/>
      <c r="E448" s="197"/>
      <c r="F448" s="198"/>
      <c r="G448" s="199" t="str">
        <f>IFERROR(IF(ventas_b_mes4[[#This Row],[CUIT]]="","-",VLOOKUP(ventas_b_mes4[[#This Row],[CUIT]],Lista_CUIT[#All],2,0)),"CUIT NO CARGADO")</f>
        <v>-</v>
      </c>
      <c r="H448" s="200"/>
      <c r="I448" s="201">
        <f>ventas_b_mes4[[#This Row],[IMPORTE NETO]]*0.21</f>
        <v>0</v>
      </c>
      <c r="J448" s="202"/>
      <c r="K448" s="202"/>
      <c r="L448" s="202">
        <f>SUM(ventas_b_mes4[[#This Row],[IMPORTE NETO]:[EXENTO]])</f>
        <v>0</v>
      </c>
      <c r="M448" s="182"/>
    </row>
    <row r="449" spans="2:13" x14ac:dyDescent="0.25">
      <c r="B449" s="194"/>
      <c r="C449" s="41"/>
      <c r="D449" s="196"/>
      <c r="E449" s="197"/>
      <c r="F449" s="198"/>
      <c r="G449" s="199" t="str">
        <f>IFERROR(IF(ventas_b_mes4[[#This Row],[CUIT]]="","-",VLOOKUP(ventas_b_mes4[[#This Row],[CUIT]],Lista_CUIT[#All],2,0)),"CUIT NO CARGADO")</f>
        <v>-</v>
      </c>
      <c r="H449" s="200"/>
      <c r="I449" s="201">
        <f>ventas_b_mes4[[#This Row],[IMPORTE NETO]]*0.21</f>
        <v>0</v>
      </c>
      <c r="J449" s="202"/>
      <c r="K449" s="202"/>
      <c r="L449" s="202">
        <f>SUM(ventas_b_mes4[[#This Row],[IMPORTE NETO]:[EXENTO]])</f>
        <v>0</v>
      </c>
      <c r="M449" s="182"/>
    </row>
    <row r="450" spans="2:13" x14ac:dyDescent="0.25">
      <c r="B450" s="194"/>
      <c r="C450" s="41"/>
      <c r="D450" s="196"/>
      <c r="E450" s="197"/>
      <c r="F450" s="198"/>
      <c r="G450" s="199" t="str">
        <f>IFERROR(IF(ventas_b_mes4[[#This Row],[CUIT]]="","-",VLOOKUP(ventas_b_mes4[[#This Row],[CUIT]],Lista_CUIT[#All],2,0)),"CUIT NO CARGADO")</f>
        <v>-</v>
      </c>
      <c r="H450" s="200"/>
      <c r="I450" s="201">
        <f>ventas_b_mes4[[#This Row],[IMPORTE NETO]]*0.21</f>
        <v>0</v>
      </c>
      <c r="J450" s="202"/>
      <c r="K450" s="202"/>
      <c r="L450" s="202">
        <f>SUM(ventas_b_mes4[[#This Row],[IMPORTE NETO]:[EXENTO]])</f>
        <v>0</v>
      </c>
      <c r="M450" s="182"/>
    </row>
    <row r="451" spans="2:13" x14ac:dyDescent="0.25">
      <c r="B451" s="194"/>
      <c r="C451" s="41"/>
      <c r="D451" s="196"/>
      <c r="E451" s="197"/>
      <c r="F451" s="198"/>
      <c r="G451" s="199" t="str">
        <f>IFERROR(IF(ventas_b_mes4[[#This Row],[CUIT]]="","-",VLOOKUP(ventas_b_mes4[[#This Row],[CUIT]],Lista_CUIT[#All],2,0)),"CUIT NO CARGADO")</f>
        <v>-</v>
      </c>
      <c r="H451" s="200"/>
      <c r="I451" s="201">
        <f>ventas_b_mes4[[#This Row],[IMPORTE NETO]]*0.21</f>
        <v>0</v>
      </c>
      <c r="J451" s="202"/>
      <c r="K451" s="202"/>
      <c r="L451" s="202">
        <f>SUM(ventas_b_mes4[[#This Row],[IMPORTE NETO]:[EXENTO]])</f>
        <v>0</v>
      </c>
      <c r="M451" s="182"/>
    </row>
    <row r="452" spans="2:13" x14ac:dyDescent="0.25">
      <c r="B452" s="194"/>
      <c r="C452" s="41"/>
      <c r="D452" s="196"/>
      <c r="E452" s="197"/>
      <c r="F452" s="198"/>
      <c r="G452" s="199" t="str">
        <f>IFERROR(IF(ventas_b_mes4[[#This Row],[CUIT]]="","-",VLOOKUP(ventas_b_mes4[[#This Row],[CUIT]],Lista_CUIT[#All],2,0)),"CUIT NO CARGADO")</f>
        <v>-</v>
      </c>
      <c r="H452" s="200"/>
      <c r="I452" s="201">
        <f>ventas_b_mes4[[#This Row],[IMPORTE NETO]]*0.21</f>
        <v>0</v>
      </c>
      <c r="J452" s="202"/>
      <c r="K452" s="202"/>
      <c r="L452" s="202">
        <f>SUM(ventas_b_mes4[[#This Row],[IMPORTE NETO]:[EXENTO]])</f>
        <v>0</v>
      </c>
      <c r="M452" s="182"/>
    </row>
    <row r="453" spans="2:13" x14ac:dyDescent="0.25">
      <c r="B453" s="194"/>
      <c r="C453" s="41"/>
      <c r="D453" s="196"/>
      <c r="E453" s="197"/>
      <c r="F453" s="198"/>
      <c r="G453" s="199" t="str">
        <f>IFERROR(IF(ventas_b_mes4[[#This Row],[CUIT]]="","-",VLOOKUP(ventas_b_mes4[[#This Row],[CUIT]],Lista_CUIT[#All],2,0)),"CUIT NO CARGADO")</f>
        <v>-</v>
      </c>
      <c r="H453" s="200"/>
      <c r="I453" s="201">
        <f>ventas_b_mes4[[#This Row],[IMPORTE NETO]]*0.21</f>
        <v>0</v>
      </c>
      <c r="J453" s="202"/>
      <c r="K453" s="202"/>
      <c r="L453" s="202">
        <f>SUM(ventas_b_mes4[[#This Row],[IMPORTE NETO]:[EXENTO]])</f>
        <v>0</v>
      </c>
      <c r="M453" s="182"/>
    </row>
    <row r="454" spans="2:13" x14ac:dyDescent="0.25">
      <c r="B454" s="194"/>
      <c r="C454" s="41"/>
      <c r="D454" s="196"/>
      <c r="E454" s="197"/>
      <c r="F454" s="198"/>
      <c r="G454" s="199" t="str">
        <f>IFERROR(IF(ventas_b_mes4[[#This Row],[CUIT]]="","-",VLOOKUP(ventas_b_mes4[[#This Row],[CUIT]],Lista_CUIT[#All],2,0)),"CUIT NO CARGADO")</f>
        <v>-</v>
      </c>
      <c r="H454" s="200"/>
      <c r="I454" s="201">
        <f>ventas_b_mes4[[#This Row],[IMPORTE NETO]]*0.21</f>
        <v>0</v>
      </c>
      <c r="J454" s="202"/>
      <c r="K454" s="202"/>
      <c r="L454" s="202">
        <f>SUM(ventas_b_mes4[[#This Row],[IMPORTE NETO]:[EXENTO]])</f>
        <v>0</v>
      </c>
      <c r="M454" s="182"/>
    </row>
    <row r="455" spans="2:13" x14ac:dyDescent="0.25">
      <c r="B455" s="194"/>
      <c r="C455" s="41"/>
      <c r="D455" s="196"/>
      <c r="E455" s="197"/>
      <c r="F455" s="198"/>
      <c r="G455" s="199" t="str">
        <f>IFERROR(IF(ventas_b_mes4[[#This Row],[CUIT]]="","-",VLOOKUP(ventas_b_mes4[[#This Row],[CUIT]],Lista_CUIT[#All],2,0)),"CUIT NO CARGADO")</f>
        <v>-</v>
      </c>
      <c r="H455" s="200"/>
      <c r="I455" s="201">
        <f>ventas_b_mes4[[#This Row],[IMPORTE NETO]]*0.21</f>
        <v>0</v>
      </c>
      <c r="J455" s="202"/>
      <c r="K455" s="202"/>
      <c r="L455" s="202">
        <f>SUM(ventas_b_mes4[[#This Row],[IMPORTE NETO]:[EXENTO]])</f>
        <v>0</v>
      </c>
      <c r="M455" s="182"/>
    </row>
    <row r="456" spans="2:13" x14ac:dyDescent="0.25">
      <c r="B456" s="194"/>
      <c r="C456" s="41"/>
      <c r="D456" s="196"/>
      <c r="E456" s="197"/>
      <c r="F456" s="198"/>
      <c r="G456" s="199" t="str">
        <f>IFERROR(IF(ventas_b_mes4[[#This Row],[CUIT]]="","-",VLOOKUP(ventas_b_mes4[[#This Row],[CUIT]],Lista_CUIT[#All],2,0)),"CUIT NO CARGADO")</f>
        <v>-</v>
      </c>
      <c r="H456" s="200"/>
      <c r="I456" s="201">
        <f>ventas_b_mes4[[#This Row],[IMPORTE NETO]]*0.21</f>
        <v>0</v>
      </c>
      <c r="J456" s="202"/>
      <c r="K456" s="202"/>
      <c r="L456" s="202">
        <f>SUM(ventas_b_mes4[[#This Row],[IMPORTE NETO]:[EXENTO]])</f>
        <v>0</v>
      </c>
      <c r="M456" s="182"/>
    </row>
    <row r="457" spans="2:13" x14ac:dyDescent="0.25">
      <c r="B457" s="194"/>
      <c r="C457" s="41"/>
      <c r="D457" s="196"/>
      <c r="E457" s="197"/>
      <c r="F457" s="198"/>
      <c r="G457" s="199" t="str">
        <f>IFERROR(IF(ventas_b_mes4[[#This Row],[CUIT]]="","-",VLOOKUP(ventas_b_mes4[[#This Row],[CUIT]],Lista_CUIT[#All],2,0)),"CUIT NO CARGADO")</f>
        <v>-</v>
      </c>
      <c r="H457" s="200"/>
      <c r="I457" s="201">
        <f>ventas_b_mes4[[#This Row],[IMPORTE NETO]]*0.21</f>
        <v>0</v>
      </c>
      <c r="J457" s="202"/>
      <c r="K457" s="202"/>
      <c r="L457" s="202">
        <f>SUM(ventas_b_mes4[[#This Row],[IMPORTE NETO]:[EXENTO]])</f>
        <v>0</v>
      </c>
      <c r="M457" s="182"/>
    </row>
    <row r="458" spans="2:13" x14ac:dyDescent="0.25">
      <c r="B458" s="194"/>
      <c r="C458" s="41"/>
      <c r="D458" s="196"/>
      <c r="E458" s="197"/>
      <c r="F458" s="198"/>
      <c r="G458" s="199" t="str">
        <f>IFERROR(IF(ventas_b_mes4[[#This Row],[CUIT]]="","-",VLOOKUP(ventas_b_mes4[[#This Row],[CUIT]],Lista_CUIT[#All],2,0)),"CUIT NO CARGADO")</f>
        <v>-</v>
      </c>
      <c r="H458" s="200"/>
      <c r="I458" s="201">
        <f>ventas_b_mes4[[#This Row],[IMPORTE NETO]]*0.21</f>
        <v>0</v>
      </c>
      <c r="J458" s="202"/>
      <c r="K458" s="202"/>
      <c r="L458" s="202">
        <f>SUM(ventas_b_mes4[[#This Row],[IMPORTE NETO]:[EXENTO]])</f>
        <v>0</v>
      </c>
      <c r="M458" s="182"/>
    </row>
    <row r="459" spans="2:13" x14ac:dyDescent="0.25">
      <c r="B459" s="194"/>
      <c r="C459" s="41"/>
      <c r="D459" s="196"/>
      <c r="E459" s="197"/>
      <c r="F459" s="198"/>
      <c r="G459" s="199" t="str">
        <f>IFERROR(IF(ventas_b_mes4[[#This Row],[CUIT]]="","-",VLOOKUP(ventas_b_mes4[[#This Row],[CUIT]],Lista_CUIT[#All],2,0)),"CUIT NO CARGADO")</f>
        <v>-</v>
      </c>
      <c r="H459" s="200"/>
      <c r="I459" s="201">
        <f>ventas_b_mes4[[#This Row],[IMPORTE NETO]]*0.21</f>
        <v>0</v>
      </c>
      <c r="J459" s="202"/>
      <c r="K459" s="202"/>
      <c r="L459" s="202">
        <f>SUM(ventas_b_mes4[[#This Row],[IMPORTE NETO]:[EXENTO]])</f>
        <v>0</v>
      </c>
      <c r="M459" s="182"/>
    </row>
    <row r="460" spans="2:13" x14ac:dyDescent="0.25">
      <c r="B460" s="194"/>
      <c r="C460" s="41"/>
      <c r="D460" s="196"/>
      <c r="E460" s="197"/>
      <c r="F460" s="198"/>
      <c r="G460" s="199" t="str">
        <f>IFERROR(IF(ventas_b_mes4[[#This Row],[CUIT]]="","-",VLOOKUP(ventas_b_mes4[[#This Row],[CUIT]],Lista_CUIT[#All],2,0)),"CUIT NO CARGADO")</f>
        <v>-</v>
      </c>
      <c r="H460" s="200"/>
      <c r="I460" s="201">
        <f>ventas_b_mes4[[#This Row],[IMPORTE NETO]]*0.21</f>
        <v>0</v>
      </c>
      <c r="J460" s="202"/>
      <c r="K460" s="202"/>
      <c r="L460" s="202">
        <f>SUM(ventas_b_mes4[[#This Row],[IMPORTE NETO]:[EXENTO]])</f>
        <v>0</v>
      </c>
      <c r="M460" s="182"/>
    </row>
    <row r="461" spans="2:13" x14ac:dyDescent="0.25">
      <c r="B461" s="194"/>
      <c r="C461" s="41"/>
      <c r="D461" s="196"/>
      <c r="E461" s="197"/>
      <c r="F461" s="198"/>
      <c r="G461" s="199" t="str">
        <f>IFERROR(IF(ventas_b_mes4[[#This Row],[CUIT]]="","-",VLOOKUP(ventas_b_mes4[[#This Row],[CUIT]],Lista_CUIT[#All],2,0)),"CUIT NO CARGADO")</f>
        <v>-</v>
      </c>
      <c r="H461" s="200"/>
      <c r="I461" s="201">
        <f>ventas_b_mes4[[#This Row],[IMPORTE NETO]]*0.21</f>
        <v>0</v>
      </c>
      <c r="J461" s="202"/>
      <c r="K461" s="202"/>
      <c r="L461" s="202">
        <f>SUM(ventas_b_mes4[[#This Row],[IMPORTE NETO]:[EXENTO]])</f>
        <v>0</v>
      </c>
      <c r="M461" s="182"/>
    </row>
    <row r="462" spans="2:13" x14ac:dyDescent="0.25">
      <c r="B462" s="194"/>
      <c r="C462" s="41"/>
      <c r="D462" s="196"/>
      <c r="E462" s="197"/>
      <c r="F462" s="198"/>
      <c r="G462" s="199" t="str">
        <f>IFERROR(IF(ventas_b_mes4[[#This Row],[CUIT]]="","-",VLOOKUP(ventas_b_mes4[[#This Row],[CUIT]],Lista_CUIT[#All],2,0)),"CUIT NO CARGADO")</f>
        <v>-</v>
      </c>
      <c r="H462" s="200"/>
      <c r="I462" s="201">
        <f>ventas_b_mes4[[#This Row],[IMPORTE NETO]]*0.21</f>
        <v>0</v>
      </c>
      <c r="J462" s="202"/>
      <c r="K462" s="202"/>
      <c r="L462" s="202">
        <f>SUM(ventas_b_mes4[[#This Row],[IMPORTE NETO]:[EXENTO]])</f>
        <v>0</v>
      </c>
      <c r="M462" s="182"/>
    </row>
    <row r="463" spans="2:13" x14ac:dyDescent="0.25">
      <c r="B463" s="194"/>
      <c r="C463" s="41"/>
      <c r="D463" s="196"/>
      <c r="E463" s="197"/>
      <c r="F463" s="198"/>
      <c r="G463" s="199" t="str">
        <f>IFERROR(IF(ventas_b_mes4[[#This Row],[CUIT]]="","-",VLOOKUP(ventas_b_mes4[[#This Row],[CUIT]],Lista_CUIT[#All],2,0)),"CUIT NO CARGADO")</f>
        <v>-</v>
      </c>
      <c r="H463" s="200"/>
      <c r="I463" s="201">
        <f>ventas_b_mes4[[#This Row],[IMPORTE NETO]]*0.21</f>
        <v>0</v>
      </c>
      <c r="J463" s="202"/>
      <c r="K463" s="202"/>
      <c r="L463" s="202">
        <f>SUM(ventas_b_mes4[[#This Row],[IMPORTE NETO]:[EXENTO]])</f>
        <v>0</v>
      </c>
      <c r="M463" s="182"/>
    </row>
    <row r="464" spans="2:13" x14ac:dyDescent="0.25">
      <c r="B464" s="194"/>
      <c r="C464" s="41"/>
      <c r="D464" s="196"/>
      <c r="E464" s="197"/>
      <c r="F464" s="198"/>
      <c r="G464" s="199" t="str">
        <f>IFERROR(IF(ventas_b_mes4[[#This Row],[CUIT]]="","-",VLOOKUP(ventas_b_mes4[[#This Row],[CUIT]],Lista_CUIT[#All],2,0)),"CUIT NO CARGADO")</f>
        <v>-</v>
      </c>
      <c r="H464" s="200"/>
      <c r="I464" s="201">
        <f>ventas_b_mes4[[#This Row],[IMPORTE NETO]]*0.21</f>
        <v>0</v>
      </c>
      <c r="J464" s="202"/>
      <c r="K464" s="202"/>
      <c r="L464" s="202">
        <f>SUM(ventas_b_mes4[[#This Row],[IMPORTE NETO]:[EXENTO]])</f>
        <v>0</v>
      </c>
      <c r="M464" s="182"/>
    </row>
    <row r="465" spans="2:13" x14ac:dyDescent="0.25">
      <c r="B465" s="194"/>
      <c r="C465" s="41"/>
      <c r="D465" s="196"/>
      <c r="E465" s="197"/>
      <c r="F465" s="198"/>
      <c r="G465" s="199" t="str">
        <f>IFERROR(IF(ventas_b_mes4[[#This Row],[CUIT]]="","-",VLOOKUP(ventas_b_mes4[[#This Row],[CUIT]],Lista_CUIT[#All],2,0)),"CUIT NO CARGADO")</f>
        <v>-</v>
      </c>
      <c r="H465" s="200"/>
      <c r="I465" s="201">
        <f>ventas_b_mes4[[#This Row],[IMPORTE NETO]]*0.21</f>
        <v>0</v>
      </c>
      <c r="J465" s="202"/>
      <c r="K465" s="202"/>
      <c r="L465" s="202">
        <f>SUM(ventas_b_mes4[[#This Row],[IMPORTE NETO]:[EXENTO]])</f>
        <v>0</v>
      </c>
      <c r="M465" s="182"/>
    </row>
    <row r="466" spans="2:13" x14ac:dyDescent="0.25">
      <c r="B466" s="194"/>
      <c r="C466" s="41"/>
      <c r="D466" s="196"/>
      <c r="E466" s="197"/>
      <c r="F466" s="198"/>
      <c r="G466" s="199" t="str">
        <f>IFERROR(IF(ventas_b_mes4[[#This Row],[CUIT]]="","-",VLOOKUP(ventas_b_mes4[[#This Row],[CUIT]],Lista_CUIT[#All],2,0)),"CUIT NO CARGADO")</f>
        <v>-</v>
      </c>
      <c r="H466" s="200"/>
      <c r="I466" s="201">
        <f>ventas_b_mes4[[#This Row],[IMPORTE NETO]]*0.21</f>
        <v>0</v>
      </c>
      <c r="J466" s="202"/>
      <c r="K466" s="202"/>
      <c r="L466" s="202">
        <f>SUM(ventas_b_mes4[[#This Row],[IMPORTE NETO]:[EXENTO]])</f>
        <v>0</v>
      </c>
      <c r="M466" s="182"/>
    </row>
    <row r="467" spans="2:13" x14ac:dyDescent="0.25">
      <c r="B467" s="194"/>
      <c r="C467" s="41"/>
      <c r="D467" s="196"/>
      <c r="E467" s="197"/>
      <c r="F467" s="198"/>
      <c r="G467" s="199" t="str">
        <f>IFERROR(IF(ventas_b_mes4[[#This Row],[CUIT]]="","-",VLOOKUP(ventas_b_mes4[[#This Row],[CUIT]],Lista_CUIT[#All],2,0)),"CUIT NO CARGADO")</f>
        <v>-</v>
      </c>
      <c r="H467" s="200"/>
      <c r="I467" s="201">
        <f>ventas_b_mes4[[#This Row],[IMPORTE NETO]]*0.21</f>
        <v>0</v>
      </c>
      <c r="J467" s="202"/>
      <c r="K467" s="202"/>
      <c r="L467" s="202">
        <f>SUM(ventas_b_mes4[[#This Row],[IMPORTE NETO]:[EXENTO]])</f>
        <v>0</v>
      </c>
      <c r="M467" s="182"/>
    </row>
    <row r="468" spans="2:13" x14ac:dyDescent="0.25">
      <c r="B468" s="194"/>
      <c r="C468" s="41"/>
      <c r="D468" s="196"/>
      <c r="E468" s="197"/>
      <c r="F468" s="198"/>
      <c r="G468" s="199" t="str">
        <f>IFERROR(IF(ventas_b_mes4[[#This Row],[CUIT]]="","-",VLOOKUP(ventas_b_mes4[[#This Row],[CUIT]],Lista_CUIT[#All],2,0)),"CUIT NO CARGADO")</f>
        <v>-</v>
      </c>
      <c r="H468" s="200"/>
      <c r="I468" s="201">
        <f>ventas_b_mes4[[#This Row],[IMPORTE NETO]]*0.21</f>
        <v>0</v>
      </c>
      <c r="J468" s="202"/>
      <c r="K468" s="202"/>
      <c r="L468" s="202">
        <f>SUM(ventas_b_mes4[[#This Row],[IMPORTE NETO]:[EXENTO]])</f>
        <v>0</v>
      </c>
      <c r="M468" s="182"/>
    </row>
    <row r="469" spans="2:13" x14ac:dyDescent="0.25">
      <c r="B469" s="194"/>
      <c r="C469" s="41"/>
      <c r="D469" s="196"/>
      <c r="E469" s="197"/>
      <c r="F469" s="198"/>
      <c r="G469" s="199" t="str">
        <f>IFERROR(IF(ventas_b_mes4[[#This Row],[CUIT]]="","-",VLOOKUP(ventas_b_mes4[[#This Row],[CUIT]],Lista_CUIT[#All],2,0)),"CUIT NO CARGADO")</f>
        <v>-</v>
      </c>
      <c r="H469" s="200"/>
      <c r="I469" s="201">
        <f>ventas_b_mes4[[#This Row],[IMPORTE NETO]]*0.21</f>
        <v>0</v>
      </c>
      <c r="J469" s="202"/>
      <c r="K469" s="202"/>
      <c r="L469" s="202">
        <f>SUM(ventas_b_mes4[[#This Row],[IMPORTE NETO]:[EXENTO]])</f>
        <v>0</v>
      </c>
      <c r="M469" s="182"/>
    </row>
    <row r="470" spans="2:13" x14ac:dyDescent="0.25">
      <c r="B470" s="194"/>
      <c r="C470" s="41"/>
      <c r="D470" s="196"/>
      <c r="E470" s="197"/>
      <c r="F470" s="198"/>
      <c r="G470" s="199" t="str">
        <f>IFERROR(IF(ventas_b_mes4[[#This Row],[CUIT]]="","-",VLOOKUP(ventas_b_mes4[[#This Row],[CUIT]],Lista_CUIT[#All],2,0)),"CUIT NO CARGADO")</f>
        <v>-</v>
      </c>
      <c r="H470" s="200"/>
      <c r="I470" s="201">
        <f>ventas_b_mes4[[#This Row],[IMPORTE NETO]]*0.21</f>
        <v>0</v>
      </c>
      <c r="J470" s="202"/>
      <c r="K470" s="202"/>
      <c r="L470" s="202">
        <f>SUM(ventas_b_mes4[[#This Row],[IMPORTE NETO]:[EXENTO]])</f>
        <v>0</v>
      </c>
      <c r="M470" s="182"/>
    </row>
    <row r="471" spans="2:13" x14ac:dyDescent="0.25">
      <c r="B471" s="194"/>
      <c r="C471" s="41"/>
      <c r="D471" s="196"/>
      <c r="E471" s="197"/>
      <c r="F471" s="198"/>
      <c r="G471" s="199" t="str">
        <f>IFERROR(IF(ventas_b_mes4[[#This Row],[CUIT]]="","-",VLOOKUP(ventas_b_mes4[[#This Row],[CUIT]],Lista_CUIT[#All],2,0)),"CUIT NO CARGADO")</f>
        <v>-</v>
      </c>
      <c r="H471" s="200"/>
      <c r="I471" s="201">
        <f>ventas_b_mes4[[#This Row],[IMPORTE NETO]]*0.21</f>
        <v>0</v>
      </c>
      <c r="J471" s="202"/>
      <c r="K471" s="202"/>
      <c r="L471" s="202">
        <f>SUM(ventas_b_mes4[[#This Row],[IMPORTE NETO]:[EXENTO]])</f>
        <v>0</v>
      </c>
      <c r="M471" s="182"/>
    </row>
    <row r="472" spans="2:13" x14ac:dyDescent="0.25">
      <c r="B472" s="194"/>
      <c r="C472" s="41"/>
      <c r="D472" s="196"/>
      <c r="E472" s="197"/>
      <c r="F472" s="198"/>
      <c r="G472" s="199" t="str">
        <f>IFERROR(IF(ventas_b_mes4[[#This Row],[CUIT]]="","-",VLOOKUP(ventas_b_mes4[[#This Row],[CUIT]],Lista_CUIT[#All],2,0)),"CUIT NO CARGADO")</f>
        <v>-</v>
      </c>
      <c r="H472" s="200"/>
      <c r="I472" s="201">
        <f>ventas_b_mes4[[#This Row],[IMPORTE NETO]]*0.21</f>
        <v>0</v>
      </c>
      <c r="J472" s="202"/>
      <c r="K472" s="202"/>
      <c r="L472" s="202">
        <f>SUM(ventas_b_mes4[[#This Row],[IMPORTE NETO]:[EXENTO]])</f>
        <v>0</v>
      </c>
      <c r="M472" s="182"/>
    </row>
    <row r="473" spans="2:13" x14ac:dyDescent="0.25">
      <c r="B473" s="194"/>
      <c r="C473" s="41"/>
      <c r="D473" s="196"/>
      <c r="E473" s="197"/>
      <c r="F473" s="198"/>
      <c r="G473" s="199" t="str">
        <f>IFERROR(IF(ventas_b_mes4[[#This Row],[CUIT]]="","-",VLOOKUP(ventas_b_mes4[[#This Row],[CUIT]],Lista_CUIT[#All],2,0)),"CUIT NO CARGADO")</f>
        <v>-</v>
      </c>
      <c r="H473" s="200"/>
      <c r="I473" s="201">
        <f>ventas_b_mes4[[#This Row],[IMPORTE NETO]]*0.21</f>
        <v>0</v>
      </c>
      <c r="J473" s="202"/>
      <c r="K473" s="202"/>
      <c r="L473" s="202">
        <f>SUM(ventas_b_mes4[[#This Row],[IMPORTE NETO]:[EXENTO]])</f>
        <v>0</v>
      </c>
      <c r="M473" s="182"/>
    </row>
    <row r="474" spans="2:13" x14ac:dyDescent="0.25">
      <c r="B474" s="194"/>
      <c r="C474" s="41"/>
      <c r="D474" s="196"/>
      <c r="E474" s="197"/>
      <c r="F474" s="198"/>
      <c r="G474" s="199" t="str">
        <f>IFERROR(IF(ventas_b_mes4[[#This Row],[CUIT]]="","-",VLOOKUP(ventas_b_mes4[[#This Row],[CUIT]],Lista_CUIT[#All],2,0)),"CUIT NO CARGADO")</f>
        <v>-</v>
      </c>
      <c r="H474" s="200"/>
      <c r="I474" s="201">
        <f>ventas_b_mes4[[#This Row],[IMPORTE NETO]]*0.21</f>
        <v>0</v>
      </c>
      <c r="J474" s="202"/>
      <c r="K474" s="202"/>
      <c r="L474" s="202">
        <f>SUM(ventas_b_mes4[[#This Row],[IMPORTE NETO]:[EXENTO]])</f>
        <v>0</v>
      </c>
      <c r="M474" s="182"/>
    </row>
    <row r="475" spans="2:13" x14ac:dyDescent="0.25">
      <c r="B475" s="194"/>
      <c r="C475" s="41"/>
      <c r="D475" s="196"/>
      <c r="E475" s="197"/>
      <c r="F475" s="198"/>
      <c r="G475" s="199" t="str">
        <f>IFERROR(IF(ventas_b_mes4[[#This Row],[CUIT]]="","-",VLOOKUP(ventas_b_mes4[[#This Row],[CUIT]],Lista_CUIT[#All],2,0)),"CUIT NO CARGADO")</f>
        <v>-</v>
      </c>
      <c r="H475" s="200"/>
      <c r="I475" s="201">
        <f>ventas_b_mes4[[#This Row],[IMPORTE NETO]]*0.21</f>
        <v>0</v>
      </c>
      <c r="J475" s="202"/>
      <c r="K475" s="202"/>
      <c r="L475" s="202">
        <f>SUM(ventas_b_mes4[[#This Row],[IMPORTE NETO]:[EXENTO]])</f>
        <v>0</v>
      </c>
      <c r="M475" s="182"/>
    </row>
    <row r="476" spans="2:13" x14ac:dyDescent="0.25">
      <c r="B476" s="194"/>
      <c r="C476" s="41"/>
      <c r="D476" s="196"/>
      <c r="E476" s="197"/>
      <c r="F476" s="198"/>
      <c r="G476" s="199" t="str">
        <f>IFERROR(IF(ventas_b_mes4[[#This Row],[CUIT]]="","-",VLOOKUP(ventas_b_mes4[[#This Row],[CUIT]],Lista_CUIT[#All],2,0)),"CUIT NO CARGADO")</f>
        <v>-</v>
      </c>
      <c r="H476" s="200"/>
      <c r="I476" s="201">
        <f>ventas_b_mes4[[#This Row],[IMPORTE NETO]]*0.21</f>
        <v>0</v>
      </c>
      <c r="J476" s="202"/>
      <c r="K476" s="202"/>
      <c r="L476" s="202">
        <f>SUM(ventas_b_mes4[[#This Row],[IMPORTE NETO]:[EXENTO]])</f>
        <v>0</v>
      </c>
      <c r="M476" s="182"/>
    </row>
    <row r="477" spans="2:13" x14ac:dyDescent="0.25">
      <c r="B477" s="194"/>
      <c r="C477" s="41"/>
      <c r="D477" s="196"/>
      <c r="E477" s="197"/>
      <c r="F477" s="198"/>
      <c r="G477" s="199" t="str">
        <f>IFERROR(IF(ventas_b_mes4[[#This Row],[CUIT]]="","-",VLOOKUP(ventas_b_mes4[[#This Row],[CUIT]],Lista_CUIT[#All],2,0)),"CUIT NO CARGADO")</f>
        <v>-</v>
      </c>
      <c r="H477" s="200"/>
      <c r="I477" s="201">
        <f>ventas_b_mes4[[#This Row],[IMPORTE NETO]]*0.21</f>
        <v>0</v>
      </c>
      <c r="J477" s="202"/>
      <c r="K477" s="202"/>
      <c r="L477" s="202">
        <f>SUM(ventas_b_mes4[[#This Row],[IMPORTE NETO]:[EXENTO]])</f>
        <v>0</v>
      </c>
      <c r="M477" s="182"/>
    </row>
    <row r="478" spans="2:13" x14ac:dyDescent="0.25">
      <c r="B478" s="194"/>
      <c r="C478" s="41"/>
      <c r="D478" s="196"/>
      <c r="E478" s="197"/>
      <c r="F478" s="198"/>
      <c r="G478" s="199" t="str">
        <f>IFERROR(IF(ventas_b_mes4[[#This Row],[CUIT]]="","-",VLOOKUP(ventas_b_mes4[[#This Row],[CUIT]],Lista_CUIT[#All],2,0)),"CUIT NO CARGADO")</f>
        <v>-</v>
      </c>
      <c r="H478" s="200"/>
      <c r="I478" s="201">
        <f>ventas_b_mes4[[#This Row],[IMPORTE NETO]]*0.21</f>
        <v>0</v>
      </c>
      <c r="J478" s="202"/>
      <c r="K478" s="202"/>
      <c r="L478" s="202">
        <f>SUM(ventas_b_mes4[[#This Row],[IMPORTE NETO]:[EXENTO]])</f>
        <v>0</v>
      </c>
      <c r="M478" s="182"/>
    </row>
    <row r="479" spans="2:13" x14ac:dyDescent="0.25">
      <c r="B479" s="194"/>
      <c r="C479" s="41"/>
      <c r="D479" s="196"/>
      <c r="E479" s="197"/>
      <c r="F479" s="198"/>
      <c r="G479" s="199" t="str">
        <f>IFERROR(IF(ventas_b_mes4[[#This Row],[CUIT]]="","-",VLOOKUP(ventas_b_mes4[[#This Row],[CUIT]],Lista_CUIT[#All],2,0)),"CUIT NO CARGADO")</f>
        <v>-</v>
      </c>
      <c r="H479" s="200"/>
      <c r="I479" s="201">
        <f>ventas_b_mes4[[#This Row],[IMPORTE NETO]]*0.21</f>
        <v>0</v>
      </c>
      <c r="J479" s="202"/>
      <c r="K479" s="202"/>
      <c r="L479" s="202">
        <f>SUM(ventas_b_mes4[[#This Row],[IMPORTE NETO]:[EXENTO]])</f>
        <v>0</v>
      </c>
      <c r="M479" s="182"/>
    </row>
    <row r="480" spans="2:13" x14ac:dyDescent="0.25">
      <c r="B480" s="194"/>
      <c r="C480" s="41"/>
      <c r="D480" s="196"/>
      <c r="E480" s="197"/>
      <c r="F480" s="198"/>
      <c r="G480" s="199" t="str">
        <f>IFERROR(IF(ventas_b_mes4[[#This Row],[CUIT]]="","-",VLOOKUP(ventas_b_mes4[[#This Row],[CUIT]],Lista_CUIT[#All],2,0)),"CUIT NO CARGADO")</f>
        <v>-</v>
      </c>
      <c r="H480" s="200"/>
      <c r="I480" s="201">
        <f>ventas_b_mes4[[#This Row],[IMPORTE NETO]]*0.21</f>
        <v>0</v>
      </c>
      <c r="J480" s="202"/>
      <c r="K480" s="202"/>
      <c r="L480" s="202">
        <f>SUM(ventas_b_mes4[[#This Row],[IMPORTE NETO]:[EXENTO]])</f>
        <v>0</v>
      </c>
      <c r="M480" s="182"/>
    </row>
    <row r="481" spans="2:13" x14ac:dyDescent="0.25">
      <c r="B481" s="194"/>
      <c r="C481" s="41"/>
      <c r="D481" s="196"/>
      <c r="E481" s="197"/>
      <c r="F481" s="198"/>
      <c r="G481" s="199" t="str">
        <f>IFERROR(IF(ventas_b_mes4[[#This Row],[CUIT]]="","-",VLOOKUP(ventas_b_mes4[[#This Row],[CUIT]],Lista_CUIT[#All],2,0)),"CUIT NO CARGADO")</f>
        <v>-</v>
      </c>
      <c r="H481" s="200"/>
      <c r="I481" s="201">
        <f>ventas_b_mes4[[#This Row],[IMPORTE NETO]]*0.21</f>
        <v>0</v>
      </c>
      <c r="J481" s="202"/>
      <c r="K481" s="202"/>
      <c r="L481" s="202">
        <f>SUM(ventas_b_mes4[[#This Row],[IMPORTE NETO]:[EXENTO]])</f>
        <v>0</v>
      </c>
      <c r="M481" s="182"/>
    </row>
    <row r="482" spans="2:13" x14ac:dyDescent="0.25">
      <c r="B482" s="194"/>
      <c r="C482" s="41"/>
      <c r="D482" s="196"/>
      <c r="E482" s="197"/>
      <c r="F482" s="198"/>
      <c r="G482" s="199" t="str">
        <f>IFERROR(IF(ventas_b_mes4[[#This Row],[CUIT]]="","-",VLOOKUP(ventas_b_mes4[[#This Row],[CUIT]],Lista_CUIT[#All],2,0)),"CUIT NO CARGADO")</f>
        <v>-</v>
      </c>
      <c r="H482" s="200"/>
      <c r="I482" s="201">
        <f>ventas_b_mes4[[#This Row],[IMPORTE NETO]]*0.21</f>
        <v>0</v>
      </c>
      <c r="J482" s="202"/>
      <c r="K482" s="202"/>
      <c r="L482" s="202">
        <f>SUM(ventas_b_mes4[[#This Row],[IMPORTE NETO]:[EXENTO]])</f>
        <v>0</v>
      </c>
      <c r="M482" s="182"/>
    </row>
    <row r="483" spans="2:13" x14ac:dyDescent="0.25">
      <c r="B483" s="194"/>
      <c r="C483" s="41"/>
      <c r="D483" s="196"/>
      <c r="E483" s="197"/>
      <c r="F483" s="198"/>
      <c r="G483" s="199" t="str">
        <f>IFERROR(IF(ventas_b_mes4[[#This Row],[CUIT]]="","-",VLOOKUP(ventas_b_mes4[[#This Row],[CUIT]],Lista_CUIT[#All],2,0)),"CUIT NO CARGADO")</f>
        <v>-</v>
      </c>
      <c r="H483" s="200"/>
      <c r="I483" s="201">
        <f>ventas_b_mes4[[#This Row],[IMPORTE NETO]]*0.21</f>
        <v>0</v>
      </c>
      <c r="J483" s="202"/>
      <c r="K483" s="202"/>
      <c r="L483" s="202">
        <f>SUM(ventas_b_mes4[[#This Row],[IMPORTE NETO]:[EXENTO]])</f>
        <v>0</v>
      </c>
      <c r="M483" s="182"/>
    </row>
    <row r="484" spans="2:13" x14ac:dyDescent="0.25">
      <c r="B484" s="194"/>
      <c r="C484" s="41"/>
      <c r="D484" s="196"/>
      <c r="E484" s="197"/>
      <c r="F484" s="198"/>
      <c r="G484" s="199" t="str">
        <f>IFERROR(IF(ventas_b_mes4[[#This Row],[CUIT]]="","-",VLOOKUP(ventas_b_mes4[[#This Row],[CUIT]],Lista_CUIT[#All],2,0)),"CUIT NO CARGADO")</f>
        <v>-</v>
      </c>
      <c r="H484" s="200"/>
      <c r="I484" s="201">
        <f>ventas_b_mes4[[#This Row],[IMPORTE NETO]]*0.21</f>
        <v>0</v>
      </c>
      <c r="J484" s="202"/>
      <c r="K484" s="202"/>
      <c r="L484" s="202">
        <f>SUM(ventas_b_mes4[[#This Row],[IMPORTE NETO]:[EXENTO]])</f>
        <v>0</v>
      </c>
      <c r="M484" s="182"/>
    </row>
    <row r="485" spans="2:13" x14ac:dyDescent="0.25">
      <c r="B485" s="194"/>
      <c r="C485" s="41"/>
      <c r="D485" s="196"/>
      <c r="E485" s="197"/>
      <c r="F485" s="198"/>
      <c r="G485" s="199" t="str">
        <f>IFERROR(IF(ventas_b_mes4[[#This Row],[CUIT]]="","-",VLOOKUP(ventas_b_mes4[[#This Row],[CUIT]],Lista_CUIT[#All],2,0)),"CUIT NO CARGADO")</f>
        <v>-</v>
      </c>
      <c r="H485" s="200"/>
      <c r="I485" s="201">
        <f>ventas_b_mes4[[#This Row],[IMPORTE NETO]]*0.21</f>
        <v>0</v>
      </c>
      <c r="J485" s="202"/>
      <c r="K485" s="202"/>
      <c r="L485" s="202">
        <f>SUM(ventas_b_mes4[[#This Row],[IMPORTE NETO]:[EXENTO]])</f>
        <v>0</v>
      </c>
      <c r="M485" s="182"/>
    </row>
    <row r="486" spans="2:13" x14ac:dyDescent="0.25">
      <c r="B486" s="194"/>
      <c r="C486" s="41"/>
      <c r="D486" s="196"/>
      <c r="E486" s="197"/>
      <c r="F486" s="198"/>
      <c r="G486" s="199" t="str">
        <f>IFERROR(IF(ventas_b_mes4[[#This Row],[CUIT]]="","-",VLOOKUP(ventas_b_mes4[[#This Row],[CUIT]],Lista_CUIT[#All],2,0)),"CUIT NO CARGADO")</f>
        <v>-</v>
      </c>
      <c r="H486" s="200"/>
      <c r="I486" s="201">
        <f>ventas_b_mes4[[#This Row],[IMPORTE NETO]]*0.21</f>
        <v>0</v>
      </c>
      <c r="J486" s="202"/>
      <c r="K486" s="202"/>
      <c r="L486" s="202">
        <f>SUM(ventas_b_mes4[[#This Row],[IMPORTE NETO]:[EXENTO]])</f>
        <v>0</v>
      </c>
      <c r="M486" s="182"/>
    </row>
    <row r="487" spans="2:13" x14ac:dyDescent="0.25">
      <c r="B487" s="194"/>
      <c r="C487" s="41"/>
      <c r="D487" s="196"/>
      <c r="E487" s="197"/>
      <c r="F487" s="198"/>
      <c r="G487" s="199" t="str">
        <f>IFERROR(IF(ventas_b_mes4[[#This Row],[CUIT]]="","-",VLOOKUP(ventas_b_mes4[[#This Row],[CUIT]],Lista_CUIT[#All],2,0)),"CUIT NO CARGADO")</f>
        <v>-</v>
      </c>
      <c r="H487" s="200"/>
      <c r="I487" s="201">
        <f>ventas_b_mes4[[#This Row],[IMPORTE NETO]]*0.21</f>
        <v>0</v>
      </c>
      <c r="J487" s="202"/>
      <c r="K487" s="202"/>
      <c r="L487" s="202">
        <f>SUM(ventas_b_mes4[[#This Row],[IMPORTE NETO]:[EXENTO]])</f>
        <v>0</v>
      </c>
      <c r="M487" s="182"/>
    </row>
    <row r="488" spans="2:13" x14ac:dyDescent="0.25">
      <c r="B488" s="194"/>
      <c r="C488" s="41"/>
      <c r="D488" s="196"/>
      <c r="E488" s="197"/>
      <c r="F488" s="198"/>
      <c r="G488" s="199" t="str">
        <f>IFERROR(IF(ventas_b_mes4[[#This Row],[CUIT]]="","-",VLOOKUP(ventas_b_mes4[[#This Row],[CUIT]],Lista_CUIT[#All],2,0)),"CUIT NO CARGADO")</f>
        <v>-</v>
      </c>
      <c r="H488" s="200"/>
      <c r="I488" s="201">
        <f>ventas_b_mes4[[#This Row],[IMPORTE NETO]]*0.21</f>
        <v>0</v>
      </c>
      <c r="J488" s="202"/>
      <c r="K488" s="202"/>
      <c r="L488" s="202">
        <f>SUM(ventas_b_mes4[[#This Row],[IMPORTE NETO]:[EXENTO]])</f>
        <v>0</v>
      </c>
      <c r="M488" s="182"/>
    </row>
    <row r="489" spans="2:13" x14ac:dyDescent="0.25">
      <c r="B489" s="194"/>
      <c r="C489" s="41"/>
      <c r="D489" s="196"/>
      <c r="E489" s="197"/>
      <c r="F489" s="198"/>
      <c r="G489" s="199" t="str">
        <f>IFERROR(IF(ventas_b_mes4[[#This Row],[CUIT]]="","-",VLOOKUP(ventas_b_mes4[[#This Row],[CUIT]],Lista_CUIT[#All],2,0)),"CUIT NO CARGADO")</f>
        <v>-</v>
      </c>
      <c r="H489" s="200"/>
      <c r="I489" s="201">
        <f>ventas_b_mes4[[#This Row],[IMPORTE NETO]]*0.21</f>
        <v>0</v>
      </c>
      <c r="J489" s="202"/>
      <c r="K489" s="202"/>
      <c r="L489" s="202">
        <f>SUM(ventas_b_mes4[[#This Row],[IMPORTE NETO]:[EXENTO]])</f>
        <v>0</v>
      </c>
      <c r="M489" s="182"/>
    </row>
    <row r="490" spans="2:13" x14ac:dyDescent="0.25">
      <c r="B490" s="194"/>
      <c r="C490" s="41"/>
      <c r="D490" s="196"/>
      <c r="E490" s="197"/>
      <c r="F490" s="198"/>
      <c r="G490" s="199" t="str">
        <f>IFERROR(IF(ventas_b_mes4[[#This Row],[CUIT]]="","-",VLOOKUP(ventas_b_mes4[[#This Row],[CUIT]],Lista_CUIT[#All],2,0)),"CUIT NO CARGADO")</f>
        <v>-</v>
      </c>
      <c r="H490" s="200"/>
      <c r="I490" s="201">
        <f>ventas_b_mes4[[#This Row],[IMPORTE NETO]]*0.21</f>
        <v>0</v>
      </c>
      <c r="J490" s="202"/>
      <c r="K490" s="202"/>
      <c r="L490" s="202">
        <f>SUM(ventas_b_mes4[[#This Row],[IMPORTE NETO]:[EXENTO]])</f>
        <v>0</v>
      </c>
      <c r="M490" s="182"/>
    </row>
    <row r="491" spans="2:13" x14ac:dyDescent="0.25">
      <c r="B491" s="194"/>
      <c r="C491" s="41"/>
      <c r="D491" s="196"/>
      <c r="E491" s="197"/>
      <c r="F491" s="198"/>
      <c r="G491" s="199" t="str">
        <f>IFERROR(IF(ventas_b_mes4[[#This Row],[CUIT]]="","-",VLOOKUP(ventas_b_mes4[[#This Row],[CUIT]],Lista_CUIT[#All],2,0)),"CUIT NO CARGADO")</f>
        <v>-</v>
      </c>
      <c r="H491" s="200"/>
      <c r="I491" s="201">
        <f>ventas_b_mes4[[#This Row],[IMPORTE NETO]]*0.21</f>
        <v>0</v>
      </c>
      <c r="J491" s="202"/>
      <c r="K491" s="202"/>
      <c r="L491" s="202">
        <f>SUM(ventas_b_mes4[[#This Row],[IMPORTE NETO]:[EXENTO]])</f>
        <v>0</v>
      </c>
      <c r="M491" s="182"/>
    </row>
    <row r="492" spans="2:13" x14ac:dyDescent="0.25">
      <c r="B492" s="194"/>
      <c r="C492" s="41"/>
      <c r="D492" s="196"/>
      <c r="E492" s="197"/>
      <c r="F492" s="198"/>
      <c r="G492" s="199" t="str">
        <f>IFERROR(IF(ventas_b_mes4[[#This Row],[CUIT]]="","-",VLOOKUP(ventas_b_mes4[[#This Row],[CUIT]],Lista_CUIT[#All],2,0)),"CUIT NO CARGADO")</f>
        <v>-</v>
      </c>
      <c r="H492" s="200"/>
      <c r="I492" s="201">
        <f>ventas_b_mes4[[#This Row],[IMPORTE NETO]]*0.21</f>
        <v>0</v>
      </c>
      <c r="J492" s="202"/>
      <c r="K492" s="202"/>
      <c r="L492" s="202">
        <f>SUM(ventas_b_mes4[[#This Row],[IMPORTE NETO]:[EXENTO]])</f>
        <v>0</v>
      </c>
      <c r="M492" s="182"/>
    </row>
    <row r="493" spans="2:13" x14ac:dyDescent="0.25">
      <c r="B493" s="194"/>
      <c r="C493" s="41"/>
      <c r="D493" s="196"/>
      <c r="E493" s="197"/>
      <c r="F493" s="198"/>
      <c r="G493" s="199" t="str">
        <f>IFERROR(IF(ventas_b_mes4[[#This Row],[CUIT]]="","-",VLOOKUP(ventas_b_mes4[[#This Row],[CUIT]],Lista_CUIT[#All],2,0)),"CUIT NO CARGADO")</f>
        <v>-</v>
      </c>
      <c r="H493" s="200"/>
      <c r="I493" s="201">
        <f>ventas_b_mes4[[#This Row],[IMPORTE NETO]]*0.21</f>
        <v>0</v>
      </c>
      <c r="J493" s="202"/>
      <c r="K493" s="202"/>
      <c r="L493" s="202">
        <f>SUM(ventas_b_mes4[[#This Row],[IMPORTE NETO]:[EXENTO]])</f>
        <v>0</v>
      </c>
      <c r="M493" s="182"/>
    </row>
    <row r="494" spans="2:13" x14ac:dyDescent="0.25">
      <c r="B494" s="194"/>
      <c r="C494" s="41"/>
      <c r="D494" s="196"/>
      <c r="E494" s="197"/>
      <c r="F494" s="198"/>
      <c r="G494" s="199" t="str">
        <f>IFERROR(IF(ventas_b_mes4[[#This Row],[CUIT]]="","-",VLOOKUP(ventas_b_mes4[[#This Row],[CUIT]],Lista_CUIT[#All],2,0)),"CUIT NO CARGADO")</f>
        <v>-</v>
      </c>
      <c r="H494" s="200"/>
      <c r="I494" s="201">
        <f>ventas_b_mes4[[#This Row],[IMPORTE NETO]]*0.21</f>
        <v>0</v>
      </c>
      <c r="J494" s="202"/>
      <c r="K494" s="202"/>
      <c r="L494" s="202">
        <f>SUM(ventas_b_mes4[[#This Row],[IMPORTE NETO]:[EXENTO]])</f>
        <v>0</v>
      </c>
      <c r="M494" s="182"/>
    </row>
    <row r="495" spans="2:13" x14ac:dyDescent="0.25">
      <c r="B495" s="194"/>
      <c r="C495" s="41"/>
      <c r="D495" s="196"/>
      <c r="E495" s="197"/>
      <c r="F495" s="198"/>
      <c r="G495" s="199" t="str">
        <f>IFERROR(IF(ventas_b_mes4[[#This Row],[CUIT]]="","-",VLOOKUP(ventas_b_mes4[[#This Row],[CUIT]],Lista_CUIT[#All],2,0)),"CUIT NO CARGADO")</f>
        <v>-</v>
      </c>
      <c r="H495" s="200"/>
      <c r="I495" s="201">
        <f>ventas_b_mes4[[#This Row],[IMPORTE NETO]]*0.21</f>
        <v>0</v>
      </c>
      <c r="J495" s="202"/>
      <c r="K495" s="202"/>
      <c r="L495" s="202">
        <f>SUM(ventas_b_mes4[[#This Row],[IMPORTE NETO]:[EXENTO]])</f>
        <v>0</v>
      </c>
      <c r="M495" s="182"/>
    </row>
    <row r="496" spans="2:13" x14ac:dyDescent="0.25">
      <c r="B496" s="194"/>
      <c r="C496" s="41"/>
      <c r="D496" s="196"/>
      <c r="E496" s="197"/>
      <c r="F496" s="198"/>
      <c r="G496" s="199" t="str">
        <f>IFERROR(IF(ventas_b_mes4[[#This Row],[CUIT]]="","-",VLOOKUP(ventas_b_mes4[[#This Row],[CUIT]],Lista_CUIT[#All],2,0)),"CUIT NO CARGADO")</f>
        <v>-</v>
      </c>
      <c r="H496" s="200"/>
      <c r="I496" s="201">
        <f>ventas_b_mes4[[#This Row],[IMPORTE NETO]]*0.21</f>
        <v>0</v>
      </c>
      <c r="J496" s="202"/>
      <c r="K496" s="202"/>
      <c r="L496" s="202">
        <f>SUM(ventas_b_mes4[[#This Row],[IMPORTE NETO]:[EXENTO]])</f>
        <v>0</v>
      </c>
      <c r="M496" s="182"/>
    </row>
    <row r="497" spans="2:13" x14ac:dyDescent="0.25">
      <c r="B497" s="194"/>
      <c r="C497" s="41"/>
      <c r="D497" s="196"/>
      <c r="E497" s="197"/>
      <c r="F497" s="198"/>
      <c r="G497" s="199" t="str">
        <f>IFERROR(IF(ventas_b_mes4[[#This Row],[CUIT]]="","-",VLOOKUP(ventas_b_mes4[[#This Row],[CUIT]],Lista_CUIT[#All],2,0)),"CUIT NO CARGADO")</f>
        <v>-</v>
      </c>
      <c r="H497" s="200"/>
      <c r="I497" s="201">
        <f>ventas_b_mes4[[#This Row],[IMPORTE NETO]]*0.21</f>
        <v>0</v>
      </c>
      <c r="J497" s="202"/>
      <c r="K497" s="202"/>
      <c r="L497" s="202">
        <f>SUM(ventas_b_mes4[[#This Row],[IMPORTE NETO]:[EXENTO]])</f>
        <v>0</v>
      </c>
      <c r="M497" s="182"/>
    </row>
    <row r="498" spans="2:13" x14ac:dyDescent="0.25">
      <c r="B498" s="194"/>
      <c r="C498" s="41"/>
      <c r="D498" s="196"/>
      <c r="E498" s="197"/>
      <c r="F498" s="198"/>
      <c r="G498" s="199" t="str">
        <f>IFERROR(IF(ventas_b_mes4[[#This Row],[CUIT]]="","-",VLOOKUP(ventas_b_mes4[[#This Row],[CUIT]],Lista_CUIT[#All],2,0)),"CUIT NO CARGADO")</f>
        <v>-</v>
      </c>
      <c r="H498" s="200"/>
      <c r="I498" s="201">
        <f>ventas_b_mes4[[#This Row],[IMPORTE NETO]]*0.21</f>
        <v>0</v>
      </c>
      <c r="J498" s="202"/>
      <c r="K498" s="202"/>
      <c r="L498" s="202">
        <f>SUM(ventas_b_mes4[[#This Row],[IMPORTE NETO]:[EXENTO]])</f>
        <v>0</v>
      </c>
      <c r="M498" s="182"/>
    </row>
    <row r="499" spans="2:13" x14ac:dyDescent="0.25">
      <c r="B499" s="194"/>
      <c r="C499" s="41"/>
      <c r="D499" s="196"/>
      <c r="E499" s="197"/>
      <c r="F499" s="198"/>
      <c r="G499" s="199" t="str">
        <f>IFERROR(IF(ventas_b_mes4[[#This Row],[CUIT]]="","-",VLOOKUP(ventas_b_mes4[[#This Row],[CUIT]],Lista_CUIT[#All],2,0)),"CUIT NO CARGADO")</f>
        <v>-</v>
      </c>
      <c r="H499" s="200"/>
      <c r="I499" s="201">
        <f>ventas_b_mes4[[#This Row],[IMPORTE NETO]]*0.21</f>
        <v>0</v>
      </c>
      <c r="J499" s="202"/>
      <c r="K499" s="202"/>
      <c r="L499" s="202">
        <f>SUM(ventas_b_mes4[[#This Row],[IMPORTE NETO]:[EXENTO]])</f>
        <v>0</v>
      </c>
      <c r="M499" s="182"/>
    </row>
    <row r="500" spans="2:13" x14ac:dyDescent="0.25">
      <c r="B500" s="194"/>
      <c r="C500" s="41"/>
      <c r="D500" s="196"/>
      <c r="E500" s="197"/>
      <c r="F500" s="198"/>
      <c r="G500" s="199" t="str">
        <f>IFERROR(IF(ventas_b_mes4[[#This Row],[CUIT]]="","-",VLOOKUP(ventas_b_mes4[[#This Row],[CUIT]],Lista_CUIT[#All],2,0)),"CUIT NO CARGADO")</f>
        <v>-</v>
      </c>
      <c r="H500" s="200"/>
      <c r="I500" s="201">
        <f>ventas_b_mes4[[#This Row],[IMPORTE NETO]]*0.21</f>
        <v>0</v>
      </c>
      <c r="J500" s="202"/>
      <c r="K500" s="202"/>
      <c r="L500" s="202">
        <f>SUM(ventas_b_mes4[[#This Row],[IMPORTE NETO]:[EXENTO]])</f>
        <v>0</v>
      </c>
      <c r="M500" s="182"/>
    </row>
    <row r="501" spans="2:13" x14ac:dyDescent="0.25">
      <c r="B501" s="194"/>
      <c r="C501" s="41"/>
      <c r="D501" s="196"/>
      <c r="E501" s="197"/>
      <c r="F501" s="198"/>
      <c r="G501" s="199" t="str">
        <f>IFERROR(IF(ventas_b_mes4[[#This Row],[CUIT]]="","-",VLOOKUP(ventas_b_mes4[[#This Row],[CUIT]],Lista_CUIT[#All],2,0)),"CUIT NO CARGADO")</f>
        <v>-</v>
      </c>
      <c r="H501" s="200"/>
      <c r="I501" s="201">
        <f>ventas_b_mes4[[#This Row],[IMPORTE NETO]]*0.21</f>
        <v>0</v>
      </c>
      <c r="J501" s="202"/>
      <c r="K501" s="202"/>
      <c r="L501" s="202">
        <f>SUM(ventas_b_mes4[[#This Row],[IMPORTE NETO]:[EXENTO]])</f>
        <v>0</v>
      </c>
      <c r="M501" s="182"/>
    </row>
    <row r="502" spans="2:13" x14ac:dyDescent="0.25">
      <c r="B502" s="194"/>
      <c r="C502" s="41"/>
      <c r="D502" s="196"/>
      <c r="E502" s="197"/>
      <c r="F502" s="198"/>
      <c r="G502" s="199" t="str">
        <f>IFERROR(IF(ventas_b_mes4[[#This Row],[CUIT]]="","-",VLOOKUP(ventas_b_mes4[[#This Row],[CUIT]],Lista_CUIT[#All],2,0)),"CUIT NO CARGADO")</f>
        <v>-</v>
      </c>
      <c r="H502" s="200"/>
      <c r="I502" s="201">
        <f>ventas_b_mes4[[#This Row],[IMPORTE NETO]]*0.21</f>
        <v>0</v>
      </c>
      <c r="J502" s="202"/>
      <c r="K502" s="202"/>
      <c r="L502" s="202">
        <f>SUM(ventas_b_mes4[[#This Row],[IMPORTE NETO]:[EXENTO]])</f>
        <v>0</v>
      </c>
      <c r="M502" s="182"/>
    </row>
    <row r="503" spans="2:13" x14ac:dyDescent="0.25">
      <c r="B503" s="194"/>
      <c r="C503" s="41"/>
      <c r="D503" s="196"/>
      <c r="E503" s="197"/>
      <c r="F503" s="198"/>
      <c r="G503" s="199" t="str">
        <f>IFERROR(IF(ventas_b_mes4[[#This Row],[CUIT]]="","-",VLOOKUP(ventas_b_mes4[[#This Row],[CUIT]],Lista_CUIT[#All],2,0)),"CUIT NO CARGADO")</f>
        <v>-</v>
      </c>
      <c r="H503" s="200"/>
      <c r="I503" s="201">
        <f>ventas_b_mes4[[#This Row],[IMPORTE NETO]]*0.21</f>
        <v>0</v>
      </c>
      <c r="J503" s="202"/>
      <c r="K503" s="202"/>
      <c r="L503" s="202">
        <f>SUM(ventas_b_mes4[[#This Row],[IMPORTE NETO]:[EXENTO]])</f>
        <v>0</v>
      </c>
      <c r="M503" s="182"/>
    </row>
    <row r="504" spans="2:13" x14ac:dyDescent="0.25">
      <c r="B504" s="194"/>
      <c r="C504" s="41"/>
      <c r="D504" s="196"/>
      <c r="E504" s="197"/>
      <c r="F504" s="198"/>
      <c r="G504" s="199" t="str">
        <f>IFERROR(IF(ventas_b_mes4[[#This Row],[CUIT]]="","-",VLOOKUP(ventas_b_mes4[[#This Row],[CUIT]],Lista_CUIT[#All],2,0)),"CUIT NO CARGADO")</f>
        <v>-</v>
      </c>
      <c r="H504" s="200"/>
      <c r="I504" s="201">
        <f>ventas_b_mes4[[#This Row],[IMPORTE NETO]]*0.21</f>
        <v>0</v>
      </c>
      <c r="J504" s="202"/>
      <c r="K504" s="202"/>
      <c r="L504" s="202">
        <f>SUM(ventas_b_mes4[[#This Row],[IMPORTE NETO]:[EXENTO]])</f>
        <v>0</v>
      </c>
      <c r="M504" s="182"/>
    </row>
    <row r="505" spans="2:13" x14ac:dyDescent="0.25">
      <c r="B505" s="194"/>
      <c r="C505" s="41"/>
      <c r="D505" s="196"/>
      <c r="E505" s="197"/>
      <c r="F505" s="198"/>
      <c r="G505" s="199" t="str">
        <f>IFERROR(IF(ventas_b_mes4[[#This Row],[CUIT]]="","-",VLOOKUP(ventas_b_mes4[[#This Row],[CUIT]],Lista_CUIT[#All],2,0)),"CUIT NO CARGADO")</f>
        <v>-</v>
      </c>
      <c r="H505" s="200"/>
      <c r="I505" s="201">
        <f>ventas_b_mes4[[#This Row],[IMPORTE NETO]]*0.21</f>
        <v>0</v>
      </c>
      <c r="J505" s="202"/>
      <c r="K505" s="202"/>
      <c r="L505" s="202">
        <f>SUM(ventas_b_mes4[[#This Row],[IMPORTE NETO]:[EXENTO]])</f>
        <v>0</v>
      </c>
      <c r="M505" s="182"/>
    </row>
    <row r="506" spans="2:13" x14ac:dyDescent="0.25">
      <c r="B506" s="194"/>
      <c r="C506" s="41"/>
      <c r="D506" s="196"/>
      <c r="E506" s="197"/>
      <c r="F506" s="198"/>
      <c r="G506" s="199" t="str">
        <f>IFERROR(IF(ventas_b_mes4[[#This Row],[CUIT]]="","-",VLOOKUP(ventas_b_mes4[[#This Row],[CUIT]],Lista_CUIT[#All],2,0)),"CUIT NO CARGADO")</f>
        <v>-</v>
      </c>
      <c r="H506" s="200"/>
      <c r="I506" s="201">
        <f>ventas_b_mes4[[#This Row],[IMPORTE NETO]]*0.21</f>
        <v>0</v>
      </c>
      <c r="J506" s="202"/>
      <c r="K506" s="202"/>
      <c r="L506" s="202">
        <f>SUM(ventas_b_mes4[[#This Row],[IMPORTE NETO]:[EXENTO]])</f>
        <v>0</v>
      </c>
      <c r="M506" s="182"/>
    </row>
    <row r="507" spans="2:13" x14ac:dyDescent="0.25">
      <c r="B507" s="194"/>
      <c r="C507" s="41"/>
      <c r="D507" s="196"/>
      <c r="E507" s="197"/>
      <c r="F507" s="198"/>
      <c r="G507" s="199" t="str">
        <f>IFERROR(IF(ventas_b_mes4[[#This Row],[CUIT]]="","-",VLOOKUP(ventas_b_mes4[[#This Row],[CUIT]],Lista_CUIT[#All],2,0)),"CUIT NO CARGADO")</f>
        <v>-</v>
      </c>
      <c r="H507" s="200"/>
      <c r="I507" s="201">
        <f>ventas_b_mes4[[#This Row],[IMPORTE NETO]]*0.21</f>
        <v>0</v>
      </c>
      <c r="J507" s="202"/>
      <c r="K507" s="202"/>
      <c r="L507" s="202">
        <f>SUM(ventas_b_mes4[[#This Row],[IMPORTE NETO]:[EXENTO]])</f>
        <v>0</v>
      </c>
      <c r="M507" s="182"/>
    </row>
    <row r="508" spans="2:13" x14ac:dyDescent="0.25">
      <c r="B508" s="194"/>
      <c r="C508" s="41"/>
      <c r="D508" s="196"/>
      <c r="E508" s="197"/>
      <c r="F508" s="198"/>
      <c r="G508" s="199" t="str">
        <f>IFERROR(IF(ventas_b_mes4[[#This Row],[CUIT]]="","-",VLOOKUP(ventas_b_mes4[[#This Row],[CUIT]],Lista_CUIT[#All],2,0)),"CUIT NO CARGADO")</f>
        <v>-</v>
      </c>
      <c r="H508" s="200"/>
      <c r="I508" s="201">
        <f>ventas_b_mes4[[#This Row],[IMPORTE NETO]]*0.21</f>
        <v>0</v>
      </c>
      <c r="J508" s="202"/>
      <c r="K508" s="202"/>
      <c r="L508" s="202">
        <f>SUM(ventas_b_mes4[[#This Row],[IMPORTE NETO]:[EXENTO]])</f>
        <v>0</v>
      </c>
      <c r="M508" s="182"/>
    </row>
    <row r="509" spans="2:13" x14ac:dyDescent="0.25">
      <c r="B509" s="194"/>
      <c r="C509" s="41"/>
      <c r="D509" s="196"/>
      <c r="E509" s="197"/>
      <c r="F509" s="198"/>
      <c r="G509" s="199" t="str">
        <f>IFERROR(IF(ventas_b_mes4[[#This Row],[CUIT]]="","-",VLOOKUP(ventas_b_mes4[[#This Row],[CUIT]],Lista_CUIT[#All],2,0)),"CUIT NO CARGADO")</f>
        <v>-</v>
      </c>
      <c r="H509" s="200"/>
      <c r="I509" s="201">
        <f>ventas_b_mes4[[#This Row],[IMPORTE NETO]]*0.21</f>
        <v>0</v>
      </c>
      <c r="J509" s="202"/>
      <c r="K509" s="202"/>
      <c r="L509" s="202">
        <f>SUM(ventas_b_mes4[[#This Row],[IMPORTE NETO]:[EXENTO]])</f>
        <v>0</v>
      </c>
      <c r="M509" s="182"/>
    </row>
    <row r="510" spans="2:13" x14ac:dyDescent="0.25">
      <c r="B510" s="194"/>
      <c r="C510" s="41"/>
      <c r="D510" s="196"/>
      <c r="E510" s="197"/>
      <c r="F510" s="198"/>
      <c r="G510" s="199" t="str">
        <f>IFERROR(IF(ventas_b_mes4[[#This Row],[CUIT]]="","-",VLOOKUP(ventas_b_mes4[[#This Row],[CUIT]],Lista_CUIT[#All],2,0)),"CUIT NO CARGADO")</f>
        <v>-</v>
      </c>
      <c r="H510" s="200"/>
      <c r="I510" s="201">
        <f>ventas_b_mes4[[#This Row],[IMPORTE NETO]]*0.21</f>
        <v>0</v>
      </c>
      <c r="J510" s="202"/>
      <c r="K510" s="202"/>
      <c r="L510" s="202">
        <f>SUM(ventas_b_mes4[[#This Row],[IMPORTE NETO]:[EXENTO]])</f>
        <v>0</v>
      </c>
      <c r="M510" s="182"/>
    </row>
    <row r="511" spans="2:13" x14ac:dyDescent="0.25">
      <c r="B511" s="194"/>
      <c r="C511" s="41"/>
      <c r="D511" s="196"/>
      <c r="E511" s="197"/>
      <c r="F511" s="198"/>
      <c r="G511" s="199" t="str">
        <f>IFERROR(IF(ventas_b_mes4[[#This Row],[CUIT]]="","-",VLOOKUP(ventas_b_mes4[[#This Row],[CUIT]],Lista_CUIT[#All],2,0)),"CUIT NO CARGADO")</f>
        <v>-</v>
      </c>
      <c r="H511" s="200"/>
      <c r="I511" s="201">
        <f>ventas_b_mes4[[#This Row],[IMPORTE NETO]]*0.21</f>
        <v>0</v>
      </c>
      <c r="J511" s="202"/>
      <c r="K511" s="202"/>
      <c r="L511" s="202">
        <f>SUM(ventas_b_mes4[[#This Row],[IMPORTE NETO]:[EXENTO]])</f>
        <v>0</v>
      </c>
      <c r="M511" s="182"/>
    </row>
    <row r="512" spans="2:13" x14ac:dyDescent="0.25">
      <c r="B512" s="194"/>
      <c r="C512" s="41"/>
      <c r="D512" s="196"/>
      <c r="E512" s="197"/>
      <c r="F512" s="198"/>
      <c r="G512" s="199" t="str">
        <f>IFERROR(IF(ventas_b_mes4[[#This Row],[CUIT]]="","-",VLOOKUP(ventas_b_mes4[[#This Row],[CUIT]],Lista_CUIT[#All],2,0)),"CUIT NO CARGADO")</f>
        <v>-</v>
      </c>
      <c r="H512" s="200"/>
      <c r="I512" s="201">
        <f>ventas_b_mes4[[#This Row],[IMPORTE NETO]]*0.21</f>
        <v>0</v>
      </c>
      <c r="J512" s="202"/>
      <c r="K512" s="202"/>
      <c r="L512" s="202">
        <f>SUM(ventas_b_mes4[[#This Row],[IMPORTE NETO]:[EXENTO]])</f>
        <v>0</v>
      </c>
      <c r="M512" s="182"/>
    </row>
    <row r="513" spans="2:13" x14ac:dyDescent="0.25">
      <c r="B513" s="194"/>
      <c r="C513" s="41"/>
      <c r="D513" s="196"/>
      <c r="E513" s="197"/>
      <c r="F513" s="198"/>
      <c r="G513" s="199" t="str">
        <f>IFERROR(IF(ventas_b_mes4[[#This Row],[CUIT]]="","-",VLOOKUP(ventas_b_mes4[[#This Row],[CUIT]],Lista_CUIT[#All],2,0)),"CUIT NO CARGADO")</f>
        <v>-</v>
      </c>
      <c r="H513" s="200"/>
      <c r="I513" s="201">
        <f>ventas_b_mes4[[#This Row],[IMPORTE NETO]]*0.21</f>
        <v>0</v>
      </c>
      <c r="J513" s="202"/>
      <c r="K513" s="202"/>
      <c r="L513" s="202">
        <f>SUM(ventas_b_mes4[[#This Row],[IMPORTE NETO]:[EXENTO]])</f>
        <v>0</v>
      </c>
      <c r="M513" s="182"/>
    </row>
    <row r="514" spans="2:13" x14ac:dyDescent="0.25">
      <c r="B514" s="194"/>
      <c r="C514" s="41"/>
      <c r="D514" s="196"/>
      <c r="E514" s="197"/>
      <c r="F514" s="198"/>
      <c r="G514" s="199" t="str">
        <f>IFERROR(IF(ventas_b_mes4[[#This Row],[CUIT]]="","-",VLOOKUP(ventas_b_mes4[[#This Row],[CUIT]],Lista_CUIT[#All],2,0)),"CUIT NO CARGADO")</f>
        <v>-</v>
      </c>
      <c r="H514" s="200"/>
      <c r="I514" s="201">
        <f>ventas_b_mes4[[#This Row],[IMPORTE NETO]]*0.21</f>
        <v>0</v>
      </c>
      <c r="J514" s="202"/>
      <c r="K514" s="202"/>
      <c r="L514" s="202">
        <f>SUM(ventas_b_mes4[[#This Row],[IMPORTE NETO]:[EXENTO]])</f>
        <v>0</v>
      </c>
      <c r="M514" s="182"/>
    </row>
    <row r="515" spans="2:13" x14ac:dyDescent="0.25">
      <c r="B515" s="194"/>
      <c r="C515" s="41"/>
      <c r="D515" s="196"/>
      <c r="E515" s="197"/>
      <c r="F515" s="198"/>
      <c r="G515" s="199" t="str">
        <f>IFERROR(IF(ventas_b_mes4[[#This Row],[CUIT]]="","-",VLOOKUP(ventas_b_mes4[[#This Row],[CUIT]],Lista_CUIT[#All],2,0)),"CUIT NO CARGADO")</f>
        <v>-</v>
      </c>
      <c r="H515" s="200"/>
      <c r="I515" s="201">
        <f>ventas_b_mes4[[#This Row],[IMPORTE NETO]]*0.21</f>
        <v>0</v>
      </c>
      <c r="J515" s="202"/>
      <c r="K515" s="202"/>
      <c r="L515" s="202">
        <f>SUM(ventas_b_mes4[[#This Row],[IMPORTE NETO]:[EXENTO]])</f>
        <v>0</v>
      </c>
      <c r="M515" s="182"/>
    </row>
    <row r="516" spans="2:13" x14ac:dyDescent="0.25">
      <c r="B516" s="194"/>
      <c r="C516" s="41"/>
      <c r="D516" s="196"/>
      <c r="E516" s="197"/>
      <c r="F516" s="198"/>
      <c r="G516" s="199" t="str">
        <f>IFERROR(IF(ventas_b_mes4[[#This Row],[CUIT]]="","-",VLOOKUP(ventas_b_mes4[[#This Row],[CUIT]],Lista_CUIT[#All],2,0)),"CUIT NO CARGADO")</f>
        <v>-</v>
      </c>
      <c r="H516" s="200"/>
      <c r="I516" s="201">
        <f>ventas_b_mes4[[#This Row],[IMPORTE NETO]]*0.21</f>
        <v>0</v>
      </c>
      <c r="J516" s="202"/>
      <c r="K516" s="202"/>
      <c r="L516" s="202">
        <f>SUM(ventas_b_mes4[[#This Row],[IMPORTE NETO]:[EXENTO]])</f>
        <v>0</v>
      </c>
      <c r="M516" s="182"/>
    </row>
    <row r="517" spans="2:13" x14ac:dyDescent="0.25">
      <c r="B517" s="194"/>
      <c r="C517" s="41"/>
      <c r="D517" s="196"/>
      <c r="E517" s="197"/>
      <c r="F517" s="198"/>
      <c r="G517" s="199" t="str">
        <f>IFERROR(IF(ventas_b_mes4[[#This Row],[CUIT]]="","-",VLOOKUP(ventas_b_mes4[[#This Row],[CUIT]],Lista_CUIT[#All],2,0)),"CUIT NO CARGADO")</f>
        <v>-</v>
      </c>
      <c r="H517" s="200"/>
      <c r="I517" s="201">
        <f>ventas_b_mes4[[#This Row],[IMPORTE NETO]]*0.21</f>
        <v>0</v>
      </c>
      <c r="J517" s="202"/>
      <c r="K517" s="202"/>
      <c r="L517" s="202">
        <f>SUM(ventas_b_mes4[[#This Row],[IMPORTE NETO]:[EXENTO]])</f>
        <v>0</v>
      </c>
      <c r="M517" s="182"/>
    </row>
    <row r="518" spans="2:13" x14ac:dyDescent="0.25">
      <c r="B518" s="194"/>
      <c r="C518" s="41"/>
      <c r="D518" s="196"/>
      <c r="E518" s="197"/>
      <c r="F518" s="198"/>
      <c r="G518" s="199" t="str">
        <f>IFERROR(IF(ventas_b_mes4[[#This Row],[CUIT]]="","-",VLOOKUP(ventas_b_mes4[[#This Row],[CUIT]],Lista_CUIT[#All],2,0)),"CUIT NO CARGADO")</f>
        <v>-</v>
      </c>
      <c r="H518" s="200"/>
      <c r="I518" s="201">
        <f>ventas_b_mes4[[#This Row],[IMPORTE NETO]]*0.21</f>
        <v>0</v>
      </c>
      <c r="J518" s="202"/>
      <c r="K518" s="202"/>
      <c r="L518" s="202">
        <f>SUM(ventas_b_mes4[[#This Row],[IMPORTE NETO]:[EXENTO]])</f>
        <v>0</v>
      </c>
      <c r="M518" s="182"/>
    </row>
    <row r="519" spans="2:13" x14ac:dyDescent="0.25">
      <c r="B519" s="194"/>
      <c r="C519" s="41"/>
      <c r="D519" s="196"/>
      <c r="E519" s="197"/>
      <c r="F519" s="198"/>
      <c r="G519" s="199" t="str">
        <f>IFERROR(IF(ventas_b_mes4[[#This Row],[CUIT]]="","-",VLOOKUP(ventas_b_mes4[[#This Row],[CUIT]],Lista_CUIT[#All],2,0)),"CUIT NO CARGADO")</f>
        <v>-</v>
      </c>
      <c r="H519" s="200"/>
      <c r="I519" s="201">
        <f>ventas_b_mes4[[#This Row],[IMPORTE NETO]]*0.21</f>
        <v>0</v>
      </c>
      <c r="J519" s="202"/>
      <c r="K519" s="202"/>
      <c r="L519" s="202">
        <f>SUM(ventas_b_mes4[[#This Row],[IMPORTE NETO]:[EXENTO]])</f>
        <v>0</v>
      </c>
      <c r="M519" s="182"/>
    </row>
    <row r="520" spans="2:13" x14ac:dyDescent="0.25">
      <c r="B520" s="194"/>
      <c r="C520" s="41"/>
      <c r="D520" s="196"/>
      <c r="E520" s="197"/>
      <c r="F520" s="198"/>
      <c r="G520" s="199" t="str">
        <f>IFERROR(IF(ventas_b_mes4[[#This Row],[CUIT]]="","-",VLOOKUP(ventas_b_mes4[[#This Row],[CUIT]],Lista_CUIT[#All],2,0)),"CUIT NO CARGADO")</f>
        <v>-</v>
      </c>
      <c r="H520" s="200"/>
      <c r="I520" s="201">
        <f>ventas_b_mes4[[#This Row],[IMPORTE NETO]]*0.21</f>
        <v>0</v>
      </c>
      <c r="J520" s="202"/>
      <c r="K520" s="202"/>
      <c r="L520" s="202">
        <f>SUM(ventas_b_mes4[[#This Row],[IMPORTE NETO]:[EXENTO]])</f>
        <v>0</v>
      </c>
      <c r="M520" s="182"/>
    </row>
    <row r="521" spans="2:13" x14ac:dyDescent="0.25">
      <c r="B521" s="194"/>
      <c r="C521" s="41"/>
      <c r="D521" s="196"/>
      <c r="E521" s="197"/>
      <c r="F521" s="198"/>
      <c r="G521" s="199" t="str">
        <f>IFERROR(IF(ventas_b_mes4[[#This Row],[CUIT]]="","-",VLOOKUP(ventas_b_mes4[[#This Row],[CUIT]],Lista_CUIT[#All],2,0)),"CUIT NO CARGADO")</f>
        <v>-</v>
      </c>
      <c r="H521" s="200"/>
      <c r="I521" s="201">
        <f>ventas_b_mes4[[#This Row],[IMPORTE NETO]]*0.21</f>
        <v>0</v>
      </c>
      <c r="J521" s="202"/>
      <c r="K521" s="202"/>
      <c r="L521" s="202">
        <f>SUM(ventas_b_mes4[[#This Row],[IMPORTE NETO]:[EXENTO]])</f>
        <v>0</v>
      </c>
      <c r="M521" s="182"/>
    </row>
    <row r="522" spans="2:13" x14ac:dyDescent="0.25">
      <c r="B522" s="194"/>
      <c r="C522" s="41"/>
      <c r="D522" s="196"/>
      <c r="E522" s="197"/>
      <c r="F522" s="198"/>
      <c r="G522" s="199" t="str">
        <f>IFERROR(IF(ventas_b_mes4[[#This Row],[CUIT]]="","-",VLOOKUP(ventas_b_mes4[[#This Row],[CUIT]],Lista_CUIT[#All],2,0)),"CUIT NO CARGADO")</f>
        <v>-</v>
      </c>
      <c r="H522" s="200"/>
      <c r="I522" s="201">
        <f>ventas_b_mes4[[#This Row],[IMPORTE NETO]]*0.21</f>
        <v>0</v>
      </c>
      <c r="J522" s="202"/>
      <c r="K522" s="202"/>
      <c r="L522" s="202">
        <f>SUM(ventas_b_mes4[[#This Row],[IMPORTE NETO]:[EXENTO]])</f>
        <v>0</v>
      </c>
      <c r="M522" s="182"/>
    </row>
    <row r="523" spans="2:13" x14ac:dyDescent="0.25">
      <c r="B523" s="194"/>
      <c r="C523" s="41"/>
      <c r="D523" s="196"/>
      <c r="E523" s="197"/>
      <c r="F523" s="198"/>
      <c r="G523" s="199" t="str">
        <f>IFERROR(IF(ventas_b_mes4[[#This Row],[CUIT]]="","-",VLOOKUP(ventas_b_mes4[[#This Row],[CUIT]],Lista_CUIT[#All],2,0)),"CUIT NO CARGADO")</f>
        <v>-</v>
      </c>
      <c r="H523" s="200"/>
      <c r="I523" s="201">
        <f>ventas_b_mes4[[#This Row],[IMPORTE NETO]]*0.21</f>
        <v>0</v>
      </c>
      <c r="J523" s="202"/>
      <c r="K523" s="202"/>
      <c r="L523" s="202">
        <f>SUM(ventas_b_mes4[[#This Row],[IMPORTE NETO]:[EXENTO]])</f>
        <v>0</v>
      </c>
      <c r="M523" s="182"/>
    </row>
    <row r="524" spans="2:13" x14ac:dyDescent="0.25">
      <c r="B524" s="194"/>
      <c r="C524" s="41"/>
      <c r="D524" s="196"/>
      <c r="E524" s="197"/>
      <c r="F524" s="198"/>
      <c r="G524" s="199" t="str">
        <f>IFERROR(IF(ventas_b_mes4[[#This Row],[CUIT]]="","-",VLOOKUP(ventas_b_mes4[[#This Row],[CUIT]],Lista_CUIT[#All],2,0)),"CUIT NO CARGADO")</f>
        <v>-</v>
      </c>
      <c r="H524" s="200"/>
      <c r="I524" s="201">
        <f>ventas_b_mes4[[#This Row],[IMPORTE NETO]]*0.21</f>
        <v>0</v>
      </c>
      <c r="J524" s="202"/>
      <c r="K524" s="202"/>
      <c r="L524" s="202">
        <f>SUM(ventas_b_mes4[[#This Row],[IMPORTE NETO]:[EXENTO]])</f>
        <v>0</v>
      </c>
      <c r="M524" s="182"/>
    </row>
    <row r="525" spans="2:13" x14ac:dyDescent="0.25">
      <c r="B525" s="194"/>
      <c r="C525" s="41"/>
      <c r="D525" s="196"/>
      <c r="E525" s="197"/>
      <c r="F525" s="198"/>
      <c r="G525" s="199" t="str">
        <f>IFERROR(IF(ventas_b_mes4[[#This Row],[CUIT]]="","-",VLOOKUP(ventas_b_mes4[[#This Row],[CUIT]],Lista_CUIT[#All],2,0)),"CUIT NO CARGADO")</f>
        <v>-</v>
      </c>
      <c r="H525" s="200"/>
      <c r="I525" s="201">
        <f>ventas_b_mes4[[#This Row],[IMPORTE NETO]]*0.21</f>
        <v>0</v>
      </c>
      <c r="J525" s="202"/>
      <c r="K525" s="202"/>
      <c r="L525" s="202">
        <f>SUM(ventas_b_mes4[[#This Row],[IMPORTE NETO]:[EXENTO]])</f>
        <v>0</v>
      </c>
      <c r="M525" s="182"/>
    </row>
    <row r="526" spans="2:13" x14ac:dyDescent="0.25">
      <c r="B526" s="194"/>
      <c r="C526" s="41"/>
      <c r="D526" s="196"/>
      <c r="E526" s="197"/>
      <c r="F526" s="198"/>
      <c r="G526" s="199" t="str">
        <f>IFERROR(IF(ventas_b_mes4[[#This Row],[CUIT]]="","-",VLOOKUP(ventas_b_mes4[[#This Row],[CUIT]],Lista_CUIT[#All],2,0)),"CUIT NO CARGADO")</f>
        <v>-</v>
      </c>
      <c r="H526" s="200"/>
      <c r="I526" s="201">
        <f>ventas_b_mes4[[#This Row],[IMPORTE NETO]]*0.21</f>
        <v>0</v>
      </c>
      <c r="J526" s="202"/>
      <c r="K526" s="202"/>
      <c r="L526" s="202">
        <f>SUM(ventas_b_mes4[[#This Row],[IMPORTE NETO]:[EXENTO]])</f>
        <v>0</v>
      </c>
      <c r="M526" s="182"/>
    </row>
    <row r="527" spans="2:13" x14ac:dyDescent="0.25">
      <c r="B527" s="194"/>
      <c r="C527" s="41"/>
      <c r="D527" s="196"/>
      <c r="E527" s="197"/>
      <c r="F527" s="198"/>
      <c r="G527" s="199" t="str">
        <f>IFERROR(IF(ventas_b_mes4[[#This Row],[CUIT]]="","-",VLOOKUP(ventas_b_mes4[[#This Row],[CUIT]],Lista_CUIT[#All],2,0)),"CUIT NO CARGADO")</f>
        <v>-</v>
      </c>
      <c r="H527" s="200"/>
      <c r="I527" s="201">
        <f>ventas_b_mes4[[#This Row],[IMPORTE NETO]]*0.21</f>
        <v>0</v>
      </c>
      <c r="J527" s="202"/>
      <c r="K527" s="202"/>
      <c r="L527" s="202">
        <f>SUM(ventas_b_mes4[[#This Row],[IMPORTE NETO]:[EXENTO]])</f>
        <v>0</v>
      </c>
      <c r="M527" s="182"/>
    </row>
    <row r="528" spans="2:13" x14ac:dyDescent="0.25">
      <c r="B528" s="194"/>
      <c r="C528" s="41"/>
      <c r="D528" s="196"/>
      <c r="E528" s="197"/>
      <c r="F528" s="198"/>
      <c r="G528" s="199" t="str">
        <f>IFERROR(IF(ventas_b_mes4[[#This Row],[CUIT]]="","-",VLOOKUP(ventas_b_mes4[[#This Row],[CUIT]],Lista_CUIT[#All],2,0)),"CUIT NO CARGADO")</f>
        <v>-</v>
      </c>
      <c r="H528" s="200"/>
      <c r="I528" s="201">
        <f>ventas_b_mes4[[#This Row],[IMPORTE NETO]]*0.21</f>
        <v>0</v>
      </c>
      <c r="J528" s="202"/>
      <c r="K528" s="202"/>
      <c r="L528" s="202">
        <f>SUM(ventas_b_mes4[[#This Row],[IMPORTE NETO]:[EXENTO]])</f>
        <v>0</v>
      </c>
      <c r="M528" s="182"/>
    </row>
    <row r="529" spans="2:13" x14ac:dyDescent="0.25">
      <c r="B529" s="194"/>
      <c r="C529" s="195"/>
      <c r="D529" s="196"/>
      <c r="E529" s="197"/>
      <c r="F529" s="198"/>
      <c r="G529" s="199" t="str">
        <f>IFERROR(IF(ventas_b_mes4[[#This Row],[CUIT]]="","-",VLOOKUP(ventas_b_mes4[[#This Row],[CUIT]],Lista_CUIT[#All],2,0)),"CUIT NO CARGADO")</f>
        <v>-</v>
      </c>
      <c r="H529" s="200"/>
      <c r="I529" s="201">
        <f>ventas_b_mes4[[#This Row],[IMPORTE NETO]]*0.21</f>
        <v>0</v>
      </c>
      <c r="J529" s="202"/>
      <c r="K529" s="202"/>
      <c r="L529" s="202">
        <f>SUM(ventas_b_mes4[[#This Row],[IMPORTE NETO]:[EXENTO]])</f>
        <v>0</v>
      </c>
      <c r="M529" s="182"/>
    </row>
    <row r="530" spans="2:13" x14ac:dyDescent="0.25">
      <c r="B530" s="194"/>
      <c r="C530" s="195"/>
      <c r="D530" s="196"/>
      <c r="E530" s="197"/>
      <c r="F530" s="198"/>
      <c r="G530" s="199" t="str">
        <f>IFERROR(IF(ventas_b_mes4[[#This Row],[CUIT]]="","-",VLOOKUP(ventas_b_mes4[[#This Row],[CUIT]],Lista_CUIT[#All],2,0)),"CUIT NO CARGADO")</f>
        <v>-</v>
      </c>
      <c r="H530" s="200"/>
      <c r="I530" s="201">
        <f>ventas_b_mes4[[#This Row],[IMPORTE NETO]]*0.21</f>
        <v>0</v>
      </c>
      <c r="J530" s="202"/>
      <c r="K530" s="202"/>
      <c r="L530" s="202">
        <f>SUM(ventas_b_mes4[[#This Row],[IMPORTE NETO]:[EXENTO]])</f>
        <v>0</v>
      </c>
      <c r="M530" s="182"/>
    </row>
    <row r="531" spans="2:13" ht="15.75" thickBot="1" x14ac:dyDescent="0.3">
      <c r="B531" s="167" t="s">
        <v>110</v>
      </c>
      <c r="C531" s="168"/>
      <c r="D531" s="168"/>
      <c r="E531" s="168"/>
      <c r="F531" s="168"/>
      <c r="G531" s="168"/>
      <c r="H531" s="192">
        <f>SUBTOTAL(109,ventas_b_mes4[IMPORTE NETO])</f>
        <v>0</v>
      </c>
      <c r="I531" s="192">
        <f>SUBTOTAL(109,ventas_b_mes4[IVA 21%])</f>
        <v>0</v>
      </c>
      <c r="J531" s="193">
        <f>SUBTOTAL(109,ventas_b_mes4[IVA 10,5%])</f>
        <v>0</v>
      </c>
      <c r="K531" s="193">
        <f>SUBTOTAL(109,ventas_b_mes4[EXENTO])</f>
        <v>0</v>
      </c>
      <c r="L531" s="193">
        <f>SUBTOTAL(109,ventas_b_mes4[TOTAL])</f>
        <v>0</v>
      </c>
      <c r="M531" s="172">
        <f>SUBTOTAL(103,ventas_b_mes4[Provincia])</f>
        <v>0</v>
      </c>
    </row>
    <row r="532" spans="2:13" ht="15.75" thickTop="1" x14ac:dyDescent="0.25">
      <c r="C532" s="625" t="s">
        <v>66</v>
      </c>
      <c r="D532" s="625"/>
      <c r="E532" s="625"/>
      <c r="F532" s="625"/>
      <c r="G532" s="625"/>
      <c r="H532" s="32"/>
      <c r="I532" s="32"/>
      <c r="J532" s="32"/>
    </row>
    <row r="533" spans="2:13" ht="15.75" x14ac:dyDescent="0.25">
      <c r="C533" s="113" t="s">
        <v>67</v>
      </c>
      <c r="D533" s="114" t="s">
        <v>68</v>
      </c>
      <c r="E533" s="114" t="s">
        <v>112</v>
      </c>
      <c r="F533" s="114" t="s">
        <v>3</v>
      </c>
      <c r="G533" s="114" t="s">
        <v>4</v>
      </c>
      <c r="H533" s="115" t="s">
        <v>69</v>
      </c>
      <c r="I533" s="115" t="s">
        <v>70</v>
      </c>
      <c r="J533" s="115" t="s">
        <v>71</v>
      </c>
      <c r="K533" s="115" t="s">
        <v>72</v>
      </c>
      <c r="L533" s="115" t="s">
        <v>73</v>
      </c>
    </row>
    <row r="534" spans="2:13" x14ac:dyDescent="0.25">
      <c r="C534" s="116"/>
      <c r="D534" s="117"/>
      <c r="E534" s="117"/>
      <c r="F534" s="118"/>
      <c r="G534" s="53" t="str">
        <f>IFERROR(IF(Retenciones_mes4[[#This Row],[CUIT]]="","-",VLOOKUP(Retenciones_mes4[[#This Row],[CUIT]],Lista_CUIT[#All],2,0)),"CUIT NO CARGADO")</f>
        <v>-</v>
      </c>
      <c r="H534" s="119"/>
      <c r="I534" s="119"/>
      <c r="J534" s="119"/>
      <c r="K534" s="119"/>
      <c r="L534" s="119"/>
    </row>
    <row r="535" spans="2:13" x14ac:dyDescent="0.25">
      <c r="C535" s="116"/>
      <c r="D535" s="117"/>
      <c r="E535" s="117"/>
      <c r="F535" s="118"/>
      <c r="G535" s="53" t="str">
        <f>IFERROR(IF(Retenciones_mes4[[#This Row],[CUIT]]="","-",VLOOKUP(Retenciones_mes4[[#This Row],[CUIT]],Lista_CUIT[#All],2,0)),"CUIT NO CARGADO")</f>
        <v>-</v>
      </c>
      <c r="H535" s="119"/>
      <c r="I535" s="119"/>
      <c r="J535" s="119"/>
      <c r="K535" s="119"/>
      <c r="L535" s="119"/>
    </row>
    <row r="536" spans="2:13" x14ac:dyDescent="0.25">
      <c r="C536" s="116"/>
      <c r="D536" s="117"/>
      <c r="E536" s="117"/>
      <c r="F536" s="118"/>
      <c r="G536" s="53" t="str">
        <f>IFERROR(IF(Retenciones_mes4[[#This Row],[CUIT]]="","-",VLOOKUP(Retenciones_mes4[[#This Row],[CUIT]],Lista_CUIT[#All],2,0)),"CUIT NO CARGADO")</f>
        <v>-</v>
      </c>
      <c r="H536" s="119"/>
      <c r="I536" s="119"/>
      <c r="J536" s="119"/>
      <c r="K536" s="119"/>
      <c r="L536" s="119"/>
    </row>
    <row r="537" spans="2:13" x14ac:dyDescent="0.25">
      <c r="C537" s="116"/>
      <c r="D537" s="117"/>
      <c r="E537" s="117"/>
      <c r="F537" s="118"/>
      <c r="G537" s="53" t="str">
        <f>IFERROR(IF(Retenciones_mes4[[#This Row],[CUIT]]="","-",VLOOKUP(Retenciones_mes4[[#This Row],[CUIT]],Lista_CUIT[#All],2,0)),"CUIT NO CARGADO")</f>
        <v>-</v>
      </c>
      <c r="H537" s="119"/>
      <c r="I537" s="119"/>
      <c r="J537" s="119"/>
      <c r="K537" s="119"/>
      <c r="L537" s="119"/>
    </row>
    <row r="538" spans="2:13" x14ac:dyDescent="0.25">
      <c r="D538" s="117"/>
      <c r="E538" s="117"/>
      <c r="G538" s="53" t="str">
        <f>IFERROR(IF(Retenciones_mes4[[#This Row],[CUIT]]="","-",VLOOKUP(Retenciones_mes4[[#This Row],[CUIT]],Lista_CUIT[#All],2,0)),"CUIT NO CARGADO")</f>
        <v>-</v>
      </c>
    </row>
    <row r="539" spans="2:13" x14ac:dyDescent="0.25">
      <c r="C539" s="33"/>
    </row>
  </sheetData>
  <mergeCells count="20">
    <mergeCell ref="C532:G532"/>
    <mergeCell ref="B4:E4"/>
    <mergeCell ref="G4:H4"/>
    <mergeCell ref="J4:K4"/>
    <mergeCell ref="M4:N4"/>
    <mergeCell ref="D143:K143"/>
    <mergeCell ref="B198:J198"/>
    <mergeCell ref="K198:M198"/>
    <mergeCell ref="B200:C200"/>
    <mergeCell ref="B266:C266"/>
    <mergeCell ref="P4:R4"/>
    <mergeCell ref="D135:L13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268:L530" xr:uid="{00000000-0002-0000-0400-000000000000}">
      <formula1>IF($C268=8,H268&lt;0,H268&gt;=0)</formula1>
    </dataValidation>
    <dataValidation type="custom" allowBlank="1" showInputMessage="1" showErrorMessage="1" sqref="L204:L206" xr:uid="{00000000-0002-0000-0400-000001000000}">
      <formula1>IF($C62=3,L62&lt;0,L62&gt;=0)</formula1>
    </dataValidation>
    <dataValidation type="whole" allowBlank="1" showInputMessage="1" showErrorMessage="1" sqref="C268:C530" xr:uid="{00000000-0002-0000-0400-000002000000}">
      <formula1>6</formula1>
      <formula2>8</formula2>
    </dataValidation>
    <dataValidation type="custom" allowBlank="1" showInputMessage="1" showErrorMessage="1" sqref="H202:K202 H204:K204 H206:K206 H208:K208" xr:uid="{00000000-0002-0000-0400-000003000000}">
      <formula1>IF($C202=3,H202&lt;0,H202&gt;=0)</formula1>
    </dataValidation>
    <dataValidation type="whole" allowBlank="1" showInputMessage="1" showErrorMessage="1" sqref="C131:C134 C202:C264 C9:C129" xr:uid="{00000000-0002-0000-0400-000004000000}">
      <formula1>1</formula1>
      <formula2>3</formula2>
    </dataValidation>
    <dataValidation type="date" allowBlank="1" showInputMessage="1" showErrorMessage="1" sqref="D145:D191 B131:B134 B202:B264 B268:B530 D137:D139 B9:B129" xr:uid="{00000000-0002-0000-0400-000005000000}">
      <formula1>40179</formula1>
      <formula2>TODAY()</formula2>
    </dataValidation>
    <dataValidation type="whole" allowBlank="1" showInputMessage="1" showErrorMessage="1" sqref="G145:G191 F202:F264 F268:F530 F9:F129" xr:uid="{00000000-0002-0000-0400-000006000000}">
      <formula1>20000000000</formula1>
      <formula2>33999999999</formula2>
    </dataValidation>
    <dataValidation type="whole" allowBlank="1" showInputMessage="1" showErrorMessage="1" sqref="F145:F191 E202:E264 E268:E530 E9:E129" xr:uid="{00000000-0002-0000-0400-000007000000}">
      <formula1>1</formula1>
      <formula2>99999999</formula2>
    </dataValidation>
    <dataValidation type="whole" allowBlank="1" showInputMessage="1" showErrorMessage="1" sqref="E145:E191 D202:D264 D268:D530 D9:D112" xr:uid="{00000000-0002-0000-0400-000008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62:N64 J65:O113 H9:I129 J9:O61" xr:uid="{00000000-0002-0000-0400-000009000000}">
      <formula1>IF($C9=3,H9&lt;0,H9&gt;=0)</formula1>
    </dataValidation>
    <dataValidation type="custom" allowBlank="1" showInputMessage="1" showErrorMessage="1" sqref="L207:L208" xr:uid="{00000000-0002-0000-0400-00000A000000}">
      <formula1>IF($C130=3,L130&lt;0,L130&gt;=0)</formula1>
    </dataValidation>
    <dataValidation type="custom" allowBlank="1" showInputMessage="1" showErrorMessage="1" sqref="L202" xr:uid="{00000000-0002-0000-0400-00000B000000}">
      <formula1>IF(#REF!=3,#REF!&lt;0,#REF!&gt;=0)</formula1>
    </dataValidation>
    <dataValidation type="custom" allowBlank="1" showInputMessage="1" showErrorMessage="1" sqref="L203" xr:uid="{00000000-0002-0000-0400-00000C000000}">
      <formula1>IF($C9=3,L9&lt;0,L9&gt;=0)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554"/>
  <sheetViews>
    <sheetView showGridLines="0" topLeftCell="F94" zoomScale="70" zoomScaleNormal="70" workbookViewId="0">
      <selection activeCell="G86" sqref="G86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4.7109375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hidden="1" customWidth="1"/>
    <col min="19" max="19" width="13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EDATE('Ene-25'!N1,4)</f>
        <v>45778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SUM(compras_mes5[[#Totals],[NETO GRAVADO]])+extracto_banco_mes5[[#Totals],[NETO]]</f>
        <v>31763566.429999989</v>
      </c>
      <c r="C4" s="626"/>
      <c r="D4" s="626"/>
      <c r="E4" s="626"/>
      <c r="F4" s="39"/>
      <c r="G4" s="627">
        <f>compras_mes5[[#Totals],[IVA 21 %]]+compras_mes5[[#Totals],[IVA 27%]]+compras_mes5[[#Totals],[IVA 10,5%]]+extracto_banco_mes5[[#Totals],[IVA 21%]]+extracto_banco_mes5[[#Totals],[IVA 10,5%]]</f>
        <v>6651584.0158000011</v>
      </c>
      <c r="H4" s="627"/>
      <c r="I4" s="39"/>
      <c r="J4" s="628">
        <f>venta_a_mes5[[#Totals],[IMPORTE NETO]]+ventas_b_mes5[[#Totals],[IMPORTE NETO]]</f>
        <v>0</v>
      </c>
      <c r="K4" s="628"/>
      <c r="L4" s="39"/>
      <c r="M4" s="628">
        <f>venta_a_mes5[[#Totals],[IVA 21%]]+venta_a_mes5[[#Totals],[IVA 10,5%]]+ventas_b_mes5[[#Totals],[IVA 21%]]+ventas_b_mes5[[#Totals],[IVA 10,5%]]</f>
        <v>0</v>
      </c>
      <c r="N4" s="628"/>
      <c r="O4" s="39"/>
      <c r="P4" s="616">
        <f>G4-M4</f>
        <v>6651584.0158000011</v>
      </c>
      <c r="Q4" s="617"/>
      <c r="R4" s="617"/>
    </row>
    <row r="5" spans="1:26" ht="13.15" customHeight="1" x14ac:dyDescent="0.25"/>
    <row r="6" spans="1:26" ht="21" customHeight="1" x14ac:dyDescent="0.25">
      <c r="G6" s="222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  <c r="S8" s="504" t="s">
        <v>112</v>
      </c>
    </row>
    <row r="9" spans="1:26" s="428" customFormat="1" x14ac:dyDescent="0.25">
      <c r="B9" s="486">
        <v>45778</v>
      </c>
      <c r="C9" s="442">
        <v>1</v>
      </c>
      <c r="D9" s="487">
        <v>711</v>
      </c>
      <c r="E9" s="488">
        <v>7055586</v>
      </c>
      <c r="F9" s="489">
        <v>30677237119</v>
      </c>
      <c r="G9" s="490" t="str">
        <f>IFERROR(IF(compras_mes5[[#This Row],[CUIT]]="","-",VLOOKUP(compras_mes5[[#This Row],[CUIT]],Lista_CUIT[#All],2,0)),"CUIT NO CARGADO")</f>
        <v>AUTOPISTAS DEL SOL SA</v>
      </c>
      <c r="H9" s="491">
        <v>14559.75</v>
      </c>
      <c r="I9" s="485">
        <f>IF(compras_mes5[[#This Row],[NETO GRAVADO]]="","",compras_mes5[[#This Row],[NETO GRAVADO]]*0.21)</f>
        <v>3057.5474999999997</v>
      </c>
      <c r="J9" s="485"/>
      <c r="K9" s="485"/>
      <c r="L9" s="485"/>
      <c r="M9" s="485"/>
      <c r="N9" s="485">
        <v>582.39</v>
      </c>
      <c r="O9" s="485">
        <v>436.79</v>
      </c>
      <c r="P9" s="492">
        <f>SUM(compras_mes5[[#This Row],[NETO GRAVADO]:[Otros / No Grav.]])</f>
        <v>18636.477500000001</v>
      </c>
      <c r="Q9" s="493" t="str">
        <f>IFERROR(IF(compras_mes5[[#This Row],[CUIT]]="","-",VLOOKUP(compras_mes5[[#This Row],[CUIT]],Lista_CUIT[#All],3,0)),"CUIT NO CARGADO")</f>
        <v>Autopista</v>
      </c>
      <c r="R9" s="493">
        <f>IFERROR(IF(compras_mes5[[#This Row],[CUIT]]="","-",VLOOKUP(compras_mes5[[#This Row],[CUIT]],Lista_CUIT[#All],4,0)),"CUIT NO CARGADO")</f>
        <v>0</v>
      </c>
    </row>
    <row r="10" spans="1:26" s="428" customFormat="1" ht="14.25" customHeight="1" x14ac:dyDescent="0.25">
      <c r="B10" s="486">
        <v>45778</v>
      </c>
      <c r="C10" s="442">
        <v>1</v>
      </c>
      <c r="D10" s="487">
        <v>1</v>
      </c>
      <c r="E10" s="488">
        <v>123356</v>
      </c>
      <c r="F10" s="489">
        <v>30714864269</v>
      </c>
      <c r="G10" s="490" t="str">
        <f>IFERROR(IF(compras_mes5[[#This Row],[CUIT]]="","-",VLOOKUP(compras_mes5[[#This Row],[CUIT]],Lista_CUIT[#All],2,0)),"CUIT NO CARGADO")</f>
        <v>CONTABILIUM S.A. S. A.</v>
      </c>
      <c r="H10" s="491">
        <v>164170</v>
      </c>
      <c r="I10" s="485">
        <f>IF(compras_mes5[[#This Row],[NETO GRAVADO]]="","",compras_mes5[[#This Row],[NETO GRAVADO]]*0.21)</f>
        <v>34475.699999999997</v>
      </c>
      <c r="J10" s="485"/>
      <c r="K10" s="485"/>
      <c r="L10" s="485"/>
      <c r="M10" s="485"/>
      <c r="N10" s="485"/>
      <c r="O10" s="485"/>
      <c r="P10" s="492">
        <f>SUM(compras_mes5[[#This Row],[NETO GRAVADO]:[Otros / No Grav.]])</f>
        <v>198645.7</v>
      </c>
      <c r="Q10" s="493" t="str">
        <f>IFERROR(IF(compras_mes5[[#This Row],[CUIT]]="","-",VLOOKUP(compras_mes5[[#This Row],[CUIT]],Lista_CUIT[#All],3,0)),"CUIT NO CARGADO")</f>
        <v>USUARIO CONTABLE</v>
      </c>
      <c r="R10" s="493">
        <f>IFERROR(IF(compras_mes5[[#This Row],[CUIT]]="","-",VLOOKUP(compras_mes5[[#This Row],[CUIT]],Lista_CUIT[#All],4,0)),"CUIT NO CARGADO")</f>
        <v>0</v>
      </c>
    </row>
    <row r="11" spans="1:26" s="428" customFormat="1" x14ac:dyDescent="0.25">
      <c r="B11" s="441">
        <v>45778</v>
      </c>
      <c r="C11" s="442">
        <v>1</v>
      </c>
      <c r="D11" s="443">
        <v>629</v>
      </c>
      <c r="E11" s="444">
        <v>6069001</v>
      </c>
      <c r="F11" s="445">
        <v>30663498513</v>
      </c>
      <c r="G11" s="446" t="str">
        <f>IFERROR(IF(compras_mes5[[#This Row],[CUIT]]="","-",VLOOKUP(compras_mes5[[#This Row],[CUIT]],Lista_CUIT[#All],2,0)),"CUIT NO CARGADO")</f>
        <v>GRUPO CONCES. DEL OESTE SA</v>
      </c>
      <c r="H11" s="386">
        <v>4391.03</v>
      </c>
      <c r="I11" s="485">
        <f>IF(compras_mes5[[#This Row],[NETO GRAVADO]]="","",compras_mes5[[#This Row],[NETO GRAVADO]]*0.21)</f>
        <v>922.11629999999991</v>
      </c>
      <c r="J11" s="387"/>
      <c r="K11" s="387"/>
      <c r="L11" s="387"/>
      <c r="M11" s="387"/>
      <c r="N11" s="387">
        <v>175.64</v>
      </c>
      <c r="O11" s="387"/>
      <c r="P11" s="447">
        <f>SUM(compras_mes5[[#This Row],[NETO GRAVADO]:[Otros / No Grav.]])</f>
        <v>5488.7862999999998</v>
      </c>
      <c r="Q11" s="448" t="str">
        <f>IFERROR(IF(compras_mes5[[#This Row],[CUIT]]="","-",VLOOKUP(compras_mes5[[#This Row],[CUIT]],Lista_CUIT[#All],3,0)),"CUIT NO CARGADO")</f>
        <v>Autopista</v>
      </c>
      <c r="R11" s="448">
        <f>IFERROR(IF(compras_mes5[[#This Row],[CUIT]]="","-",VLOOKUP(compras_mes5[[#This Row],[CUIT]],Lista_CUIT[#All],4,0)),"CUIT NO CARGADO")</f>
        <v>0</v>
      </c>
    </row>
    <row r="12" spans="1:26" s="428" customFormat="1" x14ac:dyDescent="0.25">
      <c r="B12" s="486">
        <v>45778</v>
      </c>
      <c r="C12" s="442">
        <v>1</v>
      </c>
      <c r="D12" s="487">
        <v>4</v>
      </c>
      <c r="E12" s="488">
        <v>1518883</v>
      </c>
      <c r="F12" s="489">
        <v>30716620634</v>
      </c>
      <c r="G12" s="490" t="str">
        <f>IFERROR(IF(compras_mes5[[#This Row],[CUIT]]="","-",VLOOKUP(compras_mes5[[#This Row],[CUIT]],Lista_CUIT[#All],2,0)),"CUIT NO CARGADO")</f>
        <v>FIRST LABEL S.R.L.</v>
      </c>
      <c r="H12" s="491">
        <v>867767.77</v>
      </c>
      <c r="I12" s="485">
        <f>IF(compras_mes5[[#This Row],[NETO GRAVADO]]="","",compras_mes5[[#This Row],[NETO GRAVADO]]*0.21)</f>
        <v>182231.2317</v>
      </c>
      <c r="J12" s="485"/>
      <c r="K12" s="485"/>
      <c r="L12" s="485"/>
      <c r="M12" s="485"/>
      <c r="N12" s="485"/>
      <c r="O12" s="485">
        <v>34710.71</v>
      </c>
      <c r="P12" s="492">
        <f>SUM(compras_mes5[[#This Row],[NETO GRAVADO]:[Otros / No Grav.]])</f>
        <v>1084709.7116999999</v>
      </c>
      <c r="Q12" s="493" t="str">
        <f>IFERROR(IF(compras_mes5[[#This Row],[CUIT]]="","-",VLOOKUP(compras_mes5[[#This Row],[CUIT]],Lista_CUIT[#All],3,0)),"CUIT NO CARGADO")</f>
        <v>SERVICIO</v>
      </c>
      <c r="R12" s="493">
        <f>IFERROR(IF(compras_mes5[[#This Row],[CUIT]]="","-",VLOOKUP(compras_mes5[[#This Row],[CUIT]],Lista_CUIT[#All],4,0)),"CUIT NO CARGADO")</f>
        <v>0</v>
      </c>
    </row>
    <row r="13" spans="1:26" s="428" customFormat="1" x14ac:dyDescent="0.25">
      <c r="B13" s="486">
        <v>45779</v>
      </c>
      <c r="C13" s="442">
        <v>1</v>
      </c>
      <c r="D13" s="487">
        <v>2</v>
      </c>
      <c r="E13" s="488">
        <v>239</v>
      </c>
      <c r="F13" s="489">
        <v>30605344352</v>
      </c>
      <c r="G13" s="490" t="str">
        <f>IFERROR(IF(compras_mes5[[#This Row],[CUIT]]="","-",VLOOKUP(compras_mes5[[#This Row],[CUIT]],Lista_CUIT[#All],2,0)),"CUIT NO CARGADO")</f>
        <v>CONSORCIO BARTOLME MITRE 2466</v>
      </c>
      <c r="H13" s="491">
        <v>2000000</v>
      </c>
      <c r="I13" s="485">
        <f>IF(compras_mes5[[#This Row],[NETO GRAVADO]]="","",compras_mes5[[#This Row],[NETO GRAVADO]]*0.21)</f>
        <v>420000</v>
      </c>
      <c r="J13" s="485"/>
      <c r="K13" s="485"/>
      <c r="L13" s="485"/>
      <c r="M13" s="485"/>
      <c r="N13" s="485"/>
      <c r="O13" s="485"/>
      <c r="P13" s="492">
        <f>SUM(compras_mes5[[#This Row],[NETO GRAVADO]:[Otros / No Grav.]])</f>
        <v>2420000</v>
      </c>
      <c r="Q13" s="493" t="str">
        <f>IFERROR(IF(compras_mes5[[#This Row],[CUIT]]="","-",VLOOKUP(compras_mes5[[#This Row],[CUIT]],Lista_CUIT[#All],3,0)),"CUIT NO CARGADO")</f>
        <v>ALQUILER LOCAL</v>
      </c>
      <c r="R13" s="493">
        <f>IFERROR(IF(compras_mes5[[#This Row],[CUIT]]="","-",VLOOKUP(compras_mes5[[#This Row],[CUIT]],Lista_CUIT[#All],4,0)),"CUIT NO CARGADO")</f>
        <v>0</v>
      </c>
    </row>
    <row r="14" spans="1:26" s="428" customFormat="1" x14ac:dyDescent="0.25">
      <c r="B14" s="441">
        <v>45779</v>
      </c>
      <c r="C14" s="442">
        <v>1</v>
      </c>
      <c r="D14" s="443">
        <v>3051</v>
      </c>
      <c r="E14" s="444">
        <v>911477</v>
      </c>
      <c r="F14" s="445">
        <v>30678814357</v>
      </c>
      <c r="G14" s="446" t="str">
        <f>IFERROR(IF(compras_mes5[[#This Row],[CUIT]]="","-",VLOOKUP(compras_mes5[[#This Row],[CUIT]],Lista_CUIT[#All],2,0)),"CUIT NO CARGADO")</f>
        <v>TELEFONICA MOVILES ARG SA</v>
      </c>
      <c r="H14" s="386">
        <v>88958.37</v>
      </c>
      <c r="I14" s="485"/>
      <c r="J14" s="387">
        <f>compras_mes5[[#This Row],[NETO GRAVADO]]*27/100</f>
        <v>24018.759899999997</v>
      </c>
      <c r="K14" s="387"/>
      <c r="L14" s="387">
        <v>2668.75</v>
      </c>
      <c r="M14" s="387"/>
      <c r="N14" s="387">
        <v>3735.47</v>
      </c>
      <c r="O14" s="387">
        <v>4428.5200000000004</v>
      </c>
      <c r="P14" s="447">
        <f>SUM(compras_mes5[[#This Row],[NETO GRAVADO]:[Otros / No Grav.]])</f>
        <v>123809.86990000001</v>
      </c>
      <c r="Q14" s="448" t="str">
        <f>IFERROR(IF(compras_mes5[[#This Row],[CUIT]]="","-",VLOOKUP(compras_mes5[[#This Row],[CUIT]],Lista_CUIT[#All],3,0)),"CUIT NO CARGADO")</f>
        <v>SERVICIO</v>
      </c>
      <c r="R14" s="448">
        <f>IFERROR(IF(compras_mes5[[#This Row],[CUIT]]="","-",VLOOKUP(compras_mes5[[#This Row],[CUIT]],Lista_CUIT[#All],4,0)),"CUIT NO CARGADO")</f>
        <v>0</v>
      </c>
    </row>
    <row r="15" spans="1:26" s="428" customFormat="1" x14ac:dyDescent="0.25">
      <c r="B15" s="441">
        <v>45779</v>
      </c>
      <c r="C15" s="442">
        <v>1</v>
      </c>
      <c r="D15" s="443">
        <v>500</v>
      </c>
      <c r="E15" s="444">
        <v>1723166</v>
      </c>
      <c r="F15" s="445">
        <v>30654118767</v>
      </c>
      <c r="G15" s="446" t="str">
        <f>IFERROR(IF(compras_mes5[[#This Row],[CUIT]]="","-",VLOOKUP(compras_mes5[[#This Row],[CUIT]],Lista_CUIT[#All],2,0)),"CUIT NO CARGADO")</f>
        <v>SOLUCIONES MULTIMEDIA SA</v>
      </c>
      <c r="H15" s="386">
        <v>127126.59</v>
      </c>
      <c r="I15" s="485">
        <f>IF(compras_mes5[[#This Row],[NETO GRAVADO]]="","",compras_mes5[[#This Row],[NETO GRAVADO]]*0.21)</f>
        <v>26696.583899999998</v>
      </c>
      <c r="J15" s="387"/>
      <c r="K15" s="387"/>
      <c r="L15" s="387"/>
      <c r="M15" s="387"/>
      <c r="N15" s="387">
        <v>5085.07</v>
      </c>
      <c r="O15" s="387"/>
      <c r="P15" s="447">
        <f>SUM(compras_mes5[[#This Row],[NETO GRAVADO]:[Otros / No Grav.]])</f>
        <v>158908.2439</v>
      </c>
      <c r="Q15" s="448" t="str">
        <f>IFERROR(IF(compras_mes5[[#This Row],[CUIT]]="","-",VLOOKUP(compras_mes5[[#This Row],[CUIT]],Lista_CUIT[#All],3,0)),"CUIT NO CARGADO")</f>
        <v>gastos varios</v>
      </c>
      <c r="R15" s="448">
        <f>IFERROR(IF(compras_mes5[[#This Row],[CUIT]]="","-",VLOOKUP(compras_mes5[[#This Row],[CUIT]],Lista_CUIT[#All],4,0)),"CUIT NO CARGADO")</f>
        <v>0</v>
      </c>
    </row>
    <row r="16" spans="1:26" s="428" customFormat="1" x14ac:dyDescent="0.25">
      <c r="B16" s="441">
        <v>45780</v>
      </c>
      <c r="C16" s="442">
        <v>1</v>
      </c>
      <c r="D16" s="443">
        <v>1</v>
      </c>
      <c r="E16" s="444">
        <v>827481</v>
      </c>
      <c r="F16" s="445">
        <v>33716307749</v>
      </c>
      <c r="G16" s="446" t="str">
        <f>IFERROR(IF(compras_mes5[[#This Row],[CUIT]]="","-",VLOOKUP(compras_mes5[[#This Row],[CUIT]],Lista_CUIT[#All],2,0)),"CUIT NO CARGADO")</f>
        <v>VERISURE ARGENTINA MONITOREO DE ALARMAS SA</v>
      </c>
      <c r="H16" s="386">
        <v>53953.8</v>
      </c>
      <c r="I16" s="485">
        <f>IF(compras_mes5[[#This Row],[NETO GRAVADO]]="","",compras_mes5[[#This Row],[NETO GRAVADO]]*0.21)</f>
        <v>11330.298000000001</v>
      </c>
      <c r="J16" s="387"/>
      <c r="K16" s="387"/>
      <c r="L16" s="387"/>
      <c r="M16" s="387"/>
      <c r="N16" s="387">
        <v>2158.15</v>
      </c>
      <c r="O16" s="387"/>
      <c r="P16" s="447">
        <f>SUM(compras_mes5[[#This Row],[NETO GRAVADO]:[Otros / No Grav.]])</f>
        <v>67442.248000000007</v>
      </c>
      <c r="Q16" s="448" t="str">
        <f>IFERROR(IF(compras_mes5[[#This Row],[CUIT]]="","-",VLOOKUP(compras_mes5[[#This Row],[CUIT]],Lista_CUIT[#All],3,0)),"CUIT NO CARGADO")</f>
        <v>Serv. Seguridad</v>
      </c>
      <c r="R16" s="448">
        <f>IFERROR(IF(compras_mes5[[#This Row],[CUIT]]="","-",VLOOKUP(compras_mes5[[#This Row],[CUIT]],Lista_CUIT[#All],4,0)),"CUIT NO CARGADO")</f>
        <v>0</v>
      </c>
    </row>
    <row r="17" spans="2:18" s="428" customFormat="1" x14ac:dyDescent="0.25">
      <c r="B17" s="486">
        <v>45782</v>
      </c>
      <c r="C17" s="442">
        <v>1</v>
      </c>
      <c r="D17" s="487">
        <v>3</v>
      </c>
      <c r="E17" s="488">
        <v>37</v>
      </c>
      <c r="F17" s="489">
        <v>20216164262</v>
      </c>
      <c r="G17" s="490" t="str">
        <f>IFERROR(IF(compras_mes5[[#This Row],[CUIT]]="","-",VLOOKUP(compras_mes5[[#This Row],[CUIT]],Lista_CUIT[#All],2,0)),"CUIT NO CARGADO")</f>
        <v>VELEZ ALEJANDRO MARCELO</v>
      </c>
      <c r="H17" s="491">
        <v>1500000</v>
      </c>
      <c r="I17" s="485">
        <f>IF(compras_mes5[[#This Row],[NETO GRAVADO]]="","",compras_mes5[[#This Row],[NETO GRAVADO]]*0.21)</f>
        <v>315000</v>
      </c>
      <c r="J17" s="485"/>
      <c r="K17" s="485"/>
      <c r="L17" s="485"/>
      <c r="M17" s="485"/>
      <c r="N17" s="485"/>
      <c r="O17" s="485"/>
      <c r="P17" s="492">
        <f>SUM(compras_mes5[[#This Row],[NETO GRAVADO]:[Otros / No Grav.]])</f>
        <v>1815000</v>
      </c>
      <c r="Q17" s="493" t="str">
        <f>IFERROR(IF(compras_mes5[[#This Row],[CUIT]]="","-",VLOOKUP(compras_mes5[[#This Row],[CUIT]],Lista_CUIT[#All],3,0)),"CUIT NO CARGADO")</f>
        <v>Insumos</v>
      </c>
      <c r="R17" s="493">
        <f>IFERROR(IF(compras_mes5[[#This Row],[CUIT]]="","-",VLOOKUP(compras_mes5[[#This Row],[CUIT]],Lista_CUIT[#All],4,0)),"CUIT NO CARGADO")</f>
        <v>0</v>
      </c>
    </row>
    <row r="18" spans="2:18" s="428" customFormat="1" x14ac:dyDescent="0.25">
      <c r="B18" s="486">
        <v>45783</v>
      </c>
      <c r="C18" s="442">
        <v>1</v>
      </c>
      <c r="D18" s="487">
        <v>6</v>
      </c>
      <c r="E18" s="488">
        <v>57343</v>
      </c>
      <c r="F18" s="489">
        <v>30710177658</v>
      </c>
      <c r="G18" s="490" t="str">
        <f>IFERROR(IF(compras_mes5[[#This Row],[CUIT]]="","-",VLOOKUP(compras_mes5[[#This Row],[CUIT]],Lista_CUIT[#All],2,0)),"CUIT NO CARGADO")</f>
        <v>TARGET MEDICAL SA</v>
      </c>
      <c r="H18" s="491">
        <v>3155460</v>
      </c>
      <c r="I18" s="485">
        <f>IF(compras_mes5[[#This Row],[NETO GRAVADO]]="","",compras_mes5[[#This Row],[NETO GRAVADO]]*0.21)</f>
        <v>662646.6</v>
      </c>
      <c r="J18" s="485"/>
      <c r="K18" s="485"/>
      <c r="L18" s="485"/>
      <c r="M18" s="485"/>
      <c r="N18" s="485">
        <v>126218.4</v>
      </c>
      <c r="O18" s="485"/>
      <c r="P18" s="492">
        <f>SUM(compras_mes5[[#This Row],[NETO GRAVADO]:[Otros / No Grav.]])</f>
        <v>3944325</v>
      </c>
      <c r="Q18" s="493" t="str">
        <f>IFERROR(IF(compras_mes5[[#This Row],[CUIT]]="","-",VLOOKUP(compras_mes5[[#This Row],[CUIT]],Lista_CUIT[#All],3,0)),"CUIT NO CARGADO")</f>
        <v>INSUMO</v>
      </c>
      <c r="R18" s="493">
        <f>IFERROR(IF(compras_mes5[[#This Row],[CUIT]]="","-",VLOOKUP(compras_mes5[[#This Row],[CUIT]],Lista_CUIT[#All],4,0)),"CUIT NO CARGADO")</f>
        <v>0</v>
      </c>
    </row>
    <row r="19" spans="2:18" s="428" customFormat="1" x14ac:dyDescent="0.25">
      <c r="B19" s="486">
        <v>45783</v>
      </c>
      <c r="C19" s="442">
        <v>1</v>
      </c>
      <c r="D19" s="487">
        <v>120</v>
      </c>
      <c r="E19" s="488">
        <v>5646</v>
      </c>
      <c r="F19" s="489">
        <v>30587197215</v>
      </c>
      <c r="G19" s="490" t="str">
        <f>IFERROR(IF(compras_mes5[[#This Row],[CUIT]]="","-",VLOOKUP(compras_mes5[[#This Row],[CUIT]],Lista_CUIT[#All],2,0)),"CUIT NO CARGADO")</f>
        <v>PANATEL SOCIEDAD ANONIMA</v>
      </c>
      <c r="H19" s="491">
        <v>95041.32</v>
      </c>
      <c r="I19" s="485">
        <f>IF(compras_mes5[[#This Row],[NETO GRAVADO]]="","",compras_mes5[[#This Row],[NETO GRAVADO]]*0.21)</f>
        <v>19958.677200000002</v>
      </c>
      <c r="J19" s="485"/>
      <c r="K19" s="485"/>
      <c r="L19" s="485"/>
      <c r="M19" s="485"/>
      <c r="N19" s="485">
        <v>5702.48</v>
      </c>
      <c r="O19" s="485"/>
      <c r="P19" s="492">
        <f>SUM(compras_mes5[[#This Row],[NETO GRAVADO]:[Otros / No Grav.]])</f>
        <v>120702.47720000001</v>
      </c>
      <c r="Q19" s="493" t="str">
        <f>IFERROR(IF(compras_mes5[[#This Row],[CUIT]]="","-",VLOOKUP(compras_mes5[[#This Row],[CUIT]],Lista_CUIT[#All],3,0)),"CUIT NO CARGADO")</f>
        <v>SERVICIOS DE ALOJAMIENTO EN HOTELES</v>
      </c>
      <c r="R19" s="493">
        <f>IFERROR(IF(compras_mes5[[#This Row],[CUIT]]="","-",VLOOKUP(compras_mes5[[#This Row],[CUIT]],Lista_CUIT[#All],4,0)),"CUIT NO CARGADO")</f>
        <v>0</v>
      </c>
    </row>
    <row r="20" spans="2:18" s="428" customFormat="1" x14ac:dyDescent="0.25">
      <c r="B20" s="486">
        <v>45783</v>
      </c>
      <c r="C20" s="442">
        <v>1</v>
      </c>
      <c r="D20" s="487">
        <v>6</v>
      </c>
      <c r="E20" s="488">
        <v>50</v>
      </c>
      <c r="F20" s="489">
        <v>30716401541</v>
      </c>
      <c r="G20" s="490" t="str">
        <f>IFERROR(IF(compras_mes5[[#This Row],[CUIT]]="","-",VLOOKUP(compras_mes5[[#This Row],[CUIT]],Lista_CUIT[#All],2,0)),"CUIT NO CARGADO")</f>
        <v>HIGH MOBILITY S.A.S.</v>
      </c>
      <c r="H20" s="491">
        <v>3122441</v>
      </c>
      <c r="I20" s="485">
        <f>IF(compras_mes5[[#This Row],[NETO GRAVADO]]="","",compras_mes5[[#This Row],[NETO GRAVADO]]*0.21)</f>
        <v>655712.61</v>
      </c>
      <c r="J20" s="485"/>
      <c r="K20" s="485"/>
      <c r="L20" s="485"/>
      <c r="M20" s="485"/>
      <c r="N20" s="485"/>
      <c r="O20" s="485"/>
      <c r="P20" s="492">
        <f>SUM(compras_mes5[[#This Row],[NETO GRAVADO]:[Otros / No Grav.]])</f>
        <v>3778153.61</v>
      </c>
      <c r="Q20" s="493" t="str">
        <f>IFERROR(IF(compras_mes5[[#This Row],[CUIT]]="","-",VLOOKUP(compras_mes5[[#This Row],[CUIT]],Lista_CUIT[#All],3,0)),"CUIT NO CARGADO")</f>
        <v>Insumos</v>
      </c>
      <c r="R20" s="493">
        <f>IFERROR(IF(compras_mes5[[#This Row],[CUIT]]="","-",VLOOKUP(compras_mes5[[#This Row],[CUIT]],Lista_CUIT[#All],4,0)),"CUIT NO CARGADO")</f>
        <v>0</v>
      </c>
    </row>
    <row r="21" spans="2:18" s="428" customFormat="1" x14ac:dyDescent="0.25">
      <c r="B21" s="441">
        <v>45783</v>
      </c>
      <c r="C21" s="442">
        <v>1</v>
      </c>
      <c r="D21" s="443">
        <v>17</v>
      </c>
      <c r="E21" s="444">
        <v>12389</v>
      </c>
      <c r="F21" s="445">
        <v>30661143610</v>
      </c>
      <c r="G21" s="446" t="str">
        <f>IFERROR(IF(compras_mes5[[#This Row],[CUIT]]="","-",VLOOKUP(compras_mes5[[#This Row],[CUIT]],Lista_CUIT[#All],2,0)),"CUIT NO CARGADO")</f>
        <v>ORTOPEDIA BERNAT SRL</v>
      </c>
      <c r="H21" s="386">
        <v>1154300</v>
      </c>
      <c r="I21" s="485">
        <f>IF(compras_mes5[[#This Row],[NETO GRAVADO]]="","",compras_mes5[[#This Row],[NETO GRAVADO]]*0.21)</f>
        <v>242403</v>
      </c>
      <c r="J21" s="387"/>
      <c r="K21" s="387"/>
      <c r="L21" s="387"/>
      <c r="M21" s="387"/>
      <c r="N21" s="387">
        <v>46172</v>
      </c>
      <c r="O21" s="387"/>
      <c r="P21" s="447">
        <f>SUM(compras_mes5[[#This Row],[NETO GRAVADO]:[Otros / No Grav.]])</f>
        <v>1442875</v>
      </c>
      <c r="Q21" s="448" t="str">
        <f>IFERROR(IF(compras_mes5[[#This Row],[CUIT]]="","-",VLOOKUP(compras_mes5[[#This Row],[CUIT]],Lista_CUIT[#All],3,0)),"CUIT NO CARGADO")</f>
        <v>INSUMO</v>
      </c>
      <c r="R21" s="448">
        <f>IFERROR(IF(compras_mes5[[#This Row],[CUIT]]="","-",VLOOKUP(compras_mes5[[#This Row],[CUIT]],Lista_CUIT[#All],4,0)),"CUIT NO CARGADO")</f>
        <v>0</v>
      </c>
    </row>
    <row r="22" spans="2:18" s="428" customFormat="1" x14ac:dyDescent="0.25">
      <c r="B22" s="486">
        <v>45783</v>
      </c>
      <c r="C22" s="442">
        <v>1</v>
      </c>
      <c r="D22" s="487">
        <v>2</v>
      </c>
      <c r="E22" s="488">
        <v>11968</v>
      </c>
      <c r="F22" s="489">
        <v>30714331082</v>
      </c>
      <c r="G22" s="490" t="str">
        <f>IFERROR(IF(compras_mes5[[#This Row],[CUIT]]="","-",VLOOKUP(compras_mes5[[#This Row],[CUIT]],Lista_CUIT[#All],2,0)),"CUIT NO CARGADO")</f>
        <v>ORTOPEDIA CASA ESCALADA SRL</v>
      </c>
      <c r="H22" s="491">
        <v>493491.01</v>
      </c>
      <c r="I22" s="485">
        <f>IF(compras_mes5[[#This Row],[NETO GRAVADO]]="","",compras_mes5[[#This Row],[NETO GRAVADO]]*0.21)</f>
        <v>103633.1121</v>
      </c>
      <c r="J22" s="485"/>
      <c r="K22" s="485"/>
      <c r="L22" s="485"/>
      <c r="M22" s="485"/>
      <c r="N22" s="485"/>
      <c r="O22" s="485"/>
      <c r="P22" s="492">
        <f>SUM(compras_mes5[[#This Row],[NETO GRAVADO]:[Otros / No Grav.]])</f>
        <v>597124.12210000004</v>
      </c>
      <c r="Q22" s="493" t="str">
        <f>IFERROR(IF(compras_mes5[[#This Row],[CUIT]]="","-",VLOOKUP(compras_mes5[[#This Row],[CUIT]],Lista_CUIT[#All],3,0)),"CUIT NO CARGADO")</f>
        <v>INSUMO</v>
      </c>
      <c r="R22" s="493">
        <f>IFERROR(IF(compras_mes5[[#This Row],[CUIT]]="","-",VLOOKUP(compras_mes5[[#This Row],[CUIT]],Lista_CUIT[#All],4,0)),"CUIT NO CARGADO")</f>
        <v>0</v>
      </c>
    </row>
    <row r="23" spans="2:18" s="428" customFormat="1" x14ac:dyDescent="0.25">
      <c r="B23" s="486">
        <v>45783</v>
      </c>
      <c r="C23" s="442">
        <v>1</v>
      </c>
      <c r="D23" s="487">
        <v>5</v>
      </c>
      <c r="E23" s="488">
        <v>1525</v>
      </c>
      <c r="F23" s="489">
        <v>27265302225</v>
      </c>
      <c r="G23" s="490" t="str">
        <f>IFERROR(IF(compras_mes5[[#This Row],[CUIT]]="","-",VLOOKUP(compras_mes5[[#This Row],[CUIT]],Lista_CUIT[#All],2,0)),"CUIT NO CARGADO")</f>
        <v>PRADO MARISOL</v>
      </c>
      <c r="H23" s="491">
        <v>3500000</v>
      </c>
      <c r="I23" s="485">
        <f>IF(compras_mes5[[#This Row],[NETO GRAVADO]]="","",compras_mes5[[#This Row],[NETO GRAVADO]]*0.21)</f>
        <v>735000</v>
      </c>
      <c r="J23" s="485"/>
      <c r="K23" s="485"/>
      <c r="L23" s="485"/>
      <c r="M23" s="485"/>
      <c r="N23" s="485"/>
      <c r="O23" s="485"/>
      <c r="P23" s="492">
        <f>SUM(compras_mes5[[#This Row],[NETO GRAVADO]:[Otros / No Grav.]])</f>
        <v>4235000</v>
      </c>
      <c r="Q23" s="493" t="str">
        <f>IFERROR(IF(compras_mes5[[#This Row],[CUIT]]="","-",VLOOKUP(compras_mes5[[#This Row],[CUIT]],Lista_CUIT[#All],3,0)),"CUIT NO CARGADO")</f>
        <v>INSUMO</v>
      </c>
      <c r="R23" s="493">
        <f>IFERROR(IF(compras_mes5[[#This Row],[CUIT]]="","-",VLOOKUP(compras_mes5[[#This Row],[CUIT]],Lista_CUIT[#All],4,0)),"CUIT NO CARGADO")</f>
        <v>0</v>
      </c>
    </row>
    <row r="24" spans="2:18" s="428" customFormat="1" x14ac:dyDescent="0.25">
      <c r="B24" s="486">
        <v>45784</v>
      </c>
      <c r="C24" s="442">
        <v>1</v>
      </c>
      <c r="D24" s="487">
        <v>700</v>
      </c>
      <c r="E24" s="488">
        <v>2440062</v>
      </c>
      <c r="F24" s="489">
        <v>30715804812</v>
      </c>
      <c r="G24" s="490" t="str">
        <f>IFERROR(IF(compras_mes5[[#This Row],[CUIT]]="","-",VLOOKUP(compras_mes5[[#This Row],[CUIT]],Lista_CUIT[#All],2,0)),"CUIT NO CARGADO")</f>
        <v>CORREDORES VIALES SOCIEDAD ANONIMA</v>
      </c>
      <c r="H24" s="491">
        <v>27663.52</v>
      </c>
      <c r="I24" s="485">
        <f>IF(compras_mes5[[#This Row],[NETO GRAVADO]]="","",compras_mes5[[#This Row],[NETO GRAVADO]]*0.21)</f>
        <v>5809.3391999999994</v>
      </c>
      <c r="J24" s="485"/>
      <c r="K24" s="485"/>
      <c r="L24" s="485"/>
      <c r="M24" s="485"/>
      <c r="N24" s="485">
        <v>1106.54</v>
      </c>
      <c r="O24" s="485"/>
      <c r="P24" s="492">
        <f>SUM(compras_mes5[[#This Row],[NETO GRAVADO]:[Otros / No Grav.]])</f>
        <v>34579.3992</v>
      </c>
      <c r="Q24" s="493" t="str">
        <f>IFERROR(IF(compras_mes5[[#This Row],[CUIT]]="","-",VLOOKUP(compras_mes5[[#This Row],[CUIT]],Lista_CUIT[#All],3,0)),"CUIT NO CARGADO")</f>
        <v>Autopista</v>
      </c>
      <c r="R24" s="493">
        <f>IFERROR(IF(compras_mes5[[#This Row],[CUIT]]="","-",VLOOKUP(compras_mes5[[#This Row],[CUIT]],Lista_CUIT[#All],4,0)),"CUIT NO CARGADO")</f>
        <v>0</v>
      </c>
    </row>
    <row r="25" spans="2:18" s="428" customFormat="1" x14ac:dyDescent="0.25">
      <c r="B25" s="486">
        <v>45785</v>
      </c>
      <c r="C25" s="442">
        <v>1</v>
      </c>
      <c r="D25" s="487">
        <v>8</v>
      </c>
      <c r="E25" s="488">
        <v>405</v>
      </c>
      <c r="F25" s="489">
        <v>30643518364</v>
      </c>
      <c r="G25" s="490" t="str">
        <f>IFERROR(IF(compras_mes5[[#This Row],[CUIT]]="","-",VLOOKUP(compras_mes5[[#This Row],[CUIT]],Lista_CUIT[#All],2,0)),"CUIT NO CARGADO")</f>
        <v>FARMACIA DE MEDRANO SCS</v>
      </c>
      <c r="H25" s="491">
        <v>492200</v>
      </c>
      <c r="I25" s="485">
        <f>IF(compras_mes5[[#This Row],[NETO GRAVADO]]="","",compras_mes5[[#This Row],[NETO GRAVADO]]*0.21)</f>
        <v>103362</v>
      </c>
      <c r="J25" s="485"/>
      <c r="K25" s="485"/>
      <c r="L25" s="485"/>
      <c r="M25" s="485"/>
      <c r="N25" s="485"/>
      <c r="O25" s="485"/>
      <c r="P25" s="492">
        <f>SUM(compras_mes5[[#This Row],[NETO GRAVADO]:[Otros / No Grav.]])</f>
        <v>595562</v>
      </c>
      <c r="Q25" s="493" t="str">
        <f>IFERROR(IF(compras_mes5[[#This Row],[CUIT]]="","-",VLOOKUP(compras_mes5[[#This Row],[CUIT]],Lista_CUIT[#All],3,0)),"CUIT NO CARGADO")</f>
        <v>INSUMO</v>
      </c>
      <c r="R25" s="493">
        <f>IFERROR(IF(compras_mes5[[#This Row],[CUIT]]="","-",VLOOKUP(compras_mes5[[#This Row],[CUIT]],Lista_CUIT[#All],4,0)),"CUIT NO CARGADO")</f>
        <v>0</v>
      </c>
    </row>
    <row r="26" spans="2:18" s="428" customFormat="1" x14ac:dyDescent="0.25">
      <c r="B26" s="486">
        <v>45785</v>
      </c>
      <c r="C26" s="442">
        <v>1</v>
      </c>
      <c r="D26" s="487">
        <v>4</v>
      </c>
      <c r="E26" s="488">
        <v>75883</v>
      </c>
      <c r="F26" s="489">
        <v>33709738459</v>
      </c>
      <c r="G26" s="490" t="str">
        <f>IFERROR(IF(compras_mes5[[#This Row],[CUIT]]="","-",VLOOKUP(compras_mes5[[#This Row],[CUIT]],Lista_CUIT[#All],2,0)),"CUIT NO CARGADO")</f>
        <v>ORTOPEDICOS ALFOLATEX S.A</v>
      </c>
      <c r="H26" s="491">
        <v>359845.2</v>
      </c>
      <c r="I26" s="485">
        <f>IF(compras_mes5[[#This Row],[NETO GRAVADO]]="","",compras_mes5[[#This Row],[NETO GRAVADO]]*0.21)</f>
        <v>75567.491999999998</v>
      </c>
      <c r="J26" s="485"/>
      <c r="K26" s="485"/>
      <c r="L26" s="485"/>
      <c r="M26" s="485"/>
      <c r="N26" s="485"/>
      <c r="O26" s="485"/>
      <c r="P26" s="492">
        <f>SUM(compras_mes5[[#This Row],[NETO GRAVADO]:[Otros / No Grav.]])</f>
        <v>435412.69200000004</v>
      </c>
      <c r="Q26" s="493" t="str">
        <f>IFERROR(IF(compras_mes5[[#This Row],[CUIT]]="","-",VLOOKUP(compras_mes5[[#This Row],[CUIT]],Lista_CUIT[#All],3,0)),"CUIT NO CARGADO")</f>
        <v>INSUMO</v>
      </c>
      <c r="R26" s="493">
        <f>IFERROR(IF(compras_mes5[[#This Row],[CUIT]]="","-",VLOOKUP(compras_mes5[[#This Row],[CUIT]],Lista_CUIT[#All],4,0)),"CUIT NO CARGADO")</f>
        <v>0</v>
      </c>
    </row>
    <row r="27" spans="2:18" s="428" customFormat="1" x14ac:dyDescent="0.25">
      <c r="B27" s="486">
        <v>45786</v>
      </c>
      <c r="C27" s="442">
        <v>1</v>
      </c>
      <c r="D27" s="487">
        <v>2</v>
      </c>
      <c r="E27" s="488">
        <v>573</v>
      </c>
      <c r="F27" s="489">
        <v>30711610096</v>
      </c>
      <c r="G27" s="490" t="str">
        <f>IFERROR(IF(compras_mes5[[#This Row],[CUIT]]="","-",VLOOKUP(compras_mes5[[#This Row],[CUIT]],Lista_CUIT[#All],2,0)),"CUIT NO CARGADO")</f>
        <v>46 SPEED S.A.</v>
      </c>
      <c r="H27" s="491">
        <v>591900</v>
      </c>
      <c r="I27" s="485">
        <f>IF(compras_mes5[[#This Row],[NETO GRAVADO]]="","",compras_mes5[[#This Row],[NETO GRAVADO]]*0.21)</f>
        <v>124299</v>
      </c>
      <c r="J27" s="485"/>
      <c r="K27" s="485"/>
      <c r="L27" s="485"/>
      <c r="M27" s="485"/>
      <c r="N27" s="485"/>
      <c r="O27" s="485"/>
      <c r="P27" s="492">
        <f>SUM(compras_mes5[[#This Row],[NETO GRAVADO]:[Otros / No Grav.]])</f>
        <v>716199</v>
      </c>
      <c r="Q27" s="493" t="str">
        <f>IFERROR(IF(compras_mes5[[#This Row],[CUIT]]="","-",VLOOKUP(compras_mes5[[#This Row],[CUIT]],Lista_CUIT[#All],3,0)),"CUIT NO CARGADO")</f>
        <v>Insumos</v>
      </c>
      <c r="R27" s="493">
        <f>IFERROR(IF(compras_mes5[[#This Row],[CUIT]]="","-",VLOOKUP(compras_mes5[[#This Row],[CUIT]],Lista_CUIT[#All],4,0)),"CUIT NO CARGADO")</f>
        <v>0</v>
      </c>
    </row>
    <row r="28" spans="2:18" s="428" customFormat="1" x14ac:dyDescent="0.25">
      <c r="B28" s="441">
        <v>45786</v>
      </c>
      <c r="C28" s="442">
        <v>1</v>
      </c>
      <c r="D28" s="443">
        <v>6</v>
      </c>
      <c r="E28" s="444">
        <v>57397</v>
      </c>
      <c r="F28" s="445">
        <v>30710177658</v>
      </c>
      <c r="G28" s="446" t="str">
        <f>IFERROR(IF(compras_mes5[[#This Row],[CUIT]]="","-",VLOOKUP(compras_mes5[[#This Row],[CUIT]],Lista_CUIT[#All],2,0)),"CUIT NO CARGADO")</f>
        <v>TARGET MEDICAL SA</v>
      </c>
      <c r="H28" s="386">
        <v>475130.7</v>
      </c>
      <c r="I28" s="485">
        <f>IF(compras_mes5[[#This Row],[NETO GRAVADO]]="","",compras_mes5[[#This Row],[NETO GRAVADO]]*0.21)</f>
        <v>99777.447</v>
      </c>
      <c r="J28" s="387"/>
      <c r="K28" s="387"/>
      <c r="L28" s="387"/>
      <c r="M28" s="387"/>
      <c r="N28" s="387">
        <v>19005.23</v>
      </c>
      <c r="O28" s="387"/>
      <c r="P28" s="447">
        <f>SUM(compras_mes5[[#This Row],[NETO GRAVADO]:[Otros / No Grav.]])</f>
        <v>593913.37699999998</v>
      </c>
      <c r="Q28" s="448" t="str">
        <f>IFERROR(IF(compras_mes5[[#This Row],[CUIT]]="","-",VLOOKUP(compras_mes5[[#This Row],[CUIT]],Lista_CUIT[#All],3,0)),"CUIT NO CARGADO")</f>
        <v>INSUMO</v>
      </c>
      <c r="R28" s="448">
        <f>IFERROR(IF(compras_mes5[[#This Row],[CUIT]]="","-",VLOOKUP(compras_mes5[[#This Row],[CUIT]],Lista_CUIT[#All],4,0)),"CUIT NO CARGADO")</f>
        <v>0</v>
      </c>
    </row>
    <row r="29" spans="2:18" s="428" customFormat="1" x14ac:dyDescent="0.25">
      <c r="B29" s="486">
        <v>45786</v>
      </c>
      <c r="C29" s="442">
        <v>1</v>
      </c>
      <c r="D29" s="487">
        <v>3101</v>
      </c>
      <c r="E29" s="488">
        <v>300145</v>
      </c>
      <c r="F29" s="489">
        <v>30678814357</v>
      </c>
      <c r="G29" s="490" t="str">
        <f>IFERROR(IF(compras_mes5[[#This Row],[CUIT]]="","-",VLOOKUP(compras_mes5[[#This Row],[CUIT]],Lista_CUIT[#All],2,0)),"CUIT NO CARGADO")</f>
        <v>TELEFONICA MOVILES ARG SA</v>
      </c>
      <c r="H29" s="491">
        <v>66966.83</v>
      </c>
      <c r="I29" s="485"/>
      <c r="J29" s="485">
        <f>compras_mes5[[#This Row],[NETO GRAVADO]]*27/100</f>
        <v>18081.044100000003</v>
      </c>
      <c r="K29" s="485"/>
      <c r="L29" s="485">
        <v>2009</v>
      </c>
      <c r="M29" s="485"/>
      <c r="N29" s="485">
        <v>2678.67</v>
      </c>
      <c r="O29" s="485"/>
      <c r="P29" s="492">
        <f>SUM(compras_mes5[[#This Row],[NETO GRAVADO]:[Otros / No Grav.]])</f>
        <v>89735.544099999999</v>
      </c>
      <c r="Q29" s="493" t="str">
        <f>IFERROR(IF(compras_mes5[[#This Row],[CUIT]]="","-",VLOOKUP(compras_mes5[[#This Row],[CUIT]],Lista_CUIT[#All],3,0)),"CUIT NO CARGADO")</f>
        <v>SERVICIO</v>
      </c>
      <c r="R29" s="493">
        <f>IFERROR(IF(compras_mes5[[#This Row],[CUIT]]="","-",VLOOKUP(compras_mes5[[#This Row],[CUIT]],Lista_CUIT[#All],4,0)),"CUIT NO CARGADO")</f>
        <v>0</v>
      </c>
    </row>
    <row r="30" spans="2:18" s="428" customFormat="1" x14ac:dyDescent="0.25">
      <c r="B30" s="486">
        <v>45786</v>
      </c>
      <c r="C30" s="442">
        <v>1</v>
      </c>
      <c r="D30" s="487">
        <v>8</v>
      </c>
      <c r="E30" s="488">
        <v>406</v>
      </c>
      <c r="F30" s="489">
        <v>30643518364</v>
      </c>
      <c r="G30" s="490" t="str">
        <f>IFERROR(IF(compras_mes5[[#This Row],[CUIT]]="","-",VLOOKUP(compras_mes5[[#This Row],[CUIT]],Lista_CUIT[#All],2,0)),"CUIT NO CARGADO")</f>
        <v>FARMACIA DE MEDRANO SCS</v>
      </c>
      <c r="H30" s="491">
        <v>76975</v>
      </c>
      <c r="I30" s="485">
        <f>IF(compras_mes5[[#This Row],[NETO GRAVADO]]="","",compras_mes5[[#This Row],[NETO GRAVADO]]*0.21)</f>
        <v>16164.75</v>
      </c>
      <c r="J30" s="485"/>
      <c r="K30" s="485"/>
      <c r="L30" s="485"/>
      <c r="M30" s="485"/>
      <c r="N30" s="485"/>
      <c r="O30" s="485"/>
      <c r="P30" s="492">
        <f>SUM(compras_mes5[[#This Row],[NETO GRAVADO]:[Otros / No Grav.]])</f>
        <v>93139.75</v>
      </c>
      <c r="Q30" s="493" t="str">
        <f>IFERROR(IF(compras_mes5[[#This Row],[CUIT]]="","-",VLOOKUP(compras_mes5[[#This Row],[CUIT]],Lista_CUIT[#All],3,0)),"CUIT NO CARGADO")</f>
        <v>INSUMO</v>
      </c>
      <c r="R30" s="493">
        <f>IFERROR(IF(compras_mes5[[#This Row],[CUIT]]="","-",VLOOKUP(compras_mes5[[#This Row],[CUIT]],Lista_CUIT[#All],4,0)),"CUIT NO CARGADO")</f>
        <v>0</v>
      </c>
    </row>
    <row r="31" spans="2:18" s="428" customFormat="1" x14ac:dyDescent="0.25">
      <c r="B31" s="486">
        <v>45786</v>
      </c>
      <c r="C31" s="442">
        <v>1</v>
      </c>
      <c r="D31" s="487">
        <v>2</v>
      </c>
      <c r="E31" s="488">
        <v>1260</v>
      </c>
      <c r="F31" s="489">
        <v>20272865869</v>
      </c>
      <c r="G31" s="490" t="str">
        <f>IFERROR(IF(compras_mes5[[#This Row],[CUIT]]="","-",VLOOKUP(compras_mes5[[#This Row],[CUIT]],Lista_CUIT[#All],2,0)),"CUIT NO CARGADO")</f>
        <v>DI FEO MARTIN EZEQUIEL</v>
      </c>
      <c r="H31" s="491">
        <v>33000</v>
      </c>
      <c r="I31" s="485">
        <f>IF(compras_mes5[[#This Row],[NETO GRAVADO]]="","",compras_mes5[[#This Row],[NETO GRAVADO]]*0.21)</f>
        <v>6930</v>
      </c>
      <c r="J31" s="485"/>
      <c r="K31" s="485"/>
      <c r="L31" s="485"/>
      <c r="M31" s="485"/>
      <c r="N31" s="485"/>
      <c r="O31" s="485"/>
      <c r="P31" s="492">
        <f>SUM(compras_mes5[[#This Row],[NETO GRAVADO]:[Otros / No Grav.]])</f>
        <v>39930</v>
      </c>
      <c r="Q31" s="493" t="str">
        <f>IFERROR(IF(compras_mes5[[#This Row],[CUIT]]="","-",VLOOKUP(compras_mes5[[#This Row],[CUIT]],Lista_CUIT[#All],3,0)),"CUIT NO CARGADO")</f>
        <v>INSUMOS</v>
      </c>
      <c r="R31" s="493">
        <f>IFERROR(IF(compras_mes5[[#This Row],[CUIT]]="","-",VLOOKUP(compras_mes5[[#This Row],[CUIT]],Lista_CUIT[#All],4,0)),"CUIT NO CARGADO")</f>
        <v>0</v>
      </c>
    </row>
    <row r="32" spans="2:18" s="428" customFormat="1" x14ac:dyDescent="0.25">
      <c r="B32" s="441">
        <v>45786</v>
      </c>
      <c r="C32" s="442">
        <v>1</v>
      </c>
      <c r="D32" s="443">
        <v>14</v>
      </c>
      <c r="E32" s="444">
        <v>77344</v>
      </c>
      <c r="F32" s="445">
        <v>30711069360</v>
      </c>
      <c r="G32" s="446" t="str">
        <f>IFERROR(IF(compras_mes5[[#This Row],[CUIT]]="","-",VLOOKUP(compras_mes5[[#This Row],[CUIT]],Lista_CUIT[#All],2,0)),"CUIT NO CARGADO")</f>
        <v>BIDCOM SRL</v>
      </c>
      <c r="H32" s="386">
        <v>123966.12</v>
      </c>
      <c r="I32" s="485">
        <f>IF(compras_mes5[[#This Row],[NETO GRAVADO]]="","",compras_mes5[[#This Row],[NETO GRAVADO]]*0.21)</f>
        <v>26032.885199999997</v>
      </c>
      <c r="J32" s="387"/>
      <c r="K32" s="387"/>
      <c r="L32" s="387"/>
      <c r="M32" s="387"/>
      <c r="N32" s="387"/>
      <c r="O32" s="387"/>
      <c r="P32" s="447">
        <f>SUM(compras_mes5[[#This Row],[NETO GRAVADO]:[Otros / No Grav.]])</f>
        <v>149999.00519999999</v>
      </c>
      <c r="Q32" s="448" t="str">
        <f>IFERROR(IF(compras_mes5[[#This Row],[CUIT]]="","-",VLOOKUP(compras_mes5[[#This Row],[CUIT]],Lista_CUIT[#All],3,0)),"CUIT NO CARGADO")</f>
        <v>Serv. Informaticos</v>
      </c>
      <c r="R32" s="448">
        <f>IFERROR(IF(compras_mes5[[#This Row],[CUIT]]="","-",VLOOKUP(compras_mes5[[#This Row],[CUIT]],Lista_CUIT[#All],4,0)),"CUIT NO CARGADO")</f>
        <v>0</v>
      </c>
    </row>
    <row r="33" spans="2:18" s="428" customFormat="1" x14ac:dyDescent="0.25">
      <c r="B33" s="486">
        <v>45789</v>
      </c>
      <c r="C33" s="442">
        <v>1</v>
      </c>
      <c r="D33" s="487">
        <v>3</v>
      </c>
      <c r="E33" s="488">
        <v>49512</v>
      </c>
      <c r="F33" s="489">
        <v>30711454388</v>
      </c>
      <c r="G33" s="490" t="str">
        <f>IFERROR(IF(compras_mes5[[#This Row],[CUIT]]="","-",VLOOKUP(compras_mes5[[#This Row],[CUIT]],Lista_CUIT[#All],2,0)),"CUIT NO CARGADO")</f>
        <v>LIPROT S.R.L.</v>
      </c>
      <c r="H33" s="491">
        <v>221868</v>
      </c>
      <c r="I33" s="485">
        <f>IF(compras_mes5[[#This Row],[NETO GRAVADO]]="","",compras_mes5[[#This Row],[NETO GRAVADO]]*0.21)</f>
        <v>46592.28</v>
      </c>
      <c r="J33" s="485"/>
      <c r="K33" s="485"/>
      <c r="L33" s="485"/>
      <c r="M33" s="485"/>
      <c r="N33" s="485"/>
      <c r="O33" s="485"/>
      <c r="P33" s="492">
        <f>SUM(compras_mes5[[#This Row],[NETO GRAVADO]:[Otros / No Grav.]])</f>
        <v>268460.28000000003</v>
      </c>
      <c r="Q33" s="493" t="str">
        <f>IFERROR(IF(compras_mes5[[#This Row],[CUIT]]="","-",VLOOKUP(compras_mes5[[#This Row],[CUIT]],Lista_CUIT[#All],3,0)),"CUIT NO CARGADO")</f>
        <v>textil</v>
      </c>
      <c r="R33" s="493">
        <f>IFERROR(IF(compras_mes5[[#This Row],[CUIT]]="","-",VLOOKUP(compras_mes5[[#This Row],[CUIT]],Lista_CUIT[#All],4,0)),"CUIT NO CARGADO")</f>
        <v>0</v>
      </c>
    </row>
    <row r="34" spans="2:18" s="428" customFormat="1" x14ac:dyDescent="0.25">
      <c r="B34" s="486">
        <v>45790</v>
      </c>
      <c r="C34" s="442">
        <v>1</v>
      </c>
      <c r="D34" s="487">
        <v>1</v>
      </c>
      <c r="E34" s="488">
        <v>7227</v>
      </c>
      <c r="F34" s="489">
        <v>30715141201</v>
      </c>
      <c r="G34" s="490" t="str">
        <f>IFERROR(IF(compras_mes5[[#This Row],[CUIT]]="","-",VLOOKUP(compras_mes5[[#This Row],[CUIT]],Lista_CUIT[#All],2,0)),"CUIT NO CARGADO")</f>
        <v>REHAB SRL</v>
      </c>
      <c r="H34" s="491">
        <v>420360</v>
      </c>
      <c r="I34" s="485">
        <f>IF(compras_mes5[[#This Row],[NETO GRAVADO]]="","",compras_mes5[[#This Row],[NETO GRAVADO]]*0.21)</f>
        <v>88275.599999999991</v>
      </c>
      <c r="J34" s="485"/>
      <c r="K34" s="485"/>
      <c r="L34" s="485"/>
      <c r="M34" s="485"/>
      <c r="N34" s="485"/>
      <c r="O34" s="485"/>
      <c r="P34" s="492">
        <f>SUM(compras_mes5[[#This Row],[NETO GRAVADO]:[Otros / No Grav.]])</f>
        <v>508635.6</v>
      </c>
      <c r="Q34" s="493" t="str">
        <f>IFERROR(IF(compras_mes5[[#This Row],[CUIT]]="","-",VLOOKUP(compras_mes5[[#This Row],[CUIT]],Lista_CUIT[#All],3,0)),"CUIT NO CARGADO")</f>
        <v>INSUMO</v>
      </c>
      <c r="R34" s="493">
        <f>IFERROR(IF(compras_mes5[[#This Row],[CUIT]]="","-",VLOOKUP(compras_mes5[[#This Row],[CUIT]],Lista_CUIT[#All],4,0)),"CUIT NO CARGADO")</f>
        <v>0</v>
      </c>
    </row>
    <row r="35" spans="2:18" s="428" customFormat="1" x14ac:dyDescent="0.25">
      <c r="B35" s="486">
        <v>45790</v>
      </c>
      <c r="C35" s="442">
        <v>1</v>
      </c>
      <c r="D35" s="487">
        <v>1001</v>
      </c>
      <c r="E35" s="488">
        <v>546</v>
      </c>
      <c r="F35" s="489">
        <v>30707370552</v>
      </c>
      <c r="G35" s="490" t="str">
        <f>IFERROR(IF(compras_mes5[[#This Row],[CUIT]]="","-",VLOOKUP(compras_mes5[[#This Row],[CUIT]],Lista_CUIT[#All],2,0)),"CUIT NO CARGADO")</f>
        <v>RAKE SA</v>
      </c>
      <c r="H35" s="491">
        <v>1198760.33</v>
      </c>
      <c r="I35" s="485">
        <f>IF(compras_mes5[[#This Row],[NETO GRAVADO]]="","",compras_mes5[[#This Row],[NETO GRAVADO]]*0.21)</f>
        <v>251739.66930000001</v>
      </c>
      <c r="J35" s="485"/>
      <c r="K35" s="485"/>
      <c r="L35" s="485"/>
      <c r="M35" s="485"/>
      <c r="N35" s="485"/>
      <c r="O35" s="485"/>
      <c r="P35" s="492">
        <f>SUM(compras_mes5[[#This Row],[NETO GRAVADO]:[Otros / No Grav.]])</f>
        <v>1450499.9993</v>
      </c>
      <c r="Q35" s="493" t="str">
        <f>IFERROR(IF(compras_mes5[[#This Row],[CUIT]]="","-",VLOOKUP(compras_mes5[[#This Row],[CUIT]],Lista_CUIT[#All],3,0)),"CUIT NO CARGADO")</f>
        <v>GASTOS VARIOS</v>
      </c>
      <c r="R35" s="493">
        <f>IFERROR(IF(compras_mes5[[#This Row],[CUIT]]="","-",VLOOKUP(compras_mes5[[#This Row],[CUIT]],Lista_CUIT[#All],4,0)),"CUIT NO CARGADO")</f>
        <v>0</v>
      </c>
    </row>
    <row r="36" spans="2:18" s="428" customFormat="1" x14ac:dyDescent="0.25">
      <c r="B36" s="441">
        <v>45791</v>
      </c>
      <c r="C36" s="442">
        <v>1</v>
      </c>
      <c r="D36" s="443">
        <v>104</v>
      </c>
      <c r="E36" s="444">
        <v>9230267</v>
      </c>
      <c r="F36" s="445">
        <v>30715804812</v>
      </c>
      <c r="G36" s="446" t="str">
        <f>IFERROR(IF(compras_mes5[[#This Row],[CUIT]]="","-",VLOOKUP(compras_mes5[[#This Row],[CUIT]],Lista_CUIT[#All],2,0)),"CUIT NO CARGADO")</f>
        <v>CORREDORES VIALES SOCIEDAD ANONIMA</v>
      </c>
      <c r="H36" s="386">
        <v>1804.5</v>
      </c>
      <c r="I36" s="485">
        <f>IF(compras_mes5[[#This Row],[NETO GRAVADO]]="","",compras_mes5[[#This Row],[NETO GRAVADO]]*0.21)</f>
        <v>378.94499999999999</v>
      </c>
      <c r="J36" s="387"/>
      <c r="K36" s="387"/>
      <c r="L36" s="387"/>
      <c r="M36" s="387"/>
      <c r="N36" s="387">
        <v>72.180000000000007</v>
      </c>
      <c r="O36" s="387"/>
      <c r="P36" s="447">
        <f>SUM(compras_mes5[[#This Row],[NETO GRAVADO]:[Otros / No Grav.]])</f>
        <v>2255.625</v>
      </c>
      <c r="Q36" s="448" t="str">
        <f>IFERROR(IF(compras_mes5[[#This Row],[CUIT]]="","-",VLOOKUP(compras_mes5[[#This Row],[CUIT]],Lista_CUIT[#All],3,0)),"CUIT NO CARGADO")</f>
        <v>Autopista</v>
      </c>
      <c r="R36" s="448">
        <f>IFERROR(IF(compras_mes5[[#This Row],[CUIT]]="","-",VLOOKUP(compras_mes5[[#This Row],[CUIT]],Lista_CUIT[#All],4,0)),"CUIT NO CARGADO")</f>
        <v>0</v>
      </c>
    </row>
    <row r="37" spans="2:18" s="428" customFormat="1" x14ac:dyDescent="0.25">
      <c r="B37" s="486">
        <v>45791</v>
      </c>
      <c r="C37" s="442">
        <v>1</v>
      </c>
      <c r="D37" s="487">
        <v>104</v>
      </c>
      <c r="E37" s="488">
        <v>9128311</v>
      </c>
      <c r="F37" s="489">
        <v>30715804812</v>
      </c>
      <c r="G37" s="490" t="str">
        <f>IFERROR(IF(compras_mes5[[#This Row],[CUIT]]="","-",VLOOKUP(compras_mes5[[#This Row],[CUIT]],Lista_CUIT[#All],2,0)),"CUIT NO CARGADO")</f>
        <v>CORREDORES VIALES SOCIEDAD ANONIMA</v>
      </c>
      <c r="H37" s="491">
        <v>2079.9699999999998</v>
      </c>
      <c r="I37" s="485">
        <f>IF(compras_mes5[[#This Row],[NETO GRAVADO]]="","",compras_mes5[[#This Row],[NETO GRAVADO]]*0.21)</f>
        <v>436.79369999999994</v>
      </c>
      <c r="J37" s="485"/>
      <c r="K37" s="485"/>
      <c r="L37" s="485"/>
      <c r="M37" s="485"/>
      <c r="N37" s="485">
        <v>83.2</v>
      </c>
      <c r="O37" s="485"/>
      <c r="P37" s="492">
        <f>SUM(compras_mes5[[#This Row],[NETO GRAVADO]:[Otros / No Grav.]])</f>
        <v>2599.9636999999993</v>
      </c>
      <c r="Q37" s="493" t="str">
        <f>IFERROR(IF(compras_mes5[[#This Row],[CUIT]]="","-",VLOOKUP(compras_mes5[[#This Row],[CUIT]],Lista_CUIT[#All],3,0)),"CUIT NO CARGADO")</f>
        <v>Autopista</v>
      </c>
      <c r="R37" s="493">
        <f>IFERROR(IF(compras_mes5[[#This Row],[CUIT]]="","-",VLOOKUP(compras_mes5[[#This Row],[CUIT]],Lista_CUIT[#All],4,0)),"CUIT NO CARGADO")</f>
        <v>0</v>
      </c>
    </row>
    <row r="38" spans="2:18" s="428" customFormat="1" x14ac:dyDescent="0.25">
      <c r="B38" s="486">
        <v>45791</v>
      </c>
      <c r="C38" s="442">
        <v>1</v>
      </c>
      <c r="D38" s="487">
        <v>5009</v>
      </c>
      <c r="E38" s="488">
        <v>1403394</v>
      </c>
      <c r="F38" s="489">
        <v>30574876474</v>
      </c>
      <c r="G38" s="490" t="str">
        <f>IFERROR(IF(compras_mes5[[#This Row],[CUIT]]="","-",VLOOKUP(compras_mes5[[#This Row],[CUIT]],Lista_CUIT[#All],2,0)),"CUIT NO CARGADO")</f>
        <v>AUTOP. URBANAS SA</v>
      </c>
      <c r="H38" s="491">
        <v>4856.3</v>
      </c>
      <c r="I38" s="485">
        <f>IF(compras_mes5[[#This Row],[NETO GRAVADO]]="","",compras_mes5[[#This Row],[NETO GRAVADO]]*0.21)</f>
        <v>1019.823</v>
      </c>
      <c r="J38" s="485"/>
      <c r="K38" s="485"/>
      <c r="L38" s="485"/>
      <c r="M38" s="485"/>
      <c r="N38" s="485"/>
      <c r="O38" s="485">
        <f>145.69+485.63</f>
        <v>631.31999999999994</v>
      </c>
      <c r="P38" s="492">
        <f>SUM(compras_mes5[[#This Row],[NETO GRAVADO]:[Otros / No Grav.]])</f>
        <v>6507.4430000000002</v>
      </c>
      <c r="Q38" s="493" t="str">
        <f>IFERROR(IF(compras_mes5[[#This Row],[CUIT]]="","-",VLOOKUP(compras_mes5[[#This Row],[CUIT]],Lista_CUIT[#All],3,0)),"CUIT NO CARGADO")</f>
        <v>PEAJE</v>
      </c>
      <c r="R38" s="493">
        <f>IFERROR(IF(compras_mes5[[#This Row],[CUIT]]="","-",VLOOKUP(compras_mes5[[#This Row],[CUIT]],Lista_CUIT[#All],4,0)),"CUIT NO CARGADO")</f>
        <v>0</v>
      </c>
    </row>
    <row r="39" spans="2:18" s="428" customFormat="1" x14ac:dyDescent="0.25">
      <c r="B39" s="486">
        <v>45791</v>
      </c>
      <c r="C39" s="442">
        <v>1</v>
      </c>
      <c r="D39" s="487">
        <v>6</v>
      </c>
      <c r="E39" s="488">
        <v>91586</v>
      </c>
      <c r="F39" s="489">
        <v>30711553564</v>
      </c>
      <c r="G39" s="490" t="str">
        <f>IFERROR(IF(compras_mes5[[#This Row],[CUIT]]="","-",VLOOKUP(compras_mes5[[#This Row],[CUIT]],Lista_CUIT[#All],2,0)),"CUIT NO CARGADO")</f>
        <v>SALUD TEX S.A</v>
      </c>
      <c r="H39" s="491">
        <v>927887</v>
      </c>
      <c r="I39" s="485">
        <f>IF(compras_mes5[[#This Row],[NETO GRAVADO]]="","",compras_mes5[[#This Row],[NETO GRAVADO]]*0.21)</f>
        <v>194856.27</v>
      </c>
      <c r="J39" s="485"/>
      <c r="K39" s="485"/>
      <c r="L39" s="485"/>
      <c r="M39" s="485"/>
      <c r="N39" s="485"/>
      <c r="O39" s="485"/>
      <c r="P39" s="492">
        <f>SUM(compras_mes5[[#This Row],[NETO GRAVADO]:[Otros / No Grav.]])</f>
        <v>1122743.27</v>
      </c>
      <c r="Q39" s="493" t="str">
        <f>IFERROR(IF(compras_mes5[[#This Row],[CUIT]]="","-",VLOOKUP(compras_mes5[[#This Row],[CUIT]],Lista_CUIT[#All],3,0)),"CUIT NO CARGADO")</f>
        <v>INSUMO</v>
      </c>
      <c r="R39" s="493">
        <f>IFERROR(IF(compras_mes5[[#This Row],[CUIT]]="","-",VLOOKUP(compras_mes5[[#This Row],[CUIT]],Lista_CUIT[#All],4,0)),"CUIT NO CARGADO")</f>
        <v>0</v>
      </c>
    </row>
    <row r="40" spans="2:18" s="428" customFormat="1" x14ac:dyDescent="0.25">
      <c r="B40" s="486">
        <v>45791</v>
      </c>
      <c r="C40" s="442">
        <v>1</v>
      </c>
      <c r="D40" s="487">
        <v>2</v>
      </c>
      <c r="E40" s="488">
        <v>168</v>
      </c>
      <c r="F40" s="489">
        <v>30718285026</v>
      </c>
      <c r="G40" s="490" t="str">
        <f>IFERROR(IF(compras_mes5[[#This Row],[CUIT]]="","-",VLOOKUP(compras_mes5[[#This Row],[CUIT]],Lista_CUIT[#All],2,0)),"CUIT NO CARGADO")</f>
        <v>BLACKLIST S.R.L.</v>
      </c>
      <c r="H40" s="491">
        <v>23181.14</v>
      </c>
      <c r="I40" s="485">
        <f>IF(compras_mes5[[#This Row],[NETO GRAVADO]]="","",compras_mes5[[#This Row],[NETO GRAVADO]]*0.21)</f>
        <v>4868.0393999999997</v>
      </c>
      <c r="J40" s="485"/>
      <c r="K40" s="485"/>
      <c r="L40" s="485"/>
      <c r="M40" s="485"/>
      <c r="N40" s="485"/>
      <c r="O40" s="485"/>
      <c r="P40" s="492">
        <f>SUM(compras_mes5[[#This Row],[NETO GRAVADO]:[Otros / No Grav.]])</f>
        <v>28049.179400000001</v>
      </c>
      <c r="Q40" s="493" t="str">
        <f>IFERROR(IF(compras_mes5[[#This Row],[CUIT]]="","-",VLOOKUP(compras_mes5[[#This Row],[CUIT]],Lista_CUIT[#All],3,0)),"CUIT NO CARGADO")</f>
        <v>Gastos Varios</v>
      </c>
      <c r="R40" s="493">
        <f>IFERROR(IF(compras_mes5[[#This Row],[CUIT]]="","-",VLOOKUP(compras_mes5[[#This Row],[CUIT]],Lista_CUIT[#All],4,0)),"CUIT NO CARGADO")</f>
        <v>0</v>
      </c>
    </row>
    <row r="41" spans="2:18" s="428" customFormat="1" x14ac:dyDescent="0.25">
      <c r="B41" s="486">
        <v>45791</v>
      </c>
      <c r="C41" s="442">
        <v>1</v>
      </c>
      <c r="D41" s="487">
        <v>5015</v>
      </c>
      <c r="E41" s="488">
        <v>849565</v>
      </c>
      <c r="F41" s="489">
        <v>30574876474</v>
      </c>
      <c r="G41" s="490" t="str">
        <f>IFERROR(IF(compras_mes5[[#This Row],[CUIT]]="","-",VLOOKUP(compras_mes5[[#This Row],[CUIT]],Lista_CUIT[#All],2,0)),"CUIT NO CARGADO")</f>
        <v>AUTOP. URBANAS SA</v>
      </c>
      <c r="H41" s="491">
        <v>42078.11</v>
      </c>
      <c r="I41" s="485">
        <f>IF(compras_mes5[[#This Row],[NETO GRAVADO]]="","",compras_mes5[[#This Row],[NETO GRAVADO]]*0.21)</f>
        <v>8836.4030999999995</v>
      </c>
      <c r="J41" s="485"/>
      <c r="K41" s="485"/>
      <c r="L41" s="485"/>
      <c r="M41" s="485"/>
      <c r="N41" s="485"/>
      <c r="O41" s="485">
        <f>4207.8+1262.34</f>
        <v>5470.14</v>
      </c>
      <c r="P41" s="492">
        <f>SUM(compras_mes5[[#This Row],[NETO GRAVADO]:[Otros / No Grav.]])</f>
        <v>56384.653099999996</v>
      </c>
      <c r="Q41" s="493" t="str">
        <f>IFERROR(IF(compras_mes5[[#This Row],[CUIT]]="","-",VLOOKUP(compras_mes5[[#This Row],[CUIT]],Lista_CUIT[#All],3,0)),"CUIT NO CARGADO")</f>
        <v>PEAJE</v>
      </c>
      <c r="R41" s="493">
        <f>IFERROR(IF(compras_mes5[[#This Row],[CUIT]]="","-",VLOOKUP(compras_mes5[[#This Row],[CUIT]],Lista_CUIT[#All],4,0)),"CUIT NO CARGADO")</f>
        <v>0</v>
      </c>
    </row>
    <row r="42" spans="2:18" s="428" customFormat="1" x14ac:dyDescent="0.25">
      <c r="B42" s="441">
        <v>45792</v>
      </c>
      <c r="C42" s="442">
        <v>1</v>
      </c>
      <c r="D42" s="443">
        <v>50</v>
      </c>
      <c r="E42" s="444">
        <v>4341333</v>
      </c>
      <c r="F42" s="445">
        <v>30714112836</v>
      </c>
      <c r="G42" s="446" t="str">
        <f>IFERROR(IF(compras_mes5[[#This Row],[CUIT]]="","-",VLOOKUP(compras_mes5[[#This Row],[CUIT]],Lista_CUIT[#All],2,0)),"CUIT NO CARGADO")</f>
        <v>AUTOPISTAS DE BUENOS AIRES (AUBASA) SA</v>
      </c>
      <c r="H42" s="386">
        <v>2444.0700000000002</v>
      </c>
      <c r="I42" s="485">
        <f>IF(compras_mes5[[#This Row],[NETO GRAVADO]]="","",compras_mes5[[#This Row],[NETO GRAVADO]]*0.21)</f>
        <v>513.25470000000007</v>
      </c>
      <c r="J42" s="387"/>
      <c r="K42" s="387"/>
      <c r="L42" s="387">
        <v>73.319999999999993</v>
      </c>
      <c r="M42" s="387"/>
      <c r="N42" s="387"/>
      <c r="O42" s="387"/>
      <c r="P42" s="447">
        <f>SUM(compras_mes5[[#This Row],[NETO GRAVADO]:[Otros / No Grav.]])</f>
        <v>3030.6447000000003</v>
      </c>
      <c r="Q42" s="448" t="str">
        <f>IFERROR(IF(compras_mes5[[#This Row],[CUIT]]="","-",VLOOKUP(compras_mes5[[#This Row],[CUIT]],Lista_CUIT[#All],3,0)),"CUIT NO CARGADO")</f>
        <v>Autopista</v>
      </c>
      <c r="R42" s="448">
        <f>IFERROR(IF(compras_mes5[[#This Row],[CUIT]]="","-",VLOOKUP(compras_mes5[[#This Row],[CUIT]],Lista_CUIT[#All],4,0)),"CUIT NO CARGADO")</f>
        <v>0</v>
      </c>
    </row>
    <row r="43" spans="2:18" s="428" customFormat="1" x14ac:dyDescent="0.25">
      <c r="B43" s="441">
        <v>45792</v>
      </c>
      <c r="C43" s="442">
        <v>1</v>
      </c>
      <c r="D43" s="443">
        <v>2</v>
      </c>
      <c r="E43" s="444">
        <v>1285</v>
      </c>
      <c r="F43" s="445">
        <v>20272865869</v>
      </c>
      <c r="G43" s="446" t="str">
        <f>IFERROR(IF(compras_mes5[[#This Row],[CUIT]]="","-",VLOOKUP(compras_mes5[[#This Row],[CUIT]],Lista_CUIT[#All],2,0)),"CUIT NO CARGADO")</f>
        <v>DI FEO MARTIN EZEQUIEL</v>
      </c>
      <c r="H43" s="386">
        <v>324600</v>
      </c>
      <c r="I43" s="485">
        <f>IF(compras_mes5[[#This Row],[NETO GRAVADO]]="","",compras_mes5[[#This Row],[NETO GRAVADO]]*0.21)</f>
        <v>68166</v>
      </c>
      <c r="J43" s="387"/>
      <c r="K43" s="387"/>
      <c r="L43" s="387"/>
      <c r="M43" s="387"/>
      <c r="N43" s="387"/>
      <c r="O43" s="387"/>
      <c r="P43" s="447">
        <f>SUM(compras_mes5[[#This Row],[NETO GRAVADO]:[Otros / No Grav.]])</f>
        <v>392766</v>
      </c>
      <c r="Q43" s="448" t="str">
        <f>IFERROR(IF(compras_mes5[[#This Row],[CUIT]]="","-",VLOOKUP(compras_mes5[[#This Row],[CUIT]],Lista_CUIT[#All],3,0)),"CUIT NO CARGADO")</f>
        <v>INSUMOS</v>
      </c>
      <c r="R43" s="448">
        <f>IFERROR(IF(compras_mes5[[#This Row],[CUIT]]="","-",VLOOKUP(compras_mes5[[#This Row],[CUIT]],Lista_CUIT[#All],4,0)),"CUIT NO CARGADO")</f>
        <v>0</v>
      </c>
    </row>
    <row r="44" spans="2:18" s="428" customFormat="1" x14ac:dyDescent="0.25">
      <c r="B44" s="486">
        <v>45793</v>
      </c>
      <c r="C44" s="442">
        <v>1</v>
      </c>
      <c r="D44" s="487">
        <v>4</v>
      </c>
      <c r="E44" s="488">
        <v>1073</v>
      </c>
      <c r="F44" s="489">
        <v>30717874133</v>
      </c>
      <c r="G44" s="490" t="str">
        <f>IFERROR(IF(compras_mes5[[#This Row],[CUIT]]="","-",VLOOKUP(compras_mes5[[#This Row],[CUIT]],Lista_CUIT[#All],2,0)),"CUIT NO CARGADO")</f>
        <v>GRUPO ORTOPEDIA MODELO 5028</v>
      </c>
      <c r="H44" s="491">
        <v>124133.88</v>
      </c>
      <c r="I44" s="485">
        <f>IF(compras_mes5[[#This Row],[NETO GRAVADO]]="","",compras_mes5[[#This Row],[NETO GRAVADO]]*0.21)</f>
        <v>26068.114799999999</v>
      </c>
      <c r="J44" s="485"/>
      <c r="K44" s="485"/>
      <c r="L44" s="485"/>
      <c r="M44" s="485"/>
      <c r="N44" s="485"/>
      <c r="O44" s="485"/>
      <c r="P44" s="492">
        <f>SUM(compras_mes5[[#This Row],[NETO GRAVADO]:[Otros / No Grav.]])</f>
        <v>150201.99480000001</v>
      </c>
      <c r="Q44" s="493" t="str">
        <f>IFERROR(IF(compras_mes5[[#This Row],[CUIT]]="","-",VLOOKUP(compras_mes5[[#This Row],[CUIT]],Lista_CUIT[#All],3,0)),"CUIT NO CARGADO")</f>
        <v>INSUMO</v>
      </c>
      <c r="R44" s="493">
        <f>IFERROR(IF(compras_mes5[[#This Row],[CUIT]]="","-",VLOOKUP(compras_mes5[[#This Row],[CUIT]],Lista_CUIT[#All],4,0)),"CUIT NO CARGADO")</f>
        <v>0</v>
      </c>
    </row>
    <row r="45" spans="2:18" s="428" customFormat="1" x14ac:dyDescent="0.25">
      <c r="B45" s="486">
        <v>45793</v>
      </c>
      <c r="C45" s="442">
        <v>1</v>
      </c>
      <c r="D45" s="487">
        <v>1</v>
      </c>
      <c r="E45" s="488">
        <v>7301</v>
      </c>
      <c r="F45" s="489">
        <v>30715141201</v>
      </c>
      <c r="G45" s="490" t="str">
        <f>IFERROR(IF(compras_mes5[[#This Row],[CUIT]]="","-",VLOOKUP(compras_mes5[[#This Row],[CUIT]],Lista_CUIT[#All],2,0)),"CUIT NO CARGADO")</f>
        <v>REHAB SRL</v>
      </c>
      <c r="H45" s="491">
        <v>158700</v>
      </c>
      <c r="I45" s="485">
        <f>IF(compras_mes5[[#This Row],[NETO GRAVADO]]="","",compras_mes5[[#This Row],[NETO GRAVADO]]*0.21)</f>
        <v>33327</v>
      </c>
      <c r="J45" s="485"/>
      <c r="K45" s="485"/>
      <c r="L45" s="485"/>
      <c r="M45" s="485"/>
      <c r="N45" s="485"/>
      <c r="O45" s="485"/>
      <c r="P45" s="492">
        <f>SUM(compras_mes5[[#This Row],[NETO GRAVADO]:[Otros / No Grav.]])</f>
        <v>192027</v>
      </c>
      <c r="Q45" s="493" t="str">
        <f>IFERROR(IF(compras_mes5[[#This Row],[CUIT]]="","-",VLOOKUP(compras_mes5[[#This Row],[CUIT]],Lista_CUIT[#All],3,0)),"CUIT NO CARGADO")</f>
        <v>INSUMO</v>
      </c>
      <c r="R45" s="493">
        <f>IFERROR(IF(compras_mes5[[#This Row],[CUIT]]="","-",VLOOKUP(compras_mes5[[#This Row],[CUIT]],Lista_CUIT[#All],4,0)),"CUIT NO CARGADO")</f>
        <v>0</v>
      </c>
    </row>
    <row r="46" spans="2:18" s="428" customFormat="1" ht="14.45" customHeight="1" x14ac:dyDescent="0.25">
      <c r="B46" s="486">
        <v>45793</v>
      </c>
      <c r="C46" s="442">
        <v>1</v>
      </c>
      <c r="D46" s="487">
        <v>5</v>
      </c>
      <c r="E46" s="488">
        <v>2421</v>
      </c>
      <c r="F46" s="489">
        <v>30712187316</v>
      </c>
      <c r="G46" s="490" t="str">
        <f>IFERROR(IF(compras_mes5[[#This Row],[CUIT]]="","-",VLOOKUP(compras_mes5[[#This Row],[CUIT]],Lista_CUIT[#All],2,0)),"CUIT NO CARGADO")</f>
        <v>ITALOMED PRODUCTOS SRL</v>
      </c>
      <c r="H46" s="491">
        <f>1150*779.25</f>
        <v>896137.5</v>
      </c>
      <c r="I46" s="485">
        <f>IF(compras_mes5[[#This Row],[NETO GRAVADO]]="","",compras_mes5[[#This Row],[NETO GRAVADO]]*0.21)</f>
        <v>188188.875</v>
      </c>
      <c r="J46" s="485"/>
      <c r="K46" s="485"/>
      <c r="L46" s="485"/>
      <c r="M46" s="485"/>
      <c r="N46" s="485"/>
      <c r="O46" s="485"/>
      <c r="P46" s="492">
        <f>SUM(compras_mes5[[#This Row],[NETO GRAVADO]:[Otros / No Grav.]])</f>
        <v>1084326.375</v>
      </c>
      <c r="Q46" s="493" t="str">
        <f>IFERROR(IF(compras_mes5[[#This Row],[CUIT]]="","-",VLOOKUP(compras_mes5[[#This Row],[CUIT]],Lista_CUIT[#All],3,0)),"CUIT NO CARGADO")</f>
        <v>INSUMO</v>
      </c>
      <c r="R46" s="493">
        <f>IFERROR(IF(compras_mes5[[#This Row],[CUIT]]="","-",VLOOKUP(compras_mes5[[#This Row],[CUIT]],Lista_CUIT[#All],4,0)),"CUIT NO CARGADO")</f>
        <v>0</v>
      </c>
    </row>
    <row r="47" spans="2:18" s="428" customFormat="1" ht="15" customHeight="1" x14ac:dyDescent="0.25">
      <c r="B47" s="486">
        <v>45793</v>
      </c>
      <c r="C47" s="442">
        <v>1</v>
      </c>
      <c r="D47" s="487">
        <v>629</v>
      </c>
      <c r="E47" s="488">
        <v>6111053</v>
      </c>
      <c r="F47" s="489">
        <v>30663498513</v>
      </c>
      <c r="G47" s="490" t="str">
        <f>IFERROR(IF(compras_mes5[[#This Row],[CUIT]]="","-",VLOOKUP(compras_mes5[[#This Row],[CUIT]],Lista_CUIT[#All],2,0)),"CUIT NO CARGADO")</f>
        <v>GRUPO CONCES. DEL OESTE SA</v>
      </c>
      <c r="H47" s="491">
        <v>2542.1799999999998</v>
      </c>
      <c r="I47" s="485">
        <f>IF(compras_mes5[[#This Row],[NETO GRAVADO]]="","",compras_mes5[[#This Row],[NETO GRAVADO]]*0.21)</f>
        <v>533.8578</v>
      </c>
      <c r="J47" s="485"/>
      <c r="K47" s="485"/>
      <c r="L47" s="485"/>
      <c r="M47" s="485"/>
      <c r="N47" s="485">
        <v>101.69</v>
      </c>
      <c r="O47" s="485"/>
      <c r="P47" s="492">
        <f>SUM(compras_mes5[[#This Row],[NETO GRAVADO]:[Otros / No Grav.]])</f>
        <v>3177.7278000000001</v>
      </c>
      <c r="Q47" s="493" t="str">
        <f>IFERROR(IF(compras_mes5[[#This Row],[CUIT]]="","-",VLOOKUP(compras_mes5[[#This Row],[CUIT]],Lista_CUIT[#All],3,0)),"CUIT NO CARGADO")</f>
        <v>Autopista</v>
      </c>
      <c r="R47" s="493">
        <f>IFERROR(IF(compras_mes5[[#This Row],[CUIT]]="","-",VLOOKUP(compras_mes5[[#This Row],[CUIT]],Lista_CUIT[#All],4,0)),"CUIT NO CARGADO")</f>
        <v>0</v>
      </c>
    </row>
    <row r="48" spans="2:18" s="428" customFormat="1" ht="15" customHeight="1" x14ac:dyDescent="0.25">
      <c r="B48" s="486">
        <v>45793</v>
      </c>
      <c r="C48" s="442">
        <v>1</v>
      </c>
      <c r="D48" s="487">
        <v>711</v>
      </c>
      <c r="E48" s="488">
        <v>7116239</v>
      </c>
      <c r="F48" s="489">
        <v>30677237119</v>
      </c>
      <c r="G48" s="490" t="str">
        <f>IFERROR(IF(compras_mes5[[#This Row],[CUIT]]="","-",VLOOKUP(compras_mes5[[#This Row],[CUIT]],Lista_CUIT[#All],2,0)),"CUIT NO CARGADO")</f>
        <v>AUTOPISTAS DEL SOL SA</v>
      </c>
      <c r="H48" s="491">
        <v>10053.15</v>
      </c>
      <c r="I48" s="485">
        <f>IF(compras_mes5[[#This Row],[NETO GRAVADO]]="","",compras_mes5[[#This Row],[NETO GRAVADO]]*0.21)</f>
        <v>2111.1614999999997</v>
      </c>
      <c r="J48" s="485"/>
      <c r="K48" s="485"/>
      <c r="L48" s="485">
        <v>301.58999999999997</v>
      </c>
      <c r="M48" s="485"/>
      <c r="N48" s="485">
        <v>402.13</v>
      </c>
      <c r="O48" s="485"/>
      <c r="P48" s="492">
        <f>SUM(compras_mes5[[#This Row],[NETO GRAVADO]:[Otros / No Grav.]])</f>
        <v>12868.031499999999</v>
      </c>
      <c r="Q48" s="493" t="str">
        <f>IFERROR(IF(compras_mes5[[#This Row],[CUIT]]="","-",VLOOKUP(compras_mes5[[#This Row],[CUIT]],Lista_CUIT[#All],3,0)),"CUIT NO CARGADO")</f>
        <v>Autopista</v>
      </c>
      <c r="R48" s="493">
        <f>IFERROR(IF(compras_mes5[[#This Row],[CUIT]]="","-",VLOOKUP(compras_mes5[[#This Row],[CUIT]],Lista_CUIT[#All],4,0)),"CUIT NO CARGADO")</f>
        <v>0</v>
      </c>
    </row>
    <row r="49" spans="2:18" s="428" customFormat="1" ht="15" customHeight="1" x14ac:dyDescent="0.25">
      <c r="B49" s="486">
        <v>45793</v>
      </c>
      <c r="C49" s="442">
        <v>1</v>
      </c>
      <c r="D49" s="487">
        <v>7</v>
      </c>
      <c r="E49" s="488">
        <v>1577</v>
      </c>
      <c r="F49" s="489">
        <v>30712187316</v>
      </c>
      <c r="G49" s="490" t="str">
        <f>IFERROR(IF(compras_mes5[[#This Row],[CUIT]]="","-",VLOOKUP(compras_mes5[[#This Row],[CUIT]],Lista_CUIT[#All],2,0)),"CUIT NO CARGADO")</f>
        <v>ITALOMED PRODUCTOS SRL</v>
      </c>
      <c r="H49" s="491">
        <f>1150*509.04</f>
        <v>585396</v>
      </c>
      <c r="I49" s="485">
        <f>IF(compras_mes5[[#This Row],[NETO GRAVADO]]="","",compras_mes5[[#This Row],[NETO GRAVADO]]*0.21)</f>
        <v>122933.15999999999</v>
      </c>
      <c r="J49" s="485"/>
      <c r="K49" s="485"/>
      <c r="L49" s="485"/>
      <c r="M49" s="485"/>
      <c r="N49" s="485"/>
      <c r="O49" s="485"/>
      <c r="P49" s="492">
        <f>SUM(compras_mes5[[#This Row],[NETO GRAVADO]:[Otros / No Grav.]])</f>
        <v>708329.16</v>
      </c>
      <c r="Q49" s="493" t="str">
        <f>IFERROR(IF(compras_mes5[[#This Row],[CUIT]]="","-",VLOOKUP(compras_mes5[[#This Row],[CUIT]],Lista_CUIT[#All],3,0)),"CUIT NO CARGADO")</f>
        <v>INSUMO</v>
      </c>
      <c r="R49" s="493">
        <f>IFERROR(IF(compras_mes5[[#This Row],[CUIT]]="","-",VLOOKUP(compras_mes5[[#This Row],[CUIT]],Lista_CUIT[#All],4,0)),"CUIT NO CARGADO")</f>
        <v>0</v>
      </c>
    </row>
    <row r="50" spans="2:18" s="428" customFormat="1" ht="15" customHeight="1" x14ac:dyDescent="0.25">
      <c r="B50" s="486">
        <v>45796</v>
      </c>
      <c r="C50" s="442">
        <v>1</v>
      </c>
      <c r="D50" s="487">
        <v>6</v>
      </c>
      <c r="E50" s="488">
        <v>57</v>
      </c>
      <c r="F50" s="489">
        <v>30716401541</v>
      </c>
      <c r="G50" s="490" t="str">
        <f>IFERROR(IF(compras_mes5[[#This Row],[CUIT]]="","-",VLOOKUP(compras_mes5[[#This Row],[CUIT]],Lista_CUIT[#All],2,0)),"CUIT NO CARGADO")</f>
        <v>HIGH MOBILITY S.A.S.</v>
      </c>
      <c r="H50" s="491">
        <v>1015000</v>
      </c>
      <c r="I50" s="485">
        <f>IF(compras_mes5[[#This Row],[NETO GRAVADO]]="","",compras_mes5[[#This Row],[NETO GRAVADO]]*0.21)</f>
        <v>213150</v>
      </c>
      <c r="J50" s="485"/>
      <c r="K50" s="485"/>
      <c r="L50" s="485"/>
      <c r="M50" s="485"/>
      <c r="N50" s="485"/>
      <c r="O50" s="485"/>
      <c r="P50" s="492">
        <f>SUM(compras_mes5[[#This Row],[NETO GRAVADO]:[Otros / No Grav.]])</f>
        <v>1228150</v>
      </c>
      <c r="Q50" s="493" t="str">
        <f>IFERROR(IF(compras_mes5[[#This Row],[CUIT]]="","-",VLOOKUP(compras_mes5[[#This Row],[CUIT]],Lista_CUIT[#All],3,0)),"CUIT NO CARGADO")</f>
        <v>Insumos</v>
      </c>
      <c r="R50" s="493">
        <f>IFERROR(IF(compras_mes5[[#This Row],[CUIT]]="","-",VLOOKUP(compras_mes5[[#This Row],[CUIT]],Lista_CUIT[#All],4,0)),"CUIT NO CARGADO")</f>
        <v>0</v>
      </c>
    </row>
    <row r="51" spans="2:18" s="428" customFormat="1" ht="15" customHeight="1" x14ac:dyDescent="0.25">
      <c r="B51" s="486">
        <v>45796</v>
      </c>
      <c r="C51" s="442">
        <v>1</v>
      </c>
      <c r="D51" s="487">
        <v>44</v>
      </c>
      <c r="E51" s="488">
        <v>19653</v>
      </c>
      <c r="F51" s="489">
        <v>30708847247</v>
      </c>
      <c r="G51" s="490" t="str">
        <f>IFERROR(IF(compras_mes5[[#This Row],[CUIT]]="","-",VLOOKUP(compras_mes5[[#This Row],[CUIT]],Lista_CUIT[#All],2,0)),"CUIT NO CARGADO")</f>
        <v>TOAGRA SRL</v>
      </c>
      <c r="H51" s="491">
        <v>43853.86</v>
      </c>
      <c r="I51" s="485">
        <f>IF(compras_mes5[[#This Row],[NETO GRAVADO]]="","",compras_mes5[[#This Row],[NETO GRAVADO]]*0.21)</f>
        <v>9209.3105999999989</v>
      </c>
      <c r="J51" s="485"/>
      <c r="K51" s="485"/>
      <c r="L51" s="485"/>
      <c r="M51" s="485"/>
      <c r="N51" s="485">
        <v>1754.15</v>
      </c>
      <c r="O51" s="485"/>
      <c r="P51" s="492">
        <f>SUM(compras_mes5[[#This Row],[NETO GRAVADO]:[Otros / No Grav.]])</f>
        <v>54817.320599999999</v>
      </c>
      <c r="Q51" s="493" t="str">
        <f>IFERROR(IF(compras_mes5[[#This Row],[CUIT]]="","-",VLOOKUP(compras_mes5[[#This Row],[CUIT]],Lista_CUIT[#All],3,0)),"CUIT NO CARGADO")</f>
        <v>FLETE</v>
      </c>
      <c r="R51" s="493">
        <f>IFERROR(IF(compras_mes5[[#This Row],[CUIT]]="","-",VLOOKUP(compras_mes5[[#This Row],[CUIT]],Lista_CUIT[#All],4,0)),"CUIT NO CARGADO")</f>
        <v>0</v>
      </c>
    </row>
    <row r="52" spans="2:18" s="428" customFormat="1" ht="15" customHeight="1" x14ac:dyDescent="0.25">
      <c r="B52" s="486">
        <v>45796</v>
      </c>
      <c r="C52" s="442">
        <v>1</v>
      </c>
      <c r="D52" s="487">
        <v>5</v>
      </c>
      <c r="E52" s="488">
        <v>48</v>
      </c>
      <c r="F52" s="489">
        <v>20929183143</v>
      </c>
      <c r="G52" s="490" t="str">
        <f>IFERROR(IF(compras_mes5[[#This Row],[CUIT]]="","-",VLOOKUP(compras_mes5[[#This Row],[CUIT]],Lista_CUIT[#All],2,0)),"CUIT NO CARGADO")</f>
        <v>MA JUN</v>
      </c>
      <c r="H52" s="491">
        <v>85000</v>
      </c>
      <c r="I52" s="485">
        <f>IF(compras_mes5[[#This Row],[NETO GRAVADO]]="","",compras_mes5[[#This Row],[NETO GRAVADO]]*0.21)</f>
        <v>17850</v>
      </c>
      <c r="J52" s="485"/>
      <c r="K52" s="485"/>
      <c r="L52" s="485"/>
      <c r="M52" s="485"/>
      <c r="N52" s="485"/>
      <c r="O52" s="485"/>
      <c r="P52" s="492">
        <f>SUM(compras_mes5[[#This Row],[NETO GRAVADO]:[Otros / No Grav.]])</f>
        <v>102850</v>
      </c>
      <c r="Q52" s="493" t="str">
        <f>IFERROR(IF(compras_mes5[[#This Row],[CUIT]]="","-",VLOOKUP(compras_mes5[[#This Row],[CUIT]],Lista_CUIT[#All],3,0)),"CUIT NO CARGADO")</f>
        <v>Gastos Varios</v>
      </c>
      <c r="R52" s="493">
        <f>IFERROR(IF(compras_mes5[[#This Row],[CUIT]]="","-",VLOOKUP(compras_mes5[[#This Row],[CUIT]],Lista_CUIT[#All],4,0)),"CUIT NO CARGADO")</f>
        <v>0</v>
      </c>
    </row>
    <row r="53" spans="2:18" s="428" customFormat="1" ht="15" customHeight="1" x14ac:dyDescent="0.25">
      <c r="B53" s="486">
        <v>45797</v>
      </c>
      <c r="C53" s="442">
        <v>1</v>
      </c>
      <c r="D53" s="487">
        <v>12</v>
      </c>
      <c r="E53" s="488">
        <v>42634</v>
      </c>
      <c r="F53" s="489">
        <v>30526582884</v>
      </c>
      <c r="G53" s="490" t="str">
        <f>IFERROR(IF(compras_mes5[[#This Row],[CUIT]]="","-",VLOOKUP(compras_mes5[[#This Row],[CUIT]],Lista_CUIT[#All],2,0)),"CUIT NO CARGADO")</f>
        <v>EXPRESO MAR DEL PLATA S.A.</v>
      </c>
      <c r="H53" s="491">
        <v>155355.37</v>
      </c>
      <c r="I53" s="485">
        <f>IF(compras_mes5[[#This Row],[NETO GRAVADO]]="","",compras_mes5[[#This Row],[NETO GRAVADO]]*0.21)</f>
        <v>32624.627699999997</v>
      </c>
      <c r="J53" s="485"/>
      <c r="K53" s="485"/>
      <c r="L53" s="485"/>
      <c r="M53" s="485"/>
      <c r="N53" s="485"/>
      <c r="O53" s="485"/>
      <c r="P53" s="492">
        <f>SUM(compras_mes5[[#This Row],[NETO GRAVADO]:[Otros / No Grav.]])</f>
        <v>187979.99770000001</v>
      </c>
      <c r="Q53" s="493" t="str">
        <f>IFERROR(IF(compras_mes5[[#This Row],[CUIT]]="","-",VLOOKUP(compras_mes5[[#This Row],[CUIT]],Lista_CUIT[#All],3,0)),"CUIT NO CARGADO")</f>
        <v>SERVICIOS</v>
      </c>
      <c r="R53" s="493">
        <f>IFERROR(IF(compras_mes5[[#This Row],[CUIT]]="","-",VLOOKUP(compras_mes5[[#This Row],[CUIT]],Lista_CUIT[#All],4,0)),"CUIT NO CARGADO")</f>
        <v>0</v>
      </c>
    </row>
    <row r="54" spans="2:18" s="428" customFormat="1" ht="15" customHeight="1" x14ac:dyDescent="0.25">
      <c r="B54" s="486">
        <v>45797</v>
      </c>
      <c r="C54" s="442">
        <v>1</v>
      </c>
      <c r="D54" s="487">
        <v>5</v>
      </c>
      <c r="E54" s="488">
        <v>166975</v>
      </c>
      <c r="F54" s="489">
        <v>30598960093</v>
      </c>
      <c r="G54" s="490" t="str">
        <f>IFERROR(IF(compras_mes5[[#This Row],[CUIT]]="","-",VLOOKUP(compras_mes5[[#This Row],[CUIT]],Lista_CUIT[#All],2,0)),"CUIT NO CARGADO")</f>
        <v>SILVESTRIN FABRIS SRL</v>
      </c>
      <c r="H54" s="491">
        <v>760465.65</v>
      </c>
      <c r="I54" s="485">
        <v>103456.9</v>
      </c>
      <c r="J54" s="485">
        <v>28120.44</v>
      </c>
      <c r="K54" s="485"/>
      <c r="L54" s="485"/>
      <c r="M54" s="485"/>
      <c r="N54" s="485">
        <v>30418.63</v>
      </c>
      <c r="O54" s="485"/>
      <c r="P54" s="492">
        <f>SUM(compras_mes5[[#This Row],[NETO GRAVADO]:[Otros / No Grav.]])</f>
        <v>922461.62</v>
      </c>
      <c r="Q54" s="493" t="str">
        <f>IFERROR(IF(compras_mes5[[#This Row],[CUIT]]="","-",VLOOKUP(compras_mes5[[#This Row],[CUIT]],Lista_CUIT[#All],3,0)),"CUIT NO CARGADO")</f>
        <v>INSUMO</v>
      </c>
      <c r="R54" s="493">
        <f>IFERROR(IF(compras_mes5[[#This Row],[CUIT]]="","-",VLOOKUP(compras_mes5[[#This Row],[CUIT]],Lista_CUIT[#All],4,0)),"CUIT NO CARGADO")</f>
        <v>0</v>
      </c>
    </row>
    <row r="55" spans="2:18" s="428" customFormat="1" ht="15" customHeight="1" x14ac:dyDescent="0.25">
      <c r="B55" s="441">
        <v>45798</v>
      </c>
      <c r="C55" s="442">
        <v>1</v>
      </c>
      <c r="D55" s="443">
        <v>4264</v>
      </c>
      <c r="E55" s="444">
        <v>5471712</v>
      </c>
      <c r="F55" s="445">
        <v>30639453738</v>
      </c>
      <c r="G55" s="446" t="str">
        <f>IFERROR(IF(compras_mes5[[#This Row],[CUIT]]="","-",VLOOKUP(compras_mes5[[#This Row],[CUIT]],Lista_CUIT[#All],2,0)),"CUIT NO CARGADO")</f>
        <v>TELECOM ARGENTINA SA</v>
      </c>
      <c r="H55" s="386">
        <v>46199.59</v>
      </c>
      <c r="I55" s="485">
        <f>IF(compras_mes5[[#This Row],[NETO GRAVADO]]="","",compras_mes5[[#This Row],[NETO GRAVADO]]*0.21)</f>
        <v>9701.9138999999996</v>
      </c>
      <c r="J55" s="387"/>
      <c r="K55" s="387"/>
      <c r="L55" s="387"/>
      <c r="M55" s="387"/>
      <c r="N55" s="387">
        <v>3233.97</v>
      </c>
      <c r="O55" s="387"/>
      <c r="P55" s="447">
        <f>SUM(compras_mes5[[#This Row],[NETO GRAVADO]:[Otros / No Grav.]])</f>
        <v>59135.473899999997</v>
      </c>
      <c r="Q55" s="448" t="str">
        <f>IFERROR(IF(compras_mes5[[#This Row],[CUIT]]="","-",VLOOKUP(compras_mes5[[#This Row],[CUIT]],Lista_CUIT[#All],3,0)),"CUIT NO CARGADO")</f>
        <v>SERVICIO</v>
      </c>
      <c r="R55" s="448">
        <f>IFERROR(IF(compras_mes5[[#This Row],[CUIT]]="","-",VLOOKUP(compras_mes5[[#This Row],[CUIT]],Lista_CUIT[#All],4,0)),"CUIT NO CARGADO")</f>
        <v>0</v>
      </c>
    </row>
    <row r="56" spans="2:18" s="428" customFormat="1" ht="15" customHeight="1" x14ac:dyDescent="0.25">
      <c r="B56" s="486">
        <v>45798</v>
      </c>
      <c r="C56" s="442">
        <v>1</v>
      </c>
      <c r="D56" s="487">
        <v>5</v>
      </c>
      <c r="E56" s="488">
        <v>3300761</v>
      </c>
      <c r="F56" s="489">
        <v>30702652975</v>
      </c>
      <c r="G56" s="490" t="str">
        <f>IFERROR(IF(compras_mes5[[#This Row],[CUIT]]="","-",VLOOKUP(compras_mes5[[#This Row],[CUIT]],Lista_CUIT[#All],2,0)),"CUIT NO CARGADO")</f>
        <v>NSS SA</v>
      </c>
      <c r="H56" s="491">
        <v>35660.75</v>
      </c>
      <c r="I56" s="485">
        <f>IF(compras_mes5[[#This Row],[NETO GRAVADO]]="","",compras_mes5[[#This Row],[NETO GRAVADO]]*0.21)</f>
        <v>7488.7574999999997</v>
      </c>
      <c r="J56" s="485"/>
      <c r="K56" s="485"/>
      <c r="L56" s="485"/>
      <c r="M56" s="485"/>
      <c r="N56" s="485">
        <v>1426.43</v>
      </c>
      <c r="O56" s="485"/>
      <c r="P56" s="492">
        <f>SUM(compras_mes5[[#This Row],[NETO GRAVADO]:[Otros / No Grav.]])</f>
        <v>44575.9375</v>
      </c>
      <c r="Q56" s="493" t="str">
        <f>IFERROR(IF(compras_mes5[[#This Row],[CUIT]]="","-",VLOOKUP(compras_mes5[[#This Row],[CUIT]],Lista_CUIT[#All],3,0)),"CUIT NO CARGADO")</f>
        <v>SERVICIOS</v>
      </c>
      <c r="R56" s="493">
        <f>IFERROR(IF(compras_mes5[[#This Row],[CUIT]]="","-",VLOOKUP(compras_mes5[[#This Row],[CUIT]],Lista_CUIT[#All],4,0)),"CUIT NO CARGADO")</f>
        <v>0</v>
      </c>
    </row>
    <row r="57" spans="2:18" s="428" customFormat="1" ht="15" customHeight="1" x14ac:dyDescent="0.25">
      <c r="B57" s="486">
        <v>45798</v>
      </c>
      <c r="C57" s="442">
        <v>1</v>
      </c>
      <c r="D57" s="487">
        <v>6</v>
      </c>
      <c r="E57" s="488">
        <v>59</v>
      </c>
      <c r="F57" s="489">
        <v>30716401541</v>
      </c>
      <c r="G57" s="490" t="str">
        <f>IFERROR(IF(compras_mes5[[#This Row],[CUIT]]="","-",VLOOKUP(compras_mes5[[#This Row],[CUIT]],Lista_CUIT[#All],2,0)),"CUIT NO CARGADO")</f>
        <v>HIGH MOBILITY S.A.S.</v>
      </c>
      <c r="H57" s="491">
        <v>386280</v>
      </c>
      <c r="I57" s="485">
        <f>IF(compras_mes5[[#This Row],[NETO GRAVADO]]="","",compras_mes5[[#This Row],[NETO GRAVADO]]*0.21)</f>
        <v>81118.8</v>
      </c>
      <c r="J57" s="485"/>
      <c r="K57" s="485"/>
      <c r="L57" s="485"/>
      <c r="M57" s="485"/>
      <c r="N57" s="485"/>
      <c r="O57" s="485"/>
      <c r="P57" s="492">
        <f>SUM(compras_mes5[[#This Row],[NETO GRAVADO]:[Otros / No Grav.]])</f>
        <v>467398.8</v>
      </c>
      <c r="Q57" s="493" t="str">
        <f>IFERROR(IF(compras_mes5[[#This Row],[CUIT]]="","-",VLOOKUP(compras_mes5[[#This Row],[CUIT]],Lista_CUIT[#All],3,0)),"CUIT NO CARGADO")</f>
        <v>Insumos</v>
      </c>
      <c r="R57" s="493">
        <f>IFERROR(IF(compras_mes5[[#This Row],[CUIT]]="","-",VLOOKUP(compras_mes5[[#This Row],[CUIT]],Lista_CUIT[#All],4,0)),"CUIT NO CARGADO")</f>
        <v>0</v>
      </c>
    </row>
    <row r="58" spans="2:18" s="428" customFormat="1" ht="15" customHeight="1" x14ac:dyDescent="0.25">
      <c r="B58" s="486">
        <v>45799</v>
      </c>
      <c r="C58" s="442">
        <v>1</v>
      </c>
      <c r="D58" s="487">
        <v>7</v>
      </c>
      <c r="E58" s="488">
        <v>7572</v>
      </c>
      <c r="F58" s="489">
        <v>20312058368</v>
      </c>
      <c r="G58" s="490" t="str">
        <f>IFERROR(IF(compras_mes5[[#This Row],[CUIT]]="","-",VLOOKUP(compras_mes5[[#This Row],[CUIT]],Lista_CUIT[#All],2,0)),"CUIT NO CARGADO")</f>
        <v>GOTTIG DIEGO GASTON LUJAN</v>
      </c>
      <c r="H58" s="491">
        <v>49421.49</v>
      </c>
      <c r="I58" s="485">
        <f>IF(compras_mes5[[#This Row],[NETO GRAVADO]]="","",compras_mes5[[#This Row],[NETO GRAVADO]]*0.21)</f>
        <v>10378.5129</v>
      </c>
      <c r="J58" s="485"/>
      <c r="K58" s="485"/>
      <c r="L58" s="485"/>
      <c r="M58" s="485"/>
      <c r="N58" s="485"/>
      <c r="O58" s="485"/>
      <c r="P58" s="492">
        <f>SUM(compras_mes5[[#This Row],[NETO GRAVADO]:[Otros / No Grav.]])</f>
        <v>59800.002899999999</v>
      </c>
      <c r="Q58" s="493" t="str">
        <f>IFERROR(IF(compras_mes5[[#This Row],[CUIT]]="","-",VLOOKUP(compras_mes5[[#This Row],[CUIT]],Lista_CUIT[#All],3,0)),"CUIT NO CARGADO")</f>
        <v>Prod. Ortopedicos</v>
      </c>
      <c r="R58" s="493">
        <f>IFERROR(IF(compras_mes5[[#This Row],[CUIT]]="","-",VLOOKUP(compras_mes5[[#This Row],[CUIT]],Lista_CUIT[#All],4,0)),"CUIT NO CARGADO")</f>
        <v>0</v>
      </c>
    </row>
    <row r="59" spans="2:18" s="428" customFormat="1" ht="15" customHeight="1" x14ac:dyDescent="0.25">
      <c r="B59" s="441">
        <v>45799</v>
      </c>
      <c r="C59" s="442">
        <v>1</v>
      </c>
      <c r="D59" s="443">
        <v>15</v>
      </c>
      <c r="E59" s="444">
        <v>4537</v>
      </c>
      <c r="F59" s="445">
        <v>30688140923</v>
      </c>
      <c r="G59" s="446" t="str">
        <f>IFERROR(IF(compras_mes5[[#This Row],[CUIT]]="","-",VLOOKUP(compras_mes5[[#This Row],[CUIT]],Lista_CUIT[#All],2,0)),"CUIT NO CARGADO")</f>
        <v>COLTEX SRL</v>
      </c>
      <c r="H59" s="386">
        <v>382425.59999999998</v>
      </c>
      <c r="I59" s="485">
        <f>IF(compras_mes5[[#This Row],[NETO GRAVADO]]="","",compras_mes5[[#This Row],[NETO GRAVADO]]*0.21)</f>
        <v>80309.375999999989</v>
      </c>
      <c r="J59" s="387"/>
      <c r="K59" s="387"/>
      <c r="L59" s="387"/>
      <c r="M59" s="387"/>
      <c r="N59" s="387"/>
      <c r="O59" s="387"/>
      <c r="P59" s="447">
        <f>SUM(compras_mes5[[#This Row],[NETO GRAVADO]:[Otros / No Grav.]])</f>
        <v>462734.97599999997</v>
      </c>
      <c r="Q59" s="448" t="str">
        <f>IFERROR(IF(compras_mes5[[#This Row],[CUIT]]="","-",VLOOKUP(compras_mes5[[#This Row],[CUIT]],Lista_CUIT[#All],3,0)),"CUIT NO CARGADO")</f>
        <v>INSUMO</v>
      </c>
      <c r="R59" s="448">
        <f>IFERROR(IF(compras_mes5[[#This Row],[CUIT]]="","-",VLOOKUP(compras_mes5[[#This Row],[CUIT]],Lista_CUIT[#All],4,0)),"CUIT NO CARGADO")</f>
        <v>0</v>
      </c>
    </row>
    <row r="60" spans="2:18" s="428" customFormat="1" ht="15" customHeight="1" x14ac:dyDescent="0.25">
      <c r="B60" s="441">
        <v>45799</v>
      </c>
      <c r="C60" s="442">
        <v>1</v>
      </c>
      <c r="D60" s="443">
        <v>2</v>
      </c>
      <c r="E60" s="444">
        <v>1304</v>
      </c>
      <c r="F60" s="445">
        <v>20272865869</v>
      </c>
      <c r="G60" s="446" t="str">
        <f>IFERROR(IF(compras_mes5[[#This Row],[CUIT]]="","-",VLOOKUP(compras_mes5[[#This Row],[CUIT]],Lista_CUIT[#All],2,0)),"CUIT NO CARGADO")</f>
        <v>DI FEO MARTIN EZEQUIEL</v>
      </c>
      <c r="H60" s="386">
        <v>207100</v>
      </c>
      <c r="I60" s="485">
        <f>IF(compras_mes5[[#This Row],[NETO GRAVADO]]="","",compras_mes5[[#This Row],[NETO GRAVADO]]*0.21)</f>
        <v>43491</v>
      </c>
      <c r="J60" s="387"/>
      <c r="K60" s="387"/>
      <c r="L60" s="387"/>
      <c r="M60" s="387"/>
      <c r="N60" s="387"/>
      <c r="O60" s="387"/>
      <c r="P60" s="447">
        <f>SUM(compras_mes5[[#This Row],[NETO GRAVADO]:[Otros / No Grav.]])</f>
        <v>250591</v>
      </c>
      <c r="Q60" s="448" t="str">
        <f>IFERROR(IF(compras_mes5[[#This Row],[CUIT]]="","-",VLOOKUP(compras_mes5[[#This Row],[CUIT]],Lista_CUIT[#All],3,0)),"CUIT NO CARGADO")</f>
        <v>INSUMOS</v>
      </c>
      <c r="R60" s="448">
        <f>IFERROR(IF(compras_mes5[[#This Row],[CUIT]]="","-",VLOOKUP(compras_mes5[[#This Row],[CUIT]],Lista_CUIT[#All],4,0)),"CUIT NO CARGADO")</f>
        <v>0</v>
      </c>
    </row>
    <row r="61" spans="2:18" s="428" customFormat="1" ht="15" customHeight="1" x14ac:dyDescent="0.25">
      <c r="B61" s="486">
        <v>45799</v>
      </c>
      <c r="C61" s="442">
        <v>1</v>
      </c>
      <c r="D61" s="487">
        <v>700</v>
      </c>
      <c r="E61" s="488">
        <v>2467338</v>
      </c>
      <c r="F61" s="489">
        <v>30715804812</v>
      </c>
      <c r="G61" s="490" t="str">
        <f>IFERROR(IF(compras_mes5[[#This Row],[CUIT]]="","-",VLOOKUP(compras_mes5[[#This Row],[CUIT]],Lista_CUIT[#All],2,0)),"CUIT NO CARGADO")</f>
        <v>CORREDORES VIALES SOCIEDAD ANONIMA</v>
      </c>
      <c r="H61" s="491">
        <v>20175.650000000001</v>
      </c>
      <c r="I61" s="485">
        <f>IF(compras_mes5[[#This Row],[NETO GRAVADO]]="","",compras_mes5[[#This Row],[NETO GRAVADO]]*0.21)</f>
        <v>4236.8865000000005</v>
      </c>
      <c r="J61" s="485"/>
      <c r="K61" s="485"/>
      <c r="L61" s="485"/>
      <c r="M61" s="485"/>
      <c r="N61" s="485">
        <v>807.02</v>
      </c>
      <c r="O61" s="485"/>
      <c r="P61" s="492">
        <f>SUM(compras_mes5[[#This Row],[NETO GRAVADO]:[Otros / No Grav.]])</f>
        <v>25219.556500000002</v>
      </c>
      <c r="Q61" s="493" t="str">
        <f>IFERROR(IF(compras_mes5[[#This Row],[CUIT]]="","-",VLOOKUP(compras_mes5[[#This Row],[CUIT]],Lista_CUIT[#All],3,0)),"CUIT NO CARGADO")</f>
        <v>Autopista</v>
      </c>
      <c r="R61" s="493">
        <f>IFERROR(IF(compras_mes5[[#This Row],[CUIT]]="","-",VLOOKUP(compras_mes5[[#This Row],[CUIT]],Lista_CUIT[#All],4,0)),"CUIT NO CARGADO")</f>
        <v>0</v>
      </c>
    </row>
    <row r="62" spans="2:18" s="428" customFormat="1" ht="15" customHeight="1" x14ac:dyDescent="0.25">
      <c r="B62" s="441">
        <v>45799</v>
      </c>
      <c r="C62" s="442">
        <v>1</v>
      </c>
      <c r="D62" s="443">
        <v>700</v>
      </c>
      <c r="E62" s="444">
        <v>2467339</v>
      </c>
      <c r="F62" s="445">
        <v>30715804812</v>
      </c>
      <c r="G62" s="446" t="str">
        <f>IFERROR(IF(compras_mes5[[#This Row],[CUIT]]="","-",VLOOKUP(compras_mes5[[#This Row],[CUIT]],Lista_CUIT[#All],2,0)),"CUIT NO CARGADO")</f>
        <v>CORREDORES VIALES SOCIEDAD ANONIMA</v>
      </c>
      <c r="H62" s="386">
        <v>1871.97</v>
      </c>
      <c r="I62" s="485">
        <f>IF(compras_mes5[[#This Row],[NETO GRAVADO]]="","",compras_mes5[[#This Row],[NETO GRAVADO]]*0.21)</f>
        <v>393.11369999999999</v>
      </c>
      <c r="J62" s="387"/>
      <c r="K62" s="387"/>
      <c r="L62" s="387"/>
      <c r="M62" s="387"/>
      <c r="N62" s="387"/>
      <c r="O62" s="387"/>
      <c r="P62" s="447">
        <f>SUM(compras_mes5[[#This Row],[NETO GRAVADO]:[Otros / No Grav.]])</f>
        <v>2265.0837000000001</v>
      </c>
      <c r="Q62" s="448" t="str">
        <f>IFERROR(IF(compras_mes5[[#This Row],[CUIT]]="","-",VLOOKUP(compras_mes5[[#This Row],[CUIT]],Lista_CUIT[#All],3,0)),"CUIT NO CARGADO")</f>
        <v>Autopista</v>
      </c>
      <c r="R62" s="448">
        <f>IFERROR(IF(compras_mes5[[#This Row],[CUIT]]="","-",VLOOKUP(compras_mes5[[#This Row],[CUIT]],Lista_CUIT[#All],4,0)),"CUIT NO CARGADO")</f>
        <v>0</v>
      </c>
    </row>
    <row r="63" spans="2:18" s="428" customFormat="1" ht="15" customHeight="1" x14ac:dyDescent="0.25">
      <c r="B63" s="494">
        <v>45800</v>
      </c>
      <c r="C63" s="442">
        <v>1</v>
      </c>
      <c r="D63" s="495">
        <v>2</v>
      </c>
      <c r="E63" s="496">
        <v>12090</v>
      </c>
      <c r="F63" s="497">
        <v>30714331082</v>
      </c>
      <c r="G63" s="498" t="str">
        <f>IFERROR(IF(compras_mes5[[#This Row],[CUIT]]="","-",VLOOKUP(compras_mes5[[#This Row],[CUIT]],Lista_CUIT[#All],2,0)),"CUIT NO CARGADO")</f>
        <v>ORTOPEDIA CASA ESCALADA SRL</v>
      </c>
      <c r="H63" s="499">
        <v>472360.62</v>
      </c>
      <c r="I63" s="485">
        <f>IF(compras_mes5[[#This Row],[NETO GRAVADO]]="","",compras_mes5[[#This Row],[NETO GRAVADO]]*0.21)</f>
        <v>99195.730199999991</v>
      </c>
      <c r="J63" s="500"/>
      <c r="K63" s="500"/>
      <c r="L63" s="500"/>
      <c r="M63" s="500"/>
      <c r="N63" s="500"/>
      <c r="O63" s="500"/>
      <c r="P63" s="501">
        <f>SUM(compras_mes5[[#This Row],[NETO GRAVADO]:[Otros / No Grav.]])</f>
        <v>571556.35019999999</v>
      </c>
      <c r="Q63" s="502" t="str">
        <f>IFERROR(IF(compras_mes5[[#This Row],[CUIT]]="","-",VLOOKUP(compras_mes5[[#This Row],[CUIT]],Lista_CUIT[#All],3,0)),"CUIT NO CARGADO")</f>
        <v>INSUMO</v>
      </c>
      <c r="R63" s="502">
        <f>IFERROR(IF(compras_mes5[[#This Row],[CUIT]]="","-",VLOOKUP(compras_mes5[[#This Row],[CUIT]],Lista_CUIT[#All],4,0)),"CUIT NO CARGADO")</f>
        <v>0</v>
      </c>
    </row>
    <row r="64" spans="2:18" s="428" customFormat="1" ht="15" customHeight="1" x14ac:dyDescent="0.25">
      <c r="B64" s="486">
        <v>45800</v>
      </c>
      <c r="C64" s="442">
        <v>1</v>
      </c>
      <c r="D64" s="487">
        <v>2</v>
      </c>
      <c r="E64" s="488">
        <v>1305</v>
      </c>
      <c r="F64" s="489">
        <v>20272865869</v>
      </c>
      <c r="G64" s="490" t="str">
        <f>IFERROR(IF(compras_mes5[[#This Row],[CUIT]]="","-",VLOOKUP(compras_mes5[[#This Row],[CUIT]],Lista_CUIT[#All],2,0)),"CUIT NO CARGADO")</f>
        <v>DI FEO MARTIN EZEQUIEL</v>
      </c>
      <c r="H64" s="491">
        <v>45000</v>
      </c>
      <c r="I64" s="485">
        <f>IF(compras_mes5[[#This Row],[NETO GRAVADO]]="","",compras_mes5[[#This Row],[NETO GRAVADO]]*0.21)</f>
        <v>9450</v>
      </c>
      <c r="J64" s="485"/>
      <c r="K64" s="485"/>
      <c r="L64" s="485"/>
      <c r="M64" s="485"/>
      <c r="N64" s="485"/>
      <c r="O64" s="485"/>
      <c r="P64" s="492">
        <f>SUM(compras_mes5[[#This Row],[NETO GRAVADO]:[Otros / No Grav.]])</f>
        <v>54450</v>
      </c>
      <c r="Q64" s="493" t="str">
        <f>IFERROR(IF(compras_mes5[[#This Row],[CUIT]]="","-",VLOOKUP(compras_mes5[[#This Row],[CUIT]],Lista_CUIT[#All],3,0)),"CUIT NO CARGADO")</f>
        <v>INSUMOS</v>
      </c>
      <c r="R64" s="493">
        <f>IFERROR(IF(compras_mes5[[#This Row],[CUIT]]="","-",VLOOKUP(compras_mes5[[#This Row],[CUIT]],Lista_CUIT[#All],4,0)),"CUIT NO CARGADO")</f>
        <v>0</v>
      </c>
    </row>
    <row r="65" spans="2:19" s="428" customFormat="1" ht="15" customHeight="1" x14ac:dyDescent="0.25">
      <c r="B65" s="486">
        <v>45800</v>
      </c>
      <c r="C65" s="442">
        <v>1</v>
      </c>
      <c r="D65" s="487">
        <v>2</v>
      </c>
      <c r="E65" s="488">
        <v>38</v>
      </c>
      <c r="F65" s="489">
        <v>27243660535</v>
      </c>
      <c r="G65" s="490" t="str">
        <f>IFERROR(IF(compras_mes5[[#This Row],[CUIT]]="","-",VLOOKUP(compras_mes5[[#This Row],[CUIT]],Lista_CUIT[#All],2,0)),"CUIT NO CARGADO")</f>
        <v>BARD MARISA SILVIA</v>
      </c>
      <c r="H65" s="491">
        <v>414537</v>
      </c>
      <c r="I65" s="485">
        <f>IF(compras_mes5[[#This Row],[NETO GRAVADO]]="","",compras_mes5[[#This Row],[NETO GRAVADO]]*0.21)</f>
        <v>87052.76999999999</v>
      </c>
      <c r="J65" s="485"/>
      <c r="K65" s="485"/>
      <c r="L65" s="485"/>
      <c r="M65" s="485"/>
      <c r="N65" s="485"/>
      <c r="O65" s="485"/>
      <c r="P65" s="492">
        <f>SUM(compras_mes5[[#This Row],[NETO GRAVADO]:[Otros / No Grav.]])</f>
        <v>501589.77</v>
      </c>
      <c r="Q65" s="493" t="str">
        <f>IFERROR(IF(compras_mes5[[#This Row],[CUIT]]="","-",VLOOKUP(compras_mes5[[#This Row],[CUIT]],Lista_CUIT[#All],3,0)),"CUIT NO CARGADO")</f>
        <v>Insumos</v>
      </c>
      <c r="R65" s="493">
        <f>IFERROR(IF(compras_mes5[[#This Row],[CUIT]]="","-",VLOOKUP(compras_mes5[[#This Row],[CUIT]],Lista_CUIT[#All],4,0)),"CUIT NO CARGADO")</f>
        <v>0</v>
      </c>
    </row>
    <row r="66" spans="2:19" s="428" customFormat="1" ht="15" customHeight="1" x14ac:dyDescent="0.25">
      <c r="B66" s="486">
        <v>45800</v>
      </c>
      <c r="C66" s="442">
        <v>1</v>
      </c>
      <c r="D66" s="487">
        <v>2</v>
      </c>
      <c r="E66" s="488">
        <v>12089</v>
      </c>
      <c r="F66" s="489">
        <v>30714331082</v>
      </c>
      <c r="G66" s="490" t="str">
        <f>IFERROR(IF(compras_mes5[[#This Row],[CUIT]]="","-",VLOOKUP(compras_mes5[[#This Row],[CUIT]],Lista_CUIT[#All],2,0)),"CUIT NO CARGADO")</f>
        <v>ORTOPEDIA CASA ESCALADA SRL</v>
      </c>
      <c r="H66" s="491">
        <v>1325320.6299999999</v>
      </c>
      <c r="I66" s="485">
        <f>IF(compras_mes5[[#This Row],[NETO GRAVADO]]="","",compras_mes5[[#This Row],[NETO GRAVADO]]*0.21)</f>
        <v>278317.33229999995</v>
      </c>
      <c r="J66" s="485"/>
      <c r="K66" s="485"/>
      <c r="L66" s="485"/>
      <c r="M66" s="485"/>
      <c r="N66" s="485"/>
      <c r="O66" s="485"/>
      <c r="P66" s="492">
        <f>SUM(compras_mes5[[#This Row],[NETO GRAVADO]:[Otros / No Grav.]])</f>
        <v>1603637.9622999998</v>
      </c>
      <c r="Q66" s="493" t="str">
        <f>IFERROR(IF(compras_mes5[[#This Row],[CUIT]]="","-",VLOOKUP(compras_mes5[[#This Row],[CUIT]],Lista_CUIT[#All],3,0)),"CUIT NO CARGADO")</f>
        <v>INSUMO</v>
      </c>
      <c r="R66" s="493">
        <f>IFERROR(IF(compras_mes5[[#This Row],[CUIT]]="","-",VLOOKUP(compras_mes5[[#This Row],[CUIT]],Lista_CUIT[#All],4,0)),"CUIT NO CARGADO")</f>
        <v>0</v>
      </c>
    </row>
    <row r="67" spans="2:19" s="428" customFormat="1" ht="15" customHeight="1" x14ac:dyDescent="0.25">
      <c r="B67" s="486">
        <v>45800</v>
      </c>
      <c r="C67" s="442">
        <v>1</v>
      </c>
      <c r="D67" s="487">
        <v>2</v>
      </c>
      <c r="E67" s="488">
        <v>12091</v>
      </c>
      <c r="F67" s="489">
        <v>30714331082</v>
      </c>
      <c r="G67" s="490" t="str">
        <f>IFERROR(IF(compras_mes5[[#This Row],[CUIT]]="","-",VLOOKUP(compras_mes5[[#This Row],[CUIT]],Lista_CUIT[#All],2,0)),"CUIT NO CARGADO")</f>
        <v>ORTOPEDIA CASA ESCALADA SRL</v>
      </c>
      <c r="H67" s="491">
        <v>579315.54</v>
      </c>
      <c r="I67" s="485">
        <f>IF(compras_mes5[[#This Row],[NETO GRAVADO]]="","",compras_mes5[[#This Row],[NETO GRAVADO]]*0.21)</f>
        <v>121656.2634</v>
      </c>
      <c r="J67" s="485"/>
      <c r="K67" s="485"/>
      <c r="L67" s="485"/>
      <c r="M67" s="485"/>
      <c r="N67" s="485"/>
      <c r="O67" s="485"/>
      <c r="P67" s="492">
        <f>SUM(compras_mes5[[#This Row],[NETO GRAVADO]:[Otros / No Grav.]])</f>
        <v>700971.80340000009</v>
      </c>
      <c r="Q67" s="493" t="str">
        <f>IFERROR(IF(compras_mes5[[#This Row],[CUIT]]="","-",VLOOKUP(compras_mes5[[#This Row],[CUIT]],Lista_CUIT[#All],3,0)),"CUIT NO CARGADO")</f>
        <v>INSUMO</v>
      </c>
      <c r="R67" s="493">
        <f>IFERROR(IF(compras_mes5[[#This Row],[CUIT]]="","-",VLOOKUP(compras_mes5[[#This Row],[CUIT]],Lista_CUIT[#All],4,0)),"CUIT NO CARGADO")</f>
        <v>0</v>
      </c>
    </row>
    <row r="68" spans="2:19" s="428" customFormat="1" ht="15" customHeight="1" x14ac:dyDescent="0.25">
      <c r="B68" s="486">
        <v>45800</v>
      </c>
      <c r="C68" s="442">
        <v>1</v>
      </c>
      <c r="D68" s="487">
        <v>210</v>
      </c>
      <c r="E68" s="488">
        <v>548</v>
      </c>
      <c r="F68" s="489">
        <v>30592097482</v>
      </c>
      <c r="G68" s="490" t="str">
        <f>IFERROR(IF(compras_mes5[[#This Row],[CUIT]]="","-",VLOOKUP(compras_mes5[[#This Row],[CUIT]],Lista_CUIT[#All],2,0)),"CUIT NO CARGADO")</f>
        <v>ED GAR SOCIEDAD ANONIMA</v>
      </c>
      <c r="H68" s="491">
        <v>54418.18</v>
      </c>
      <c r="I68" s="485">
        <f>IF(compras_mes5[[#This Row],[NETO GRAVADO]]="","",compras_mes5[[#This Row],[NETO GRAVADO]]*0.21)</f>
        <v>11427.817799999999</v>
      </c>
      <c r="J68" s="485"/>
      <c r="K68" s="485"/>
      <c r="L68" s="485"/>
      <c r="M68" s="485"/>
      <c r="N68" s="485">
        <v>2176.73</v>
      </c>
      <c r="O68" s="485"/>
      <c r="P68" s="492">
        <f>SUM(compras_mes5[[#This Row],[NETO GRAVADO]:[Otros / No Grav.]])</f>
        <v>68022.727799999993</v>
      </c>
      <c r="Q68" s="493" t="str">
        <f>IFERROR(IF(compras_mes5[[#This Row],[CUIT]]="","-",VLOOKUP(compras_mes5[[#This Row],[CUIT]],Lista_CUIT[#All],3,0)),"CUIT NO CARGADO")</f>
        <v>INSUMO</v>
      </c>
      <c r="R68" s="493">
        <f>IFERROR(IF(compras_mes5[[#This Row],[CUIT]]="","-",VLOOKUP(compras_mes5[[#This Row],[CUIT]],Lista_CUIT[#All],4,0)),"CUIT NO CARGADO")</f>
        <v>0</v>
      </c>
    </row>
    <row r="69" spans="2:19" s="428" customFormat="1" ht="15" customHeight="1" x14ac:dyDescent="0.25">
      <c r="B69" s="486">
        <v>45803</v>
      </c>
      <c r="C69" s="442">
        <v>1</v>
      </c>
      <c r="D69" s="487">
        <v>5</v>
      </c>
      <c r="E69" s="488">
        <v>3349</v>
      </c>
      <c r="F69" s="489">
        <v>30518532959</v>
      </c>
      <c r="G69" s="490" t="str">
        <f>IFERROR(IF(compras_mes5[[#This Row],[CUIT]]="","-",VLOOKUP(compras_mes5[[#This Row],[CUIT]],Lista_CUIT[#All],2,0)),"CUIT NO CARGADO")</f>
        <v>EGIDIO P HEYD Y CIA SRL</v>
      </c>
      <c r="H69" s="491">
        <v>33637.019999999997</v>
      </c>
      <c r="I69" s="485">
        <f>IF(compras_mes5[[#This Row],[NETO GRAVADO]]="","",compras_mes5[[#This Row],[NETO GRAVADO]]*0.21)</f>
        <v>7063.7741999999989</v>
      </c>
      <c r="J69" s="485"/>
      <c r="K69" s="485"/>
      <c r="L69" s="485"/>
      <c r="M69" s="485"/>
      <c r="N69" s="485"/>
      <c r="O69" s="485"/>
      <c r="P69" s="492">
        <f>SUM(compras_mes5[[#This Row],[NETO GRAVADO]:[Otros / No Grav.]])</f>
        <v>40700.794199999997</v>
      </c>
      <c r="Q69" s="493" t="str">
        <f>IFERROR(IF(compras_mes5[[#This Row],[CUIT]]="","-",VLOOKUP(compras_mes5[[#This Row],[CUIT]],Lista_CUIT[#All],3,0)),"CUIT NO CARGADO")</f>
        <v>Gastos Varios</v>
      </c>
      <c r="R69" s="493">
        <f>IFERROR(IF(compras_mes5[[#This Row],[CUIT]]="","-",VLOOKUP(compras_mes5[[#This Row],[CUIT]],Lista_CUIT[#All],4,0)),"CUIT NO CARGADO")</f>
        <v>0</v>
      </c>
    </row>
    <row r="70" spans="2:19" s="428" customFormat="1" ht="15" customHeight="1" x14ac:dyDescent="0.25">
      <c r="B70" s="486">
        <v>45804</v>
      </c>
      <c r="C70" s="442">
        <v>1</v>
      </c>
      <c r="D70" s="487">
        <v>16</v>
      </c>
      <c r="E70" s="488">
        <v>386</v>
      </c>
      <c r="F70" s="489">
        <v>30715626515</v>
      </c>
      <c r="G70" s="490" t="str">
        <f>IFERROR(IF(compras_mes5[[#This Row],[CUIT]]="","-",VLOOKUP(compras_mes5[[#This Row],[CUIT]],Lista_CUIT[#All],2,0)),"CUIT NO CARGADO")</f>
        <v>HERRAMIENTAS E INSUMOS S.A.</v>
      </c>
      <c r="H70" s="491">
        <v>27026.44</v>
      </c>
      <c r="I70" s="485">
        <f>IF(compras_mes5[[#This Row],[NETO GRAVADO]]="","",compras_mes5[[#This Row],[NETO GRAVADO]]*0.21)</f>
        <v>5675.5523999999996</v>
      </c>
      <c r="J70" s="485"/>
      <c r="K70" s="485"/>
      <c r="L70" s="485"/>
      <c r="M70" s="485"/>
      <c r="N70" s="485"/>
      <c r="O70" s="485"/>
      <c r="P70" s="492">
        <f>SUM(compras_mes5[[#This Row],[NETO GRAVADO]:[Otros / No Grav.]])</f>
        <v>32701.992399999999</v>
      </c>
      <c r="Q70" s="493" t="str">
        <f>IFERROR(IF(compras_mes5[[#This Row],[CUIT]]="","-",VLOOKUP(compras_mes5[[#This Row],[CUIT]],Lista_CUIT[#All],3,0)),"CUIT NO CARGADO")</f>
        <v>INSUMO</v>
      </c>
      <c r="R70" s="493">
        <f>IFERROR(IF(compras_mes5[[#This Row],[CUIT]]="","-",VLOOKUP(compras_mes5[[#This Row],[CUIT]],Lista_CUIT[#All],4,0)),"CUIT NO CARGADO")</f>
        <v>0</v>
      </c>
    </row>
    <row r="71" spans="2:19" s="428" customFormat="1" ht="15" customHeight="1" x14ac:dyDescent="0.25">
      <c r="B71" s="486">
        <v>45805</v>
      </c>
      <c r="C71" s="442">
        <v>1</v>
      </c>
      <c r="D71" s="487">
        <v>7</v>
      </c>
      <c r="E71" s="488">
        <v>1359</v>
      </c>
      <c r="F71" s="489">
        <v>30677420622</v>
      </c>
      <c r="G71" s="490" t="str">
        <f>IFERROR(IF(compras_mes5[[#This Row],[CUIT]]="","-",VLOOKUP(compras_mes5[[#This Row],[CUIT]],Lista_CUIT[#All],2,0)),"CUIT NO CARGADO")</f>
        <v>PAÑALERA NORTE S R L</v>
      </c>
      <c r="H71" s="491">
        <v>29834.71</v>
      </c>
      <c r="I71" s="485">
        <f>IF(compras_mes5[[#This Row],[NETO GRAVADO]]="","",compras_mes5[[#This Row],[NETO GRAVADO]]*0.21)</f>
        <v>6265.2891</v>
      </c>
      <c r="J71" s="485"/>
      <c r="K71" s="485"/>
      <c r="L71" s="485"/>
      <c r="M71" s="485"/>
      <c r="N71" s="485"/>
      <c r="O71" s="485"/>
      <c r="P71" s="492">
        <f>SUM(compras_mes5[[#This Row],[NETO GRAVADO]:[Otros / No Grav.]])</f>
        <v>36099.999100000001</v>
      </c>
      <c r="Q71" s="493" t="str">
        <f>IFERROR(IF(compras_mes5[[#This Row],[CUIT]]="","-",VLOOKUP(compras_mes5[[#This Row],[CUIT]],Lista_CUIT[#All],3,0)),"CUIT NO CARGADO")</f>
        <v>Gastos Varios</v>
      </c>
      <c r="R71" s="493">
        <f>IFERROR(IF(compras_mes5[[#This Row],[CUIT]]="","-",VLOOKUP(compras_mes5[[#This Row],[CUIT]],Lista_CUIT[#All],4,0)),"CUIT NO CARGADO")</f>
        <v>0</v>
      </c>
    </row>
    <row r="72" spans="2:19" s="428" customFormat="1" ht="15" customHeight="1" x14ac:dyDescent="0.25">
      <c r="B72" s="486">
        <v>45805</v>
      </c>
      <c r="C72" s="442">
        <v>1</v>
      </c>
      <c r="D72" s="487">
        <v>7</v>
      </c>
      <c r="E72" s="488">
        <v>1357</v>
      </c>
      <c r="F72" s="489">
        <v>30677420622</v>
      </c>
      <c r="G72" s="490" t="str">
        <f>IFERROR(IF(compras_mes5[[#This Row],[CUIT]]="","-",VLOOKUP(compras_mes5[[#This Row],[CUIT]],Lista_CUIT[#All],2,0)),"CUIT NO CARGADO")</f>
        <v>PAÑALERA NORTE S R L</v>
      </c>
      <c r="H72" s="491">
        <v>90727.27</v>
      </c>
      <c r="I72" s="485">
        <f>IF(compras_mes5[[#This Row],[NETO GRAVADO]]="","",compras_mes5[[#This Row],[NETO GRAVADO]]*0.21)</f>
        <v>19052.726699999999</v>
      </c>
      <c r="J72" s="485"/>
      <c r="K72" s="485"/>
      <c r="L72" s="485"/>
      <c r="M72" s="485"/>
      <c r="N72" s="485"/>
      <c r="O72" s="485"/>
      <c r="P72" s="492">
        <f>SUM(compras_mes5[[#This Row],[NETO GRAVADO]:[Otros / No Grav.]])</f>
        <v>109779.9967</v>
      </c>
      <c r="Q72" s="493" t="str">
        <f>IFERROR(IF(compras_mes5[[#This Row],[CUIT]]="","-",VLOOKUP(compras_mes5[[#This Row],[CUIT]],Lista_CUIT[#All],3,0)),"CUIT NO CARGADO")</f>
        <v>Gastos Varios</v>
      </c>
      <c r="R72" s="493">
        <f>IFERROR(IF(compras_mes5[[#This Row],[CUIT]]="","-",VLOOKUP(compras_mes5[[#This Row],[CUIT]],Lista_CUIT[#All],4,0)),"CUIT NO CARGADO")</f>
        <v>0</v>
      </c>
    </row>
    <row r="73" spans="2:19" s="428" customFormat="1" ht="15" customHeight="1" x14ac:dyDescent="0.25">
      <c r="B73" s="486">
        <v>45806</v>
      </c>
      <c r="C73" s="442">
        <v>1</v>
      </c>
      <c r="D73" s="487">
        <v>9</v>
      </c>
      <c r="E73" s="488">
        <v>10088</v>
      </c>
      <c r="F73" s="489">
        <v>27185947675</v>
      </c>
      <c r="G73" s="490" t="str">
        <f>IFERROR(IF(compras_mes5[[#This Row],[CUIT]]="","-",VLOOKUP(compras_mes5[[#This Row],[CUIT]],Lista_CUIT[#All],2,0)),"CUIT NO CARGADO")</f>
        <v>SARA ELENA SCHMUKLER</v>
      </c>
      <c r="H73" s="491">
        <v>10000.4</v>
      </c>
      <c r="I73" s="485">
        <f>IF(compras_mes5[[#This Row],[NETO GRAVADO]]="","",compras_mes5[[#This Row],[NETO GRAVADO]]*0.21)</f>
        <v>2100.0839999999998</v>
      </c>
      <c r="J73" s="485"/>
      <c r="K73" s="485"/>
      <c r="L73" s="485"/>
      <c r="M73" s="485"/>
      <c r="N73" s="485"/>
      <c r="O73" s="485"/>
      <c r="P73" s="492">
        <f>SUM(compras_mes5[[#This Row],[NETO GRAVADO]:[Otros / No Grav.]])</f>
        <v>12100.484</v>
      </c>
      <c r="Q73" s="493" t="str">
        <f>IFERROR(IF(compras_mes5[[#This Row],[CUIT]]="","-",VLOOKUP(compras_mes5[[#This Row],[CUIT]],Lista_CUIT[#All],3,0)),"CUIT NO CARGADO")</f>
        <v>Gastos Varios</v>
      </c>
      <c r="R73" s="493">
        <f>IFERROR(IF(compras_mes5[[#This Row],[CUIT]]="","-",VLOOKUP(compras_mes5[[#This Row],[CUIT]],Lista_CUIT[#All],4,0)),"CUIT NO CARGADO")</f>
        <v>0</v>
      </c>
    </row>
    <row r="74" spans="2:19" s="428" customFormat="1" ht="15" customHeight="1" x14ac:dyDescent="0.25">
      <c r="B74" s="486">
        <v>45806</v>
      </c>
      <c r="C74" s="442">
        <v>1</v>
      </c>
      <c r="D74" s="487">
        <v>2</v>
      </c>
      <c r="E74" s="488">
        <v>1315</v>
      </c>
      <c r="F74" s="489">
        <v>20272865869</v>
      </c>
      <c r="G74" s="490" t="str">
        <f>IFERROR(IF(compras_mes5[[#This Row],[CUIT]]="","-",VLOOKUP(compras_mes5[[#This Row],[CUIT]],Lista_CUIT[#All],2,0)),"CUIT NO CARGADO")</f>
        <v>DI FEO MARTIN EZEQUIEL</v>
      </c>
      <c r="H74" s="491">
        <v>64550</v>
      </c>
      <c r="I74" s="485">
        <f>IF(compras_mes5[[#This Row],[NETO GRAVADO]]="","",compras_mes5[[#This Row],[NETO GRAVADO]]*0.21)</f>
        <v>13555.5</v>
      </c>
      <c r="J74" s="485"/>
      <c r="K74" s="485"/>
      <c r="L74" s="485"/>
      <c r="M74" s="485"/>
      <c r="N74" s="485"/>
      <c r="O74" s="485"/>
      <c r="P74" s="492">
        <f>SUM(compras_mes5[[#This Row],[NETO GRAVADO]:[Otros / No Grav.]])</f>
        <v>78105.5</v>
      </c>
      <c r="Q74" s="493" t="str">
        <f>IFERROR(IF(compras_mes5[[#This Row],[CUIT]]="","-",VLOOKUP(compras_mes5[[#This Row],[CUIT]],Lista_CUIT[#All],3,0)),"CUIT NO CARGADO")</f>
        <v>INSUMOS</v>
      </c>
      <c r="R74" s="493">
        <f>IFERROR(IF(compras_mes5[[#This Row],[CUIT]]="","-",VLOOKUP(compras_mes5[[#This Row],[CUIT]],Lista_CUIT[#All],4,0)),"CUIT NO CARGADO")</f>
        <v>0</v>
      </c>
    </row>
    <row r="75" spans="2:19" s="428" customFormat="1" ht="15" customHeight="1" x14ac:dyDescent="0.25">
      <c r="B75" s="486">
        <v>45806</v>
      </c>
      <c r="C75" s="442">
        <v>1</v>
      </c>
      <c r="D75" s="487">
        <v>73</v>
      </c>
      <c r="E75" s="488">
        <v>274433</v>
      </c>
      <c r="F75" s="489">
        <v>30703088534</v>
      </c>
      <c r="G75" s="490" t="str">
        <f>IFERROR(IF(compras_mes5[[#This Row],[CUIT]]="","-",VLOOKUP(compras_mes5[[#This Row],[CUIT]],Lista_CUIT[#All],2,0)),"CUIT NO CARGADO")</f>
        <v>MERCADO LIBRE SRL</v>
      </c>
      <c r="H75" s="491">
        <v>89907.19</v>
      </c>
      <c r="I75" s="485">
        <f>IF(compras_mes5[[#This Row],[NETO GRAVADO]]="","",compras_mes5[[#This Row],[NETO GRAVADO]]*0.21)</f>
        <v>18880.509900000001</v>
      </c>
      <c r="J75" s="485"/>
      <c r="K75" s="485"/>
      <c r="L75" s="485"/>
      <c r="M75" s="485"/>
      <c r="N75" s="485"/>
      <c r="O75" s="485">
        <v>6293.51</v>
      </c>
      <c r="P75" s="492">
        <f>SUM(compras_mes5[[#This Row],[NETO GRAVADO]:[Otros / No Grav.]])</f>
        <v>115081.2099</v>
      </c>
      <c r="Q75" s="493" t="str">
        <f>IFERROR(IF(compras_mes5[[#This Row],[CUIT]]="","-",VLOOKUP(compras_mes5[[#This Row],[CUIT]],Lista_CUIT[#All],3,0)),"CUIT NO CARGADO")</f>
        <v>PLATAFORMA ONLINE</v>
      </c>
      <c r="R75" s="493">
        <f>IFERROR(IF(compras_mes5[[#This Row],[CUIT]]="","-",VLOOKUP(compras_mes5[[#This Row],[CUIT]],Lista_CUIT[#All],4,0)),"CUIT NO CARGADO")</f>
        <v>0</v>
      </c>
    </row>
    <row r="76" spans="2:19" s="428" customFormat="1" ht="15" customHeight="1" x14ac:dyDescent="0.25">
      <c r="B76" s="486">
        <v>45807</v>
      </c>
      <c r="C76" s="442">
        <v>1</v>
      </c>
      <c r="D76" s="487">
        <v>7</v>
      </c>
      <c r="E76" s="488">
        <v>37</v>
      </c>
      <c r="F76" s="489">
        <v>27325223273</v>
      </c>
      <c r="G76" s="490" t="str">
        <f>IFERROR(IF(compras_mes5[[#This Row],[CUIT]]="","-",VLOOKUP(compras_mes5[[#This Row],[CUIT]],Lista_CUIT[#All],2,0)),"CUIT NO CARGADO")</f>
        <v>SOUSA ALDERETE ALEJANDRA MABEL</v>
      </c>
      <c r="H76" s="491">
        <v>1950000</v>
      </c>
      <c r="I76" s="485">
        <f>IF(compras_mes5[[#This Row],[NETO GRAVADO]]="","",compras_mes5[[#This Row],[NETO GRAVADO]]*0.21)</f>
        <v>409500</v>
      </c>
      <c r="J76" s="485"/>
      <c r="K76" s="485"/>
      <c r="L76" s="485"/>
      <c r="M76" s="485"/>
      <c r="N76" s="485"/>
      <c r="O76" s="485"/>
      <c r="P76" s="492">
        <f>SUM(compras_mes5[[#This Row],[NETO GRAVADO]:[Otros / No Grav.]])</f>
        <v>2359500</v>
      </c>
      <c r="Q76" s="493" t="str">
        <f>IFERROR(IF(compras_mes5[[#This Row],[CUIT]]="","-",VLOOKUP(compras_mes5[[#This Row],[CUIT]],Lista_CUIT[#All],3,0)),"CUIT NO CARGADO")</f>
        <v>Insumos</v>
      </c>
      <c r="R76" s="493">
        <f>IFERROR(IF(compras_mes5[[#This Row],[CUIT]]="","-",VLOOKUP(compras_mes5[[#This Row],[CUIT]],Lista_CUIT[#All],4,0)),"CUIT NO CARGADO")</f>
        <v>0</v>
      </c>
    </row>
    <row r="77" spans="2:19" s="428" customFormat="1" ht="15" customHeight="1" x14ac:dyDescent="0.25">
      <c r="B77" s="486">
        <v>45807</v>
      </c>
      <c r="C77" s="442">
        <v>1</v>
      </c>
      <c r="D77" s="487">
        <v>1</v>
      </c>
      <c r="E77" s="488">
        <v>7503</v>
      </c>
      <c r="F77" s="489">
        <v>30715141201</v>
      </c>
      <c r="G77" s="490" t="str">
        <f>IFERROR(IF(compras_mes5[[#This Row],[CUIT]]="","-",VLOOKUP(compras_mes5[[#This Row],[CUIT]],Lista_CUIT[#All],2,0)),"CUIT NO CARGADO")</f>
        <v>REHAB SRL</v>
      </c>
      <c r="H77" s="491">
        <v>61770</v>
      </c>
      <c r="I77" s="485">
        <f>IF(compras_mes5[[#This Row],[NETO GRAVADO]]="","",compras_mes5[[#This Row],[NETO GRAVADO]]*0.21)</f>
        <v>12971.699999999999</v>
      </c>
      <c r="J77" s="485"/>
      <c r="K77" s="485"/>
      <c r="L77" s="485"/>
      <c r="M77" s="485"/>
      <c r="N77" s="485"/>
      <c r="O77" s="485"/>
      <c r="P77" s="492">
        <f>SUM(compras_mes5[[#This Row],[NETO GRAVADO]:[Otros / No Grav.]])</f>
        <v>74741.7</v>
      </c>
      <c r="Q77" s="493" t="str">
        <f>IFERROR(IF(compras_mes5[[#This Row],[CUIT]]="","-",VLOOKUP(compras_mes5[[#This Row],[CUIT]],Lista_CUIT[#All],3,0)),"CUIT NO CARGADO")</f>
        <v>INSUMO</v>
      </c>
      <c r="R77" s="493">
        <f>IFERROR(IF(compras_mes5[[#This Row],[CUIT]]="","-",VLOOKUP(compras_mes5[[#This Row],[CUIT]],Lista_CUIT[#All],4,0)),"CUIT NO CARGADO")</f>
        <v>0</v>
      </c>
    </row>
    <row r="78" spans="2:19" s="428" customFormat="1" ht="15" customHeight="1" x14ac:dyDescent="0.25">
      <c r="B78" s="494">
        <v>45808</v>
      </c>
      <c r="C78" s="442">
        <v>1</v>
      </c>
      <c r="D78" s="495">
        <v>50</v>
      </c>
      <c r="E78" s="496">
        <v>4376000</v>
      </c>
      <c r="F78" s="497">
        <v>30714112836</v>
      </c>
      <c r="G78" s="498" t="str">
        <f>IFERROR(IF(compras_mes5[[#This Row],[CUIT]]="","-",VLOOKUP(compras_mes5[[#This Row],[CUIT]],Lista_CUIT[#All],2,0)),"CUIT NO CARGADO")</f>
        <v>AUTOPISTAS DE BUENOS AIRES (AUBASA) SA</v>
      </c>
      <c r="H78" s="499">
        <v>2875.37</v>
      </c>
      <c r="I78" s="485">
        <f>IF(compras_mes5[[#This Row],[NETO GRAVADO]]="","",compras_mes5[[#This Row],[NETO GRAVADO]]*0.21)</f>
        <v>603.82769999999994</v>
      </c>
      <c r="J78" s="500"/>
      <c r="K78" s="500"/>
      <c r="L78" s="500">
        <v>86.26</v>
      </c>
      <c r="M78" s="500"/>
      <c r="N78" s="500"/>
      <c r="O78" s="500"/>
      <c r="P78" s="501">
        <f>SUM(compras_mes5[[#This Row],[NETO GRAVADO]:[Otros / No Grav.]])</f>
        <v>3565.4576999999999</v>
      </c>
      <c r="Q78" s="502" t="str">
        <f>IFERROR(IF(compras_mes5[[#This Row],[CUIT]]="","-",VLOOKUP(compras_mes5[[#This Row],[CUIT]],Lista_CUIT[#All],3,0)),"CUIT NO CARGADO")</f>
        <v>Autopista</v>
      </c>
      <c r="R78" s="502">
        <f>IFERROR(IF(compras_mes5[[#This Row],[CUIT]]="","-",VLOOKUP(compras_mes5[[#This Row],[CUIT]],Lista_CUIT[#All],4,0)),"CUIT NO CARGADO")</f>
        <v>0</v>
      </c>
    </row>
    <row r="79" spans="2:19" ht="15" customHeight="1" x14ac:dyDescent="0.25">
      <c r="B79" s="476">
        <v>45808</v>
      </c>
      <c r="C79" s="41">
        <v>1</v>
      </c>
      <c r="D79" s="477">
        <v>6</v>
      </c>
      <c r="E79" s="478">
        <v>19571339</v>
      </c>
      <c r="F79" s="479">
        <v>30620177497</v>
      </c>
      <c r="G79" s="480" t="str">
        <f>IFERROR(IF(compras_mes5[[#This Row],[CUIT]]="","-",VLOOKUP(compras_mes5[[#This Row],[CUIT]],Lista_CUIT[#All],2,0)),"CUIT NO CARGADO")</f>
        <v>POSNET SOCIEDAD DE RESPONSABILIDAD LIMITADA</v>
      </c>
      <c r="H79" s="481">
        <v>0</v>
      </c>
      <c r="I79" s="485">
        <f>IF(compras_mes5[[#This Row],[NETO GRAVADO]]="","",compras_mes5[[#This Row],[NETO GRAVADO]]*0.21)</f>
        <v>0</v>
      </c>
      <c r="J79" s="211"/>
      <c r="K79" s="211"/>
      <c r="L79" s="211"/>
      <c r="M79" s="211"/>
      <c r="N79" s="211"/>
      <c r="O79" s="211"/>
      <c r="P79" s="482">
        <f>SUM(compras_mes5[[#This Row],[NETO GRAVADO]:[Otros / No Grav.]])</f>
        <v>0</v>
      </c>
      <c r="Q79" s="483" t="str">
        <f>IFERROR(IF(compras_mes5[[#This Row],[CUIT]]="","-",VLOOKUP(compras_mes5[[#This Row],[CUIT]],Lista_CUIT[#All],3,0)),"CUIT NO CARGADO")</f>
        <v>Gastos Varios</v>
      </c>
      <c r="R79" s="483">
        <f>IFERROR(IF(compras_mes5[[#This Row],[CUIT]]="","-",VLOOKUP(compras_mes5[[#This Row],[CUIT]],Lista_CUIT[#All],4,0)),"CUIT NO CARGADO")</f>
        <v>0</v>
      </c>
      <c r="S79">
        <v>0</v>
      </c>
    </row>
    <row r="80" spans="2:19" s="428" customFormat="1" ht="15" customHeight="1" x14ac:dyDescent="0.25">
      <c r="B80" s="486">
        <v>45808</v>
      </c>
      <c r="C80" s="442">
        <v>1</v>
      </c>
      <c r="D80" s="487">
        <v>6</v>
      </c>
      <c r="E80" s="488">
        <v>19671130</v>
      </c>
      <c r="F80" s="489">
        <v>30620177497</v>
      </c>
      <c r="G80" s="490" t="str">
        <f>IFERROR(IF(compras_mes5[[#This Row],[CUIT]]="","-",VLOOKUP(compras_mes5[[#This Row],[CUIT]],Lista_CUIT[#All],2,0)),"CUIT NO CARGADO")</f>
        <v>POSNET SOCIEDAD DE RESPONSABILIDAD LIMITADA</v>
      </c>
      <c r="H80" s="491">
        <v>33073.86</v>
      </c>
      <c r="I80" s="485">
        <f>IF(compras_mes5[[#This Row],[NETO GRAVADO]]="","",compras_mes5[[#This Row],[NETO GRAVADO]]*0.21)</f>
        <v>6945.5105999999996</v>
      </c>
      <c r="J80" s="485"/>
      <c r="K80" s="485"/>
      <c r="L80" s="485"/>
      <c r="M80" s="485"/>
      <c r="N80" s="485">
        <v>2315.17</v>
      </c>
      <c r="O80" s="485"/>
      <c r="P80" s="492">
        <f>SUM(compras_mes5[[#This Row],[NETO GRAVADO]:[Otros / No Grav.]])</f>
        <v>42334.5406</v>
      </c>
      <c r="Q80" s="493" t="str">
        <f>IFERROR(IF(compras_mes5[[#This Row],[CUIT]]="","-",VLOOKUP(compras_mes5[[#This Row],[CUIT]],Lista_CUIT[#All],3,0)),"CUIT NO CARGADO")</f>
        <v>Gastos Varios</v>
      </c>
      <c r="R80" s="493">
        <f>IFERROR(IF(compras_mes5[[#This Row],[CUIT]]="","-",VLOOKUP(compras_mes5[[#This Row],[CUIT]],Lista_CUIT[#All],4,0)),"CUIT NO CARGADO")</f>
        <v>0</v>
      </c>
    </row>
    <row r="81" spans="2:18" s="428" customFormat="1" ht="15" customHeight="1" x14ac:dyDescent="0.25">
      <c r="B81" s="494">
        <v>45808</v>
      </c>
      <c r="C81" s="442">
        <v>1</v>
      </c>
      <c r="D81" s="495">
        <v>5015</v>
      </c>
      <c r="E81" s="496">
        <v>873772</v>
      </c>
      <c r="F81" s="497">
        <v>30574876474</v>
      </c>
      <c r="G81" s="498" t="str">
        <f>IFERROR(IF(compras_mes5[[#This Row],[CUIT]]="","-",VLOOKUP(compras_mes5[[#This Row],[CUIT]],Lista_CUIT[#All],2,0)),"CUIT NO CARGADO")</f>
        <v>AUTOP. URBANAS SA</v>
      </c>
      <c r="H81" s="499">
        <v>76172.23</v>
      </c>
      <c r="I81" s="485">
        <f>IF(compras_mes5[[#This Row],[NETO GRAVADO]]="","",compras_mes5[[#This Row],[NETO GRAVADO]]*0.21)</f>
        <v>15996.168299999999</v>
      </c>
      <c r="J81" s="500"/>
      <c r="K81" s="500"/>
      <c r="L81" s="500"/>
      <c r="M81" s="500"/>
      <c r="N81" s="500"/>
      <c r="O81" s="500">
        <f>2285.16+7617.21</f>
        <v>9902.369999999999</v>
      </c>
      <c r="P81" s="501">
        <f>SUM(compras_mes5[[#This Row],[NETO GRAVADO]:[Otros / No Grav.]])</f>
        <v>102070.7683</v>
      </c>
      <c r="Q81" s="502" t="str">
        <f>IFERROR(IF(compras_mes5[[#This Row],[CUIT]]="","-",VLOOKUP(compras_mes5[[#This Row],[CUIT]],Lista_CUIT[#All],3,0)),"CUIT NO CARGADO")</f>
        <v>PEAJE</v>
      </c>
      <c r="R81" s="502">
        <f>IFERROR(IF(compras_mes5[[#This Row],[CUIT]]="","-",VLOOKUP(compras_mes5[[#This Row],[CUIT]],Lista_CUIT[#All],4,0)),"CUIT NO CARGADO")</f>
        <v>0</v>
      </c>
    </row>
    <row r="82" spans="2:18" s="428" customFormat="1" ht="15" customHeight="1" x14ac:dyDescent="0.25">
      <c r="B82" s="486">
        <v>45808</v>
      </c>
      <c r="C82" s="442">
        <v>1</v>
      </c>
      <c r="D82" s="487">
        <v>113</v>
      </c>
      <c r="E82" s="488">
        <v>4260847</v>
      </c>
      <c r="F82" s="489">
        <v>30577207190</v>
      </c>
      <c r="G82" s="490" t="str">
        <f>IFERROR(IF(compras_mes5[[#This Row],[CUIT]]="","-",VLOOKUP(compras_mes5[[#This Row],[CUIT]],Lista_CUIT[#All],2,0)),"CUIT NO CARGADO")</f>
        <v>COORDINACION ECOLOGICA AREA METROPOLITANA SOCIEDAD DEL ESTADO</v>
      </c>
      <c r="H82" s="491">
        <v>2479.34</v>
      </c>
      <c r="I82" s="485">
        <f>IF(compras_mes5[[#This Row],[NETO GRAVADO]]="","",compras_mes5[[#This Row],[NETO GRAVADO]]*0.21)</f>
        <v>520.66139999999996</v>
      </c>
      <c r="J82" s="485"/>
      <c r="K82" s="485"/>
      <c r="L82" s="485">
        <v>74.38</v>
      </c>
      <c r="M82" s="485"/>
      <c r="N82" s="485"/>
      <c r="O82" s="485"/>
      <c r="P82" s="492">
        <f>SUM(compras_mes5[[#This Row],[NETO GRAVADO]:[Otros / No Grav.]])</f>
        <v>3074.3814000000002</v>
      </c>
      <c r="Q82" s="493" t="str">
        <f>IFERROR(IF(compras_mes5[[#This Row],[CUIT]]="","-",VLOOKUP(compras_mes5[[#This Row],[CUIT]],Lista_CUIT[#All],3,0)),"CUIT NO CARGADO")</f>
        <v>gastos varios</v>
      </c>
      <c r="R82" s="493">
        <f>IFERROR(IF(compras_mes5[[#This Row],[CUIT]]="","-",VLOOKUP(compras_mes5[[#This Row],[CUIT]],Lista_CUIT[#All],4,0)),"CUIT NO CARGADO")</f>
        <v>0</v>
      </c>
    </row>
    <row r="83" spans="2:18" s="428" customFormat="1" ht="15" customHeight="1" x14ac:dyDescent="0.25">
      <c r="B83" s="441">
        <v>45803</v>
      </c>
      <c r="C83" s="442">
        <v>3</v>
      </c>
      <c r="D83" s="443">
        <v>2</v>
      </c>
      <c r="E83" s="444">
        <v>496</v>
      </c>
      <c r="F83" s="445">
        <v>30714331082</v>
      </c>
      <c r="G83" s="446" t="str">
        <f>IFERROR(IF(compras_mes5[[#This Row],[CUIT]]="","-",VLOOKUP(compras_mes5[[#This Row],[CUIT]],Lista_CUIT[#All],2,0)),"CUIT NO CARGADO")</f>
        <v>ORTOPEDIA CASA ESCALADA SRL</v>
      </c>
      <c r="H83" s="386">
        <v>-579315.54</v>
      </c>
      <c r="I83" s="485">
        <f>IF(compras_mes5[[#This Row],[NETO GRAVADO]]="","",compras_mes5[[#This Row],[NETO GRAVADO]]*0.21)</f>
        <v>-121656.2634</v>
      </c>
      <c r="J83" s="387"/>
      <c r="K83" s="387"/>
      <c r="L83" s="387"/>
      <c r="M83" s="387"/>
      <c r="N83" s="387"/>
      <c r="O83" s="387"/>
      <c r="P83" s="447">
        <f>SUM(compras_mes5[[#This Row],[NETO GRAVADO]:[Otros / No Grav.]])</f>
        <v>-700971.80340000009</v>
      </c>
      <c r="Q83" s="448" t="str">
        <f>IFERROR(IF(compras_mes5[[#This Row],[CUIT]]="","-",VLOOKUP(compras_mes5[[#This Row],[CUIT]],Lista_CUIT[#All],3,0)),"CUIT NO CARGADO")</f>
        <v>INSUMO</v>
      </c>
      <c r="R83" s="448">
        <f>IFERROR(IF(compras_mes5[[#This Row],[CUIT]]="","-",VLOOKUP(compras_mes5[[#This Row],[CUIT]],Lista_CUIT[#All],4,0)),"CUIT NO CARGADO")</f>
        <v>0</v>
      </c>
    </row>
    <row r="84" spans="2:18" s="428" customFormat="1" ht="15" customHeight="1" x14ac:dyDescent="0.25">
      <c r="B84" s="441">
        <v>45806</v>
      </c>
      <c r="C84" s="442">
        <v>3</v>
      </c>
      <c r="D84" s="443">
        <v>65</v>
      </c>
      <c r="E84" s="444">
        <v>4961</v>
      </c>
      <c r="F84" s="445">
        <v>30703088534</v>
      </c>
      <c r="G84" s="446" t="str">
        <f>IFERROR(IF(compras_mes5[[#This Row],[CUIT]]="","-",VLOOKUP(compras_mes5[[#This Row],[CUIT]],Lista_CUIT[#All],2,0)),"CUIT NO CARGADO")</f>
        <v>MERCADO LIBRE SRL</v>
      </c>
      <c r="H84" s="386">
        <v>-1016.53</v>
      </c>
      <c r="I84" s="485">
        <f>IF(compras_mes5[[#This Row],[NETO GRAVADO]]="","",compras_mes5[[#This Row],[NETO GRAVADO]]*0.21)</f>
        <v>-213.47129999999999</v>
      </c>
      <c r="J84" s="387"/>
      <c r="K84" s="387"/>
      <c r="L84" s="387"/>
      <c r="M84" s="387"/>
      <c r="N84" s="387"/>
      <c r="O84" s="387">
        <v>-30.5</v>
      </c>
      <c r="P84" s="447">
        <f>SUM(compras_mes5[[#This Row],[NETO GRAVADO]:[Otros / No Grav.]])</f>
        <v>-1260.5012999999999</v>
      </c>
      <c r="Q84" s="448" t="str">
        <f>IFERROR(IF(compras_mes5[[#This Row],[CUIT]]="","-",VLOOKUP(compras_mes5[[#This Row],[CUIT]],Lista_CUIT[#All],3,0)),"CUIT NO CARGADO")</f>
        <v>PLATAFORMA ONLINE</v>
      </c>
      <c r="R84" s="448">
        <f>IFERROR(IF(compras_mes5[[#This Row],[CUIT]]="","-",VLOOKUP(compras_mes5[[#This Row],[CUIT]],Lista_CUIT[#All],4,0)),"CUIT NO CARGADO")</f>
        <v>0</v>
      </c>
    </row>
    <row r="85" spans="2:18" s="428" customFormat="1" ht="15" customHeight="1" x14ac:dyDescent="0.25">
      <c r="B85" s="486">
        <v>45783</v>
      </c>
      <c r="C85" s="442">
        <v>1</v>
      </c>
      <c r="D85" s="487">
        <v>10</v>
      </c>
      <c r="E85" s="488">
        <v>12343</v>
      </c>
      <c r="F85" s="489">
        <v>30709208221</v>
      </c>
      <c r="G85" s="490" t="str">
        <f>IFERROR(IF(compras_mes5[[#This Row],[CUIT]]="","-",VLOOKUP(compras_mes5[[#This Row],[CUIT]],Lista_CUIT[#All],2,0)),"CUIT NO CARGADO")</f>
        <v>GNC MONTE GRANDE SRL</v>
      </c>
      <c r="H85" s="491">
        <v>36611.29</v>
      </c>
      <c r="I85" s="485">
        <f>IF(compras_mes5[[#This Row],[NETO GRAVADO]]="","",compras_mes5[[#This Row],[NETO GRAVADO]]*0.21)</f>
        <v>7688.3708999999999</v>
      </c>
      <c r="J85" s="485"/>
      <c r="K85" s="485"/>
      <c r="L85" s="485"/>
      <c r="M85" s="485"/>
      <c r="N85" s="485"/>
      <c r="O85" s="485">
        <f>5116.5+583.18</f>
        <v>5699.68</v>
      </c>
      <c r="P85" s="492">
        <f>SUM(compras_mes5[[#This Row],[NETO GRAVADO]:[Otros / No Grav.]])</f>
        <v>49999.340900000003</v>
      </c>
      <c r="Q85" s="493" t="str">
        <f>IFERROR(IF(compras_mes5[[#This Row],[CUIT]]="","-",VLOOKUP(compras_mes5[[#This Row],[CUIT]],Lista_CUIT[#All],3,0)),"CUIT NO CARGADO")</f>
        <v>COMBUSTIBLE</v>
      </c>
      <c r="R85" s="493">
        <f>IFERROR(IF(compras_mes5[[#This Row],[CUIT]]="","-",VLOOKUP(compras_mes5[[#This Row],[CUIT]],Lista_CUIT[#All],4,0)),"CUIT NO CARGADO")</f>
        <v>0</v>
      </c>
    </row>
    <row r="86" spans="2:18" s="428" customFormat="1" ht="15" customHeight="1" x14ac:dyDescent="0.25">
      <c r="B86" s="486">
        <v>45785</v>
      </c>
      <c r="C86" s="442">
        <v>1</v>
      </c>
      <c r="D86" s="487">
        <v>6</v>
      </c>
      <c r="E86" s="488">
        <v>1912</v>
      </c>
      <c r="F86" s="489">
        <v>30716815710</v>
      </c>
      <c r="G86" s="490" t="str">
        <f>IFERROR(IF(compras_mes5[[#This Row],[CUIT]]="","-",VLOOKUP(compras_mes5[[#This Row],[CUIT]],Lista_CUIT[#All],2,0)),"CUIT NO CARGADO")</f>
        <v>PAPELERA GEOPEL SRL</v>
      </c>
      <c r="H86" s="491">
        <v>22600</v>
      </c>
      <c r="I86" s="485">
        <f>IF(compras_mes5[[#This Row],[NETO GRAVADO]]="","",compras_mes5[[#This Row],[NETO GRAVADO]]*0.21)</f>
        <v>4746</v>
      </c>
      <c r="J86" s="485"/>
      <c r="K86" s="485"/>
      <c r="L86" s="485"/>
      <c r="M86" s="485"/>
      <c r="N86" s="485"/>
      <c r="O86" s="485"/>
      <c r="P86" s="492">
        <f>SUM(compras_mes5[[#This Row],[NETO GRAVADO]:[Otros / No Grav.]])</f>
        <v>27346</v>
      </c>
      <c r="Q86" s="493" t="str">
        <f>IFERROR(IF(compras_mes5[[#This Row],[CUIT]]="","-",VLOOKUP(compras_mes5[[#This Row],[CUIT]],Lista_CUIT[#All],3,0)),"CUIT NO CARGADO")</f>
        <v>librería</v>
      </c>
      <c r="R86" s="493">
        <f>IFERROR(IF(compras_mes5[[#This Row],[CUIT]]="","-",VLOOKUP(compras_mes5[[#This Row],[CUIT]],Lista_CUIT[#All],4,0)),"CUIT NO CARGADO")</f>
        <v>0</v>
      </c>
    </row>
    <row r="87" spans="2:18" s="428" customFormat="1" ht="15" customHeight="1" x14ac:dyDescent="0.25">
      <c r="B87" s="441">
        <v>45788</v>
      </c>
      <c r="C87" s="442">
        <v>1</v>
      </c>
      <c r="D87" s="443">
        <v>6</v>
      </c>
      <c r="E87" s="444">
        <v>22128</v>
      </c>
      <c r="F87" s="445">
        <v>33715594949</v>
      </c>
      <c r="G87" s="446" t="str">
        <f>IFERROR(IF(compras_mes5[[#This Row],[CUIT]]="","-",VLOOKUP(compras_mes5[[#This Row],[CUIT]],Lista_CUIT[#All],2,0)),"CUIT NO CARGADO")</f>
        <v>SOMOS ENERGIA SA</v>
      </c>
      <c r="H87" s="386">
        <v>33927.949999999997</v>
      </c>
      <c r="I87" s="485">
        <f>IF(compras_mes5[[#This Row],[NETO GRAVADO]]="","",compras_mes5[[#This Row],[NETO GRAVADO]]*0.21)</f>
        <v>7124.8694999999989</v>
      </c>
      <c r="J87" s="387"/>
      <c r="K87" s="387"/>
      <c r="L87" s="387"/>
      <c r="M87" s="387"/>
      <c r="N87" s="387">
        <v>506.18</v>
      </c>
      <c r="O87" s="387">
        <v>4440.95</v>
      </c>
      <c r="P87" s="447">
        <f>SUM(compras_mes5[[#This Row],[NETO GRAVADO]:[Otros / No Grav.]])</f>
        <v>45999.949499999995</v>
      </c>
      <c r="Q87" s="448" t="str">
        <f>IFERROR(IF(compras_mes5[[#This Row],[CUIT]]="","-",VLOOKUP(compras_mes5[[#This Row],[CUIT]],Lista_CUIT[#All],3,0)),"CUIT NO CARGADO")</f>
        <v>COMBUSTIBLE</v>
      </c>
      <c r="R87" s="448">
        <f>IFERROR(IF(compras_mes5[[#This Row],[CUIT]]="","-",VLOOKUP(compras_mes5[[#This Row],[CUIT]],Lista_CUIT[#All],4,0)),"CUIT NO CARGADO")</f>
        <v>0</v>
      </c>
    </row>
    <row r="88" spans="2:18" s="428" customFormat="1" ht="15" customHeight="1" x14ac:dyDescent="0.25">
      <c r="B88" s="486">
        <v>45790</v>
      </c>
      <c r="C88" s="442">
        <v>1</v>
      </c>
      <c r="D88" s="487">
        <v>6</v>
      </c>
      <c r="E88" s="488">
        <v>22151</v>
      </c>
      <c r="F88" s="489">
        <v>33715594949</v>
      </c>
      <c r="G88" s="490" t="str">
        <f>IFERROR(IF(compras_mes5[[#This Row],[CUIT]]="","-",VLOOKUP(compras_mes5[[#This Row],[CUIT]],Lista_CUIT[#All],2,0)),"CUIT NO CARGADO")</f>
        <v>SOMOS ENERGIA SA</v>
      </c>
      <c r="H88" s="491">
        <v>40433.67</v>
      </c>
      <c r="I88" s="485">
        <f>IF(compras_mes5[[#This Row],[NETO GRAVADO]]="","",compras_mes5[[#This Row],[NETO GRAVADO]]*0.21)</f>
        <v>8491.0707000000002</v>
      </c>
      <c r="J88" s="485"/>
      <c r="K88" s="485"/>
      <c r="L88" s="485"/>
      <c r="M88" s="485"/>
      <c r="N88" s="485">
        <v>617.82000000000005</v>
      </c>
      <c r="O88" s="485">
        <v>457.42</v>
      </c>
      <c r="P88" s="492">
        <f>SUM(compras_mes5[[#This Row],[NETO GRAVADO]:[Otros / No Grav.]])</f>
        <v>49999.980699999993</v>
      </c>
      <c r="Q88" s="493" t="str">
        <f>IFERROR(IF(compras_mes5[[#This Row],[CUIT]]="","-",VLOOKUP(compras_mes5[[#This Row],[CUIT]],Lista_CUIT[#All],3,0)),"CUIT NO CARGADO")</f>
        <v>COMBUSTIBLE</v>
      </c>
      <c r="R88" s="493">
        <f>IFERROR(IF(compras_mes5[[#This Row],[CUIT]]="","-",VLOOKUP(compras_mes5[[#This Row],[CUIT]],Lista_CUIT[#All],4,0)),"CUIT NO CARGADO")</f>
        <v>0</v>
      </c>
    </row>
    <row r="89" spans="2:18" s="428" customFormat="1" ht="15" customHeight="1" x14ac:dyDescent="0.25">
      <c r="B89" s="486">
        <v>45792</v>
      </c>
      <c r="C89" s="442">
        <v>1</v>
      </c>
      <c r="D89" s="487">
        <v>13</v>
      </c>
      <c r="E89" s="488">
        <v>11324</v>
      </c>
      <c r="F89" s="489">
        <v>30709208221</v>
      </c>
      <c r="G89" s="490" t="str">
        <f>IFERROR(IF(compras_mes5[[#This Row],[CUIT]]="","-",VLOOKUP(compras_mes5[[#This Row],[CUIT]],Lista_CUIT[#All],2,0)),"CUIT NO CARGADO")</f>
        <v>GNC MONTE GRANDE SRL</v>
      </c>
      <c r="H89" s="491">
        <v>29463.86</v>
      </c>
      <c r="I89" s="485">
        <f>IF(compras_mes5[[#This Row],[NETO GRAVADO]]="","",compras_mes5[[#This Row],[NETO GRAVADO]]*0.21)</f>
        <v>6187.4106000000002</v>
      </c>
      <c r="J89" s="485"/>
      <c r="K89" s="485"/>
      <c r="L89" s="485"/>
      <c r="M89" s="485"/>
      <c r="N89" s="485"/>
      <c r="O89" s="485">
        <f>3903.31+444.9</f>
        <v>4348.21</v>
      </c>
      <c r="P89" s="492">
        <f>SUM(compras_mes5[[#This Row],[NETO GRAVADO]:[Otros / No Grav.]])</f>
        <v>39999.480600000003</v>
      </c>
      <c r="Q89" s="493" t="str">
        <f>IFERROR(IF(compras_mes5[[#This Row],[CUIT]]="","-",VLOOKUP(compras_mes5[[#This Row],[CUIT]],Lista_CUIT[#All],3,0)),"CUIT NO CARGADO")</f>
        <v>COMBUSTIBLE</v>
      </c>
      <c r="R89" s="493">
        <f>IFERROR(IF(compras_mes5[[#This Row],[CUIT]]="","-",VLOOKUP(compras_mes5[[#This Row],[CUIT]],Lista_CUIT[#All],4,0)),"CUIT NO CARGADO")</f>
        <v>0</v>
      </c>
    </row>
    <row r="90" spans="2:18" s="428" customFormat="1" ht="15" customHeight="1" x14ac:dyDescent="0.25">
      <c r="B90" s="486">
        <v>45795</v>
      </c>
      <c r="C90" s="442">
        <v>1</v>
      </c>
      <c r="D90" s="487">
        <v>6</v>
      </c>
      <c r="E90" s="488">
        <v>22217</v>
      </c>
      <c r="F90" s="489">
        <v>33715594949</v>
      </c>
      <c r="G90" s="490" t="str">
        <f>IFERROR(IF(compras_mes5[[#This Row],[CUIT]]="","-",VLOOKUP(compras_mes5[[#This Row],[CUIT]],Lista_CUIT[#All],2,0)),"CUIT NO CARGADO")</f>
        <v>SOMOS ENERGIA SA</v>
      </c>
      <c r="H90" s="491">
        <v>29501.86</v>
      </c>
      <c r="I90" s="485">
        <f>IF(compras_mes5[[#This Row],[NETO GRAVADO]]="","",compras_mes5[[#This Row],[NETO GRAVADO]]*0.21)</f>
        <v>6195.3905999999997</v>
      </c>
      <c r="J90" s="485"/>
      <c r="K90" s="485"/>
      <c r="L90" s="485"/>
      <c r="M90" s="485"/>
      <c r="N90" s="485">
        <v>440.15</v>
      </c>
      <c r="O90" s="485">
        <v>3861.6</v>
      </c>
      <c r="P90" s="492">
        <f>SUM(compras_mes5[[#This Row],[NETO GRAVADO]:[Otros / No Grav.]])</f>
        <v>39999.000599999999</v>
      </c>
      <c r="Q90" s="493" t="str">
        <f>IFERROR(IF(compras_mes5[[#This Row],[CUIT]]="","-",VLOOKUP(compras_mes5[[#This Row],[CUIT]],Lista_CUIT[#All],3,0)),"CUIT NO CARGADO")</f>
        <v>COMBUSTIBLE</v>
      </c>
      <c r="R90" s="493">
        <f>IFERROR(IF(compras_mes5[[#This Row],[CUIT]]="","-",VLOOKUP(compras_mes5[[#This Row],[CUIT]],Lista_CUIT[#All],4,0)),"CUIT NO CARGADO")</f>
        <v>0</v>
      </c>
    </row>
    <row r="91" spans="2:18" ht="15" customHeight="1" x14ac:dyDescent="0.25">
      <c r="B91" s="476">
        <v>45807</v>
      </c>
      <c r="C91" s="41">
        <v>1</v>
      </c>
      <c r="D91" s="477">
        <v>6</v>
      </c>
      <c r="E91" s="478">
        <v>1938</v>
      </c>
      <c r="F91" s="479">
        <v>30716815710</v>
      </c>
      <c r="G91" s="480" t="str">
        <f>IFERROR(IF(compras_mes5[[#This Row],[CUIT]]="","-",VLOOKUP(compras_mes5[[#This Row],[CUIT]],Lista_CUIT[#All],2,0)),"CUIT NO CARGADO")</f>
        <v>PAPELERA GEOPEL SRL</v>
      </c>
      <c r="H91" s="481">
        <v>13600</v>
      </c>
      <c r="I91" s="485">
        <f>IF(compras_mes5[[#This Row],[NETO GRAVADO]]="","",compras_mes5[[#This Row],[NETO GRAVADO]]*0.21)</f>
        <v>2856</v>
      </c>
      <c r="J91" s="211"/>
      <c r="K91" s="211"/>
      <c r="L91" s="211"/>
      <c r="M91" s="211"/>
      <c r="N91" s="211"/>
      <c r="O91" s="211"/>
      <c r="P91" s="482">
        <f>SUM(compras_mes5[[#This Row],[NETO GRAVADO]:[Otros / No Grav.]])</f>
        <v>16456</v>
      </c>
      <c r="Q91" s="483" t="str">
        <f>IFERROR(IF(compras_mes5[[#This Row],[CUIT]]="","-",VLOOKUP(compras_mes5[[#This Row],[CUIT]],Lista_CUIT[#All],3,0)),"CUIT NO CARGADO")</f>
        <v>librería</v>
      </c>
      <c r="R91" s="483">
        <f>IFERROR(IF(compras_mes5[[#This Row],[CUIT]]="","-",VLOOKUP(compras_mes5[[#This Row],[CUIT]],Lista_CUIT[#All],4,0)),"CUIT NO CARGADO")</f>
        <v>0</v>
      </c>
    </row>
    <row r="92" spans="2:18" ht="15" customHeight="1" x14ac:dyDescent="0.25">
      <c r="B92" s="476">
        <v>45789</v>
      </c>
      <c r="C92" s="41">
        <v>1</v>
      </c>
      <c r="D92" s="477">
        <v>2399</v>
      </c>
      <c r="E92" s="478">
        <v>84737</v>
      </c>
      <c r="F92" s="479">
        <v>30708574836</v>
      </c>
      <c r="G92" s="480" t="str">
        <f>IFERROR(IF(compras_mes5[[#This Row],[CUIT]]="","-",VLOOKUP(compras_mes5[[#This Row],[CUIT]],Lista_CUIT[#All],2,0)),"CUIT NO CARGADO")</f>
        <v>CORREO OFICIAL DE LA REPUBLICA ARGENTINA SOCIEDAD ANONIMA</v>
      </c>
      <c r="H92" s="481"/>
      <c r="I92" s="211" t="str">
        <f>IF(compras_mes5[[#This Row],[NETO GRAVADO]]="","",compras_mes5[[#This Row],[NETO GRAVADO]]*0.21)</f>
        <v/>
      </c>
      <c r="J92" s="211"/>
      <c r="K92" s="211"/>
      <c r="L92" s="211"/>
      <c r="M92" s="211"/>
      <c r="N92" s="211"/>
      <c r="O92" s="211">
        <v>22800</v>
      </c>
      <c r="P92" s="482">
        <f>SUM(compras_mes5[[#This Row],[NETO GRAVADO]:[Otros / No Grav.]])</f>
        <v>22800</v>
      </c>
      <c r="Q92" s="483" t="str">
        <f>IFERROR(IF(compras_mes5[[#This Row],[CUIT]]="","-",VLOOKUP(compras_mes5[[#This Row],[CUIT]],Lista_CUIT[#All],3,0)),"CUIT NO CARGADO")</f>
        <v>Gastos Varios</v>
      </c>
      <c r="R92" s="483">
        <f>IFERROR(IF(compras_mes5[[#This Row],[CUIT]]="","-",VLOOKUP(compras_mes5[[#This Row],[CUIT]],Lista_CUIT[#All],4,0)),"CUIT NO CARGADO")</f>
        <v>0</v>
      </c>
    </row>
    <row r="93" spans="2:18" ht="15" customHeight="1" x14ac:dyDescent="0.25">
      <c r="B93" s="476"/>
      <c r="C93" s="41"/>
      <c r="D93" s="477"/>
      <c r="E93" s="478"/>
      <c r="F93" s="479"/>
      <c r="G93" s="480" t="str">
        <f>IFERROR(IF(compras_mes5[[#This Row],[CUIT]]="","-",VLOOKUP(compras_mes5[[#This Row],[CUIT]],Lista_CUIT[#All],2,0)),"CUIT NO CARGADO")</f>
        <v>-</v>
      </c>
      <c r="H93" s="481"/>
      <c r="I93" s="211" t="str">
        <f>IF(compras_mes5[[#This Row],[NETO GRAVADO]]="","",compras_mes5[[#This Row],[NETO GRAVADO]]*0.21)</f>
        <v/>
      </c>
      <c r="J93" s="211"/>
      <c r="K93" s="211"/>
      <c r="L93" s="211"/>
      <c r="M93" s="211"/>
      <c r="N93" s="211"/>
      <c r="O93" s="211"/>
      <c r="P93" s="482">
        <f>SUM(compras_mes5[[#This Row],[NETO GRAVADO]:[Otros / No Grav.]])</f>
        <v>0</v>
      </c>
      <c r="Q93" s="483" t="str">
        <f>IFERROR(IF(compras_mes5[[#This Row],[CUIT]]="","-",VLOOKUP(compras_mes5[[#This Row],[CUIT]],Lista_CUIT[#All],3,0)),"CUIT NO CARGADO")</f>
        <v>-</v>
      </c>
      <c r="R93" s="483" t="str">
        <f>IFERROR(IF(compras_mes5[[#This Row],[CUIT]]="","-",VLOOKUP(compras_mes5[[#This Row],[CUIT]],Lista_CUIT[#All],4,0)),"CUIT NO CARGADO")</f>
        <v>-</v>
      </c>
    </row>
    <row r="94" spans="2:18" ht="15" customHeight="1" x14ac:dyDescent="0.25">
      <c r="B94" s="476"/>
      <c r="C94" s="41"/>
      <c r="D94" s="477"/>
      <c r="E94" s="478"/>
      <c r="F94" s="479"/>
      <c r="G94" s="480" t="str">
        <f>IFERROR(IF(compras_mes5[[#This Row],[CUIT]]="","-",VLOOKUP(compras_mes5[[#This Row],[CUIT]],Lista_CUIT[#All],2,0)),"CUIT NO CARGADO")</f>
        <v>-</v>
      </c>
      <c r="H94" s="481"/>
      <c r="I94" s="211" t="str">
        <f>IF(compras_mes5[[#This Row],[NETO GRAVADO]]="","",compras_mes5[[#This Row],[NETO GRAVADO]]*0.21)</f>
        <v/>
      </c>
      <c r="J94" s="211"/>
      <c r="K94" s="211"/>
      <c r="L94" s="211"/>
      <c r="M94" s="211"/>
      <c r="N94" s="211"/>
      <c r="O94" s="211"/>
      <c r="P94" s="482">
        <f>SUM(compras_mes5[[#This Row],[NETO GRAVADO]:[Otros / No Grav.]])</f>
        <v>0</v>
      </c>
      <c r="Q94" s="483" t="str">
        <f>IFERROR(IF(compras_mes5[[#This Row],[CUIT]]="","-",VLOOKUP(compras_mes5[[#This Row],[CUIT]],Lista_CUIT[#All],3,0)),"CUIT NO CARGADO")</f>
        <v>-</v>
      </c>
      <c r="R94" s="483" t="str">
        <f>IFERROR(IF(compras_mes5[[#This Row],[CUIT]]="","-",VLOOKUP(compras_mes5[[#This Row],[CUIT]],Lista_CUIT[#All],4,0)),"CUIT NO CARGADO")</f>
        <v>-</v>
      </c>
    </row>
    <row r="95" spans="2:18" ht="15" customHeight="1" x14ac:dyDescent="0.25">
      <c r="B95" s="476"/>
      <c r="C95" s="484"/>
      <c r="D95" s="477"/>
      <c r="E95" s="478"/>
      <c r="F95" s="479"/>
      <c r="G95" s="480" t="str">
        <f>IFERROR(IF(compras_mes5[[#This Row],[CUIT]]="","-",VLOOKUP(compras_mes5[[#This Row],[CUIT]],Lista_CUIT[#All],2,0)),"CUIT NO CARGADO")</f>
        <v>-</v>
      </c>
      <c r="H95" s="481"/>
      <c r="I95" s="211" t="str">
        <f>IF(compras_mes5[[#This Row],[NETO GRAVADO]]="","",compras_mes5[[#This Row],[NETO GRAVADO]]*0.21)</f>
        <v/>
      </c>
      <c r="J95" s="211"/>
      <c r="K95" s="211"/>
      <c r="L95" s="211"/>
      <c r="M95" s="211"/>
      <c r="N95" s="211"/>
      <c r="O95" s="211"/>
      <c r="P95" s="482">
        <f>SUM(compras_mes5[[#This Row],[NETO GRAVADO]:[Otros / No Grav.]])</f>
        <v>0</v>
      </c>
      <c r="Q95" s="483" t="str">
        <f>IFERROR(IF(compras_mes5[[#This Row],[CUIT]]="","-",VLOOKUP(compras_mes5[[#This Row],[CUIT]],Lista_CUIT[#All],3,0)),"CUIT NO CARGADO")</f>
        <v>-</v>
      </c>
      <c r="R95" s="483" t="str">
        <f>IFERROR(IF(compras_mes5[[#This Row],[CUIT]]="","-",VLOOKUP(compras_mes5[[#This Row],[CUIT]],Lista_CUIT[#All],4,0)),"CUIT NO CARGADO")</f>
        <v>-</v>
      </c>
    </row>
    <row r="96" spans="2:18" ht="15" customHeight="1" x14ac:dyDescent="0.25">
      <c r="B96" s="476"/>
      <c r="C96" s="41"/>
      <c r="D96" s="477"/>
      <c r="E96" s="478"/>
      <c r="F96" s="479"/>
      <c r="G96" s="480" t="str">
        <f>IFERROR(IF(compras_mes5[[#This Row],[CUIT]]="","-",VLOOKUP(compras_mes5[[#This Row],[CUIT]],Lista_CUIT[#All],2,0)),"CUIT NO CARGADO")</f>
        <v>-</v>
      </c>
      <c r="H96" s="481"/>
      <c r="I96" s="211" t="str">
        <f>IF(compras_mes5[[#This Row],[NETO GRAVADO]]="","",compras_mes5[[#This Row],[NETO GRAVADO]]*0.21)</f>
        <v/>
      </c>
      <c r="J96" s="211"/>
      <c r="K96" s="211"/>
      <c r="L96" s="211"/>
      <c r="M96" s="211"/>
      <c r="N96" s="211"/>
      <c r="O96" s="211"/>
      <c r="P96" s="482">
        <f>SUM(compras_mes5[[#This Row],[NETO GRAVADO]:[Otros / No Grav.]])</f>
        <v>0</v>
      </c>
      <c r="Q96" s="483" t="str">
        <f>IFERROR(IF(compras_mes5[[#This Row],[CUIT]]="","-",VLOOKUP(compras_mes5[[#This Row],[CUIT]],Lista_CUIT[#All],3,0)),"CUIT NO CARGADO")</f>
        <v>-</v>
      </c>
      <c r="R96" s="483" t="str">
        <f>IFERROR(IF(compras_mes5[[#This Row],[CUIT]]="","-",VLOOKUP(compras_mes5[[#This Row],[CUIT]],Lista_CUIT[#All],4,0)),"CUIT NO CARGADO")</f>
        <v>-</v>
      </c>
    </row>
    <row r="97" spans="2:19" ht="15" customHeight="1" x14ac:dyDescent="0.25">
      <c r="B97" s="476"/>
      <c r="C97" s="41"/>
      <c r="D97" s="477"/>
      <c r="E97" s="478"/>
      <c r="F97" s="479"/>
      <c r="G97" s="480" t="str">
        <f>IFERROR(IF(compras_mes5[[#This Row],[CUIT]]="","-",VLOOKUP(compras_mes5[[#This Row],[CUIT]],Lista_CUIT[#All],2,0)),"CUIT NO CARGADO")</f>
        <v>-</v>
      </c>
      <c r="H97" s="481"/>
      <c r="I97" s="211" t="str">
        <f>IF(compras_mes5[[#This Row],[NETO GRAVADO]]="","",compras_mes5[[#This Row],[NETO GRAVADO]]*0.21)</f>
        <v/>
      </c>
      <c r="J97" s="211"/>
      <c r="K97" s="211"/>
      <c r="L97" s="211"/>
      <c r="M97" s="211"/>
      <c r="N97" s="211"/>
      <c r="O97" s="211"/>
      <c r="P97" s="482">
        <f>SUM(compras_mes5[[#This Row],[NETO GRAVADO]:[Otros / No Grav.]])</f>
        <v>0</v>
      </c>
      <c r="Q97" s="483" t="str">
        <f>IFERROR(IF(compras_mes5[[#This Row],[CUIT]]="","-",VLOOKUP(compras_mes5[[#This Row],[CUIT]],Lista_CUIT[#All],3,0)),"CUIT NO CARGADO")</f>
        <v>-</v>
      </c>
      <c r="R97" s="483" t="str">
        <f>IFERROR(IF(compras_mes5[[#This Row],[CUIT]]="","-",VLOOKUP(compras_mes5[[#This Row],[CUIT]],Lista_CUIT[#All],4,0)),"CUIT NO CARGADO")</f>
        <v>-</v>
      </c>
    </row>
    <row r="98" spans="2:19" ht="15" customHeight="1" x14ac:dyDescent="0.25">
      <c r="B98" s="476"/>
      <c r="C98" s="41"/>
      <c r="D98" s="477"/>
      <c r="E98" s="478"/>
      <c r="F98" s="479"/>
      <c r="G98" s="480" t="str">
        <f>IFERROR(IF(compras_mes5[[#This Row],[CUIT]]="","-",VLOOKUP(compras_mes5[[#This Row],[CUIT]],Lista_CUIT[#All],2,0)),"CUIT NO CARGADO")</f>
        <v>-</v>
      </c>
      <c r="H98" s="481"/>
      <c r="I98" s="211" t="str">
        <f>IF(compras_mes5[[#This Row],[NETO GRAVADO]]="","",compras_mes5[[#This Row],[NETO GRAVADO]]*0.21)</f>
        <v/>
      </c>
      <c r="J98" s="211"/>
      <c r="K98" s="211"/>
      <c r="L98" s="211"/>
      <c r="M98" s="211"/>
      <c r="N98" s="211"/>
      <c r="O98" s="211"/>
      <c r="P98" s="482">
        <f>SUM(compras_mes5[[#This Row],[NETO GRAVADO]:[Otros / No Grav.]])</f>
        <v>0</v>
      </c>
      <c r="Q98" s="483" t="str">
        <f>IFERROR(IF(compras_mes5[[#This Row],[CUIT]]="","-",VLOOKUP(compras_mes5[[#This Row],[CUIT]],Lista_CUIT[#All],3,0)),"CUIT NO CARGADO")</f>
        <v>-</v>
      </c>
      <c r="R98" s="483" t="str">
        <f>IFERROR(IF(compras_mes5[[#This Row],[CUIT]]="","-",VLOOKUP(compras_mes5[[#This Row],[CUIT]],Lista_CUIT[#All],4,0)),"CUIT NO CARGADO")</f>
        <v>-</v>
      </c>
    </row>
    <row r="99" spans="2:19" ht="15" customHeight="1" x14ac:dyDescent="0.25">
      <c r="B99" s="476"/>
      <c r="C99" s="41"/>
      <c r="D99" s="477"/>
      <c r="E99" s="478"/>
      <c r="F99" s="479"/>
      <c r="G99" s="480" t="str">
        <f>IFERROR(IF(compras_mes5[[#This Row],[CUIT]]="","-",VLOOKUP(compras_mes5[[#This Row],[CUIT]],Lista_CUIT[#All],2,0)),"CUIT NO CARGADO")</f>
        <v>-</v>
      </c>
      <c r="H99" s="481"/>
      <c r="I99" s="211" t="str">
        <f>IF(compras_mes5[[#This Row],[NETO GRAVADO]]="","",compras_mes5[[#This Row],[NETO GRAVADO]]*0.21)</f>
        <v/>
      </c>
      <c r="J99" s="211"/>
      <c r="K99" s="211"/>
      <c r="L99" s="211"/>
      <c r="M99" s="211"/>
      <c r="N99" s="211"/>
      <c r="O99" s="211"/>
      <c r="P99" s="482">
        <f>SUM(compras_mes5[[#This Row],[NETO GRAVADO]:[Otros / No Grav.]])</f>
        <v>0</v>
      </c>
      <c r="Q99" s="483" t="str">
        <f>IFERROR(IF(compras_mes5[[#This Row],[CUIT]]="","-",VLOOKUP(compras_mes5[[#This Row],[CUIT]],Lista_CUIT[#All],3,0)),"CUIT NO CARGADO")</f>
        <v>-</v>
      </c>
      <c r="R99" s="483" t="str">
        <f>IFERROR(IF(compras_mes5[[#This Row],[CUIT]]="","-",VLOOKUP(compras_mes5[[#This Row],[CUIT]],Lista_CUIT[#All],4,0)),"CUIT NO CARGADO")</f>
        <v>-</v>
      </c>
    </row>
    <row r="100" spans="2:19" ht="15" customHeight="1" x14ac:dyDescent="0.25">
      <c r="B100" s="40"/>
      <c r="C100" s="41"/>
      <c r="D100" s="42"/>
      <c r="E100" s="43"/>
      <c r="F100" s="44"/>
      <c r="G100" s="45" t="str">
        <f>IFERROR(IF(compras_mes5[[#This Row],[CUIT]]="","-",VLOOKUP(compras_mes5[[#This Row],[CUIT]],Lista_CUIT[#All],2,0)),"CUIT NO CARGADO")</f>
        <v>-</v>
      </c>
      <c r="H100" s="46"/>
      <c r="I100" s="85"/>
      <c r="J100" s="85"/>
      <c r="K100" s="85"/>
      <c r="L100" s="85"/>
      <c r="M100" s="85"/>
      <c r="N100" s="85"/>
      <c r="O100" s="85"/>
      <c r="P100" s="48">
        <f>SUM(compras_mes5[[#This Row],[NETO GRAVADO]:[Otros / No Grav.]])</f>
        <v>0</v>
      </c>
      <c r="Q100" s="49" t="str">
        <f>IFERROR(IF(compras_mes5[[#This Row],[CUIT]]="","-",VLOOKUP(compras_mes5[[#This Row],[CUIT]],Lista_CUIT[#All],3,0)),"CUIT NO CARGADO")</f>
        <v>-</v>
      </c>
      <c r="R100" s="49" t="str">
        <f>IFERROR(IF(compras_mes5[[#This Row],[CUIT]]="","-",VLOOKUP(compras_mes5[[#This Row],[CUIT]],Lista_CUIT[#All],4,0)),"CUIT NO CARGADO")</f>
        <v>-</v>
      </c>
    </row>
    <row r="101" spans="2:19" ht="15" customHeight="1" x14ac:dyDescent="0.25">
      <c r="B101" s="40"/>
      <c r="C101" s="41"/>
      <c r="D101" s="42"/>
      <c r="E101" s="43"/>
      <c r="F101" s="44"/>
      <c r="G101" s="45" t="str">
        <f>IFERROR(IF(compras_mes5[[#This Row],[CUIT]]="","-",VLOOKUP(compras_mes5[[#This Row],[CUIT]],Lista_CUIT[#All],2,0)),"CUIT NO CARGADO")</f>
        <v>-</v>
      </c>
      <c r="H101" s="46"/>
      <c r="I101" s="85" t="str">
        <f>IF(compras_mes5[[#This Row],[NETO GRAVADO]]="","",compras_mes5[[#This Row],[NETO GRAVADO]]*0.21)</f>
        <v/>
      </c>
      <c r="J101" s="85"/>
      <c r="K101" s="85"/>
      <c r="L101" s="85"/>
      <c r="M101" s="85"/>
      <c r="N101" s="85"/>
      <c r="O101" s="85"/>
      <c r="P101" s="48">
        <f>SUM(compras_mes5[[#This Row],[NETO GRAVADO]:[Otros / No Grav.]])</f>
        <v>0</v>
      </c>
      <c r="Q101" s="49" t="str">
        <f>IFERROR(IF(compras_mes5[[#This Row],[CUIT]]="","-",VLOOKUP(compras_mes5[[#This Row],[CUIT]],Lista_CUIT[#All],3,0)),"CUIT NO CARGADO")</f>
        <v>-</v>
      </c>
      <c r="R101" s="49" t="str">
        <f>IFERROR(IF(compras_mes5[[#This Row],[CUIT]]="","-",VLOOKUP(compras_mes5[[#This Row],[CUIT]],Lista_CUIT[#All],4,0)),"CUIT NO CARGADO")</f>
        <v>-</v>
      </c>
    </row>
    <row r="102" spans="2:19" x14ac:dyDescent="0.25">
      <c r="B102" s="95" t="s">
        <v>110</v>
      </c>
      <c r="C102" s="95"/>
      <c r="D102" s="95"/>
      <c r="E102" s="95"/>
      <c r="F102" s="95"/>
      <c r="G102" s="96"/>
      <c r="H102" s="97">
        <f>SUBTOTAL(109,compras_mes5[NETO GRAVADO])</f>
        <v>31713812.429999989</v>
      </c>
      <c r="I102" s="97">
        <f>SUBTOTAL(109,compras_mes5[IVA 21 %])</f>
        <v>6570915.4318000013</v>
      </c>
      <c r="J102" s="97">
        <f>SUBTOTAL(109,compras_mes5[IVA 27%])</f>
        <v>70220.244000000006</v>
      </c>
      <c r="K102" s="97">
        <f>SUBTOTAL(109,compras_mes5[IVA 10,5%])</f>
        <v>0</v>
      </c>
      <c r="L102" s="97">
        <f>SUBTOTAL(109,compras_mes5[PERC. IVA])</f>
        <v>5213.3</v>
      </c>
      <c r="M102" s="97">
        <f>SUBTOTAL(109,compras_mes5[PERC IIBB 
BS AS])</f>
        <v>0</v>
      </c>
      <c r="N102" s="97">
        <f>SUBTOTAL(109,compras_mes5[PERC. IIBB CABA])</f>
        <v>256975.49000000005</v>
      </c>
      <c r="O102" s="97">
        <f>SUBTOTAL(109,compras_mes5[Otros / No Grav.])</f>
        <v>103450.72000000002</v>
      </c>
      <c r="P102" s="97">
        <f>SUBTOTAL(109,compras_mes5[TOTAL])</f>
        <v>38720587.615800001</v>
      </c>
      <c r="Q102" s="95"/>
      <c r="R102" s="95"/>
      <c r="S102" s="503"/>
    </row>
    <row r="103" spans="2:19" x14ac:dyDescent="0.25">
      <c r="B103" s="40"/>
      <c r="C103" s="41"/>
      <c r="D103" s="42"/>
      <c r="E103" s="43"/>
      <c r="F103" s="44"/>
      <c r="G103" s="45"/>
      <c r="H103" s="46"/>
      <c r="I103" s="47"/>
      <c r="J103" s="47"/>
      <c r="K103" s="47"/>
      <c r="L103" s="47"/>
      <c r="M103" s="47"/>
      <c r="N103" s="47"/>
      <c r="O103" s="47"/>
      <c r="P103" s="48"/>
      <c r="Q103" s="49"/>
      <c r="R103" s="49"/>
    </row>
    <row r="104" spans="2:19" x14ac:dyDescent="0.25">
      <c r="B104" s="40"/>
      <c r="C104" s="41"/>
      <c r="D104" s="42"/>
      <c r="E104" s="43"/>
      <c r="F104" s="44"/>
      <c r="G104" s="45"/>
      <c r="H104" s="46"/>
      <c r="I104" s="47"/>
      <c r="J104" s="47"/>
      <c r="K104" s="47"/>
      <c r="L104" s="47"/>
      <c r="M104" s="47"/>
      <c r="N104" s="47"/>
      <c r="O104" s="47"/>
      <c r="P104" s="48"/>
      <c r="Q104" s="49"/>
      <c r="R104" s="49"/>
    </row>
    <row r="105" spans="2:19" x14ac:dyDescent="0.25">
      <c r="B105" s="40"/>
      <c r="C105" s="41"/>
      <c r="D105" s="42"/>
      <c r="E105" s="43"/>
      <c r="F105" s="44"/>
      <c r="G105" s="45"/>
      <c r="H105" s="46"/>
      <c r="I105" s="47"/>
      <c r="J105" s="47"/>
      <c r="K105" s="47"/>
      <c r="L105" s="47"/>
      <c r="M105" s="47"/>
      <c r="N105" s="47"/>
      <c r="O105" s="47"/>
      <c r="P105" s="48"/>
      <c r="Q105" s="49"/>
      <c r="R105" s="49"/>
    </row>
    <row r="106" spans="2:19" x14ac:dyDescent="0.25">
      <c r="B106" s="40"/>
      <c r="C106" s="41"/>
      <c r="D106" s="42"/>
      <c r="E106" s="43"/>
      <c r="F106" s="44"/>
      <c r="G106" s="45"/>
      <c r="H106" s="46"/>
      <c r="I106" s="47"/>
      <c r="J106" s="47"/>
      <c r="K106" s="47"/>
      <c r="L106" s="47"/>
    </row>
    <row r="107" spans="2:19" ht="21" x14ac:dyDescent="0.25">
      <c r="D107" s="618" t="s">
        <v>15</v>
      </c>
      <c r="E107" s="618"/>
      <c r="F107" s="618"/>
      <c r="G107" s="618"/>
      <c r="H107" s="618"/>
      <c r="I107" s="618"/>
      <c r="J107" s="618"/>
      <c r="K107" s="618"/>
      <c r="L107" s="618"/>
    </row>
    <row r="108" spans="2:19" ht="15.75" x14ac:dyDescent="0.25">
      <c r="D108" s="73" t="s">
        <v>0</v>
      </c>
      <c r="E108" s="74" t="s">
        <v>26</v>
      </c>
      <c r="F108" s="74" t="s">
        <v>16</v>
      </c>
      <c r="G108" s="74" t="s">
        <v>5</v>
      </c>
      <c r="H108" s="74" t="s">
        <v>17</v>
      </c>
      <c r="I108" s="74" t="s">
        <v>7</v>
      </c>
      <c r="J108" s="75" t="s">
        <v>18</v>
      </c>
      <c r="K108" s="75" t="s">
        <v>19</v>
      </c>
      <c r="L108" s="76" t="s">
        <v>20</v>
      </c>
    </row>
    <row r="109" spans="2:19" x14ac:dyDescent="0.25">
      <c r="D109" s="50">
        <v>45808</v>
      </c>
      <c r="E109" s="80">
        <v>517769082</v>
      </c>
      <c r="F109" s="80" t="s">
        <v>2237</v>
      </c>
      <c r="G109" s="81">
        <v>12429</v>
      </c>
      <c r="H109" s="81">
        <f>extracto_banco_mes5[[#This Row],[NETO]]*21/100</f>
        <v>2610.09</v>
      </c>
      <c r="I109" s="81"/>
      <c r="J109" s="81"/>
      <c r="K109" s="81">
        <v>285</v>
      </c>
      <c r="L109" s="81">
        <v>380</v>
      </c>
    </row>
    <row r="110" spans="2:19" x14ac:dyDescent="0.25">
      <c r="D110" s="50">
        <v>45808</v>
      </c>
      <c r="E110" s="80">
        <v>250531</v>
      </c>
      <c r="F110" s="80" t="s">
        <v>2238</v>
      </c>
      <c r="G110" s="81">
        <v>37325</v>
      </c>
      <c r="H110" s="81">
        <f>extracto_banco_mes5[[#This Row],[NETO]]*21/100</f>
        <v>7838.25</v>
      </c>
      <c r="I110" s="81"/>
      <c r="J110" s="81"/>
      <c r="K110" s="81">
        <v>1113</v>
      </c>
      <c r="L110" s="81">
        <v>1400</v>
      </c>
    </row>
    <row r="111" spans="2:19" x14ac:dyDescent="0.25">
      <c r="D111" s="50"/>
      <c r="E111" s="79"/>
      <c r="F111" s="80"/>
      <c r="G111" s="81"/>
      <c r="H111" s="81">
        <f>extracto_banco_mes5[[#This Row],[NETO]]*21/100</f>
        <v>0</v>
      </c>
      <c r="I111" s="81"/>
      <c r="J111" s="81"/>
      <c r="K111" s="81"/>
      <c r="L111" s="81"/>
    </row>
    <row r="112" spans="2:19" x14ac:dyDescent="0.25">
      <c r="D112" s="82" t="s">
        <v>110</v>
      </c>
      <c r="E112" s="80"/>
      <c r="F112" s="80"/>
      <c r="G112" s="83">
        <f>SUBTOTAL(109,extracto_banco_mes5[NETO])</f>
        <v>49754</v>
      </c>
      <c r="H112" s="83">
        <f>SUBTOTAL(109,extracto_banco_mes5[IVA 21%])</f>
        <v>10448.34</v>
      </c>
      <c r="I112" s="83">
        <f>SUBTOTAL(109,extracto_banco_mes5[IVA 10,5%])</f>
        <v>0</v>
      </c>
      <c r="J112" s="83">
        <f>SUBTOTAL(109,extracto_banco_mes5[RET IIBB CABA])</f>
        <v>0</v>
      </c>
      <c r="K112" s="83">
        <f>SUBTOTAL(109,extracto_banco_mes5[PERC IVA])</f>
        <v>1398</v>
      </c>
      <c r="L112" s="83">
        <f>SUBTOTAL(109,extracto_banco_mes5[PERC IIBB])</f>
        <v>1780</v>
      </c>
    </row>
    <row r="116" spans="4:11" ht="21" x14ac:dyDescent="0.25">
      <c r="D116" s="618" t="s">
        <v>25</v>
      </c>
      <c r="E116" s="618"/>
      <c r="F116" s="618"/>
      <c r="G116" s="618"/>
      <c r="H116" s="618"/>
      <c r="I116" s="618"/>
      <c r="J116" s="618"/>
      <c r="K116" s="618"/>
    </row>
    <row r="117" spans="4:11" ht="18" customHeight="1" x14ac:dyDescent="0.25">
      <c r="D117" s="51" t="s">
        <v>0</v>
      </c>
      <c r="E117" s="51" t="s">
        <v>2</v>
      </c>
      <c r="F117" s="51" t="s">
        <v>74</v>
      </c>
      <c r="G117" s="51" t="s">
        <v>3</v>
      </c>
      <c r="H117" s="51" t="s">
        <v>4</v>
      </c>
      <c r="I117" s="52" t="s">
        <v>10</v>
      </c>
      <c r="J117" s="51" t="s">
        <v>13</v>
      </c>
      <c r="K117" s="51" t="s">
        <v>38</v>
      </c>
    </row>
    <row r="118" spans="4:11" x14ac:dyDescent="0.25">
      <c r="D118" s="50"/>
      <c r="E118" s="42"/>
      <c r="F118" s="43"/>
      <c r="G118" s="44">
        <v>20086277523</v>
      </c>
      <c r="H118" s="53" t="str">
        <f>IFERROR(IF(factura_c_mes5[[#This Row],[CUIT]]="","-",VLOOKUP(factura_c_mes5[[#This Row],[CUIT]],Lista_CUIT[#All],2,0)),"CUIT NO CARGADO")</f>
        <v>BOTINDARI JUAN CARLOS</v>
      </c>
      <c r="I118" s="165">
        <v>290000</v>
      </c>
      <c r="J118" s="54" t="str">
        <f>IFERROR(IF(factura_c_mes5[[#This Row],[CUIT]]="","-",VLOOKUP(factura_c_mes5[[#This Row],[CUIT]],Lista_CUIT[#All],3,0)),"CUIT NO CARGADO")</f>
        <v>HONORARIOS</v>
      </c>
      <c r="K118" s="54">
        <f>IFERROR(IF(factura_c_mes5[[#This Row],[CUIT]]="","-",VLOOKUP(factura_c_mes5[[#This Row],[CUIT]],Lista_CUIT[#All],4,0)),"CUIT NO CARGADO")</f>
        <v>0</v>
      </c>
    </row>
    <row r="119" spans="4:11" x14ac:dyDescent="0.25">
      <c r="D119" s="50"/>
      <c r="E119" s="42"/>
      <c r="F119" s="43"/>
      <c r="G119" s="44">
        <v>27443612705</v>
      </c>
      <c r="H119" s="53" t="str">
        <f>IFERROR(IF(factura_c_mes5[[#This Row],[CUIT]]="","-",VLOOKUP(factura_c_mes5[[#This Row],[CUIT]],Lista_CUIT[#All],2,0)),"CUIT NO CARGADO")</f>
        <v>MIGOYA MORIONDO MARIA INES</v>
      </c>
      <c r="I119" s="165">
        <v>900000</v>
      </c>
      <c r="J119" s="54" t="str">
        <f>IFERROR(IF(factura_c_mes5[[#This Row],[CUIT]]="","-",VLOOKUP(factura_c_mes5[[#This Row],[CUIT]],Lista_CUIT[#All],3,0)),"CUIT NO CARGADO")</f>
        <v>GTOS ADMINISTRATIVOS</v>
      </c>
      <c r="K119" s="54">
        <f>IFERROR(IF(factura_c_mes5[[#This Row],[CUIT]]="","-",VLOOKUP(factura_c_mes5[[#This Row],[CUIT]],Lista_CUIT[#All],4,0)),"CUIT NO CARGADO")</f>
        <v>0</v>
      </c>
    </row>
    <row r="120" spans="4:11" x14ac:dyDescent="0.25">
      <c r="D120" s="50"/>
      <c r="E120" s="42"/>
      <c r="F120" s="43"/>
      <c r="G120" s="44">
        <v>27338342840</v>
      </c>
      <c r="H120" s="53" t="str">
        <f>IFERROR(IF(factura_c_mes5[[#This Row],[CUIT]]="","-",VLOOKUP(factura_c_mes5[[#This Row],[CUIT]],Lista_CUIT[#All],2,0)),"CUIT NO CARGADO")</f>
        <v>CANCINO PAMELA RITA</v>
      </c>
      <c r="I120" s="165">
        <v>236000</v>
      </c>
      <c r="J120" s="54" t="str">
        <f>IFERROR(IF(factura_c_mes5[[#This Row],[CUIT]]="","-",VLOOKUP(factura_c_mes5[[#This Row],[CUIT]],Lista_CUIT[#All],3,0)),"CUIT NO CARGADO")</f>
        <v>PROVEEDOR</v>
      </c>
      <c r="K120" s="54">
        <f>IFERROR(IF(factura_c_mes5[[#This Row],[CUIT]]="","-",VLOOKUP(factura_c_mes5[[#This Row],[CUIT]],Lista_CUIT[#All],4,0)),"CUIT NO CARGADO")</f>
        <v>0</v>
      </c>
    </row>
    <row r="121" spans="4:11" x14ac:dyDescent="0.25">
      <c r="D121" s="50"/>
      <c r="E121" s="42"/>
      <c r="F121" s="43"/>
      <c r="G121" s="44">
        <v>27315710508</v>
      </c>
      <c r="H121" s="53" t="str">
        <f>IFERROR(IF(factura_c_mes5[[#This Row],[CUIT]]="","-",VLOOKUP(factura_c_mes5[[#This Row],[CUIT]],Lista_CUIT[#All],2,0)),"CUIT NO CARGADO")</f>
        <v>RIVERO GABRIELA ROCIO</v>
      </c>
      <c r="I121" s="165">
        <v>48600</v>
      </c>
      <c r="J121" s="54" t="str">
        <f>IFERROR(IF(factura_c_mes5[[#This Row],[CUIT]]="","-",VLOOKUP(factura_c_mes5[[#This Row],[CUIT]],Lista_CUIT[#All],3,0)),"CUIT NO CARGADO")</f>
        <v>Serv. Informaticos</v>
      </c>
      <c r="K121" s="54">
        <f>IFERROR(IF(factura_c_mes5[[#This Row],[CUIT]]="","-",VLOOKUP(factura_c_mes5[[#This Row],[CUIT]],Lista_CUIT[#All],4,0)),"CUIT NO CARGADO")</f>
        <v>0</v>
      </c>
    </row>
    <row r="122" spans="4:11" x14ac:dyDescent="0.25">
      <c r="D122" s="50"/>
      <c r="E122" s="42"/>
      <c r="F122" s="43"/>
      <c r="G122" s="44">
        <v>27443612705</v>
      </c>
      <c r="H122" s="53" t="str">
        <f>IFERROR(IF(factura_c_mes5[[#This Row],[CUIT]]="","-",VLOOKUP(factura_c_mes5[[#This Row],[CUIT]],Lista_CUIT[#All],2,0)),"CUIT NO CARGADO")</f>
        <v>MIGOYA MORIONDO MARIA INES</v>
      </c>
      <c r="I122" s="165">
        <v>900000</v>
      </c>
      <c r="J122" s="54" t="str">
        <f>IFERROR(IF(factura_c_mes5[[#This Row],[CUIT]]="","-",VLOOKUP(factura_c_mes5[[#This Row],[CUIT]],Lista_CUIT[#All],3,0)),"CUIT NO CARGADO")</f>
        <v>GTOS ADMINISTRATIVOS</v>
      </c>
      <c r="K122" s="54">
        <f>IFERROR(IF(factura_c_mes5[[#This Row],[CUIT]]="","-",VLOOKUP(factura_c_mes5[[#This Row],[CUIT]],Lista_CUIT[#All],4,0)),"CUIT NO CARGADO")</f>
        <v>0</v>
      </c>
    </row>
    <row r="123" spans="4:11" x14ac:dyDescent="0.25">
      <c r="D123" s="50"/>
      <c r="E123" s="42"/>
      <c r="F123" s="43"/>
      <c r="G123" s="44">
        <v>20326759792</v>
      </c>
      <c r="H123" s="53" t="str">
        <f>IFERROR(IF(factura_c_mes5[[#This Row],[CUIT]]="","-",VLOOKUP(factura_c_mes5[[#This Row],[CUIT]],Lista_CUIT[#All],2,0)),"CUIT NO CARGADO")</f>
        <v>CUIT NO CARGADO</v>
      </c>
      <c r="I123" s="165">
        <v>114000</v>
      </c>
      <c r="J123" s="54" t="str">
        <f>IFERROR(IF(factura_c_mes5[[#This Row],[CUIT]]="","-",VLOOKUP(factura_c_mes5[[#This Row],[CUIT]],Lista_CUIT[#All],3,0)),"CUIT NO CARGADO")</f>
        <v>CUIT NO CARGADO</v>
      </c>
      <c r="K123" s="54" t="str">
        <f>IFERROR(IF(factura_c_mes5[[#This Row],[CUIT]]="","-",VLOOKUP(factura_c_mes5[[#This Row],[CUIT]],Lista_CUIT[#All],4,0)),"CUIT NO CARGADO")</f>
        <v>CUIT NO CARGADO</v>
      </c>
    </row>
    <row r="124" spans="4:11" x14ac:dyDescent="0.25">
      <c r="D124" s="50"/>
      <c r="E124" s="42"/>
      <c r="F124" s="43"/>
      <c r="G124" s="44">
        <v>27443612713</v>
      </c>
      <c r="H124" s="53" t="str">
        <f>IFERROR(IF(factura_c_mes5[[#This Row],[CUIT]]="","-",VLOOKUP(factura_c_mes5[[#This Row],[CUIT]],Lista_CUIT[#All],2,0)),"CUIT NO CARGADO")</f>
        <v>MIGOYA MORIONDO SOFIA</v>
      </c>
      <c r="I124" s="165">
        <v>850000</v>
      </c>
      <c r="J124" s="54" t="str">
        <f>IFERROR(IF(factura_c_mes5[[#This Row],[CUIT]]="","-",VLOOKUP(factura_c_mes5[[#This Row],[CUIT]],Lista_CUIT[#All],3,0)),"CUIT NO CARGADO")</f>
        <v>GTOS ADMINISTRATIVOS</v>
      </c>
      <c r="K124" s="54">
        <f>IFERROR(IF(factura_c_mes5[[#This Row],[CUIT]]="","-",VLOOKUP(factura_c_mes5[[#This Row],[CUIT]],Lista_CUIT[#All],4,0)),"CUIT NO CARGADO")</f>
        <v>0</v>
      </c>
    </row>
    <row r="125" spans="4:11" x14ac:dyDescent="0.25">
      <c r="D125" s="50"/>
      <c r="E125" s="42"/>
      <c r="F125" s="43"/>
      <c r="G125" s="44">
        <v>20182999661</v>
      </c>
      <c r="H125" s="53" t="str">
        <f>IFERROR(IF(factura_c_mes5[[#This Row],[CUIT]]="","-",VLOOKUP(factura_c_mes5[[#This Row],[CUIT]],Lista_CUIT[#All],2,0)),"CUIT NO CARGADO")</f>
        <v>KLAINER ABEL JAVIER</v>
      </c>
      <c r="I125" s="165">
        <v>5900</v>
      </c>
      <c r="J125" s="54" t="str">
        <f>IFERROR(IF(factura_c_mes5[[#This Row],[CUIT]]="","-",VLOOKUP(factura_c_mes5[[#This Row],[CUIT]],Lista_CUIT[#All],3,0)),"CUIT NO CARGADO")</f>
        <v>Gastos Varios</v>
      </c>
      <c r="K125" s="54">
        <f>IFERROR(IF(factura_c_mes5[[#This Row],[CUIT]]="","-",VLOOKUP(factura_c_mes5[[#This Row],[CUIT]],Lista_CUIT[#All],4,0)),"CUIT NO CARGADO")</f>
        <v>0</v>
      </c>
    </row>
    <row r="126" spans="4:11" x14ac:dyDescent="0.25">
      <c r="D126" s="50"/>
      <c r="E126" s="42"/>
      <c r="F126" s="43"/>
      <c r="G126" s="44">
        <v>27338342840</v>
      </c>
      <c r="H126" s="53" t="str">
        <f>IFERROR(IF(factura_c_mes5[[#This Row],[CUIT]]="","-",VLOOKUP(factura_c_mes5[[#This Row],[CUIT]],Lista_CUIT[#All],2,0)),"CUIT NO CARGADO")</f>
        <v>CANCINO PAMELA RITA</v>
      </c>
      <c r="I126" s="165">
        <v>920000</v>
      </c>
      <c r="J126" s="54" t="str">
        <f>IFERROR(IF(factura_c_mes5[[#This Row],[CUIT]]="","-",VLOOKUP(factura_c_mes5[[#This Row],[CUIT]],Lista_CUIT[#All],3,0)),"CUIT NO CARGADO")</f>
        <v>PROVEEDOR</v>
      </c>
      <c r="K126" s="54">
        <f>IFERROR(IF(factura_c_mes5[[#This Row],[CUIT]]="","-",VLOOKUP(factura_c_mes5[[#This Row],[CUIT]],Lista_CUIT[#All],4,0)),"CUIT NO CARGADO")</f>
        <v>0</v>
      </c>
    </row>
    <row r="127" spans="4:11" ht="25.9" customHeight="1" x14ac:dyDescent="0.25">
      <c r="D127" s="50"/>
      <c r="E127" s="42"/>
      <c r="F127" s="43"/>
      <c r="G127" s="44">
        <v>20326759792</v>
      </c>
      <c r="H127" s="53" t="str">
        <f>IFERROR(IF(factura_c_mes5[[#This Row],[CUIT]]="","-",VLOOKUP(factura_c_mes5[[#This Row],[CUIT]],Lista_CUIT[#All],2,0)),"CUIT NO CARGADO")</f>
        <v>CUIT NO CARGADO</v>
      </c>
      <c r="I127" s="165">
        <v>106600</v>
      </c>
      <c r="J127" s="54" t="str">
        <f>IFERROR(IF(factura_c_mes5[[#This Row],[CUIT]]="","-",VLOOKUP(factura_c_mes5[[#This Row],[CUIT]],Lista_CUIT[#All],3,0)),"CUIT NO CARGADO")</f>
        <v>CUIT NO CARGADO</v>
      </c>
      <c r="K127" s="54" t="str">
        <f>IFERROR(IF(factura_c_mes5[[#This Row],[CUIT]]="","-",VLOOKUP(factura_c_mes5[[#This Row],[CUIT]],Lista_CUIT[#All],4,0)),"CUIT NO CARGADO")</f>
        <v>CUIT NO CARGADO</v>
      </c>
    </row>
    <row r="128" spans="4:11" x14ac:dyDescent="0.25">
      <c r="D128" s="50"/>
      <c r="E128" s="42"/>
      <c r="F128" s="43"/>
      <c r="G128" s="44">
        <v>27265832178</v>
      </c>
      <c r="H128" s="53" t="str">
        <f>IFERROR(IF(factura_c_mes5[[#This Row],[CUIT]]="","-",VLOOKUP(factura_c_mes5[[#This Row],[CUIT]],Lista_CUIT[#All],2,0)),"CUIT NO CARGADO")</f>
        <v>BLASCO MARIA GUADALUPE</v>
      </c>
      <c r="I128" s="81">
        <v>3200000</v>
      </c>
      <c r="J128" s="54" t="str">
        <f>IFERROR(IF(factura_c_mes5[[#This Row],[CUIT]]="","-",VLOOKUP(factura_c_mes5[[#This Row],[CUIT]],Lista_CUIT[#All],3,0)),"CUIT NO CARGADO")</f>
        <v>PROVEEDOR</v>
      </c>
      <c r="K128" s="54">
        <f>IFERROR(IF(factura_c_mes5[[#This Row],[CUIT]]="","-",VLOOKUP(factura_c_mes5[[#This Row],[CUIT]],Lista_CUIT[#All],4,0)),"CUIT NO CARGADO")</f>
        <v>0</v>
      </c>
    </row>
    <row r="129" spans="4:11" ht="17.25" customHeight="1" x14ac:dyDescent="0.25">
      <c r="D129" s="50"/>
      <c r="E129" s="42"/>
      <c r="F129" s="43"/>
      <c r="G129" s="44">
        <v>20311855671</v>
      </c>
      <c r="H129" s="53" t="str">
        <f>IFERROR(IF(factura_c_mes5[[#This Row],[CUIT]]="","-",VLOOKUP(factura_c_mes5[[#This Row],[CUIT]],Lista_CUIT[#All],2,0)),"CUIT NO CARGADO")</f>
        <v>GUASCH HECTOR RAUL</v>
      </c>
      <c r="I129" s="165">
        <v>365000</v>
      </c>
      <c r="J129" s="54" t="str">
        <f>IFERROR(IF(factura_c_mes5[[#This Row],[CUIT]]="","-",VLOOKUP(factura_c_mes5[[#This Row],[CUIT]],Lista_CUIT[#All],3,0)),"CUIT NO CARGADO")</f>
        <v>Insumos</v>
      </c>
      <c r="K129" s="54">
        <f>IFERROR(IF(factura_c_mes5[[#This Row],[CUIT]]="","-",VLOOKUP(factura_c_mes5[[#This Row],[CUIT]],Lista_CUIT[#All],4,0)),"CUIT NO CARGADO")</f>
        <v>0</v>
      </c>
    </row>
    <row r="130" spans="4:11" ht="17.25" customHeight="1" x14ac:dyDescent="0.25">
      <c r="D130" s="50"/>
      <c r="E130" s="42"/>
      <c r="F130" s="43"/>
      <c r="G130" s="44">
        <v>20311855671</v>
      </c>
      <c r="H130" s="53" t="str">
        <f>IFERROR(IF(factura_c_mes5[[#This Row],[CUIT]]="","-",VLOOKUP(factura_c_mes5[[#This Row],[CUIT]],Lista_CUIT[#All],2,0)),"CUIT NO CARGADO")</f>
        <v>GUASCH HECTOR RAUL</v>
      </c>
      <c r="I130" s="165">
        <v>290000</v>
      </c>
      <c r="J130" s="54" t="str">
        <f>IFERROR(IF(factura_c_mes5[[#This Row],[CUIT]]="","-",VLOOKUP(factura_c_mes5[[#This Row],[CUIT]],Lista_CUIT[#All],3,0)),"CUIT NO CARGADO")</f>
        <v>Insumos</v>
      </c>
      <c r="K130" s="54">
        <f>IFERROR(IF(factura_c_mes5[[#This Row],[CUIT]]="","-",VLOOKUP(factura_c_mes5[[#This Row],[CUIT]],Lista_CUIT[#All],4,0)),"CUIT NO CARGADO")</f>
        <v>0</v>
      </c>
    </row>
    <row r="131" spans="4:11" ht="17.25" customHeight="1" x14ac:dyDescent="0.25">
      <c r="D131" s="50"/>
      <c r="E131" s="42"/>
      <c r="F131" s="43"/>
      <c r="G131" s="44">
        <v>20311855671</v>
      </c>
      <c r="H131" s="53" t="str">
        <f>IFERROR(IF(factura_c_mes5[[#This Row],[CUIT]]="","-",VLOOKUP(factura_c_mes5[[#This Row],[CUIT]],Lista_CUIT[#All],2,0)),"CUIT NO CARGADO")</f>
        <v>GUASCH HECTOR RAUL</v>
      </c>
      <c r="I131" s="81">
        <v>290000</v>
      </c>
      <c r="J131" s="54" t="str">
        <f>IFERROR(IF(factura_c_mes5[[#This Row],[CUIT]]="","-",VLOOKUP(factura_c_mes5[[#This Row],[CUIT]],Lista_CUIT[#All],3,0)),"CUIT NO CARGADO")</f>
        <v>Insumos</v>
      </c>
      <c r="K131" s="54">
        <f>IFERROR(IF(factura_c_mes5[[#This Row],[CUIT]]="","-",VLOOKUP(factura_c_mes5[[#This Row],[CUIT]],Lista_CUIT[#All],4,0)),"CUIT NO CARGADO")</f>
        <v>0</v>
      </c>
    </row>
    <row r="132" spans="4:11" ht="17.25" customHeight="1" x14ac:dyDescent="0.25">
      <c r="D132" s="50"/>
      <c r="E132" s="42"/>
      <c r="F132" s="164"/>
      <c r="G132" s="118">
        <v>27344304551</v>
      </c>
      <c r="H132" s="53" t="str">
        <f>IFERROR(IF(factura_c_mes5[[#This Row],[CUIT]]="","-",VLOOKUP(factura_c_mes5[[#This Row],[CUIT]],Lista_CUIT[#All],2,0)),"CUIT NO CARGADO")</f>
        <v>BOCCACCI MARIA FLORENCIA</v>
      </c>
      <c r="I132" s="165">
        <v>100000</v>
      </c>
      <c r="J132" s="54" t="str">
        <f>IFERROR(IF(factura_c_mes5[[#This Row],[CUIT]]="","-",VLOOKUP(factura_c_mes5[[#This Row],[CUIT]],Lista_CUIT[#All],3,0)),"CUIT NO CARGADO")</f>
        <v>Servicios</v>
      </c>
      <c r="K132" s="54">
        <f>IFERROR(IF(factura_c_mes5[[#This Row],[CUIT]]="","-",VLOOKUP(factura_c_mes5[[#This Row],[CUIT]],Lista_CUIT[#All],4,0)),"CUIT NO CARGADO")</f>
        <v>0</v>
      </c>
    </row>
    <row r="133" spans="4:11" ht="17.25" customHeight="1" x14ac:dyDescent="0.25">
      <c r="D133" s="50"/>
      <c r="E133" s="42"/>
      <c r="F133" s="164"/>
      <c r="G133" s="118">
        <v>23281233084</v>
      </c>
      <c r="H133" s="53" t="str">
        <f>IFERROR(IF(factura_c_mes5[[#This Row],[CUIT]]="","-",VLOOKUP(factura_c_mes5[[#This Row],[CUIT]],Lista_CUIT[#All],2,0)),"CUIT NO CARGADO")</f>
        <v>DRUETTA ANDREA MARIEL</v>
      </c>
      <c r="I133" s="165">
        <v>300000</v>
      </c>
      <c r="J133" s="54" t="str">
        <f>IFERROR(IF(factura_c_mes5[[#This Row],[CUIT]]="","-",VLOOKUP(factura_c_mes5[[#This Row],[CUIT]],Lista_CUIT[#All],3,0)),"CUIT NO CARGADO")</f>
        <v>TECNICO</v>
      </c>
      <c r="K133" s="54">
        <f>IFERROR(IF(factura_c_mes5[[#This Row],[CUIT]]="","-",VLOOKUP(factura_c_mes5[[#This Row],[CUIT]],Lista_CUIT[#All],4,0)),"CUIT NO CARGADO")</f>
        <v>0</v>
      </c>
    </row>
    <row r="134" spans="4:11" ht="17.25" customHeight="1" x14ac:dyDescent="0.25">
      <c r="D134" s="50"/>
      <c r="E134" s="42"/>
      <c r="F134" s="164"/>
      <c r="G134" s="118">
        <v>27122903201</v>
      </c>
      <c r="H134" s="53" t="str">
        <f>IFERROR(IF(factura_c_mes5[[#This Row],[CUIT]]="","-",VLOOKUP(factura_c_mes5[[#This Row],[CUIT]],Lista_CUIT[#All],2,0)),"CUIT NO CARGADO")</f>
        <v>ARCE RAQUEL INES</v>
      </c>
      <c r="I134" s="165">
        <v>2000000</v>
      </c>
      <c r="J134" s="54" t="str">
        <f>IFERROR(IF(factura_c_mes5[[#This Row],[CUIT]]="","-",VLOOKUP(factura_c_mes5[[#This Row],[CUIT]],Lista_CUIT[#All],3,0)),"CUIT NO CARGADO")</f>
        <v>Insumos</v>
      </c>
      <c r="K134" s="54">
        <f>IFERROR(IF(factura_c_mes5[[#This Row],[CUIT]]="","-",VLOOKUP(factura_c_mes5[[#This Row],[CUIT]],Lista_CUIT[#All],4,0)),"CUIT NO CARGADO")</f>
        <v>0</v>
      </c>
    </row>
    <row r="135" spans="4:11" ht="17.25" customHeight="1" x14ac:dyDescent="0.25">
      <c r="D135" s="50"/>
      <c r="E135" s="42"/>
      <c r="F135" s="164"/>
      <c r="G135" s="118">
        <v>20311855671</v>
      </c>
      <c r="H135" s="53" t="str">
        <f>IFERROR(IF(factura_c_mes5[[#This Row],[CUIT]]="","-",VLOOKUP(factura_c_mes5[[#This Row],[CUIT]],Lista_CUIT[#All],2,0)),"CUIT NO CARGADO")</f>
        <v>GUASCH HECTOR RAUL</v>
      </c>
      <c r="I135" s="165">
        <v>145000</v>
      </c>
      <c r="J135" s="54" t="str">
        <f>IFERROR(IF(factura_c_mes5[[#This Row],[CUIT]]="","-",VLOOKUP(factura_c_mes5[[#This Row],[CUIT]],Lista_CUIT[#All],3,0)),"CUIT NO CARGADO")</f>
        <v>Insumos</v>
      </c>
      <c r="K135" s="54">
        <f>IFERROR(IF(factura_c_mes5[[#This Row],[CUIT]]="","-",VLOOKUP(factura_c_mes5[[#This Row],[CUIT]],Lista_CUIT[#All],4,0)),"CUIT NO CARGADO")</f>
        <v>0</v>
      </c>
    </row>
    <row r="136" spans="4:11" ht="17.25" customHeight="1" x14ac:dyDescent="0.25">
      <c r="D136" s="50"/>
      <c r="E136" s="42"/>
      <c r="F136" s="43"/>
      <c r="G136" s="44">
        <v>20311855671</v>
      </c>
      <c r="H136" s="53" t="str">
        <f>IFERROR(IF(factura_c_mes5[[#This Row],[CUIT]]="","-",VLOOKUP(factura_c_mes5[[#This Row],[CUIT]],Lista_CUIT[#All],2,0)),"CUIT NO CARGADO")</f>
        <v>GUASCH HECTOR RAUL</v>
      </c>
      <c r="I136" s="165">
        <v>355000</v>
      </c>
      <c r="J136" s="54" t="str">
        <f>IFERROR(IF(factura_c_mes5[[#This Row],[CUIT]]="","-",VLOOKUP(factura_c_mes5[[#This Row],[CUIT]],Lista_CUIT[#All],3,0)),"CUIT NO CARGADO")</f>
        <v>Insumos</v>
      </c>
      <c r="K136" s="54">
        <f>IFERROR(IF(factura_c_mes5[[#This Row],[CUIT]]="","-",VLOOKUP(factura_c_mes5[[#This Row],[CUIT]],Lista_CUIT[#All],4,0)),"CUIT NO CARGADO")</f>
        <v>0</v>
      </c>
    </row>
    <row r="137" spans="4:11" ht="17.25" customHeight="1" x14ac:dyDescent="0.25">
      <c r="D137" s="50"/>
      <c r="E137" s="42"/>
      <c r="F137" s="43"/>
      <c r="G137" s="44">
        <v>20326759792</v>
      </c>
      <c r="H137" s="53" t="str">
        <f>IFERROR(IF(factura_c_mes5[[#This Row],[CUIT]]="","-",VLOOKUP(factura_c_mes5[[#This Row],[CUIT]],Lista_CUIT[#All],2,0)),"CUIT NO CARGADO")</f>
        <v>CUIT NO CARGADO</v>
      </c>
      <c r="I137" s="165">
        <v>114000</v>
      </c>
      <c r="J137" s="54" t="str">
        <f>IFERROR(IF(factura_c_mes5[[#This Row],[CUIT]]="","-",VLOOKUP(factura_c_mes5[[#This Row],[CUIT]],Lista_CUIT[#All],3,0)),"CUIT NO CARGADO")</f>
        <v>CUIT NO CARGADO</v>
      </c>
      <c r="K137" s="54" t="str">
        <f>IFERROR(IF(factura_c_mes5[[#This Row],[CUIT]]="","-",VLOOKUP(factura_c_mes5[[#This Row],[CUIT]],Lista_CUIT[#All],4,0)),"CUIT NO CARGADO")</f>
        <v>CUIT NO CARGADO</v>
      </c>
    </row>
    <row r="138" spans="4:11" ht="17.25" customHeight="1" x14ac:dyDescent="0.25">
      <c r="D138" s="50"/>
      <c r="E138" s="42"/>
      <c r="F138" s="43"/>
      <c r="G138" s="44"/>
      <c r="H138" s="53" t="str">
        <f>IFERROR(IF(factura_c_mes5[[#This Row],[CUIT]]="","-",VLOOKUP(factura_c_mes5[[#This Row],[CUIT]],Lista_CUIT[#All],2,0)),"CUIT NO CARGADO")</f>
        <v>-</v>
      </c>
      <c r="I138" s="165"/>
      <c r="J138" s="54" t="str">
        <f>IFERROR(IF(factura_c_mes5[[#This Row],[CUIT]]="","-",VLOOKUP(factura_c_mes5[[#This Row],[CUIT]],Lista_CUIT[#All],3,0)),"CUIT NO CARGADO")</f>
        <v>-</v>
      </c>
      <c r="K138" s="54" t="str">
        <f>IFERROR(IF(factura_c_mes5[[#This Row],[CUIT]]="","-",VLOOKUP(factura_c_mes5[[#This Row],[CUIT]],Lista_CUIT[#All],4,0)),"CUIT NO CARGADO")</f>
        <v>-</v>
      </c>
    </row>
    <row r="139" spans="4:11" ht="17.25" customHeight="1" x14ac:dyDescent="0.25">
      <c r="D139" s="50"/>
      <c r="E139" s="42"/>
      <c r="F139" s="164"/>
      <c r="G139" s="118"/>
      <c r="H139" s="53" t="str">
        <f>IFERROR(IF(factura_c_mes5[[#This Row],[CUIT]]="","-",VLOOKUP(factura_c_mes5[[#This Row],[CUIT]],Lista_CUIT[#All],2,0)),"CUIT NO CARGADO")</f>
        <v>-</v>
      </c>
      <c r="I139" s="165"/>
      <c r="J139" s="54" t="str">
        <f>IFERROR(IF(factura_c_mes5[[#This Row],[CUIT]]="","-",VLOOKUP(factura_c_mes5[[#This Row],[CUIT]],Lista_CUIT[#All],3,0)),"CUIT NO CARGADO")</f>
        <v>-</v>
      </c>
      <c r="K139" s="54" t="str">
        <f>IFERROR(IF(factura_c_mes5[[#This Row],[CUIT]]="","-",VLOOKUP(factura_c_mes5[[#This Row],[CUIT]],Lista_CUIT[#All],4,0)),"CUIT NO CARGADO")</f>
        <v>-</v>
      </c>
    </row>
    <row r="140" spans="4:11" ht="17.25" customHeight="1" x14ac:dyDescent="0.25">
      <c r="D140" s="50"/>
      <c r="E140" s="42"/>
      <c r="F140" s="164"/>
      <c r="G140" s="118"/>
      <c r="H140" s="53" t="str">
        <f>IFERROR(IF(factura_c_mes5[[#This Row],[CUIT]]="","-",VLOOKUP(factura_c_mes5[[#This Row],[CUIT]],Lista_CUIT[#All],2,0)),"CUIT NO CARGADO")</f>
        <v>-</v>
      </c>
      <c r="I140" s="165"/>
      <c r="J140" s="54" t="str">
        <f>IFERROR(IF(factura_c_mes5[[#This Row],[CUIT]]="","-",VLOOKUP(factura_c_mes5[[#This Row],[CUIT]],Lista_CUIT[#All],3,0)),"CUIT NO CARGADO")</f>
        <v>-</v>
      </c>
      <c r="K140" s="54" t="str">
        <f>IFERROR(IF(factura_c_mes5[[#This Row],[CUIT]]="","-",VLOOKUP(factura_c_mes5[[#This Row],[CUIT]],Lista_CUIT[#All],4,0)),"CUIT NO CARGADO")</f>
        <v>-</v>
      </c>
    </row>
    <row r="141" spans="4:11" ht="17.25" customHeight="1" x14ac:dyDescent="0.25">
      <c r="D141" s="50"/>
      <c r="E141" s="42"/>
      <c r="F141" s="43"/>
      <c r="G141" s="44"/>
      <c r="H141" s="53" t="str">
        <f>IFERROR(IF(factura_c_mes5[[#This Row],[CUIT]]="","-",VLOOKUP(factura_c_mes5[[#This Row],[CUIT]],Lista_CUIT[#All],2,0)),"CUIT NO CARGADO")</f>
        <v>-</v>
      </c>
      <c r="I141" s="165"/>
      <c r="J141" s="54" t="str">
        <f>IFERROR(IF(factura_c_mes5[[#This Row],[CUIT]]="","-",VLOOKUP(factura_c_mes5[[#This Row],[CUIT]],Lista_CUIT[#All],3,0)),"CUIT NO CARGADO")</f>
        <v>-</v>
      </c>
      <c r="K141" s="54" t="str">
        <f>IFERROR(IF(factura_c_mes5[[#This Row],[CUIT]]="","-",VLOOKUP(factura_c_mes5[[#This Row],[CUIT]],Lista_CUIT[#All],4,0)),"CUIT NO CARGADO")</f>
        <v>-</v>
      </c>
    </row>
    <row r="142" spans="4:11" ht="17.25" customHeight="1" x14ac:dyDescent="0.25">
      <c r="D142" s="50"/>
      <c r="E142" s="42"/>
      <c r="F142" s="43"/>
      <c r="G142" s="44"/>
      <c r="H142" s="53" t="str">
        <f>IFERROR(IF(factura_c_mes5[[#This Row],[CUIT]]="","-",VLOOKUP(factura_c_mes5[[#This Row],[CUIT]],Lista_CUIT[#All],2,0)),"CUIT NO CARGADO")</f>
        <v>-</v>
      </c>
      <c r="I142" s="165"/>
      <c r="J142" s="54" t="str">
        <f>IFERROR(IF(factura_c_mes5[[#This Row],[CUIT]]="","-",VLOOKUP(factura_c_mes5[[#This Row],[CUIT]],Lista_CUIT[#All],3,0)),"CUIT NO CARGADO")</f>
        <v>-</v>
      </c>
      <c r="K142" s="54" t="str">
        <f>IFERROR(IF(factura_c_mes5[[#This Row],[CUIT]]="","-",VLOOKUP(factura_c_mes5[[#This Row],[CUIT]],Lista_CUIT[#All],4,0)),"CUIT NO CARGADO")</f>
        <v>-</v>
      </c>
    </row>
    <row r="143" spans="4:11" ht="17.25" customHeight="1" x14ac:dyDescent="0.25">
      <c r="D143" s="50"/>
      <c r="E143" s="42"/>
      <c r="F143" s="164"/>
      <c r="G143" s="118"/>
      <c r="H143" s="53" t="str">
        <f>IFERROR(IF(factura_c_mes5[[#This Row],[CUIT]]="","-",VLOOKUP(factura_c_mes5[[#This Row],[CUIT]],Lista_CUIT[#All],2,0)),"CUIT NO CARGADO")</f>
        <v>-</v>
      </c>
      <c r="I143" s="165"/>
      <c r="J143" s="54" t="str">
        <f>IFERROR(IF(factura_c_mes5[[#This Row],[CUIT]]="","-",VLOOKUP(factura_c_mes5[[#This Row],[CUIT]],Lista_CUIT[#All],3,0)),"CUIT NO CARGADO")</f>
        <v>-</v>
      </c>
      <c r="K143" s="54" t="str">
        <f>IFERROR(IF(factura_c_mes5[[#This Row],[CUIT]]="","-",VLOOKUP(factura_c_mes5[[#This Row],[CUIT]],Lista_CUIT[#All],4,0)),"CUIT NO CARGADO")</f>
        <v>-</v>
      </c>
    </row>
    <row r="144" spans="4:11" ht="17.25" customHeight="1" x14ac:dyDescent="0.25">
      <c r="D144" s="50"/>
      <c r="E144" s="42"/>
      <c r="F144" s="43"/>
      <c r="G144" s="44"/>
      <c r="H144" s="53" t="str">
        <f>IFERROR(IF(factura_c_mes5[[#This Row],[CUIT]]="","-",VLOOKUP(factura_c_mes5[[#This Row],[CUIT]],Lista_CUIT[#All],2,0)),"CUIT NO CARGADO")</f>
        <v>-</v>
      </c>
      <c r="I144" s="165"/>
      <c r="J144" s="54" t="str">
        <f>IFERROR(IF(factura_c_mes5[[#This Row],[CUIT]]="","-",VLOOKUP(factura_c_mes5[[#This Row],[CUIT]],Lista_CUIT[#All],3,0)),"CUIT NO CARGADO")</f>
        <v>-</v>
      </c>
      <c r="K144" s="54" t="str">
        <f>IFERROR(IF(factura_c_mes5[[#This Row],[CUIT]]="","-",VLOOKUP(factura_c_mes5[[#This Row],[CUIT]],Lista_CUIT[#All],4,0)),"CUIT NO CARGADO")</f>
        <v>-</v>
      </c>
    </row>
    <row r="145" spans="2:18" ht="17.25" customHeight="1" x14ac:dyDescent="0.25">
      <c r="D145" s="50"/>
      <c r="E145" s="42"/>
      <c r="F145" s="164"/>
      <c r="G145" s="118"/>
      <c r="H145" s="53" t="str">
        <f>IFERROR(IF(factura_c_mes5[[#This Row],[CUIT]]="","-",VLOOKUP(factura_c_mes5[[#This Row],[CUIT]],Lista_CUIT[#All],2,0)),"CUIT NO CARGADO")</f>
        <v>-</v>
      </c>
      <c r="I145" s="165"/>
      <c r="J145" s="54" t="str">
        <f>IFERROR(IF(factura_c_mes5[[#This Row],[CUIT]]="","-",VLOOKUP(factura_c_mes5[[#This Row],[CUIT]],Lista_CUIT[#All],3,0)),"CUIT NO CARGADO")</f>
        <v>-</v>
      </c>
      <c r="K145" s="54" t="str">
        <f>IFERROR(IF(factura_c_mes5[[#This Row],[CUIT]]="","-",VLOOKUP(factura_c_mes5[[#This Row],[CUIT]],Lista_CUIT[#All],4,0)),"CUIT NO CARGADO")</f>
        <v>-</v>
      </c>
    </row>
    <row r="146" spans="2:18" ht="17.25" customHeight="1" x14ac:dyDescent="0.25">
      <c r="D146" s="50"/>
      <c r="E146" s="42"/>
      <c r="F146" s="43"/>
      <c r="G146" s="44"/>
      <c r="H146" s="53" t="str">
        <f>IFERROR(IF(factura_c_mes5[[#This Row],[CUIT]]="","-",VLOOKUP(factura_c_mes5[[#This Row],[CUIT]],Lista_CUIT[#All],2,0)),"CUIT NO CARGADO")</f>
        <v>-</v>
      </c>
      <c r="I146" s="81"/>
      <c r="J146" s="54" t="str">
        <f>IFERROR(IF(factura_c_mes5[[#This Row],[CUIT]]="","-",VLOOKUP(factura_c_mes5[[#This Row],[CUIT]],Lista_CUIT[#All],3,0)),"CUIT NO CARGADO")</f>
        <v>-</v>
      </c>
      <c r="K146" s="54" t="str">
        <f>IFERROR(IF(factura_c_mes5[[#This Row],[CUIT]]="","-",VLOOKUP(factura_c_mes5[[#This Row],[CUIT]],Lista_CUIT[#All],4,0)),"CUIT NO CARGADO")</f>
        <v>-</v>
      </c>
    </row>
    <row r="147" spans="2:18" ht="17.25" customHeight="1" x14ac:dyDescent="0.25">
      <c r="D147" s="50"/>
      <c r="E147" s="42"/>
      <c r="F147" s="164"/>
      <c r="G147" s="118"/>
      <c r="H147" s="53" t="str">
        <f>IFERROR(IF(factura_c_mes5[[#This Row],[CUIT]]="","-",VLOOKUP(factura_c_mes5[[#This Row],[CUIT]],Lista_CUIT[#All],2,0)),"CUIT NO CARGADO")</f>
        <v>-</v>
      </c>
      <c r="I147" s="165"/>
      <c r="J147" s="54" t="str">
        <f>IFERROR(IF(factura_c_mes5[[#This Row],[CUIT]]="","-",VLOOKUP(factura_c_mes5[[#This Row],[CUIT]],Lista_CUIT[#All],3,0)),"CUIT NO CARGADO")</f>
        <v>-</v>
      </c>
      <c r="K147" s="54" t="str">
        <f>IFERROR(IF(factura_c_mes5[[#This Row],[CUIT]]="","-",VLOOKUP(factura_c_mes5[[#This Row],[CUIT]],Lista_CUIT[#All],4,0)),"CUIT NO CARGADO")</f>
        <v>-</v>
      </c>
    </row>
    <row r="148" spans="2:18" ht="17.25" customHeight="1" x14ac:dyDescent="0.25">
      <c r="D148" s="50"/>
      <c r="E148" s="42"/>
      <c r="F148" s="164"/>
      <c r="G148" s="118"/>
      <c r="H148" s="53" t="str">
        <f>IFERROR(IF(factura_c_mes5[[#This Row],[CUIT]]="","-",VLOOKUP(factura_c_mes5[[#This Row],[CUIT]],Lista_CUIT[#All],2,0)),"CUIT NO CARGADO")</f>
        <v>-</v>
      </c>
      <c r="I148" s="165"/>
      <c r="J148" s="54" t="str">
        <f>IFERROR(IF(factura_c_mes5[[#This Row],[CUIT]]="","-",VLOOKUP(factura_c_mes5[[#This Row],[CUIT]],Lista_CUIT[#All],3,0)),"CUIT NO CARGADO")</f>
        <v>-</v>
      </c>
      <c r="K148" s="54" t="str">
        <f>IFERROR(IF(factura_c_mes5[[#This Row],[CUIT]]="","-",VLOOKUP(factura_c_mes5[[#This Row],[CUIT]],Lista_CUIT[#All],4,0)),"CUIT NO CARGADO")</f>
        <v>-</v>
      </c>
    </row>
    <row r="149" spans="2:18" ht="17.25" customHeight="1" x14ac:dyDescent="0.25">
      <c r="D149" s="50"/>
      <c r="E149" s="42"/>
      <c r="F149" s="43"/>
      <c r="G149" s="44"/>
      <c r="H149" s="53" t="str">
        <f>IFERROR(IF(factura_c_mes5[[#This Row],[CUIT]]="","-",VLOOKUP(factura_c_mes5[[#This Row],[CUIT]],Lista_CUIT[#All],2,0)),"CUIT NO CARGADO")</f>
        <v>-</v>
      </c>
      <c r="I149" s="165"/>
      <c r="J149" s="54" t="str">
        <f>IFERROR(IF(factura_c_mes5[[#This Row],[CUIT]]="","-",VLOOKUP(factura_c_mes5[[#This Row],[CUIT]],Lista_CUIT[#All],3,0)),"CUIT NO CARGADO")</f>
        <v>-</v>
      </c>
      <c r="K149" s="54" t="str">
        <f>IFERROR(IF(factura_c_mes5[[#This Row],[CUIT]]="","-",VLOOKUP(factura_c_mes5[[#This Row],[CUIT]],Lista_CUIT[#All],4,0)),"CUIT NO CARGADO")</f>
        <v>-</v>
      </c>
    </row>
    <row r="150" spans="2:18" ht="17.25" customHeight="1" x14ac:dyDescent="0.25">
      <c r="D150" s="50"/>
      <c r="E150" s="42"/>
      <c r="F150" s="43"/>
      <c r="G150" s="44"/>
      <c r="H150" s="53" t="str">
        <f>IFERROR(IF(factura_c_mes5[[#This Row],[CUIT]]="","-",VLOOKUP(factura_c_mes5[[#This Row],[CUIT]],Lista_CUIT[#All],2,0)),"CUIT NO CARGADO")</f>
        <v>-</v>
      </c>
      <c r="I150" s="165"/>
      <c r="J150" s="54" t="str">
        <f>IFERROR(IF(factura_c_mes5[[#This Row],[CUIT]]="","-",VLOOKUP(factura_c_mes5[[#This Row],[CUIT]],Lista_CUIT[#All],3,0)),"CUIT NO CARGADO")</f>
        <v>-</v>
      </c>
      <c r="K150" s="54" t="str">
        <f>IFERROR(IF(factura_c_mes5[[#This Row],[CUIT]]="","-",VLOOKUP(factura_c_mes5[[#This Row],[CUIT]],Lista_CUIT[#All],4,0)),"CUIT NO CARGADO")</f>
        <v>-</v>
      </c>
    </row>
    <row r="151" spans="2:18" ht="17.25" customHeight="1" x14ac:dyDescent="0.25">
      <c r="D151" s="50"/>
      <c r="E151" s="42"/>
      <c r="F151" s="43"/>
      <c r="G151" s="44"/>
      <c r="H151" s="53" t="str">
        <f>IFERROR(IF(factura_c_mes5[[#This Row],[CUIT]]="","-",VLOOKUP(factura_c_mes5[[#This Row],[CUIT]],Lista_CUIT[#All],2,0)),"CUIT NO CARGADO")</f>
        <v>-</v>
      </c>
      <c r="I151" s="165"/>
      <c r="J151" s="54" t="str">
        <f>IFERROR(IF(factura_c_mes5[[#This Row],[CUIT]]="","-",VLOOKUP(factura_c_mes5[[#This Row],[CUIT]],Lista_CUIT[#All],3,0)),"CUIT NO CARGADO")</f>
        <v>-</v>
      </c>
      <c r="K151" s="54" t="str">
        <f>IFERROR(IF(factura_c_mes5[[#This Row],[CUIT]]="","-",VLOOKUP(factura_c_mes5[[#This Row],[CUIT]],Lista_CUIT[#All],4,0)),"CUIT NO CARGADO")</f>
        <v>-</v>
      </c>
    </row>
    <row r="152" spans="2:18" ht="17.25" customHeight="1" x14ac:dyDescent="0.25">
      <c r="B152" s="56"/>
      <c r="C152" s="56"/>
      <c r="D152" s="55" t="s">
        <v>110</v>
      </c>
      <c r="E152" s="55"/>
      <c r="F152" s="55"/>
      <c r="G152" s="55"/>
      <c r="H152" s="57"/>
      <c r="I152" s="58">
        <f>SUBTOTAL(109,factura_c_mes5[TOTAL])</f>
        <v>11530100</v>
      </c>
      <c r="J152" s="55"/>
      <c r="K152" s="55"/>
      <c r="L152" s="56"/>
      <c r="M152" s="56"/>
      <c r="N152" s="56"/>
      <c r="O152" s="56"/>
      <c r="P152" s="56"/>
      <c r="Q152" s="56"/>
      <c r="R152" s="56"/>
    </row>
    <row r="153" spans="2:18" ht="17.25" customHeight="1" x14ac:dyDescent="0.25"/>
    <row r="154" spans="2:18" ht="17.25" customHeight="1" x14ac:dyDescent="0.25"/>
    <row r="155" spans="2:18" ht="17.25" customHeight="1" x14ac:dyDescent="0.25"/>
    <row r="156" spans="2:18" ht="17.25" customHeight="1" x14ac:dyDescent="0.25"/>
    <row r="157" spans="2:18" ht="17.25" customHeight="1" x14ac:dyDescent="0.25">
      <c r="B157" s="629" t="s">
        <v>29</v>
      </c>
      <c r="C157" s="629"/>
      <c r="D157" s="629"/>
      <c r="E157" s="629"/>
      <c r="F157" s="629"/>
      <c r="G157" s="629"/>
      <c r="H157" s="629"/>
      <c r="I157" s="629"/>
      <c r="J157" s="629"/>
      <c r="K157" s="630">
        <f>N1</f>
        <v>45778</v>
      </c>
      <c r="L157" s="630"/>
      <c r="M157" s="630"/>
    </row>
    <row r="158" spans="2:18" ht="17.25" customHeight="1" x14ac:dyDescent="0.25"/>
    <row r="159" spans="2:18" ht="17.25" customHeight="1" x14ac:dyDescent="0.25">
      <c r="B159" s="631" t="s">
        <v>30</v>
      </c>
      <c r="C159" s="631"/>
    </row>
    <row r="160" spans="2:18" ht="17.25" customHeight="1" x14ac:dyDescent="0.25">
      <c r="B160" s="60" t="s">
        <v>0</v>
      </c>
      <c r="C160" s="61" t="s">
        <v>1</v>
      </c>
      <c r="D160" s="61" t="s">
        <v>21</v>
      </c>
      <c r="E160" s="61" t="s">
        <v>22</v>
      </c>
      <c r="F160" s="61" t="s">
        <v>3</v>
      </c>
      <c r="G160" s="61" t="s">
        <v>4</v>
      </c>
      <c r="H160" s="61" t="s">
        <v>23</v>
      </c>
      <c r="I160" s="61" t="s">
        <v>17</v>
      </c>
      <c r="J160" s="61" t="s">
        <v>7</v>
      </c>
      <c r="K160" s="61" t="s">
        <v>24</v>
      </c>
      <c r="L160" s="61" t="s">
        <v>10</v>
      </c>
      <c r="M160" s="62" t="s">
        <v>38</v>
      </c>
    </row>
    <row r="161" spans="2:13" ht="17.25" customHeight="1" x14ac:dyDescent="0.25">
      <c r="B161" s="108"/>
      <c r="C161" s="109"/>
      <c r="D161" s="110"/>
      <c r="E161" s="111"/>
      <c r="F161" s="112"/>
      <c r="G161" s="98" t="str">
        <f>IFERROR(IF(venta_a_mes5[[#This Row],[CUIT]]="","-",VLOOKUP(venta_a_mes5[[#This Row],[CUIT]],Lista_CUIT[#All],2,0)),"CUIT NO CARGADO")</f>
        <v>-</v>
      </c>
      <c r="H161" s="99"/>
      <c r="I161" s="100">
        <f>venta_a_mes5[[#This Row],[IMPORTE NETO]]*0.21</f>
        <v>0</v>
      </c>
      <c r="J161" s="65"/>
      <c r="K161" s="65"/>
      <c r="L161" s="65">
        <f>SUM(venta_a_mes5[[#This Row],[IMPORTE NETO]:[EXENTO]])</f>
        <v>0</v>
      </c>
      <c r="M161" s="59"/>
    </row>
    <row r="162" spans="2:13" ht="17.25" customHeight="1" x14ac:dyDescent="0.25">
      <c r="B162" s="108"/>
      <c r="C162" s="109"/>
      <c r="D162" s="110"/>
      <c r="E162" s="111"/>
      <c r="F162" s="112"/>
      <c r="G162" s="98" t="str">
        <f>IFERROR(IF(venta_a_mes5[[#This Row],[CUIT]]="","-",VLOOKUP(venta_a_mes5[[#This Row],[CUIT]],Lista_CUIT[#All],2,0)),"CUIT NO CARGADO")</f>
        <v>-</v>
      </c>
      <c r="H162" s="99"/>
      <c r="I162" s="100">
        <f>venta_a_mes5[[#This Row],[IMPORTE NETO]]*0.21</f>
        <v>0</v>
      </c>
      <c r="J162" s="65"/>
      <c r="K162" s="65"/>
      <c r="L162" s="65">
        <f>SUM(venta_a_mes5[[#This Row],[IMPORTE NETO]:[EXENTO]])</f>
        <v>0</v>
      </c>
      <c r="M162" s="59"/>
    </row>
    <row r="163" spans="2:13" ht="17.25" customHeight="1" x14ac:dyDescent="0.25">
      <c r="B163" s="108"/>
      <c r="C163" s="109"/>
      <c r="D163" s="110"/>
      <c r="E163" s="111"/>
      <c r="F163" s="112"/>
      <c r="G163" s="98" t="str">
        <f>IFERROR(IF(venta_a_mes5[[#This Row],[CUIT]]="","-",VLOOKUP(venta_a_mes5[[#This Row],[CUIT]],Lista_CUIT[#All],2,0)),"CUIT NO CARGADO")</f>
        <v>-</v>
      </c>
      <c r="H163" s="99"/>
      <c r="I163" s="100">
        <f>venta_a_mes5[[#This Row],[IMPORTE NETO]]*0.21</f>
        <v>0</v>
      </c>
      <c r="J163" s="65"/>
      <c r="K163" s="65"/>
      <c r="L163" s="65">
        <f>SUM(venta_a_mes5[[#This Row],[IMPORTE NETO]:[EXENTO]])</f>
        <v>0</v>
      </c>
      <c r="M163" s="59"/>
    </row>
    <row r="164" spans="2:13" ht="17.25" customHeight="1" x14ac:dyDescent="0.25">
      <c r="B164" s="108"/>
      <c r="C164" s="109"/>
      <c r="D164" s="110"/>
      <c r="E164" s="111"/>
      <c r="F164" s="112"/>
      <c r="G164" s="98" t="str">
        <f>IFERROR(IF(venta_a_mes5[[#This Row],[CUIT]]="","-",VLOOKUP(venta_a_mes5[[#This Row],[CUIT]],Lista_CUIT[#All],2,0)),"CUIT NO CARGADO")</f>
        <v>-</v>
      </c>
      <c r="H164" s="99"/>
      <c r="I164" s="100">
        <f>venta_a_mes5[[#This Row],[IMPORTE NETO]]*0.21</f>
        <v>0</v>
      </c>
      <c r="J164" s="65"/>
      <c r="K164" s="65"/>
      <c r="L164" s="65">
        <f>SUM(venta_a_mes5[[#This Row],[IMPORTE NETO]:[EXENTO]])</f>
        <v>0</v>
      </c>
      <c r="M164" s="59"/>
    </row>
    <row r="165" spans="2:13" ht="17.25" customHeight="1" x14ac:dyDescent="0.25">
      <c r="B165" s="108"/>
      <c r="C165" s="109"/>
      <c r="D165" s="110"/>
      <c r="E165" s="111"/>
      <c r="F165" s="112"/>
      <c r="G165" s="98" t="str">
        <f>IFERROR(IF(venta_a_mes5[[#This Row],[CUIT]]="","-",VLOOKUP(venta_a_mes5[[#This Row],[CUIT]],Lista_CUIT[#All],2,0)),"CUIT NO CARGADO")</f>
        <v>-</v>
      </c>
      <c r="H165" s="99"/>
      <c r="I165" s="100">
        <f>venta_a_mes5[[#This Row],[IMPORTE NETO]]*0.21</f>
        <v>0</v>
      </c>
      <c r="J165" s="65"/>
      <c r="K165" s="65"/>
      <c r="L165" s="65">
        <f>SUM(venta_a_mes5[[#This Row],[IMPORTE NETO]:[EXENTO]])</f>
        <v>0</v>
      </c>
      <c r="M165" s="59"/>
    </row>
    <row r="166" spans="2:13" ht="17.25" customHeight="1" x14ac:dyDescent="0.25">
      <c r="B166" s="108"/>
      <c r="C166" s="109"/>
      <c r="D166" s="110"/>
      <c r="E166" s="111"/>
      <c r="F166" s="112"/>
      <c r="G166" s="98" t="str">
        <f>IFERROR(IF(venta_a_mes5[[#This Row],[CUIT]]="","-",VLOOKUP(venta_a_mes5[[#This Row],[CUIT]],Lista_CUIT[#All],2,0)),"CUIT NO CARGADO")</f>
        <v>-</v>
      </c>
      <c r="H166" s="99"/>
      <c r="I166" s="100">
        <f>venta_a_mes5[[#This Row],[IMPORTE NETO]]*0.21</f>
        <v>0</v>
      </c>
      <c r="J166" s="65"/>
      <c r="K166" s="65"/>
      <c r="L166" s="65">
        <f>SUM(venta_a_mes5[[#This Row],[IMPORTE NETO]:[EXENTO]])</f>
        <v>0</v>
      </c>
      <c r="M166" s="59"/>
    </row>
    <row r="167" spans="2:13" ht="17.25" customHeight="1" x14ac:dyDescent="0.25">
      <c r="B167" s="108"/>
      <c r="C167" s="109"/>
      <c r="D167" s="110"/>
      <c r="E167" s="111"/>
      <c r="F167" s="112"/>
      <c r="G167" s="98" t="str">
        <f>IFERROR(IF(venta_a_mes5[[#This Row],[CUIT]]="","-",VLOOKUP(venta_a_mes5[[#This Row],[CUIT]],Lista_CUIT[#All],2,0)),"CUIT NO CARGADO")</f>
        <v>-</v>
      </c>
      <c r="H167" s="99"/>
      <c r="I167" s="100">
        <f>venta_a_mes5[[#This Row],[IMPORTE NETO]]*0.21</f>
        <v>0</v>
      </c>
      <c r="J167" s="65"/>
      <c r="K167" s="65"/>
      <c r="L167" s="65">
        <f>SUM(venta_a_mes5[[#This Row],[IMPORTE NETO]:[EXENTO]])</f>
        <v>0</v>
      </c>
      <c r="M167" s="59"/>
    </row>
    <row r="168" spans="2:13" ht="17.25" customHeight="1" x14ac:dyDescent="0.25">
      <c r="B168" s="108"/>
      <c r="C168" s="109"/>
      <c r="D168" s="110"/>
      <c r="E168" s="111"/>
      <c r="F168" s="112"/>
      <c r="G168" s="98" t="str">
        <f>IFERROR(IF(venta_a_mes5[[#This Row],[CUIT]]="","-",VLOOKUP(venta_a_mes5[[#This Row],[CUIT]],Lista_CUIT[#All],2,0)),"CUIT NO CARGADO")</f>
        <v>-</v>
      </c>
      <c r="H168" s="99"/>
      <c r="I168" s="100">
        <f>venta_a_mes5[[#This Row],[IMPORTE NETO]]*0.21</f>
        <v>0</v>
      </c>
      <c r="J168" s="65"/>
      <c r="K168" s="65"/>
      <c r="L168" s="65">
        <f>SUM(venta_a_mes5[[#This Row],[IMPORTE NETO]:[EXENTO]])</f>
        <v>0</v>
      </c>
      <c r="M168" s="59"/>
    </row>
    <row r="169" spans="2:13" ht="17.25" customHeight="1" x14ac:dyDescent="0.25">
      <c r="B169" s="108"/>
      <c r="C169" s="109"/>
      <c r="D169" s="110"/>
      <c r="E169" s="111"/>
      <c r="F169" s="112"/>
      <c r="G169" s="98" t="str">
        <f>IFERROR(IF(venta_a_mes5[[#This Row],[CUIT]]="","-",VLOOKUP(venta_a_mes5[[#This Row],[CUIT]],Lista_CUIT[#All],2,0)),"CUIT NO CARGADO")</f>
        <v>-</v>
      </c>
      <c r="H169" s="99"/>
      <c r="I169" s="100">
        <f>venta_a_mes5[[#This Row],[IMPORTE NETO]]*0.21</f>
        <v>0</v>
      </c>
      <c r="J169" s="65"/>
      <c r="K169" s="65"/>
      <c r="L169" s="65">
        <f>SUM(venta_a_mes5[[#This Row],[IMPORTE NETO]:[EXENTO]])</f>
        <v>0</v>
      </c>
      <c r="M169" s="59"/>
    </row>
    <row r="170" spans="2:13" ht="17.25" customHeight="1" x14ac:dyDescent="0.25">
      <c r="B170" s="108"/>
      <c r="C170" s="109"/>
      <c r="D170" s="110"/>
      <c r="E170" s="111"/>
      <c r="F170" s="112"/>
      <c r="G170" s="98" t="str">
        <f>IFERROR(IF(venta_a_mes5[[#This Row],[CUIT]]="","-",VLOOKUP(venta_a_mes5[[#This Row],[CUIT]],Lista_CUIT[#All],2,0)),"CUIT NO CARGADO")</f>
        <v>-</v>
      </c>
      <c r="H170" s="99"/>
      <c r="I170" s="100">
        <f>venta_a_mes5[[#This Row],[IMPORTE NETO]]*0.21</f>
        <v>0</v>
      </c>
      <c r="J170" s="65"/>
      <c r="K170" s="65"/>
      <c r="L170" s="65">
        <f>SUM(venta_a_mes5[[#This Row],[IMPORTE NETO]:[EXENTO]])</f>
        <v>0</v>
      </c>
      <c r="M170" s="59"/>
    </row>
    <row r="171" spans="2:13" ht="17.25" customHeight="1" x14ac:dyDescent="0.25">
      <c r="B171" s="108"/>
      <c r="C171" s="109"/>
      <c r="D171" s="110"/>
      <c r="E171" s="111"/>
      <c r="F171" s="112"/>
      <c r="G171" s="98" t="str">
        <f>IFERROR(IF(venta_a_mes5[[#This Row],[CUIT]]="","-",VLOOKUP(venta_a_mes5[[#This Row],[CUIT]],Lista_CUIT[#All],2,0)),"CUIT NO CARGADO")</f>
        <v>-</v>
      </c>
      <c r="H171" s="99"/>
      <c r="I171" s="100">
        <f>venta_a_mes5[[#This Row],[IMPORTE NETO]]*0.21</f>
        <v>0</v>
      </c>
      <c r="J171" s="65"/>
      <c r="K171" s="65"/>
      <c r="L171" s="65">
        <f>SUM(venta_a_mes5[[#This Row],[IMPORTE NETO]:[EXENTO]])</f>
        <v>0</v>
      </c>
      <c r="M171" s="59"/>
    </row>
    <row r="172" spans="2:13" ht="17.25" customHeight="1" x14ac:dyDescent="0.25">
      <c r="B172" s="108"/>
      <c r="C172" s="109"/>
      <c r="D172" s="110"/>
      <c r="E172" s="111"/>
      <c r="F172" s="112"/>
      <c r="G172" s="98" t="str">
        <f>IFERROR(IF(venta_a_mes5[[#This Row],[CUIT]]="","-",VLOOKUP(venta_a_mes5[[#This Row],[CUIT]],Lista_CUIT[#All],2,0)),"CUIT NO CARGADO")</f>
        <v>-</v>
      </c>
      <c r="H172" s="99"/>
      <c r="I172" s="100">
        <f>venta_a_mes5[[#This Row],[IMPORTE NETO]]*0.21</f>
        <v>0</v>
      </c>
      <c r="J172" s="65"/>
      <c r="K172" s="65"/>
      <c r="L172" s="65">
        <f>SUM(venta_a_mes5[[#This Row],[IMPORTE NETO]:[EXENTO]])</f>
        <v>0</v>
      </c>
      <c r="M172" s="59"/>
    </row>
    <row r="173" spans="2:13" ht="17.25" customHeight="1" x14ac:dyDescent="0.25">
      <c r="B173" s="108"/>
      <c r="C173" s="109"/>
      <c r="D173" s="110"/>
      <c r="E173" s="111"/>
      <c r="F173" s="112"/>
      <c r="G173" s="98" t="str">
        <f>IFERROR(IF(venta_a_mes5[[#This Row],[CUIT]]="","-",VLOOKUP(venta_a_mes5[[#This Row],[CUIT]],Lista_CUIT[#All],2,0)),"CUIT NO CARGADO")</f>
        <v>-</v>
      </c>
      <c r="H173" s="99"/>
      <c r="I173" s="100">
        <f>venta_a_mes5[[#This Row],[IMPORTE NETO]]*0.21</f>
        <v>0</v>
      </c>
      <c r="J173" s="65"/>
      <c r="K173" s="65"/>
      <c r="L173" s="65">
        <f>SUM(venta_a_mes5[[#This Row],[IMPORTE NETO]:[EXENTO]])</f>
        <v>0</v>
      </c>
      <c r="M173" s="59"/>
    </row>
    <row r="174" spans="2:13" ht="17.25" customHeight="1" x14ac:dyDescent="0.25">
      <c r="B174" s="108"/>
      <c r="C174" s="109"/>
      <c r="D174" s="110"/>
      <c r="E174" s="111"/>
      <c r="F174" s="112"/>
      <c r="G174" s="98" t="str">
        <f>IFERROR(IF(venta_a_mes5[[#This Row],[CUIT]]="","-",VLOOKUP(venta_a_mes5[[#This Row],[CUIT]],Lista_CUIT[#All],2,0)),"CUIT NO CARGADO")</f>
        <v>-</v>
      </c>
      <c r="H174" s="99"/>
      <c r="I174" s="100">
        <f>venta_a_mes5[[#This Row],[IMPORTE NETO]]*0.21</f>
        <v>0</v>
      </c>
      <c r="J174" s="65"/>
      <c r="K174" s="65"/>
      <c r="L174" s="65">
        <f>SUM(venta_a_mes5[[#This Row],[IMPORTE NETO]:[EXENTO]])</f>
        <v>0</v>
      </c>
      <c r="M174" s="59"/>
    </row>
    <row r="175" spans="2:13" ht="17.25" customHeight="1" x14ac:dyDescent="0.25">
      <c r="B175" s="108"/>
      <c r="C175" s="109"/>
      <c r="D175" s="110"/>
      <c r="E175" s="111"/>
      <c r="F175" s="112"/>
      <c r="G175" s="98" t="str">
        <f>IFERROR(IF(venta_a_mes5[[#This Row],[CUIT]]="","-",VLOOKUP(venta_a_mes5[[#This Row],[CUIT]],Lista_CUIT[#All],2,0)),"CUIT NO CARGADO")</f>
        <v>-</v>
      </c>
      <c r="H175" s="99"/>
      <c r="I175" s="100">
        <f>venta_a_mes5[[#This Row],[IMPORTE NETO]]*0.21</f>
        <v>0</v>
      </c>
      <c r="J175" s="65"/>
      <c r="K175" s="65"/>
      <c r="L175" s="65">
        <f>SUM(venta_a_mes5[[#This Row],[IMPORTE NETO]:[EXENTO]])</f>
        <v>0</v>
      </c>
      <c r="M175" s="59"/>
    </row>
    <row r="176" spans="2:13" ht="17.25" customHeight="1" x14ac:dyDescent="0.25">
      <c r="B176" s="108"/>
      <c r="C176" s="109"/>
      <c r="D176" s="110"/>
      <c r="E176" s="111"/>
      <c r="F176" s="112"/>
      <c r="G176" s="98" t="str">
        <f>IFERROR(IF(venta_a_mes5[[#This Row],[CUIT]]="","-",VLOOKUP(venta_a_mes5[[#This Row],[CUIT]],Lista_CUIT[#All],2,0)),"CUIT NO CARGADO")</f>
        <v>-</v>
      </c>
      <c r="H176" s="99"/>
      <c r="I176" s="100">
        <f>venta_a_mes5[[#This Row],[IMPORTE NETO]]*0.21</f>
        <v>0</v>
      </c>
      <c r="J176" s="65"/>
      <c r="K176" s="65"/>
      <c r="L176" s="65">
        <f>SUM(venta_a_mes5[[#This Row],[IMPORTE NETO]:[EXENTO]])</f>
        <v>0</v>
      </c>
      <c r="M176" s="59"/>
    </row>
    <row r="177" spans="2:13" ht="17.25" customHeight="1" x14ac:dyDescent="0.25">
      <c r="B177" s="108"/>
      <c r="C177" s="109"/>
      <c r="D177" s="110"/>
      <c r="E177" s="111"/>
      <c r="F177" s="112"/>
      <c r="G177" s="98" t="str">
        <f>IFERROR(IF(venta_a_mes5[[#This Row],[CUIT]]="","-",VLOOKUP(venta_a_mes5[[#This Row],[CUIT]],Lista_CUIT[#All],2,0)),"CUIT NO CARGADO")</f>
        <v>-</v>
      </c>
      <c r="H177" s="99"/>
      <c r="I177" s="100">
        <f>venta_a_mes5[[#This Row],[IMPORTE NETO]]*0.21</f>
        <v>0</v>
      </c>
      <c r="J177" s="65"/>
      <c r="K177" s="65"/>
      <c r="L177" s="65">
        <f>SUM(venta_a_mes5[[#This Row],[IMPORTE NETO]:[EXENTO]])</f>
        <v>0</v>
      </c>
      <c r="M177" s="59"/>
    </row>
    <row r="178" spans="2:13" ht="17.25" customHeight="1" x14ac:dyDescent="0.25">
      <c r="B178" s="108"/>
      <c r="C178" s="109"/>
      <c r="D178" s="110"/>
      <c r="E178" s="111"/>
      <c r="F178" s="112"/>
      <c r="G178" s="98" t="str">
        <f>IFERROR(IF(venta_a_mes5[[#This Row],[CUIT]]="","-",VLOOKUP(venta_a_mes5[[#This Row],[CUIT]],Lista_CUIT[#All],2,0)),"CUIT NO CARGADO")</f>
        <v>-</v>
      </c>
      <c r="H178" s="99"/>
      <c r="I178" s="100">
        <f>venta_a_mes5[[#This Row],[IMPORTE NETO]]*0.21</f>
        <v>0</v>
      </c>
      <c r="J178" s="65"/>
      <c r="K178" s="65"/>
      <c r="L178" s="65">
        <f>SUM(venta_a_mes5[[#This Row],[IMPORTE NETO]:[EXENTO]])</f>
        <v>0</v>
      </c>
      <c r="M178" s="59"/>
    </row>
    <row r="179" spans="2:13" ht="17.25" customHeight="1" x14ac:dyDescent="0.25">
      <c r="B179" s="108"/>
      <c r="C179" s="109"/>
      <c r="D179" s="110"/>
      <c r="E179" s="111"/>
      <c r="F179" s="112"/>
      <c r="G179" s="98" t="str">
        <f>IFERROR(IF(venta_a_mes5[[#This Row],[CUIT]]="","-",VLOOKUP(venta_a_mes5[[#This Row],[CUIT]],Lista_CUIT[#All],2,0)),"CUIT NO CARGADO")</f>
        <v>-</v>
      </c>
      <c r="H179" s="99"/>
      <c r="I179" s="100">
        <f>venta_a_mes5[[#This Row],[IMPORTE NETO]]*0.21</f>
        <v>0</v>
      </c>
      <c r="J179" s="65"/>
      <c r="K179" s="65"/>
      <c r="L179" s="65">
        <f>SUM(venta_a_mes5[[#This Row],[IMPORTE NETO]:[EXENTO]])</f>
        <v>0</v>
      </c>
      <c r="M179" s="59"/>
    </row>
    <row r="180" spans="2:13" ht="17.25" customHeight="1" x14ac:dyDescent="0.25">
      <c r="B180" s="108"/>
      <c r="C180" s="109"/>
      <c r="D180" s="110"/>
      <c r="E180" s="111"/>
      <c r="F180" s="112"/>
      <c r="G180" s="98" t="str">
        <f>IFERROR(IF(venta_a_mes5[[#This Row],[CUIT]]="","-",VLOOKUP(venta_a_mes5[[#This Row],[CUIT]],Lista_CUIT[#All],2,0)),"CUIT NO CARGADO")</f>
        <v>-</v>
      </c>
      <c r="H180" s="99"/>
      <c r="I180" s="100">
        <f>venta_a_mes5[[#This Row],[IMPORTE NETO]]*0.21</f>
        <v>0</v>
      </c>
      <c r="J180" s="65"/>
      <c r="K180" s="65"/>
      <c r="L180" s="65">
        <f>SUM(venta_a_mes5[[#This Row],[IMPORTE NETO]:[EXENTO]])</f>
        <v>0</v>
      </c>
      <c r="M180" s="59"/>
    </row>
    <row r="181" spans="2:13" ht="17.25" customHeight="1" x14ac:dyDescent="0.25">
      <c r="B181" s="108"/>
      <c r="C181" s="109"/>
      <c r="D181" s="110"/>
      <c r="E181" s="111"/>
      <c r="F181" s="112"/>
      <c r="G181" s="98" t="str">
        <f>IFERROR(IF(venta_a_mes5[[#This Row],[CUIT]]="","-",VLOOKUP(venta_a_mes5[[#This Row],[CUIT]],Lista_CUIT[#All],2,0)),"CUIT NO CARGADO")</f>
        <v>-</v>
      </c>
      <c r="H181" s="99"/>
      <c r="I181" s="100">
        <f>venta_a_mes5[[#This Row],[IMPORTE NETO]]*0.21</f>
        <v>0</v>
      </c>
      <c r="J181" s="65"/>
      <c r="K181" s="65"/>
      <c r="L181" s="65">
        <f>SUM(venta_a_mes5[[#This Row],[IMPORTE NETO]:[EXENTO]])</f>
        <v>0</v>
      </c>
      <c r="M181" s="59"/>
    </row>
    <row r="182" spans="2:13" ht="17.25" customHeight="1" x14ac:dyDescent="0.25">
      <c r="B182" s="108"/>
      <c r="C182" s="109"/>
      <c r="D182" s="110"/>
      <c r="E182" s="111"/>
      <c r="F182" s="112"/>
      <c r="G182" s="98" t="str">
        <f>IFERROR(IF(venta_a_mes5[[#This Row],[CUIT]]="","-",VLOOKUP(venta_a_mes5[[#This Row],[CUIT]],Lista_CUIT[#All],2,0)),"CUIT NO CARGADO")</f>
        <v>-</v>
      </c>
      <c r="H182" s="99"/>
      <c r="I182" s="100">
        <f>venta_a_mes5[[#This Row],[IMPORTE NETO]]*0.21</f>
        <v>0</v>
      </c>
      <c r="J182" s="65"/>
      <c r="K182" s="65"/>
      <c r="L182" s="65">
        <f>SUM(venta_a_mes5[[#This Row],[IMPORTE NETO]:[EXENTO]])</f>
        <v>0</v>
      </c>
      <c r="M182" s="59"/>
    </row>
    <row r="183" spans="2:13" ht="17.25" customHeight="1" x14ac:dyDescent="0.25">
      <c r="B183" s="108"/>
      <c r="C183" s="109"/>
      <c r="D183" s="110"/>
      <c r="E183" s="111"/>
      <c r="F183" s="112"/>
      <c r="G183" s="98" t="str">
        <f>IFERROR(IF(venta_a_mes5[[#This Row],[CUIT]]="","-",VLOOKUP(venta_a_mes5[[#This Row],[CUIT]],Lista_CUIT[#All],2,0)),"CUIT NO CARGADO")</f>
        <v>-</v>
      </c>
      <c r="H183" s="99"/>
      <c r="I183" s="100">
        <f>venta_a_mes5[[#This Row],[IMPORTE NETO]]*0.21</f>
        <v>0</v>
      </c>
      <c r="J183" s="65"/>
      <c r="K183" s="65"/>
      <c r="L183" s="65">
        <f>SUM(venta_a_mes5[[#This Row],[IMPORTE NETO]:[EXENTO]])</f>
        <v>0</v>
      </c>
      <c r="M183" s="59"/>
    </row>
    <row r="184" spans="2:13" ht="17.25" customHeight="1" x14ac:dyDescent="0.25">
      <c r="B184" s="108"/>
      <c r="C184" s="109"/>
      <c r="D184" s="110"/>
      <c r="E184" s="111"/>
      <c r="F184" s="112"/>
      <c r="G184" s="98" t="str">
        <f>IFERROR(IF(venta_a_mes5[[#This Row],[CUIT]]="","-",VLOOKUP(venta_a_mes5[[#This Row],[CUIT]],Lista_CUIT[#All],2,0)),"CUIT NO CARGADO")</f>
        <v>-</v>
      </c>
      <c r="H184" s="99"/>
      <c r="I184" s="100">
        <f>venta_a_mes5[[#This Row],[IMPORTE NETO]]*0.21</f>
        <v>0</v>
      </c>
      <c r="J184" s="65"/>
      <c r="K184" s="65"/>
      <c r="L184" s="65">
        <f>SUM(venta_a_mes5[[#This Row],[IMPORTE NETO]:[EXENTO]])</f>
        <v>0</v>
      </c>
      <c r="M184" s="59"/>
    </row>
    <row r="185" spans="2:13" ht="17.25" customHeight="1" x14ac:dyDescent="0.25">
      <c r="B185" s="108"/>
      <c r="C185" s="109"/>
      <c r="D185" s="110"/>
      <c r="E185" s="111"/>
      <c r="F185" s="112"/>
      <c r="G185" s="98" t="str">
        <f>IFERROR(IF(venta_a_mes5[[#This Row],[CUIT]]="","-",VLOOKUP(venta_a_mes5[[#This Row],[CUIT]],Lista_CUIT[#All],2,0)),"CUIT NO CARGADO")</f>
        <v>-</v>
      </c>
      <c r="H185" s="99"/>
      <c r="I185" s="100">
        <f>venta_a_mes5[[#This Row],[IMPORTE NETO]]*0.21</f>
        <v>0</v>
      </c>
      <c r="J185" s="65"/>
      <c r="K185" s="65"/>
      <c r="L185" s="65">
        <f>SUM(venta_a_mes5[[#This Row],[IMPORTE NETO]:[EXENTO]])</f>
        <v>0</v>
      </c>
      <c r="M185" s="59"/>
    </row>
    <row r="186" spans="2:13" ht="17.25" customHeight="1" x14ac:dyDescent="0.25">
      <c r="B186" s="108"/>
      <c r="C186" s="109"/>
      <c r="D186" s="110"/>
      <c r="E186" s="111"/>
      <c r="F186" s="112"/>
      <c r="G186" s="98" t="str">
        <f>IFERROR(IF(venta_a_mes5[[#This Row],[CUIT]]="","-",VLOOKUP(venta_a_mes5[[#This Row],[CUIT]],Lista_CUIT[#All],2,0)),"CUIT NO CARGADO")</f>
        <v>-</v>
      </c>
      <c r="H186" s="99"/>
      <c r="I186" s="100">
        <f>venta_a_mes5[[#This Row],[IMPORTE NETO]]*0.21</f>
        <v>0</v>
      </c>
      <c r="J186" s="65"/>
      <c r="K186" s="65"/>
      <c r="L186" s="65">
        <f>SUM(venta_a_mes5[[#This Row],[IMPORTE NETO]:[EXENTO]])</f>
        <v>0</v>
      </c>
      <c r="M186" s="59"/>
    </row>
    <row r="187" spans="2:13" ht="17.25" customHeight="1" x14ac:dyDescent="0.25">
      <c r="B187" s="108"/>
      <c r="C187" s="109"/>
      <c r="D187" s="110"/>
      <c r="E187" s="111"/>
      <c r="F187" s="112"/>
      <c r="G187" s="98" t="str">
        <f>IFERROR(IF(venta_a_mes5[[#This Row],[CUIT]]="","-",VLOOKUP(venta_a_mes5[[#This Row],[CUIT]],Lista_CUIT[#All],2,0)),"CUIT NO CARGADO")</f>
        <v>-</v>
      </c>
      <c r="H187" s="99"/>
      <c r="I187" s="100">
        <f>venta_a_mes5[[#This Row],[IMPORTE NETO]]*0.21</f>
        <v>0</v>
      </c>
      <c r="J187" s="65"/>
      <c r="K187" s="65"/>
      <c r="L187" s="65">
        <f>SUM(venta_a_mes5[[#This Row],[IMPORTE NETO]:[EXENTO]])</f>
        <v>0</v>
      </c>
      <c r="M187" s="59"/>
    </row>
    <row r="188" spans="2:13" ht="17.25" customHeight="1" x14ac:dyDescent="0.25">
      <c r="B188" s="108"/>
      <c r="C188" s="109"/>
      <c r="D188" s="110"/>
      <c r="E188" s="111"/>
      <c r="F188" s="112"/>
      <c r="G188" s="98" t="str">
        <f>IFERROR(IF(venta_a_mes5[[#This Row],[CUIT]]="","-",VLOOKUP(venta_a_mes5[[#This Row],[CUIT]],Lista_CUIT[#All],2,0)),"CUIT NO CARGADO")</f>
        <v>-</v>
      </c>
      <c r="H188" s="99"/>
      <c r="I188" s="100">
        <f>venta_a_mes5[[#This Row],[IMPORTE NETO]]*0.21</f>
        <v>0</v>
      </c>
      <c r="J188" s="65"/>
      <c r="K188" s="65"/>
      <c r="L188" s="65">
        <f>SUM(venta_a_mes5[[#This Row],[IMPORTE NETO]:[EXENTO]])</f>
        <v>0</v>
      </c>
      <c r="M188" s="59"/>
    </row>
    <row r="189" spans="2:13" ht="17.25" customHeight="1" x14ac:dyDescent="0.25">
      <c r="B189" s="108"/>
      <c r="C189" s="109"/>
      <c r="D189" s="110"/>
      <c r="E189" s="111"/>
      <c r="F189" s="112"/>
      <c r="G189" s="98" t="str">
        <f>IFERROR(IF(venta_a_mes5[[#This Row],[CUIT]]="","-",VLOOKUP(venta_a_mes5[[#This Row],[CUIT]],Lista_CUIT[#All],2,0)),"CUIT NO CARGADO")</f>
        <v>-</v>
      </c>
      <c r="H189" s="99"/>
      <c r="I189" s="100">
        <f>venta_a_mes5[[#This Row],[IMPORTE NETO]]*0.21</f>
        <v>0</v>
      </c>
      <c r="J189" s="65"/>
      <c r="K189" s="65"/>
      <c r="L189" s="65">
        <f>SUM(venta_a_mes5[[#This Row],[IMPORTE NETO]:[EXENTO]])</f>
        <v>0</v>
      </c>
      <c r="M189" s="59"/>
    </row>
    <row r="190" spans="2:13" ht="17.25" customHeight="1" x14ac:dyDescent="0.25">
      <c r="B190" s="108"/>
      <c r="C190" s="109"/>
      <c r="D190" s="110"/>
      <c r="E190" s="111"/>
      <c r="F190" s="112"/>
      <c r="G190" s="98" t="str">
        <f>IFERROR(IF(venta_a_mes5[[#This Row],[CUIT]]="","-",VLOOKUP(venta_a_mes5[[#This Row],[CUIT]],Lista_CUIT[#All],2,0)),"CUIT NO CARGADO")</f>
        <v>-</v>
      </c>
      <c r="H190" s="99"/>
      <c r="I190" s="100">
        <f>venta_a_mes5[[#This Row],[IMPORTE NETO]]*0.21</f>
        <v>0</v>
      </c>
      <c r="J190" s="65"/>
      <c r="K190" s="65"/>
      <c r="L190" s="65">
        <f>SUM(venta_a_mes5[[#This Row],[IMPORTE NETO]:[EXENTO]])</f>
        <v>0</v>
      </c>
      <c r="M190" s="59"/>
    </row>
    <row r="191" spans="2:13" ht="17.25" customHeight="1" x14ac:dyDescent="0.25">
      <c r="B191" s="108"/>
      <c r="C191" s="109"/>
      <c r="D191" s="110"/>
      <c r="E191" s="111"/>
      <c r="F191" s="112"/>
      <c r="G191" s="98" t="str">
        <f>IFERROR(IF(venta_a_mes5[[#This Row],[CUIT]]="","-",VLOOKUP(venta_a_mes5[[#This Row],[CUIT]],Lista_CUIT[#All],2,0)),"CUIT NO CARGADO")</f>
        <v>-</v>
      </c>
      <c r="H191" s="99"/>
      <c r="I191" s="100">
        <f>venta_a_mes5[[#This Row],[IMPORTE NETO]]*0.21</f>
        <v>0</v>
      </c>
      <c r="J191" s="65"/>
      <c r="K191" s="65"/>
      <c r="L191" s="65">
        <f>SUM(venta_a_mes5[[#This Row],[IMPORTE NETO]:[EXENTO]])</f>
        <v>0</v>
      </c>
      <c r="M191" s="59"/>
    </row>
    <row r="192" spans="2:13" ht="17.25" customHeight="1" x14ac:dyDescent="0.25">
      <c r="B192" s="108"/>
      <c r="C192" s="109"/>
      <c r="D192" s="110"/>
      <c r="E192" s="111"/>
      <c r="F192" s="112"/>
      <c r="G192" s="98" t="str">
        <f>IFERROR(IF(venta_a_mes5[[#This Row],[CUIT]]="","-",VLOOKUP(venta_a_mes5[[#This Row],[CUIT]],Lista_CUIT[#All],2,0)),"CUIT NO CARGADO")</f>
        <v>-</v>
      </c>
      <c r="H192" s="99"/>
      <c r="I192" s="100">
        <f>venta_a_mes5[[#This Row],[IMPORTE NETO]]*0.21</f>
        <v>0</v>
      </c>
      <c r="J192" s="65"/>
      <c r="K192" s="65"/>
      <c r="L192" s="65">
        <f>SUM(venta_a_mes5[[#This Row],[IMPORTE NETO]:[EXENTO]])</f>
        <v>0</v>
      </c>
      <c r="M192" s="59"/>
    </row>
    <row r="193" spans="2:13" ht="17.25" customHeight="1" x14ac:dyDescent="0.25">
      <c r="B193" s="108"/>
      <c r="C193" s="109"/>
      <c r="D193" s="110"/>
      <c r="E193" s="111"/>
      <c r="F193" s="112"/>
      <c r="G193" s="98" t="str">
        <f>IFERROR(IF(venta_a_mes5[[#This Row],[CUIT]]="","-",VLOOKUP(venta_a_mes5[[#This Row],[CUIT]],Lista_CUIT[#All],2,0)),"CUIT NO CARGADO")</f>
        <v>-</v>
      </c>
      <c r="H193" s="99"/>
      <c r="I193" s="100">
        <f>venta_a_mes5[[#This Row],[IMPORTE NETO]]*0.21</f>
        <v>0</v>
      </c>
      <c r="J193" s="65"/>
      <c r="K193" s="65"/>
      <c r="L193" s="65">
        <f>SUM(venta_a_mes5[[#This Row],[IMPORTE NETO]:[EXENTO]])</f>
        <v>0</v>
      </c>
      <c r="M193" s="59"/>
    </row>
    <row r="194" spans="2:13" ht="17.25" customHeight="1" x14ac:dyDescent="0.25">
      <c r="B194" s="108"/>
      <c r="C194" s="109"/>
      <c r="D194" s="110"/>
      <c r="E194" s="111"/>
      <c r="F194" s="112"/>
      <c r="G194" s="98" t="str">
        <f>IFERROR(IF(venta_a_mes5[[#This Row],[CUIT]]="","-",VLOOKUP(venta_a_mes5[[#This Row],[CUIT]],Lista_CUIT[#All],2,0)),"CUIT NO CARGADO")</f>
        <v>-</v>
      </c>
      <c r="H194" s="99"/>
      <c r="I194" s="100">
        <f>venta_a_mes5[[#This Row],[IMPORTE NETO]]*0.21</f>
        <v>0</v>
      </c>
      <c r="J194" s="65"/>
      <c r="K194" s="65"/>
      <c r="L194" s="65">
        <f>SUM(venta_a_mes5[[#This Row],[IMPORTE NETO]:[EXENTO]])</f>
        <v>0</v>
      </c>
      <c r="M194" s="59"/>
    </row>
    <row r="195" spans="2:13" ht="17.25" customHeight="1" x14ac:dyDescent="0.25">
      <c r="B195" s="108"/>
      <c r="C195" s="109"/>
      <c r="D195" s="110"/>
      <c r="E195" s="111"/>
      <c r="F195" s="112"/>
      <c r="G195" s="98" t="str">
        <f>IFERROR(IF(venta_a_mes5[[#This Row],[CUIT]]="","-",VLOOKUP(venta_a_mes5[[#This Row],[CUIT]],Lista_CUIT[#All],2,0)),"CUIT NO CARGADO")</f>
        <v>-</v>
      </c>
      <c r="H195" s="99"/>
      <c r="I195" s="100">
        <f>venta_a_mes5[[#This Row],[IMPORTE NETO]]*0.21</f>
        <v>0</v>
      </c>
      <c r="J195" s="65"/>
      <c r="K195" s="65"/>
      <c r="L195" s="65">
        <f>SUM(venta_a_mes5[[#This Row],[IMPORTE NETO]:[EXENTO]])</f>
        <v>0</v>
      </c>
      <c r="M195" s="59"/>
    </row>
    <row r="196" spans="2:13" ht="17.25" customHeight="1" x14ac:dyDescent="0.25">
      <c r="B196" s="108"/>
      <c r="C196" s="109"/>
      <c r="D196" s="110"/>
      <c r="E196" s="111"/>
      <c r="F196" s="112"/>
      <c r="G196" s="98" t="str">
        <f>IFERROR(IF(venta_a_mes5[[#This Row],[CUIT]]="","-",VLOOKUP(venta_a_mes5[[#This Row],[CUIT]],Lista_CUIT[#All],2,0)),"CUIT NO CARGADO")</f>
        <v>-</v>
      </c>
      <c r="H196" s="99"/>
      <c r="I196" s="100">
        <f>venta_a_mes5[[#This Row],[IMPORTE NETO]]*0.21</f>
        <v>0</v>
      </c>
      <c r="J196" s="65"/>
      <c r="K196" s="65"/>
      <c r="L196" s="65">
        <f>SUM(venta_a_mes5[[#This Row],[IMPORTE NETO]:[EXENTO]])</f>
        <v>0</v>
      </c>
      <c r="M196" s="59"/>
    </row>
    <row r="197" spans="2:13" x14ac:dyDescent="0.25">
      <c r="B197" s="108"/>
      <c r="C197" s="109"/>
      <c r="D197" s="110"/>
      <c r="E197" s="111"/>
      <c r="F197" s="112"/>
      <c r="G197" s="98" t="str">
        <f>IFERROR(IF(venta_a_mes5[[#This Row],[CUIT]]="","-",VLOOKUP(venta_a_mes5[[#This Row],[CUIT]],Lista_CUIT[#All],2,0)),"CUIT NO CARGADO")</f>
        <v>-</v>
      </c>
      <c r="H197" s="99"/>
      <c r="I197" s="100">
        <f>venta_a_mes5[[#This Row],[IMPORTE NETO]]*0.21</f>
        <v>0</v>
      </c>
      <c r="J197" s="65"/>
      <c r="K197" s="65"/>
      <c r="L197" s="65">
        <f>SUM(venta_a_mes5[[#This Row],[IMPORTE NETO]:[EXENTO]])</f>
        <v>0</v>
      </c>
      <c r="M197" s="59"/>
    </row>
    <row r="198" spans="2:13" x14ac:dyDescent="0.25">
      <c r="B198" s="108"/>
      <c r="C198" s="109"/>
      <c r="D198" s="110"/>
      <c r="E198" s="111"/>
      <c r="F198" s="112"/>
      <c r="G198" s="98" t="str">
        <f>IFERROR(IF(venta_a_mes5[[#This Row],[CUIT]]="","-",VLOOKUP(venta_a_mes5[[#This Row],[CUIT]],Lista_CUIT[#All],2,0)),"CUIT NO CARGADO")</f>
        <v>-</v>
      </c>
      <c r="H198" s="99"/>
      <c r="I198" s="100">
        <f>venta_a_mes5[[#This Row],[IMPORTE NETO]]*0.21</f>
        <v>0</v>
      </c>
      <c r="J198" s="65"/>
      <c r="K198" s="65"/>
      <c r="L198" s="65">
        <f>SUM(venta_a_mes5[[#This Row],[IMPORTE NETO]:[EXENTO]])</f>
        <v>0</v>
      </c>
      <c r="M198" s="59"/>
    </row>
    <row r="199" spans="2:13" ht="19.149999999999999" customHeight="1" x14ac:dyDescent="0.25">
      <c r="B199" s="108"/>
      <c r="C199" s="109"/>
      <c r="D199" s="110"/>
      <c r="E199" s="111"/>
      <c r="F199" s="112"/>
      <c r="G199" s="98" t="str">
        <f>IFERROR(IF(venta_a_mes5[[#This Row],[CUIT]]="","-",VLOOKUP(venta_a_mes5[[#This Row],[CUIT]],Lista_CUIT[#All],2,0)),"CUIT NO CARGADO")</f>
        <v>-</v>
      </c>
      <c r="H199" s="99"/>
      <c r="I199" s="100">
        <f>venta_a_mes5[[#This Row],[IMPORTE NETO]]*0.21</f>
        <v>0</v>
      </c>
      <c r="J199" s="65"/>
      <c r="K199" s="65"/>
      <c r="L199" s="65">
        <f>SUM(venta_a_mes5[[#This Row],[IMPORTE NETO]:[EXENTO]])</f>
        <v>0</v>
      </c>
      <c r="M199" s="59"/>
    </row>
    <row r="200" spans="2:13" ht="28.9" customHeight="1" x14ac:dyDescent="0.25">
      <c r="B200" s="108"/>
      <c r="C200" s="109"/>
      <c r="D200" s="110"/>
      <c r="E200" s="111"/>
      <c r="F200" s="112"/>
      <c r="G200" s="98" t="str">
        <f>IFERROR(IF(venta_a_mes5[[#This Row],[CUIT]]="","-",VLOOKUP(venta_a_mes5[[#This Row],[CUIT]],Lista_CUIT[#All],2,0)),"CUIT NO CARGADO")</f>
        <v>-</v>
      </c>
      <c r="H200" s="99"/>
      <c r="I200" s="100">
        <f>venta_a_mes5[[#This Row],[IMPORTE NETO]]*0.21</f>
        <v>0</v>
      </c>
      <c r="J200" s="65"/>
      <c r="K200" s="65"/>
      <c r="L200" s="65">
        <f>SUM(venta_a_mes5[[#This Row],[IMPORTE NETO]:[EXENTO]])</f>
        <v>0</v>
      </c>
      <c r="M200" s="59"/>
    </row>
    <row r="201" spans="2:13" x14ac:dyDescent="0.25">
      <c r="B201" s="108"/>
      <c r="C201" s="109"/>
      <c r="D201" s="110"/>
      <c r="E201" s="111"/>
      <c r="F201" s="112"/>
      <c r="G201" s="98" t="str">
        <f>IFERROR(IF(venta_a_mes5[[#This Row],[CUIT]]="","-",VLOOKUP(venta_a_mes5[[#This Row],[CUIT]],Lista_CUIT[#All],2,0)),"CUIT NO CARGADO")</f>
        <v>-</v>
      </c>
      <c r="H201" s="99"/>
      <c r="I201" s="100">
        <f>venta_a_mes5[[#This Row],[IMPORTE NETO]]*0.21</f>
        <v>0</v>
      </c>
      <c r="J201" s="65"/>
      <c r="K201" s="65"/>
      <c r="L201" s="65">
        <f>SUM(venta_a_mes5[[#This Row],[IMPORTE NETO]:[EXENTO]])</f>
        <v>0</v>
      </c>
      <c r="M201" s="59"/>
    </row>
    <row r="202" spans="2:13" x14ac:dyDescent="0.25">
      <c r="B202" s="108"/>
      <c r="C202" s="109"/>
      <c r="D202" s="110"/>
      <c r="E202" s="111"/>
      <c r="F202" s="112"/>
      <c r="G202" s="98" t="str">
        <f>IFERROR(IF(venta_a_mes5[[#This Row],[CUIT]]="","-",VLOOKUP(venta_a_mes5[[#This Row],[CUIT]],Lista_CUIT[#All],2,0)),"CUIT NO CARGADO")</f>
        <v>-</v>
      </c>
      <c r="H202" s="99"/>
      <c r="I202" s="100">
        <f>venta_a_mes5[[#This Row],[IMPORTE NETO]]*0.21</f>
        <v>0</v>
      </c>
      <c r="J202" s="65"/>
      <c r="K202" s="65"/>
      <c r="L202" s="65">
        <f>SUM(venta_a_mes5[[#This Row],[IMPORTE NETO]:[EXENTO]])</f>
        <v>0</v>
      </c>
      <c r="M202" s="59"/>
    </row>
    <row r="203" spans="2:13" x14ac:dyDescent="0.25">
      <c r="B203" s="108"/>
      <c r="C203" s="109"/>
      <c r="D203" s="110"/>
      <c r="E203" s="111"/>
      <c r="F203" s="112"/>
      <c r="G203" s="98" t="str">
        <f>IFERROR(IF(venta_a_mes5[[#This Row],[CUIT]]="","-",VLOOKUP(venta_a_mes5[[#This Row],[CUIT]],Lista_CUIT[#All],2,0)),"CUIT NO CARGADO")</f>
        <v>-</v>
      </c>
      <c r="H203" s="99"/>
      <c r="I203" s="100">
        <f>venta_a_mes5[[#This Row],[IMPORTE NETO]]*0.21</f>
        <v>0</v>
      </c>
      <c r="J203" s="65"/>
      <c r="K203" s="65"/>
      <c r="L203" s="65">
        <f>SUM(venta_a_mes5[[#This Row],[IMPORTE NETO]:[EXENTO]])</f>
        <v>0</v>
      </c>
      <c r="M203" s="59"/>
    </row>
    <row r="204" spans="2:13" x14ac:dyDescent="0.25">
      <c r="B204" s="108"/>
      <c r="C204" s="109"/>
      <c r="D204" s="110"/>
      <c r="E204" s="111"/>
      <c r="F204" s="112"/>
      <c r="G204" s="98" t="str">
        <f>IFERROR(IF(venta_a_mes5[[#This Row],[CUIT]]="","-",VLOOKUP(venta_a_mes5[[#This Row],[CUIT]],Lista_CUIT[#All],2,0)),"CUIT NO CARGADO")</f>
        <v>-</v>
      </c>
      <c r="H204" s="99"/>
      <c r="I204" s="100">
        <f>venta_a_mes5[[#This Row],[IMPORTE NETO]]*0.21</f>
        <v>0</v>
      </c>
      <c r="J204" s="65"/>
      <c r="K204" s="65"/>
      <c r="L204" s="65">
        <f>SUM(venta_a_mes5[[#This Row],[IMPORTE NETO]:[EXENTO]])</f>
        <v>0</v>
      </c>
      <c r="M204" s="59"/>
    </row>
    <row r="205" spans="2:13" x14ac:dyDescent="0.25">
      <c r="B205" s="108"/>
      <c r="C205" s="109"/>
      <c r="D205" s="110"/>
      <c r="E205" s="111"/>
      <c r="F205" s="112"/>
      <c r="G205" s="98" t="str">
        <f>IFERROR(IF(venta_a_mes5[[#This Row],[CUIT]]="","-",VLOOKUP(venta_a_mes5[[#This Row],[CUIT]],Lista_CUIT[#All],2,0)),"CUIT NO CARGADO")</f>
        <v>-</v>
      </c>
      <c r="H205" s="99"/>
      <c r="I205" s="100">
        <f>venta_a_mes5[[#This Row],[IMPORTE NETO]]*0.21</f>
        <v>0</v>
      </c>
      <c r="J205" s="65"/>
      <c r="K205" s="65"/>
      <c r="L205" s="65">
        <f>SUM(venta_a_mes5[[#This Row],[IMPORTE NETO]:[EXENTO]])</f>
        <v>0</v>
      </c>
      <c r="M205" s="59"/>
    </row>
    <row r="206" spans="2:13" x14ac:dyDescent="0.25">
      <c r="B206" s="212"/>
      <c r="C206" s="213"/>
      <c r="D206" s="214"/>
      <c r="E206" s="215"/>
      <c r="F206" s="216"/>
      <c r="G206" s="217" t="str">
        <f>IFERROR(IF(venta_a_mes5[[#This Row],[CUIT]]="","-",VLOOKUP(venta_a_mes5[[#This Row],[CUIT]],Lista_CUIT[#All],2,0)),"CUIT NO CARGADO")</f>
        <v>-</v>
      </c>
      <c r="H206" s="218"/>
      <c r="I206" s="219">
        <f>venta_a_mes5[[#This Row],[IMPORTE NETO]]*0.21</f>
        <v>0</v>
      </c>
      <c r="J206" s="220"/>
      <c r="K206" s="220"/>
      <c r="L206" s="220">
        <f>SUM(venta_a_mes5[[#This Row],[IMPORTE NETO]:[EXENTO]])</f>
        <v>0</v>
      </c>
      <c r="M206" s="221"/>
    </row>
    <row r="207" spans="2:13" x14ac:dyDescent="0.25">
      <c r="B207" s="108"/>
      <c r="C207" s="109"/>
      <c r="D207" s="110"/>
      <c r="E207" s="111"/>
      <c r="F207" s="112"/>
      <c r="G207" s="98" t="str">
        <f>IFERROR(IF(venta_a_mes5[[#This Row],[CUIT]]="","-",VLOOKUP(venta_a_mes5[[#This Row],[CUIT]],Lista_CUIT[#All],2,0)),"CUIT NO CARGADO")</f>
        <v>-</v>
      </c>
      <c r="H207" s="99"/>
      <c r="I207" s="100">
        <f>venta_a_mes5[[#This Row],[IMPORTE NETO]]*0.21</f>
        <v>0</v>
      </c>
      <c r="J207" s="65"/>
      <c r="K207" s="65"/>
      <c r="L207" s="65">
        <f>SUM(venta_a_mes5[[#This Row],[IMPORTE NETO]:[EXENTO]])</f>
        <v>0</v>
      </c>
      <c r="M207" s="59"/>
    </row>
    <row r="208" spans="2:13" x14ac:dyDescent="0.25">
      <c r="B208" s="108"/>
      <c r="C208" s="109"/>
      <c r="D208" s="110"/>
      <c r="E208" s="111"/>
      <c r="F208" s="112"/>
      <c r="G208" s="98" t="str">
        <f>IFERROR(IF(venta_a_mes5[[#This Row],[CUIT]]="","-",VLOOKUP(venta_a_mes5[[#This Row],[CUIT]],Lista_CUIT[#All],2,0)),"CUIT NO CARGADO")</f>
        <v>-</v>
      </c>
      <c r="H208" s="99"/>
      <c r="I208" s="100">
        <f>venta_a_mes5[[#This Row],[IMPORTE NETO]]*0.21</f>
        <v>0</v>
      </c>
      <c r="J208" s="65"/>
      <c r="K208" s="65"/>
      <c r="L208" s="65">
        <f>SUM(venta_a_mes5[[#This Row],[IMPORTE NETO]:[EXENTO]])</f>
        <v>0</v>
      </c>
      <c r="M208" s="59"/>
    </row>
    <row r="209" spans="2:13" x14ac:dyDescent="0.25">
      <c r="B209" s="108"/>
      <c r="C209" s="109"/>
      <c r="D209" s="110"/>
      <c r="E209" s="111"/>
      <c r="F209" s="112"/>
      <c r="G209" s="98" t="str">
        <f>IFERROR(IF(venta_a_mes5[[#This Row],[CUIT]]="","-",VLOOKUP(venta_a_mes5[[#This Row],[CUIT]],Lista_CUIT[#All],2,0)),"CUIT NO CARGADO")</f>
        <v>-</v>
      </c>
      <c r="H209" s="99"/>
      <c r="I209" s="100">
        <f>venta_a_mes5[[#This Row],[IMPORTE NETO]]*0.21</f>
        <v>0</v>
      </c>
      <c r="J209" s="65"/>
      <c r="K209" s="65"/>
      <c r="L209" s="65">
        <f>SUM(venta_a_mes5[[#This Row],[IMPORTE NETO]:[EXENTO]])</f>
        <v>0</v>
      </c>
      <c r="M209" s="59"/>
    </row>
    <row r="210" spans="2:13" x14ac:dyDescent="0.25">
      <c r="B210" s="108"/>
      <c r="C210" s="109"/>
      <c r="D210" s="110"/>
      <c r="E210" s="111"/>
      <c r="F210" s="112"/>
      <c r="G210" s="98" t="str">
        <f>IFERROR(IF(venta_a_mes5[[#This Row],[CUIT]]="","-",VLOOKUP(venta_a_mes5[[#This Row],[CUIT]],Lista_CUIT[#All],2,0)),"CUIT NO CARGADO")</f>
        <v>-</v>
      </c>
      <c r="H210" s="99"/>
      <c r="I210" s="100">
        <f>venta_a_mes5[[#This Row],[IMPORTE NETO]]*0.21</f>
        <v>0</v>
      </c>
      <c r="J210" s="65"/>
      <c r="K210" s="65"/>
      <c r="L210" s="65">
        <f>SUM(venta_a_mes5[[#This Row],[IMPORTE NETO]:[EXENTO]])</f>
        <v>0</v>
      </c>
      <c r="M210" s="59"/>
    </row>
    <row r="211" spans="2:13" x14ac:dyDescent="0.25">
      <c r="B211" s="108"/>
      <c r="C211" s="109"/>
      <c r="D211" s="110"/>
      <c r="E211" s="111"/>
      <c r="F211" s="112"/>
      <c r="G211" s="98" t="str">
        <f>IFERROR(IF(venta_a_mes5[[#This Row],[CUIT]]="","-",VLOOKUP(venta_a_mes5[[#This Row],[CUIT]],Lista_CUIT[#All],2,0)),"CUIT NO CARGADO")</f>
        <v>-</v>
      </c>
      <c r="H211" s="99"/>
      <c r="I211" s="100">
        <f>venta_a_mes5[[#This Row],[IMPORTE NETO]]*0.21</f>
        <v>0</v>
      </c>
      <c r="J211" s="65"/>
      <c r="K211" s="65"/>
      <c r="L211" s="65">
        <f>SUM(venta_a_mes5[[#This Row],[IMPORTE NETO]:[EXENTO]])</f>
        <v>0</v>
      </c>
      <c r="M211" s="59"/>
    </row>
    <row r="212" spans="2:13" x14ac:dyDescent="0.25">
      <c r="B212" s="108"/>
      <c r="C212" s="109"/>
      <c r="D212" s="110"/>
      <c r="E212" s="111"/>
      <c r="F212" s="112"/>
      <c r="G212" s="98" t="str">
        <f>IFERROR(IF(venta_a_mes5[[#This Row],[CUIT]]="","-",VLOOKUP(venta_a_mes5[[#This Row],[CUIT]],Lista_CUIT[#All],2,0)),"CUIT NO CARGADO")</f>
        <v>-</v>
      </c>
      <c r="H212" s="99"/>
      <c r="I212" s="100">
        <f>venta_a_mes5[[#This Row],[IMPORTE NETO]]*0.21</f>
        <v>0</v>
      </c>
      <c r="J212" s="65"/>
      <c r="K212" s="65"/>
      <c r="L212" s="65">
        <f>SUM(venta_a_mes5[[#This Row],[IMPORTE NETO]:[EXENTO]])</f>
        <v>0</v>
      </c>
      <c r="M212" s="59"/>
    </row>
    <row r="213" spans="2:13" x14ac:dyDescent="0.25">
      <c r="B213" s="108"/>
      <c r="C213" s="109"/>
      <c r="D213" s="110"/>
      <c r="E213" s="111"/>
      <c r="F213" s="112"/>
      <c r="G213" s="98" t="str">
        <f>IFERROR(IF(venta_a_mes5[[#This Row],[CUIT]]="","-",VLOOKUP(venta_a_mes5[[#This Row],[CUIT]],Lista_CUIT[#All],2,0)),"CUIT NO CARGADO")</f>
        <v>-</v>
      </c>
      <c r="H213" s="99"/>
      <c r="I213" s="100">
        <f>venta_a_mes5[[#This Row],[IMPORTE NETO]]*0.21</f>
        <v>0</v>
      </c>
      <c r="J213" s="65"/>
      <c r="K213" s="65"/>
      <c r="L213" s="65">
        <f>SUM(venta_a_mes5[[#This Row],[IMPORTE NETO]:[EXENTO]])</f>
        <v>0</v>
      </c>
      <c r="M213" s="59"/>
    </row>
    <row r="214" spans="2:13" x14ac:dyDescent="0.25">
      <c r="B214" s="108"/>
      <c r="C214" s="109"/>
      <c r="D214" s="110"/>
      <c r="E214" s="111"/>
      <c r="F214" s="112"/>
      <c r="G214" s="98" t="str">
        <f>IFERROR(IF(venta_a_mes5[[#This Row],[CUIT]]="","-",VLOOKUP(venta_a_mes5[[#This Row],[CUIT]],Lista_CUIT[#All],2,0)),"CUIT NO CARGADO")</f>
        <v>-</v>
      </c>
      <c r="H214" s="99"/>
      <c r="I214" s="100">
        <f>venta_a_mes5[[#This Row],[IMPORTE NETO]]*0.21</f>
        <v>0</v>
      </c>
      <c r="J214" s="65"/>
      <c r="K214" s="65"/>
      <c r="L214" s="65">
        <f>SUM(venta_a_mes5[[#This Row],[IMPORTE NETO]:[EXENTO]])</f>
        <v>0</v>
      </c>
      <c r="M214" s="59"/>
    </row>
    <row r="215" spans="2:13" x14ac:dyDescent="0.25">
      <c r="B215" s="108"/>
      <c r="C215" s="109"/>
      <c r="D215" s="110"/>
      <c r="E215" s="111"/>
      <c r="F215" s="112"/>
      <c r="G215" s="98" t="str">
        <f>IFERROR(IF(venta_a_mes5[[#This Row],[CUIT]]="","-",VLOOKUP(venta_a_mes5[[#This Row],[CUIT]],Lista_CUIT[#All],2,0)),"CUIT NO CARGADO")</f>
        <v>-</v>
      </c>
      <c r="H215" s="99"/>
      <c r="I215" s="100">
        <f>venta_a_mes5[[#This Row],[IMPORTE NETO]]*0.21</f>
        <v>0</v>
      </c>
      <c r="J215" s="65"/>
      <c r="K215" s="65"/>
      <c r="L215" s="65">
        <f>SUM(venta_a_mes5[[#This Row],[IMPORTE NETO]:[EXENTO]])</f>
        <v>0</v>
      </c>
      <c r="M215" s="59"/>
    </row>
    <row r="216" spans="2:13" x14ac:dyDescent="0.25">
      <c r="B216" s="108"/>
      <c r="C216" s="109"/>
      <c r="D216" s="110"/>
      <c r="E216" s="111"/>
      <c r="F216" s="112"/>
      <c r="G216" s="98" t="str">
        <f>IFERROR(IF(venta_a_mes5[[#This Row],[CUIT]]="","-",VLOOKUP(venta_a_mes5[[#This Row],[CUIT]],Lista_CUIT[#All],2,0)),"CUIT NO CARGADO")</f>
        <v>-</v>
      </c>
      <c r="H216" s="99"/>
      <c r="I216" s="100">
        <f>venta_a_mes5[[#This Row],[IMPORTE NETO]]*0.21</f>
        <v>0</v>
      </c>
      <c r="J216" s="65"/>
      <c r="K216" s="65"/>
      <c r="L216" s="65">
        <f>SUM(venta_a_mes5[[#This Row],[IMPORTE NETO]:[EXENTO]])</f>
        <v>0</v>
      </c>
      <c r="M216" s="59"/>
    </row>
    <row r="217" spans="2:13" x14ac:dyDescent="0.25">
      <c r="B217" s="108"/>
      <c r="C217" s="109"/>
      <c r="D217" s="110"/>
      <c r="E217" s="111"/>
      <c r="F217" s="112"/>
      <c r="G217" s="98" t="str">
        <f>IFERROR(IF(venta_a_mes5[[#This Row],[CUIT]]="","-",VLOOKUP(venta_a_mes5[[#This Row],[CUIT]],Lista_CUIT[#All],2,0)),"CUIT NO CARGADO")</f>
        <v>-</v>
      </c>
      <c r="H217" s="99"/>
      <c r="I217" s="100">
        <f>venta_a_mes5[[#This Row],[IMPORTE NETO]]*0.21</f>
        <v>0</v>
      </c>
      <c r="J217" s="65"/>
      <c r="K217" s="65"/>
      <c r="L217" s="65">
        <f>SUM(venta_a_mes5[[#This Row],[IMPORTE NETO]:[EXENTO]])</f>
        <v>0</v>
      </c>
      <c r="M217" s="59"/>
    </row>
    <row r="218" spans="2:13" x14ac:dyDescent="0.25">
      <c r="B218" s="108"/>
      <c r="C218" s="109"/>
      <c r="D218" s="110"/>
      <c r="E218" s="111"/>
      <c r="F218" s="112"/>
      <c r="G218" s="98" t="str">
        <f>IFERROR(IF(venta_a_mes5[[#This Row],[CUIT]]="","-",VLOOKUP(venta_a_mes5[[#This Row],[CUIT]],Lista_CUIT[#All],2,0)),"CUIT NO CARGADO")</f>
        <v>-</v>
      </c>
      <c r="H218" s="99"/>
      <c r="I218" s="100">
        <f>venta_a_mes5[[#This Row],[IMPORTE NETO]]*0.21</f>
        <v>0</v>
      </c>
      <c r="J218" s="65"/>
      <c r="K218" s="65"/>
      <c r="L218" s="65">
        <f>SUM(venta_a_mes5[[#This Row],[IMPORTE NETO]:[EXENTO]])</f>
        <v>0</v>
      </c>
      <c r="M218" s="59"/>
    </row>
    <row r="219" spans="2:13" x14ac:dyDescent="0.25">
      <c r="B219" s="108"/>
      <c r="C219" s="109"/>
      <c r="D219" s="110"/>
      <c r="E219" s="111"/>
      <c r="F219" s="112"/>
      <c r="G219" s="98" t="str">
        <f>IFERROR(IF(venta_a_mes5[[#This Row],[CUIT]]="","-",VLOOKUP(venta_a_mes5[[#This Row],[CUIT]],Lista_CUIT[#All],2,0)),"CUIT NO CARGADO")</f>
        <v>-</v>
      </c>
      <c r="H219" s="99"/>
      <c r="I219" s="100">
        <f>venta_a_mes5[[#This Row],[IMPORTE NETO]]*0.21</f>
        <v>0</v>
      </c>
      <c r="J219" s="65"/>
      <c r="K219" s="65"/>
      <c r="L219" s="65">
        <f>SUM(venta_a_mes5[[#This Row],[IMPORTE NETO]:[EXENTO]])</f>
        <v>0</v>
      </c>
      <c r="M219" s="59"/>
    </row>
    <row r="220" spans="2:13" x14ac:dyDescent="0.25">
      <c r="B220" s="108"/>
      <c r="C220" s="109"/>
      <c r="D220" s="110"/>
      <c r="E220" s="111"/>
      <c r="F220" s="112"/>
      <c r="G220" s="98" t="str">
        <f>IFERROR(IF(venta_a_mes5[[#This Row],[CUIT]]="","-",VLOOKUP(venta_a_mes5[[#This Row],[CUIT]],Lista_CUIT[#All],2,0)),"CUIT NO CARGADO")</f>
        <v>-</v>
      </c>
      <c r="H220" s="99"/>
      <c r="I220" s="100">
        <f>venta_a_mes5[[#This Row],[IMPORTE NETO]]*0.21</f>
        <v>0</v>
      </c>
      <c r="J220" s="65"/>
      <c r="K220" s="65"/>
      <c r="L220" s="65">
        <f>SUM(venta_a_mes5[[#This Row],[IMPORTE NETO]:[EXENTO]])</f>
        <v>0</v>
      </c>
      <c r="M220" s="59"/>
    </row>
    <row r="221" spans="2:13" x14ac:dyDescent="0.25">
      <c r="B221" s="66" t="s">
        <v>110</v>
      </c>
      <c r="C221" s="67"/>
      <c r="D221" s="67"/>
      <c r="E221" s="67"/>
      <c r="F221" s="67"/>
      <c r="G221" s="67"/>
      <c r="H221" s="69">
        <f>SUBTOTAL(109,venta_a_mes5[IMPORTE NETO])</f>
        <v>0</v>
      </c>
      <c r="I221" s="70">
        <f>SUBTOTAL(109,venta_a_mes5[IVA 21%])</f>
        <v>0</v>
      </c>
      <c r="J221" s="71">
        <f>SUBTOTAL(109,venta_a_mes5[IVA 10,5%])</f>
        <v>0</v>
      </c>
      <c r="K221" s="71">
        <f>SUBTOTAL(109,venta_a_mes5[EXENTO])</f>
        <v>0</v>
      </c>
      <c r="L221" s="71">
        <f>SUBTOTAL(109,venta_a_mes5[TOTAL])</f>
        <v>0</v>
      </c>
      <c r="M221" s="68">
        <f>SUBTOTAL(103,venta_a_mes5[Provincia])</f>
        <v>0</v>
      </c>
    </row>
    <row r="224" spans="2:13" ht="21" x14ac:dyDescent="0.25">
      <c r="B224" s="631" t="s">
        <v>31</v>
      </c>
      <c r="C224" s="631"/>
    </row>
    <row r="225" spans="2:13" ht="15.75" x14ac:dyDescent="0.25">
      <c r="B225" s="60" t="s">
        <v>0</v>
      </c>
      <c r="C225" s="61" t="s">
        <v>1</v>
      </c>
      <c r="D225" s="61" t="s">
        <v>21</v>
      </c>
      <c r="E225" s="61" t="s">
        <v>22</v>
      </c>
      <c r="F225" s="61" t="s">
        <v>3</v>
      </c>
      <c r="G225" s="61" t="s">
        <v>4</v>
      </c>
      <c r="H225" s="61" t="s">
        <v>23</v>
      </c>
      <c r="I225" s="61" t="s">
        <v>17</v>
      </c>
      <c r="J225" s="61" t="s">
        <v>7</v>
      </c>
      <c r="K225" s="61" t="s">
        <v>24</v>
      </c>
      <c r="L225" s="61" t="s">
        <v>10</v>
      </c>
      <c r="M225" s="62" t="s">
        <v>38</v>
      </c>
    </row>
    <row r="226" spans="2:13" x14ac:dyDescent="0.25">
      <c r="B226" s="40"/>
      <c r="C226" s="41"/>
      <c r="D226" s="42"/>
      <c r="E226" s="43"/>
      <c r="F226" s="44"/>
      <c r="G226" s="1" t="str">
        <f>IFERROR(IF(ventas_b_mes5[[#This Row],[CUIT]]="","-",VLOOKUP(ventas_b_mes5[[#This Row],[CUIT]],Lista_CUIT[#All],2,0)),"CUIT NO CARGADO")</f>
        <v>-</v>
      </c>
      <c r="H226" s="64"/>
      <c r="I226" s="64">
        <f>ventas_b_mes5[[#This Row],[IMPORTE NETO]]*0.21</f>
        <v>0</v>
      </c>
      <c r="J226" s="64"/>
      <c r="K226" s="64"/>
      <c r="L226" s="64">
        <f>SUM(ventas_b_mes5[[#This Row],[IMPORTE NETO]:[EXENTO]])</f>
        <v>0</v>
      </c>
      <c r="M226" s="59"/>
    </row>
    <row r="227" spans="2:13" x14ac:dyDescent="0.25">
      <c r="B227" s="139"/>
      <c r="C227" s="41"/>
      <c r="D227" s="141"/>
      <c r="E227" s="142"/>
      <c r="F227" s="143"/>
      <c r="G227" s="1" t="str">
        <f>IFERROR(IF(ventas_b_mes5[[#This Row],[CUIT]]="","-",VLOOKUP(ventas_b_mes5[[#This Row],[CUIT]],Lista_CUIT[#All],2,0)),"CUIT NO CARGADO")</f>
        <v>-</v>
      </c>
      <c r="H227" s="64"/>
      <c r="I227" s="144">
        <f>ventas_b_mes5[[#This Row],[IMPORTE NETO]]*0.21</f>
        <v>0</v>
      </c>
      <c r="J227" s="145"/>
      <c r="K227" s="145"/>
      <c r="L227" s="145">
        <f>SUM(ventas_b_mes5[[#This Row],[IMPORTE NETO]:[EXENTO]])</f>
        <v>0</v>
      </c>
      <c r="M227" s="59"/>
    </row>
    <row r="228" spans="2:13" x14ac:dyDescent="0.25">
      <c r="B228" s="139"/>
      <c r="C228" s="41"/>
      <c r="D228" s="141"/>
      <c r="E228" s="142"/>
      <c r="F228" s="143"/>
      <c r="G228" s="1" t="str">
        <f>IFERROR(IF(ventas_b_mes5[[#This Row],[CUIT]]="","-",VLOOKUP(ventas_b_mes5[[#This Row],[CUIT]],Lista_CUIT[#All],2,0)),"CUIT NO CARGADO")</f>
        <v>-</v>
      </c>
      <c r="H228" s="64"/>
      <c r="I228" s="144">
        <f>ventas_b_mes5[[#This Row],[IMPORTE NETO]]*0.21</f>
        <v>0</v>
      </c>
      <c r="J228" s="145"/>
      <c r="K228" s="145"/>
      <c r="L228" s="145">
        <f>SUM(ventas_b_mes5[[#This Row],[IMPORTE NETO]:[EXENTO]])</f>
        <v>0</v>
      </c>
      <c r="M228" s="59"/>
    </row>
    <row r="229" spans="2:13" x14ac:dyDescent="0.25">
      <c r="B229" s="139"/>
      <c r="C229" s="41"/>
      <c r="D229" s="141"/>
      <c r="E229" s="142"/>
      <c r="F229" s="143"/>
      <c r="G229" s="1" t="str">
        <f>IFERROR(IF(ventas_b_mes5[[#This Row],[CUIT]]="","-",VLOOKUP(ventas_b_mes5[[#This Row],[CUIT]],Lista_CUIT[#All],2,0)),"CUIT NO CARGADO")</f>
        <v>-</v>
      </c>
      <c r="H229" s="64"/>
      <c r="I229" s="144">
        <f>ventas_b_mes5[[#This Row],[IMPORTE NETO]]*0.21</f>
        <v>0</v>
      </c>
      <c r="J229" s="145"/>
      <c r="K229" s="145"/>
      <c r="L229" s="145">
        <f>SUM(ventas_b_mes5[[#This Row],[IMPORTE NETO]:[EXENTO]])</f>
        <v>0</v>
      </c>
      <c r="M229" s="59"/>
    </row>
    <row r="230" spans="2:13" x14ac:dyDescent="0.25">
      <c r="B230" s="139"/>
      <c r="C230" s="41"/>
      <c r="D230" s="141"/>
      <c r="E230" s="142"/>
      <c r="F230" s="143"/>
      <c r="G230" s="1" t="str">
        <f>IFERROR(IF(ventas_b_mes5[[#This Row],[CUIT]]="","-",VLOOKUP(ventas_b_mes5[[#This Row],[CUIT]],Lista_CUIT[#All],2,0)),"CUIT NO CARGADO")</f>
        <v>-</v>
      </c>
      <c r="H230" s="64"/>
      <c r="I230" s="144">
        <f>ventas_b_mes5[[#This Row],[IMPORTE NETO]]*0.21</f>
        <v>0</v>
      </c>
      <c r="J230" s="145"/>
      <c r="K230" s="145"/>
      <c r="L230" s="145">
        <f>SUM(ventas_b_mes5[[#This Row],[IMPORTE NETO]:[EXENTO]])</f>
        <v>0</v>
      </c>
      <c r="M230" s="59"/>
    </row>
    <row r="231" spans="2:13" x14ac:dyDescent="0.25">
      <c r="B231" s="139"/>
      <c r="C231" s="41"/>
      <c r="D231" s="141"/>
      <c r="E231" s="142"/>
      <c r="F231" s="143"/>
      <c r="G231" s="1" t="str">
        <f>IFERROR(IF(ventas_b_mes5[[#This Row],[CUIT]]="","-",VLOOKUP(ventas_b_mes5[[#This Row],[CUIT]],Lista_CUIT[#All],2,0)),"CUIT NO CARGADO")</f>
        <v>-</v>
      </c>
      <c r="H231" s="64"/>
      <c r="I231" s="144">
        <f>ventas_b_mes5[[#This Row],[IMPORTE NETO]]*0.21</f>
        <v>0</v>
      </c>
      <c r="J231" s="145"/>
      <c r="K231" s="145"/>
      <c r="L231" s="145">
        <f>SUM(ventas_b_mes5[[#This Row],[IMPORTE NETO]:[EXENTO]])</f>
        <v>0</v>
      </c>
      <c r="M231" s="59"/>
    </row>
    <row r="232" spans="2:13" x14ac:dyDescent="0.25">
      <c r="B232" s="139"/>
      <c r="C232" s="41"/>
      <c r="D232" s="141"/>
      <c r="E232" s="142"/>
      <c r="F232" s="143"/>
      <c r="G232" s="1" t="str">
        <f>IFERROR(IF(ventas_b_mes5[[#This Row],[CUIT]]="","-",VLOOKUP(ventas_b_mes5[[#This Row],[CUIT]],Lista_CUIT[#All],2,0)),"CUIT NO CARGADO")</f>
        <v>-</v>
      </c>
      <c r="H232" s="64"/>
      <c r="I232" s="144">
        <f>ventas_b_mes5[[#This Row],[IMPORTE NETO]]*0.21</f>
        <v>0</v>
      </c>
      <c r="J232" s="145"/>
      <c r="K232" s="145"/>
      <c r="L232" s="145">
        <f>SUM(ventas_b_mes5[[#This Row],[IMPORTE NETO]:[EXENTO]])</f>
        <v>0</v>
      </c>
      <c r="M232" s="59"/>
    </row>
    <row r="233" spans="2:13" x14ac:dyDescent="0.25">
      <c r="B233" s="139"/>
      <c r="C233" s="41"/>
      <c r="D233" s="141"/>
      <c r="E233" s="142"/>
      <c r="F233" s="143"/>
      <c r="G233" s="1" t="str">
        <f>IFERROR(IF(ventas_b_mes5[[#This Row],[CUIT]]="","-",VLOOKUP(ventas_b_mes5[[#This Row],[CUIT]],Lista_CUIT[#All],2,0)),"CUIT NO CARGADO")</f>
        <v>-</v>
      </c>
      <c r="H233" s="64"/>
      <c r="I233" s="144">
        <f>ventas_b_mes5[[#This Row],[IMPORTE NETO]]*0.21</f>
        <v>0</v>
      </c>
      <c r="J233" s="145"/>
      <c r="K233" s="145"/>
      <c r="L233" s="145">
        <f>SUM(ventas_b_mes5[[#This Row],[IMPORTE NETO]:[EXENTO]])</f>
        <v>0</v>
      </c>
      <c r="M233" s="59"/>
    </row>
    <row r="234" spans="2:13" x14ac:dyDescent="0.25">
      <c r="B234" s="139"/>
      <c r="C234" s="41"/>
      <c r="D234" s="141"/>
      <c r="E234" s="142"/>
      <c r="F234" s="143"/>
      <c r="G234" s="1" t="str">
        <f>IFERROR(IF(ventas_b_mes5[[#This Row],[CUIT]]="","-",VLOOKUP(ventas_b_mes5[[#This Row],[CUIT]],Lista_CUIT[#All],2,0)),"CUIT NO CARGADO")</f>
        <v>-</v>
      </c>
      <c r="H234" s="64"/>
      <c r="I234" s="144">
        <f>ventas_b_mes5[[#This Row],[IMPORTE NETO]]*0.21</f>
        <v>0</v>
      </c>
      <c r="J234" s="145"/>
      <c r="K234" s="145"/>
      <c r="L234" s="145">
        <f>SUM(ventas_b_mes5[[#This Row],[IMPORTE NETO]:[EXENTO]])</f>
        <v>0</v>
      </c>
      <c r="M234" s="59"/>
    </row>
    <row r="235" spans="2:13" x14ac:dyDescent="0.25">
      <c r="B235" s="139"/>
      <c r="C235" s="41"/>
      <c r="D235" s="141"/>
      <c r="E235" s="142"/>
      <c r="F235" s="143"/>
      <c r="G235" s="1" t="str">
        <f>IFERROR(IF(ventas_b_mes5[[#This Row],[CUIT]]="","-",VLOOKUP(ventas_b_mes5[[#This Row],[CUIT]],Lista_CUIT[#All],2,0)),"CUIT NO CARGADO")</f>
        <v>-</v>
      </c>
      <c r="H235" s="64"/>
      <c r="I235" s="144">
        <f>ventas_b_mes5[[#This Row],[IMPORTE NETO]]*0.21</f>
        <v>0</v>
      </c>
      <c r="J235" s="145"/>
      <c r="K235" s="145"/>
      <c r="L235" s="145">
        <f>SUM(ventas_b_mes5[[#This Row],[IMPORTE NETO]:[EXENTO]])</f>
        <v>0</v>
      </c>
      <c r="M235" s="59"/>
    </row>
    <row r="236" spans="2:13" x14ac:dyDescent="0.25">
      <c r="B236" s="139"/>
      <c r="C236" s="41"/>
      <c r="D236" s="141"/>
      <c r="E236" s="142"/>
      <c r="F236" s="143"/>
      <c r="G236" s="1" t="str">
        <f>IFERROR(IF(ventas_b_mes5[[#This Row],[CUIT]]="","-",VLOOKUP(ventas_b_mes5[[#This Row],[CUIT]],Lista_CUIT[#All],2,0)),"CUIT NO CARGADO")</f>
        <v>-</v>
      </c>
      <c r="H236" s="64"/>
      <c r="I236" s="144">
        <f>ventas_b_mes5[[#This Row],[IMPORTE NETO]]*0.21</f>
        <v>0</v>
      </c>
      <c r="J236" s="145"/>
      <c r="K236" s="145"/>
      <c r="L236" s="145">
        <f>SUM(ventas_b_mes5[[#This Row],[IMPORTE NETO]:[EXENTO]])</f>
        <v>0</v>
      </c>
      <c r="M236" s="59"/>
    </row>
    <row r="237" spans="2:13" x14ac:dyDescent="0.25">
      <c r="B237" s="139"/>
      <c r="C237" s="41"/>
      <c r="D237" s="141"/>
      <c r="E237" s="142"/>
      <c r="F237" s="143"/>
      <c r="G237" s="1" t="str">
        <f>IFERROR(IF(ventas_b_mes5[[#This Row],[CUIT]]="","-",VLOOKUP(ventas_b_mes5[[#This Row],[CUIT]],Lista_CUIT[#All],2,0)),"CUIT NO CARGADO")</f>
        <v>-</v>
      </c>
      <c r="H237" s="64"/>
      <c r="I237" s="144">
        <f>ventas_b_mes5[[#This Row],[IMPORTE NETO]]*0.21</f>
        <v>0</v>
      </c>
      <c r="J237" s="145"/>
      <c r="K237" s="145"/>
      <c r="L237" s="145">
        <f>SUM(ventas_b_mes5[[#This Row],[IMPORTE NETO]:[EXENTO]])</f>
        <v>0</v>
      </c>
      <c r="M237" s="59"/>
    </row>
    <row r="238" spans="2:13" x14ac:dyDescent="0.25">
      <c r="B238" s="139"/>
      <c r="C238" s="41"/>
      <c r="D238" s="141"/>
      <c r="E238" s="142"/>
      <c r="F238" s="143"/>
      <c r="G238" s="1" t="str">
        <f>IFERROR(IF(ventas_b_mes5[[#This Row],[CUIT]]="","-",VLOOKUP(ventas_b_mes5[[#This Row],[CUIT]],Lista_CUIT[#All],2,0)),"CUIT NO CARGADO")</f>
        <v>-</v>
      </c>
      <c r="H238" s="64"/>
      <c r="I238" s="144">
        <f>ventas_b_mes5[[#This Row],[IMPORTE NETO]]*0.21</f>
        <v>0</v>
      </c>
      <c r="J238" s="145"/>
      <c r="K238" s="145"/>
      <c r="L238" s="145">
        <f>SUM(ventas_b_mes5[[#This Row],[IMPORTE NETO]:[EXENTO]])</f>
        <v>0</v>
      </c>
      <c r="M238" s="59"/>
    </row>
    <row r="239" spans="2:13" x14ac:dyDescent="0.25">
      <c r="B239" s="139"/>
      <c r="C239" s="41"/>
      <c r="D239" s="141"/>
      <c r="E239" s="142"/>
      <c r="F239" s="143"/>
      <c r="G239" s="1" t="str">
        <f>IFERROR(IF(ventas_b_mes5[[#This Row],[CUIT]]="","-",VLOOKUP(ventas_b_mes5[[#This Row],[CUIT]],Lista_CUIT[#All],2,0)),"CUIT NO CARGADO")</f>
        <v>-</v>
      </c>
      <c r="H239" s="64"/>
      <c r="I239" s="144">
        <f>ventas_b_mes5[[#This Row],[IMPORTE NETO]]*0.21</f>
        <v>0</v>
      </c>
      <c r="J239" s="145"/>
      <c r="K239" s="145"/>
      <c r="L239" s="145">
        <f>SUM(ventas_b_mes5[[#This Row],[IMPORTE NETO]:[EXENTO]])</f>
        <v>0</v>
      </c>
      <c r="M239" s="59"/>
    </row>
    <row r="240" spans="2:13" x14ac:dyDescent="0.25">
      <c r="B240" s="139"/>
      <c r="C240" s="41"/>
      <c r="D240" s="141"/>
      <c r="E240" s="142"/>
      <c r="F240" s="143"/>
      <c r="G240" s="1" t="str">
        <f>IFERROR(IF(ventas_b_mes5[[#This Row],[CUIT]]="","-",VLOOKUP(ventas_b_mes5[[#This Row],[CUIT]],Lista_CUIT[#All],2,0)),"CUIT NO CARGADO")</f>
        <v>-</v>
      </c>
      <c r="H240" s="64"/>
      <c r="I240" s="144">
        <f>ventas_b_mes5[[#This Row],[IMPORTE NETO]]*0.21</f>
        <v>0</v>
      </c>
      <c r="J240" s="145"/>
      <c r="K240" s="145"/>
      <c r="L240" s="145">
        <f>SUM(ventas_b_mes5[[#This Row],[IMPORTE NETO]:[EXENTO]])</f>
        <v>0</v>
      </c>
      <c r="M240" s="59"/>
    </row>
    <row r="241" spans="2:13" x14ac:dyDescent="0.25">
      <c r="B241" s="139"/>
      <c r="C241" s="41"/>
      <c r="D241" s="141"/>
      <c r="E241" s="142"/>
      <c r="F241" s="143"/>
      <c r="G241" s="1" t="str">
        <f>IFERROR(IF(ventas_b_mes5[[#This Row],[CUIT]]="","-",VLOOKUP(ventas_b_mes5[[#This Row],[CUIT]],Lista_CUIT[#All],2,0)),"CUIT NO CARGADO")</f>
        <v>-</v>
      </c>
      <c r="H241" s="64"/>
      <c r="I241" s="144">
        <f>ventas_b_mes5[[#This Row],[IMPORTE NETO]]*0.21</f>
        <v>0</v>
      </c>
      <c r="J241" s="145"/>
      <c r="K241" s="145"/>
      <c r="L241" s="145">
        <f>SUM(ventas_b_mes5[[#This Row],[IMPORTE NETO]:[EXENTO]])</f>
        <v>0</v>
      </c>
      <c r="M241" s="59"/>
    </row>
    <row r="242" spans="2:13" x14ac:dyDescent="0.25">
      <c r="B242" s="139"/>
      <c r="C242" s="41"/>
      <c r="D242" s="141"/>
      <c r="E242" s="142"/>
      <c r="F242" s="143"/>
      <c r="G242" s="1" t="str">
        <f>IFERROR(IF(ventas_b_mes5[[#This Row],[CUIT]]="","-",VLOOKUP(ventas_b_mes5[[#This Row],[CUIT]],Lista_CUIT[#All],2,0)),"CUIT NO CARGADO")</f>
        <v>-</v>
      </c>
      <c r="H242" s="64"/>
      <c r="I242" s="144">
        <f>ventas_b_mes5[[#This Row],[IMPORTE NETO]]*0.21</f>
        <v>0</v>
      </c>
      <c r="J242" s="145"/>
      <c r="K242" s="145"/>
      <c r="L242" s="145">
        <f>SUM(ventas_b_mes5[[#This Row],[IMPORTE NETO]:[EXENTO]])</f>
        <v>0</v>
      </c>
      <c r="M242" s="59"/>
    </row>
    <row r="243" spans="2:13" x14ac:dyDescent="0.25">
      <c r="B243" s="139"/>
      <c r="C243" s="41"/>
      <c r="D243" s="141"/>
      <c r="E243" s="142"/>
      <c r="F243" s="143"/>
      <c r="G243" s="1" t="str">
        <f>IFERROR(IF(ventas_b_mes5[[#This Row],[CUIT]]="","-",VLOOKUP(ventas_b_mes5[[#This Row],[CUIT]],Lista_CUIT[#All],2,0)),"CUIT NO CARGADO")</f>
        <v>-</v>
      </c>
      <c r="H243" s="64"/>
      <c r="I243" s="144">
        <f>ventas_b_mes5[[#This Row],[IMPORTE NETO]]*0.21</f>
        <v>0</v>
      </c>
      <c r="J243" s="145"/>
      <c r="K243" s="145"/>
      <c r="L243" s="145">
        <f>SUM(ventas_b_mes5[[#This Row],[IMPORTE NETO]:[EXENTO]])</f>
        <v>0</v>
      </c>
      <c r="M243" s="59"/>
    </row>
    <row r="244" spans="2:13" x14ac:dyDescent="0.25">
      <c r="B244" s="139"/>
      <c r="C244" s="41"/>
      <c r="D244" s="141"/>
      <c r="E244" s="142"/>
      <c r="F244" s="143"/>
      <c r="G244" s="1" t="str">
        <f>IFERROR(IF(ventas_b_mes5[[#This Row],[CUIT]]="","-",VLOOKUP(ventas_b_mes5[[#This Row],[CUIT]],Lista_CUIT[#All],2,0)),"CUIT NO CARGADO")</f>
        <v>-</v>
      </c>
      <c r="H244" s="64"/>
      <c r="I244" s="144">
        <f>ventas_b_mes5[[#This Row],[IMPORTE NETO]]*0.21</f>
        <v>0</v>
      </c>
      <c r="J244" s="145"/>
      <c r="K244" s="145"/>
      <c r="L244" s="145">
        <f>SUM(ventas_b_mes5[[#This Row],[IMPORTE NETO]:[EXENTO]])</f>
        <v>0</v>
      </c>
      <c r="M244" s="59"/>
    </row>
    <row r="245" spans="2:13" x14ac:dyDescent="0.25">
      <c r="B245" s="139"/>
      <c r="C245" s="41"/>
      <c r="D245" s="141"/>
      <c r="E245" s="142"/>
      <c r="F245" s="143"/>
      <c r="G245" s="1" t="str">
        <f>IFERROR(IF(ventas_b_mes5[[#This Row],[CUIT]]="","-",VLOOKUP(ventas_b_mes5[[#This Row],[CUIT]],Lista_CUIT[#All],2,0)),"CUIT NO CARGADO")</f>
        <v>-</v>
      </c>
      <c r="H245" s="64"/>
      <c r="I245" s="144">
        <f>ventas_b_mes5[[#This Row],[IMPORTE NETO]]*0.21</f>
        <v>0</v>
      </c>
      <c r="J245" s="145"/>
      <c r="K245" s="145"/>
      <c r="L245" s="145">
        <f>SUM(ventas_b_mes5[[#This Row],[IMPORTE NETO]:[EXENTO]])</f>
        <v>0</v>
      </c>
      <c r="M245" s="59"/>
    </row>
    <row r="246" spans="2:13" x14ac:dyDescent="0.25">
      <c r="B246" s="139"/>
      <c r="C246" s="41"/>
      <c r="D246" s="141"/>
      <c r="E246" s="142"/>
      <c r="F246" s="143"/>
      <c r="G246" s="1" t="str">
        <f>IFERROR(IF(ventas_b_mes5[[#This Row],[CUIT]]="","-",VLOOKUP(ventas_b_mes5[[#This Row],[CUIT]],Lista_CUIT[#All],2,0)),"CUIT NO CARGADO")</f>
        <v>-</v>
      </c>
      <c r="H246" s="64"/>
      <c r="I246" s="144">
        <f>ventas_b_mes5[[#This Row],[IMPORTE NETO]]*0.21</f>
        <v>0</v>
      </c>
      <c r="J246" s="145"/>
      <c r="K246" s="145"/>
      <c r="L246" s="145">
        <f>SUM(ventas_b_mes5[[#This Row],[IMPORTE NETO]:[EXENTO]])</f>
        <v>0</v>
      </c>
      <c r="M246" s="59"/>
    </row>
    <row r="247" spans="2:13" x14ac:dyDescent="0.25">
      <c r="B247" s="139"/>
      <c r="C247" s="41"/>
      <c r="D247" s="141"/>
      <c r="E247" s="142"/>
      <c r="F247" s="143"/>
      <c r="G247" s="1" t="str">
        <f>IFERROR(IF(ventas_b_mes5[[#This Row],[CUIT]]="","-",VLOOKUP(ventas_b_mes5[[#This Row],[CUIT]],Lista_CUIT[#All],2,0)),"CUIT NO CARGADO")</f>
        <v>-</v>
      </c>
      <c r="H247" s="64"/>
      <c r="I247" s="144">
        <f>ventas_b_mes5[[#This Row],[IMPORTE NETO]]*0.21</f>
        <v>0</v>
      </c>
      <c r="J247" s="145"/>
      <c r="K247" s="145"/>
      <c r="L247" s="145">
        <f>SUM(ventas_b_mes5[[#This Row],[IMPORTE NETO]:[EXENTO]])</f>
        <v>0</v>
      </c>
      <c r="M247" s="59"/>
    </row>
    <row r="248" spans="2:13" x14ac:dyDescent="0.25">
      <c r="B248" s="139"/>
      <c r="C248" s="41"/>
      <c r="D248" s="141"/>
      <c r="E248" s="142"/>
      <c r="F248" s="143"/>
      <c r="G248" s="1" t="str">
        <f>IFERROR(IF(ventas_b_mes5[[#This Row],[CUIT]]="","-",VLOOKUP(ventas_b_mes5[[#This Row],[CUIT]],Lista_CUIT[#All],2,0)),"CUIT NO CARGADO")</f>
        <v>-</v>
      </c>
      <c r="H248" s="64"/>
      <c r="I248" s="144">
        <f>ventas_b_mes5[[#This Row],[IMPORTE NETO]]*0.21</f>
        <v>0</v>
      </c>
      <c r="J248" s="145"/>
      <c r="K248" s="145"/>
      <c r="L248" s="145">
        <f>SUM(ventas_b_mes5[[#This Row],[IMPORTE NETO]:[EXENTO]])</f>
        <v>0</v>
      </c>
      <c r="M248" s="59"/>
    </row>
    <row r="249" spans="2:13" x14ac:dyDescent="0.25">
      <c r="B249" s="139"/>
      <c r="C249" s="41"/>
      <c r="D249" s="141"/>
      <c r="E249" s="142"/>
      <c r="F249" s="143"/>
      <c r="G249" s="1" t="str">
        <f>IFERROR(IF(ventas_b_mes5[[#This Row],[CUIT]]="","-",VLOOKUP(ventas_b_mes5[[#This Row],[CUIT]],Lista_CUIT[#All],2,0)),"CUIT NO CARGADO")</f>
        <v>-</v>
      </c>
      <c r="H249" s="64"/>
      <c r="I249" s="144">
        <f>ventas_b_mes5[[#This Row],[IMPORTE NETO]]*0.21</f>
        <v>0</v>
      </c>
      <c r="J249" s="145"/>
      <c r="K249" s="145"/>
      <c r="L249" s="145">
        <f>SUM(ventas_b_mes5[[#This Row],[IMPORTE NETO]:[EXENTO]])</f>
        <v>0</v>
      </c>
      <c r="M249" s="59"/>
    </row>
    <row r="250" spans="2:13" x14ac:dyDescent="0.25">
      <c r="B250" s="139"/>
      <c r="C250" s="41"/>
      <c r="D250" s="141"/>
      <c r="E250" s="142"/>
      <c r="F250" s="143"/>
      <c r="G250" s="1" t="str">
        <f>IFERROR(IF(ventas_b_mes5[[#This Row],[CUIT]]="","-",VLOOKUP(ventas_b_mes5[[#This Row],[CUIT]],Lista_CUIT[#All],2,0)),"CUIT NO CARGADO")</f>
        <v>-</v>
      </c>
      <c r="H250" s="64"/>
      <c r="I250" s="144">
        <f>ventas_b_mes5[[#This Row],[IMPORTE NETO]]*0.21</f>
        <v>0</v>
      </c>
      <c r="J250" s="145"/>
      <c r="K250" s="145"/>
      <c r="L250" s="145">
        <f>SUM(ventas_b_mes5[[#This Row],[IMPORTE NETO]:[EXENTO]])</f>
        <v>0</v>
      </c>
      <c r="M250" s="59"/>
    </row>
    <row r="251" spans="2:13" x14ac:dyDescent="0.25">
      <c r="B251" s="139"/>
      <c r="C251" s="41"/>
      <c r="D251" s="141"/>
      <c r="E251" s="142"/>
      <c r="F251" s="143"/>
      <c r="G251" s="1" t="str">
        <f>IFERROR(IF(ventas_b_mes5[[#This Row],[CUIT]]="","-",VLOOKUP(ventas_b_mes5[[#This Row],[CUIT]],Lista_CUIT[#All],2,0)),"CUIT NO CARGADO")</f>
        <v>-</v>
      </c>
      <c r="H251" s="64"/>
      <c r="I251" s="144">
        <f>ventas_b_mes5[[#This Row],[IMPORTE NETO]]*0.21</f>
        <v>0</v>
      </c>
      <c r="J251" s="145"/>
      <c r="K251" s="145"/>
      <c r="L251" s="145">
        <f>SUM(ventas_b_mes5[[#This Row],[IMPORTE NETO]:[EXENTO]])</f>
        <v>0</v>
      </c>
      <c r="M251" s="59"/>
    </row>
    <row r="252" spans="2:13" x14ac:dyDescent="0.25">
      <c r="B252" s="139"/>
      <c r="C252" s="41"/>
      <c r="D252" s="141"/>
      <c r="E252" s="142"/>
      <c r="F252" s="143"/>
      <c r="G252" s="1" t="str">
        <f>IFERROR(IF(ventas_b_mes5[[#This Row],[CUIT]]="","-",VLOOKUP(ventas_b_mes5[[#This Row],[CUIT]],Lista_CUIT[#All],2,0)),"CUIT NO CARGADO")</f>
        <v>-</v>
      </c>
      <c r="H252" s="64"/>
      <c r="I252" s="144">
        <f>ventas_b_mes5[[#This Row],[IMPORTE NETO]]*0.21</f>
        <v>0</v>
      </c>
      <c r="J252" s="145"/>
      <c r="K252" s="145"/>
      <c r="L252" s="145">
        <f>SUM(ventas_b_mes5[[#This Row],[IMPORTE NETO]:[EXENTO]])</f>
        <v>0</v>
      </c>
      <c r="M252" s="59"/>
    </row>
    <row r="253" spans="2:13" x14ac:dyDescent="0.25">
      <c r="B253" s="139"/>
      <c r="C253" s="41"/>
      <c r="D253" s="141"/>
      <c r="E253" s="142"/>
      <c r="F253" s="143"/>
      <c r="G253" s="1" t="str">
        <f>IFERROR(IF(ventas_b_mes5[[#This Row],[CUIT]]="","-",VLOOKUP(ventas_b_mes5[[#This Row],[CUIT]],Lista_CUIT[#All],2,0)),"CUIT NO CARGADO")</f>
        <v>-</v>
      </c>
      <c r="H253" s="64"/>
      <c r="I253" s="144">
        <f>ventas_b_mes5[[#This Row],[IMPORTE NETO]]*0.21</f>
        <v>0</v>
      </c>
      <c r="J253" s="145"/>
      <c r="K253" s="145"/>
      <c r="L253" s="145">
        <f>SUM(ventas_b_mes5[[#This Row],[IMPORTE NETO]:[EXENTO]])</f>
        <v>0</v>
      </c>
      <c r="M253" s="59"/>
    </row>
    <row r="254" spans="2:13" x14ac:dyDescent="0.25">
      <c r="B254" s="139"/>
      <c r="C254" s="41"/>
      <c r="D254" s="141"/>
      <c r="E254" s="142"/>
      <c r="F254" s="143"/>
      <c r="G254" s="1" t="str">
        <f>IFERROR(IF(ventas_b_mes5[[#This Row],[CUIT]]="","-",VLOOKUP(ventas_b_mes5[[#This Row],[CUIT]],Lista_CUIT[#All],2,0)),"CUIT NO CARGADO")</f>
        <v>-</v>
      </c>
      <c r="H254" s="64"/>
      <c r="I254" s="144">
        <f>ventas_b_mes5[[#This Row],[IMPORTE NETO]]*0.21</f>
        <v>0</v>
      </c>
      <c r="J254" s="145"/>
      <c r="K254" s="145"/>
      <c r="L254" s="145">
        <f>SUM(ventas_b_mes5[[#This Row],[IMPORTE NETO]:[EXENTO]])</f>
        <v>0</v>
      </c>
      <c r="M254" s="59"/>
    </row>
    <row r="255" spans="2:13" x14ac:dyDescent="0.25">
      <c r="B255" s="139"/>
      <c r="C255" s="41"/>
      <c r="D255" s="141"/>
      <c r="E255" s="142"/>
      <c r="F255" s="143"/>
      <c r="G255" s="1" t="str">
        <f>IFERROR(IF(ventas_b_mes5[[#This Row],[CUIT]]="","-",VLOOKUP(ventas_b_mes5[[#This Row],[CUIT]],Lista_CUIT[#All],2,0)),"CUIT NO CARGADO")</f>
        <v>-</v>
      </c>
      <c r="H255" s="64"/>
      <c r="I255" s="144">
        <f>ventas_b_mes5[[#This Row],[IMPORTE NETO]]*0.21</f>
        <v>0</v>
      </c>
      <c r="J255" s="145"/>
      <c r="K255" s="145"/>
      <c r="L255" s="145">
        <f>SUM(ventas_b_mes5[[#This Row],[IMPORTE NETO]:[EXENTO]])</f>
        <v>0</v>
      </c>
      <c r="M255" s="59"/>
    </row>
    <row r="256" spans="2:13" x14ac:dyDescent="0.25">
      <c r="B256" s="139"/>
      <c r="C256" s="41"/>
      <c r="D256" s="141"/>
      <c r="E256" s="142"/>
      <c r="F256" s="143"/>
      <c r="G256" s="1" t="str">
        <f>IFERROR(IF(ventas_b_mes5[[#This Row],[CUIT]]="","-",VLOOKUP(ventas_b_mes5[[#This Row],[CUIT]],Lista_CUIT[#All],2,0)),"CUIT NO CARGADO")</f>
        <v>-</v>
      </c>
      <c r="H256" s="64"/>
      <c r="I256" s="144">
        <f>ventas_b_mes5[[#This Row],[IMPORTE NETO]]*0.21</f>
        <v>0</v>
      </c>
      <c r="J256" s="145"/>
      <c r="K256" s="145"/>
      <c r="L256" s="145">
        <f>SUM(ventas_b_mes5[[#This Row],[IMPORTE NETO]:[EXENTO]])</f>
        <v>0</v>
      </c>
      <c r="M256" s="59"/>
    </row>
    <row r="257" spans="2:13" x14ac:dyDescent="0.25">
      <c r="B257" s="139"/>
      <c r="C257" s="41"/>
      <c r="D257" s="141"/>
      <c r="E257" s="142"/>
      <c r="F257" s="143"/>
      <c r="G257" s="1" t="str">
        <f>IFERROR(IF(ventas_b_mes5[[#This Row],[CUIT]]="","-",VLOOKUP(ventas_b_mes5[[#This Row],[CUIT]],Lista_CUIT[#All],2,0)),"CUIT NO CARGADO")</f>
        <v>-</v>
      </c>
      <c r="H257" s="64"/>
      <c r="I257" s="144">
        <f>ventas_b_mes5[[#This Row],[IMPORTE NETO]]*0.21</f>
        <v>0</v>
      </c>
      <c r="J257" s="145"/>
      <c r="K257" s="145"/>
      <c r="L257" s="145">
        <f>SUM(ventas_b_mes5[[#This Row],[IMPORTE NETO]:[EXENTO]])</f>
        <v>0</v>
      </c>
      <c r="M257" s="59"/>
    </row>
    <row r="258" spans="2:13" x14ac:dyDescent="0.25">
      <c r="B258" s="139"/>
      <c r="C258" s="41"/>
      <c r="D258" s="141"/>
      <c r="E258" s="142"/>
      <c r="F258" s="143"/>
      <c r="G258" s="1" t="str">
        <f>IFERROR(IF(ventas_b_mes5[[#This Row],[CUIT]]="","-",VLOOKUP(ventas_b_mes5[[#This Row],[CUIT]],Lista_CUIT[#All],2,0)),"CUIT NO CARGADO")</f>
        <v>-</v>
      </c>
      <c r="H258" s="64"/>
      <c r="I258" s="144">
        <f>ventas_b_mes5[[#This Row],[IMPORTE NETO]]*0.21</f>
        <v>0</v>
      </c>
      <c r="J258" s="145"/>
      <c r="K258" s="145"/>
      <c r="L258" s="145">
        <f>SUM(ventas_b_mes5[[#This Row],[IMPORTE NETO]:[EXENTO]])</f>
        <v>0</v>
      </c>
      <c r="M258" s="59"/>
    </row>
    <row r="259" spans="2:13" x14ac:dyDescent="0.25">
      <c r="B259" s="139"/>
      <c r="C259" s="41"/>
      <c r="D259" s="141"/>
      <c r="E259" s="142"/>
      <c r="F259" s="143"/>
      <c r="G259" s="1" t="str">
        <f>IFERROR(IF(ventas_b_mes5[[#This Row],[CUIT]]="","-",VLOOKUP(ventas_b_mes5[[#This Row],[CUIT]],Lista_CUIT[#All],2,0)),"CUIT NO CARGADO")</f>
        <v>-</v>
      </c>
      <c r="H259" s="64"/>
      <c r="I259" s="144">
        <f>ventas_b_mes5[[#This Row],[IMPORTE NETO]]*0.21</f>
        <v>0</v>
      </c>
      <c r="J259" s="145"/>
      <c r="K259" s="145"/>
      <c r="L259" s="145">
        <f>SUM(ventas_b_mes5[[#This Row],[IMPORTE NETO]:[EXENTO]])</f>
        <v>0</v>
      </c>
      <c r="M259" s="59"/>
    </row>
    <row r="260" spans="2:13" x14ac:dyDescent="0.25">
      <c r="B260" s="139"/>
      <c r="C260" s="41"/>
      <c r="D260" s="141"/>
      <c r="E260" s="142"/>
      <c r="F260" s="143"/>
      <c r="G260" s="1" t="str">
        <f>IFERROR(IF(ventas_b_mes5[[#This Row],[CUIT]]="","-",VLOOKUP(ventas_b_mes5[[#This Row],[CUIT]],Lista_CUIT[#All],2,0)),"CUIT NO CARGADO")</f>
        <v>-</v>
      </c>
      <c r="H260" s="64"/>
      <c r="I260" s="144">
        <f>ventas_b_mes5[[#This Row],[IMPORTE NETO]]*0.21</f>
        <v>0</v>
      </c>
      <c r="J260" s="145"/>
      <c r="K260" s="145"/>
      <c r="L260" s="145">
        <f>SUM(ventas_b_mes5[[#This Row],[IMPORTE NETO]:[EXENTO]])</f>
        <v>0</v>
      </c>
      <c r="M260" s="59"/>
    </row>
    <row r="261" spans="2:13" x14ac:dyDescent="0.25">
      <c r="B261" s="139"/>
      <c r="C261" s="41"/>
      <c r="D261" s="141"/>
      <c r="E261" s="142"/>
      <c r="F261" s="143"/>
      <c r="G261" s="1" t="str">
        <f>IFERROR(IF(ventas_b_mes5[[#This Row],[CUIT]]="","-",VLOOKUP(ventas_b_mes5[[#This Row],[CUIT]],Lista_CUIT[#All],2,0)),"CUIT NO CARGADO")</f>
        <v>-</v>
      </c>
      <c r="H261" s="64"/>
      <c r="I261" s="144">
        <f>ventas_b_mes5[[#This Row],[IMPORTE NETO]]*0.21</f>
        <v>0</v>
      </c>
      <c r="J261" s="145"/>
      <c r="K261" s="145"/>
      <c r="L261" s="145">
        <f>SUM(ventas_b_mes5[[#This Row],[IMPORTE NETO]:[EXENTO]])</f>
        <v>0</v>
      </c>
      <c r="M261" s="59"/>
    </row>
    <row r="262" spans="2:13" x14ac:dyDescent="0.25">
      <c r="B262" s="139"/>
      <c r="C262" s="41"/>
      <c r="D262" s="141"/>
      <c r="E262" s="142"/>
      <c r="F262" s="143"/>
      <c r="G262" s="1" t="str">
        <f>IFERROR(IF(ventas_b_mes5[[#This Row],[CUIT]]="","-",VLOOKUP(ventas_b_mes5[[#This Row],[CUIT]],Lista_CUIT[#All],2,0)),"CUIT NO CARGADO")</f>
        <v>-</v>
      </c>
      <c r="H262" s="64"/>
      <c r="I262" s="144">
        <f>ventas_b_mes5[[#This Row],[IMPORTE NETO]]*0.21</f>
        <v>0</v>
      </c>
      <c r="J262" s="145"/>
      <c r="K262" s="145"/>
      <c r="L262" s="145">
        <f>SUM(ventas_b_mes5[[#This Row],[IMPORTE NETO]:[EXENTO]])</f>
        <v>0</v>
      </c>
      <c r="M262" s="59"/>
    </row>
    <row r="263" spans="2:13" x14ac:dyDescent="0.25">
      <c r="B263" s="139"/>
      <c r="C263" s="41"/>
      <c r="D263" s="141"/>
      <c r="E263" s="142"/>
      <c r="F263" s="143"/>
      <c r="G263" s="1" t="str">
        <f>IFERROR(IF(ventas_b_mes5[[#This Row],[CUIT]]="","-",VLOOKUP(ventas_b_mes5[[#This Row],[CUIT]],Lista_CUIT[#All],2,0)),"CUIT NO CARGADO")</f>
        <v>-</v>
      </c>
      <c r="H263" s="64"/>
      <c r="I263" s="144">
        <f>ventas_b_mes5[[#This Row],[IMPORTE NETO]]*0.21</f>
        <v>0</v>
      </c>
      <c r="J263" s="145"/>
      <c r="K263" s="145"/>
      <c r="L263" s="145">
        <f>SUM(ventas_b_mes5[[#This Row],[IMPORTE NETO]:[EXENTO]])</f>
        <v>0</v>
      </c>
      <c r="M263" s="59"/>
    </row>
    <row r="264" spans="2:13" x14ac:dyDescent="0.25">
      <c r="B264" s="139"/>
      <c r="C264" s="41"/>
      <c r="D264" s="141"/>
      <c r="E264" s="142"/>
      <c r="F264" s="143"/>
      <c r="G264" s="1" t="str">
        <f>IFERROR(IF(ventas_b_mes5[[#This Row],[CUIT]]="","-",VLOOKUP(ventas_b_mes5[[#This Row],[CUIT]],Lista_CUIT[#All],2,0)),"CUIT NO CARGADO")</f>
        <v>-</v>
      </c>
      <c r="H264" s="64"/>
      <c r="I264" s="144">
        <f>ventas_b_mes5[[#This Row],[IMPORTE NETO]]*0.21</f>
        <v>0</v>
      </c>
      <c r="J264" s="145"/>
      <c r="K264" s="145"/>
      <c r="L264" s="145">
        <f>SUM(ventas_b_mes5[[#This Row],[IMPORTE NETO]:[EXENTO]])</f>
        <v>0</v>
      </c>
      <c r="M264" s="59"/>
    </row>
    <row r="265" spans="2:13" x14ac:dyDescent="0.25">
      <c r="B265" s="139"/>
      <c r="C265" s="41"/>
      <c r="D265" s="141"/>
      <c r="E265" s="142"/>
      <c r="F265" s="143"/>
      <c r="G265" s="1" t="str">
        <f>IFERROR(IF(ventas_b_mes5[[#This Row],[CUIT]]="","-",VLOOKUP(ventas_b_mes5[[#This Row],[CUIT]],Lista_CUIT[#All],2,0)),"CUIT NO CARGADO")</f>
        <v>-</v>
      </c>
      <c r="H265" s="64"/>
      <c r="I265" s="144">
        <f>ventas_b_mes5[[#This Row],[IMPORTE NETO]]*0.21</f>
        <v>0</v>
      </c>
      <c r="J265" s="145"/>
      <c r="K265" s="145"/>
      <c r="L265" s="145">
        <f>SUM(ventas_b_mes5[[#This Row],[IMPORTE NETO]:[EXENTO]])</f>
        <v>0</v>
      </c>
      <c r="M265" s="59"/>
    </row>
    <row r="266" spans="2:13" x14ac:dyDescent="0.25">
      <c r="B266" s="139"/>
      <c r="C266" s="41"/>
      <c r="D266" s="141"/>
      <c r="E266" s="142"/>
      <c r="F266" s="143"/>
      <c r="G266" s="1" t="str">
        <f>IFERROR(IF(ventas_b_mes5[[#This Row],[CUIT]]="","-",VLOOKUP(ventas_b_mes5[[#This Row],[CUIT]],Lista_CUIT[#All],2,0)),"CUIT NO CARGADO")</f>
        <v>-</v>
      </c>
      <c r="H266" s="64"/>
      <c r="I266" s="144">
        <f>ventas_b_mes5[[#This Row],[IMPORTE NETO]]*0.21</f>
        <v>0</v>
      </c>
      <c r="J266" s="145"/>
      <c r="K266" s="145"/>
      <c r="L266" s="145">
        <f>SUM(ventas_b_mes5[[#This Row],[IMPORTE NETO]:[EXENTO]])</f>
        <v>0</v>
      </c>
      <c r="M266" s="59"/>
    </row>
    <row r="267" spans="2:13" x14ac:dyDescent="0.25">
      <c r="B267" s="139"/>
      <c r="C267" s="41"/>
      <c r="D267" s="141"/>
      <c r="E267" s="142"/>
      <c r="F267" s="143"/>
      <c r="G267" s="1" t="str">
        <f>IFERROR(IF(ventas_b_mes5[[#This Row],[CUIT]]="","-",VLOOKUP(ventas_b_mes5[[#This Row],[CUIT]],Lista_CUIT[#All],2,0)),"CUIT NO CARGADO")</f>
        <v>-</v>
      </c>
      <c r="H267" s="64"/>
      <c r="I267" s="144">
        <f>ventas_b_mes5[[#This Row],[IMPORTE NETO]]*0.21</f>
        <v>0</v>
      </c>
      <c r="J267" s="145"/>
      <c r="K267" s="145"/>
      <c r="L267" s="145">
        <f>SUM(ventas_b_mes5[[#This Row],[IMPORTE NETO]:[EXENTO]])</f>
        <v>0</v>
      </c>
      <c r="M267" s="59"/>
    </row>
    <row r="268" spans="2:13" x14ac:dyDescent="0.25">
      <c r="B268" s="139"/>
      <c r="C268" s="41"/>
      <c r="D268" s="141"/>
      <c r="E268" s="142"/>
      <c r="F268" s="143"/>
      <c r="G268" s="1" t="str">
        <f>IFERROR(IF(ventas_b_mes5[[#This Row],[CUIT]]="","-",VLOOKUP(ventas_b_mes5[[#This Row],[CUIT]],Lista_CUIT[#All],2,0)),"CUIT NO CARGADO")</f>
        <v>-</v>
      </c>
      <c r="H268" s="64"/>
      <c r="I268" s="144">
        <f>ventas_b_mes5[[#This Row],[IMPORTE NETO]]*0.21</f>
        <v>0</v>
      </c>
      <c r="J268" s="145"/>
      <c r="K268" s="145"/>
      <c r="L268" s="145">
        <f>SUM(ventas_b_mes5[[#This Row],[IMPORTE NETO]:[EXENTO]])</f>
        <v>0</v>
      </c>
      <c r="M268" s="59"/>
    </row>
    <row r="269" spans="2:13" x14ac:dyDescent="0.25">
      <c r="B269" s="139"/>
      <c r="C269" s="41"/>
      <c r="D269" s="141"/>
      <c r="E269" s="142"/>
      <c r="F269" s="143"/>
      <c r="G269" s="1" t="str">
        <f>IFERROR(IF(ventas_b_mes5[[#This Row],[CUIT]]="","-",VLOOKUP(ventas_b_mes5[[#This Row],[CUIT]],Lista_CUIT[#All],2,0)),"CUIT NO CARGADO")</f>
        <v>-</v>
      </c>
      <c r="H269" s="64"/>
      <c r="I269" s="144">
        <f>ventas_b_mes5[[#This Row],[IMPORTE NETO]]*0.21</f>
        <v>0</v>
      </c>
      <c r="J269" s="145"/>
      <c r="K269" s="145"/>
      <c r="L269" s="145">
        <f>SUM(ventas_b_mes5[[#This Row],[IMPORTE NETO]:[EXENTO]])</f>
        <v>0</v>
      </c>
      <c r="M269" s="59"/>
    </row>
    <row r="270" spans="2:13" x14ac:dyDescent="0.25">
      <c r="B270" s="139"/>
      <c r="C270" s="41"/>
      <c r="D270" s="141"/>
      <c r="E270" s="142"/>
      <c r="F270" s="143"/>
      <c r="G270" s="1" t="str">
        <f>IFERROR(IF(ventas_b_mes5[[#This Row],[CUIT]]="","-",VLOOKUP(ventas_b_mes5[[#This Row],[CUIT]],Lista_CUIT[#All],2,0)),"CUIT NO CARGADO")</f>
        <v>-</v>
      </c>
      <c r="H270" s="64"/>
      <c r="I270" s="144">
        <f>ventas_b_mes5[[#This Row],[IMPORTE NETO]]*0.21</f>
        <v>0</v>
      </c>
      <c r="J270" s="145"/>
      <c r="K270" s="145"/>
      <c r="L270" s="145">
        <f>SUM(ventas_b_mes5[[#This Row],[IMPORTE NETO]:[EXENTO]])</f>
        <v>0</v>
      </c>
      <c r="M270" s="59"/>
    </row>
    <row r="271" spans="2:13" x14ac:dyDescent="0.25">
      <c r="B271" s="139"/>
      <c r="C271" s="41"/>
      <c r="D271" s="141"/>
      <c r="E271" s="142"/>
      <c r="F271" s="143"/>
      <c r="G271" s="1" t="str">
        <f>IFERROR(IF(ventas_b_mes5[[#This Row],[CUIT]]="","-",VLOOKUP(ventas_b_mes5[[#This Row],[CUIT]],Lista_CUIT[#All],2,0)),"CUIT NO CARGADO")</f>
        <v>-</v>
      </c>
      <c r="H271" s="64"/>
      <c r="I271" s="144">
        <f>ventas_b_mes5[[#This Row],[IMPORTE NETO]]*0.21</f>
        <v>0</v>
      </c>
      <c r="J271" s="145"/>
      <c r="K271" s="145"/>
      <c r="L271" s="145">
        <f>SUM(ventas_b_mes5[[#This Row],[IMPORTE NETO]:[EXENTO]])</f>
        <v>0</v>
      </c>
      <c r="M271" s="59"/>
    </row>
    <row r="272" spans="2:13" x14ac:dyDescent="0.25">
      <c r="B272" s="139"/>
      <c r="C272" s="41"/>
      <c r="D272" s="141"/>
      <c r="E272" s="142"/>
      <c r="F272" s="143"/>
      <c r="G272" s="1" t="str">
        <f>IFERROR(IF(ventas_b_mes5[[#This Row],[CUIT]]="","-",VLOOKUP(ventas_b_mes5[[#This Row],[CUIT]],Lista_CUIT[#All],2,0)),"CUIT NO CARGADO")</f>
        <v>-</v>
      </c>
      <c r="H272" s="64"/>
      <c r="I272" s="144">
        <f>ventas_b_mes5[[#This Row],[IMPORTE NETO]]*0.21</f>
        <v>0</v>
      </c>
      <c r="J272" s="145"/>
      <c r="K272" s="145"/>
      <c r="L272" s="145">
        <f>SUM(ventas_b_mes5[[#This Row],[IMPORTE NETO]:[EXENTO]])</f>
        <v>0</v>
      </c>
      <c r="M272" s="59"/>
    </row>
    <row r="273" spans="2:13" x14ac:dyDescent="0.25">
      <c r="B273" s="139"/>
      <c r="C273" s="41"/>
      <c r="D273" s="141"/>
      <c r="E273" s="142"/>
      <c r="F273" s="143"/>
      <c r="G273" s="1" t="str">
        <f>IFERROR(IF(ventas_b_mes5[[#This Row],[CUIT]]="","-",VLOOKUP(ventas_b_mes5[[#This Row],[CUIT]],Lista_CUIT[#All],2,0)),"CUIT NO CARGADO")</f>
        <v>-</v>
      </c>
      <c r="H273" s="64"/>
      <c r="I273" s="144">
        <f>ventas_b_mes5[[#This Row],[IMPORTE NETO]]*0.21</f>
        <v>0</v>
      </c>
      <c r="J273" s="145"/>
      <c r="K273" s="145"/>
      <c r="L273" s="145">
        <f>SUM(ventas_b_mes5[[#This Row],[IMPORTE NETO]:[EXENTO]])</f>
        <v>0</v>
      </c>
      <c r="M273" s="59"/>
    </row>
    <row r="274" spans="2:13" x14ac:dyDescent="0.25">
      <c r="B274" s="139"/>
      <c r="C274" s="41"/>
      <c r="D274" s="141"/>
      <c r="E274" s="142"/>
      <c r="F274" s="143"/>
      <c r="G274" s="1" t="str">
        <f>IFERROR(IF(ventas_b_mes5[[#This Row],[CUIT]]="","-",VLOOKUP(ventas_b_mes5[[#This Row],[CUIT]],Lista_CUIT[#All],2,0)),"CUIT NO CARGADO")</f>
        <v>-</v>
      </c>
      <c r="H274" s="64"/>
      <c r="I274" s="144">
        <f>ventas_b_mes5[[#This Row],[IMPORTE NETO]]*0.21</f>
        <v>0</v>
      </c>
      <c r="J274" s="145"/>
      <c r="K274" s="145"/>
      <c r="L274" s="145">
        <f>SUM(ventas_b_mes5[[#This Row],[IMPORTE NETO]:[EXENTO]])</f>
        <v>0</v>
      </c>
      <c r="M274" s="59"/>
    </row>
    <row r="275" spans="2:13" x14ac:dyDescent="0.25">
      <c r="B275" s="139"/>
      <c r="C275" s="41"/>
      <c r="D275" s="141"/>
      <c r="E275" s="142"/>
      <c r="F275" s="143"/>
      <c r="G275" s="1" t="str">
        <f>IFERROR(IF(ventas_b_mes5[[#This Row],[CUIT]]="","-",VLOOKUP(ventas_b_mes5[[#This Row],[CUIT]],Lista_CUIT[#All],2,0)),"CUIT NO CARGADO")</f>
        <v>-</v>
      </c>
      <c r="H275" s="64"/>
      <c r="I275" s="144">
        <f>ventas_b_mes5[[#This Row],[IMPORTE NETO]]*0.21</f>
        <v>0</v>
      </c>
      <c r="J275" s="145"/>
      <c r="K275" s="145"/>
      <c r="L275" s="145">
        <f>SUM(ventas_b_mes5[[#This Row],[IMPORTE NETO]:[EXENTO]])</f>
        <v>0</v>
      </c>
      <c r="M275" s="59"/>
    </row>
    <row r="276" spans="2:13" x14ac:dyDescent="0.25">
      <c r="B276" s="139"/>
      <c r="C276" s="41"/>
      <c r="D276" s="141"/>
      <c r="E276" s="142"/>
      <c r="F276" s="143"/>
      <c r="G276" s="1" t="str">
        <f>IFERROR(IF(ventas_b_mes5[[#This Row],[CUIT]]="","-",VLOOKUP(ventas_b_mes5[[#This Row],[CUIT]],Lista_CUIT[#All],2,0)),"CUIT NO CARGADO")</f>
        <v>-</v>
      </c>
      <c r="H276" s="64"/>
      <c r="I276" s="144">
        <f>ventas_b_mes5[[#This Row],[IMPORTE NETO]]*0.21</f>
        <v>0</v>
      </c>
      <c r="J276" s="145"/>
      <c r="K276" s="145"/>
      <c r="L276" s="145">
        <f>SUM(ventas_b_mes5[[#This Row],[IMPORTE NETO]:[EXENTO]])</f>
        <v>0</v>
      </c>
      <c r="M276" s="59"/>
    </row>
    <row r="277" spans="2:13" x14ac:dyDescent="0.25">
      <c r="B277" s="139"/>
      <c r="C277" s="41"/>
      <c r="D277" s="141"/>
      <c r="E277" s="142"/>
      <c r="F277" s="143"/>
      <c r="G277" s="1" t="str">
        <f>IFERROR(IF(ventas_b_mes5[[#This Row],[CUIT]]="","-",VLOOKUP(ventas_b_mes5[[#This Row],[CUIT]],Lista_CUIT[#All],2,0)),"CUIT NO CARGADO")</f>
        <v>-</v>
      </c>
      <c r="H277" s="64"/>
      <c r="I277" s="144">
        <f>ventas_b_mes5[[#This Row],[IMPORTE NETO]]*0.21</f>
        <v>0</v>
      </c>
      <c r="J277" s="145"/>
      <c r="K277" s="145"/>
      <c r="L277" s="145">
        <f>SUM(ventas_b_mes5[[#This Row],[IMPORTE NETO]:[EXENTO]])</f>
        <v>0</v>
      </c>
      <c r="M277" s="59"/>
    </row>
    <row r="278" spans="2:13" x14ac:dyDescent="0.25">
      <c r="B278" s="139"/>
      <c r="C278" s="41"/>
      <c r="D278" s="141"/>
      <c r="E278" s="142"/>
      <c r="F278" s="143"/>
      <c r="G278" s="1" t="str">
        <f>IFERROR(IF(ventas_b_mes5[[#This Row],[CUIT]]="","-",VLOOKUP(ventas_b_mes5[[#This Row],[CUIT]],Lista_CUIT[#All],2,0)),"CUIT NO CARGADO")</f>
        <v>-</v>
      </c>
      <c r="H278" s="64"/>
      <c r="I278" s="144">
        <f>ventas_b_mes5[[#This Row],[IMPORTE NETO]]*0.21</f>
        <v>0</v>
      </c>
      <c r="J278" s="145"/>
      <c r="K278" s="145"/>
      <c r="L278" s="145">
        <f>SUM(ventas_b_mes5[[#This Row],[IMPORTE NETO]:[EXENTO]])</f>
        <v>0</v>
      </c>
      <c r="M278" s="59"/>
    </row>
    <row r="279" spans="2:13" x14ac:dyDescent="0.25">
      <c r="B279" s="139"/>
      <c r="C279" s="41"/>
      <c r="D279" s="141"/>
      <c r="E279" s="142"/>
      <c r="F279" s="143"/>
      <c r="G279" s="1" t="str">
        <f>IFERROR(IF(ventas_b_mes5[[#This Row],[CUIT]]="","-",VLOOKUP(ventas_b_mes5[[#This Row],[CUIT]],Lista_CUIT[#All],2,0)),"CUIT NO CARGADO")</f>
        <v>-</v>
      </c>
      <c r="H279" s="64"/>
      <c r="I279" s="144">
        <f>ventas_b_mes5[[#This Row],[IMPORTE NETO]]*0.21</f>
        <v>0</v>
      </c>
      <c r="J279" s="145"/>
      <c r="K279" s="145"/>
      <c r="L279" s="145">
        <f>SUM(ventas_b_mes5[[#This Row],[IMPORTE NETO]:[EXENTO]])</f>
        <v>0</v>
      </c>
      <c r="M279" s="59"/>
    </row>
    <row r="280" spans="2:13" x14ac:dyDescent="0.25">
      <c r="B280" s="139"/>
      <c r="C280" s="41"/>
      <c r="D280" s="141"/>
      <c r="E280" s="142"/>
      <c r="F280" s="143"/>
      <c r="G280" s="1" t="str">
        <f>IFERROR(IF(ventas_b_mes5[[#This Row],[CUIT]]="","-",VLOOKUP(ventas_b_mes5[[#This Row],[CUIT]],Lista_CUIT[#All],2,0)),"CUIT NO CARGADO")</f>
        <v>-</v>
      </c>
      <c r="H280" s="64"/>
      <c r="I280" s="144">
        <f>ventas_b_mes5[[#This Row],[IMPORTE NETO]]*0.21</f>
        <v>0</v>
      </c>
      <c r="J280" s="145"/>
      <c r="K280" s="145"/>
      <c r="L280" s="145">
        <f>SUM(ventas_b_mes5[[#This Row],[IMPORTE NETO]:[EXENTO]])</f>
        <v>0</v>
      </c>
      <c r="M280" s="59"/>
    </row>
    <row r="281" spans="2:13" x14ac:dyDescent="0.25">
      <c r="B281" s="139"/>
      <c r="C281" s="41"/>
      <c r="D281" s="141"/>
      <c r="E281" s="142"/>
      <c r="F281" s="143"/>
      <c r="G281" s="1" t="str">
        <f>IFERROR(IF(ventas_b_mes5[[#This Row],[CUIT]]="","-",VLOOKUP(ventas_b_mes5[[#This Row],[CUIT]],Lista_CUIT[#All],2,0)),"CUIT NO CARGADO")</f>
        <v>-</v>
      </c>
      <c r="H281" s="64"/>
      <c r="I281" s="144">
        <f>ventas_b_mes5[[#This Row],[IMPORTE NETO]]*0.21</f>
        <v>0</v>
      </c>
      <c r="J281" s="145"/>
      <c r="K281" s="145"/>
      <c r="L281" s="145">
        <f>SUM(ventas_b_mes5[[#This Row],[IMPORTE NETO]:[EXENTO]])</f>
        <v>0</v>
      </c>
      <c r="M281" s="59"/>
    </row>
    <row r="282" spans="2:13" x14ac:dyDescent="0.25">
      <c r="B282" s="139"/>
      <c r="C282" s="41"/>
      <c r="D282" s="141"/>
      <c r="E282" s="142"/>
      <c r="F282" s="143"/>
      <c r="G282" s="1" t="str">
        <f>IFERROR(IF(ventas_b_mes5[[#This Row],[CUIT]]="","-",VLOOKUP(ventas_b_mes5[[#This Row],[CUIT]],Lista_CUIT[#All],2,0)),"CUIT NO CARGADO")</f>
        <v>-</v>
      </c>
      <c r="H282" s="64"/>
      <c r="I282" s="144">
        <f>ventas_b_mes5[[#This Row],[IMPORTE NETO]]*0.21</f>
        <v>0</v>
      </c>
      <c r="J282" s="145"/>
      <c r="K282" s="145"/>
      <c r="L282" s="145">
        <f>SUM(ventas_b_mes5[[#This Row],[IMPORTE NETO]:[EXENTO]])</f>
        <v>0</v>
      </c>
      <c r="M282" s="59"/>
    </row>
    <row r="283" spans="2:13" x14ac:dyDescent="0.25">
      <c r="B283" s="139"/>
      <c r="C283" s="41"/>
      <c r="D283" s="141"/>
      <c r="E283" s="142"/>
      <c r="F283" s="143"/>
      <c r="G283" s="1" t="str">
        <f>IFERROR(IF(ventas_b_mes5[[#This Row],[CUIT]]="","-",VLOOKUP(ventas_b_mes5[[#This Row],[CUIT]],Lista_CUIT[#All],2,0)),"CUIT NO CARGADO")</f>
        <v>-</v>
      </c>
      <c r="H283" s="64"/>
      <c r="I283" s="144">
        <f>ventas_b_mes5[[#This Row],[IMPORTE NETO]]*0.21</f>
        <v>0</v>
      </c>
      <c r="J283" s="145"/>
      <c r="K283" s="145"/>
      <c r="L283" s="145">
        <f>SUM(ventas_b_mes5[[#This Row],[IMPORTE NETO]:[EXENTO]])</f>
        <v>0</v>
      </c>
      <c r="M283" s="59"/>
    </row>
    <row r="284" spans="2:13" x14ac:dyDescent="0.25">
      <c r="B284" s="139"/>
      <c r="C284" s="41"/>
      <c r="D284" s="141"/>
      <c r="E284" s="142"/>
      <c r="F284" s="143"/>
      <c r="G284" s="1" t="str">
        <f>IFERROR(IF(ventas_b_mes5[[#This Row],[CUIT]]="","-",VLOOKUP(ventas_b_mes5[[#This Row],[CUIT]],Lista_CUIT[#All],2,0)),"CUIT NO CARGADO")</f>
        <v>-</v>
      </c>
      <c r="H284" s="64"/>
      <c r="I284" s="144">
        <f>ventas_b_mes5[[#This Row],[IMPORTE NETO]]*0.21</f>
        <v>0</v>
      </c>
      <c r="J284" s="145"/>
      <c r="K284" s="145"/>
      <c r="L284" s="145">
        <f>SUM(ventas_b_mes5[[#This Row],[IMPORTE NETO]:[EXENTO]])</f>
        <v>0</v>
      </c>
      <c r="M284" s="59"/>
    </row>
    <row r="285" spans="2:13" x14ac:dyDescent="0.25">
      <c r="B285" s="139"/>
      <c r="C285" s="41"/>
      <c r="D285" s="141"/>
      <c r="E285" s="142"/>
      <c r="F285" s="143"/>
      <c r="G285" s="1" t="str">
        <f>IFERROR(IF(ventas_b_mes5[[#This Row],[CUIT]]="","-",VLOOKUP(ventas_b_mes5[[#This Row],[CUIT]],Lista_CUIT[#All],2,0)),"CUIT NO CARGADO")</f>
        <v>-</v>
      </c>
      <c r="H285" s="64"/>
      <c r="I285" s="144">
        <f>ventas_b_mes5[[#This Row],[IMPORTE NETO]]*0.21</f>
        <v>0</v>
      </c>
      <c r="J285" s="145"/>
      <c r="K285" s="145"/>
      <c r="L285" s="145">
        <f>SUM(ventas_b_mes5[[#This Row],[IMPORTE NETO]:[EXENTO]])</f>
        <v>0</v>
      </c>
      <c r="M285" s="59"/>
    </row>
    <row r="286" spans="2:13" x14ac:dyDescent="0.25">
      <c r="B286" s="139"/>
      <c r="C286" s="41"/>
      <c r="D286" s="141"/>
      <c r="E286" s="142"/>
      <c r="F286" s="143"/>
      <c r="G286" s="1" t="str">
        <f>IFERROR(IF(ventas_b_mes5[[#This Row],[CUIT]]="","-",VLOOKUP(ventas_b_mes5[[#This Row],[CUIT]],Lista_CUIT[#All],2,0)),"CUIT NO CARGADO")</f>
        <v>-</v>
      </c>
      <c r="H286" s="64"/>
      <c r="I286" s="144">
        <f>ventas_b_mes5[[#This Row],[IMPORTE NETO]]*0.21</f>
        <v>0</v>
      </c>
      <c r="J286" s="145"/>
      <c r="K286" s="145"/>
      <c r="L286" s="145">
        <f>SUM(ventas_b_mes5[[#This Row],[IMPORTE NETO]:[EXENTO]])</f>
        <v>0</v>
      </c>
      <c r="M286" s="59"/>
    </row>
    <row r="287" spans="2:13" x14ac:dyDescent="0.25">
      <c r="B287" s="139"/>
      <c r="C287" s="41"/>
      <c r="D287" s="141"/>
      <c r="E287" s="142"/>
      <c r="F287" s="143"/>
      <c r="G287" s="1" t="str">
        <f>IFERROR(IF(ventas_b_mes5[[#This Row],[CUIT]]="","-",VLOOKUP(ventas_b_mes5[[#This Row],[CUIT]],Lista_CUIT[#All],2,0)),"CUIT NO CARGADO")</f>
        <v>-</v>
      </c>
      <c r="H287" s="64"/>
      <c r="I287" s="144">
        <f>ventas_b_mes5[[#This Row],[IMPORTE NETO]]*0.21</f>
        <v>0</v>
      </c>
      <c r="J287" s="145"/>
      <c r="K287" s="145"/>
      <c r="L287" s="145">
        <f>SUM(ventas_b_mes5[[#This Row],[IMPORTE NETO]:[EXENTO]])</f>
        <v>0</v>
      </c>
      <c r="M287" s="59"/>
    </row>
    <row r="288" spans="2:13" x14ac:dyDescent="0.25">
      <c r="B288" s="139"/>
      <c r="C288" s="41"/>
      <c r="D288" s="141"/>
      <c r="E288" s="142"/>
      <c r="F288" s="143"/>
      <c r="G288" s="1" t="str">
        <f>IFERROR(IF(ventas_b_mes5[[#This Row],[CUIT]]="","-",VLOOKUP(ventas_b_mes5[[#This Row],[CUIT]],Lista_CUIT[#All],2,0)),"CUIT NO CARGADO")</f>
        <v>-</v>
      </c>
      <c r="H288" s="64"/>
      <c r="I288" s="144">
        <f>ventas_b_mes5[[#This Row],[IMPORTE NETO]]*0.21</f>
        <v>0</v>
      </c>
      <c r="J288" s="145"/>
      <c r="K288" s="145"/>
      <c r="L288" s="145">
        <f>SUM(ventas_b_mes5[[#This Row],[IMPORTE NETO]:[EXENTO]])</f>
        <v>0</v>
      </c>
      <c r="M288" s="59"/>
    </row>
    <row r="289" spans="2:13" x14ac:dyDescent="0.25">
      <c r="B289" s="139"/>
      <c r="C289" s="41"/>
      <c r="D289" s="141"/>
      <c r="E289" s="142"/>
      <c r="F289" s="143"/>
      <c r="G289" s="1" t="str">
        <f>IFERROR(IF(ventas_b_mes5[[#This Row],[CUIT]]="","-",VLOOKUP(ventas_b_mes5[[#This Row],[CUIT]],Lista_CUIT[#All],2,0)),"CUIT NO CARGADO")</f>
        <v>-</v>
      </c>
      <c r="H289" s="64"/>
      <c r="I289" s="144">
        <f>ventas_b_mes5[[#This Row],[IMPORTE NETO]]*0.21</f>
        <v>0</v>
      </c>
      <c r="J289" s="145"/>
      <c r="K289" s="145"/>
      <c r="L289" s="145">
        <f>SUM(ventas_b_mes5[[#This Row],[IMPORTE NETO]:[EXENTO]])</f>
        <v>0</v>
      </c>
      <c r="M289" s="59"/>
    </row>
    <row r="290" spans="2:13" x14ac:dyDescent="0.25">
      <c r="B290" s="139"/>
      <c r="C290" s="41"/>
      <c r="D290" s="141"/>
      <c r="E290" s="142"/>
      <c r="F290" s="143"/>
      <c r="G290" s="1" t="str">
        <f>IFERROR(IF(ventas_b_mes5[[#This Row],[CUIT]]="","-",VLOOKUP(ventas_b_mes5[[#This Row],[CUIT]],Lista_CUIT[#All],2,0)),"CUIT NO CARGADO")</f>
        <v>-</v>
      </c>
      <c r="H290" s="64"/>
      <c r="I290" s="144">
        <f>ventas_b_mes5[[#This Row],[IMPORTE NETO]]*0.21</f>
        <v>0</v>
      </c>
      <c r="J290" s="145"/>
      <c r="K290" s="145"/>
      <c r="L290" s="145">
        <f>SUM(ventas_b_mes5[[#This Row],[IMPORTE NETO]:[EXENTO]])</f>
        <v>0</v>
      </c>
      <c r="M290" s="59"/>
    </row>
    <row r="291" spans="2:13" x14ac:dyDescent="0.25">
      <c r="B291" s="139"/>
      <c r="C291" s="41"/>
      <c r="D291" s="141"/>
      <c r="E291" s="142"/>
      <c r="F291" s="143"/>
      <c r="G291" s="1" t="str">
        <f>IFERROR(IF(ventas_b_mes5[[#This Row],[CUIT]]="","-",VLOOKUP(ventas_b_mes5[[#This Row],[CUIT]],Lista_CUIT[#All],2,0)),"CUIT NO CARGADO")</f>
        <v>-</v>
      </c>
      <c r="H291" s="64"/>
      <c r="I291" s="144">
        <f>ventas_b_mes5[[#This Row],[IMPORTE NETO]]*0.21</f>
        <v>0</v>
      </c>
      <c r="J291" s="145"/>
      <c r="K291" s="145"/>
      <c r="L291" s="145">
        <f>SUM(ventas_b_mes5[[#This Row],[IMPORTE NETO]:[EXENTO]])</f>
        <v>0</v>
      </c>
      <c r="M291" s="59"/>
    </row>
    <row r="292" spans="2:13" x14ac:dyDescent="0.25">
      <c r="B292" s="139"/>
      <c r="C292" s="41"/>
      <c r="D292" s="141"/>
      <c r="E292" s="142"/>
      <c r="F292" s="143"/>
      <c r="G292" s="1" t="str">
        <f>IFERROR(IF(ventas_b_mes5[[#This Row],[CUIT]]="","-",VLOOKUP(ventas_b_mes5[[#This Row],[CUIT]],Lista_CUIT[#All],2,0)),"CUIT NO CARGADO")</f>
        <v>-</v>
      </c>
      <c r="H292" s="64"/>
      <c r="I292" s="144">
        <f>ventas_b_mes5[[#This Row],[IMPORTE NETO]]*0.21</f>
        <v>0</v>
      </c>
      <c r="J292" s="145"/>
      <c r="K292" s="145"/>
      <c r="L292" s="145">
        <f>SUM(ventas_b_mes5[[#This Row],[IMPORTE NETO]:[EXENTO]])</f>
        <v>0</v>
      </c>
      <c r="M292" s="59"/>
    </row>
    <row r="293" spans="2:13" x14ac:dyDescent="0.25">
      <c r="B293" s="139"/>
      <c r="C293" s="41"/>
      <c r="D293" s="141"/>
      <c r="E293" s="142"/>
      <c r="F293" s="143"/>
      <c r="G293" s="1" t="str">
        <f>IFERROR(IF(ventas_b_mes5[[#This Row],[CUIT]]="","-",VLOOKUP(ventas_b_mes5[[#This Row],[CUIT]],Lista_CUIT[#All],2,0)),"CUIT NO CARGADO")</f>
        <v>-</v>
      </c>
      <c r="H293" s="64"/>
      <c r="I293" s="144">
        <f>ventas_b_mes5[[#This Row],[IMPORTE NETO]]*0.21</f>
        <v>0</v>
      </c>
      <c r="J293" s="145"/>
      <c r="K293" s="145"/>
      <c r="L293" s="145">
        <f>SUM(ventas_b_mes5[[#This Row],[IMPORTE NETO]:[EXENTO]])</f>
        <v>0</v>
      </c>
      <c r="M293" s="59"/>
    </row>
    <row r="294" spans="2:13" x14ac:dyDescent="0.25">
      <c r="B294" s="139"/>
      <c r="C294" s="41"/>
      <c r="D294" s="141"/>
      <c r="E294" s="142"/>
      <c r="F294" s="143"/>
      <c r="G294" s="1" t="str">
        <f>IFERROR(IF(ventas_b_mes5[[#This Row],[CUIT]]="","-",VLOOKUP(ventas_b_mes5[[#This Row],[CUIT]],Lista_CUIT[#All],2,0)),"CUIT NO CARGADO")</f>
        <v>-</v>
      </c>
      <c r="H294" s="64"/>
      <c r="I294" s="144">
        <f>ventas_b_mes5[[#This Row],[IMPORTE NETO]]*0.21</f>
        <v>0</v>
      </c>
      <c r="J294" s="145"/>
      <c r="K294" s="145"/>
      <c r="L294" s="145">
        <f>SUM(ventas_b_mes5[[#This Row],[IMPORTE NETO]:[EXENTO]])</f>
        <v>0</v>
      </c>
      <c r="M294" s="59"/>
    </row>
    <row r="295" spans="2:13" x14ac:dyDescent="0.25">
      <c r="B295" s="139"/>
      <c r="C295" s="41"/>
      <c r="D295" s="141"/>
      <c r="E295" s="142"/>
      <c r="F295" s="143"/>
      <c r="G295" s="1" t="str">
        <f>IFERROR(IF(ventas_b_mes5[[#This Row],[CUIT]]="","-",VLOOKUP(ventas_b_mes5[[#This Row],[CUIT]],Lista_CUIT[#All],2,0)),"CUIT NO CARGADO")</f>
        <v>-</v>
      </c>
      <c r="H295" s="64"/>
      <c r="I295" s="144">
        <f>ventas_b_mes5[[#This Row],[IMPORTE NETO]]*0.21</f>
        <v>0</v>
      </c>
      <c r="J295" s="145"/>
      <c r="K295" s="145"/>
      <c r="L295" s="145">
        <f>SUM(ventas_b_mes5[[#This Row],[IMPORTE NETO]:[EXENTO]])</f>
        <v>0</v>
      </c>
      <c r="M295" s="59"/>
    </row>
    <row r="296" spans="2:13" x14ac:dyDescent="0.25">
      <c r="B296" s="139"/>
      <c r="C296" s="41"/>
      <c r="D296" s="141"/>
      <c r="E296" s="142"/>
      <c r="F296" s="143"/>
      <c r="G296" s="1" t="str">
        <f>IFERROR(IF(ventas_b_mes5[[#This Row],[CUIT]]="","-",VLOOKUP(ventas_b_mes5[[#This Row],[CUIT]],Lista_CUIT[#All],2,0)),"CUIT NO CARGADO")</f>
        <v>-</v>
      </c>
      <c r="H296" s="64"/>
      <c r="I296" s="144">
        <f>ventas_b_mes5[[#This Row],[IMPORTE NETO]]*0.21</f>
        <v>0</v>
      </c>
      <c r="J296" s="145"/>
      <c r="K296" s="145"/>
      <c r="L296" s="145">
        <f>SUM(ventas_b_mes5[[#This Row],[IMPORTE NETO]:[EXENTO]])</f>
        <v>0</v>
      </c>
      <c r="M296" s="59"/>
    </row>
    <row r="297" spans="2:13" x14ac:dyDescent="0.25">
      <c r="B297" s="139"/>
      <c r="C297" s="41"/>
      <c r="D297" s="141"/>
      <c r="E297" s="142"/>
      <c r="F297" s="143"/>
      <c r="G297" s="1" t="str">
        <f>IFERROR(IF(ventas_b_mes5[[#This Row],[CUIT]]="","-",VLOOKUP(ventas_b_mes5[[#This Row],[CUIT]],Lista_CUIT[#All],2,0)),"CUIT NO CARGADO")</f>
        <v>-</v>
      </c>
      <c r="H297" s="64"/>
      <c r="I297" s="144">
        <f>ventas_b_mes5[[#This Row],[IMPORTE NETO]]*0.21</f>
        <v>0</v>
      </c>
      <c r="J297" s="145"/>
      <c r="K297" s="145"/>
      <c r="L297" s="145">
        <f>SUM(ventas_b_mes5[[#This Row],[IMPORTE NETO]:[EXENTO]])</f>
        <v>0</v>
      </c>
      <c r="M297" s="59"/>
    </row>
    <row r="298" spans="2:13" x14ac:dyDescent="0.25">
      <c r="B298" s="139"/>
      <c r="C298" s="41"/>
      <c r="D298" s="141"/>
      <c r="E298" s="142"/>
      <c r="F298" s="143"/>
      <c r="G298" s="1" t="str">
        <f>IFERROR(IF(ventas_b_mes5[[#This Row],[CUIT]]="","-",VLOOKUP(ventas_b_mes5[[#This Row],[CUIT]],Lista_CUIT[#All],2,0)),"CUIT NO CARGADO")</f>
        <v>-</v>
      </c>
      <c r="H298" s="64"/>
      <c r="I298" s="144">
        <f>ventas_b_mes5[[#This Row],[IMPORTE NETO]]*0.21</f>
        <v>0</v>
      </c>
      <c r="J298" s="145"/>
      <c r="K298" s="145"/>
      <c r="L298" s="145">
        <f>SUM(ventas_b_mes5[[#This Row],[IMPORTE NETO]:[EXENTO]])</f>
        <v>0</v>
      </c>
      <c r="M298" s="59"/>
    </row>
    <row r="299" spans="2:13" x14ac:dyDescent="0.25">
      <c r="B299" s="139"/>
      <c r="C299" s="41"/>
      <c r="D299" s="141"/>
      <c r="E299" s="142"/>
      <c r="F299" s="143"/>
      <c r="G299" s="1" t="str">
        <f>IFERROR(IF(ventas_b_mes5[[#This Row],[CUIT]]="","-",VLOOKUP(ventas_b_mes5[[#This Row],[CUIT]],Lista_CUIT[#All],2,0)),"CUIT NO CARGADO")</f>
        <v>-</v>
      </c>
      <c r="H299" s="64"/>
      <c r="I299" s="144">
        <f>ventas_b_mes5[[#This Row],[IMPORTE NETO]]*0.21</f>
        <v>0</v>
      </c>
      <c r="J299" s="145"/>
      <c r="K299" s="145"/>
      <c r="L299" s="145">
        <f>SUM(ventas_b_mes5[[#This Row],[IMPORTE NETO]:[EXENTO]])</f>
        <v>0</v>
      </c>
      <c r="M299" s="59"/>
    </row>
    <row r="300" spans="2:13" x14ac:dyDescent="0.25">
      <c r="B300" s="139"/>
      <c r="C300" s="41"/>
      <c r="D300" s="141"/>
      <c r="E300" s="142"/>
      <c r="F300" s="143"/>
      <c r="G300" s="1" t="str">
        <f>IFERROR(IF(ventas_b_mes5[[#This Row],[CUIT]]="","-",VLOOKUP(ventas_b_mes5[[#This Row],[CUIT]],Lista_CUIT[#All],2,0)),"CUIT NO CARGADO")</f>
        <v>-</v>
      </c>
      <c r="H300" s="64"/>
      <c r="I300" s="144">
        <f>ventas_b_mes5[[#This Row],[IMPORTE NETO]]*0.21</f>
        <v>0</v>
      </c>
      <c r="J300" s="145"/>
      <c r="K300" s="145"/>
      <c r="L300" s="145">
        <f>SUM(ventas_b_mes5[[#This Row],[IMPORTE NETO]:[EXENTO]])</f>
        <v>0</v>
      </c>
      <c r="M300" s="59"/>
    </row>
    <row r="301" spans="2:13" x14ac:dyDescent="0.25">
      <c r="B301" s="139"/>
      <c r="C301" s="41"/>
      <c r="D301" s="141"/>
      <c r="E301" s="142"/>
      <c r="F301" s="143"/>
      <c r="G301" s="1" t="str">
        <f>IFERROR(IF(ventas_b_mes5[[#This Row],[CUIT]]="","-",VLOOKUP(ventas_b_mes5[[#This Row],[CUIT]],Lista_CUIT[#All],2,0)),"CUIT NO CARGADO")</f>
        <v>-</v>
      </c>
      <c r="H301" s="64"/>
      <c r="I301" s="144">
        <f>ventas_b_mes5[[#This Row],[IMPORTE NETO]]*0.21</f>
        <v>0</v>
      </c>
      <c r="J301" s="145"/>
      <c r="K301" s="145"/>
      <c r="L301" s="145">
        <f>SUM(ventas_b_mes5[[#This Row],[IMPORTE NETO]:[EXENTO]])</f>
        <v>0</v>
      </c>
      <c r="M301" s="59"/>
    </row>
    <row r="302" spans="2:13" x14ac:dyDescent="0.25">
      <c r="B302" s="139"/>
      <c r="C302" s="41"/>
      <c r="D302" s="141"/>
      <c r="E302" s="142"/>
      <c r="F302" s="143"/>
      <c r="G302" s="1" t="str">
        <f>IFERROR(IF(ventas_b_mes5[[#This Row],[CUIT]]="","-",VLOOKUP(ventas_b_mes5[[#This Row],[CUIT]],Lista_CUIT[#All],2,0)),"CUIT NO CARGADO")</f>
        <v>-</v>
      </c>
      <c r="H302" s="64"/>
      <c r="I302" s="144">
        <f>ventas_b_mes5[[#This Row],[IMPORTE NETO]]*0.21</f>
        <v>0</v>
      </c>
      <c r="J302" s="145"/>
      <c r="K302" s="145"/>
      <c r="L302" s="145">
        <f>SUM(ventas_b_mes5[[#This Row],[IMPORTE NETO]:[EXENTO]])</f>
        <v>0</v>
      </c>
      <c r="M302" s="59"/>
    </row>
    <row r="303" spans="2:13" x14ac:dyDescent="0.25">
      <c r="B303" s="139"/>
      <c r="C303" s="41"/>
      <c r="D303" s="141"/>
      <c r="E303" s="142"/>
      <c r="F303" s="143"/>
      <c r="G303" s="1" t="str">
        <f>IFERROR(IF(ventas_b_mes5[[#This Row],[CUIT]]="","-",VLOOKUP(ventas_b_mes5[[#This Row],[CUIT]],Lista_CUIT[#All],2,0)),"CUIT NO CARGADO")</f>
        <v>-</v>
      </c>
      <c r="H303" s="64"/>
      <c r="I303" s="144">
        <f>ventas_b_mes5[[#This Row],[IMPORTE NETO]]*0.21</f>
        <v>0</v>
      </c>
      <c r="J303" s="145"/>
      <c r="K303" s="145"/>
      <c r="L303" s="145">
        <f>SUM(ventas_b_mes5[[#This Row],[IMPORTE NETO]:[EXENTO]])</f>
        <v>0</v>
      </c>
      <c r="M303" s="59"/>
    </row>
    <row r="304" spans="2:13" x14ac:dyDescent="0.25">
      <c r="B304" s="139"/>
      <c r="C304" s="41"/>
      <c r="D304" s="141"/>
      <c r="E304" s="142"/>
      <c r="F304" s="143"/>
      <c r="G304" s="1" t="str">
        <f>IFERROR(IF(ventas_b_mes5[[#This Row],[CUIT]]="","-",VLOOKUP(ventas_b_mes5[[#This Row],[CUIT]],Lista_CUIT[#All],2,0)),"CUIT NO CARGADO")</f>
        <v>-</v>
      </c>
      <c r="H304" s="64"/>
      <c r="I304" s="144">
        <f>ventas_b_mes5[[#This Row],[IMPORTE NETO]]*0.21</f>
        <v>0</v>
      </c>
      <c r="J304" s="145"/>
      <c r="K304" s="145"/>
      <c r="L304" s="145">
        <f>SUM(ventas_b_mes5[[#This Row],[IMPORTE NETO]:[EXENTO]])</f>
        <v>0</v>
      </c>
      <c r="M304" s="59"/>
    </row>
    <row r="305" spans="2:13" x14ac:dyDescent="0.25">
      <c r="B305" s="139"/>
      <c r="C305" s="41"/>
      <c r="D305" s="141"/>
      <c r="E305" s="142"/>
      <c r="F305" s="143"/>
      <c r="G305" s="1" t="str">
        <f>IFERROR(IF(ventas_b_mes5[[#This Row],[CUIT]]="","-",VLOOKUP(ventas_b_mes5[[#This Row],[CUIT]],Lista_CUIT[#All],2,0)),"CUIT NO CARGADO")</f>
        <v>-</v>
      </c>
      <c r="H305" s="64"/>
      <c r="I305" s="144">
        <f>ventas_b_mes5[[#This Row],[IMPORTE NETO]]*0.21</f>
        <v>0</v>
      </c>
      <c r="J305" s="145"/>
      <c r="K305" s="145"/>
      <c r="L305" s="145">
        <f>SUM(ventas_b_mes5[[#This Row],[IMPORTE NETO]:[EXENTO]])</f>
        <v>0</v>
      </c>
      <c r="M305" s="59"/>
    </row>
    <row r="306" spans="2:13" x14ac:dyDescent="0.25">
      <c r="B306" s="139"/>
      <c r="C306" s="41"/>
      <c r="D306" s="141"/>
      <c r="E306" s="142"/>
      <c r="F306" s="143"/>
      <c r="G306" s="1" t="str">
        <f>IFERROR(IF(ventas_b_mes5[[#This Row],[CUIT]]="","-",VLOOKUP(ventas_b_mes5[[#This Row],[CUIT]],Lista_CUIT[#All],2,0)),"CUIT NO CARGADO")</f>
        <v>-</v>
      </c>
      <c r="H306" s="64"/>
      <c r="I306" s="144">
        <f>ventas_b_mes5[[#This Row],[IMPORTE NETO]]*0.21</f>
        <v>0</v>
      </c>
      <c r="J306" s="145"/>
      <c r="K306" s="145"/>
      <c r="L306" s="145">
        <f>SUM(ventas_b_mes5[[#This Row],[IMPORTE NETO]:[EXENTO]])</f>
        <v>0</v>
      </c>
      <c r="M306" s="59"/>
    </row>
    <row r="307" spans="2:13" x14ac:dyDescent="0.25">
      <c r="B307" s="139"/>
      <c r="C307" s="41"/>
      <c r="D307" s="141"/>
      <c r="E307" s="142"/>
      <c r="F307" s="143"/>
      <c r="G307" s="1" t="str">
        <f>IFERROR(IF(ventas_b_mes5[[#This Row],[CUIT]]="","-",VLOOKUP(ventas_b_mes5[[#This Row],[CUIT]],Lista_CUIT[#All],2,0)),"CUIT NO CARGADO")</f>
        <v>-</v>
      </c>
      <c r="H307" s="64"/>
      <c r="I307" s="144">
        <f>ventas_b_mes5[[#This Row],[IMPORTE NETO]]*0.21</f>
        <v>0</v>
      </c>
      <c r="J307" s="145"/>
      <c r="K307" s="145"/>
      <c r="L307" s="145">
        <f>SUM(ventas_b_mes5[[#This Row],[IMPORTE NETO]:[EXENTO]])</f>
        <v>0</v>
      </c>
      <c r="M307" s="59"/>
    </row>
    <row r="308" spans="2:13" x14ac:dyDescent="0.25">
      <c r="B308" s="139"/>
      <c r="C308" s="41"/>
      <c r="D308" s="141"/>
      <c r="E308" s="142"/>
      <c r="F308" s="143"/>
      <c r="G308" s="1" t="str">
        <f>IFERROR(IF(ventas_b_mes5[[#This Row],[CUIT]]="","-",VLOOKUP(ventas_b_mes5[[#This Row],[CUIT]],Lista_CUIT[#All],2,0)),"CUIT NO CARGADO")</f>
        <v>-</v>
      </c>
      <c r="H308" s="64"/>
      <c r="I308" s="144">
        <f>ventas_b_mes5[[#This Row],[IMPORTE NETO]]*0.21</f>
        <v>0</v>
      </c>
      <c r="J308" s="145"/>
      <c r="K308" s="145"/>
      <c r="L308" s="145">
        <f>SUM(ventas_b_mes5[[#This Row],[IMPORTE NETO]:[EXENTO]])</f>
        <v>0</v>
      </c>
      <c r="M308" s="59"/>
    </row>
    <row r="309" spans="2:13" x14ac:dyDescent="0.25">
      <c r="B309" s="139"/>
      <c r="C309" s="41"/>
      <c r="D309" s="141"/>
      <c r="E309" s="142"/>
      <c r="F309" s="143"/>
      <c r="G309" s="1" t="str">
        <f>IFERROR(IF(ventas_b_mes5[[#This Row],[CUIT]]="","-",VLOOKUP(ventas_b_mes5[[#This Row],[CUIT]],Lista_CUIT[#All],2,0)),"CUIT NO CARGADO")</f>
        <v>-</v>
      </c>
      <c r="H309" s="64"/>
      <c r="I309" s="144">
        <f>ventas_b_mes5[[#This Row],[IMPORTE NETO]]*0.21</f>
        <v>0</v>
      </c>
      <c r="J309" s="145"/>
      <c r="K309" s="145"/>
      <c r="L309" s="145">
        <f>SUM(ventas_b_mes5[[#This Row],[IMPORTE NETO]:[EXENTO]])</f>
        <v>0</v>
      </c>
      <c r="M309" s="59"/>
    </row>
    <row r="310" spans="2:13" x14ac:dyDescent="0.25">
      <c r="B310" s="139"/>
      <c r="C310" s="41"/>
      <c r="D310" s="141"/>
      <c r="E310" s="142"/>
      <c r="F310" s="143"/>
      <c r="G310" s="1" t="str">
        <f>IFERROR(IF(ventas_b_mes5[[#This Row],[CUIT]]="","-",VLOOKUP(ventas_b_mes5[[#This Row],[CUIT]],Lista_CUIT[#All],2,0)),"CUIT NO CARGADO")</f>
        <v>-</v>
      </c>
      <c r="H310" s="64"/>
      <c r="I310" s="144">
        <f>ventas_b_mes5[[#This Row],[IMPORTE NETO]]*0.21</f>
        <v>0</v>
      </c>
      <c r="J310" s="145"/>
      <c r="K310" s="145"/>
      <c r="L310" s="145">
        <f>SUM(ventas_b_mes5[[#This Row],[IMPORTE NETO]:[EXENTO]])</f>
        <v>0</v>
      </c>
      <c r="M310" s="59"/>
    </row>
    <row r="311" spans="2:13" x14ac:dyDescent="0.25">
      <c r="B311" s="139"/>
      <c r="C311" s="41"/>
      <c r="D311" s="141"/>
      <c r="E311" s="142"/>
      <c r="F311" s="143"/>
      <c r="G311" s="1" t="str">
        <f>IFERROR(IF(ventas_b_mes5[[#This Row],[CUIT]]="","-",VLOOKUP(ventas_b_mes5[[#This Row],[CUIT]],Lista_CUIT[#All],2,0)),"CUIT NO CARGADO")</f>
        <v>-</v>
      </c>
      <c r="H311" s="64"/>
      <c r="I311" s="144">
        <f>ventas_b_mes5[[#This Row],[IMPORTE NETO]]*0.21</f>
        <v>0</v>
      </c>
      <c r="J311" s="145"/>
      <c r="K311" s="145"/>
      <c r="L311" s="145">
        <f>SUM(ventas_b_mes5[[#This Row],[IMPORTE NETO]:[EXENTO]])</f>
        <v>0</v>
      </c>
      <c r="M311" s="59"/>
    </row>
    <row r="312" spans="2:13" x14ac:dyDescent="0.25">
      <c r="B312" s="139"/>
      <c r="C312" s="41"/>
      <c r="D312" s="141"/>
      <c r="E312" s="142"/>
      <c r="F312" s="143"/>
      <c r="G312" s="1" t="str">
        <f>IFERROR(IF(ventas_b_mes5[[#This Row],[CUIT]]="","-",VLOOKUP(ventas_b_mes5[[#This Row],[CUIT]],Lista_CUIT[#All],2,0)),"CUIT NO CARGADO")</f>
        <v>-</v>
      </c>
      <c r="H312" s="64"/>
      <c r="I312" s="144">
        <f>ventas_b_mes5[[#This Row],[IMPORTE NETO]]*0.21</f>
        <v>0</v>
      </c>
      <c r="J312" s="145"/>
      <c r="K312" s="145"/>
      <c r="L312" s="145">
        <f>SUM(ventas_b_mes5[[#This Row],[IMPORTE NETO]:[EXENTO]])</f>
        <v>0</v>
      </c>
      <c r="M312" s="59"/>
    </row>
    <row r="313" spans="2:13" x14ac:dyDescent="0.25">
      <c r="B313" s="139"/>
      <c r="C313" s="41"/>
      <c r="D313" s="141"/>
      <c r="E313" s="142"/>
      <c r="F313" s="143"/>
      <c r="G313" s="1" t="str">
        <f>IFERROR(IF(ventas_b_mes5[[#This Row],[CUIT]]="","-",VLOOKUP(ventas_b_mes5[[#This Row],[CUIT]],Lista_CUIT[#All],2,0)),"CUIT NO CARGADO")</f>
        <v>-</v>
      </c>
      <c r="H313" s="64"/>
      <c r="I313" s="144">
        <f>ventas_b_mes5[[#This Row],[IMPORTE NETO]]*0.21</f>
        <v>0</v>
      </c>
      <c r="J313" s="145"/>
      <c r="K313" s="145"/>
      <c r="L313" s="145">
        <f>SUM(ventas_b_mes5[[#This Row],[IMPORTE NETO]:[EXENTO]])</f>
        <v>0</v>
      </c>
      <c r="M313" s="59"/>
    </row>
    <row r="314" spans="2:13" x14ac:dyDescent="0.25">
      <c r="B314" s="139"/>
      <c r="C314" s="41"/>
      <c r="D314" s="141"/>
      <c r="E314" s="142"/>
      <c r="F314" s="143"/>
      <c r="G314" s="1" t="str">
        <f>IFERROR(IF(ventas_b_mes5[[#This Row],[CUIT]]="","-",VLOOKUP(ventas_b_mes5[[#This Row],[CUIT]],Lista_CUIT[#All],2,0)),"CUIT NO CARGADO")</f>
        <v>-</v>
      </c>
      <c r="H314" s="64"/>
      <c r="I314" s="144">
        <f>ventas_b_mes5[[#This Row],[IMPORTE NETO]]*0.21</f>
        <v>0</v>
      </c>
      <c r="J314" s="145"/>
      <c r="K314" s="145"/>
      <c r="L314" s="145">
        <f>SUM(ventas_b_mes5[[#This Row],[IMPORTE NETO]:[EXENTO]])</f>
        <v>0</v>
      </c>
      <c r="M314" s="59"/>
    </row>
    <row r="315" spans="2:13" x14ac:dyDescent="0.25">
      <c r="B315" s="139"/>
      <c r="C315" s="41"/>
      <c r="D315" s="141"/>
      <c r="E315" s="142"/>
      <c r="F315" s="143"/>
      <c r="G315" s="1" t="str">
        <f>IFERROR(IF(ventas_b_mes5[[#This Row],[CUIT]]="","-",VLOOKUP(ventas_b_mes5[[#This Row],[CUIT]],Lista_CUIT[#All],2,0)),"CUIT NO CARGADO")</f>
        <v>-</v>
      </c>
      <c r="H315" s="64"/>
      <c r="I315" s="144">
        <f>ventas_b_mes5[[#This Row],[IMPORTE NETO]]*0.21</f>
        <v>0</v>
      </c>
      <c r="J315" s="145"/>
      <c r="K315" s="145"/>
      <c r="L315" s="145">
        <f>SUM(ventas_b_mes5[[#This Row],[IMPORTE NETO]:[EXENTO]])</f>
        <v>0</v>
      </c>
      <c r="M315" s="59"/>
    </row>
    <row r="316" spans="2:13" x14ac:dyDescent="0.25">
      <c r="B316" s="139"/>
      <c r="C316" s="41"/>
      <c r="D316" s="141"/>
      <c r="E316" s="142"/>
      <c r="F316" s="143"/>
      <c r="G316" s="1" t="str">
        <f>IFERROR(IF(ventas_b_mes5[[#This Row],[CUIT]]="","-",VLOOKUP(ventas_b_mes5[[#This Row],[CUIT]],Lista_CUIT[#All],2,0)),"CUIT NO CARGADO")</f>
        <v>-</v>
      </c>
      <c r="H316" s="64"/>
      <c r="I316" s="144">
        <f>ventas_b_mes5[[#This Row],[IMPORTE NETO]]*0.21</f>
        <v>0</v>
      </c>
      <c r="J316" s="145"/>
      <c r="K316" s="145"/>
      <c r="L316" s="145">
        <f>SUM(ventas_b_mes5[[#This Row],[IMPORTE NETO]:[EXENTO]])</f>
        <v>0</v>
      </c>
      <c r="M316" s="59"/>
    </row>
    <row r="317" spans="2:13" x14ac:dyDescent="0.25">
      <c r="B317" s="139"/>
      <c r="C317" s="41"/>
      <c r="D317" s="141"/>
      <c r="E317" s="142"/>
      <c r="F317" s="143"/>
      <c r="G317" s="1" t="str">
        <f>IFERROR(IF(ventas_b_mes5[[#This Row],[CUIT]]="","-",VLOOKUP(ventas_b_mes5[[#This Row],[CUIT]],Lista_CUIT[#All],2,0)),"CUIT NO CARGADO")</f>
        <v>-</v>
      </c>
      <c r="H317" s="64"/>
      <c r="I317" s="144">
        <f>ventas_b_mes5[[#This Row],[IMPORTE NETO]]*0.21</f>
        <v>0</v>
      </c>
      <c r="J317" s="145"/>
      <c r="K317" s="145"/>
      <c r="L317" s="145">
        <f>SUM(ventas_b_mes5[[#This Row],[IMPORTE NETO]:[EXENTO]])</f>
        <v>0</v>
      </c>
      <c r="M317" s="59"/>
    </row>
    <row r="318" spans="2:13" x14ac:dyDescent="0.25">
      <c r="B318" s="139"/>
      <c r="C318" s="41"/>
      <c r="D318" s="141"/>
      <c r="E318" s="142"/>
      <c r="F318" s="143"/>
      <c r="G318" s="1" t="str">
        <f>IFERROR(IF(ventas_b_mes5[[#This Row],[CUIT]]="","-",VLOOKUP(ventas_b_mes5[[#This Row],[CUIT]],Lista_CUIT[#All],2,0)),"CUIT NO CARGADO")</f>
        <v>-</v>
      </c>
      <c r="H318" s="64"/>
      <c r="I318" s="144">
        <f>ventas_b_mes5[[#This Row],[IMPORTE NETO]]*0.21</f>
        <v>0</v>
      </c>
      <c r="J318" s="145"/>
      <c r="K318" s="145"/>
      <c r="L318" s="145">
        <f>SUM(ventas_b_mes5[[#This Row],[IMPORTE NETO]:[EXENTO]])</f>
        <v>0</v>
      </c>
      <c r="M318" s="59"/>
    </row>
    <row r="319" spans="2:13" x14ac:dyDescent="0.25">
      <c r="B319" s="139"/>
      <c r="C319" s="41"/>
      <c r="D319" s="141"/>
      <c r="E319" s="142"/>
      <c r="F319" s="143"/>
      <c r="G319" s="1" t="str">
        <f>IFERROR(IF(ventas_b_mes5[[#This Row],[CUIT]]="","-",VLOOKUP(ventas_b_mes5[[#This Row],[CUIT]],Lista_CUIT[#All],2,0)),"CUIT NO CARGADO")</f>
        <v>-</v>
      </c>
      <c r="H319" s="64"/>
      <c r="I319" s="144">
        <f>ventas_b_mes5[[#This Row],[IMPORTE NETO]]*0.21</f>
        <v>0</v>
      </c>
      <c r="J319" s="145"/>
      <c r="K319" s="145"/>
      <c r="L319" s="145">
        <f>SUM(ventas_b_mes5[[#This Row],[IMPORTE NETO]:[EXENTO]])</f>
        <v>0</v>
      </c>
      <c r="M319" s="59"/>
    </row>
    <row r="320" spans="2:13" x14ac:dyDescent="0.25">
      <c r="B320" s="139"/>
      <c r="C320" s="41"/>
      <c r="D320" s="141"/>
      <c r="E320" s="142"/>
      <c r="F320" s="143"/>
      <c r="G320" s="1" t="str">
        <f>IFERROR(IF(ventas_b_mes5[[#This Row],[CUIT]]="","-",VLOOKUP(ventas_b_mes5[[#This Row],[CUIT]],Lista_CUIT[#All],2,0)),"CUIT NO CARGADO")</f>
        <v>-</v>
      </c>
      <c r="H320" s="64"/>
      <c r="I320" s="144">
        <f>ventas_b_mes5[[#This Row],[IMPORTE NETO]]*0.21</f>
        <v>0</v>
      </c>
      <c r="J320" s="145"/>
      <c r="K320" s="145"/>
      <c r="L320" s="145">
        <f>SUM(ventas_b_mes5[[#This Row],[IMPORTE NETO]:[EXENTO]])</f>
        <v>0</v>
      </c>
      <c r="M320" s="59"/>
    </row>
    <row r="321" spans="2:13" x14ac:dyDescent="0.25">
      <c r="B321" s="139"/>
      <c r="C321" s="41"/>
      <c r="D321" s="141"/>
      <c r="E321" s="142"/>
      <c r="F321" s="143"/>
      <c r="G321" s="1" t="str">
        <f>IFERROR(IF(ventas_b_mes5[[#This Row],[CUIT]]="","-",VLOOKUP(ventas_b_mes5[[#This Row],[CUIT]],Lista_CUIT[#All],2,0)),"CUIT NO CARGADO")</f>
        <v>-</v>
      </c>
      <c r="H321" s="64"/>
      <c r="I321" s="144">
        <f>ventas_b_mes5[[#This Row],[IMPORTE NETO]]*0.21</f>
        <v>0</v>
      </c>
      <c r="J321" s="145"/>
      <c r="K321" s="145"/>
      <c r="L321" s="145">
        <f>SUM(ventas_b_mes5[[#This Row],[IMPORTE NETO]:[EXENTO]])</f>
        <v>0</v>
      </c>
      <c r="M321" s="59"/>
    </row>
    <row r="322" spans="2:13" x14ac:dyDescent="0.25">
      <c r="B322" s="139"/>
      <c r="C322" s="41"/>
      <c r="D322" s="141"/>
      <c r="E322" s="142"/>
      <c r="F322" s="143"/>
      <c r="G322" s="1" t="str">
        <f>IFERROR(IF(ventas_b_mes5[[#This Row],[CUIT]]="","-",VLOOKUP(ventas_b_mes5[[#This Row],[CUIT]],Lista_CUIT[#All],2,0)),"CUIT NO CARGADO")</f>
        <v>-</v>
      </c>
      <c r="H322" s="64"/>
      <c r="I322" s="144">
        <f>ventas_b_mes5[[#This Row],[IMPORTE NETO]]*0.21</f>
        <v>0</v>
      </c>
      <c r="J322" s="145"/>
      <c r="K322" s="145"/>
      <c r="L322" s="145">
        <f>SUM(ventas_b_mes5[[#This Row],[IMPORTE NETO]:[EXENTO]])</f>
        <v>0</v>
      </c>
      <c r="M322" s="59"/>
    </row>
    <row r="323" spans="2:13" x14ac:dyDescent="0.25">
      <c r="B323" s="139"/>
      <c r="C323" s="41"/>
      <c r="D323" s="141"/>
      <c r="E323" s="142"/>
      <c r="F323" s="143"/>
      <c r="G323" s="1" t="str">
        <f>IFERROR(IF(ventas_b_mes5[[#This Row],[CUIT]]="","-",VLOOKUP(ventas_b_mes5[[#This Row],[CUIT]],Lista_CUIT[#All],2,0)),"CUIT NO CARGADO")</f>
        <v>-</v>
      </c>
      <c r="H323" s="64"/>
      <c r="I323" s="144">
        <f>ventas_b_mes5[[#This Row],[IMPORTE NETO]]*0.21</f>
        <v>0</v>
      </c>
      <c r="J323" s="145"/>
      <c r="K323" s="145"/>
      <c r="L323" s="145">
        <f>SUM(ventas_b_mes5[[#This Row],[IMPORTE NETO]:[EXENTO]])</f>
        <v>0</v>
      </c>
      <c r="M323" s="59"/>
    </row>
    <row r="324" spans="2:13" x14ac:dyDescent="0.25">
      <c r="B324" s="139"/>
      <c r="C324" s="41"/>
      <c r="D324" s="141"/>
      <c r="E324" s="142"/>
      <c r="F324" s="143"/>
      <c r="G324" s="1" t="str">
        <f>IFERROR(IF(ventas_b_mes5[[#This Row],[CUIT]]="","-",VLOOKUP(ventas_b_mes5[[#This Row],[CUIT]],Lista_CUIT[#All],2,0)),"CUIT NO CARGADO")</f>
        <v>-</v>
      </c>
      <c r="H324" s="64"/>
      <c r="I324" s="144">
        <f>ventas_b_mes5[[#This Row],[IMPORTE NETO]]*0.21</f>
        <v>0</v>
      </c>
      <c r="J324" s="145"/>
      <c r="K324" s="145"/>
      <c r="L324" s="145">
        <f>SUM(ventas_b_mes5[[#This Row],[IMPORTE NETO]:[EXENTO]])</f>
        <v>0</v>
      </c>
      <c r="M324" s="59"/>
    </row>
    <row r="325" spans="2:13" x14ac:dyDescent="0.25">
      <c r="B325" s="139"/>
      <c r="C325" s="41"/>
      <c r="D325" s="141"/>
      <c r="E325" s="142"/>
      <c r="F325" s="143"/>
      <c r="G325" s="1" t="str">
        <f>IFERROR(IF(ventas_b_mes5[[#This Row],[CUIT]]="","-",VLOOKUP(ventas_b_mes5[[#This Row],[CUIT]],Lista_CUIT[#All],2,0)),"CUIT NO CARGADO")</f>
        <v>-</v>
      </c>
      <c r="H325" s="64"/>
      <c r="I325" s="144">
        <f>ventas_b_mes5[[#This Row],[IMPORTE NETO]]*0.21</f>
        <v>0</v>
      </c>
      <c r="J325" s="145"/>
      <c r="K325" s="145"/>
      <c r="L325" s="145">
        <f>SUM(ventas_b_mes5[[#This Row],[IMPORTE NETO]:[EXENTO]])</f>
        <v>0</v>
      </c>
      <c r="M325" s="59"/>
    </row>
    <row r="326" spans="2:13" x14ac:dyDescent="0.25">
      <c r="B326" s="139"/>
      <c r="C326" s="41"/>
      <c r="D326" s="141"/>
      <c r="E326" s="142"/>
      <c r="F326" s="143"/>
      <c r="G326" s="1" t="str">
        <f>IFERROR(IF(ventas_b_mes5[[#This Row],[CUIT]]="","-",VLOOKUP(ventas_b_mes5[[#This Row],[CUIT]],Lista_CUIT[#All],2,0)),"CUIT NO CARGADO")</f>
        <v>-</v>
      </c>
      <c r="H326" s="64"/>
      <c r="I326" s="144">
        <f>ventas_b_mes5[[#This Row],[IMPORTE NETO]]*0.21</f>
        <v>0</v>
      </c>
      <c r="J326" s="145"/>
      <c r="K326" s="145"/>
      <c r="L326" s="145">
        <f>SUM(ventas_b_mes5[[#This Row],[IMPORTE NETO]:[EXENTO]])</f>
        <v>0</v>
      </c>
      <c r="M326" s="59"/>
    </row>
    <row r="327" spans="2:13" x14ac:dyDescent="0.25">
      <c r="B327" s="139"/>
      <c r="C327" s="41"/>
      <c r="D327" s="141"/>
      <c r="E327" s="142"/>
      <c r="F327" s="143"/>
      <c r="G327" s="1" t="str">
        <f>IFERROR(IF(ventas_b_mes5[[#This Row],[CUIT]]="","-",VLOOKUP(ventas_b_mes5[[#This Row],[CUIT]],Lista_CUIT[#All],2,0)),"CUIT NO CARGADO")</f>
        <v>-</v>
      </c>
      <c r="H327" s="64"/>
      <c r="I327" s="144">
        <f>ventas_b_mes5[[#This Row],[IMPORTE NETO]]*0.21</f>
        <v>0</v>
      </c>
      <c r="J327" s="145"/>
      <c r="K327" s="145"/>
      <c r="L327" s="145">
        <f>SUM(ventas_b_mes5[[#This Row],[IMPORTE NETO]:[EXENTO]])</f>
        <v>0</v>
      </c>
      <c r="M327" s="59"/>
    </row>
    <row r="328" spans="2:13" x14ac:dyDescent="0.25">
      <c r="B328" s="139"/>
      <c r="C328" s="41"/>
      <c r="D328" s="141"/>
      <c r="E328" s="142"/>
      <c r="F328" s="143"/>
      <c r="G328" s="1" t="str">
        <f>IFERROR(IF(ventas_b_mes5[[#This Row],[CUIT]]="","-",VLOOKUP(ventas_b_mes5[[#This Row],[CUIT]],Lista_CUIT[#All],2,0)),"CUIT NO CARGADO")</f>
        <v>-</v>
      </c>
      <c r="H328" s="64"/>
      <c r="I328" s="144">
        <f>ventas_b_mes5[[#This Row],[IMPORTE NETO]]*0.21</f>
        <v>0</v>
      </c>
      <c r="J328" s="145"/>
      <c r="K328" s="145"/>
      <c r="L328" s="145">
        <f>SUM(ventas_b_mes5[[#This Row],[IMPORTE NETO]:[EXENTO]])</f>
        <v>0</v>
      </c>
      <c r="M328" s="59"/>
    </row>
    <row r="329" spans="2:13" x14ac:dyDescent="0.25">
      <c r="B329" s="139"/>
      <c r="C329" s="41"/>
      <c r="D329" s="141"/>
      <c r="E329" s="142"/>
      <c r="F329" s="143"/>
      <c r="G329" s="1" t="str">
        <f>IFERROR(IF(ventas_b_mes5[[#This Row],[CUIT]]="","-",VLOOKUP(ventas_b_mes5[[#This Row],[CUIT]],Lista_CUIT[#All],2,0)),"CUIT NO CARGADO")</f>
        <v>-</v>
      </c>
      <c r="H329" s="64"/>
      <c r="I329" s="144">
        <f>ventas_b_mes5[[#This Row],[IMPORTE NETO]]*0.21</f>
        <v>0</v>
      </c>
      <c r="J329" s="145"/>
      <c r="K329" s="145"/>
      <c r="L329" s="145">
        <f>SUM(ventas_b_mes5[[#This Row],[IMPORTE NETO]:[EXENTO]])</f>
        <v>0</v>
      </c>
      <c r="M329" s="59"/>
    </row>
    <row r="330" spans="2:13" x14ac:dyDescent="0.25">
      <c r="B330" s="139"/>
      <c r="C330" s="41"/>
      <c r="D330" s="141"/>
      <c r="E330" s="142"/>
      <c r="F330" s="143"/>
      <c r="G330" s="1" t="str">
        <f>IFERROR(IF(ventas_b_mes5[[#This Row],[CUIT]]="","-",VLOOKUP(ventas_b_mes5[[#This Row],[CUIT]],Lista_CUIT[#All],2,0)),"CUIT NO CARGADO")</f>
        <v>-</v>
      </c>
      <c r="H330" s="64"/>
      <c r="I330" s="144">
        <f>ventas_b_mes5[[#This Row],[IMPORTE NETO]]*0.21</f>
        <v>0</v>
      </c>
      <c r="J330" s="145"/>
      <c r="K330" s="145"/>
      <c r="L330" s="145">
        <f>SUM(ventas_b_mes5[[#This Row],[IMPORTE NETO]:[EXENTO]])</f>
        <v>0</v>
      </c>
      <c r="M330" s="59"/>
    </row>
    <row r="331" spans="2:13" x14ac:dyDescent="0.25">
      <c r="B331" s="139"/>
      <c r="C331" s="41"/>
      <c r="D331" s="141"/>
      <c r="E331" s="142"/>
      <c r="F331" s="143"/>
      <c r="G331" s="1" t="str">
        <f>IFERROR(IF(ventas_b_mes5[[#This Row],[CUIT]]="","-",VLOOKUP(ventas_b_mes5[[#This Row],[CUIT]],Lista_CUIT[#All],2,0)),"CUIT NO CARGADO")</f>
        <v>-</v>
      </c>
      <c r="H331" s="64"/>
      <c r="I331" s="144">
        <f>ventas_b_mes5[[#This Row],[IMPORTE NETO]]*0.21</f>
        <v>0</v>
      </c>
      <c r="J331" s="145"/>
      <c r="K331" s="145"/>
      <c r="L331" s="145">
        <f>SUM(ventas_b_mes5[[#This Row],[IMPORTE NETO]:[EXENTO]])</f>
        <v>0</v>
      </c>
      <c r="M331" s="59"/>
    </row>
    <row r="332" spans="2:13" x14ac:dyDescent="0.25">
      <c r="B332" s="139"/>
      <c r="C332" s="41"/>
      <c r="D332" s="141"/>
      <c r="E332" s="142"/>
      <c r="F332" s="143"/>
      <c r="G332" s="1" t="str">
        <f>IFERROR(IF(ventas_b_mes5[[#This Row],[CUIT]]="","-",VLOOKUP(ventas_b_mes5[[#This Row],[CUIT]],Lista_CUIT[#All],2,0)),"CUIT NO CARGADO")</f>
        <v>-</v>
      </c>
      <c r="H332" s="64"/>
      <c r="I332" s="144">
        <f>ventas_b_mes5[[#This Row],[IMPORTE NETO]]*0.21</f>
        <v>0</v>
      </c>
      <c r="J332" s="145"/>
      <c r="K332" s="145"/>
      <c r="L332" s="145">
        <f>SUM(ventas_b_mes5[[#This Row],[IMPORTE NETO]:[EXENTO]])</f>
        <v>0</v>
      </c>
      <c r="M332" s="59"/>
    </row>
    <row r="333" spans="2:13" x14ac:dyDescent="0.25">
      <c r="B333" s="139"/>
      <c r="C333" s="41"/>
      <c r="D333" s="141"/>
      <c r="E333" s="142"/>
      <c r="F333" s="143"/>
      <c r="G333" s="1" t="str">
        <f>IFERROR(IF(ventas_b_mes5[[#This Row],[CUIT]]="","-",VLOOKUP(ventas_b_mes5[[#This Row],[CUIT]],Lista_CUIT[#All],2,0)),"CUIT NO CARGADO")</f>
        <v>-</v>
      </c>
      <c r="H333" s="64"/>
      <c r="I333" s="144">
        <f>ventas_b_mes5[[#This Row],[IMPORTE NETO]]*0.21</f>
        <v>0</v>
      </c>
      <c r="J333" s="145"/>
      <c r="K333" s="145"/>
      <c r="L333" s="145">
        <f>SUM(ventas_b_mes5[[#This Row],[IMPORTE NETO]:[EXENTO]])</f>
        <v>0</v>
      </c>
      <c r="M333" s="59"/>
    </row>
    <row r="334" spans="2:13" x14ac:dyDescent="0.25">
      <c r="B334" s="139"/>
      <c r="C334" s="41"/>
      <c r="D334" s="141"/>
      <c r="E334" s="142"/>
      <c r="F334" s="143"/>
      <c r="G334" s="1" t="str">
        <f>IFERROR(IF(ventas_b_mes5[[#This Row],[CUIT]]="","-",VLOOKUP(ventas_b_mes5[[#This Row],[CUIT]],Lista_CUIT[#All],2,0)),"CUIT NO CARGADO")</f>
        <v>-</v>
      </c>
      <c r="H334" s="64"/>
      <c r="I334" s="144">
        <f>ventas_b_mes5[[#This Row],[IMPORTE NETO]]*0.21</f>
        <v>0</v>
      </c>
      <c r="J334" s="145"/>
      <c r="K334" s="145"/>
      <c r="L334" s="145">
        <f>SUM(ventas_b_mes5[[#This Row],[IMPORTE NETO]:[EXENTO]])</f>
        <v>0</v>
      </c>
      <c r="M334" s="59"/>
    </row>
    <row r="335" spans="2:13" x14ac:dyDescent="0.25">
      <c r="B335" s="139"/>
      <c r="C335" s="41"/>
      <c r="D335" s="141"/>
      <c r="E335" s="142"/>
      <c r="F335" s="143"/>
      <c r="G335" s="1" t="str">
        <f>IFERROR(IF(ventas_b_mes5[[#This Row],[CUIT]]="","-",VLOOKUP(ventas_b_mes5[[#This Row],[CUIT]],Lista_CUIT[#All],2,0)),"CUIT NO CARGADO")</f>
        <v>-</v>
      </c>
      <c r="H335" s="64"/>
      <c r="I335" s="144">
        <f>ventas_b_mes5[[#This Row],[IMPORTE NETO]]*0.21</f>
        <v>0</v>
      </c>
      <c r="J335" s="145"/>
      <c r="K335" s="145"/>
      <c r="L335" s="145">
        <f>SUM(ventas_b_mes5[[#This Row],[IMPORTE NETO]:[EXENTO]])</f>
        <v>0</v>
      </c>
      <c r="M335" s="59"/>
    </row>
    <row r="336" spans="2:13" x14ac:dyDescent="0.25">
      <c r="B336" s="139"/>
      <c r="C336" s="41"/>
      <c r="D336" s="141"/>
      <c r="E336" s="142"/>
      <c r="F336" s="143"/>
      <c r="G336" s="1" t="str">
        <f>IFERROR(IF(ventas_b_mes5[[#This Row],[CUIT]]="","-",VLOOKUP(ventas_b_mes5[[#This Row],[CUIT]],Lista_CUIT[#All],2,0)),"CUIT NO CARGADO")</f>
        <v>-</v>
      </c>
      <c r="H336" s="64"/>
      <c r="I336" s="144">
        <f>ventas_b_mes5[[#This Row],[IMPORTE NETO]]*0.21</f>
        <v>0</v>
      </c>
      <c r="J336" s="145"/>
      <c r="K336" s="145"/>
      <c r="L336" s="145">
        <f>SUM(ventas_b_mes5[[#This Row],[IMPORTE NETO]:[EXENTO]])</f>
        <v>0</v>
      </c>
      <c r="M336" s="59"/>
    </row>
    <row r="337" spans="2:13" x14ac:dyDescent="0.25">
      <c r="B337" s="139"/>
      <c r="C337" s="41"/>
      <c r="D337" s="141"/>
      <c r="E337" s="142"/>
      <c r="F337" s="143"/>
      <c r="G337" s="1" t="str">
        <f>IFERROR(IF(ventas_b_mes5[[#This Row],[CUIT]]="","-",VLOOKUP(ventas_b_mes5[[#This Row],[CUIT]],Lista_CUIT[#All],2,0)),"CUIT NO CARGADO")</f>
        <v>-</v>
      </c>
      <c r="H337" s="64"/>
      <c r="I337" s="144">
        <f>ventas_b_mes5[[#This Row],[IMPORTE NETO]]*0.21</f>
        <v>0</v>
      </c>
      <c r="J337" s="145"/>
      <c r="K337" s="145"/>
      <c r="L337" s="145">
        <f>SUM(ventas_b_mes5[[#This Row],[IMPORTE NETO]:[EXENTO]])</f>
        <v>0</v>
      </c>
      <c r="M337" s="59"/>
    </row>
    <row r="338" spans="2:13" x14ac:dyDescent="0.25">
      <c r="B338" s="139"/>
      <c r="C338" s="41"/>
      <c r="D338" s="141"/>
      <c r="E338" s="142"/>
      <c r="F338" s="143"/>
      <c r="G338" s="1" t="str">
        <f>IFERROR(IF(ventas_b_mes5[[#This Row],[CUIT]]="","-",VLOOKUP(ventas_b_mes5[[#This Row],[CUIT]],Lista_CUIT[#All],2,0)),"CUIT NO CARGADO")</f>
        <v>-</v>
      </c>
      <c r="H338" s="64"/>
      <c r="I338" s="144">
        <f>ventas_b_mes5[[#This Row],[IMPORTE NETO]]*0.21</f>
        <v>0</v>
      </c>
      <c r="J338" s="145"/>
      <c r="K338" s="145"/>
      <c r="L338" s="145">
        <f>SUM(ventas_b_mes5[[#This Row],[IMPORTE NETO]:[EXENTO]])</f>
        <v>0</v>
      </c>
      <c r="M338" s="59"/>
    </row>
    <row r="339" spans="2:13" x14ac:dyDescent="0.25">
      <c r="B339" s="139"/>
      <c r="C339" s="41"/>
      <c r="D339" s="141"/>
      <c r="E339" s="142"/>
      <c r="F339" s="143"/>
      <c r="G339" s="1" t="str">
        <f>IFERROR(IF(ventas_b_mes5[[#This Row],[CUIT]]="","-",VLOOKUP(ventas_b_mes5[[#This Row],[CUIT]],Lista_CUIT[#All],2,0)),"CUIT NO CARGADO")</f>
        <v>-</v>
      </c>
      <c r="H339" s="64"/>
      <c r="I339" s="144">
        <f>ventas_b_mes5[[#This Row],[IMPORTE NETO]]*0.21</f>
        <v>0</v>
      </c>
      <c r="J339" s="145"/>
      <c r="K339" s="145"/>
      <c r="L339" s="145">
        <f>SUM(ventas_b_mes5[[#This Row],[IMPORTE NETO]:[EXENTO]])</f>
        <v>0</v>
      </c>
      <c r="M339" s="59"/>
    </row>
    <row r="340" spans="2:13" x14ac:dyDescent="0.25">
      <c r="B340" s="139"/>
      <c r="C340" s="41"/>
      <c r="D340" s="141"/>
      <c r="E340" s="142"/>
      <c r="F340" s="143"/>
      <c r="G340" s="1" t="str">
        <f>IFERROR(IF(ventas_b_mes5[[#This Row],[CUIT]]="","-",VLOOKUP(ventas_b_mes5[[#This Row],[CUIT]],Lista_CUIT[#All],2,0)),"CUIT NO CARGADO")</f>
        <v>-</v>
      </c>
      <c r="H340" s="64"/>
      <c r="I340" s="144">
        <f>ventas_b_mes5[[#This Row],[IMPORTE NETO]]*0.21</f>
        <v>0</v>
      </c>
      <c r="J340" s="145"/>
      <c r="K340" s="145"/>
      <c r="L340" s="145">
        <f>SUM(ventas_b_mes5[[#This Row],[IMPORTE NETO]:[EXENTO]])</f>
        <v>0</v>
      </c>
      <c r="M340" s="59"/>
    </row>
    <row r="341" spans="2:13" x14ac:dyDescent="0.25">
      <c r="B341" s="139"/>
      <c r="C341" s="41"/>
      <c r="D341" s="141"/>
      <c r="E341" s="142"/>
      <c r="F341" s="143"/>
      <c r="G341" s="1" t="str">
        <f>IFERROR(IF(ventas_b_mes5[[#This Row],[CUIT]]="","-",VLOOKUP(ventas_b_mes5[[#This Row],[CUIT]],Lista_CUIT[#All],2,0)),"CUIT NO CARGADO")</f>
        <v>-</v>
      </c>
      <c r="H341" s="64"/>
      <c r="I341" s="144">
        <f>ventas_b_mes5[[#This Row],[IMPORTE NETO]]*0.21</f>
        <v>0</v>
      </c>
      <c r="J341" s="145"/>
      <c r="K341" s="145"/>
      <c r="L341" s="145">
        <f>SUM(ventas_b_mes5[[#This Row],[IMPORTE NETO]:[EXENTO]])</f>
        <v>0</v>
      </c>
      <c r="M341" s="59"/>
    </row>
    <row r="342" spans="2:13" x14ac:dyDescent="0.25">
      <c r="B342" s="139"/>
      <c r="C342" s="41"/>
      <c r="D342" s="141"/>
      <c r="E342" s="142"/>
      <c r="F342" s="143"/>
      <c r="G342" s="1" t="str">
        <f>IFERROR(IF(ventas_b_mes5[[#This Row],[CUIT]]="","-",VLOOKUP(ventas_b_mes5[[#This Row],[CUIT]],Lista_CUIT[#All],2,0)),"CUIT NO CARGADO")</f>
        <v>-</v>
      </c>
      <c r="H342" s="64"/>
      <c r="I342" s="144">
        <f>ventas_b_mes5[[#This Row],[IMPORTE NETO]]*0.21</f>
        <v>0</v>
      </c>
      <c r="J342" s="145"/>
      <c r="K342" s="145"/>
      <c r="L342" s="145">
        <f>SUM(ventas_b_mes5[[#This Row],[IMPORTE NETO]:[EXENTO]])</f>
        <v>0</v>
      </c>
      <c r="M342" s="59"/>
    </row>
    <row r="343" spans="2:13" x14ac:dyDescent="0.25">
      <c r="B343" s="139"/>
      <c r="C343" s="41"/>
      <c r="D343" s="141"/>
      <c r="E343" s="142"/>
      <c r="F343" s="143"/>
      <c r="G343" s="1" t="str">
        <f>IFERROR(IF(ventas_b_mes5[[#This Row],[CUIT]]="","-",VLOOKUP(ventas_b_mes5[[#This Row],[CUIT]],Lista_CUIT[#All],2,0)),"CUIT NO CARGADO")</f>
        <v>-</v>
      </c>
      <c r="H343" s="64"/>
      <c r="I343" s="144">
        <f>ventas_b_mes5[[#This Row],[IMPORTE NETO]]*0.21</f>
        <v>0</v>
      </c>
      <c r="J343" s="145"/>
      <c r="K343" s="145"/>
      <c r="L343" s="145">
        <f>SUM(ventas_b_mes5[[#This Row],[IMPORTE NETO]:[EXENTO]])</f>
        <v>0</v>
      </c>
      <c r="M343" s="59"/>
    </row>
    <row r="344" spans="2:13" x14ac:dyDescent="0.25">
      <c r="B344" s="139"/>
      <c r="C344" s="41"/>
      <c r="D344" s="141"/>
      <c r="E344" s="142"/>
      <c r="F344" s="143"/>
      <c r="G344" s="1" t="str">
        <f>IFERROR(IF(ventas_b_mes5[[#This Row],[CUIT]]="","-",VLOOKUP(ventas_b_mes5[[#This Row],[CUIT]],Lista_CUIT[#All],2,0)),"CUIT NO CARGADO")</f>
        <v>-</v>
      </c>
      <c r="H344" s="64"/>
      <c r="I344" s="144">
        <f>ventas_b_mes5[[#This Row],[IMPORTE NETO]]*0.21</f>
        <v>0</v>
      </c>
      <c r="J344" s="145"/>
      <c r="K344" s="145"/>
      <c r="L344" s="145">
        <f>SUM(ventas_b_mes5[[#This Row],[IMPORTE NETO]:[EXENTO]])</f>
        <v>0</v>
      </c>
      <c r="M344" s="59"/>
    </row>
    <row r="345" spans="2:13" x14ac:dyDescent="0.25">
      <c r="B345" s="139"/>
      <c r="C345" s="41"/>
      <c r="D345" s="141"/>
      <c r="E345" s="142"/>
      <c r="F345" s="143"/>
      <c r="G345" s="1" t="str">
        <f>IFERROR(IF(ventas_b_mes5[[#This Row],[CUIT]]="","-",VLOOKUP(ventas_b_mes5[[#This Row],[CUIT]],Lista_CUIT[#All],2,0)),"CUIT NO CARGADO")</f>
        <v>-</v>
      </c>
      <c r="H345" s="64"/>
      <c r="I345" s="144">
        <f>ventas_b_mes5[[#This Row],[IMPORTE NETO]]*0.21</f>
        <v>0</v>
      </c>
      <c r="J345" s="145"/>
      <c r="K345" s="145"/>
      <c r="L345" s="145">
        <f>SUM(ventas_b_mes5[[#This Row],[IMPORTE NETO]:[EXENTO]])</f>
        <v>0</v>
      </c>
      <c r="M345" s="59"/>
    </row>
    <row r="346" spans="2:13" x14ac:dyDescent="0.25">
      <c r="B346" s="139"/>
      <c r="C346" s="41"/>
      <c r="D346" s="141"/>
      <c r="E346" s="142"/>
      <c r="F346" s="143"/>
      <c r="G346" s="1" t="str">
        <f>IFERROR(IF(ventas_b_mes5[[#This Row],[CUIT]]="","-",VLOOKUP(ventas_b_mes5[[#This Row],[CUIT]],Lista_CUIT[#All],2,0)),"CUIT NO CARGADO")</f>
        <v>-</v>
      </c>
      <c r="H346" s="64"/>
      <c r="I346" s="144">
        <f>ventas_b_mes5[[#This Row],[IMPORTE NETO]]*0.21</f>
        <v>0</v>
      </c>
      <c r="J346" s="145"/>
      <c r="K346" s="145"/>
      <c r="L346" s="145">
        <f>SUM(ventas_b_mes5[[#This Row],[IMPORTE NETO]:[EXENTO]])</f>
        <v>0</v>
      </c>
      <c r="M346" s="59"/>
    </row>
    <row r="347" spans="2:13" x14ac:dyDescent="0.25">
      <c r="B347" s="139"/>
      <c r="C347" s="41"/>
      <c r="D347" s="141"/>
      <c r="E347" s="142"/>
      <c r="F347" s="143"/>
      <c r="G347" s="1" t="str">
        <f>IFERROR(IF(ventas_b_mes5[[#This Row],[CUIT]]="","-",VLOOKUP(ventas_b_mes5[[#This Row],[CUIT]],Lista_CUIT[#All],2,0)),"CUIT NO CARGADO")</f>
        <v>-</v>
      </c>
      <c r="H347" s="64"/>
      <c r="I347" s="144">
        <f>ventas_b_mes5[[#This Row],[IMPORTE NETO]]*0.21</f>
        <v>0</v>
      </c>
      <c r="J347" s="145"/>
      <c r="K347" s="145"/>
      <c r="L347" s="145">
        <f>SUM(ventas_b_mes5[[#This Row],[IMPORTE NETO]:[EXENTO]])</f>
        <v>0</v>
      </c>
      <c r="M347" s="59"/>
    </row>
    <row r="348" spans="2:13" x14ac:dyDescent="0.25">
      <c r="B348" s="40"/>
      <c r="C348" s="41"/>
      <c r="D348" s="42"/>
      <c r="E348" s="43"/>
      <c r="F348" s="44"/>
      <c r="G348" s="1"/>
      <c r="H348" s="64"/>
      <c r="I348" s="64">
        <f>ventas_b_mes5[[#This Row],[IMPORTE NETO]]*0.21</f>
        <v>0</v>
      </c>
      <c r="J348" s="64"/>
      <c r="K348" s="64"/>
      <c r="L348" s="64">
        <f>SUM(ventas_b_mes5[[#This Row],[IMPORTE NETO]:[EXENTO]])</f>
        <v>0</v>
      </c>
      <c r="M348" s="59"/>
    </row>
    <row r="349" spans="2:13" x14ac:dyDescent="0.25">
      <c r="B349" s="40"/>
      <c r="C349" s="41"/>
      <c r="D349" s="42"/>
      <c r="E349" s="43"/>
      <c r="F349" s="44"/>
      <c r="G349" s="1"/>
      <c r="H349" s="64"/>
      <c r="I349" s="64">
        <f>ventas_b_mes5[[#This Row],[IMPORTE NETO]]*0.21</f>
        <v>0</v>
      </c>
      <c r="J349" s="64"/>
      <c r="K349" s="64"/>
      <c r="L349" s="64">
        <f>SUM(ventas_b_mes5[[#This Row],[IMPORTE NETO]:[EXENTO]])</f>
        <v>0</v>
      </c>
      <c r="M349" s="59"/>
    </row>
    <row r="350" spans="2:13" x14ac:dyDescent="0.25">
      <c r="B350" s="40"/>
      <c r="C350" s="41"/>
      <c r="D350" s="42"/>
      <c r="E350" s="43"/>
      <c r="F350" s="44"/>
      <c r="G350" s="1"/>
      <c r="H350" s="64"/>
      <c r="I350" s="64">
        <f>ventas_b_mes5[[#This Row],[IMPORTE NETO]]*0.21</f>
        <v>0</v>
      </c>
      <c r="J350" s="64"/>
      <c r="K350" s="64"/>
      <c r="L350" s="64">
        <f>SUM(ventas_b_mes5[[#This Row],[IMPORTE NETO]:[EXENTO]])</f>
        <v>0</v>
      </c>
      <c r="M350" s="59"/>
    </row>
    <row r="351" spans="2:13" x14ac:dyDescent="0.25">
      <c r="B351" s="40"/>
      <c r="C351" s="41"/>
      <c r="D351" s="42"/>
      <c r="E351" s="43"/>
      <c r="F351" s="44"/>
      <c r="G351" s="1"/>
      <c r="H351" s="64"/>
      <c r="I351" s="64">
        <f>ventas_b_mes5[[#This Row],[IMPORTE NETO]]*0.21</f>
        <v>0</v>
      </c>
      <c r="J351" s="64"/>
      <c r="K351" s="64"/>
      <c r="L351" s="64">
        <f>SUM(ventas_b_mes5[[#This Row],[IMPORTE NETO]:[EXENTO]])</f>
        <v>0</v>
      </c>
      <c r="M351" s="59"/>
    </row>
    <row r="352" spans="2:13" x14ac:dyDescent="0.25">
      <c r="B352" s="40"/>
      <c r="C352" s="41"/>
      <c r="D352" s="42"/>
      <c r="E352" s="43"/>
      <c r="F352" s="44"/>
      <c r="G352" s="1"/>
      <c r="H352" s="64"/>
      <c r="I352" s="64">
        <f>ventas_b_mes5[[#This Row],[IMPORTE NETO]]*0.21</f>
        <v>0</v>
      </c>
      <c r="J352" s="64"/>
      <c r="K352" s="64"/>
      <c r="L352" s="64">
        <f>SUM(ventas_b_mes5[[#This Row],[IMPORTE NETO]:[EXENTO]])</f>
        <v>0</v>
      </c>
      <c r="M352" s="59"/>
    </row>
    <row r="353" spans="2:13" x14ac:dyDescent="0.25">
      <c r="B353" s="139"/>
      <c r="C353" s="41"/>
      <c r="D353" s="141"/>
      <c r="E353" s="142"/>
      <c r="F353" s="143"/>
      <c r="G353" s="1" t="str">
        <f>IFERROR(IF(ventas_b_mes5[[#This Row],[CUIT]]="","-",VLOOKUP(ventas_b_mes5[[#This Row],[CUIT]],Lista_CUIT[#All],2,0)),"CUIT NO CARGADO")</f>
        <v>-</v>
      </c>
      <c r="H353" s="64"/>
      <c r="I353" s="144">
        <f>ventas_b_mes5[[#This Row],[IMPORTE NETO]]*0.21</f>
        <v>0</v>
      </c>
      <c r="J353" s="145"/>
      <c r="K353" s="145"/>
      <c r="L353" s="145">
        <f>SUM(ventas_b_mes5[[#This Row],[IMPORTE NETO]:[EXENTO]])</f>
        <v>0</v>
      </c>
      <c r="M353" s="59"/>
    </row>
    <row r="354" spans="2:13" x14ac:dyDescent="0.25">
      <c r="B354" s="139"/>
      <c r="C354" s="41"/>
      <c r="D354" s="141"/>
      <c r="E354" s="142"/>
      <c r="F354" s="143"/>
      <c r="G354" s="1" t="str">
        <f>IFERROR(IF(ventas_b_mes5[[#This Row],[CUIT]]="","-",VLOOKUP(ventas_b_mes5[[#This Row],[CUIT]],Lista_CUIT[#All],2,0)),"CUIT NO CARGADO")</f>
        <v>-</v>
      </c>
      <c r="H354" s="64"/>
      <c r="I354" s="144">
        <f>ventas_b_mes5[[#This Row],[IMPORTE NETO]]*0.21</f>
        <v>0</v>
      </c>
      <c r="J354" s="145"/>
      <c r="K354" s="145"/>
      <c r="L354" s="145">
        <f>SUM(ventas_b_mes5[[#This Row],[IMPORTE NETO]:[EXENTO]])</f>
        <v>0</v>
      </c>
      <c r="M354" s="59"/>
    </row>
    <row r="355" spans="2:13" x14ac:dyDescent="0.25">
      <c r="B355" s="139"/>
      <c r="C355" s="41"/>
      <c r="D355" s="141"/>
      <c r="E355" s="142"/>
      <c r="F355" s="143"/>
      <c r="G355" s="1" t="str">
        <f>IFERROR(IF(ventas_b_mes5[[#This Row],[CUIT]]="","-",VLOOKUP(ventas_b_mes5[[#This Row],[CUIT]],Lista_CUIT[#All],2,0)),"CUIT NO CARGADO")</f>
        <v>-</v>
      </c>
      <c r="H355" s="64"/>
      <c r="I355" s="144">
        <f>ventas_b_mes5[[#This Row],[IMPORTE NETO]]*0.21</f>
        <v>0</v>
      </c>
      <c r="J355" s="145"/>
      <c r="K355" s="145"/>
      <c r="L355" s="145">
        <f>SUM(ventas_b_mes5[[#This Row],[IMPORTE NETO]:[EXENTO]])</f>
        <v>0</v>
      </c>
      <c r="M355" s="59"/>
    </row>
    <row r="356" spans="2:13" x14ac:dyDescent="0.25">
      <c r="B356" s="139"/>
      <c r="C356" s="41"/>
      <c r="D356" s="141"/>
      <c r="E356" s="142"/>
      <c r="F356" s="143"/>
      <c r="G356" s="1" t="str">
        <f>IFERROR(IF(ventas_b_mes5[[#This Row],[CUIT]]="","-",VLOOKUP(ventas_b_mes5[[#This Row],[CUIT]],Lista_CUIT[#All],2,0)),"CUIT NO CARGADO")</f>
        <v>-</v>
      </c>
      <c r="H356" s="64"/>
      <c r="I356" s="144">
        <f>ventas_b_mes5[[#This Row],[IMPORTE NETO]]*0.21</f>
        <v>0</v>
      </c>
      <c r="J356" s="145"/>
      <c r="K356" s="145"/>
      <c r="L356" s="145">
        <f>SUM(ventas_b_mes5[[#This Row],[IMPORTE NETO]:[EXENTO]])</f>
        <v>0</v>
      </c>
      <c r="M356" s="59"/>
    </row>
    <row r="357" spans="2:13" x14ac:dyDescent="0.25">
      <c r="B357" s="139"/>
      <c r="C357" s="41"/>
      <c r="D357" s="141"/>
      <c r="E357" s="142"/>
      <c r="F357" s="143"/>
      <c r="G357" s="1" t="str">
        <f>IFERROR(IF(ventas_b_mes5[[#This Row],[CUIT]]="","-",VLOOKUP(ventas_b_mes5[[#This Row],[CUIT]],Lista_CUIT[#All],2,0)),"CUIT NO CARGADO")</f>
        <v>-</v>
      </c>
      <c r="H357" s="64"/>
      <c r="I357" s="144">
        <f>ventas_b_mes5[[#This Row],[IMPORTE NETO]]*0.21</f>
        <v>0</v>
      </c>
      <c r="J357" s="145"/>
      <c r="K357" s="145"/>
      <c r="L357" s="145">
        <f>SUM(ventas_b_mes5[[#This Row],[IMPORTE NETO]:[EXENTO]])</f>
        <v>0</v>
      </c>
      <c r="M357" s="59"/>
    </row>
    <row r="358" spans="2:13" x14ac:dyDescent="0.25">
      <c r="B358" s="139"/>
      <c r="C358" s="41"/>
      <c r="D358" s="141"/>
      <c r="E358" s="142"/>
      <c r="F358" s="143"/>
      <c r="G358" s="1" t="str">
        <f>IFERROR(IF(ventas_b_mes5[[#This Row],[CUIT]]="","-",VLOOKUP(ventas_b_mes5[[#This Row],[CUIT]],Lista_CUIT[#All],2,0)),"CUIT NO CARGADO")</f>
        <v>-</v>
      </c>
      <c r="H358" s="64"/>
      <c r="I358" s="144">
        <f>ventas_b_mes5[[#This Row],[IMPORTE NETO]]*0.21</f>
        <v>0</v>
      </c>
      <c r="J358" s="145"/>
      <c r="K358" s="145"/>
      <c r="L358" s="145">
        <f>SUM(ventas_b_mes5[[#This Row],[IMPORTE NETO]:[EXENTO]])</f>
        <v>0</v>
      </c>
      <c r="M358" s="59"/>
    </row>
    <row r="359" spans="2:13" x14ac:dyDescent="0.25">
      <c r="B359" s="139"/>
      <c r="C359" s="41"/>
      <c r="D359" s="141"/>
      <c r="E359" s="142"/>
      <c r="F359" s="143"/>
      <c r="G359" s="1" t="str">
        <f>IFERROR(IF(ventas_b_mes5[[#This Row],[CUIT]]="","-",VLOOKUP(ventas_b_mes5[[#This Row],[CUIT]],Lista_CUIT[#All],2,0)),"CUIT NO CARGADO")</f>
        <v>-</v>
      </c>
      <c r="H359" s="64"/>
      <c r="I359" s="144">
        <f>ventas_b_mes5[[#This Row],[IMPORTE NETO]]*0.21</f>
        <v>0</v>
      </c>
      <c r="J359" s="145"/>
      <c r="K359" s="145"/>
      <c r="L359" s="145">
        <f>SUM(ventas_b_mes5[[#This Row],[IMPORTE NETO]:[EXENTO]])</f>
        <v>0</v>
      </c>
      <c r="M359" s="59"/>
    </row>
    <row r="360" spans="2:13" x14ac:dyDescent="0.25">
      <c r="B360" s="139"/>
      <c r="C360" s="41"/>
      <c r="D360" s="141"/>
      <c r="E360" s="142"/>
      <c r="F360" s="143"/>
      <c r="G360" s="1" t="str">
        <f>IFERROR(IF(ventas_b_mes5[[#This Row],[CUIT]]="","-",VLOOKUP(ventas_b_mes5[[#This Row],[CUIT]],Lista_CUIT[#All],2,0)),"CUIT NO CARGADO")</f>
        <v>-</v>
      </c>
      <c r="H360" s="64"/>
      <c r="I360" s="144">
        <f>ventas_b_mes5[[#This Row],[IMPORTE NETO]]*0.21</f>
        <v>0</v>
      </c>
      <c r="J360" s="145"/>
      <c r="K360" s="145"/>
      <c r="L360" s="145">
        <f>SUM(ventas_b_mes5[[#This Row],[IMPORTE NETO]:[EXENTO]])</f>
        <v>0</v>
      </c>
      <c r="M360" s="59"/>
    </row>
    <row r="361" spans="2:13" x14ac:dyDescent="0.25">
      <c r="B361" s="139"/>
      <c r="C361" s="41"/>
      <c r="D361" s="141"/>
      <c r="E361" s="142"/>
      <c r="F361" s="143"/>
      <c r="G361" s="1" t="str">
        <f>IFERROR(IF(ventas_b_mes5[[#This Row],[CUIT]]="","-",VLOOKUP(ventas_b_mes5[[#This Row],[CUIT]],Lista_CUIT[#All],2,0)),"CUIT NO CARGADO")</f>
        <v>-</v>
      </c>
      <c r="H361" s="64"/>
      <c r="I361" s="144">
        <f>ventas_b_mes5[[#This Row],[IMPORTE NETO]]*0.21</f>
        <v>0</v>
      </c>
      <c r="J361" s="145"/>
      <c r="K361" s="145"/>
      <c r="L361" s="145">
        <f>SUM(ventas_b_mes5[[#This Row],[IMPORTE NETO]:[EXENTO]])</f>
        <v>0</v>
      </c>
      <c r="M361" s="59"/>
    </row>
    <row r="362" spans="2:13" x14ac:dyDescent="0.25">
      <c r="B362" s="139"/>
      <c r="C362" s="41"/>
      <c r="D362" s="141"/>
      <c r="E362" s="142"/>
      <c r="F362" s="143"/>
      <c r="G362" s="1" t="str">
        <f>IFERROR(IF(ventas_b_mes5[[#This Row],[CUIT]]="","-",VLOOKUP(ventas_b_mes5[[#This Row],[CUIT]],Lista_CUIT[#All],2,0)),"CUIT NO CARGADO")</f>
        <v>-</v>
      </c>
      <c r="H362" s="64"/>
      <c r="I362" s="144">
        <f>ventas_b_mes5[[#This Row],[IMPORTE NETO]]*0.21</f>
        <v>0</v>
      </c>
      <c r="J362" s="145"/>
      <c r="K362" s="145"/>
      <c r="L362" s="145">
        <f>SUM(ventas_b_mes5[[#This Row],[IMPORTE NETO]:[EXENTO]])</f>
        <v>0</v>
      </c>
      <c r="M362" s="59"/>
    </row>
    <row r="363" spans="2:13" x14ac:dyDescent="0.25">
      <c r="B363" s="139"/>
      <c r="C363" s="41"/>
      <c r="D363" s="141"/>
      <c r="E363" s="142"/>
      <c r="F363" s="143"/>
      <c r="G363" s="1" t="str">
        <f>IFERROR(IF(ventas_b_mes5[[#This Row],[CUIT]]="","-",VLOOKUP(ventas_b_mes5[[#This Row],[CUIT]],Lista_CUIT[#All],2,0)),"CUIT NO CARGADO")</f>
        <v>-</v>
      </c>
      <c r="H363" s="64"/>
      <c r="I363" s="144">
        <f>ventas_b_mes5[[#This Row],[IMPORTE NETO]]*0.21</f>
        <v>0</v>
      </c>
      <c r="J363" s="145"/>
      <c r="K363" s="145"/>
      <c r="L363" s="145">
        <f>SUM(ventas_b_mes5[[#This Row],[IMPORTE NETO]:[EXENTO]])</f>
        <v>0</v>
      </c>
      <c r="M363" s="59"/>
    </row>
    <row r="364" spans="2:13" x14ac:dyDescent="0.25">
      <c r="B364" s="139"/>
      <c r="C364" s="41"/>
      <c r="D364" s="141"/>
      <c r="E364" s="142"/>
      <c r="F364" s="143"/>
      <c r="G364" s="1" t="str">
        <f>IFERROR(IF(ventas_b_mes5[[#This Row],[CUIT]]="","-",VLOOKUP(ventas_b_mes5[[#This Row],[CUIT]],Lista_CUIT[#All],2,0)),"CUIT NO CARGADO")</f>
        <v>-</v>
      </c>
      <c r="H364" s="64"/>
      <c r="I364" s="144">
        <f>ventas_b_mes5[[#This Row],[IMPORTE NETO]]*0.21</f>
        <v>0</v>
      </c>
      <c r="J364" s="145"/>
      <c r="K364" s="145"/>
      <c r="L364" s="145">
        <f>SUM(ventas_b_mes5[[#This Row],[IMPORTE NETO]:[EXENTO]])</f>
        <v>0</v>
      </c>
      <c r="M364" s="59"/>
    </row>
    <row r="365" spans="2:13" x14ac:dyDescent="0.25">
      <c r="B365" s="139"/>
      <c r="C365" s="41"/>
      <c r="D365" s="141"/>
      <c r="E365" s="142"/>
      <c r="F365" s="143"/>
      <c r="G365" s="1" t="str">
        <f>IFERROR(IF(ventas_b_mes5[[#This Row],[CUIT]]="","-",VLOOKUP(ventas_b_mes5[[#This Row],[CUIT]],Lista_CUIT[#All],2,0)),"CUIT NO CARGADO")</f>
        <v>-</v>
      </c>
      <c r="H365" s="64"/>
      <c r="I365" s="144">
        <f>ventas_b_mes5[[#This Row],[IMPORTE NETO]]*0.21</f>
        <v>0</v>
      </c>
      <c r="J365" s="145"/>
      <c r="K365" s="145"/>
      <c r="L365" s="145">
        <f>SUM(ventas_b_mes5[[#This Row],[IMPORTE NETO]:[EXENTO]])</f>
        <v>0</v>
      </c>
      <c r="M365" s="59"/>
    </row>
    <row r="366" spans="2:13" x14ac:dyDescent="0.25">
      <c r="B366" s="139"/>
      <c r="C366" s="41"/>
      <c r="D366" s="141"/>
      <c r="E366" s="142"/>
      <c r="F366" s="143"/>
      <c r="G366" s="1" t="str">
        <f>IFERROR(IF(ventas_b_mes5[[#This Row],[CUIT]]="","-",VLOOKUP(ventas_b_mes5[[#This Row],[CUIT]],Lista_CUIT[#All],2,0)),"CUIT NO CARGADO")</f>
        <v>-</v>
      </c>
      <c r="H366" s="64"/>
      <c r="I366" s="144">
        <f>ventas_b_mes5[[#This Row],[IMPORTE NETO]]*0.21</f>
        <v>0</v>
      </c>
      <c r="J366" s="145"/>
      <c r="K366" s="145"/>
      <c r="L366" s="145">
        <f>SUM(ventas_b_mes5[[#This Row],[IMPORTE NETO]:[EXENTO]])</f>
        <v>0</v>
      </c>
      <c r="M366" s="59"/>
    </row>
    <row r="367" spans="2:13" x14ac:dyDescent="0.25">
      <c r="B367" s="139"/>
      <c r="C367" s="41"/>
      <c r="D367" s="141"/>
      <c r="E367" s="142"/>
      <c r="F367" s="143"/>
      <c r="G367" s="1" t="str">
        <f>IFERROR(IF(ventas_b_mes5[[#This Row],[CUIT]]="","-",VLOOKUP(ventas_b_mes5[[#This Row],[CUIT]],Lista_CUIT[#All],2,0)),"CUIT NO CARGADO")</f>
        <v>-</v>
      </c>
      <c r="H367" s="64"/>
      <c r="I367" s="144">
        <f>ventas_b_mes5[[#This Row],[IMPORTE NETO]]*0.21</f>
        <v>0</v>
      </c>
      <c r="J367" s="145"/>
      <c r="K367" s="145"/>
      <c r="L367" s="145">
        <f>SUM(ventas_b_mes5[[#This Row],[IMPORTE NETO]:[EXENTO]])</f>
        <v>0</v>
      </c>
      <c r="M367" s="59"/>
    </row>
    <row r="368" spans="2:13" x14ac:dyDescent="0.25">
      <c r="B368" s="139"/>
      <c r="C368" s="41"/>
      <c r="D368" s="141"/>
      <c r="E368" s="142"/>
      <c r="F368" s="143"/>
      <c r="G368" s="1" t="str">
        <f>IFERROR(IF(ventas_b_mes5[[#This Row],[CUIT]]="","-",VLOOKUP(ventas_b_mes5[[#This Row],[CUIT]],Lista_CUIT[#All],2,0)),"CUIT NO CARGADO")</f>
        <v>-</v>
      </c>
      <c r="H368" s="64"/>
      <c r="I368" s="144">
        <f>ventas_b_mes5[[#This Row],[IMPORTE NETO]]*0.21</f>
        <v>0</v>
      </c>
      <c r="J368" s="145"/>
      <c r="K368" s="145"/>
      <c r="L368" s="145">
        <f>SUM(ventas_b_mes5[[#This Row],[IMPORTE NETO]:[EXENTO]])</f>
        <v>0</v>
      </c>
      <c r="M368" s="59"/>
    </row>
    <row r="369" spans="2:13" x14ac:dyDescent="0.25">
      <c r="B369" s="139"/>
      <c r="C369" s="41"/>
      <c r="D369" s="141"/>
      <c r="E369" s="142"/>
      <c r="F369" s="143"/>
      <c r="G369" s="1" t="str">
        <f>IFERROR(IF(ventas_b_mes5[[#This Row],[CUIT]]="","-",VLOOKUP(ventas_b_mes5[[#This Row],[CUIT]],Lista_CUIT[#All],2,0)),"CUIT NO CARGADO")</f>
        <v>-</v>
      </c>
      <c r="H369" s="64"/>
      <c r="I369" s="144">
        <f>ventas_b_mes5[[#This Row],[IMPORTE NETO]]*0.21</f>
        <v>0</v>
      </c>
      <c r="J369" s="145"/>
      <c r="K369" s="145"/>
      <c r="L369" s="145">
        <f>SUM(ventas_b_mes5[[#This Row],[IMPORTE NETO]:[EXENTO]])</f>
        <v>0</v>
      </c>
      <c r="M369" s="59"/>
    </row>
    <row r="370" spans="2:13" x14ac:dyDescent="0.25">
      <c r="B370" s="139"/>
      <c r="C370" s="41"/>
      <c r="D370" s="141"/>
      <c r="E370" s="142"/>
      <c r="F370" s="143"/>
      <c r="G370" s="1" t="str">
        <f>IFERROR(IF(ventas_b_mes5[[#This Row],[CUIT]]="","-",VLOOKUP(ventas_b_mes5[[#This Row],[CUIT]],Lista_CUIT[#All],2,0)),"CUIT NO CARGADO")</f>
        <v>-</v>
      </c>
      <c r="H370" s="64"/>
      <c r="I370" s="144">
        <f>ventas_b_mes5[[#This Row],[IMPORTE NETO]]*0.21</f>
        <v>0</v>
      </c>
      <c r="J370" s="145"/>
      <c r="K370" s="145"/>
      <c r="L370" s="145">
        <f>SUM(ventas_b_mes5[[#This Row],[IMPORTE NETO]:[EXENTO]])</f>
        <v>0</v>
      </c>
      <c r="M370" s="59"/>
    </row>
    <row r="371" spans="2:13" x14ac:dyDescent="0.25">
      <c r="B371" s="139"/>
      <c r="C371" s="41"/>
      <c r="D371" s="141"/>
      <c r="E371" s="142"/>
      <c r="F371" s="143"/>
      <c r="G371" s="1" t="str">
        <f>IFERROR(IF(ventas_b_mes5[[#This Row],[CUIT]]="","-",VLOOKUP(ventas_b_mes5[[#This Row],[CUIT]],Lista_CUIT[#All],2,0)),"CUIT NO CARGADO")</f>
        <v>-</v>
      </c>
      <c r="H371" s="64"/>
      <c r="I371" s="144">
        <f>ventas_b_mes5[[#This Row],[IMPORTE NETO]]*0.21</f>
        <v>0</v>
      </c>
      <c r="J371" s="145"/>
      <c r="K371" s="145"/>
      <c r="L371" s="145">
        <f>SUM(ventas_b_mes5[[#This Row],[IMPORTE NETO]:[EXENTO]])</f>
        <v>0</v>
      </c>
      <c r="M371" s="59"/>
    </row>
    <row r="372" spans="2:13" x14ac:dyDescent="0.25">
      <c r="B372" s="139"/>
      <c r="C372" s="41"/>
      <c r="D372" s="141"/>
      <c r="E372" s="142"/>
      <c r="F372" s="143"/>
      <c r="G372" s="1" t="str">
        <f>IFERROR(IF(ventas_b_mes5[[#This Row],[CUIT]]="","-",VLOOKUP(ventas_b_mes5[[#This Row],[CUIT]],Lista_CUIT[#All],2,0)),"CUIT NO CARGADO")</f>
        <v>-</v>
      </c>
      <c r="H372" s="64"/>
      <c r="I372" s="144">
        <f>ventas_b_mes5[[#This Row],[IMPORTE NETO]]*0.21</f>
        <v>0</v>
      </c>
      <c r="J372" s="145"/>
      <c r="K372" s="145"/>
      <c r="L372" s="145">
        <f>SUM(ventas_b_mes5[[#This Row],[IMPORTE NETO]:[EXENTO]])</f>
        <v>0</v>
      </c>
      <c r="M372" s="59"/>
    </row>
    <row r="373" spans="2:13" x14ac:dyDescent="0.25">
      <c r="B373" s="139"/>
      <c r="C373" s="41"/>
      <c r="D373" s="141"/>
      <c r="E373" s="142"/>
      <c r="F373" s="143"/>
      <c r="G373" s="1" t="str">
        <f>IFERROR(IF(ventas_b_mes5[[#This Row],[CUIT]]="","-",VLOOKUP(ventas_b_mes5[[#This Row],[CUIT]],Lista_CUIT[#All],2,0)),"CUIT NO CARGADO")</f>
        <v>-</v>
      </c>
      <c r="H373" s="64"/>
      <c r="I373" s="144">
        <f>ventas_b_mes5[[#This Row],[IMPORTE NETO]]*0.21</f>
        <v>0</v>
      </c>
      <c r="J373" s="145"/>
      <c r="K373" s="145"/>
      <c r="L373" s="145">
        <f>SUM(ventas_b_mes5[[#This Row],[IMPORTE NETO]:[EXENTO]])</f>
        <v>0</v>
      </c>
      <c r="M373" s="59"/>
    </row>
    <row r="374" spans="2:13" x14ac:dyDescent="0.25">
      <c r="B374" s="139"/>
      <c r="C374" s="41"/>
      <c r="D374" s="141"/>
      <c r="E374" s="142"/>
      <c r="F374" s="143"/>
      <c r="G374" s="1" t="str">
        <f>IFERROR(IF(ventas_b_mes5[[#This Row],[CUIT]]="","-",VLOOKUP(ventas_b_mes5[[#This Row],[CUIT]],Lista_CUIT[#All],2,0)),"CUIT NO CARGADO")</f>
        <v>-</v>
      </c>
      <c r="H374" s="64"/>
      <c r="I374" s="144">
        <f>ventas_b_mes5[[#This Row],[IMPORTE NETO]]*0.21</f>
        <v>0</v>
      </c>
      <c r="J374" s="145"/>
      <c r="K374" s="145"/>
      <c r="L374" s="145">
        <f>SUM(ventas_b_mes5[[#This Row],[IMPORTE NETO]:[EXENTO]])</f>
        <v>0</v>
      </c>
      <c r="M374" s="59"/>
    </row>
    <row r="375" spans="2:13" x14ac:dyDescent="0.25">
      <c r="B375" s="139"/>
      <c r="C375" s="41"/>
      <c r="D375" s="141"/>
      <c r="E375" s="142"/>
      <c r="F375" s="143"/>
      <c r="G375" s="1" t="str">
        <f>IFERROR(IF(ventas_b_mes5[[#This Row],[CUIT]]="","-",VLOOKUP(ventas_b_mes5[[#This Row],[CUIT]],Lista_CUIT[#All],2,0)),"CUIT NO CARGADO")</f>
        <v>-</v>
      </c>
      <c r="H375" s="64"/>
      <c r="I375" s="144">
        <f>ventas_b_mes5[[#This Row],[IMPORTE NETO]]*0.21</f>
        <v>0</v>
      </c>
      <c r="J375" s="145"/>
      <c r="K375" s="145"/>
      <c r="L375" s="145">
        <f>SUM(ventas_b_mes5[[#This Row],[IMPORTE NETO]:[EXENTO]])</f>
        <v>0</v>
      </c>
      <c r="M375" s="59"/>
    </row>
    <row r="376" spans="2:13" x14ac:dyDescent="0.25">
      <c r="B376" s="139"/>
      <c r="C376" s="41"/>
      <c r="D376" s="141"/>
      <c r="E376" s="142"/>
      <c r="F376" s="143"/>
      <c r="G376" s="1" t="str">
        <f>IFERROR(IF(ventas_b_mes5[[#This Row],[CUIT]]="","-",VLOOKUP(ventas_b_mes5[[#This Row],[CUIT]],Lista_CUIT[#All],2,0)),"CUIT NO CARGADO")</f>
        <v>-</v>
      </c>
      <c r="H376" s="64"/>
      <c r="I376" s="144">
        <f>ventas_b_mes5[[#This Row],[IMPORTE NETO]]*0.21</f>
        <v>0</v>
      </c>
      <c r="J376" s="145"/>
      <c r="K376" s="145"/>
      <c r="L376" s="145">
        <f>SUM(ventas_b_mes5[[#This Row],[IMPORTE NETO]:[EXENTO]])</f>
        <v>0</v>
      </c>
      <c r="M376" s="59"/>
    </row>
    <row r="377" spans="2:13" x14ac:dyDescent="0.25">
      <c r="B377" s="139"/>
      <c r="C377" s="41"/>
      <c r="D377" s="141"/>
      <c r="E377" s="142"/>
      <c r="F377" s="143"/>
      <c r="G377" s="1" t="str">
        <f>IFERROR(IF(ventas_b_mes5[[#This Row],[CUIT]]="","-",VLOOKUP(ventas_b_mes5[[#This Row],[CUIT]],Lista_CUIT[#All],2,0)),"CUIT NO CARGADO")</f>
        <v>-</v>
      </c>
      <c r="H377" s="64"/>
      <c r="I377" s="144">
        <f>ventas_b_mes5[[#This Row],[IMPORTE NETO]]*0.21</f>
        <v>0</v>
      </c>
      <c r="J377" s="145"/>
      <c r="K377" s="145"/>
      <c r="L377" s="145">
        <f>SUM(ventas_b_mes5[[#This Row],[IMPORTE NETO]:[EXENTO]])</f>
        <v>0</v>
      </c>
      <c r="M377" s="59"/>
    </row>
    <row r="378" spans="2:13" x14ac:dyDescent="0.25">
      <c r="B378" s="139"/>
      <c r="C378" s="41"/>
      <c r="D378" s="141"/>
      <c r="E378" s="142"/>
      <c r="F378" s="143"/>
      <c r="G378" s="1" t="str">
        <f>IFERROR(IF(ventas_b_mes5[[#This Row],[CUIT]]="","-",VLOOKUP(ventas_b_mes5[[#This Row],[CUIT]],Lista_CUIT[#All],2,0)),"CUIT NO CARGADO")</f>
        <v>-</v>
      </c>
      <c r="H378" s="64"/>
      <c r="I378" s="144">
        <f>ventas_b_mes5[[#This Row],[IMPORTE NETO]]*0.21</f>
        <v>0</v>
      </c>
      <c r="J378" s="145"/>
      <c r="K378" s="145"/>
      <c r="L378" s="145">
        <f>SUM(ventas_b_mes5[[#This Row],[IMPORTE NETO]:[EXENTO]])</f>
        <v>0</v>
      </c>
      <c r="M378" s="59"/>
    </row>
    <row r="379" spans="2:13" x14ac:dyDescent="0.25">
      <c r="B379" s="139"/>
      <c r="C379" s="41"/>
      <c r="D379" s="141"/>
      <c r="E379" s="142"/>
      <c r="F379" s="143"/>
      <c r="G379" s="1" t="str">
        <f>IFERROR(IF(ventas_b_mes5[[#This Row],[CUIT]]="","-",VLOOKUP(ventas_b_mes5[[#This Row],[CUIT]],Lista_CUIT[#All],2,0)),"CUIT NO CARGADO")</f>
        <v>-</v>
      </c>
      <c r="H379" s="64"/>
      <c r="I379" s="144">
        <f>ventas_b_mes5[[#This Row],[IMPORTE NETO]]*0.21</f>
        <v>0</v>
      </c>
      <c r="J379" s="145"/>
      <c r="K379" s="145"/>
      <c r="L379" s="145">
        <f>SUM(ventas_b_mes5[[#This Row],[IMPORTE NETO]:[EXENTO]])</f>
        <v>0</v>
      </c>
      <c r="M379" s="59"/>
    </row>
    <row r="380" spans="2:13" x14ac:dyDescent="0.25">
      <c r="B380" s="139"/>
      <c r="C380" s="41"/>
      <c r="D380" s="141"/>
      <c r="E380" s="142"/>
      <c r="F380" s="143"/>
      <c r="G380" s="1" t="str">
        <f>IFERROR(IF(ventas_b_mes5[[#This Row],[CUIT]]="","-",VLOOKUP(ventas_b_mes5[[#This Row],[CUIT]],Lista_CUIT[#All],2,0)),"CUIT NO CARGADO")</f>
        <v>-</v>
      </c>
      <c r="H380" s="64"/>
      <c r="I380" s="144">
        <f>ventas_b_mes5[[#This Row],[IMPORTE NETO]]*0.21</f>
        <v>0</v>
      </c>
      <c r="J380" s="145"/>
      <c r="K380" s="145"/>
      <c r="L380" s="145">
        <f>SUM(ventas_b_mes5[[#This Row],[IMPORTE NETO]:[EXENTO]])</f>
        <v>0</v>
      </c>
      <c r="M380" s="59"/>
    </row>
    <row r="381" spans="2:13" x14ac:dyDescent="0.25">
      <c r="B381" s="139"/>
      <c r="C381" s="41"/>
      <c r="D381" s="141"/>
      <c r="E381" s="142"/>
      <c r="F381" s="143"/>
      <c r="G381" s="1" t="str">
        <f>IFERROR(IF(ventas_b_mes5[[#This Row],[CUIT]]="","-",VLOOKUP(ventas_b_mes5[[#This Row],[CUIT]],Lista_CUIT[#All],2,0)),"CUIT NO CARGADO")</f>
        <v>-</v>
      </c>
      <c r="H381" s="64"/>
      <c r="I381" s="144">
        <f>ventas_b_mes5[[#This Row],[IMPORTE NETO]]*0.21</f>
        <v>0</v>
      </c>
      <c r="J381" s="145"/>
      <c r="K381" s="145"/>
      <c r="L381" s="145">
        <f>SUM(ventas_b_mes5[[#This Row],[IMPORTE NETO]:[EXENTO]])</f>
        <v>0</v>
      </c>
      <c r="M381" s="59"/>
    </row>
    <row r="382" spans="2:13" x14ac:dyDescent="0.25">
      <c r="B382" s="139"/>
      <c r="C382" s="41"/>
      <c r="D382" s="141"/>
      <c r="E382" s="142"/>
      <c r="F382" s="143"/>
      <c r="G382" s="1" t="str">
        <f>IFERROR(IF(ventas_b_mes5[[#This Row],[CUIT]]="","-",VLOOKUP(ventas_b_mes5[[#This Row],[CUIT]],Lista_CUIT[#All],2,0)),"CUIT NO CARGADO")</f>
        <v>-</v>
      </c>
      <c r="H382" s="64"/>
      <c r="I382" s="144">
        <f>ventas_b_mes5[[#This Row],[IMPORTE NETO]]*0.21</f>
        <v>0</v>
      </c>
      <c r="J382" s="145"/>
      <c r="K382" s="145"/>
      <c r="L382" s="145">
        <f>SUM(ventas_b_mes5[[#This Row],[IMPORTE NETO]:[EXENTO]])</f>
        <v>0</v>
      </c>
      <c r="M382" s="59"/>
    </row>
    <row r="383" spans="2:13" x14ac:dyDescent="0.25">
      <c r="B383" s="139"/>
      <c r="C383" s="41"/>
      <c r="D383" s="141"/>
      <c r="E383" s="142"/>
      <c r="F383" s="143"/>
      <c r="G383" s="1" t="str">
        <f>IFERROR(IF(ventas_b_mes5[[#This Row],[CUIT]]="","-",VLOOKUP(ventas_b_mes5[[#This Row],[CUIT]],Lista_CUIT[#All],2,0)),"CUIT NO CARGADO")</f>
        <v>-</v>
      </c>
      <c r="H383" s="64"/>
      <c r="I383" s="144">
        <f>ventas_b_mes5[[#This Row],[IMPORTE NETO]]*0.21</f>
        <v>0</v>
      </c>
      <c r="J383" s="145"/>
      <c r="K383" s="145"/>
      <c r="L383" s="145">
        <f>SUM(ventas_b_mes5[[#This Row],[IMPORTE NETO]:[EXENTO]])</f>
        <v>0</v>
      </c>
      <c r="M383" s="59"/>
    </row>
    <row r="384" spans="2:13" x14ac:dyDescent="0.25">
      <c r="B384" s="139"/>
      <c r="C384" s="41"/>
      <c r="D384" s="141"/>
      <c r="E384" s="142"/>
      <c r="F384" s="143"/>
      <c r="G384" s="1" t="str">
        <f>IFERROR(IF(ventas_b_mes5[[#This Row],[CUIT]]="","-",VLOOKUP(ventas_b_mes5[[#This Row],[CUIT]],Lista_CUIT[#All],2,0)),"CUIT NO CARGADO")</f>
        <v>-</v>
      </c>
      <c r="H384" s="64"/>
      <c r="I384" s="144">
        <f>ventas_b_mes5[[#This Row],[IMPORTE NETO]]*0.21</f>
        <v>0</v>
      </c>
      <c r="J384" s="145"/>
      <c r="K384" s="145"/>
      <c r="L384" s="145">
        <f>SUM(ventas_b_mes5[[#This Row],[IMPORTE NETO]:[EXENTO]])</f>
        <v>0</v>
      </c>
      <c r="M384" s="59"/>
    </row>
    <row r="385" spans="2:13" x14ac:dyDescent="0.25">
      <c r="B385" s="139"/>
      <c r="C385" s="41"/>
      <c r="D385" s="141"/>
      <c r="E385" s="142"/>
      <c r="F385" s="143"/>
      <c r="G385" s="1" t="str">
        <f>IFERROR(IF(ventas_b_mes5[[#This Row],[CUIT]]="","-",VLOOKUP(ventas_b_mes5[[#This Row],[CUIT]],Lista_CUIT[#All],2,0)),"CUIT NO CARGADO")</f>
        <v>-</v>
      </c>
      <c r="H385" s="64"/>
      <c r="I385" s="144">
        <f>ventas_b_mes5[[#This Row],[IMPORTE NETO]]*0.21</f>
        <v>0</v>
      </c>
      <c r="J385" s="145"/>
      <c r="K385" s="145"/>
      <c r="L385" s="145">
        <f>SUM(ventas_b_mes5[[#This Row],[IMPORTE NETO]:[EXENTO]])</f>
        <v>0</v>
      </c>
      <c r="M385" s="59"/>
    </row>
    <row r="386" spans="2:13" x14ac:dyDescent="0.25">
      <c r="B386" s="139"/>
      <c r="C386" s="41"/>
      <c r="D386" s="141"/>
      <c r="E386" s="142"/>
      <c r="F386" s="143"/>
      <c r="G386" s="1" t="str">
        <f>IFERROR(IF(ventas_b_mes5[[#This Row],[CUIT]]="","-",VLOOKUP(ventas_b_mes5[[#This Row],[CUIT]],Lista_CUIT[#All],2,0)),"CUIT NO CARGADO")</f>
        <v>-</v>
      </c>
      <c r="H386" s="64"/>
      <c r="I386" s="144">
        <f>ventas_b_mes5[[#This Row],[IMPORTE NETO]]*0.21</f>
        <v>0</v>
      </c>
      <c r="J386" s="145"/>
      <c r="K386" s="145"/>
      <c r="L386" s="145">
        <f>SUM(ventas_b_mes5[[#This Row],[IMPORTE NETO]:[EXENTO]])</f>
        <v>0</v>
      </c>
      <c r="M386" s="59"/>
    </row>
    <row r="387" spans="2:13" x14ac:dyDescent="0.25">
      <c r="B387" s="139"/>
      <c r="C387" s="41"/>
      <c r="D387" s="141"/>
      <c r="E387" s="142"/>
      <c r="F387" s="143"/>
      <c r="G387" s="1" t="str">
        <f>IFERROR(IF(ventas_b_mes5[[#This Row],[CUIT]]="","-",VLOOKUP(ventas_b_mes5[[#This Row],[CUIT]],Lista_CUIT[#All],2,0)),"CUIT NO CARGADO")</f>
        <v>-</v>
      </c>
      <c r="H387" s="64"/>
      <c r="I387" s="144">
        <f>ventas_b_mes5[[#This Row],[IMPORTE NETO]]*0.21</f>
        <v>0</v>
      </c>
      <c r="J387" s="145"/>
      <c r="K387" s="145"/>
      <c r="L387" s="145">
        <f>SUM(ventas_b_mes5[[#This Row],[IMPORTE NETO]:[EXENTO]])</f>
        <v>0</v>
      </c>
      <c r="M387" s="59"/>
    </row>
    <row r="388" spans="2:13" x14ac:dyDescent="0.25">
      <c r="B388" s="139"/>
      <c r="C388" s="41"/>
      <c r="D388" s="141"/>
      <c r="E388" s="142"/>
      <c r="F388" s="143"/>
      <c r="G388" s="1" t="str">
        <f>IFERROR(IF(ventas_b_mes5[[#This Row],[CUIT]]="","-",VLOOKUP(ventas_b_mes5[[#This Row],[CUIT]],Lista_CUIT[#All],2,0)),"CUIT NO CARGADO")</f>
        <v>-</v>
      </c>
      <c r="H388" s="64"/>
      <c r="I388" s="144">
        <f>ventas_b_mes5[[#This Row],[IMPORTE NETO]]*0.21</f>
        <v>0</v>
      </c>
      <c r="J388" s="145"/>
      <c r="K388" s="145"/>
      <c r="L388" s="145">
        <f>SUM(ventas_b_mes5[[#This Row],[IMPORTE NETO]:[EXENTO]])</f>
        <v>0</v>
      </c>
      <c r="M388" s="59"/>
    </row>
    <row r="389" spans="2:13" x14ac:dyDescent="0.25">
      <c r="B389" s="139"/>
      <c r="C389" s="41"/>
      <c r="D389" s="141"/>
      <c r="E389" s="142"/>
      <c r="F389" s="143"/>
      <c r="G389" s="1" t="str">
        <f>IFERROR(IF(ventas_b_mes5[[#This Row],[CUIT]]="","-",VLOOKUP(ventas_b_mes5[[#This Row],[CUIT]],Lista_CUIT[#All],2,0)),"CUIT NO CARGADO")</f>
        <v>-</v>
      </c>
      <c r="H389" s="64"/>
      <c r="I389" s="144">
        <f>ventas_b_mes5[[#This Row],[IMPORTE NETO]]*0.21</f>
        <v>0</v>
      </c>
      <c r="J389" s="145"/>
      <c r="K389" s="145"/>
      <c r="L389" s="145">
        <f>SUM(ventas_b_mes5[[#This Row],[IMPORTE NETO]:[EXENTO]])</f>
        <v>0</v>
      </c>
      <c r="M389" s="59"/>
    </row>
    <row r="390" spans="2:13" x14ac:dyDescent="0.25">
      <c r="B390" s="139"/>
      <c r="C390" s="41"/>
      <c r="D390" s="141"/>
      <c r="E390" s="142"/>
      <c r="F390" s="143"/>
      <c r="G390" s="1" t="str">
        <f>IFERROR(IF(ventas_b_mes5[[#This Row],[CUIT]]="","-",VLOOKUP(ventas_b_mes5[[#This Row],[CUIT]],Lista_CUIT[#All],2,0)),"CUIT NO CARGADO")</f>
        <v>-</v>
      </c>
      <c r="H390" s="64"/>
      <c r="I390" s="144">
        <f>ventas_b_mes5[[#This Row],[IMPORTE NETO]]*0.21</f>
        <v>0</v>
      </c>
      <c r="J390" s="145"/>
      <c r="K390" s="145"/>
      <c r="L390" s="145">
        <f>SUM(ventas_b_mes5[[#This Row],[IMPORTE NETO]:[EXENTO]])</f>
        <v>0</v>
      </c>
      <c r="M390" s="59"/>
    </row>
    <row r="391" spans="2:13" x14ac:dyDescent="0.25">
      <c r="B391" s="139"/>
      <c r="C391" s="41"/>
      <c r="D391" s="141"/>
      <c r="E391" s="142"/>
      <c r="F391" s="143"/>
      <c r="G391" s="1" t="str">
        <f>IFERROR(IF(ventas_b_mes5[[#This Row],[CUIT]]="","-",VLOOKUP(ventas_b_mes5[[#This Row],[CUIT]],Lista_CUIT[#All],2,0)),"CUIT NO CARGADO")</f>
        <v>-</v>
      </c>
      <c r="H391" s="64"/>
      <c r="I391" s="144">
        <f>ventas_b_mes5[[#This Row],[IMPORTE NETO]]*0.21</f>
        <v>0</v>
      </c>
      <c r="J391" s="145"/>
      <c r="K391" s="145"/>
      <c r="L391" s="145">
        <f>SUM(ventas_b_mes5[[#This Row],[IMPORTE NETO]:[EXENTO]])</f>
        <v>0</v>
      </c>
      <c r="M391" s="59"/>
    </row>
    <row r="392" spans="2:13" x14ac:dyDescent="0.25">
      <c r="B392" s="139"/>
      <c r="C392" s="41"/>
      <c r="D392" s="141"/>
      <c r="E392" s="142"/>
      <c r="F392" s="143"/>
      <c r="G392" s="1" t="str">
        <f>IFERROR(IF(ventas_b_mes5[[#This Row],[CUIT]]="","-",VLOOKUP(ventas_b_mes5[[#This Row],[CUIT]],Lista_CUIT[#All],2,0)),"CUIT NO CARGADO")</f>
        <v>-</v>
      </c>
      <c r="H392" s="64"/>
      <c r="I392" s="144">
        <f>ventas_b_mes5[[#This Row],[IMPORTE NETO]]*0.21</f>
        <v>0</v>
      </c>
      <c r="J392" s="145"/>
      <c r="K392" s="145"/>
      <c r="L392" s="145">
        <f>SUM(ventas_b_mes5[[#This Row],[IMPORTE NETO]:[EXENTO]])</f>
        <v>0</v>
      </c>
      <c r="M392" s="59"/>
    </row>
    <row r="393" spans="2:13" x14ac:dyDescent="0.25">
      <c r="B393" s="139"/>
      <c r="C393" s="41"/>
      <c r="D393" s="141"/>
      <c r="E393" s="142"/>
      <c r="F393" s="143"/>
      <c r="G393" s="1" t="str">
        <f>IFERROR(IF(ventas_b_mes5[[#This Row],[CUIT]]="","-",VLOOKUP(ventas_b_mes5[[#This Row],[CUIT]],Lista_CUIT[#All],2,0)),"CUIT NO CARGADO")</f>
        <v>-</v>
      </c>
      <c r="H393" s="64"/>
      <c r="I393" s="144">
        <f>ventas_b_mes5[[#This Row],[IMPORTE NETO]]*0.21</f>
        <v>0</v>
      </c>
      <c r="J393" s="145"/>
      <c r="K393" s="145"/>
      <c r="L393" s="145">
        <f>SUM(ventas_b_mes5[[#This Row],[IMPORTE NETO]:[EXENTO]])</f>
        <v>0</v>
      </c>
      <c r="M393" s="59"/>
    </row>
    <row r="394" spans="2:13" x14ac:dyDescent="0.25">
      <c r="B394" s="139"/>
      <c r="C394" s="41"/>
      <c r="D394" s="141"/>
      <c r="E394" s="142"/>
      <c r="F394" s="143"/>
      <c r="G394" s="1" t="str">
        <f>IFERROR(IF(ventas_b_mes5[[#This Row],[CUIT]]="","-",VLOOKUP(ventas_b_mes5[[#This Row],[CUIT]],Lista_CUIT[#All],2,0)),"CUIT NO CARGADO")</f>
        <v>-</v>
      </c>
      <c r="H394" s="64"/>
      <c r="I394" s="144">
        <f>ventas_b_mes5[[#This Row],[IMPORTE NETO]]*0.21</f>
        <v>0</v>
      </c>
      <c r="J394" s="145"/>
      <c r="K394" s="145"/>
      <c r="L394" s="145">
        <f>SUM(ventas_b_mes5[[#This Row],[IMPORTE NETO]:[EXENTO]])</f>
        <v>0</v>
      </c>
      <c r="M394" s="59"/>
    </row>
    <row r="395" spans="2:13" x14ac:dyDescent="0.25">
      <c r="B395" s="139"/>
      <c r="C395" s="41"/>
      <c r="D395" s="141"/>
      <c r="E395" s="142"/>
      <c r="F395" s="143"/>
      <c r="G395" s="1" t="str">
        <f>IFERROR(IF(ventas_b_mes5[[#This Row],[CUIT]]="","-",VLOOKUP(ventas_b_mes5[[#This Row],[CUIT]],Lista_CUIT[#All],2,0)),"CUIT NO CARGADO")</f>
        <v>-</v>
      </c>
      <c r="H395" s="64"/>
      <c r="I395" s="144">
        <f>ventas_b_mes5[[#This Row],[IMPORTE NETO]]*0.21</f>
        <v>0</v>
      </c>
      <c r="J395" s="145"/>
      <c r="K395" s="145"/>
      <c r="L395" s="145">
        <f>SUM(ventas_b_mes5[[#This Row],[IMPORTE NETO]:[EXENTO]])</f>
        <v>0</v>
      </c>
      <c r="M395" s="59"/>
    </row>
    <row r="396" spans="2:13" x14ac:dyDescent="0.25">
      <c r="B396" s="139"/>
      <c r="C396" s="41"/>
      <c r="D396" s="141"/>
      <c r="E396" s="142"/>
      <c r="F396" s="143"/>
      <c r="G396" s="1" t="str">
        <f>IFERROR(IF(ventas_b_mes5[[#This Row],[CUIT]]="","-",VLOOKUP(ventas_b_mes5[[#This Row],[CUIT]],Lista_CUIT[#All],2,0)),"CUIT NO CARGADO")</f>
        <v>-</v>
      </c>
      <c r="H396" s="64"/>
      <c r="I396" s="144">
        <f>ventas_b_mes5[[#This Row],[IMPORTE NETO]]*0.21</f>
        <v>0</v>
      </c>
      <c r="J396" s="145"/>
      <c r="K396" s="145"/>
      <c r="L396" s="145">
        <f>SUM(ventas_b_mes5[[#This Row],[IMPORTE NETO]:[EXENTO]])</f>
        <v>0</v>
      </c>
      <c r="M396" s="59"/>
    </row>
    <row r="397" spans="2:13" x14ac:dyDescent="0.25">
      <c r="B397" s="139"/>
      <c r="C397" s="41"/>
      <c r="D397" s="141"/>
      <c r="E397" s="142"/>
      <c r="F397" s="143"/>
      <c r="G397" s="1" t="str">
        <f>IFERROR(IF(ventas_b_mes5[[#This Row],[CUIT]]="","-",VLOOKUP(ventas_b_mes5[[#This Row],[CUIT]],Lista_CUIT[#All],2,0)),"CUIT NO CARGADO")</f>
        <v>-</v>
      </c>
      <c r="H397" s="64"/>
      <c r="I397" s="144">
        <f>ventas_b_mes5[[#This Row],[IMPORTE NETO]]*0.21</f>
        <v>0</v>
      </c>
      <c r="J397" s="145"/>
      <c r="K397" s="145"/>
      <c r="L397" s="145">
        <f>SUM(ventas_b_mes5[[#This Row],[IMPORTE NETO]:[EXENTO]])</f>
        <v>0</v>
      </c>
      <c r="M397" s="59"/>
    </row>
    <row r="398" spans="2:13" x14ac:dyDescent="0.25">
      <c r="B398" s="139"/>
      <c r="C398" s="41"/>
      <c r="D398" s="141"/>
      <c r="E398" s="142"/>
      <c r="F398" s="143"/>
      <c r="G398" s="1" t="str">
        <f>IFERROR(IF(ventas_b_mes5[[#This Row],[CUIT]]="","-",VLOOKUP(ventas_b_mes5[[#This Row],[CUIT]],Lista_CUIT[#All],2,0)),"CUIT NO CARGADO")</f>
        <v>-</v>
      </c>
      <c r="H398" s="64"/>
      <c r="I398" s="144">
        <f>ventas_b_mes5[[#This Row],[IMPORTE NETO]]*0.21</f>
        <v>0</v>
      </c>
      <c r="J398" s="145"/>
      <c r="K398" s="145"/>
      <c r="L398" s="145">
        <f>SUM(ventas_b_mes5[[#This Row],[IMPORTE NETO]:[EXENTO]])</f>
        <v>0</v>
      </c>
      <c r="M398" s="59"/>
    </row>
    <row r="399" spans="2:13" x14ac:dyDescent="0.25">
      <c r="B399" s="139"/>
      <c r="C399" s="41"/>
      <c r="D399" s="141"/>
      <c r="E399" s="142"/>
      <c r="F399" s="143"/>
      <c r="G399" s="1" t="str">
        <f>IFERROR(IF(ventas_b_mes5[[#This Row],[CUIT]]="","-",VLOOKUP(ventas_b_mes5[[#This Row],[CUIT]],Lista_CUIT[#All],2,0)),"CUIT NO CARGADO")</f>
        <v>-</v>
      </c>
      <c r="H399" s="64"/>
      <c r="I399" s="144">
        <f>ventas_b_mes5[[#This Row],[IMPORTE NETO]]*0.21</f>
        <v>0</v>
      </c>
      <c r="J399" s="145"/>
      <c r="K399" s="145"/>
      <c r="L399" s="145">
        <f>SUM(ventas_b_mes5[[#This Row],[IMPORTE NETO]:[EXENTO]])</f>
        <v>0</v>
      </c>
      <c r="M399" s="59"/>
    </row>
    <row r="400" spans="2:13" x14ac:dyDescent="0.25">
      <c r="B400" s="139"/>
      <c r="C400" s="41"/>
      <c r="D400" s="141"/>
      <c r="E400" s="142"/>
      <c r="F400" s="143"/>
      <c r="G400" s="1" t="str">
        <f>IFERROR(IF(ventas_b_mes5[[#This Row],[CUIT]]="","-",VLOOKUP(ventas_b_mes5[[#This Row],[CUIT]],Lista_CUIT[#All],2,0)),"CUIT NO CARGADO")</f>
        <v>-</v>
      </c>
      <c r="H400" s="64"/>
      <c r="I400" s="144">
        <f>ventas_b_mes5[[#This Row],[IMPORTE NETO]]*0.21</f>
        <v>0</v>
      </c>
      <c r="J400" s="145"/>
      <c r="K400" s="145"/>
      <c r="L400" s="145">
        <f>SUM(ventas_b_mes5[[#This Row],[IMPORTE NETO]:[EXENTO]])</f>
        <v>0</v>
      </c>
      <c r="M400" s="59"/>
    </row>
    <row r="401" spans="2:13" x14ac:dyDescent="0.25">
      <c r="B401" s="139"/>
      <c r="C401" s="41"/>
      <c r="D401" s="141"/>
      <c r="E401" s="142"/>
      <c r="F401" s="143"/>
      <c r="G401" s="1" t="str">
        <f>IFERROR(IF(ventas_b_mes5[[#This Row],[CUIT]]="","-",VLOOKUP(ventas_b_mes5[[#This Row],[CUIT]],Lista_CUIT[#All],2,0)),"CUIT NO CARGADO")</f>
        <v>-</v>
      </c>
      <c r="H401" s="64"/>
      <c r="I401" s="144">
        <f>ventas_b_mes5[[#This Row],[IMPORTE NETO]]*0.21</f>
        <v>0</v>
      </c>
      <c r="J401" s="145"/>
      <c r="K401" s="145"/>
      <c r="L401" s="145">
        <f>SUM(ventas_b_mes5[[#This Row],[IMPORTE NETO]:[EXENTO]])</f>
        <v>0</v>
      </c>
      <c r="M401" s="59"/>
    </row>
    <row r="402" spans="2:13" x14ac:dyDescent="0.25">
      <c r="B402" s="139"/>
      <c r="C402" s="41"/>
      <c r="D402" s="141"/>
      <c r="E402" s="142"/>
      <c r="F402" s="143"/>
      <c r="G402" s="1" t="str">
        <f>IFERROR(IF(ventas_b_mes5[[#This Row],[CUIT]]="","-",VLOOKUP(ventas_b_mes5[[#This Row],[CUIT]],Lista_CUIT[#All],2,0)),"CUIT NO CARGADO")</f>
        <v>-</v>
      </c>
      <c r="H402" s="64"/>
      <c r="I402" s="144">
        <f>ventas_b_mes5[[#This Row],[IMPORTE NETO]]*0.21</f>
        <v>0</v>
      </c>
      <c r="J402" s="145"/>
      <c r="K402" s="145"/>
      <c r="L402" s="145">
        <f>SUM(ventas_b_mes5[[#This Row],[IMPORTE NETO]:[EXENTO]])</f>
        <v>0</v>
      </c>
      <c r="M402" s="59"/>
    </row>
    <row r="403" spans="2:13" x14ac:dyDescent="0.25">
      <c r="B403" s="139"/>
      <c r="C403" s="41"/>
      <c r="D403" s="141"/>
      <c r="E403" s="142"/>
      <c r="F403" s="143"/>
      <c r="G403" s="1" t="str">
        <f>IFERROR(IF(ventas_b_mes5[[#This Row],[CUIT]]="","-",VLOOKUP(ventas_b_mes5[[#This Row],[CUIT]],Lista_CUIT[#All],2,0)),"CUIT NO CARGADO")</f>
        <v>-</v>
      </c>
      <c r="H403" s="64"/>
      <c r="I403" s="144">
        <f>ventas_b_mes5[[#This Row],[IMPORTE NETO]]*0.21</f>
        <v>0</v>
      </c>
      <c r="J403" s="145"/>
      <c r="K403" s="145"/>
      <c r="L403" s="145">
        <f>SUM(ventas_b_mes5[[#This Row],[IMPORTE NETO]:[EXENTO]])</f>
        <v>0</v>
      </c>
      <c r="M403" s="59"/>
    </row>
    <row r="404" spans="2:13" x14ac:dyDescent="0.25">
      <c r="B404" s="139"/>
      <c r="C404" s="41"/>
      <c r="D404" s="141"/>
      <c r="E404" s="142"/>
      <c r="F404" s="143"/>
      <c r="G404" s="1" t="str">
        <f>IFERROR(IF(ventas_b_mes5[[#This Row],[CUIT]]="","-",VLOOKUP(ventas_b_mes5[[#This Row],[CUIT]],Lista_CUIT[#All],2,0)),"CUIT NO CARGADO")</f>
        <v>-</v>
      </c>
      <c r="H404" s="64"/>
      <c r="I404" s="144">
        <f>ventas_b_mes5[[#This Row],[IMPORTE NETO]]*0.21</f>
        <v>0</v>
      </c>
      <c r="J404" s="145"/>
      <c r="K404" s="145"/>
      <c r="L404" s="145">
        <f>SUM(ventas_b_mes5[[#This Row],[IMPORTE NETO]:[EXENTO]])</f>
        <v>0</v>
      </c>
      <c r="M404" s="59"/>
    </row>
    <row r="405" spans="2:13" x14ac:dyDescent="0.25">
      <c r="B405" s="139"/>
      <c r="C405" s="41"/>
      <c r="D405" s="141"/>
      <c r="E405" s="142"/>
      <c r="F405" s="143"/>
      <c r="G405" s="1" t="str">
        <f>IFERROR(IF(ventas_b_mes5[[#This Row],[CUIT]]="","-",VLOOKUP(ventas_b_mes5[[#This Row],[CUIT]],Lista_CUIT[#All],2,0)),"CUIT NO CARGADO")</f>
        <v>-</v>
      </c>
      <c r="H405" s="64"/>
      <c r="I405" s="144">
        <f>ventas_b_mes5[[#This Row],[IMPORTE NETO]]*0.21</f>
        <v>0</v>
      </c>
      <c r="J405" s="145"/>
      <c r="K405" s="145"/>
      <c r="L405" s="145">
        <f>SUM(ventas_b_mes5[[#This Row],[IMPORTE NETO]:[EXENTO]])</f>
        <v>0</v>
      </c>
      <c r="M405" s="59"/>
    </row>
    <row r="406" spans="2:13" x14ac:dyDescent="0.25">
      <c r="B406" s="139"/>
      <c r="C406" s="41"/>
      <c r="D406" s="141"/>
      <c r="E406" s="142"/>
      <c r="F406" s="143"/>
      <c r="G406" s="1" t="str">
        <f>IFERROR(IF(ventas_b_mes5[[#This Row],[CUIT]]="","-",VLOOKUP(ventas_b_mes5[[#This Row],[CUIT]],Lista_CUIT[#All],2,0)),"CUIT NO CARGADO")</f>
        <v>-</v>
      </c>
      <c r="H406" s="64"/>
      <c r="I406" s="144">
        <f>ventas_b_mes5[[#This Row],[IMPORTE NETO]]*0.21</f>
        <v>0</v>
      </c>
      <c r="J406" s="145"/>
      <c r="K406" s="145"/>
      <c r="L406" s="145">
        <f>SUM(ventas_b_mes5[[#This Row],[IMPORTE NETO]:[EXENTO]])</f>
        <v>0</v>
      </c>
      <c r="M406" s="59"/>
    </row>
    <row r="407" spans="2:13" x14ac:dyDescent="0.25">
      <c r="B407" s="139"/>
      <c r="C407" s="41"/>
      <c r="D407" s="141"/>
      <c r="E407" s="142"/>
      <c r="F407" s="143"/>
      <c r="G407" s="1" t="str">
        <f>IFERROR(IF(ventas_b_mes5[[#This Row],[CUIT]]="","-",VLOOKUP(ventas_b_mes5[[#This Row],[CUIT]],Lista_CUIT[#All],2,0)),"CUIT NO CARGADO")</f>
        <v>-</v>
      </c>
      <c r="H407" s="64"/>
      <c r="I407" s="144">
        <f>ventas_b_mes5[[#This Row],[IMPORTE NETO]]*0.21</f>
        <v>0</v>
      </c>
      <c r="J407" s="145"/>
      <c r="K407" s="145"/>
      <c r="L407" s="145">
        <f>SUM(ventas_b_mes5[[#This Row],[IMPORTE NETO]:[EXENTO]])</f>
        <v>0</v>
      </c>
      <c r="M407" s="59"/>
    </row>
    <row r="408" spans="2:13" x14ac:dyDescent="0.25">
      <c r="B408" s="139"/>
      <c r="C408" s="41"/>
      <c r="D408" s="141"/>
      <c r="E408" s="142"/>
      <c r="F408" s="143"/>
      <c r="G408" s="1" t="str">
        <f>IFERROR(IF(ventas_b_mes5[[#This Row],[CUIT]]="","-",VLOOKUP(ventas_b_mes5[[#This Row],[CUIT]],Lista_CUIT[#All],2,0)),"CUIT NO CARGADO")</f>
        <v>-</v>
      </c>
      <c r="H408" s="64"/>
      <c r="I408" s="144">
        <f>ventas_b_mes5[[#This Row],[IMPORTE NETO]]*0.21</f>
        <v>0</v>
      </c>
      <c r="J408" s="145"/>
      <c r="K408" s="145"/>
      <c r="L408" s="145">
        <f>SUM(ventas_b_mes5[[#This Row],[IMPORTE NETO]:[EXENTO]])</f>
        <v>0</v>
      </c>
      <c r="M408" s="59"/>
    </row>
    <row r="409" spans="2:13" x14ac:dyDescent="0.25">
      <c r="B409" s="139"/>
      <c r="C409" s="41"/>
      <c r="D409" s="141"/>
      <c r="E409" s="142"/>
      <c r="F409" s="143"/>
      <c r="G409" s="1" t="str">
        <f>IFERROR(IF(ventas_b_mes5[[#This Row],[CUIT]]="","-",VLOOKUP(ventas_b_mes5[[#This Row],[CUIT]],Lista_CUIT[#All],2,0)),"CUIT NO CARGADO")</f>
        <v>-</v>
      </c>
      <c r="H409" s="64"/>
      <c r="I409" s="144">
        <f>ventas_b_mes5[[#This Row],[IMPORTE NETO]]*0.21</f>
        <v>0</v>
      </c>
      <c r="J409" s="145"/>
      <c r="K409" s="145"/>
      <c r="L409" s="145">
        <f>SUM(ventas_b_mes5[[#This Row],[IMPORTE NETO]:[EXENTO]])</f>
        <v>0</v>
      </c>
      <c r="M409" s="59"/>
    </row>
    <row r="410" spans="2:13" x14ac:dyDescent="0.25">
      <c r="B410" s="139"/>
      <c r="C410" s="41"/>
      <c r="D410" s="141"/>
      <c r="E410" s="142"/>
      <c r="F410" s="143"/>
      <c r="G410" s="1" t="str">
        <f>IFERROR(IF(ventas_b_mes5[[#This Row],[CUIT]]="","-",VLOOKUP(ventas_b_mes5[[#This Row],[CUIT]],Lista_CUIT[#All],2,0)),"CUIT NO CARGADO")</f>
        <v>-</v>
      </c>
      <c r="H410" s="64"/>
      <c r="I410" s="144">
        <f>ventas_b_mes5[[#This Row],[IMPORTE NETO]]*0.21</f>
        <v>0</v>
      </c>
      <c r="J410" s="145"/>
      <c r="K410" s="145"/>
      <c r="L410" s="145">
        <f>SUM(ventas_b_mes5[[#This Row],[IMPORTE NETO]:[EXENTO]])</f>
        <v>0</v>
      </c>
      <c r="M410" s="59"/>
    </row>
    <row r="411" spans="2:13" x14ac:dyDescent="0.25">
      <c r="B411" s="139"/>
      <c r="C411" s="41"/>
      <c r="D411" s="141"/>
      <c r="E411" s="142"/>
      <c r="F411" s="143"/>
      <c r="G411" s="1" t="str">
        <f>IFERROR(IF(ventas_b_mes5[[#This Row],[CUIT]]="","-",VLOOKUP(ventas_b_mes5[[#This Row],[CUIT]],Lista_CUIT[#All],2,0)),"CUIT NO CARGADO")</f>
        <v>-</v>
      </c>
      <c r="H411" s="64"/>
      <c r="I411" s="144">
        <f>ventas_b_mes5[[#This Row],[IMPORTE NETO]]*0.21</f>
        <v>0</v>
      </c>
      <c r="J411" s="145"/>
      <c r="K411" s="145"/>
      <c r="L411" s="145">
        <f>SUM(ventas_b_mes5[[#This Row],[IMPORTE NETO]:[EXENTO]])</f>
        <v>0</v>
      </c>
      <c r="M411" s="59"/>
    </row>
    <row r="412" spans="2:13" x14ac:dyDescent="0.25">
      <c r="B412" s="139"/>
      <c r="C412" s="41"/>
      <c r="D412" s="141"/>
      <c r="E412" s="142"/>
      <c r="F412" s="143"/>
      <c r="G412" s="1" t="str">
        <f>IFERROR(IF(ventas_b_mes5[[#This Row],[CUIT]]="","-",VLOOKUP(ventas_b_mes5[[#This Row],[CUIT]],Lista_CUIT[#All],2,0)),"CUIT NO CARGADO")</f>
        <v>-</v>
      </c>
      <c r="H412" s="64"/>
      <c r="I412" s="144">
        <f>ventas_b_mes5[[#This Row],[IMPORTE NETO]]*0.21</f>
        <v>0</v>
      </c>
      <c r="J412" s="145"/>
      <c r="K412" s="145"/>
      <c r="L412" s="145">
        <f>SUM(ventas_b_mes5[[#This Row],[IMPORTE NETO]:[EXENTO]])</f>
        <v>0</v>
      </c>
      <c r="M412" s="59"/>
    </row>
    <row r="413" spans="2:13" x14ac:dyDescent="0.25">
      <c r="B413" s="139"/>
      <c r="C413" s="41"/>
      <c r="D413" s="141"/>
      <c r="E413" s="142"/>
      <c r="F413" s="143"/>
      <c r="G413" s="1" t="str">
        <f>IFERROR(IF(ventas_b_mes5[[#This Row],[CUIT]]="","-",VLOOKUP(ventas_b_mes5[[#This Row],[CUIT]],Lista_CUIT[#All],2,0)),"CUIT NO CARGADO")</f>
        <v>-</v>
      </c>
      <c r="H413" s="64"/>
      <c r="I413" s="144">
        <f>ventas_b_mes5[[#This Row],[IMPORTE NETO]]*0.21</f>
        <v>0</v>
      </c>
      <c r="J413" s="145"/>
      <c r="K413" s="145"/>
      <c r="L413" s="145">
        <f>SUM(ventas_b_mes5[[#This Row],[IMPORTE NETO]:[EXENTO]])</f>
        <v>0</v>
      </c>
      <c r="M413" s="59"/>
    </row>
    <row r="414" spans="2:13" x14ac:dyDescent="0.25">
      <c r="B414" s="139"/>
      <c r="C414" s="41"/>
      <c r="D414" s="141"/>
      <c r="E414" s="142"/>
      <c r="F414" s="143"/>
      <c r="G414" s="1" t="str">
        <f>IFERROR(IF(ventas_b_mes5[[#This Row],[CUIT]]="","-",VLOOKUP(ventas_b_mes5[[#This Row],[CUIT]],Lista_CUIT[#All],2,0)),"CUIT NO CARGADO")</f>
        <v>-</v>
      </c>
      <c r="H414" s="64"/>
      <c r="I414" s="144">
        <f>ventas_b_mes5[[#This Row],[IMPORTE NETO]]*0.21</f>
        <v>0</v>
      </c>
      <c r="J414" s="145"/>
      <c r="K414" s="145"/>
      <c r="L414" s="145">
        <f>SUM(ventas_b_mes5[[#This Row],[IMPORTE NETO]:[EXENTO]])</f>
        <v>0</v>
      </c>
      <c r="M414" s="59"/>
    </row>
    <row r="415" spans="2:13" x14ac:dyDescent="0.25">
      <c r="B415" s="139"/>
      <c r="C415" s="41"/>
      <c r="D415" s="141"/>
      <c r="E415" s="142"/>
      <c r="F415" s="143"/>
      <c r="G415" s="1" t="str">
        <f>IFERROR(IF(ventas_b_mes5[[#This Row],[CUIT]]="","-",VLOOKUP(ventas_b_mes5[[#This Row],[CUIT]],Lista_CUIT[#All],2,0)),"CUIT NO CARGADO")</f>
        <v>-</v>
      </c>
      <c r="H415" s="64"/>
      <c r="I415" s="144">
        <f>ventas_b_mes5[[#This Row],[IMPORTE NETO]]*0.21</f>
        <v>0</v>
      </c>
      <c r="J415" s="145"/>
      <c r="K415" s="145"/>
      <c r="L415" s="145">
        <f>SUM(ventas_b_mes5[[#This Row],[IMPORTE NETO]:[EXENTO]])</f>
        <v>0</v>
      </c>
      <c r="M415" s="59"/>
    </row>
    <row r="416" spans="2:13" x14ac:dyDescent="0.25">
      <c r="B416" s="139"/>
      <c r="C416" s="41"/>
      <c r="D416" s="141"/>
      <c r="E416" s="142"/>
      <c r="F416" s="143"/>
      <c r="G416" s="1" t="str">
        <f>IFERROR(IF(ventas_b_mes5[[#This Row],[CUIT]]="","-",VLOOKUP(ventas_b_mes5[[#This Row],[CUIT]],Lista_CUIT[#All],2,0)),"CUIT NO CARGADO")</f>
        <v>-</v>
      </c>
      <c r="H416" s="64"/>
      <c r="I416" s="144">
        <f>ventas_b_mes5[[#This Row],[IMPORTE NETO]]*0.21</f>
        <v>0</v>
      </c>
      <c r="J416" s="145"/>
      <c r="K416" s="145"/>
      <c r="L416" s="145">
        <f>SUM(ventas_b_mes5[[#This Row],[IMPORTE NETO]:[EXENTO]])</f>
        <v>0</v>
      </c>
      <c r="M416" s="59"/>
    </row>
    <row r="417" spans="2:13" x14ac:dyDescent="0.25">
      <c r="B417" s="139"/>
      <c r="C417" s="41"/>
      <c r="D417" s="141"/>
      <c r="E417" s="142"/>
      <c r="F417" s="143"/>
      <c r="G417" s="1" t="str">
        <f>IFERROR(IF(ventas_b_mes5[[#This Row],[CUIT]]="","-",VLOOKUP(ventas_b_mes5[[#This Row],[CUIT]],Lista_CUIT[#All],2,0)),"CUIT NO CARGADO")</f>
        <v>-</v>
      </c>
      <c r="H417" s="64"/>
      <c r="I417" s="144">
        <f>ventas_b_mes5[[#This Row],[IMPORTE NETO]]*0.21</f>
        <v>0</v>
      </c>
      <c r="J417" s="145"/>
      <c r="K417" s="145"/>
      <c r="L417" s="145">
        <f>SUM(ventas_b_mes5[[#This Row],[IMPORTE NETO]:[EXENTO]])</f>
        <v>0</v>
      </c>
      <c r="M417" s="59"/>
    </row>
    <row r="418" spans="2:13" x14ac:dyDescent="0.25">
      <c r="B418" s="139"/>
      <c r="C418" s="41"/>
      <c r="D418" s="141"/>
      <c r="E418" s="142"/>
      <c r="F418" s="143"/>
      <c r="G418" s="1" t="str">
        <f>IFERROR(IF(ventas_b_mes5[[#This Row],[CUIT]]="","-",VLOOKUP(ventas_b_mes5[[#This Row],[CUIT]],Lista_CUIT[#All],2,0)),"CUIT NO CARGADO")</f>
        <v>-</v>
      </c>
      <c r="H418" s="64"/>
      <c r="I418" s="144">
        <f>ventas_b_mes5[[#This Row],[IMPORTE NETO]]*0.21</f>
        <v>0</v>
      </c>
      <c r="J418" s="145"/>
      <c r="K418" s="145"/>
      <c r="L418" s="145">
        <f>SUM(ventas_b_mes5[[#This Row],[IMPORTE NETO]:[EXENTO]])</f>
        <v>0</v>
      </c>
      <c r="M418" s="59"/>
    </row>
    <row r="419" spans="2:13" x14ac:dyDescent="0.25">
      <c r="B419" s="139"/>
      <c r="C419" s="41"/>
      <c r="D419" s="141"/>
      <c r="E419" s="142"/>
      <c r="F419" s="143"/>
      <c r="G419" s="1" t="str">
        <f>IFERROR(IF(ventas_b_mes5[[#This Row],[CUIT]]="","-",VLOOKUP(ventas_b_mes5[[#This Row],[CUIT]],Lista_CUIT[#All],2,0)),"CUIT NO CARGADO")</f>
        <v>-</v>
      </c>
      <c r="H419" s="64"/>
      <c r="I419" s="144">
        <f>ventas_b_mes5[[#This Row],[IMPORTE NETO]]*0.21</f>
        <v>0</v>
      </c>
      <c r="J419" s="145"/>
      <c r="K419" s="145"/>
      <c r="L419" s="145">
        <f>SUM(ventas_b_mes5[[#This Row],[IMPORTE NETO]:[EXENTO]])</f>
        <v>0</v>
      </c>
      <c r="M419" s="59"/>
    </row>
    <row r="420" spans="2:13" x14ac:dyDescent="0.25">
      <c r="B420" s="139"/>
      <c r="C420" s="41"/>
      <c r="D420" s="141"/>
      <c r="E420" s="142"/>
      <c r="F420" s="143"/>
      <c r="G420" s="1" t="str">
        <f>IFERROR(IF(ventas_b_mes5[[#This Row],[CUIT]]="","-",VLOOKUP(ventas_b_mes5[[#This Row],[CUIT]],Lista_CUIT[#All],2,0)),"CUIT NO CARGADO")</f>
        <v>-</v>
      </c>
      <c r="H420" s="64"/>
      <c r="I420" s="144">
        <f>ventas_b_mes5[[#This Row],[IMPORTE NETO]]*0.21</f>
        <v>0</v>
      </c>
      <c r="J420" s="145"/>
      <c r="K420" s="145"/>
      <c r="L420" s="145">
        <f>SUM(ventas_b_mes5[[#This Row],[IMPORTE NETO]:[EXENTO]])</f>
        <v>0</v>
      </c>
      <c r="M420" s="59"/>
    </row>
    <row r="421" spans="2:13" x14ac:dyDescent="0.25">
      <c r="B421" s="139"/>
      <c r="C421" s="41"/>
      <c r="D421" s="141"/>
      <c r="E421" s="142"/>
      <c r="F421" s="143"/>
      <c r="G421" s="1" t="str">
        <f>IFERROR(IF(ventas_b_mes5[[#This Row],[CUIT]]="","-",VLOOKUP(ventas_b_mes5[[#This Row],[CUIT]],Lista_CUIT[#All],2,0)),"CUIT NO CARGADO")</f>
        <v>-</v>
      </c>
      <c r="H421" s="64"/>
      <c r="I421" s="144">
        <f>ventas_b_mes5[[#This Row],[IMPORTE NETO]]*0.21</f>
        <v>0</v>
      </c>
      <c r="J421" s="145"/>
      <c r="K421" s="145"/>
      <c r="L421" s="145">
        <f>SUM(ventas_b_mes5[[#This Row],[IMPORTE NETO]:[EXENTO]])</f>
        <v>0</v>
      </c>
      <c r="M421" s="59"/>
    </row>
    <row r="422" spans="2:13" x14ac:dyDescent="0.25">
      <c r="B422" s="139"/>
      <c r="C422" s="41"/>
      <c r="D422" s="141"/>
      <c r="E422" s="142"/>
      <c r="F422" s="143"/>
      <c r="G422" s="1" t="str">
        <f>IFERROR(IF(ventas_b_mes5[[#This Row],[CUIT]]="","-",VLOOKUP(ventas_b_mes5[[#This Row],[CUIT]],Lista_CUIT[#All],2,0)),"CUIT NO CARGADO")</f>
        <v>-</v>
      </c>
      <c r="H422" s="64"/>
      <c r="I422" s="144">
        <f>ventas_b_mes5[[#This Row],[IMPORTE NETO]]*0.21</f>
        <v>0</v>
      </c>
      <c r="J422" s="145"/>
      <c r="K422" s="145"/>
      <c r="L422" s="145">
        <f>SUM(ventas_b_mes5[[#This Row],[IMPORTE NETO]:[EXENTO]])</f>
        <v>0</v>
      </c>
      <c r="M422" s="59"/>
    </row>
    <row r="423" spans="2:13" x14ac:dyDescent="0.25">
      <c r="B423" s="139"/>
      <c r="C423" s="41"/>
      <c r="D423" s="141"/>
      <c r="E423" s="142"/>
      <c r="F423" s="143"/>
      <c r="G423" s="1" t="str">
        <f>IFERROR(IF(ventas_b_mes5[[#This Row],[CUIT]]="","-",VLOOKUP(ventas_b_mes5[[#This Row],[CUIT]],Lista_CUIT[#All],2,0)),"CUIT NO CARGADO")</f>
        <v>-</v>
      </c>
      <c r="H423" s="64"/>
      <c r="I423" s="144">
        <f>ventas_b_mes5[[#This Row],[IMPORTE NETO]]*0.21</f>
        <v>0</v>
      </c>
      <c r="J423" s="145"/>
      <c r="K423" s="145"/>
      <c r="L423" s="145">
        <f>SUM(ventas_b_mes5[[#This Row],[IMPORTE NETO]:[EXENTO]])</f>
        <v>0</v>
      </c>
      <c r="M423" s="59"/>
    </row>
    <row r="424" spans="2:13" x14ac:dyDescent="0.25">
      <c r="B424" s="139"/>
      <c r="C424" s="41"/>
      <c r="D424" s="141"/>
      <c r="E424" s="142"/>
      <c r="F424" s="143"/>
      <c r="G424" s="1" t="str">
        <f>IFERROR(IF(ventas_b_mes5[[#This Row],[CUIT]]="","-",VLOOKUP(ventas_b_mes5[[#This Row],[CUIT]],Lista_CUIT[#All],2,0)),"CUIT NO CARGADO")</f>
        <v>-</v>
      </c>
      <c r="H424" s="64"/>
      <c r="I424" s="144">
        <f>ventas_b_mes5[[#This Row],[IMPORTE NETO]]*0.21</f>
        <v>0</v>
      </c>
      <c r="J424" s="145"/>
      <c r="K424" s="145"/>
      <c r="L424" s="145">
        <f>SUM(ventas_b_mes5[[#This Row],[IMPORTE NETO]:[EXENTO]])</f>
        <v>0</v>
      </c>
      <c r="M424" s="59"/>
    </row>
    <row r="425" spans="2:13" x14ac:dyDescent="0.25">
      <c r="B425" s="139"/>
      <c r="C425" s="41"/>
      <c r="D425" s="141"/>
      <c r="E425" s="142"/>
      <c r="F425" s="143"/>
      <c r="G425" s="1" t="str">
        <f>IFERROR(IF(ventas_b_mes5[[#This Row],[CUIT]]="","-",VLOOKUP(ventas_b_mes5[[#This Row],[CUIT]],Lista_CUIT[#All],2,0)),"CUIT NO CARGADO")</f>
        <v>-</v>
      </c>
      <c r="H425" s="64"/>
      <c r="I425" s="144">
        <f>ventas_b_mes5[[#This Row],[IMPORTE NETO]]*0.21</f>
        <v>0</v>
      </c>
      <c r="J425" s="145"/>
      <c r="K425" s="145"/>
      <c r="L425" s="145">
        <f>SUM(ventas_b_mes5[[#This Row],[IMPORTE NETO]:[EXENTO]])</f>
        <v>0</v>
      </c>
      <c r="M425" s="59"/>
    </row>
    <row r="426" spans="2:13" x14ac:dyDescent="0.25">
      <c r="B426" s="139"/>
      <c r="C426" s="41"/>
      <c r="D426" s="141"/>
      <c r="E426" s="142"/>
      <c r="F426" s="143"/>
      <c r="G426" s="1" t="str">
        <f>IFERROR(IF(ventas_b_mes5[[#This Row],[CUIT]]="","-",VLOOKUP(ventas_b_mes5[[#This Row],[CUIT]],Lista_CUIT[#All],2,0)),"CUIT NO CARGADO")</f>
        <v>-</v>
      </c>
      <c r="H426" s="64"/>
      <c r="I426" s="144">
        <f>ventas_b_mes5[[#This Row],[IMPORTE NETO]]*0.21</f>
        <v>0</v>
      </c>
      <c r="J426" s="145"/>
      <c r="K426" s="145"/>
      <c r="L426" s="145">
        <f>SUM(ventas_b_mes5[[#This Row],[IMPORTE NETO]:[EXENTO]])</f>
        <v>0</v>
      </c>
      <c r="M426" s="59"/>
    </row>
    <row r="427" spans="2:13" x14ac:dyDescent="0.25">
      <c r="B427" s="139"/>
      <c r="C427" s="41"/>
      <c r="D427" s="141"/>
      <c r="E427" s="142"/>
      <c r="F427" s="143"/>
      <c r="G427" s="1" t="str">
        <f>IFERROR(IF(ventas_b_mes5[[#This Row],[CUIT]]="","-",VLOOKUP(ventas_b_mes5[[#This Row],[CUIT]],Lista_CUIT[#All],2,0)),"CUIT NO CARGADO")</f>
        <v>-</v>
      </c>
      <c r="H427" s="64"/>
      <c r="I427" s="144">
        <f>ventas_b_mes5[[#This Row],[IMPORTE NETO]]*0.21</f>
        <v>0</v>
      </c>
      <c r="J427" s="145"/>
      <c r="K427" s="145"/>
      <c r="L427" s="145">
        <f>SUM(ventas_b_mes5[[#This Row],[IMPORTE NETO]:[EXENTO]])</f>
        <v>0</v>
      </c>
      <c r="M427" s="59"/>
    </row>
    <row r="428" spans="2:13" x14ac:dyDescent="0.25">
      <c r="B428" s="139"/>
      <c r="C428" s="41"/>
      <c r="D428" s="141"/>
      <c r="E428" s="142"/>
      <c r="F428" s="143"/>
      <c r="G428" s="1" t="str">
        <f>IFERROR(IF(ventas_b_mes5[[#This Row],[CUIT]]="","-",VLOOKUP(ventas_b_mes5[[#This Row],[CUIT]],Lista_CUIT[#All],2,0)),"CUIT NO CARGADO")</f>
        <v>-</v>
      </c>
      <c r="H428" s="64"/>
      <c r="I428" s="144">
        <f>ventas_b_mes5[[#This Row],[IMPORTE NETO]]*0.21</f>
        <v>0</v>
      </c>
      <c r="J428" s="145"/>
      <c r="K428" s="145"/>
      <c r="L428" s="145">
        <f>SUM(ventas_b_mes5[[#This Row],[IMPORTE NETO]:[EXENTO]])</f>
        <v>0</v>
      </c>
      <c r="M428" s="59"/>
    </row>
    <row r="429" spans="2:13" x14ac:dyDescent="0.25">
      <c r="B429" s="139"/>
      <c r="C429" s="41"/>
      <c r="D429" s="141"/>
      <c r="E429" s="142"/>
      <c r="F429" s="143"/>
      <c r="G429" s="1" t="str">
        <f>IFERROR(IF(ventas_b_mes5[[#This Row],[CUIT]]="","-",VLOOKUP(ventas_b_mes5[[#This Row],[CUIT]],Lista_CUIT[#All],2,0)),"CUIT NO CARGADO")</f>
        <v>-</v>
      </c>
      <c r="H429" s="64"/>
      <c r="I429" s="144">
        <f>ventas_b_mes5[[#This Row],[IMPORTE NETO]]*0.21</f>
        <v>0</v>
      </c>
      <c r="J429" s="145"/>
      <c r="K429" s="145"/>
      <c r="L429" s="145">
        <f>SUM(ventas_b_mes5[[#This Row],[IMPORTE NETO]:[EXENTO]])</f>
        <v>0</v>
      </c>
      <c r="M429" s="59"/>
    </row>
    <row r="430" spans="2:13" x14ac:dyDescent="0.25">
      <c r="B430" s="139"/>
      <c r="C430" s="41"/>
      <c r="D430" s="141"/>
      <c r="E430" s="142"/>
      <c r="F430" s="143"/>
      <c r="G430" s="1" t="str">
        <f>IFERROR(IF(ventas_b_mes5[[#This Row],[CUIT]]="","-",VLOOKUP(ventas_b_mes5[[#This Row],[CUIT]],Lista_CUIT[#All],2,0)),"CUIT NO CARGADO")</f>
        <v>-</v>
      </c>
      <c r="H430" s="64"/>
      <c r="I430" s="144">
        <f>ventas_b_mes5[[#This Row],[IMPORTE NETO]]*0.21</f>
        <v>0</v>
      </c>
      <c r="J430" s="145"/>
      <c r="K430" s="145"/>
      <c r="L430" s="145">
        <f>SUM(ventas_b_mes5[[#This Row],[IMPORTE NETO]:[EXENTO]])</f>
        <v>0</v>
      </c>
      <c r="M430" s="59"/>
    </row>
    <row r="431" spans="2:13" x14ac:dyDescent="0.25">
      <c r="B431" s="139"/>
      <c r="C431" s="41"/>
      <c r="D431" s="141"/>
      <c r="E431" s="142"/>
      <c r="F431" s="143"/>
      <c r="G431" s="1" t="str">
        <f>IFERROR(IF(ventas_b_mes5[[#This Row],[CUIT]]="","-",VLOOKUP(ventas_b_mes5[[#This Row],[CUIT]],Lista_CUIT[#All],2,0)),"CUIT NO CARGADO")</f>
        <v>-</v>
      </c>
      <c r="H431" s="64"/>
      <c r="I431" s="144">
        <f>ventas_b_mes5[[#This Row],[IMPORTE NETO]]*0.21</f>
        <v>0</v>
      </c>
      <c r="J431" s="145"/>
      <c r="K431" s="145"/>
      <c r="L431" s="145">
        <f>SUM(ventas_b_mes5[[#This Row],[IMPORTE NETO]:[EXENTO]])</f>
        <v>0</v>
      </c>
      <c r="M431" s="59"/>
    </row>
    <row r="432" spans="2:13" x14ac:dyDescent="0.25">
      <c r="B432" s="139"/>
      <c r="C432" s="41"/>
      <c r="D432" s="141"/>
      <c r="E432" s="142"/>
      <c r="F432" s="143"/>
      <c r="G432" s="1" t="str">
        <f>IFERROR(IF(ventas_b_mes5[[#This Row],[CUIT]]="","-",VLOOKUP(ventas_b_mes5[[#This Row],[CUIT]],Lista_CUIT[#All],2,0)),"CUIT NO CARGADO")</f>
        <v>-</v>
      </c>
      <c r="H432" s="64"/>
      <c r="I432" s="144">
        <f>ventas_b_mes5[[#This Row],[IMPORTE NETO]]*0.21</f>
        <v>0</v>
      </c>
      <c r="J432" s="145"/>
      <c r="K432" s="145"/>
      <c r="L432" s="145">
        <f>SUM(ventas_b_mes5[[#This Row],[IMPORTE NETO]:[EXENTO]])</f>
        <v>0</v>
      </c>
      <c r="M432" s="59"/>
    </row>
    <row r="433" spans="2:13" x14ac:dyDescent="0.25">
      <c r="B433" s="139"/>
      <c r="C433" s="41"/>
      <c r="D433" s="141"/>
      <c r="E433" s="142"/>
      <c r="F433" s="143"/>
      <c r="G433" s="1" t="str">
        <f>IFERROR(IF(ventas_b_mes5[[#This Row],[CUIT]]="","-",VLOOKUP(ventas_b_mes5[[#This Row],[CUIT]],Lista_CUIT[#All],2,0)),"CUIT NO CARGADO")</f>
        <v>-</v>
      </c>
      <c r="H433" s="64"/>
      <c r="I433" s="144">
        <f>ventas_b_mes5[[#This Row],[IMPORTE NETO]]*0.21</f>
        <v>0</v>
      </c>
      <c r="J433" s="145"/>
      <c r="K433" s="145"/>
      <c r="L433" s="145">
        <f>SUM(ventas_b_mes5[[#This Row],[IMPORTE NETO]:[EXENTO]])</f>
        <v>0</v>
      </c>
      <c r="M433" s="59"/>
    </row>
    <row r="434" spans="2:13" x14ac:dyDescent="0.25">
      <c r="B434" s="139"/>
      <c r="C434" s="41"/>
      <c r="D434" s="141"/>
      <c r="E434" s="142"/>
      <c r="F434" s="143"/>
      <c r="G434" s="1" t="str">
        <f>IFERROR(IF(ventas_b_mes5[[#This Row],[CUIT]]="","-",VLOOKUP(ventas_b_mes5[[#This Row],[CUIT]],Lista_CUIT[#All],2,0)),"CUIT NO CARGADO")</f>
        <v>-</v>
      </c>
      <c r="H434" s="64"/>
      <c r="I434" s="144">
        <f>ventas_b_mes5[[#This Row],[IMPORTE NETO]]*0.21</f>
        <v>0</v>
      </c>
      <c r="J434" s="145"/>
      <c r="K434" s="145"/>
      <c r="L434" s="145">
        <f>SUM(ventas_b_mes5[[#This Row],[IMPORTE NETO]:[EXENTO]])</f>
        <v>0</v>
      </c>
      <c r="M434" s="59"/>
    </row>
    <row r="435" spans="2:13" x14ac:dyDescent="0.25">
      <c r="B435" s="139"/>
      <c r="C435" s="41"/>
      <c r="D435" s="141"/>
      <c r="E435" s="142"/>
      <c r="F435" s="143"/>
      <c r="G435" s="1" t="str">
        <f>IFERROR(IF(ventas_b_mes5[[#This Row],[CUIT]]="","-",VLOOKUP(ventas_b_mes5[[#This Row],[CUIT]],Lista_CUIT[#All],2,0)),"CUIT NO CARGADO")</f>
        <v>-</v>
      </c>
      <c r="H435" s="64"/>
      <c r="I435" s="144">
        <f>ventas_b_mes5[[#This Row],[IMPORTE NETO]]*0.21</f>
        <v>0</v>
      </c>
      <c r="J435" s="145"/>
      <c r="K435" s="145"/>
      <c r="L435" s="145">
        <f>SUM(ventas_b_mes5[[#This Row],[IMPORTE NETO]:[EXENTO]])</f>
        <v>0</v>
      </c>
      <c r="M435" s="59"/>
    </row>
    <row r="436" spans="2:13" x14ac:dyDescent="0.25">
      <c r="B436" s="139"/>
      <c r="C436" s="41"/>
      <c r="D436" s="141"/>
      <c r="E436" s="142"/>
      <c r="F436" s="143"/>
      <c r="G436" s="1" t="str">
        <f>IFERROR(IF(ventas_b_mes5[[#This Row],[CUIT]]="","-",VLOOKUP(ventas_b_mes5[[#This Row],[CUIT]],Lista_CUIT[#All],2,0)),"CUIT NO CARGADO")</f>
        <v>-</v>
      </c>
      <c r="H436" s="64"/>
      <c r="I436" s="144">
        <f>ventas_b_mes5[[#This Row],[IMPORTE NETO]]*0.21</f>
        <v>0</v>
      </c>
      <c r="J436" s="145"/>
      <c r="K436" s="145"/>
      <c r="L436" s="145">
        <f>SUM(ventas_b_mes5[[#This Row],[IMPORTE NETO]:[EXENTO]])</f>
        <v>0</v>
      </c>
      <c r="M436" s="59"/>
    </row>
    <row r="437" spans="2:13" x14ac:dyDescent="0.25">
      <c r="B437" s="139"/>
      <c r="C437" s="41"/>
      <c r="D437" s="141"/>
      <c r="E437" s="142"/>
      <c r="F437" s="143"/>
      <c r="G437" s="1" t="str">
        <f>IFERROR(IF(ventas_b_mes5[[#This Row],[CUIT]]="","-",VLOOKUP(ventas_b_mes5[[#This Row],[CUIT]],Lista_CUIT[#All],2,0)),"CUIT NO CARGADO")</f>
        <v>-</v>
      </c>
      <c r="H437" s="64"/>
      <c r="I437" s="144">
        <f>ventas_b_mes5[[#This Row],[IMPORTE NETO]]*0.21</f>
        <v>0</v>
      </c>
      <c r="J437" s="145"/>
      <c r="K437" s="145"/>
      <c r="L437" s="145">
        <f>SUM(ventas_b_mes5[[#This Row],[IMPORTE NETO]:[EXENTO]])</f>
        <v>0</v>
      </c>
      <c r="M437" s="59"/>
    </row>
    <row r="438" spans="2:13" x14ac:dyDescent="0.25">
      <c r="B438" s="139"/>
      <c r="C438" s="41"/>
      <c r="D438" s="141"/>
      <c r="E438" s="142"/>
      <c r="F438" s="143"/>
      <c r="G438" s="1" t="str">
        <f>IFERROR(IF(ventas_b_mes5[[#This Row],[CUIT]]="","-",VLOOKUP(ventas_b_mes5[[#This Row],[CUIT]],Lista_CUIT[#All],2,0)),"CUIT NO CARGADO")</f>
        <v>-</v>
      </c>
      <c r="H438" s="64"/>
      <c r="I438" s="144">
        <f>ventas_b_mes5[[#This Row],[IMPORTE NETO]]*0.21</f>
        <v>0</v>
      </c>
      <c r="J438" s="145"/>
      <c r="K438" s="145"/>
      <c r="L438" s="145">
        <f>SUM(ventas_b_mes5[[#This Row],[IMPORTE NETO]:[EXENTO]])</f>
        <v>0</v>
      </c>
      <c r="M438" s="59"/>
    </row>
    <row r="439" spans="2:13" x14ac:dyDescent="0.25">
      <c r="B439" s="139"/>
      <c r="C439" s="41"/>
      <c r="D439" s="141"/>
      <c r="E439" s="142"/>
      <c r="F439" s="143"/>
      <c r="G439" s="1" t="str">
        <f>IFERROR(IF(ventas_b_mes5[[#This Row],[CUIT]]="","-",VLOOKUP(ventas_b_mes5[[#This Row],[CUIT]],Lista_CUIT[#All],2,0)),"CUIT NO CARGADO")</f>
        <v>-</v>
      </c>
      <c r="H439" s="64"/>
      <c r="I439" s="144">
        <f>ventas_b_mes5[[#This Row],[IMPORTE NETO]]*0.21</f>
        <v>0</v>
      </c>
      <c r="J439" s="145"/>
      <c r="K439" s="145"/>
      <c r="L439" s="145">
        <f>SUM(ventas_b_mes5[[#This Row],[IMPORTE NETO]:[EXENTO]])</f>
        <v>0</v>
      </c>
      <c r="M439" s="59"/>
    </row>
    <row r="440" spans="2:13" x14ac:dyDescent="0.25">
      <c r="B440" s="139"/>
      <c r="C440" s="41"/>
      <c r="D440" s="141"/>
      <c r="E440" s="142"/>
      <c r="F440" s="143"/>
      <c r="G440" s="1" t="str">
        <f>IFERROR(IF(ventas_b_mes5[[#This Row],[CUIT]]="","-",VLOOKUP(ventas_b_mes5[[#This Row],[CUIT]],Lista_CUIT[#All],2,0)),"CUIT NO CARGADO")</f>
        <v>-</v>
      </c>
      <c r="H440" s="64"/>
      <c r="I440" s="144">
        <f>ventas_b_mes5[[#This Row],[IMPORTE NETO]]*0.21</f>
        <v>0</v>
      </c>
      <c r="J440" s="145"/>
      <c r="K440" s="145"/>
      <c r="L440" s="145">
        <f>SUM(ventas_b_mes5[[#This Row],[IMPORTE NETO]:[EXENTO]])</f>
        <v>0</v>
      </c>
      <c r="M440" s="59"/>
    </row>
    <row r="441" spans="2:13" x14ac:dyDescent="0.25">
      <c r="B441" s="139"/>
      <c r="C441" s="41"/>
      <c r="D441" s="141"/>
      <c r="E441" s="142"/>
      <c r="F441" s="143"/>
      <c r="G441" s="1" t="str">
        <f>IFERROR(IF(ventas_b_mes5[[#This Row],[CUIT]]="","-",VLOOKUP(ventas_b_mes5[[#This Row],[CUIT]],Lista_CUIT[#All],2,0)),"CUIT NO CARGADO")</f>
        <v>-</v>
      </c>
      <c r="H441" s="64"/>
      <c r="I441" s="144">
        <f>ventas_b_mes5[[#This Row],[IMPORTE NETO]]*0.21</f>
        <v>0</v>
      </c>
      <c r="J441" s="145"/>
      <c r="K441" s="145"/>
      <c r="L441" s="145">
        <f>SUM(ventas_b_mes5[[#This Row],[IMPORTE NETO]:[EXENTO]])</f>
        <v>0</v>
      </c>
      <c r="M441" s="59"/>
    </row>
    <row r="442" spans="2:13" x14ac:dyDescent="0.25">
      <c r="B442" s="139"/>
      <c r="C442" s="41"/>
      <c r="D442" s="141"/>
      <c r="E442" s="142"/>
      <c r="F442" s="143"/>
      <c r="G442" s="1" t="str">
        <f>IFERROR(IF(ventas_b_mes5[[#This Row],[CUIT]]="","-",VLOOKUP(ventas_b_mes5[[#This Row],[CUIT]],Lista_CUIT[#All],2,0)),"CUIT NO CARGADO")</f>
        <v>-</v>
      </c>
      <c r="H442" s="64"/>
      <c r="I442" s="144">
        <f>ventas_b_mes5[[#This Row],[IMPORTE NETO]]*0.21</f>
        <v>0</v>
      </c>
      <c r="J442" s="145"/>
      <c r="K442" s="145"/>
      <c r="L442" s="145">
        <f>SUM(ventas_b_mes5[[#This Row],[IMPORTE NETO]:[EXENTO]])</f>
        <v>0</v>
      </c>
      <c r="M442" s="59"/>
    </row>
    <row r="443" spans="2:13" x14ac:dyDescent="0.25">
      <c r="B443" s="139"/>
      <c r="C443" s="41"/>
      <c r="D443" s="141"/>
      <c r="E443" s="142"/>
      <c r="F443" s="143"/>
      <c r="G443" s="1" t="str">
        <f>IFERROR(IF(ventas_b_mes5[[#This Row],[CUIT]]="","-",VLOOKUP(ventas_b_mes5[[#This Row],[CUIT]],Lista_CUIT[#All],2,0)),"CUIT NO CARGADO")</f>
        <v>-</v>
      </c>
      <c r="H443" s="64"/>
      <c r="I443" s="144">
        <f>ventas_b_mes5[[#This Row],[IMPORTE NETO]]*0.21</f>
        <v>0</v>
      </c>
      <c r="J443" s="145"/>
      <c r="K443" s="145"/>
      <c r="L443" s="145">
        <f>SUM(ventas_b_mes5[[#This Row],[IMPORTE NETO]:[EXENTO]])</f>
        <v>0</v>
      </c>
      <c r="M443" s="59"/>
    </row>
    <row r="444" spans="2:13" x14ac:dyDescent="0.25">
      <c r="B444" s="139"/>
      <c r="C444" s="41"/>
      <c r="D444" s="141"/>
      <c r="E444" s="142"/>
      <c r="F444" s="143"/>
      <c r="G444" s="1" t="str">
        <f>IFERROR(IF(ventas_b_mes5[[#This Row],[CUIT]]="","-",VLOOKUP(ventas_b_mes5[[#This Row],[CUIT]],Lista_CUIT[#All],2,0)),"CUIT NO CARGADO")</f>
        <v>-</v>
      </c>
      <c r="H444" s="64"/>
      <c r="I444" s="144">
        <f>ventas_b_mes5[[#This Row],[IMPORTE NETO]]*0.21</f>
        <v>0</v>
      </c>
      <c r="J444" s="145"/>
      <c r="K444" s="145"/>
      <c r="L444" s="145">
        <f>SUM(ventas_b_mes5[[#This Row],[IMPORTE NETO]:[EXENTO]])</f>
        <v>0</v>
      </c>
      <c r="M444" s="59"/>
    </row>
    <row r="445" spans="2:13" x14ac:dyDescent="0.25">
      <c r="B445" s="139"/>
      <c r="C445" s="41"/>
      <c r="D445" s="141"/>
      <c r="E445" s="142"/>
      <c r="F445" s="143"/>
      <c r="G445" s="1" t="str">
        <f>IFERROR(IF(ventas_b_mes5[[#This Row],[CUIT]]="","-",VLOOKUP(ventas_b_mes5[[#This Row],[CUIT]],Lista_CUIT[#All],2,0)),"CUIT NO CARGADO")</f>
        <v>-</v>
      </c>
      <c r="H445" s="64"/>
      <c r="I445" s="144">
        <f>ventas_b_mes5[[#This Row],[IMPORTE NETO]]*0.21</f>
        <v>0</v>
      </c>
      <c r="J445" s="145"/>
      <c r="K445" s="145"/>
      <c r="L445" s="145">
        <f>SUM(ventas_b_mes5[[#This Row],[IMPORTE NETO]:[EXENTO]])</f>
        <v>0</v>
      </c>
      <c r="M445" s="59"/>
    </row>
    <row r="446" spans="2:13" x14ac:dyDescent="0.25">
      <c r="B446" s="139"/>
      <c r="C446" s="41"/>
      <c r="D446" s="141"/>
      <c r="E446" s="142"/>
      <c r="F446" s="143"/>
      <c r="G446" s="1" t="str">
        <f>IFERROR(IF(ventas_b_mes5[[#This Row],[CUIT]]="","-",VLOOKUP(ventas_b_mes5[[#This Row],[CUIT]],Lista_CUIT[#All],2,0)),"CUIT NO CARGADO")</f>
        <v>-</v>
      </c>
      <c r="H446" s="64"/>
      <c r="I446" s="144">
        <f>ventas_b_mes5[[#This Row],[IMPORTE NETO]]*0.21</f>
        <v>0</v>
      </c>
      <c r="J446" s="145"/>
      <c r="K446" s="145"/>
      <c r="L446" s="145">
        <f>SUM(ventas_b_mes5[[#This Row],[IMPORTE NETO]:[EXENTO]])</f>
        <v>0</v>
      </c>
      <c r="M446" s="59"/>
    </row>
    <row r="447" spans="2:13" x14ac:dyDescent="0.25">
      <c r="B447" s="139"/>
      <c r="C447" s="41"/>
      <c r="D447" s="141"/>
      <c r="E447" s="142"/>
      <c r="F447" s="143"/>
      <c r="G447" s="1" t="str">
        <f>IFERROR(IF(ventas_b_mes5[[#This Row],[CUIT]]="","-",VLOOKUP(ventas_b_mes5[[#This Row],[CUIT]],Lista_CUIT[#All],2,0)),"CUIT NO CARGADO")</f>
        <v>-</v>
      </c>
      <c r="H447" s="64"/>
      <c r="I447" s="144">
        <f>ventas_b_mes5[[#This Row],[IMPORTE NETO]]*0.21</f>
        <v>0</v>
      </c>
      <c r="J447" s="145"/>
      <c r="K447" s="145"/>
      <c r="L447" s="145">
        <f>SUM(ventas_b_mes5[[#This Row],[IMPORTE NETO]:[EXENTO]])</f>
        <v>0</v>
      </c>
      <c r="M447" s="59"/>
    </row>
    <row r="448" spans="2:13" x14ac:dyDescent="0.25">
      <c r="B448" s="139"/>
      <c r="C448" s="41"/>
      <c r="D448" s="141"/>
      <c r="E448" s="142"/>
      <c r="F448" s="143"/>
      <c r="G448" s="1" t="str">
        <f>IFERROR(IF(ventas_b_mes5[[#This Row],[CUIT]]="","-",VLOOKUP(ventas_b_mes5[[#This Row],[CUIT]],Lista_CUIT[#All],2,0)),"CUIT NO CARGADO")</f>
        <v>-</v>
      </c>
      <c r="H448" s="64"/>
      <c r="I448" s="144">
        <f>ventas_b_mes5[[#This Row],[IMPORTE NETO]]*0.21</f>
        <v>0</v>
      </c>
      <c r="J448" s="145"/>
      <c r="K448" s="145"/>
      <c r="L448" s="145">
        <f>SUM(ventas_b_mes5[[#This Row],[IMPORTE NETO]:[EXENTO]])</f>
        <v>0</v>
      </c>
      <c r="M448" s="59"/>
    </row>
    <row r="449" spans="2:13" x14ac:dyDescent="0.25">
      <c r="B449" s="139"/>
      <c r="C449" s="41"/>
      <c r="D449" s="141"/>
      <c r="E449" s="142"/>
      <c r="F449" s="143"/>
      <c r="G449" s="1" t="str">
        <f>IFERROR(IF(ventas_b_mes5[[#This Row],[CUIT]]="","-",VLOOKUP(ventas_b_mes5[[#This Row],[CUIT]],Lista_CUIT[#All],2,0)),"CUIT NO CARGADO")</f>
        <v>-</v>
      </c>
      <c r="H449" s="64"/>
      <c r="I449" s="144">
        <f>ventas_b_mes5[[#This Row],[IMPORTE NETO]]*0.21</f>
        <v>0</v>
      </c>
      <c r="J449" s="145"/>
      <c r="K449" s="145"/>
      <c r="L449" s="145">
        <f>SUM(ventas_b_mes5[[#This Row],[IMPORTE NETO]:[EXENTO]])</f>
        <v>0</v>
      </c>
      <c r="M449" s="59"/>
    </row>
    <row r="450" spans="2:13" x14ac:dyDescent="0.25">
      <c r="B450" s="139"/>
      <c r="C450" s="41"/>
      <c r="D450" s="141"/>
      <c r="E450" s="142"/>
      <c r="F450" s="143"/>
      <c r="G450" s="1" t="str">
        <f>IFERROR(IF(ventas_b_mes5[[#This Row],[CUIT]]="","-",VLOOKUP(ventas_b_mes5[[#This Row],[CUIT]],Lista_CUIT[#All],2,0)),"CUIT NO CARGADO")</f>
        <v>-</v>
      </c>
      <c r="H450" s="64"/>
      <c r="I450" s="144">
        <f>ventas_b_mes5[[#This Row],[IMPORTE NETO]]*0.21</f>
        <v>0</v>
      </c>
      <c r="J450" s="145"/>
      <c r="K450" s="145"/>
      <c r="L450" s="145">
        <f>SUM(ventas_b_mes5[[#This Row],[IMPORTE NETO]:[EXENTO]])</f>
        <v>0</v>
      </c>
      <c r="M450" s="59"/>
    </row>
    <row r="451" spans="2:13" x14ac:dyDescent="0.25">
      <c r="B451" s="139"/>
      <c r="C451" s="41"/>
      <c r="D451" s="141"/>
      <c r="E451" s="142"/>
      <c r="F451" s="143"/>
      <c r="G451" s="1" t="str">
        <f>IFERROR(IF(ventas_b_mes5[[#This Row],[CUIT]]="","-",VLOOKUP(ventas_b_mes5[[#This Row],[CUIT]],Lista_CUIT[#All],2,0)),"CUIT NO CARGADO")</f>
        <v>-</v>
      </c>
      <c r="H451" s="64"/>
      <c r="I451" s="144">
        <f>ventas_b_mes5[[#This Row],[IMPORTE NETO]]*0.21</f>
        <v>0</v>
      </c>
      <c r="J451" s="145"/>
      <c r="K451" s="145"/>
      <c r="L451" s="145">
        <f>SUM(ventas_b_mes5[[#This Row],[IMPORTE NETO]:[EXENTO]])</f>
        <v>0</v>
      </c>
      <c r="M451" s="59"/>
    </row>
    <row r="452" spans="2:13" x14ac:dyDescent="0.25">
      <c r="B452" s="139"/>
      <c r="C452" s="41"/>
      <c r="D452" s="141"/>
      <c r="E452" s="142"/>
      <c r="F452" s="143"/>
      <c r="G452" s="1" t="str">
        <f>IFERROR(IF(ventas_b_mes5[[#This Row],[CUIT]]="","-",VLOOKUP(ventas_b_mes5[[#This Row],[CUIT]],Lista_CUIT[#All],2,0)),"CUIT NO CARGADO")</f>
        <v>-</v>
      </c>
      <c r="H452" s="64"/>
      <c r="I452" s="144">
        <f>ventas_b_mes5[[#This Row],[IMPORTE NETO]]*0.21</f>
        <v>0</v>
      </c>
      <c r="J452" s="145"/>
      <c r="K452" s="145"/>
      <c r="L452" s="145">
        <f>SUM(ventas_b_mes5[[#This Row],[IMPORTE NETO]:[EXENTO]])</f>
        <v>0</v>
      </c>
      <c r="M452" s="59"/>
    </row>
    <row r="453" spans="2:13" x14ac:dyDescent="0.25">
      <c r="B453" s="139"/>
      <c r="C453" s="41"/>
      <c r="D453" s="141"/>
      <c r="E453" s="142"/>
      <c r="F453" s="143"/>
      <c r="G453" s="1" t="str">
        <f>IFERROR(IF(ventas_b_mes5[[#This Row],[CUIT]]="","-",VLOOKUP(ventas_b_mes5[[#This Row],[CUIT]],Lista_CUIT[#All],2,0)),"CUIT NO CARGADO")</f>
        <v>-</v>
      </c>
      <c r="H453" s="64"/>
      <c r="I453" s="144">
        <f>ventas_b_mes5[[#This Row],[IMPORTE NETO]]*0.21</f>
        <v>0</v>
      </c>
      <c r="J453" s="145"/>
      <c r="K453" s="145"/>
      <c r="L453" s="145">
        <f>SUM(ventas_b_mes5[[#This Row],[IMPORTE NETO]:[EXENTO]])</f>
        <v>0</v>
      </c>
      <c r="M453" s="59"/>
    </row>
    <row r="454" spans="2:13" x14ac:dyDescent="0.25">
      <c r="B454" s="139"/>
      <c r="C454" s="41"/>
      <c r="D454" s="141"/>
      <c r="E454" s="142"/>
      <c r="F454" s="143"/>
      <c r="G454" s="1" t="str">
        <f>IFERROR(IF(ventas_b_mes5[[#This Row],[CUIT]]="","-",VLOOKUP(ventas_b_mes5[[#This Row],[CUIT]],Lista_CUIT[#All],2,0)),"CUIT NO CARGADO")</f>
        <v>-</v>
      </c>
      <c r="H454" s="64"/>
      <c r="I454" s="144">
        <f>ventas_b_mes5[[#This Row],[IMPORTE NETO]]*0.21</f>
        <v>0</v>
      </c>
      <c r="J454" s="145"/>
      <c r="K454" s="145"/>
      <c r="L454" s="145">
        <f>SUM(ventas_b_mes5[[#This Row],[IMPORTE NETO]:[EXENTO]])</f>
        <v>0</v>
      </c>
      <c r="M454" s="59"/>
    </row>
    <row r="455" spans="2:13" x14ac:dyDescent="0.25">
      <c r="B455" s="139"/>
      <c r="C455" s="41"/>
      <c r="D455" s="141"/>
      <c r="E455" s="142"/>
      <c r="F455" s="143"/>
      <c r="G455" s="1" t="str">
        <f>IFERROR(IF(ventas_b_mes5[[#This Row],[CUIT]]="","-",VLOOKUP(ventas_b_mes5[[#This Row],[CUIT]],Lista_CUIT[#All],2,0)),"CUIT NO CARGADO")</f>
        <v>-</v>
      </c>
      <c r="H455" s="64"/>
      <c r="I455" s="144">
        <f>ventas_b_mes5[[#This Row],[IMPORTE NETO]]*0.21</f>
        <v>0</v>
      </c>
      <c r="J455" s="145"/>
      <c r="K455" s="145"/>
      <c r="L455" s="145">
        <f>SUM(ventas_b_mes5[[#This Row],[IMPORTE NETO]:[EXENTO]])</f>
        <v>0</v>
      </c>
      <c r="M455" s="59"/>
    </row>
    <row r="456" spans="2:13" x14ac:dyDescent="0.25">
      <c r="B456" s="139"/>
      <c r="C456" s="41"/>
      <c r="D456" s="141"/>
      <c r="E456" s="142"/>
      <c r="F456" s="143"/>
      <c r="G456" s="1" t="str">
        <f>IFERROR(IF(ventas_b_mes5[[#This Row],[CUIT]]="","-",VLOOKUP(ventas_b_mes5[[#This Row],[CUIT]],Lista_CUIT[#All],2,0)),"CUIT NO CARGADO")</f>
        <v>-</v>
      </c>
      <c r="H456" s="64"/>
      <c r="I456" s="144">
        <f>ventas_b_mes5[[#This Row],[IMPORTE NETO]]*0.21</f>
        <v>0</v>
      </c>
      <c r="J456" s="145"/>
      <c r="K456" s="145"/>
      <c r="L456" s="145">
        <f>SUM(ventas_b_mes5[[#This Row],[IMPORTE NETO]:[EXENTO]])</f>
        <v>0</v>
      </c>
      <c r="M456" s="59"/>
    </row>
    <row r="457" spans="2:13" x14ac:dyDescent="0.25">
      <c r="B457" s="139"/>
      <c r="C457" s="41"/>
      <c r="D457" s="141"/>
      <c r="E457" s="142"/>
      <c r="F457" s="143"/>
      <c r="G457" s="1" t="str">
        <f>IFERROR(IF(ventas_b_mes5[[#This Row],[CUIT]]="","-",VLOOKUP(ventas_b_mes5[[#This Row],[CUIT]],Lista_CUIT[#All],2,0)),"CUIT NO CARGADO")</f>
        <v>-</v>
      </c>
      <c r="H457" s="64"/>
      <c r="I457" s="144">
        <f>ventas_b_mes5[[#This Row],[IMPORTE NETO]]*0.21</f>
        <v>0</v>
      </c>
      <c r="J457" s="145"/>
      <c r="K457" s="145"/>
      <c r="L457" s="145">
        <f>SUM(ventas_b_mes5[[#This Row],[IMPORTE NETO]:[EXENTO]])</f>
        <v>0</v>
      </c>
      <c r="M457" s="59"/>
    </row>
    <row r="458" spans="2:13" x14ac:dyDescent="0.25">
      <c r="B458" s="139"/>
      <c r="C458" s="41"/>
      <c r="D458" s="141"/>
      <c r="E458" s="142"/>
      <c r="F458" s="143"/>
      <c r="G458" s="1" t="str">
        <f>IFERROR(IF(ventas_b_mes5[[#This Row],[CUIT]]="","-",VLOOKUP(ventas_b_mes5[[#This Row],[CUIT]],Lista_CUIT[#All],2,0)),"CUIT NO CARGADO")</f>
        <v>-</v>
      </c>
      <c r="H458" s="64"/>
      <c r="I458" s="144">
        <f>ventas_b_mes5[[#This Row],[IMPORTE NETO]]*0.21</f>
        <v>0</v>
      </c>
      <c r="J458" s="145"/>
      <c r="K458" s="145"/>
      <c r="L458" s="145">
        <f>SUM(ventas_b_mes5[[#This Row],[IMPORTE NETO]:[EXENTO]])</f>
        <v>0</v>
      </c>
      <c r="M458" s="59"/>
    </row>
    <row r="459" spans="2:13" x14ac:dyDescent="0.25">
      <c r="B459" s="139"/>
      <c r="C459" s="41"/>
      <c r="D459" s="141"/>
      <c r="E459" s="142"/>
      <c r="F459" s="143"/>
      <c r="G459" s="1" t="str">
        <f>IFERROR(IF(ventas_b_mes5[[#This Row],[CUIT]]="","-",VLOOKUP(ventas_b_mes5[[#This Row],[CUIT]],Lista_CUIT[#All],2,0)),"CUIT NO CARGADO")</f>
        <v>-</v>
      </c>
      <c r="H459" s="64"/>
      <c r="I459" s="144">
        <f>ventas_b_mes5[[#This Row],[IMPORTE NETO]]*0.21</f>
        <v>0</v>
      </c>
      <c r="J459" s="145"/>
      <c r="K459" s="145"/>
      <c r="L459" s="145">
        <f>SUM(ventas_b_mes5[[#This Row],[IMPORTE NETO]:[EXENTO]])</f>
        <v>0</v>
      </c>
      <c r="M459" s="59"/>
    </row>
    <row r="460" spans="2:13" x14ac:dyDescent="0.25">
      <c r="B460" s="139"/>
      <c r="C460" s="41"/>
      <c r="D460" s="141"/>
      <c r="E460" s="142"/>
      <c r="F460" s="143"/>
      <c r="G460" s="1" t="str">
        <f>IFERROR(IF(ventas_b_mes5[[#This Row],[CUIT]]="","-",VLOOKUP(ventas_b_mes5[[#This Row],[CUIT]],Lista_CUIT[#All],2,0)),"CUIT NO CARGADO")</f>
        <v>-</v>
      </c>
      <c r="H460" s="64"/>
      <c r="I460" s="144">
        <f>ventas_b_mes5[[#This Row],[IMPORTE NETO]]*0.21</f>
        <v>0</v>
      </c>
      <c r="J460" s="145"/>
      <c r="K460" s="145"/>
      <c r="L460" s="145">
        <f>SUM(ventas_b_mes5[[#This Row],[IMPORTE NETO]:[EXENTO]])</f>
        <v>0</v>
      </c>
      <c r="M460" s="59"/>
    </row>
    <row r="461" spans="2:13" x14ac:dyDescent="0.25">
      <c r="B461" s="139"/>
      <c r="C461" s="41"/>
      <c r="D461" s="141"/>
      <c r="E461" s="142"/>
      <c r="F461" s="143"/>
      <c r="G461" s="1" t="str">
        <f>IFERROR(IF(ventas_b_mes5[[#This Row],[CUIT]]="","-",VLOOKUP(ventas_b_mes5[[#This Row],[CUIT]],Lista_CUIT[#All],2,0)),"CUIT NO CARGADO")</f>
        <v>-</v>
      </c>
      <c r="H461" s="64"/>
      <c r="I461" s="144">
        <f>ventas_b_mes5[[#This Row],[IMPORTE NETO]]*0.21</f>
        <v>0</v>
      </c>
      <c r="J461" s="145"/>
      <c r="K461" s="145"/>
      <c r="L461" s="145">
        <f>SUM(ventas_b_mes5[[#This Row],[IMPORTE NETO]:[EXENTO]])</f>
        <v>0</v>
      </c>
      <c r="M461" s="59"/>
    </row>
    <row r="462" spans="2:13" x14ac:dyDescent="0.25">
      <c r="B462" s="139"/>
      <c r="C462" s="41"/>
      <c r="D462" s="141"/>
      <c r="E462" s="142"/>
      <c r="F462" s="143"/>
      <c r="G462" s="1" t="str">
        <f>IFERROR(IF(ventas_b_mes5[[#This Row],[CUIT]]="","-",VLOOKUP(ventas_b_mes5[[#This Row],[CUIT]],Lista_CUIT[#All],2,0)),"CUIT NO CARGADO")</f>
        <v>-</v>
      </c>
      <c r="H462" s="64"/>
      <c r="I462" s="144">
        <f>ventas_b_mes5[[#This Row],[IMPORTE NETO]]*0.21</f>
        <v>0</v>
      </c>
      <c r="J462" s="145"/>
      <c r="K462" s="145"/>
      <c r="L462" s="145">
        <f>SUM(ventas_b_mes5[[#This Row],[IMPORTE NETO]:[EXENTO]])</f>
        <v>0</v>
      </c>
      <c r="M462" s="59"/>
    </row>
    <row r="463" spans="2:13" x14ac:dyDescent="0.25">
      <c r="B463" s="139"/>
      <c r="C463" s="41"/>
      <c r="D463" s="141"/>
      <c r="E463" s="142"/>
      <c r="F463" s="143"/>
      <c r="G463" s="1" t="str">
        <f>IFERROR(IF(ventas_b_mes5[[#This Row],[CUIT]]="","-",VLOOKUP(ventas_b_mes5[[#This Row],[CUIT]],Lista_CUIT[#All],2,0)),"CUIT NO CARGADO")</f>
        <v>-</v>
      </c>
      <c r="H463" s="64"/>
      <c r="I463" s="144">
        <f>ventas_b_mes5[[#This Row],[IMPORTE NETO]]*0.21</f>
        <v>0</v>
      </c>
      <c r="J463" s="145"/>
      <c r="K463" s="145"/>
      <c r="L463" s="145">
        <f>SUM(ventas_b_mes5[[#This Row],[IMPORTE NETO]:[EXENTO]])</f>
        <v>0</v>
      </c>
      <c r="M463" s="59"/>
    </row>
    <row r="464" spans="2:13" x14ac:dyDescent="0.25">
      <c r="B464" s="139"/>
      <c r="C464" s="41"/>
      <c r="D464" s="141"/>
      <c r="E464" s="142"/>
      <c r="F464" s="143"/>
      <c r="G464" s="1" t="str">
        <f>IFERROR(IF(ventas_b_mes5[[#This Row],[CUIT]]="","-",VLOOKUP(ventas_b_mes5[[#This Row],[CUIT]],Lista_CUIT[#All],2,0)),"CUIT NO CARGADO")</f>
        <v>-</v>
      </c>
      <c r="H464" s="64"/>
      <c r="I464" s="144">
        <f>ventas_b_mes5[[#This Row],[IMPORTE NETO]]*0.21</f>
        <v>0</v>
      </c>
      <c r="J464" s="145"/>
      <c r="K464" s="145"/>
      <c r="L464" s="145">
        <f>SUM(ventas_b_mes5[[#This Row],[IMPORTE NETO]:[EXENTO]])</f>
        <v>0</v>
      </c>
      <c r="M464" s="59"/>
    </row>
    <row r="465" spans="2:13" x14ac:dyDescent="0.25">
      <c r="B465" s="139"/>
      <c r="C465" s="41"/>
      <c r="D465" s="141"/>
      <c r="E465" s="142"/>
      <c r="F465" s="143"/>
      <c r="G465" s="1" t="str">
        <f>IFERROR(IF(ventas_b_mes5[[#This Row],[CUIT]]="","-",VLOOKUP(ventas_b_mes5[[#This Row],[CUIT]],Lista_CUIT[#All],2,0)),"CUIT NO CARGADO")</f>
        <v>-</v>
      </c>
      <c r="H465" s="64"/>
      <c r="I465" s="144">
        <f>ventas_b_mes5[[#This Row],[IMPORTE NETO]]*0.21</f>
        <v>0</v>
      </c>
      <c r="J465" s="145"/>
      <c r="K465" s="145"/>
      <c r="L465" s="145">
        <f>SUM(ventas_b_mes5[[#This Row],[IMPORTE NETO]:[EXENTO]])</f>
        <v>0</v>
      </c>
      <c r="M465" s="59"/>
    </row>
    <row r="466" spans="2:13" x14ac:dyDescent="0.25">
      <c r="B466" s="139"/>
      <c r="C466" s="41"/>
      <c r="D466" s="141"/>
      <c r="E466" s="142"/>
      <c r="F466" s="143"/>
      <c r="G466" s="1" t="str">
        <f>IFERROR(IF(ventas_b_mes5[[#This Row],[CUIT]]="","-",VLOOKUP(ventas_b_mes5[[#This Row],[CUIT]],Lista_CUIT[#All],2,0)),"CUIT NO CARGADO")</f>
        <v>-</v>
      </c>
      <c r="H466" s="64"/>
      <c r="I466" s="144">
        <f>ventas_b_mes5[[#This Row],[IMPORTE NETO]]*0.21</f>
        <v>0</v>
      </c>
      <c r="J466" s="145"/>
      <c r="K466" s="145"/>
      <c r="L466" s="145">
        <f>SUM(ventas_b_mes5[[#This Row],[IMPORTE NETO]:[EXENTO]])</f>
        <v>0</v>
      </c>
      <c r="M466" s="59"/>
    </row>
    <row r="467" spans="2:13" x14ac:dyDescent="0.25">
      <c r="B467" s="139"/>
      <c r="C467" s="41"/>
      <c r="D467" s="141"/>
      <c r="E467" s="142"/>
      <c r="F467" s="143"/>
      <c r="G467" s="1" t="str">
        <f>IFERROR(IF(ventas_b_mes5[[#This Row],[CUIT]]="","-",VLOOKUP(ventas_b_mes5[[#This Row],[CUIT]],Lista_CUIT[#All],2,0)),"CUIT NO CARGADO")</f>
        <v>-</v>
      </c>
      <c r="H467" s="64"/>
      <c r="I467" s="144">
        <f>ventas_b_mes5[[#This Row],[IMPORTE NETO]]*0.21</f>
        <v>0</v>
      </c>
      <c r="J467" s="145"/>
      <c r="K467" s="145"/>
      <c r="L467" s="145">
        <f>SUM(ventas_b_mes5[[#This Row],[IMPORTE NETO]:[EXENTO]])</f>
        <v>0</v>
      </c>
      <c r="M467" s="59"/>
    </row>
    <row r="468" spans="2:13" x14ac:dyDescent="0.25">
      <c r="B468" s="139"/>
      <c r="C468" s="41"/>
      <c r="D468" s="141"/>
      <c r="E468" s="142"/>
      <c r="F468" s="143"/>
      <c r="G468" s="1" t="str">
        <f>IFERROR(IF(ventas_b_mes5[[#This Row],[CUIT]]="","-",VLOOKUP(ventas_b_mes5[[#This Row],[CUIT]],Lista_CUIT[#All],2,0)),"CUIT NO CARGADO")</f>
        <v>-</v>
      </c>
      <c r="H468" s="64"/>
      <c r="I468" s="144">
        <f>ventas_b_mes5[[#This Row],[IMPORTE NETO]]*0.21</f>
        <v>0</v>
      </c>
      <c r="J468" s="145"/>
      <c r="K468" s="145"/>
      <c r="L468" s="145">
        <f>SUM(ventas_b_mes5[[#This Row],[IMPORTE NETO]:[EXENTO]])</f>
        <v>0</v>
      </c>
      <c r="M468" s="59"/>
    </row>
    <row r="469" spans="2:13" x14ac:dyDescent="0.25">
      <c r="B469" s="139"/>
      <c r="C469" s="41"/>
      <c r="D469" s="141"/>
      <c r="E469" s="142"/>
      <c r="F469" s="143"/>
      <c r="G469" s="1" t="str">
        <f>IFERROR(IF(ventas_b_mes5[[#This Row],[CUIT]]="","-",VLOOKUP(ventas_b_mes5[[#This Row],[CUIT]],Lista_CUIT[#All],2,0)),"CUIT NO CARGADO")</f>
        <v>-</v>
      </c>
      <c r="H469" s="64"/>
      <c r="I469" s="144">
        <f>ventas_b_mes5[[#This Row],[IMPORTE NETO]]*0.21</f>
        <v>0</v>
      </c>
      <c r="J469" s="145"/>
      <c r="K469" s="145"/>
      <c r="L469" s="145">
        <f>SUM(ventas_b_mes5[[#This Row],[IMPORTE NETO]:[EXENTO]])</f>
        <v>0</v>
      </c>
      <c r="M469" s="59"/>
    </row>
    <row r="470" spans="2:13" x14ac:dyDescent="0.25">
      <c r="B470" s="139"/>
      <c r="C470" s="41"/>
      <c r="D470" s="141"/>
      <c r="E470" s="142"/>
      <c r="F470" s="143"/>
      <c r="G470" s="1" t="str">
        <f>IFERROR(IF(ventas_b_mes5[[#This Row],[CUIT]]="","-",VLOOKUP(ventas_b_mes5[[#This Row],[CUIT]],Lista_CUIT[#All],2,0)),"CUIT NO CARGADO")</f>
        <v>-</v>
      </c>
      <c r="H470" s="64"/>
      <c r="I470" s="144">
        <f>ventas_b_mes5[[#This Row],[IMPORTE NETO]]*0.21</f>
        <v>0</v>
      </c>
      <c r="J470" s="145"/>
      <c r="K470" s="145"/>
      <c r="L470" s="145">
        <f>SUM(ventas_b_mes5[[#This Row],[IMPORTE NETO]:[EXENTO]])</f>
        <v>0</v>
      </c>
      <c r="M470" s="59"/>
    </row>
    <row r="471" spans="2:13" x14ac:dyDescent="0.25">
      <c r="B471" s="139"/>
      <c r="C471" s="41"/>
      <c r="D471" s="141"/>
      <c r="E471" s="142"/>
      <c r="F471" s="143"/>
      <c r="G471" s="1" t="str">
        <f>IFERROR(IF(ventas_b_mes5[[#This Row],[CUIT]]="","-",VLOOKUP(ventas_b_mes5[[#This Row],[CUIT]],Lista_CUIT[#All],2,0)),"CUIT NO CARGADO")</f>
        <v>-</v>
      </c>
      <c r="H471" s="64"/>
      <c r="I471" s="144">
        <f>ventas_b_mes5[[#This Row],[IMPORTE NETO]]*0.21</f>
        <v>0</v>
      </c>
      <c r="J471" s="145"/>
      <c r="K471" s="145"/>
      <c r="L471" s="145">
        <f>SUM(ventas_b_mes5[[#This Row],[IMPORTE NETO]:[EXENTO]])</f>
        <v>0</v>
      </c>
      <c r="M471" s="59"/>
    </row>
    <row r="472" spans="2:13" x14ac:dyDescent="0.25">
      <c r="B472" s="139"/>
      <c r="C472" s="41"/>
      <c r="D472" s="141"/>
      <c r="E472" s="142"/>
      <c r="F472" s="143"/>
      <c r="G472" s="1" t="str">
        <f>IFERROR(IF(ventas_b_mes5[[#This Row],[CUIT]]="","-",VLOOKUP(ventas_b_mes5[[#This Row],[CUIT]],Lista_CUIT[#All],2,0)),"CUIT NO CARGADO")</f>
        <v>-</v>
      </c>
      <c r="H472" s="64"/>
      <c r="I472" s="144">
        <f>ventas_b_mes5[[#This Row],[IMPORTE NETO]]*0.21</f>
        <v>0</v>
      </c>
      <c r="J472" s="145"/>
      <c r="K472" s="145"/>
      <c r="L472" s="145">
        <f>SUM(ventas_b_mes5[[#This Row],[IMPORTE NETO]:[EXENTO]])</f>
        <v>0</v>
      </c>
      <c r="M472" s="59"/>
    </row>
    <row r="473" spans="2:13" x14ac:dyDescent="0.25">
      <c r="B473" s="139"/>
      <c r="C473" s="41"/>
      <c r="D473" s="141"/>
      <c r="E473" s="142"/>
      <c r="F473" s="143"/>
      <c r="G473" s="1" t="str">
        <f>IFERROR(IF(ventas_b_mes5[[#This Row],[CUIT]]="","-",VLOOKUP(ventas_b_mes5[[#This Row],[CUIT]],Lista_CUIT[#All],2,0)),"CUIT NO CARGADO")</f>
        <v>-</v>
      </c>
      <c r="H473" s="64"/>
      <c r="I473" s="144">
        <f>ventas_b_mes5[[#This Row],[IMPORTE NETO]]*0.21</f>
        <v>0</v>
      </c>
      <c r="J473" s="145"/>
      <c r="K473" s="145"/>
      <c r="L473" s="145">
        <f>SUM(ventas_b_mes5[[#This Row],[IMPORTE NETO]:[EXENTO]])</f>
        <v>0</v>
      </c>
      <c r="M473" s="59"/>
    </row>
    <row r="474" spans="2:13" x14ac:dyDescent="0.25">
      <c r="B474" s="139"/>
      <c r="C474" s="41"/>
      <c r="D474" s="141"/>
      <c r="E474" s="142"/>
      <c r="F474" s="143"/>
      <c r="G474" s="1" t="str">
        <f>IFERROR(IF(ventas_b_mes5[[#This Row],[CUIT]]="","-",VLOOKUP(ventas_b_mes5[[#This Row],[CUIT]],Lista_CUIT[#All],2,0)),"CUIT NO CARGADO")</f>
        <v>-</v>
      </c>
      <c r="H474" s="64"/>
      <c r="I474" s="144">
        <f>ventas_b_mes5[[#This Row],[IMPORTE NETO]]*0.21</f>
        <v>0</v>
      </c>
      <c r="J474" s="145"/>
      <c r="K474" s="145"/>
      <c r="L474" s="145">
        <f>SUM(ventas_b_mes5[[#This Row],[IMPORTE NETO]:[EXENTO]])</f>
        <v>0</v>
      </c>
      <c r="M474" s="59"/>
    </row>
    <row r="475" spans="2:13" x14ac:dyDescent="0.25">
      <c r="B475" s="139"/>
      <c r="C475" s="41"/>
      <c r="D475" s="141"/>
      <c r="E475" s="142"/>
      <c r="F475" s="143"/>
      <c r="G475" s="1" t="str">
        <f>IFERROR(IF(ventas_b_mes5[[#This Row],[CUIT]]="","-",VLOOKUP(ventas_b_mes5[[#This Row],[CUIT]],Lista_CUIT[#All],2,0)),"CUIT NO CARGADO")</f>
        <v>-</v>
      </c>
      <c r="H475" s="64"/>
      <c r="I475" s="144">
        <f>ventas_b_mes5[[#This Row],[IMPORTE NETO]]*0.21</f>
        <v>0</v>
      </c>
      <c r="J475" s="145"/>
      <c r="K475" s="145"/>
      <c r="L475" s="145">
        <f>SUM(ventas_b_mes5[[#This Row],[IMPORTE NETO]:[EXENTO]])</f>
        <v>0</v>
      </c>
      <c r="M475" s="59"/>
    </row>
    <row r="476" spans="2:13" x14ac:dyDescent="0.25">
      <c r="B476" s="139"/>
      <c r="C476" s="41"/>
      <c r="D476" s="141"/>
      <c r="E476" s="142"/>
      <c r="F476" s="143"/>
      <c r="G476" s="1" t="str">
        <f>IFERROR(IF(ventas_b_mes5[[#This Row],[CUIT]]="","-",VLOOKUP(ventas_b_mes5[[#This Row],[CUIT]],Lista_CUIT[#All],2,0)),"CUIT NO CARGADO")</f>
        <v>-</v>
      </c>
      <c r="H476" s="64"/>
      <c r="I476" s="144">
        <f>ventas_b_mes5[[#This Row],[IMPORTE NETO]]*0.21</f>
        <v>0</v>
      </c>
      <c r="J476" s="145"/>
      <c r="K476" s="145"/>
      <c r="L476" s="145">
        <f>SUM(ventas_b_mes5[[#This Row],[IMPORTE NETO]:[EXENTO]])</f>
        <v>0</v>
      </c>
      <c r="M476" s="59"/>
    </row>
    <row r="477" spans="2:13" x14ac:dyDescent="0.25">
      <c r="B477" s="139"/>
      <c r="C477" s="41"/>
      <c r="D477" s="141"/>
      <c r="E477" s="142"/>
      <c r="F477" s="143"/>
      <c r="G477" s="1" t="str">
        <f>IFERROR(IF(ventas_b_mes5[[#This Row],[CUIT]]="","-",VLOOKUP(ventas_b_mes5[[#This Row],[CUIT]],Lista_CUIT[#All],2,0)),"CUIT NO CARGADO")</f>
        <v>-</v>
      </c>
      <c r="H477" s="64"/>
      <c r="I477" s="144">
        <f>ventas_b_mes5[[#This Row],[IMPORTE NETO]]*0.21</f>
        <v>0</v>
      </c>
      <c r="J477" s="145"/>
      <c r="K477" s="145"/>
      <c r="L477" s="145">
        <f>SUM(ventas_b_mes5[[#This Row],[IMPORTE NETO]:[EXENTO]])</f>
        <v>0</v>
      </c>
      <c r="M477" s="59"/>
    </row>
    <row r="478" spans="2:13" x14ac:dyDescent="0.25">
      <c r="B478" s="139"/>
      <c r="C478" s="41"/>
      <c r="D478" s="141"/>
      <c r="E478" s="142"/>
      <c r="F478" s="143"/>
      <c r="G478" s="1" t="str">
        <f>IFERROR(IF(ventas_b_mes5[[#This Row],[CUIT]]="","-",VLOOKUP(ventas_b_mes5[[#This Row],[CUIT]],Lista_CUIT[#All],2,0)),"CUIT NO CARGADO")</f>
        <v>-</v>
      </c>
      <c r="H478" s="64"/>
      <c r="I478" s="144">
        <f>ventas_b_mes5[[#This Row],[IMPORTE NETO]]*0.21</f>
        <v>0</v>
      </c>
      <c r="J478" s="145"/>
      <c r="K478" s="145"/>
      <c r="L478" s="145">
        <f>SUM(ventas_b_mes5[[#This Row],[IMPORTE NETO]:[EXENTO]])</f>
        <v>0</v>
      </c>
      <c r="M478" s="59"/>
    </row>
    <row r="479" spans="2:13" x14ac:dyDescent="0.25">
      <c r="B479" s="139"/>
      <c r="C479" s="41"/>
      <c r="D479" s="141"/>
      <c r="E479" s="142"/>
      <c r="F479" s="143"/>
      <c r="G479" s="1" t="str">
        <f>IFERROR(IF(ventas_b_mes5[[#This Row],[CUIT]]="","-",VLOOKUP(ventas_b_mes5[[#This Row],[CUIT]],Lista_CUIT[#All],2,0)),"CUIT NO CARGADO")</f>
        <v>-</v>
      </c>
      <c r="H479" s="64"/>
      <c r="I479" s="144">
        <f>ventas_b_mes5[[#This Row],[IMPORTE NETO]]*0.21</f>
        <v>0</v>
      </c>
      <c r="J479" s="145"/>
      <c r="K479" s="145"/>
      <c r="L479" s="145">
        <f>SUM(ventas_b_mes5[[#This Row],[IMPORTE NETO]:[EXENTO]])</f>
        <v>0</v>
      </c>
      <c r="M479" s="59"/>
    </row>
    <row r="480" spans="2:13" x14ac:dyDescent="0.25">
      <c r="B480" s="139"/>
      <c r="C480" s="41"/>
      <c r="D480" s="141"/>
      <c r="E480" s="142"/>
      <c r="F480" s="143"/>
      <c r="G480" s="1" t="str">
        <f>IFERROR(IF(ventas_b_mes5[[#This Row],[CUIT]]="","-",VLOOKUP(ventas_b_mes5[[#This Row],[CUIT]],Lista_CUIT[#All],2,0)),"CUIT NO CARGADO")</f>
        <v>-</v>
      </c>
      <c r="H480" s="64"/>
      <c r="I480" s="144">
        <f>ventas_b_mes5[[#This Row],[IMPORTE NETO]]*0.21</f>
        <v>0</v>
      </c>
      <c r="J480" s="145"/>
      <c r="K480" s="145"/>
      <c r="L480" s="145">
        <f>SUM(ventas_b_mes5[[#This Row],[IMPORTE NETO]:[EXENTO]])</f>
        <v>0</v>
      </c>
      <c r="M480" s="59"/>
    </row>
    <row r="481" spans="2:13" x14ac:dyDescent="0.25">
      <c r="B481" s="139"/>
      <c r="C481" s="41"/>
      <c r="D481" s="141"/>
      <c r="E481" s="142"/>
      <c r="F481" s="143"/>
      <c r="G481" s="1" t="str">
        <f>IFERROR(IF(ventas_b_mes5[[#This Row],[CUIT]]="","-",VLOOKUP(ventas_b_mes5[[#This Row],[CUIT]],Lista_CUIT[#All],2,0)),"CUIT NO CARGADO")</f>
        <v>-</v>
      </c>
      <c r="H481" s="64"/>
      <c r="I481" s="144">
        <f>ventas_b_mes5[[#This Row],[IMPORTE NETO]]*0.21</f>
        <v>0</v>
      </c>
      <c r="J481" s="145"/>
      <c r="K481" s="145"/>
      <c r="L481" s="145">
        <f>SUM(ventas_b_mes5[[#This Row],[IMPORTE NETO]:[EXENTO]])</f>
        <v>0</v>
      </c>
      <c r="M481" s="59"/>
    </row>
    <row r="482" spans="2:13" x14ac:dyDescent="0.25">
      <c r="B482" s="139"/>
      <c r="C482" s="41"/>
      <c r="D482" s="141"/>
      <c r="E482" s="142"/>
      <c r="F482" s="143"/>
      <c r="G482" s="1" t="str">
        <f>IFERROR(IF(ventas_b_mes5[[#This Row],[CUIT]]="","-",VLOOKUP(ventas_b_mes5[[#This Row],[CUIT]],Lista_CUIT[#All],2,0)),"CUIT NO CARGADO")</f>
        <v>-</v>
      </c>
      <c r="H482" s="64"/>
      <c r="I482" s="144">
        <f>ventas_b_mes5[[#This Row],[IMPORTE NETO]]*0.21</f>
        <v>0</v>
      </c>
      <c r="J482" s="145"/>
      <c r="K482" s="145"/>
      <c r="L482" s="145">
        <f>SUM(ventas_b_mes5[[#This Row],[IMPORTE NETO]:[EXENTO]])</f>
        <v>0</v>
      </c>
      <c r="M482" s="59"/>
    </row>
    <row r="483" spans="2:13" x14ac:dyDescent="0.25">
      <c r="B483" s="139"/>
      <c r="C483" s="41"/>
      <c r="D483" s="141"/>
      <c r="E483" s="142"/>
      <c r="F483" s="143"/>
      <c r="G483" s="1" t="str">
        <f>IFERROR(IF(ventas_b_mes5[[#This Row],[CUIT]]="","-",VLOOKUP(ventas_b_mes5[[#This Row],[CUIT]],Lista_CUIT[#All],2,0)),"CUIT NO CARGADO")</f>
        <v>-</v>
      </c>
      <c r="H483" s="64"/>
      <c r="I483" s="144">
        <f>ventas_b_mes5[[#This Row],[IMPORTE NETO]]*0.21</f>
        <v>0</v>
      </c>
      <c r="J483" s="145"/>
      <c r="K483" s="145"/>
      <c r="L483" s="145">
        <f>SUM(ventas_b_mes5[[#This Row],[IMPORTE NETO]:[EXENTO]])</f>
        <v>0</v>
      </c>
      <c r="M483" s="59"/>
    </row>
    <row r="484" spans="2:13" x14ac:dyDescent="0.25">
      <c r="B484" s="139"/>
      <c r="C484" s="41"/>
      <c r="D484" s="141"/>
      <c r="E484" s="142"/>
      <c r="F484" s="143"/>
      <c r="G484" s="1" t="str">
        <f>IFERROR(IF(ventas_b_mes5[[#This Row],[CUIT]]="","-",VLOOKUP(ventas_b_mes5[[#This Row],[CUIT]],Lista_CUIT[#All],2,0)),"CUIT NO CARGADO")</f>
        <v>-</v>
      </c>
      <c r="H484" s="64"/>
      <c r="I484" s="144">
        <f>ventas_b_mes5[[#This Row],[IMPORTE NETO]]*0.21</f>
        <v>0</v>
      </c>
      <c r="J484" s="145"/>
      <c r="K484" s="145"/>
      <c r="L484" s="145">
        <f>SUM(ventas_b_mes5[[#This Row],[IMPORTE NETO]:[EXENTO]])</f>
        <v>0</v>
      </c>
      <c r="M484" s="59"/>
    </row>
    <row r="485" spans="2:13" x14ac:dyDescent="0.25">
      <c r="B485" s="139"/>
      <c r="C485" s="41"/>
      <c r="D485" s="141"/>
      <c r="E485" s="142"/>
      <c r="F485" s="143"/>
      <c r="G485" s="1" t="str">
        <f>IFERROR(IF(ventas_b_mes5[[#This Row],[CUIT]]="","-",VLOOKUP(ventas_b_mes5[[#This Row],[CUIT]],Lista_CUIT[#All],2,0)),"CUIT NO CARGADO")</f>
        <v>-</v>
      </c>
      <c r="H485" s="64"/>
      <c r="I485" s="144">
        <f>ventas_b_mes5[[#This Row],[IMPORTE NETO]]*0.21</f>
        <v>0</v>
      </c>
      <c r="J485" s="145"/>
      <c r="K485" s="145"/>
      <c r="L485" s="145">
        <f>SUM(ventas_b_mes5[[#This Row],[IMPORTE NETO]:[EXENTO]])</f>
        <v>0</v>
      </c>
      <c r="M485" s="59"/>
    </row>
    <row r="486" spans="2:13" x14ac:dyDescent="0.25">
      <c r="B486" s="139"/>
      <c r="C486" s="41"/>
      <c r="D486" s="141"/>
      <c r="E486" s="142"/>
      <c r="F486" s="143"/>
      <c r="G486" s="1" t="str">
        <f>IFERROR(IF(ventas_b_mes5[[#This Row],[CUIT]]="","-",VLOOKUP(ventas_b_mes5[[#This Row],[CUIT]],Lista_CUIT[#All],2,0)),"CUIT NO CARGADO")</f>
        <v>-</v>
      </c>
      <c r="H486" s="64"/>
      <c r="I486" s="144">
        <f>ventas_b_mes5[[#This Row],[IMPORTE NETO]]*0.21</f>
        <v>0</v>
      </c>
      <c r="J486" s="145"/>
      <c r="K486" s="145"/>
      <c r="L486" s="145">
        <f>SUM(ventas_b_mes5[[#This Row],[IMPORTE NETO]:[EXENTO]])</f>
        <v>0</v>
      </c>
      <c r="M486" s="59"/>
    </row>
    <row r="487" spans="2:13" x14ac:dyDescent="0.25">
      <c r="B487" s="139"/>
      <c r="C487" s="41"/>
      <c r="D487" s="141"/>
      <c r="E487" s="142"/>
      <c r="F487" s="143"/>
      <c r="G487" s="1" t="str">
        <f>IFERROR(IF(ventas_b_mes5[[#This Row],[CUIT]]="","-",VLOOKUP(ventas_b_mes5[[#This Row],[CUIT]],Lista_CUIT[#All],2,0)),"CUIT NO CARGADO")</f>
        <v>-</v>
      </c>
      <c r="H487" s="64"/>
      <c r="I487" s="144">
        <f>ventas_b_mes5[[#This Row],[IMPORTE NETO]]*0.21</f>
        <v>0</v>
      </c>
      <c r="J487" s="145"/>
      <c r="K487" s="145"/>
      <c r="L487" s="145">
        <f>SUM(ventas_b_mes5[[#This Row],[IMPORTE NETO]:[EXENTO]])</f>
        <v>0</v>
      </c>
      <c r="M487" s="59"/>
    </row>
    <row r="488" spans="2:13" x14ac:dyDescent="0.25">
      <c r="B488" s="139"/>
      <c r="C488" s="41"/>
      <c r="D488" s="141"/>
      <c r="E488" s="142"/>
      <c r="F488" s="143"/>
      <c r="G488" s="1" t="str">
        <f>IFERROR(IF(ventas_b_mes5[[#This Row],[CUIT]]="","-",VLOOKUP(ventas_b_mes5[[#This Row],[CUIT]],Lista_CUIT[#All],2,0)),"CUIT NO CARGADO")</f>
        <v>-</v>
      </c>
      <c r="H488" s="64"/>
      <c r="I488" s="144">
        <f>ventas_b_mes5[[#This Row],[IMPORTE NETO]]*0.21</f>
        <v>0</v>
      </c>
      <c r="J488" s="145"/>
      <c r="K488" s="145"/>
      <c r="L488" s="145">
        <f>SUM(ventas_b_mes5[[#This Row],[IMPORTE NETO]:[EXENTO]])</f>
        <v>0</v>
      </c>
      <c r="M488" s="59"/>
    </row>
    <row r="489" spans="2:13" x14ac:dyDescent="0.25">
      <c r="B489" s="139"/>
      <c r="C489" s="41"/>
      <c r="D489" s="141"/>
      <c r="E489" s="142"/>
      <c r="F489" s="143"/>
      <c r="G489" s="1" t="str">
        <f>IFERROR(IF(ventas_b_mes5[[#This Row],[CUIT]]="","-",VLOOKUP(ventas_b_mes5[[#This Row],[CUIT]],Lista_CUIT[#All],2,0)),"CUIT NO CARGADO")</f>
        <v>-</v>
      </c>
      <c r="H489" s="64"/>
      <c r="I489" s="144">
        <f>ventas_b_mes5[[#This Row],[IMPORTE NETO]]*0.21</f>
        <v>0</v>
      </c>
      <c r="J489" s="145"/>
      <c r="K489" s="145"/>
      <c r="L489" s="145">
        <f>SUM(ventas_b_mes5[[#This Row],[IMPORTE NETO]:[EXENTO]])</f>
        <v>0</v>
      </c>
      <c r="M489" s="59"/>
    </row>
    <row r="490" spans="2:13" x14ac:dyDescent="0.25">
      <c r="B490" s="139"/>
      <c r="C490" s="41"/>
      <c r="D490" s="141"/>
      <c r="E490" s="142"/>
      <c r="F490" s="143"/>
      <c r="G490" s="1" t="str">
        <f>IFERROR(IF(ventas_b_mes5[[#This Row],[CUIT]]="","-",VLOOKUP(ventas_b_mes5[[#This Row],[CUIT]],Lista_CUIT[#All],2,0)),"CUIT NO CARGADO")</f>
        <v>-</v>
      </c>
      <c r="H490" s="64"/>
      <c r="I490" s="144">
        <f>ventas_b_mes5[[#This Row],[IMPORTE NETO]]*0.21</f>
        <v>0</v>
      </c>
      <c r="J490" s="145"/>
      <c r="K490" s="145"/>
      <c r="L490" s="145">
        <f>SUM(ventas_b_mes5[[#This Row],[IMPORTE NETO]:[EXENTO]])</f>
        <v>0</v>
      </c>
      <c r="M490" s="59"/>
    </row>
    <row r="491" spans="2:13" x14ac:dyDescent="0.25">
      <c r="B491" s="139"/>
      <c r="C491" s="41"/>
      <c r="D491" s="141"/>
      <c r="E491" s="142"/>
      <c r="F491" s="143"/>
      <c r="G491" s="1" t="str">
        <f>IFERROR(IF(ventas_b_mes5[[#This Row],[CUIT]]="","-",VLOOKUP(ventas_b_mes5[[#This Row],[CUIT]],Lista_CUIT[#All],2,0)),"CUIT NO CARGADO")</f>
        <v>-</v>
      </c>
      <c r="H491" s="64"/>
      <c r="I491" s="144">
        <f>ventas_b_mes5[[#This Row],[IMPORTE NETO]]*0.21</f>
        <v>0</v>
      </c>
      <c r="J491" s="145"/>
      <c r="K491" s="145"/>
      <c r="L491" s="145">
        <f>SUM(ventas_b_mes5[[#This Row],[IMPORTE NETO]:[EXENTO]])</f>
        <v>0</v>
      </c>
      <c r="M491" s="59"/>
    </row>
    <row r="492" spans="2:13" x14ac:dyDescent="0.25">
      <c r="B492" s="139"/>
      <c r="C492" s="41"/>
      <c r="D492" s="141"/>
      <c r="E492" s="142"/>
      <c r="F492" s="143"/>
      <c r="G492" s="1" t="str">
        <f>IFERROR(IF(ventas_b_mes5[[#This Row],[CUIT]]="","-",VLOOKUP(ventas_b_mes5[[#This Row],[CUIT]],Lista_CUIT[#All],2,0)),"CUIT NO CARGADO")</f>
        <v>-</v>
      </c>
      <c r="H492" s="64"/>
      <c r="I492" s="144">
        <f>ventas_b_mes5[[#This Row],[IMPORTE NETO]]*0.21</f>
        <v>0</v>
      </c>
      <c r="J492" s="145"/>
      <c r="K492" s="145"/>
      <c r="L492" s="145">
        <f>SUM(ventas_b_mes5[[#This Row],[IMPORTE NETO]:[EXENTO]])</f>
        <v>0</v>
      </c>
      <c r="M492" s="59"/>
    </row>
    <row r="493" spans="2:13" x14ac:dyDescent="0.25">
      <c r="B493" s="139"/>
      <c r="C493" s="41"/>
      <c r="D493" s="141"/>
      <c r="E493" s="142"/>
      <c r="F493" s="143"/>
      <c r="G493" s="1" t="str">
        <f>IFERROR(IF(ventas_b_mes5[[#This Row],[CUIT]]="","-",VLOOKUP(ventas_b_mes5[[#This Row],[CUIT]],Lista_CUIT[#All],2,0)),"CUIT NO CARGADO")</f>
        <v>-</v>
      </c>
      <c r="H493" s="64"/>
      <c r="I493" s="144">
        <f>ventas_b_mes5[[#This Row],[IMPORTE NETO]]*0.21</f>
        <v>0</v>
      </c>
      <c r="J493" s="145"/>
      <c r="K493" s="145"/>
      <c r="L493" s="145">
        <f>SUM(ventas_b_mes5[[#This Row],[IMPORTE NETO]:[EXENTO]])</f>
        <v>0</v>
      </c>
      <c r="M493" s="59"/>
    </row>
    <row r="494" spans="2:13" x14ac:dyDescent="0.25">
      <c r="B494" s="139"/>
      <c r="C494" s="41"/>
      <c r="D494" s="141"/>
      <c r="E494" s="142"/>
      <c r="F494" s="143"/>
      <c r="G494" s="1" t="str">
        <f>IFERROR(IF(ventas_b_mes5[[#This Row],[CUIT]]="","-",VLOOKUP(ventas_b_mes5[[#This Row],[CUIT]],Lista_CUIT[#All],2,0)),"CUIT NO CARGADO")</f>
        <v>-</v>
      </c>
      <c r="H494" s="64"/>
      <c r="I494" s="144">
        <f>ventas_b_mes5[[#This Row],[IMPORTE NETO]]*0.21</f>
        <v>0</v>
      </c>
      <c r="J494" s="145"/>
      <c r="K494" s="145"/>
      <c r="L494" s="145">
        <f>SUM(ventas_b_mes5[[#This Row],[IMPORTE NETO]:[EXENTO]])</f>
        <v>0</v>
      </c>
      <c r="M494" s="59"/>
    </row>
    <row r="495" spans="2:13" x14ac:dyDescent="0.25">
      <c r="B495" s="139"/>
      <c r="C495" s="41"/>
      <c r="D495" s="141"/>
      <c r="E495" s="142"/>
      <c r="F495" s="143"/>
      <c r="G495" s="1" t="str">
        <f>IFERROR(IF(ventas_b_mes5[[#This Row],[CUIT]]="","-",VLOOKUP(ventas_b_mes5[[#This Row],[CUIT]],Lista_CUIT[#All],2,0)),"CUIT NO CARGADO")</f>
        <v>-</v>
      </c>
      <c r="H495" s="64"/>
      <c r="I495" s="144">
        <f>ventas_b_mes5[[#This Row],[IMPORTE NETO]]*0.21</f>
        <v>0</v>
      </c>
      <c r="J495" s="145"/>
      <c r="K495" s="145"/>
      <c r="L495" s="145">
        <f>SUM(ventas_b_mes5[[#This Row],[IMPORTE NETO]:[EXENTO]])</f>
        <v>0</v>
      </c>
      <c r="M495" s="59"/>
    </row>
    <row r="496" spans="2:13" x14ac:dyDescent="0.25">
      <c r="B496" s="139"/>
      <c r="C496" s="41"/>
      <c r="D496" s="141"/>
      <c r="E496" s="142"/>
      <c r="F496" s="143"/>
      <c r="G496" s="1" t="str">
        <f>IFERROR(IF(ventas_b_mes5[[#This Row],[CUIT]]="","-",VLOOKUP(ventas_b_mes5[[#This Row],[CUIT]],Lista_CUIT[#All],2,0)),"CUIT NO CARGADO")</f>
        <v>-</v>
      </c>
      <c r="H496" s="64"/>
      <c r="I496" s="144">
        <f>ventas_b_mes5[[#This Row],[IMPORTE NETO]]*0.21</f>
        <v>0</v>
      </c>
      <c r="J496" s="145"/>
      <c r="K496" s="145"/>
      <c r="L496" s="145">
        <f>SUM(ventas_b_mes5[[#This Row],[IMPORTE NETO]:[EXENTO]])</f>
        <v>0</v>
      </c>
      <c r="M496" s="59"/>
    </row>
    <row r="497" spans="2:13" x14ac:dyDescent="0.25">
      <c r="B497" s="139"/>
      <c r="C497" s="41"/>
      <c r="D497" s="141"/>
      <c r="E497" s="142"/>
      <c r="F497" s="143"/>
      <c r="G497" s="1" t="str">
        <f>IFERROR(IF(ventas_b_mes5[[#This Row],[CUIT]]="","-",VLOOKUP(ventas_b_mes5[[#This Row],[CUIT]],Lista_CUIT[#All],2,0)),"CUIT NO CARGADO")</f>
        <v>-</v>
      </c>
      <c r="H497" s="64"/>
      <c r="I497" s="144">
        <f>ventas_b_mes5[[#This Row],[IMPORTE NETO]]*0.21</f>
        <v>0</v>
      </c>
      <c r="J497" s="145"/>
      <c r="K497" s="145"/>
      <c r="L497" s="145">
        <f>SUM(ventas_b_mes5[[#This Row],[IMPORTE NETO]:[EXENTO]])</f>
        <v>0</v>
      </c>
      <c r="M497" s="59"/>
    </row>
    <row r="498" spans="2:13" x14ac:dyDescent="0.25">
      <c r="B498" s="139"/>
      <c r="C498" s="41"/>
      <c r="D498" s="141"/>
      <c r="E498" s="142"/>
      <c r="F498" s="143"/>
      <c r="G498" s="1" t="str">
        <f>IFERROR(IF(ventas_b_mes5[[#This Row],[CUIT]]="","-",VLOOKUP(ventas_b_mes5[[#This Row],[CUIT]],Lista_CUIT[#All],2,0)),"CUIT NO CARGADO")</f>
        <v>-</v>
      </c>
      <c r="H498" s="64"/>
      <c r="I498" s="144">
        <f>ventas_b_mes5[[#This Row],[IMPORTE NETO]]*0.21</f>
        <v>0</v>
      </c>
      <c r="J498" s="145"/>
      <c r="K498" s="145"/>
      <c r="L498" s="145">
        <f>SUM(ventas_b_mes5[[#This Row],[IMPORTE NETO]:[EXENTO]])</f>
        <v>0</v>
      </c>
      <c r="M498" s="59"/>
    </row>
    <row r="499" spans="2:13" x14ac:dyDescent="0.25">
      <c r="B499" s="139"/>
      <c r="C499" s="41"/>
      <c r="D499" s="141"/>
      <c r="E499" s="142"/>
      <c r="F499" s="143"/>
      <c r="G499" s="1" t="str">
        <f>IFERROR(IF(ventas_b_mes5[[#This Row],[CUIT]]="","-",VLOOKUP(ventas_b_mes5[[#This Row],[CUIT]],Lista_CUIT[#All],2,0)),"CUIT NO CARGADO")</f>
        <v>-</v>
      </c>
      <c r="H499" s="64"/>
      <c r="I499" s="144">
        <f>ventas_b_mes5[[#This Row],[IMPORTE NETO]]*0.21</f>
        <v>0</v>
      </c>
      <c r="J499" s="145"/>
      <c r="K499" s="145"/>
      <c r="L499" s="145">
        <f>SUM(ventas_b_mes5[[#This Row],[IMPORTE NETO]:[EXENTO]])</f>
        <v>0</v>
      </c>
      <c r="M499" s="59"/>
    </row>
    <row r="500" spans="2:13" x14ac:dyDescent="0.25">
      <c r="B500" s="139"/>
      <c r="C500" s="41"/>
      <c r="D500" s="141"/>
      <c r="E500" s="142"/>
      <c r="F500" s="143"/>
      <c r="G500" s="1" t="str">
        <f>IFERROR(IF(ventas_b_mes5[[#This Row],[CUIT]]="","-",VLOOKUP(ventas_b_mes5[[#This Row],[CUIT]],Lista_CUIT[#All],2,0)),"CUIT NO CARGADO")</f>
        <v>-</v>
      </c>
      <c r="H500" s="64"/>
      <c r="I500" s="144">
        <f>ventas_b_mes5[[#This Row],[IMPORTE NETO]]*0.21</f>
        <v>0</v>
      </c>
      <c r="J500" s="145"/>
      <c r="K500" s="145"/>
      <c r="L500" s="145">
        <f>SUM(ventas_b_mes5[[#This Row],[IMPORTE NETO]:[EXENTO]])</f>
        <v>0</v>
      </c>
      <c r="M500" s="59"/>
    </row>
    <row r="501" spans="2:13" x14ac:dyDescent="0.25">
      <c r="B501" s="139"/>
      <c r="C501" s="41"/>
      <c r="D501" s="141"/>
      <c r="E501" s="142"/>
      <c r="F501" s="143"/>
      <c r="G501" s="1" t="str">
        <f>IFERROR(IF(ventas_b_mes5[[#This Row],[CUIT]]="","-",VLOOKUP(ventas_b_mes5[[#This Row],[CUIT]],Lista_CUIT[#All],2,0)),"CUIT NO CARGADO")</f>
        <v>-</v>
      </c>
      <c r="H501" s="64"/>
      <c r="I501" s="144">
        <f>ventas_b_mes5[[#This Row],[IMPORTE NETO]]*0.21</f>
        <v>0</v>
      </c>
      <c r="J501" s="145"/>
      <c r="K501" s="145"/>
      <c r="L501" s="145">
        <f>SUM(ventas_b_mes5[[#This Row],[IMPORTE NETO]:[EXENTO]])</f>
        <v>0</v>
      </c>
      <c r="M501" s="59"/>
    </row>
    <row r="502" spans="2:13" x14ac:dyDescent="0.25">
      <c r="B502" s="139"/>
      <c r="C502" s="41"/>
      <c r="D502" s="141"/>
      <c r="E502" s="142"/>
      <c r="F502" s="143"/>
      <c r="G502" s="1" t="str">
        <f>IFERROR(IF(ventas_b_mes5[[#This Row],[CUIT]]="","-",VLOOKUP(ventas_b_mes5[[#This Row],[CUIT]],Lista_CUIT[#All],2,0)),"CUIT NO CARGADO")</f>
        <v>-</v>
      </c>
      <c r="H502" s="64"/>
      <c r="I502" s="144">
        <f>ventas_b_mes5[[#This Row],[IMPORTE NETO]]*0.21</f>
        <v>0</v>
      </c>
      <c r="J502" s="145"/>
      <c r="K502" s="145"/>
      <c r="L502" s="145">
        <f>SUM(ventas_b_mes5[[#This Row],[IMPORTE NETO]:[EXENTO]])</f>
        <v>0</v>
      </c>
      <c r="M502" s="59"/>
    </row>
    <row r="503" spans="2:13" x14ac:dyDescent="0.25">
      <c r="B503" s="139"/>
      <c r="C503" s="41"/>
      <c r="D503" s="141"/>
      <c r="E503" s="142"/>
      <c r="F503" s="143"/>
      <c r="G503" s="1" t="str">
        <f>IFERROR(IF(ventas_b_mes5[[#This Row],[CUIT]]="","-",VLOOKUP(ventas_b_mes5[[#This Row],[CUIT]],Lista_CUIT[#All],2,0)),"CUIT NO CARGADO")</f>
        <v>-</v>
      </c>
      <c r="H503" s="64"/>
      <c r="I503" s="144">
        <f>ventas_b_mes5[[#This Row],[IMPORTE NETO]]*0.21</f>
        <v>0</v>
      </c>
      <c r="J503" s="145"/>
      <c r="K503" s="145"/>
      <c r="L503" s="145">
        <f>SUM(ventas_b_mes5[[#This Row],[IMPORTE NETO]:[EXENTO]])</f>
        <v>0</v>
      </c>
      <c r="M503" s="59"/>
    </row>
    <row r="504" spans="2:13" x14ac:dyDescent="0.25">
      <c r="B504" s="139"/>
      <c r="C504" s="41"/>
      <c r="D504" s="141"/>
      <c r="E504" s="142"/>
      <c r="F504" s="143"/>
      <c r="G504" s="1" t="str">
        <f>IFERROR(IF(ventas_b_mes5[[#This Row],[CUIT]]="","-",VLOOKUP(ventas_b_mes5[[#This Row],[CUIT]],Lista_CUIT[#All],2,0)),"CUIT NO CARGADO")</f>
        <v>-</v>
      </c>
      <c r="H504" s="64"/>
      <c r="I504" s="144">
        <f>ventas_b_mes5[[#This Row],[IMPORTE NETO]]*0.21</f>
        <v>0</v>
      </c>
      <c r="J504" s="145"/>
      <c r="K504" s="145"/>
      <c r="L504" s="145">
        <f>SUM(ventas_b_mes5[[#This Row],[IMPORTE NETO]:[EXENTO]])</f>
        <v>0</v>
      </c>
      <c r="M504" s="59"/>
    </row>
    <row r="505" spans="2:13" x14ac:dyDescent="0.25">
      <c r="B505" s="139"/>
      <c r="C505" s="41"/>
      <c r="D505" s="141"/>
      <c r="E505" s="142"/>
      <c r="F505" s="143"/>
      <c r="G505" s="1" t="str">
        <f>IFERROR(IF(ventas_b_mes5[[#This Row],[CUIT]]="","-",VLOOKUP(ventas_b_mes5[[#This Row],[CUIT]],Lista_CUIT[#All],2,0)),"CUIT NO CARGADO")</f>
        <v>-</v>
      </c>
      <c r="H505" s="64"/>
      <c r="I505" s="144">
        <f>ventas_b_mes5[[#This Row],[IMPORTE NETO]]*0.21</f>
        <v>0</v>
      </c>
      <c r="J505" s="145"/>
      <c r="K505" s="145"/>
      <c r="L505" s="145">
        <f>SUM(ventas_b_mes5[[#This Row],[IMPORTE NETO]:[EXENTO]])</f>
        <v>0</v>
      </c>
      <c r="M505" s="59"/>
    </row>
    <row r="506" spans="2:13" x14ac:dyDescent="0.25">
      <c r="B506" s="139"/>
      <c r="C506" s="41"/>
      <c r="D506" s="141"/>
      <c r="E506" s="142"/>
      <c r="F506" s="143"/>
      <c r="G506" s="1" t="str">
        <f>IFERROR(IF(ventas_b_mes5[[#This Row],[CUIT]]="","-",VLOOKUP(ventas_b_mes5[[#This Row],[CUIT]],Lista_CUIT[#All],2,0)),"CUIT NO CARGADO")</f>
        <v>-</v>
      </c>
      <c r="H506" s="64"/>
      <c r="I506" s="144">
        <f>ventas_b_mes5[[#This Row],[IMPORTE NETO]]*0.21</f>
        <v>0</v>
      </c>
      <c r="J506" s="145"/>
      <c r="K506" s="145"/>
      <c r="L506" s="145">
        <f>SUM(ventas_b_mes5[[#This Row],[IMPORTE NETO]:[EXENTO]])</f>
        <v>0</v>
      </c>
      <c r="M506" s="59"/>
    </row>
    <row r="507" spans="2:13" x14ac:dyDescent="0.25">
      <c r="B507" s="139"/>
      <c r="C507" s="41"/>
      <c r="D507" s="141"/>
      <c r="E507" s="142"/>
      <c r="F507" s="143"/>
      <c r="G507" s="1" t="str">
        <f>IFERROR(IF(ventas_b_mes5[[#This Row],[CUIT]]="","-",VLOOKUP(ventas_b_mes5[[#This Row],[CUIT]],Lista_CUIT[#All],2,0)),"CUIT NO CARGADO")</f>
        <v>-</v>
      </c>
      <c r="H507" s="64"/>
      <c r="I507" s="144">
        <f>ventas_b_mes5[[#This Row],[IMPORTE NETO]]*0.21</f>
        <v>0</v>
      </c>
      <c r="J507" s="145"/>
      <c r="K507" s="145"/>
      <c r="L507" s="145">
        <f>SUM(ventas_b_mes5[[#This Row],[IMPORTE NETO]:[EXENTO]])</f>
        <v>0</v>
      </c>
      <c r="M507" s="59"/>
    </row>
    <row r="508" spans="2:13" x14ac:dyDescent="0.25">
      <c r="B508" s="139"/>
      <c r="C508" s="41"/>
      <c r="D508" s="141"/>
      <c r="E508" s="142"/>
      <c r="F508" s="143"/>
      <c r="G508" s="1" t="str">
        <f>IFERROR(IF(ventas_b_mes5[[#This Row],[CUIT]]="","-",VLOOKUP(ventas_b_mes5[[#This Row],[CUIT]],Lista_CUIT[#All],2,0)),"CUIT NO CARGADO")</f>
        <v>-</v>
      </c>
      <c r="H508" s="64"/>
      <c r="I508" s="144">
        <f>ventas_b_mes5[[#This Row],[IMPORTE NETO]]*0.21</f>
        <v>0</v>
      </c>
      <c r="J508" s="145"/>
      <c r="K508" s="145"/>
      <c r="L508" s="145">
        <f>SUM(ventas_b_mes5[[#This Row],[IMPORTE NETO]:[EXENTO]])</f>
        <v>0</v>
      </c>
      <c r="M508" s="59"/>
    </row>
    <row r="509" spans="2:13" x14ac:dyDescent="0.25">
      <c r="B509" s="139"/>
      <c r="C509" s="41"/>
      <c r="D509" s="141"/>
      <c r="E509" s="142"/>
      <c r="F509" s="143"/>
      <c r="G509" s="1" t="str">
        <f>IFERROR(IF(ventas_b_mes5[[#This Row],[CUIT]]="","-",VLOOKUP(ventas_b_mes5[[#This Row],[CUIT]],Lista_CUIT[#All],2,0)),"CUIT NO CARGADO")</f>
        <v>-</v>
      </c>
      <c r="H509" s="64"/>
      <c r="I509" s="144">
        <f>ventas_b_mes5[[#This Row],[IMPORTE NETO]]*0.21</f>
        <v>0</v>
      </c>
      <c r="J509" s="145"/>
      <c r="K509" s="145"/>
      <c r="L509" s="145">
        <f>SUM(ventas_b_mes5[[#This Row],[IMPORTE NETO]:[EXENTO]])</f>
        <v>0</v>
      </c>
      <c r="M509" s="59"/>
    </row>
    <row r="510" spans="2:13" x14ac:dyDescent="0.25">
      <c r="B510" s="139"/>
      <c r="C510" s="41"/>
      <c r="D510" s="141"/>
      <c r="E510" s="142"/>
      <c r="F510" s="143"/>
      <c r="G510" s="1" t="str">
        <f>IFERROR(IF(ventas_b_mes5[[#This Row],[CUIT]]="","-",VLOOKUP(ventas_b_mes5[[#This Row],[CUIT]],Lista_CUIT[#All],2,0)),"CUIT NO CARGADO")</f>
        <v>-</v>
      </c>
      <c r="H510" s="64"/>
      <c r="I510" s="144">
        <f>ventas_b_mes5[[#This Row],[IMPORTE NETO]]*0.21</f>
        <v>0</v>
      </c>
      <c r="J510" s="145"/>
      <c r="K510" s="145"/>
      <c r="L510" s="145">
        <f>SUM(ventas_b_mes5[[#This Row],[IMPORTE NETO]:[EXENTO]])</f>
        <v>0</v>
      </c>
      <c r="M510" s="59"/>
    </row>
    <row r="511" spans="2:13" x14ac:dyDescent="0.25">
      <c r="B511" s="139"/>
      <c r="C511" s="41"/>
      <c r="D511" s="141"/>
      <c r="E511" s="142"/>
      <c r="F511" s="143"/>
      <c r="G511" s="1" t="str">
        <f>IFERROR(IF(ventas_b_mes5[[#This Row],[CUIT]]="","-",VLOOKUP(ventas_b_mes5[[#This Row],[CUIT]],Lista_CUIT[#All],2,0)),"CUIT NO CARGADO")</f>
        <v>-</v>
      </c>
      <c r="H511" s="64"/>
      <c r="I511" s="144">
        <f>ventas_b_mes5[[#This Row],[IMPORTE NETO]]*0.21</f>
        <v>0</v>
      </c>
      <c r="J511" s="145"/>
      <c r="K511" s="145"/>
      <c r="L511" s="145">
        <f>SUM(ventas_b_mes5[[#This Row],[IMPORTE NETO]:[EXENTO]])</f>
        <v>0</v>
      </c>
      <c r="M511" s="59"/>
    </row>
    <row r="512" spans="2:13" x14ac:dyDescent="0.25">
      <c r="B512" s="139"/>
      <c r="C512" s="41"/>
      <c r="D512" s="141"/>
      <c r="E512" s="142"/>
      <c r="F512" s="143"/>
      <c r="G512" s="1" t="str">
        <f>IFERROR(IF(ventas_b_mes5[[#This Row],[CUIT]]="","-",VLOOKUP(ventas_b_mes5[[#This Row],[CUIT]],Lista_CUIT[#All],2,0)),"CUIT NO CARGADO")</f>
        <v>-</v>
      </c>
      <c r="H512" s="64"/>
      <c r="I512" s="144">
        <f>ventas_b_mes5[[#This Row],[IMPORTE NETO]]*0.21</f>
        <v>0</v>
      </c>
      <c r="J512" s="145"/>
      <c r="K512" s="145"/>
      <c r="L512" s="145">
        <f>SUM(ventas_b_mes5[[#This Row],[IMPORTE NETO]:[EXENTO]])</f>
        <v>0</v>
      </c>
      <c r="M512" s="59"/>
    </row>
    <row r="513" spans="2:13" x14ac:dyDescent="0.25">
      <c r="B513" s="139"/>
      <c r="C513" s="41"/>
      <c r="D513" s="141"/>
      <c r="E513" s="142"/>
      <c r="F513" s="143"/>
      <c r="G513" s="1" t="str">
        <f>IFERROR(IF(ventas_b_mes5[[#This Row],[CUIT]]="","-",VLOOKUP(ventas_b_mes5[[#This Row],[CUIT]],Lista_CUIT[#All],2,0)),"CUIT NO CARGADO")</f>
        <v>-</v>
      </c>
      <c r="H513" s="64"/>
      <c r="I513" s="144">
        <f>ventas_b_mes5[[#This Row],[IMPORTE NETO]]*0.21</f>
        <v>0</v>
      </c>
      <c r="J513" s="145"/>
      <c r="K513" s="145"/>
      <c r="L513" s="145">
        <f>SUM(ventas_b_mes5[[#This Row],[IMPORTE NETO]:[EXENTO]])</f>
        <v>0</v>
      </c>
      <c r="M513" s="59"/>
    </row>
    <row r="514" spans="2:13" x14ac:dyDescent="0.25">
      <c r="B514" s="139"/>
      <c r="C514" s="41"/>
      <c r="D514" s="141"/>
      <c r="E514" s="142"/>
      <c r="F514" s="143"/>
      <c r="G514" s="1" t="str">
        <f>IFERROR(IF(ventas_b_mes5[[#This Row],[CUIT]]="","-",VLOOKUP(ventas_b_mes5[[#This Row],[CUIT]],Lista_CUIT[#All],2,0)),"CUIT NO CARGADO")</f>
        <v>-</v>
      </c>
      <c r="H514" s="64"/>
      <c r="I514" s="144">
        <f>ventas_b_mes5[[#This Row],[IMPORTE NETO]]*0.21</f>
        <v>0</v>
      </c>
      <c r="J514" s="145"/>
      <c r="K514" s="145"/>
      <c r="L514" s="145">
        <f>SUM(ventas_b_mes5[[#This Row],[IMPORTE NETO]:[EXENTO]])</f>
        <v>0</v>
      </c>
      <c r="M514" s="59"/>
    </row>
    <row r="515" spans="2:13" x14ac:dyDescent="0.25">
      <c r="B515" s="139"/>
      <c r="C515" s="41"/>
      <c r="D515" s="141"/>
      <c r="E515" s="142"/>
      <c r="F515" s="143"/>
      <c r="G515" s="1" t="str">
        <f>IFERROR(IF(ventas_b_mes5[[#This Row],[CUIT]]="","-",VLOOKUP(ventas_b_mes5[[#This Row],[CUIT]],Lista_CUIT[#All],2,0)),"CUIT NO CARGADO")</f>
        <v>-</v>
      </c>
      <c r="H515" s="64"/>
      <c r="I515" s="144">
        <f>ventas_b_mes5[[#This Row],[IMPORTE NETO]]*0.21</f>
        <v>0</v>
      </c>
      <c r="J515" s="145"/>
      <c r="K515" s="145"/>
      <c r="L515" s="145">
        <f>SUM(ventas_b_mes5[[#This Row],[IMPORTE NETO]:[EXENTO]])</f>
        <v>0</v>
      </c>
      <c r="M515" s="59"/>
    </row>
    <row r="516" spans="2:13" x14ac:dyDescent="0.25">
      <c r="B516" s="139"/>
      <c r="C516" s="41"/>
      <c r="D516" s="141"/>
      <c r="E516" s="142"/>
      <c r="F516" s="143"/>
      <c r="G516" s="1" t="str">
        <f>IFERROR(IF(ventas_b_mes5[[#This Row],[CUIT]]="","-",VLOOKUP(ventas_b_mes5[[#This Row],[CUIT]],Lista_CUIT[#All],2,0)),"CUIT NO CARGADO")</f>
        <v>-</v>
      </c>
      <c r="H516" s="64"/>
      <c r="I516" s="144">
        <f>ventas_b_mes5[[#This Row],[IMPORTE NETO]]*0.21</f>
        <v>0</v>
      </c>
      <c r="J516" s="145"/>
      <c r="K516" s="145"/>
      <c r="L516" s="145">
        <f>SUM(ventas_b_mes5[[#This Row],[IMPORTE NETO]:[EXENTO]])</f>
        <v>0</v>
      </c>
      <c r="M516" s="59"/>
    </row>
    <row r="517" spans="2:13" x14ac:dyDescent="0.25">
      <c r="B517" s="139"/>
      <c r="C517" s="41"/>
      <c r="D517" s="141"/>
      <c r="E517" s="142"/>
      <c r="F517" s="143"/>
      <c r="G517" s="1" t="str">
        <f>IFERROR(IF(ventas_b_mes5[[#This Row],[CUIT]]="","-",VLOOKUP(ventas_b_mes5[[#This Row],[CUIT]],Lista_CUIT[#All],2,0)),"CUIT NO CARGADO")</f>
        <v>-</v>
      </c>
      <c r="H517" s="64"/>
      <c r="I517" s="144">
        <f>ventas_b_mes5[[#This Row],[IMPORTE NETO]]*0.21</f>
        <v>0</v>
      </c>
      <c r="J517" s="145"/>
      <c r="K517" s="145"/>
      <c r="L517" s="145">
        <f>SUM(ventas_b_mes5[[#This Row],[IMPORTE NETO]:[EXENTO]])</f>
        <v>0</v>
      </c>
      <c r="M517" s="59"/>
    </row>
    <row r="518" spans="2:13" x14ac:dyDescent="0.25">
      <c r="B518" s="139"/>
      <c r="C518" s="41"/>
      <c r="D518" s="141"/>
      <c r="E518" s="142"/>
      <c r="F518" s="143"/>
      <c r="G518" s="1" t="str">
        <f>IFERROR(IF(ventas_b_mes5[[#This Row],[CUIT]]="","-",VLOOKUP(ventas_b_mes5[[#This Row],[CUIT]],Lista_CUIT[#All],2,0)),"CUIT NO CARGADO")</f>
        <v>-</v>
      </c>
      <c r="H518" s="64"/>
      <c r="I518" s="144">
        <f>ventas_b_mes5[[#This Row],[IMPORTE NETO]]*0.21</f>
        <v>0</v>
      </c>
      <c r="J518" s="145"/>
      <c r="K518" s="145"/>
      <c r="L518" s="145">
        <f>SUM(ventas_b_mes5[[#This Row],[IMPORTE NETO]:[EXENTO]])</f>
        <v>0</v>
      </c>
      <c r="M518" s="59"/>
    </row>
    <row r="519" spans="2:13" x14ac:dyDescent="0.25">
      <c r="B519" s="139"/>
      <c r="C519" s="41"/>
      <c r="D519" s="141"/>
      <c r="E519" s="142"/>
      <c r="F519" s="143"/>
      <c r="G519" s="1" t="str">
        <f>IFERROR(IF(ventas_b_mes5[[#This Row],[CUIT]]="","-",VLOOKUP(ventas_b_mes5[[#This Row],[CUIT]],Lista_CUIT[#All],2,0)),"CUIT NO CARGADO")</f>
        <v>-</v>
      </c>
      <c r="H519" s="64"/>
      <c r="I519" s="144">
        <f>ventas_b_mes5[[#This Row],[IMPORTE NETO]]*0.21</f>
        <v>0</v>
      </c>
      <c r="J519" s="145"/>
      <c r="K519" s="145"/>
      <c r="L519" s="145">
        <f>SUM(ventas_b_mes5[[#This Row],[IMPORTE NETO]:[EXENTO]])</f>
        <v>0</v>
      </c>
      <c r="M519" s="59"/>
    </row>
    <row r="520" spans="2:13" x14ac:dyDescent="0.25">
      <c r="B520" s="139"/>
      <c r="C520" s="41"/>
      <c r="D520" s="141"/>
      <c r="E520" s="142"/>
      <c r="F520" s="143"/>
      <c r="G520" s="1" t="str">
        <f>IFERROR(IF(ventas_b_mes5[[#This Row],[CUIT]]="","-",VLOOKUP(ventas_b_mes5[[#This Row],[CUIT]],Lista_CUIT[#All],2,0)),"CUIT NO CARGADO")</f>
        <v>-</v>
      </c>
      <c r="H520" s="64"/>
      <c r="I520" s="144">
        <f>ventas_b_mes5[[#This Row],[IMPORTE NETO]]*0.21</f>
        <v>0</v>
      </c>
      <c r="J520" s="145"/>
      <c r="K520" s="145"/>
      <c r="L520" s="145">
        <f>SUM(ventas_b_mes5[[#This Row],[IMPORTE NETO]:[EXENTO]])</f>
        <v>0</v>
      </c>
      <c r="M520" s="59"/>
    </row>
    <row r="521" spans="2:13" x14ac:dyDescent="0.25">
      <c r="B521" s="139"/>
      <c r="C521" s="41"/>
      <c r="D521" s="141"/>
      <c r="E521" s="142"/>
      <c r="F521" s="143"/>
      <c r="G521" s="1" t="str">
        <f>IFERROR(IF(ventas_b_mes5[[#This Row],[CUIT]]="","-",VLOOKUP(ventas_b_mes5[[#This Row],[CUIT]],Lista_CUIT[#All],2,0)),"CUIT NO CARGADO")</f>
        <v>-</v>
      </c>
      <c r="H521" s="64"/>
      <c r="I521" s="144">
        <f>ventas_b_mes5[[#This Row],[IMPORTE NETO]]*0.21</f>
        <v>0</v>
      </c>
      <c r="J521" s="145"/>
      <c r="K521" s="145"/>
      <c r="L521" s="145">
        <f>SUM(ventas_b_mes5[[#This Row],[IMPORTE NETO]:[EXENTO]])</f>
        <v>0</v>
      </c>
      <c r="M521" s="59"/>
    </row>
    <row r="522" spans="2:13" x14ac:dyDescent="0.25">
      <c r="B522" s="139"/>
      <c r="C522" s="41"/>
      <c r="D522" s="141"/>
      <c r="E522" s="142"/>
      <c r="F522" s="143"/>
      <c r="G522" s="1" t="str">
        <f>IFERROR(IF(ventas_b_mes5[[#This Row],[CUIT]]="","-",VLOOKUP(ventas_b_mes5[[#This Row],[CUIT]],Lista_CUIT[#All],2,0)),"CUIT NO CARGADO")</f>
        <v>-</v>
      </c>
      <c r="H522" s="64"/>
      <c r="I522" s="144">
        <f>ventas_b_mes5[[#This Row],[IMPORTE NETO]]*0.21</f>
        <v>0</v>
      </c>
      <c r="J522" s="145"/>
      <c r="K522" s="145"/>
      <c r="L522" s="145">
        <f>SUM(ventas_b_mes5[[#This Row],[IMPORTE NETO]:[EXENTO]])</f>
        <v>0</v>
      </c>
      <c r="M522" s="59"/>
    </row>
    <row r="523" spans="2:13" x14ac:dyDescent="0.25">
      <c r="B523" s="139"/>
      <c r="C523" s="41"/>
      <c r="D523" s="141"/>
      <c r="E523" s="142"/>
      <c r="F523" s="143"/>
      <c r="G523" s="1" t="str">
        <f>IFERROR(IF(ventas_b_mes5[[#This Row],[CUIT]]="","-",VLOOKUP(ventas_b_mes5[[#This Row],[CUIT]],Lista_CUIT[#All],2,0)),"CUIT NO CARGADO")</f>
        <v>-</v>
      </c>
      <c r="H523" s="64"/>
      <c r="I523" s="144">
        <f>ventas_b_mes5[[#This Row],[IMPORTE NETO]]*0.21</f>
        <v>0</v>
      </c>
      <c r="J523" s="145"/>
      <c r="K523" s="145"/>
      <c r="L523" s="145">
        <f>SUM(ventas_b_mes5[[#This Row],[IMPORTE NETO]:[EXENTO]])</f>
        <v>0</v>
      </c>
      <c r="M523" s="59"/>
    </row>
    <row r="524" spans="2:13" x14ac:dyDescent="0.25">
      <c r="B524" s="139"/>
      <c r="C524" s="41"/>
      <c r="D524" s="141"/>
      <c r="E524" s="142"/>
      <c r="F524" s="143"/>
      <c r="G524" s="1" t="str">
        <f>IFERROR(IF(ventas_b_mes5[[#This Row],[CUIT]]="","-",VLOOKUP(ventas_b_mes5[[#This Row],[CUIT]],Lista_CUIT[#All],2,0)),"CUIT NO CARGADO")</f>
        <v>-</v>
      </c>
      <c r="H524" s="64"/>
      <c r="I524" s="144">
        <f>ventas_b_mes5[[#This Row],[IMPORTE NETO]]*0.21</f>
        <v>0</v>
      </c>
      <c r="J524" s="145"/>
      <c r="K524" s="145"/>
      <c r="L524" s="145">
        <f>SUM(ventas_b_mes5[[#This Row],[IMPORTE NETO]:[EXENTO]])</f>
        <v>0</v>
      </c>
      <c r="M524" s="59"/>
    </row>
    <row r="525" spans="2:13" x14ac:dyDescent="0.25">
      <c r="B525" s="139"/>
      <c r="C525" s="41"/>
      <c r="D525" s="141"/>
      <c r="E525" s="142"/>
      <c r="F525" s="143"/>
      <c r="G525" s="1" t="str">
        <f>IFERROR(IF(ventas_b_mes5[[#This Row],[CUIT]]="","-",VLOOKUP(ventas_b_mes5[[#This Row],[CUIT]],Lista_CUIT[#All],2,0)),"CUIT NO CARGADO")</f>
        <v>-</v>
      </c>
      <c r="H525" s="64"/>
      <c r="I525" s="144">
        <f>ventas_b_mes5[[#This Row],[IMPORTE NETO]]*0.21</f>
        <v>0</v>
      </c>
      <c r="J525" s="145"/>
      <c r="K525" s="145"/>
      <c r="L525" s="145">
        <f>SUM(ventas_b_mes5[[#This Row],[IMPORTE NETO]:[EXENTO]])</f>
        <v>0</v>
      </c>
      <c r="M525" s="59"/>
    </row>
    <row r="526" spans="2:13" x14ac:dyDescent="0.25">
      <c r="B526" s="139"/>
      <c r="C526" s="41"/>
      <c r="D526" s="141"/>
      <c r="E526" s="142"/>
      <c r="F526" s="143"/>
      <c r="G526" s="1" t="str">
        <f>IFERROR(IF(ventas_b_mes5[[#This Row],[CUIT]]="","-",VLOOKUP(ventas_b_mes5[[#This Row],[CUIT]],Lista_CUIT[#All],2,0)),"CUIT NO CARGADO")</f>
        <v>-</v>
      </c>
      <c r="H526" s="64"/>
      <c r="I526" s="144">
        <f>ventas_b_mes5[[#This Row],[IMPORTE NETO]]*0.21</f>
        <v>0</v>
      </c>
      <c r="J526" s="145"/>
      <c r="K526" s="145"/>
      <c r="L526" s="145">
        <f>SUM(ventas_b_mes5[[#This Row],[IMPORTE NETO]:[EXENTO]])</f>
        <v>0</v>
      </c>
      <c r="M526" s="59"/>
    </row>
    <row r="527" spans="2:13" x14ac:dyDescent="0.25">
      <c r="B527" s="139"/>
      <c r="C527" s="41"/>
      <c r="D527" s="141"/>
      <c r="E527" s="142"/>
      <c r="F527" s="143"/>
      <c r="G527" s="1" t="str">
        <f>IFERROR(IF(ventas_b_mes5[[#This Row],[CUIT]]="","-",VLOOKUP(ventas_b_mes5[[#This Row],[CUIT]],Lista_CUIT[#All],2,0)),"CUIT NO CARGADO")</f>
        <v>-</v>
      </c>
      <c r="H527" s="64"/>
      <c r="I527" s="144">
        <f>ventas_b_mes5[[#This Row],[IMPORTE NETO]]*0.21</f>
        <v>0</v>
      </c>
      <c r="J527" s="145"/>
      <c r="K527" s="145"/>
      <c r="L527" s="145">
        <f>SUM(ventas_b_mes5[[#This Row],[IMPORTE NETO]:[EXENTO]])</f>
        <v>0</v>
      </c>
      <c r="M527" s="59"/>
    </row>
    <row r="528" spans="2:13" x14ac:dyDescent="0.25">
      <c r="B528" s="139"/>
      <c r="C528" s="41"/>
      <c r="D528" s="141"/>
      <c r="E528" s="142"/>
      <c r="F528" s="143"/>
      <c r="G528" s="1" t="str">
        <f>IFERROR(IF(ventas_b_mes5[[#This Row],[CUIT]]="","-",VLOOKUP(ventas_b_mes5[[#This Row],[CUIT]],Lista_CUIT[#All],2,0)),"CUIT NO CARGADO")</f>
        <v>-</v>
      </c>
      <c r="H528" s="64"/>
      <c r="I528" s="144">
        <f>ventas_b_mes5[[#This Row],[IMPORTE NETO]]*0.21</f>
        <v>0</v>
      </c>
      <c r="J528" s="145"/>
      <c r="K528" s="145"/>
      <c r="L528" s="145">
        <f>SUM(ventas_b_mes5[[#This Row],[IMPORTE NETO]:[EXENTO]])</f>
        <v>0</v>
      </c>
      <c r="M528" s="59"/>
    </row>
    <row r="529" spans="2:13" x14ac:dyDescent="0.25">
      <c r="B529" s="139"/>
      <c r="C529" s="41"/>
      <c r="D529" s="141"/>
      <c r="E529" s="142"/>
      <c r="F529" s="143"/>
      <c r="G529" s="1" t="str">
        <f>IFERROR(IF(ventas_b_mes5[[#This Row],[CUIT]]="","-",VLOOKUP(ventas_b_mes5[[#This Row],[CUIT]],Lista_CUIT[#All],2,0)),"CUIT NO CARGADO")</f>
        <v>-</v>
      </c>
      <c r="H529" s="64"/>
      <c r="I529" s="144">
        <f>ventas_b_mes5[[#This Row],[IMPORTE NETO]]*0.21</f>
        <v>0</v>
      </c>
      <c r="J529" s="145"/>
      <c r="K529" s="145"/>
      <c r="L529" s="145">
        <f>SUM(ventas_b_mes5[[#This Row],[IMPORTE NETO]:[EXENTO]])</f>
        <v>0</v>
      </c>
      <c r="M529" s="59"/>
    </row>
    <row r="530" spans="2:13" x14ac:dyDescent="0.25">
      <c r="B530" s="139"/>
      <c r="C530" s="41"/>
      <c r="D530" s="141"/>
      <c r="E530" s="142"/>
      <c r="F530" s="143"/>
      <c r="G530" s="1" t="str">
        <f>IFERROR(IF(ventas_b_mes5[[#This Row],[CUIT]]="","-",VLOOKUP(ventas_b_mes5[[#This Row],[CUIT]],Lista_CUIT[#All],2,0)),"CUIT NO CARGADO")</f>
        <v>-</v>
      </c>
      <c r="H530" s="64"/>
      <c r="I530" s="144">
        <f>ventas_b_mes5[[#This Row],[IMPORTE NETO]]*0.21</f>
        <v>0</v>
      </c>
      <c r="J530" s="145"/>
      <c r="K530" s="145"/>
      <c r="L530" s="145">
        <f>SUM(ventas_b_mes5[[#This Row],[IMPORTE NETO]:[EXENTO]])</f>
        <v>0</v>
      </c>
      <c r="M530" s="59"/>
    </row>
    <row r="531" spans="2:13" x14ac:dyDescent="0.25">
      <c r="B531" s="139"/>
      <c r="C531" s="41"/>
      <c r="D531" s="141"/>
      <c r="E531" s="142"/>
      <c r="F531" s="143"/>
      <c r="G531" s="1" t="str">
        <f>IFERROR(IF(ventas_b_mes5[[#This Row],[CUIT]]="","-",VLOOKUP(ventas_b_mes5[[#This Row],[CUIT]],Lista_CUIT[#All],2,0)),"CUIT NO CARGADO")</f>
        <v>-</v>
      </c>
      <c r="H531" s="64"/>
      <c r="I531" s="144">
        <f>ventas_b_mes5[[#This Row],[IMPORTE NETO]]*0.21</f>
        <v>0</v>
      </c>
      <c r="J531" s="145"/>
      <c r="K531" s="145"/>
      <c r="L531" s="145">
        <f>SUM(ventas_b_mes5[[#This Row],[IMPORTE NETO]:[EXENTO]])</f>
        <v>0</v>
      </c>
      <c r="M531" s="59"/>
    </row>
    <row r="532" spans="2:13" x14ac:dyDescent="0.25">
      <c r="B532" s="139"/>
      <c r="C532" s="41"/>
      <c r="D532" s="141"/>
      <c r="E532" s="142"/>
      <c r="F532" s="143"/>
      <c r="G532" s="1" t="str">
        <f>IFERROR(IF(ventas_b_mes5[[#This Row],[CUIT]]="","-",VLOOKUP(ventas_b_mes5[[#This Row],[CUIT]],Lista_CUIT[#All],2,0)),"CUIT NO CARGADO")</f>
        <v>-</v>
      </c>
      <c r="H532" s="64"/>
      <c r="I532" s="144">
        <f>ventas_b_mes5[[#This Row],[IMPORTE NETO]]*0.21</f>
        <v>0</v>
      </c>
      <c r="J532" s="145"/>
      <c r="K532" s="145"/>
      <c r="L532" s="145">
        <f>SUM(ventas_b_mes5[[#This Row],[IMPORTE NETO]:[EXENTO]])</f>
        <v>0</v>
      </c>
      <c r="M532" s="59"/>
    </row>
    <row r="533" spans="2:13" x14ac:dyDescent="0.25">
      <c r="B533" s="139"/>
      <c r="C533" s="41"/>
      <c r="D533" s="141"/>
      <c r="E533" s="142"/>
      <c r="F533" s="143"/>
      <c r="G533" s="1" t="str">
        <f>IFERROR(IF(ventas_b_mes5[[#This Row],[CUIT]]="","-",VLOOKUP(ventas_b_mes5[[#This Row],[CUIT]],Lista_CUIT[#All],2,0)),"CUIT NO CARGADO")</f>
        <v>-</v>
      </c>
      <c r="H533" s="64"/>
      <c r="I533" s="144">
        <f>ventas_b_mes5[[#This Row],[IMPORTE NETO]]*0.21</f>
        <v>0</v>
      </c>
      <c r="J533" s="145"/>
      <c r="K533" s="145"/>
      <c r="L533" s="145">
        <f>SUM(ventas_b_mes5[[#This Row],[IMPORTE NETO]:[EXENTO]])</f>
        <v>0</v>
      </c>
      <c r="M533" s="59"/>
    </row>
    <row r="534" spans="2:13" x14ac:dyDescent="0.25">
      <c r="B534" s="139"/>
      <c r="C534" s="41"/>
      <c r="D534" s="141"/>
      <c r="E534" s="142"/>
      <c r="F534" s="143"/>
      <c r="G534" s="1" t="str">
        <f>IFERROR(IF(ventas_b_mes5[[#This Row],[CUIT]]="","-",VLOOKUP(ventas_b_mes5[[#This Row],[CUIT]],Lista_CUIT[#All],2,0)),"CUIT NO CARGADO")</f>
        <v>-</v>
      </c>
      <c r="H534" s="64"/>
      <c r="I534" s="144">
        <f>ventas_b_mes5[[#This Row],[IMPORTE NETO]]*0.21</f>
        <v>0</v>
      </c>
      <c r="J534" s="145"/>
      <c r="K534" s="145"/>
      <c r="L534" s="145">
        <f>SUM(ventas_b_mes5[[#This Row],[IMPORTE NETO]:[EXENTO]])</f>
        <v>0</v>
      </c>
      <c r="M534" s="59"/>
    </row>
    <row r="535" spans="2:13" x14ac:dyDescent="0.25">
      <c r="B535" s="139"/>
      <c r="C535" s="140"/>
      <c r="D535" s="141"/>
      <c r="E535" s="142"/>
      <c r="F535" s="143"/>
      <c r="G535" s="1" t="str">
        <f>IFERROR(IF(ventas_b_mes5[[#This Row],[CUIT]]="","-",VLOOKUP(ventas_b_mes5[[#This Row],[CUIT]],Lista_CUIT[#All],2,0)),"CUIT NO CARGADO")</f>
        <v>-</v>
      </c>
      <c r="H535" s="64"/>
      <c r="I535" s="144">
        <f>ventas_b_mes5[[#This Row],[IMPORTE NETO]]*0.21</f>
        <v>0</v>
      </c>
      <c r="J535" s="145"/>
      <c r="K535" s="145"/>
      <c r="L535" s="145">
        <f>SUM(ventas_b_mes5[[#This Row],[IMPORTE NETO]:[EXENTO]])</f>
        <v>0</v>
      </c>
      <c r="M535" s="59"/>
    </row>
    <row r="536" spans="2:13" x14ac:dyDescent="0.25">
      <c r="B536" s="139"/>
      <c r="C536" s="140"/>
      <c r="D536" s="141"/>
      <c r="E536" s="142"/>
      <c r="F536" s="143"/>
      <c r="G536" s="1" t="str">
        <f>IFERROR(IF(ventas_b_mes5[[#This Row],[CUIT]]="","-",VLOOKUP(ventas_b_mes5[[#This Row],[CUIT]],Lista_CUIT[#All],2,0)),"CUIT NO CARGADO")</f>
        <v>-</v>
      </c>
      <c r="H536" s="64"/>
      <c r="I536" s="144">
        <f>ventas_b_mes5[[#This Row],[IMPORTE NETO]]*0.21</f>
        <v>0</v>
      </c>
      <c r="J536" s="145"/>
      <c r="K536" s="145"/>
      <c r="L536" s="145">
        <f>SUM(ventas_b_mes5[[#This Row],[IMPORTE NETO]:[EXENTO]])</f>
        <v>0</v>
      </c>
      <c r="M536" s="59"/>
    </row>
    <row r="537" spans="2:13" x14ac:dyDescent="0.25">
      <c r="B537" s="139"/>
      <c r="C537" s="140"/>
      <c r="D537" s="141"/>
      <c r="E537" s="142"/>
      <c r="F537" s="143"/>
      <c r="G537" s="1" t="str">
        <f>IFERROR(IF(ventas_b_mes5[[#This Row],[CUIT]]="","-",VLOOKUP(ventas_b_mes5[[#This Row],[CUIT]],Lista_CUIT[#All],2,0)),"CUIT NO CARGADO")</f>
        <v>-</v>
      </c>
      <c r="H537" s="64"/>
      <c r="I537" s="144">
        <f>ventas_b_mes5[[#This Row],[IMPORTE NETO]]*0.21</f>
        <v>0</v>
      </c>
      <c r="J537" s="145"/>
      <c r="K537" s="145"/>
      <c r="L537" s="145">
        <f>SUM(ventas_b_mes5[[#This Row],[IMPORTE NETO]:[EXENTO]])</f>
        <v>0</v>
      </c>
      <c r="M537" s="59"/>
    </row>
    <row r="538" spans="2:13" x14ac:dyDescent="0.25">
      <c r="B538" s="139"/>
      <c r="C538" s="140"/>
      <c r="D538" s="141"/>
      <c r="E538" s="142"/>
      <c r="F538" s="143"/>
      <c r="G538" s="1" t="str">
        <f>IFERROR(IF(ventas_b_mes5[[#This Row],[CUIT]]="","-",VLOOKUP(ventas_b_mes5[[#This Row],[CUIT]],Lista_CUIT[#All],2,0)),"CUIT NO CARGADO")</f>
        <v>-</v>
      </c>
      <c r="H538" s="64"/>
      <c r="I538" s="144">
        <f>ventas_b_mes5[[#This Row],[IMPORTE NETO]]*0.21</f>
        <v>0</v>
      </c>
      <c r="J538" s="145"/>
      <c r="K538" s="145"/>
      <c r="L538" s="145">
        <f>SUM(ventas_b_mes5[[#This Row],[IMPORTE NETO]:[EXENTO]])</f>
        <v>0</v>
      </c>
      <c r="M538" s="59"/>
    </row>
    <row r="539" spans="2:13" x14ac:dyDescent="0.25">
      <c r="B539" s="139"/>
      <c r="C539" s="140"/>
      <c r="D539" s="141"/>
      <c r="E539" s="142"/>
      <c r="F539" s="143"/>
      <c r="G539" s="1" t="str">
        <f>IFERROR(IF(ventas_b_mes5[[#This Row],[CUIT]]="","-",VLOOKUP(ventas_b_mes5[[#This Row],[CUIT]],Lista_CUIT[#All],2,0)),"CUIT NO CARGADO")</f>
        <v>-</v>
      </c>
      <c r="H539" s="64"/>
      <c r="I539" s="144">
        <f>ventas_b_mes5[[#This Row],[IMPORTE NETO]]*0.21</f>
        <v>0</v>
      </c>
      <c r="J539" s="145"/>
      <c r="K539" s="145"/>
      <c r="L539" s="145">
        <f>SUM(ventas_b_mes5[[#This Row],[IMPORTE NETO]:[EXENTO]])</f>
        <v>0</v>
      </c>
      <c r="M539" s="59"/>
    </row>
    <row r="540" spans="2:13" x14ac:dyDescent="0.25">
      <c r="B540" s="139"/>
      <c r="C540" s="140"/>
      <c r="D540" s="141"/>
      <c r="E540" s="142"/>
      <c r="F540" s="143"/>
      <c r="G540" s="1" t="str">
        <f>IFERROR(IF(ventas_b_mes5[[#This Row],[CUIT]]="","-",VLOOKUP(ventas_b_mes5[[#This Row],[CUIT]],Lista_CUIT[#All],2,0)),"CUIT NO CARGADO")</f>
        <v>-</v>
      </c>
      <c r="H540" s="64"/>
      <c r="I540" s="144">
        <f>ventas_b_mes5[[#This Row],[IMPORTE NETO]]*0.21</f>
        <v>0</v>
      </c>
      <c r="J540" s="145"/>
      <c r="K540" s="145"/>
      <c r="L540" s="145">
        <f>SUM(ventas_b_mes5[[#This Row],[IMPORTE NETO]:[EXENTO]])</f>
        <v>0</v>
      </c>
      <c r="M540" s="59"/>
    </row>
    <row r="541" spans="2:13" x14ac:dyDescent="0.25">
      <c r="B541" s="139"/>
      <c r="C541" s="140"/>
      <c r="D541" s="141"/>
      <c r="E541" s="142"/>
      <c r="F541" s="143"/>
      <c r="G541" s="1" t="str">
        <f>IFERROR(IF(ventas_b_mes5[[#This Row],[CUIT]]="","-",VLOOKUP(ventas_b_mes5[[#This Row],[CUIT]],Lista_CUIT[#All],2,0)),"CUIT NO CARGADO")</f>
        <v>-</v>
      </c>
      <c r="H541" s="64"/>
      <c r="I541" s="144">
        <f>ventas_b_mes5[[#This Row],[IMPORTE NETO]]*0.21</f>
        <v>0</v>
      </c>
      <c r="J541" s="145"/>
      <c r="K541" s="145"/>
      <c r="L541" s="145">
        <f>SUM(ventas_b_mes5[[#This Row],[IMPORTE NETO]:[EXENTO]])</f>
        <v>0</v>
      </c>
      <c r="M541" s="59"/>
    </row>
    <row r="542" spans="2:13" x14ac:dyDescent="0.25">
      <c r="B542" s="139"/>
      <c r="C542" s="140"/>
      <c r="D542" s="141"/>
      <c r="E542" s="142"/>
      <c r="F542" s="143"/>
      <c r="G542" s="1" t="str">
        <f>IFERROR(IF(ventas_b_mes5[[#This Row],[CUIT]]="","-",VLOOKUP(ventas_b_mes5[[#This Row],[CUIT]],Lista_CUIT[#All],2,0)),"CUIT NO CARGADO")</f>
        <v>-</v>
      </c>
      <c r="H542" s="64"/>
      <c r="I542" s="144">
        <f>ventas_b_mes5[[#This Row],[IMPORTE NETO]]*0.21</f>
        <v>0</v>
      </c>
      <c r="J542" s="145"/>
      <c r="K542" s="145"/>
      <c r="L542" s="145">
        <f>SUM(ventas_b_mes5[[#This Row],[IMPORTE NETO]:[EXENTO]])</f>
        <v>0</v>
      </c>
      <c r="M542" s="59"/>
    </row>
    <row r="543" spans="2:13" x14ac:dyDescent="0.25">
      <c r="B543" s="139"/>
      <c r="C543" s="140"/>
      <c r="D543" s="141"/>
      <c r="E543" s="142"/>
      <c r="F543" s="143"/>
      <c r="G543" s="1" t="str">
        <f>IFERROR(IF(ventas_b_mes5[[#This Row],[CUIT]]="","-",VLOOKUP(ventas_b_mes5[[#This Row],[CUIT]],Lista_CUIT[#All],2,0)),"CUIT NO CARGADO")</f>
        <v>-</v>
      </c>
      <c r="H543" s="64"/>
      <c r="I543" s="144">
        <f>ventas_b_mes5[[#This Row],[IMPORTE NETO]]*0.21</f>
        <v>0</v>
      </c>
      <c r="J543" s="145"/>
      <c r="K543" s="145"/>
      <c r="L543" s="145">
        <f>SUM(ventas_b_mes5[[#This Row],[IMPORTE NETO]:[EXENTO]])</f>
        <v>0</v>
      </c>
      <c r="M543" s="59"/>
    </row>
    <row r="544" spans="2:13" x14ac:dyDescent="0.25">
      <c r="B544" s="139">
        <v>45075</v>
      </c>
      <c r="C544" s="140">
        <v>8</v>
      </c>
      <c r="D544" s="141">
        <v>7</v>
      </c>
      <c r="E544" s="142">
        <v>139</v>
      </c>
      <c r="F544" s="143"/>
      <c r="G544" s="1" t="str">
        <f>IFERROR(IF(ventas_b_mes5[[#This Row],[CUIT]]="","-",VLOOKUP(ventas_b_mes5[[#This Row],[CUIT]],Lista_CUIT[#All],2,0)),"CUIT NO CARGADO")</f>
        <v>-</v>
      </c>
      <c r="H544" s="64"/>
      <c r="I544" s="144">
        <f>ventas_b_mes5[[#This Row],[IMPORTE NETO]]*0.21</f>
        <v>0</v>
      </c>
      <c r="J544" s="145"/>
      <c r="K544" s="145"/>
      <c r="L544" s="145">
        <f>SUM(ventas_b_mes5[[#This Row],[IMPORTE NETO]:[EXENTO]])</f>
        <v>0</v>
      </c>
      <c r="M544" s="59"/>
    </row>
    <row r="545" spans="2:13" x14ac:dyDescent="0.25">
      <c r="B545" s="66" t="s">
        <v>110</v>
      </c>
      <c r="C545" s="67"/>
      <c r="D545" s="67"/>
      <c r="E545" s="67"/>
      <c r="F545" s="67"/>
      <c r="G545" s="67"/>
      <c r="H545" s="77">
        <f>SUBTOTAL(109,ventas_b_mes5[IMPORTE NETO])</f>
        <v>0</v>
      </c>
      <c r="I545" s="77">
        <f>SUBTOTAL(109,ventas_b_mes5[IVA 21%])</f>
        <v>0</v>
      </c>
      <c r="J545" s="78">
        <f>SUBTOTAL(109,ventas_b_mes5[IVA 10,5%])</f>
        <v>0</v>
      </c>
      <c r="K545" s="78">
        <f>SUBTOTAL(109,ventas_b_mes5[EXENTO])</f>
        <v>0</v>
      </c>
      <c r="L545" s="78">
        <f>SUBTOTAL(109,ventas_b_mes5[TOTAL])</f>
        <v>0</v>
      </c>
      <c r="M545" s="68">
        <f>SUBTOTAL(103,ventas_b_mes5[Provincia])</f>
        <v>0</v>
      </c>
    </row>
    <row r="546" spans="2:13" ht="15.75" thickBot="1" x14ac:dyDescent="0.3">
      <c r="B546" s="472"/>
      <c r="C546" s="472"/>
      <c r="D546" s="472"/>
      <c r="E546" s="472"/>
      <c r="F546" s="472"/>
      <c r="G546" s="472"/>
      <c r="H546" s="473"/>
      <c r="I546" s="473"/>
      <c r="J546" s="474"/>
      <c r="K546" s="474"/>
      <c r="L546" s="474"/>
      <c r="M546" s="475"/>
    </row>
    <row r="547" spans="2:13" ht="15.75" thickTop="1" x14ac:dyDescent="0.25">
      <c r="C547" s="625" t="s">
        <v>66</v>
      </c>
      <c r="D547" s="625"/>
      <c r="E547" s="625"/>
      <c r="F547" s="625"/>
      <c r="G547" s="625"/>
      <c r="H547" s="32"/>
      <c r="I547" s="32"/>
      <c r="J547" s="32"/>
    </row>
    <row r="548" spans="2:13" ht="15.75" x14ac:dyDescent="0.25">
      <c r="C548" s="113" t="s">
        <v>67</v>
      </c>
      <c r="D548" s="114" t="s">
        <v>68</v>
      </c>
      <c r="E548" s="114" t="s">
        <v>112</v>
      </c>
      <c r="F548" s="114" t="s">
        <v>3</v>
      </c>
      <c r="G548" s="114" t="s">
        <v>4</v>
      </c>
      <c r="H548" s="115" t="s">
        <v>69</v>
      </c>
      <c r="I548" s="115" t="s">
        <v>70</v>
      </c>
      <c r="J548" s="115" t="s">
        <v>71</v>
      </c>
      <c r="K548" s="115" t="s">
        <v>72</v>
      </c>
      <c r="L548" s="115" t="s">
        <v>73</v>
      </c>
    </row>
    <row r="549" spans="2:13" x14ac:dyDescent="0.25">
      <c r="C549" s="116"/>
      <c r="D549" s="117"/>
      <c r="E549" s="117"/>
      <c r="F549" s="118"/>
      <c r="G549" s="53" t="str">
        <f>IFERROR(IF(Retenciones_mes5[[#This Row],[CUIT]]="","-",VLOOKUP(Retenciones_mes5[[#This Row],[CUIT]],Lista_CUIT[#All],2,0)),"CUIT NO CARGADO")</f>
        <v>-</v>
      </c>
      <c r="H549" s="119"/>
      <c r="I549" s="119"/>
      <c r="J549" s="119"/>
      <c r="K549" s="119"/>
      <c r="L549" s="119"/>
    </row>
    <row r="550" spans="2:13" x14ac:dyDescent="0.25">
      <c r="C550" s="116"/>
      <c r="D550" s="117"/>
      <c r="E550" s="117"/>
      <c r="F550" s="118"/>
      <c r="G550" s="53" t="str">
        <f>IFERROR(IF(Retenciones_mes5[[#This Row],[CUIT]]="","-",VLOOKUP(Retenciones_mes5[[#This Row],[CUIT]],Lista_CUIT[#All],2,0)),"CUIT NO CARGADO")</f>
        <v>-</v>
      </c>
      <c r="H550" s="119"/>
      <c r="I550" s="119"/>
      <c r="J550" s="119"/>
      <c r="K550" s="119"/>
      <c r="L550" s="119"/>
    </row>
    <row r="551" spans="2:13" x14ac:dyDescent="0.25">
      <c r="C551" s="116"/>
      <c r="D551" s="117"/>
      <c r="E551" s="117"/>
      <c r="F551" s="118"/>
      <c r="G551" s="53" t="str">
        <f>IFERROR(IF(Retenciones_mes5[[#This Row],[CUIT]]="","-",VLOOKUP(Retenciones_mes5[[#This Row],[CUIT]],Lista_CUIT[#All],2,0)),"CUIT NO CARGADO")</f>
        <v>-</v>
      </c>
      <c r="H551" s="119"/>
      <c r="I551" s="119"/>
      <c r="J551" s="119"/>
      <c r="K551" s="119"/>
      <c r="L551" s="119"/>
    </row>
    <row r="552" spans="2:13" x14ac:dyDescent="0.25">
      <c r="C552" s="116"/>
      <c r="D552" s="117"/>
      <c r="E552" s="117"/>
      <c r="F552" s="118"/>
      <c r="G552" s="53" t="str">
        <f>IFERROR(IF(Retenciones_mes5[[#This Row],[CUIT]]="","-",VLOOKUP(Retenciones_mes5[[#This Row],[CUIT]],Lista_CUIT[#All],2,0)),"CUIT NO CARGADO")</f>
        <v>-</v>
      </c>
      <c r="H552" s="119"/>
      <c r="I552" s="119"/>
      <c r="J552" s="119"/>
      <c r="K552" s="119"/>
      <c r="L552" s="119"/>
    </row>
    <row r="553" spans="2:13" x14ac:dyDescent="0.25">
      <c r="D553" s="117"/>
      <c r="E553" s="117"/>
      <c r="G553" s="53" t="str">
        <f>IFERROR(IF(Retenciones_mes5[[#This Row],[CUIT]]="","-",VLOOKUP(Retenciones_mes5[[#This Row],[CUIT]],Lista_CUIT[#All],2,0)),"CUIT NO CARGADO")</f>
        <v>-</v>
      </c>
    </row>
    <row r="554" spans="2:13" x14ac:dyDescent="0.25">
      <c r="C554" s="33"/>
    </row>
  </sheetData>
  <mergeCells count="20">
    <mergeCell ref="C547:G547"/>
    <mergeCell ref="B4:E4"/>
    <mergeCell ref="G4:H4"/>
    <mergeCell ref="J4:K4"/>
    <mergeCell ref="M4:N4"/>
    <mergeCell ref="D116:K116"/>
    <mergeCell ref="B157:J157"/>
    <mergeCell ref="K157:M157"/>
    <mergeCell ref="B159:C159"/>
    <mergeCell ref="B224:C224"/>
    <mergeCell ref="P4:R4"/>
    <mergeCell ref="D107:L107"/>
    <mergeCell ref="B1:F1"/>
    <mergeCell ref="G1:M1"/>
    <mergeCell ref="N1:R1"/>
    <mergeCell ref="B3:E3"/>
    <mergeCell ref="G3:H3"/>
    <mergeCell ref="J3:K3"/>
    <mergeCell ref="M3:N3"/>
    <mergeCell ref="P3:R3"/>
  </mergeCells>
  <dataValidations count="9">
    <dataValidation type="custom" allowBlank="1" showInputMessage="1" showErrorMessage="1" sqref="H226:L544" xr:uid="{00000000-0002-0000-0500-000000000000}">
      <formula1>IF($C226=8,H226&lt;0,H226&gt;=0)</formula1>
    </dataValidation>
    <dataValidation type="whole" allowBlank="1" showInputMessage="1" showErrorMessage="1" sqref="C226:C544" xr:uid="{00000000-0002-0000-0500-000001000000}">
      <formula1>6</formula1>
      <formula2>8</formula2>
    </dataValidation>
    <dataValidation type="whole" allowBlank="1" showInputMessage="1" showErrorMessage="1" sqref="C103:C106 C161:C220 C9:C101" xr:uid="{00000000-0002-0000-0500-000002000000}">
      <formula1>1</formula1>
      <formula2>3</formula2>
    </dataValidation>
    <dataValidation type="date" allowBlank="1" showInputMessage="1" showErrorMessage="1" sqref="D109:D111 B103:B106 B226:B544 B9:B101 B161:B220 D118:D149" xr:uid="{00000000-0002-0000-0500-000003000000}">
      <formula1>40179</formula1>
      <formula2>TODAY()</formula2>
    </dataValidation>
    <dataValidation type="whole" allowBlank="1" showInputMessage="1" showErrorMessage="1" sqref="F226:F544 G118:G151 F161:F220 F9:F101" xr:uid="{00000000-0002-0000-0500-000004000000}">
      <formula1>20000000000</formula1>
      <formula2>33999999999</formula2>
    </dataValidation>
    <dataValidation type="whole" allowBlank="1" showInputMessage="1" showErrorMessage="1" sqref="E226:E544 F118:F151 E161:E220 E9:E101" xr:uid="{00000000-0002-0000-0500-000005000000}">
      <formula1>1</formula1>
      <formula2>99999999</formula2>
    </dataValidation>
    <dataValidation type="whole" allowBlank="1" showInputMessage="1" showErrorMessage="1" sqref="D226:D544 E118:E151 D161:D220 D9:D101" xr:uid="{00000000-0002-0000-05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9:I99 J27:O39 J26:N26 J9:O25 H9:H47 J41:O47" xr:uid="{00000000-0002-0000-0500-000007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40:O40" xr:uid="{00000000-0002-0000-0500-000008000000}">
      <formula1>IF(#REF!=3,J40&lt;0,J40&gt;=0)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249"/>
  <sheetViews>
    <sheetView showGridLines="0" topLeftCell="F121" zoomScale="70" zoomScaleNormal="70" workbookViewId="0">
      <selection activeCell="G131" sqref="G131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8.5703125" customWidth="1"/>
    <col min="9" max="9" width="17.5703125" customWidth="1"/>
    <col min="10" max="10" width="15" customWidth="1"/>
    <col min="11" max="11" width="16.85546875" customWidth="1"/>
    <col min="12" max="12" width="13.5703125" customWidth="1"/>
    <col min="13" max="13" width="13.42578125" customWidth="1"/>
    <col min="14" max="14" width="16.28515625" customWidth="1"/>
    <col min="15" max="15" width="18.5703125" customWidth="1"/>
    <col min="16" max="16" width="20.28515625" customWidth="1"/>
    <col min="17" max="17" width="16.7109375" customWidth="1"/>
    <col min="18" max="18" width="14.28515625" customWidth="1"/>
    <col min="19" max="19" width="1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EDATE('Ene-25'!N1,5)</f>
        <v>45809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SUM(compras_mes6[[#Totals],[NETO GRAVADO]])+extracto_banco_mes6[[#Totals],[NETO]]</f>
        <v>38429045.190000005</v>
      </c>
      <c r="C4" s="626"/>
      <c r="D4" s="626"/>
      <c r="E4" s="626"/>
      <c r="F4" s="39"/>
      <c r="G4" s="627">
        <f>compras_mes6[[#Totals],[IVA 21 %]]+compras_mes6[[#Totals],[IVA 27%]]+compras_mes6[[#Totals],[IVA 10,5%]]+extracto_banco_mes6[[#Totals],[IVA 21%]]+extracto_banco_mes6[[#Totals],[IVA 10,5%]]</f>
        <v>7735358.7210500007</v>
      </c>
      <c r="H4" s="627"/>
      <c r="I4" s="39"/>
      <c r="J4" s="628">
        <f>venta_a_mes6[[#Totals],[IMPORTE NETO]]+ventas_b_mes6[[#Totals],[IMPORTE NETO]]</f>
        <v>0</v>
      </c>
      <c r="K4" s="628"/>
      <c r="L4" s="39"/>
      <c r="M4" s="628">
        <f>venta_a_mes6[[#Totals],[IVA 21%]]+venta_a_mes6[[#Totals],[IVA 10,5%]]+ventas_b_mes6[[#Totals],[IVA 21%]]+ventas_b_mes6[[#Totals],[IVA 10,5%]]</f>
        <v>0</v>
      </c>
      <c r="N4" s="628"/>
      <c r="O4" s="39"/>
      <c r="P4" s="616">
        <f>G4-M4</f>
        <v>7735358.7210500007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23"/>
      <c r="C9" s="505"/>
      <c r="D9" s="506"/>
      <c r="E9" s="507"/>
      <c r="F9" s="508">
        <v>30709208221</v>
      </c>
      <c r="G9" s="509" t="str">
        <f>IFERROR(IF(compras_mes6[[#This Row],[CUIT]]="","-",VLOOKUP(compras_mes6[[#This Row],[CUIT]],Lista_CUIT[#All],2,0)),"CUIT NO CARGADO")</f>
        <v>GNC MONTE GRANDE SRL</v>
      </c>
      <c r="H9" s="510">
        <v>74887.789999999994</v>
      </c>
      <c r="I9" s="224">
        <f>IF(compras_mes6[[#This Row],[NETO GRAVADO]]="","",compras_mes6[[#This Row],[NETO GRAVADO]]*0.21)</f>
        <v>15726.435899999999</v>
      </c>
      <c r="J9" s="224"/>
      <c r="K9" s="224"/>
      <c r="L9" s="224"/>
      <c r="M9" s="224"/>
      <c r="N9" s="224">
        <v>0</v>
      </c>
      <c r="O9" s="224">
        <v>0</v>
      </c>
      <c r="P9" s="511">
        <f>SUM(compras_mes6[[#This Row],[NETO GRAVADO]:[Otros / No Grav.]])</f>
        <v>90614.22589999999</v>
      </c>
      <c r="Q9" s="512" t="str">
        <f>IFERROR(IF(compras_mes6[[#This Row],[CUIT]]="","-",VLOOKUP(compras_mes6[[#This Row],[CUIT]],Lista_CUIT[#All],3,0)),"CUIT NO CARGADO")</f>
        <v>COMBUSTIBLE</v>
      </c>
      <c r="R9" s="512">
        <f>IFERROR(IF(compras_mes6[[#This Row],[CUIT]]="","-",VLOOKUP(compras_mes6[[#This Row],[CUIT]],Lista_CUIT[#All],4,0)),"CUIT NO CARGADO")</f>
        <v>0</v>
      </c>
    </row>
    <row r="10" spans="1:26" x14ac:dyDescent="0.25">
      <c r="B10" s="223"/>
      <c r="C10" s="505"/>
      <c r="D10" s="506"/>
      <c r="E10" s="507"/>
      <c r="F10" s="508">
        <v>30709208221</v>
      </c>
      <c r="G10" s="509" t="str">
        <f>IFERROR(IF(compras_mes6[[#This Row],[CUIT]]="","-",VLOOKUP(compras_mes6[[#This Row],[CUIT]],Lista_CUIT[#All],2,0)),"CUIT NO CARGADO")</f>
        <v>GNC MONTE GRANDE SRL</v>
      </c>
      <c r="H10" s="510">
        <v>66589.88</v>
      </c>
      <c r="I10" s="224">
        <f>IF(compras_mes6[[#This Row],[NETO GRAVADO]]="","",compras_mes6[[#This Row],[NETO GRAVADO]]*0.21)</f>
        <v>13983.8748</v>
      </c>
      <c r="J10" s="224"/>
      <c r="K10" s="224"/>
      <c r="L10" s="224"/>
      <c r="M10" s="224"/>
      <c r="N10" s="224">
        <v>0</v>
      </c>
      <c r="O10" s="224">
        <v>10126.19</v>
      </c>
      <c r="P10" s="511">
        <f>SUM(compras_mes6[[#This Row],[NETO GRAVADO]:[Otros / No Grav.]])</f>
        <v>90699.944800000012</v>
      </c>
      <c r="Q10" s="512" t="str">
        <f>IFERROR(IF(compras_mes6[[#This Row],[CUIT]]="","-",VLOOKUP(compras_mes6[[#This Row],[CUIT]],Lista_CUIT[#All],3,0)),"CUIT NO CARGADO")</f>
        <v>COMBUSTIBLE</v>
      </c>
      <c r="R10" s="512">
        <f>IFERROR(IF(compras_mes6[[#This Row],[CUIT]]="","-",VLOOKUP(compras_mes6[[#This Row],[CUIT]],Lista_CUIT[#All],4,0)),"CUIT NO CARGADO")</f>
        <v>0</v>
      </c>
    </row>
    <row r="11" spans="1:26" x14ac:dyDescent="0.25">
      <c r="B11" s="40"/>
      <c r="C11" s="41"/>
      <c r="D11" s="42"/>
      <c r="E11" s="43"/>
      <c r="F11" s="44">
        <v>30716815710</v>
      </c>
      <c r="G11" s="45" t="str">
        <f>IFERROR(IF(compras_mes6[[#This Row],[CUIT]]="","-",VLOOKUP(compras_mes6[[#This Row],[CUIT]],Lista_CUIT[#All],2,0)),"CUIT NO CARGADO")</f>
        <v>PAPELERA GEOPEL SRL</v>
      </c>
      <c r="H11" s="46">
        <v>13600</v>
      </c>
      <c r="I11" s="224">
        <f>IF(compras_mes6[[#This Row],[NETO GRAVADO]]="","",compras_mes6[[#This Row],[NETO GRAVADO]]*0.21)</f>
        <v>2856</v>
      </c>
      <c r="J11" s="85"/>
      <c r="K11" s="85"/>
      <c r="L11" s="85"/>
      <c r="M11" s="85"/>
      <c r="N11" s="85">
        <v>0</v>
      </c>
      <c r="O11" s="85">
        <v>0</v>
      </c>
      <c r="P11" s="48">
        <f>SUM(compras_mes6[[#This Row],[NETO GRAVADO]:[Otros / No Grav.]])</f>
        <v>16456</v>
      </c>
      <c r="Q11" s="49" t="str">
        <f>IFERROR(IF(compras_mes6[[#This Row],[CUIT]]="","-",VLOOKUP(compras_mes6[[#This Row],[CUIT]],Lista_CUIT[#All],3,0)),"CUIT NO CARGADO")</f>
        <v>librería</v>
      </c>
      <c r="R11" s="49">
        <f>IFERROR(IF(compras_mes6[[#This Row],[CUIT]]="","-",VLOOKUP(compras_mes6[[#This Row],[CUIT]],Lista_CUIT[#All],4,0)),"CUIT NO CARGADO")</f>
        <v>0</v>
      </c>
    </row>
    <row r="12" spans="1:26" x14ac:dyDescent="0.25">
      <c r="B12" s="223"/>
      <c r="C12" s="505"/>
      <c r="D12" s="506"/>
      <c r="E12" s="507"/>
      <c r="F12" s="508">
        <v>30663498513</v>
      </c>
      <c r="G12" s="509" t="str">
        <f>IFERROR(IF(compras_mes6[[#This Row],[CUIT]]="","-",VLOOKUP(compras_mes6[[#This Row],[CUIT]],Lista_CUIT[#All],2,0)),"CUIT NO CARGADO")</f>
        <v>GRUPO CONCES. DEL OESTE SA</v>
      </c>
      <c r="H12" s="510">
        <v>3004.37</v>
      </c>
      <c r="I12" s="224">
        <f>IF(compras_mes6[[#This Row],[NETO GRAVADO]]="","",compras_mes6[[#This Row],[NETO GRAVADO]]*0.21)</f>
        <v>630.91769999999997</v>
      </c>
      <c r="J12" s="224"/>
      <c r="K12" s="224"/>
      <c r="L12" s="224"/>
      <c r="M12" s="224"/>
      <c r="N12" s="224">
        <v>0</v>
      </c>
      <c r="O12" s="224">
        <v>120.17</v>
      </c>
      <c r="P12" s="511">
        <f>SUM(compras_mes6[[#This Row],[NETO GRAVADO]:[Otros / No Grav.]])</f>
        <v>3755.4576999999999</v>
      </c>
      <c r="Q12" s="512" t="str">
        <f>IFERROR(IF(compras_mes6[[#This Row],[CUIT]]="","-",VLOOKUP(compras_mes6[[#This Row],[CUIT]],Lista_CUIT[#All],3,0)),"CUIT NO CARGADO")</f>
        <v>Autopista</v>
      </c>
      <c r="R12" s="512">
        <f>IFERROR(IF(compras_mes6[[#This Row],[CUIT]]="","-",VLOOKUP(compras_mes6[[#This Row],[CUIT]],Lista_CUIT[#All],4,0)),"CUIT NO CARGADO")</f>
        <v>0</v>
      </c>
    </row>
    <row r="13" spans="1:26" x14ac:dyDescent="0.25">
      <c r="B13" s="223"/>
      <c r="C13" s="505"/>
      <c r="D13" s="506"/>
      <c r="E13" s="507"/>
      <c r="F13" s="508">
        <v>30677237119</v>
      </c>
      <c r="G13" s="509" t="str">
        <f>IFERROR(IF(compras_mes6[[#This Row],[CUIT]]="","-",VLOOKUP(compras_mes6[[#This Row],[CUIT]],Lista_CUIT[#All],2,0)),"CUIT NO CARGADO")</f>
        <v>AUTOPISTAS DEL SOL SA</v>
      </c>
      <c r="H13" s="510">
        <v>5315.46</v>
      </c>
      <c r="I13" s="224">
        <f>IF(compras_mes6[[#This Row],[NETO GRAVADO]]="","",compras_mes6[[#This Row],[NETO GRAVADO]]*0.21)</f>
        <v>1116.2465999999999</v>
      </c>
      <c r="J13" s="224"/>
      <c r="K13" s="224"/>
      <c r="L13" s="224"/>
      <c r="M13" s="224"/>
      <c r="N13" s="224">
        <v>0</v>
      </c>
      <c r="O13" s="224">
        <v>212.62</v>
      </c>
      <c r="P13" s="511">
        <f>SUM(compras_mes6[[#This Row],[NETO GRAVADO]:[Otros / No Grav.]])</f>
        <v>6644.3265999999994</v>
      </c>
      <c r="Q13" s="512" t="str">
        <f>IFERROR(IF(compras_mes6[[#This Row],[CUIT]]="","-",VLOOKUP(compras_mes6[[#This Row],[CUIT]],Lista_CUIT[#All],3,0)),"CUIT NO CARGADO")</f>
        <v>Autopista</v>
      </c>
      <c r="R13" s="512">
        <f>IFERROR(IF(compras_mes6[[#This Row],[CUIT]]="","-",VLOOKUP(compras_mes6[[#This Row],[CUIT]],Lista_CUIT[#All],4,0)),"CUIT NO CARGADO")</f>
        <v>0</v>
      </c>
    </row>
    <row r="14" spans="1:26" x14ac:dyDescent="0.25">
      <c r="B14" s="223"/>
      <c r="C14" s="505"/>
      <c r="D14" s="506"/>
      <c r="E14" s="507"/>
      <c r="F14" s="508">
        <v>30605344352</v>
      </c>
      <c r="G14" s="509" t="str">
        <f>IFERROR(IF(compras_mes6[[#This Row],[CUIT]]="","-",VLOOKUP(compras_mes6[[#This Row],[CUIT]],Lista_CUIT[#All],2,0)),"CUIT NO CARGADO")</f>
        <v>CONSORCIO BARTOLME MITRE 2466</v>
      </c>
      <c r="H14" s="510">
        <v>2000000</v>
      </c>
      <c r="I14" s="224">
        <f>IF(compras_mes6[[#This Row],[NETO GRAVADO]]="","",compras_mes6[[#This Row],[NETO GRAVADO]]*0.21)</f>
        <v>420000</v>
      </c>
      <c r="J14" s="224"/>
      <c r="K14" s="224"/>
      <c r="L14" s="224"/>
      <c r="M14" s="224"/>
      <c r="N14" s="224">
        <v>0</v>
      </c>
      <c r="O14" s="224">
        <v>0</v>
      </c>
      <c r="P14" s="511">
        <f>SUM(compras_mes6[[#This Row],[NETO GRAVADO]:[Otros / No Grav.]])</f>
        <v>2420000</v>
      </c>
      <c r="Q14" s="512" t="str">
        <f>IFERROR(IF(compras_mes6[[#This Row],[CUIT]]="","-",VLOOKUP(compras_mes6[[#This Row],[CUIT]],Lista_CUIT[#All],3,0)),"CUIT NO CARGADO")</f>
        <v>ALQUILER LOCAL</v>
      </c>
      <c r="R14" s="512">
        <f>IFERROR(IF(compras_mes6[[#This Row],[CUIT]]="","-",VLOOKUP(compras_mes6[[#This Row],[CUIT]],Lista_CUIT[#All],4,0)),"CUIT NO CARGADO")</f>
        <v>0</v>
      </c>
    </row>
    <row r="15" spans="1:26" x14ac:dyDescent="0.25">
      <c r="B15" s="223"/>
      <c r="C15" s="505"/>
      <c r="D15" s="506"/>
      <c r="E15" s="507"/>
      <c r="F15" s="508">
        <v>20247225243</v>
      </c>
      <c r="G15" s="509" t="str">
        <f>IFERROR(IF(compras_mes6[[#This Row],[CUIT]]="","-",VLOOKUP(compras_mes6[[#This Row],[CUIT]],Lista_CUIT[#All],2,0)),"CUIT NO CARGADO")</f>
        <v>VENTO HUGO GABRIEL</v>
      </c>
      <c r="H15" s="510">
        <v>140244</v>
      </c>
      <c r="I15" s="224">
        <f>IF(compras_mes6[[#This Row],[NETO GRAVADO]]="","",compras_mes6[[#This Row],[NETO GRAVADO]]*0.21)</f>
        <v>29451.239999999998</v>
      </c>
      <c r="J15" s="224"/>
      <c r="K15" s="224"/>
      <c r="L15" s="224"/>
      <c r="M15" s="224"/>
      <c r="N15" s="224">
        <v>0</v>
      </c>
      <c r="O15" s="224">
        <v>0</v>
      </c>
      <c r="P15" s="511">
        <f>SUM(compras_mes6[[#This Row],[NETO GRAVADO]:[Otros / No Grav.]])</f>
        <v>169695.24</v>
      </c>
      <c r="Q15" s="512" t="str">
        <f>IFERROR(IF(compras_mes6[[#This Row],[CUIT]]="","-",VLOOKUP(compras_mes6[[#This Row],[CUIT]],Lista_CUIT[#All],3,0)),"CUIT NO CARGADO")</f>
        <v>INSUMO</v>
      </c>
      <c r="R15" s="512">
        <f>IFERROR(IF(compras_mes6[[#This Row],[CUIT]]="","-",VLOOKUP(compras_mes6[[#This Row],[CUIT]],Lista_CUIT[#All],4,0)),"CUIT NO CARGADO")</f>
        <v>0</v>
      </c>
    </row>
    <row r="16" spans="1:26" x14ac:dyDescent="0.25">
      <c r="B16" s="223"/>
      <c r="C16" s="41"/>
      <c r="D16" s="506"/>
      <c r="E16" s="507"/>
      <c r="F16" s="508">
        <v>30716815710</v>
      </c>
      <c r="G16" s="509" t="str">
        <f>IFERROR(IF(compras_mes6[[#This Row],[CUIT]]="","-",VLOOKUP(compras_mes6[[#This Row],[CUIT]],Lista_CUIT[#All],2,0)),"CUIT NO CARGADO")</f>
        <v>PAPELERA GEOPEL SRL</v>
      </c>
      <c r="H16" s="510">
        <v>7500</v>
      </c>
      <c r="I16" s="224">
        <f>IF(compras_mes6[[#This Row],[NETO GRAVADO]]="","",compras_mes6[[#This Row],[NETO GRAVADO]]*0.21)</f>
        <v>1575</v>
      </c>
      <c r="J16" s="224"/>
      <c r="K16" s="224"/>
      <c r="L16" s="224"/>
      <c r="M16" s="224"/>
      <c r="N16" s="224">
        <v>0</v>
      </c>
      <c r="O16" s="224">
        <v>0</v>
      </c>
      <c r="P16" s="511">
        <f>SUM(compras_mes6[[#This Row],[NETO GRAVADO]:[Otros / No Grav.]])</f>
        <v>9075</v>
      </c>
      <c r="Q16" s="512" t="str">
        <f>IFERROR(IF(compras_mes6[[#This Row],[CUIT]]="","-",VLOOKUP(compras_mes6[[#This Row],[CUIT]],Lista_CUIT[#All],3,0)),"CUIT NO CARGADO")</f>
        <v>librería</v>
      </c>
      <c r="R16" s="512">
        <f>IFERROR(IF(compras_mes6[[#This Row],[CUIT]]="","-",VLOOKUP(compras_mes6[[#This Row],[CUIT]],Lista_CUIT[#All],4,0)),"CUIT NO CARGADO")</f>
        <v>0</v>
      </c>
    </row>
    <row r="17" spans="2:18" x14ac:dyDescent="0.25">
      <c r="B17" s="223"/>
      <c r="C17" s="505"/>
      <c r="D17" s="506"/>
      <c r="E17" s="507"/>
      <c r="F17" s="508">
        <v>30710177658</v>
      </c>
      <c r="G17" s="509" t="str">
        <f>IFERROR(IF(compras_mes6[[#This Row],[CUIT]]="","-",VLOOKUP(compras_mes6[[#This Row],[CUIT]],Lista_CUIT[#All],2,0)),"CUIT NO CARGADO")</f>
        <v>TARGET MEDICAL SA</v>
      </c>
      <c r="H17" s="510">
        <v>113400</v>
      </c>
      <c r="I17" s="224">
        <f>IF(compras_mes6[[#This Row],[NETO GRAVADO]]="","",compras_mes6[[#This Row],[NETO GRAVADO]]*0.21)</f>
        <v>23814</v>
      </c>
      <c r="J17" s="224"/>
      <c r="K17" s="224"/>
      <c r="L17" s="224"/>
      <c r="M17" s="224"/>
      <c r="N17" s="224">
        <v>0</v>
      </c>
      <c r="O17" s="224">
        <v>0</v>
      </c>
      <c r="P17" s="511">
        <f>SUM(compras_mes6[[#This Row],[NETO GRAVADO]:[Otros / No Grav.]])</f>
        <v>137214</v>
      </c>
      <c r="Q17" s="512" t="str">
        <f>IFERROR(IF(compras_mes6[[#This Row],[CUIT]]="","-",VLOOKUP(compras_mes6[[#This Row],[CUIT]],Lista_CUIT[#All],3,0)),"CUIT NO CARGADO")</f>
        <v>INSUMO</v>
      </c>
      <c r="R17" s="512">
        <f>IFERROR(IF(compras_mes6[[#This Row],[CUIT]]="","-",VLOOKUP(compras_mes6[[#This Row],[CUIT]],Lista_CUIT[#All],4,0)),"CUIT NO CARGADO")</f>
        <v>0</v>
      </c>
    </row>
    <row r="18" spans="2:18" x14ac:dyDescent="0.25">
      <c r="B18" s="223"/>
      <c r="C18" s="505"/>
      <c r="D18" s="506"/>
      <c r="E18" s="507"/>
      <c r="F18" s="508">
        <v>30526582884</v>
      </c>
      <c r="G18" s="509" t="str">
        <f>IFERROR(IF(compras_mes6[[#This Row],[CUIT]]="","-",VLOOKUP(compras_mes6[[#This Row],[CUIT]],Lista_CUIT[#All],2,0)),"CUIT NO CARGADO")</f>
        <v>EXPRESO MAR DEL PLATA S.A.</v>
      </c>
      <c r="H18" s="510">
        <v>14834.71</v>
      </c>
      <c r="I18" s="224">
        <f>IF(compras_mes6[[#This Row],[NETO GRAVADO]]="","",compras_mes6[[#This Row],[NETO GRAVADO]]*0.21)</f>
        <v>3115.2890999999995</v>
      </c>
      <c r="J18" s="224"/>
      <c r="K18" s="224"/>
      <c r="L18" s="224"/>
      <c r="M18" s="224"/>
      <c r="N18" s="224">
        <v>0</v>
      </c>
      <c r="O18" s="224">
        <v>0</v>
      </c>
      <c r="P18" s="511">
        <f>SUM(compras_mes6[[#This Row],[NETO GRAVADO]:[Otros / No Grav.]])</f>
        <v>17949.999099999997</v>
      </c>
      <c r="Q18" s="512" t="str">
        <f>IFERROR(IF(compras_mes6[[#This Row],[CUIT]]="","-",VLOOKUP(compras_mes6[[#This Row],[CUIT]],Lista_CUIT[#All],3,0)),"CUIT NO CARGADO")</f>
        <v>SERVICIOS</v>
      </c>
      <c r="R18" s="512">
        <f>IFERROR(IF(compras_mes6[[#This Row],[CUIT]]="","-",VLOOKUP(compras_mes6[[#This Row],[CUIT]],Lista_CUIT[#All],4,0)),"CUIT NO CARGADO")</f>
        <v>0</v>
      </c>
    </row>
    <row r="19" spans="2:18" x14ac:dyDescent="0.25">
      <c r="B19" s="223"/>
      <c r="C19" s="41"/>
      <c r="D19" s="506"/>
      <c r="E19" s="507"/>
      <c r="F19" s="508">
        <v>30526582884</v>
      </c>
      <c r="G19" s="509" t="str">
        <f>IFERROR(IF(compras_mes6[[#This Row],[CUIT]]="","-",VLOOKUP(compras_mes6[[#This Row],[CUIT]],Lista_CUIT[#All],2,0)),"CUIT NO CARGADO")</f>
        <v>EXPRESO MAR DEL PLATA S.A.</v>
      </c>
      <c r="H19" s="510">
        <v>112520.66</v>
      </c>
      <c r="I19" s="224">
        <f>IF(compras_mes6[[#This Row],[NETO GRAVADO]]="","",compras_mes6[[#This Row],[NETO GRAVADO]]*0.21)</f>
        <v>23629.338599999999</v>
      </c>
      <c r="J19" s="224"/>
      <c r="K19" s="224"/>
      <c r="L19" s="224"/>
      <c r="M19" s="224"/>
      <c r="N19" s="224">
        <v>0</v>
      </c>
      <c r="O19" s="224">
        <v>0</v>
      </c>
      <c r="P19" s="511">
        <f>SUM(compras_mes6[[#This Row],[NETO GRAVADO]:[Otros / No Grav.]])</f>
        <v>136149.99859999999</v>
      </c>
      <c r="Q19" s="512" t="str">
        <f>IFERROR(IF(compras_mes6[[#This Row],[CUIT]]="","-",VLOOKUP(compras_mes6[[#This Row],[CUIT]],Lista_CUIT[#All],3,0)),"CUIT NO CARGADO")</f>
        <v>SERVICIOS</v>
      </c>
      <c r="R19" s="512">
        <f>IFERROR(IF(compras_mes6[[#This Row],[CUIT]]="","-",VLOOKUP(compras_mes6[[#This Row],[CUIT]],Lista_CUIT[#All],4,0)),"CUIT NO CARGADO")</f>
        <v>0</v>
      </c>
    </row>
    <row r="20" spans="2:18" x14ac:dyDescent="0.25">
      <c r="B20" s="223"/>
      <c r="C20" s="41"/>
      <c r="D20" s="506"/>
      <c r="E20" s="507"/>
      <c r="F20" s="508">
        <v>30714864269</v>
      </c>
      <c r="G20" s="509" t="str">
        <f>IFERROR(IF(compras_mes6[[#This Row],[CUIT]]="","-",VLOOKUP(compras_mes6[[#This Row],[CUIT]],Lista_CUIT[#All],2,0)),"CUIT NO CARGADO")</f>
        <v>CONTABILIUM S.A. S. A.</v>
      </c>
      <c r="H20" s="510">
        <v>164170</v>
      </c>
      <c r="I20" s="224">
        <f>IF(compras_mes6[[#This Row],[NETO GRAVADO]]="","",compras_mes6[[#This Row],[NETO GRAVADO]]*0.21)</f>
        <v>34475.699999999997</v>
      </c>
      <c r="J20" s="224"/>
      <c r="K20" s="224"/>
      <c r="L20" s="224"/>
      <c r="M20" s="224"/>
      <c r="N20" s="224">
        <v>0</v>
      </c>
      <c r="O20" s="224">
        <v>0</v>
      </c>
      <c r="P20" s="511">
        <f>SUM(compras_mes6[[#This Row],[NETO GRAVADO]:[Otros / No Grav.]])</f>
        <v>198645.7</v>
      </c>
      <c r="Q20" s="512" t="str">
        <f>IFERROR(IF(compras_mes6[[#This Row],[CUIT]]="","-",VLOOKUP(compras_mes6[[#This Row],[CUIT]],Lista_CUIT[#All],3,0)),"CUIT NO CARGADO")</f>
        <v>USUARIO CONTABLE</v>
      </c>
      <c r="R20" s="512">
        <f>IFERROR(IF(compras_mes6[[#This Row],[CUIT]]="","-",VLOOKUP(compras_mes6[[#This Row],[CUIT]],Lista_CUIT[#All],4,0)),"CUIT NO CARGADO")</f>
        <v>0</v>
      </c>
    </row>
    <row r="21" spans="2:18" x14ac:dyDescent="0.25">
      <c r="B21" s="223"/>
      <c r="C21" s="41"/>
      <c r="D21" s="506"/>
      <c r="E21" s="507"/>
      <c r="F21" s="508">
        <v>30708847247</v>
      </c>
      <c r="G21" s="509" t="str">
        <f>IFERROR(IF(compras_mes6[[#This Row],[CUIT]]="","-",VLOOKUP(compras_mes6[[#This Row],[CUIT]],Lista_CUIT[#All],2,0)),"CUIT NO CARGADO")</f>
        <v>TOAGRA SRL</v>
      </c>
      <c r="H21" s="510">
        <v>312323.15000000002</v>
      </c>
      <c r="I21" s="224">
        <f>IF(compras_mes6[[#This Row],[NETO GRAVADO]]="","",compras_mes6[[#This Row],[NETO GRAVADO]]*0.21)</f>
        <v>65587.861499999999</v>
      </c>
      <c r="J21" s="224"/>
      <c r="K21" s="224"/>
      <c r="L21" s="224"/>
      <c r="M21" s="224"/>
      <c r="N21" s="224">
        <v>12492.93</v>
      </c>
      <c r="O21" s="224">
        <v>0</v>
      </c>
      <c r="P21" s="511">
        <f>SUM(compras_mes6[[#This Row],[NETO GRAVADO]:[Otros / No Grav.]])</f>
        <v>390403.94150000002</v>
      </c>
      <c r="Q21" s="512" t="str">
        <f>IFERROR(IF(compras_mes6[[#This Row],[CUIT]]="","-",VLOOKUP(compras_mes6[[#This Row],[CUIT]],Lista_CUIT[#All],3,0)),"CUIT NO CARGADO")</f>
        <v>FLETE</v>
      </c>
      <c r="R21" s="512">
        <f>IFERROR(IF(compras_mes6[[#This Row],[CUIT]]="","-",VLOOKUP(compras_mes6[[#This Row],[CUIT]],Lista_CUIT[#All],4,0)),"CUIT NO CARGADO")</f>
        <v>0</v>
      </c>
    </row>
    <row r="22" spans="2:18" x14ac:dyDescent="0.25">
      <c r="B22" s="223"/>
      <c r="C22" s="505"/>
      <c r="D22" s="506"/>
      <c r="E22" s="507"/>
      <c r="F22" s="508">
        <v>30654118767</v>
      </c>
      <c r="G22" s="509" t="str">
        <f>IFERROR(IF(compras_mes6[[#This Row],[CUIT]]="","-",VLOOKUP(compras_mes6[[#This Row],[CUIT]],Lista_CUIT[#All],2,0)),"CUIT NO CARGADO")</f>
        <v>SOLUCIONES MULTIMEDIA SA</v>
      </c>
      <c r="H22" s="510">
        <v>122506.01</v>
      </c>
      <c r="I22" s="224">
        <f>IF(compras_mes6[[#This Row],[NETO GRAVADO]]="","",compras_mes6[[#This Row],[NETO GRAVADO]]*0.21)</f>
        <v>25726.262099999996</v>
      </c>
      <c r="J22" s="224"/>
      <c r="K22" s="224"/>
      <c r="L22" s="224"/>
      <c r="M22" s="224"/>
      <c r="N22" s="224">
        <v>4900.24</v>
      </c>
      <c r="O22" s="224">
        <v>0</v>
      </c>
      <c r="P22" s="511">
        <f>SUM(compras_mes6[[#This Row],[NETO GRAVADO]:[Otros / No Grav.]])</f>
        <v>153132.51209999999</v>
      </c>
      <c r="Q22" s="512" t="str">
        <f>IFERROR(IF(compras_mes6[[#This Row],[CUIT]]="","-",VLOOKUP(compras_mes6[[#This Row],[CUIT]],Lista_CUIT[#All],3,0)),"CUIT NO CARGADO")</f>
        <v>gastos varios</v>
      </c>
      <c r="R22" s="512">
        <f>IFERROR(IF(compras_mes6[[#This Row],[CUIT]]="","-",VLOOKUP(compras_mes6[[#This Row],[CUIT]],Lista_CUIT[#All],4,0)),"CUIT NO CARGADO")</f>
        <v>0</v>
      </c>
    </row>
    <row r="23" spans="2:18" x14ac:dyDescent="0.25">
      <c r="B23" s="223"/>
      <c r="C23" s="505"/>
      <c r="D23" s="506"/>
      <c r="E23" s="507"/>
      <c r="F23" s="508">
        <v>30678814357</v>
      </c>
      <c r="G23" s="509" t="str">
        <f>IFERROR(IF(compras_mes6[[#This Row],[CUIT]]="","-",VLOOKUP(compras_mes6[[#This Row],[CUIT]],Lista_CUIT[#All],2,0)),"CUIT NO CARGADO")</f>
        <v>TELEFONICA MOVILES ARG SA</v>
      </c>
      <c r="H23" s="510">
        <v>78184</v>
      </c>
      <c r="I23" s="224"/>
      <c r="J23" s="224">
        <v>21109.68</v>
      </c>
      <c r="K23" s="224"/>
      <c r="L23" s="224">
        <v>2345.52</v>
      </c>
      <c r="M23" s="224"/>
      <c r="N23" s="224">
        <v>3291.96</v>
      </c>
      <c r="O23" s="224">
        <v>4114.8999999999996</v>
      </c>
      <c r="P23" s="511">
        <f>SUM(compras_mes6[[#This Row],[NETO GRAVADO]:[Otros / No Grav.]])</f>
        <v>109046.06</v>
      </c>
      <c r="Q23" s="512" t="str">
        <f>IFERROR(IF(compras_mes6[[#This Row],[CUIT]]="","-",VLOOKUP(compras_mes6[[#This Row],[CUIT]],Lista_CUIT[#All],3,0)),"CUIT NO CARGADO")</f>
        <v>SERVICIO</v>
      </c>
      <c r="R23" s="512">
        <f>IFERROR(IF(compras_mes6[[#This Row],[CUIT]]="","-",VLOOKUP(compras_mes6[[#This Row],[CUIT]],Lista_CUIT[#All],4,0)),"CUIT NO CARGADO")</f>
        <v>0</v>
      </c>
    </row>
    <row r="24" spans="2:18" x14ac:dyDescent="0.25">
      <c r="B24" s="223"/>
      <c r="C24" s="505"/>
      <c r="D24" s="506"/>
      <c r="E24" s="507"/>
      <c r="F24" s="508">
        <v>33716307749</v>
      </c>
      <c r="G24" s="509" t="str">
        <f>IFERROR(IF(compras_mes6[[#This Row],[CUIT]]="","-",VLOOKUP(compras_mes6[[#This Row],[CUIT]],Lista_CUIT[#All],2,0)),"CUIT NO CARGADO")</f>
        <v>VERISURE ARGENTINA MONITOREO DE ALARMAS SA</v>
      </c>
      <c r="H24" s="510">
        <v>53953.8</v>
      </c>
      <c r="I24" s="224">
        <f>IF(compras_mes6[[#This Row],[NETO GRAVADO]]="","",compras_mes6[[#This Row],[NETO GRAVADO]]*0.21)</f>
        <v>11330.298000000001</v>
      </c>
      <c r="J24" s="224"/>
      <c r="K24" s="224"/>
      <c r="L24" s="224"/>
      <c r="M24" s="224"/>
      <c r="N24" s="224">
        <v>0</v>
      </c>
      <c r="O24" s="224">
        <v>2158.15</v>
      </c>
      <c r="P24" s="511">
        <f>SUM(compras_mes6[[#This Row],[NETO GRAVADO]:[Otros / No Grav.]])</f>
        <v>67442.248000000007</v>
      </c>
      <c r="Q24" s="512" t="str">
        <f>IFERROR(IF(compras_mes6[[#This Row],[CUIT]]="","-",VLOOKUP(compras_mes6[[#This Row],[CUIT]],Lista_CUIT[#All],3,0)),"CUIT NO CARGADO")</f>
        <v>Serv. Seguridad</v>
      </c>
      <c r="R24" s="512">
        <f>IFERROR(IF(compras_mes6[[#This Row],[CUIT]]="","-",VLOOKUP(compras_mes6[[#This Row],[CUIT]],Lista_CUIT[#All],4,0)),"CUIT NO CARGADO")</f>
        <v>0</v>
      </c>
    </row>
    <row r="25" spans="2:18" x14ac:dyDescent="0.25">
      <c r="B25" s="223"/>
      <c r="C25" s="505"/>
      <c r="D25" s="506"/>
      <c r="E25" s="507"/>
      <c r="F25" s="508">
        <v>27265302225</v>
      </c>
      <c r="G25" s="509" t="str">
        <f>IFERROR(IF(compras_mes6[[#This Row],[CUIT]]="","-",VLOOKUP(compras_mes6[[#This Row],[CUIT]],Lista_CUIT[#All],2,0)),"CUIT NO CARGADO")</f>
        <v>PRADO MARISOL</v>
      </c>
      <c r="H25" s="510">
        <v>1200000</v>
      </c>
      <c r="I25" s="224">
        <f>IF(compras_mes6[[#This Row],[NETO GRAVADO]]="","",compras_mes6[[#This Row],[NETO GRAVADO]]*0.21)</f>
        <v>252000</v>
      </c>
      <c r="J25" s="224"/>
      <c r="K25" s="224"/>
      <c r="L25" s="224"/>
      <c r="M25" s="224"/>
      <c r="N25" s="224">
        <v>0</v>
      </c>
      <c r="O25" s="224">
        <v>0</v>
      </c>
      <c r="P25" s="511">
        <f>SUM(compras_mes6[[#This Row],[NETO GRAVADO]:[Otros / No Grav.]])</f>
        <v>1452000</v>
      </c>
      <c r="Q25" s="512" t="str">
        <f>IFERROR(IF(compras_mes6[[#This Row],[CUIT]]="","-",VLOOKUP(compras_mes6[[#This Row],[CUIT]],Lista_CUIT[#All],3,0)),"CUIT NO CARGADO")</f>
        <v>INSUMO</v>
      </c>
      <c r="R25" s="512">
        <f>IFERROR(IF(compras_mes6[[#This Row],[CUIT]]="","-",VLOOKUP(compras_mes6[[#This Row],[CUIT]],Lista_CUIT[#All],4,0)),"CUIT NO CARGADO")</f>
        <v>0</v>
      </c>
    </row>
    <row r="26" spans="2:18" x14ac:dyDescent="0.25">
      <c r="B26" s="223"/>
      <c r="C26" s="505"/>
      <c r="D26" s="506"/>
      <c r="E26" s="507"/>
      <c r="F26" s="508">
        <v>30716815710</v>
      </c>
      <c r="G26" s="509" t="str">
        <f>IFERROR(IF(compras_mes6[[#This Row],[CUIT]]="","-",VLOOKUP(compras_mes6[[#This Row],[CUIT]],Lista_CUIT[#All],2,0)),"CUIT NO CARGADO")</f>
        <v>PAPELERA GEOPEL SRL</v>
      </c>
      <c r="H26" s="510">
        <v>14800</v>
      </c>
      <c r="I26" s="224">
        <f>IF(compras_mes6[[#This Row],[NETO GRAVADO]]="","",compras_mes6[[#This Row],[NETO GRAVADO]]*0.21)</f>
        <v>3108</v>
      </c>
      <c r="J26" s="224"/>
      <c r="K26" s="224"/>
      <c r="L26" s="224"/>
      <c r="M26" s="224"/>
      <c r="N26" s="224">
        <v>0</v>
      </c>
      <c r="O26" s="224">
        <v>0</v>
      </c>
      <c r="P26" s="511">
        <f>SUM(compras_mes6[[#This Row],[NETO GRAVADO]:[Otros / No Grav.]])</f>
        <v>17908</v>
      </c>
      <c r="Q26" s="512" t="str">
        <f>IFERROR(IF(compras_mes6[[#This Row],[CUIT]]="","-",VLOOKUP(compras_mes6[[#This Row],[CUIT]],Lista_CUIT[#All],3,0)),"CUIT NO CARGADO")</f>
        <v>librería</v>
      </c>
      <c r="R26" s="512">
        <f>IFERROR(IF(compras_mes6[[#This Row],[CUIT]]="","-",VLOOKUP(compras_mes6[[#This Row],[CUIT]],Lista_CUIT[#All],4,0)),"CUIT NO CARGADO")</f>
        <v>0</v>
      </c>
    </row>
    <row r="27" spans="2:18" x14ac:dyDescent="0.25">
      <c r="B27" s="223"/>
      <c r="C27" s="505"/>
      <c r="D27" s="506"/>
      <c r="E27" s="507"/>
      <c r="F27" s="508">
        <v>30709214078</v>
      </c>
      <c r="G27" s="509" t="str">
        <f>IFERROR(IF(compras_mes6[[#This Row],[CUIT]]="","-",VLOOKUP(compras_mes6[[#This Row],[CUIT]],Lista_CUIT[#All],2,0)),"CUIT NO CARGADO")</f>
        <v>REHAVITA S.A</v>
      </c>
      <c r="H27" s="510">
        <v>382030</v>
      </c>
      <c r="I27" s="224">
        <f>IF(compras_mes6[[#This Row],[NETO GRAVADO]]="","",compras_mes6[[#This Row],[NETO GRAVADO]]*0.21)</f>
        <v>80226.3</v>
      </c>
      <c r="J27" s="224"/>
      <c r="K27" s="224"/>
      <c r="L27" s="224"/>
      <c r="M27" s="224"/>
      <c r="N27" s="224">
        <v>0</v>
      </c>
      <c r="O27" s="224">
        <v>0</v>
      </c>
      <c r="P27" s="511">
        <f>SUM(compras_mes6[[#This Row],[NETO GRAVADO]:[Otros / No Grav.]])</f>
        <v>462256.3</v>
      </c>
      <c r="Q27" s="512" t="str">
        <f>IFERROR(IF(compras_mes6[[#This Row],[CUIT]]="","-",VLOOKUP(compras_mes6[[#This Row],[CUIT]],Lista_CUIT[#All],3,0)),"CUIT NO CARGADO")</f>
        <v>INSUMO</v>
      </c>
      <c r="R27" s="512">
        <f>IFERROR(IF(compras_mes6[[#This Row],[CUIT]]="","-",VLOOKUP(compras_mes6[[#This Row],[CUIT]],Lista_CUIT[#All],4,0)),"CUIT NO CARGADO")</f>
        <v>0</v>
      </c>
    </row>
    <row r="28" spans="2:18" x14ac:dyDescent="0.25">
      <c r="B28" s="223"/>
      <c r="C28" s="41"/>
      <c r="D28" s="506"/>
      <c r="E28" s="507"/>
      <c r="F28" s="508">
        <v>30526582884</v>
      </c>
      <c r="G28" s="509" t="str">
        <f>IFERROR(IF(compras_mes6[[#This Row],[CUIT]]="","-",VLOOKUP(compras_mes6[[#This Row],[CUIT]],Lista_CUIT[#All],2,0)),"CUIT NO CARGADO")</f>
        <v>EXPRESO MAR DEL PLATA S.A.</v>
      </c>
      <c r="H28" s="510">
        <v>48231.4</v>
      </c>
      <c r="I28" s="224">
        <f>IF(compras_mes6[[#This Row],[NETO GRAVADO]]="","",compras_mes6[[#This Row],[NETO GRAVADO]]*0.21)</f>
        <v>10128.593999999999</v>
      </c>
      <c r="J28" s="224"/>
      <c r="K28" s="224"/>
      <c r="L28" s="224"/>
      <c r="M28" s="224"/>
      <c r="N28" s="224">
        <v>0</v>
      </c>
      <c r="O28" s="224">
        <v>0</v>
      </c>
      <c r="P28" s="511">
        <f>SUM(compras_mes6[[#This Row],[NETO GRAVADO]:[Otros / No Grav.]])</f>
        <v>58359.993999999999</v>
      </c>
      <c r="Q28" s="512" t="str">
        <f>IFERROR(IF(compras_mes6[[#This Row],[CUIT]]="","-",VLOOKUP(compras_mes6[[#This Row],[CUIT]],Lista_CUIT[#All],3,0)),"CUIT NO CARGADO")</f>
        <v>SERVICIOS</v>
      </c>
      <c r="R28" s="512">
        <f>IFERROR(IF(compras_mes6[[#This Row],[CUIT]]="","-",VLOOKUP(compras_mes6[[#This Row],[CUIT]],Lista_CUIT[#All],4,0)),"CUIT NO CARGADO")</f>
        <v>0</v>
      </c>
    </row>
    <row r="29" spans="2:18" x14ac:dyDescent="0.25">
      <c r="B29" s="223"/>
      <c r="C29" s="505"/>
      <c r="D29" s="506"/>
      <c r="E29" s="507"/>
      <c r="F29" s="508">
        <v>30711764921</v>
      </c>
      <c r="G29" s="509" t="str">
        <f>IFERROR(IF(compras_mes6[[#This Row],[CUIT]]="","-",VLOOKUP(compras_mes6[[#This Row],[CUIT]],Lista_CUIT[#All],2,0)),"CUIT NO CARGADO")</f>
        <v>RELIEF CENTER SRL</v>
      </c>
      <c r="H29" s="510">
        <v>136572</v>
      </c>
      <c r="I29" s="224">
        <f>IF(compras_mes6[[#This Row],[NETO GRAVADO]]="","",compras_mes6[[#This Row],[NETO GRAVADO]]*0.21)</f>
        <v>28680.12</v>
      </c>
      <c r="J29" s="224"/>
      <c r="K29" s="224"/>
      <c r="L29" s="224"/>
      <c r="M29" s="224"/>
      <c r="N29" s="224">
        <v>0</v>
      </c>
      <c r="O29" s="224">
        <v>0</v>
      </c>
      <c r="P29" s="511">
        <f>SUM(compras_mes6[[#This Row],[NETO GRAVADO]:[Otros / No Grav.]])</f>
        <v>165252.12</v>
      </c>
      <c r="Q29" s="512" t="str">
        <f>IFERROR(IF(compras_mes6[[#This Row],[CUIT]]="","-",VLOOKUP(compras_mes6[[#This Row],[CUIT]],Lista_CUIT[#All],3,0)),"CUIT NO CARGADO")</f>
        <v>INSUMO</v>
      </c>
      <c r="R29" s="512">
        <f>IFERROR(IF(compras_mes6[[#This Row],[CUIT]]="","-",VLOOKUP(compras_mes6[[#This Row],[CUIT]],Lista_CUIT[#All],4,0)),"CUIT NO CARGADO")</f>
        <v>0</v>
      </c>
    </row>
    <row r="30" spans="2:18" x14ac:dyDescent="0.25">
      <c r="B30" s="223"/>
      <c r="C30" s="505"/>
      <c r="D30" s="506"/>
      <c r="E30" s="507"/>
      <c r="F30" s="508">
        <v>30705740670</v>
      </c>
      <c r="G30" s="509" t="str">
        <f>IFERROR(IF(compras_mes6[[#This Row],[CUIT]]="","-",VLOOKUP(compras_mes6[[#This Row],[CUIT]],Lista_CUIT[#All],2,0)),"CUIT NO CARGADO")</f>
        <v>MAVISUR SA</v>
      </c>
      <c r="H30" s="510">
        <v>67870.36</v>
      </c>
      <c r="I30" s="224">
        <f>IF(compras_mes6[[#This Row],[NETO GRAVADO]]="","",compras_mes6[[#This Row],[NETO GRAVADO]]*0.21)</f>
        <v>14252.775599999999</v>
      </c>
      <c r="J30" s="224"/>
      <c r="K30" s="224"/>
      <c r="L30" s="224"/>
      <c r="M30" s="224"/>
      <c r="N30" s="224">
        <v>0</v>
      </c>
      <c r="O30" s="224">
        <v>11908.86</v>
      </c>
      <c r="P30" s="511">
        <f>SUM(compras_mes6[[#This Row],[NETO GRAVADO]:[Otros / No Grav.]])</f>
        <v>94031.995599999995</v>
      </c>
      <c r="Q30" s="512" t="str">
        <f>IFERROR(IF(compras_mes6[[#This Row],[CUIT]]="","-",VLOOKUP(compras_mes6[[#This Row],[CUIT]],Lista_CUIT[#All],3,0)),"CUIT NO CARGADO")</f>
        <v>COMBUSTIBLE</v>
      </c>
      <c r="R30" s="512">
        <f>IFERROR(IF(compras_mes6[[#This Row],[CUIT]]="","-",VLOOKUP(compras_mes6[[#This Row],[CUIT]],Lista_CUIT[#All],4,0)),"CUIT NO CARGADO")</f>
        <v>0</v>
      </c>
    </row>
    <row r="31" spans="2:18" x14ac:dyDescent="0.25">
      <c r="B31" s="223"/>
      <c r="C31" s="505"/>
      <c r="D31" s="506"/>
      <c r="E31" s="507"/>
      <c r="F31" s="508">
        <v>27144282383</v>
      </c>
      <c r="G31" s="509" t="str">
        <f>IFERROR(IF(compras_mes6[[#This Row],[CUIT]]="","-",VLOOKUP(compras_mes6[[#This Row],[CUIT]],Lista_CUIT[#All],2,0)),"CUIT NO CARGADO")</f>
        <v>SCHEJTER LILA ELISA</v>
      </c>
      <c r="H31" s="510">
        <v>1020000</v>
      </c>
      <c r="I31" s="224">
        <f>IF(compras_mes6[[#This Row],[NETO GRAVADO]]="","",compras_mes6[[#This Row],[NETO GRAVADO]]*0.21)</f>
        <v>214200</v>
      </c>
      <c r="J31" s="224"/>
      <c r="K31" s="224"/>
      <c r="L31" s="224"/>
      <c r="M31" s="224"/>
      <c r="N31" s="224">
        <v>0</v>
      </c>
      <c r="O31" s="224">
        <v>0</v>
      </c>
      <c r="P31" s="511">
        <f>SUM(compras_mes6[[#This Row],[NETO GRAVADO]:[Otros / No Grav.]])</f>
        <v>1234200</v>
      </c>
      <c r="Q31" s="512" t="str">
        <f>IFERROR(IF(compras_mes6[[#This Row],[CUIT]]="","-",VLOOKUP(compras_mes6[[#This Row],[CUIT]],Lista_CUIT[#All],3,0)),"CUIT NO CARGADO")</f>
        <v>Gtos Comercializacion</v>
      </c>
      <c r="R31" s="512">
        <f>IFERROR(IF(compras_mes6[[#This Row],[CUIT]]="","-",VLOOKUP(compras_mes6[[#This Row],[CUIT]],Lista_CUIT[#All],4,0)),"CUIT NO CARGADO")</f>
        <v>0</v>
      </c>
    </row>
    <row r="32" spans="2:18" x14ac:dyDescent="0.25">
      <c r="B32" s="223"/>
      <c r="C32" s="505"/>
      <c r="D32" s="506"/>
      <c r="E32" s="507"/>
      <c r="F32" s="508">
        <v>27265302225</v>
      </c>
      <c r="G32" s="509" t="str">
        <f>IFERROR(IF(compras_mes6[[#This Row],[CUIT]]="","-",VLOOKUP(compras_mes6[[#This Row],[CUIT]],Lista_CUIT[#All],2,0)),"CUIT NO CARGADO")</f>
        <v>PRADO MARISOL</v>
      </c>
      <c r="H32" s="510">
        <v>1500000</v>
      </c>
      <c r="I32" s="224">
        <f>IF(compras_mes6[[#This Row],[NETO GRAVADO]]="","",compras_mes6[[#This Row],[NETO GRAVADO]]*0.21)</f>
        <v>315000</v>
      </c>
      <c r="J32" s="224"/>
      <c r="K32" s="224"/>
      <c r="L32" s="224"/>
      <c r="M32" s="224"/>
      <c r="N32" s="224">
        <v>0</v>
      </c>
      <c r="O32" s="224">
        <v>0</v>
      </c>
      <c r="P32" s="511">
        <f>SUM(compras_mes6[[#This Row],[NETO GRAVADO]:[Otros / No Grav.]])</f>
        <v>1815000</v>
      </c>
      <c r="Q32" s="512" t="str">
        <f>IFERROR(IF(compras_mes6[[#This Row],[CUIT]]="","-",VLOOKUP(compras_mes6[[#This Row],[CUIT]],Lista_CUIT[#All],3,0)),"CUIT NO CARGADO")</f>
        <v>INSUMO</v>
      </c>
      <c r="R32" s="512">
        <f>IFERROR(IF(compras_mes6[[#This Row],[CUIT]]="","-",VLOOKUP(compras_mes6[[#This Row],[CUIT]],Lista_CUIT[#All],4,0)),"CUIT NO CARGADO")</f>
        <v>0</v>
      </c>
    </row>
    <row r="33" spans="2:18" x14ac:dyDescent="0.25">
      <c r="B33" s="223"/>
      <c r="C33" s="505"/>
      <c r="D33" s="506"/>
      <c r="E33" s="507"/>
      <c r="F33" s="508">
        <v>30712187316</v>
      </c>
      <c r="G33" s="509" t="str">
        <f>IFERROR(IF(compras_mes6[[#This Row],[CUIT]]="","-",VLOOKUP(compras_mes6[[#This Row],[CUIT]],Lista_CUIT[#All],2,0)),"CUIT NO CARGADO")</f>
        <v>ITALOMED PRODUCTOS SRL</v>
      </c>
      <c r="H33" s="510">
        <v>278112.69</v>
      </c>
      <c r="I33" s="224">
        <f>IF(compras_mes6[[#This Row],[NETO GRAVADO]]="","",compras_mes6[[#This Row],[NETO GRAVADO]]*0.21)</f>
        <v>58403.664899999996</v>
      </c>
      <c r="J33" s="224"/>
      <c r="K33" s="224"/>
      <c r="L33" s="224"/>
      <c r="M33" s="224"/>
      <c r="N33" s="224">
        <v>0</v>
      </c>
      <c r="O33" s="224">
        <v>0</v>
      </c>
      <c r="P33" s="511">
        <f>SUM(compras_mes6[[#This Row],[NETO GRAVADO]:[Otros / No Grav.]])</f>
        <v>336516.35489999998</v>
      </c>
      <c r="Q33" s="512" t="str">
        <f>IFERROR(IF(compras_mes6[[#This Row],[CUIT]]="","-",VLOOKUP(compras_mes6[[#This Row],[CUIT]],Lista_CUIT[#All],3,0)),"CUIT NO CARGADO")</f>
        <v>INSUMO</v>
      </c>
      <c r="R33" s="512">
        <f>IFERROR(IF(compras_mes6[[#This Row],[CUIT]]="","-",VLOOKUP(compras_mes6[[#This Row],[CUIT]],Lista_CUIT[#All],4,0)),"CUIT NO CARGADO")</f>
        <v>0</v>
      </c>
    </row>
    <row r="34" spans="2:18" x14ac:dyDescent="0.25">
      <c r="B34" s="223"/>
      <c r="C34" s="505"/>
      <c r="D34" s="506"/>
      <c r="E34" s="507"/>
      <c r="F34" s="508">
        <v>30712187316</v>
      </c>
      <c r="G34" s="509" t="str">
        <f>IFERROR(IF(compras_mes6[[#This Row],[CUIT]]="","-",VLOOKUP(compras_mes6[[#This Row],[CUIT]],Lista_CUIT[#All],2,0)),"CUIT NO CARGADO")</f>
        <v>ITALOMED PRODUCTOS SRL</v>
      </c>
      <c r="H34" s="510">
        <v>184488.69</v>
      </c>
      <c r="I34" s="224">
        <f>IF(compras_mes6[[#This Row],[NETO GRAVADO]]="","",compras_mes6[[#This Row],[NETO GRAVADO]]*0.21)</f>
        <v>38742.624900000003</v>
      </c>
      <c r="J34" s="224"/>
      <c r="K34" s="224"/>
      <c r="L34" s="224"/>
      <c r="M34" s="224"/>
      <c r="N34" s="224">
        <v>0</v>
      </c>
      <c r="O34" s="224">
        <v>0</v>
      </c>
      <c r="P34" s="511">
        <f>SUM(compras_mes6[[#This Row],[NETO GRAVADO]:[Otros / No Grav.]])</f>
        <v>223231.3149</v>
      </c>
      <c r="Q34" s="512" t="str">
        <f>IFERROR(IF(compras_mes6[[#This Row],[CUIT]]="","-",VLOOKUP(compras_mes6[[#This Row],[CUIT]],Lista_CUIT[#All],3,0)),"CUIT NO CARGADO")</f>
        <v>INSUMO</v>
      </c>
      <c r="R34" s="512">
        <f>IFERROR(IF(compras_mes6[[#This Row],[CUIT]]="","-",VLOOKUP(compras_mes6[[#This Row],[CUIT]],Lista_CUIT[#All],4,0)),"CUIT NO CARGADO")</f>
        <v>0</v>
      </c>
    </row>
    <row r="35" spans="2:18" x14ac:dyDescent="0.25">
      <c r="B35" s="223"/>
      <c r="C35" s="505"/>
      <c r="D35" s="506"/>
      <c r="E35" s="507"/>
      <c r="F35" s="508">
        <v>30708847247</v>
      </c>
      <c r="G35" s="509" t="str">
        <f>IFERROR(IF(compras_mes6[[#This Row],[CUIT]]="","-",VLOOKUP(compras_mes6[[#This Row],[CUIT]],Lista_CUIT[#All],2,0)),"CUIT NO CARGADO")</f>
        <v>TOAGRA SRL</v>
      </c>
      <c r="H35" s="510">
        <v>17117.53</v>
      </c>
      <c r="I35" s="224">
        <f>IF(compras_mes6[[#This Row],[NETO GRAVADO]]="","",compras_mes6[[#This Row],[NETO GRAVADO]]*0.21)</f>
        <v>3594.6812999999997</v>
      </c>
      <c r="J35" s="224"/>
      <c r="K35" s="224"/>
      <c r="L35" s="224"/>
      <c r="M35" s="224"/>
      <c r="N35" s="224">
        <v>684.7</v>
      </c>
      <c r="O35" s="224">
        <v>0</v>
      </c>
      <c r="P35" s="511">
        <f>SUM(compras_mes6[[#This Row],[NETO GRAVADO]:[Otros / No Grav.]])</f>
        <v>21396.9113</v>
      </c>
      <c r="Q35" s="512" t="str">
        <f>IFERROR(IF(compras_mes6[[#This Row],[CUIT]]="","-",VLOOKUP(compras_mes6[[#This Row],[CUIT]],Lista_CUIT[#All],3,0)),"CUIT NO CARGADO")</f>
        <v>FLETE</v>
      </c>
      <c r="R35" s="512">
        <f>IFERROR(IF(compras_mes6[[#This Row],[CUIT]]="","-",VLOOKUP(compras_mes6[[#This Row],[CUIT]],Lista_CUIT[#All],4,0)),"CUIT NO CARGADO")</f>
        <v>0</v>
      </c>
    </row>
    <row r="36" spans="2:18" x14ac:dyDescent="0.25">
      <c r="B36" s="223"/>
      <c r="C36" s="505"/>
      <c r="D36" s="506"/>
      <c r="E36" s="507"/>
      <c r="F36" s="508">
        <v>30708847247</v>
      </c>
      <c r="G36" s="509" t="str">
        <f>IFERROR(IF(compras_mes6[[#This Row],[CUIT]]="","-",VLOOKUP(compras_mes6[[#This Row],[CUIT]],Lista_CUIT[#All],2,0)),"CUIT NO CARGADO")</f>
        <v>TOAGRA SRL</v>
      </c>
      <c r="H36" s="510">
        <v>17696.36</v>
      </c>
      <c r="I36" s="224">
        <f>IF(compras_mes6[[#This Row],[NETO GRAVADO]]="","",compras_mes6[[#This Row],[NETO GRAVADO]]*0.21)</f>
        <v>3716.2356</v>
      </c>
      <c r="J36" s="224"/>
      <c r="K36" s="224"/>
      <c r="L36" s="224"/>
      <c r="M36" s="224"/>
      <c r="N36" s="224">
        <v>707.85</v>
      </c>
      <c r="O36" s="224">
        <v>0</v>
      </c>
      <c r="P36" s="511">
        <f>SUM(compras_mes6[[#This Row],[NETO GRAVADO]:[Otros / No Grav.]])</f>
        <v>22120.445599999999</v>
      </c>
      <c r="Q36" s="512" t="str">
        <f>IFERROR(IF(compras_mes6[[#This Row],[CUIT]]="","-",VLOOKUP(compras_mes6[[#This Row],[CUIT]],Lista_CUIT[#All],3,0)),"CUIT NO CARGADO")</f>
        <v>FLETE</v>
      </c>
      <c r="R36" s="512">
        <f>IFERROR(IF(compras_mes6[[#This Row],[CUIT]]="","-",VLOOKUP(compras_mes6[[#This Row],[CUIT]],Lista_CUIT[#All],4,0)),"CUIT NO CARGADO")</f>
        <v>0</v>
      </c>
    </row>
    <row r="37" spans="2:18" x14ac:dyDescent="0.25">
      <c r="B37" s="223"/>
      <c r="C37" s="505"/>
      <c r="D37" s="506"/>
      <c r="E37" s="507"/>
      <c r="F37" s="508">
        <v>30587197215</v>
      </c>
      <c r="G37" s="509" t="str">
        <f>IFERROR(IF(compras_mes6[[#This Row],[CUIT]]="","-",VLOOKUP(compras_mes6[[#This Row],[CUIT]],Lista_CUIT[#All],2,0)),"CUIT NO CARGADO")</f>
        <v>PANATEL SOCIEDAD ANONIMA</v>
      </c>
      <c r="H37" s="510">
        <v>148760.32999999999</v>
      </c>
      <c r="I37" s="224">
        <f>IF(compras_mes6[[#This Row],[NETO GRAVADO]]="","",compras_mes6[[#This Row],[NETO GRAVADO]]*0.21)</f>
        <v>31239.669299999998</v>
      </c>
      <c r="J37" s="224"/>
      <c r="K37" s="224"/>
      <c r="L37" s="224"/>
      <c r="M37" s="224"/>
      <c r="N37" s="224">
        <v>8925.6200000000008</v>
      </c>
      <c r="O37" s="224">
        <v>0</v>
      </c>
      <c r="P37" s="511">
        <f>SUM(compras_mes6[[#This Row],[NETO GRAVADO]:[Otros / No Grav.]])</f>
        <v>188925.61929999999</v>
      </c>
      <c r="Q37" s="512" t="str">
        <f>IFERROR(IF(compras_mes6[[#This Row],[CUIT]]="","-",VLOOKUP(compras_mes6[[#This Row],[CUIT]],Lista_CUIT[#All],3,0)),"CUIT NO CARGADO")</f>
        <v>SERVICIOS DE ALOJAMIENTO EN HOTELES</v>
      </c>
      <c r="R37" s="512">
        <f>IFERROR(IF(compras_mes6[[#This Row],[CUIT]]="","-",VLOOKUP(compras_mes6[[#This Row],[CUIT]],Lista_CUIT[#All],4,0)),"CUIT NO CARGADO")</f>
        <v>0</v>
      </c>
    </row>
    <row r="38" spans="2:18" x14ac:dyDescent="0.25">
      <c r="B38" s="223"/>
      <c r="C38" s="505"/>
      <c r="D38" s="506"/>
      <c r="E38" s="507"/>
      <c r="F38" s="508">
        <v>30692138747</v>
      </c>
      <c r="G38" s="509" t="str">
        <f>IFERROR(IF(compras_mes6[[#This Row],[CUIT]]="","-",VLOOKUP(compras_mes6[[#This Row],[CUIT]],Lista_CUIT[#All],2,0)),"CUIT NO CARGADO")</f>
        <v>FARMACITY SA</v>
      </c>
      <c r="H38" s="510">
        <v>5041.32</v>
      </c>
      <c r="I38" s="224">
        <f>IF(compras_mes6[[#This Row],[NETO GRAVADO]]="","",compras_mes6[[#This Row],[NETO GRAVADO]]*0.21)</f>
        <v>1058.6771999999999</v>
      </c>
      <c r="J38" s="224"/>
      <c r="K38" s="224"/>
      <c r="L38" s="224">
        <v>151.24</v>
      </c>
      <c r="M38" s="224"/>
      <c r="N38" s="224">
        <v>0</v>
      </c>
      <c r="O38" s="224">
        <v>0</v>
      </c>
      <c r="P38" s="511">
        <f>SUM(compras_mes6[[#This Row],[NETO GRAVADO]:[Otros / No Grav.]])</f>
        <v>6251.2371999999996</v>
      </c>
      <c r="Q38" s="512" t="str">
        <f>IFERROR(IF(compras_mes6[[#This Row],[CUIT]]="","-",VLOOKUP(compras_mes6[[#This Row],[CUIT]],Lista_CUIT[#All],3,0)),"CUIT NO CARGADO")</f>
        <v>Gastos Varios</v>
      </c>
      <c r="R38" s="512">
        <f>IFERROR(IF(compras_mes6[[#This Row],[CUIT]]="","-",VLOOKUP(compras_mes6[[#This Row],[CUIT]],Lista_CUIT[#All],4,0)),"CUIT NO CARGADO")</f>
        <v>0</v>
      </c>
    </row>
    <row r="39" spans="2:18" x14ac:dyDescent="0.25">
      <c r="B39" s="223"/>
      <c r="C39" s="505"/>
      <c r="D39" s="506"/>
      <c r="E39" s="507"/>
      <c r="F39" s="508">
        <v>20272865869</v>
      </c>
      <c r="G39" s="509" t="str">
        <f>IFERROR(IF(compras_mes6[[#This Row],[CUIT]]="","-",VLOOKUP(compras_mes6[[#This Row],[CUIT]],Lista_CUIT[#All],2,0)),"CUIT NO CARGADO")</f>
        <v>DI FEO MARTIN EZEQUIEL</v>
      </c>
      <c r="H39" s="510">
        <v>209700</v>
      </c>
      <c r="I39" s="224">
        <f>IF(compras_mes6[[#This Row],[NETO GRAVADO]]="","",compras_mes6[[#This Row],[NETO GRAVADO]]*0.21)</f>
        <v>44037</v>
      </c>
      <c r="J39" s="224"/>
      <c r="K39" s="224"/>
      <c r="L39" s="224"/>
      <c r="M39" s="224"/>
      <c r="N39" s="224">
        <v>0</v>
      </c>
      <c r="O39" s="224">
        <v>0</v>
      </c>
      <c r="P39" s="511">
        <f>SUM(compras_mes6[[#This Row],[NETO GRAVADO]:[Otros / No Grav.]])</f>
        <v>253737</v>
      </c>
      <c r="Q39" s="512" t="str">
        <f>IFERROR(IF(compras_mes6[[#This Row],[CUIT]]="","-",VLOOKUP(compras_mes6[[#This Row],[CUIT]],Lista_CUIT[#All],3,0)),"CUIT NO CARGADO")</f>
        <v>INSUMOS</v>
      </c>
      <c r="R39" s="512">
        <f>IFERROR(IF(compras_mes6[[#This Row],[CUIT]]="","-",VLOOKUP(compras_mes6[[#This Row],[CUIT]],Lista_CUIT[#All],4,0)),"CUIT NO CARGADO")</f>
        <v>0</v>
      </c>
    </row>
    <row r="40" spans="2:18" x14ac:dyDescent="0.25">
      <c r="B40" s="223"/>
      <c r="C40" s="505"/>
      <c r="D40" s="506"/>
      <c r="E40" s="507"/>
      <c r="F40" s="508">
        <v>30712187316</v>
      </c>
      <c r="G40" s="509" t="str">
        <f>IFERROR(IF(compras_mes6[[#This Row],[CUIT]]="","-",VLOOKUP(compras_mes6[[#This Row],[CUIT]],Lista_CUIT[#All],2,0)),"CUIT NO CARGADO")</f>
        <v>ITALOMED PRODUCTOS SRL</v>
      </c>
      <c r="H40" s="510">
        <v>12396.69</v>
      </c>
      <c r="I40" s="224">
        <f>IF(compras_mes6[[#This Row],[NETO GRAVADO]]="","",compras_mes6[[#This Row],[NETO GRAVADO]]*0.21)</f>
        <v>2603.3049000000001</v>
      </c>
      <c r="J40" s="224"/>
      <c r="K40" s="224"/>
      <c r="L40" s="224"/>
      <c r="M40" s="224"/>
      <c r="N40" s="224">
        <v>0</v>
      </c>
      <c r="O40" s="224">
        <v>0</v>
      </c>
      <c r="P40" s="511">
        <f>SUM(compras_mes6[[#This Row],[NETO GRAVADO]:[Otros / No Grav.]])</f>
        <v>14999.994900000002</v>
      </c>
      <c r="Q40" s="512" t="str">
        <f>IFERROR(IF(compras_mes6[[#This Row],[CUIT]]="","-",VLOOKUP(compras_mes6[[#This Row],[CUIT]],Lista_CUIT[#All],3,0)),"CUIT NO CARGADO")</f>
        <v>INSUMO</v>
      </c>
      <c r="R40" s="512">
        <f>IFERROR(IF(compras_mes6[[#This Row],[CUIT]]="","-",VLOOKUP(compras_mes6[[#This Row],[CUIT]],Lista_CUIT[#All],4,0)),"CUIT NO CARGADO")</f>
        <v>0</v>
      </c>
    </row>
    <row r="41" spans="2:18" x14ac:dyDescent="0.25">
      <c r="B41" s="223"/>
      <c r="C41" s="505"/>
      <c r="D41" s="506"/>
      <c r="E41" s="507"/>
      <c r="F41" s="508">
        <v>30598960093</v>
      </c>
      <c r="G41" s="509" t="str">
        <f>IFERROR(IF(compras_mes6[[#This Row],[CUIT]]="","-",VLOOKUP(compras_mes6[[#This Row],[CUIT]],Lista_CUIT[#All],2,0)),"CUIT NO CARGADO")</f>
        <v>SILVESTRIN FABRIS SRL</v>
      </c>
      <c r="H41" s="510">
        <v>2043414</v>
      </c>
      <c r="I41" s="224">
        <f>IF(compras_mes6[[#This Row],[NETO GRAVADO]]="","",compras_mes6[[#This Row],[NETO GRAVADO]]*0.21)</f>
        <v>429116.94</v>
      </c>
      <c r="J41" s="224"/>
      <c r="K41" s="224"/>
      <c r="L41" s="224"/>
      <c r="M41" s="224"/>
      <c r="N41" s="224">
        <v>81736.56</v>
      </c>
      <c r="O41" s="224">
        <v>0</v>
      </c>
      <c r="P41" s="511">
        <f>SUM(compras_mes6[[#This Row],[NETO GRAVADO]:[Otros / No Grav.]])</f>
        <v>2554267.5</v>
      </c>
      <c r="Q41" s="512" t="str">
        <f>IFERROR(IF(compras_mes6[[#This Row],[CUIT]]="","-",VLOOKUP(compras_mes6[[#This Row],[CUIT]],Lista_CUIT[#All],3,0)),"CUIT NO CARGADO")</f>
        <v>INSUMO</v>
      </c>
      <c r="R41" s="512">
        <f>IFERROR(IF(compras_mes6[[#This Row],[CUIT]]="","-",VLOOKUP(compras_mes6[[#This Row],[CUIT]],Lista_CUIT[#All],4,0)),"CUIT NO CARGADO")</f>
        <v>0</v>
      </c>
    </row>
    <row r="42" spans="2:18" x14ac:dyDescent="0.25">
      <c r="B42" s="223"/>
      <c r="C42" s="505"/>
      <c r="D42" s="506"/>
      <c r="E42" s="507"/>
      <c r="F42" s="508">
        <v>30716815710</v>
      </c>
      <c r="G42" s="509" t="str">
        <f>IFERROR(IF(compras_mes6[[#This Row],[CUIT]]="","-",VLOOKUP(compras_mes6[[#This Row],[CUIT]],Lista_CUIT[#All],2,0)),"CUIT NO CARGADO")</f>
        <v>PAPELERA GEOPEL SRL</v>
      </c>
      <c r="H42" s="510">
        <v>7200</v>
      </c>
      <c r="I42" s="224">
        <f>IF(compras_mes6[[#This Row],[NETO GRAVADO]]="","",compras_mes6[[#This Row],[NETO GRAVADO]]*0.21)</f>
        <v>1512</v>
      </c>
      <c r="J42" s="224"/>
      <c r="K42" s="224"/>
      <c r="L42" s="224"/>
      <c r="M42" s="224"/>
      <c r="N42" s="224">
        <v>0</v>
      </c>
      <c r="O42" s="224">
        <v>0</v>
      </c>
      <c r="P42" s="511">
        <f>SUM(compras_mes6[[#This Row],[NETO GRAVADO]:[Otros / No Grav.]])</f>
        <v>8712</v>
      </c>
      <c r="Q42" s="512" t="str">
        <f>IFERROR(IF(compras_mes6[[#This Row],[CUIT]]="","-",VLOOKUP(compras_mes6[[#This Row],[CUIT]],Lista_CUIT[#All],3,0)),"CUIT NO CARGADO")</f>
        <v>librería</v>
      </c>
      <c r="R42" s="512">
        <f>IFERROR(IF(compras_mes6[[#This Row],[CUIT]]="","-",VLOOKUP(compras_mes6[[#This Row],[CUIT]],Lista_CUIT[#All],4,0)),"CUIT NO CARGADO")</f>
        <v>0</v>
      </c>
    </row>
    <row r="43" spans="2:18" x14ac:dyDescent="0.25">
      <c r="B43" s="223"/>
      <c r="C43" s="505"/>
      <c r="D43" s="506"/>
      <c r="E43" s="507"/>
      <c r="F43" s="508">
        <v>30709531960</v>
      </c>
      <c r="G43" s="509" t="str">
        <f>IFERROR(IF(compras_mes6[[#This Row],[CUIT]]="","-",VLOOKUP(compras_mes6[[#This Row],[CUIT]],Lista_CUIT[#All],2,0)),"CUIT NO CARGADO")</f>
        <v>CENTRO DE DISTRIBUCION SUR S R L</v>
      </c>
      <c r="H43" s="510">
        <v>11990.8</v>
      </c>
      <c r="I43" s="224">
        <f>IF(compras_mes6[[#This Row],[NETO GRAVADO]]="","",compras_mes6[[#This Row],[NETO GRAVADO]]*0.21)</f>
        <v>2518.0679999999998</v>
      </c>
      <c r="J43" s="224"/>
      <c r="K43" s="224"/>
      <c r="L43" s="224"/>
      <c r="M43" s="224"/>
      <c r="N43" s="224">
        <v>0</v>
      </c>
      <c r="O43" s="224">
        <v>479.63</v>
      </c>
      <c r="P43" s="511">
        <f>SUM(compras_mes6[[#This Row],[NETO GRAVADO]:[Otros / No Grav.]])</f>
        <v>14988.497999999998</v>
      </c>
      <c r="Q43" s="512" t="str">
        <f>IFERROR(IF(compras_mes6[[#This Row],[CUIT]]="","-",VLOOKUP(compras_mes6[[#This Row],[CUIT]],Lista_CUIT[#All],3,0)),"CUIT NO CARGADO")</f>
        <v>Limpieza</v>
      </c>
      <c r="R43" s="512">
        <f>IFERROR(IF(compras_mes6[[#This Row],[CUIT]]="","-",VLOOKUP(compras_mes6[[#This Row],[CUIT]],Lista_CUIT[#All],4,0)),"CUIT NO CARGADO")</f>
        <v>0</v>
      </c>
    </row>
    <row r="44" spans="2:18" x14ac:dyDescent="0.25">
      <c r="B44" s="223"/>
      <c r="C44" s="505"/>
      <c r="D44" s="506"/>
      <c r="E44" s="507"/>
      <c r="F44" s="508">
        <v>30711764921</v>
      </c>
      <c r="G44" s="509" t="str">
        <f>IFERROR(IF(compras_mes6[[#This Row],[CUIT]]="","-",VLOOKUP(compras_mes6[[#This Row],[CUIT]],Lista_CUIT[#All],2,0)),"CUIT NO CARGADO")</f>
        <v>RELIEF CENTER SRL</v>
      </c>
      <c r="H44" s="510">
        <v>93310</v>
      </c>
      <c r="I44" s="224">
        <f>IF(compras_mes6[[#This Row],[NETO GRAVADO]]="","",compras_mes6[[#This Row],[NETO GRAVADO]]*0.21)</f>
        <v>19595.099999999999</v>
      </c>
      <c r="J44" s="224"/>
      <c r="K44" s="224"/>
      <c r="L44" s="224"/>
      <c r="M44" s="224"/>
      <c r="N44" s="224">
        <v>0</v>
      </c>
      <c r="O44" s="224">
        <v>0</v>
      </c>
      <c r="P44" s="511">
        <f>SUM(compras_mes6[[#This Row],[NETO GRAVADO]:[Otros / No Grav.]])</f>
        <v>112905.1</v>
      </c>
      <c r="Q44" s="512" t="str">
        <f>IFERROR(IF(compras_mes6[[#This Row],[CUIT]]="","-",VLOOKUP(compras_mes6[[#This Row],[CUIT]],Lista_CUIT[#All],3,0)),"CUIT NO CARGADO")</f>
        <v>INSUMO</v>
      </c>
      <c r="R44" s="512">
        <f>IFERROR(IF(compras_mes6[[#This Row],[CUIT]]="","-",VLOOKUP(compras_mes6[[#This Row],[CUIT]],Lista_CUIT[#All],4,0)),"CUIT NO CARGADO")</f>
        <v>0</v>
      </c>
    </row>
    <row r="45" spans="2:18" x14ac:dyDescent="0.25">
      <c r="B45" s="223"/>
      <c r="C45" s="505"/>
      <c r="D45" s="506"/>
      <c r="E45" s="507"/>
      <c r="F45" s="508">
        <v>30715804812</v>
      </c>
      <c r="G45" s="509" t="str">
        <f>IFERROR(IF(compras_mes6[[#This Row],[CUIT]]="","-",VLOOKUP(compras_mes6[[#This Row],[CUIT]],Lista_CUIT[#All],2,0)),"CUIT NO CARGADO")</f>
        <v>CORREDORES VIALES SOCIEDAD ANONIMA</v>
      </c>
      <c r="H45" s="510">
        <v>17263.7</v>
      </c>
      <c r="I45" s="224">
        <f>IF(compras_mes6[[#This Row],[NETO GRAVADO]]="","",compras_mes6[[#This Row],[NETO GRAVADO]]*0.21)</f>
        <v>3625.377</v>
      </c>
      <c r="J45" s="224"/>
      <c r="K45" s="224"/>
      <c r="L45" s="224"/>
      <c r="M45" s="224"/>
      <c r="N45" s="224">
        <v>690.55</v>
      </c>
      <c r="O45" s="224">
        <v>0</v>
      </c>
      <c r="P45" s="511">
        <f>SUM(compras_mes6[[#This Row],[NETO GRAVADO]:[Otros / No Grav.]])</f>
        <v>21579.627</v>
      </c>
      <c r="Q45" s="512" t="str">
        <f>IFERROR(IF(compras_mes6[[#This Row],[CUIT]]="","-",VLOOKUP(compras_mes6[[#This Row],[CUIT]],Lista_CUIT[#All],3,0)),"CUIT NO CARGADO")</f>
        <v>Autopista</v>
      </c>
      <c r="R45" s="512">
        <f>IFERROR(IF(compras_mes6[[#This Row],[CUIT]]="","-",VLOOKUP(compras_mes6[[#This Row],[CUIT]],Lista_CUIT[#All],4,0)),"CUIT NO CARGADO")</f>
        <v>0</v>
      </c>
    </row>
    <row r="46" spans="2:18" x14ac:dyDescent="0.25">
      <c r="B46" s="223"/>
      <c r="C46" s="41"/>
      <c r="D46" s="506"/>
      <c r="E46" s="507"/>
      <c r="F46" s="508">
        <v>30516186670</v>
      </c>
      <c r="G46" s="509" t="str">
        <f>IFERROR(IF(compras_mes6[[#This Row],[CUIT]]="","-",VLOOKUP(compras_mes6[[#This Row],[CUIT]],Lista_CUIT[#All],2,0)),"CUIT NO CARGADO")</f>
        <v>DEHEZA SAICF E I</v>
      </c>
      <c r="H46" s="510">
        <v>43366.12</v>
      </c>
      <c r="I46" s="224">
        <f>IF(compras_mes6[[#This Row],[NETO GRAVADO]]="","",compras_mes6[[#This Row],[NETO GRAVADO]]*0.21)</f>
        <v>9106.8852000000006</v>
      </c>
      <c r="J46" s="224"/>
      <c r="K46" s="224"/>
      <c r="L46" s="224">
        <v>1300.98</v>
      </c>
      <c r="M46" s="224"/>
      <c r="N46" s="224">
        <v>1734.64</v>
      </c>
      <c r="O46" s="224">
        <v>0</v>
      </c>
      <c r="P46" s="511">
        <f>SUM(compras_mes6[[#This Row],[NETO GRAVADO]:[Otros / No Grav.]])</f>
        <v>55508.625200000002</v>
      </c>
      <c r="Q46" s="512" t="str">
        <f>IFERROR(IF(compras_mes6[[#This Row],[CUIT]]="","-",VLOOKUP(compras_mes6[[#This Row],[CUIT]],Lista_CUIT[#All],3,0)),"CUIT NO CARGADO")</f>
        <v>COMBUSTIBLE</v>
      </c>
      <c r="R46" s="512">
        <f>IFERROR(IF(compras_mes6[[#This Row],[CUIT]]="","-",VLOOKUP(compras_mes6[[#This Row],[CUIT]],Lista_CUIT[#All],4,0)),"CUIT NO CARGADO")</f>
        <v>0</v>
      </c>
    </row>
    <row r="47" spans="2:18" x14ac:dyDescent="0.25">
      <c r="B47" s="223"/>
      <c r="C47" s="505"/>
      <c r="D47" s="506"/>
      <c r="E47" s="507"/>
      <c r="F47" s="508">
        <v>30678774495</v>
      </c>
      <c r="G47" s="509" t="str">
        <f>IFERROR(IF(compras_mes6[[#This Row],[CUIT]]="","-",VLOOKUP(compras_mes6[[#This Row],[CUIT]],Lista_CUIT[#All],2,0)),"CUIT NO CARGADO")</f>
        <v>OPER. DE EST. DE SERV. SA</v>
      </c>
      <c r="H47" s="510">
        <v>68976.87</v>
      </c>
      <c r="I47" s="224">
        <f>IF(compras_mes6[[#This Row],[NETO GRAVADO]]="","",compras_mes6[[#This Row],[NETO GRAVADO]]*0.21)</f>
        <v>14485.142699999999</v>
      </c>
      <c r="J47" s="224"/>
      <c r="K47" s="224"/>
      <c r="L47" s="224"/>
      <c r="M47" s="224"/>
      <c r="N47" s="224">
        <v>0</v>
      </c>
      <c r="O47" s="224">
        <v>0</v>
      </c>
      <c r="P47" s="511">
        <f>SUM(compras_mes6[[#This Row],[NETO GRAVADO]:[Otros / No Grav.]])</f>
        <v>83462.012699999992</v>
      </c>
      <c r="Q47" s="512" t="str">
        <f>IFERROR(IF(compras_mes6[[#This Row],[CUIT]]="","-",VLOOKUP(compras_mes6[[#This Row],[CUIT]],Lista_CUIT[#All],3,0)),"CUIT NO CARGADO")</f>
        <v>COMBUSTIBLE</v>
      </c>
      <c r="R47" s="512">
        <f>IFERROR(IF(compras_mes6[[#This Row],[CUIT]]="","-",VLOOKUP(compras_mes6[[#This Row],[CUIT]],Lista_CUIT[#All],4,0)),"CUIT NO CARGADO")</f>
        <v>0</v>
      </c>
    </row>
    <row r="48" spans="2:18" x14ac:dyDescent="0.25">
      <c r="B48" s="223"/>
      <c r="C48" s="505"/>
      <c r="D48" s="506"/>
      <c r="E48" s="507"/>
      <c r="F48" s="508">
        <v>30711454388</v>
      </c>
      <c r="G48" s="509" t="str">
        <f>IFERROR(IF(compras_mes6[[#This Row],[CUIT]]="","-",VLOOKUP(compras_mes6[[#This Row],[CUIT]],Lista_CUIT[#All],2,0)),"CUIT NO CARGADO")</f>
        <v>LIPROT S.R.L.</v>
      </c>
      <c r="H48" s="510">
        <v>19614</v>
      </c>
      <c r="I48" s="224">
        <f>IF(compras_mes6[[#This Row],[NETO GRAVADO]]="","",compras_mes6[[#This Row],[NETO GRAVADO]]*0.21)</f>
        <v>4118.9399999999996</v>
      </c>
      <c r="J48" s="224"/>
      <c r="K48" s="224"/>
      <c r="L48" s="224"/>
      <c r="M48" s="224"/>
      <c r="N48" s="224">
        <v>0</v>
      </c>
      <c r="O48" s="224">
        <v>0</v>
      </c>
      <c r="P48" s="511">
        <f>SUM(compras_mes6[[#This Row],[NETO GRAVADO]:[Otros / No Grav.]])</f>
        <v>23732.94</v>
      </c>
      <c r="Q48" s="512" t="str">
        <f>IFERROR(IF(compras_mes6[[#This Row],[CUIT]]="","-",VLOOKUP(compras_mes6[[#This Row],[CUIT]],Lista_CUIT[#All],3,0)),"CUIT NO CARGADO")</f>
        <v>textil</v>
      </c>
      <c r="R48" s="512">
        <f>IFERROR(IF(compras_mes6[[#This Row],[CUIT]]="","-",VLOOKUP(compras_mes6[[#This Row],[CUIT]],Lista_CUIT[#All],4,0)),"CUIT NO CARGADO")</f>
        <v>0</v>
      </c>
    </row>
    <row r="49" spans="2:18" x14ac:dyDescent="0.25">
      <c r="B49" s="223"/>
      <c r="C49" s="505"/>
      <c r="D49" s="506"/>
      <c r="E49" s="507"/>
      <c r="F49" s="508">
        <v>30711454388</v>
      </c>
      <c r="G49" s="509" t="str">
        <f>IFERROR(IF(compras_mes6[[#This Row],[CUIT]]="","-",VLOOKUP(compras_mes6[[#This Row],[CUIT]],Lista_CUIT[#All],2,0)),"CUIT NO CARGADO")</f>
        <v>LIPROT S.R.L.</v>
      </c>
      <c r="H49" s="510">
        <v>92754</v>
      </c>
      <c r="I49" s="224">
        <f>IF(compras_mes6[[#This Row],[NETO GRAVADO]]="","",compras_mes6[[#This Row],[NETO GRAVADO]]*0.21)</f>
        <v>19478.34</v>
      </c>
      <c r="J49" s="224"/>
      <c r="K49" s="224"/>
      <c r="L49" s="224"/>
      <c r="M49" s="224"/>
      <c r="N49" s="224">
        <v>0</v>
      </c>
      <c r="O49" s="224">
        <v>0</v>
      </c>
      <c r="P49" s="511">
        <f>SUM(compras_mes6[[#This Row],[NETO GRAVADO]:[Otros / No Grav.]])</f>
        <v>112232.34</v>
      </c>
      <c r="Q49" s="512" t="str">
        <f>IFERROR(IF(compras_mes6[[#This Row],[CUIT]]="","-",VLOOKUP(compras_mes6[[#This Row],[CUIT]],Lista_CUIT[#All],3,0)),"CUIT NO CARGADO")</f>
        <v>textil</v>
      </c>
      <c r="R49" s="512">
        <f>IFERROR(IF(compras_mes6[[#This Row],[CUIT]]="","-",VLOOKUP(compras_mes6[[#This Row],[CUIT]],Lista_CUIT[#All],4,0)),"CUIT NO CARGADO")</f>
        <v>0</v>
      </c>
    </row>
    <row r="50" spans="2:18" x14ac:dyDescent="0.25">
      <c r="B50" s="223"/>
      <c r="C50" s="505"/>
      <c r="D50" s="506"/>
      <c r="E50" s="507"/>
      <c r="F50" s="508">
        <v>20334976433</v>
      </c>
      <c r="G50" s="509" t="str">
        <f>IFERROR(IF(compras_mes6[[#This Row],[CUIT]]="","-",VLOOKUP(compras_mes6[[#This Row],[CUIT]],Lista_CUIT[#All],2,0)),"CUIT NO CARGADO")</f>
        <v>NARDOMARINO EZEQUIEL EDUARDO</v>
      </c>
      <c r="H50" s="510">
        <v>210000</v>
      </c>
      <c r="I50" s="224">
        <f>IF(compras_mes6[[#This Row],[NETO GRAVADO]]="","",compras_mes6[[#This Row],[NETO GRAVADO]]*0.21)</f>
        <v>44100</v>
      </c>
      <c r="J50" s="224"/>
      <c r="K50" s="224"/>
      <c r="L50" s="224"/>
      <c r="M50" s="224"/>
      <c r="N50" s="224">
        <v>0</v>
      </c>
      <c r="O50" s="224">
        <v>0</v>
      </c>
      <c r="P50" s="511">
        <f>SUM(compras_mes6[[#This Row],[NETO GRAVADO]:[Otros / No Grav.]])</f>
        <v>254100</v>
      </c>
      <c r="Q50" s="512" t="str">
        <f>IFERROR(IF(compras_mes6[[#This Row],[CUIT]]="","-",VLOOKUP(compras_mes6[[#This Row],[CUIT]],Lista_CUIT[#All],3,0)),"CUIT NO CARGADO")</f>
        <v>FLETE</v>
      </c>
      <c r="R50" s="512">
        <f>IFERROR(IF(compras_mes6[[#This Row],[CUIT]]="","-",VLOOKUP(compras_mes6[[#This Row],[CUIT]],Lista_CUIT[#All],4,0)),"CUIT NO CARGADO")</f>
        <v>0</v>
      </c>
    </row>
    <row r="51" spans="2:18" x14ac:dyDescent="0.25">
      <c r="B51" s="223"/>
      <c r="C51" s="41"/>
      <c r="D51" s="506"/>
      <c r="E51" s="507"/>
      <c r="F51" s="508">
        <v>20295929309</v>
      </c>
      <c r="G51" s="509" t="str">
        <f>IFERROR(IF(compras_mes6[[#This Row],[CUIT]]="","-",VLOOKUP(compras_mes6[[#This Row],[CUIT]],Lista_CUIT[#All],2,0)),"CUIT NO CARGADO")</f>
        <v>ROJAS GUILLERMO</v>
      </c>
      <c r="H51" s="510">
        <v>9979.34</v>
      </c>
      <c r="I51" s="224">
        <f>IF(compras_mes6[[#This Row],[NETO GRAVADO]]="","",compras_mes6[[#This Row],[NETO GRAVADO]]*0.21)</f>
        <v>2095.6614</v>
      </c>
      <c r="J51" s="224"/>
      <c r="K51" s="224"/>
      <c r="L51" s="224"/>
      <c r="M51" s="224"/>
      <c r="N51" s="224">
        <v>0</v>
      </c>
      <c r="O51" s="224">
        <v>0</v>
      </c>
      <c r="P51" s="511">
        <f>SUM(compras_mes6[[#This Row],[NETO GRAVADO]:[Otros / No Grav.]])</f>
        <v>12075.001400000001</v>
      </c>
      <c r="Q51" s="512" t="str">
        <f>IFERROR(IF(compras_mes6[[#This Row],[CUIT]]="","-",VLOOKUP(compras_mes6[[#This Row],[CUIT]],Lista_CUIT[#All],3,0)),"CUIT NO CARGADO")</f>
        <v>Insumos</v>
      </c>
      <c r="R51" s="512">
        <f>IFERROR(IF(compras_mes6[[#This Row],[CUIT]]="","-",VLOOKUP(compras_mes6[[#This Row],[CUIT]],Lista_CUIT[#All],4,0)),"CUIT NO CARGADO")</f>
        <v>0</v>
      </c>
    </row>
    <row r="52" spans="2:18" x14ac:dyDescent="0.25">
      <c r="B52" s="223"/>
      <c r="C52" s="505"/>
      <c r="D52" s="506"/>
      <c r="E52" s="507"/>
      <c r="F52" s="508">
        <v>30712187316</v>
      </c>
      <c r="G52" s="509" t="str">
        <f>IFERROR(IF(compras_mes6[[#This Row],[CUIT]]="","-",VLOOKUP(compras_mes6[[#This Row],[CUIT]],Lista_CUIT[#All],2,0)),"CUIT NO CARGADO")</f>
        <v>ITALOMED PRODUCTOS SRL</v>
      </c>
      <c r="H52" s="510">
        <v>158472</v>
      </c>
      <c r="I52" s="224">
        <f>IF(compras_mes6[[#This Row],[NETO GRAVADO]]="","",compras_mes6[[#This Row],[NETO GRAVADO]]*0.21)</f>
        <v>33279.119999999995</v>
      </c>
      <c r="J52" s="224"/>
      <c r="K52" s="224"/>
      <c r="L52" s="224"/>
      <c r="M52" s="224"/>
      <c r="N52" s="224">
        <v>0</v>
      </c>
      <c r="O52" s="224">
        <v>0</v>
      </c>
      <c r="P52" s="511">
        <f>SUM(compras_mes6[[#This Row],[NETO GRAVADO]:[Otros / No Grav.]])</f>
        <v>191751.12</v>
      </c>
      <c r="Q52" s="512" t="str">
        <f>IFERROR(IF(compras_mes6[[#This Row],[CUIT]]="","-",VLOOKUP(compras_mes6[[#This Row],[CUIT]],Lista_CUIT[#All],3,0)),"CUIT NO CARGADO")</f>
        <v>INSUMO</v>
      </c>
      <c r="R52" s="512">
        <f>IFERROR(IF(compras_mes6[[#This Row],[CUIT]]="","-",VLOOKUP(compras_mes6[[#This Row],[CUIT]],Lista_CUIT[#All],4,0)),"CUIT NO CARGADO")</f>
        <v>0</v>
      </c>
    </row>
    <row r="53" spans="2:18" x14ac:dyDescent="0.25">
      <c r="B53" s="223"/>
      <c r="C53" s="505"/>
      <c r="D53" s="506"/>
      <c r="E53" s="507"/>
      <c r="F53" s="508">
        <v>30688173430</v>
      </c>
      <c r="G53" s="509" t="str">
        <f>IFERROR(IF(compras_mes6[[#This Row],[CUIT]]="","-",VLOOKUP(compras_mes6[[#This Row],[CUIT]],Lista_CUIT[#All],2,0)),"CUIT NO CARGADO")</f>
        <v>PEUMAN SRL</v>
      </c>
      <c r="H53" s="510">
        <v>29624.21</v>
      </c>
      <c r="I53" s="224">
        <f>IF(compras_mes6[[#This Row],[NETO GRAVADO]]="","",compras_mes6[[#This Row],[NETO GRAVADO]]*0.21)</f>
        <v>6221.0841</v>
      </c>
      <c r="J53" s="224"/>
      <c r="K53" s="224"/>
      <c r="L53" s="224"/>
      <c r="M53" s="224"/>
      <c r="N53" s="224">
        <v>0</v>
      </c>
      <c r="O53" s="224">
        <v>0</v>
      </c>
      <c r="P53" s="511">
        <f>SUM(compras_mes6[[#This Row],[NETO GRAVADO]:[Otros / No Grav.]])</f>
        <v>35845.294099999999</v>
      </c>
      <c r="Q53" s="512" t="str">
        <f>IFERROR(IF(compras_mes6[[#This Row],[CUIT]]="","-",VLOOKUP(compras_mes6[[#This Row],[CUIT]],Lista_CUIT[#All],3,0)),"CUIT NO CARGADO")</f>
        <v>Limpieza</v>
      </c>
      <c r="R53" s="512">
        <f>IFERROR(IF(compras_mes6[[#This Row],[CUIT]]="","-",VLOOKUP(compras_mes6[[#This Row],[CUIT]],Lista_CUIT[#All],4,0)),"CUIT NO CARGADO")</f>
        <v>0</v>
      </c>
    </row>
    <row r="54" spans="2:18" x14ac:dyDescent="0.25">
      <c r="B54" s="223"/>
      <c r="C54" s="505"/>
      <c r="D54" s="506"/>
      <c r="E54" s="507"/>
      <c r="F54" s="508">
        <v>30707946241</v>
      </c>
      <c r="G54" s="509" t="str">
        <f>IFERROR(IF(compras_mes6[[#This Row],[CUIT]]="","-",VLOOKUP(compras_mes6[[#This Row],[CUIT]],Lista_CUIT[#All],2,0)),"CUIT NO CARGADO")</f>
        <v>TEXTIL FEDERAL SA</v>
      </c>
      <c r="H54" s="510">
        <v>12892.22</v>
      </c>
      <c r="I54" s="224">
        <f>IF(compras_mes6[[#This Row],[NETO GRAVADO]]="","",compras_mes6[[#This Row],[NETO GRAVADO]]*0.21)</f>
        <v>2707.3661999999999</v>
      </c>
      <c r="J54" s="224"/>
      <c r="K54" s="224"/>
      <c r="L54" s="224"/>
      <c r="M54" s="224"/>
      <c r="N54" s="224">
        <v>0</v>
      </c>
      <c r="O54" s="224">
        <v>0</v>
      </c>
      <c r="P54" s="511">
        <f>SUM(compras_mes6[[#This Row],[NETO GRAVADO]:[Otros / No Grav.]])</f>
        <v>15599.5862</v>
      </c>
      <c r="Q54" s="512" t="str">
        <f>IFERROR(IF(compras_mes6[[#This Row],[CUIT]]="","-",VLOOKUP(compras_mes6[[#This Row],[CUIT]],Lista_CUIT[#All],3,0)),"CUIT NO CARGADO")</f>
        <v>Insumos</v>
      </c>
      <c r="R54" s="512">
        <f>IFERROR(IF(compras_mes6[[#This Row],[CUIT]]="","-",VLOOKUP(compras_mes6[[#This Row],[CUIT]],Lista_CUIT[#All],4,0)),"CUIT NO CARGADO")</f>
        <v>0</v>
      </c>
    </row>
    <row r="55" spans="2:18" x14ac:dyDescent="0.25">
      <c r="B55" s="223"/>
      <c r="C55" s="505"/>
      <c r="D55" s="506"/>
      <c r="E55" s="507"/>
      <c r="F55" s="508">
        <v>30678814357</v>
      </c>
      <c r="G55" s="509" t="str">
        <f>IFERROR(IF(compras_mes6[[#This Row],[CUIT]]="","-",VLOOKUP(compras_mes6[[#This Row],[CUIT]],Lista_CUIT[#All],2,0)),"CUIT NO CARGADO")</f>
        <v>TELEFONICA MOVILES ARG SA</v>
      </c>
      <c r="H55" s="510">
        <v>83090.95</v>
      </c>
      <c r="I55" s="224"/>
      <c r="J55" s="224">
        <v>22434.560000000001</v>
      </c>
      <c r="K55" s="224"/>
      <c r="L55" s="224">
        <v>2492.73</v>
      </c>
      <c r="M55" s="224"/>
      <c r="N55" s="224">
        <v>3323.64</v>
      </c>
      <c r="O55" s="224">
        <v>0</v>
      </c>
      <c r="P55" s="511">
        <f>SUM(compras_mes6[[#This Row],[NETO GRAVADO]:[Otros / No Grav.]])</f>
        <v>111341.87999999999</v>
      </c>
      <c r="Q55" s="512" t="str">
        <f>IFERROR(IF(compras_mes6[[#This Row],[CUIT]]="","-",VLOOKUP(compras_mes6[[#This Row],[CUIT]],Lista_CUIT[#All],3,0)),"CUIT NO CARGADO")</f>
        <v>SERVICIO</v>
      </c>
      <c r="R55" s="512">
        <f>IFERROR(IF(compras_mes6[[#This Row],[CUIT]]="","-",VLOOKUP(compras_mes6[[#This Row],[CUIT]],Lista_CUIT[#All],4,0)),"CUIT NO CARGADO")</f>
        <v>0</v>
      </c>
    </row>
    <row r="56" spans="2:18" x14ac:dyDescent="0.25">
      <c r="B56" s="223"/>
      <c r="C56" s="41"/>
      <c r="D56" s="506"/>
      <c r="E56" s="507"/>
      <c r="F56" s="508">
        <v>23233422029</v>
      </c>
      <c r="G56" s="509" t="str">
        <f>IFERROR(IF(compras_mes6[[#This Row],[CUIT]]="","-",VLOOKUP(compras_mes6[[#This Row],[CUIT]],Lista_CUIT[#All],2,0)),"CUIT NO CARGADO")</f>
        <v>RODOLFO SCHULZE</v>
      </c>
      <c r="H56" s="510">
        <v>205205.72</v>
      </c>
      <c r="I56" s="224">
        <f>IF(compras_mes6[[#This Row],[NETO GRAVADO]]="","",compras_mes6[[#This Row],[NETO GRAVADO]]*0.21)</f>
        <v>43093.201199999996</v>
      </c>
      <c r="J56" s="224"/>
      <c r="K56" s="224"/>
      <c r="L56" s="224"/>
      <c r="M56" s="224"/>
      <c r="N56" s="224">
        <v>0</v>
      </c>
      <c r="O56" s="224">
        <v>0</v>
      </c>
      <c r="P56" s="511">
        <f>SUM(compras_mes6[[#This Row],[NETO GRAVADO]:[Otros / No Grav.]])</f>
        <v>248298.92119999998</v>
      </c>
      <c r="Q56" s="512" t="str">
        <f>IFERROR(IF(compras_mes6[[#This Row],[CUIT]]="","-",VLOOKUP(compras_mes6[[#This Row],[CUIT]],Lista_CUIT[#All],3,0)),"CUIT NO CARGADO")</f>
        <v>INSUMO</v>
      </c>
      <c r="R56" s="512">
        <f>IFERROR(IF(compras_mes6[[#This Row],[CUIT]]="","-",VLOOKUP(compras_mes6[[#This Row],[CUIT]],Lista_CUIT[#All],4,0)),"CUIT NO CARGADO")</f>
        <v>0</v>
      </c>
    </row>
    <row r="57" spans="2:18" x14ac:dyDescent="0.25">
      <c r="B57" s="223"/>
      <c r="C57" s="505"/>
      <c r="D57" s="506"/>
      <c r="E57" s="507"/>
      <c r="F57" s="508">
        <v>30711454388</v>
      </c>
      <c r="G57" s="509" t="str">
        <f>IFERROR(IF(compras_mes6[[#This Row],[CUIT]]="","-",VLOOKUP(compras_mes6[[#This Row],[CUIT]],Lista_CUIT[#All],2,0)),"CUIT NO CARGADO")</f>
        <v>LIPROT S.R.L.</v>
      </c>
      <c r="H57" s="510">
        <v>186576</v>
      </c>
      <c r="I57" s="224">
        <f>IF(compras_mes6[[#This Row],[NETO GRAVADO]]="","",compras_mes6[[#This Row],[NETO GRAVADO]]*0.21)</f>
        <v>39180.959999999999</v>
      </c>
      <c r="J57" s="224"/>
      <c r="K57" s="224"/>
      <c r="L57" s="224"/>
      <c r="M57" s="224"/>
      <c r="N57" s="224">
        <v>0</v>
      </c>
      <c r="O57" s="224">
        <v>0</v>
      </c>
      <c r="P57" s="511">
        <f>SUM(compras_mes6[[#This Row],[NETO GRAVADO]:[Otros / No Grav.]])</f>
        <v>225756.96</v>
      </c>
      <c r="Q57" s="512" t="str">
        <f>IFERROR(IF(compras_mes6[[#This Row],[CUIT]]="","-",VLOOKUP(compras_mes6[[#This Row],[CUIT]],Lista_CUIT[#All],3,0)),"CUIT NO CARGADO")</f>
        <v>textil</v>
      </c>
      <c r="R57" s="512">
        <f>IFERROR(IF(compras_mes6[[#This Row],[CUIT]]="","-",VLOOKUP(compras_mes6[[#This Row],[CUIT]],Lista_CUIT[#All],4,0)),"CUIT NO CARGADO")</f>
        <v>0</v>
      </c>
    </row>
    <row r="58" spans="2:18" x14ac:dyDescent="0.25">
      <c r="B58" s="223"/>
      <c r="C58" s="505"/>
      <c r="D58" s="506"/>
      <c r="E58" s="507"/>
      <c r="F58" s="508">
        <v>30598960093</v>
      </c>
      <c r="G58" s="509" t="str">
        <f>IFERROR(IF(compras_mes6[[#This Row],[CUIT]]="","-",VLOOKUP(compras_mes6[[#This Row],[CUIT]],Lista_CUIT[#All],2,0)),"CUIT NO CARGADO")</f>
        <v>SILVESTRIN FABRIS SRL</v>
      </c>
      <c r="H58" s="510">
        <v>919586.25</v>
      </c>
      <c r="I58" s="224">
        <f>IF(compras_mes6[[#This Row],[NETO GRAVADO]]="","",compras_mes6[[#This Row],[NETO GRAVADO]]*0.21)</f>
        <v>193113.11249999999</v>
      </c>
      <c r="J58" s="224"/>
      <c r="K58" s="224"/>
      <c r="L58" s="224"/>
      <c r="M58" s="224"/>
      <c r="N58" s="224">
        <v>36783.449999999997</v>
      </c>
      <c r="O58" s="224">
        <v>0</v>
      </c>
      <c r="P58" s="511">
        <f>SUM(compras_mes6[[#This Row],[NETO GRAVADO]:[Otros / No Grav.]])</f>
        <v>1149482.8125</v>
      </c>
      <c r="Q58" s="512" t="str">
        <f>IFERROR(IF(compras_mes6[[#This Row],[CUIT]]="","-",VLOOKUP(compras_mes6[[#This Row],[CUIT]],Lista_CUIT[#All],3,0)),"CUIT NO CARGADO")</f>
        <v>INSUMO</v>
      </c>
      <c r="R58" s="512">
        <f>IFERROR(IF(compras_mes6[[#This Row],[CUIT]]="","-",VLOOKUP(compras_mes6[[#This Row],[CUIT]],Lista_CUIT[#All],4,0)),"CUIT NO CARGADO")</f>
        <v>0</v>
      </c>
    </row>
    <row r="59" spans="2:18" x14ac:dyDescent="0.25">
      <c r="B59" s="223"/>
      <c r="C59" s="505"/>
      <c r="D59" s="506"/>
      <c r="E59" s="507"/>
      <c r="F59" s="508">
        <v>30712187316</v>
      </c>
      <c r="G59" s="509" t="str">
        <f>IFERROR(IF(compras_mes6[[#This Row],[CUIT]]="","-",VLOOKUP(compras_mes6[[#This Row],[CUIT]],Lista_CUIT[#All],2,0)),"CUIT NO CARGADO")</f>
        <v>ITALOMED PRODUCTOS SRL</v>
      </c>
      <c r="H59" s="510">
        <v>158472</v>
      </c>
      <c r="I59" s="224">
        <f>IF(compras_mes6[[#This Row],[NETO GRAVADO]]="","",compras_mes6[[#This Row],[NETO GRAVADO]]*0.21)</f>
        <v>33279.119999999995</v>
      </c>
      <c r="J59" s="224"/>
      <c r="K59" s="224"/>
      <c r="L59" s="224"/>
      <c r="M59" s="224"/>
      <c r="N59" s="224">
        <v>0</v>
      </c>
      <c r="O59" s="224">
        <v>0</v>
      </c>
      <c r="P59" s="511">
        <f>SUM(compras_mes6[[#This Row],[NETO GRAVADO]:[Otros / No Grav.]])</f>
        <v>191751.12</v>
      </c>
      <c r="Q59" s="512" t="str">
        <f>IFERROR(IF(compras_mes6[[#This Row],[CUIT]]="","-",VLOOKUP(compras_mes6[[#This Row],[CUIT]],Lista_CUIT[#All],3,0)),"CUIT NO CARGADO")</f>
        <v>INSUMO</v>
      </c>
      <c r="R59" s="512">
        <f>IFERROR(IF(compras_mes6[[#This Row],[CUIT]]="","-",VLOOKUP(compras_mes6[[#This Row],[CUIT]],Lista_CUIT[#All],4,0)),"CUIT NO CARGADO")</f>
        <v>0</v>
      </c>
    </row>
    <row r="60" spans="2:18" x14ac:dyDescent="0.25">
      <c r="B60" s="223"/>
      <c r="C60" s="505"/>
      <c r="D60" s="506"/>
      <c r="E60" s="507"/>
      <c r="F60" s="508">
        <v>30712187316</v>
      </c>
      <c r="G60" s="509" t="str">
        <f>IFERROR(IF(compras_mes6[[#This Row],[CUIT]]="","-",VLOOKUP(compras_mes6[[#This Row],[CUIT]],Lista_CUIT[#All],2,0)),"CUIT NO CARGADO")</f>
        <v>ITALOMED PRODUCTOS SRL</v>
      </c>
      <c r="H60" s="510">
        <v>184488</v>
      </c>
      <c r="I60" s="224">
        <f>IF(compras_mes6[[#This Row],[NETO GRAVADO]]="","",compras_mes6[[#This Row],[NETO GRAVADO]]*0.21)</f>
        <v>38742.479999999996</v>
      </c>
      <c r="J60" s="224"/>
      <c r="K60" s="224"/>
      <c r="L60" s="224"/>
      <c r="M60" s="224"/>
      <c r="N60" s="224">
        <v>0</v>
      </c>
      <c r="O60" s="224">
        <v>0</v>
      </c>
      <c r="P60" s="511">
        <f>SUM(compras_mes6[[#This Row],[NETO GRAVADO]:[Otros / No Grav.]])</f>
        <v>223230.47999999998</v>
      </c>
      <c r="Q60" s="512" t="str">
        <f>IFERROR(IF(compras_mes6[[#This Row],[CUIT]]="","-",VLOOKUP(compras_mes6[[#This Row],[CUIT]],Lista_CUIT[#All],3,0)),"CUIT NO CARGADO")</f>
        <v>INSUMO</v>
      </c>
      <c r="R60" s="512">
        <f>IFERROR(IF(compras_mes6[[#This Row],[CUIT]]="","-",VLOOKUP(compras_mes6[[#This Row],[CUIT]],Lista_CUIT[#All],4,0)),"CUIT NO CARGADO")</f>
        <v>0</v>
      </c>
    </row>
    <row r="61" spans="2:18" x14ac:dyDescent="0.25">
      <c r="B61" s="223"/>
      <c r="C61" s="505"/>
      <c r="D61" s="506"/>
      <c r="E61" s="507"/>
      <c r="F61" s="508">
        <v>30705740670</v>
      </c>
      <c r="G61" s="509" t="str">
        <f>IFERROR(IF(compras_mes6[[#This Row],[CUIT]]="","-",VLOOKUP(compras_mes6[[#This Row],[CUIT]],Lista_CUIT[#All],2,0)),"CUIT NO CARGADO")</f>
        <v>MAVISUR SA</v>
      </c>
      <c r="H61" s="510">
        <v>30314.74</v>
      </c>
      <c r="I61" s="224">
        <f>IF(compras_mes6[[#This Row],[NETO GRAVADO]]="","",compras_mes6[[#This Row],[NETO GRAVADO]]*0.21)</f>
        <v>6366.0954000000002</v>
      </c>
      <c r="J61" s="224"/>
      <c r="K61" s="224"/>
      <c r="L61" s="224"/>
      <c r="M61" s="224"/>
      <c r="N61" s="224">
        <v>0</v>
      </c>
      <c r="O61" s="224">
        <v>5319.17</v>
      </c>
      <c r="P61" s="511">
        <f>SUM(compras_mes6[[#This Row],[NETO GRAVADO]:[Otros / No Grav.]])</f>
        <v>42000.005400000002</v>
      </c>
      <c r="Q61" s="512" t="str">
        <f>IFERROR(IF(compras_mes6[[#This Row],[CUIT]]="","-",VLOOKUP(compras_mes6[[#This Row],[CUIT]],Lista_CUIT[#All],3,0)),"CUIT NO CARGADO")</f>
        <v>COMBUSTIBLE</v>
      </c>
      <c r="R61" s="512">
        <f>IFERROR(IF(compras_mes6[[#This Row],[CUIT]]="","-",VLOOKUP(compras_mes6[[#This Row],[CUIT]],Lista_CUIT[#All],4,0)),"CUIT NO CARGADO")</f>
        <v>0</v>
      </c>
    </row>
    <row r="62" spans="2:18" x14ac:dyDescent="0.25">
      <c r="B62" s="223"/>
      <c r="C62" s="505"/>
      <c r="D62" s="506"/>
      <c r="E62" s="507"/>
      <c r="F62" s="508">
        <v>30598960093</v>
      </c>
      <c r="G62" s="509" t="str">
        <f>IFERROR(IF(compras_mes6[[#This Row],[CUIT]]="","-",VLOOKUP(compras_mes6[[#This Row],[CUIT]],Lista_CUIT[#All],2,0)),"CUIT NO CARGADO")</f>
        <v>SILVESTRIN FABRIS SRL</v>
      </c>
      <c r="H62" s="510">
        <v>-497159.25</v>
      </c>
      <c r="I62" s="224">
        <f>IF(compras_mes6[[#This Row],[NETO GRAVADO]]="","",compras_mes6[[#This Row],[NETO GRAVADO]]*0.21)</f>
        <v>-104403.44249999999</v>
      </c>
      <c r="J62" s="224"/>
      <c r="K62" s="224"/>
      <c r="L62" s="224"/>
      <c r="M62" s="224"/>
      <c r="N62" s="224">
        <v>0</v>
      </c>
      <c r="O62" s="224">
        <v>0</v>
      </c>
      <c r="P62" s="511">
        <f>SUM(compras_mes6[[#This Row],[NETO GRAVADO]:[Otros / No Grav.]])</f>
        <v>-601562.6925</v>
      </c>
      <c r="Q62" s="512" t="str">
        <f>IFERROR(IF(compras_mes6[[#This Row],[CUIT]]="","-",VLOOKUP(compras_mes6[[#This Row],[CUIT]],Lista_CUIT[#All],3,0)),"CUIT NO CARGADO")</f>
        <v>INSUMO</v>
      </c>
      <c r="R62" s="512">
        <f>IFERROR(IF(compras_mes6[[#This Row],[CUIT]]="","-",VLOOKUP(compras_mes6[[#This Row],[CUIT]],Lista_CUIT[#All],4,0)),"CUIT NO CARGADO")</f>
        <v>0</v>
      </c>
    </row>
    <row r="63" spans="2:18" x14ac:dyDescent="0.25">
      <c r="B63" s="223"/>
      <c r="C63" s="505"/>
      <c r="D63" s="506"/>
      <c r="E63" s="507"/>
      <c r="F63" s="508">
        <v>30715141201</v>
      </c>
      <c r="G63" s="509" t="str">
        <f>IFERROR(IF(compras_mes6[[#This Row],[CUIT]]="","-",VLOOKUP(compras_mes6[[#This Row],[CUIT]],Lista_CUIT[#All],2,0)),"CUIT NO CARGADO")</f>
        <v>REHAB SRL</v>
      </c>
      <c r="H63" s="510">
        <v>173700</v>
      </c>
      <c r="I63" s="224">
        <f>IF(compras_mes6[[#This Row],[NETO GRAVADO]]="","",compras_mes6[[#This Row],[NETO GRAVADO]]*0.21)</f>
        <v>36477</v>
      </c>
      <c r="J63" s="224"/>
      <c r="K63" s="224"/>
      <c r="L63" s="224"/>
      <c r="M63" s="224"/>
      <c r="N63" s="224">
        <v>0</v>
      </c>
      <c r="O63" s="224">
        <v>0</v>
      </c>
      <c r="P63" s="511">
        <f>SUM(compras_mes6[[#This Row],[NETO GRAVADO]:[Otros / No Grav.]])</f>
        <v>210177</v>
      </c>
      <c r="Q63" s="512" t="str">
        <f>IFERROR(IF(compras_mes6[[#This Row],[CUIT]]="","-",VLOOKUP(compras_mes6[[#This Row],[CUIT]],Lista_CUIT[#All],3,0)),"CUIT NO CARGADO")</f>
        <v>INSUMO</v>
      </c>
      <c r="R63" s="512">
        <f>IFERROR(IF(compras_mes6[[#This Row],[CUIT]]="","-",VLOOKUP(compras_mes6[[#This Row],[CUIT]],Lista_CUIT[#All],4,0)),"CUIT NO CARGADO")</f>
        <v>0</v>
      </c>
    </row>
    <row r="64" spans="2:18" x14ac:dyDescent="0.25">
      <c r="B64" s="223"/>
      <c r="C64" s="41"/>
      <c r="D64" s="506"/>
      <c r="E64" s="507"/>
      <c r="F64" s="508">
        <v>33693506099</v>
      </c>
      <c r="G64" s="509" t="str">
        <f>IFERROR(IF(compras_mes6[[#This Row],[CUIT]]="","-",VLOOKUP(compras_mes6[[#This Row],[CUIT]],Lista_CUIT[#All],2,0)),"CUIT NO CARGADO")</f>
        <v>SCALISE A. FALANGA C SH</v>
      </c>
      <c r="H64" s="510">
        <v>40903.879999999997</v>
      </c>
      <c r="I64" s="224">
        <f>24822.73*0.21</f>
        <v>5212.7732999999998</v>
      </c>
      <c r="J64" s="224"/>
      <c r="K64" s="224">
        <f>16081.15*0.105</f>
        <v>1688.5207499999999</v>
      </c>
      <c r="L64" s="224"/>
      <c r="M64" s="224"/>
      <c r="N64" s="224">
        <v>0</v>
      </c>
      <c r="O64" s="224">
        <v>0</v>
      </c>
      <c r="P64" s="511">
        <f>SUM(compras_mes6[[#This Row],[NETO GRAVADO]:[Otros / No Grav.]])</f>
        <v>47805.174050000001</v>
      </c>
      <c r="Q64" s="512" t="str">
        <f>IFERROR(IF(compras_mes6[[#This Row],[CUIT]]="","-",VLOOKUP(compras_mes6[[#This Row],[CUIT]],Lista_CUIT[#All],3,0)),"CUIT NO CARGADO")</f>
        <v>VARIOS</v>
      </c>
      <c r="R64" s="512">
        <f>IFERROR(IF(compras_mes6[[#This Row],[CUIT]]="","-",VLOOKUP(compras_mes6[[#This Row],[CUIT]],Lista_CUIT[#All],4,0)),"CUIT NO CARGADO")</f>
        <v>0</v>
      </c>
    </row>
    <row r="65" spans="2:18" x14ac:dyDescent="0.25">
      <c r="B65" s="223"/>
      <c r="C65" s="505"/>
      <c r="D65" s="506"/>
      <c r="E65" s="507"/>
      <c r="F65" s="508">
        <v>30711553564</v>
      </c>
      <c r="G65" s="509" t="str">
        <f>IFERROR(IF(compras_mes6[[#This Row],[CUIT]]="","-",VLOOKUP(compras_mes6[[#This Row],[CUIT]],Lista_CUIT[#All],2,0)),"CUIT NO CARGADO")</f>
        <v>SALUD TEX S.A</v>
      </c>
      <c r="H65" s="510">
        <v>162786</v>
      </c>
      <c r="I65" s="224">
        <f>IF(compras_mes6[[#This Row],[NETO GRAVADO]]="","",compras_mes6[[#This Row],[NETO GRAVADO]]*0.21)</f>
        <v>34185.06</v>
      </c>
      <c r="J65" s="224"/>
      <c r="K65" s="224"/>
      <c r="L65" s="224"/>
      <c r="M65" s="224"/>
      <c r="N65" s="224">
        <v>0</v>
      </c>
      <c r="O65" s="224">
        <v>0</v>
      </c>
      <c r="P65" s="511">
        <f>SUM(compras_mes6[[#This Row],[NETO GRAVADO]:[Otros / No Grav.]])</f>
        <v>196971.06</v>
      </c>
      <c r="Q65" s="512" t="str">
        <f>IFERROR(IF(compras_mes6[[#This Row],[CUIT]]="","-",VLOOKUP(compras_mes6[[#This Row],[CUIT]],Lista_CUIT[#All],3,0)),"CUIT NO CARGADO")</f>
        <v>INSUMO</v>
      </c>
      <c r="R65" s="512">
        <f>IFERROR(IF(compras_mes6[[#This Row],[CUIT]]="","-",VLOOKUP(compras_mes6[[#This Row],[CUIT]],Lista_CUIT[#All],4,0)),"CUIT NO CARGADO")</f>
        <v>0</v>
      </c>
    </row>
    <row r="66" spans="2:18" x14ac:dyDescent="0.25">
      <c r="B66" s="223"/>
      <c r="C66" s="41"/>
      <c r="D66" s="506"/>
      <c r="E66" s="507"/>
      <c r="F66" s="508">
        <v>30708847247</v>
      </c>
      <c r="G66" s="509" t="str">
        <f>IFERROR(IF(compras_mes6[[#This Row],[CUIT]]="","-",VLOOKUP(compras_mes6[[#This Row],[CUIT]],Lista_CUIT[#All],2,0)),"CUIT NO CARGADO")</f>
        <v>TOAGRA SRL</v>
      </c>
      <c r="H66" s="510">
        <v>10912.56</v>
      </c>
      <c r="I66" s="224">
        <f>IF(compras_mes6[[#This Row],[NETO GRAVADO]]="","",compras_mes6[[#This Row],[NETO GRAVADO]]*0.21)</f>
        <v>2291.6376</v>
      </c>
      <c r="J66" s="224"/>
      <c r="K66" s="224"/>
      <c r="L66" s="224"/>
      <c r="M66" s="224"/>
      <c r="N66" s="224">
        <v>436.5</v>
      </c>
      <c r="O66" s="224">
        <v>0</v>
      </c>
      <c r="P66" s="511">
        <f>SUM(compras_mes6[[#This Row],[NETO GRAVADO]:[Otros / No Grav.]])</f>
        <v>13640.6976</v>
      </c>
      <c r="Q66" s="512" t="str">
        <f>IFERROR(IF(compras_mes6[[#This Row],[CUIT]]="","-",VLOOKUP(compras_mes6[[#This Row],[CUIT]],Lista_CUIT[#All],3,0)),"CUIT NO CARGADO")</f>
        <v>FLETE</v>
      </c>
      <c r="R66" s="512">
        <f>IFERROR(IF(compras_mes6[[#This Row],[CUIT]]="","-",VLOOKUP(compras_mes6[[#This Row],[CUIT]],Lista_CUIT[#All],4,0)),"CUIT NO CARGADO")</f>
        <v>0</v>
      </c>
    </row>
    <row r="67" spans="2:18" x14ac:dyDescent="0.25">
      <c r="B67" s="223"/>
      <c r="C67" s="41"/>
      <c r="D67" s="506"/>
      <c r="E67" s="507"/>
      <c r="F67" s="508">
        <v>20272865869</v>
      </c>
      <c r="G67" s="509" t="str">
        <f>IFERROR(IF(compras_mes6[[#This Row],[CUIT]]="","-",VLOOKUP(compras_mes6[[#This Row],[CUIT]],Lista_CUIT[#All],2,0)),"CUIT NO CARGADO")</f>
        <v>DI FEO MARTIN EZEQUIEL</v>
      </c>
      <c r="H67" s="510">
        <v>212300</v>
      </c>
      <c r="I67" s="224">
        <f>IF(compras_mes6[[#This Row],[NETO GRAVADO]]="","",compras_mes6[[#This Row],[NETO GRAVADO]]*0.21)</f>
        <v>44583</v>
      </c>
      <c r="J67" s="224"/>
      <c r="K67" s="224"/>
      <c r="L67" s="224"/>
      <c r="M67" s="224"/>
      <c r="N67" s="224">
        <v>0</v>
      </c>
      <c r="O67" s="224">
        <v>0</v>
      </c>
      <c r="P67" s="511">
        <f>SUM(compras_mes6[[#This Row],[NETO GRAVADO]:[Otros / No Grav.]])</f>
        <v>256883</v>
      </c>
      <c r="Q67" s="512" t="str">
        <f>IFERROR(IF(compras_mes6[[#This Row],[CUIT]]="","-",VLOOKUP(compras_mes6[[#This Row],[CUIT]],Lista_CUIT[#All],3,0)),"CUIT NO CARGADO")</f>
        <v>INSUMOS</v>
      </c>
      <c r="R67" s="512">
        <f>IFERROR(IF(compras_mes6[[#This Row],[CUIT]]="","-",VLOOKUP(compras_mes6[[#This Row],[CUIT]],Lista_CUIT[#All],4,0)),"CUIT NO CARGADO")</f>
        <v>0</v>
      </c>
    </row>
    <row r="68" spans="2:18" x14ac:dyDescent="0.25">
      <c r="B68" s="223"/>
      <c r="C68" s="41"/>
      <c r="D68" s="506"/>
      <c r="E68" s="507"/>
      <c r="F68" s="508">
        <v>30716815710</v>
      </c>
      <c r="G68" s="509" t="str">
        <f>IFERROR(IF(compras_mes6[[#This Row],[CUIT]]="","-",VLOOKUP(compras_mes6[[#This Row],[CUIT]],Lista_CUIT[#All],2,0)),"CUIT NO CARGADO")</f>
        <v>PAPELERA GEOPEL SRL</v>
      </c>
      <c r="H68" s="510">
        <v>2500</v>
      </c>
      <c r="I68" s="224">
        <f>IF(compras_mes6[[#This Row],[NETO GRAVADO]]="","",compras_mes6[[#This Row],[NETO GRAVADO]]*0.21)</f>
        <v>525</v>
      </c>
      <c r="J68" s="224"/>
      <c r="K68" s="224"/>
      <c r="L68" s="224"/>
      <c r="M68" s="224"/>
      <c r="N68" s="224">
        <v>0</v>
      </c>
      <c r="O68" s="224">
        <v>0</v>
      </c>
      <c r="P68" s="511">
        <f>SUM(compras_mes6[[#This Row],[NETO GRAVADO]:[Otros / No Grav.]])</f>
        <v>3025</v>
      </c>
      <c r="Q68" s="512" t="str">
        <f>IFERROR(IF(compras_mes6[[#This Row],[CUIT]]="","-",VLOOKUP(compras_mes6[[#This Row],[CUIT]],Lista_CUIT[#All],3,0)),"CUIT NO CARGADO")</f>
        <v>librería</v>
      </c>
      <c r="R68" s="512">
        <f>IFERROR(IF(compras_mes6[[#This Row],[CUIT]]="","-",VLOOKUP(compras_mes6[[#This Row],[CUIT]],Lista_CUIT[#All],4,0)),"CUIT NO CARGADO")</f>
        <v>0</v>
      </c>
    </row>
    <row r="69" spans="2:18" x14ac:dyDescent="0.25">
      <c r="B69" s="223"/>
      <c r="C69" s="505"/>
      <c r="D69" s="506"/>
      <c r="E69" s="507"/>
      <c r="F69" s="508">
        <v>30711091552</v>
      </c>
      <c r="G69" s="509" t="str">
        <f>IFERROR(IF(compras_mes6[[#This Row],[CUIT]]="","-",VLOOKUP(compras_mes6[[#This Row],[CUIT]],Lista_CUIT[#All],2,0)),"CUIT NO CARGADO")</f>
        <v>BIGBOX S.A.</v>
      </c>
      <c r="H69" s="510">
        <v>60991.74</v>
      </c>
      <c r="I69" s="224">
        <f>IF(compras_mes6[[#This Row],[NETO GRAVADO]]="","",compras_mes6[[#This Row],[NETO GRAVADO]]*0.21)</f>
        <v>12808.265399999998</v>
      </c>
      <c r="J69" s="224"/>
      <c r="K69" s="224"/>
      <c r="L69" s="224"/>
      <c r="M69" s="224"/>
      <c r="N69" s="224">
        <v>0</v>
      </c>
      <c r="O69" s="224">
        <v>0</v>
      </c>
      <c r="P69" s="511">
        <f>SUM(compras_mes6[[#This Row],[NETO GRAVADO]:[Otros / No Grav.]])</f>
        <v>73800.005399999995</v>
      </c>
      <c r="Q69" s="512" t="str">
        <f>IFERROR(IF(compras_mes6[[#This Row],[CUIT]]="","-",VLOOKUP(compras_mes6[[#This Row],[CUIT]],Lista_CUIT[#All],3,0)),"CUIT NO CARGADO")</f>
        <v>INSUMO</v>
      </c>
      <c r="R69" s="512">
        <f>IFERROR(IF(compras_mes6[[#This Row],[CUIT]]="","-",VLOOKUP(compras_mes6[[#This Row],[CUIT]],Lista_CUIT[#All],4,0)),"CUIT NO CARGADO")</f>
        <v>0</v>
      </c>
    </row>
    <row r="70" spans="2:18" x14ac:dyDescent="0.25">
      <c r="B70" s="541"/>
      <c r="C70" s="542"/>
      <c r="D70" s="543"/>
      <c r="E70" s="544"/>
      <c r="F70" s="545">
        <v>33712276539</v>
      </c>
      <c r="G70" s="546" t="str">
        <f>IFERROR(IF(compras_mes6[[#This Row],[CUIT]]="","-",VLOOKUP(compras_mes6[[#This Row],[CUIT]],Lista_CUIT[#All],2,0)),"CUIT NO CARGADO")</f>
        <v>CASTAÑO AUTOVOX SRL</v>
      </c>
      <c r="H70" s="547">
        <v>51182.3</v>
      </c>
      <c r="I70" s="548">
        <f>IF(compras_mes6[[#This Row],[NETO GRAVADO]]="","",compras_mes6[[#This Row],[NETO GRAVADO]]*0.21)</f>
        <v>10748.282999999999</v>
      </c>
      <c r="J70" s="548"/>
      <c r="K70" s="548"/>
      <c r="L70" s="548"/>
      <c r="M70" s="548"/>
      <c r="N70" s="548">
        <v>2047.29</v>
      </c>
      <c r="O70" s="548">
        <v>8069.46</v>
      </c>
      <c r="P70" s="549">
        <f>SUM(compras_mes6[[#This Row],[NETO GRAVADO]:[Otros / No Grav.]])</f>
        <v>72047.332999999999</v>
      </c>
      <c r="Q70" s="550" t="str">
        <f>IFERROR(IF(compras_mes6[[#This Row],[CUIT]]="","-",VLOOKUP(compras_mes6[[#This Row],[CUIT]],Lista_CUIT[#All],3,0)),"CUIT NO CARGADO")</f>
        <v>INSUMO</v>
      </c>
      <c r="R70" s="550">
        <f>IFERROR(IF(compras_mes6[[#This Row],[CUIT]]="","-",VLOOKUP(compras_mes6[[#This Row],[CUIT]],Lista_CUIT[#All],4,0)),"CUIT NO CARGADO")</f>
        <v>0</v>
      </c>
    </row>
    <row r="71" spans="2:18" x14ac:dyDescent="0.25">
      <c r="B71" s="541"/>
      <c r="C71" s="542"/>
      <c r="D71" s="543"/>
      <c r="E71" s="544"/>
      <c r="F71" s="545">
        <v>20045368670</v>
      </c>
      <c r="G71" s="546" t="str">
        <f>IFERROR(IF(compras_mes6[[#This Row],[CUIT]]="","-",VLOOKUP(compras_mes6[[#This Row],[CUIT]],Lista_CUIT[#All],2,0)),"CUIT NO CARGADO")</f>
        <v>NIEMAND SIMON ALEJANDRO</v>
      </c>
      <c r="H71" s="547">
        <v>24284.3</v>
      </c>
      <c r="I71" s="548">
        <f>IF(compras_mes6[[#This Row],[NETO GRAVADO]]="","",compras_mes6[[#This Row],[NETO GRAVADO]]*0.21)</f>
        <v>5099.7029999999995</v>
      </c>
      <c r="J71" s="548"/>
      <c r="K71" s="548"/>
      <c r="L71" s="548"/>
      <c r="M71" s="548"/>
      <c r="N71" s="548">
        <v>0</v>
      </c>
      <c r="O71" s="548">
        <v>0</v>
      </c>
      <c r="P71" s="549">
        <f>SUM(compras_mes6[[#This Row],[NETO GRAVADO]:[Otros / No Grav.]])</f>
        <v>29384.002999999997</v>
      </c>
      <c r="Q71" s="550" t="str">
        <f>IFERROR(IF(compras_mes6[[#This Row],[CUIT]]="","-",VLOOKUP(compras_mes6[[#This Row],[CUIT]],Lista_CUIT[#All],3,0)),"CUIT NO CARGADO")</f>
        <v>Papeleria</v>
      </c>
      <c r="R71" s="550">
        <f>IFERROR(IF(compras_mes6[[#This Row],[CUIT]]="","-",VLOOKUP(compras_mes6[[#This Row],[CUIT]],Lista_CUIT[#All],4,0)),"CUIT NO CARGADO")</f>
        <v>0</v>
      </c>
    </row>
    <row r="72" spans="2:18" x14ac:dyDescent="0.25">
      <c r="B72" s="541"/>
      <c r="C72" s="542"/>
      <c r="D72" s="543"/>
      <c r="E72" s="544"/>
      <c r="F72" s="545">
        <v>33708218699</v>
      </c>
      <c r="G72" s="546" t="str">
        <f>IFERROR(IF(compras_mes6[[#This Row],[CUIT]]="","-",VLOOKUP(compras_mes6[[#This Row],[CUIT]],Lista_CUIT[#All],2,0)),"CUIT NO CARGADO")</f>
        <v>MANGGINI PABLO Y MANGGINI ULISES SOC. DE HECHO.</v>
      </c>
      <c r="H72" s="547">
        <v>30000</v>
      </c>
      <c r="I72" s="548">
        <f>IF(compras_mes6[[#This Row],[NETO GRAVADO]]="","",compras_mes6[[#This Row],[NETO GRAVADO]]*0.21)</f>
        <v>6300</v>
      </c>
      <c r="J72" s="548"/>
      <c r="K72" s="548"/>
      <c r="L72" s="548"/>
      <c r="M72" s="548"/>
      <c r="N72" s="548">
        <v>0</v>
      </c>
      <c r="O72" s="548">
        <v>0</v>
      </c>
      <c r="P72" s="549">
        <f>SUM(compras_mes6[[#This Row],[NETO GRAVADO]:[Otros / No Grav.]])</f>
        <v>36300</v>
      </c>
      <c r="Q72" s="550" t="str">
        <f>IFERROR(IF(compras_mes6[[#This Row],[CUIT]]="","-",VLOOKUP(compras_mes6[[#This Row],[CUIT]],Lista_CUIT[#All],3,0)),"CUIT NO CARGADO")</f>
        <v>SERVICIO</v>
      </c>
      <c r="R72" s="550">
        <f>IFERROR(IF(compras_mes6[[#This Row],[CUIT]]="","-",VLOOKUP(compras_mes6[[#This Row],[CUIT]],Lista_CUIT[#All],4,0)),"CUIT NO CARGADO")</f>
        <v>0</v>
      </c>
    </row>
    <row r="73" spans="2:18" x14ac:dyDescent="0.25">
      <c r="B73" s="541"/>
      <c r="C73" s="542"/>
      <c r="D73" s="543"/>
      <c r="E73" s="544"/>
      <c r="F73" s="545">
        <v>30712187316</v>
      </c>
      <c r="G73" s="546" t="str">
        <f>IFERROR(IF(compras_mes6[[#This Row],[CUIT]]="","-",VLOOKUP(compras_mes6[[#This Row],[CUIT]],Lista_CUIT[#All],2,0)),"CUIT NO CARGADO")</f>
        <v>ITALOMED PRODUCTOS SRL</v>
      </c>
      <c r="H73" s="547">
        <v>211584</v>
      </c>
      <c r="I73" s="548">
        <f>IF(compras_mes6[[#This Row],[NETO GRAVADO]]="","",compras_mes6[[#This Row],[NETO GRAVADO]]*0.21)</f>
        <v>44432.639999999999</v>
      </c>
      <c r="J73" s="548"/>
      <c r="K73" s="548"/>
      <c r="L73" s="548"/>
      <c r="M73" s="548"/>
      <c r="N73" s="548">
        <v>0</v>
      </c>
      <c r="O73" s="548">
        <v>0</v>
      </c>
      <c r="P73" s="549">
        <f>SUM(compras_mes6[[#This Row],[NETO GRAVADO]:[Otros / No Grav.]])</f>
        <v>256016.64000000001</v>
      </c>
      <c r="Q73" s="550" t="str">
        <f>IFERROR(IF(compras_mes6[[#This Row],[CUIT]]="","-",VLOOKUP(compras_mes6[[#This Row],[CUIT]],Lista_CUIT[#All],3,0)),"CUIT NO CARGADO")</f>
        <v>INSUMO</v>
      </c>
      <c r="R73" s="550">
        <f>IFERROR(IF(compras_mes6[[#This Row],[CUIT]]="","-",VLOOKUP(compras_mes6[[#This Row],[CUIT]],Lista_CUIT[#All],4,0)),"CUIT NO CARGADO")</f>
        <v>0</v>
      </c>
    </row>
    <row r="74" spans="2:18" x14ac:dyDescent="0.25">
      <c r="B74" s="541"/>
      <c r="C74" s="542"/>
      <c r="D74" s="543"/>
      <c r="E74" s="544"/>
      <c r="F74" s="545">
        <v>30715804812</v>
      </c>
      <c r="G74" s="546" t="str">
        <f>IFERROR(IF(compras_mes6[[#This Row],[CUIT]]="","-",VLOOKUP(compras_mes6[[#This Row],[CUIT]],Lista_CUIT[#All],2,0)),"CUIT NO CARGADO")</f>
        <v>CORREDORES VIALES SOCIEDAD ANONIMA</v>
      </c>
      <c r="H74" s="547">
        <v>2079.9699999999998</v>
      </c>
      <c r="I74" s="548">
        <f>IF(compras_mes6[[#This Row],[NETO GRAVADO]]="","",compras_mes6[[#This Row],[NETO GRAVADO]]*0.21)</f>
        <v>436.79369999999994</v>
      </c>
      <c r="J74" s="548"/>
      <c r="K74" s="548"/>
      <c r="L74" s="548"/>
      <c r="M74" s="548"/>
      <c r="N74" s="548">
        <v>0</v>
      </c>
      <c r="O74" s="548">
        <v>83.2</v>
      </c>
      <c r="P74" s="549">
        <f>SUM(compras_mes6[[#This Row],[NETO GRAVADO]:[Otros / No Grav.]])</f>
        <v>2599.9636999999993</v>
      </c>
      <c r="Q74" s="550" t="str">
        <f>IFERROR(IF(compras_mes6[[#This Row],[CUIT]]="","-",VLOOKUP(compras_mes6[[#This Row],[CUIT]],Lista_CUIT[#All],3,0)),"CUIT NO CARGADO")</f>
        <v>Autopista</v>
      </c>
      <c r="R74" s="550">
        <f>IFERROR(IF(compras_mes6[[#This Row],[CUIT]]="","-",VLOOKUP(compras_mes6[[#This Row],[CUIT]],Lista_CUIT[#All],4,0)),"CUIT NO CARGADO")</f>
        <v>0</v>
      </c>
    </row>
    <row r="75" spans="2:18" x14ac:dyDescent="0.25">
      <c r="B75" s="541"/>
      <c r="C75" s="542"/>
      <c r="D75" s="543"/>
      <c r="E75" s="544"/>
      <c r="F75" s="545">
        <v>30577207190</v>
      </c>
      <c r="G75" s="546" t="str">
        <f>IFERROR(IF(compras_mes6[[#This Row],[CUIT]]="","-",VLOOKUP(compras_mes6[[#This Row],[CUIT]],Lista_CUIT[#All],2,0)),"CUIT NO CARGADO")</f>
        <v>COORDINACION ECOLOGICA AREA METROPOLITANA SOCIEDAD DEL ESTADO</v>
      </c>
      <c r="H75" s="547">
        <v>1487.6</v>
      </c>
      <c r="I75" s="548">
        <f>IF(compras_mes6[[#This Row],[NETO GRAVADO]]="","",compras_mes6[[#This Row],[NETO GRAVADO]]*0.21)</f>
        <v>312.39599999999996</v>
      </c>
      <c r="J75" s="548"/>
      <c r="K75" s="548"/>
      <c r="L75" s="548"/>
      <c r="M75" s="548"/>
      <c r="N75" s="548">
        <v>0</v>
      </c>
      <c r="O75" s="548">
        <v>0</v>
      </c>
      <c r="P75" s="549">
        <f>SUM(compras_mes6[[#This Row],[NETO GRAVADO]:[Otros / No Grav.]])</f>
        <v>1799.9959999999999</v>
      </c>
      <c r="Q75" s="550" t="str">
        <f>IFERROR(IF(compras_mes6[[#This Row],[CUIT]]="","-",VLOOKUP(compras_mes6[[#This Row],[CUIT]],Lista_CUIT[#All],3,0)),"CUIT NO CARGADO")</f>
        <v>gastos varios</v>
      </c>
      <c r="R75" s="550">
        <f>IFERROR(IF(compras_mes6[[#This Row],[CUIT]]="","-",VLOOKUP(compras_mes6[[#This Row],[CUIT]],Lista_CUIT[#All],4,0)),"CUIT NO CARGADO")</f>
        <v>0</v>
      </c>
    </row>
    <row r="76" spans="2:18" x14ac:dyDescent="0.25">
      <c r="B76" s="541"/>
      <c r="C76" s="542"/>
      <c r="D76" s="543"/>
      <c r="E76" s="544"/>
      <c r="F76" s="545">
        <v>30607371799</v>
      </c>
      <c r="G76" s="546" t="str">
        <f>IFERROR(IF(compras_mes6[[#This Row],[CUIT]]="","-",VLOOKUP(compras_mes6[[#This Row],[CUIT]],Lista_CUIT[#All],2,0)),"CUIT NO CARGADO")</f>
        <v>AUTOSERVICIO MAYORISTA DIARCO SA</v>
      </c>
      <c r="H76" s="547">
        <v>285157.28999999998</v>
      </c>
      <c r="I76" s="548">
        <f>279406.7*0.21</f>
        <v>58675.406999999999</v>
      </c>
      <c r="J76" s="548"/>
      <c r="K76" s="548">
        <f>5750.59*0.105</f>
        <v>603.81195000000002</v>
      </c>
      <c r="L76" s="548">
        <v>8468.4599999999991</v>
      </c>
      <c r="M76" s="548"/>
      <c r="N76" s="548">
        <v>22716.58</v>
      </c>
      <c r="O76" s="548">
        <v>0</v>
      </c>
      <c r="P76" s="549">
        <f>SUM(compras_mes6[[#This Row],[NETO GRAVADO]:[Otros / No Grav.]])</f>
        <v>375621.54895000003</v>
      </c>
      <c r="Q76" s="550" t="str">
        <f>IFERROR(IF(compras_mes6[[#This Row],[CUIT]]="","-",VLOOKUP(compras_mes6[[#This Row],[CUIT]],Lista_CUIT[#All],3,0)),"CUIT NO CARGADO")</f>
        <v>Gastos Varios</v>
      </c>
      <c r="R76" s="550">
        <f>IFERROR(IF(compras_mes6[[#This Row],[CUIT]]="","-",VLOOKUP(compras_mes6[[#This Row],[CUIT]],Lista_CUIT[#All],4,0)),"CUIT NO CARGADO")</f>
        <v>0</v>
      </c>
    </row>
    <row r="77" spans="2:18" x14ac:dyDescent="0.25">
      <c r="B77" s="541"/>
      <c r="C77" s="542"/>
      <c r="D77" s="543"/>
      <c r="E77" s="544"/>
      <c r="F77" s="545">
        <v>30574876474</v>
      </c>
      <c r="G77" s="546" t="str">
        <f>IFERROR(IF(compras_mes6[[#This Row],[CUIT]]="","-",VLOOKUP(compras_mes6[[#This Row],[CUIT]],Lista_CUIT[#All],2,0)),"CUIT NO CARGADO")</f>
        <v>AUTOP. URBANAS SA</v>
      </c>
      <c r="H77" s="547">
        <v>80368.429999999993</v>
      </c>
      <c r="I77" s="548">
        <f>IF(compras_mes6[[#This Row],[NETO GRAVADO]]="","",compras_mes6[[#This Row],[NETO GRAVADO]]*0.21)</f>
        <v>16877.370299999999</v>
      </c>
      <c r="J77" s="548"/>
      <c r="K77" s="548"/>
      <c r="L77" s="548"/>
      <c r="M77" s="548"/>
      <c r="N77" s="548">
        <v>0</v>
      </c>
      <c r="O77" s="548">
        <v>10447.89</v>
      </c>
      <c r="P77" s="549">
        <f>SUM(compras_mes6[[#This Row],[NETO GRAVADO]:[Otros / No Grav.]])</f>
        <v>107693.69029999999</v>
      </c>
      <c r="Q77" s="550" t="str">
        <f>IFERROR(IF(compras_mes6[[#This Row],[CUIT]]="","-",VLOOKUP(compras_mes6[[#This Row],[CUIT]],Lista_CUIT[#All],3,0)),"CUIT NO CARGADO")</f>
        <v>PEAJE</v>
      </c>
      <c r="R77" s="550">
        <f>IFERROR(IF(compras_mes6[[#This Row],[CUIT]]="","-",VLOOKUP(compras_mes6[[#This Row],[CUIT]],Lista_CUIT[#All],4,0)),"CUIT NO CARGADO")</f>
        <v>0</v>
      </c>
    </row>
    <row r="78" spans="2:18" x14ac:dyDescent="0.25">
      <c r="B78" s="541"/>
      <c r="C78" s="542"/>
      <c r="D78" s="543"/>
      <c r="E78" s="544"/>
      <c r="F78" s="545">
        <v>30663498513</v>
      </c>
      <c r="G78" s="546" t="str">
        <f>IFERROR(IF(compras_mes6[[#This Row],[CUIT]]="","-",VLOOKUP(compras_mes6[[#This Row],[CUIT]],Lista_CUIT[#All],2,0)),"CUIT NO CARGADO")</f>
        <v>GRUPO CONCES. DEL OESTE SA</v>
      </c>
      <c r="H78" s="547">
        <v>3235.51</v>
      </c>
      <c r="I78" s="548">
        <f>IF(compras_mes6[[#This Row],[NETO GRAVADO]]="","",compras_mes6[[#This Row],[NETO GRAVADO]]*0.21)</f>
        <v>679.45709999999997</v>
      </c>
      <c r="J78" s="548"/>
      <c r="K78" s="548"/>
      <c r="L78" s="548"/>
      <c r="M78" s="548"/>
      <c r="N78" s="548">
        <v>129.41999999999999</v>
      </c>
      <c r="O78" s="548">
        <v>0</v>
      </c>
      <c r="P78" s="549">
        <f>SUM(compras_mes6[[#This Row],[NETO GRAVADO]:[Otros / No Grav.]])</f>
        <v>4044.3871000000004</v>
      </c>
      <c r="Q78" s="550" t="str">
        <f>IFERROR(IF(compras_mes6[[#This Row],[CUIT]]="","-",VLOOKUP(compras_mes6[[#This Row],[CUIT]],Lista_CUIT[#All],3,0)),"CUIT NO CARGADO")</f>
        <v>Autopista</v>
      </c>
      <c r="R78" s="550">
        <f>IFERROR(IF(compras_mes6[[#This Row],[CUIT]]="","-",VLOOKUP(compras_mes6[[#This Row],[CUIT]],Lista_CUIT[#All],4,0)),"CUIT NO CARGADO")</f>
        <v>0</v>
      </c>
    </row>
    <row r="79" spans="2:18" x14ac:dyDescent="0.25">
      <c r="B79" s="541"/>
      <c r="C79" s="542"/>
      <c r="D79" s="543"/>
      <c r="E79" s="544"/>
      <c r="F79" s="545">
        <v>30677237119</v>
      </c>
      <c r="G79" s="546" t="str">
        <f>IFERROR(IF(compras_mes6[[#This Row],[CUIT]]="","-",VLOOKUP(compras_mes6[[#This Row],[CUIT]],Lista_CUIT[#All],2,0)),"CUIT NO CARGADO")</f>
        <v>AUTOPISTAS DEL SOL SA</v>
      </c>
      <c r="H79" s="547">
        <v>10284.200000000001</v>
      </c>
      <c r="I79" s="548">
        <f>IF(compras_mes6[[#This Row],[NETO GRAVADO]]="","",compras_mes6[[#This Row],[NETO GRAVADO]]*0.21)</f>
        <v>2159.6820000000002</v>
      </c>
      <c r="J79" s="548"/>
      <c r="K79" s="548"/>
      <c r="L79" s="548">
        <v>308.52999999999997</v>
      </c>
      <c r="M79" s="548"/>
      <c r="N79" s="548">
        <v>411.37</v>
      </c>
      <c r="O79" s="548">
        <v>0</v>
      </c>
      <c r="P79" s="549">
        <f>SUM(compras_mes6[[#This Row],[NETO GRAVADO]:[Otros / No Grav.]])</f>
        <v>13163.782000000003</v>
      </c>
      <c r="Q79" s="550" t="str">
        <f>IFERROR(IF(compras_mes6[[#This Row],[CUIT]]="","-",VLOOKUP(compras_mes6[[#This Row],[CUIT]],Lista_CUIT[#All],3,0)),"CUIT NO CARGADO")</f>
        <v>Autopista</v>
      </c>
      <c r="R79" s="550">
        <f>IFERROR(IF(compras_mes6[[#This Row],[CUIT]]="","-",VLOOKUP(compras_mes6[[#This Row],[CUIT]],Lista_CUIT[#All],4,0)),"CUIT NO CARGADO")</f>
        <v>0</v>
      </c>
    </row>
    <row r="80" spans="2:18" x14ac:dyDescent="0.25">
      <c r="B80" s="541"/>
      <c r="C80" s="542"/>
      <c r="D80" s="543"/>
      <c r="E80" s="544"/>
      <c r="F80" s="545">
        <v>30577744579</v>
      </c>
      <c r="G80" s="546" t="str">
        <f>IFERROR(IF(compras_mes6[[#This Row],[CUIT]]="","-",VLOOKUP(compras_mes6[[#This Row],[CUIT]],Lista_CUIT[#All],2,0)),"CUIT NO CARGADO")</f>
        <v>EXPRESO TROLE SRL</v>
      </c>
      <c r="H80" s="547">
        <v>20926.88</v>
      </c>
      <c r="I80" s="548">
        <f>IF(compras_mes6[[#This Row],[NETO GRAVADO]]="","",compras_mes6[[#This Row],[NETO GRAVADO]]*0.21)</f>
        <v>4394.6448</v>
      </c>
      <c r="J80" s="548"/>
      <c r="K80" s="548"/>
      <c r="L80" s="548"/>
      <c r="M80" s="548"/>
      <c r="N80" s="548">
        <v>0</v>
      </c>
      <c r="O80" s="548">
        <v>0</v>
      </c>
      <c r="P80" s="549">
        <f>SUM(compras_mes6[[#This Row],[NETO GRAVADO]:[Otros / No Grav.]])</f>
        <v>25321.524799999999</v>
      </c>
      <c r="Q80" s="550" t="str">
        <f>IFERROR(IF(compras_mes6[[#This Row],[CUIT]]="","-",VLOOKUP(compras_mes6[[#This Row],[CUIT]],Lista_CUIT[#All],3,0)),"CUIT NO CARGADO")</f>
        <v>Flete</v>
      </c>
      <c r="R80" s="550">
        <f>IFERROR(IF(compras_mes6[[#This Row],[CUIT]]="","-",VLOOKUP(compras_mes6[[#This Row],[CUIT]],Lista_CUIT[#All],4,0)),"CUIT NO CARGADO")</f>
        <v>0</v>
      </c>
    </row>
    <row r="81" spans="2:18" x14ac:dyDescent="0.25">
      <c r="B81" s="541"/>
      <c r="C81" s="542"/>
      <c r="D81" s="543"/>
      <c r="E81" s="544"/>
      <c r="F81" s="545">
        <v>30716815710</v>
      </c>
      <c r="G81" s="546" t="str">
        <f>IFERROR(IF(compras_mes6[[#This Row],[CUIT]]="","-",VLOOKUP(compras_mes6[[#This Row],[CUIT]],Lista_CUIT[#All],2,0)),"CUIT NO CARGADO")</f>
        <v>PAPELERA GEOPEL SRL</v>
      </c>
      <c r="H81" s="547">
        <v>9900</v>
      </c>
      <c r="I81" s="548">
        <f>IF(compras_mes6[[#This Row],[NETO GRAVADO]]="","",compras_mes6[[#This Row],[NETO GRAVADO]]*0.21)</f>
        <v>2079</v>
      </c>
      <c r="J81" s="548"/>
      <c r="K81" s="548"/>
      <c r="L81" s="548"/>
      <c r="M81" s="548"/>
      <c r="N81" s="548">
        <v>0</v>
      </c>
      <c r="O81" s="548">
        <v>0</v>
      </c>
      <c r="P81" s="549">
        <f>SUM(compras_mes6[[#This Row],[NETO GRAVADO]:[Otros / No Grav.]])</f>
        <v>11979</v>
      </c>
      <c r="Q81" s="550" t="str">
        <f>IFERROR(IF(compras_mes6[[#This Row],[CUIT]]="","-",VLOOKUP(compras_mes6[[#This Row],[CUIT]],Lista_CUIT[#All],3,0)),"CUIT NO CARGADO")</f>
        <v>librería</v>
      </c>
      <c r="R81" s="550">
        <f>IFERROR(IF(compras_mes6[[#This Row],[CUIT]]="","-",VLOOKUP(compras_mes6[[#This Row],[CUIT]],Lista_CUIT[#All],4,0)),"CUIT NO CARGADO")</f>
        <v>0</v>
      </c>
    </row>
    <row r="82" spans="2:18" x14ac:dyDescent="0.25">
      <c r="B82" s="541"/>
      <c r="C82" s="542"/>
      <c r="D82" s="543"/>
      <c r="E82" s="544"/>
      <c r="F82" s="545">
        <v>30705740670</v>
      </c>
      <c r="G82" s="546" t="str">
        <f>IFERROR(IF(compras_mes6[[#This Row],[CUIT]]="","-",VLOOKUP(compras_mes6[[#This Row],[CUIT]],Lista_CUIT[#All],2,0)),"CUIT NO CARGADO")</f>
        <v>MAVISUR SA</v>
      </c>
      <c r="H82" s="547">
        <v>46925.77</v>
      </c>
      <c r="I82" s="548">
        <f>IF(compras_mes6[[#This Row],[NETO GRAVADO]]="","",compras_mes6[[#This Row],[NETO GRAVADO]]*0.21)</f>
        <v>9854.4116999999987</v>
      </c>
      <c r="J82" s="548"/>
      <c r="K82" s="548"/>
      <c r="L82" s="548"/>
      <c r="M82" s="548"/>
      <c r="N82" s="548">
        <v>0</v>
      </c>
      <c r="O82" s="548">
        <v>8233.81</v>
      </c>
      <c r="P82" s="549">
        <f>SUM(compras_mes6[[#This Row],[NETO GRAVADO]:[Otros / No Grav.]])</f>
        <v>65013.991699999991</v>
      </c>
      <c r="Q82" s="550" t="str">
        <f>IFERROR(IF(compras_mes6[[#This Row],[CUIT]]="","-",VLOOKUP(compras_mes6[[#This Row],[CUIT]],Lista_CUIT[#All],3,0)),"CUIT NO CARGADO")</f>
        <v>COMBUSTIBLE</v>
      </c>
      <c r="R82" s="550">
        <f>IFERROR(IF(compras_mes6[[#This Row],[CUIT]]="","-",VLOOKUP(compras_mes6[[#This Row],[CUIT]],Lista_CUIT[#All],4,0)),"CUIT NO CARGADO")</f>
        <v>0</v>
      </c>
    </row>
    <row r="83" spans="2:18" x14ac:dyDescent="0.25">
      <c r="B83" s="541"/>
      <c r="C83" s="542"/>
      <c r="D83" s="543"/>
      <c r="E83" s="544"/>
      <c r="F83" s="545">
        <v>20272865869</v>
      </c>
      <c r="G83" s="546" t="str">
        <f>IFERROR(IF(compras_mes6[[#This Row],[CUIT]]="","-",VLOOKUP(compras_mes6[[#This Row],[CUIT]],Lista_CUIT[#All],2,0)),"CUIT NO CARGADO")</f>
        <v>DI FEO MARTIN EZEQUIEL</v>
      </c>
      <c r="H83" s="547">
        <v>125521</v>
      </c>
      <c r="I83" s="548">
        <f>IF(compras_mes6[[#This Row],[NETO GRAVADO]]="","",compras_mes6[[#This Row],[NETO GRAVADO]]*0.21)</f>
        <v>26359.41</v>
      </c>
      <c r="J83" s="548"/>
      <c r="K83" s="548"/>
      <c r="L83" s="548"/>
      <c r="M83" s="548"/>
      <c r="N83" s="548">
        <v>0</v>
      </c>
      <c r="O83" s="548">
        <v>0</v>
      </c>
      <c r="P83" s="549">
        <f>SUM(compras_mes6[[#This Row],[NETO GRAVADO]:[Otros / No Grav.]])</f>
        <v>151880.41</v>
      </c>
      <c r="Q83" s="550" t="str">
        <f>IFERROR(IF(compras_mes6[[#This Row],[CUIT]]="","-",VLOOKUP(compras_mes6[[#This Row],[CUIT]],Lista_CUIT[#All],3,0)),"CUIT NO CARGADO")</f>
        <v>INSUMOS</v>
      </c>
      <c r="R83" s="550">
        <f>IFERROR(IF(compras_mes6[[#This Row],[CUIT]]="","-",VLOOKUP(compras_mes6[[#This Row],[CUIT]],Lista_CUIT[#All],4,0)),"CUIT NO CARGADO")</f>
        <v>0</v>
      </c>
    </row>
    <row r="84" spans="2:18" x14ac:dyDescent="0.25">
      <c r="B84" s="541"/>
      <c r="C84" s="542"/>
      <c r="D84" s="543"/>
      <c r="E84" s="544"/>
      <c r="F84" s="545">
        <v>23076996989</v>
      </c>
      <c r="G84" s="546" t="str">
        <f>IFERROR(IF(compras_mes6[[#This Row],[CUIT]]="","-",VLOOKUP(compras_mes6[[#This Row],[CUIT]],Lista_CUIT[#All],2,0)),"CUIT NO CARGADO")</f>
        <v>GIULIETTI LUIS ALBERTO</v>
      </c>
      <c r="H84" s="547">
        <v>10413.219999999999</v>
      </c>
      <c r="I84" s="548">
        <f>IF(compras_mes6[[#This Row],[NETO GRAVADO]]="","",compras_mes6[[#This Row],[NETO GRAVADO]]*0.21)</f>
        <v>2186.7761999999998</v>
      </c>
      <c r="J84" s="548"/>
      <c r="K84" s="548"/>
      <c r="L84" s="548"/>
      <c r="M84" s="548"/>
      <c r="N84" s="548">
        <v>0</v>
      </c>
      <c r="O84" s="548">
        <v>0</v>
      </c>
      <c r="P84" s="549">
        <f>SUM(compras_mes6[[#This Row],[NETO GRAVADO]:[Otros / No Grav.]])</f>
        <v>12599.9962</v>
      </c>
      <c r="Q84" s="550" t="str">
        <f>IFERROR(IF(compras_mes6[[#This Row],[CUIT]]="","-",VLOOKUP(compras_mes6[[#This Row],[CUIT]],Lista_CUIT[#All],3,0)),"CUIT NO CARGADO")</f>
        <v>FERRETERIA</v>
      </c>
      <c r="R84" s="550">
        <f>IFERROR(IF(compras_mes6[[#This Row],[CUIT]]="","-",VLOOKUP(compras_mes6[[#This Row],[CUIT]],Lista_CUIT[#All],4,0)),"CUIT NO CARGADO")</f>
        <v>0</v>
      </c>
    </row>
    <row r="85" spans="2:18" x14ac:dyDescent="0.25">
      <c r="B85" s="541"/>
      <c r="C85" s="542"/>
      <c r="D85" s="543"/>
      <c r="E85" s="544"/>
      <c r="F85" s="545">
        <v>27265302225</v>
      </c>
      <c r="G85" s="546" t="str">
        <f>IFERROR(IF(compras_mes6[[#This Row],[CUIT]]="","-",VLOOKUP(compras_mes6[[#This Row],[CUIT]],Lista_CUIT[#All],2,0)),"CUIT NO CARGADO")</f>
        <v>PRADO MARISOL</v>
      </c>
      <c r="H85" s="547">
        <v>2500000</v>
      </c>
      <c r="I85" s="548">
        <f>IF(compras_mes6[[#This Row],[NETO GRAVADO]]="","",compras_mes6[[#This Row],[NETO GRAVADO]]*0.21)</f>
        <v>525000</v>
      </c>
      <c r="J85" s="548"/>
      <c r="K85" s="548"/>
      <c r="L85" s="548"/>
      <c r="M85" s="548"/>
      <c r="N85" s="548">
        <v>0</v>
      </c>
      <c r="O85" s="548">
        <v>0</v>
      </c>
      <c r="P85" s="549">
        <f>SUM(compras_mes6[[#This Row],[NETO GRAVADO]:[Otros / No Grav.]])</f>
        <v>3025000</v>
      </c>
      <c r="Q85" s="550" t="str">
        <f>IFERROR(IF(compras_mes6[[#This Row],[CUIT]]="","-",VLOOKUP(compras_mes6[[#This Row],[CUIT]],Lista_CUIT[#All],3,0)),"CUIT NO CARGADO")</f>
        <v>INSUMO</v>
      </c>
      <c r="R85" s="550">
        <f>IFERROR(IF(compras_mes6[[#This Row],[CUIT]]="","-",VLOOKUP(compras_mes6[[#This Row],[CUIT]],Lista_CUIT[#All],4,0)),"CUIT NO CARGADO")</f>
        <v>0</v>
      </c>
    </row>
    <row r="86" spans="2:18" x14ac:dyDescent="0.25">
      <c r="B86" s="541"/>
      <c r="C86" s="542"/>
      <c r="D86" s="543"/>
      <c r="E86" s="544"/>
      <c r="F86" s="545">
        <v>30711553564</v>
      </c>
      <c r="G86" s="546" t="str">
        <f>IFERROR(IF(compras_mes6[[#This Row],[CUIT]]="","-",VLOOKUP(compras_mes6[[#This Row],[CUIT]],Lista_CUIT[#All],2,0)),"CUIT NO CARGADO")</f>
        <v>SALUD TEX S.A</v>
      </c>
      <c r="H86" s="547">
        <v>663938</v>
      </c>
      <c r="I86" s="548">
        <f>IF(compras_mes6[[#This Row],[NETO GRAVADO]]="","",compras_mes6[[#This Row],[NETO GRAVADO]]*0.21)</f>
        <v>139426.97999999998</v>
      </c>
      <c r="J86" s="548"/>
      <c r="K86" s="548"/>
      <c r="L86" s="548"/>
      <c r="M86" s="548"/>
      <c r="N86" s="548">
        <v>0</v>
      </c>
      <c r="O86" s="548">
        <v>0</v>
      </c>
      <c r="P86" s="549">
        <f>SUM(compras_mes6[[#This Row],[NETO GRAVADO]:[Otros / No Grav.]])</f>
        <v>803364.98</v>
      </c>
      <c r="Q86" s="550" t="str">
        <f>IFERROR(IF(compras_mes6[[#This Row],[CUIT]]="","-",VLOOKUP(compras_mes6[[#This Row],[CUIT]],Lista_CUIT[#All],3,0)),"CUIT NO CARGADO")</f>
        <v>INSUMO</v>
      </c>
      <c r="R86" s="550">
        <f>IFERROR(IF(compras_mes6[[#This Row],[CUIT]]="","-",VLOOKUP(compras_mes6[[#This Row],[CUIT]],Lista_CUIT[#All],4,0)),"CUIT NO CARGADO")</f>
        <v>0</v>
      </c>
    </row>
    <row r="87" spans="2:18" x14ac:dyDescent="0.25">
      <c r="B87" s="541"/>
      <c r="C87" s="542"/>
      <c r="D87" s="543"/>
      <c r="E87" s="544"/>
      <c r="F87" s="545">
        <v>30639453738</v>
      </c>
      <c r="G87" s="546" t="str">
        <f>IFERROR(IF(compras_mes6[[#This Row],[CUIT]]="","-",VLOOKUP(compras_mes6[[#This Row],[CUIT]],Lista_CUIT[#All],2,0)),"CUIT NO CARGADO")</f>
        <v>TELECOM ARGENTINA SA</v>
      </c>
      <c r="H87" s="547">
        <v>47798.76</v>
      </c>
      <c r="I87" s="548">
        <f>IF(compras_mes6[[#This Row],[NETO GRAVADO]]="","",compras_mes6[[#This Row],[NETO GRAVADO]]*0.21)</f>
        <v>10037.739600000001</v>
      </c>
      <c r="J87" s="548"/>
      <c r="K87" s="548"/>
      <c r="L87" s="548">
        <v>1433.96</v>
      </c>
      <c r="M87" s="548"/>
      <c r="N87" s="548">
        <v>1911.95</v>
      </c>
      <c r="O87" s="548">
        <v>0</v>
      </c>
      <c r="P87" s="549">
        <f>SUM(compras_mes6[[#This Row],[NETO GRAVADO]:[Otros / No Grav.]])</f>
        <v>61182.409599999999</v>
      </c>
      <c r="Q87" s="550" t="str">
        <f>IFERROR(IF(compras_mes6[[#This Row],[CUIT]]="","-",VLOOKUP(compras_mes6[[#This Row],[CUIT]],Lista_CUIT[#All],3,0)),"CUIT NO CARGADO")</f>
        <v>SERVICIO</v>
      </c>
      <c r="R87" s="550">
        <f>IFERROR(IF(compras_mes6[[#This Row],[CUIT]]="","-",VLOOKUP(compras_mes6[[#This Row],[CUIT]],Lista_CUIT[#All],4,0)),"CUIT NO CARGADO")</f>
        <v>0</v>
      </c>
    </row>
    <row r="88" spans="2:18" x14ac:dyDescent="0.25">
      <c r="B88" s="541"/>
      <c r="C88" s="542"/>
      <c r="D88" s="543"/>
      <c r="E88" s="544"/>
      <c r="F88" s="545">
        <v>30715141201</v>
      </c>
      <c r="G88" s="546" t="str">
        <f>IFERROR(IF(compras_mes6[[#This Row],[CUIT]]="","-",VLOOKUP(compras_mes6[[#This Row],[CUIT]],Lista_CUIT[#All],2,0)),"CUIT NO CARGADO")</f>
        <v>REHAB SRL</v>
      </c>
      <c r="H88" s="547">
        <v>353700</v>
      </c>
      <c r="I88" s="548">
        <f>IF(compras_mes6[[#This Row],[NETO GRAVADO]]="","",compras_mes6[[#This Row],[NETO GRAVADO]]*0.21)</f>
        <v>74277</v>
      </c>
      <c r="J88" s="548"/>
      <c r="K88" s="548"/>
      <c r="L88" s="548"/>
      <c r="M88" s="548"/>
      <c r="N88" s="548">
        <v>0</v>
      </c>
      <c r="O88" s="548">
        <v>0</v>
      </c>
      <c r="P88" s="549">
        <f>SUM(compras_mes6[[#This Row],[NETO GRAVADO]:[Otros / No Grav.]])</f>
        <v>427977</v>
      </c>
      <c r="Q88" s="550" t="str">
        <f>IFERROR(IF(compras_mes6[[#This Row],[CUIT]]="","-",VLOOKUP(compras_mes6[[#This Row],[CUIT]],Lista_CUIT[#All],3,0)),"CUIT NO CARGADO")</f>
        <v>INSUMO</v>
      </c>
      <c r="R88" s="550">
        <f>IFERROR(IF(compras_mes6[[#This Row],[CUIT]]="","-",VLOOKUP(compras_mes6[[#This Row],[CUIT]],Lista_CUIT[#All],4,0)),"CUIT NO CARGADO")</f>
        <v>0</v>
      </c>
    </row>
    <row r="89" spans="2:18" x14ac:dyDescent="0.25">
      <c r="B89" s="541"/>
      <c r="C89" s="542"/>
      <c r="D89" s="543"/>
      <c r="E89" s="544"/>
      <c r="F89" s="545">
        <v>20182721787</v>
      </c>
      <c r="G89" s="546" t="str">
        <f>IFERROR(IF(compras_mes6[[#This Row],[CUIT]]="","-",VLOOKUP(compras_mes6[[#This Row],[CUIT]],Lista_CUIT[#All],2,0)),"CUIT NO CARGADO")</f>
        <v>CARLOS DANIEL QUIROZ</v>
      </c>
      <c r="H89" s="547">
        <v>33057.86</v>
      </c>
      <c r="I89" s="548">
        <f>IF(compras_mes6[[#This Row],[NETO GRAVADO]]="","",compras_mes6[[#This Row],[NETO GRAVADO]]*0.21)</f>
        <v>6942.1505999999999</v>
      </c>
      <c r="J89" s="548"/>
      <c r="K89" s="548"/>
      <c r="L89" s="548"/>
      <c r="M89" s="548"/>
      <c r="N89" s="548">
        <v>0</v>
      </c>
      <c r="O89" s="548">
        <v>0</v>
      </c>
      <c r="P89" s="549">
        <f>SUM(compras_mes6[[#This Row],[NETO GRAVADO]:[Otros / No Grav.]])</f>
        <v>40000.010600000001</v>
      </c>
      <c r="Q89" s="550" t="str">
        <f>IFERROR(IF(compras_mes6[[#This Row],[CUIT]]="","-",VLOOKUP(compras_mes6[[#This Row],[CUIT]],Lista_CUIT[#All],3,0)),"CUIT NO CARGADO")</f>
        <v>INSUMO</v>
      </c>
      <c r="R89" s="550">
        <f>IFERROR(IF(compras_mes6[[#This Row],[CUIT]]="","-",VLOOKUP(compras_mes6[[#This Row],[CUIT]],Lista_CUIT[#All],4,0)),"CUIT NO CARGADO")</f>
        <v>0</v>
      </c>
    </row>
    <row r="90" spans="2:18" x14ac:dyDescent="0.25">
      <c r="B90" s="541"/>
      <c r="C90" s="542"/>
      <c r="D90" s="543"/>
      <c r="E90" s="544"/>
      <c r="F90" s="545">
        <v>27325223273</v>
      </c>
      <c r="G90" s="546" t="str">
        <f>IFERROR(IF(compras_mes6[[#This Row],[CUIT]]="","-",VLOOKUP(compras_mes6[[#This Row],[CUIT]],Lista_CUIT[#All],2,0)),"CUIT NO CARGADO")</f>
        <v>SOUSA ALDERETE ALEJANDRA MABEL</v>
      </c>
      <c r="H90" s="547">
        <v>1702000</v>
      </c>
      <c r="I90" s="548">
        <f>IF(compras_mes6[[#This Row],[NETO GRAVADO]]="","",compras_mes6[[#This Row],[NETO GRAVADO]]*0.21)</f>
        <v>357420</v>
      </c>
      <c r="J90" s="548"/>
      <c r="K90" s="548"/>
      <c r="L90" s="548"/>
      <c r="M90" s="548"/>
      <c r="N90" s="548">
        <v>0</v>
      </c>
      <c r="O90" s="548">
        <v>0</v>
      </c>
      <c r="P90" s="549">
        <f>SUM(compras_mes6[[#This Row],[NETO GRAVADO]:[Otros / No Grav.]])</f>
        <v>2059420</v>
      </c>
      <c r="Q90" s="550" t="str">
        <f>IFERROR(IF(compras_mes6[[#This Row],[CUIT]]="","-",VLOOKUP(compras_mes6[[#This Row],[CUIT]],Lista_CUIT[#All],3,0)),"CUIT NO CARGADO")</f>
        <v>Insumos</v>
      </c>
      <c r="R90" s="550">
        <f>IFERROR(IF(compras_mes6[[#This Row],[CUIT]]="","-",VLOOKUP(compras_mes6[[#This Row],[CUIT]],Lista_CUIT[#All],4,0)),"CUIT NO CARGADO")</f>
        <v>0</v>
      </c>
    </row>
    <row r="91" spans="2:18" x14ac:dyDescent="0.25">
      <c r="B91" s="541"/>
      <c r="C91" s="542"/>
      <c r="D91" s="543"/>
      <c r="E91" s="544"/>
      <c r="F91" s="545">
        <v>30712187316</v>
      </c>
      <c r="G91" s="546" t="str">
        <f>IFERROR(IF(compras_mes6[[#This Row],[CUIT]]="","-",VLOOKUP(compras_mes6[[#This Row],[CUIT]],Lista_CUIT[#All],2,0)),"CUIT NO CARGADO")</f>
        <v>ITALOMED PRODUCTOS SRL</v>
      </c>
      <c r="H91" s="547">
        <v>169082.2</v>
      </c>
      <c r="I91" s="548">
        <f>IF(compras_mes6[[#This Row],[NETO GRAVADO]]="","",compras_mes6[[#This Row],[NETO GRAVADO]]*0.21)</f>
        <v>35507.262000000002</v>
      </c>
      <c r="J91" s="548"/>
      <c r="K91" s="548"/>
      <c r="L91" s="548"/>
      <c r="M91" s="548"/>
      <c r="N91" s="548">
        <v>0</v>
      </c>
      <c r="O91" s="548">
        <v>0</v>
      </c>
      <c r="P91" s="549">
        <f>SUM(compras_mes6[[#This Row],[NETO GRAVADO]:[Otros / No Grav.]])</f>
        <v>204589.462</v>
      </c>
      <c r="Q91" s="550" t="str">
        <f>IFERROR(IF(compras_mes6[[#This Row],[CUIT]]="","-",VLOOKUP(compras_mes6[[#This Row],[CUIT]],Lista_CUIT[#All],3,0)),"CUIT NO CARGADO")</f>
        <v>INSUMO</v>
      </c>
      <c r="R91" s="550">
        <f>IFERROR(IF(compras_mes6[[#This Row],[CUIT]]="","-",VLOOKUP(compras_mes6[[#This Row],[CUIT]],Lista_CUIT[#All],4,0)),"CUIT NO CARGADO")</f>
        <v>0</v>
      </c>
    </row>
    <row r="92" spans="2:18" x14ac:dyDescent="0.25">
      <c r="B92" s="541"/>
      <c r="C92" s="542"/>
      <c r="D92" s="543"/>
      <c r="E92" s="544"/>
      <c r="F92" s="545">
        <v>30661143610</v>
      </c>
      <c r="G92" s="546" t="str">
        <f>IFERROR(IF(compras_mes6[[#This Row],[CUIT]]="","-",VLOOKUP(compras_mes6[[#This Row],[CUIT]],Lista_CUIT[#All],2,0)),"CUIT NO CARGADO")</f>
        <v>ORTOPEDIA BERNAT SRL</v>
      </c>
      <c r="H92" s="547">
        <v>545100</v>
      </c>
      <c r="I92" s="548">
        <f>IF(compras_mes6[[#This Row],[NETO GRAVADO]]="","",compras_mes6[[#This Row],[NETO GRAVADO]]*0.21)</f>
        <v>114471</v>
      </c>
      <c r="J92" s="548"/>
      <c r="K92" s="548"/>
      <c r="L92" s="548"/>
      <c r="M92" s="548"/>
      <c r="N92" s="548">
        <v>21804</v>
      </c>
      <c r="O92" s="548">
        <v>0</v>
      </c>
      <c r="P92" s="549">
        <f>SUM(compras_mes6[[#This Row],[NETO GRAVADO]:[Otros / No Grav.]])</f>
        <v>681375</v>
      </c>
      <c r="Q92" s="550" t="str">
        <f>IFERROR(IF(compras_mes6[[#This Row],[CUIT]]="","-",VLOOKUP(compras_mes6[[#This Row],[CUIT]],Lista_CUIT[#All],3,0)),"CUIT NO CARGADO")</f>
        <v>INSUMO</v>
      </c>
      <c r="R92" s="550">
        <f>IFERROR(IF(compras_mes6[[#This Row],[CUIT]]="","-",VLOOKUP(compras_mes6[[#This Row],[CUIT]],Lista_CUIT[#All],4,0)),"CUIT NO CARGADO")</f>
        <v>0</v>
      </c>
    </row>
    <row r="93" spans="2:18" x14ac:dyDescent="0.25">
      <c r="B93" s="541"/>
      <c r="C93" s="542"/>
      <c r="D93" s="543"/>
      <c r="E93" s="544"/>
      <c r="F93" s="545">
        <v>30711553564</v>
      </c>
      <c r="G93" s="546" t="str">
        <f>IFERROR(IF(compras_mes6[[#This Row],[CUIT]]="","-",VLOOKUP(compras_mes6[[#This Row],[CUIT]],Lista_CUIT[#All],2,0)),"CUIT NO CARGADO")</f>
        <v>SALUD TEX S.A</v>
      </c>
      <c r="H93" s="547">
        <v>-66848</v>
      </c>
      <c r="I93" s="548">
        <f>IF(compras_mes6[[#This Row],[NETO GRAVADO]]="","",compras_mes6[[#This Row],[NETO GRAVADO]]*0.21)</f>
        <v>-14038.08</v>
      </c>
      <c r="J93" s="548"/>
      <c r="K93" s="548"/>
      <c r="L93" s="548"/>
      <c r="M93" s="548"/>
      <c r="N93" s="548">
        <v>0</v>
      </c>
      <c r="O93" s="548">
        <v>0</v>
      </c>
      <c r="P93" s="549">
        <f>SUM(compras_mes6[[#This Row],[NETO GRAVADO]:[Otros / No Grav.]])</f>
        <v>-80886.080000000002</v>
      </c>
      <c r="Q93" s="550" t="str">
        <f>IFERROR(IF(compras_mes6[[#This Row],[CUIT]]="","-",VLOOKUP(compras_mes6[[#This Row],[CUIT]],Lista_CUIT[#All],3,0)),"CUIT NO CARGADO")</f>
        <v>INSUMO</v>
      </c>
      <c r="R93" s="550">
        <f>IFERROR(IF(compras_mes6[[#This Row],[CUIT]]="","-",VLOOKUP(compras_mes6[[#This Row],[CUIT]],Lista_CUIT[#All],4,0)),"CUIT NO CARGADO")</f>
        <v>0</v>
      </c>
    </row>
    <row r="94" spans="2:18" x14ac:dyDescent="0.25">
      <c r="B94" s="541"/>
      <c r="C94" s="542"/>
      <c r="D94" s="543"/>
      <c r="E94" s="544"/>
      <c r="F94" s="545">
        <v>30714025631</v>
      </c>
      <c r="G94" s="546" t="str">
        <f>IFERROR(IF(compras_mes6[[#This Row],[CUIT]]="","-",VLOOKUP(compras_mes6[[#This Row],[CUIT]],Lista_CUIT[#All],2,0)),"CUIT NO CARGADO")</f>
        <v>AGROMERCADO CENTRAL SA</v>
      </c>
      <c r="H94" s="547">
        <v>66983.47</v>
      </c>
      <c r="I94" s="548">
        <f>IF(compras_mes6[[#This Row],[NETO GRAVADO]]="","",compras_mes6[[#This Row],[NETO GRAVADO]]*0.21)</f>
        <v>14066.528699999999</v>
      </c>
      <c r="J94" s="548"/>
      <c r="K94" s="548"/>
      <c r="L94" s="548"/>
      <c r="M94" s="548"/>
      <c r="N94" s="548">
        <v>0</v>
      </c>
      <c r="O94" s="548">
        <v>0</v>
      </c>
      <c r="P94" s="549">
        <f>SUM(compras_mes6[[#This Row],[NETO GRAVADO]:[Otros / No Grav.]])</f>
        <v>81049.998699999996</v>
      </c>
      <c r="Q94" s="550" t="str">
        <f>IFERROR(IF(compras_mes6[[#This Row],[CUIT]]="","-",VLOOKUP(compras_mes6[[#This Row],[CUIT]],Lista_CUIT[#All],3,0)),"CUIT NO CARGADO")</f>
        <v>Gastos Varios</v>
      </c>
      <c r="R94" s="550">
        <f>IFERROR(IF(compras_mes6[[#This Row],[CUIT]]="","-",VLOOKUP(compras_mes6[[#This Row],[CUIT]],Lista_CUIT[#All],4,0)),"CUIT NO CARGADO")</f>
        <v>0</v>
      </c>
    </row>
    <row r="95" spans="2:18" x14ac:dyDescent="0.25">
      <c r="B95" s="541"/>
      <c r="C95" s="542"/>
      <c r="D95" s="543"/>
      <c r="E95" s="544"/>
      <c r="F95" s="545">
        <v>30718885902</v>
      </c>
      <c r="G95" s="546" t="str">
        <f>IFERROR(IF(compras_mes6[[#This Row],[CUIT]]="","-",VLOOKUP(compras_mes6[[#This Row],[CUIT]],Lista_CUIT[#All],2,0)),"CUIT NO CARGADO")</f>
        <v>GRUPO LOPEZ &amp; ASOCIADOS</v>
      </c>
      <c r="H95" s="547">
        <v>155700</v>
      </c>
      <c r="I95" s="548">
        <f>IF(compras_mes6[[#This Row],[NETO GRAVADO]]="","",compras_mes6[[#This Row],[NETO GRAVADO]]*0.21)</f>
        <v>32697</v>
      </c>
      <c r="J95" s="548"/>
      <c r="K95" s="548"/>
      <c r="L95" s="548"/>
      <c r="M95" s="548"/>
      <c r="N95" s="548">
        <v>0</v>
      </c>
      <c r="O95" s="548">
        <v>0</v>
      </c>
      <c r="P95" s="549">
        <f>SUM(compras_mes6[[#This Row],[NETO GRAVADO]:[Otros / No Grav.]])</f>
        <v>188397</v>
      </c>
      <c r="Q95" s="550" t="str">
        <f>IFERROR(IF(compras_mes6[[#This Row],[CUIT]]="","-",VLOOKUP(compras_mes6[[#This Row],[CUIT]],Lista_CUIT[#All],3,0)),"CUIT NO CARGADO")</f>
        <v>Insumos</v>
      </c>
      <c r="R95" s="550">
        <f>IFERROR(IF(compras_mes6[[#This Row],[CUIT]]="","-",VLOOKUP(compras_mes6[[#This Row],[CUIT]],Lista_CUIT[#All],4,0)),"CUIT NO CARGADO")</f>
        <v>0</v>
      </c>
    </row>
    <row r="96" spans="2:18" x14ac:dyDescent="0.25">
      <c r="B96" s="541"/>
      <c r="C96" s="542"/>
      <c r="D96" s="543"/>
      <c r="E96" s="544"/>
      <c r="F96" s="545">
        <v>20129871947</v>
      </c>
      <c r="G96" s="546" t="str">
        <f>IFERROR(IF(compras_mes6[[#This Row],[CUIT]]="","-",VLOOKUP(compras_mes6[[#This Row],[CUIT]],Lista_CUIT[#All],2,0)),"CUIT NO CARGADO")</f>
        <v>CARLOS RODOLFO FERNANDEZ</v>
      </c>
      <c r="H96" s="547">
        <v>114724.45</v>
      </c>
      <c r="I96" s="548">
        <f>IF(compras_mes6[[#This Row],[NETO GRAVADO]]="","",compras_mes6[[#This Row],[NETO GRAVADO]]*0.21)</f>
        <v>24092.1345</v>
      </c>
      <c r="J96" s="548"/>
      <c r="K96" s="548"/>
      <c r="L96" s="548"/>
      <c r="M96" s="548"/>
      <c r="N96" s="548">
        <v>0</v>
      </c>
      <c r="O96" s="548">
        <v>0</v>
      </c>
      <c r="P96" s="549">
        <f>SUM(compras_mes6[[#This Row],[NETO GRAVADO]:[Otros / No Grav.]])</f>
        <v>138816.5845</v>
      </c>
      <c r="Q96" s="550" t="str">
        <f>IFERROR(IF(compras_mes6[[#This Row],[CUIT]]="","-",VLOOKUP(compras_mes6[[#This Row],[CUIT]],Lista_CUIT[#All],3,0)),"CUIT NO CARGADO")</f>
        <v>INSUMO</v>
      </c>
      <c r="R96" s="550">
        <f>IFERROR(IF(compras_mes6[[#This Row],[CUIT]]="","-",VLOOKUP(compras_mes6[[#This Row],[CUIT]],Lista_CUIT[#All],4,0)),"CUIT NO CARGADO")</f>
        <v>0</v>
      </c>
    </row>
    <row r="97" spans="2:18" x14ac:dyDescent="0.25">
      <c r="B97" s="541"/>
      <c r="C97" s="542"/>
      <c r="D97" s="543"/>
      <c r="E97" s="544"/>
      <c r="F97" s="545">
        <v>27265302225</v>
      </c>
      <c r="G97" s="546" t="str">
        <f>IFERROR(IF(compras_mes6[[#This Row],[CUIT]]="","-",VLOOKUP(compras_mes6[[#This Row],[CUIT]],Lista_CUIT[#All],2,0)),"CUIT NO CARGADO")</f>
        <v>PRADO MARISOL</v>
      </c>
      <c r="H97" s="547">
        <v>2500000</v>
      </c>
      <c r="I97" s="548">
        <f>IF(compras_mes6[[#This Row],[NETO GRAVADO]]="","",compras_mes6[[#This Row],[NETO GRAVADO]]*0.21)</f>
        <v>525000</v>
      </c>
      <c r="J97" s="548"/>
      <c r="K97" s="548"/>
      <c r="L97" s="548"/>
      <c r="M97" s="548"/>
      <c r="N97" s="548">
        <v>0</v>
      </c>
      <c r="O97" s="548">
        <v>0</v>
      </c>
      <c r="P97" s="549">
        <f>SUM(compras_mes6[[#This Row],[NETO GRAVADO]:[Otros / No Grav.]])</f>
        <v>3025000</v>
      </c>
      <c r="Q97" s="550" t="str">
        <f>IFERROR(IF(compras_mes6[[#This Row],[CUIT]]="","-",VLOOKUP(compras_mes6[[#This Row],[CUIT]],Lista_CUIT[#All],3,0)),"CUIT NO CARGADO")</f>
        <v>INSUMO</v>
      </c>
      <c r="R97" s="550">
        <f>IFERROR(IF(compras_mes6[[#This Row],[CUIT]]="","-",VLOOKUP(compras_mes6[[#This Row],[CUIT]],Lista_CUIT[#All],4,0)),"CUIT NO CARGADO")</f>
        <v>0</v>
      </c>
    </row>
    <row r="98" spans="2:18" x14ac:dyDescent="0.25">
      <c r="B98" s="541"/>
      <c r="C98" s="542"/>
      <c r="D98" s="543"/>
      <c r="E98" s="544"/>
      <c r="F98" s="545">
        <v>30702652975</v>
      </c>
      <c r="G98" s="546" t="str">
        <f>IFERROR(IF(compras_mes6[[#This Row],[CUIT]]="","-",VLOOKUP(compras_mes6[[#This Row],[CUIT]],Lista_CUIT[#All],2,0)),"CUIT NO CARGADO")</f>
        <v>NSS SA</v>
      </c>
      <c r="H98" s="547">
        <v>35660.75</v>
      </c>
      <c r="I98" s="548">
        <f>IF(compras_mes6[[#This Row],[NETO GRAVADO]]="","",compras_mes6[[#This Row],[NETO GRAVADO]]*0.21)</f>
        <v>7488.7574999999997</v>
      </c>
      <c r="J98" s="548"/>
      <c r="K98" s="548"/>
      <c r="L98" s="548"/>
      <c r="M98" s="548"/>
      <c r="N98" s="548">
        <v>1426.43</v>
      </c>
      <c r="O98" s="548">
        <v>0</v>
      </c>
      <c r="P98" s="549">
        <f>SUM(compras_mes6[[#This Row],[NETO GRAVADO]:[Otros / No Grav.]])</f>
        <v>44575.9375</v>
      </c>
      <c r="Q98" s="550" t="str">
        <f>IFERROR(IF(compras_mes6[[#This Row],[CUIT]]="","-",VLOOKUP(compras_mes6[[#This Row],[CUIT]],Lista_CUIT[#All],3,0)),"CUIT NO CARGADO")</f>
        <v>SERVICIOS</v>
      </c>
      <c r="R98" s="550">
        <f>IFERROR(IF(compras_mes6[[#This Row],[CUIT]]="","-",VLOOKUP(compras_mes6[[#This Row],[CUIT]],Lista_CUIT[#All],4,0)),"CUIT NO CARGADO")</f>
        <v>0</v>
      </c>
    </row>
    <row r="99" spans="2:18" x14ac:dyDescent="0.25">
      <c r="B99" s="541"/>
      <c r="C99" s="542"/>
      <c r="D99" s="543"/>
      <c r="E99" s="544"/>
      <c r="F99" s="545">
        <v>27310367813</v>
      </c>
      <c r="G99" s="546" t="str">
        <f>IFERROR(IF(compras_mes6[[#This Row],[CUIT]]="","-",VLOOKUP(compras_mes6[[#This Row],[CUIT]],Lista_CUIT[#All],2,0)),"CUIT NO CARGADO")</f>
        <v>LA BRUNA MARIA VIRGINIA</v>
      </c>
      <c r="H99" s="547">
        <v>152023.28</v>
      </c>
      <c r="I99" s="548">
        <f>IF(compras_mes6[[#This Row],[NETO GRAVADO]]="","",compras_mes6[[#This Row],[NETO GRAVADO]]*0.21)</f>
        <v>31924.888799999997</v>
      </c>
      <c r="J99" s="548"/>
      <c r="K99" s="548"/>
      <c r="L99" s="548"/>
      <c r="M99" s="548"/>
      <c r="N99" s="548">
        <v>0</v>
      </c>
      <c r="O99" s="548">
        <v>0</v>
      </c>
      <c r="P99" s="549">
        <f>SUM(compras_mes6[[#This Row],[NETO GRAVADO]:[Otros / No Grav.]])</f>
        <v>183948.16879999998</v>
      </c>
      <c r="Q99" s="550" t="str">
        <f>IFERROR(IF(compras_mes6[[#This Row],[CUIT]]="","-",VLOOKUP(compras_mes6[[#This Row],[CUIT]],Lista_CUIT[#All],3,0)),"CUIT NO CARGADO")</f>
        <v>Hon. Juridicos</v>
      </c>
      <c r="R99" s="550">
        <f>IFERROR(IF(compras_mes6[[#This Row],[CUIT]]="","-",VLOOKUP(compras_mes6[[#This Row],[CUIT]],Lista_CUIT[#All],4,0)),"CUIT NO CARGADO")</f>
        <v>0</v>
      </c>
    </row>
    <row r="100" spans="2:18" x14ac:dyDescent="0.25">
      <c r="B100" s="541"/>
      <c r="C100" s="542"/>
      <c r="D100" s="543"/>
      <c r="E100" s="544"/>
      <c r="F100" s="545">
        <v>30711764921</v>
      </c>
      <c r="G100" s="546" t="str">
        <f>IFERROR(IF(compras_mes6[[#This Row],[CUIT]]="","-",VLOOKUP(compras_mes6[[#This Row],[CUIT]],Lista_CUIT[#All],2,0)),"CUIT NO CARGADO")</f>
        <v>RELIEF CENTER SRL</v>
      </c>
      <c r="H100" s="547">
        <v>40800</v>
      </c>
      <c r="I100" s="548">
        <f>IF(compras_mes6[[#This Row],[NETO GRAVADO]]="","",compras_mes6[[#This Row],[NETO GRAVADO]]*0.21)</f>
        <v>8568</v>
      </c>
      <c r="J100" s="548"/>
      <c r="K100" s="548"/>
      <c r="L100" s="548"/>
      <c r="M100" s="548"/>
      <c r="N100" s="548">
        <v>0</v>
      </c>
      <c r="O100" s="548">
        <v>0</v>
      </c>
      <c r="P100" s="549">
        <f>SUM(compras_mes6[[#This Row],[NETO GRAVADO]:[Otros / No Grav.]])</f>
        <v>49368</v>
      </c>
      <c r="Q100" s="550" t="str">
        <f>IFERROR(IF(compras_mes6[[#This Row],[CUIT]]="","-",VLOOKUP(compras_mes6[[#This Row],[CUIT]],Lista_CUIT[#All],3,0)),"CUIT NO CARGADO")</f>
        <v>INSUMO</v>
      </c>
      <c r="R100" s="550">
        <f>IFERROR(IF(compras_mes6[[#This Row],[CUIT]]="","-",VLOOKUP(compras_mes6[[#This Row],[CUIT]],Lista_CUIT[#All],4,0)),"CUIT NO CARGADO")</f>
        <v>0</v>
      </c>
    </row>
    <row r="101" spans="2:18" x14ac:dyDescent="0.25">
      <c r="B101" s="541"/>
      <c r="C101" s="542"/>
      <c r="D101" s="543"/>
      <c r="E101" s="544"/>
      <c r="F101" s="545">
        <v>30695243673</v>
      </c>
      <c r="G101" s="546" t="str">
        <f>IFERROR(IF(compras_mes6[[#This Row],[CUIT]]="","-",VLOOKUP(compras_mes6[[#This Row],[CUIT]],Lista_CUIT[#All],2,0)),"CUIT NO CARGADO")</f>
        <v>YAPAY SRL</v>
      </c>
      <c r="H101" s="547">
        <v>82775.11</v>
      </c>
      <c r="I101" s="548">
        <f>IF(compras_mes6[[#This Row],[NETO GRAVADO]]="","",compras_mes6[[#This Row],[NETO GRAVADO]]*0.21)</f>
        <v>17382.773099999999</v>
      </c>
      <c r="J101" s="548"/>
      <c r="K101" s="548"/>
      <c r="L101" s="548"/>
      <c r="M101" s="548"/>
      <c r="N101" s="548">
        <v>3311</v>
      </c>
      <c r="O101" s="548">
        <v>12348.55</v>
      </c>
      <c r="P101" s="549">
        <f>SUM(compras_mes6[[#This Row],[NETO GRAVADO]:[Otros / No Grav.]])</f>
        <v>115817.43310000001</v>
      </c>
      <c r="Q101" s="550" t="str">
        <f>IFERROR(IF(compras_mes6[[#This Row],[CUIT]]="","-",VLOOKUP(compras_mes6[[#This Row],[CUIT]],Lista_CUIT[#All],3,0)),"CUIT NO CARGADO")</f>
        <v>COMBUSTIBLE</v>
      </c>
      <c r="R101" s="550">
        <f>IFERROR(IF(compras_mes6[[#This Row],[CUIT]]="","-",VLOOKUP(compras_mes6[[#This Row],[CUIT]],Lista_CUIT[#All],4,0)),"CUIT NO CARGADO")</f>
        <v>0</v>
      </c>
    </row>
    <row r="102" spans="2:18" x14ac:dyDescent="0.25">
      <c r="B102" s="541"/>
      <c r="C102" s="542"/>
      <c r="D102" s="543"/>
      <c r="E102" s="544"/>
      <c r="F102" s="545">
        <v>30708847247</v>
      </c>
      <c r="G102" s="546" t="str">
        <f>IFERROR(IF(compras_mes6[[#This Row],[CUIT]]="","-",VLOOKUP(compras_mes6[[#This Row],[CUIT]],Lista_CUIT[#All],2,0)),"CUIT NO CARGADO")</f>
        <v>TOAGRA SRL</v>
      </c>
      <c r="H102" s="547">
        <v>17696.36</v>
      </c>
      <c r="I102" s="548">
        <f>IF(compras_mes6[[#This Row],[NETO GRAVADO]]="","",compras_mes6[[#This Row],[NETO GRAVADO]]*0.21)</f>
        <v>3716.2356</v>
      </c>
      <c r="J102" s="548"/>
      <c r="K102" s="548"/>
      <c r="L102" s="548"/>
      <c r="M102" s="548"/>
      <c r="N102" s="548">
        <v>707.85</v>
      </c>
      <c r="O102" s="548">
        <v>0</v>
      </c>
      <c r="P102" s="549">
        <f>SUM(compras_mes6[[#This Row],[NETO GRAVADO]:[Otros / No Grav.]])</f>
        <v>22120.445599999999</v>
      </c>
      <c r="Q102" s="550" t="str">
        <f>IFERROR(IF(compras_mes6[[#This Row],[CUIT]]="","-",VLOOKUP(compras_mes6[[#This Row],[CUIT]],Lista_CUIT[#All],3,0)),"CUIT NO CARGADO")</f>
        <v>FLETE</v>
      </c>
      <c r="R102" s="550">
        <f>IFERROR(IF(compras_mes6[[#This Row],[CUIT]]="","-",VLOOKUP(compras_mes6[[#This Row],[CUIT]],Lista_CUIT[#All],4,0)),"CUIT NO CARGADO")</f>
        <v>0</v>
      </c>
    </row>
    <row r="103" spans="2:18" x14ac:dyDescent="0.25">
      <c r="B103" s="541"/>
      <c r="C103" s="542"/>
      <c r="D103" s="543"/>
      <c r="E103" s="544"/>
      <c r="F103" s="545">
        <v>30712289046</v>
      </c>
      <c r="G103" s="546" t="str">
        <f>IFERROR(IF(compras_mes6[[#This Row],[CUIT]]="","-",VLOOKUP(compras_mes6[[#This Row],[CUIT]],Lista_CUIT[#All],2,0)),"CUIT NO CARGADO")</f>
        <v>IMPIERI, PIÑEIIRO, R  Y A SA</v>
      </c>
      <c r="H103" s="547">
        <v>36786.71</v>
      </c>
      <c r="I103" s="548">
        <f>IF(compras_mes6[[#This Row],[NETO GRAVADO]]="","",compras_mes6[[#This Row],[NETO GRAVADO]]*0.21)</f>
        <v>7725.2090999999991</v>
      </c>
      <c r="J103" s="548"/>
      <c r="K103" s="548"/>
      <c r="L103" s="548"/>
      <c r="M103" s="548"/>
      <c r="N103" s="548">
        <v>0</v>
      </c>
      <c r="O103" s="548">
        <v>0</v>
      </c>
      <c r="P103" s="549">
        <f>SUM(compras_mes6[[#This Row],[NETO GRAVADO]:[Otros / No Grav.]])</f>
        <v>44511.919099999999</v>
      </c>
      <c r="Q103" s="550" t="str">
        <f>IFERROR(IF(compras_mes6[[#This Row],[CUIT]]="","-",VLOOKUP(compras_mes6[[#This Row],[CUIT]],Lista_CUIT[#All],3,0)),"CUIT NO CARGADO")</f>
        <v>COMBUSTIBLE</v>
      </c>
      <c r="R103" s="550">
        <f>IFERROR(IF(compras_mes6[[#This Row],[CUIT]]="","-",VLOOKUP(compras_mes6[[#This Row],[CUIT]],Lista_CUIT[#All],4,0)),"CUIT NO CARGADO")</f>
        <v>0</v>
      </c>
    </row>
    <row r="104" spans="2:18" x14ac:dyDescent="0.25">
      <c r="B104" s="541"/>
      <c r="C104" s="542"/>
      <c r="D104" s="543"/>
      <c r="E104" s="544"/>
      <c r="F104" s="545">
        <v>30714331082</v>
      </c>
      <c r="G104" s="546" t="str">
        <f>IFERROR(IF(compras_mes6[[#This Row],[CUIT]]="","-",VLOOKUP(compras_mes6[[#This Row],[CUIT]],Lista_CUIT[#All],2,0)),"CUIT NO CARGADO")</f>
        <v>ORTOPEDIA CASA ESCALADA SRL</v>
      </c>
      <c r="H104" s="547">
        <v>86808.33</v>
      </c>
      <c r="I104" s="548">
        <f>IF(compras_mes6[[#This Row],[NETO GRAVADO]]="","",compras_mes6[[#This Row],[NETO GRAVADO]]*0.21)</f>
        <v>18229.749299999999</v>
      </c>
      <c r="J104" s="548"/>
      <c r="K104" s="548"/>
      <c r="L104" s="548"/>
      <c r="M104" s="548"/>
      <c r="N104" s="548">
        <v>0</v>
      </c>
      <c r="O104" s="548">
        <v>0</v>
      </c>
      <c r="P104" s="549">
        <f>SUM(compras_mes6[[#This Row],[NETO GRAVADO]:[Otros / No Grav.]])</f>
        <v>105038.0793</v>
      </c>
      <c r="Q104" s="550" t="str">
        <f>IFERROR(IF(compras_mes6[[#This Row],[CUIT]]="","-",VLOOKUP(compras_mes6[[#This Row],[CUIT]],Lista_CUIT[#All],3,0)),"CUIT NO CARGADO")</f>
        <v>INSUMO</v>
      </c>
      <c r="R104" s="550">
        <f>IFERROR(IF(compras_mes6[[#This Row],[CUIT]]="","-",VLOOKUP(compras_mes6[[#This Row],[CUIT]],Lista_CUIT[#All],4,0)),"CUIT NO CARGADO")</f>
        <v>0</v>
      </c>
    </row>
    <row r="105" spans="2:18" x14ac:dyDescent="0.25">
      <c r="B105" s="541"/>
      <c r="C105" s="542"/>
      <c r="D105" s="543"/>
      <c r="E105" s="544"/>
      <c r="F105" s="545">
        <v>30712187316</v>
      </c>
      <c r="G105" s="546" t="str">
        <f>IFERROR(IF(compras_mes6[[#This Row],[CUIT]]="","-",VLOOKUP(compras_mes6[[#This Row],[CUIT]],Lista_CUIT[#All],2,0)),"CUIT NO CARGADO")</f>
        <v>ITALOMED PRODUCTOS SRL</v>
      </c>
      <c r="H105" s="547">
        <v>130414.87</v>
      </c>
      <c r="I105" s="548">
        <f>IF(compras_mes6[[#This Row],[NETO GRAVADO]]="","",compras_mes6[[#This Row],[NETO GRAVADO]]*0.21)</f>
        <v>27387.122699999996</v>
      </c>
      <c r="J105" s="548"/>
      <c r="K105" s="548"/>
      <c r="L105" s="548"/>
      <c r="M105" s="548"/>
      <c r="N105" s="548">
        <v>0</v>
      </c>
      <c r="O105" s="548">
        <v>0</v>
      </c>
      <c r="P105" s="549">
        <f>SUM(compras_mes6[[#This Row],[NETO GRAVADO]:[Otros / No Grav.]])</f>
        <v>157801.9927</v>
      </c>
      <c r="Q105" s="550" t="str">
        <f>IFERROR(IF(compras_mes6[[#This Row],[CUIT]]="","-",VLOOKUP(compras_mes6[[#This Row],[CUIT]],Lista_CUIT[#All],3,0)),"CUIT NO CARGADO")</f>
        <v>INSUMO</v>
      </c>
      <c r="R105" s="550">
        <f>IFERROR(IF(compras_mes6[[#This Row],[CUIT]]="","-",VLOOKUP(compras_mes6[[#This Row],[CUIT]],Lista_CUIT[#All],4,0)),"CUIT NO CARGADO")</f>
        <v>0</v>
      </c>
    </row>
    <row r="106" spans="2:18" x14ac:dyDescent="0.25">
      <c r="B106" s="541"/>
      <c r="C106" s="542"/>
      <c r="D106" s="543"/>
      <c r="E106" s="544"/>
      <c r="F106" s="545">
        <v>30715804812</v>
      </c>
      <c r="G106" s="546" t="str">
        <f>IFERROR(IF(compras_mes6[[#This Row],[CUIT]]="","-",VLOOKUP(compras_mes6[[#This Row],[CUIT]],Lista_CUIT[#All],2,0)),"CUIT NO CARGADO")</f>
        <v>CORREDORES VIALES SOCIEDAD ANONIMA</v>
      </c>
      <c r="H106" s="547">
        <v>30991.47</v>
      </c>
      <c r="I106" s="548">
        <f>IF(compras_mes6[[#This Row],[NETO GRAVADO]]="","",compras_mes6[[#This Row],[NETO GRAVADO]]*0.21)</f>
        <v>6508.2087000000001</v>
      </c>
      <c r="J106" s="548"/>
      <c r="K106" s="548"/>
      <c r="L106" s="548"/>
      <c r="M106" s="548"/>
      <c r="N106" s="548">
        <v>1239.6500000000001</v>
      </c>
      <c r="O106" s="548">
        <v>0</v>
      </c>
      <c r="P106" s="549">
        <f>SUM(compras_mes6[[#This Row],[NETO GRAVADO]:[Otros / No Grav.]])</f>
        <v>38739.328700000005</v>
      </c>
      <c r="Q106" s="550" t="str">
        <f>IFERROR(IF(compras_mes6[[#This Row],[CUIT]]="","-",VLOOKUP(compras_mes6[[#This Row],[CUIT]],Lista_CUIT[#All],3,0)),"CUIT NO CARGADO")</f>
        <v>Autopista</v>
      </c>
      <c r="R106" s="550">
        <f>IFERROR(IF(compras_mes6[[#This Row],[CUIT]]="","-",VLOOKUP(compras_mes6[[#This Row],[CUIT]],Lista_CUIT[#All],4,0)),"CUIT NO CARGADO")</f>
        <v>0</v>
      </c>
    </row>
    <row r="107" spans="2:18" x14ac:dyDescent="0.25">
      <c r="B107" s="541"/>
      <c r="C107" s="542"/>
      <c r="D107" s="543"/>
      <c r="E107" s="544"/>
      <c r="F107" s="545">
        <v>30711229090</v>
      </c>
      <c r="G107" s="546" t="str">
        <f>IFERROR(IF(compras_mes6[[#This Row],[CUIT]]="","-",VLOOKUP(compras_mes6[[#This Row],[CUIT]],Lista_CUIT[#All],2,0)),"CUIT NO CARGADO")</f>
        <v>LOS PREMIOS SA</v>
      </c>
      <c r="H107" s="547">
        <v>16363.64</v>
      </c>
      <c r="I107" s="548">
        <f>IF(compras_mes6[[#This Row],[NETO GRAVADO]]="","",compras_mes6[[#This Row],[NETO GRAVADO]]*0.21)</f>
        <v>3436.3643999999999</v>
      </c>
      <c r="J107" s="548"/>
      <c r="K107" s="548"/>
      <c r="L107" s="548"/>
      <c r="M107" s="548"/>
      <c r="N107" s="548">
        <v>0</v>
      </c>
      <c r="O107" s="548">
        <v>0</v>
      </c>
      <c r="P107" s="549">
        <f>SUM(compras_mes6[[#This Row],[NETO GRAVADO]:[Otros / No Grav.]])</f>
        <v>19800.004399999998</v>
      </c>
      <c r="Q107" s="550" t="str">
        <f>IFERROR(IF(compras_mes6[[#This Row],[CUIT]]="","-",VLOOKUP(compras_mes6[[#This Row],[CUIT]],Lista_CUIT[#All],3,0)),"CUIT NO CARGADO")</f>
        <v>Catering</v>
      </c>
      <c r="R107" s="550">
        <f>IFERROR(IF(compras_mes6[[#This Row],[CUIT]]="","-",VLOOKUP(compras_mes6[[#This Row],[CUIT]],Lista_CUIT[#All],4,0)),"CUIT NO CARGADO")</f>
        <v>0</v>
      </c>
    </row>
    <row r="108" spans="2:18" x14ac:dyDescent="0.25">
      <c r="B108" s="541"/>
      <c r="C108" s="542"/>
      <c r="D108" s="543"/>
      <c r="E108" s="544"/>
      <c r="F108" s="545">
        <v>20929183143</v>
      </c>
      <c r="G108" s="546" t="str">
        <f>IFERROR(IF(compras_mes6[[#This Row],[CUIT]]="","-",VLOOKUP(compras_mes6[[#This Row],[CUIT]],Lista_CUIT[#All],2,0)),"CUIT NO CARGADO")</f>
        <v>MA JUN</v>
      </c>
      <c r="H108" s="547">
        <v>85000</v>
      </c>
      <c r="I108" s="548">
        <f>IF(compras_mes6[[#This Row],[NETO GRAVADO]]="","",compras_mes6[[#This Row],[NETO GRAVADO]]*0.21)</f>
        <v>17850</v>
      </c>
      <c r="J108" s="548"/>
      <c r="K108" s="548"/>
      <c r="L108" s="548"/>
      <c r="M108" s="548"/>
      <c r="N108" s="548">
        <v>0</v>
      </c>
      <c r="O108" s="548">
        <v>0</v>
      </c>
      <c r="P108" s="549">
        <f>SUM(compras_mes6[[#This Row],[NETO GRAVADO]:[Otros / No Grav.]])</f>
        <v>102850</v>
      </c>
      <c r="Q108" s="550" t="str">
        <f>IFERROR(IF(compras_mes6[[#This Row],[CUIT]]="","-",VLOOKUP(compras_mes6[[#This Row],[CUIT]],Lista_CUIT[#All],3,0)),"CUIT NO CARGADO")</f>
        <v>Gastos Varios</v>
      </c>
      <c r="R108" s="550">
        <f>IFERROR(IF(compras_mes6[[#This Row],[CUIT]]="","-",VLOOKUP(compras_mes6[[#This Row],[CUIT]],Lista_CUIT[#All],4,0)),"CUIT NO CARGADO")</f>
        <v>0</v>
      </c>
    </row>
    <row r="109" spans="2:18" x14ac:dyDescent="0.25">
      <c r="B109" s="541"/>
      <c r="C109" s="542"/>
      <c r="D109" s="543"/>
      <c r="E109" s="544"/>
      <c r="F109" s="545">
        <v>30710177658</v>
      </c>
      <c r="G109" s="546" t="str">
        <f>IFERROR(IF(compras_mes6[[#This Row],[CUIT]]="","-",VLOOKUP(compras_mes6[[#This Row],[CUIT]],Lista_CUIT[#All],2,0)),"CUIT NO CARGADO")</f>
        <v>TARGET MEDICAL SA</v>
      </c>
      <c r="H109" s="547">
        <v>1800000</v>
      </c>
      <c r="I109" s="548"/>
      <c r="J109" s="548"/>
      <c r="K109" s="548">
        <f>compras_mes6[[#This Row],[NETO GRAVADO]]*0.105</f>
        <v>189000</v>
      </c>
      <c r="L109" s="548"/>
      <c r="M109" s="548"/>
      <c r="N109" s="548">
        <v>0</v>
      </c>
      <c r="O109" s="548">
        <v>0</v>
      </c>
      <c r="P109" s="549">
        <f>SUM(compras_mes6[[#This Row],[NETO GRAVADO]:[Otros / No Grav.]])</f>
        <v>1989000</v>
      </c>
      <c r="Q109" s="550" t="str">
        <f>IFERROR(IF(compras_mes6[[#This Row],[CUIT]]="","-",VLOOKUP(compras_mes6[[#This Row],[CUIT]],Lista_CUIT[#All],3,0)),"CUIT NO CARGADO")</f>
        <v>INSUMO</v>
      </c>
      <c r="R109" s="550">
        <f>IFERROR(IF(compras_mes6[[#This Row],[CUIT]]="","-",VLOOKUP(compras_mes6[[#This Row],[CUIT]],Lista_CUIT[#All],4,0)),"CUIT NO CARGADO")</f>
        <v>0</v>
      </c>
    </row>
    <row r="110" spans="2:18" x14ac:dyDescent="0.25">
      <c r="B110" s="541"/>
      <c r="C110" s="542"/>
      <c r="D110" s="543"/>
      <c r="E110" s="544"/>
      <c r="F110" s="545">
        <v>30677420622</v>
      </c>
      <c r="G110" s="546" t="str">
        <f>IFERROR(IF(compras_mes6[[#This Row],[CUIT]]="","-",VLOOKUP(compras_mes6[[#This Row],[CUIT]],Lista_CUIT[#All],2,0)),"CUIT NO CARGADO")</f>
        <v>PAÑALERA NORTE S R L</v>
      </c>
      <c r="H110" s="547">
        <v>7438.02</v>
      </c>
      <c r="I110" s="548">
        <f>IF(compras_mes6[[#This Row],[NETO GRAVADO]]="","",compras_mes6[[#This Row],[NETO GRAVADO]]*0.21)</f>
        <v>1561.9842000000001</v>
      </c>
      <c r="J110" s="548"/>
      <c r="K110" s="548"/>
      <c r="L110" s="548"/>
      <c r="M110" s="548"/>
      <c r="N110" s="548">
        <v>0</v>
      </c>
      <c r="O110" s="548">
        <v>0</v>
      </c>
      <c r="P110" s="549">
        <f>SUM(compras_mes6[[#This Row],[NETO GRAVADO]:[Otros / No Grav.]])</f>
        <v>9000.0042000000012</v>
      </c>
      <c r="Q110" s="550" t="str">
        <f>IFERROR(IF(compras_mes6[[#This Row],[CUIT]]="","-",VLOOKUP(compras_mes6[[#This Row],[CUIT]],Lista_CUIT[#All],3,0)),"CUIT NO CARGADO")</f>
        <v>Gastos Varios</v>
      </c>
      <c r="R110" s="550">
        <f>IFERROR(IF(compras_mes6[[#This Row],[CUIT]]="","-",VLOOKUP(compras_mes6[[#This Row],[CUIT]],Lista_CUIT[#All],4,0)),"CUIT NO CARGADO")</f>
        <v>0</v>
      </c>
    </row>
    <row r="111" spans="2:18" x14ac:dyDescent="0.25">
      <c r="B111" s="541"/>
      <c r="C111" s="542"/>
      <c r="D111" s="543"/>
      <c r="E111" s="544"/>
      <c r="F111" s="545">
        <v>30712289046</v>
      </c>
      <c r="G111" s="546" t="str">
        <f>IFERROR(IF(compras_mes6[[#This Row],[CUIT]]="","-",VLOOKUP(compras_mes6[[#This Row],[CUIT]],Lista_CUIT[#All],2,0)),"CUIT NO CARGADO")</f>
        <v>IMPIERI, PIÑEIIRO, R  Y A SA</v>
      </c>
      <c r="H111" s="547">
        <v>22072.05</v>
      </c>
      <c r="I111" s="548">
        <f>IF(compras_mes6[[#This Row],[NETO GRAVADO]]="","",compras_mes6[[#This Row],[NETO GRAVADO]]*0.21)</f>
        <v>4635.1304999999993</v>
      </c>
      <c r="J111" s="548"/>
      <c r="K111" s="548"/>
      <c r="L111" s="548"/>
      <c r="M111" s="548"/>
      <c r="N111" s="548">
        <v>0</v>
      </c>
      <c r="O111" s="548">
        <v>0</v>
      </c>
      <c r="P111" s="549">
        <f>SUM(compras_mes6[[#This Row],[NETO GRAVADO]:[Otros / No Grav.]])</f>
        <v>26707.180499999999</v>
      </c>
      <c r="Q111" s="550" t="str">
        <f>IFERROR(IF(compras_mes6[[#This Row],[CUIT]]="","-",VLOOKUP(compras_mes6[[#This Row],[CUIT]],Lista_CUIT[#All],3,0)),"CUIT NO CARGADO")</f>
        <v>COMBUSTIBLE</v>
      </c>
      <c r="R111" s="550">
        <f>IFERROR(IF(compras_mes6[[#This Row],[CUIT]]="","-",VLOOKUP(compras_mes6[[#This Row],[CUIT]],Lista_CUIT[#All],4,0)),"CUIT NO CARGADO")</f>
        <v>0</v>
      </c>
    </row>
    <row r="112" spans="2:18" x14ac:dyDescent="0.25">
      <c r="B112" s="541"/>
      <c r="C112" s="542"/>
      <c r="D112" s="543"/>
      <c r="E112" s="544"/>
      <c r="F112" s="545">
        <v>30715141201</v>
      </c>
      <c r="G112" s="546" t="str">
        <f>IFERROR(IF(compras_mes6[[#This Row],[CUIT]]="","-",VLOOKUP(compras_mes6[[#This Row],[CUIT]],Lista_CUIT[#All],2,0)),"CUIT NO CARGADO")</f>
        <v>REHAB SRL</v>
      </c>
      <c r="H112" s="547">
        <v>5885673.75</v>
      </c>
      <c r="I112" s="548">
        <f>IF(compras_mes6[[#This Row],[NETO GRAVADO]]="","",compras_mes6[[#This Row],[NETO GRAVADO]]*0.21)</f>
        <v>1235991.4875</v>
      </c>
      <c r="J112" s="548"/>
      <c r="K112" s="548"/>
      <c r="L112" s="548"/>
      <c r="M112" s="548"/>
      <c r="N112" s="548">
        <v>0</v>
      </c>
      <c r="O112" s="548">
        <v>0</v>
      </c>
      <c r="P112" s="549">
        <f>SUM(compras_mes6[[#This Row],[NETO GRAVADO]:[Otros / No Grav.]])</f>
        <v>7121665.2374999998</v>
      </c>
      <c r="Q112" s="550" t="str">
        <f>IFERROR(IF(compras_mes6[[#This Row],[CUIT]]="","-",VLOOKUP(compras_mes6[[#This Row],[CUIT]],Lista_CUIT[#All],3,0)),"CUIT NO CARGADO")</f>
        <v>INSUMO</v>
      </c>
      <c r="R112" s="550">
        <f>IFERROR(IF(compras_mes6[[#This Row],[CUIT]]="","-",VLOOKUP(compras_mes6[[#This Row],[CUIT]],Lista_CUIT[#All],4,0)),"CUIT NO CARGADO")</f>
        <v>0</v>
      </c>
    </row>
    <row r="113" spans="2:18" x14ac:dyDescent="0.25">
      <c r="B113" s="223"/>
      <c r="C113" s="505"/>
      <c r="D113" s="506"/>
      <c r="E113" s="507"/>
      <c r="F113" s="508">
        <v>30715141201</v>
      </c>
      <c r="G113" s="509" t="str">
        <f>IFERROR(IF(compras_mes6[[#This Row],[CUIT]]="","-",VLOOKUP(compras_mes6[[#This Row],[CUIT]],Lista_CUIT[#All],2,0)),"CUIT NO CARGADO")</f>
        <v>REHAB SRL</v>
      </c>
      <c r="H113" s="510">
        <v>561948.75</v>
      </c>
      <c r="I113" s="224">
        <f>IF(compras_mes6[[#This Row],[NETO GRAVADO]]="","",compras_mes6[[#This Row],[NETO GRAVADO]]*0.21)</f>
        <v>118009.23749999999</v>
      </c>
      <c r="J113" s="224"/>
      <c r="K113" s="224"/>
      <c r="L113" s="224"/>
      <c r="M113" s="224"/>
      <c r="N113" s="224">
        <v>0</v>
      </c>
      <c r="O113" s="224">
        <v>0</v>
      </c>
      <c r="P113" s="511">
        <f>SUM(compras_mes6[[#This Row],[NETO GRAVADO]:[Otros / No Grav.]])</f>
        <v>679957.98750000005</v>
      </c>
      <c r="Q113" s="512" t="str">
        <f>IFERROR(IF(compras_mes6[[#This Row],[CUIT]]="","-",VLOOKUP(compras_mes6[[#This Row],[CUIT]],Lista_CUIT[#All],3,0)),"CUIT NO CARGADO")</f>
        <v>INSUMO</v>
      </c>
      <c r="R113" s="512">
        <f>IFERROR(IF(compras_mes6[[#This Row],[CUIT]]="","-",VLOOKUP(compras_mes6[[#This Row],[CUIT]],Lista_CUIT[#All],4,0)),"CUIT NO CARGADO")</f>
        <v>0</v>
      </c>
    </row>
    <row r="114" spans="2:18" x14ac:dyDescent="0.25">
      <c r="B114" s="223"/>
      <c r="C114" s="505"/>
      <c r="D114" s="506"/>
      <c r="E114" s="507"/>
      <c r="F114" s="508">
        <v>20272865869</v>
      </c>
      <c r="G114" s="509" t="str">
        <f>IFERROR(IF(compras_mes6[[#This Row],[CUIT]]="","-",VLOOKUP(compras_mes6[[#This Row],[CUIT]],Lista_CUIT[#All],2,0)),"CUIT NO CARGADO")</f>
        <v>DI FEO MARTIN EZEQUIEL</v>
      </c>
      <c r="H114" s="510">
        <v>40300</v>
      </c>
      <c r="I114" s="224">
        <f>IF(compras_mes6[[#This Row],[NETO GRAVADO]]="","",compras_mes6[[#This Row],[NETO GRAVADO]]*0.21)</f>
        <v>8463</v>
      </c>
      <c r="J114" s="224"/>
      <c r="K114" s="224"/>
      <c r="L114" s="224"/>
      <c r="M114" s="224"/>
      <c r="N114" s="224">
        <v>0</v>
      </c>
      <c r="O114" s="224">
        <v>0</v>
      </c>
      <c r="P114" s="511">
        <f>SUM(compras_mes6[[#This Row],[NETO GRAVADO]:[Otros / No Grav.]])</f>
        <v>48763</v>
      </c>
      <c r="Q114" s="512" t="str">
        <f>IFERROR(IF(compras_mes6[[#This Row],[CUIT]]="","-",VLOOKUP(compras_mes6[[#This Row],[CUIT]],Lista_CUIT[#All],3,0)),"CUIT NO CARGADO")</f>
        <v>INSUMOS</v>
      </c>
      <c r="R114" s="512">
        <f>IFERROR(IF(compras_mes6[[#This Row],[CUIT]]="","-",VLOOKUP(compras_mes6[[#This Row],[CUIT]],Lista_CUIT[#All],4,0)),"CUIT NO CARGADO")</f>
        <v>0</v>
      </c>
    </row>
    <row r="115" spans="2:18" x14ac:dyDescent="0.25">
      <c r="B115" s="223"/>
      <c r="C115" s="41"/>
      <c r="D115" s="506"/>
      <c r="E115" s="507"/>
      <c r="F115" s="508">
        <v>20284183534</v>
      </c>
      <c r="G115" s="509" t="str">
        <f>IFERROR(IF(compras_mes6[[#This Row],[CUIT]]="","-",VLOOKUP(compras_mes6[[#This Row],[CUIT]],Lista_CUIT[#All],2,0)),"CUIT NO CARGADO")</f>
        <v>FURLANETTO MARTIN</v>
      </c>
      <c r="H115" s="510">
        <v>1900.83</v>
      </c>
      <c r="I115" s="224">
        <f>IF(compras_mes6[[#This Row],[NETO GRAVADO]]="","",compras_mes6[[#This Row],[NETO GRAVADO]]*0.21)</f>
        <v>399.17429999999996</v>
      </c>
      <c r="J115" s="224"/>
      <c r="K115" s="224"/>
      <c r="L115" s="224"/>
      <c r="M115" s="224"/>
      <c r="N115" s="224">
        <v>0</v>
      </c>
      <c r="O115" s="224">
        <v>0</v>
      </c>
      <c r="P115" s="511">
        <f>SUM(compras_mes6[[#This Row],[NETO GRAVADO]:[Otros / No Grav.]])</f>
        <v>2300.0043000000001</v>
      </c>
      <c r="Q115" s="512" t="str">
        <f>IFERROR(IF(compras_mes6[[#This Row],[CUIT]]="","-",VLOOKUP(compras_mes6[[#This Row],[CUIT]],Lista_CUIT[#All],3,0)),"CUIT NO CARGADO")</f>
        <v>gastos varios</v>
      </c>
      <c r="R115" s="512">
        <f>IFERROR(IF(compras_mes6[[#This Row],[CUIT]]="","-",VLOOKUP(compras_mes6[[#This Row],[CUIT]],Lista_CUIT[#All],4,0)),"CUIT NO CARGADO")</f>
        <v>0</v>
      </c>
    </row>
    <row r="116" spans="2:18" x14ac:dyDescent="0.25">
      <c r="B116" s="223"/>
      <c r="C116" s="505"/>
      <c r="D116" s="506"/>
      <c r="E116" s="507"/>
      <c r="F116" s="508">
        <v>20284183534</v>
      </c>
      <c r="G116" s="509" t="str">
        <f>IFERROR(IF(compras_mes6[[#This Row],[CUIT]]="","-",VLOOKUP(compras_mes6[[#This Row],[CUIT]],Lista_CUIT[#All],2,0)),"CUIT NO CARGADO")</f>
        <v>FURLANETTO MARTIN</v>
      </c>
      <c r="H116" s="510">
        <v>2644.63</v>
      </c>
      <c r="I116" s="224">
        <f>IF(compras_mes6[[#This Row],[NETO GRAVADO]]="","",compras_mes6[[#This Row],[NETO GRAVADO]]*0.21)</f>
        <v>555.3723</v>
      </c>
      <c r="J116" s="224"/>
      <c r="K116" s="224"/>
      <c r="L116" s="224"/>
      <c r="M116" s="224"/>
      <c r="N116" s="224">
        <v>0</v>
      </c>
      <c r="O116" s="224">
        <v>0</v>
      </c>
      <c r="P116" s="511">
        <f>SUM(compras_mes6[[#This Row],[NETO GRAVADO]:[Otros / No Grav.]])</f>
        <v>3200.0023000000001</v>
      </c>
      <c r="Q116" s="512" t="str">
        <f>IFERROR(IF(compras_mes6[[#This Row],[CUIT]]="","-",VLOOKUP(compras_mes6[[#This Row],[CUIT]],Lista_CUIT[#All],3,0)),"CUIT NO CARGADO")</f>
        <v>gastos varios</v>
      </c>
      <c r="R116" s="512">
        <f>IFERROR(IF(compras_mes6[[#This Row],[CUIT]]="","-",VLOOKUP(compras_mes6[[#This Row],[CUIT]],Lista_CUIT[#All],4,0)),"CUIT NO CARGADO")</f>
        <v>0</v>
      </c>
    </row>
    <row r="117" spans="2:18" x14ac:dyDescent="0.25">
      <c r="B117" s="223"/>
      <c r="C117" s="505"/>
      <c r="D117" s="506"/>
      <c r="E117" s="507"/>
      <c r="F117" s="508">
        <v>30716566060</v>
      </c>
      <c r="G117" s="509" t="str">
        <f>IFERROR(IF(compras_mes6[[#This Row],[CUIT]]="","-",VLOOKUP(compras_mes6[[#This Row],[CUIT]],Lista_CUIT[#All],2,0)),"CUIT NO CARGADO")</f>
        <v>SINEBI SRL</v>
      </c>
      <c r="H117" s="510">
        <v>223374.13</v>
      </c>
      <c r="I117" s="224"/>
      <c r="J117" s="224"/>
      <c r="K117" s="224">
        <f>compras_mes6[[#This Row],[NETO GRAVADO]]*0.105</f>
        <v>23454.283650000001</v>
      </c>
      <c r="L117" s="224"/>
      <c r="M117" s="224"/>
      <c r="N117" s="224">
        <v>0</v>
      </c>
      <c r="O117" s="224">
        <v>0</v>
      </c>
      <c r="P117" s="511">
        <f>SUM(compras_mes6[[#This Row],[NETO GRAVADO]:[Otros / No Grav.]])</f>
        <v>246828.41365</v>
      </c>
      <c r="Q117" s="512" t="str">
        <f>IFERROR(IF(compras_mes6[[#This Row],[CUIT]]="","-",VLOOKUP(compras_mes6[[#This Row],[CUIT]],Lista_CUIT[#All],3,0)),"CUIT NO CARGADO")</f>
        <v>Insumos</v>
      </c>
      <c r="R117" s="512">
        <f>IFERROR(IF(compras_mes6[[#This Row],[CUIT]]="","-",VLOOKUP(compras_mes6[[#This Row],[CUIT]],Lista_CUIT[#All],4,0)),"CUIT NO CARGADO")</f>
        <v>0</v>
      </c>
    </row>
    <row r="118" spans="2:18" x14ac:dyDescent="0.25">
      <c r="B118" s="223"/>
      <c r="C118" s="505"/>
      <c r="D118" s="506"/>
      <c r="E118" s="507"/>
      <c r="F118" s="508">
        <v>20291406212</v>
      </c>
      <c r="G118" s="509" t="str">
        <f>IFERROR(IF(compras_mes6[[#This Row],[CUIT]]="","-",VLOOKUP(compras_mes6[[#This Row],[CUIT]],Lista_CUIT[#All],2,0)),"CUIT NO CARGADO")</f>
        <v>BRACHETTA SEBASTIAN NICOLAS</v>
      </c>
      <c r="H118" s="510">
        <v>1972033.1</v>
      </c>
      <c r="I118" s="224">
        <f>IF(compras_mes6[[#This Row],[NETO GRAVADO]]="","",compras_mes6[[#This Row],[NETO GRAVADO]]*0.21)</f>
        <v>414126.951</v>
      </c>
      <c r="J118" s="224"/>
      <c r="K118" s="224"/>
      <c r="L118" s="224"/>
      <c r="M118" s="224"/>
      <c r="N118" s="224">
        <v>0</v>
      </c>
      <c r="O118" s="224">
        <v>0</v>
      </c>
      <c r="P118" s="511">
        <f>SUM(compras_mes6[[#This Row],[NETO GRAVADO]:[Otros / No Grav.]])</f>
        <v>2386160.051</v>
      </c>
      <c r="Q118" s="512" t="str">
        <f>IFERROR(IF(compras_mes6[[#This Row],[CUIT]]="","-",VLOOKUP(compras_mes6[[#This Row],[CUIT]],Lista_CUIT[#All],3,0)),"CUIT NO CARGADO")</f>
        <v>MERCADERIA</v>
      </c>
      <c r="R118" s="512">
        <f>IFERROR(IF(compras_mes6[[#This Row],[CUIT]]="","-",VLOOKUP(compras_mes6[[#This Row],[CUIT]],Lista_CUIT[#All],4,0)),"CUIT NO CARGADO")</f>
        <v>0</v>
      </c>
    </row>
    <row r="119" spans="2:18" x14ac:dyDescent="0.25">
      <c r="B119" s="223"/>
      <c r="C119" s="41"/>
      <c r="D119" s="506"/>
      <c r="E119" s="507"/>
      <c r="F119" s="508">
        <v>30695554628</v>
      </c>
      <c r="G119" s="509" t="str">
        <f>IFERROR(IF(compras_mes6[[#This Row],[CUIT]]="","-",VLOOKUP(compras_mes6[[#This Row],[CUIT]],Lista_CUIT[#All],2,0)),"CUIT NO CARGADO")</f>
        <v>LEF &amp; ASOCIADOS CONSULTING S A</v>
      </c>
      <c r="H119" s="510">
        <v>1203516.74</v>
      </c>
      <c r="I119" s="224"/>
      <c r="J119" s="224"/>
      <c r="K119" s="224">
        <f>compras_mes6[[#This Row],[NETO GRAVADO]]*0.105</f>
        <v>126369.25769999999</v>
      </c>
      <c r="L119" s="224"/>
      <c r="M119" s="224"/>
      <c r="N119" s="224">
        <v>0</v>
      </c>
      <c r="O119" s="224">
        <v>0</v>
      </c>
      <c r="P119" s="511">
        <f>SUM(compras_mes6[[#This Row],[NETO GRAVADO]:[Otros / No Grav.]])</f>
        <v>1329885.9976999999</v>
      </c>
      <c r="Q119" s="512" t="str">
        <f>IFERROR(IF(compras_mes6[[#This Row],[CUIT]]="","-",VLOOKUP(compras_mes6[[#This Row],[CUIT]],Lista_CUIT[#All],3,0)),"CUIT NO CARGADO")</f>
        <v>Prod. Ortopedicos</v>
      </c>
      <c r="R119" s="512">
        <f>IFERROR(IF(compras_mes6[[#This Row],[CUIT]]="","-",VLOOKUP(compras_mes6[[#This Row],[CUIT]],Lista_CUIT[#All],4,0)),"CUIT NO CARGADO")</f>
        <v>0</v>
      </c>
    </row>
    <row r="120" spans="2:18" x14ac:dyDescent="0.25">
      <c r="B120" s="223"/>
      <c r="C120" s="505"/>
      <c r="D120" s="506"/>
      <c r="E120" s="507"/>
      <c r="F120" s="508">
        <v>30712187316</v>
      </c>
      <c r="G120" s="509" t="str">
        <f>IFERROR(IF(compras_mes6[[#This Row],[CUIT]]="","-",VLOOKUP(compras_mes6[[#This Row],[CUIT]],Lista_CUIT[#All],2,0)),"CUIT NO CARGADO")</f>
        <v>ITALOMED PRODUCTOS SRL</v>
      </c>
      <c r="H120" s="510">
        <v>160022.24</v>
      </c>
      <c r="I120" s="224">
        <f>IF(compras_mes6[[#This Row],[NETO GRAVADO]]="","",compras_mes6[[#This Row],[NETO GRAVADO]]*0.21)</f>
        <v>33604.670399999995</v>
      </c>
      <c r="J120" s="224"/>
      <c r="K120" s="224"/>
      <c r="L120" s="224"/>
      <c r="M120" s="224"/>
      <c r="N120" s="224">
        <v>0</v>
      </c>
      <c r="O120" s="224">
        <v>0</v>
      </c>
      <c r="P120" s="511">
        <f>SUM(compras_mes6[[#This Row],[NETO GRAVADO]:[Otros / No Grav.]])</f>
        <v>193626.91039999999</v>
      </c>
      <c r="Q120" s="512" t="str">
        <f>IFERROR(IF(compras_mes6[[#This Row],[CUIT]]="","-",VLOOKUP(compras_mes6[[#This Row],[CUIT]],Lista_CUIT[#All],3,0)),"CUIT NO CARGADO")</f>
        <v>INSUMO</v>
      </c>
      <c r="R120" s="512">
        <f>IFERROR(IF(compras_mes6[[#This Row],[CUIT]]="","-",VLOOKUP(compras_mes6[[#This Row],[CUIT]],Lista_CUIT[#All],4,0)),"CUIT NO CARGADO")</f>
        <v>0</v>
      </c>
    </row>
    <row r="121" spans="2:18" x14ac:dyDescent="0.25">
      <c r="B121" s="223"/>
      <c r="C121" s="505"/>
      <c r="D121" s="506"/>
      <c r="E121" s="507"/>
      <c r="F121" s="508">
        <v>30711764921</v>
      </c>
      <c r="G121" s="509" t="str">
        <f>IFERROR(IF(compras_mes6[[#This Row],[CUIT]]="","-",VLOOKUP(compras_mes6[[#This Row],[CUIT]],Lista_CUIT[#All],2,0)),"CUIT NO CARGADO")</f>
        <v>RELIEF CENTER SRL</v>
      </c>
      <c r="H121" s="510">
        <v>93681</v>
      </c>
      <c r="I121" s="224">
        <f>IF(compras_mes6[[#This Row],[NETO GRAVADO]]="","",compras_mes6[[#This Row],[NETO GRAVADO]]*0.21)</f>
        <v>19673.009999999998</v>
      </c>
      <c r="J121" s="224"/>
      <c r="K121" s="224"/>
      <c r="L121" s="224"/>
      <c r="M121" s="224"/>
      <c r="N121" s="224">
        <v>0</v>
      </c>
      <c r="O121" s="224">
        <v>0</v>
      </c>
      <c r="P121" s="511">
        <f>SUM(compras_mes6[[#This Row],[NETO GRAVADO]:[Otros / No Grav.]])</f>
        <v>113354.01</v>
      </c>
      <c r="Q121" s="512" t="str">
        <f>IFERROR(IF(compras_mes6[[#This Row],[CUIT]]="","-",VLOOKUP(compras_mes6[[#This Row],[CUIT]],Lista_CUIT[#All],3,0)),"CUIT NO CARGADO")</f>
        <v>INSUMO</v>
      </c>
      <c r="R121" s="512">
        <f>IFERROR(IF(compras_mes6[[#This Row],[CUIT]]="","-",VLOOKUP(compras_mes6[[#This Row],[CUIT]],Lista_CUIT[#All],4,0)),"CUIT NO CARGADO")</f>
        <v>0</v>
      </c>
    </row>
    <row r="122" spans="2:18" x14ac:dyDescent="0.25">
      <c r="B122" s="223"/>
      <c r="C122" s="505"/>
      <c r="D122" s="506"/>
      <c r="E122" s="507"/>
      <c r="F122" s="508">
        <v>30708847247</v>
      </c>
      <c r="G122" s="509" t="str">
        <f>IFERROR(IF(compras_mes6[[#This Row],[CUIT]]="","-",VLOOKUP(compras_mes6[[#This Row],[CUIT]],Lista_CUIT[#All],2,0)),"CUIT NO CARGADO")</f>
        <v>TOAGRA SRL</v>
      </c>
      <c r="H122" s="510">
        <v>19467.240000000002</v>
      </c>
      <c r="I122" s="224">
        <f>IF(compras_mes6[[#This Row],[NETO GRAVADO]]="","",compras_mes6[[#This Row],[NETO GRAVADO]]*0.21)</f>
        <v>4088.1204000000002</v>
      </c>
      <c r="J122" s="224"/>
      <c r="K122" s="224"/>
      <c r="L122" s="224"/>
      <c r="M122" s="224"/>
      <c r="N122" s="224">
        <v>778.69</v>
      </c>
      <c r="O122" s="224">
        <v>0</v>
      </c>
      <c r="P122" s="511">
        <f>SUM(compras_mes6[[#This Row],[NETO GRAVADO]:[Otros / No Grav.]])</f>
        <v>24334.0504</v>
      </c>
      <c r="Q122" s="512" t="str">
        <f>IFERROR(IF(compras_mes6[[#This Row],[CUIT]]="","-",VLOOKUP(compras_mes6[[#This Row],[CUIT]],Lista_CUIT[#All],3,0)),"CUIT NO CARGADO")</f>
        <v>FLETE</v>
      </c>
      <c r="R122" s="512">
        <f>IFERROR(IF(compras_mes6[[#This Row],[CUIT]]="","-",VLOOKUP(compras_mes6[[#This Row],[CUIT]],Lista_CUIT[#All],4,0)),"CUIT NO CARGADO")</f>
        <v>0</v>
      </c>
    </row>
    <row r="123" spans="2:18" x14ac:dyDescent="0.25">
      <c r="B123" s="223"/>
      <c r="C123" s="505"/>
      <c r="D123" s="506"/>
      <c r="E123" s="507"/>
      <c r="F123" s="508">
        <v>20271532483</v>
      </c>
      <c r="G123" s="509" t="str">
        <f>IFERROR(IF(compras_mes6[[#This Row],[CUIT]]="","-",VLOOKUP(compras_mes6[[#This Row],[CUIT]],Lista_CUIT[#All],2,0)),"CUIT NO CARGADO")</f>
        <v>DIEGO MARTIN RIOS</v>
      </c>
      <c r="H123" s="510">
        <v>-23299.61</v>
      </c>
      <c r="I123" s="224">
        <f>IF(compras_mes6[[#This Row],[NETO GRAVADO]]="","",compras_mes6[[#This Row],[NETO GRAVADO]]*0.21)</f>
        <v>-4892.9180999999999</v>
      </c>
      <c r="J123" s="224"/>
      <c r="K123" s="224"/>
      <c r="L123" s="224"/>
      <c r="M123" s="224"/>
      <c r="N123" s="224">
        <v>0</v>
      </c>
      <c r="O123" s="224">
        <v>0</v>
      </c>
      <c r="P123" s="511">
        <f>SUM(compras_mes6[[#This Row],[NETO GRAVADO]:[Otros / No Grav.]])</f>
        <v>-28192.5281</v>
      </c>
      <c r="Q123" s="512" t="str">
        <f>IFERROR(IF(compras_mes6[[#This Row],[CUIT]]="","-",VLOOKUP(compras_mes6[[#This Row],[CUIT]],Lista_CUIT[#All],3,0)),"CUIT NO CARGADO")</f>
        <v>INSUMO</v>
      </c>
      <c r="R123" s="512">
        <f>IFERROR(IF(compras_mes6[[#This Row],[CUIT]]="","-",VLOOKUP(compras_mes6[[#This Row],[CUIT]],Lista_CUIT[#All],4,0)),"CUIT NO CARGADO")</f>
        <v>0</v>
      </c>
    </row>
    <row r="124" spans="2:18" x14ac:dyDescent="0.25">
      <c r="B124" s="223"/>
      <c r="C124" s="505"/>
      <c r="D124" s="506"/>
      <c r="E124" s="507"/>
      <c r="F124" s="508">
        <v>30703088534</v>
      </c>
      <c r="G124" s="509" t="str">
        <f>IFERROR(IF(compras_mes6[[#This Row],[CUIT]]="","-",VLOOKUP(compras_mes6[[#This Row],[CUIT]],Lista_CUIT[#All],2,0)),"CUIT NO CARGADO")</f>
        <v>MERCADO LIBRE SRL</v>
      </c>
      <c r="H124" s="510">
        <v>67083.27</v>
      </c>
      <c r="I124" s="224">
        <f>IF(compras_mes6[[#This Row],[NETO GRAVADO]]="","",compras_mes6[[#This Row],[NETO GRAVADO]]*0.21)</f>
        <v>14087.486699999999</v>
      </c>
      <c r="J124" s="224"/>
      <c r="K124" s="224"/>
      <c r="L124" s="224">
        <v>2012.5</v>
      </c>
      <c r="M124" s="224"/>
      <c r="N124" s="224">
        <v>2683.33</v>
      </c>
      <c r="O124" s="224">
        <v>0</v>
      </c>
      <c r="P124" s="511">
        <f>SUM(compras_mes6[[#This Row],[NETO GRAVADO]:[Otros / No Grav.]])</f>
        <v>85866.5867</v>
      </c>
      <c r="Q124" s="512" t="str">
        <f>IFERROR(IF(compras_mes6[[#This Row],[CUIT]]="","-",VLOOKUP(compras_mes6[[#This Row],[CUIT]],Lista_CUIT[#All],3,0)),"CUIT NO CARGADO")</f>
        <v>PLATAFORMA ONLINE</v>
      </c>
      <c r="R124" s="512">
        <f>IFERROR(IF(compras_mes6[[#This Row],[CUIT]]="","-",VLOOKUP(compras_mes6[[#This Row],[CUIT]],Lista_CUIT[#All],4,0)),"CUIT NO CARGADO")</f>
        <v>0</v>
      </c>
    </row>
    <row r="125" spans="2:18" x14ac:dyDescent="0.25">
      <c r="B125" s="223"/>
      <c r="C125" s="41"/>
      <c r="D125" s="506"/>
      <c r="E125" s="507"/>
      <c r="F125" s="508">
        <v>30711454388</v>
      </c>
      <c r="G125" s="509" t="str">
        <f>IFERROR(IF(compras_mes6[[#This Row],[CUIT]]="","-",VLOOKUP(compras_mes6[[#This Row],[CUIT]],Lista_CUIT[#All],2,0)),"CUIT NO CARGADO")</f>
        <v>LIPROT S.R.L.</v>
      </c>
      <c r="H125" s="510">
        <v>272682</v>
      </c>
      <c r="I125" s="224">
        <f>IF(compras_mes6[[#This Row],[NETO GRAVADO]]="","",compras_mes6[[#This Row],[NETO GRAVADO]]*0.21)</f>
        <v>57263.22</v>
      </c>
      <c r="J125" s="224"/>
      <c r="K125" s="224"/>
      <c r="L125" s="224"/>
      <c r="M125" s="224"/>
      <c r="N125" s="224">
        <v>0</v>
      </c>
      <c r="O125" s="224">
        <v>0</v>
      </c>
      <c r="P125" s="511">
        <f>SUM(compras_mes6[[#This Row],[NETO GRAVADO]:[Otros / No Grav.]])</f>
        <v>329945.21999999997</v>
      </c>
      <c r="Q125" s="512" t="str">
        <f>IFERROR(IF(compras_mes6[[#This Row],[CUIT]]="","-",VLOOKUP(compras_mes6[[#This Row],[CUIT]],Lista_CUIT[#All],3,0)),"CUIT NO CARGADO")</f>
        <v>textil</v>
      </c>
      <c r="R125" s="512">
        <f>IFERROR(IF(compras_mes6[[#This Row],[CUIT]]="","-",VLOOKUP(compras_mes6[[#This Row],[CUIT]],Lista_CUIT[#All],4,0)),"CUIT NO CARGADO")</f>
        <v>0</v>
      </c>
    </row>
    <row r="126" spans="2:18" x14ac:dyDescent="0.25">
      <c r="B126" s="223"/>
      <c r="C126" s="505"/>
      <c r="D126" s="506"/>
      <c r="E126" s="507"/>
      <c r="F126" s="508">
        <v>20253515512</v>
      </c>
      <c r="G126" s="509" t="str">
        <f>IFERROR(IF(compras_mes6[[#This Row],[CUIT]]="","-",VLOOKUP(compras_mes6[[#This Row],[CUIT]],Lista_CUIT[#All],2,0)),"CUIT NO CARGADO")</f>
        <v>ORTOPEDIA Y CIRUGIA DELGADO</v>
      </c>
      <c r="H126" s="510">
        <v>1487603.32</v>
      </c>
      <c r="I126" s="224">
        <f>IF(compras_mes6[[#This Row],[NETO GRAVADO]]="","",compras_mes6[[#This Row],[NETO GRAVADO]]*0.21)</f>
        <v>312396.6972</v>
      </c>
      <c r="J126" s="224"/>
      <c r="K126" s="224"/>
      <c r="L126" s="224"/>
      <c r="M126" s="224"/>
      <c r="N126" s="224">
        <v>0</v>
      </c>
      <c r="O126" s="224">
        <v>0</v>
      </c>
      <c r="P126" s="511">
        <f>SUM(compras_mes6[[#This Row],[NETO GRAVADO]:[Otros / No Grav.]])</f>
        <v>1800000.0172000001</v>
      </c>
      <c r="Q126" s="512" t="str">
        <f>IFERROR(IF(compras_mes6[[#This Row],[CUIT]]="","-",VLOOKUP(compras_mes6[[#This Row],[CUIT]],Lista_CUIT[#All],3,0)),"CUIT NO CARGADO")</f>
        <v>INSUMO</v>
      </c>
      <c r="R126" s="512">
        <f>IFERROR(IF(compras_mes6[[#This Row],[CUIT]]="","-",VLOOKUP(compras_mes6[[#This Row],[CUIT]],Lista_CUIT[#All],4,0)),"CUIT NO CARGADO")</f>
        <v>0</v>
      </c>
    </row>
    <row r="127" spans="2:18" x14ac:dyDescent="0.25">
      <c r="B127" s="223"/>
      <c r="C127" s="41"/>
      <c r="D127" s="506"/>
      <c r="E127" s="507"/>
      <c r="F127" s="508">
        <v>30708649755</v>
      </c>
      <c r="G127" s="509" t="str">
        <f>IFERROR(IF(compras_mes6[[#This Row],[CUIT]]="","-",VLOOKUP(compras_mes6[[#This Row],[CUIT]],Lista_CUIT[#All],2,0)),"CUIT NO CARGADO")</f>
        <v>QUICK SUPPLIES SRL</v>
      </c>
      <c r="H127" s="510">
        <v>31441.86</v>
      </c>
      <c r="I127" s="224"/>
      <c r="J127" s="224"/>
      <c r="K127" s="224">
        <f>compras_mes6[[#This Row],[NETO GRAVADO]]*0.105</f>
        <v>3301.3953000000001</v>
      </c>
      <c r="L127" s="224"/>
      <c r="M127" s="224"/>
      <c r="N127" s="224">
        <v>0</v>
      </c>
      <c r="O127" s="224">
        <v>1257.56</v>
      </c>
      <c r="P127" s="511">
        <f>SUM(compras_mes6[[#This Row],[NETO GRAVADO]:[Otros / No Grav.]])</f>
        <v>36000.815300000002</v>
      </c>
      <c r="Q127" s="512" t="str">
        <f>IFERROR(IF(compras_mes6[[#This Row],[CUIT]]="","-",VLOOKUP(compras_mes6[[#This Row],[CUIT]],Lista_CUIT[#All],3,0)),"CUIT NO CARGADO")</f>
        <v>Insumos</v>
      </c>
      <c r="R127" s="512">
        <f>IFERROR(IF(compras_mes6[[#This Row],[CUIT]]="","-",VLOOKUP(compras_mes6[[#This Row],[CUIT]],Lista_CUIT[#All],4,0)),"CUIT NO CARGADO")</f>
        <v>0</v>
      </c>
    </row>
    <row r="128" spans="2:18" x14ac:dyDescent="0.25">
      <c r="B128" s="223"/>
      <c r="C128" s="41"/>
      <c r="D128" s="506"/>
      <c r="E128" s="507"/>
      <c r="F128" s="508">
        <v>30711553564</v>
      </c>
      <c r="G128" s="509" t="str">
        <f>IFERROR(IF(compras_mes6[[#This Row],[CUIT]]="","-",VLOOKUP(compras_mes6[[#This Row],[CUIT]],Lista_CUIT[#All],2,0)),"CUIT NO CARGADO")</f>
        <v>SALUD TEX S.A</v>
      </c>
      <c r="H128" s="510">
        <v>485160</v>
      </c>
      <c r="I128" s="224">
        <f>IF(compras_mes6[[#This Row],[NETO GRAVADO]]="","",compras_mes6[[#This Row],[NETO GRAVADO]]*0.21)</f>
        <v>101883.59999999999</v>
      </c>
      <c r="J128" s="224"/>
      <c r="K128" s="224"/>
      <c r="L128" s="224"/>
      <c r="M128" s="224"/>
      <c r="N128" s="224">
        <v>0</v>
      </c>
      <c r="O128" s="224">
        <v>0</v>
      </c>
      <c r="P128" s="511">
        <f>SUM(compras_mes6[[#This Row],[NETO GRAVADO]:[Otros / No Grav.]])</f>
        <v>587043.6</v>
      </c>
      <c r="Q128" s="512" t="str">
        <f>IFERROR(IF(compras_mes6[[#This Row],[CUIT]]="","-",VLOOKUP(compras_mes6[[#This Row],[CUIT]],Lista_CUIT[#All],3,0)),"CUIT NO CARGADO")</f>
        <v>INSUMO</v>
      </c>
      <c r="R128" s="512">
        <f>IFERROR(IF(compras_mes6[[#This Row],[CUIT]]="","-",VLOOKUP(compras_mes6[[#This Row],[CUIT]],Lista_CUIT[#All],4,0)),"CUIT NO CARGADO")</f>
        <v>0</v>
      </c>
    </row>
    <row r="129" spans="2:18" x14ac:dyDescent="0.25">
      <c r="B129" s="223"/>
      <c r="C129" s="505"/>
      <c r="D129" s="506"/>
      <c r="E129" s="507"/>
      <c r="F129" s="508">
        <v>30620177497</v>
      </c>
      <c r="G129" s="509" t="str">
        <f>IFERROR(IF(compras_mes6[[#This Row],[CUIT]]="","-",VLOOKUP(compras_mes6[[#This Row],[CUIT]],Lista_CUIT[#All],2,0)),"CUIT NO CARGADO")</f>
        <v>POSNET SOCIEDAD DE RESPONSABILIDAD LIMITADA</v>
      </c>
      <c r="H129" s="510">
        <v>33999.93</v>
      </c>
      <c r="I129" s="224">
        <f>IF(compras_mes6[[#This Row],[NETO GRAVADO]]="","",compras_mes6[[#This Row],[NETO GRAVADO]]*0.21)</f>
        <v>7139.9852999999994</v>
      </c>
      <c r="J129" s="224"/>
      <c r="K129" s="224"/>
      <c r="L129" s="224"/>
      <c r="M129" s="224"/>
      <c r="N129" s="224">
        <v>0</v>
      </c>
      <c r="O129" s="224">
        <v>2380</v>
      </c>
      <c r="P129" s="511">
        <f>SUM(compras_mes6[[#This Row],[NETO GRAVADO]:[Otros / No Grav.]])</f>
        <v>43519.915300000001</v>
      </c>
      <c r="Q129" s="512" t="str">
        <f>IFERROR(IF(compras_mes6[[#This Row],[CUIT]]="","-",VLOOKUP(compras_mes6[[#This Row],[CUIT]],Lista_CUIT[#All],3,0)),"CUIT NO CARGADO")</f>
        <v>Gastos Varios</v>
      </c>
      <c r="R129" s="512">
        <f>IFERROR(IF(compras_mes6[[#This Row],[CUIT]]="","-",VLOOKUP(compras_mes6[[#This Row],[CUIT]],Lista_CUIT[#All],4,0)),"CUIT NO CARGADO")</f>
        <v>0</v>
      </c>
    </row>
    <row r="130" spans="2:18" x14ac:dyDescent="0.25">
      <c r="B130" s="223"/>
      <c r="C130" s="505"/>
      <c r="D130" s="506"/>
      <c r="E130" s="507"/>
      <c r="F130" s="508">
        <v>30574876474</v>
      </c>
      <c r="G130" s="509" t="str">
        <f>IFERROR(IF(compras_mes6[[#This Row],[CUIT]]="","-",VLOOKUP(compras_mes6[[#This Row],[CUIT]],Lista_CUIT[#All],2,0)),"CUIT NO CARGADO")</f>
        <v>AUTOP. URBANAS SA</v>
      </c>
      <c r="H130" s="510">
        <v>72938.16</v>
      </c>
      <c r="I130" s="224">
        <f>IF(compras_mes6[[#This Row],[NETO GRAVADO]]="","",compras_mes6[[#This Row],[NETO GRAVADO]]*0.21)</f>
        <v>15317.0136</v>
      </c>
      <c r="J130" s="224"/>
      <c r="K130" s="224"/>
      <c r="L130" s="224"/>
      <c r="M130" s="224"/>
      <c r="N130" s="224">
        <v>0</v>
      </c>
      <c r="O130" s="224">
        <v>9481.94</v>
      </c>
      <c r="P130" s="511">
        <f>SUM(compras_mes6[[#This Row],[NETO GRAVADO]:[Otros / No Grav.]])</f>
        <v>97737.113600000012</v>
      </c>
      <c r="Q130" s="512" t="str">
        <f>IFERROR(IF(compras_mes6[[#This Row],[CUIT]]="","-",VLOOKUP(compras_mes6[[#This Row],[CUIT]],Lista_CUIT[#All],3,0)),"CUIT NO CARGADO")</f>
        <v>PEAJE</v>
      </c>
      <c r="R130" s="512">
        <f>IFERROR(IF(compras_mes6[[#This Row],[CUIT]]="","-",VLOOKUP(compras_mes6[[#This Row],[CUIT]],Lista_CUIT[#All],4,0)),"CUIT NO CARGADO")</f>
        <v>0</v>
      </c>
    </row>
    <row r="131" spans="2:18" x14ac:dyDescent="0.25">
      <c r="B131" s="223"/>
      <c r="C131" s="505"/>
      <c r="D131" s="506"/>
      <c r="E131" s="507"/>
      <c r="F131" s="508">
        <v>30715141201</v>
      </c>
      <c r="G131" s="509" t="str">
        <f>IFERROR(IF(compras_mes6[[#This Row],[CUIT]]="","-",VLOOKUP(compras_mes6[[#This Row],[CUIT]],Lista_CUIT[#All],2,0)),"CUIT NO CARGADO")</f>
        <v>REHAB SRL</v>
      </c>
      <c r="H131" s="510">
        <v>-173700</v>
      </c>
      <c r="I131" s="224">
        <f>IF(compras_mes6[[#This Row],[NETO GRAVADO]]="","",compras_mes6[[#This Row],[NETO GRAVADO]]*0.21)</f>
        <v>-36477</v>
      </c>
      <c r="J131" s="224"/>
      <c r="K131" s="224"/>
      <c r="L131" s="224"/>
      <c r="M131" s="224"/>
      <c r="N131" s="224"/>
      <c r="O131" s="224"/>
      <c r="P131" s="511">
        <f>SUM(compras_mes6[[#This Row],[NETO GRAVADO]:[Otros / No Grav.]])</f>
        <v>-210177</v>
      </c>
      <c r="Q131" s="512" t="str">
        <f>IFERROR(IF(compras_mes6[[#This Row],[CUIT]]="","-",VLOOKUP(compras_mes6[[#This Row],[CUIT]],Lista_CUIT[#All],3,0)),"CUIT NO CARGADO")</f>
        <v>INSUMO</v>
      </c>
      <c r="R131" s="512">
        <f>IFERROR(IF(compras_mes6[[#This Row],[CUIT]]="","-",VLOOKUP(compras_mes6[[#This Row],[CUIT]],Lista_CUIT[#All],4,0)),"CUIT NO CARGADO")</f>
        <v>0</v>
      </c>
    </row>
    <row r="132" spans="2:18" x14ac:dyDescent="0.25">
      <c r="B132" s="223"/>
      <c r="C132" s="505"/>
      <c r="D132" s="506"/>
      <c r="E132" s="507"/>
      <c r="F132" s="508">
        <v>30708847247</v>
      </c>
      <c r="G132" s="509" t="str">
        <f>IFERROR(IF(compras_mes6[[#This Row],[CUIT]]="","-",VLOOKUP(compras_mes6[[#This Row],[CUIT]],Lista_CUIT[#All],2,0)),"CUIT NO CARGADO")</f>
        <v>TOAGRA SRL</v>
      </c>
      <c r="H132" s="510">
        <v>17696.38</v>
      </c>
      <c r="I132" s="224">
        <f>IF(compras_mes6[[#This Row],[NETO GRAVADO]]="","",compras_mes6[[#This Row],[NETO GRAVADO]]*0.21)</f>
        <v>3716.2398000000003</v>
      </c>
      <c r="J132" s="224"/>
      <c r="K132" s="224"/>
      <c r="L132" s="224"/>
      <c r="M132" s="224"/>
      <c r="N132" s="224"/>
      <c r="O132" s="224"/>
      <c r="P132" s="511">
        <f>SUM(compras_mes6[[#This Row],[NETO GRAVADO]:[Otros / No Grav.]])</f>
        <v>21412.6198</v>
      </c>
      <c r="Q132" s="512" t="str">
        <f>IFERROR(IF(compras_mes6[[#This Row],[CUIT]]="","-",VLOOKUP(compras_mes6[[#This Row],[CUIT]],Lista_CUIT[#All],3,0)),"CUIT NO CARGADO")</f>
        <v>FLETE</v>
      </c>
      <c r="R132" s="512">
        <f>IFERROR(IF(compras_mes6[[#This Row],[CUIT]]="","-",VLOOKUP(compras_mes6[[#This Row],[CUIT]],Lista_CUIT[#All],4,0)),"CUIT NO CARGADO")</f>
        <v>0</v>
      </c>
    </row>
    <row r="133" spans="2:18" x14ac:dyDescent="0.25">
      <c r="B133" s="223"/>
      <c r="C133" s="505"/>
      <c r="D133" s="506"/>
      <c r="E133" s="507"/>
      <c r="F133" s="508">
        <v>27243660535</v>
      </c>
      <c r="G133" s="509" t="str">
        <f>IFERROR(IF(compras_mes6[[#This Row],[CUIT]]="","-",VLOOKUP(compras_mes6[[#This Row],[CUIT]],Lista_CUIT[#All],2,0)),"CUIT NO CARGADO")</f>
        <v>BARD MARISA SILVIA</v>
      </c>
      <c r="H133" s="510">
        <v>414537</v>
      </c>
      <c r="I133" s="224">
        <f>IF(compras_mes6[[#This Row],[NETO GRAVADO]]="","",compras_mes6[[#This Row],[NETO GRAVADO]]*0.21)</f>
        <v>87052.76999999999</v>
      </c>
      <c r="J133" s="224"/>
      <c r="K133" s="224"/>
      <c r="L133" s="224"/>
      <c r="M133" s="224"/>
      <c r="N133" s="224"/>
      <c r="O133" s="224"/>
      <c r="P133" s="511">
        <f>SUM(compras_mes6[[#This Row],[NETO GRAVADO]:[Otros / No Grav.]])</f>
        <v>501589.77</v>
      </c>
      <c r="Q133" s="512" t="str">
        <f>IFERROR(IF(compras_mes6[[#This Row],[CUIT]]="","-",VLOOKUP(compras_mes6[[#This Row],[CUIT]],Lista_CUIT[#All],3,0)),"CUIT NO CARGADO")</f>
        <v>Insumos</v>
      </c>
      <c r="R133" s="512">
        <f>IFERROR(IF(compras_mes6[[#This Row],[CUIT]]="","-",VLOOKUP(compras_mes6[[#This Row],[CUIT]],Lista_CUIT[#All],4,0)),"CUIT NO CARGADO")</f>
        <v>0</v>
      </c>
    </row>
    <row r="134" spans="2:18" x14ac:dyDescent="0.25">
      <c r="B134" s="223"/>
      <c r="C134" s="505"/>
      <c r="D134" s="506"/>
      <c r="E134" s="507"/>
      <c r="F134" s="508">
        <v>20253515512</v>
      </c>
      <c r="G134" s="509" t="str">
        <f>IFERROR(IF(compras_mes6[[#This Row],[CUIT]]="","-",VLOOKUP(compras_mes6[[#This Row],[CUIT]],Lista_CUIT[#All],2,0)),"CUIT NO CARGADO")</f>
        <v>ORTOPEDIA Y CIRUGIA DELGADO</v>
      </c>
      <c r="H134" s="510">
        <v>1487603.32</v>
      </c>
      <c r="I134" s="224">
        <f>IF(compras_mes6[[#This Row],[NETO GRAVADO]]="","",compras_mes6[[#This Row],[NETO GRAVADO]]*0.21)</f>
        <v>312396.6972</v>
      </c>
      <c r="J134" s="224"/>
      <c r="K134" s="224"/>
      <c r="L134" s="224"/>
      <c r="M134" s="224"/>
      <c r="N134" s="224"/>
      <c r="O134" s="224"/>
      <c r="P134" s="511">
        <f>SUM(compras_mes6[[#This Row],[NETO GRAVADO]:[Otros / No Grav.]])</f>
        <v>1800000.0172000001</v>
      </c>
      <c r="Q134" s="512" t="str">
        <f>IFERROR(IF(compras_mes6[[#This Row],[CUIT]]="","-",VLOOKUP(compras_mes6[[#This Row],[CUIT]],Lista_CUIT[#All],3,0)),"CUIT NO CARGADO")</f>
        <v>INSUMO</v>
      </c>
      <c r="R134" s="512">
        <f>IFERROR(IF(compras_mes6[[#This Row],[CUIT]]="","-",VLOOKUP(compras_mes6[[#This Row],[CUIT]],Lista_CUIT[#All],4,0)),"CUIT NO CARGADO")</f>
        <v>0</v>
      </c>
    </row>
    <row r="135" spans="2:18" x14ac:dyDescent="0.25">
      <c r="B135" s="223"/>
      <c r="C135" s="41"/>
      <c r="D135" s="506"/>
      <c r="E135" s="507"/>
      <c r="F135" s="508">
        <v>30620177497</v>
      </c>
      <c r="G135" s="509" t="str">
        <f>IFERROR(IF(compras_mes6[[#This Row],[CUIT]]="","-",VLOOKUP(compras_mes6[[#This Row],[CUIT]],Lista_CUIT[#All],2,0)),"CUIT NO CARGADO")</f>
        <v>POSNET SOCIEDAD DE RESPONSABILIDAD LIMITADA</v>
      </c>
      <c r="H135" s="510">
        <v>0</v>
      </c>
      <c r="I135" s="224">
        <f>IF(compras_mes6[[#This Row],[NETO GRAVADO]]="","",compras_mes6[[#This Row],[NETO GRAVADO]]*0.21)</f>
        <v>0</v>
      </c>
      <c r="J135" s="224"/>
      <c r="K135" s="224"/>
      <c r="L135" s="224"/>
      <c r="M135" s="224"/>
      <c r="N135" s="224"/>
      <c r="O135" s="224"/>
      <c r="P135" s="511">
        <f>SUM(compras_mes6[[#This Row],[NETO GRAVADO]:[Otros / No Grav.]])</f>
        <v>0</v>
      </c>
      <c r="Q135" s="512" t="str">
        <f>IFERROR(IF(compras_mes6[[#This Row],[CUIT]]="","-",VLOOKUP(compras_mes6[[#This Row],[CUIT]],Lista_CUIT[#All],3,0)),"CUIT NO CARGADO")</f>
        <v>Gastos Varios</v>
      </c>
      <c r="R135" s="512">
        <f>IFERROR(IF(compras_mes6[[#This Row],[CUIT]]="","-",VLOOKUP(compras_mes6[[#This Row],[CUIT]],Lista_CUIT[#All],4,0)),"CUIT NO CARGADO")</f>
        <v>0</v>
      </c>
    </row>
    <row r="136" spans="2:18" x14ac:dyDescent="0.25">
      <c r="B136" s="223"/>
      <c r="C136" s="505"/>
      <c r="D136" s="506"/>
      <c r="E136" s="507"/>
      <c r="F136" s="508">
        <v>30708847247</v>
      </c>
      <c r="G136" s="509" t="str">
        <f>IFERROR(IF(compras_mes6[[#This Row],[CUIT]]="","-",VLOOKUP(compras_mes6[[#This Row],[CUIT]],Lista_CUIT[#All],2,0)),"CUIT NO CARGADO")</f>
        <v>TOAGRA SRL</v>
      </c>
      <c r="H136" s="510">
        <v>-17696.38</v>
      </c>
      <c r="I136" s="224">
        <f>IF(compras_mes6[[#This Row],[NETO GRAVADO]]="","",compras_mes6[[#This Row],[NETO GRAVADO]]*0.21)</f>
        <v>-3716.2398000000003</v>
      </c>
      <c r="J136" s="224"/>
      <c r="K136" s="224"/>
      <c r="L136" s="224"/>
      <c r="M136" s="224"/>
      <c r="N136" s="224"/>
      <c r="O136" s="224"/>
      <c r="P136" s="511">
        <f>SUM(compras_mes6[[#This Row],[NETO GRAVADO]:[Otros / No Grav.]])</f>
        <v>-21412.6198</v>
      </c>
      <c r="Q136" s="512" t="str">
        <f>IFERROR(IF(compras_mes6[[#This Row],[CUIT]]="","-",VLOOKUP(compras_mes6[[#This Row],[CUIT]],Lista_CUIT[#All],3,0)),"CUIT NO CARGADO")</f>
        <v>FLETE</v>
      </c>
      <c r="R136" s="512">
        <f>IFERROR(IF(compras_mes6[[#This Row],[CUIT]]="","-",VLOOKUP(compras_mes6[[#This Row],[CUIT]],Lista_CUIT[#All],4,0)),"CUIT NO CARGADO")</f>
        <v>0</v>
      </c>
    </row>
    <row r="137" spans="2:18" x14ac:dyDescent="0.25">
      <c r="B137" s="223"/>
      <c r="C137" s="505"/>
      <c r="D137" s="506"/>
      <c r="E137" s="507"/>
      <c r="F137" s="508">
        <v>20253515512</v>
      </c>
      <c r="G137" s="509" t="str">
        <f>IFERROR(IF(compras_mes6[[#This Row],[CUIT]]="","-",VLOOKUP(compras_mes6[[#This Row],[CUIT]],Lista_CUIT[#All],2,0)),"CUIT NO CARGADO")</f>
        <v>ORTOPEDIA Y CIRUGIA DELGADO</v>
      </c>
      <c r="H137" s="510">
        <v>-1487603.32</v>
      </c>
      <c r="I137" s="224">
        <f>IF(compras_mes6[[#This Row],[NETO GRAVADO]]="","",compras_mes6[[#This Row],[NETO GRAVADO]]*0.21)</f>
        <v>-312396.6972</v>
      </c>
      <c r="J137" s="224"/>
      <c r="K137" s="224"/>
      <c r="L137" s="224"/>
      <c r="M137" s="224"/>
      <c r="N137" s="224"/>
      <c r="O137" s="224"/>
      <c r="P137" s="511">
        <f>SUM(compras_mes6[[#This Row],[NETO GRAVADO]:[Otros / No Grav.]])</f>
        <v>-1800000.0172000001</v>
      </c>
      <c r="Q137" s="512" t="str">
        <f>IFERROR(IF(compras_mes6[[#This Row],[CUIT]]="","-",VLOOKUP(compras_mes6[[#This Row],[CUIT]],Lista_CUIT[#All],3,0)),"CUIT NO CARGADO")</f>
        <v>INSUMO</v>
      </c>
      <c r="R137" s="512">
        <f>IFERROR(IF(compras_mes6[[#This Row],[CUIT]]="","-",VLOOKUP(compras_mes6[[#This Row],[CUIT]],Lista_CUIT[#All],4,0)),"CUIT NO CARGADO")</f>
        <v>0</v>
      </c>
    </row>
    <row r="138" spans="2:18" x14ac:dyDescent="0.25">
      <c r="B138" s="223"/>
      <c r="C138" s="505"/>
      <c r="D138" s="506"/>
      <c r="E138" s="507"/>
      <c r="F138" s="508"/>
      <c r="G138" s="509" t="str">
        <f>IFERROR(IF(compras_mes6[[#This Row],[CUIT]]="","-",VLOOKUP(compras_mes6[[#This Row],[CUIT]],Lista_CUIT[#All],2,0)),"CUIT NO CARGADO")</f>
        <v>-</v>
      </c>
      <c r="H138" s="510"/>
      <c r="I138" s="224" t="str">
        <f>IF(compras_mes6[[#This Row],[NETO GRAVADO]]="","",compras_mes6[[#This Row],[NETO GRAVADO]]*0.21)</f>
        <v/>
      </c>
      <c r="J138" s="224"/>
      <c r="K138" s="224"/>
      <c r="L138" s="224"/>
      <c r="M138" s="224"/>
      <c r="N138" s="224"/>
      <c r="O138" s="224"/>
      <c r="P138" s="511">
        <f>SUM(compras_mes6[[#This Row],[NETO GRAVADO]:[Otros / No Grav.]])</f>
        <v>0</v>
      </c>
      <c r="Q138" s="512" t="str">
        <f>IFERROR(IF(compras_mes6[[#This Row],[CUIT]]="","-",VLOOKUP(compras_mes6[[#This Row],[CUIT]],Lista_CUIT[#All],3,0)),"CUIT NO CARGADO")</f>
        <v>-</v>
      </c>
      <c r="R138" s="512" t="str">
        <f>IFERROR(IF(compras_mes6[[#This Row],[CUIT]]="","-",VLOOKUP(compras_mes6[[#This Row],[CUIT]],Lista_CUIT[#All],4,0)),"CUIT NO CARGADO")</f>
        <v>-</v>
      </c>
    </row>
    <row r="139" spans="2:18" x14ac:dyDescent="0.25">
      <c r="B139" s="223"/>
      <c r="C139" s="505"/>
      <c r="D139" s="506"/>
      <c r="E139" s="507"/>
      <c r="F139" s="508"/>
      <c r="G139" s="509" t="str">
        <f>IFERROR(IF(compras_mes6[[#This Row],[CUIT]]="","-",VLOOKUP(compras_mes6[[#This Row],[CUIT]],Lista_CUIT[#All],2,0)),"CUIT NO CARGADO")</f>
        <v>-</v>
      </c>
      <c r="H139" s="510"/>
      <c r="I139" s="224" t="str">
        <f>IF(compras_mes6[[#This Row],[NETO GRAVADO]]="","",compras_mes6[[#This Row],[NETO GRAVADO]]*0.21)</f>
        <v/>
      </c>
      <c r="J139" s="224"/>
      <c r="K139" s="224"/>
      <c r="L139" s="224"/>
      <c r="M139" s="224"/>
      <c r="N139" s="224"/>
      <c r="O139" s="224"/>
      <c r="P139" s="511">
        <f>SUM(compras_mes6[[#This Row],[NETO GRAVADO]:[Otros / No Grav.]])</f>
        <v>0</v>
      </c>
      <c r="Q139" s="512" t="str">
        <f>IFERROR(IF(compras_mes6[[#This Row],[CUIT]]="","-",VLOOKUP(compras_mes6[[#This Row],[CUIT]],Lista_CUIT[#All],3,0)),"CUIT NO CARGADO")</f>
        <v>-</v>
      </c>
      <c r="R139" s="512" t="str">
        <f>IFERROR(IF(compras_mes6[[#This Row],[CUIT]]="","-",VLOOKUP(compras_mes6[[#This Row],[CUIT]],Lista_CUIT[#All],4,0)),"CUIT NO CARGADO")</f>
        <v>-</v>
      </c>
    </row>
    <row r="140" spans="2:18" x14ac:dyDescent="0.25">
      <c r="B140" s="223"/>
      <c r="C140" s="41"/>
      <c r="D140" s="506"/>
      <c r="E140" s="507"/>
      <c r="F140" s="508"/>
      <c r="G140" s="509" t="str">
        <f>IFERROR(IF(compras_mes6[[#This Row],[CUIT]]="","-",VLOOKUP(compras_mes6[[#This Row],[CUIT]],Lista_CUIT[#All],2,0)),"CUIT NO CARGADO")</f>
        <v>-</v>
      </c>
      <c r="H140" s="510"/>
      <c r="I140" s="224" t="str">
        <f>IF(compras_mes6[[#This Row],[NETO GRAVADO]]="","",compras_mes6[[#This Row],[NETO GRAVADO]]*0.21)</f>
        <v/>
      </c>
      <c r="J140" s="224"/>
      <c r="K140" s="224"/>
      <c r="L140" s="224"/>
      <c r="M140" s="224"/>
      <c r="N140" s="224"/>
      <c r="O140" s="224"/>
      <c r="P140" s="511">
        <f>SUM(compras_mes6[[#This Row],[NETO GRAVADO]:[Otros / No Grav.]])</f>
        <v>0</v>
      </c>
      <c r="Q140" s="512" t="str">
        <f>IFERROR(IF(compras_mes6[[#This Row],[CUIT]]="","-",VLOOKUP(compras_mes6[[#This Row],[CUIT]],Lista_CUIT[#All],3,0)),"CUIT NO CARGADO")</f>
        <v>-</v>
      </c>
      <c r="R140" s="512" t="str">
        <f>IFERROR(IF(compras_mes6[[#This Row],[CUIT]]="","-",VLOOKUP(compras_mes6[[#This Row],[CUIT]],Lista_CUIT[#All],4,0)),"CUIT NO CARGADO")</f>
        <v>-</v>
      </c>
    </row>
    <row r="141" spans="2:18" x14ac:dyDescent="0.25">
      <c r="B141" s="223"/>
      <c r="C141" s="505"/>
      <c r="D141" s="506"/>
      <c r="E141" s="507"/>
      <c r="F141" s="508"/>
      <c r="G141" s="509" t="str">
        <f>IFERROR(IF(compras_mes6[[#This Row],[CUIT]]="","-",VLOOKUP(compras_mes6[[#This Row],[CUIT]],Lista_CUIT[#All],2,0)),"CUIT NO CARGADO")</f>
        <v>-</v>
      </c>
      <c r="H141" s="510"/>
      <c r="I141" s="224" t="str">
        <f>IF(compras_mes6[[#This Row],[NETO GRAVADO]]="","",compras_mes6[[#This Row],[NETO GRAVADO]]*0.21)</f>
        <v/>
      </c>
      <c r="J141" s="224"/>
      <c r="K141" s="224"/>
      <c r="L141" s="224"/>
      <c r="M141" s="224"/>
      <c r="N141" s="224"/>
      <c r="O141" s="224"/>
      <c r="P141" s="511">
        <f>SUM(compras_mes6[[#This Row],[NETO GRAVADO]:[Otros / No Grav.]])</f>
        <v>0</v>
      </c>
      <c r="Q141" s="512" t="str">
        <f>IFERROR(IF(compras_mes6[[#This Row],[CUIT]]="","-",VLOOKUP(compras_mes6[[#This Row],[CUIT]],Lista_CUIT[#All],3,0)),"CUIT NO CARGADO")</f>
        <v>-</v>
      </c>
      <c r="R141" s="512" t="str">
        <f>IFERROR(IF(compras_mes6[[#This Row],[CUIT]]="","-",VLOOKUP(compras_mes6[[#This Row],[CUIT]],Lista_CUIT[#All],4,0)),"CUIT NO CARGADO")</f>
        <v>-</v>
      </c>
    </row>
    <row r="142" spans="2:18" x14ac:dyDescent="0.25">
      <c r="B142" s="223"/>
      <c r="C142" s="505"/>
      <c r="D142" s="506"/>
      <c r="E142" s="507"/>
      <c r="F142" s="508"/>
      <c r="G142" s="509" t="str">
        <f>IFERROR(IF(compras_mes6[[#This Row],[CUIT]]="","-",VLOOKUP(compras_mes6[[#This Row],[CUIT]],Lista_CUIT[#All],2,0)),"CUIT NO CARGADO")</f>
        <v>-</v>
      </c>
      <c r="H142" s="510"/>
      <c r="I142" s="224" t="str">
        <f>IF(compras_mes6[[#This Row],[NETO GRAVADO]]="","",compras_mes6[[#This Row],[NETO GRAVADO]]*0.21)</f>
        <v/>
      </c>
      <c r="J142" s="224"/>
      <c r="K142" s="224"/>
      <c r="L142" s="224"/>
      <c r="M142" s="224"/>
      <c r="N142" s="224"/>
      <c r="O142" s="224"/>
      <c r="P142" s="511">
        <f>SUM(compras_mes6[[#This Row],[NETO GRAVADO]:[Otros / No Grav.]])</f>
        <v>0</v>
      </c>
      <c r="Q142" s="512" t="str">
        <f>IFERROR(IF(compras_mes6[[#This Row],[CUIT]]="","-",VLOOKUP(compras_mes6[[#This Row],[CUIT]],Lista_CUIT[#All],3,0)),"CUIT NO CARGADO")</f>
        <v>-</v>
      </c>
      <c r="R142" s="512" t="str">
        <f>IFERROR(IF(compras_mes6[[#This Row],[CUIT]]="","-",VLOOKUP(compras_mes6[[#This Row],[CUIT]],Lista_CUIT[#All],4,0)),"CUIT NO CARGADO")</f>
        <v>-</v>
      </c>
    </row>
    <row r="143" spans="2:18" x14ac:dyDescent="0.25">
      <c r="B143" s="223"/>
      <c r="C143" s="41"/>
      <c r="D143" s="506"/>
      <c r="E143" s="507"/>
      <c r="F143" s="508"/>
      <c r="G143" s="509" t="str">
        <f>IFERROR(IF(compras_mes6[[#This Row],[CUIT]]="","-",VLOOKUP(compras_mes6[[#This Row],[CUIT]],Lista_CUIT[#All],2,0)),"CUIT NO CARGADO")</f>
        <v>-</v>
      </c>
      <c r="H143" s="510"/>
      <c r="I143" s="224" t="str">
        <f>IF(compras_mes6[[#This Row],[NETO GRAVADO]]="","",compras_mes6[[#This Row],[NETO GRAVADO]]*0.21)</f>
        <v/>
      </c>
      <c r="J143" s="224"/>
      <c r="K143" s="224"/>
      <c r="L143" s="224"/>
      <c r="M143" s="224"/>
      <c r="N143" s="224"/>
      <c r="O143" s="224"/>
      <c r="P143" s="511">
        <f>SUM(compras_mes6[[#This Row],[NETO GRAVADO]:[Otros / No Grav.]])</f>
        <v>0</v>
      </c>
      <c r="Q143" s="512" t="str">
        <f>IFERROR(IF(compras_mes6[[#This Row],[CUIT]]="","-",VLOOKUP(compras_mes6[[#This Row],[CUIT]],Lista_CUIT[#All],3,0)),"CUIT NO CARGADO")</f>
        <v>-</v>
      </c>
      <c r="R143" s="512" t="str">
        <f>IFERROR(IF(compras_mes6[[#This Row],[CUIT]]="","-",VLOOKUP(compras_mes6[[#This Row],[CUIT]],Lista_CUIT[#All],4,0)),"CUIT NO CARGADO")</f>
        <v>-</v>
      </c>
    </row>
    <row r="144" spans="2:18" x14ac:dyDescent="0.25">
      <c r="B144" s="223"/>
      <c r="C144" s="41"/>
      <c r="D144" s="506"/>
      <c r="E144" s="507"/>
      <c r="F144" s="508"/>
      <c r="G144" s="509" t="str">
        <f>IFERROR(IF(compras_mes6[[#This Row],[CUIT]]="","-",VLOOKUP(compras_mes6[[#This Row],[CUIT]],Lista_CUIT[#All],2,0)),"CUIT NO CARGADO")</f>
        <v>-</v>
      </c>
      <c r="H144" s="510"/>
      <c r="I144" s="224" t="str">
        <f>IF(compras_mes6[[#This Row],[NETO GRAVADO]]="","",compras_mes6[[#This Row],[NETO GRAVADO]]*0.21)</f>
        <v/>
      </c>
      <c r="J144" s="224"/>
      <c r="K144" s="224"/>
      <c r="L144" s="224"/>
      <c r="M144" s="224"/>
      <c r="N144" s="224"/>
      <c r="O144" s="224"/>
      <c r="P144" s="511">
        <f>SUM(compras_mes6[[#This Row],[NETO GRAVADO]:[Otros / No Grav.]])</f>
        <v>0</v>
      </c>
      <c r="Q144" s="512" t="str">
        <f>IFERROR(IF(compras_mes6[[#This Row],[CUIT]]="","-",VLOOKUP(compras_mes6[[#This Row],[CUIT]],Lista_CUIT[#All],3,0)),"CUIT NO CARGADO")</f>
        <v>-</v>
      </c>
      <c r="R144" s="512" t="str">
        <f>IFERROR(IF(compras_mes6[[#This Row],[CUIT]]="","-",VLOOKUP(compras_mes6[[#This Row],[CUIT]],Lista_CUIT[#All],4,0)),"CUIT NO CARGADO")</f>
        <v>-</v>
      </c>
    </row>
    <row r="145" spans="2:18" x14ac:dyDescent="0.25">
      <c r="B145" s="223"/>
      <c r="C145" s="41"/>
      <c r="D145" s="506"/>
      <c r="E145" s="507"/>
      <c r="F145" s="508"/>
      <c r="G145" s="509" t="str">
        <f>IFERROR(IF(compras_mes6[[#This Row],[CUIT]]="","-",VLOOKUP(compras_mes6[[#This Row],[CUIT]],Lista_CUIT[#All],2,0)),"CUIT NO CARGADO")</f>
        <v>-</v>
      </c>
      <c r="H145" s="510"/>
      <c r="I145" s="224" t="str">
        <f>IF(compras_mes6[[#This Row],[NETO GRAVADO]]="","",compras_mes6[[#This Row],[NETO GRAVADO]]*0.21)</f>
        <v/>
      </c>
      <c r="J145" s="224"/>
      <c r="K145" s="224"/>
      <c r="L145" s="224"/>
      <c r="M145" s="224"/>
      <c r="N145" s="224"/>
      <c r="O145" s="224"/>
      <c r="P145" s="511">
        <f>SUM(compras_mes6[[#This Row],[NETO GRAVADO]:[Otros / No Grav.]])</f>
        <v>0</v>
      </c>
      <c r="Q145" s="512" t="str">
        <f>IFERROR(IF(compras_mes6[[#This Row],[CUIT]]="","-",VLOOKUP(compras_mes6[[#This Row],[CUIT]],Lista_CUIT[#All],3,0)),"CUIT NO CARGADO")</f>
        <v>-</v>
      </c>
      <c r="R145" s="512" t="str">
        <f>IFERROR(IF(compras_mes6[[#This Row],[CUIT]]="","-",VLOOKUP(compras_mes6[[#This Row],[CUIT]],Lista_CUIT[#All],4,0)),"CUIT NO CARGADO")</f>
        <v>-</v>
      </c>
    </row>
    <row r="146" spans="2:18" x14ac:dyDescent="0.25">
      <c r="B146" s="223"/>
      <c r="C146" s="505"/>
      <c r="D146" s="506"/>
      <c r="E146" s="507"/>
      <c r="F146" s="508"/>
      <c r="G146" s="509" t="str">
        <f>IFERROR(IF(compras_mes6[[#This Row],[CUIT]]="","-",VLOOKUP(compras_mes6[[#This Row],[CUIT]],Lista_CUIT[#All],2,0)),"CUIT NO CARGADO")</f>
        <v>-</v>
      </c>
      <c r="H146" s="510"/>
      <c r="I146" s="224" t="str">
        <f>IF(compras_mes6[[#This Row],[NETO GRAVADO]]="","",compras_mes6[[#This Row],[NETO GRAVADO]]*0.21)</f>
        <v/>
      </c>
      <c r="J146" s="224"/>
      <c r="K146" s="224"/>
      <c r="L146" s="224"/>
      <c r="M146" s="224"/>
      <c r="N146" s="224"/>
      <c r="O146" s="224"/>
      <c r="P146" s="511">
        <f>SUM(compras_mes6[[#This Row],[NETO GRAVADO]:[Otros / No Grav.]])</f>
        <v>0</v>
      </c>
      <c r="Q146" s="512" t="str">
        <f>IFERROR(IF(compras_mes6[[#This Row],[CUIT]]="","-",VLOOKUP(compras_mes6[[#This Row],[CUIT]],Lista_CUIT[#All],3,0)),"CUIT NO CARGADO")</f>
        <v>-</v>
      </c>
      <c r="R146" s="512" t="str">
        <f>IFERROR(IF(compras_mes6[[#This Row],[CUIT]]="","-",VLOOKUP(compras_mes6[[#This Row],[CUIT]],Lista_CUIT[#All],4,0)),"CUIT NO CARGADO")</f>
        <v>-</v>
      </c>
    </row>
    <row r="147" spans="2:18" x14ac:dyDescent="0.25">
      <c r="B147" s="95" t="s">
        <v>110</v>
      </c>
      <c r="C147" s="95"/>
      <c r="D147" s="95"/>
      <c r="E147" s="95"/>
      <c r="F147" s="95"/>
      <c r="G147" s="96"/>
      <c r="H147" s="97">
        <f>SUBTOTAL(109,compras_mes6[NETO GRAVADO])</f>
        <v>38355803.190000005</v>
      </c>
      <c r="I147" s="97">
        <f>SUBTOTAL(109,compras_mes6[IVA 21 %])</f>
        <v>7332016.3917000005</v>
      </c>
      <c r="J147" s="97">
        <f>SUBTOTAL(109,compras_mes6[IVA 27%])</f>
        <v>43544.240000000005</v>
      </c>
      <c r="K147" s="97">
        <f>SUBTOTAL(109,compras_mes6[IVA 10,5%])</f>
        <v>344417.26934999996</v>
      </c>
      <c r="L147" s="97">
        <f>SUBTOTAL(109,compras_mes6[PERC. IVA])</f>
        <v>18513.920000000002</v>
      </c>
      <c r="M147" s="97">
        <f>SUBTOTAL(109,compras_mes6[PERC IIBB 
BS AS])</f>
        <v>0</v>
      </c>
      <c r="N147" s="97">
        <f>SUBTOTAL(109,compras_mes6[PERC. IIBB CABA])</f>
        <v>214876.2</v>
      </c>
      <c r="O147" s="97">
        <f>SUBTOTAL(109,compras_mes6[Otros / No Grav.])</f>
        <v>86742.099999999991</v>
      </c>
      <c r="P147" s="97">
        <f>SUBTOTAL(109,compras_mes6[TOTAL])</f>
        <v>46395913.311049998</v>
      </c>
      <c r="Q147" s="95"/>
      <c r="R147" s="95"/>
    </row>
    <row r="148" spans="2:18" x14ac:dyDescent="0.25">
      <c r="B148" s="40"/>
      <c r="C148" s="41"/>
      <c r="D148" s="42"/>
      <c r="E148" s="43"/>
      <c r="F148" s="44"/>
      <c r="G148" s="45"/>
      <c r="H148" s="46"/>
      <c r="I148" s="47"/>
      <c r="J148" s="47"/>
      <c r="K148" s="47"/>
      <c r="L148" s="47"/>
      <c r="M148" s="47"/>
      <c r="N148" s="47"/>
      <c r="O148" s="47"/>
      <c r="P148" s="48"/>
      <c r="Q148" s="49"/>
      <c r="R148" s="49"/>
    </row>
    <row r="149" spans="2:18" x14ac:dyDescent="0.25">
      <c r="B149" s="40"/>
      <c r="C149" s="41"/>
      <c r="D149" s="42"/>
      <c r="E149" s="43"/>
      <c r="F149" s="44"/>
      <c r="G149" s="45"/>
      <c r="H149" s="46"/>
      <c r="I149" s="47"/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 ht="14.45" customHeight="1" x14ac:dyDescent="0.25">
      <c r="B150" s="40"/>
      <c r="C150" s="41"/>
      <c r="D150" s="42"/>
      <c r="E150" s="43"/>
      <c r="F150" s="44"/>
      <c r="G150" s="45"/>
      <c r="H150" s="46"/>
      <c r="I150" s="47"/>
      <c r="J150" s="47"/>
      <c r="K150" s="47"/>
      <c r="L150" s="47"/>
      <c r="M150" s="47"/>
      <c r="N150" s="47"/>
      <c r="O150" s="47"/>
      <c r="P150" s="48"/>
      <c r="Q150" s="49"/>
      <c r="R150" s="49"/>
    </row>
    <row r="151" spans="2:18" ht="22.9" customHeight="1" x14ac:dyDescent="0.25">
      <c r="B151" s="40"/>
      <c r="C151" s="41"/>
      <c r="D151" s="42"/>
      <c r="E151" s="43"/>
      <c r="F151" s="44"/>
      <c r="G151" s="45"/>
      <c r="H151" s="46"/>
      <c r="I151" s="47"/>
      <c r="J151" s="47"/>
      <c r="K151" s="47"/>
      <c r="L151" s="47"/>
    </row>
    <row r="152" spans="2:18" ht="25.9" customHeight="1" x14ac:dyDescent="0.25">
      <c r="D152" s="618" t="s">
        <v>15</v>
      </c>
      <c r="E152" s="618"/>
      <c r="F152" s="618"/>
      <c r="G152" s="618"/>
      <c r="H152" s="618"/>
      <c r="I152" s="618"/>
      <c r="J152" s="618"/>
      <c r="K152" s="618"/>
      <c r="L152" s="618"/>
    </row>
    <row r="153" spans="2:18" ht="14.45" customHeight="1" x14ac:dyDescent="0.25">
      <c r="D153" s="73" t="s">
        <v>0</v>
      </c>
      <c r="E153" s="74" t="s">
        <v>26</v>
      </c>
      <c r="F153" s="74" t="s">
        <v>16</v>
      </c>
      <c r="G153" s="74" t="s">
        <v>5</v>
      </c>
      <c r="H153" s="74" t="s">
        <v>17</v>
      </c>
      <c r="I153" s="74" t="s">
        <v>7</v>
      </c>
      <c r="J153" s="75" t="s">
        <v>18</v>
      </c>
      <c r="K153" s="75" t="s">
        <v>19</v>
      </c>
      <c r="L153" s="76" t="s">
        <v>20</v>
      </c>
    </row>
    <row r="154" spans="2:18" ht="14.45" customHeight="1" x14ac:dyDescent="0.25">
      <c r="D154" s="50"/>
      <c r="E154" s="80"/>
      <c r="F154" s="80" t="s">
        <v>2237</v>
      </c>
      <c r="G154" s="81">
        <v>38167</v>
      </c>
      <c r="H154" s="243">
        <f>extracto_banco_mes6[[#This Row],[NETO]]*0.21</f>
        <v>8015.07</v>
      </c>
      <c r="I154" s="81"/>
      <c r="J154" s="81"/>
      <c r="K154" s="81"/>
      <c r="L154" s="81"/>
    </row>
    <row r="155" spans="2:18" ht="15" customHeight="1" x14ac:dyDescent="0.25">
      <c r="D155" s="50"/>
      <c r="E155" s="80"/>
      <c r="F155" s="80" t="s">
        <v>2238</v>
      </c>
      <c r="G155" s="81">
        <v>35075</v>
      </c>
      <c r="H155" s="81">
        <f>extracto_banco_mes6[[#This Row],[NETO]]*0.21</f>
        <v>7365.75</v>
      </c>
      <c r="I155" s="81"/>
      <c r="J155" s="81"/>
      <c r="K155" s="81"/>
      <c r="L155" s="81"/>
    </row>
    <row r="156" spans="2:18" ht="15" customHeight="1" x14ac:dyDescent="0.25">
      <c r="D156" s="50"/>
      <c r="E156" s="79"/>
      <c r="F156" s="80"/>
      <c r="G156" s="81"/>
      <c r="H156" s="81">
        <f>extracto_banco_mes6[[#This Row],[NETO]]*0.21</f>
        <v>0</v>
      </c>
      <c r="I156" s="81"/>
      <c r="J156" s="81"/>
      <c r="K156" s="81"/>
      <c r="L156" s="81"/>
    </row>
    <row r="157" spans="2:18" ht="15" customHeight="1" x14ac:dyDescent="0.25">
      <c r="D157" s="240" t="s">
        <v>110</v>
      </c>
      <c r="E157" s="241"/>
      <c r="F157" s="241"/>
      <c r="G157" s="242">
        <f>SUBTOTAL(109,extracto_banco_mes6[NETO])</f>
        <v>73242</v>
      </c>
      <c r="H157" s="242">
        <f>SUBTOTAL(109,extracto_banco_mes6[IVA 21%])</f>
        <v>15380.82</v>
      </c>
      <c r="I157" s="242">
        <f>SUBTOTAL(109,extracto_banco_mes6[IVA 10,5%])</f>
        <v>0</v>
      </c>
      <c r="J157" s="242">
        <f>SUBTOTAL(109,extracto_banco_mes6[RET IIBB CABA])</f>
        <v>0</v>
      </c>
      <c r="K157" s="242">
        <f>SUBTOTAL(109,extracto_banco_mes6[PERC IVA])</f>
        <v>0</v>
      </c>
      <c r="L157" s="242">
        <f>SUBTOTAL(109,extracto_banco_mes6[PERC IIBB])</f>
        <v>0</v>
      </c>
    </row>
    <row r="158" spans="2:18" ht="15" customHeight="1" x14ac:dyDescent="0.25"/>
    <row r="159" spans="2:18" ht="15" customHeight="1" x14ac:dyDescent="0.25"/>
    <row r="160" spans="2:18" ht="23.45" customHeight="1" x14ac:dyDescent="0.25"/>
    <row r="161" spans="4:11" ht="38.450000000000003" customHeight="1" x14ac:dyDescent="0.25">
      <c r="D161" s="618" t="s">
        <v>25</v>
      </c>
      <c r="E161" s="618"/>
      <c r="F161" s="618"/>
      <c r="G161" s="618"/>
      <c r="H161" s="618"/>
      <c r="I161" s="618"/>
      <c r="J161" s="618"/>
      <c r="K161" s="618"/>
    </row>
    <row r="162" spans="4:11" x14ac:dyDescent="0.25">
      <c r="D162" s="51" t="s">
        <v>0</v>
      </c>
      <c r="E162" s="51" t="s">
        <v>2</v>
      </c>
      <c r="F162" s="51" t="s">
        <v>74</v>
      </c>
      <c r="G162" s="51" t="s">
        <v>3</v>
      </c>
      <c r="H162" s="51" t="s">
        <v>4</v>
      </c>
      <c r="I162" s="52" t="s">
        <v>10</v>
      </c>
      <c r="J162" s="51" t="s">
        <v>13</v>
      </c>
      <c r="K162" s="51" t="s">
        <v>38</v>
      </c>
    </row>
    <row r="163" spans="4:11" x14ac:dyDescent="0.25">
      <c r="D163" s="223"/>
      <c r="E163" s="225"/>
      <c r="F163" s="225"/>
      <c r="G163" s="226">
        <v>27265832178</v>
      </c>
      <c r="H163" s="227" t="str">
        <f>IFERROR(IF(factura_c_mes6[[#This Row],[CUIT]]="","-",VLOOKUP(factura_c_mes6[[#This Row],[CUIT]],Lista_CUIT[#All],2,0)),"CUIT NO CARGADO")</f>
        <v>BLASCO MARIA GUADALUPE</v>
      </c>
      <c r="I163" s="228">
        <v>3200000</v>
      </c>
      <c r="J163" s="229" t="str">
        <f>IFERROR(IF(factura_c_mes6[[#This Row],[CUIT]]="","-",VLOOKUP(factura_c_mes6[[#This Row],[CUIT]],Lista_CUIT[#All],3,0)),"CUIT NO CARGADO")</f>
        <v>PROVEEDOR</v>
      </c>
      <c r="K163" s="229">
        <f>IFERROR(IF(factura_c_mes6[[#This Row],[CUIT]]="","-",VLOOKUP(factura_c_mes6[[#This Row],[CUIT]],Lista_CUIT[#All],4,0)),"CUIT NO CARGADO")</f>
        <v>0</v>
      </c>
    </row>
    <row r="164" spans="4:11" x14ac:dyDescent="0.25">
      <c r="D164" s="223"/>
      <c r="E164" s="225"/>
      <c r="F164" s="225"/>
      <c r="G164" s="226">
        <v>20086277523</v>
      </c>
      <c r="H164" s="227" t="str">
        <f>IFERROR(IF(factura_c_mes6[[#This Row],[CUIT]]="","-",VLOOKUP(factura_c_mes6[[#This Row],[CUIT]],Lista_CUIT[#All],2,0)),"CUIT NO CARGADO")</f>
        <v>BOTINDARI JUAN CARLOS</v>
      </c>
      <c r="I164" s="228">
        <v>290000</v>
      </c>
      <c r="J164" s="229" t="str">
        <f>IFERROR(IF(factura_c_mes6[[#This Row],[CUIT]]="","-",VLOOKUP(factura_c_mes6[[#This Row],[CUIT]],Lista_CUIT[#All],3,0)),"CUIT NO CARGADO")</f>
        <v>HONORARIOS</v>
      </c>
      <c r="K164" s="229">
        <f>IFERROR(IF(factura_c_mes6[[#This Row],[CUIT]]="","-",VLOOKUP(factura_c_mes6[[#This Row],[CUIT]],Lista_CUIT[#All],4,0)),"CUIT NO CARGADO")</f>
        <v>0</v>
      </c>
    </row>
    <row r="165" spans="4:11" x14ac:dyDescent="0.25">
      <c r="D165" s="223"/>
      <c r="E165" s="225"/>
      <c r="F165" s="225"/>
      <c r="G165" s="226">
        <v>27443612713</v>
      </c>
      <c r="H165" s="227" t="str">
        <f>IFERROR(IF(factura_c_mes6[[#This Row],[CUIT]]="","-",VLOOKUP(factura_c_mes6[[#This Row],[CUIT]],Lista_CUIT[#All],2,0)),"CUIT NO CARGADO")</f>
        <v>MIGOYA MORIONDO SOFIA</v>
      </c>
      <c r="I165" s="228">
        <v>870000</v>
      </c>
      <c r="J165" s="229" t="str">
        <f>IFERROR(IF(factura_c_mes6[[#This Row],[CUIT]]="","-",VLOOKUP(factura_c_mes6[[#This Row],[CUIT]],Lista_CUIT[#All],3,0)),"CUIT NO CARGADO")</f>
        <v>GTOS ADMINISTRATIVOS</v>
      </c>
      <c r="K165" s="229">
        <f>IFERROR(IF(factura_c_mes6[[#This Row],[CUIT]]="","-",VLOOKUP(factura_c_mes6[[#This Row],[CUIT]],Lista_CUIT[#All],4,0)),"CUIT NO CARGADO")</f>
        <v>0</v>
      </c>
    </row>
    <row r="166" spans="4:11" x14ac:dyDescent="0.25">
      <c r="D166" s="223"/>
      <c r="E166" s="225"/>
      <c r="F166" s="225"/>
      <c r="G166" s="226">
        <v>27315710508</v>
      </c>
      <c r="H166" s="227" t="str">
        <f>IFERROR(IF(factura_c_mes6[[#This Row],[CUIT]]="","-",VLOOKUP(factura_c_mes6[[#This Row],[CUIT]],Lista_CUIT[#All],2,0)),"CUIT NO CARGADO")</f>
        <v>RIVERO GABRIELA ROCIO</v>
      </c>
      <c r="I166" s="228">
        <v>48600</v>
      </c>
      <c r="J166" s="229" t="str">
        <f>IFERROR(IF(factura_c_mes6[[#This Row],[CUIT]]="","-",VLOOKUP(factura_c_mes6[[#This Row],[CUIT]],Lista_CUIT[#All],3,0)),"CUIT NO CARGADO")</f>
        <v>Serv. Informaticos</v>
      </c>
      <c r="K166" s="229">
        <f>IFERROR(IF(factura_c_mes6[[#This Row],[CUIT]]="","-",VLOOKUP(factura_c_mes6[[#This Row],[CUIT]],Lista_CUIT[#All],4,0)),"CUIT NO CARGADO")</f>
        <v>0</v>
      </c>
    </row>
    <row r="167" spans="4:11" x14ac:dyDescent="0.25">
      <c r="D167" s="223"/>
      <c r="E167" s="225"/>
      <c r="F167" s="225"/>
      <c r="G167" s="226">
        <v>20311855671</v>
      </c>
      <c r="H167" s="227" t="str">
        <f>IFERROR(IF(factura_c_mes6[[#This Row],[CUIT]]="","-",VLOOKUP(factura_c_mes6[[#This Row],[CUIT]],Lista_CUIT[#All],2,0)),"CUIT NO CARGADO")</f>
        <v>GUASCH HECTOR RAUL</v>
      </c>
      <c r="I167" s="228">
        <v>630000</v>
      </c>
      <c r="J167" s="229" t="str">
        <f>IFERROR(IF(factura_c_mes6[[#This Row],[CUIT]]="","-",VLOOKUP(factura_c_mes6[[#This Row],[CUIT]],Lista_CUIT[#All],3,0)),"CUIT NO CARGADO")</f>
        <v>Insumos</v>
      </c>
      <c r="K167" s="229">
        <f>IFERROR(IF(factura_c_mes6[[#This Row],[CUIT]]="","-",VLOOKUP(factura_c_mes6[[#This Row],[CUIT]],Lista_CUIT[#All],4,0)),"CUIT NO CARGADO")</f>
        <v>0</v>
      </c>
    </row>
    <row r="168" spans="4:11" x14ac:dyDescent="0.25">
      <c r="D168" s="223"/>
      <c r="E168" s="225"/>
      <c r="F168" s="225"/>
      <c r="G168" s="226">
        <v>27338342840</v>
      </c>
      <c r="H168" s="227" t="str">
        <f>IFERROR(IF(factura_c_mes6[[#This Row],[CUIT]]="","-",VLOOKUP(factura_c_mes6[[#This Row],[CUIT]],Lista_CUIT[#All],2,0)),"CUIT NO CARGADO")</f>
        <v>CANCINO PAMELA RITA</v>
      </c>
      <c r="I168" s="228">
        <v>330000</v>
      </c>
      <c r="J168" s="229" t="str">
        <f>IFERROR(IF(factura_c_mes6[[#This Row],[CUIT]]="","-",VLOOKUP(factura_c_mes6[[#This Row],[CUIT]],Lista_CUIT[#All],3,0)),"CUIT NO CARGADO")</f>
        <v>PROVEEDOR</v>
      </c>
      <c r="K168" s="229">
        <f>IFERROR(IF(factura_c_mes6[[#This Row],[CUIT]]="","-",VLOOKUP(factura_c_mes6[[#This Row],[CUIT]],Lista_CUIT[#All],4,0)),"CUIT NO CARGADO")</f>
        <v>0</v>
      </c>
    </row>
    <row r="169" spans="4:11" x14ac:dyDescent="0.25">
      <c r="D169" s="223"/>
      <c r="E169" s="225"/>
      <c r="F169" s="225"/>
      <c r="G169" s="226">
        <v>27443612705</v>
      </c>
      <c r="H169" s="227" t="str">
        <f>IFERROR(IF(factura_c_mes6[[#This Row],[CUIT]]="","-",VLOOKUP(factura_c_mes6[[#This Row],[CUIT]],Lista_CUIT[#All],2,0)),"CUIT NO CARGADO")</f>
        <v>MIGOYA MORIONDO MARIA INES</v>
      </c>
      <c r="I169" s="228">
        <v>900000</v>
      </c>
      <c r="J169" s="229" t="str">
        <f>IFERROR(IF(factura_c_mes6[[#This Row],[CUIT]]="","-",VLOOKUP(factura_c_mes6[[#This Row],[CUIT]],Lista_CUIT[#All],3,0)),"CUIT NO CARGADO")</f>
        <v>GTOS ADMINISTRATIVOS</v>
      </c>
      <c r="K169" s="229">
        <f>IFERROR(IF(factura_c_mes6[[#This Row],[CUIT]]="","-",VLOOKUP(factura_c_mes6[[#This Row],[CUIT]],Lista_CUIT[#All],4,0)),"CUIT NO CARGADO")</f>
        <v>0</v>
      </c>
    </row>
    <row r="170" spans="4:11" ht="17.25" customHeight="1" x14ac:dyDescent="0.25">
      <c r="D170" s="223"/>
      <c r="E170" s="225"/>
      <c r="F170" s="225"/>
      <c r="G170" s="226">
        <v>20310489930</v>
      </c>
      <c r="H170" s="227" t="str">
        <f>IFERROR(IF(factura_c_mes6[[#This Row],[CUIT]]="","-",VLOOKUP(factura_c_mes6[[#This Row],[CUIT]],Lista_CUIT[#All],2,0)),"CUIT NO CARGADO")</f>
        <v>OVIEDO LUIS ALBERTO</v>
      </c>
      <c r="I170" s="228">
        <v>523331</v>
      </c>
      <c r="J170" s="229" t="str">
        <f>IFERROR(IF(factura_c_mes6[[#This Row],[CUIT]]="","-",VLOOKUP(factura_c_mes6[[#This Row],[CUIT]],Lista_CUIT[#All],3,0)),"CUIT NO CARGADO")</f>
        <v>Insumos</v>
      </c>
      <c r="K170" s="229">
        <f>IFERROR(IF(factura_c_mes6[[#This Row],[CUIT]]="","-",VLOOKUP(factura_c_mes6[[#This Row],[CUIT]],Lista_CUIT[#All],4,0)),"CUIT NO CARGADO")</f>
        <v>0</v>
      </c>
    </row>
    <row r="171" spans="4:11" ht="17.25" customHeight="1" x14ac:dyDescent="0.25">
      <c r="D171" s="223"/>
      <c r="E171" s="225"/>
      <c r="F171" s="225"/>
      <c r="G171" s="226">
        <v>23281233084</v>
      </c>
      <c r="H171" s="227" t="str">
        <f>IFERROR(IF(factura_c_mes6[[#This Row],[CUIT]]="","-",VLOOKUP(factura_c_mes6[[#This Row],[CUIT]],Lista_CUIT[#All],2,0)),"CUIT NO CARGADO")</f>
        <v>DRUETTA ANDREA MARIEL</v>
      </c>
      <c r="I171" s="228">
        <v>300000</v>
      </c>
      <c r="J171" s="229" t="str">
        <f>IFERROR(IF(factura_c_mes6[[#This Row],[CUIT]]="","-",VLOOKUP(factura_c_mes6[[#This Row],[CUIT]],Lista_CUIT[#All],3,0)),"CUIT NO CARGADO")</f>
        <v>TECNICO</v>
      </c>
      <c r="K171" s="229">
        <f>IFERROR(IF(factura_c_mes6[[#This Row],[CUIT]]="","-",VLOOKUP(factura_c_mes6[[#This Row],[CUIT]],Lista_CUIT[#All],4,0)),"CUIT NO CARGADO")</f>
        <v>0</v>
      </c>
    </row>
    <row r="172" spans="4:11" x14ac:dyDescent="0.25">
      <c r="D172" s="223"/>
      <c r="E172" s="225"/>
      <c r="F172" s="225"/>
      <c r="G172" s="226">
        <v>20311855671</v>
      </c>
      <c r="H172" s="227" t="str">
        <f>IFERROR(IF(factura_c_mes6[[#This Row],[CUIT]]="","-",VLOOKUP(factura_c_mes6[[#This Row],[CUIT]],Lista_CUIT[#All],2,0)),"CUIT NO CARGADO")</f>
        <v>GUASCH HECTOR RAUL</v>
      </c>
      <c r="I172" s="228">
        <v>350000</v>
      </c>
      <c r="J172" s="229" t="str">
        <f>IFERROR(IF(factura_c_mes6[[#This Row],[CUIT]]="","-",VLOOKUP(factura_c_mes6[[#This Row],[CUIT]],Lista_CUIT[#All],3,0)),"CUIT NO CARGADO")</f>
        <v>Insumos</v>
      </c>
      <c r="K172" s="229">
        <f>IFERROR(IF(factura_c_mes6[[#This Row],[CUIT]]="","-",VLOOKUP(factura_c_mes6[[#This Row],[CUIT]],Lista_CUIT[#All],4,0)),"CUIT NO CARGADO")</f>
        <v>0</v>
      </c>
    </row>
    <row r="173" spans="4:11" x14ac:dyDescent="0.25">
      <c r="D173" s="223"/>
      <c r="E173" s="225"/>
      <c r="F173" s="225"/>
      <c r="G173" s="226">
        <v>20310489930</v>
      </c>
      <c r="H173" s="227" t="str">
        <f>IFERROR(IF(factura_c_mes6[[#This Row],[CUIT]]="","-",VLOOKUP(factura_c_mes6[[#This Row],[CUIT]],Lista_CUIT[#All],2,0)),"CUIT NO CARGADO")</f>
        <v>OVIEDO LUIS ALBERTO</v>
      </c>
      <c r="I173" s="228">
        <v>678731</v>
      </c>
      <c r="J173" s="229" t="str">
        <f>IFERROR(IF(factura_c_mes6[[#This Row],[CUIT]]="","-",VLOOKUP(factura_c_mes6[[#This Row],[CUIT]],Lista_CUIT[#All],3,0)),"CUIT NO CARGADO")</f>
        <v>Insumos</v>
      </c>
      <c r="K173" s="229">
        <f>IFERROR(IF(factura_c_mes6[[#This Row],[CUIT]]="","-",VLOOKUP(factura_c_mes6[[#This Row],[CUIT]],Lista_CUIT[#All],4,0)),"CUIT NO CARGADO")</f>
        <v>0</v>
      </c>
    </row>
    <row r="174" spans="4:11" x14ac:dyDescent="0.25">
      <c r="D174" s="223"/>
      <c r="E174" s="225"/>
      <c r="F174" s="225"/>
      <c r="G174" s="226"/>
      <c r="H174" s="227" t="str">
        <f>IFERROR(IF(factura_c_mes6[[#This Row],[CUIT]]="","-",VLOOKUP(factura_c_mes6[[#This Row],[CUIT]],Lista_CUIT[#All],2,0)),"CUIT NO CARGADO")</f>
        <v>-</v>
      </c>
      <c r="I174" s="228"/>
      <c r="J174" s="229" t="str">
        <f>IFERROR(IF(factura_c_mes6[[#This Row],[CUIT]]="","-",VLOOKUP(factura_c_mes6[[#This Row],[CUIT]],Lista_CUIT[#All],3,0)),"CUIT NO CARGADO")</f>
        <v>-</v>
      </c>
      <c r="K174" s="229" t="str">
        <f>IFERROR(IF(factura_c_mes6[[#This Row],[CUIT]]="","-",VLOOKUP(factura_c_mes6[[#This Row],[CUIT]],Lista_CUIT[#All],4,0)),"CUIT NO CARGADO")</f>
        <v>-</v>
      </c>
    </row>
    <row r="175" spans="4:11" x14ac:dyDescent="0.25">
      <c r="D175" s="223"/>
      <c r="E175" s="225"/>
      <c r="F175" s="225"/>
      <c r="G175" s="226"/>
      <c r="H175" s="227" t="str">
        <f>IFERROR(IF(factura_c_mes6[[#This Row],[CUIT]]="","-",VLOOKUP(factura_c_mes6[[#This Row],[CUIT]],Lista_CUIT[#All],2,0)),"CUIT NO CARGADO")</f>
        <v>-</v>
      </c>
      <c r="I175" s="228"/>
      <c r="J175" s="229" t="str">
        <f>IFERROR(IF(factura_c_mes6[[#This Row],[CUIT]]="","-",VLOOKUP(factura_c_mes6[[#This Row],[CUIT]],Lista_CUIT[#All],3,0)),"CUIT NO CARGADO")</f>
        <v>-</v>
      </c>
      <c r="K175" s="229" t="str">
        <f>IFERROR(IF(factura_c_mes6[[#This Row],[CUIT]]="","-",VLOOKUP(factura_c_mes6[[#This Row],[CUIT]],Lista_CUIT[#All],4,0)),"CUIT NO CARGADO")</f>
        <v>-</v>
      </c>
    </row>
    <row r="176" spans="4:11" x14ac:dyDescent="0.25">
      <c r="D176" s="223"/>
      <c r="E176" s="225"/>
      <c r="F176" s="225"/>
      <c r="G176" s="226"/>
      <c r="H176" s="227" t="str">
        <f>IFERROR(IF(factura_c_mes6[[#This Row],[CUIT]]="","-",VLOOKUP(factura_c_mes6[[#This Row],[CUIT]],Lista_CUIT[#All],2,0)),"CUIT NO CARGADO")</f>
        <v>-</v>
      </c>
      <c r="I176" s="228"/>
      <c r="J176" s="229" t="str">
        <f>IFERROR(IF(factura_c_mes6[[#This Row],[CUIT]]="","-",VLOOKUP(factura_c_mes6[[#This Row],[CUIT]],Lista_CUIT[#All],3,0)),"CUIT NO CARGADO")</f>
        <v>-</v>
      </c>
      <c r="K176" s="229" t="str">
        <f>IFERROR(IF(factura_c_mes6[[#This Row],[CUIT]]="","-",VLOOKUP(factura_c_mes6[[#This Row],[CUIT]],Lista_CUIT[#All],4,0)),"CUIT NO CARGADO")</f>
        <v>-</v>
      </c>
    </row>
    <row r="177" spans="4:11" x14ac:dyDescent="0.25">
      <c r="D177" s="223"/>
      <c r="E177" s="225"/>
      <c r="F177" s="225"/>
      <c r="G177" s="226"/>
      <c r="H177" s="227" t="str">
        <f>IFERROR(IF(factura_c_mes6[[#This Row],[CUIT]]="","-",VLOOKUP(factura_c_mes6[[#This Row],[CUIT]],Lista_CUIT[#All],2,0)),"CUIT NO CARGADO")</f>
        <v>-</v>
      </c>
      <c r="I177" s="228"/>
      <c r="J177" s="229" t="str">
        <f>IFERROR(IF(factura_c_mes6[[#This Row],[CUIT]]="","-",VLOOKUP(factura_c_mes6[[#This Row],[CUIT]],Lista_CUIT[#All],3,0)),"CUIT NO CARGADO")</f>
        <v>-</v>
      </c>
      <c r="K177" s="229" t="str">
        <f>IFERROR(IF(factura_c_mes6[[#This Row],[CUIT]]="","-",VLOOKUP(factura_c_mes6[[#This Row],[CUIT]],Lista_CUIT[#All],4,0)),"CUIT NO CARGADO")</f>
        <v>-</v>
      </c>
    </row>
    <row r="178" spans="4:11" x14ac:dyDescent="0.25">
      <c r="D178" s="223"/>
      <c r="E178" s="225"/>
      <c r="F178" s="225"/>
      <c r="G178" s="226"/>
      <c r="H178" s="227" t="str">
        <f>IFERROR(IF(factura_c_mes6[[#This Row],[CUIT]]="","-",VLOOKUP(factura_c_mes6[[#This Row],[CUIT]],Lista_CUIT[#All],2,0)),"CUIT NO CARGADO")</f>
        <v>-</v>
      </c>
      <c r="I178" s="228"/>
      <c r="J178" s="229" t="str">
        <f>IFERROR(IF(factura_c_mes6[[#This Row],[CUIT]]="","-",VLOOKUP(factura_c_mes6[[#This Row],[CUIT]],Lista_CUIT[#All],3,0)),"CUIT NO CARGADO")</f>
        <v>-</v>
      </c>
      <c r="K178" s="229" t="str">
        <f>IFERROR(IF(factura_c_mes6[[#This Row],[CUIT]]="","-",VLOOKUP(factura_c_mes6[[#This Row],[CUIT]],Lista_CUIT[#All],4,0)),"CUIT NO CARGADO")</f>
        <v>-</v>
      </c>
    </row>
    <row r="179" spans="4:11" x14ac:dyDescent="0.25">
      <c r="D179" s="223"/>
      <c r="E179" s="225"/>
      <c r="F179" s="225"/>
      <c r="G179" s="226"/>
      <c r="H179" s="227" t="str">
        <f>IFERROR(IF(factura_c_mes6[[#This Row],[CUIT]]="","-",VLOOKUP(factura_c_mes6[[#This Row],[CUIT]],Lista_CUIT[#All],2,0)),"CUIT NO CARGADO")</f>
        <v>-</v>
      </c>
      <c r="I179" s="228"/>
      <c r="J179" s="229" t="str">
        <f>IFERROR(IF(factura_c_mes6[[#This Row],[CUIT]]="","-",VLOOKUP(factura_c_mes6[[#This Row],[CUIT]],Lista_CUIT[#All],3,0)),"CUIT NO CARGADO")</f>
        <v>-</v>
      </c>
      <c r="K179" s="229" t="str">
        <f>IFERROR(IF(factura_c_mes6[[#This Row],[CUIT]]="","-",VLOOKUP(factura_c_mes6[[#This Row],[CUIT]],Lista_CUIT[#All],4,0)),"CUIT NO CARGADO")</f>
        <v>-</v>
      </c>
    </row>
    <row r="180" spans="4:11" x14ac:dyDescent="0.25">
      <c r="D180" s="223"/>
      <c r="E180" s="225"/>
      <c r="F180" s="225"/>
      <c r="G180" s="226"/>
      <c r="H180" s="227" t="str">
        <f>IFERROR(IF(factura_c_mes6[[#This Row],[CUIT]]="","-",VLOOKUP(factura_c_mes6[[#This Row],[CUIT]],Lista_CUIT[#All],2,0)),"CUIT NO CARGADO")</f>
        <v>-</v>
      </c>
      <c r="I180" s="228"/>
      <c r="J180" s="229" t="str">
        <f>IFERROR(IF(factura_c_mes6[[#This Row],[CUIT]]="","-",VLOOKUP(factura_c_mes6[[#This Row],[CUIT]],Lista_CUIT[#All],3,0)),"CUIT NO CARGADO")</f>
        <v>-</v>
      </c>
      <c r="K180" s="229" t="str">
        <f>IFERROR(IF(factura_c_mes6[[#This Row],[CUIT]]="","-",VLOOKUP(factura_c_mes6[[#This Row],[CUIT]],Lista_CUIT[#All],4,0)),"CUIT NO CARGADO")</f>
        <v>-</v>
      </c>
    </row>
    <row r="181" spans="4:11" x14ac:dyDescent="0.25">
      <c r="D181" s="223"/>
      <c r="E181" s="225"/>
      <c r="F181" s="225"/>
      <c r="G181" s="226"/>
      <c r="H181" s="227" t="str">
        <f>IFERROR(IF(factura_c_mes6[[#This Row],[CUIT]]="","-",VLOOKUP(factura_c_mes6[[#This Row],[CUIT]],Lista_CUIT[#All],2,0)),"CUIT NO CARGADO")</f>
        <v>-</v>
      </c>
      <c r="I181" s="228"/>
      <c r="J181" s="229" t="str">
        <f>IFERROR(IF(factura_c_mes6[[#This Row],[CUIT]]="","-",VLOOKUP(factura_c_mes6[[#This Row],[CUIT]],Lista_CUIT[#All],3,0)),"CUIT NO CARGADO")</f>
        <v>-</v>
      </c>
      <c r="K181" s="229" t="str">
        <f>IFERROR(IF(factura_c_mes6[[#This Row],[CUIT]]="","-",VLOOKUP(factura_c_mes6[[#This Row],[CUIT]],Lista_CUIT[#All],4,0)),"CUIT NO CARGADO")</f>
        <v>-</v>
      </c>
    </row>
    <row r="182" spans="4:11" x14ac:dyDescent="0.25">
      <c r="D182" s="223"/>
      <c r="E182" s="225"/>
      <c r="F182" s="225"/>
      <c r="G182" s="226"/>
      <c r="H182" s="227" t="str">
        <f>IFERROR(IF(factura_c_mes6[[#This Row],[CUIT]]="","-",VLOOKUP(factura_c_mes6[[#This Row],[CUIT]],Lista_CUIT[#All],2,0)),"CUIT NO CARGADO")</f>
        <v>-</v>
      </c>
      <c r="I182" s="228"/>
      <c r="J182" s="229" t="str">
        <f>IFERROR(IF(factura_c_mes6[[#This Row],[CUIT]]="","-",VLOOKUP(factura_c_mes6[[#This Row],[CUIT]],Lista_CUIT[#All],3,0)),"CUIT NO CARGADO")</f>
        <v>-</v>
      </c>
      <c r="K182" s="229" t="str">
        <f>IFERROR(IF(factura_c_mes6[[#This Row],[CUIT]]="","-",VLOOKUP(factura_c_mes6[[#This Row],[CUIT]],Lista_CUIT[#All],4,0)),"CUIT NO CARGADO")</f>
        <v>-</v>
      </c>
    </row>
    <row r="183" spans="4:11" x14ac:dyDescent="0.25">
      <c r="D183" s="223"/>
      <c r="E183" s="225"/>
      <c r="F183" s="225"/>
      <c r="G183" s="226"/>
      <c r="H183" s="227" t="str">
        <f>IFERROR(IF(factura_c_mes6[[#This Row],[CUIT]]="","-",VLOOKUP(factura_c_mes6[[#This Row],[CUIT]],Lista_CUIT[#All],2,0)),"CUIT NO CARGADO")</f>
        <v>-</v>
      </c>
      <c r="I183" s="228"/>
      <c r="J183" s="229" t="str">
        <f>IFERROR(IF(factura_c_mes6[[#This Row],[CUIT]]="","-",VLOOKUP(factura_c_mes6[[#This Row],[CUIT]],Lista_CUIT[#All],3,0)),"CUIT NO CARGADO")</f>
        <v>-</v>
      </c>
      <c r="K183" s="229" t="str">
        <f>IFERROR(IF(factura_c_mes6[[#This Row],[CUIT]]="","-",VLOOKUP(factura_c_mes6[[#This Row],[CUIT]],Lista_CUIT[#All],4,0)),"CUIT NO CARGADO")</f>
        <v>-</v>
      </c>
    </row>
    <row r="184" spans="4:11" x14ac:dyDescent="0.25">
      <c r="D184" s="223"/>
      <c r="E184" s="225"/>
      <c r="F184" s="225"/>
      <c r="G184" s="226"/>
      <c r="H184" s="227" t="str">
        <f>IFERROR(IF(factura_c_mes6[[#This Row],[CUIT]]="","-",VLOOKUP(factura_c_mes6[[#This Row],[CUIT]],Lista_CUIT[#All],2,0)),"CUIT NO CARGADO")</f>
        <v>-</v>
      </c>
      <c r="I184" s="228"/>
      <c r="J184" s="229" t="str">
        <f>IFERROR(IF(factura_c_mes6[[#This Row],[CUIT]]="","-",VLOOKUP(factura_c_mes6[[#This Row],[CUIT]],Lista_CUIT[#All],3,0)),"CUIT NO CARGADO")</f>
        <v>-</v>
      </c>
      <c r="K184" s="229" t="str">
        <f>IFERROR(IF(factura_c_mes6[[#This Row],[CUIT]]="","-",VLOOKUP(factura_c_mes6[[#This Row],[CUIT]],Lista_CUIT[#All],4,0)),"CUIT NO CARGADO")</f>
        <v>-</v>
      </c>
    </row>
    <row r="185" spans="4:11" x14ac:dyDescent="0.25">
      <c r="D185" s="223"/>
      <c r="E185" s="225"/>
      <c r="F185" s="225"/>
      <c r="G185" s="226"/>
      <c r="H185" s="227" t="str">
        <f>IFERROR(IF(factura_c_mes6[[#This Row],[CUIT]]="","-",VLOOKUP(factura_c_mes6[[#This Row],[CUIT]],Lista_CUIT[#All],2,0)),"CUIT NO CARGADO")</f>
        <v>-</v>
      </c>
      <c r="I185" s="228"/>
      <c r="J185" s="229" t="str">
        <f>IFERROR(IF(factura_c_mes6[[#This Row],[CUIT]]="","-",VLOOKUP(factura_c_mes6[[#This Row],[CUIT]],Lista_CUIT[#All],3,0)),"CUIT NO CARGADO")</f>
        <v>-</v>
      </c>
      <c r="K185" s="229" t="str">
        <f>IFERROR(IF(factura_c_mes6[[#This Row],[CUIT]]="","-",VLOOKUP(factura_c_mes6[[#This Row],[CUIT]],Lista_CUIT[#All],4,0)),"CUIT NO CARGADO")</f>
        <v>-</v>
      </c>
    </row>
    <row r="186" spans="4:11" x14ac:dyDescent="0.25">
      <c r="D186" s="223"/>
      <c r="E186" s="225"/>
      <c r="F186" s="225"/>
      <c r="G186" s="226"/>
      <c r="H186" s="227" t="str">
        <f>IFERROR(IF(factura_c_mes6[[#This Row],[CUIT]]="","-",VLOOKUP(factura_c_mes6[[#This Row],[CUIT]],Lista_CUIT[#All],2,0)),"CUIT NO CARGADO")</f>
        <v>-</v>
      </c>
      <c r="I186" s="228"/>
      <c r="J186" s="229" t="str">
        <f>IFERROR(IF(factura_c_mes6[[#This Row],[CUIT]]="","-",VLOOKUP(factura_c_mes6[[#This Row],[CUIT]],Lista_CUIT[#All],3,0)),"CUIT NO CARGADO")</f>
        <v>-</v>
      </c>
      <c r="K186" s="229" t="str">
        <f>IFERROR(IF(factura_c_mes6[[#This Row],[CUIT]]="","-",VLOOKUP(factura_c_mes6[[#This Row],[CUIT]],Lista_CUIT[#All],4,0)),"CUIT NO CARGADO")</f>
        <v>-</v>
      </c>
    </row>
    <row r="187" spans="4:11" x14ac:dyDescent="0.25">
      <c r="D187" s="223"/>
      <c r="E187" s="225"/>
      <c r="F187" s="225"/>
      <c r="G187" s="226"/>
      <c r="H187" s="227" t="str">
        <f>IFERROR(IF(factura_c_mes6[[#This Row],[CUIT]]="","-",VLOOKUP(factura_c_mes6[[#This Row],[CUIT]],Lista_CUIT[#All],2,0)),"CUIT NO CARGADO")</f>
        <v>-</v>
      </c>
      <c r="I187" s="228"/>
      <c r="J187" s="229" t="str">
        <f>IFERROR(IF(factura_c_mes6[[#This Row],[CUIT]]="","-",VLOOKUP(factura_c_mes6[[#This Row],[CUIT]],Lista_CUIT[#All],3,0)),"CUIT NO CARGADO")</f>
        <v>-</v>
      </c>
      <c r="K187" s="229" t="str">
        <f>IFERROR(IF(factura_c_mes6[[#This Row],[CUIT]]="","-",VLOOKUP(factura_c_mes6[[#This Row],[CUIT]],Lista_CUIT[#All],4,0)),"CUIT NO CARGADO")</f>
        <v>-</v>
      </c>
    </row>
    <row r="188" spans="4:11" x14ac:dyDescent="0.25">
      <c r="D188" s="223"/>
      <c r="E188" s="225"/>
      <c r="F188" s="225"/>
      <c r="G188" s="226"/>
      <c r="H188" s="227" t="str">
        <f>IFERROR(IF(factura_c_mes6[[#This Row],[CUIT]]="","-",VLOOKUP(factura_c_mes6[[#This Row],[CUIT]],Lista_CUIT[#All],2,0)),"CUIT NO CARGADO")</f>
        <v>-</v>
      </c>
      <c r="I188" s="228"/>
      <c r="J188" s="229" t="str">
        <f>IFERROR(IF(factura_c_mes6[[#This Row],[CUIT]]="","-",VLOOKUP(factura_c_mes6[[#This Row],[CUIT]],Lista_CUIT[#All],3,0)),"CUIT NO CARGADO")</f>
        <v>-</v>
      </c>
      <c r="K188" s="229" t="str">
        <f>IFERROR(IF(factura_c_mes6[[#This Row],[CUIT]]="","-",VLOOKUP(factura_c_mes6[[#This Row],[CUIT]],Lista_CUIT[#All],4,0)),"CUIT NO CARGADO")</f>
        <v>-</v>
      </c>
    </row>
    <row r="189" spans="4:11" x14ac:dyDescent="0.25">
      <c r="D189" s="223"/>
      <c r="E189" s="225"/>
      <c r="F189" s="225"/>
      <c r="G189" s="226"/>
      <c r="H189" s="227" t="str">
        <f>IFERROR(IF(factura_c_mes6[[#This Row],[CUIT]]="","-",VLOOKUP(factura_c_mes6[[#This Row],[CUIT]],Lista_CUIT[#All],2,0)),"CUIT NO CARGADO")</f>
        <v>-</v>
      </c>
      <c r="I189" s="228"/>
      <c r="J189" s="229" t="str">
        <f>IFERROR(IF(factura_c_mes6[[#This Row],[CUIT]]="","-",VLOOKUP(factura_c_mes6[[#This Row],[CUIT]],Lista_CUIT[#All],3,0)),"CUIT NO CARGADO")</f>
        <v>-</v>
      </c>
      <c r="K189" s="229" t="str">
        <f>IFERROR(IF(factura_c_mes6[[#This Row],[CUIT]]="","-",VLOOKUP(factura_c_mes6[[#This Row],[CUIT]],Lista_CUIT[#All],4,0)),"CUIT NO CARGADO")</f>
        <v>-</v>
      </c>
    </row>
    <row r="190" spans="4:11" x14ac:dyDescent="0.25">
      <c r="D190" s="223"/>
      <c r="E190" s="225"/>
      <c r="F190" s="225"/>
      <c r="G190" s="226"/>
      <c r="H190" s="227" t="str">
        <f>IFERROR(IF(factura_c_mes6[[#This Row],[CUIT]]="","-",VLOOKUP(factura_c_mes6[[#This Row],[CUIT]],Lista_CUIT[#All],2,0)),"CUIT NO CARGADO")</f>
        <v>-</v>
      </c>
      <c r="I190" s="228"/>
      <c r="J190" s="229" t="str">
        <f>IFERROR(IF(factura_c_mes6[[#This Row],[CUIT]]="","-",VLOOKUP(factura_c_mes6[[#This Row],[CUIT]],Lista_CUIT[#All],3,0)),"CUIT NO CARGADO")</f>
        <v>-</v>
      </c>
      <c r="K190" s="229" t="str">
        <f>IFERROR(IF(factura_c_mes6[[#This Row],[CUIT]]="","-",VLOOKUP(factura_c_mes6[[#This Row],[CUIT]],Lista_CUIT[#All],4,0)),"CUIT NO CARGADO")</f>
        <v>-</v>
      </c>
    </row>
    <row r="191" spans="4:11" x14ac:dyDescent="0.25">
      <c r="D191" s="223"/>
      <c r="E191" s="225"/>
      <c r="F191" s="225"/>
      <c r="G191" s="226"/>
      <c r="H191" s="227" t="str">
        <f>IFERROR(IF(factura_c_mes6[[#This Row],[CUIT]]="","-",VLOOKUP(factura_c_mes6[[#This Row],[CUIT]],Lista_CUIT[#All],2,0)),"CUIT NO CARGADO")</f>
        <v>-</v>
      </c>
      <c r="I191" s="228"/>
      <c r="J191" s="229" t="str">
        <f>IFERROR(IF(factura_c_mes6[[#This Row],[CUIT]]="","-",VLOOKUP(factura_c_mes6[[#This Row],[CUIT]],Lista_CUIT[#All],3,0)),"CUIT NO CARGADO")</f>
        <v>-</v>
      </c>
      <c r="K191" s="229" t="str">
        <f>IFERROR(IF(factura_c_mes6[[#This Row],[CUIT]]="","-",VLOOKUP(factura_c_mes6[[#This Row],[CUIT]],Lista_CUIT[#All],4,0)),"CUIT NO CARGADO")</f>
        <v>-</v>
      </c>
    </row>
    <row r="192" spans="4:11" x14ac:dyDescent="0.25">
      <c r="D192" s="223"/>
      <c r="E192" s="225"/>
      <c r="F192" s="225"/>
      <c r="G192" s="226"/>
      <c r="H192" s="227" t="str">
        <f>IFERROR(IF(factura_c_mes6[[#This Row],[CUIT]]="","-",VLOOKUP(factura_c_mes6[[#This Row],[CUIT]],Lista_CUIT[#All],2,0)),"CUIT NO CARGADO")</f>
        <v>-</v>
      </c>
      <c r="I192" s="228"/>
      <c r="J192" s="229" t="str">
        <f>IFERROR(IF(factura_c_mes6[[#This Row],[CUIT]]="","-",VLOOKUP(factura_c_mes6[[#This Row],[CUIT]],Lista_CUIT[#All],3,0)),"CUIT NO CARGADO")</f>
        <v>-</v>
      </c>
      <c r="K192" s="229" t="str">
        <f>IFERROR(IF(factura_c_mes6[[#This Row],[CUIT]]="","-",VLOOKUP(factura_c_mes6[[#This Row],[CUIT]],Lista_CUIT[#All],4,0)),"CUIT NO CARGADO")</f>
        <v>-</v>
      </c>
    </row>
    <row r="193" spans="2:18" x14ac:dyDescent="0.25">
      <c r="D193" s="223"/>
      <c r="E193" s="225"/>
      <c r="F193" s="225"/>
      <c r="G193" s="226"/>
      <c r="H193" s="227" t="str">
        <f>IFERROR(IF(factura_c_mes6[[#This Row],[CUIT]]="","-",VLOOKUP(factura_c_mes6[[#This Row],[CUIT]],Lista_CUIT[#All],2,0)),"CUIT NO CARGADO")</f>
        <v>-</v>
      </c>
      <c r="I193" s="228"/>
      <c r="J193" s="229" t="str">
        <f>IFERROR(IF(factura_c_mes6[[#This Row],[CUIT]]="","-",VLOOKUP(factura_c_mes6[[#This Row],[CUIT]],Lista_CUIT[#All],3,0)),"CUIT NO CARGADO")</f>
        <v>-</v>
      </c>
      <c r="K193" s="229" t="str">
        <f>IFERROR(IF(factura_c_mes6[[#This Row],[CUIT]]="","-",VLOOKUP(factura_c_mes6[[#This Row],[CUIT]],Lista_CUIT[#All],4,0)),"CUIT NO CARGADO")</f>
        <v>-</v>
      </c>
    </row>
    <row r="194" spans="2:18" x14ac:dyDescent="0.25">
      <c r="D194" s="223"/>
      <c r="E194" s="225"/>
      <c r="F194" s="225"/>
      <c r="G194" s="226"/>
      <c r="H194" s="227" t="str">
        <f>IFERROR(IF(factura_c_mes6[[#This Row],[CUIT]]="","-",VLOOKUP(factura_c_mes6[[#This Row],[CUIT]],Lista_CUIT[#All],2,0)),"CUIT NO CARGADO")</f>
        <v>-</v>
      </c>
      <c r="I194" s="228"/>
      <c r="J194" s="229" t="str">
        <f>IFERROR(IF(factura_c_mes6[[#This Row],[CUIT]]="","-",VLOOKUP(factura_c_mes6[[#This Row],[CUIT]],Lista_CUIT[#All],3,0)),"CUIT NO CARGADO")</f>
        <v>-</v>
      </c>
      <c r="K194" s="229" t="str">
        <f>IFERROR(IF(factura_c_mes6[[#This Row],[CUIT]]="","-",VLOOKUP(factura_c_mes6[[#This Row],[CUIT]],Lista_CUIT[#All],4,0)),"CUIT NO CARGADO")</f>
        <v>-</v>
      </c>
    </row>
    <row r="195" spans="2:18" x14ac:dyDescent="0.25">
      <c r="D195" s="223"/>
      <c r="E195" s="225"/>
      <c r="F195" s="225"/>
      <c r="G195" s="226"/>
      <c r="H195" s="227" t="str">
        <f>IFERROR(IF(factura_c_mes6[[#This Row],[CUIT]]="","-",VLOOKUP(factura_c_mes6[[#This Row],[CUIT]],Lista_CUIT[#All],2,0)),"CUIT NO CARGADO")</f>
        <v>-</v>
      </c>
      <c r="I195" s="228"/>
      <c r="J195" s="229" t="str">
        <f>IFERROR(IF(factura_c_mes6[[#This Row],[CUIT]]="","-",VLOOKUP(factura_c_mes6[[#This Row],[CUIT]],Lista_CUIT[#All],3,0)),"CUIT NO CARGADO")</f>
        <v>-</v>
      </c>
      <c r="K195" s="229" t="str">
        <f>IFERROR(IF(factura_c_mes6[[#This Row],[CUIT]]="","-",VLOOKUP(factura_c_mes6[[#This Row],[CUIT]],Lista_CUIT[#All],4,0)),"CUIT NO CARGADO")</f>
        <v>-</v>
      </c>
    </row>
    <row r="196" spans="2:18" x14ac:dyDescent="0.25">
      <c r="D196" s="223"/>
      <c r="E196" s="225"/>
      <c r="F196" s="225"/>
      <c r="G196" s="226"/>
      <c r="H196" s="227" t="str">
        <f>IFERROR(IF(factura_c_mes6[[#This Row],[CUIT]]="","-",VLOOKUP(factura_c_mes6[[#This Row],[CUIT]],Lista_CUIT[#All],2,0)),"CUIT NO CARGADO")</f>
        <v>-</v>
      </c>
      <c r="I196" s="228"/>
      <c r="J196" s="229" t="str">
        <f>IFERROR(IF(factura_c_mes6[[#This Row],[CUIT]]="","-",VLOOKUP(factura_c_mes6[[#This Row],[CUIT]],Lista_CUIT[#All],3,0)),"CUIT NO CARGADO")</f>
        <v>-</v>
      </c>
      <c r="K196" s="229" t="str">
        <f>IFERROR(IF(factura_c_mes6[[#This Row],[CUIT]]="","-",VLOOKUP(factura_c_mes6[[#This Row],[CUIT]],Lista_CUIT[#All],4,0)),"CUIT NO CARGADO")</f>
        <v>-</v>
      </c>
    </row>
    <row r="197" spans="2:18" x14ac:dyDescent="0.25">
      <c r="D197" s="223"/>
      <c r="E197" s="225"/>
      <c r="F197" s="225"/>
      <c r="G197" s="226"/>
      <c r="H197" s="227" t="str">
        <f>IFERROR(IF(factura_c_mes6[[#This Row],[CUIT]]="","-",VLOOKUP(factura_c_mes6[[#This Row],[CUIT]],Lista_CUIT[#All],2,0)),"CUIT NO CARGADO")</f>
        <v>-</v>
      </c>
      <c r="I197" s="228"/>
      <c r="J197" s="229" t="str">
        <f>IFERROR(IF(factura_c_mes6[[#This Row],[CUIT]]="","-",VLOOKUP(factura_c_mes6[[#This Row],[CUIT]],Lista_CUIT[#All],3,0)),"CUIT NO CARGADO")</f>
        <v>-</v>
      </c>
      <c r="K197" s="229" t="str">
        <f>IFERROR(IF(factura_c_mes6[[#This Row],[CUIT]]="","-",VLOOKUP(factura_c_mes6[[#This Row],[CUIT]],Lista_CUIT[#All],4,0)),"CUIT NO CARGADO")</f>
        <v>-</v>
      </c>
    </row>
    <row r="198" spans="2:18" x14ac:dyDescent="0.25">
      <c r="D198" s="223"/>
      <c r="E198" s="225"/>
      <c r="F198" s="225"/>
      <c r="G198" s="226"/>
      <c r="H198" s="227" t="str">
        <f>IFERROR(IF(factura_c_mes6[[#This Row],[CUIT]]="","-",VLOOKUP(factura_c_mes6[[#This Row],[CUIT]],Lista_CUIT[#All],2,0)),"CUIT NO CARGADO")</f>
        <v>-</v>
      </c>
      <c r="I198" s="228"/>
      <c r="J198" s="229" t="str">
        <f>IFERROR(IF(factura_c_mes6[[#This Row],[CUIT]]="","-",VLOOKUP(factura_c_mes6[[#This Row],[CUIT]],Lista_CUIT[#All],3,0)),"CUIT NO CARGADO")</f>
        <v>-</v>
      </c>
      <c r="K198" s="229" t="str">
        <f>IFERROR(IF(factura_c_mes6[[#This Row],[CUIT]]="","-",VLOOKUP(factura_c_mes6[[#This Row],[CUIT]],Lista_CUIT[#All],4,0)),"CUIT NO CARGADO")</f>
        <v>-</v>
      </c>
    </row>
    <row r="199" spans="2:18" x14ac:dyDescent="0.25">
      <c r="D199" s="223"/>
      <c r="E199" s="225"/>
      <c r="F199" s="225"/>
      <c r="G199" s="226"/>
      <c r="H199" s="227" t="str">
        <f>IFERROR(IF(factura_c_mes6[[#This Row],[CUIT]]="","-",VLOOKUP(factura_c_mes6[[#This Row],[CUIT]],Lista_CUIT[#All],2,0)),"CUIT NO CARGADO")</f>
        <v>-</v>
      </c>
      <c r="I199" s="228"/>
      <c r="J199" s="229" t="str">
        <f>IFERROR(IF(factura_c_mes6[[#This Row],[CUIT]]="","-",VLOOKUP(factura_c_mes6[[#This Row],[CUIT]],Lista_CUIT[#All],3,0)),"CUIT NO CARGADO")</f>
        <v>-</v>
      </c>
      <c r="K199" s="229" t="str">
        <f>IFERROR(IF(factura_c_mes6[[#This Row],[CUIT]]="","-",VLOOKUP(factura_c_mes6[[#This Row],[CUIT]],Lista_CUIT[#All],4,0)),"CUIT NO CARGADO")</f>
        <v>-</v>
      </c>
    </row>
    <row r="200" spans="2:18" x14ac:dyDescent="0.25">
      <c r="D200" s="223"/>
      <c r="E200" s="225"/>
      <c r="F200" s="225"/>
      <c r="G200" s="226"/>
      <c r="H200" s="227" t="str">
        <f>IFERROR(IF(factura_c_mes6[[#This Row],[CUIT]]="","-",VLOOKUP(factura_c_mes6[[#This Row],[CUIT]],Lista_CUIT[#All],2,0)),"CUIT NO CARGADO")</f>
        <v>-</v>
      </c>
      <c r="I200" s="228"/>
      <c r="J200" s="229" t="str">
        <f>IFERROR(IF(factura_c_mes6[[#This Row],[CUIT]]="","-",VLOOKUP(factura_c_mes6[[#This Row],[CUIT]],Lista_CUIT[#All],3,0)),"CUIT NO CARGADO")</f>
        <v>-</v>
      </c>
      <c r="K200" s="229" t="str">
        <f>IFERROR(IF(factura_c_mes6[[#This Row],[CUIT]]="","-",VLOOKUP(factura_c_mes6[[#This Row],[CUIT]],Lista_CUIT[#All],4,0)),"CUIT NO CARGADO")</f>
        <v>-</v>
      </c>
    </row>
    <row r="201" spans="2:18" x14ac:dyDescent="0.25">
      <c r="D201" s="223"/>
      <c r="E201" s="225"/>
      <c r="F201" s="225"/>
      <c r="G201" s="226"/>
      <c r="H201" s="227" t="str">
        <f>IFERROR(IF(factura_c_mes6[[#This Row],[CUIT]]="","-",VLOOKUP(factura_c_mes6[[#This Row],[CUIT]],Lista_CUIT[#All],2,0)),"CUIT NO CARGADO")</f>
        <v>-</v>
      </c>
      <c r="I201" s="228"/>
      <c r="J201" s="229" t="str">
        <f>IFERROR(IF(factura_c_mes6[[#This Row],[CUIT]]="","-",VLOOKUP(factura_c_mes6[[#This Row],[CUIT]],Lista_CUIT[#All],3,0)),"CUIT NO CARGADO")</f>
        <v>-</v>
      </c>
      <c r="K201" s="229" t="str">
        <f>IFERROR(IF(factura_c_mes6[[#This Row],[CUIT]]="","-",VLOOKUP(factura_c_mes6[[#This Row],[CUIT]],Lista_CUIT[#All],4,0)),"CUIT NO CARGADO")</f>
        <v>-</v>
      </c>
    </row>
    <row r="202" spans="2:18" x14ac:dyDescent="0.25">
      <c r="D202" s="223"/>
      <c r="E202" s="225"/>
      <c r="F202" s="225"/>
      <c r="G202" s="226"/>
      <c r="H202" s="227" t="str">
        <f>IFERROR(IF(factura_c_mes6[[#This Row],[CUIT]]="","-",VLOOKUP(factura_c_mes6[[#This Row],[CUIT]],Lista_CUIT[#All],2,0)),"CUIT NO CARGADO")</f>
        <v>-</v>
      </c>
      <c r="I202" s="228"/>
      <c r="J202" s="229" t="str">
        <f>IFERROR(IF(factura_c_mes6[[#This Row],[CUIT]]="","-",VLOOKUP(factura_c_mes6[[#This Row],[CUIT]],Lista_CUIT[#All],3,0)),"CUIT NO CARGADO")</f>
        <v>-</v>
      </c>
      <c r="K202" s="229" t="str">
        <f>IFERROR(IF(factura_c_mes6[[#This Row],[CUIT]]="","-",VLOOKUP(factura_c_mes6[[#This Row],[CUIT]],Lista_CUIT[#All],4,0)),"CUIT NO CARGADO")</f>
        <v>-</v>
      </c>
    </row>
    <row r="203" spans="2:18" x14ac:dyDescent="0.25">
      <c r="D203" s="223"/>
      <c r="E203" s="225"/>
      <c r="F203" s="225"/>
      <c r="G203" s="226"/>
      <c r="H203" s="227" t="str">
        <f>IFERROR(IF(factura_c_mes6[[#This Row],[CUIT]]="","-",VLOOKUP(factura_c_mes6[[#This Row],[CUIT]],Lista_CUIT[#All],2,0)),"CUIT NO CARGADO")</f>
        <v>-</v>
      </c>
      <c r="I203" s="228"/>
      <c r="J203" s="229" t="str">
        <f>IFERROR(IF(factura_c_mes6[[#This Row],[CUIT]]="","-",VLOOKUP(factura_c_mes6[[#This Row],[CUIT]],Lista_CUIT[#All],3,0)),"CUIT NO CARGADO")</f>
        <v>-</v>
      </c>
      <c r="K203" s="229" t="str">
        <f>IFERROR(IF(factura_c_mes6[[#This Row],[CUIT]]="","-",VLOOKUP(factura_c_mes6[[#This Row],[CUIT]],Lista_CUIT[#All],4,0)),"CUIT NO CARGADO")</f>
        <v>-</v>
      </c>
    </row>
    <row r="204" spans="2:18" x14ac:dyDescent="0.25">
      <c r="D204" s="50"/>
      <c r="E204" s="42"/>
      <c r="F204" s="43"/>
      <c r="G204" s="44"/>
      <c r="H204" s="53" t="str">
        <f>IFERROR(IF(factura_c_mes6[[#This Row],[CUIT]]="","-",VLOOKUP(factura_c_mes6[[#This Row],[CUIT]],Lista_CUIT[#All],2,0)),"CUIT NO CARGADO")</f>
        <v>-</v>
      </c>
      <c r="I204" s="81"/>
      <c r="J204" s="54" t="str">
        <f>IFERROR(IF(factura_c_mes6[[#This Row],[CUIT]]="","-",VLOOKUP(factura_c_mes6[[#This Row],[CUIT]],Lista_CUIT[#All],3,0)),"CUIT NO CARGADO")</f>
        <v>-</v>
      </c>
      <c r="K204" s="54" t="str">
        <f>IFERROR(IF(factura_c_mes6[[#This Row],[CUIT]]="","-",VLOOKUP(factura_c_mes6[[#This Row],[CUIT]],Lista_CUIT[#All],4,0)),"CUIT NO CARGADO")</f>
        <v>-</v>
      </c>
    </row>
    <row r="205" spans="2:18" x14ac:dyDescent="0.25">
      <c r="D205" s="50"/>
      <c r="E205" s="42"/>
      <c r="F205" s="43"/>
      <c r="G205" s="44"/>
      <c r="H205" s="53" t="str">
        <f>IFERROR(IF(factura_c_mes6[[#This Row],[CUIT]]="","-",VLOOKUP(factura_c_mes6[[#This Row],[CUIT]],Lista_CUIT[#All],2,0)),"CUIT NO CARGADO")</f>
        <v>-</v>
      </c>
      <c r="I205" s="81"/>
      <c r="J205" s="54" t="str">
        <f>IFERROR(IF(factura_c_mes6[[#This Row],[CUIT]]="","-",VLOOKUP(factura_c_mes6[[#This Row],[CUIT]],Lista_CUIT[#All],3,0)),"CUIT NO CARGADO")</f>
        <v>-</v>
      </c>
      <c r="K205" s="54" t="str">
        <f>IFERROR(IF(factura_c_mes6[[#This Row],[CUIT]]="","-",VLOOKUP(factura_c_mes6[[#This Row],[CUIT]],Lista_CUIT[#All],4,0)),"CUIT NO CARGADO")</f>
        <v>-</v>
      </c>
    </row>
    <row r="206" spans="2:18" s="56" customFormat="1" ht="18.600000000000001" customHeight="1" x14ac:dyDescent="0.25">
      <c r="B206"/>
      <c r="C206"/>
      <c r="D206" s="55" t="s">
        <v>110</v>
      </c>
      <c r="E206" s="55"/>
      <c r="F206" s="55"/>
      <c r="G206" s="55"/>
      <c r="H206" s="57"/>
      <c r="I206" s="58">
        <f>SUBTOTAL(109,factura_c_mes6[TOTAL])</f>
        <v>8120662</v>
      </c>
      <c r="J206" s="55"/>
      <c r="K206" s="55"/>
      <c r="L206"/>
      <c r="M206"/>
      <c r="N206"/>
      <c r="O206"/>
      <c r="P206"/>
      <c r="Q206"/>
      <c r="R206"/>
    </row>
    <row r="207" spans="2:18" x14ac:dyDescent="0.25">
      <c r="B207" s="56"/>
      <c r="C207" s="56"/>
      <c r="L207" s="56"/>
      <c r="M207" s="56"/>
      <c r="N207" s="56"/>
      <c r="O207" s="56"/>
      <c r="P207" s="56"/>
      <c r="Q207" s="56"/>
      <c r="R207" s="56"/>
    </row>
    <row r="212" spans="2:13" ht="26.25" x14ac:dyDescent="0.25">
      <c r="B212" s="629" t="s">
        <v>29</v>
      </c>
      <c r="C212" s="629"/>
      <c r="D212" s="629"/>
      <c r="E212" s="629"/>
      <c r="F212" s="629"/>
      <c r="G212" s="629"/>
      <c r="H212" s="629"/>
      <c r="I212" s="629"/>
      <c r="J212" s="629"/>
      <c r="K212" s="630">
        <f>N1</f>
        <v>45809</v>
      </c>
      <c r="L212" s="630"/>
      <c r="M212" s="630"/>
    </row>
    <row r="213" spans="2:13" ht="22.5" customHeight="1" x14ac:dyDescent="0.25"/>
    <row r="214" spans="2:13" ht="21" x14ac:dyDescent="0.25">
      <c r="B214" s="631" t="s">
        <v>30</v>
      </c>
      <c r="C214" s="631"/>
    </row>
    <row r="215" spans="2:13" ht="18" customHeight="1" x14ac:dyDescent="0.25">
      <c r="B215" s="60" t="s">
        <v>0</v>
      </c>
      <c r="C215" s="61" t="s">
        <v>1</v>
      </c>
      <c r="D215" s="61" t="s">
        <v>21</v>
      </c>
      <c r="E215" s="61" t="s">
        <v>22</v>
      </c>
      <c r="F215" s="61" t="s">
        <v>3</v>
      </c>
      <c r="G215" s="61" t="s">
        <v>4</v>
      </c>
      <c r="H215" s="61" t="s">
        <v>23</v>
      </c>
      <c r="I215" s="61" t="s">
        <v>17</v>
      </c>
      <c r="J215" s="61" t="s">
        <v>7</v>
      </c>
      <c r="K215" s="61" t="s">
        <v>24</v>
      </c>
      <c r="L215" s="61" t="s">
        <v>10</v>
      </c>
      <c r="M215" s="62" t="s">
        <v>38</v>
      </c>
    </row>
    <row r="216" spans="2:13" x14ac:dyDescent="0.25">
      <c r="B216" s="40"/>
      <c r="C216" s="41"/>
      <c r="D216" s="42"/>
      <c r="E216" s="43"/>
      <c r="F216" s="44"/>
      <c r="G216" s="98" t="str">
        <f>IFERROR(IF(venta_a_mes6[[#This Row],[CUIT]]="","-",VLOOKUP(venta_a_mes6[[#This Row],[CUIT]],Lista_CUIT[#All],2,0)),"CUIT NO CARGADO")</f>
        <v>-</v>
      </c>
      <c r="H216" s="99"/>
      <c r="I216" s="100">
        <f>venta_a_mes6[[#This Row],[IMPORTE NETO]]*0.21</f>
        <v>0</v>
      </c>
      <c r="J216" s="65"/>
      <c r="K216" s="65"/>
      <c r="L216" s="65">
        <f>SUM(venta_a_mes6[[#This Row],[IMPORTE NETO]:[EXENTO]])</f>
        <v>0</v>
      </c>
      <c r="M216" s="59"/>
    </row>
    <row r="217" spans="2:13" x14ac:dyDescent="0.25">
      <c r="B217" s="230"/>
      <c r="C217" s="231"/>
      <c r="D217" s="232"/>
      <c r="E217" s="233"/>
      <c r="F217" s="234"/>
      <c r="G217" s="235" t="str">
        <f>IFERROR(IF(venta_a_mes6[[#This Row],[CUIT]]="","-",VLOOKUP(venta_a_mes6[[#This Row],[CUIT]],Lista_CUIT[#All],2,0)),"CUIT NO CARGADO")</f>
        <v>-</v>
      </c>
      <c r="H217" s="236"/>
      <c r="I217" s="237">
        <f>venta_a_mes6[[#This Row],[IMPORTE NETO]]*0.21</f>
        <v>0</v>
      </c>
      <c r="J217" s="238"/>
      <c r="K217" s="238"/>
      <c r="L217" s="238">
        <f>SUM(venta_a_mes6[[#This Row],[IMPORTE NETO]:[EXENTO]])</f>
        <v>0</v>
      </c>
      <c r="M217" s="239"/>
    </row>
    <row r="218" spans="2:13" x14ac:dyDescent="0.25">
      <c r="B218" s="230"/>
      <c r="C218" s="231"/>
      <c r="D218" s="232"/>
      <c r="E218" s="233"/>
      <c r="F218" s="234"/>
      <c r="G218" s="235" t="str">
        <f>IFERROR(IF(venta_a_mes6[[#This Row],[CUIT]]="","-",VLOOKUP(venta_a_mes6[[#This Row],[CUIT]],Lista_CUIT[#All],2,0)),"CUIT NO CARGADO")</f>
        <v>-</v>
      </c>
      <c r="H218" s="236"/>
      <c r="I218" s="237">
        <f>venta_a_mes6[[#This Row],[IMPORTE NETO]]*0.21</f>
        <v>0</v>
      </c>
      <c r="J218" s="238"/>
      <c r="K218" s="238"/>
      <c r="L218" s="238">
        <f>SUM(venta_a_mes6[[#This Row],[IMPORTE NETO]:[EXENTO]])</f>
        <v>0</v>
      </c>
      <c r="M218" s="239"/>
    </row>
    <row r="219" spans="2:13" x14ac:dyDescent="0.25">
      <c r="B219" s="230"/>
      <c r="C219" s="231"/>
      <c r="D219" s="232"/>
      <c r="E219" s="233"/>
      <c r="F219" s="234"/>
      <c r="G219" s="235" t="str">
        <f>IFERROR(IF(venta_a_mes6[[#This Row],[CUIT]]="","-",VLOOKUP(venta_a_mes6[[#This Row],[CUIT]],Lista_CUIT[#All],2,0)),"CUIT NO CARGADO")</f>
        <v>-</v>
      </c>
      <c r="H219" s="236"/>
      <c r="I219" s="237">
        <f>venta_a_mes6[[#This Row],[IMPORTE NETO]]*0.21</f>
        <v>0</v>
      </c>
      <c r="J219" s="238"/>
      <c r="K219" s="238"/>
      <c r="L219" s="238">
        <f>SUM(venta_a_mes6[[#This Row],[IMPORTE NETO]:[EXENTO]])</f>
        <v>0</v>
      </c>
      <c r="M219" s="239"/>
    </row>
    <row r="220" spans="2:13" x14ac:dyDescent="0.25">
      <c r="B220" s="230"/>
      <c r="C220" s="231"/>
      <c r="D220" s="232"/>
      <c r="E220" s="233"/>
      <c r="F220" s="234"/>
      <c r="G220" s="235" t="str">
        <f>IFERROR(IF(venta_a_mes6[[#This Row],[CUIT]]="","-",VLOOKUP(venta_a_mes6[[#This Row],[CUIT]],Lista_CUIT[#All],2,0)),"CUIT NO CARGADO")</f>
        <v>-</v>
      </c>
      <c r="H220" s="236"/>
      <c r="I220" s="237">
        <f>venta_a_mes6[[#This Row],[IMPORTE NETO]]*0.21</f>
        <v>0</v>
      </c>
      <c r="J220" s="238"/>
      <c r="K220" s="238"/>
      <c r="L220" s="238">
        <f>SUM(venta_a_mes6[[#This Row],[IMPORTE NETO]:[EXENTO]])</f>
        <v>0</v>
      </c>
      <c r="M220" s="239"/>
    </row>
    <row r="221" spans="2:13" x14ac:dyDescent="0.25">
      <c r="B221" s="101"/>
      <c r="C221" s="102"/>
      <c r="D221" s="103"/>
      <c r="E221" s="104"/>
      <c r="F221" s="105"/>
      <c r="G221" s="98" t="str">
        <f>IFERROR(IF(venta_a_mes6[[#This Row],[CUIT]]="","-",VLOOKUP(venta_a_mes6[[#This Row],[CUIT]],Lista_CUIT[#All],2,0)),"CUIT NO CARGADO")</f>
        <v>-</v>
      </c>
      <c r="H221" s="106"/>
      <c r="I221" s="107">
        <f>venta_a_mes6[[#This Row],[IMPORTE NETO]]*0.21</f>
        <v>0</v>
      </c>
      <c r="J221" s="72"/>
      <c r="K221" s="72"/>
      <c r="L221" s="72">
        <f>SUM(venta_a_mes6[[#This Row],[IMPORTE NETO]:[EXENTO]])</f>
        <v>0</v>
      </c>
      <c r="M221" s="63"/>
    </row>
    <row r="222" spans="2:13" x14ac:dyDescent="0.25">
      <c r="B222" s="108"/>
      <c r="C222" s="109"/>
      <c r="D222" s="110"/>
      <c r="E222" s="111"/>
      <c r="F222" s="112"/>
      <c r="G222" s="98" t="str">
        <f>IFERROR(IF(venta_a_mes6[[#This Row],[CUIT]]="","-",VLOOKUP(venta_a_mes6[[#This Row],[CUIT]],Lista_CUIT[#All],2,0)),"CUIT NO CARGADO")</f>
        <v>-</v>
      </c>
      <c r="H222" s="99"/>
      <c r="I222" s="100">
        <f>venta_a_mes6[[#This Row],[IMPORTE NETO]]*0.21</f>
        <v>0</v>
      </c>
      <c r="J222" s="65"/>
      <c r="K222" s="65"/>
      <c r="L222" s="65">
        <f>SUM(venta_a_mes6[[#This Row],[IMPORTE NETO]:[EXENTO]])</f>
        <v>0</v>
      </c>
      <c r="M222" s="59"/>
    </row>
    <row r="223" spans="2:13" ht="25.9" customHeight="1" x14ac:dyDescent="0.25">
      <c r="B223" s="66" t="s">
        <v>110</v>
      </c>
      <c r="C223" s="67"/>
      <c r="D223" s="67"/>
      <c r="E223" s="67"/>
      <c r="F223" s="67"/>
      <c r="G223" s="67"/>
      <c r="H223" s="69">
        <f>SUBTOTAL(109,venta_a_mes6[IMPORTE NETO])</f>
        <v>0</v>
      </c>
      <c r="I223" s="70">
        <f>SUBTOTAL(109,venta_a_mes6[IVA 21%])</f>
        <v>0</v>
      </c>
      <c r="J223" s="71">
        <f>SUBTOTAL(109,venta_a_mes6[IVA 10,5%])</f>
        <v>0</v>
      </c>
      <c r="K223" s="71">
        <f>SUBTOTAL(109,venta_a_mes6[EXENTO])</f>
        <v>0</v>
      </c>
      <c r="L223" s="71">
        <f>SUBTOTAL(109,venta_a_mes6[TOTAL])</f>
        <v>0</v>
      </c>
      <c r="M223" s="68">
        <f>SUBTOTAL(103,venta_a_mes6[Provincia])</f>
        <v>0</v>
      </c>
    </row>
    <row r="225" spans="2:13" ht="17.25" customHeight="1" x14ac:dyDescent="0.25"/>
    <row r="226" spans="2:13" ht="31.5" customHeight="1" x14ac:dyDescent="0.25">
      <c r="B226" s="631" t="s">
        <v>31</v>
      </c>
      <c r="C226" s="631"/>
    </row>
    <row r="227" spans="2:13" ht="15.75" x14ac:dyDescent="0.25">
      <c r="B227" s="60" t="s">
        <v>0</v>
      </c>
      <c r="C227" s="61" t="s">
        <v>1</v>
      </c>
      <c r="D227" s="61" t="s">
        <v>21</v>
      </c>
      <c r="E227" s="61" t="s">
        <v>22</v>
      </c>
      <c r="F227" s="61" t="s">
        <v>3</v>
      </c>
      <c r="G227" s="61" t="s">
        <v>4</v>
      </c>
      <c r="H227" s="61" t="s">
        <v>23</v>
      </c>
      <c r="I227" s="61" t="s">
        <v>17</v>
      </c>
      <c r="J227" s="61" t="s">
        <v>7</v>
      </c>
      <c r="K227" s="61" t="s">
        <v>24</v>
      </c>
      <c r="L227" s="61" t="s">
        <v>10</v>
      </c>
      <c r="M227" s="62" t="s">
        <v>38</v>
      </c>
    </row>
    <row r="228" spans="2:13" x14ac:dyDescent="0.25">
      <c r="B228" s="40"/>
      <c r="C228" s="41"/>
      <c r="D228" s="42"/>
      <c r="E228" s="43"/>
      <c r="F228" s="44"/>
      <c r="G228" s="1" t="str">
        <f>IFERROR(IF(ventas_b_mes6[[#This Row],[CUIT]]="","-",VLOOKUP(ventas_b_mes6[[#This Row],[CUIT]],Lista_CUIT[#All],2,0)),"CUIT NO CARGADO")</f>
        <v>-</v>
      </c>
      <c r="H228" s="64"/>
      <c r="I228" s="64"/>
      <c r="J228" s="64"/>
      <c r="K228" s="64"/>
      <c r="L228" s="64">
        <f>SUM(ventas_b_mes6[[#This Row],[IMPORTE NETO]:[EXENTO]])</f>
        <v>0</v>
      </c>
      <c r="M228" s="59"/>
    </row>
    <row r="229" spans="2:13" x14ac:dyDescent="0.25">
      <c r="B229" s="40"/>
      <c r="C229" s="41"/>
      <c r="D229" s="42"/>
      <c r="E229" s="43"/>
      <c r="F229" s="44"/>
      <c r="G229" s="1"/>
      <c r="H229" s="64"/>
      <c r="I229" s="64"/>
      <c r="J229" s="64"/>
      <c r="K229" s="64"/>
      <c r="L229" s="64">
        <f>SUM(ventas_b_mes6[[#This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1"/>
      <c r="H230" s="64"/>
      <c r="I230" s="64"/>
      <c r="J230" s="64"/>
      <c r="K230" s="64"/>
      <c r="L230" s="64">
        <f>SUM(ventas_b_mes6[[#This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1"/>
      <c r="H231" s="64"/>
      <c r="I231" s="64"/>
      <c r="J231" s="64"/>
      <c r="K231" s="64"/>
      <c r="L231" s="64">
        <f>SUM(ventas_b_mes6[[#This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1"/>
      <c r="H232" s="64"/>
      <c r="I232" s="64"/>
      <c r="J232" s="64"/>
      <c r="K232" s="64"/>
      <c r="L232" s="64">
        <f>SUM(ventas_b_mes6[[#This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1"/>
      <c r="H233" s="64"/>
      <c r="I233" s="64"/>
      <c r="J233" s="64"/>
      <c r="K233" s="64"/>
      <c r="L233" s="64">
        <f>SUM(ventas_b_mes6[[#This Row],[IMPORTE NETO]:[EXENTO]])</f>
        <v>0</v>
      </c>
      <c r="M233" s="59"/>
    </row>
    <row r="234" spans="2:13" x14ac:dyDescent="0.25">
      <c r="B234" s="66" t="s">
        <v>110</v>
      </c>
      <c r="C234" s="67"/>
      <c r="D234" s="67"/>
      <c r="E234" s="67"/>
      <c r="F234" s="67"/>
      <c r="G234" s="67"/>
      <c r="H234" s="77">
        <f>SUBTOTAL(109,ventas_b_mes6[IMPORTE NETO])</f>
        <v>0</v>
      </c>
      <c r="I234" s="77">
        <f>SUBTOTAL(109,ventas_b_mes6[IVA 21%])</f>
        <v>0</v>
      </c>
      <c r="J234" s="78">
        <f>SUBTOTAL(109,ventas_b_mes6[IVA 10,5%])</f>
        <v>0</v>
      </c>
      <c r="K234" s="78">
        <f>SUBTOTAL(109,ventas_b_mes6[EXENTO])</f>
        <v>0</v>
      </c>
      <c r="L234" s="78">
        <f>SUBTOTAL(109,ventas_b_mes6[TOTAL])</f>
        <v>0</v>
      </c>
      <c r="M234" s="68">
        <f>SUBTOTAL(103,ventas_b_mes6[Provincia])</f>
        <v>0</v>
      </c>
    </row>
    <row r="236" spans="2:13" ht="19.149999999999999" customHeight="1" x14ac:dyDescent="0.25"/>
    <row r="237" spans="2:13" ht="28.9" customHeight="1" x14ac:dyDescent="0.25"/>
    <row r="241" spans="3:12" ht="15.75" thickBot="1" x14ac:dyDescent="0.3"/>
    <row r="242" spans="3:12" ht="15.75" thickTop="1" x14ac:dyDescent="0.25">
      <c r="C242" s="625" t="s">
        <v>66</v>
      </c>
      <c r="D242" s="625"/>
      <c r="E242" s="625"/>
      <c r="F242" s="625"/>
      <c r="G242" s="625"/>
      <c r="H242" s="32"/>
      <c r="I242" s="32"/>
      <c r="J242" s="32"/>
    </row>
    <row r="243" spans="3:12" ht="15.75" x14ac:dyDescent="0.25">
      <c r="C243" s="113" t="s">
        <v>67</v>
      </c>
      <c r="D243" s="114" t="s">
        <v>68</v>
      </c>
      <c r="E243" s="114" t="s">
        <v>112</v>
      </c>
      <c r="F243" s="114" t="s">
        <v>3</v>
      </c>
      <c r="G243" s="114" t="s">
        <v>4</v>
      </c>
      <c r="H243" s="115" t="s">
        <v>69</v>
      </c>
      <c r="I243" s="115" t="s">
        <v>70</v>
      </c>
      <c r="J243" s="115" t="s">
        <v>71</v>
      </c>
      <c r="K243" s="115" t="s">
        <v>72</v>
      </c>
      <c r="L243" s="115" t="s">
        <v>73</v>
      </c>
    </row>
    <row r="244" spans="3:12" x14ac:dyDescent="0.25">
      <c r="C244" s="116"/>
      <c r="D244" s="117"/>
      <c r="E244" s="117"/>
      <c r="F244" s="118"/>
      <c r="G244" s="53" t="str">
        <f>IFERROR(IF(Retenciones_mes6[[#This Row],[CUIT]]="","-",VLOOKUP(Retenciones_mes6[[#This Row],[CUIT]],Lista_CUIT[#All],2,0)),"CUIT NO CARGADO")</f>
        <v>-</v>
      </c>
      <c r="H244" s="119"/>
      <c r="I244" s="119"/>
      <c r="J244" s="119"/>
      <c r="K244" s="119"/>
      <c r="L244" s="119"/>
    </row>
    <row r="245" spans="3:12" x14ac:dyDescent="0.25">
      <c r="C245" s="116"/>
      <c r="D245" s="117"/>
      <c r="E245" s="117"/>
      <c r="F245" s="118"/>
      <c r="G245" s="53" t="str">
        <f>IFERROR(IF(Retenciones_mes6[[#This Row],[CUIT]]="","-",VLOOKUP(Retenciones_mes6[[#This Row],[CUIT]],Lista_CUIT[#All],2,0)),"CUIT NO CARGADO")</f>
        <v>-</v>
      </c>
      <c r="H245" s="119"/>
      <c r="I245" s="119"/>
      <c r="J245" s="119"/>
      <c r="K245" s="119"/>
      <c r="L245" s="119"/>
    </row>
    <row r="246" spans="3:12" x14ac:dyDescent="0.25">
      <c r="C246" s="116"/>
      <c r="D246" s="117"/>
      <c r="E246" s="117"/>
      <c r="F246" s="118"/>
      <c r="G246" s="53" t="str">
        <f>IFERROR(IF(Retenciones_mes6[[#This Row],[CUIT]]="","-",VLOOKUP(Retenciones_mes6[[#This Row],[CUIT]],Lista_CUIT[#All],2,0)),"CUIT NO CARGADO")</f>
        <v>-</v>
      </c>
      <c r="H246" s="119"/>
      <c r="I246" s="119"/>
      <c r="J246" s="119"/>
      <c r="K246" s="119"/>
      <c r="L246" s="119"/>
    </row>
    <row r="247" spans="3:12" x14ac:dyDescent="0.25">
      <c r="C247" s="116"/>
      <c r="D247" s="117"/>
      <c r="E247" s="117"/>
      <c r="F247" s="118"/>
      <c r="G247" s="53" t="str">
        <f>IFERROR(IF(Retenciones_mes6[[#This Row],[CUIT]]="","-",VLOOKUP(Retenciones_mes6[[#This Row],[CUIT]],Lista_CUIT[#All],2,0)),"CUIT NO CARGADO")</f>
        <v>-</v>
      </c>
      <c r="H247" s="119"/>
      <c r="I247" s="119"/>
      <c r="J247" s="119"/>
      <c r="K247" s="119"/>
      <c r="L247" s="119"/>
    </row>
    <row r="248" spans="3:12" x14ac:dyDescent="0.25">
      <c r="D248" s="117"/>
      <c r="E248" s="117"/>
      <c r="G248" s="53" t="str">
        <f>IFERROR(IF(Retenciones_mes6[[#This Row],[CUIT]]="","-",VLOOKUP(Retenciones_mes6[[#This Row],[CUIT]],Lista_CUIT[#All],2,0)),"CUIT NO CARGADO")</f>
        <v>-</v>
      </c>
    </row>
    <row r="249" spans="3:12" x14ac:dyDescent="0.25">
      <c r="C249" s="33"/>
    </row>
  </sheetData>
  <mergeCells count="20">
    <mergeCell ref="C242:G242"/>
    <mergeCell ref="B4:E4"/>
    <mergeCell ref="G4:H4"/>
    <mergeCell ref="J4:K4"/>
    <mergeCell ref="M4:N4"/>
    <mergeCell ref="D161:K161"/>
    <mergeCell ref="B212:J212"/>
    <mergeCell ref="K212:M212"/>
    <mergeCell ref="B214:C214"/>
    <mergeCell ref="B226:C226"/>
    <mergeCell ref="P4:R4"/>
    <mergeCell ref="D152:L152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228:D233 D216:D222 E163:E205 D9:D146" xr:uid="{00000000-0002-0000-0600-000000000000}">
      <formula1>1</formula1>
      <formula2>9999</formula2>
    </dataValidation>
    <dataValidation type="whole" allowBlank="1" showInputMessage="1" showErrorMessage="1" sqref="E228:E233 E216:E222 F163:F205 E9:E146" xr:uid="{00000000-0002-0000-0600-000001000000}">
      <formula1>1</formula1>
      <formula2>99999999</formula2>
    </dataValidation>
    <dataValidation type="whole" allowBlank="1" showInputMessage="1" showErrorMessage="1" sqref="F228:F233 F216:F222 G163:G205 F9:F146" xr:uid="{00000000-0002-0000-0600-000002000000}">
      <formula1>20000000000</formula1>
      <formula2>33999999999</formula2>
    </dataValidation>
    <dataValidation type="date" allowBlank="1" showInputMessage="1" showErrorMessage="1" sqref="D154:D156 B148:B151 B228:B233 B216:B222 D163:D205 B9:B146" xr:uid="{00000000-0002-0000-0600-000003000000}">
      <formula1>40179</formula1>
      <formula2>TODAY()</formula2>
    </dataValidation>
    <dataValidation type="whole" allowBlank="1" showInputMessage="1" showErrorMessage="1" sqref="C148:C151 C216:C222 C9:C146" xr:uid="{00000000-0002-0000-0600-000004000000}">
      <formula1>1</formula1>
      <formula2>3</formula2>
    </dataValidation>
    <dataValidation type="whole" allowBlank="1" showInputMessage="1" showErrorMessage="1" sqref="C228:C233" xr:uid="{00000000-0002-0000-0600-000005000000}">
      <formula1>6</formula1>
      <formula2>8</formula2>
    </dataValidation>
    <dataValidation type="custom" allowBlank="1" showInputMessage="1" showErrorMessage="1" sqref="H228:L233" xr:uid="{00000000-0002-0000-0600-000006000000}">
      <formula1>IF($C228=8,H228&lt;0,H228&gt;=0)</formula1>
    </dataValidation>
    <dataValidation type="custom" allowBlank="1" showInputMessage="1" showErrorMessage="1" sqref="L216:L220" xr:uid="{00000000-0002-0000-0600-000007000000}">
      <formula1>IF($C9=3,L9&lt;0,L9&gt;=0)</formula1>
    </dataValidation>
    <dataValidation type="custom" allowBlank="1" showInputMessage="1" showErrorMessage="1" sqref="H216:K220" xr:uid="{00000000-0002-0000-0600-000008000000}">
      <formula1>IF($C216=3,H216&lt;0,H216&gt;=0)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6" xr:uid="{00000000-0002-0000-0600-000009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236"/>
  <sheetViews>
    <sheetView showGridLines="0" topLeftCell="G85" zoomScale="70" zoomScaleNormal="70" workbookViewId="0">
      <selection activeCell="G94" sqref="G94"/>
    </sheetView>
  </sheetViews>
  <sheetFormatPr baseColWidth="10" defaultColWidth="0" defaultRowHeight="15" x14ac:dyDescent="0.25"/>
  <cols>
    <col min="1" max="1" width="0.140625" customWidth="1"/>
    <col min="2" max="2" width="13.57031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EDATE('Ene-25'!N1,6)</f>
        <v>45839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SUM(compras_mes7[[#Totals],[NETO GRAVADO]])+extracto_banco_mes7[[#Totals],[NETO]]</f>
        <v>69401666.890000001</v>
      </c>
      <c r="C4" s="626"/>
      <c r="D4" s="626"/>
      <c r="E4" s="626"/>
      <c r="F4" s="39"/>
      <c r="G4" s="627">
        <f>compras_mes7[[#Totals],[IVA 21 %]]+compras_mes7[[#Totals],[IVA 27%]]+compras_mes7[[#Totals],[IVA 10,5%]]+extracto_banco_mes7[[#Totals],[IVA 21%]]+extracto_banco_mes7[[#Totals],[IVA 10,5%]]</f>
        <v>13514324.675550001</v>
      </c>
      <c r="H4" s="627"/>
      <c r="I4" s="39"/>
      <c r="J4" s="628">
        <f>venta_a_mes7[[#Totals],[IMPORTE NETO]]+ventas_b_mes7[[#Totals],[IMPORTE NETO]]</f>
        <v>0</v>
      </c>
      <c r="K4" s="628"/>
      <c r="L4" s="39"/>
      <c r="M4" s="628">
        <f>venta_a_mes7[[#Totals],[IVA 21%]]+venta_a_mes7[[#Totals],[IVA 10,5%]]+ventas_b_mes7[[#Totals],[IVA 21%]]+ventas_b_mes7[[#Totals],[IVA 10,5%]]</f>
        <v>0</v>
      </c>
      <c r="N4" s="628"/>
      <c r="O4" s="39"/>
      <c r="P4" s="616">
        <f>G4-M4</f>
        <v>13514324.675550001</v>
      </c>
      <c r="Q4" s="617"/>
      <c r="R4" s="617"/>
    </row>
    <row r="5" spans="1:26" ht="28.5" customHeight="1" x14ac:dyDescent="0.3">
      <c r="N5" s="248"/>
    </row>
    <row r="6" spans="1:26" ht="25.5" customHeight="1" x14ac:dyDescent="0.25"/>
    <row r="7" spans="1:26" s="2" customFormat="1" ht="28.5" customHeight="1" x14ac:dyDescent="0.25">
      <c r="B7" s="40"/>
      <c r="C7" s="41"/>
      <c r="D7" s="42"/>
      <c r="E7" s="43"/>
      <c r="F7" s="44"/>
      <c r="G7" s="166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23"/>
      <c r="C9" s="505"/>
      <c r="D9" s="506"/>
      <c r="E9" s="507"/>
      <c r="F9" s="508">
        <v>30716815710</v>
      </c>
      <c r="G9" s="509" t="str">
        <f>IFERROR(IF(compras_mes7[[#This Row],[CUIT]]="","-",VLOOKUP(compras_mes7[[#This Row],[CUIT]],Lista_CUIT[#All],2,0)),"CUIT NO CARGADO")</f>
        <v>PAPELERA GEOPEL SRL</v>
      </c>
      <c r="H9" s="510">
        <v>17000</v>
      </c>
      <c r="I9" s="224">
        <f>IF(compras_mes7[[#This Row],[NETO GRAVADO]]="","",compras_mes7[[#This Row],[NETO GRAVADO]]*0.21)</f>
        <v>3570</v>
      </c>
      <c r="J9" s="312"/>
      <c r="K9" s="312"/>
      <c r="L9" s="312"/>
      <c r="M9" s="312"/>
      <c r="N9" s="312"/>
      <c r="O9" s="312"/>
      <c r="P9" s="310">
        <f>SUM(compras_mes7[[#This Row],[NETO GRAVADO]:[Otros / No Grav.]])</f>
        <v>20570</v>
      </c>
      <c r="Q9" s="311" t="str">
        <f>IFERROR(IF(compras_mes7[[#This Row],[CUIT]]="","-",VLOOKUP(compras_mes7[[#This Row],[CUIT]],Lista_CUIT[#All],3,0)),"CUIT NO CARGADO")</f>
        <v>librería</v>
      </c>
      <c r="R9" s="311">
        <f>IFERROR(IF(compras_mes7[[#This Row],[CUIT]]="","-",VLOOKUP(compras_mes7[[#This Row],[CUIT]],Lista_CUIT[#All],4,0)),"CUIT NO CARGADO")</f>
        <v>0</v>
      </c>
    </row>
    <row r="10" spans="1:26" x14ac:dyDescent="0.25">
      <c r="B10" s="40"/>
      <c r="C10" s="41"/>
      <c r="D10" s="42"/>
      <c r="E10" s="43"/>
      <c r="F10" s="44">
        <v>30717179389</v>
      </c>
      <c r="G10" s="45" t="str">
        <f>IFERROR(IF(compras_mes7[[#This Row],[CUIT]]="","-",VLOOKUP(compras_mes7[[#This Row],[CUIT]],Lista_CUIT[#All],2,0)),"CUIT NO CARGADO")</f>
        <v>NICOLAS TOBIAS SEQUEIRA Y MARIA GABRIELA RATTNER SOCIEDAD DE LA SECCION IV LGS</v>
      </c>
      <c r="H10" s="46">
        <v>49586.78</v>
      </c>
      <c r="I10" s="224">
        <f>IF(compras_mes7[[#This Row],[NETO GRAVADO]]="","",compras_mes7[[#This Row],[NETO GRAVADO]]*0.21)</f>
        <v>10413.2238</v>
      </c>
      <c r="J10" s="85"/>
      <c r="K10" s="85"/>
      <c r="L10" s="85"/>
      <c r="M10" s="85"/>
      <c r="N10" s="85"/>
      <c r="O10" s="85"/>
      <c r="P10" s="310">
        <f>SUM(compras_mes7[[#This Row],[NETO GRAVADO]:[Otros / No Grav.]])</f>
        <v>60000.003799999999</v>
      </c>
      <c r="Q10" s="311" t="str">
        <f>IFERROR(IF(compras_mes7[[#This Row],[CUIT]]="","-",VLOOKUP(compras_mes7[[#This Row],[CUIT]],Lista_CUIT[#All],3,0)),"CUIT NO CARGADO")</f>
        <v>Ropa de Trabajo</v>
      </c>
      <c r="R10" s="311">
        <f>IFERROR(IF(compras_mes7[[#This Row],[CUIT]]="","-",VLOOKUP(compras_mes7[[#This Row],[CUIT]],Lista_CUIT[#All],4,0)),"CUIT NO CARGADO")</f>
        <v>0</v>
      </c>
    </row>
    <row r="11" spans="1:26" x14ac:dyDescent="0.25">
      <c r="B11" s="223"/>
      <c r="C11" s="505"/>
      <c r="D11" s="506"/>
      <c r="E11" s="507"/>
      <c r="F11" s="508">
        <v>30715141201</v>
      </c>
      <c r="G11" s="509" t="str">
        <f>IFERROR(IF(compras_mes7[[#This Row],[CUIT]]="","-",VLOOKUP(compras_mes7[[#This Row],[CUIT]],Lista_CUIT[#All],2,0)),"CUIT NO CARGADO")</f>
        <v>REHAB SRL</v>
      </c>
      <c r="H11" s="510">
        <v>585457.93999999994</v>
      </c>
      <c r="I11" s="224">
        <f>IF(compras_mes7[[#This Row],[NETO GRAVADO]]="","",compras_mes7[[#This Row],[NETO GRAVADO]]*0.21)</f>
        <v>122946.16739999998</v>
      </c>
      <c r="J11" s="312"/>
      <c r="K11" s="312"/>
      <c r="L11" s="312"/>
      <c r="M11" s="312"/>
      <c r="N11" s="312"/>
      <c r="O11" s="312"/>
      <c r="P11" s="310">
        <f>SUM(compras_mes7[[#This Row],[NETO GRAVADO]:[Otros / No Grav.]])</f>
        <v>708404.10739999986</v>
      </c>
      <c r="Q11" s="311" t="str">
        <f>IFERROR(IF(compras_mes7[[#This Row],[CUIT]]="","-",VLOOKUP(compras_mes7[[#This Row],[CUIT]],Lista_CUIT[#All],3,0)),"CUIT NO CARGADO")</f>
        <v>INSUMO</v>
      </c>
      <c r="R11" s="311">
        <f>IFERROR(IF(compras_mes7[[#This Row],[CUIT]]="","-",VLOOKUP(compras_mes7[[#This Row],[CUIT]],Lista_CUIT[#All],4,0)),"CUIT NO CARGADO")</f>
        <v>0</v>
      </c>
    </row>
    <row r="12" spans="1:26" x14ac:dyDescent="0.25">
      <c r="B12" s="40"/>
      <c r="C12" s="505"/>
      <c r="D12" s="42"/>
      <c r="E12" s="43"/>
      <c r="F12" s="44">
        <v>30715141201</v>
      </c>
      <c r="G12" s="45" t="str">
        <f>IFERROR(IF(compras_mes7[[#This Row],[CUIT]]="","-",VLOOKUP(compras_mes7[[#This Row],[CUIT]],Lista_CUIT[#All],2,0)),"CUIT NO CARGADO")</f>
        <v>REHAB SRL</v>
      </c>
      <c r="H12" s="46">
        <v>330547.5</v>
      </c>
      <c r="I12" s="224">
        <f>IF(compras_mes7[[#This Row],[NETO GRAVADO]]="","",compras_mes7[[#This Row],[NETO GRAVADO]]*0.21)</f>
        <v>69414.974999999991</v>
      </c>
      <c r="J12" s="312"/>
      <c r="K12" s="312"/>
      <c r="L12" s="312"/>
      <c r="M12" s="312"/>
      <c r="N12" s="312"/>
      <c r="O12" s="312"/>
      <c r="P12" s="310">
        <f>SUM(compras_mes7[[#This Row],[NETO GRAVADO]:[Otros / No Grav.]])</f>
        <v>399962.47499999998</v>
      </c>
      <c r="Q12" s="311" t="str">
        <f>IFERROR(IF(compras_mes7[[#This Row],[CUIT]]="","-",VLOOKUP(compras_mes7[[#This Row],[CUIT]],Lista_CUIT[#All],3,0)),"CUIT NO CARGADO")</f>
        <v>INSUMO</v>
      </c>
      <c r="R12" s="311">
        <f>IFERROR(IF(compras_mes7[[#This Row],[CUIT]]="","-",VLOOKUP(compras_mes7[[#This Row],[CUIT]],Lista_CUIT[#All],4,0)),"CUIT NO CARGADO")</f>
        <v>0</v>
      </c>
    </row>
    <row r="13" spans="1:26" x14ac:dyDescent="0.25">
      <c r="B13" s="40"/>
      <c r="C13" s="505"/>
      <c r="D13" s="42"/>
      <c r="E13" s="43"/>
      <c r="F13" s="44">
        <v>30715141201</v>
      </c>
      <c r="G13" s="45" t="str">
        <f>IFERROR(IF(compras_mes7[[#This Row],[CUIT]]="","-",VLOOKUP(compras_mes7[[#This Row],[CUIT]],Lista_CUIT[#All],2,0)),"CUIT NO CARGADO")</f>
        <v>REHAB SRL</v>
      </c>
      <c r="H13" s="46">
        <v>2167818.75</v>
      </c>
      <c r="I13" s="224">
        <f>IF(compras_mes7[[#This Row],[NETO GRAVADO]]="","",compras_mes7[[#This Row],[NETO GRAVADO]]*0.21)</f>
        <v>455241.9375</v>
      </c>
      <c r="J13" s="312"/>
      <c r="K13" s="312"/>
      <c r="L13" s="312"/>
      <c r="M13" s="312"/>
      <c r="N13" s="312"/>
      <c r="O13" s="312"/>
      <c r="P13" s="310">
        <f>SUM(compras_mes7[[#This Row],[NETO GRAVADO]:[Otros / No Grav.]])</f>
        <v>2623060.6875</v>
      </c>
      <c r="Q13" s="311" t="str">
        <f>IFERROR(IF(compras_mes7[[#This Row],[CUIT]]="","-",VLOOKUP(compras_mes7[[#This Row],[CUIT]],Lista_CUIT[#All],3,0)),"CUIT NO CARGADO")</f>
        <v>INSUMO</v>
      </c>
      <c r="R13" s="311">
        <f>IFERROR(IF(compras_mes7[[#This Row],[CUIT]]="","-",VLOOKUP(compras_mes7[[#This Row],[CUIT]],Lista_CUIT[#All],4,0)),"CUIT NO CARGADO")</f>
        <v>0</v>
      </c>
    </row>
    <row r="14" spans="1:26" x14ac:dyDescent="0.25">
      <c r="B14" s="40"/>
      <c r="C14" s="505"/>
      <c r="D14" s="42"/>
      <c r="E14" s="43"/>
      <c r="F14" s="44">
        <v>30715141201</v>
      </c>
      <c r="G14" s="45" t="str">
        <f>IFERROR(IF(compras_mes7[[#This Row],[CUIT]]="","-",VLOOKUP(compras_mes7[[#This Row],[CUIT]],Lista_CUIT[#All],2,0)),"CUIT NO CARGADO")</f>
        <v>REHAB SRL</v>
      </c>
      <c r="H14" s="46">
        <v>3308625</v>
      </c>
      <c r="I14" s="224">
        <f>IF(compras_mes7[[#This Row],[NETO GRAVADO]]="","",compras_mes7[[#This Row],[NETO GRAVADO]]*0.21)</f>
        <v>694811.25</v>
      </c>
      <c r="J14" s="312"/>
      <c r="K14" s="312"/>
      <c r="L14" s="312"/>
      <c r="M14" s="312"/>
      <c r="N14" s="312"/>
      <c r="O14" s="312"/>
      <c r="P14" s="310">
        <f>SUM(compras_mes7[[#This Row],[NETO GRAVADO]:[Otros / No Grav.]])</f>
        <v>4003436.25</v>
      </c>
      <c r="Q14" s="311" t="str">
        <f>IFERROR(IF(compras_mes7[[#This Row],[CUIT]]="","-",VLOOKUP(compras_mes7[[#This Row],[CUIT]],Lista_CUIT[#All],3,0)),"CUIT NO CARGADO")</f>
        <v>INSUMO</v>
      </c>
      <c r="R14" s="311">
        <f>IFERROR(IF(compras_mes7[[#This Row],[CUIT]]="","-",VLOOKUP(compras_mes7[[#This Row],[CUIT]],Lista_CUIT[#All],4,0)),"CUIT NO CARGADO")</f>
        <v>0</v>
      </c>
    </row>
    <row r="15" spans="1:26" x14ac:dyDescent="0.25">
      <c r="B15" s="40"/>
      <c r="C15" s="505"/>
      <c r="D15" s="42"/>
      <c r="E15" s="43"/>
      <c r="F15" s="44">
        <v>30715141201</v>
      </c>
      <c r="G15" s="45" t="str">
        <f>IFERROR(IF(compras_mes7[[#This Row],[CUIT]]="","-",VLOOKUP(compras_mes7[[#This Row],[CUIT]],Lista_CUIT[#All],2,0)),"CUIT NO CARGADO")</f>
        <v>REHAB SRL</v>
      </c>
      <c r="H15" s="46">
        <v>810267.77</v>
      </c>
      <c r="I15" s="224">
        <f>IF(compras_mes7[[#This Row],[NETO GRAVADO]]="","",compras_mes7[[#This Row],[NETO GRAVADO]]*0.21)</f>
        <v>170156.2317</v>
      </c>
      <c r="J15" s="312"/>
      <c r="K15" s="312"/>
      <c r="L15" s="312"/>
      <c r="M15" s="312"/>
      <c r="N15" s="312"/>
      <c r="O15" s="312"/>
      <c r="P15" s="310">
        <f>SUM(compras_mes7[[#This Row],[NETO GRAVADO]:[Otros / No Grav.]])</f>
        <v>980424.00170000002</v>
      </c>
      <c r="Q15" s="311" t="str">
        <f>IFERROR(IF(compras_mes7[[#This Row],[CUIT]]="","-",VLOOKUP(compras_mes7[[#This Row],[CUIT]],Lista_CUIT[#All],3,0)),"CUIT NO CARGADO")</f>
        <v>INSUMO</v>
      </c>
      <c r="R15" s="311">
        <f>IFERROR(IF(compras_mes7[[#This Row],[CUIT]]="","-",VLOOKUP(compras_mes7[[#This Row],[CUIT]],Lista_CUIT[#All],4,0)),"CUIT NO CARGADO")</f>
        <v>0</v>
      </c>
    </row>
    <row r="16" spans="1:26" x14ac:dyDescent="0.25">
      <c r="B16" s="40"/>
      <c r="C16" s="505"/>
      <c r="D16" s="42"/>
      <c r="E16" s="43"/>
      <c r="F16" s="44">
        <v>30715141201</v>
      </c>
      <c r="G16" s="45" t="str">
        <f>IFERROR(IF(compras_mes7[[#This Row],[CUIT]]="","-",VLOOKUP(compras_mes7[[#This Row],[CUIT]],Lista_CUIT[#All],2,0)),"CUIT NO CARGADO")</f>
        <v>REHAB SRL</v>
      </c>
      <c r="H16" s="46">
        <v>857756.25</v>
      </c>
      <c r="I16" s="224">
        <f>IF(compras_mes7[[#This Row],[NETO GRAVADO]]="","",compras_mes7[[#This Row],[NETO GRAVADO]]*0.21)</f>
        <v>180128.8125</v>
      </c>
      <c r="J16" s="312"/>
      <c r="K16" s="312"/>
      <c r="L16" s="312"/>
      <c r="M16" s="312"/>
      <c r="N16" s="312"/>
      <c r="O16" s="312"/>
      <c r="P16" s="310">
        <f>SUM(compras_mes7[[#This Row],[NETO GRAVADO]:[Otros / No Grav.]])</f>
        <v>1037885.0625</v>
      </c>
      <c r="Q16" s="311" t="str">
        <f>IFERROR(IF(compras_mes7[[#This Row],[CUIT]]="","-",VLOOKUP(compras_mes7[[#This Row],[CUIT]],Lista_CUIT[#All],3,0)),"CUIT NO CARGADO")</f>
        <v>INSUMO</v>
      </c>
      <c r="R16" s="311">
        <f>IFERROR(IF(compras_mes7[[#This Row],[CUIT]]="","-",VLOOKUP(compras_mes7[[#This Row],[CUIT]],Lista_CUIT[#All],4,0)),"CUIT NO CARGADO")</f>
        <v>0</v>
      </c>
    </row>
    <row r="17" spans="2:18" x14ac:dyDescent="0.25">
      <c r="B17" s="223"/>
      <c r="C17" s="505"/>
      <c r="D17" s="506"/>
      <c r="E17" s="507"/>
      <c r="F17" s="508">
        <v>30711610096</v>
      </c>
      <c r="G17" s="509" t="str">
        <f>IFERROR(IF(compras_mes7[[#This Row],[CUIT]]="","-",VLOOKUP(compras_mes7[[#This Row],[CUIT]],Lista_CUIT[#All],2,0)),"CUIT NO CARGADO")</f>
        <v>46 SPEED S.A.</v>
      </c>
      <c r="H17" s="510">
        <v>591900</v>
      </c>
      <c r="I17" s="224">
        <f>IF(compras_mes7[[#This Row],[NETO GRAVADO]]="","",compras_mes7[[#This Row],[NETO GRAVADO]]*0.21)</f>
        <v>124299</v>
      </c>
      <c r="J17" s="312"/>
      <c r="K17" s="312"/>
      <c r="L17" s="312"/>
      <c r="M17" s="312"/>
      <c r="N17" s="312"/>
      <c r="O17" s="312"/>
      <c r="P17" s="310">
        <f>SUM(compras_mes7[[#This Row],[NETO GRAVADO]:[Otros / No Grav.]])</f>
        <v>716199</v>
      </c>
      <c r="Q17" s="311" t="str">
        <f>IFERROR(IF(compras_mes7[[#This Row],[CUIT]]="","-",VLOOKUP(compras_mes7[[#This Row],[CUIT]],Lista_CUIT[#All],3,0)),"CUIT NO CARGADO")</f>
        <v>Insumos</v>
      </c>
      <c r="R17" s="311">
        <f>IFERROR(IF(compras_mes7[[#This Row],[CUIT]]="","-",VLOOKUP(compras_mes7[[#This Row],[CUIT]],Lista_CUIT[#All],4,0)),"CUIT NO CARGADO")</f>
        <v>0</v>
      </c>
    </row>
    <row r="18" spans="2:18" x14ac:dyDescent="0.25">
      <c r="B18" s="223"/>
      <c r="C18" s="505"/>
      <c r="D18" s="506"/>
      <c r="E18" s="507"/>
      <c r="F18" s="508">
        <v>20272865869</v>
      </c>
      <c r="G18" s="509" t="str">
        <f>IFERROR(IF(compras_mes7[[#This Row],[CUIT]]="","-",VLOOKUP(compras_mes7[[#This Row],[CUIT]],Lista_CUIT[#All],2,0)),"CUIT NO CARGADO")</f>
        <v>DI FEO MARTIN EZEQUIEL</v>
      </c>
      <c r="H18" s="510">
        <v>251308.26</v>
      </c>
      <c r="I18" s="224">
        <f>IF(compras_mes7[[#This Row],[NETO GRAVADO]]="","",compras_mes7[[#This Row],[NETO GRAVADO]]*0.21)</f>
        <v>52774.734600000003</v>
      </c>
      <c r="J18" s="312"/>
      <c r="K18" s="312"/>
      <c r="L18" s="312"/>
      <c r="M18" s="312"/>
      <c r="N18" s="312"/>
      <c r="O18" s="312"/>
      <c r="P18" s="310">
        <f>SUM(compras_mes7[[#This Row],[NETO GRAVADO]:[Otros / No Grav.]])</f>
        <v>304082.99460000003</v>
      </c>
      <c r="Q18" s="311" t="str">
        <f>IFERROR(IF(compras_mes7[[#This Row],[CUIT]]="","-",VLOOKUP(compras_mes7[[#This Row],[CUIT]],Lista_CUIT[#All],3,0)),"CUIT NO CARGADO")</f>
        <v>INSUMOS</v>
      </c>
      <c r="R18" s="311">
        <f>IFERROR(IF(compras_mes7[[#This Row],[CUIT]]="","-",VLOOKUP(compras_mes7[[#This Row],[CUIT]],Lista_CUIT[#All],4,0)),"CUIT NO CARGADO")</f>
        <v>0</v>
      </c>
    </row>
    <row r="19" spans="2:18" x14ac:dyDescent="0.25">
      <c r="B19" s="223"/>
      <c r="C19" s="505"/>
      <c r="D19" s="506"/>
      <c r="E19" s="507"/>
      <c r="F19" s="508">
        <v>20272865869</v>
      </c>
      <c r="G19" s="509" t="str">
        <f>IFERROR(IF(compras_mes7[[#This Row],[CUIT]]="","-",VLOOKUP(compras_mes7[[#This Row],[CUIT]],Lista_CUIT[#All],2,0)),"CUIT NO CARGADO")</f>
        <v>DI FEO MARTIN EZEQUIEL</v>
      </c>
      <c r="H19" s="510">
        <v>136600</v>
      </c>
      <c r="I19" s="224">
        <f>IF(compras_mes7[[#This Row],[NETO GRAVADO]]="","",compras_mes7[[#This Row],[NETO GRAVADO]]*0.21)</f>
        <v>28686</v>
      </c>
      <c r="J19" s="312"/>
      <c r="K19" s="312"/>
      <c r="L19" s="312"/>
      <c r="M19" s="312"/>
      <c r="N19" s="312"/>
      <c r="O19" s="312"/>
      <c r="P19" s="310">
        <f>SUM(compras_mes7[[#This Row],[NETO GRAVADO]:[Otros / No Grav.]])</f>
        <v>165286</v>
      </c>
      <c r="Q19" s="311" t="str">
        <f>IFERROR(IF(compras_mes7[[#This Row],[CUIT]]="","-",VLOOKUP(compras_mes7[[#This Row],[CUIT]],Lista_CUIT[#All],3,0)),"CUIT NO CARGADO")</f>
        <v>INSUMOS</v>
      </c>
      <c r="R19" s="311">
        <f>IFERROR(IF(compras_mes7[[#This Row],[CUIT]]="","-",VLOOKUP(compras_mes7[[#This Row],[CUIT]],Lista_CUIT[#All],4,0)),"CUIT NO CARGADO")</f>
        <v>0</v>
      </c>
    </row>
    <row r="20" spans="2:18" x14ac:dyDescent="0.25">
      <c r="B20" s="223"/>
      <c r="C20" s="505"/>
      <c r="D20" s="506"/>
      <c r="E20" s="507"/>
      <c r="F20" s="508">
        <v>20272865869</v>
      </c>
      <c r="G20" s="509" t="str">
        <f>IFERROR(IF(compras_mes7[[#This Row],[CUIT]]="","-",VLOOKUP(compras_mes7[[#This Row],[CUIT]],Lista_CUIT[#All],2,0)),"CUIT NO CARGADO")</f>
        <v>DI FEO MARTIN EZEQUIEL</v>
      </c>
      <c r="H20" s="510">
        <v>299000</v>
      </c>
      <c r="I20" s="224">
        <f>IF(compras_mes7[[#This Row],[NETO GRAVADO]]="","",compras_mes7[[#This Row],[NETO GRAVADO]]*0.21)</f>
        <v>62790</v>
      </c>
      <c r="J20" s="312"/>
      <c r="K20" s="312"/>
      <c r="L20" s="312"/>
      <c r="M20" s="312"/>
      <c r="N20" s="312"/>
      <c r="O20" s="312"/>
      <c r="P20" s="310">
        <f>SUM(compras_mes7[[#This Row],[NETO GRAVADO]:[Otros / No Grav.]])</f>
        <v>361790</v>
      </c>
      <c r="Q20" s="311" t="str">
        <f>IFERROR(IF(compras_mes7[[#This Row],[CUIT]]="","-",VLOOKUP(compras_mes7[[#This Row],[CUIT]],Lista_CUIT[#All],3,0)),"CUIT NO CARGADO")</f>
        <v>INSUMOS</v>
      </c>
      <c r="R20" s="311">
        <f>IFERROR(IF(compras_mes7[[#This Row],[CUIT]]="","-",VLOOKUP(compras_mes7[[#This Row],[CUIT]],Lista_CUIT[#All],4,0)),"CUIT NO CARGADO")</f>
        <v>0</v>
      </c>
    </row>
    <row r="21" spans="2:18" x14ac:dyDescent="0.25">
      <c r="B21" s="40"/>
      <c r="C21" s="505"/>
      <c r="D21" s="42"/>
      <c r="E21" s="43"/>
      <c r="F21" s="44">
        <v>20272865869</v>
      </c>
      <c r="G21" s="45" t="str">
        <f>IFERROR(IF(compras_mes7[[#This Row],[CUIT]]="","-",VLOOKUP(compras_mes7[[#This Row],[CUIT]],Lista_CUIT[#All],2,0)),"CUIT NO CARGADO")</f>
        <v>DI FEO MARTIN EZEQUIEL</v>
      </c>
      <c r="H21" s="46">
        <v>126400</v>
      </c>
      <c r="I21" s="224">
        <f>IF(compras_mes7[[#This Row],[NETO GRAVADO]]="","",compras_mes7[[#This Row],[NETO GRAVADO]]*0.21)</f>
        <v>26544</v>
      </c>
      <c r="J21" s="312"/>
      <c r="K21" s="312"/>
      <c r="L21" s="312"/>
      <c r="M21" s="312"/>
      <c r="N21" s="312"/>
      <c r="O21" s="312"/>
      <c r="P21" s="310">
        <f>SUM(compras_mes7[[#This Row],[NETO GRAVADO]:[Otros / No Grav.]])</f>
        <v>152944</v>
      </c>
      <c r="Q21" s="311" t="str">
        <f>IFERROR(IF(compras_mes7[[#This Row],[CUIT]]="","-",VLOOKUP(compras_mes7[[#This Row],[CUIT]],Lista_CUIT[#All],3,0)),"CUIT NO CARGADO")</f>
        <v>INSUMOS</v>
      </c>
      <c r="R21" s="311">
        <f>IFERROR(IF(compras_mes7[[#This Row],[CUIT]]="","-",VLOOKUP(compras_mes7[[#This Row],[CUIT]],Lista_CUIT[#All],4,0)),"CUIT NO CARGADO")</f>
        <v>0</v>
      </c>
    </row>
    <row r="22" spans="2:18" x14ac:dyDescent="0.25">
      <c r="B22" s="40"/>
      <c r="C22" s="505"/>
      <c r="D22" s="42"/>
      <c r="E22" s="43"/>
      <c r="F22" s="44">
        <v>20272865869</v>
      </c>
      <c r="G22" s="45" t="str">
        <f>IFERROR(IF(compras_mes7[[#This Row],[CUIT]]="","-",VLOOKUP(compras_mes7[[#This Row],[CUIT]],Lista_CUIT[#All],2,0)),"CUIT NO CARGADO")</f>
        <v>DI FEO MARTIN EZEQUIEL</v>
      </c>
      <c r="H22" s="46">
        <v>49000</v>
      </c>
      <c r="I22" s="224">
        <f>IF(compras_mes7[[#This Row],[NETO GRAVADO]]="","",compras_mes7[[#This Row],[NETO GRAVADO]]*0.21)</f>
        <v>10290</v>
      </c>
      <c r="J22" s="312"/>
      <c r="K22" s="312"/>
      <c r="L22" s="312"/>
      <c r="M22" s="312"/>
      <c r="N22" s="312"/>
      <c r="O22" s="312"/>
      <c r="P22" s="310">
        <f>SUM(compras_mes7[[#This Row],[NETO GRAVADO]:[Otros / No Grav.]])</f>
        <v>59290</v>
      </c>
      <c r="Q22" s="311" t="str">
        <f>IFERROR(IF(compras_mes7[[#This Row],[CUIT]]="","-",VLOOKUP(compras_mes7[[#This Row],[CUIT]],Lista_CUIT[#All],3,0)),"CUIT NO CARGADO")</f>
        <v>INSUMOS</v>
      </c>
      <c r="R22" s="311">
        <f>IFERROR(IF(compras_mes7[[#This Row],[CUIT]]="","-",VLOOKUP(compras_mes7[[#This Row],[CUIT]],Lista_CUIT[#All],4,0)),"CUIT NO CARGADO")</f>
        <v>0</v>
      </c>
    </row>
    <row r="23" spans="2:18" x14ac:dyDescent="0.25">
      <c r="B23" s="223"/>
      <c r="C23" s="505"/>
      <c r="D23" s="506"/>
      <c r="E23" s="507"/>
      <c r="F23" s="508">
        <v>20272865869</v>
      </c>
      <c r="G23" s="509" t="str">
        <f>IFERROR(IF(compras_mes7[[#This Row],[CUIT]]="","-",VLOOKUP(compras_mes7[[#This Row],[CUIT]],Lista_CUIT[#All],2,0)),"CUIT NO CARGADO")</f>
        <v>DI FEO MARTIN EZEQUIEL</v>
      </c>
      <c r="H23" s="510">
        <v>144900</v>
      </c>
      <c r="I23" s="224">
        <f>IF(compras_mes7[[#This Row],[NETO GRAVADO]]="","",compras_mes7[[#This Row],[NETO GRAVADO]]*0.21)</f>
        <v>30429</v>
      </c>
      <c r="J23" s="312"/>
      <c r="K23" s="312"/>
      <c r="L23" s="312"/>
      <c r="M23" s="312"/>
      <c r="N23" s="312"/>
      <c r="O23" s="312"/>
      <c r="P23" s="310">
        <f>SUM(compras_mes7[[#This Row],[NETO GRAVADO]:[Otros / No Grav.]])</f>
        <v>175329</v>
      </c>
      <c r="Q23" s="311" t="str">
        <f>IFERROR(IF(compras_mes7[[#This Row],[CUIT]]="","-",VLOOKUP(compras_mes7[[#This Row],[CUIT]],Lista_CUIT[#All],3,0)),"CUIT NO CARGADO")</f>
        <v>INSUMOS</v>
      </c>
      <c r="R23" s="311">
        <f>IFERROR(IF(compras_mes7[[#This Row],[CUIT]]="","-",VLOOKUP(compras_mes7[[#This Row],[CUIT]],Lista_CUIT[#All],4,0)),"CUIT NO CARGADO")</f>
        <v>0</v>
      </c>
    </row>
    <row r="24" spans="2:18" x14ac:dyDescent="0.25">
      <c r="B24" s="223"/>
      <c r="C24" s="505"/>
      <c r="D24" s="506"/>
      <c r="E24" s="507"/>
      <c r="F24" s="508">
        <v>24253769951</v>
      </c>
      <c r="G24" s="509" t="str">
        <f>IFERROR(IF(compras_mes7[[#This Row],[CUIT]]="","-",VLOOKUP(compras_mes7[[#This Row],[CUIT]],Lista_CUIT[#All],2,0)),"CUIT NO CARGADO")</f>
        <v>VIDAL LEONARDO JAVIER</v>
      </c>
      <c r="H24" s="510">
        <v>395449</v>
      </c>
      <c r="I24" s="224">
        <f>IF(compras_mes7[[#This Row],[NETO GRAVADO]]="","",compras_mes7[[#This Row],[NETO GRAVADO]]*0.21)</f>
        <v>83044.289999999994</v>
      </c>
      <c r="J24" s="312"/>
      <c r="K24" s="312"/>
      <c r="L24" s="312"/>
      <c r="M24" s="312"/>
      <c r="N24" s="312"/>
      <c r="O24" s="312"/>
      <c r="P24" s="310">
        <f>SUM(compras_mes7[[#This Row],[NETO GRAVADO]:[Otros / No Grav.]])</f>
        <v>478493.29</v>
      </c>
      <c r="Q24" s="311" t="str">
        <f>IFERROR(IF(compras_mes7[[#This Row],[CUIT]]="","-",VLOOKUP(compras_mes7[[#This Row],[CUIT]],Lista_CUIT[#All],3,0)),"CUIT NO CARGADO")</f>
        <v>Insumos</v>
      </c>
      <c r="R24" s="311">
        <f>IFERROR(IF(compras_mes7[[#This Row],[CUIT]]="","-",VLOOKUP(compras_mes7[[#This Row],[CUIT]],Lista_CUIT[#All],4,0)),"CUIT NO CARGADO")</f>
        <v>0</v>
      </c>
    </row>
    <row r="25" spans="2:18" x14ac:dyDescent="0.25">
      <c r="B25" s="223"/>
      <c r="C25" s="505"/>
      <c r="D25" s="506"/>
      <c r="E25" s="507"/>
      <c r="F25" s="508">
        <v>30694549817</v>
      </c>
      <c r="G25" s="509" t="str">
        <f>IFERROR(IF(compras_mes7[[#This Row],[CUIT]]="","-",VLOOKUP(compras_mes7[[#This Row],[CUIT]],Lista_CUIT[#All],2,0)),"CUIT NO CARGADO")</f>
        <v>DISEÑOS JERY SRL</v>
      </c>
      <c r="H25" s="510">
        <v>458553.2</v>
      </c>
      <c r="I25" s="224">
        <f>IF(compras_mes7[[#This Row],[NETO GRAVADO]]="","",compras_mes7[[#This Row],[NETO GRAVADO]]*0.21)</f>
        <v>96296.172000000006</v>
      </c>
      <c r="J25" s="312"/>
      <c r="K25" s="312"/>
      <c r="L25" s="312"/>
      <c r="M25" s="312"/>
      <c r="N25" s="312"/>
      <c r="O25" s="312"/>
      <c r="P25" s="310">
        <f>SUM(compras_mes7[[#This Row],[NETO GRAVADO]:[Otros / No Grav.]])</f>
        <v>554849.37199999997</v>
      </c>
      <c r="Q25" s="311" t="str">
        <f>IFERROR(IF(compras_mes7[[#This Row],[CUIT]]="","-",VLOOKUP(compras_mes7[[#This Row],[CUIT]],Lista_CUIT[#All],3,0)),"CUIT NO CARGADO")</f>
        <v>INSUMO</v>
      </c>
      <c r="R25" s="311">
        <f>IFERROR(IF(compras_mes7[[#This Row],[CUIT]]="","-",VLOOKUP(compras_mes7[[#This Row],[CUIT]],Lista_CUIT[#All],4,0)),"CUIT NO CARGADO")</f>
        <v>0</v>
      </c>
    </row>
    <row r="26" spans="2:18" x14ac:dyDescent="0.25">
      <c r="B26" s="223"/>
      <c r="C26" s="505"/>
      <c r="D26" s="506"/>
      <c r="E26" s="507"/>
      <c r="F26" s="508">
        <v>30714331082</v>
      </c>
      <c r="G26" s="509" t="str">
        <f>IFERROR(IF(compras_mes7[[#This Row],[CUIT]]="","-",VLOOKUP(compras_mes7[[#This Row],[CUIT]],Lista_CUIT[#All],2,0)),"CUIT NO CARGADO")</f>
        <v>ORTOPEDIA CASA ESCALADA SRL</v>
      </c>
      <c r="H26" s="510">
        <v>3407765.5</v>
      </c>
      <c r="I26" s="224">
        <f>IF(compras_mes7[[#This Row],[NETO GRAVADO]]="","",compras_mes7[[#This Row],[NETO GRAVADO]]*0.21)</f>
        <v>715630.755</v>
      </c>
      <c r="J26" s="312"/>
      <c r="K26" s="312"/>
      <c r="L26" s="312"/>
      <c r="M26" s="312"/>
      <c r="N26" s="312"/>
      <c r="O26" s="312"/>
      <c r="P26" s="310">
        <f>SUM(compras_mes7[[#This Row],[NETO GRAVADO]:[Otros / No Grav.]])</f>
        <v>4123396.2549999999</v>
      </c>
      <c r="Q26" s="311" t="str">
        <f>IFERROR(IF(compras_mes7[[#This Row],[CUIT]]="","-",VLOOKUP(compras_mes7[[#This Row],[CUIT]],Lista_CUIT[#All],3,0)),"CUIT NO CARGADO")</f>
        <v>INSUMO</v>
      </c>
      <c r="R26" s="311">
        <f>IFERROR(IF(compras_mes7[[#This Row],[CUIT]]="","-",VLOOKUP(compras_mes7[[#This Row],[CUIT]],Lista_CUIT[#All],4,0)),"CUIT NO CARGADO")</f>
        <v>0</v>
      </c>
    </row>
    <row r="27" spans="2:18" x14ac:dyDescent="0.25">
      <c r="B27" s="223"/>
      <c r="C27" s="505"/>
      <c r="D27" s="506"/>
      <c r="E27" s="507"/>
      <c r="F27" s="508">
        <v>30714331082</v>
      </c>
      <c r="G27" s="509" t="str">
        <f>IFERROR(IF(compras_mes7[[#This Row],[CUIT]]="","-",VLOOKUP(compras_mes7[[#This Row],[CUIT]],Lista_CUIT[#All],2,0)),"CUIT NO CARGADO")</f>
        <v>ORTOPEDIA CASA ESCALADA SRL</v>
      </c>
      <c r="H27" s="510">
        <v>2929735.22</v>
      </c>
      <c r="I27" s="224">
        <f>IF(compras_mes7[[#This Row],[NETO GRAVADO]]="","",compras_mes7[[#This Row],[NETO GRAVADO]]*0.21)</f>
        <v>615244.39620000008</v>
      </c>
      <c r="J27" s="312"/>
      <c r="K27" s="312"/>
      <c r="L27" s="312"/>
      <c r="M27" s="312"/>
      <c r="N27" s="312"/>
      <c r="O27" s="312"/>
      <c r="P27" s="310">
        <f>SUM(compras_mes7[[#This Row],[NETO GRAVADO]:[Otros / No Grav.]])</f>
        <v>3544979.6162</v>
      </c>
      <c r="Q27" s="311" t="str">
        <f>IFERROR(IF(compras_mes7[[#This Row],[CUIT]]="","-",VLOOKUP(compras_mes7[[#This Row],[CUIT]],Lista_CUIT[#All],3,0)),"CUIT NO CARGADO")</f>
        <v>INSUMO</v>
      </c>
      <c r="R27" s="311">
        <f>IFERROR(IF(compras_mes7[[#This Row],[CUIT]]="","-",VLOOKUP(compras_mes7[[#This Row],[CUIT]],Lista_CUIT[#All],4,0)),"CUIT NO CARGADO")</f>
        <v>0</v>
      </c>
    </row>
    <row r="28" spans="2:18" x14ac:dyDescent="0.25">
      <c r="B28" s="40"/>
      <c r="C28" s="505"/>
      <c r="D28" s="42"/>
      <c r="E28" s="43"/>
      <c r="F28" s="44">
        <v>30714331082</v>
      </c>
      <c r="G28" s="45" t="str">
        <f>IFERROR(IF(compras_mes7[[#This Row],[CUIT]]="","-",VLOOKUP(compras_mes7[[#This Row],[CUIT]],Lista_CUIT[#All],2,0)),"CUIT NO CARGADO")</f>
        <v>ORTOPEDIA CASA ESCALADA SRL</v>
      </c>
      <c r="H28" s="46">
        <v>515221.38</v>
      </c>
      <c r="I28" s="224"/>
      <c r="J28" s="312"/>
      <c r="K28" s="312">
        <f>compras_mes7[[#This Row],[NETO GRAVADO]]*0.105</f>
        <v>54098.244899999998</v>
      </c>
      <c r="L28" s="312"/>
      <c r="M28" s="312"/>
      <c r="N28" s="312"/>
      <c r="O28" s="312"/>
      <c r="P28" s="310">
        <f>SUM(compras_mes7[[#This Row],[NETO GRAVADO]:[Otros / No Grav.]])</f>
        <v>569319.62490000005</v>
      </c>
      <c r="Q28" s="311" t="str">
        <f>IFERROR(IF(compras_mes7[[#This Row],[CUIT]]="","-",VLOOKUP(compras_mes7[[#This Row],[CUIT]],Lista_CUIT[#All],3,0)),"CUIT NO CARGADO")</f>
        <v>INSUMO</v>
      </c>
      <c r="R28" s="311">
        <f>IFERROR(IF(compras_mes7[[#This Row],[CUIT]]="","-",VLOOKUP(compras_mes7[[#This Row],[CUIT]],Lista_CUIT[#All],4,0)),"CUIT NO CARGADO")</f>
        <v>0</v>
      </c>
    </row>
    <row r="29" spans="2:18" x14ac:dyDescent="0.25">
      <c r="B29" s="223"/>
      <c r="C29" s="505"/>
      <c r="D29" s="506"/>
      <c r="E29" s="507"/>
      <c r="F29" s="508">
        <v>30714331082</v>
      </c>
      <c r="G29" s="509" t="str">
        <f>IFERROR(IF(compras_mes7[[#This Row],[CUIT]]="","-",VLOOKUP(compras_mes7[[#This Row],[CUIT]],Lista_CUIT[#All],2,0)),"CUIT NO CARGADO")</f>
        <v>ORTOPEDIA CASA ESCALADA SRL</v>
      </c>
      <c r="H29" s="510">
        <v>917813.57</v>
      </c>
      <c r="I29" s="224"/>
      <c r="J29" s="312"/>
      <c r="K29" s="312">
        <f>compras_mes7[[#This Row],[NETO GRAVADO]]*0.105</f>
        <v>96370.424849999996</v>
      </c>
      <c r="L29" s="312"/>
      <c r="M29" s="312"/>
      <c r="N29" s="312"/>
      <c r="O29" s="312"/>
      <c r="P29" s="310">
        <f>SUM(compras_mes7[[#This Row],[NETO GRAVADO]:[Otros / No Grav.]])</f>
        <v>1014183.9948499999</v>
      </c>
      <c r="Q29" s="311" t="str">
        <f>IFERROR(IF(compras_mes7[[#This Row],[CUIT]]="","-",VLOOKUP(compras_mes7[[#This Row],[CUIT]],Lista_CUIT[#All],3,0)),"CUIT NO CARGADO")</f>
        <v>INSUMO</v>
      </c>
      <c r="R29" s="311">
        <f>IFERROR(IF(compras_mes7[[#This Row],[CUIT]]="","-",VLOOKUP(compras_mes7[[#This Row],[CUIT]],Lista_CUIT[#All],4,0)),"CUIT NO CARGADO")</f>
        <v>0</v>
      </c>
    </row>
    <row r="30" spans="2:18" x14ac:dyDescent="0.25">
      <c r="B30" s="223"/>
      <c r="C30" s="505"/>
      <c r="D30" s="506"/>
      <c r="E30" s="507"/>
      <c r="F30" s="508">
        <v>30714331082</v>
      </c>
      <c r="G30" s="509" t="str">
        <f>IFERROR(IF(compras_mes7[[#This Row],[CUIT]]="","-",VLOOKUP(compras_mes7[[#This Row],[CUIT]],Lista_CUIT[#All],2,0)),"CUIT NO CARGADO")</f>
        <v>ORTOPEDIA CASA ESCALADA SRL</v>
      </c>
      <c r="H30" s="510">
        <v>478014.47</v>
      </c>
      <c r="I30" s="224">
        <f>IF(compras_mes7[[#This Row],[NETO GRAVADO]]="","",compras_mes7[[#This Row],[NETO GRAVADO]]*0.21)</f>
        <v>100383.03869999999</v>
      </c>
      <c r="J30" s="312"/>
      <c r="K30" s="312"/>
      <c r="L30" s="312"/>
      <c r="M30" s="312"/>
      <c r="N30" s="312"/>
      <c r="O30" s="312"/>
      <c r="P30" s="310">
        <f>SUM(compras_mes7[[#This Row],[NETO GRAVADO]:[Otros / No Grav.]])</f>
        <v>578397.50870000001</v>
      </c>
      <c r="Q30" s="311" t="str">
        <f>IFERROR(IF(compras_mes7[[#This Row],[CUIT]]="","-",VLOOKUP(compras_mes7[[#This Row],[CUIT]],Lista_CUIT[#All],3,0)),"CUIT NO CARGADO")</f>
        <v>INSUMO</v>
      </c>
      <c r="R30" s="311">
        <f>IFERROR(IF(compras_mes7[[#This Row],[CUIT]]="","-",VLOOKUP(compras_mes7[[#This Row],[CUIT]],Lista_CUIT[#All],4,0)),"CUIT NO CARGADO")</f>
        <v>0</v>
      </c>
    </row>
    <row r="31" spans="2:18" x14ac:dyDescent="0.25">
      <c r="B31" s="40"/>
      <c r="C31" s="505"/>
      <c r="D31" s="42"/>
      <c r="E31" s="43"/>
      <c r="F31" s="44">
        <v>30714331082</v>
      </c>
      <c r="G31" s="45" t="str">
        <f>IFERROR(IF(compras_mes7[[#This Row],[CUIT]]="","-",VLOOKUP(compras_mes7[[#This Row],[CUIT]],Lista_CUIT[#All],2,0)),"CUIT NO CARGADO")</f>
        <v>ORTOPEDIA CASA ESCALADA SRL</v>
      </c>
      <c r="H31" s="46">
        <v>910906.9</v>
      </c>
      <c r="I31" s="224"/>
      <c r="J31" s="312"/>
      <c r="K31" s="312">
        <f>compras_mes7[[#This Row],[NETO GRAVADO]]*0.105</f>
        <v>95645.224499999997</v>
      </c>
      <c r="L31" s="312"/>
      <c r="M31" s="312"/>
      <c r="N31" s="312"/>
      <c r="O31" s="312"/>
      <c r="P31" s="310">
        <f>SUM(compras_mes7[[#This Row],[NETO GRAVADO]:[Otros / No Grav.]])</f>
        <v>1006552.1245</v>
      </c>
      <c r="Q31" s="311" t="str">
        <f>IFERROR(IF(compras_mes7[[#This Row],[CUIT]]="","-",VLOOKUP(compras_mes7[[#This Row],[CUIT]],Lista_CUIT[#All],3,0)),"CUIT NO CARGADO")</f>
        <v>INSUMO</v>
      </c>
      <c r="R31" s="311">
        <f>IFERROR(IF(compras_mes7[[#This Row],[CUIT]]="","-",VLOOKUP(compras_mes7[[#This Row],[CUIT]],Lista_CUIT[#All],4,0)),"CUIT NO CARGADO")</f>
        <v>0</v>
      </c>
    </row>
    <row r="32" spans="2:18" x14ac:dyDescent="0.25">
      <c r="B32" s="223"/>
      <c r="C32" s="505"/>
      <c r="D32" s="506"/>
      <c r="E32" s="507"/>
      <c r="F32" s="508">
        <v>30714331082</v>
      </c>
      <c r="G32" s="509" t="str">
        <f>IFERROR(IF(compras_mes7[[#This Row],[CUIT]]="","-",VLOOKUP(compras_mes7[[#This Row],[CUIT]],Lista_CUIT[#All],2,0)),"CUIT NO CARGADO")</f>
        <v>ORTOPEDIA CASA ESCALADA SRL</v>
      </c>
      <c r="H32" s="510">
        <v>1639632.42</v>
      </c>
      <c r="I32" s="224"/>
      <c r="J32" s="312"/>
      <c r="K32" s="312">
        <f>compras_mes7[[#This Row],[NETO GRAVADO]]*0.105</f>
        <v>172161.40409999999</v>
      </c>
      <c r="L32" s="312"/>
      <c r="M32" s="312"/>
      <c r="N32" s="312"/>
      <c r="O32" s="312"/>
      <c r="P32" s="310">
        <f>SUM(compras_mes7[[#This Row],[NETO GRAVADO]:[Otros / No Grav.]])</f>
        <v>1811793.8240999999</v>
      </c>
      <c r="Q32" s="311" t="str">
        <f>IFERROR(IF(compras_mes7[[#This Row],[CUIT]]="","-",VLOOKUP(compras_mes7[[#This Row],[CUIT]],Lista_CUIT[#All],3,0)),"CUIT NO CARGADO")</f>
        <v>INSUMO</v>
      </c>
      <c r="R32" s="311">
        <f>IFERROR(IF(compras_mes7[[#This Row],[CUIT]]="","-",VLOOKUP(compras_mes7[[#This Row],[CUIT]],Lista_CUIT[#All],4,0)),"CUIT NO CARGADO")</f>
        <v>0</v>
      </c>
    </row>
    <row r="33" spans="2:18" x14ac:dyDescent="0.25">
      <c r="B33" s="223"/>
      <c r="C33" s="505"/>
      <c r="D33" s="506"/>
      <c r="E33" s="507"/>
      <c r="F33" s="508">
        <v>23233422029</v>
      </c>
      <c r="G33" s="509" t="str">
        <f>IFERROR(IF(compras_mes7[[#This Row],[CUIT]]="","-",VLOOKUP(compras_mes7[[#This Row],[CUIT]],Lista_CUIT[#All],2,0)),"CUIT NO CARGADO")</f>
        <v>RODOLFO SCHULZE</v>
      </c>
      <c r="H33" s="510">
        <v>243548.67</v>
      </c>
      <c r="I33" s="224">
        <f>IF(compras_mes7[[#This Row],[NETO GRAVADO]]="","",compras_mes7[[#This Row],[NETO GRAVADO]]*0.21)</f>
        <v>51145.220699999998</v>
      </c>
      <c r="J33" s="312"/>
      <c r="K33" s="312"/>
      <c r="L33" s="312"/>
      <c r="M33" s="312"/>
      <c r="N33" s="312"/>
      <c r="O33" s="312"/>
      <c r="P33" s="310">
        <f>SUM(compras_mes7[[#This Row],[NETO GRAVADO]:[Otros / No Grav.]])</f>
        <v>294693.89069999999</v>
      </c>
      <c r="Q33" s="311" t="str">
        <f>IFERROR(IF(compras_mes7[[#This Row],[CUIT]]="","-",VLOOKUP(compras_mes7[[#This Row],[CUIT]],Lista_CUIT[#All],3,0)),"CUIT NO CARGADO")</f>
        <v>INSUMO</v>
      </c>
      <c r="R33" s="311">
        <f>IFERROR(IF(compras_mes7[[#This Row],[CUIT]]="","-",VLOOKUP(compras_mes7[[#This Row],[CUIT]],Lista_CUIT[#All],4,0)),"CUIT NO CARGADO")</f>
        <v>0</v>
      </c>
    </row>
    <row r="34" spans="2:18" x14ac:dyDescent="0.25">
      <c r="B34" s="223"/>
      <c r="C34" s="505"/>
      <c r="D34" s="506"/>
      <c r="E34" s="507"/>
      <c r="F34" s="508">
        <v>30707986189</v>
      </c>
      <c r="G34" s="509" t="str">
        <f>IFERROR(IF(compras_mes7[[#This Row],[CUIT]]="","-",VLOOKUP(compras_mes7[[#This Row],[CUIT]],Lista_CUIT[#All],2,0)),"CUIT NO CARGADO")</f>
        <v>CIERRER, ABROJO &amp; HERRAJES SRL</v>
      </c>
      <c r="H34" s="510">
        <v>83470.41</v>
      </c>
      <c r="I34" s="224">
        <f>IF(compras_mes7[[#This Row],[NETO GRAVADO]]="","",compras_mes7[[#This Row],[NETO GRAVADO]]*0.21)</f>
        <v>17528.786100000001</v>
      </c>
      <c r="J34" s="312"/>
      <c r="K34" s="312"/>
      <c r="L34" s="312"/>
      <c r="M34" s="312"/>
      <c r="N34" s="312"/>
      <c r="O34" s="312"/>
      <c r="P34" s="310">
        <f>SUM(compras_mes7[[#This Row],[NETO GRAVADO]:[Otros / No Grav.]])</f>
        <v>100999.1961</v>
      </c>
      <c r="Q34" s="311" t="str">
        <f>IFERROR(IF(compras_mes7[[#This Row],[CUIT]]="","-",VLOOKUP(compras_mes7[[#This Row],[CUIT]],Lista_CUIT[#All],3,0)),"CUIT NO CARGADO")</f>
        <v>INSUMO</v>
      </c>
      <c r="R34" s="311">
        <f>IFERROR(IF(compras_mes7[[#This Row],[CUIT]]="","-",VLOOKUP(compras_mes7[[#This Row],[CUIT]],Lista_CUIT[#All],4,0)),"CUIT NO CARGADO")</f>
        <v>0</v>
      </c>
    </row>
    <row r="35" spans="2:18" x14ac:dyDescent="0.25">
      <c r="B35" s="223"/>
      <c r="C35" s="505"/>
      <c r="D35" s="506"/>
      <c r="E35" s="507"/>
      <c r="F35" s="508">
        <v>20134815494</v>
      </c>
      <c r="G35" s="509" t="str">
        <f>IFERROR(IF(compras_mes7[[#This Row],[CUIT]]="","-",VLOOKUP(compras_mes7[[#This Row],[CUIT]],Lista_CUIT[#All],2,0)),"CUIT NO CARGADO")</f>
        <v>MORANT EDUARDO ENRIQUE</v>
      </c>
      <c r="H35" s="510">
        <v>39669.599999999999</v>
      </c>
      <c r="I35" s="224">
        <f>IF(compras_mes7[[#This Row],[NETO GRAVADO]]="","",compras_mes7[[#This Row],[NETO GRAVADO]]*0.21)</f>
        <v>8330.616</v>
      </c>
      <c r="J35" s="312"/>
      <c r="K35" s="312"/>
      <c r="L35" s="312"/>
      <c r="M35" s="312"/>
      <c r="N35" s="312"/>
      <c r="O35" s="312"/>
      <c r="P35" s="310">
        <f>SUM(compras_mes7[[#This Row],[NETO GRAVADO]:[Otros / No Grav.]])</f>
        <v>48000.216</v>
      </c>
      <c r="Q35" s="311" t="str">
        <f>IFERROR(IF(compras_mes7[[#This Row],[CUIT]]="","-",VLOOKUP(compras_mes7[[#This Row],[CUIT]],Lista_CUIT[#All],3,0)),"CUIT NO CARGADO")</f>
        <v>Catering</v>
      </c>
      <c r="R35" s="311">
        <f>IFERROR(IF(compras_mes7[[#This Row],[CUIT]]="","-",VLOOKUP(compras_mes7[[#This Row],[CUIT]],Lista_CUIT[#All],4,0)),"CUIT NO CARGADO")</f>
        <v>0</v>
      </c>
    </row>
    <row r="36" spans="2:18" x14ac:dyDescent="0.25">
      <c r="B36" s="40"/>
      <c r="C36" s="505"/>
      <c r="D36" s="42"/>
      <c r="E36" s="43"/>
      <c r="F36" s="44">
        <v>20134815494</v>
      </c>
      <c r="G36" s="45" t="str">
        <f>IFERROR(IF(compras_mes7[[#This Row],[CUIT]]="","-",VLOOKUP(compras_mes7[[#This Row],[CUIT]],Lista_CUIT[#All],2,0)),"CUIT NO CARGADO")</f>
        <v>MORANT EDUARDO ENRIQUE</v>
      </c>
      <c r="H36" s="46">
        <v>39669.599999999999</v>
      </c>
      <c r="I36" s="224">
        <f>IF(compras_mes7[[#This Row],[NETO GRAVADO]]="","",compras_mes7[[#This Row],[NETO GRAVADO]]*0.21)</f>
        <v>8330.616</v>
      </c>
      <c r="J36" s="312"/>
      <c r="K36" s="312"/>
      <c r="L36" s="312"/>
      <c r="M36" s="312"/>
      <c r="N36" s="312"/>
      <c r="O36" s="312"/>
      <c r="P36" s="310">
        <f>SUM(compras_mes7[[#This Row],[NETO GRAVADO]:[Otros / No Grav.]])</f>
        <v>48000.216</v>
      </c>
      <c r="Q36" s="311" t="str">
        <f>IFERROR(IF(compras_mes7[[#This Row],[CUIT]]="","-",VLOOKUP(compras_mes7[[#This Row],[CUIT]],Lista_CUIT[#All],3,0)),"CUIT NO CARGADO")</f>
        <v>Catering</v>
      </c>
      <c r="R36" s="311">
        <f>IFERROR(IF(compras_mes7[[#This Row],[CUIT]]="","-",VLOOKUP(compras_mes7[[#This Row],[CUIT]],Lista_CUIT[#All],4,0)),"CUIT NO CARGADO")</f>
        <v>0</v>
      </c>
    </row>
    <row r="37" spans="2:18" x14ac:dyDescent="0.25">
      <c r="B37" s="223"/>
      <c r="C37" s="505"/>
      <c r="D37" s="506"/>
      <c r="E37" s="507"/>
      <c r="F37" s="508">
        <v>30707042679</v>
      </c>
      <c r="G37" s="509" t="str">
        <f>IFERROR(IF(compras_mes7[[#This Row],[CUIT]]="","-",VLOOKUP(compras_mes7[[#This Row],[CUIT]],Lista_CUIT[#All],2,0)),"CUIT NO CARGADO")</f>
        <v>MEDICAL FOAM SRL</v>
      </c>
      <c r="H37" s="510">
        <v>1080000</v>
      </c>
      <c r="I37" s="224">
        <f>IF(compras_mes7[[#This Row],[NETO GRAVADO]]="","",compras_mes7[[#This Row],[NETO GRAVADO]]*0.21)</f>
        <v>226800</v>
      </c>
      <c r="J37" s="312"/>
      <c r="K37" s="312"/>
      <c r="L37" s="312"/>
      <c r="M37" s="312"/>
      <c r="N37" s="312"/>
      <c r="O37" s="312"/>
      <c r="P37" s="310">
        <f>SUM(compras_mes7[[#This Row],[NETO GRAVADO]:[Otros / No Grav.]])</f>
        <v>1306800</v>
      </c>
      <c r="Q37" s="311" t="str">
        <f>IFERROR(IF(compras_mes7[[#This Row],[CUIT]]="","-",VLOOKUP(compras_mes7[[#This Row],[CUIT]],Lista_CUIT[#All],3,0)),"CUIT NO CARGADO")</f>
        <v>INSUMO</v>
      </c>
      <c r="R37" s="311">
        <f>IFERROR(IF(compras_mes7[[#This Row],[CUIT]]="","-",VLOOKUP(compras_mes7[[#This Row],[CUIT]],Lista_CUIT[#All],4,0)),"CUIT NO CARGADO")</f>
        <v>0</v>
      </c>
    </row>
    <row r="38" spans="2:18" x14ac:dyDescent="0.25">
      <c r="B38" s="223"/>
      <c r="C38" s="505"/>
      <c r="D38" s="506"/>
      <c r="E38" s="507"/>
      <c r="F38" s="508">
        <v>30707042679</v>
      </c>
      <c r="G38" s="509" t="str">
        <f>IFERROR(IF(compras_mes7[[#This Row],[CUIT]]="","-",VLOOKUP(compras_mes7[[#This Row],[CUIT]],Lista_CUIT[#All],2,0)),"CUIT NO CARGADO")</f>
        <v>MEDICAL FOAM SRL</v>
      </c>
      <c r="H38" s="510">
        <v>1344422</v>
      </c>
      <c r="I38" s="224">
        <f>IF(compras_mes7[[#This Row],[NETO GRAVADO]]="","",compras_mes7[[#This Row],[NETO GRAVADO]]*0.21)</f>
        <v>282328.62</v>
      </c>
      <c r="J38" s="312"/>
      <c r="K38" s="312"/>
      <c r="L38" s="312"/>
      <c r="M38" s="312"/>
      <c r="N38" s="312"/>
      <c r="O38" s="312"/>
      <c r="P38" s="310">
        <f>SUM(compras_mes7[[#This Row],[NETO GRAVADO]:[Otros / No Grav.]])</f>
        <v>1626750.62</v>
      </c>
      <c r="Q38" s="311" t="str">
        <f>IFERROR(IF(compras_mes7[[#This Row],[CUIT]]="","-",VLOOKUP(compras_mes7[[#This Row],[CUIT]],Lista_CUIT[#All],3,0)),"CUIT NO CARGADO")</f>
        <v>INSUMO</v>
      </c>
      <c r="R38" s="311">
        <f>IFERROR(IF(compras_mes7[[#This Row],[CUIT]]="","-",VLOOKUP(compras_mes7[[#This Row],[CUIT]],Lista_CUIT[#All],4,0)),"CUIT NO CARGADO")</f>
        <v>0</v>
      </c>
    </row>
    <row r="39" spans="2:18" x14ac:dyDescent="0.25">
      <c r="B39" s="223"/>
      <c r="C39" s="505"/>
      <c r="D39" s="506"/>
      <c r="E39" s="507"/>
      <c r="F39" s="508">
        <v>30526492281</v>
      </c>
      <c r="G39" s="509" t="str">
        <f>IFERROR(IF(compras_mes7[[#This Row],[CUIT]]="","-",VLOOKUP(compras_mes7[[#This Row],[CUIT]],Lista_CUIT[#All],2,0)),"CUIT NO CARGADO")</f>
        <v>CASA MAKAROVSKY S A C I I F</v>
      </c>
      <c r="H39" s="510">
        <v>264794.40000000002</v>
      </c>
      <c r="I39" s="224">
        <f>IF(compras_mes7[[#This Row],[NETO GRAVADO]]="","",compras_mes7[[#This Row],[NETO GRAVADO]]*0.21)</f>
        <v>55606.824000000001</v>
      </c>
      <c r="J39" s="85"/>
      <c r="K39" s="85"/>
      <c r="L39" s="85"/>
      <c r="M39" s="85"/>
      <c r="N39" s="85"/>
      <c r="O39" s="85"/>
      <c r="P39" s="48">
        <f>SUM(compras_mes7[[#This Row],[NETO GRAVADO]:[Otros / No Grav.]])</f>
        <v>320401.22400000005</v>
      </c>
      <c r="Q39" s="49" t="str">
        <f>IFERROR(IF(compras_mes7[[#This Row],[CUIT]]="","-",VLOOKUP(compras_mes7[[#This Row],[CUIT]],Lista_CUIT[#All],3,0)),"CUIT NO CARGADO")</f>
        <v>Gastos Varios</v>
      </c>
      <c r="R39" s="49">
        <f>IFERROR(IF(compras_mes7[[#This Row],[CUIT]]="","-",VLOOKUP(compras_mes7[[#This Row],[CUIT]],Lista_CUIT[#All],4,0)),"CUIT NO CARGADO")</f>
        <v>0</v>
      </c>
    </row>
    <row r="40" spans="2:18" x14ac:dyDescent="0.25">
      <c r="B40" s="223"/>
      <c r="C40" s="505"/>
      <c r="D40" s="506"/>
      <c r="E40" s="507"/>
      <c r="F40" s="508">
        <v>30711454388</v>
      </c>
      <c r="G40" s="509" t="str">
        <f>IFERROR(IF(compras_mes7[[#This Row],[CUIT]]="","-",VLOOKUP(compras_mes7[[#This Row],[CUIT]],Lista_CUIT[#All],2,0)),"CUIT NO CARGADO")</f>
        <v>LIPROT S.R.L.</v>
      </c>
      <c r="H40" s="510">
        <v>989124</v>
      </c>
      <c r="I40" s="224">
        <f>IF(compras_mes7[[#This Row],[NETO GRAVADO]]="","",compras_mes7[[#This Row],[NETO GRAVADO]]*0.21)</f>
        <v>207716.03999999998</v>
      </c>
      <c r="J40" s="312"/>
      <c r="K40" s="312"/>
      <c r="L40" s="312"/>
      <c r="M40" s="312"/>
      <c r="N40" s="312"/>
      <c r="O40" s="312"/>
      <c r="P40" s="310">
        <f>SUM(compras_mes7[[#This Row],[NETO GRAVADO]:[Otros / No Grav.]])</f>
        <v>1196840.04</v>
      </c>
      <c r="Q40" s="311" t="str">
        <f>IFERROR(IF(compras_mes7[[#This Row],[CUIT]]="","-",VLOOKUP(compras_mes7[[#This Row],[CUIT]],Lista_CUIT[#All],3,0)),"CUIT NO CARGADO")</f>
        <v>textil</v>
      </c>
      <c r="R40" s="311">
        <f>IFERROR(IF(compras_mes7[[#This Row],[CUIT]]="","-",VLOOKUP(compras_mes7[[#This Row],[CUIT]],Lista_CUIT[#All],4,0)),"CUIT NO CARGADO")</f>
        <v>0</v>
      </c>
    </row>
    <row r="41" spans="2:18" x14ac:dyDescent="0.25">
      <c r="B41" s="223"/>
      <c r="C41" s="505"/>
      <c r="D41" s="506"/>
      <c r="E41" s="507"/>
      <c r="F41" s="508">
        <v>30711454388</v>
      </c>
      <c r="G41" s="509" t="str">
        <f>IFERROR(IF(compras_mes7[[#This Row],[CUIT]]="","-",VLOOKUP(compras_mes7[[#This Row],[CUIT]],Lista_CUIT[#All],2,0)),"CUIT NO CARGADO")</f>
        <v>LIPROT S.R.L.</v>
      </c>
      <c r="H41" s="510">
        <v>573330</v>
      </c>
      <c r="I41" s="224">
        <f>IF(compras_mes7[[#This Row],[NETO GRAVADO]]="","",compras_mes7[[#This Row],[NETO GRAVADO]]*0.21)</f>
        <v>120399.29999999999</v>
      </c>
      <c r="J41" s="312"/>
      <c r="K41" s="312"/>
      <c r="L41" s="312"/>
      <c r="M41" s="312"/>
      <c r="N41" s="312"/>
      <c r="O41" s="312"/>
      <c r="P41" s="310">
        <f>SUM(compras_mes7[[#This Row],[NETO GRAVADO]:[Otros / No Grav.]])</f>
        <v>693729.3</v>
      </c>
      <c r="Q41" s="311" t="str">
        <f>IFERROR(IF(compras_mes7[[#This Row],[CUIT]]="","-",VLOOKUP(compras_mes7[[#This Row],[CUIT]],Lista_CUIT[#All],3,0)),"CUIT NO CARGADO")</f>
        <v>textil</v>
      </c>
      <c r="R41" s="311">
        <f>IFERROR(IF(compras_mes7[[#This Row],[CUIT]]="","-",VLOOKUP(compras_mes7[[#This Row],[CUIT]],Lista_CUIT[#All],4,0)),"CUIT NO CARGADO")</f>
        <v>0</v>
      </c>
    </row>
    <row r="42" spans="2:18" x14ac:dyDescent="0.25">
      <c r="B42" s="223"/>
      <c r="C42" s="505"/>
      <c r="D42" s="506"/>
      <c r="E42" s="507"/>
      <c r="F42" s="508">
        <v>20129871947</v>
      </c>
      <c r="G42" s="509" t="str">
        <f>IFERROR(IF(compras_mes7[[#This Row],[CUIT]]="","-",VLOOKUP(compras_mes7[[#This Row],[CUIT]],Lista_CUIT[#All],2,0)),"CUIT NO CARGADO")</f>
        <v>CARLOS RODOLFO FERNANDEZ</v>
      </c>
      <c r="H42" s="510">
        <v>118166.18</v>
      </c>
      <c r="I42" s="224">
        <f>IF(compras_mes7[[#This Row],[NETO GRAVADO]]="","",compras_mes7[[#This Row],[NETO GRAVADO]]*0.21)</f>
        <v>24814.897799999999</v>
      </c>
      <c r="J42" s="312"/>
      <c r="K42" s="312"/>
      <c r="L42" s="312"/>
      <c r="M42" s="312"/>
      <c r="N42" s="312"/>
      <c r="O42" s="312"/>
      <c r="P42" s="310">
        <f>SUM(compras_mes7[[#This Row],[NETO GRAVADO]:[Otros / No Grav.]])</f>
        <v>142981.0778</v>
      </c>
      <c r="Q42" s="311" t="str">
        <f>IFERROR(IF(compras_mes7[[#This Row],[CUIT]]="","-",VLOOKUP(compras_mes7[[#This Row],[CUIT]],Lista_CUIT[#All],3,0)),"CUIT NO CARGADO")</f>
        <v>INSUMO</v>
      </c>
      <c r="R42" s="311">
        <f>IFERROR(IF(compras_mes7[[#This Row],[CUIT]]="","-",VLOOKUP(compras_mes7[[#This Row],[CUIT]],Lista_CUIT[#All],4,0)),"CUIT NO CARGADO")</f>
        <v>0</v>
      </c>
    </row>
    <row r="43" spans="2:18" x14ac:dyDescent="0.25">
      <c r="B43" s="223"/>
      <c r="C43" s="505"/>
      <c r="D43" s="506"/>
      <c r="E43" s="507"/>
      <c r="F43" s="508">
        <v>20183882512</v>
      </c>
      <c r="G43" s="509" t="str">
        <f>IFERROR(IF(compras_mes7[[#This Row],[CUIT]]="","-",VLOOKUP(compras_mes7[[#This Row],[CUIT]],Lista_CUIT[#All],2,0)),"CUIT NO CARGADO")</f>
        <v>CLAUDIO OMAR MASTROPASQUA</v>
      </c>
      <c r="H43" s="510">
        <v>120000</v>
      </c>
      <c r="I43" s="224">
        <f>IF(compras_mes7[[#This Row],[NETO GRAVADO]]="","",compras_mes7[[#This Row],[NETO GRAVADO]]*0.21)</f>
        <v>25200</v>
      </c>
      <c r="J43" s="312"/>
      <c r="K43" s="312"/>
      <c r="L43" s="312"/>
      <c r="M43" s="312"/>
      <c r="N43" s="312"/>
      <c r="O43" s="312"/>
      <c r="P43" s="310">
        <f>SUM(compras_mes7[[#This Row],[NETO GRAVADO]:[Otros / No Grav.]])</f>
        <v>145200</v>
      </c>
      <c r="Q43" s="311" t="str">
        <f>IFERROR(IF(compras_mes7[[#This Row],[CUIT]]="","-",VLOOKUP(compras_mes7[[#This Row],[CUIT]],Lista_CUIT[#All],3,0)),"CUIT NO CARGADO")</f>
        <v>Insumos</v>
      </c>
      <c r="R43" s="311">
        <f>IFERROR(IF(compras_mes7[[#This Row],[CUIT]]="","-",VLOOKUP(compras_mes7[[#This Row],[CUIT]],Lista_CUIT[#All],4,0)),"CUIT NO CARGADO")</f>
        <v>0</v>
      </c>
    </row>
    <row r="44" spans="2:18" x14ac:dyDescent="0.25">
      <c r="B44" s="40"/>
      <c r="C44" s="505"/>
      <c r="D44" s="42"/>
      <c r="E44" s="43"/>
      <c r="F44" s="44">
        <v>20289111329</v>
      </c>
      <c r="G44" s="45" t="str">
        <f>IFERROR(IF(compras_mes7[[#This Row],[CUIT]]="","-",VLOOKUP(compras_mes7[[#This Row],[CUIT]],Lista_CUIT[#All],2,0)),"CUIT NO CARGADO")</f>
        <v>R. N. LEDESMA</v>
      </c>
      <c r="H44" s="46">
        <v>520168.01</v>
      </c>
      <c r="I44" s="224">
        <f>IF(compras_mes7[[#This Row],[NETO GRAVADO]]="","",compras_mes7[[#This Row],[NETO GRAVADO]]*0.21)</f>
        <v>109235.2821</v>
      </c>
      <c r="J44" s="40"/>
      <c r="K44" s="312"/>
      <c r="L44" s="312"/>
      <c r="M44" s="312"/>
      <c r="N44" s="312"/>
      <c r="O44" s="312"/>
      <c r="P44" s="310">
        <f>SUM(compras_mes7[[#This Row],[NETO GRAVADO]:[Otros / No Grav.]])</f>
        <v>629403.29209999996</v>
      </c>
      <c r="Q44" s="311" t="str">
        <f>IFERROR(IF(compras_mes7[[#This Row],[CUIT]]="","-",VLOOKUP(compras_mes7[[#This Row],[CUIT]],Lista_CUIT[#All],3,0)),"CUIT NO CARGADO")</f>
        <v>Insumo</v>
      </c>
      <c r="R44" s="311">
        <f>IFERROR(IF(compras_mes7[[#This Row],[CUIT]]="","-",VLOOKUP(compras_mes7[[#This Row],[CUIT]],Lista_CUIT[#All],4,0)),"CUIT NO CARGADO")</f>
        <v>0</v>
      </c>
    </row>
    <row r="45" spans="2:18" x14ac:dyDescent="0.25">
      <c r="B45" s="40"/>
      <c r="C45" s="505"/>
      <c r="D45" s="42"/>
      <c r="E45" s="43"/>
      <c r="F45" s="44">
        <v>27265302225</v>
      </c>
      <c r="G45" s="45" t="str">
        <f>IFERROR(IF(compras_mes7[[#This Row],[CUIT]]="","-",VLOOKUP(compras_mes7[[#This Row],[CUIT]],Lista_CUIT[#All],2,0)),"CUIT NO CARGADO")</f>
        <v>PRADO MARISOL</v>
      </c>
      <c r="H45" s="46">
        <v>800000</v>
      </c>
      <c r="I45" s="224">
        <f>IF(compras_mes7[[#This Row],[NETO GRAVADO]]="","",compras_mes7[[#This Row],[NETO GRAVADO]]*0.21)</f>
        <v>168000</v>
      </c>
      <c r="J45" s="312"/>
      <c r="K45" s="312"/>
      <c r="L45" s="312"/>
      <c r="M45" s="312"/>
      <c r="N45" s="312"/>
      <c r="O45" s="312"/>
      <c r="P45" s="310">
        <f>SUM(compras_mes7[[#This Row],[NETO GRAVADO]:[Otros / No Grav.]])</f>
        <v>968000</v>
      </c>
      <c r="Q45" s="311" t="str">
        <f>IFERROR(IF(compras_mes7[[#This Row],[CUIT]]="","-",VLOOKUP(compras_mes7[[#This Row],[CUIT]],Lista_CUIT[#All],3,0)),"CUIT NO CARGADO")</f>
        <v>INSUMO</v>
      </c>
      <c r="R45" s="311">
        <f>IFERROR(IF(compras_mes7[[#This Row],[CUIT]]="","-",VLOOKUP(compras_mes7[[#This Row],[CUIT]],Lista_CUIT[#All],4,0)),"CUIT NO CARGADO")</f>
        <v>0</v>
      </c>
    </row>
    <row r="46" spans="2:18" x14ac:dyDescent="0.25">
      <c r="B46" s="223"/>
      <c r="C46" s="505"/>
      <c r="D46" s="506"/>
      <c r="E46" s="507"/>
      <c r="F46" s="508">
        <v>30712187316</v>
      </c>
      <c r="G46" s="509" t="str">
        <f>IFERROR(IF(compras_mes7[[#This Row],[CUIT]]="","-",VLOOKUP(compras_mes7[[#This Row],[CUIT]],Lista_CUIT[#All],2,0)),"CUIT NO CARGADO")</f>
        <v>ITALOMED PRODUCTOS SRL</v>
      </c>
      <c r="H46" s="510">
        <v>662362.5</v>
      </c>
      <c r="I46" s="224">
        <f>IF(compras_mes7[[#This Row],[NETO GRAVADO]]="","",compras_mes7[[#This Row],[NETO GRAVADO]]*0.21)</f>
        <v>139096.125</v>
      </c>
      <c r="J46" s="312"/>
      <c r="K46" s="312"/>
      <c r="L46" s="312"/>
      <c r="M46" s="312"/>
      <c r="N46" s="312"/>
      <c r="O46" s="312"/>
      <c r="P46" s="310">
        <f>SUM(compras_mes7[[#This Row],[NETO GRAVADO]:[Otros / No Grav.]])</f>
        <v>801458.625</v>
      </c>
      <c r="Q46" s="311" t="str">
        <f>IFERROR(IF(compras_mes7[[#This Row],[CUIT]]="","-",VLOOKUP(compras_mes7[[#This Row],[CUIT]],Lista_CUIT[#All],3,0)),"CUIT NO CARGADO")</f>
        <v>INSUMO</v>
      </c>
      <c r="R46" s="311">
        <f>IFERROR(IF(compras_mes7[[#This Row],[CUIT]]="","-",VLOOKUP(compras_mes7[[#This Row],[CUIT]],Lista_CUIT[#All],4,0)),"CUIT NO CARGADO")</f>
        <v>0</v>
      </c>
    </row>
    <row r="47" spans="2:18" x14ac:dyDescent="0.25">
      <c r="B47" s="223"/>
      <c r="C47" s="505"/>
      <c r="D47" s="506"/>
      <c r="E47" s="507"/>
      <c r="F47" s="508">
        <v>30712187316</v>
      </c>
      <c r="G47" s="509" t="str">
        <f>IFERROR(IF(compras_mes7[[#This Row],[CUIT]]="","-",VLOOKUP(compras_mes7[[#This Row],[CUIT]],Lista_CUIT[#All],2,0)),"CUIT NO CARGADO")</f>
        <v>ITALOMED PRODUCTOS SRL</v>
      </c>
      <c r="H47" s="510">
        <v>12402.89</v>
      </c>
      <c r="I47" s="224">
        <f>IF(compras_mes7[[#This Row],[NETO GRAVADO]]="","",compras_mes7[[#This Row],[NETO GRAVADO]]*0.21)</f>
        <v>2604.6068999999998</v>
      </c>
      <c r="J47" s="312"/>
      <c r="K47" s="312"/>
      <c r="L47" s="312"/>
      <c r="M47" s="312"/>
      <c r="N47" s="312"/>
      <c r="O47" s="312"/>
      <c r="P47" s="310">
        <f>SUM(compras_mes7[[#This Row],[NETO GRAVADO]:[Otros / No Grav.]])</f>
        <v>15007.496899999998</v>
      </c>
      <c r="Q47" s="311" t="str">
        <f>IFERROR(IF(compras_mes7[[#This Row],[CUIT]]="","-",VLOOKUP(compras_mes7[[#This Row],[CUIT]],Lista_CUIT[#All],3,0)),"CUIT NO CARGADO")</f>
        <v>INSUMO</v>
      </c>
      <c r="R47" s="311">
        <f>IFERROR(IF(compras_mes7[[#This Row],[CUIT]]="","-",VLOOKUP(compras_mes7[[#This Row],[CUIT]],Lista_CUIT[#All],4,0)),"CUIT NO CARGADO")</f>
        <v>0</v>
      </c>
    </row>
    <row r="48" spans="2:18" x14ac:dyDescent="0.25">
      <c r="B48" s="223"/>
      <c r="C48" s="505"/>
      <c r="D48" s="506"/>
      <c r="E48" s="507"/>
      <c r="F48" s="508">
        <v>30707267077</v>
      </c>
      <c r="G48" s="509" t="str">
        <f>IFERROR(IF(compras_mes7[[#This Row],[CUIT]]="","-",VLOOKUP(compras_mes7[[#This Row],[CUIT]],Lista_CUIT[#All],2,0)),"CUIT NO CARGADO")</f>
        <v>BARBARO SOCIEDAD COLECTIVA</v>
      </c>
      <c r="H48" s="510">
        <v>1560000</v>
      </c>
      <c r="I48" s="224">
        <f>IF(compras_mes7[[#This Row],[NETO GRAVADO]]="","",compras_mes7[[#This Row],[NETO GRAVADO]]*0.21)</f>
        <v>327600</v>
      </c>
      <c r="J48" s="312"/>
      <c r="K48" s="312"/>
      <c r="L48" s="312"/>
      <c r="M48" s="312"/>
      <c r="N48" s="312"/>
      <c r="O48" s="312"/>
      <c r="P48" s="310">
        <f>SUM(compras_mes7[[#This Row],[NETO GRAVADO]:[Otros / No Grav.]])</f>
        <v>1887600</v>
      </c>
      <c r="Q48" s="311" t="str">
        <f>IFERROR(IF(compras_mes7[[#This Row],[CUIT]]="","-",VLOOKUP(compras_mes7[[#This Row],[CUIT]],Lista_CUIT[#All],3,0)),"CUIT NO CARGADO")</f>
        <v>MERCADERIA</v>
      </c>
      <c r="R48" s="311">
        <f>IFERROR(IF(compras_mes7[[#This Row],[CUIT]]="","-",VLOOKUP(compras_mes7[[#This Row],[CUIT]],Lista_CUIT[#All],4,0)),"CUIT NO CARGADO")</f>
        <v>0</v>
      </c>
    </row>
    <row r="49" spans="2:18" x14ac:dyDescent="0.25">
      <c r="B49" s="40"/>
      <c r="C49" s="505"/>
      <c r="D49" s="42"/>
      <c r="E49" s="43"/>
      <c r="F49" s="44">
        <v>30716264382</v>
      </c>
      <c r="G49" s="45" t="str">
        <f>IFERROR(IF(compras_mes7[[#This Row],[CUIT]]="","-",VLOOKUP(compras_mes7[[#This Row],[CUIT]],Lista_CUIT[#All],2,0)),"CUIT NO CARGADO")</f>
        <v>ILQUOTIDIANO SRL</v>
      </c>
      <c r="H49" s="46">
        <v>103388.52</v>
      </c>
      <c r="I49" s="224">
        <f>IF(compras_mes7[[#This Row],[NETO GRAVADO]]="","",compras_mes7[[#This Row],[NETO GRAVADO]]*0.21)</f>
        <v>21711.589199999999</v>
      </c>
      <c r="J49" s="312"/>
      <c r="K49" s="312"/>
      <c r="L49" s="312"/>
      <c r="M49" s="312"/>
      <c r="N49" s="312"/>
      <c r="O49" s="312"/>
      <c r="P49" s="310">
        <f>SUM(compras_mes7[[#This Row],[NETO GRAVADO]:[Otros / No Grav.]])</f>
        <v>125100.10920000001</v>
      </c>
      <c r="Q49" s="311" t="str">
        <f>IFERROR(IF(compras_mes7[[#This Row],[CUIT]]="","-",VLOOKUP(compras_mes7[[#This Row],[CUIT]],Lista_CUIT[#All],3,0)),"CUIT NO CARGADO")</f>
        <v>Catering</v>
      </c>
      <c r="R49" s="311">
        <f>IFERROR(IF(compras_mes7[[#This Row],[CUIT]]="","-",VLOOKUP(compras_mes7[[#This Row],[CUIT]],Lista_CUIT[#All],4,0)),"CUIT NO CARGADO")</f>
        <v>0</v>
      </c>
    </row>
    <row r="50" spans="2:18" x14ac:dyDescent="0.25">
      <c r="B50" s="223"/>
      <c r="C50" s="505"/>
      <c r="D50" s="506"/>
      <c r="E50" s="507"/>
      <c r="F50" s="508">
        <v>30598960093</v>
      </c>
      <c r="G50" s="509" t="str">
        <f>IFERROR(IF(compras_mes7[[#This Row],[CUIT]]="","-",VLOOKUP(compras_mes7[[#This Row],[CUIT]],Lista_CUIT[#All],2,0)),"CUIT NO CARGADO")</f>
        <v>SILVESTRIN FABRIS SRL</v>
      </c>
      <c r="H50" s="510">
        <v>1332362.8999999999</v>
      </c>
      <c r="I50" s="224">
        <f>IF(compras_mes7[[#This Row],[NETO GRAVADO]]="","",compras_mes7[[#This Row],[NETO GRAVADO]]*0.21)</f>
        <v>279796.20899999997</v>
      </c>
      <c r="J50" s="312"/>
      <c r="K50" s="312"/>
      <c r="L50" s="312"/>
      <c r="M50" s="312"/>
      <c r="N50" s="312">
        <v>53294.52</v>
      </c>
      <c r="O50" s="312"/>
      <c r="P50" s="310">
        <f>SUM(compras_mes7[[#This Row],[NETO GRAVADO]:[Otros / No Grav.]])</f>
        <v>1665453.629</v>
      </c>
      <c r="Q50" s="311" t="str">
        <f>IFERROR(IF(compras_mes7[[#This Row],[CUIT]]="","-",VLOOKUP(compras_mes7[[#This Row],[CUIT]],Lista_CUIT[#All],3,0)),"CUIT NO CARGADO")</f>
        <v>INSUMO</v>
      </c>
      <c r="R50" s="311">
        <f>IFERROR(IF(compras_mes7[[#This Row],[CUIT]]="","-",VLOOKUP(compras_mes7[[#This Row],[CUIT]],Lista_CUIT[#All],4,0)),"CUIT NO CARGADO")</f>
        <v>0</v>
      </c>
    </row>
    <row r="51" spans="2:18" x14ac:dyDescent="0.25">
      <c r="B51" s="223"/>
      <c r="C51" s="505"/>
      <c r="D51" s="506"/>
      <c r="E51" s="507"/>
      <c r="F51" s="508">
        <v>30598960093</v>
      </c>
      <c r="G51" s="509" t="str">
        <f>IFERROR(IF(compras_mes7[[#This Row],[CUIT]]="","-",VLOOKUP(compras_mes7[[#This Row],[CUIT]],Lista_CUIT[#All],2,0)),"CUIT NO CARGADO")</f>
        <v>SILVESTRIN FABRIS SRL</v>
      </c>
      <c r="H51" s="510">
        <v>367834.5</v>
      </c>
      <c r="I51" s="224">
        <f>IF(compras_mes7[[#This Row],[NETO GRAVADO]]="","",compras_mes7[[#This Row],[NETO GRAVADO]]*0.21)</f>
        <v>77245.244999999995</v>
      </c>
      <c r="J51" s="312"/>
      <c r="K51" s="312"/>
      <c r="L51" s="312"/>
      <c r="M51" s="312"/>
      <c r="N51" s="312">
        <v>14713.38</v>
      </c>
      <c r="O51" s="312"/>
      <c r="P51" s="310">
        <f>SUM(compras_mes7[[#This Row],[NETO GRAVADO]:[Otros / No Grav.]])</f>
        <v>459793.125</v>
      </c>
      <c r="Q51" s="311" t="str">
        <f>IFERROR(IF(compras_mes7[[#This Row],[CUIT]]="","-",VLOOKUP(compras_mes7[[#This Row],[CUIT]],Lista_CUIT[#All],3,0)),"CUIT NO CARGADO")</f>
        <v>INSUMO</v>
      </c>
      <c r="R51" s="311">
        <f>IFERROR(IF(compras_mes7[[#This Row],[CUIT]]="","-",VLOOKUP(compras_mes7[[#This Row],[CUIT]],Lista_CUIT[#All],4,0)),"CUIT NO CARGADO")</f>
        <v>0</v>
      </c>
    </row>
    <row r="52" spans="2:18" x14ac:dyDescent="0.25">
      <c r="B52" s="223"/>
      <c r="C52" s="505"/>
      <c r="D52" s="506"/>
      <c r="E52" s="507"/>
      <c r="F52" s="508">
        <v>30598960093</v>
      </c>
      <c r="G52" s="509" t="str">
        <f>IFERROR(IF(compras_mes7[[#This Row],[CUIT]]="","-",VLOOKUP(compras_mes7[[#This Row],[CUIT]],Lista_CUIT[#All],2,0)),"CUIT NO CARGADO")</f>
        <v>SILVESTRIN FABRIS SRL</v>
      </c>
      <c r="H52" s="510">
        <v>3068718.75</v>
      </c>
      <c r="I52" s="224">
        <f>IF(compras_mes7[[#This Row],[NETO GRAVADO]]="","",compras_mes7[[#This Row],[NETO GRAVADO]]*0.21)</f>
        <v>644430.9375</v>
      </c>
      <c r="J52" s="312"/>
      <c r="K52" s="312"/>
      <c r="L52" s="312"/>
      <c r="M52" s="312"/>
      <c r="N52" s="312">
        <v>122748.75</v>
      </c>
      <c r="O52" s="312"/>
      <c r="P52" s="310">
        <f>SUM(compras_mes7[[#This Row],[NETO GRAVADO]:[Otros / No Grav.]])</f>
        <v>3835898.4375</v>
      </c>
      <c r="Q52" s="311" t="str">
        <f>IFERROR(IF(compras_mes7[[#This Row],[CUIT]]="","-",VLOOKUP(compras_mes7[[#This Row],[CUIT]],Lista_CUIT[#All],3,0)),"CUIT NO CARGADO")</f>
        <v>INSUMO</v>
      </c>
      <c r="R52" s="311">
        <f>IFERROR(IF(compras_mes7[[#This Row],[CUIT]]="","-",VLOOKUP(compras_mes7[[#This Row],[CUIT]],Lista_CUIT[#All],4,0)),"CUIT NO CARGADO")</f>
        <v>0</v>
      </c>
    </row>
    <row r="53" spans="2:18" x14ac:dyDescent="0.25">
      <c r="B53" s="223"/>
      <c r="C53" s="505"/>
      <c r="D53" s="506"/>
      <c r="E53" s="507"/>
      <c r="F53" s="508">
        <v>30598960093</v>
      </c>
      <c r="G53" s="509" t="str">
        <f>IFERROR(IF(compras_mes7[[#This Row],[CUIT]]="","-",VLOOKUP(compras_mes7[[#This Row],[CUIT]],Lista_CUIT[#All],2,0)),"CUIT NO CARGADO")</f>
        <v>SILVESTRIN FABRIS SRL</v>
      </c>
      <c r="H53" s="510">
        <v>442466.5</v>
      </c>
      <c r="I53" s="224">
        <f>IF(compras_mes7[[#This Row],[NETO GRAVADO]]="","",compras_mes7[[#This Row],[NETO GRAVADO]]*0.21)</f>
        <v>92917.964999999997</v>
      </c>
      <c r="J53" s="312"/>
      <c r="K53" s="312"/>
      <c r="L53" s="312"/>
      <c r="M53" s="312"/>
      <c r="N53" s="312">
        <v>17698.66</v>
      </c>
      <c r="O53" s="312"/>
      <c r="P53" s="310">
        <f>SUM(compras_mes7[[#This Row],[NETO GRAVADO]:[Otros / No Grav.]])</f>
        <v>553083.125</v>
      </c>
      <c r="Q53" s="311" t="str">
        <f>IFERROR(IF(compras_mes7[[#This Row],[CUIT]]="","-",VLOOKUP(compras_mes7[[#This Row],[CUIT]],Lista_CUIT[#All],3,0)),"CUIT NO CARGADO")</f>
        <v>INSUMO</v>
      </c>
      <c r="R53" s="311">
        <f>IFERROR(IF(compras_mes7[[#This Row],[CUIT]]="","-",VLOOKUP(compras_mes7[[#This Row],[CUIT]],Lista_CUIT[#All],4,0)),"CUIT NO CARGADO")</f>
        <v>0</v>
      </c>
    </row>
    <row r="54" spans="2:18" x14ac:dyDescent="0.25">
      <c r="B54" s="40"/>
      <c r="C54" s="505"/>
      <c r="D54" s="42"/>
      <c r="E54" s="43"/>
      <c r="F54" s="44">
        <v>30598960093</v>
      </c>
      <c r="G54" s="45" t="str">
        <f>IFERROR(IF(compras_mes7[[#This Row],[CUIT]]="","-",VLOOKUP(compras_mes7[[#This Row],[CUIT]],Lista_CUIT[#All],2,0)),"CUIT NO CARGADO")</f>
        <v>SILVESTRIN FABRIS SRL</v>
      </c>
      <c r="H54" s="46">
        <v>23630.6</v>
      </c>
      <c r="I54" s="224">
        <f>IF(compras_mes7[[#This Row],[NETO GRAVADO]]="","",compras_mes7[[#This Row],[NETO GRAVADO]]*0.21)</f>
        <v>4962.4259999999995</v>
      </c>
      <c r="J54" s="40"/>
      <c r="K54" s="312"/>
      <c r="L54" s="312"/>
      <c r="M54" s="312"/>
      <c r="N54" s="312">
        <v>945.22</v>
      </c>
      <c r="O54" s="312"/>
      <c r="P54" s="310">
        <f>SUM(compras_mes7[[#This Row],[NETO GRAVADO]:[Otros / No Grav.]])</f>
        <v>29538.245999999999</v>
      </c>
      <c r="Q54" s="311" t="str">
        <f>IFERROR(IF(compras_mes7[[#This Row],[CUIT]]="","-",VLOOKUP(compras_mes7[[#This Row],[CUIT]],Lista_CUIT[#All],3,0)),"CUIT NO CARGADO")</f>
        <v>INSUMO</v>
      </c>
      <c r="R54" s="311">
        <f>IFERROR(IF(compras_mes7[[#This Row],[CUIT]]="","-",VLOOKUP(compras_mes7[[#This Row],[CUIT]],Lista_CUIT[#All],4,0)),"CUIT NO CARGADO")</f>
        <v>0</v>
      </c>
    </row>
    <row r="55" spans="2:18" x14ac:dyDescent="0.25">
      <c r="B55" s="223"/>
      <c r="C55" s="505"/>
      <c r="D55" s="506"/>
      <c r="E55" s="507"/>
      <c r="F55" s="508">
        <v>30598960093</v>
      </c>
      <c r="G55" s="509" t="str">
        <f>IFERROR(IF(compras_mes7[[#This Row],[CUIT]]="","-",VLOOKUP(compras_mes7[[#This Row],[CUIT]],Lista_CUIT[#All],2,0)),"CUIT NO CARGADO")</f>
        <v>SILVESTRIN FABRIS SRL</v>
      </c>
      <c r="H55" s="510">
        <v>642975.75</v>
      </c>
      <c r="I55" s="224">
        <f>IF(compras_mes7[[#This Row],[NETO GRAVADO]]="","",compras_mes7[[#This Row],[NETO GRAVADO]]*0.21)</f>
        <v>135024.9075</v>
      </c>
      <c r="J55" s="312"/>
      <c r="K55" s="312"/>
      <c r="L55" s="312"/>
      <c r="M55" s="312"/>
      <c r="N55" s="312">
        <v>25719.03</v>
      </c>
      <c r="O55" s="312"/>
      <c r="P55" s="310">
        <f>SUM(compras_mes7[[#This Row],[NETO GRAVADO]:[Otros / No Grav.]])</f>
        <v>803719.6875</v>
      </c>
      <c r="Q55" s="311" t="str">
        <f>IFERROR(IF(compras_mes7[[#This Row],[CUIT]]="","-",VLOOKUP(compras_mes7[[#This Row],[CUIT]],Lista_CUIT[#All],3,0)),"CUIT NO CARGADO")</f>
        <v>INSUMO</v>
      </c>
      <c r="R55" s="311">
        <f>IFERROR(IF(compras_mes7[[#This Row],[CUIT]]="","-",VLOOKUP(compras_mes7[[#This Row],[CUIT]],Lista_CUIT[#All],4,0)),"CUIT NO CARGADO")</f>
        <v>0</v>
      </c>
    </row>
    <row r="56" spans="2:18" x14ac:dyDescent="0.25">
      <c r="B56" s="223"/>
      <c r="C56" s="505"/>
      <c r="D56" s="506"/>
      <c r="E56" s="507"/>
      <c r="F56" s="508">
        <v>30598960093</v>
      </c>
      <c r="G56" s="509" t="str">
        <f>IFERROR(IF(compras_mes7[[#This Row],[CUIT]]="","-",VLOOKUP(compras_mes7[[#This Row],[CUIT]],Lista_CUIT[#All],2,0)),"CUIT NO CARGADO")</f>
        <v>SILVESTRIN FABRIS SRL</v>
      </c>
      <c r="H56" s="510">
        <v>4091454.75</v>
      </c>
      <c r="I56" s="224">
        <f>2345820.75*0.21</f>
        <v>492622.35749999998</v>
      </c>
      <c r="J56" s="312"/>
      <c r="K56" s="312">
        <f>1745634*0.105</f>
        <v>183291.57</v>
      </c>
      <c r="L56" s="312"/>
      <c r="M56" s="312"/>
      <c r="N56" s="312">
        <v>163658.19</v>
      </c>
      <c r="O56" s="312"/>
      <c r="P56" s="310">
        <f>SUM(compras_mes7[[#This Row],[NETO GRAVADO]:[Otros / No Grav.]])</f>
        <v>4931026.8675000006</v>
      </c>
      <c r="Q56" s="311" t="str">
        <f>IFERROR(IF(compras_mes7[[#This Row],[CUIT]]="","-",VLOOKUP(compras_mes7[[#This Row],[CUIT]],Lista_CUIT[#All],3,0)),"CUIT NO CARGADO")</f>
        <v>INSUMO</v>
      </c>
      <c r="R56" s="311">
        <f>IFERROR(IF(compras_mes7[[#This Row],[CUIT]]="","-",VLOOKUP(compras_mes7[[#This Row],[CUIT]],Lista_CUIT[#All],4,0)),"CUIT NO CARGADO")</f>
        <v>0</v>
      </c>
    </row>
    <row r="57" spans="2:18" x14ac:dyDescent="0.25">
      <c r="B57" s="223"/>
      <c r="C57" s="505"/>
      <c r="D57" s="506"/>
      <c r="E57" s="507"/>
      <c r="F57" s="508">
        <v>30711610096</v>
      </c>
      <c r="G57" s="509" t="str">
        <f>IFERROR(IF(compras_mes7[[#This Row],[CUIT]]="","-",VLOOKUP(compras_mes7[[#This Row],[CUIT]],Lista_CUIT[#All],2,0)),"CUIT NO CARGADO")</f>
        <v>46 SPEED S.A.</v>
      </c>
      <c r="H57" s="510">
        <v>887000</v>
      </c>
      <c r="I57" s="224">
        <f>IF(compras_mes7[[#This Row],[NETO GRAVADO]]="","",compras_mes7[[#This Row],[NETO GRAVADO]]*0.21)</f>
        <v>186270</v>
      </c>
      <c r="J57" s="312"/>
      <c r="K57" s="312"/>
      <c r="L57" s="312"/>
      <c r="M57" s="312"/>
      <c r="N57" s="312"/>
      <c r="O57" s="312"/>
      <c r="P57" s="310">
        <f>SUM(compras_mes7[[#This Row],[NETO GRAVADO]:[Otros / No Grav.]])</f>
        <v>1073270</v>
      </c>
      <c r="Q57" s="311" t="str">
        <f>IFERROR(IF(compras_mes7[[#This Row],[CUIT]]="","-",VLOOKUP(compras_mes7[[#This Row],[CUIT]],Lista_CUIT[#All],3,0)),"CUIT NO CARGADO")</f>
        <v>Insumos</v>
      </c>
      <c r="R57" s="311">
        <f>IFERROR(IF(compras_mes7[[#This Row],[CUIT]]="","-",VLOOKUP(compras_mes7[[#This Row],[CUIT]],Lista_CUIT[#All],4,0)),"CUIT NO CARGADO")</f>
        <v>0</v>
      </c>
    </row>
    <row r="58" spans="2:18" x14ac:dyDescent="0.25">
      <c r="B58" s="223"/>
      <c r="C58" s="505"/>
      <c r="D58" s="506"/>
      <c r="E58" s="507"/>
      <c r="F58" s="508">
        <v>20247225243</v>
      </c>
      <c r="G58" s="509" t="str">
        <f>IFERROR(IF(compras_mes7[[#This Row],[CUIT]]="","-",VLOOKUP(compras_mes7[[#This Row],[CUIT]],Lista_CUIT[#All],2,0)),"CUIT NO CARGADO")</f>
        <v>VENTO HUGO GABRIEL</v>
      </c>
      <c r="H58" s="510">
        <v>55388</v>
      </c>
      <c r="I58" s="224">
        <f>IF(compras_mes7[[#This Row],[NETO GRAVADO]]="","",compras_mes7[[#This Row],[NETO GRAVADO]]*0.21)</f>
        <v>11631.48</v>
      </c>
      <c r="J58" s="312"/>
      <c r="K58" s="312"/>
      <c r="L58" s="312"/>
      <c r="M58" s="312"/>
      <c r="N58" s="312"/>
      <c r="O58" s="312"/>
      <c r="P58" s="310">
        <f>SUM(compras_mes7[[#This Row],[NETO GRAVADO]:[Otros / No Grav.]])</f>
        <v>67019.48</v>
      </c>
      <c r="Q58" s="311" t="str">
        <f>IFERROR(IF(compras_mes7[[#This Row],[CUIT]]="","-",VLOOKUP(compras_mes7[[#This Row],[CUIT]],Lista_CUIT[#All],3,0)),"CUIT NO CARGADO")</f>
        <v>INSUMO</v>
      </c>
      <c r="R58" s="311">
        <f>IFERROR(IF(compras_mes7[[#This Row],[CUIT]]="","-",VLOOKUP(compras_mes7[[#This Row],[CUIT]],Lista_CUIT[#All],4,0)),"CUIT NO CARGADO")</f>
        <v>0</v>
      </c>
    </row>
    <row r="59" spans="2:18" x14ac:dyDescent="0.25">
      <c r="B59" s="223"/>
      <c r="C59" s="505"/>
      <c r="D59" s="506"/>
      <c r="E59" s="507"/>
      <c r="F59" s="508">
        <v>30716815710</v>
      </c>
      <c r="G59" s="509" t="str">
        <f>IFERROR(IF(compras_mes7[[#This Row],[CUIT]]="","-",VLOOKUP(compras_mes7[[#This Row],[CUIT]],Lista_CUIT[#All],2,0)),"CUIT NO CARGADO")</f>
        <v>PAPELERA GEOPEL SRL</v>
      </c>
      <c r="H59" s="510">
        <v>28600</v>
      </c>
      <c r="I59" s="224">
        <f>IF(compras_mes7[[#This Row],[NETO GRAVADO]]="","",compras_mes7[[#This Row],[NETO GRAVADO]]*0.21)</f>
        <v>6006</v>
      </c>
      <c r="J59" s="312"/>
      <c r="K59" s="312"/>
      <c r="L59" s="312"/>
      <c r="M59" s="312"/>
      <c r="N59" s="312"/>
      <c r="O59" s="312"/>
      <c r="P59" s="310">
        <f>SUM(compras_mes7[[#This Row],[NETO GRAVADO]:[Otros / No Grav.]])</f>
        <v>34606</v>
      </c>
      <c r="Q59" s="311" t="str">
        <f>IFERROR(IF(compras_mes7[[#This Row],[CUIT]]="","-",VLOOKUP(compras_mes7[[#This Row],[CUIT]],Lista_CUIT[#All],3,0)),"CUIT NO CARGADO")</f>
        <v>librería</v>
      </c>
      <c r="R59" s="311">
        <f>IFERROR(IF(compras_mes7[[#This Row],[CUIT]]="","-",VLOOKUP(compras_mes7[[#This Row],[CUIT]],Lista_CUIT[#All],4,0)),"CUIT NO CARGADO")</f>
        <v>0</v>
      </c>
    </row>
    <row r="60" spans="2:18" x14ac:dyDescent="0.25">
      <c r="B60" s="223"/>
      <c r="C60" s="505"/>
      <c r="D60" s="506"/>
      <c r="E60" s="507"/>
      <c r="F60" s="508">
        <v>30716815710</v>
      </c>
      <c r="G60" s="509" t="str">
        <f>IFERROR(IF(compras_mes7[[#This Row],[CUIT]]="","-",VLOOKUP(compras_mes7[[#This Row],[CUIT]],Lista_CUIT[#All],2,0)),"CUIT NO CARGADO")</f>
        <v>PAPELERA GEOPEL SRL</v>
      </c>
      <c r="H60" s="510">
        <v>7600</v>
      </c>
      <c r="I60" s="224">
        <f>IF(compras_mes7[[#This Row],[NETO GRAVADO]]="","",compras_mes7[[#This Row],[NETO GRAVADO]]*0.21)</f>
        <v>1596</v>
      </c>
      <c r="J60" s="312"/>
      <c r="K60" s="312"/>
      <c r="L60" s="312"/>
      <c r="M60" s="312"/>
      <c r="N60" s="312"/>
      <c r="O60" s="312"/>
      <c r="P60" s="310">
        <f>SUM(compras_mes7[[#This Row],[NETO GRAVADO]:[Otros / No Grav.]])</f>
        <v>9196</v>
      </c>
      <c r="Q60" s="311" t="str">
        <f>IFERROR(IF(compras_mes7[[#This Row],[CUIT]]="","-",VLOOKUP(compras_mes7[[#This Row],[CUIT]],Lista_CUIT[#All],3,0)),"CUIT NO CARGADO")</f>
        <v>librería</v>
      </c>
      <c r="R60" s="311">
        <f>IFERROR(IF(compras_mes7[[#This Row],[CUIT]]="","-",VLOOKUP(compras_mes7[[#This Row],[CUIT]],Lista_CUIT[#All],4,0)),"CUIT NO CARGADO")</f>
        <v>0</v>
      </c>
    </row>
    <row r="61" spans="2:18" x14ac:dyDescent="0.25">
      <c r="B61" s="223"/>
      <c r="C61" s="505"/>
      <c r="D61" s="506"/>
      <c r="E61" s="507"/>
      <c r="F61" s="508">
        <v>30710177658</v>
      </c>
      <c r="G61" s="509" t="str">
        <f>IFERROR(IF(compras_mes7[[#This Row],[CUIT]]="","-",VLOOKUP(compras_mes7[[#This Row],[CUIT]],Lista_CUIT[#All],2,0)),"CUIT NO CARGADO")</f>
        <v>TARGET MEDICAL SA</v>
      </c>
      <c r="H61" s="510">
        <v>987480</v>
      </c>
      <c r="I61" s="224"/>
      <c r="J61" s="312"/>
      <c r="K61" s="312">
        <f>compras_mes7[[#This Row],[NETO GRAVADO]]*0.105</f>
        <v>103685.4</v>
      </c>
      <c r="L61" s="312"/>
      <c r="M61" s="312"/>
      <c r="N61" s="312"/>
      <c r="O61" s="312"/>
      <c r="P61" s="310">
        <f>SUM(compras_mes7[[#This Row],[NETO GRAVADO]:[Otros / No Grav.]])</f>
        <v>1091165.3999999999</v>
      </c>
      <c r="Q61" s="311" t="str">
        <f>IFERROR(IF(compras_mes7[[#This Row],[CUIT]]="","-",VLOOKUP(compras_mes7[[#This Row],[CUIT]],Lista_CUIT[#All],3,0)),"CUIT NO CARGADO")</f>
        <v>INSUMO</v>
      </c>
      <c r="R61" s="311">
        <f>IFERROR(IF(compras_mes7[[#This Row],[CUIT]]="","-",VLOOKUP(compras_mes7[[#This Row],[CUIT]],Lista_CUIT[#All],4,0)),"CUIT NO CARGADO")</f>
        <v>0</v>
      </c>
    </row>
    <row r="62" spans="2:18" x14ac:dyDescent="0.25">
      <c r="B62" s="223"/>
      <c r="C62" s="505"/>
      <c r="D62" s="506"/>
      <c r="E62" s="507"/>
      <c r="F62" s="508">
        <v>30710177658</v>
      </c>
      <c r="G62" s="509" t="str">
        <f>IFERROR(IF(compras_mes7[[#This Row],[CUIT]]="","-",VLOOKUP(compras_mes7[[#This Row],[CUIT]],Lista_CUIT[#All],2,0)),"CUIT NO CARGADO")</f>
        <v>TARGET MEDICAL SA</v>
      </c>
      <c r="H62" s="510">
        <v>1974960</v>
      </c>
      <c r="I62" s="224"/>
      <c r="J62" s="312"/>
      <c r="K62" s="312">
        <f>compras_mes7[[#This Row],[NETO GRAVADO]]*0.105</f>
        <v>207370.8</v>
      </c>
      <c r="L62" s="312"/>
      <c r="M62" s="312"/>
      <c r="N62" s="312"/>
      <c r="O62" s="312"/>
      <c r="P62" s="310">
        <f>SUM(compras_mes7[[#This Row],[NETO GRAVADO]:[Otros / No Grav.]])</f>
        <v>2182330.7999999998</v>
      </c>
      <c r="Q62" s="311" t="str">
        <f>IFERROR(IF(compras_mes7[[#This Row],[CUIT]]="","-",VLOOKUP(compras_mes7[[#This Row],[CUIT]],Lista_CUIT[#All],3,0)),"CUIT NO CARGADO")</f>
        <v>INSUMO</v>
      </c>
      <c r="R62" s="311">
        <f>IFERROR(IF(compras_mes7[[#This Row],[CUIT]]="","-",VLOOKUP(compras_mes7[[#This Row],[CUIT]],Lista_CUIT[#All],4,0)),"CUIT NO CARGADO")</f>
        <v>0</v>
      </c>
    </row>
    <row r="63" spans="2:18" x14ac:dyDescent="0.25">
      <c r="B63" s="223"/>
      <c r="C63" s="505"/>
      <c r="D63" s="506"/>
      <c r="E63" s="507"/>
      <c r="F63" s="508">
        <v>30710177658</v>
      </c>
      <c r="G63" s="509" t="str">
        <f>IFERROR(IF(compras_mes7[[#This Row],[CUIT]]="","-",VLOOKUP(compras_mes7[[#This Row],[CUIT]],Lista_CUIT[#All],2,0)),"CUIT NO CARGADO")</f>
        <v>TARGET MEDICAL SA</v>
      </c>
      <c r="H63" s="510">
        <v>94530</v>
      </c>
      <c r="I63" s="224">
        <f>IF(compras_mes7[[#This Row],[NETO GRAVADO]]="","",compras_mes7[[#This Row],[NETO GRAVADO]]*0.21)</f>
        <v>19851.3</v>
      </c>
      <c r="J63" s="312"/>
      <c r="K63" s="312"/>
      <c r="L63" s="312"/>
      <c r="M63" s="312"/>
      <c r="N63" s="312"/>
      <c r="O63" s="312"/>
      <c r="P63" s="310">
        <f>SUM(compras_mes7[[#This Row],[NETO GRAVADO]:[Otros / No Grav.]])</f>
        <v>114381.3</v>
      </c>
      <c r="Q63" s="311" t="str">
        <f>IFERROR(IF(compras_mes7[[#This Row],[CUIT]]="","-",VLOOKUP(compras_mes7[[#This Row],[CUIT]],Lista_CUIT[#All],3,0)),"CUIT NO CARGADO")</f>
        <v>INSUMO</v>
      </c>
      <c r="R63" s="311">
        <f>IFERROR(IF(compras_mes7[[#This Row],[CUIT]]="","-",VLOOKUP(compras_mes7[[#This Row],[CUIT]],Lista_CUIT[#All],4,0)),"CUIT NO CARGADO")</f>
        <v>0</v>
      </c>
    </row>
    <row r="64" spans="2:18" x14ac:dyDescent="0.25">
      <c r="B64" s="223"/>
      <c r="C64" s="505"/>
      <c r="D64" s="506"/>
      <c r="E64" s="507"/>
      <c r="F64" s="508">
        <v>30710177658</v>
      </c>
      <c r="G64" s="509" t="str">
        <f>IFERROR(IF(compras_mes7[[#This Row],[CUIT]]="","-",VLOOKUP(compras_mes7[[#This Row],[CUIT]],Lista_CUIT[#All],2,0)),"CUIT NO CARGADO")</f>
        <v>TARGET MEDICAL SA</v>
      </c>
      <c r="H64" s="510">
        <v>1228500</v>
      </c>
      <c r="I64" s="224">
        <f>IF(compras_mes7[[#This Row],[NETO GRAVADO]]="","",compras_mes7[[#This Row],[NETO GRAVADO]]*0.21)</f>
        <v>257985</v>
      </c>
      <c r="J64" s="312"/>
      <c r="K64" s="312"/>
      <c r="L64" s="312">
        <v>47340</v>
      </c>
      <c r="M64" s="312"/>
      <c r="N64" s="312"/>
      <c r="O64" s="312"/>
      <c r="P64" s="310">
        <f>SUM(compras_mes7[[#This Row],[NETO GRAVADO]:[Otros / No Grav.]])</f>
        <v>1533825</v>
      </c>
      <c r="Q64" s="311" t="str">
        <f>IFERROR(IF(compras_mes7[[#This Row],[CUIT]]="","-",VLOOKUP(compras_mes7[[#This Row],[CUIT]],Lista_CUIT[#All],3,0)),"CUIT NO CARGADO")</f>
        <v>INSUMO</v>
      </c>
      <c r="R64" s="311">
        <f>IFERROR(IF(compras_mes7[[#This Row],[CUIT]]="","-",VLOOKUP(compras_mes7[[#This Row],[CUIT]],Lista_CUIT[#All],4,0)),"CUIT NO CARGADO")</f>
        <v>0</v>
      </c>
    </row>
    <row r="65" spans="2:18" x14ac:dyDescent="0.25">
      <c r="B65" s="223"/>
      <c r="C65" s="505"/>
      <c r="D65" s="506"/>
      <c r="E65" s="507"/>
      <c r="F65" s="508">
        <v>30711553564</v>
      </c>
      <c r="G65" s="509" t="str">
        <f>IFERROR(IF(compras_mes7[[#This Row],[CUIT]]="","-",VLOOKUP(compras_mes7[[#This Row],[CUIT]],Lista_CUIT[#All],2,0)),"CUIT NO CARGADO")</f>
        <v>SALUD TEX S.A</v>
      </c>
      <c r="H65" s="510">
        <v>1172570</v>
      </c>
      <c r="I65" s="224">
        <f>IF(compras_mes7[[#This Row],[NETO GRAVADO]]="","",compras_mes7[[#This Row],[NETO GRAVADO]]*0.21)</f>
        <v>246239.69999999998</v>
      </c>
      <c r="J65" s="312"/>
      <c r="K65" s="312"/>
      <c r="L65" s="312"/>
      <c r="M65" s="312"/>
      <c r="N65" s="312"/>
      <c r="O65" s="312"/>
      <c r="P65" s="310">
        <f>SUM(compras_mes7[[#This Row],[NETO GRAVADO]:[Otros / No Grav.]])</f>
        <v>1418809.7</v>
      </c>
      <c r="Q65" s="311" t="str">
        <f>IFERROR(IF(compras_mes7[[#This Row],[CUIT]]="","-",VLOOKUP(compras_mes7[[#This Row],[CUIT]],Lista_CUIT[#All],3,0)),"CUIT NO CARGADO")</f>
        <v>INSUMO</v>
      </c>
      <c r="R65" s="311">
        <f>IFERROR(IF(compras_mes7[[#This Row],[CUIT]]="","-",VLOOKUP(compras_mes7[[#This Row],[CUIT]],Lista_CUIT[#All],4,0)),"CUIT NO CARGADO")</f>
        <v>0</v>
      </c>
    </row>
    <row r="66" spans="2:18" x14ac:dyDescent="0.25">
      <c r="B66" s="223"/>
      <c r="C66" s="505"/>
      <c r="D66" s="506"/>
      <c r="E66" s="507"/>
      <c r="F66" s="508">
        <v>30711553564</v>
      </c>
      <c r="G66" s="509" t="str">
        <f>IFERROR(IF(compras_mes7[[#This Row],[CUIT]]="","-",VLOOKUP(compras_mes7[[#This Row],[CUIT]],Lista_CUIT[#All],2,0)),"CUIT NO CARGADO")</f>
        <v>SALUD TEX S.A</v>
      </c>
      <c r="H66" s="510">
        <v>643421</v>
      </c>
      <c r="I66" s="224">
        <f>IF(compras_mes7[[#This Row],[NETO GRAVADO]]="","",compras_mes7[[#This Row],[NETO GRAVADO]]*0.21)</f>
        <v>135118.41</v>
      </c>
      <c r="J66" s="312"/>
      <c r="K66" s="312"/>
      <c r="L66" s="312"/>
      <c r="M66" s="312"/>
      <c r="N66" s="312"/>
      <c r="O66" s="312"/>
      <c r="P66" s="310">
        <f>SUM(compras_mes7[[#This Row],[NETO GRAVADO]:[Otros / No Grav.]])</f>
        <v>778539.41</v>
      </c>
      <c r="Q66" s="311" t="str">
        <f>IFERROR(IF(compras_mes7[[#This Row],[CUIT]]="","-",VLOOKUP(compras_mes7[[#This Row],[CUIT]],Lista_CUIT[#All],3,0)),"CUIT NO CARGADO")</f>
        <v>INSUMO</v>
      </c>
      <c r="R66" s="311">
        <f>IFERROR(IF(compras_mes7[[#This Row],[CUIT]]="","-",VLOOKUP(compras_mes7[[#This Row],[CUIT]],Lista_CUIT[#All],4,0)),"CUIT NO CARGADO")</f>
        <v>0</v>
      </c>
    </row>
    <row r="67" spans="2:18" x14ac:dyDescent="0.25">
      <c r="B67" s="223"/>
      <c r="C67" s="505"/>
      <c r="D67" s="506"/>
      <c r="E67" s="507"/>
      <c r="F67" s="508">
        <v>27325223273</v>
      </c>
      <c r="G67" s="509" t="str">
        <f>IFERROR(IF(compras_mes7[[#This Row],[CUIT]]="","-",VLOOKUP(compras_mes7[[#This Row],[CUIT]],Lista_CUIT[#All],2,0)),"CUIT NO CARGADO")</f>
        <v>SOUSA ALDERETE ALEJANDRA MABEL</v>
      </c>
      <c r="H67" s="510">
        <v>1506000</v>
      </c>
      <c r="I67" s="224">
        <f>IF(compras_mes7[[#This Row],[NETO GRAVADO]]="","",compras_mes7[[#This Row],[NETO GRAVADO]]*0.21)</f>
        <v>316260</v>
      </c>
      <c r="J67" s="312"/>
      <c r="K67" s="312"/>
      <c r="L67" s="312"/>
      <c r="M67" s="312"/>
      <c r="N67" s="312"/>
      <c r="O67" s="312"/>
      <c r="P67" s="310">
        <f>SUM(compras_mes7[[#This Row],[NETO GRAVADO]:[Otros / No Grav.]])</f>
        <v>1822260</v>
      </c>
      <c r="Q67" s="311" t="str">
        <f>IFERROR(IF(compras_mes7[[#This Row],[CUIT]]="","-",VLOOKUP(compras_mes7[[#This Row],[CUIT]],Lista_CUIT[#All],3,0)),"CUIT NO CARGADO")</f>
        <v>Insumos</v>
      </c>
      <c r="R67" s="311">
        <f>IFERROR(IF(compras_mes7[[#This Row],[CUIT]]="","-",VLOOKUP(compras_mes7[[#This Row],[CUIT]],Lista_CUIT[#All],4,0)),"CUIT NO CARGADO")</f>
        <v>0</v>
      </c>
    </row>
    <row r="68" spans="2:18" x14ac:dyDescent="0.25">
      <c r="B68" s="223"/>
      <c r="C68" s="505"/>
      <c r="D68" s="506"/>
      <c r="E68" s="507"/>
      <c r="F68" s="508">
        <v>30717409007</v>
      </c>
      <c r="G68" s="509" t="str">
        <f>IFERROR(IF(compras_mes7[[#This Row],[CUIT]]="","-",VLOOKUP(compras_mes7[[#This Row],[CUIT]],Lista_CUIT[#All],2,0)),"CUIT NO CARGADO")</f>
        <v>GUPARO S.R.L.</v>
      </c>
      <c r="H68" s="510">
        <v>128016.53</v>
      </c>
      <c r="I68" s="224">
        <f>IF(compras_mes7[[#This Row],[NETO GRAVADO]]="","",compras_mes7[[#This Row],[NETO GRAVADO]]*0.21)</f>
        <v>26883.471299999997</v>
      </c>
      <c r="J68" s="312"/>
      <c r="K68" s="312"/>
      <c r="L68" s="312"/>
      <c r="M68" s="312"/>
      <c r="N68" s="312"/>
      <c r="O68" s="312"/>
      <c r="P68" s="310">
        <f>SUM(compras_mes7[[#This Row],[NETO GRAVADO]:[Otros / No Grav.]])</f>
        <v>154900.0013</v>
      </c>
      <c r="Q68" s="311" t="str">
        <f>IFERROR(IF(compras_mes7[[#This Row],[CUIT]]="","-",VLOOKUP(compras_mes7[[#This Row],[CUIT]],Lista_CUIT[#All],3,0)),"CUIT NO CARGADO")</f>
        <v>Ropa de Trabajo</v>
      </c>
      <c r="R68" s="311">
        <f>IFERROR(IF(compras_mes7[[#This Row],[CUIT]]="","-",VLOOKUP(compras_mes7[[#This Row],[CUIT]],Lista_CUIT[#All],4,0)),"CUIT NO CARGADO")</f>
        <v>0</v>
      </c>
    </row>
    <row r="69" spans="2:18" x14ac:dyDescent="0.25">
      <c r="B69" s="223"/>
      <c r="C69" s="505"/>
      <c r="D69" s="506"/>
      <c r="E69" s="507"/>
      <c r="F69" s="508">
        <v>30677420622</v>
      </c>
      <c r="G69" s="509" t="str">
        <f>IFERROR(IF(compras_mes7[[#This Row],[CUIT]]="","-",VLOOKUP(compras_mes7[[#This Row],[CUIT]],Lista_CUIT[#All],2,0)),"CUIT NO CARGADO")</f>
        <v>PAÑALERA NORTE S R L</v>
      </c>
      <c r="H69" s="510">
        <v>66363.64</v>
      </c>
      <c r="I69" s="224">
        <f>IF(compras_mes7[[#This Row],[NETO GRAVADO]]="","",compras_mes7[[#This Row],[NETO GRAVADO]]*0.21)</f>
        <v>13936.364399999999</v>
      </c>
      <c r="J69" s="312"/>
      <c r="K69" s="312"/>
      <c r="L69" s="312"/>
      <c r="M69" s="312"/>
      <c r="N69" s="312"/>
      <c r="O69" s="312"/>
      <c r="P69" s="310">
        <f>SUM(compras_mes7[[#This Row],[NETO GRAVADO]:[Otros / No Grav.]])</f>
        <v>80300.004400000005</v>
      </c>
      <c r="Q69" s="311" t="str">
        <f>IFERROR(IF(compras_mes7[[#This Row],[CUIT]]="","-",VLOOKUP(compras_mes7[[#This Row],[CUIT]],Lista_CUIT[#All],3,0)),"CUIT NO CARGADO")</f>
        <v>Gastos Varios</v>
      </c>
      <c r="R69" s="311">
        <f>IFERROR(IF(compras_mes7[[#This Row],[CUIT]]="","-",VLOOKUP(compras_mes7[[#This Row],[CUIT]],Lista_CUIT[#All],4,0)),"CUIT NO CARGADO")</f>
        <v>0</v>
      </c>
    </row>
    <row r="70" spans="2:18" x14ac:dyDescent="0.25">
      <c r="B70" s="223"/>
      <c r="C70" s="505"/>
      <c r="D70" s="506"/>
      <c r="E70" s="507"/>
      <c r="F70" s="508">
        <v>30712187316</v>
      </c>
      <c r="G70" s="509" t="str">
        <f>IFERROR(IF(compras_mes7[[#This Row],[CUIT]]="","-",VLOOKUP(compras_mes7[[#This Row],[CUIT]],Lista_CUIT[#All],2,0)),"CUIT NO CARGADO")</f>
        <v>ITALOMED PRODUCTOS SRL</v>
      </c>
      <c r="H70" s="510">
        <v>380944.5</v>
      </c>
      <c r="I70" s="224">
        <f>IF(compras_mes7[[#This Row],[NETO GRAVADO]]="","",compras_mes7[[#This Row],[NETO GRAVADO]]*0.21)</f>
        <v>79998.345000000001</v>
      </c>
      <c r="J70" s="312"/>
      <c r="K70" s="312"/>
      <c r="L70" s="312"/>
      <c r="M70" s="312"/>
      <c r="N70" s="312"/>
      <c r="O70" s="312"/>
      <c r="P70" s="310">
        <f>SUM(compras_mes7[[#This Row],[NETO GRAVADO]:[Otros / No Grav.]])</f>
        <v>460942.84499999997</v>
      </c>
      <c r="Q70" s="311" t="str">
        <f>IFERROR(IF(compras_mes7[[#This Row],[CUIT]]="","-",VLOOKUP(compras_mes7[[#This Row],[CUIT]],Lista_CUIT[#All],3,0)),"CUIT NO CARGADO")</f>
        <v>INSUMO</v>
      </c>
      <c r="R70" s="311">
        <f>IFERROR(IF(compras_mes7[[#This Row],[CUIT]]="","-",VLOOKUP(compras_mes7[[#This Row],[CUIT]],Lista_CUIT[#All],4,0)),"CUIT NO CARGADO")</f>
        <v>0</v>
      </c>
    </row>
    <row r="71" spans="2:18" x14ac:dyDescent="0.25">
      <c r="B71" s="40"/>
      <c r="C71" s="505"/>
      <c r="D71" s="42"/>
      <c r="E71" s="43"/>
      <c r="F71" s="44">
        <v>20284183534</v>
      </c>
      <c r="G71" s="45" t="str">
        <f>IFERROR(IF(compras_mes7[[#This Row],[CUIT]]="","-",VLOOKUP(compras_mes7[[#This Row],[CUIT]],Lista_CUIT[#All],2,0)),"CUIT NO CARGADO")</f>
        <v>FURLANETTO MARTIN</v>
      </c>
      <c r="H71" s="46">
        <v>19049.599999999999</v>
      </c>
      <c r="I71" s="224">
        <f>IF(compras_mes7[[#This Row],[NETO GRAVADO]]="","",compras_mes7[[#This Row],[NETO GRAVADO]]*0.21)</f>
        <v>4000.4159999999997</v>
      </c>
      <c r="J71" s="312"/>
      <c r="K71" s="312"/>
      <c r="L71" s="312"/>
      <c r="M71" s="312"/>
      <c r="N71" s="312"/>
      <c r="O71" s="312"/>
      <c r="P71" s="310">
        <f>SUM(compras_mes7[[#This Row],[NETO GRAVADO]:[Otros / No Grav.]])</f>
        <v>23050.016</v>
      </c>
      <c r="Q71" s="311" t="str">
        <f>IFERROR(IF(compras_mes7[[#This Row],[CUIT]]="","-",VLOOKUP(compras_mes7[[#This Row],[CUIT]],Lista_CUIT[#All],3,0)),"CUIT NO CARGADO")</f>
        <v>gastos varios</v>
      </c>
      <c r="R71" s="311">
        <f>IFERROR(IF(compras_mes7[[#This Row],[CUIT]]="","-",VLOOKUP(compras_mes7[[#This Row],[CUIT]],Lista_CUIT[#All],4,0)),"CUIT NO CARGADO")</f>
        <v>0</v>
      </c>
    </row>
    <row r="72" spans="2:18" x14ac:dyDescent="0.25">
      <c r="B72" s="223"/>
      <c r="C72" s="505"/>
      <c r="D72" s="506"/>
      <c r="E72" s="507"/>
      <c r="F72" s="508">
        <v>30709214078</v>
      </c>
      <c r="G72" s="509" t="str">
        <f>IFERROR(IF(compras_mes7[[#This Row],[CUIT]]="","-",VLOOKUP(compras_mes7[[#This Row],[CUIT]],Lista_CUIT[#All],2,0)),"CUIT NO CARGADO")</f>
        <v>REHAVITA S.A</v>
      </c>
      <c r="H72" s="510">
        <v>607200</v>
      </c>
      <c r="I72" s="224"/>
      <c r="J72" s="312"/>
      <c r="K72" s="312">
        <f>compras_mes7[[#This Row],[NETO GRAVADO]]*0.105</f>
        <v>63756</v>
      </c>
      <c r="L72" s="312"/>
      <c r="M72" s="312"/>
      <c r="N72" s="312"/>
      <c r="O72" s="312"/>
      <c r="P72" s="310">
        <f>SUM(compras_mes7[[#This Row],[NETO GRAVADO]:[Otros / No Grav.]])</f>
        <v>670956</v>
      </c>
      <c r="Q72" s="311" t="str">
        <f>IFERROR(IF(compras_mes7[[#This Row],[CUIT]]="","-",VLOOKUP(compras_mes7[[#This Row],[CUIT]],Lista_CUIT[#All],3,0)),"CUIT NO CARGADO")</f>
        <v>INSUMO</v>
      </c>
      <c r="R72" s="311">
        <f>IFERROR(IF(compras_mes7[[#This Row],[CUIT]]="","-",VLOOKUP(compras_mes7[[#This Row],[CUIT]],Lista_CUIT[#All],4,0)),"CUIT NO CARGADO")</f>
        <v>0</v>
      </c>
    </row>
    <row r="73" spans="2:18" x14ac:dyDescent="0.25">
      <c r="B73" s="40"/>
      <c r="C73" s="505"/>
      <c r="D73" s="42"/>
      <c r="E73" s="43"/>
      <c r="F73" s="44">
        <v>30709214078</v>
      </c>
      <c r="G73" s="45" t="str">
        <f>IFERROR(IF(compras_mes7[[#This Row],[CUIT]]="","-",VLOOKUP(compras_mes7[[#This Row],[CUIT]],Lista_CUIT[#All],2,0)),"CUIT NO CARGADO")</f>
        <v>REHAVITA S.A</v>
      </c>
      <c r="H73" s="46">
        <v>746350</v>
      </c>
      <c r="I73" s="224"/>
      <c r="J73" s="312"/>
      <c r="K73" s="312">
        <f>compras_mes7[[#This Row],[NETO GRAVADO]]*0.105</f>
        <v>78366.75</v>
      </c>
      <c r="L73" s="312"/>
      <c r="M73" s="312"/>
      <c r="N73" s="312"/>
      <c r="O73" s="312"/>
      <c r="P73" s="310">
        <f>SUM(compras_mes7[[#This Row],[NETO GRAVADO]:[Otros / No Grav.]])</f>
        <v>824716.75</v>
      </c>
      <c r="Q73" s="311" t="str">
        <f>IFERROR(IF(compras_mes7[[#This Row],[CUIT]]="","-",VLOOKUP(compras_mes7[[#This Row],[CUIT]],Lista_CUIT[#All],3,0)),"CUIT NO CARGADO")</f>
        <v>INSUMO</v>
      </c>
      <c r="R73" s="311">
        <f>IFERROR(IF(compras_mes7[[#This Row],[CUIT]]="","-",VLOOKUP(compras_mes7[[#This Row],[CUIT]],Lista_CUIT[#All],4,0)),"CUIT NO CARGADO")</f>
        <v>0</v>
      </c>
    </row>
    <row r="74" spans="2:18" x14ac:dyDescent="0.25">
      <c r="B74" s="40"/>
      <c r="C74" s="505"/>
      <c r="D74" s="42"/>
      <c r="E74" s="43"/>
      <c r="F74" s="44">
        <v>30709214078</v>
      </c>
      <c r="G74" s="45" t="str">
        <f>IFERROR(IF(compras_mes7[[#This Row],[CUIT]]="","-",VLOOKUP(compras_mes7[[#This Row],[CUIT]],Lista_CUIT[#All],2,0)),"CUIT NO CARGADO")</f>
        <v>REHAVITA S.A</v>
      </c>
      <c r="H74" s="46">
        <v>151800</v>
      </c>
      <c r="I74" s="224"/>
      <c r="J74" s="312"/>
      <c r="K74" s="312">
        <f>compras_mes7[[#This Row],[NETO GRAVADO]]*0.105</f>
        <v>15939</v>
      </c>
      <c r="L74" s="312"/>
      <c r="M74" s="312"/>
      <c r="N74" s="312"/>
      <c r="O74" s="312"/>
      <c r="P74" s="310">
        <f>SUM(compras_mes7[[#This Row],[NETO GRAVADO]:[Otros / No Grav.]])</f>
        <v>167739</v>
      </c>
      <c r="Q74" s="311" t="str">
        <f>IFERROR(IF(compras_mes7[[#This Row],[CUIT]]="","-",VLOOKUP(compras_mes7[[#This Row],[CUIT]],Lista_CUIT[#All],3,0)),"CUIT NO CARGADO")</f>
        <v>INSUMO</v>
      </c>
      <c r="R74" s="311">
        <f>IFERROR(IF(compras_mes7[[#This Row],[CUIT]]="","-",VLOOKUP(compras_mes7[[#This Row],[CUIT]],Lista_CUIT[#All],4,0)),"CUIT NO CARGADO")</f>
        <v>0</v>
      </c>
    </row>
    <row r="75" spans="2:18" x14ac:dyDescent="0.25">
      <c r="B75" s="223"/>
      <c r="C75" s="505"/>
      <c r="D75" s="506"/>
      <c r="E75" s="507"/>
      <c r="F75" s="508">
        <v>30643518364</v>
      </c>
      <c r="G75" s="509" t="str">
        <f>IFERROR(IF(compras_mes7[[#This Row],[CUIT]]="","-",VLOOKUP(compras_mes7[[#This Row],[CUIT]],Lista_CUIT[#All],2,0)),"CUIT NO CARGADO")</f>
        <v>FARMACIA DE MEDRANO SCS</v>
      </c>
      <c r="H75" s="510">
        <v>813981.5</v>
      </c>
      <c r="I75" s="224">
        <f>IF(compras_mes7[[#This Row],[NETO GRAVADO]]="","",compras_mes7[[#This Row],[NETO GRAVADO]]*0.21)</f>
        <v>170936.11499999999</v>
      </c>
      <c r="J75" s="312"/>
      <c r="K75" s="312"/>
      <c r="L75" s="312"/>
      <c r="M75" s="312"/>
      <c r="N75" s="312"/>
      <c r="O75" s="312"/>
      <c r="P75" s="310">
        <f>SUM(compras_mes7[[#This Row],[NETO GRAVADO]:[Otros / No Grav.]])</f>
        <v>984917.61499999999</v>
      </c>
      <c r="Q75" s="311" t="str">
        <f>IFERROR(IF(compras_mes7[[#This Row],[CUIT]]="","-",VLOOKUP(compras_mes7[[#This Row],[CUIT]],Lista_CUIT[#All],3,0)),"CUIT NO CARGADO")</f>
        <v>INSUMO</v>
      </c>
      <c r="R75" s="311">
        <f>IFERROR(IF(compras_mes7[[#This Row],[CUIT]]="","-",VLOOKUP(compras_mes7[[#This Row],[CUIT]],Lista_CUIT[#All],4,0)),"CUIT NO CARGADO")</f>
        <v>0</v>
      </c>
    </row>
    <row r="76" spans="2:18" x14ac:dyDescent="0.25">
      <c r="B76" s="223"/>
      <c r="C76" s="505"/>
      <c r="D76" s="506"/>
      <c r="E76" s="507"/>
      <c r="F76" s="508">
        <v>30643518364</v>
      </c>
      <c r="G76" s="509" t="str">
        <f>IFERROR(IF(compras_mes7[[#This Row],[CUIT]]="","-",VLOOKUP(compras_mes7[[#This Row],[CUIT]],Lista_CUIT[#All],2,0)),"CUIT NO CARGADO")</f>
        <v>FARMACIA DE MEDRANO SCS</v>
      </c>
      <c r="H76" s="510">
        <v>207100</v>
      </c>
      <c r="I76" s="224">
        <f>IF(compras_mes7[[#This Row],[NETO GRAVADO]]="","",compras_mes7[[#This Row],[NETO GRAVADO]]*0.21)</f>
        <v>43491</v>
      </c>
      <c r="J76" s="312"/>
      <c r="K76" s="312"/>
      <c r="L76" s="312"/>
      <c r="M76" s="312"/>
      <c r="N76" s="312"/>
      <c r="O76" s="312"/>
      <c r="P76" s="310">
        <f>SUM(compras_mes7[[#This Row],[NETO GRAVADO]:[Otros / No Grav.]])</f>
        <v>250591</v>
      </c>
      <c r="Q76" s="311" t="str">
        <f>IFERROR(IF(compras_mes7[[#This Row],[CUIT]]="","-",VLOOKUP(compras_mes7[[#This Row],[CUIT]],Lista_CUIT[#All],3,0)),"CUIT NO CARGADO")</f>
        <v>INSUMO</v>
      </c>
      <c r="R76" s="311">
        <f>IFERROR(IF(compras_mes7[[#This Row],[CUIT]]="","-",VLOOKUP(compras_mes7[[#This Row],[CUIT]],Lista_CUIT[#All],4,0)),"CUIT NO CARGADO")</f>
        <v>0</v>
      </c>
    </row>
    <row r="77" spans="2:18" x14ac:dyDescent="0.25">
      <c r="B77" s="223"/>
      <c r="C77" s="505"/>
      <c r="D77" s="506"/>
      <c r="E77" s="507"/>
      <c r="F77" s="508">
        <v>30643518364</v>
      </c>
      <c r="G77" s="509" t="str">
        <f>IFERROR(IF(compras_mes7[[#This Row],[CUIT]]="","-",VLOOKUP(compras_mes7[[#This Row],[CUIT]],Lista_CUIT[#All],2,0)),"CUIT NO CARGADO")</f>
        <v>FARMACIA DE MEDRANO SCS</v>
      </c>
      <c r="H77" s="510">
        <v>73091.5</v>
      </c>
      <c r="I77" s="224">
        <f>IF(compras_mes7[[#This Row],[NETO GRAVADO]]="","",compras_mes7[[#This Row],[NETO GRAVADO]]*0.21)</f>
        <v>15349.215</v>
      </c>
      <c r="J77" s="312"/>
      <c r="K77" s="312"/>
      <c r="L77" s="312"/>
      <c r="M77" s="312"/>
      <c r="N77" s="312"/>
      <c r="O77" s="312"/>
      <c r="P77" s="310">
        <f>SUM(compras_mes7[[#This Row],[NETO GRAVADO]:[Otros / No Grav.]])</f>
        <v>88440.714999999997</v>
      </c>
      <c r="Q77" s="311" t="str">
        <f>IFERROR(IF(compras_mes7[[#This Row],[CUIT]]="","-",VLOOKUP(compras_mes7[[#This Row],[CUIT]],Lista_CUIT[#All],3,0)),"CUIT NO CARGADO")</f>
        <v>INSUMO</v>
      </c>
      <c r="R77" s="311">
        <f>IFERROR(IF(compras_mes7[[#This Row],[CUIT]]="","-",VLOOKUP(compras_mes7[[#This Row],[CUIT]],Lista_CUIT[#All],4,0)),"CUIT NO CARGADO")</f>
        <v>0</v>
      </c>
    </row>
    <row r="78" spans="2:18" x14ac:dyDescent="0.25">
      <c r="B78" s="40"/>
      <c r="C78" s="505"/>
      <c r="D78" s="42"/>
      <c r="E78" s="43"/>
      <c r="F78" s="44">
        <v>30643518364</v>
      </c>
      <c r="G78" s="45" t="str">
        <f>IFERROR(IF(compras_mes7[[#This Row],[CUIT]]="","-",VLOOKUP(compras_mes7[[#This Row],[CUIT]],Lista_CUIT[#All],2,0)),"CUIT NO CARGADO")</f>
        <v>FARMACIA DE MEDRANO SCS</v>
      </c>
      <c r="H78" s="46">
        <v>429580</v>
      </c>
      <c r="I78" s="224">
        <f>IF(compras_mes7[[#This Row],[NETO GRAVADO]]="","",compras_mes7[[#This Row],[NETO GRAVADO]]*0.21)</f>
        <v>90211.8</v>
      </c>
      <c r="J78" s="312"/>
      <c r="K78" s="312"/>
      <c r="L78" s="312"/>
      <c r="M78" s="312"/>
      <c r="N78" s="312"/>
      <c r="O78" s="312"/>
      <c r="P78" s="310">
        <f>SUM(compras_mes7[[#This Row],[NETO GRAVADO]:[Otros / No Grav.]])</f>
        <v>519791.8</v>
      </c>
      <c r="Q78" s="311" t="str">
        <f>IFERROR(IF(compras_mes7[[#This Row],[CUIT]]="","-",VLOOKUP(compras_mes7[[#This Row],[CUIT]],Lista_CUIT[#All],3,0)),"CUIT NO CARGADO")</f>
        <v>INSUMO</v>
      </c>
      <c r="R78" s="311">
        <f>IFERROR(IF(compras_mes7[[#This Row],[CUIT]]="","-",VLOOKUP(compras_mes7[[#This Row],[CUIT]],Lista_CUIT[#All],4,0)),"CUIT NO CARGADO")</f>
        <v>0</v>
      </c>
    </row>
    <row r="79" spans="2:18" x14ac:dyDescent="0.25">
      <c r="B79" s="223"/>
      <c r="C79" s="505"/>
      <c r="D79" s="506"/>
      <c r="E79" s="507"/>
      <c r="F79" s="508">
        <v>30708973501</v>
      </c>
      <c r="G79" s="509" t="str">
        <f>IFERROR(IF(compras_mes7[[#This Row],[CUIT]]="","-",VLOOKUP(compras_mes7[[#This Row],[CUIT]],Lista_CUIT[#All],2,0)),"CUIT NO CARGADO")</f>
        <v>ASIAL SRL</v>
      </c>
      <c r="H79" s="510">
        <v>453718</v>
      </c>
      <c r="I79" s="224">
        <f>IF(compras_mes7[[#This Row],[NETO GRAVADO]]="","",compras_mes7[[#This Row],[NETO GRAVADO]]*0.21)</f>
        <v>95280.78</v>
      </c>
      <c r="J79" s="312"/>
      <c r="K79" s="312"/>
      <c r="L79" s="312"/>
      <c r="M79" s="312"/>
      <c r="N79" s="312"/>
      <c r="O79" s="312"/>
      <c r="P79" s="310">
        <f>SUM(compras_mes7[[#This Row],[NETO GRAVADO]:[Otros / No Grav.]])</f>
        <v>548998.78</v>
      </c>
      <c r="Q79" s="311" t="str">
        <f>IFERROR(IF(compras_mes7[[#This Row],[CUIT]]="","-",VLOOKUP(compras_mes7[[#This Row],[CUIT]],Lista_CUIT[#All],3,0)),"CUIT NO CARGADO")</f>
        <v>INSUMO</v>
      </c>
      <c r="R79" s="311">
        <f>IFERROR(IF(compras_mes7[[#This Row],[CUIT]]="","-",VLOOKUP(compras_mes7[[#This Row],[CUIT]],Lista_CUIT[#All],4,0)),"CUIT NO CARGADO")</f>
        <v>0</v>
      </c>
    </row>
    <row r="80" spans="2:18" x14ac:dyDescent="0.25">
      <c r="B80" s="223"/>
      <c r="C80" s="505"/>
      <c r="D80" s="506"/>
      <c r="E80" s="507"/>
      <c r="F80" s="508">
        <v>27310367813</v>
      </c>
      <c r="G80" s="509" t="str">
        <f>IFERROR(IF(compras_mes7[[#This Row],[CUIT]]="","-",VLOOKUP(compras_mes7[[#This Row],[CUIT]],Lista_CUIT[#All],2,0)),"CUIT NO CARGADO")</f>
        <v>LA BRUNA MARIA VIRGINIA</v>
      </c>
      <c r="H80" s="510">
        <v>144297.51999999999</v>
      </c>
      <c r="I80" s="224">
        <f>IF(compras_mes7[[#This Row],[NETO GRAVADO]]="","",compras_mes7[[#This Row],[NETO GRAVADO]]*0.21)</f>
        <v>30302.479199999998</v>
      </c>
      <c r="J80" s="312"/>
      <c r="K80" s="312"/>
      <c r="L80" s="312"/>
      <c r="M80" s="312"/>
      <c r="N80" s="312"/>
      <c r="O80" s="312"/>
      <c r="P80" s="310">
        <f>SUM(compras_mes7[[#This Row],[NETO GRAVADO]:[Otros / No Grav.]])</f>
        <v>174599.99919999999</v>
      </c>
      <c r="Q80" s="311" t="str">
        <f>IFERROR(IF(compras_mes7[[#This Row],[CUIT]]="","-",VLOOKUP(compras_mes7[[#This Row],[CUIT]],Lista_CUIT[#All],3,0)),"CUIT NO CARGADO")</f>
        <v>Hon. Juridicos</v>
      </c>
      <c r="R80" s="311">
        <f>IFERROR(IF(compras_mes7[[#This Row],[CUIT]]="","-",VLOOKUP(compras_mes7[[#This Row],[CUIT]],Lista_CUIT[#All],4,0)),"CUIT NO CARGADO")</f>
        <v>0</v>
      </c>
    </row>
    <row r="81" spans="2:18" x14ac:dyDescent="0.25">
      <c r="B81" s="223"/>
      <c r="C81" s="505"/>
      <c r="D81" s="506"/>
      <c r="E81" s="507"/>
      <c r="F81" s="508">
        <v>30711764921</v>
      </c>
      <c r="G81" s="509" t="str">
        <f>IFERROR(IF(compras_mes7[[#This Row],[CUIT]]="","-",VLOOKUP(compras_mes7[[#This Row],[CUIT]],Lista_CUIT[#All],2,0)),"CUIT NO CARGADO")</f>
        <v>RELIEF CENTER SRL</v>
      </c>
      <c r="H81" s="510">
        <v>218158.16</v>
      </c>
      <c r="I81" s="224">
        <f>IF(compras_mes7[[#This Row],[NETO GRAVADO]]="","",compras_mes7[[#This Row],[NETO GRAVADO]]*0.21)</f>
        <v>45813.213599999995</v>
      </c>
      <c r="J81" s="312"/>
      <c r="K81" s="312"/>
      <c r="L81" s="312"/>
      <c r="M81" s="312"/>
      <c r="N81" s="312"/>
      <c r="O81" s="312"/>
      <c r="P81" s="310">
        <f>SUM(compras_mes7[[#This Row],[NETO GRAVADO]:[Otros / No Grav.]])</f>
        <v>263971.37359999999</v>
      </c>
      <c r="Q81" s="311" t="str">
        <f>IFERROR(IF(compras_mes7[[#This Row],[CUIT]]="","-",VLOOKUP(compras_mes7[[#This Row],[CUIT]],Lista_CUIT[#All],3,0)),"CUIT NO CARGADO")</f>
        <v>INSUMO</v>
      </c>
      <c r="R81" s="311">
        <f>IFERROR(IF(compras_mes7[[#This Row],[CUIT]]="","-",VLOOKUP(compras_mes7[[#This Row],[CUIT]],Lista_CUIT[#All],4,0)),"CUIT NO CARGADO")</f>
        <v>0</v>
      </c>
    </row>
    <row r="82" spans="2:18" x14ac:dyDescent="0.25">
      <c r="B82" s="223"/>
      <c r="C82" s="505"/>
      <c r="D82" s="506"/>
      <c r="E82" s="507"/>
      <c r="F82" s="508">
        <v>30516199292</v>
      </c>
      <c r="G82" s="509" t="str">
        <f>IFERROR(IF(compras_mes7[[#This Row],[CUIT]]="","-",VLOOKUP(compras_mes7[[#This Row],[CUIT]],Lista_CUIT[#All],2,0)),"CUIT NO CARGADO")</f>
        <v>S V A SACIFI</v>
      </c>
      <c r="H82" s="510">
        <v>1159191.52</v>
      </c>
      <c r="I82" s="224">
        <f>IF(compras_mes7[[#This Row],[NETO GRAVADO]]="","",compras_mes7[[#This Row],[NETO GRAVADO]]*0.21)</f>
        <v>243430.21919999999</v>
      </c>
      <c r="J82" s="312"/>
      <c r="K82" s="312"/>
      <c r="L82" s="312"/>
      <c r="M82" s="312"/>
      <c r="N82" s="312">
        <v>46367.66</v>
      </c>
      <c r="O82" s="312"/>
      <c r="P82" s="310">
        <f>SUM(compras_mes7[[#This Row],[NETO GRAVADO]:[Otros / No Grav.]])</f>
        <v>1448989.3991999999</v>
      </c>
      <c r="Q82" s="311" t="str">
        <f>IFERROR(IF(compras_mes7[[#This Row],[CUIT]]="","-",VLOOKUP(compras_mes7[[#This Row],[CUIT]],Lista_CUIT[#All],3,0)),"CUIT NO CARGADO")</f>
        <v>Mantenimiento</v>
      </c>
      <c r="R82" s="311">
        <f>IFERROR(IF(compras_mes7[[#This Row],[CUIT]]="","-",VLOOKUP(compras_mes7[[#This Row],[CUIT]],Lista_CUIT[#All],4,0)),"CUIT NO CARGADO")</f>
        <v>0</v>
      </c>
    </row>
    <row r="83" spans="2:18" x14ac:dyDescent="0.25">
      <c r="B83" s="40"/>
      <c r="C83" s="505"/>
      <c r="D83" s="42"/>
      <c r="E83" s="43"/>
      <c r="F83" s="44">
        <v>30714112836</v>
      </c>
      <c r="G83" s="45" t="str">
        <f>IFERROR(IF(compras_mes7[[#This Row],[CUIT]]="","-",VLOOKUP(compras_mes7[[#This Row],[CUIT]],Lista_CUIT[#All],2,0)),"CUIT NO CARGADO")</f>
        <v>AUTOPISTAS DE BUENOS AIRES (AUBASA) SA</v>
      </c>
      <c r="H83" s="46">
        <v>4153.5200000000004</v>
      </c>
      <c r="I83" s="224">
        <f>IF(compras_mes7[[#This Row],[NETO GRAVADO]]="","",compras_mes7[[#This Row],[NETO GRAVADO]]*0.21)</f>
        <v>872.2392000000001</v>
      </c>
      <c r="J83" s="312"/>
      <c r="K83" s="312"/>
      <c r="L83" s="312">
        <v>124.61</v>
      </c>
      <c r="M83" s="312"/>
      <c r="N83" s="312"/>
      <c r="O83" s="312"/>
      <c r="P83" s="310">
        <f>SUM(compras_mes7[[#This Row],[NETO GRAVADO]:[Otros / No Grav.]])</f>
        <v>5150.3692000000001</v>
      </c>
      <c r="Q83" s="311" t="str">
        <f>IFERROR(IF(compras_mes7[[#This Row],[CUIT]]="","-",VLOOKUP(compras_mes7[[#This Row],[CUIT]],Lista_CUIT[#All],3,0)),"CUIT NO CARGADO")</f>
        <v>Autopista</v>
      </c>
      <c r="R83" s="311">
        <f>IFERROR(IF(compras_mes7[[#This Row],[CUIT]]="","-",VLOOKUP(compras_mes7[[#This Row],[CUIT]],Lista_CUIT[#All],4,0)),"CUIT NO CARGADO")</f>
        <v>0</v>
      </c>
    </row>
    <row r="84" spans="2:18" x14ac:dyDescent="0.25">
      <c r="B84" s="223"/>
      <c r="C84" s="505"/>
      <c r="D84" s="506"/>
      <c r="E84" s="507"/>
      <c r="F84" s="508">
        <v>30715804812</v>
      </c>
      <c r="G84" s="509" t="str">
        <f>IFERROR(IF(compras_mes7[[#This Row],[CUIT]]="","-",VLOOKUP(compras_mes7[[#This Row],[CUIT]],Lista_CUIT[#All],2,0)),"CUIT NO CARGADO")</f>
        <v>CORREDORES VIALES SOCIEDAD ANONIMA</v>
      </c>
      <c r="H84" s="510">
        <v>1039.98</v>
      </c>
      <c r="I84" s="224">
        <f>IF(compras_mes7[[#This Row],[NETO GRAVADO]]="","",compras_mes7[[#This Row],[NETO GRAVADO]]*0.21)</f>
        <v>218.39580000000001</v>
      </c>
      <c r="J84" s="312"/>
      <c r="K84" s="312"/>
      <c r="L84" s="312"/>
      <c r="M84" s="312"/>
      <c r="N84" s="312">
        <v>41.6</v>
      </c>
      <c r="O84" s="312"/>
      <c r="P84" s="310">
        <f>SUM(compras_mes7[[#This Row],[NETO GRAVADO]:[Otros / No Grav.]])</f>
        <v>1299.9757999999999</v>
      </c>
      <c r="Q84" s="311" t="str">
        <f>IFERROR(IF(compras_mes7[[#This Row],[CUIT]]="","-",VLOOKUP(compras_mes7[[#This Row],[CUIT]],Lista_CUIT[#All],3,0)),"CUIT NO CARGADO")</f>
        <v>Autopista</v>
      </c>
      <c r="R84" s="311">
        <f>IFERROR(IF(compras_mes7[[#This Row],[CUIT]]="","-",VLOOKUP(compras_mes7[[#This Row],[CUIT]],Lista_CUIT[#All],4,0)),"CUIT NO CARGADO")</f>
        <v>0</v>
      </c>
    </row>
    <row r="85" spans="2:18" x14ac:dyDescent="0.25">
      <c r="B85" s="223"/>
      <c r="C85" s="505"/>
      <c r="D85" s="506"/>
      <c r="E85" s="507"/>
      <c r="F85" s="508">
        <v>30715804812</v>
      </c>
      <c r="G85" s="509" t="str">
        <f>IFERROR(IF(compras_mes7[[#This Row],[CUIT]]="","-",VLOOKUP(compras_mes7[[#This Row],[CUIT]],Lista_CUIT[#All],2,0)),"CUIT NO CARGADO")</f>
        <v>CORREDORES VIALES SOCIEDAD ANONIMA</v>
      </c>
      <c r="H85" s="510">
        <v>1039.98</v>
      </c>
      <c r="I85" s="224">
        <f>IF(compras_mes7[[#This Row],[NETO GRAVADO]]="","",compras_mes7[[#This Row],[NETO GRAVADO]]*0.21)</f>
        <v>218.39580000000001</v>
      </c>
      <c r="J85" s="312"/>
      <c r="K85" s="312"/>
      <c r="L85" s="312">
        <v>41.6</v>
      </c>
      <c r="M85" s="312"/>
      <c r="N85" s="312"/>
      <c r="O85" s="312"/>
      <c r="P85" s="310">
        <f>SUM(compras_mes7[[#This Row],[NETO GRAVADO]:[Otros / No Grav.]])</f>
        <v>1299.9757999999999</v>
      </c>
      <c r="Q85" s="311" t="str">
        <f>IFERROR(IF(compras_mes7[[#This Row],[CUIT]]="","-",VLOOKUP(compras_mes7[[#This Row],[CUIT]],Lista_CUIT[#All],3,0)),"CUIT NO CARGADO")</f>
        <v>Autopista</v>
      </c>
      <c r="R85" s="311">
        <f>IFERROR(IF(compras_mes7[[#This Row],[CUIT]]="","-",VLOOKUP(compras_mes7[[#This Row],[CUIT]],Lista_CUIT[#All],4,0)),"CUIT NO CARGADO")</f>
        <v>0</v>
      </c>
    </row>
    <row r="86" spans="2:18" x14ac:dyDescent="0.25">
      <c r="B86" s="223"/>
      <c r="C86" s="505"/>
      <c r="D86" s="506"/>
      <c r="E86" s="507"/>
      <c r="F86" s="508">
        <v>30654118767</v>
      </c>
      <c r="G86" s="509" t="str">
        <f>IFERROR(IF(compras_mes7[[#This Row],[CUIT]]="","-",VLOOKUP(compras_mes7[[#This Row],[CUIT]],Lista_CUIT[#All],2,0)),"CUIT NO CARGADO")</f>
        <v>SOLUCIONES MULTIMEDIA SA</v>
      </c>
      <c r="H86" s="510">
        <v>134425.88</v>
      </c>
      <c r="I86" s="224">
        <f>IF(compras_mes7[[#This Row],[NETO GRAVADO]]="","",compras_mes7[[#This Row],[NETO GRAVADO]]*0.21)</f>
        <v>28229.434799999999</v>
      </c>
      <c r="J86" s="312"/>
      <c r="K86" s="312"/>
      <c r="L86" s="312"/>
      <c r="M86" s="312"/>
      <c r="N86" s="312">
        <v>5377.04</v>
      </c>
      <c r="O86" s="312"/>
      <c r="P86" s="310">
        <f>SUM(compras_mes7[[#This Row],[NETO GRAVADO]:[Otros / No Grav.]])</f>
        <v>168032.3548</v>
      </c>
      <c r="Q86" s="311" t="str">
        <f>IFERROR(IF(compras_mes7[[#This Row],[CUIT]]="","-",VLOOKUP(compras_mes7[[#This Row],[CUIT]],Lista_CUIT[#All],3,0)),"CUIT NO CARGADO")</f>
        <v>gastos varios</v>
      </c>
      <c r="R86" s="311">
        <f>IFERROR(IF(compras_mes7[[#This Row],[CUIT]]="","-",VLOOKUP(compras_mes7[[#This Row],[CUIT]],Lista_CUIT[#All],4,0)),"CUIT NO CARGADO")</f>
        <v>0</v>
      </c>
    </row>
    <row r="87" spans="2:18" x14ac:dyDescent="0.25">
      <c r="B87" s="223"/>
      <c r="C87" s="505"/>
      <c r="D87" s="506"/>
      <c r="E87" s="507"/>
      <c r="F87" s="508">
        <v>30715804812</v>
      </c>
      <c r="G87" s="509" t="str">
        <f>IFERROR(IF(compras_mes7[[#This Row],[CUIT]]="","-",VLOOKUP(compras_mes7[[#This Row],[CUIT]],Lista_CUIT[#All],2,0)),"CUIT NO CARGADO")</f>
        <v>CORREDORES VIALES SOCIEDAD ANONIMA</v>
      </c>
      <c r="H87" s="510">
        <v>19343.650000000001</v>
      </c>
      <c r="I87" s="224">
        <f>IF(compras_mes7[[#This Row],[NETO GRAVADO]]="","",compras_mes7[[#This Row],[NETO GRAVADO]]*0.21)</f>
        <v>4062.1665000000003</v>
      </c>
      <c r="J87" s="312"/>
      <c r="K87" s="312"/>
      <c r="L87" s="312"/>
      <c r="M87" s="312"/>
      <c r="N87" s="312">
        <v>773.74</v>
      </c>
      <c r="O87" s="312"/>
      <c r="P87" s="310">
        <f>SUM(compras_mes7[[#This Row],[NETO GRAVADO]:[Otros / No Grav.]])</f>
        <v>24179.556500000002</v>
      </c>
      <c r="Q87" s="311" t="str">
        <f>IFERROR(IF(compras_mes7[[#This Row],[CUIT]]="","-",VLOOKUP(compras_mes7[[#This Row],[CUIT]],Lista_CUIT[#All],3,0)),"CUIT NO CARGADO")</f>
        <v>Autopista</v>
      </c>
      <c r="R87" s="311">
        <f>IFERROR(IF(compras_mes7[[#This Row],[CUIT]]="","-",VLOOKUP(compras_mes7[[#This Row],[CUIT]],Lista_CUIT[#All],4,0)),"CUIT NO CARGADO")</f>
        <v>0</v>
      </c>
    </row>
    <row r="88" spans="2:18" x14ac:dyDescent="0.25">
      <c r="B88" s="223"/>
      <c r="C88" s="505"/>
      <c r="D88" s="506"/>
      <c r="E88" s="507"/>
      <c r="F88" s="508">
        <v>30715804812</v>
      </c>
      <c r="G88" s="509" t="str">
        <f>IFERROR(IF(compras_mes7[[#This Row],[CUIT]]="","-",VLOOKUP(compras_mes7[[#This Row],[CUIT]],Lista_CUIT[#All],2,0)),"CUIT NO CARGADO")</f>
        <v>CORREDORES VIALES SOCIEDAD ANONIMA</v>
      </c>
      <c r="H88" s="510">
        <v>17471.669999999998</v>
      </c>
      <c r="I88" s="224">
        <f>IF(compras_mes7[[#This Row],[NETO GRAVADO]]="","",compras_mes7[[#This Row],[NETO GRAVADO]]*0.21)</f>
        <v>3669.0506999999993</v>
      </c>
      <c r="J88" s="312"/>
      <c r="K88" s="312"/>
      <c r="L88" s="312"/>
      <c r="M88" s="312"/>
      <c r="N88" s="312">
        <v>698.86</v>
      </c>
      <c r="O88" s="312"/>
      <c r="P88" s="310">
        <f>SUM(compras_mes7[[#This Row],[NETO GRAVADO]:[Otros / No Grav.]])</f>
        <v>21839.580699999999</v>
      </c>
      <c r="Q88" s="311" t="str">
        <f>IFERROR(IF(compras_mes7[[#This Row],[CUIT]]="","-",VLOOKUP(compras_mes7[[#This Row],[CUIT]],Lista_CUIT[#All],3,0)),"CUIT NO CARGADO")</f>
        <v>Autopista</v>
      </c>
      <c r="R88" s="311">
        <f>IFERROR(IF(compras_mes7[[#This Row],[CUIT]]="","-",VLOOKUP(compras_mes7[[#This Row],[CUIT]],Lista_CUIT[#All],4,0)),"CUIT NO CARGADO")</f>
        <v>0</v>
      </c>
    </row>
    <row r="89" spans="2:18" x14ac:dyDescent="0.25">
      <c r="B89" s="223"/>
      <c r="C89" s="505"/>
      <c r="D89" s="506"/>
      <c r="E89" s="507"/>
      <c r="F89" s="508">
        <v>30715804812</v>
      </c>
      <c r="G89" s="509" t="str">
        <f>IFERROR(IF(compras_mes7[[#This Row],[CUIT]]="","-",VLOOKUP(compras_mes7[[#This Row],[CUIT]],Lista_CUIT[#All],2,0)),"CUIT NO CARGADO")</f>
        <v>CORREDORES VIALES SOCIEDAD ANONIMA</v>
      </c>
      <c r="H89" s="510">
        <v>831.98</v>
      </c>
      <c r="I89" s="224">
        <f>IF(compras_mes7[[#This Row],[NETO GRAVADO]]="","",compras_mes7[[#This Row],[NETO GRAVADO]]*0.21)</f>
        <v>174.7158</v>
      </c>
      <c r="J89" s="312"/>
      <c r="K89" s="312"/>
      <c r="L89" s="312"/>
      <c r="M89" s="312"/>
      <c r="N89" s="312"/>
      <c r="O89" s="312"/>
      <c r="P89" s="310">
        <f>SUM(compras_mes7[[#This Row],[NETO GRAVADO]:[Otros / No Grav.]])</f>
        <v>1006.6958</v>
      </c>
      <c r="Q89" s="311" t="str">
        <f>IFERROR(IF(compras_mes7[[#This Row],[CUIT]]="","-",VLOOKUP(compras_mes7[[#This Row],[CUIT]],Lista_CUIT[#All],3,0)),"CUIT NO CARGADO")</f>
        <v>Autopista</v>
      </c>
      <c r="R89" s="311">
        <f>IFERROR(IF(compras_mes7[[#This Row],[CUIT]]="","-",VLOOKUP(compras_mes7[[#This Row],[CUIT]],Lista_CUIT[#All],4,0)),"CUIT NO CARGADO")</f>
        <v>0</v>
      </c>
    </row>
    <row r="90" spans="2:18" x14ac:dyDescent="0.25">
      <c r="B90" s="223"/>
      <c r="C90" s="505"/>
      <c r="D90" s="506"/>
      <c r="E90" s="507"/>
      <c r="F90" s="508">
        <v>30712289046</v>
      </c>
      <c r="G90" s="509" t="str">
        <f>IFERROR(IF(compras_mes7[[#This Row],[CUIT]]="","-",VLOOKUP(compras_mes7[[#This Row],[CUIT]],Lista_CUIT[#All],2,0)),"CUIT NO CARGADO")</f>
        <v>IMPIERI, PIÑEIIRO, R  Y A SA</v>
      </c>
      <c r="H90" s="510">
        <v>36641.54</v>
      </c>
      <c r="I90" s="224">
        <f>IF(compras_mes7[[#This Row],[NETO GRAVADO]]="","",compras_mes7[[#This Row],[NETO GRAVADO]]*0.21)</f>
        <v>7694.7233999999999</v>
      </c>
      <c r="J90" s="312"/>
      <c r="K90" s="312"/>
      <c r="L90" s="312"/>
      <c r="M90" s="312"/>
      <c r="N90" s="312"/>
      <c r="O90" s="312"/>
      <c r="P90" s="310">
        <f>SUM(compras_mes7[[#This Row],[NETO GRAVADO]:[Otros / No Grav.]])</f>
        <v>44336.263400000003</v>
      </c>
      <c r="Q90" s="311" t="str">
        <f>IFERROR(IF(compras_mes7[[#This Row],[CUIT]]="","-",VLOOKUP(compras_mes7[[#This Row],[CUIT]],Lista_CUIT[#All],3,0)),"CUIT NO CARGADO")</f>
        <v>COMBUSTIBLE</v>
      </c>
      <c r="R90" s="311">
        <f>IFERROR(IF(compras_mes7[[#This Row],[CUIT]]="","-",VLOOKUP(compras_mes7[[#This Row],[CUIT]],Lista_CUIT[#All],4,0)),"CUIT NO CARGADO")</f>
        <v>0</v>
      </c>
    </row>
    <row r="91" spans="2:18" x14ac:dyDescent="0.25">
      <c r="B91" s="223"/>
      <c r="C91" s="505"/>
      <c r="D91" s="506"/>
      <c r="E91" s="507"/>
      <c r="F91" s="508">
        <v>30678774495</v>
      </c>
      <c r="G91" s="509" t="str">
        <f>IFERROR(IF(compras_mes7[[#This Row],[CUIT]]="","-",VLOOKUP(compras_mes7[[#This Row],[CUIT]],Lista_CUIT[#All],2,0)),"CUIT NO CARGADO")</f>
        <v>OPER. DE EST. DE SERV. SA</v>
      </c>
      <c r="H91" s="510">
        <v>17506.57</v>
      </c>
      <c r="I91" s="224">
        <f>IF(compras_mes7[[#This Row],[NETO GRAVADO]]="","",compras_mes7[[#This Row],[NETO GRAVADO]]*0.21)</f>
        <v>3676.3797</v>
      </c>
      <c r="J91" s="312"/>
      <c r="K91" s="312"/>
      <c r="L91" s="312"/>
      <c r="M91" s="312"/>
      <c r="N91" s="312"/>
      <c r="O91" s="312"/>
      <c r="P91" s="310">
        <f>SUM(compras_mes7[[#This Row],[NETO GRAVADO]:[Otros / No Grav.]])</f>
        <v>21182.949700000001</v>
      </c>
      <c r="Q91" s="311" t="str">
        <f>IFERROR(IF(compras_mes7[[#This Row],[CUIT]]="","-",VLOOKUP(compras_mes7[[#This Row],[CUIT]],Lista_CUIT[#All],3,0)),"CUIT NO CARGADO")</f>
        <v>COMBUSTIBLE</v>
      </c>
      <c r="R91" s="311">
        <f>IFERROR(IF(compras_mes7[[#This Row],[CUIT]]="","-",VLOOKUP(compras_mes7[[#This Row],[CUIT]],Lista_CUIT[#All],4,0)),"CUIT NO CARGADO")</f>
        <v>0</v>
      </c>
    </row>
    <row r="92" spans="2:18" x14ac:dyDescent="0.25">
      <c r="B92" s="40"/>
      <c r="C92" s="505"/>
      <c r="D92" s="42"/>
      <c r="E92" s="43"/>
      <c r="F92" s="44">
        <v>30711553564</v>
      </c>
      <c r="G92" s="45" t="str">
        <f>IFERROR(IF(compras_mes7[[#This Row],[CUIT]]="","-",VLOOKUP(compras_mes7[[#This Row],[CUIT]],Lista_CUIT[#All],2,0)),"CUIT NO CARGADO")</f>
        <v>SALUD TEX S.A</v>
      </c>
      <c r="H92" s="46">
        <v>-22714.5</v>
      </c>
      <c r="I92" s="224">
        <f>IF(compras_mes7[[#This Row],[NETO GRAVADO]]="","",compras_mes7[[#This Row],[NETO GRAVADO]]*0.21)</f>
        <v>-4770.0450000000001</v>
      </c>
      <c r="J92" s="312"/>
      <c r="K92" s="312"/>
      <c r="L92" s="312"/>
      <c r="M92" s="312"/>
      <c r="N92" s="312"/>
      <c r="O92" s="312"/>
      <c r="P92" s="310">
        <f>SUM(compras_mes7[[#This Row],[NETO GRAVADO]:[Otros / No Grav.]])</f>
        <v>-27484.544999999998</v>
      </c>
      <c r="Q92" s="311" t="str">
        <f>IFERROR(IF(compras_mes7[[#This Row],[CUIT]]="","-",VLOOKUP(compras_mes7[[#This Row],[CUIT]],Lista_CUIT[#All],3,0)),"CUIT NO CARGADO")</f>
        <v>INSUMO</v>
      </c>
      <c r="R92" s="311">
        <f>IFERROR(IF(compras_mes7[[#This Row],[CUIT]]="","-",VLOOKUP(compras_mes7[[#This Row],[CUIT]],Lista_CUIT[#All],4,0)),"CUIT NO CARGADO")</f>
        <v>0</v>
      </c>
    </row>
    <row r="93" spans="2:18" x14ac:dyDescent="0.25">
      <c r="B93" s="40"/>
      <c r="C93" s="505"/>
      <c r="D93" s="42"/>
      <c r="E93" s="43"/>
      <c r="F93" s="44">
        <v>30715141201</v>
      </c>
      <c r="G93" s="45" t="str">
        <f>IFERROR(IF(compras_mes7[[#This Row],[CUIT]]="","-",VLOOKUP(compras_mes7[[#This Row],[CUIT]],Lista_CUIT[#All],2,0)),"CUIT NO CARGADO")</f>
        <v>REHAB SRL</v>
      </c>
      <c r="H93" s="46">
        <v>0</v>
      </c>
      <c r="I93" s="224">
        <f>IF(compras_mes7[[#This Row],[NETO GRAVADO]]="","",compras_mes7[[#This Row],[NETO GRAVADO]]*0.21)</f>
        <v>0</v>
      </c>
      <c r="J93" s="312"/>
      <c r="K93" s="312"/>
      <c r="L93" s="312"/>
      <c r="M93" s="312"/>
      <c r="N93" s="312"/>
      <c r="O93" s="312">
        <v>3783</v>
      </c>
      <c r="P93" s="310">
        <f>SUM(compras_mes7[[#This Row],[NETO GRAVADO]:[Otros / No Grav.]])</f>
        <v>3783</v>
      </c>
      <c r="Q93" s="311" t="str">
        <f>IFERROR(IF(compras_mes7[[#This Row],[CUIT]]="","-",VLOOKUP(compras_mes7[[#This Row],[CUIT]],Lista_CUIT[#All],3,0)),"CUIT NO CARGADO")</f>
        <v>INSUMO</v>
      </c>
      <c r="R93" s="311">
        <f>IFERROR(IF(compras_mes7[[#This Row],[CUIT]]="","-",VLOOKUP(compras_mes7[[#This Row],[CUIT]],Lista_CUIT[#All],4,0)),"CUIT NO CARGADO")</f>
        <v>0</v>
      </c>
    </row>
    <row r="94" spans="2:18" x14ac:dyDescent="0.25">
      <c r="B94" s="551"/>
      <c r="C94" s="552"/>
      <c r="D94" s="553"/>
      <c r="E94" s="554"/>
      <c r="F94" s="555">
        <v>20317488476</v>
      </c>
      <c r="G94" s="556" t="str">
        <f>IFERROR(IF(compras_mes7[[#This Row],[CUIT]]="","-",VLOOKUP(compras_mes7[[#This Row],[CUIT]],Lista_CUIT[#All],2,0)),"CUIT NO CARGADO")</f>
        <v>MIGUEL ANGEL VILLALBA</v>
      </c>
      <c r="H94" s="557">
        <v>300000</v>
      </c>
      <c r="I94" s="558">
        <f>IF(compras_mes7[[#This Row],[NETO GRAVADO]]="","",compras_mes7[[#This Row],[NETO GRAVADO]]*0.21)</f>
        <v>63000</v>
      </c>
      <c r="J94" s="559"/>
      <c r="K94" s="559"/>
      <c r="L94" s="559"/>
      <c r="M94" s="559"/>
      <c r="N94" s="559"/>
      <c r="O94" s="559"/>
      <c r="P94" s="560">
        <f>SUM(compras_mes7[[#This Row],[NETO GRAVADO]:[Otros / No Grav.]])</f>
        <v>363000</v>
      </c>
      <c r="Q94" s="563" t="s">
        <v>2515</v>
      </c>
      <c r="R94" s="561">
        <f>IFERROR(IF(compras_mes7[[#This Row],[CUIT]]="","-",VLOOKUP(compras_mes7[[#This Row],[CUIT]],Lista_CUIT[#All],4,0)),"CUIT NO CARGADO")</f>
        <v>0</v>
      </c>
    </row>
    <row r="95" spans="2:18" x14ac:dyDescent="0.25">
      <c r="B95" s="551"/>
      <c r="C95" s="552"/>
      <c r="D95" s="553"/>
      <c r="E95" s="554"/>
      <c r="F95" s="555">
        <v>20317488476</v>
      </c>
      <c r="G95" s="556" t="str">
        <f>IFERROR(IF(compras_mes7[[#This Row],[CUIT]]="","-",VLOOKUP(compras_mes7[[#This Row],[CUIT]],Lista_CUIT[#All],2,0)),"CUIT NO CARGADO")</f>
        <v>MIGUEL ANGEL VILLALBA</v>
      </c>
      <c r="H95" s="557">
        <v>1260000</v>
      </c>
      <c r="I95" s="558">
        <f>IF(compras_mes7[[#This Row],[NETO GRAVADO]]="","",compras_mes7[[#This Row],[NETO GRAVADO]]*0.21)</f>
        <v>264600</v>
      </c>
      <c r="J95" s="559"/>
      <c r="K95" s="559"/>
      <c r="L95" s="559"/>
      <c r="M95" s="559"/>
      <c r="N95" s="559"/>
      <c r="O95" s="559"/>
      <c r="P95" s="560">
        <f>SUM(compras_mes7[[#This Row],[NETO GRAVADO]:[Otros / No Grav.]])</f>
        <v>1524600</v>
      </c>
      <c r="Q95" s="563" t="s">
        <v>2515</v>
      </c>
      <c r="R95" s="561">
        <f>IFERROR(IF(compras_mes7[[#This Row],[CUIT]]="","-",VLOOKUP(compras_mes7[[#This Row],[CUIT]],Lista_CUIT[#All],4,0)),"CUIT NO CARGADO")</f>
        <v>0</v>
      </c>
    </row>
    <row r="96" spans="2:18" x14ac:dyDescent="0.25">
      <c r="B96" s="223"/>
      <c r="C96" s="505"/>
      <c r="D96" s="506"/>
      <c r="E96" s="507"/>
      <c r="F96" s="508">
        <v>27243660535</v>
      </c>
      <c r="G96" s="509" t="str">
        <f>IFERROR(IF(compras_mes7[[#This Row],[CUIT]]="","-",VLOOKUP(compras_mes7[[#This Row],[CUIT]],Lista_CUIT[#All],2,0)),"CUIT NO CARGADO")</f>
        <v>BARD MARISA SILVIA</v>
      </c>
      <c r="H96" s="510">
        <v>414537</v>
      </c>
      <c r="I96" s="224">
        <f>IF(compras_mes7[[#This Row],[NETO GRAVADO]]="","",compras_mes7[[#This Row],[NETO GRAVADO]]*0.21)</f>
        <v>87052.76999999999</v>
      </c>
      <c r="J96" s="312"/>
      <c r="K96" s="312"/>
      <c r="L96" s="312"/>
      <c r="M96" s="312"/>
      <c r="N96" s="312"/>
      <c r="O96" s="312"/>
      <c r="P96" s="310">
        <f>SUM(compras_mes7[[#This Row],[NETO GRAVADO]:[Otros / No Grav.]])</f>
        <v>501589.77</v>
      </c>
      <c r="Q96" s="311" t="str">
        <f>IFERROR(IF(compras_mes7[[#This Row],[CUIT]]="","-",VLOOKUP(compras_mes7[[#This Row],[CUIT]],Lista_CUIT[#All],3,0)),"CUIT NO CARGADO")</f>
        <v>Insumos</v>
      </c>
      <c r="R96" s="311">
        <f>IFERROR(IF(compras_mes7[[#This Row],[CUIT]]="","-",VLOOKUP(compras_mes7[[#This Row],[CUIT]],Lista_CUIT[#All],4,0)),"CUIT NO CARGADO")</f>
        <v>0</v>
      </c>
    </row>
    <row r="97" spans="2:18" x14ac:dyDescent="0.25">
      <c r="B97" s="40"/>
      <c r="C97" s="505"/>
      <c r="D97" s="42"/>
      <c r="E97" s="43"/>
      <c r="F97" s="44">
        <v>33708218699</v>
      </c>
      <c r="G97" s="45" t="str">
        <f>IFERROR(IF(compras_mes7[[#This Row],[CUIT]]="","-",VLOOKUP(compras_mes7[[#This Row],[CUIT]],Lista_CUIT[#All],2,0)),"CUIT NO CARGADO")</f>
        <v>MANGGINI PABLO Y MANGGINI ULISES SOC. DE HECHO.</v>
      </c>
      <c r="H97" s="46">
        <v>30000</v>
      </c>
      <c r="I97" s="224">
        <f>IF(compras_mes7[[#This Row],[NETO GRAVADO]]="","",compras_mes7[[#This Row],[NETO GRAVADO]]*0.21)</f>
        <v>6300</v>
      </c>
      <c r="J97" s="312"/>
      <c r="K97" s="312"/>
      <c r="L97" s="312"/>
      <c r="M97" s="312"/>
      <c r="N97" s="312"/>
      <c r="O97" s="312"/>
      <c r="P97" s="310">
        <f>SUM(compras_mes7[[#This Row],[NETO GRAVADO]:[Otros / No Grav.]])</f>
        <v>36300</v>
      </c>
      <c r="Q97" s="311" t="str">
        <f>IFERROR(IF(compras_mes7[[#This Row],[CUIT]]="","-",VLOOKUP(compras_mes7[[#This Row],[CUIT]],Lista_CUIT[#All],3,0)),"CUIT NO CARGADO")</f>
        <v>SERVICIO</v>
      </c>
      <c r="R97" s="311">
        <f>IFERROR(IF(compras_mes7[[#This Row],[CUIT]]="","-",VLOOKUP(compras_mes7[[#This Row],[CUIT]],Lista_CUIT[#All],4,0)),"CUIT NO CARGADO")</f>
        <v>0</v>
      </c>
    </row>
    <row r="98" spans="2:18" x14ac:dyDescent="0.25">
      <c r="B98" s="40"/>
      <c r="C98" s="505"/>
      <c r="D98" s="42"/>
      <c r="E98" s="43"/>
      <c r="F98" s="44">
        <v>30677237119</v>
      </c>
      <c r="G98" s="45" t="str">
        <f>IFERROR(IF(compras_mes7[[#This Row],[CUIT]]="","-",VLOOKUP(compras_mes7[[#This Row],[CUIT]],Lista_CUIT[#All],2,0)),"CUIT NO CARGADO")</f>
        <v>AUTOPISTAS DEL SOL SA</v>
      </c>
      <c r="H98" s="46">
        <v>4391.03</v>
      </c>
      <c r="I98" s="224">
        <f>IF(compras_mes7[[#This Row],[NETO GRAVADO]]="","",compras_mes7[[#This Row],[NETO GRAVADO]]*0.21)</f>
        <v>922.11629999999991</v>
      </c>
      <c r="J98" s="312"/>
      <c r="K98" s="312"/>
      <c r="L98" s="312">
        <v>131.72999999999999</v>
      </c>
      <c r="M98" s="312"/>
      <c r="N98" s="312">
        <v>175.64</v>
      </c>
      <c r="O98" s="312"/>
      <c r="P98" s="310">
        <f>SUM(compras_mes7[[#This Row],[NETO GRAVADO]:[Otros / No Grav.]])</f>
        <v>5620.5162999999993</v>
      </c>
      <c r="Q98" s="311" t="str">
        <f>IFERROR(IF(compras_mes7[[#This Row],[CUIT]]="","-",VLOOKUP(compras_mes7[[#This Row],[CUIT]],Lista_CUIT[#All],3,0)),"CUIT NO CARGADO")</f>
        <v>Autopista</v>
      </c>
      <c r="R98" s="311">
        <f>IFERROR(IF(compras_mes7[[#This Row],[CUIT]]="","-",VLOOKUP(compras_mes7[[#This Row],[CUIT]],Lista_CUIT[#All],4,0)),"CUIT NO CARGADO")</f>
        <v>0</v>
      </c>
    </row>
    <row r="99" spans="2:18" x14ac:dyDescent="0.25">
      <c r="B99" s="223"/>
      <c r="C99" s="505"/>
      <c r="D99" s="506"/>
      <c r="E99" s="507"/>
      <c r="F99" s="508">
        <v>30707370552</v>
      </c>
      <c r="G99" s="509" t="str">
        <f>IFERROR(IF(compras_mes7[[#This Row],[CUIT]]="","-",VLOOKUP(compras_mes7[[#This Row],[CUIT]],Lista_CUIT[#All],2,0)),"CUIT NO CARGADO")</f>
        <v>RAKE SA</v>
      </c>
      <c r="H99" s="510">
        <v>2397520.66</v>
      </c>
      <c r="I99" s="224">
        <f>IF(compras_mes7[[#This Row],[NETO GRAVADO]]="","",compras_mes7[[#This Row],[NETO GRAVADO]]*0.21)</f>
        <v>503479.33860000002</v>
      </c>
      <c r="J99" s="312"/>
      <c r="K99" s="312"/>
      <c r="L99" s="312"/>
      <c r="M99" s="312"/>
      <c r="N99" s="312"/>
      <c r="O99" s="312"/>
      <c r="P99" s="310">
        <f>SUM(compras_mes7[[#This Row],[NETO GRAVADO]:[Otros / No Grav.]])</f>
        <v>2900999.9986</v>
      </c>
      <c r="Q99" s="311" t="str">
        <f>IFERROR(IF(compras_mes7[[#This Row],[CUIT]]="","-",VLOOKUP(compras_mes7[[#This Row],[CUIT]],Lista_CUIT[#All],3,0)),"CUIT NO CARGADO")</f>
        <v>GASTOS VARIOS</v>
      </c>
      <c r="R99" s="311">
        <f>IFERROR(IF(compras_mes7[[#This Row],[CUIT]]="","-",VLOOKUP(compras_mes7[[#This Row],[CUIT]],Lista_CUIT[#All],4,0)),"CUIT NO CARGADO")</f>
        <v>0</v>
      </c>
    </row>
    <row r="100" spans="2:18" x14ac:dyDescent="0.25">
      <c r="B100" s="223"/>
      <c r="C100" s="505"/>
      <c r="D100" s="506"/>
      <c r="E100" s="507"/>
      <c r="F100" s="508">
        <v>30707370552</v>
      </c>
      <c r="G100" s="509" t="str">
        <f>IFERROR(IF(compras_mes7[[#This Row],[CUIT]]="","-",VLOOKUP(compras_mes7[[#This Row],[CUIT]],Lista_CUIT[#All],2,0)),"CUIT NO CARGADO")</f>
        <v>RAKE SA</v>
      </c>
      <c r="H100" s="510">
        <v>5042250.41</v>
      </c>
      <c r="I100" s="224">
        <f>IF(compras_mes7[[#This Row],[NETO GRAVADO]]="","",compras_mes7[[#This Row],[NETO GRAVADO]]*0.21)</f>
        <v>1058872.5861</v>
      </c>
      <c r="J100" s="312"/>
      <c r="K100" s="312"/>
      <c r="L100" s="312"/>
      <c r="M100" s="312"/>
      <c r="N100" s="312"/>
      <c r="O100" s="312"/>
      <c r="P100" s="310">
        <f>SUM(compras_mes7[[#This Row],[NETO GRAVADO]:[Otros / No Grav.]])</f>
        <v>6101122.9961000001</v>
      </c>
      <c r="Q100" s="311" t="str">
        <f>IFERROR(IF(compras_mes7[[#This Row],[CUIT]]="","-",VLOOKUP(compras_mes7[[#This Row],[CUIT]],Lista_CUIT[#All],3,0)),"CUIT NO CARGADO")</f>
        <v>GASTOS VARIOS</v>
      </c>
      <c r="R100" s="311">
        <f>IFERROR(IF(compras_mes7[[#This Row],[CUIT]]="","-",VLOOKUP(compras_mes7[[#This Row],[CUIT]],Lista_CUIT[#All],4,0)),"CUIT NO CARGADO")</f>
        <v>0</v>
      </c>
    </row>
    <row r="101" spans="2:18" x14ac:dyDescent="0.25">
      <c r="B101" s="223"/>
      <c r="C101" s="505"/>
      <c r="D101" s="506"/>
      <c r="E101" s="507"/>
      <c r="F101" s="508">
        <v>30714864269</v>
      </c>
      <c r="G101" s="509" t="str">
        <f>IFERROR(IF(compras_mes7[[#This Row],[CUIT]]="","-",VLOOKUP(compras_mes7[[#This Row],[CUIT]],Lista_CUIT[#All],2,0)),"CUIT NO CARGADO")</f>
        <v>CONTABILIUM S.A. S. A.</v>
      </c>
      <c r="H101" s="510">
        <v>184800</v>
      </c>
      <c r="I101" s="224">
        <f>IF(compras_mes7[[#This Row],[NETO GRAVADO]]="","",compras_mes7[[#This Row],[NETO GRAVADO]]*0.21)</f>
        <v>38808</v>
      </c>
      <c r="J101" s="312"/>
      <c r="K101" s="312"/>
      <c r="L101" s="312"/>
      <c r="M101" s="312"/>
      <c r="N101" s="312"/>
      <c r="O101" s="312"/>
      <c r="P101" s="310">
        <f>SUM(compras_mes7[[#This Row],[NETO GRAVADO]:[Otros / No Grav.]])</f>
        <v>223608</v>
      </c>
      <c r="Q101" s="311" t="str">
        <f>IFERROR(IF(compras_mes7[[#This Row],[CUIT]]="","-",VLOOKUP(compras_mes7[[#This Row],[CUIT]],Lista_CUIT[#All],3,0)),"CUIT NO CARGADO")</f>
        <v>USUARIO CONTABLE</v>
      </c>
      <c r="R101" s="311">
        <f>IFERROR(IF(compras_mes7[[#This Row],[CUIT]]="","-",VLOOKUP(compras_mes7[[#This Row],[CUIT]],Lista_CUIT[#All],4,0)),"CUIT NO CARGADO")</f>
        <v>0</v>
      </c>
    </row>
    <row r="102" spans="2:18" x14ac:dyDescent="0.25">
      <c r="B102" s="223"/>
      <c r="C102" s="505"/>
      <c r="D102" s="506"/>
      <c r="E102" s="507"/>
      <c r="F102" s="508">
        <v>33716307749</v>
      </c>
      <c r="G102" s="509" t="str">
        <f>IFERROR(IF(compras_mes7[[#This Row],[CUIT]]="","-",VLOOKUP(compras_mes7[[#This Row],[CUIT]],Lista_CUIT[#All],2,0)),"CUIT NO CARGADO")</f>
        <v>VERISURE ARGENTINA MONITOREO DE ALARMAS SA</v>
      </c>
      <c r="H102" s="510">
        <v>58270.1</v>
      </c>
      <c r="I102" s="224">
        <f>IF(compras_mes7[[#This Row],[NETO GRAVADO]]="","",compras_mes7[[#This Row],[NETO GRAVADO]]*0.21)</f>
        <v>12236.721</v>
      </c>
      <c r="J102" s="312"/>
      <c r="K102" s="312"/>
      <c r="L102" s="312"/>
      <c r="M102" s="312"/>
      <c r="N102" s="312"/>
      <c r="O102" s="312"/>
      <c r="P102" s="310">
        <f>SUM(compras_mes7[[#This Row],[NETO GRAVADO]:[Otros / No Grav.]])</f>
        <v>70506.820999999996</v>
      </c>
      <c r="Q102" s="311" t="str">
        <f>IFERROR(IF(compras_mes7[[#This Row],[CUIT]]="","-",VLOOKUP(compras_mes7[[#This Row],[CUIT]],Lista_CUIT[#All],3,0)),"CUIT NO CARGADO")</f>
        <v>Serv. Seguridad</v>
      </c>
      <c r="R102" s="311">
        <f>IFERROR(IF(compras_mes7[[#This Row],[CUIT]]="","-",VLOOKUP(compras_mes7[[#This Row],[CUIT]],Lista_CUIT[#All],4,0)),"CUIT NO CARGADO")</f>
        <v>0</v>
      </c>
    </row>
    <row r="103" spans="2:18" x14ac:dyDescent="0.25">
      <c r="B103" s="223"/>
      <c r="C103" s="505"/>
      <c r="D103" s="506"/>
      <c r="E103" s="507"/>
      <c r="F103" s="508">
        <v>30605344352</v>
      </c>
      <c r="G103" s="509" t="str">
        <f>IFERROR(IF(compras_mes7[[#This Row],[CUIT]]="","-",VLOOKUP(compras_mes7[[#This Row],[CUIT]],Lista_CUIT[#All],2,0)),"CUIT NO CARGADO")</f>
        <v>CONSORCIO BARTOLME MITRE 2466</v>
      </c>
      <c r="H103" s="510">
        <v>2000000</v>
      </c>
      <c r="I103" s="224">
        <f>IF(compras_mes7[[#This Row],[NETO GRAVADO]]="","",compras_mes7[[#This Row],[NETO GRAVADO]]*0.21)</f>
        <v>420000</v>
      </c>
      <c r="J103" s="312"/>
      <c r="K103" s="312"/>
      <c r="L103" s="312"/>
      <c r="M103" s="312"/>
      <c r="N103" s="312"/>
      <c r="O103" s="312"/>
      <c r="P103" s="310">
        <f>SUM(compras_mes7[[#This Row],[NETO GRAVADO]:[Otros / No Grav.]])</f>
        <v>2420000</v>
      </c>
      <c r="Q103" s="311" t="str">
        <f>IFERROR(IF(compras_mes7[[#This Row],[CUIT]]="","-",VLOOKUP(compras_mes7[[#This Row],[CUIT]],Lista_CUIT[#All],3,0)),"CUIT NO CARGADO")</f>
        <v>ALQUILER LOCAL</v>
      </c>
      <c r="R103" s="311">
        <f>IFERROR(IF(compras_mes7[[#This Row],[CUIT]]="","-",VLOOKUP(compras_mes7[[#This Row],[CUIT]],Lista_CUIT[#All],4,0)),"CUIT NO CARGADO")</f>
        <v>0</v>
      </c>
    </row>
    <row r="104" spans="2:18" x14ac:dyDescent="0.25">
      <c r="B104" s="223"/>
      <c r="C104" s="505"/>
      <c r="D104" s="506"/>
      <c r="E104" s="507"/>
      <c r="F104" s="508">
        <v>30577744579</v>
      </c>
      <c r="G104" s="509" t="str">
        <f>IFERROR(IF(compras_mes7[[#This Row],[CUIT]]="","-",VLOOKUP(compras_mes7[[#This Row],[CUIT]],Lista_CUIT[#All],2,0)),"CUIT NO CARGADO")</f>
        <v>EXPRESO TROLE SRL</v>
      </c>
      <c r="H104" s="510">
        <v>89173</v>
      </c>
      <c r="I104" s="224">
        <f>IF(compras_mes7[[#This Row],[NETO GRAVADO]]="","",compras_mes7[[#This Row],[NETO GRAVADO]]*0.21)</f>
        <v>18726.329999999998</v>
      </c>
      <c r="J104" s="312"/>
      <c r="K104" s="312"/>
      <c r="L104" s="312"/>
      <c r="M104" s="312"/>
      <c r="N104" s="312"/>
      <c r="O104" s="312"/>
      <c r="P104" s="310">
        <f>SUM(compras_mes7[[#This Row],[NETO GRAVADO]:[Otros / No Grav.]])</f>
        <v>107899.33</v>
      </c>
      <c r="Q104" s="311" t="str">
        <f>IFERROR(IF(compras_mes7[[#This Row],[CUIT]]="","-",VLOOKUP(compras_mes7[[#This Row],[CUIT]],Lista_CUIT[#All],3,0)),"CUIT NO CARGADO")</f>
        <v>Flete</v>
      </c>
      <c r="R104" s="311">
        <f>IFERROR(IF(compras_mes7[[#This Row],[CUIT]]="","-",VLOOKUP(compras_mes7[[#This Row],[CUIT]],Lista_CUIT[#All],4,0)),"CUIT NO CARGADO")</f>
        <v>0</v>
      </c>
    </row>
    <row r="105" spans="2:18" x14ac:dyDescent="0.25">
      <c r="B105" s="40"/>
      <c r="C105" s="505"/>
      <c r="D105" s="42"/>
      <c r="E105" s="43"/>
      <c r="F105" s="44">
        <v>30577744579</v>
      </c>
      <c r="G105" s="45" t="str">
        <f>IFERROR(IF(compras_mes7[[#This Row],[CUIT]]="","-",VLOOKUP(compras_mes7[[#This Row],[CUIT]],Lista_CUIT[#All],2,0)),"CUIT NO CARGADO")</f>
        <v>EXPRESO TROLE SRL</v>
      </c>
      <c r="H105" s="46">
        <v>72970.23</v>
      </c>
      <c r="I105" s="224">
        <f>IF(compras_mes7[[#This Row],[NETO GRAVADO]]="","",compras_mes7[[#This Row],[NETO GRAVADO]]*0.21)</f>
        <v>15323.748299999999</v>
      </c>
      <c r="J105" s="312"/>
      <c r="K105" s="312"/>
      <c r="L105" s="312"/>
      <c r="M105" s="312"/>
      <c r="N105" s="312"/>
      <c r="O105" s="312"/>
      <c r="P105" s="310">
        <f>SUM(compras_mes7[[#This Row],[NETO GRAVADO]:[Otros / No Grav.]])</f>
        <v>88293.978299999988</v>
      </c>
      <c r="Q105" s="311" t="str">
        <f>IFERROR(IF(compras_mes7[[#This Row],[CUIT]]="","-",VLOOKUP(compras_mes7[[#This Row],[CUIT]],Lista_CUIT[#All],3,0)),"CUIT NO CARGADO")</f>
        <v>Flete</v>
      </c>
      <c r="R105" s="311">
        <f>IFERROR(IF(compras_mes7[[#This Row],[CUIT]]="","-",VLOOKUP(compras_mes7[[#This Row],[CUIT]],Lista_CUIT[#All],4,0)),"CUIT NO CARGADO")</f>
        <v>0</v>
      </c>
    </row>
    <row r="106" spans="2:18" x14ac:dyDescent="0.25">
      <c r="B106" s="40"/>
      <c r="C106" s="505"/>
      <c r="D106" s="42"/>
      <c r="E106" s="43"/>
      <c r="F106" s="44">
        <v>30712019359</v>
      </c>
      <c r="G106" s="45" t="str">
        <f>IFERROR(IF(compras_mes7[[#This Row],[CUIT]]="","-",VLOOKUP(compras_mes7[[#This Row],[CUIT]],Lista_CUIT[#All],2,0)),"CUIT NO CARGADO")</f>
        <v>LINKEDSTORE ARGENTINA SRL</v>
      </c>
      <c r="H106" s="46">
        <v>16528.099999999999</v>
      </c>
      <c r="I106" s="224">
        <f>IF(compras_mes7[[#This Row],[NETO GRAVADO]]="","",compras_mes7[[#This Row],[NETO GRAVADO]]*0.21)</f>
        <v>3470.9009999999994</v>
      </c>
      <c r="J106" s="40"/>
      <c r="K106" s="312"/>
      <c r="L106" s="312"/>
      <c r="M106" s="312"/>
      <c r="N106" s="312">
        <v>661.13</v>
      </c>
      <c r="O106" s="312"/>
      <c r="P106" s="310">
        <f>SUM(compras_mes7[[#This Row],[NETO GRAVADO]:[Otros / No Grav.]])</f>
        <v>20660.130999999998</v>
      </c>
      <c r="Q106" s="311" t="str">
        <f>IFERROR(IF(compras_mes7[[#This Row],[CUIT]]="","-",VLOOKUP(compras_mes7[[#This Row],[CUIT]],Lista_CUIT[#All],3,0)),"CUIT NO CARGADO")</f>
        <v>pROVEEDOR</v>
      </c>
      <c r="R106" s="311">
        <f>IFERROR(IF(compras_mes7[[#This Row],[CUIT]]="","-",VLOOKUP(compras_mes7[[#This Row],[CUIT]],Lista_CUIT[#All],4,0)),"CUIT NO CARGADO")</f>
        <v>0</v>
      </c>
    </row>
    <row r="107" spans="2:18" x14ac:dyDescent="0.25">
      <c r="B107" s="40"/>
      <c r="C107" s="505"/>
      <c r="D107" s="42"/>
      <c r="E107" s="43"/>
      <c r="F107" s="44">
        <v>20174004146</v>
      </c>
      <c r="G107" s="45" t="str">
        <f>IFERROR(IF(compras_mes7[[#This Row],[CUIT]]="","-",VLOOKUP(compras_mes7[[#This Row],[CUIT]],Lista_CUIT[#All],2,0)),"CUIT NO CARGADO")</f>
        <v>EDUEARDO FRANCISCO NARDOMARINO</v>
      </c>
      <c r="H107" s="46">
        <v>238000</v>
      </c>
      <c r="I107" s="224">
        <f>IF(compras_mes7[[#This Row],[NETO GRAVADO]]="","",compras_mes7[[#This Row],[NETO GRAVADO]]*0.21)</f>
        <v>49980</v>
      </c>
      <c r="J107" s="312"/>
      <c r="K107" s="312"/>
      <c r="L107" s="312"/>
      <c r="M107" s="312"/>
      <c r="N107" s="312"/>
      <c r="O107" s="312"/>
      <c r="P107" s="310">
        <f>SUM(compras_mes7[[#This Row],[NETO GRAVADO]:[Otros / No Grav.]])</f>
        <v>287980</v>
      </c>
      <c r="Q107" s="311" t="str">
        <f>IFERROR(IF(compras_mes7[[#This Row],[CUIT]]="","-",VLOOKUP(compras_mes7[[#This Row],[CUIT]],Lista_CUIT[#All],3,0)),"CUIT NO CARGADO")</f>
        <v>FLETE</v>
      </c>
      <c r="R107" s="311">
        <f>IFERROR(IF(compras_mes7[[#This Row],[CUIT]]="","-",VLOOKUP(compras_mes7[[#This Row],[CUIT]],Lista_CUIT[#All],4,0)),"CUIT NO CARGADO")</f>
        <v>0</v>
      </c>
    </row>
    <row r="108" spans="2:18" x14ac:dyDescent="0.25">
      <c r="B108" s="223"/>
      <c r="C108" s="505"/>
      <c r="D108" s="506"/>
      <c r="E108" s="507"/>
      <c r="F108" s="508">
        <v>20174004146</v>
      </c>
      <c r="G108" s="509" t="str">
        <f>IFERROR(IF(compras_mes7[[#This Row],[CUIT]]="","-",VLOOKUP(compras_mes7[[#This Row],[CUIT]],Lista_CUIT[#All],2,0)),"CUIT NO CARGADO")</f>
        <v>EDUEARDO FRANCISCO NARDOMARINO</v>
      </c>
      <c r="H108" s="510">
        <v>196000</v>
      </c>
      <c r="I108" s="224">
        <f>IF(compras_mes7[[#This Row],[NETO GRAVADO]]="","",compras_mes7[[#This Row],[NETO GRAVADO]]*0.21)</f>
        <v>41160</v>
      </c>
      <c r="J108" s="312"/>
      <c r="K108" s="312"/>
      <c r="L108" s="312"/>
      <c r="M108" s="312"/>
      <c r="N108" s="312"/>
      <c r="O108" s="312"/>
      <c r="P108" s="310">
        <f>SUM(compras_mes7[[#This Row],[NETO GRAVADO]:[Otros / No Grav.]])</f>
        <v>237160</v>
      </c>
      <c r="Q108" s="311" t="str">
        <f>IFERROR(IF(compras_mes7[[#This Row],[CUIT]]="","-",VLOOKUP(compras_mes7[[#This Row],[CUIT]],Lista_CUIT[#All],3,0)),"CUIT NO CARGADO")</f>
        <v>FLETE</v>
      </c>
      <c r="R108" s="311">
        <f>IFERROR(IF(compras_mes7[[#This Row],[CUIT]]="","-",VLOOKUP(compras_mes7[[#This Row],[CUIT]],Lista_CUIT[#All],4,0)),"CUIT NO CARGADO")</f>
        <v>0</v>
      </c>
    </row>
    <row r="109" spans="2:18" x14ac:dyDescent="0.25">
      <c r="B109" s="40"/>
      <c r="C109" s="505"/>
      <c r="D109" s="42"/>
      <c r="E109" s="43"/>
      <c r="F109" s="44">
        <v>20174004146</v>
      </c>
      <c r="G109" s="45" t="str">
        <f>IFERROR(IF(compras_mes7[[#This Row],[CUIT]]="","-",VLOOKUP(compras_mes7[[#This Row],[CUIT]],Lista_CUIT[#All],2,0)),"CUIT NO CARGADO")</f>
        <v>EDUEARDO FRANCISCO NARDOMARINO</v>
      </c>
      <c r="H109" s="46">
        <v>308000</v>
      </c>
      <c r="I109" s="224">
        <f>IF(compras_mes7[[#This Row],[NETO GRAVADO]]="","",compras_mes7[[#This Row],[NETO GRAVADO]]*0.21)</f>
        <v>64680</v>
      </c>
      <c r="J109" s="312"/>
      <c r="K109" s="312"/>
      <c r="L109" s="312"/>
      <c r="M109" s="312"/>
      <c r="N109" s="312"/>
      <c r="O109" s="312"/>
      <c r="P109" s="310">
        <f>SUM(compras_mes7[[#This Row],[NETO GRAVADO]:[Otros / No Grav.]])</f>
        <v>372680</v>
      </c>
      <c r="Q109" s="311" t="str">
        <f>IFERROR(IF(compras_mes7[[#This Row],[CUIT]]="","-",VLOOKUP(compras_mes7[[#This Row],[CUIT]],Lista_CUIT[#All],3,0)),"CUIT NO CARGADO")</f>
        <v>FLETE</v>
      </c>
      <c r="R109" s="311">
        <f>IFERROR(IF(compras_mes7[[#This Row],[CUIT]]="","-",VLOOKUP(compras_mes7[[#This Row],[CUIT]],Lista_CUIT[#All],4,0)),"CUIT NO CARGADO")</f>
        <v>0</v>
      </c>
    </row>
    <row r="110" spans="2:18" x14ac:dyDescent="0.25">
      <c r="B110" s="223"/>
      <c r="C110" s="505"/>
      <c r="D110" s="506"/>
      <c r="E110" s="507"/>
      <c r="F110" s="508">
        <v>20174004146</v>
      </c>
      <c r="G110" s="509" t="str">
        <f>IFERROR(IF(compras_mes7[[#This Row],[CUIT]]="","-",VLOOKUP(compras_mes7[[#This Row],[CUIT]],Lista_CUIT[#All],2,0)),"CUIT NO CARGADO")</f>
        <v>EDUEARDO FRANCISCO NARDOMARINO</v>
      </c>
      <c r="H110" s="510">
        <v>224000</v>
      </c>
      <c r="I110" s="224">
        <f>IF(compras_mes7[[#This Row],[NETO GRAVADO]]="","",compras_mes7[[#This Row],[NETO GRAVADO]]*0.21)</f>
        <v>47040</v>
      </c>
      <c r="J110" s="312"/>
      <c r="K110" s="312"/>
      <c r="L110" s="312"/>
      <c r="M110" s="312"/>
      <c r="N110" s="312"/>
      <c r="O110" s="312"/>
      <c r="P110" s="310">
        <f>SUM(compras_mes7[[#This Row],[NETO GRAVADO]:[Otros / No Grav.]])</f>
        <v>271040</v>
      </c>
      <c r="Q110" s="311" t="str">
        <f>IFERROR(IF(compras_mes7[[#This Row],[CUIT]]="","-",VLOOKUP(compras_mes7[[#This Row],[CUIT]],Lista_CUIT[#All],3,0)),"CUIT NO CARGADO")</f>
        <v>FLETE</v>
      </c>
      <c r="R110" s="311">
        <f>IFERROR(IF(compras_mes7[[#This Row],[CUIT]]="","-",VLOOKUP(compras_mes7[[#This Row],[CUIT]],Lista_CUIT[#All],4,0)),"CUIT NO CARGADO")</f>
        <v>0</v>
      </c>
    </row>
    <row r="111" spans="2:18" x14ac:dyDescent="0.25">
      <c r="B111" s="541"/>
      <c r="C111" s="542"/>
      <c r="D111" s="543"/>
      <c r="E111" s="544"/>
      <c r="F111" s="545">
        <v>20174004146</v>
      </c>
      <c r="G111" s="546" t="str">
        <f>IFERROR(IF(compras_mes7[[#This Row],[CUIT]]="","-",VLOOKUP(compras_mes7[[#This Row],[CUIT]],Lista_CUIT[#All],2,0)),"CUIT NO CARGADO")</f>
        <v>EDUEARDO FRANCISCO NARDOMARINO</v>
      </c>
      <c r="H111" s="547">
        <v>320000</v>
      </c>
      <c r="I111" s="548">
        <f>IF(compras_mes7[[#This Row],[NETO GRAVADO]]="","",compras_mes7[[#This Row],[NETO GRAVADO]]*0.21)</f>
        <v>67200</v>
      </c>
      <c r="J111" s="548"/>
      <c r="K111" s="548"/>
      <c r="L111" s="548"/>
      <c r="M111" s="548"/>
      <c r="N111" s="548"/>
      <c r="O111" s="548"/>
      <c r="P111" s="549">
        <f>SUM(compras_mes7[[#This Row],[NETO GRAVADO]:[Otros / No Grav.]])</f>
        <v>387200</v>
      </c>
      <c r="Q111" s="550" t="str">
        <f>IFERROR(IF(compras_mes7[[#This Row],[CUIT]]="","-",VLOOKUP(compras_mes7[[#This Row],[CUIT]],Lista_CUIT[#All],3,0)),"CUIT NO CARGADO")</f>
        <v>FLETE</v>
      </c>
      <c r="R111" s="550">
        <f>IFERROR(IF(compras_mes7[[#This Row],[CUIT]]="","-",VLOOKUP(compras_mes7[[#This Row],[CUIT]],Lista_CUIT[#All],4,0)),"CUIT NO CARGADO")</f>
        <v>0</v>
      </c>
    </row>
    <row r="112" spans="2:18" x14ac:dyDescent="0.25">
      <c r="B112" s="541"/>
      <c r="C112" s="542"/>
      <c r="D112" s="543"/>
      <c r="E112" s="544"/>
      <c r="F112" s="545">
        <v>20174004146</v>
      </c>
      <c r="G112" s="546" t="str">
        <f>IFERROR(IF(compras_mes7[[#This Row],[CUIT]]="","-",VLOOKUP(compras_mes7[[#This Row],[CUIT]],Lista_CUIT[#All],2,0)),"CUIT NO CARGADO")</f>
        <v>EDUEARDO FRANCISCO NARDOMARINO</v>
      </c>
      <c r="H112" s="547">
        <v>336000</v>
      </c>
      <c r="I112" s="548">
        <f>IF(compras_mes7[[#This Row],[NETO GRAVADO]]="","",compras_mes7[[#This Row],[NETO GRAVADO]]*0.21)</f>
        <v>70560</v>
      </c>
      <c r="J112" s="548"/>
      <c r="K112" s="548"/>
      <c r="L112" s="548"/>
      <c r="M112" s="548"/>
      <c r="N112" s="548"/>
      <c r="O112" s="548"/>
      <c r="P112" s="549">
        <f>SUM(compras_mes7[[#This Row],[NETO GRAVADO]:[Otros / No Grav.]])</f>
        <v>406560</v>
      </c>
      <c r="Q112" s="550" t="str">
        <f>IFERROR(IF(compras_mes7[[#This Row],[CUIT]]="","-",VLOOKUP(compras_mes7[[#This Row],[CUIT]],Lista_CUIT[#All],3,0)),"CUIT NO CARGADO")</f>
        <v>FLETE</v>
      </c>
      <c r="R112" s="550">
        <f>IFERROR(IF(compras_mes7[[#This Row],[CUIT]]="","-",VLOOKUP(compras_mes7[[#This Row],[CUIT]],Lista_CUIT[#All],4,0)),"CUIT NO CARGADO")</f>
        <v>0</v>
      </c>
    </row>
    <row r="113" spans="2:18" x14ac:dyDescent="0.25">
      <c r="B113" s="541"/>
      <c r="C113" s="542"/>
      <c r="D113" s="543"/>
      <c r="E113" s="544"/>
      <c r="F113" s="545">
        <v>20174004146</v>
      </c>
      <c r="G113" s="546" t="str">
        <f>IFERROR(IF(compras_mes7[[#This Row],[CUIT]]="","-",VLOOKUP(compras_mes7[[#This Row],[CUIT]],Lista_CUIT[#All],2,0)),"CUIT NO CARGADO")</f>
        <v>EDUEARDO FRANCISCO NARDOMARINO</v>
      </c>
      <c r="H113" s="547">
        <v>84000</v>
      </c>
      <c r="I113" s="548">
        <f>IF(compras_mes7[[#This Row],[NETO GRAVADO]]="","",compras_mes7[[#This Row],[NETO GRAVADO]]*0.21)</f>
        <v>17640</v>
      </c>
      <c r="J113" s="548"/>
      <c r="K113" s="548"/>
      <c r="L113" s="548"/>
      <c r="M113" s="548"/>
      <c r="N113" s="548"/>
      <c r="O113" s="548"/>
      <c r="P113" s="549">
        <f>SUM(compras_mes7[[#This Row],[NETO GRAVADO]:[Otros / No Grav.]])</f>
        <v>101640</v>
      </c>
      <c r="Q113" s="550" t="str">
        <f>IFERROR(IF(compras_mes7[[#This Row],[CUIT]]="","-",VLOOKUP(compras_mes7[[#This Row],[CUIT]],Lista_CUIT[#All],3,0)),"CUIT NO CARGADO")</f>
        <v>FLETE</v>
      </c>
      <c r="R113" s="550">
        <f>IFERROR(IF(compras_mes7[[#This Row],[CUIT]]="","-",VLOOKUP(compras_mes7[[#This Row],[CUIT]],Lista_CUIT[#All],4,0)),"CUIT NO CARGADO")</f>
        <v>0</v>
      </c>
    </row>
    <row r="114" spans="2:18" x14ac:dyDescent="0.25">
      <c r="B114" s="541"/>
      <c r="C114" s="542"/>
      <c r="D114" s="543"/>
      <c r="E114" s="544"/>
      <c r="F114" s="545">
        <v>20174004146</v>
      </c>
      <c r="G114" s="546" t="str">
        <f>IFERROR(IF(compras_mes7[[#This Row],[CUIT]]="","-",VLOOKUP(compras_mes7[[#This Row],[CUIT]],Lista_CUIT[#All],2,0)),"CUIT NO CARGADO")</f>
        <v>EDUEARDO FRANCISCO NARDOMARINO</v>
      </c>
      <c r="H114" s="547">
        <v>84000</v>
      </c>
      <c r="I114" s="548">
        <f>IF(compras_mes7[[#This Row],[NETO GRAVADO]]="","",compras_mes7[[#This Row],[NETO GRAVADO]]*0.21)</f>
        <v>17640</v>
      </c>
      <c r="J114" s="548"/>
      <c r="K114" s="548"/>
      <c r="L114" s="548"/>
      <c r="M114" s="548"/>
      <c r="N114" s="548"/>
      <c r="O114" s="548"/>
      <c r="P114" s="549">
        <f>SUM(compras_mes7[[#This Row],[NETO GRAVADO]:[Otros / No Grav.]])</f>
        <v>101640</v>
      </c>
      <c r="Q114" s="550" t="str">
        <f>IFERROR(IF(compras_mes7[[#This Row],[CUIT]]="","-",VLOOKUP(compras_mes7[[#This Row],[CUIT]],Lista_CUIT[#All],3,0)),"CUIT NO CARGADO")</f>
        <v>FLETE</v>
      </c>
      <c r="R114" s="550">
        <f>IFERROR(IF(compras_mes7[[#This Row],[CUIT]]="","-",VLOOKUP(compras_mes7[[#This Row],[CUIT]],Lista_CUIT[#All],4,0)),"CUIT NO CARGADO")</f>
        <v>0</v>
      </c>
    </row>
    <row r="115" spans="2:18" x14ac:dyDescent="0.25">
      <c r="B115" s="541"/>
      <c r="C115" s="542"/>
      <c r="D115" s="543"/>
      <c r="E115" s="544"/>
      <c r="F115" s="545">
        <v>20174004146</v>
      </c>
      <c r="G115" s="546" t="str">
        <f>IFERROR(IF(compras_mes7[[#This Row],[CUIT]]="","-",VLOOKUP(compras_mes7[[#This Row],[CUIT]],Lista_CUIT[#All],2,0)),"CUIT NO CARGADO")</f>
        <v>EDUEARDO FRANCISCO NARDOMARINO</v>
      </c>
      <c r="H115" s="547">
        <v>154000</v>
      </c>
      <c r="I115" s="548">
        <f>IF(compras_mes7[[#This Row],[NETO GRAVADO]]="","",compras_mes7[[#This Row],[NETO GRAVADO]]*0.21)</f>
        <v>32340</v>
      </c>
      <c r="J115" s="548"/>
      <c r="K115" s="548"/>
      <c r="L115" s="548"/>
      <c r="M115" s="548"/>
      <c r="N115" s="548"/>
      <c r="O115" s="548"/>
      <c r="P115" s="549">
        <f>SUM(compras_mes7[[#This Row],[NETO GRAVADO]:[Otros / No Grav.]])</f>
        <v>186340</v>
      </c>
      <c r="Q115" s="550" t="str">
        <f>IFERROR(IF(compras_mes7[[#This Row],[CUIT]]="","-",VLOOKUP(compras_mes7[[#This Row],[CUIT]],Lista_CUIT[#All],3,0)),"CUIT NO CARGADO")</f>
        <v>FLETE</v>
      </c>
      <c r="R115" s="550">
        <f>IFERROR(IF(compras_mes7[[#This Row],[CUIT]]="","-",VLOOKUP(compras_mes7[[#This Row],[CUIT]],Lista_CUIT[#All],4,0)),"CUIT NO CARGADO")</f>
        <v>0</v>
      </c>
    </row>
    <row r="116" spans="2:18" x14ac:dyDescent="0.25">
      <c r="B116" s="541"/>
      <c r="C116" s="542"/>
      <c r="D116" s="543"/>
      <c r="E116" s="544"/>
      <c r="F116" s="545">
        <v>27415594742</v>
      </c>
      <c r="G116" s="546" t="str">
        <f>IFERROR(IF(compras_mes7[[#This Row],[CUIT]]="","-",VLOOKUP(compras_mes7[[#This Row],[CUIT]],Lista_CUIT[#All],2,0)),"CUIT NO CARGADO")</f>
        <v>VENTIMIGLIA COTOS FLORENCIA</v>
      </c>
      <c r="H116" s="547">
        <v>43731.97</v>
      </c>
      <c r="I116" s="548">
        <f>IF(compras_mes7[[#This Row],[NETO GRAVADO]]="","",compras_mes7[[#This Row],[NETO GRAVADO]]*0.21)</f>
        <v>9183.7137000000002</v>
      </c>
      <c r="J116" s="548"/>
      <c r="K116" s="548"/>
      <c r="L116" s="548"/>
      <c r="M116" s="548"/>
      <c r="N116" s="548"/>
      <c r="O116" s="548"/>
      <c r="P116" s="549">
        <f>SUM(compras_mes7[[#This Row],[NETO GRAVADO]:[Otros / No Grav.]])</f>
        <v>52915.683700000001</v>
      </c>
      <c r="Q116" s="550" t="str">
        <f>IFERROR(IF(compras_mes7[[#This Row],[CUIT]]="","-",VLOOKUP(compras_mes7[[#This Row],[CUIT]],Lista_CUIT[#All],3,0)),"CUIT NO CARGADO")</f>
        <v>Gtos Administrativos</v>
      </c>
      <c r="R116" s="550">
        <f>IFERROR(IF(compras_mes7[[#This Row],[CUIT]]="","-",VLOOKUP(compras_mes7[[#This Row],[CUIT]],Lista_CUIT[#All],4,0)),"CUIT NO CARGADO")</f>
        <v>0</v>
      </c>
    </row>
    <row r="117" spans="2:18" x14ac:dyDescent="0.25">
      <c r="B117" s="223"/>
      <c r="C117" s="505"/>
      <c r="D117" s="506"/>
      <c r="E117" s="507"/>
      <c r="F117" s="508">
        <v>20929183143</v>
      </c>
      <c r="G117" s="509" t="str">
        <f>IFERROR(IF(compras_mes7[[#This Row],[CUIT]]="","-",VLOOKUP(compras_mes7[[#This Row],[CUIT]],Lista_CUIT[#All],2,0)),"CUIT NO CARGADO")</f>
        <v>MA JUN</v>
      </c>
      <c r="H117" s="510">
        <v>85000</v>
      </c>
      <c r="I117" s="224">
        <f>IF(compras_mes7[[#This Row],[NETO GRAVADO]]="","",compras_mes7[[#This Row],[NETO GRAVADO]]*0.21)</f>
        <v>17850</v>
      </c>
      <c r="J117" s="312"/>
      <c r="K117" s="312"/>
      <c r="L117" s="312"/>
      <c r="M117" s="312"/>
      <c r="N117" s="312"/>
      <c r="O117" s="312"/>
      <c r="P117" s="310">
        <f>SUM(compras_mes7[[#This Row],[NETO GRAVADO]:[Otros / No Grav.]])</f>
        <v>102850</v>
      </c>
      <c r="Q117" s="311" t="str">
        <f>IFERROR(IF(compras_mes7[[#This Row],[CUIT]]="","-",VLOOKUP(compras_mes7[[#This Row],[CUIT]],Lista_CUIT[#All],3,0)),"CUIT NO CARGADO")</f>
        <v>Gastos Varios</v>
      </c>
      <c r="R117" s="311">
        <f>IFERROR(IF(compras_mes7[[#This Row],[CUIT]]="","-",VLOOKUP(compras_mes7[[#This Row],[CUIT]],Lista_CUIT[#All],4,0)),"CUIT NO CARGADO")</f>
        <v>0</v>
      </c>
    </row>
    <row r="118" spans="2:18" x14ac:dyDescent="0.25">
      <c r="B118" s="40"/>
      <c r="C118" s="505"/>
      <c r="D118" s="42"/>
      <c r="E118" s="43"/>
      <c r="F118" s="44">
        <v>30702652975</v>
      </c>
      <c r="G118" s="45" t="str">
        <f>IFERROR(IF(compras_mes7[[#This Row],[CUIT]]="","-",VLOOKUP(compras_mes7[[#This Row],[CUIT]],Lista_CUIT[#All],2,0)),"CUIT NO CARGADO")</f>
        <v>NSS SA</v>
      </c>
      <c r="H118" s="46">
        <v>35660.75</v>
      </c>
      <c r="I118" s="224">
        <f>IF(compras_mes7[[#This Row],[NETO GRAVADO]]="","",compras_mes7[[#This Row],[NETO GRAVADO]]*0.21)</f>
        <v>7488.7574999999997</v>
      </c>
      <c r="J118" s="312"/>
      <c r="K118" s="312"/>
      <c r="L118" s="312"/>
      <c r="M118" s="312"/>
      <c r="N118" s="312">
        <v>1426.43</v>
      </c>
      <c r="O118" s="312"/>
      <c r="P118" s="310">
        <f>SUM(compras_mes7[[#This Row],[NETO GRAVADO]:[Otros / No Grav.]])</f>
        <v>44575.9375</v>
      </c>
      <c r="Q118" s="311" t="str">
        <f>IFERROR(IF(compras_mes7[[#This Row],[CUIT]]="","-",VLOOKUP(compras_mes7[[#This Row],[CUIT]],Lista_CUIT[#All],3,0)),"CUIT NO CARGADO")</f>
        <v>SERVICIOS</v>
      </c>
      <c r="R118" s="311">
        <f>IFERROR(IF(compras_mes7[[#This Row],[CUIT]]="","-",VLOOKUP(compras_mes7[[#This Row],[CUIT]],Lista_CUIT[#All],4,0)),"CUIT NO CARGADO")</f>
        <v>0</v>
      </c>
    </row>
    <row r="119" spans="2:18" x14ac:dyDescent="0.25">
      <c r="B119" s="40"/>
      <c r="C119" s="505"/>
      <c r="D119" s="42"/>
      <c r="E119" s="43"/>
      <c r="F119" s="44">
        <v>30620177497</v>
      </c>
      <c r="G119" s="45" t="str">
        <f>IFERROR(IF(compras_mes7[[#This Row],[CUIT]]="","-",VLOOKUP(compras_mes7[[#This Row],[CUIT]],Lista_CUIT[#All],2,0)),"CUIT NO CARGADO")</f>
        <v>POSNET SOCIEDAD DE RESPONSABILIDAD LIMITADA</v>
      </c>
      <c r="H119" s="46">
        <v>34509.93</v>
      </c>
      <c r="I119" s="224">
        <f>IF(compras_mes7[[#This Row],[NETO GRAVADO]]="","",compras_mes7[[#This Row],[NETO GRAVADO]]*0.21)</f>
        <v>7247.0852999999997</v>
      </c>
      <c r="J119" s="312"/>
      <c r="K119" s="312"/>
      <c r="L119" s="312"/>
      <c r="M119" s="312"/>
      <c r="N119" s="312"/>
      <c r="O119" s="312"/>
      <c r="P119" s="310">
        <f>SUM(compras_mes7[[#This Row],[NETO GRAVADO]:[Otros / No Grav.]])</f>
        <v>41757.015299999999</v>
      </c>
      <c r="Q119" s="311" t="str">
        <f>IFERROR(IF(compras_mes7[[#This Row],[CUIT]]="","-",VLOOKUP(compras_mes7[[#This Row],[CUIT]],Lista_CUIT[#All],3,0)),"CUIT NO CARGADO")</f>
        <v>Gastos Varios</v>
      </c>
      <c r="R119" s="311">
        <f>IFERROR(IF(compras_mes7[[#This Row],[CUIT]]="","-",VLOOKUP(compras_mes7[[#This Row],[CUIT]],Lista_CUIT[#All],4,0)),"CUIT NO CARGADO")</f>
        <v>0</v>
      </c>
    </row>
    <row r="120" spans="2:18" x14ac:dyDescent="0.25">
      <c r="B120" s="40"/>
      <c r="C120" s="505"/>
      <c r="D120" s="42"/>
      <c r="E120" s="43"/>
      <c r="F120" s="44">
        <v>30708795174</v>
      </c>
      <c r="G120" s="45" t="str">
        <f>IFERROR(IF(compras_mes7[[#This Row],[CUIT]]="","-",VLOOKUP(compras_mes7[[#This Row],[CUIT]],Lista_CUIT[#All],2,0)),"CUIT NO CARGADO")</f>
        <v>LUTAC SA</v>
      </c>
      <c r="H120" s="46">
        <v>29322.720000000001</v>
      </c>
      <c r="I120" s="224">
        <f>IF(compras_mes7[[#This Row],[NETO GRAVADO]]="","",compras_mes7[[#This Row],[NETO GRAVADO]]*0.21)</f>
        <v>6157.7712000000001</v>
      </c>
      <c r="J120" s="312"/>
      <c r="K120" s="312"/>
      <c r="L120" s="312"/>
      <c r="M120" s="312"/>
      <c r="N120" s="312"/>
      <c r="O120" s="312"/>
      <c r="P120" s="310">
        <f>SUM(compras_mes7[[#This Row],[NETO GRAVADO]:[Otros / No Grav.]])</f>
        <v>35480.491200000004</v>
      </c>
      <c r="Q120" s="311" t="str">
        <f>IFERROR(IF(compras_mes7[[#This Row],[CUIT]]="","-",VLOOKUP(compras_mes7[[#This Row],[CUIT]],Lista_CUIT[#All],3,0)),"CUIT NO CARGADO")</f>
        <v>COMBUSTIBLE</v>
      </c>
      <c r="R120" s="311">
        <f>IFERROR(IF(compras_mes7[[#This Row],[CUIT]]="","-",VLOOKUP(compras_mes7[[#This Row],[CUIT]],Lista_CUIT[#All],4,0)),"CUIT NO CARGADO")</f>
        <v>0</v>
      </c>
    </row>
    <row r="121" spans="2:18" x14ac:dyDescent="0.25">
      <c r="B121" s="223"/>
      <c r="C121" s="505"/>
      <c r="D121" s="506"/>
      <c r="E121" s="507"/>
      <c r="F121" s="508">
        <v>30586185922</v>
      </c>
      <c r="G121" s="509" t="str">
        <f>IFERROR(IF(compras_mes7[[#This Row],[CUIT]]="","-",VLOOKUP(compras_mes7[[#This Row],[CUIT]],Lista_CUIT[#All],2,0)),"CUIT NO CARGADO")</f>
        <v>GRUPO CANFEMA SRL</v>
      </c>
      <c r="H121" s="510">
        <v>63341.31</v>
      </c>
      <c r="I121" s="224">
        <f>IF(compras_mes7[[#This Row],[NETO GRAVADO]]="","",compras_mes7[[#This Row],[NETO GRAVADO]]*0.21)</f>
        <v>13301.675099999999</v>
      </c>
      <c r="J121" s="312"/>
      <c r="K121" s="312"/>
      <c r="L121" s="312"/>
      <c r="M121" s="312"/>
      <c r="N121" s="312"/>
      <c r="O121" s="312"/>
      <c r="P121" s="310">
        <f>SUM(compras_mes7[[#This Row],[NETO GRAVADO]:[Otros / No Grav.]])</f>
        <v>76642.985099999991</v>
      </c>
      <c r="Q121" s="311" t="str">
        <f>IFERROR(IF(compras_mes7[[#This Row],[CUIT]]="","-",VLOOKUP(compras_mes7[[#This Row],[CUIT]],Lista_CUIT[#All],3,0)),"CUIT NO CARGADO")</f>
        <v>Limpieza</v>
      </c>
      <c r="R121" s="311">
        <f>IFERROR(IF(compras_mes7[[#This Row],[CUIT]]="","-",VLOOKUP(compras_mes7[[#This Row],[CUIT]],Lista_CUIT[#All],4,0)),"CUIT NO CARGADO")</f>
        <v>0</v>
      </c>
    </row>
    <row r="122" spans="2:18" x14ac:dyDescent="0.25">
      <c r="B122" s="223"/>
      <c r="C122" s="505"/>
      <c r="D122" s="506"/>
      <c r="E122" s="507"/>
      <c r="F122" s="508">
        <v>30714864269</v>
      </c>
      <c r="G122" s="509" t="str">
        <f>IFERROR(IF(compras_mes7[[#This Row],[CUIT]]="","-",VLOOKUP(compras_mes7[[#This Row],[CUIT]],Lista_CUIT[#All],2,0)),"CUIT NO CARGADO")</f>
        <v>CONTABILIUM S.A. S. A.</v>
      </c>
      <c r="H122" s="510">
        <v>184800</v>
      </c>
      <c r="I122" s="224">
        <f>IF(compras_mes7[[#This Row],[NETO GRAVADO]]="","",compras_mes7[[#This Row],[NETO GRAVADO]]*0.21)</f>
        <v>38808</v>
      </c>
      <c r="J122" s="312"/>
      <c r="K122" s="312"/>
      <c r="L122" s="312"/>
      <c r="M122" s="312"/>
      <c r="N122" s="312"/>
      <c r="O122" s="312"/>
      <c r="P122" s="310">
        <f>SUM(compras_mes7[[#This Row],[NETO GRAVADO]:[Otros / No Grav.]])</f>
        <v>223608</v>
      </c>
      <c r="Q122" s="311" t="str">
        <f>IFERROR(IF(compras_mes7[[#This Row],[CUIT]]="","-",VLOOKUP(compras_mes7[[#This Row],[CUIT]],Lista_CUIT[#All],3,0)),"CUIT NO CARGADO")</f>
        <v>USUARIO CONTABLE</v>
      </c>
      <c r="R122" s="311">
        <f>IFERROR(IF(compras_mes7[[#This Row],[CUIT]]="","-",VLOOKUP(compras_mes7[[#This Row],[CUIT]],Lista_CUIT[#All],4,0)),"CUIT NO CARGADO")</f>
        <v>0</v>
      </c>
    </row>
    <row r="123" spans="2:18" x14ac:dyDescent="0.25">
      <c r="B123" s="223"/>
      <c r="C123" s="505"/>
      <c r="D123" s="506"/>
      <c r="E123" s="507"/>
      <c r="F123" s="508">
        <v>30708847247</v>
      </c>
      <c r="G123" s="509" t="str">
        <f>IFERROR(IF(compras_mes7[[#This Row],[CUIT]]="","-",VLOOKUP(compras_mes7[[#This Row],[CUIT]],Lista_CUIT[#All],2,0)),"CUIT NO CARGADO")</f>
        <v>TOAGRA SRL</v>
      </c>
      <c r="H123" s="510">
        <v>45513.93</v>
      </c>
      <c r="I123" s="224">
        <f>IF(compras_mes7[[#This Row],[NETO GRAVADO]]="","",compras_mes7[[#This Row],[NETO GRAVADO]]*0.21)</f>
        <v>9557.925299999999</v>
      </c>
      <c r="J123" s="312"/>
      <c r="K123" s="312"/>
      <c r="L123" s="312"/>
      <c r="M123" s="312"/>
      <c r="N123" s="312">
        <v>1820.56</v>
      </c>
      <c r="O123" s="312"/>
      <c r="P123" s="310">
        <f>SUM(compras_mes7[[#This Row],[NETO GRAVADO]:[Otros / No Grav.]])</f>
        <v>56892.415299999993</v>
      </c>
      <c r="Q123" s="311" t="str">
        <f>IFERROR(IF(compras_mes7[[#This Row],[CUIT]]="","-",VLOOKUP(compras_mes7[[#This Row],[CUIT]],Lista_CUIT[#All],3,0)),"CUIT NO CARGADO")</f>
        <v>FLETE</v>
      </c>
      <c r="R123" s="311">
        <f>IFERROR(IF(compras_mes7[[#This Row],[CUIT]]="","-",VLOOKUP(compras_mes7[[#This Row],[CUIT]],Lista_CUIT[#All],4,0)),"CUIT NO CARGADO")</f>
        <v>0</v>
      </c>
    </row>
    <row r="124" spans="2:18" x14ac:dyDescent="0.25">
      <c r="B124" s="223"/>
      <c r="C124" s="505"/>
      <c r="D124" s="506"/>
      <c r="E124" s="507"/>
      <c r="F124" s="508">
        <v>30714112836</v>
      </c>
      <c r="G124" s="509" t="str">
        <f>IFERROR(IF(compras_mes7[[#This Row],[CUIT]]="","-",VLOOKUP(compras_mes7[[#This Row],[CUIT]],Lista_CUIT[#All],2,0)),"CUIT NO CARGADO")</f>
        <v>AUTOPISTAS DE BUENOS AIRES (AUBASA) SA</v>
      </c>
      <c r="H124" s="510">
        <v>3461.27</v>
      </c>
      <c r="I124" s="224">
        <f>IF(compras_mes7[[#This Row],[NETO GRAVADO]]="","",compras_mes7[[#This Row],[NETO GRAVADO]]*0.21)</f>
        <v>726.86669999999992</v>
      </c>
      <c r="J124" s="312"/>
      <c r="K124" s="312"/>
      <c r="L124" s="312"/>
      <c r="M124" s="312"/>
      <c r="N124" s="312"/>
      <c r="O124" s="312"/>
      <c r="P124" s="310">
        <f>SUM(compras_mes7[[#This Row],[NETO GRAVADO]:[Otros / No Grav.]])</f>
        <v>4188.1367</v>
      </c>
      <c r="Q124" s="311" t="str">
        <f>IFERROR(IF(compras_mes7[[#This Row],[CUIT]]="","-",VLOOKUP(compras_mes7[[#This Row],[CUIT]],Lista_CUIT[#All],3,0)),"CUIT NO CARGADO")</f>
        <v>Autopista</v>
      </c>
      <c r="R124" s="311">
        <f>IFERROR(IF(compras_mes7[[#This Row],[CUIT]]="","-",VLOOKUP(compras_mes7[[#This Row],[CUIT]],Lista_CUIT[#All],4,0)),"CUIT NO CARGADO")</f>
        <v>0</v>
      </c>
    </row>
    <row r="125" spans="2:18" x14ac:dyDescent="0.25">
      <c r="B125" s="223"/>
      <c r="C125" s="505"/>
      <c r="D125" s="506"/>
      <c r="E125" s="507"/>
      <c r="F125" s="508">
        <v>30703088534</v>
      </c>
      <c r="G125" s="509" t="str">
        <f>IFERROR(IF(compras_mes7[[#This Row],[CUIT]]="","-",VLOOKUP(compras_mes7[[#This Row],[CUIT]],Lista_CUIT[#All],2,0)),"CUIT NO CARGADO")</f>
        <v>MERCADO LIBRE SRL</v>
      </c>
      <c r="H125" s="510">
        <v>89663.97</v>
      </c>
      <c r="I125" s="224">
        <f>IF(compras_mes7[[#This Row],[NETO GRAVADO]]="","",compras_mes7[[#This Row],[NETO GRAVADO]]*0.21)</f>
        <v>18829.433699999998</v>
      </c>
      <c r="J125" s="312"/>
      <c r="K125" s="312"/>
      <c r="L125" s="312">
        <v>2689.92</v>
      </c>
      <c r="M125" s="312"/>
      <c r="N125" s="312">
        <v>3586.56</v>
      </c>
      <c r="O125" s="312"/>
      <c r="P125" s="310">
        <f>SUM(compras_mes7[[#This Row],[NETO GRAVADO]:[Otros / No Grav.]])</f>
        <v>114769.88369999999</v>
      </c>
      <c r="Q125" s="311" t="str">
        <f>IFERROR(IF(compras_mes7[[#This Row],[CUIT]]="","-",VLOOKUP(compras_mes7[[#This Row],[CUIT]],Lista_CUIT[#All],3,0)),"CUIT NO CARGADO")</f>
        <v>PLATAFORMA ONLINE</v>
      </c>
      <c r="R125" s="311">
        <f>IFERROR(IF(compras_mes7[[#This Row],[CUIT]]="","-",VLOOKUP(compras_mes7[[#This Row],[CUIT]],Lista_CUIT[#All],4,0)),"CUIT NO CARGADO")</f>
        <v>0</v>
      </c>
    </row>
    <row r="126" spans="2:18" x14ac:dyDescent="0.25">
      <c r="B126" s="40"/>
      <c r="C126" s="41"/>
      <c r="D126" s="42"/>
      <c r="E126" s="43"/>
      <c r="F126" s="44">
        <v>30587197215</v>
      </c>
      <c r="G126" s="45" t="str">
        <f>IFERROR(IF(compras_mes7[[#This Row],[CUIT]]="","-",VLOOKUP(compras_mes7[[#This Row],[CUIT]],Lista_CUIT[#All],2,0)),"CUIT NO CARGADO")</f>
        <v>PANATEL SOCIEDAD ANONIMA</v>
      </c>
      <c r="H126" s="46">
        <v>148760.32999999999</v>
      </c>
      <c r="I126" s="224">
        <f>IF(compras_mes7[[#This Row],[NETO GRAVADO]]="","",compras_mes7[[#This Row],[NETO GRAVADO]]*0.21)</f>
        <v>31239.669299999998</v>
      </c>
      <c r="J126" s="312"/>
      <c r="K126" s="312"/>
      <c r="L126" s="312"/>
      <c r="M126" s="312"/>
      <c r="N126" s="312">
        <v>8925.6200000000008</v>
      </c>
      <c r="O126" s="312"/>
      <c r="P126" s="310">
        <f>SUM(compras_mes7[[#This Row],[NETO GRAVADO]:[Otros / No Grav.]])</f>
        <v>188925.61929999999</v>
      </c>
      <c r="Q126" s="311" t="str">
        <f>IFERROR(IF(compras_mes7[[#This Row],[CUIT]]="","-",VLOOKUP(compras_mes7[[#This Row],[CUIT]],Lista_CUIT[#All],3,0)),"CUIT NO CARGADO")</f>
        <v>SERVICIOS DE ALOJAMIENTO EN HOTELES</v>
      </c>
      <c r="R126" s="311">
        <f>IFERROR(IF(compras_mes7[[#This Row],[CUIT]]="","-",VLOOKUP(compras_mes7[[#This Row],[CUIT]],Lista_CUIT[#All],4,0)),"CUIT NO CARGADO")</f>
        <v>0</v>
      </c>
    </row>
    <row r="127" spans="2:18" ht="15.75" customHeight="1" x14ac:dyDescent="0.25">
      <c r="B127" s="223"/>
      <c r="C127" s="505"/>
      <c r="D127" s="506"/>
      <c r="E127" s="507"/>
      <c r="F127" s="508">
        <v>30663498513</v>
      </c>
      <c r="G127" s="509" t="str">
        <f>IFERROR(IF(compras_mes7[[#This Row],[CUIT]]="","-",VLOOKUP(compras_mes7[[#This Row],[CUIT]],Lista_CUIT[#All],2,0)),"CUIT NO CARGADO")</f>
        <v>GRUPO CONCES. DEL OESTE SA</v>
      </c>
      <c r="H127" s="510">
        <v>1155.52</v>
      </c>
      <c r="I127" s="224">
        <f>IF(compras_mes7[[#This Row],[NETO GRAVADO]]="","",compras_mes7[[#This Row],[NETO GRAVADO]]*0.21)</f>
        <v>242.6592</v>
      </c>
      <c r="J127" s="312"/>
      <c r="K127" s="312"/>
      <c r="L127" s="312"/>
      <c r="M127" s="312"/>
      <c r="N127" s="312"/>
      <c r="O127" s="312"/>
      <c r="P127" s="310">
        <f>SUM(compras_mes7[[#This Row],[NETO GRAVADO]:[Otros / No Grav.]])</f>
        <v>1398.1792</v>
      </c>
      <c r="Q127" s="311" t="str">
        <f>IFERROR(IF(compras_mes7[[#This Row],[CUIT]]="","-",VLOOKUP(compras_mes7[[#This Row],[CUIT]],Lista_CUIT[#All],3,0)),"CUIT NO CARGADO")</f>
        <v>Autopista</v>
      </c>
      <c r="R127" s="311">
        <f>IFERROR(IF(compras_mes7[[#This Row],[CUIT]]="","-",VLOOKUP(compras_mes7[[#This Row],[CUIT]],Lista_CUIT[#All],4,0)),"CUIT NO CARGADO")</f>
        <v>0</v>
      </c>
    </row>
    <row r="128" spans="2:18" x14ac:dyDescent="0.25">
      <c r="B128" s="223"/>
      <c r="C128" s="505"/>
      <c r="D128" s="506"/>
      <c r="E128" s="507"/>
      <c r="F128" s="508">
        <v>30663498513</v>
      </c>
      <c r="G128" s="509" t="str">
        <f>IFERROR(IF(compras_mes7[[#This Row],[CUIT]]="","-",VLOOKUP(compras_mes7[[#This Row],[CUIT]],Lista_CUIT[#All],2,0)),"CUIT NO CARGADO")</f>
        <v>GRUPO CONCES. DEL OESTE SA</v>
      </c>
      <c r="H128" s="510">
        <v>1155.52</v>
      </c>
      <c r="I128" s="224">
        <f>IF(compras_mes7[[#This Row],[NETO GRAVADO]]="","",compras_mes7[[#This Row],[NETO GRAVADO]]*0.21)</f>
        <v>242.6592</v>
      </c>
      <c r="J128" s="312"/>
      <c r="K128" s="312"/>
      <c r="L128" s="312"/>
      <c r="M128" s="312"/>
      <c r="N128" s="312">
        <v>46.22</v>
      </c>
      <c r="O128" s="312"/>
      <c r="P128" s="310">
        <f>SUM(compras_mes7[[#This Row],[NETO GRAVADO]:[Otros / No Grav.]])</f>
        <v>1444.3992000000001</v>
      </c>
      <c r="Q128" s="311" t="str">
        <f>IFERROR(IF(compras_mes7[[#This Row],[CUIT]]="","-",VLOOKUP(compras_mes7[[#This Row],[CUIT]],Lista_CUIT[#All],3,0)),"CUIT NO CARGADO")</f>
        <v>Autopista</v>
      </c>
      <c r="R128" s="311">
        <f>IFERROR(IF(compras_mes7[[#This Row],[CUIT]]="","-",VLOOKUP(compras_mes7[[#This Row],[CUIT]],Lista_CUIT[#All],4,0)),"CUIT NO CARGADO")</f>
        <v>0</v>
      </c>
    </row>
    <row r="129" spans="2:18" x14ac:dyDescent="0.25">
      <c r="B129" s="40"/>
      <c r="C129" s="41"/>
      <c r="D129" s="42"/>
      <c r="E129" s="43"/>
      <c r="F129" s="44">
        <v>30677237119</v>
      </c>
      <c r="G129" s="45" t="str">
        <f>IFERROR(IF(compras_mes7[[#This Row],[CUIT]]="","-",VLOOKUP(compras_mes7[[#This Row],[CUIT]],Lista_CUIT[#All],2,0)),"CUIT NO CARGADO")</f>
        <v>AUTOPISTAS DEL SOL SA</v>
      </c>
      <c r="H129" s="46">
        <v>5893.17</v>
      </c>
      <c r="I129" s="224">
        <f>IF(compras_mes7[[#This Row],[NETO GRAVADO]]="","",compras_mes7[[#This Row],[NETO GRAVADO]]*0.21)</f>
        <v>1237.5656999999999</v>
      </c>
      <c r="J129" s="312"/>
      <c r="K129" s="312"/>
      <c r="L129" s="312"/>
      <c r="M129" s="312"/>
      <c r="N129" s="312"/>
      <c r="O129" s="312"/>
      <c r="P129" s="310">
        <f>SUM(compras_mes7[[#This Row],[NETO GRAVADO]:[Otros / No Grav.]])</f>
        <v>7130.7357000000002</v>
      </c>
      <c r="Q129" s="311" t="str">
        <f>IFERROR(IF(compras_mes7[[#This Row],[CUIT]]="","-",VLOOKUP(compras_mes7[[#This Row],[CUIT]],Lista_CUIT[#All],3,0)),"CUIT NO CARGADO")</f>
        <v>Autopista</v>
      </c>
      <c r="R129" s="311">
        <f>IFERROR(IF(compras_mes7[[#This Row],[CUIT]]="","-",VLOOKUP(compras_mes7[[#This Row],[CUIT]],Lista_CUIT[#All],4,0)),"CUIT NO CARGADO")</f>
        <v>0</v>
      </c>
    </row>
    <row r="130" spans="2:18" x14ac:dyDescent="0.25">
      <c r="B130" s="40"/>
      <c r="C130" s="41"/>
      <c r="D130" s="42"/>
      <c r="E130" s="43"/>
      <c r="F130" s="44">
        <v>30516186670</v>
      </c>
      <c r="G130" s="45" t="str">
        <f>IFERROR(IF(compras_mes7[[#This Row],[CUIT]]="","-",VLOOKUP(compras_mes7[[#This Row],[CUIT]],Lista_CUIT[#All],2,0)),"CUIT NO CARGADO")</f>
        <v>DEHEZA SAICF E I</v>
      </c>
      <c r="H130" s="46">
        <v>47029.37</v>
      </c>
      <c r="I130" s="224">
        <f>IF(compras_mes7[[#This Row],[NETO GRAVADO]]="","",compras_mes7[[#This Row],[NETO GRAVADO]]*0.21)</f>
        <v>9876.1677</v>
      </c>
      <c r="J130" s="312"/>
      <c r="K130" s="312"/>
      <c r="L130" s="312">
        <v>1410.88</v>
      </c>
      <c r="M130" s="312"/>
      <c r="N130" s="312">
        <v>2341.27</v>
      </c>
      <c r="O130" s="312"/>
      <c r="P130" s="310">
        <f>SUM(compras_mes7[[#This Row],[NETO GRAVADO]:[Otros / No Grav.]])</f>
        <v>60657.687699999995</v>
      </c>
      <c r="Q130" s="311" t="str">
        <f>IFERROR(IF(compras_mes7[[#This Row],[CUIT]]="","-",VLOOKUP(compras_mes7[[#This Row],[CUIT]],Lista_CUIT[#All],3,0)),"CUIT NO CARGADO")</f>
        <v>COMBUSTIBLE</v>
      </c>
      <c r="R130" s="311">
        <f>IFERROR(IF(compras_mes7[[#This Row],[CUIT]]="","-",VLOOKUP(compras_mes7[[#This Row],[CUIT]],Lista_CUIT[#All],4,0)),"CUIT NO CARGADO")</f>
        <v>0</v>
      </c>
    </row>
    <row r="131" spans="2:18" x14ac:dyDescent="0.25">
      <c r="B131" s="223"/>
      <c r="C131" s="505"/>
      <c r="D131" s="506"/>
      <c r="E131" s="507"/>
      <c r="F131" s="508">
        <v>30708574836</v>
      </c>
      <c r="G131" s="509" t="str">
        <f>IFERROR(IF(compras_mes7[[#This Row],[CUIT]]="","-",VLOOKUP(compras_mes7[[#This Row],[CUIT]],Lista_CUIT[#All],2,0)),"CUIT NO CARGADO")</f>
        <v>CORREO OFICIAL DE LA REPUBLICA ARGENTINA SOCIEDAD ANONIMA</v>
      </c>
      <c r="H131" s="510">
        <v>0</v>
      </c>
      <c r="I131" s="224"/>
      <c r="J131" s="312"/>
      <c r="K131" s="312"/>
      <c r="L131" s="312"/>
      <c r="M131" s="312"/>
      <c r="N131" s="312"/>
      <c r="O131" s="312">
        <v>35200</v>
      </c>
      <c r="P131" s="310">
        <f>SUM(compras_mes7[[#This Row],[NETO GRAVADO]:[Otros / No Grav.]])</f>
        <v>35200</v>
      </c>
      <c r="Q131" s="311" t="str">
        <f>IFERROR(IF(compras_mes7[[#This Row],[CUIT]]="","-",VLOOKUP(compras_mes7[[#This Row],[CUIT]],Lista_CUIT[#All],3,0)),"CUIT NO CARGADO")</f>
        <v>Gastos Varios</v>
      </c>
      <c r="R131" s="311">
        <f>IFERROR(IF(compras_mes7[[#This Row],[CUIT]]="","-",VLOOKUP(compras_mes7[[#This Row],[CUIT]],Lista_CUIT[#All],4,0)),"CUIT NO CARGADO")</f>
        <v>0</v>
      </c>
    </row>
    <row r="132" spans="2:18" x14ac:dyDescent="0.25">
      <c r="B132" s="40"/>
      <c r="C132" s="41"/>
      <c r="D132" s="42"/>
      <c r="E132" s="43"/>
      <c r="F132" s="44">
        <v>30678814357</v>
      </c>
      <c r="G132" s="45" t="str">
        <f>IFERROR(IF(compras_mes7[[#This Row],[CUIT]]="","-",VLOOKUP(compras_mes7[[#This Row],[CUIT]],Lista_CUIT[#All],2,0)),"CUIT NO CARGADO")</f>
        <v>TELEFONICA MOVILES ARG SA</v>
      </c>
      <c r="H132" s="46">
        <v>83974.87</v>
      </c>
      <c r="I132" s="224"/>
      <c r="J132" s="312">
        <f>compras_mes7[[#This Row],[NETO GRAVADO]]*0.27</f>
        <v>22673.214899999999</v>
      </c>
      <c r="K132" s="312"/>
      <c r="L132" s="312">
        <v>2519.25</v>
      </c>
      <c r="M132" s="312"/>
      <c r="N132" s="312">
        <v>3529.99</v>
      </c>
      <c r="O132" s="312"/>
      <c r="P132" s="310">
        <f>SUM(compras_mes7[[#This Row],[NETO GRAVADO]:[Otros / No Grav.]])</f>
        <v>112697.32489999999</v>
      </c>
      <c r="Q132" s="311" t="str">
        <f>IFERROR(IF(compras_mes7[[#This Row],[CUIT]]="","-",VLOOKUP(compras_mes7[[#This Row],[CUIT]],Lista_CUIT[#All],3,0)),"CUIT NO CARGADO")</f>
        <v>SERVICIO</v>
      </c>
      <c r="R132" s="311">
        <f>IFERROR(IF(compras_mes7[[#This Row],[CUIT]]="","-",VLOOKUP(compras_mes7[[#This Row],[CUIT]],Lista_CUIT[#All],4,0)),"CUIT NO CARGADO")</f>
        <v>0</v>
      </c>
    </row>
    <row r="133" spans="2:18" x14ac:dyDescent="0.25">
      <c r="B133" s="223"/>
      <c r="C133" s="505"/>
      <c r="D133" s="506"/>
      <c r="E133" s="507"/>
      <c r="F133" s="508">
        <v>30678814357</v>
      </c>
      <c r="G133" s="509" t="str">
        <f>IFERROR(IF(compras_mes7[[#This Row],[CUIT]]="","-",VLOOKUP(compras_mes7[[#This Row],[CUIT]],Lista_CUIT[#All],2,0)),"CUIT NO CARGADO")</f>
        <v>TELEFONICA MOVILES ARG SA</v>
      </c>
      <c r="H133" s="510">
        <v>93682.58</v>
      </c>
      <c r="I133" s="224"/>
      <c r="J133" s="312">
        <f>compras_mes7[[#This Row],[NETO GRAVADO]]*0.27</f>
        <v>25294.296600000001</v>
      </c>
      <c r="K133" s="312"/>
      <c r="L133" s="312">
        <v>2810.48</v>
      </c>
      <c r="M133" s="312"/>
      <c r="N133" s="312">
        <v>3747.3</v>
      </c>
      <c r="O133" s="312"/>
      <c r="P133" s="310">
        <f>SUM(compras_mes7[[#This Row],[NETO GRAVADO]:[Otros / No Grav.]])</f>
        <v>125534.6566</v>
      </c>
      <c r="Q133" s="311" t="str">
        <f>IFERROR(IF(compras_mes7[[#This Row],[CUIT]]="","-",VLOOKUP(compras_mes7[[#This Row],[CUIT]],Lista_CUIT[#All],3,0)),"CUIT NO CARGADO")</f>
        <v>SERVICIO</v>
      </c>
      <c r="R133" s="311">
        <f>IFERROR(IF(compras_mes7[[#This Row],[CUIT]]="","-",VLOOKUP(compras_mes7[[#This Row],[CUIT]],Lista_CUIT[#All],4,0)),"CUIT NO CARGADO")</f>
        <v>0</v>
      </c>
    </row>
    <row r="134" spans="2:18" x14ac:dyDescent="0.25">
      <c r="B134" s="40"/>
      <c r="C134" s="41"/>
      <c r="D134" s="42"/>
      <c r="E134" s="43"/>
      <c r="F134" s="44">
        <v>30639453738</v>
      </c>
      <c r="G134" s="45" t="str">
        <f>IFERROR(IF(compras_mes7[[#This Row],[CUIT]]="","-",VLOOKUP(compras_mes7[[#This Row],[CUIT]],Lista_CUIT[#All],2,0)),"CUIT NO CARGADO")</f>
        <v>TELECOM ARGENTINA SA</v>
      </c>
      <c r="H134" s="46">
        <v>48761.16</v>
      </c>
      <c r="I134" s="224">
        <f>IF(compras_mes7[[#This Row],[NETO GRAVADO]]="","",compras_mes7[[#This Row],[NETO GRAVADO]]*0.21)</f>
        <v>10239.8436</v>
      </c>
      <c r="J134" s="312"/>
      <c r="K134" s="312"/>
      <c r="L134" s="312"/>
      <c r="M134" s="312"/>
      <c r="N134" s="312"/>
      <c r="O134" s="312"/>
      <c r="P134" s="310">
        <f>SUM(compras_mes7[[#This Row],[NETO GRAVADO]:[Otros / No Grav.]])</f>
        <v>59001.003600000004</v>
      </c>
      <c r="Q134" s="311" t="str">
        <f>IFERROR(IF(compras_mes7[[#This Row],[CUIT]]="","-",VLOOKUP(compras_mes7[[#This Row],[CUIT]],Lista_CUIT[#All],3,0)),"CUIT NO CARGADO")</f>
        <v>SERVICIO</v>
      </c>
      <c r="R134" s="311">
        <f>IFERROR(IF(compras_mes7[[#This Row],[CUIT]]="","-",VLOOKUP(compras_mes7[[#This Row],[CUIT]],Lista_CUIT[#All],4,0)),"CUIT NO CARGADO")</f>
        <v>0</v>
      </c>
    </row>
    <row r="135" spans="2:18" x14ac:dyDescent="0.25">
      <c r="B135" s="313"/>
      <c r="C135" s="314"/>
      <c r="D135" s="315"/>
      <c r="E135" s="315"/>
      <c r="F135" s="246">
        <v>30574876474</v>
      </c>
      <c r="G135" s="316" t="str">
        <f>IFERROR(IF(compras_mes7[[#This Row],[CUIT]]="","-",VLOOKUP(compras_mes7[[#This Row],[CUIT]],Lista_CUIT[#All],2,0)),"CUIT NO CARGADO")</f>
        <v>AUTOP. URBANAS SA</v>
      </c>
      <c r="H135" s="317">
        <v>14096.45</v>
      </c>
      <c r="I135" s="224">
        <f>IF(compras_mes7[[#This Row],[NETO GRAVADO]]="","",compras_mes7[[#This Row],[NETO GRAVADO]]*0.21)</f>
        <v>2960.2545</v>
      </c>
      <c r="J135" s="312"/>
      <c r="K135" s="312"/>
      <c r="L135" s="312"/>
      <c r="M135" s="312"/>
      <c r="N135" s="312"/>
      <c r="O135" s="312"/>
      <c r="P135" s="310">
        <f>SUM(compras_mes7[[#This Row],[NETO GRAVADO]:[Otros / No Grav.]])</f>
        <v>17056.7045</v>
      </c>
      <c r="Q135" s="311" t="str">
        <f>IFERROR(IF(compras_mes7[[#This Row],[CUIT]]="","-",VLOOKUP(compras_mes7[[#This Row],[CUIT]],Lista_CUIT[#All],3,0)),"CUIT NO CARGADO")</f>
        <v>PEAJE</v>
      </c>
      <c r="R135" s="311">
        <f>IFERROR(IF(compras_mes7[[#This Row],[CUIT]]="","-",VLOOKUP(compras_mes7[[#This Row],[CUIT]],Lista_CUIT[#All],4,0)),"CUIT NO CARGADO")</f>
        <v>0</v>
      </c>
    </row>
    <row r="136" spans="2:18" x14ac:dyDescent="0.25">
      <c r="B136" s="313"/>
      <c r="C136" s="314"/>
      <c r="D136" s="315"/>
      <c r="E136" s="315"/>
      <c r="F136" s="246">
        <v>30574876474</v>
      </c>
      <c r="G136" s="316" t="str">
        <f>IFERROR(IF(compras_mes7[[#This Row],[CUIT]]="","-",VLOOKUP(compras_mes7[[#This Row],[CUIT]],Lista_CUIT[#All],2,0)),"CUIT NO CARGADO")</f>
        <v>AUTOP. URBANAS SA</v>
      </c>
      <c r="H136" s="317">
        <v>38953.519999999997</v>
      </c>
      <c r="I136" s="224">
        <f>IF(compras_mes7[[#This Row],[NETO GRAVADO]]="","",compras_mes7[[#This Row],[NETO GRAVADO]]*0.21)</f>
        <v>8180.2391999999991</v>
      </c>
      <c r="J136" s="312"/>
      <c r="K136" s="312"/>
      <c r="L136" s="312">
        <v>1168.6099999999999</v>
      </c>
      <c r="M136" s="312"/>
      <c r="N136" s="312"/>
      <c r="O136" s="312"/>
      <c r="P136" s="310">
        <f>SUM(compras_mes7[[#This Row],[NETO GRAVADO]:[Otros / No Grav.]])</f>
        <v>48302.369199999994</v>
      </c>
      <c r="Q136" s="311" t="str">
        <f>IFERROR(IF(compras_mes7[[#This Row],[CUIT]]="","-",VLOOKUP(compras_mes7[[#This Row],[CUIT]],Lista_CUIT[#All],3,0)),"CUIT NO CARGADO")</f>
        <v>PEAJE</v>
      </c>
      <c r="R136" s="311">
        <f>IFERROR(IF(compras_mes7[[#This Row],[CUIT]]="","-",VLOOKUP(compras_mes7[[#This Row],[CUIT]],Lista_CUIT[#All],4,0)),"CUIT NO CARGADO")</f>
        <v>0</v>
      </c>
    </row>
    <row r="137" spans="2:18" ht="17.25" customHeight="1" x14ac:dyDescent="0.25">
      <c r="B137" s="313"/>
      <c r="C137" s="314"/>
      <c r="D137" s="315"/>
      <c r="E137" s="315"/>
      <c r="F137" s="246">
        <v>30574876474</v>
      </c>
      <c r="G137" s="316" t="str">
        <f>IFERROR(IF(compras_mes7[[#This Row],[CUIT]]="","-",VLOOKUP(compras_mes7[[#This Row],[CUIT]],Lista_CUIT[#All],2,0)),"CUIT NO CARGADO")</f>
        <v>AUTOP. URBANAS SA</v>
      </c>
      <c r="H137" s="317">
        <v>97035.27</v>
      </c>
      <c r="I137" s="224">
        <f>IF(compras_mes7[[#This Row],[NETO GRAVADO]]="","",compras_mes7[[#This Row],[NETO GRAVADO]]*0.21)</f>
        <v>20377.4067</v>
      </c>
      <c r="J137" s="312"/>
      <c r="K137" s="312"/>
      <c r="L137" s="312"/>
      <c r="M137" s="312"/>
      <c r="N137" s="312"/>
      <c r="O137" s="312"/>
      <c r="P137" s="310">
        <f>SUM(compras_mes7[[#This Row],[NETO GRAVADO]:[Otros / No Grav.]])</f>
        <v>117412.67670000001</v>
      </c>
      <c r="Q137" s="311" t="str">
        <f>IFERROR(IF(compras_mes7[[#This Row],[CUIT]]="","-",VLOOKUP(compras_mes7[[#This Row],[CUIT]],Lista_CUIT[#All],3,0)),"CUIT NO CARGADO")</f>
        <v>PEAJE</v>
      </c>
      <c r="R137" s="311">
        <f>IFERROR(IF(compras_mes7[[#This Row],[CUIT]]="","-",VLOOKUP(compras_mes7[[#This Row],[CUIT]],Lista_CUIT[#All],4,0)),"CUIT NO CARGADO")</f>
        <v>0</v>
      </c>
    </row>
    <row r="138" spans="2:18" x14ac:dyDescent="0.25">
      <c r="B138" s="313"/>
      <c r="C138" s="314"/>
      <c r="D138" s="315"/>
      <c r="E138" s="315"/>
      <c r="F138" s="246"/>
      <c r="G138" s="316" t="str">
        <f>IFERROR(IF(compras_mes7[[#This Row],[CUIT]]="","-",VLOOKUP(compras_mes7[[#This Row],[CUIT]],Lista_CUIT[#All],2,0)),"CUIT NO CARGADO")</f>
        <v>-</v>
      </c>
      <c r="H138" s="317"/>
      <c r="I138" s="224" t="str">
        <f>IF(compras_mes7[[#This Row],[NETO GRAVADO]]="","",compras_mes7[[#This Row],[NETO GRAVADO]]*0.21)</f>
        <v/>
      </c>
      <c r="J138" s="312"/>
      <c r="K138" s="312"/>
      <c r="L138" s="312"/>
      <c r="M138" s="312"/>
      <c r="N138" s="312"/>
      <c r="O138" s="312"/>
      <c r="P138" s="310">
        <f>SUM(compras_mes7[[#This Row],[NETO GRAVADO]:[Otros / No Grav.]])</f>
        <v>0</v>
      </c>
      <c r="Q138" s="311" t="str">
        <f>IFERROR(IF(compras_mes7[[#This Row],[CUIT]]="","-",VLOOKUP(compras_mes7[[#This Row],[CUIT]],Lista_CUIT[#All],3,0)),"CUIT NO CARGADO")</f>
        <v>-</v>
      </c>
      <c r="R138" s="311" t="str">
        <f>IFERROR(IF(compras_mes7[[#This Row],[CUIT]]="","-",VLOOKUP(compras_mes7[[#This Row],[CUIT]],Lista_CUIT[#All],4,0)),"CUIT NO CARGADO")</f>
        <v>-</v>
      </c>
    </row>
    <row r="139" spans="2:18" x14ac:dyDescent="0.25">
      <c r="B139" s="313"/>
      <c r="C139" s="314"/>
      <c r="D139" s="315"/>
      <c r="E139" s="315"/>
      <c r="F139" s="246"/>
      <c r="G139" s="316" t="str">
        <f>IFERROR(IF(compras_mes7[[#This Row],[CUIT]]="","-",VLOOKUP(compras_mes7[[#This Row],[CUIT]],Lista_CUIT[#All],2,0)),"CUIT NO CARGADO")</f>
        <v>-</v>
      </c>
      <c r="H139" s="317"/>
      <c r="I139" s="224" t="str">
        <f>IF(compras_mes7[[#This Row],[NETO GRAVADO]]="","",compras_mes7[[#This Row],[NETO GRAVADO]]*0.21)</f>
        <v/>
      </c>
      <c r="J139" s="312"/>
      <c r="K139" s="312"/>
      <c r="L139" s="312"/>
      <c r="M139" s="312"/>
      <c r="N139" s="312"/>
      <c r="O139" s="312"/>
      <c r="P139" s="310">
        <f>SUM(compras_mes7[[#This Row],[NETO GRAVADO]:[Otros / No Grav.]])</f>
        <v>0</v>
      </c>
      <c r="Q139" s="311" t="str">
        <f>IFERROR(IF(compras_mes7[[#This Row],[CUIT]]="","-",VLOOKUP(compras_mes7[[#This Row],[CUIT]],Lista_CUIT[#All],3,0)),"CUIT NO CARGADO")</f>
        <v>-</v>
      </c>
      <c r="R139" s="311" t="str">
        <f>IFERROR(IF(compras_mes7[[#This Row],[CUIT]]="","-",VLOOKUP(compras_mes7[[#This Row],[CUIT]],Lista_CUIT[#All],4,0)),"CUIT NO CARGADO")</f>
        <v>-</v>
      </c>
    </row>
    <row r="140" spans="2:18" x14ac:dyDescent="0.25">
      <c r="B140" s="89"/>
      <c r="C140" s="318"/>
      <c r="D140" s="90"/>
      <c r="E140" s="91"/>
      <c r="F140" s="92"/>
      <c r="G140" s="93" t="str">
        <f>IFERROR(IF(compras_mes7[[#This Row],[CUIT]]="","-",VLOOKUP(compras_mes7[[#This Row],[CUIT]],Lista_CUIT[#All],2,0)),"CUIT NO CARGADO")</f>
        <v>-</v>
      </c>
      <c r="H140" s="94"/>
      <c r="I140" s="224" t="str">
        <f>IF(compras_mes7[[#This Row],[NETO GRAVADO]]="","",compras_mes7[[#This Row],[NETO GRAVADO]]*0.21)</f>
        <v/>
      </c>
      <c r="J140" s="86"/>
      <c r="K140" s="86"/>
      <c r="L140" s="86"/>
      <c r="M140" s="86"/>
      <c r="N140" s="86"/>
      <c r="O140" s="86"/>
      <c r="P140" s="87">
        <f>SUM(compras_mes7[[#This Row],[NETO GRAVADO]:[Otros / No Grav.]])</f>
        <v>0</v>
      </c>
      <c r="Q140" s="88" t="str">
        <f>IFERROR(IF(compras_mes7[[#This Row],[CUIT]]="","-",VLOOKUP(compras_mes7[[#This Row],[CUIT]],Lista_CUIT[#All],3,0)),"CUIT NO CARGADO")</f>
        <v>-</v>
      </c>
      <c r="R140" s="88" t="str">
        <f>IFERROR(IF(compras_mes7[[#This Row],[CUIT]]="","-",VLOOKUP(compras_mes7[[#This Row],[CUIT]],Lista_CUIT[#All],4,0)),"CUIT NO CARGADO")</f>
        <v>-</v>
      </c>
    </row>
    <row r="141" spans="2:18" x14ac:dyDescent="0.25">
      <c r="B141" s="95" t="s">
        <v>110</v>
      </c>
      <c r="C141" s="95"/>
      <c r="D141" s="95"/>
      <c r="E141" s="95"/>
      <c r="F141" s="95"/>
      <c r="G141" s="96"/>
      <c r="H141" s="97">
        <f>SUBTOTAL(109,compras_mes7[NETO GRAVADO])</f>
        <v>69307796.320000008</v>
      </c>
      <c r="I141" s="97">
        <f>SUBTOTAL(109,compras_mes7[IVA 21 %])</f>
        <v>12375959.526000001</v>
      </c>
      <c r="J141" s="97">
        <f>SUBTOTAL(109,compras_mes7[IVA 27%])</f>
        <v>47967.511500000001</v>
      </c>
      <c r="K141" s="97">
        <f>SUBTOTAL(109,compras_mes7[IVA 10,5%])</f>
        <v>1070684.8183500001</v>
      </c>
      <c r="L141" s="97">
        <f>SUBTOTAL(109,compras_mes7[PERC. IVA])</f>
        <v>58237.08</v>
      </c>
      <c r="M141" s="97">
        <f>SUBTOTAL(109,compras_mes7[PERC IIBB 
BS AS])</f>
        <v>0</v>
      </c>
      <c r="N141" s="97">
        <f>SUBTOTAL(109,compras_mes7[PERC. IIBB CABA])</f>
        <v>478297.36999999994</v>
      </c>
      <c r="O141" s="97">
        <f>SUBTOTAL(109,compras_mes7[Otros / No Grav.])</f>
        <v>38983</v>
      </c>
      <c r="P141" s="97">
        <f>SUBTOTAL(109,compras_mes7[TOTAL])</f>
        <v>83377925.625849977</v>
      </c>
      <c r="Q141" s="95"/>
      <c r="R141" s="95"/>
    </row>
    <row r="142" spans="2:18" x14ac:dyDescent="0.25">
      <c r="B142" s="40"/>
      <c r="C142" s="41"/>
      <c r="D142" s="42"/>
      <c r="E142" s="43"/>
      <c r="F142" s="44"/>
      <c r="G142" s="45"/>
      <c r="H142" s="46"/>
      <c r="I142" s="47"/>
      <c r="J142" s="47"/>
      <c r="K142" s="47"/>
      <c r="L142" s="47"/>
      <c r="M142" s="47"/>
      <c r="N142" s="47"/>
      <c r="O142" s="47"/>
      <c r="P142" s="48"/>
      <c r="Q142" s="49"/>
      <c r="R142" s="49"/>
    </row>
    <row r="143" spans="2:18" x14ac:dyDescent="0.25">
      <c r="B143" s="40"/>
      <c r="C143" s="41"/>
      <c r="D143" s="42"/>
      <c r="E143" s="43"/>
      <c r="F143" s="44"/>
      <c r="G143" s="45"/>
      <c r="H143" s="46"/>
      <c r="I143" s="47"/>
      <c r="J143" s="47"/>
      <c r="K143" s="47"/>
      <c r="L143" s="47"/>
      <c r="M143" s="47"/>
      <c r="N143" s="47"/>
      <c r="O143" s="47"/>
      <c r="P143" s="48"/>
      <c r="Q143" s="49"/>
      <c r="R143" s="49"/>
    </row>
    <row r="144" spans="2:18" x14ac:dyDescent="0.25">
      <c r="B144" s="40"/>
      <c r="C144" s="41"/>
      <c r="D144" s="42"/>
      <c r="E144" s="43"/>
      <c r="F144" s="44"/>
      <c r="G144" s="45"/>
      <c r="H144" s="46"/>
      <c r="I144" s="47"/>
      <c r="J144" s="47"/>
      <c r="K144" s="47"/>
      <c r="L144" s="47"/>
      <c r="M144" s="47"/>
      <c r="N144" s="47"/>
      <c r="O144" s="47"/>
      <c r="P144" s="48"/>
      <c r="Q144" s="49"/>
      <c r="R144" s="49"/>
    </row>
    <row r="145" spans="2:13" x14ac:dyDescent="0.25">
      <c r="B145" s="40"/>
      <c r="C145" s="41"/>
      <c r="D145" s="42"/>
      <c r="E145" s="43"/>
      <c r="F145" s="44"/>
      <c r="G145" s="45"/>
      <c r="H145" s="46"/>
      <c r="I145" s="47"/>
      <c r="J145" s="47"/>
      <c r="K145" s="47"/>
      <c r="L145" s="47"/>
    </row>
    <row r="146" spans="2:13" ht="21" x14ac:dyDescent="0.25">
      <c r="D146" s="618" t="s">
        <v>15</v>
      </c>
      <c r="E146" s="618"/>
      <c r="F146" s="618"/>
      <c r="G146" s="618"/>
      <c r="H146" s="618"/>
      <c r="I146" s="618"/>
      <c r="J146" s="618"/>
      <c r="K146" s="618"/>
      <c r="L146" s="618"/>
    </row>
    <row r="147" spans="2:13" ht="15.75" x14ac:dyDescent="0.25">
      <c r="D147" s="73" t="s">
        <v>0</v>
      </c>
      <c r="E147" s="74" t="s">
        <v>26</v>
      </c>
      <c r="F147" s="74" t="s">
        <v>3</v>
      </c>
      <c r="G147" s="74" t="s">
        <v>16</v>
      </c>
      <c r="H147" s="74" t="s">
        <v>5</v>
      </c>
      <c r="I147" s="74" t="s">
        <v>17</v>
      </c>
      <c r="J147" s="74" t="s">
        <v>7</v>
      </c>
      <c r="K147" s="75" t="s">
        <v>18</v>
      </c>
      <c r="L147" s="75" t="s">
        <v>19</v>
      </c>
      <c r="M147" s="76" t="s">
        <v>20</v>
      </c>
    </row>
    <row r="148" spans="2:13" x14ac:dyDescent="0.25">
      <c r="D148" s="50"/>
      <c r="E148" s="80"/>
      <c r="F148" s="80"/>
      <c r="G148" s="80" t="s">
        <v>2378</v>
      </c>
      <c r="H148" s="81">
        <v>53595.57</v>
      </c>
      <c r="I148" s="81">
        <f>extracto_banco_mes7[[#This Row],[NETO]]*21/100</f>
        <v>11255.0697</v>
      </c>
      <c r="J148" s="81"/>
      <c r="K148" s="81"/>
      <c r="L148" s="81"/>
      <c r="M148" s="81"/>
    </row>
    <row r="149" spans="2:13" x14ac:dyDescent="0.25">
      <c r="D149" s="50"/>
      <c r="E149" s="80"/>
      <c r="F149" s="80"/>
      <c r="G149" s="80" t="s">
        <v>2237</v>
      </c>
      <c r="H149" s="81">
        <v>40275</v>
      </c>
      <c r="I149" s="81">
        <f>extracto_banco_mes7[[#This Row],[NETO]]*21/100</f>
        <v>8457.75</v>
      </c>
      <c r="J149" s="81"/>
      <c r="K149" s="81"/>
      <c r="L149" s="81"/>
      <c r="M149" s="81"/>
    </row>
    <row r="150" spans="2:13" x14ac:dyDescent="0.25">
      <c r="D150" s="50"/>
      <c r="E150" s="79"/>
      <c r="F150" s="79"/>
      <c r="G150" s="80"/>
      <c r="H150" s="81"/>
      <c r="I150" s="81">
        <f>extracto_banco_mes7[[#This Row],[NETO]]*21/100</f>
        <v>0</v>
      </c>
      <c r="J150" s="81"/>
      <c r="K150" s="81"/>
      <c r="L150" s="81"/>
      <c r="M150" s="81"/>
    </row>
    <row r="151" spans="2:13" x14ac:dyDescent="0.25">
      <c r="D151" s="82" t="s">
        <v>110</v>
      </c>
      <c r="E151" s="80"/>
      <c r="F151" s="80"/>
      <c r="G151" s="80"/>
      <c r="H151" s="83">
        <f>SUBTOTAL(109,extracto_banco_mes7[NETO])</f>
        <v>93870.57</v>
      </c>
      <c r="I151" s="83">
        <f>SUBTOTAL(109,extracto_banco_mes7[IVA 21%])</f>
        <v>19712.8197</v>
      </c>
      <c r="J151" s="83">
        <f>SUBTOTAL(109,extracto_banco_mes7[IVA 10,5%])</f>
        <v>0</v>
      </c>
      <c r="K151" s="83">
        <f>SUBTOTAL(109,extracto_banco_mes7[RET IIBB CABA])</f>
        <v>0</v>
      </c>
      <c r="L151" s="83">
        <f>SUBTOTAL(109,extracto_banco_mes7[PERC IVA])</f>
        <v>0</v>
      </c>
      <c r="M151" s="83">
        <f>SUBTOTAL(109,extracto_banco_mes7[PERC IIBB])</f>
        <v>0</v>
      </c>
    </row>
    <row r="155" spans="2:13" ht="21" x14ac:dyDescent="0.25">
      <c r="D155" s="618" t="s">
        <v>25</v>
      </c>
      <c r="E155" s="618"/>
      <c r="F155" s="618"/>
      <c r="G155" s="618"/>
      <c r="H155" s="618"/>
      <c r="I155" s="618"/>
      <c r="J155" s="618"/>
      <c r="K155" s="618"/>
    </row>
    <row r="156" spans="2:13" x14ac:dyDescent="0.25">
      <c r="D156" s="51" t="s">
        <v>0</v>
      </c>
      <c r="E156" s="51" t="s">
        <v>2</v>
      </c>
      <c r="F156" s="51" t="s">
        <v>74</v>
      </c>
      <c r="G156" s="51" t="s">
        <v>3</v>
      </c>
      <c r="H156" s="51" t="s">
        <v>4</v>
      </c>
      <c r="I156" s="52" t="s">
        <v>10</v>
      </c>
      <c r="J156" s="51" t="s">
        <v>13</v>
      </c>
      <c r="K156" s="51" t="s">
        <v>38</v>
      </c>
    </row>
    <row r="157" spans="2:13" x14ac:dyDescent="0.25">
      <c r="D157" s="247"/>
      <c r="E157" s="309"/>
      <c r="F157" s="309"/>
      <c r="G157" s="36">
        <v>27122903201</v>
      </c>
      <c r="H157" s="53" t="str">
        <f>IFERROR(IF(factura_c_mes7[[#This Row],[CUIT]]="","-",VLOOKUP(factura_c_mes7[[#This Row],[CUIT]],Lista_CUIT[#All],2,0)),"CUIT NO CARGADO")</f>
        <v>ARCE RAQUEL INES</v>
      </c>
      <c r="I157" s="244">
        <v>980000</v>
      </c>
      <c r="J157" s="54" t="str">
        <f>IFERROR(IF(factura_c_mes7[[#This Row],[CUIT]]="","-",VLOOKUP(factura_c_mes7[[#This Row],[CUIT]],Lista_CUIT[#All],3,0)),"CUIT NO CARGADO")</f>
        <v>Insumos</v>
      </c>
      <c r="K157" s="54">
        <f>IFERROR(IF(factura_c_mes7[[#This Row],[CUIT]]="","-",VLOOKUP(factura_c_mes7[[#This Row],[CUIT]],Lista_CUIT[#All],4,0)),"CUIT NO CARGADO")</f>
        <v>0</v>
      </c>
    </row>
    <row r="158" spans="2:13" x14ac:dyDescent="0.25">
      <c r="D158" s="247"/>
      <c r="E158" s="309"/>
      <c r="F158" s="309"/>
      <c r="G158" s="36">
        <v>27443612713</v>
      </c>
      <c r="H158" s="53" t="str">
        <f>IFERROR(IF(factura_c_mes7[[#This Row],[CUIT]]="","-",VLOOKUP(factura_c_mes7[[#This Row],[CUIT]],Lista_CUIT[#All],2,0)),"CUIT NO CARGADO")</f>
        <v>MIGOYA MORIONDO SOFIA</v>
      </c>
      <c r="I158" s="244">
        <v>870000</v>
      </c>
      <c r="J158" s="54" t="str">
        <f>IFERROR(IF(factura_c_mes7[[#This Row],[CUIT]]="","-",VLOOKUP(factura_c_mes7[[#This Row],[CUIT]],Lista_CUIT[#All],3,0)),"CUIT NO CARGADO")</f>
        <v>GTOS ADMINISTRATIVOS</v>
      </c>
      <c r="K158" s="54">
        <f>IFERROR(IF(factura_c_mes7[[#This Row],[CUIT]]="","-",VLOOKUP(factura_c_mes7[[#This Row],[CUIT]],Lista_CUIT[#All],4,0)),"CUIT NO CARGADO")</f>
        <v>0</v>
      </c>
    </row>
    <row r="159" spans="2:13" x14ac:dyDescent="0.25">
      <c r="D159" s="247"/>
      <c r="E159" s="309"/>
      <c r="F159" s="309"/>
      <c r="G159" s="36">
        <v>20311855671</v>
      </c>
      <c r="H159" s="53" t="str">
        <f>IFERROR(IF(factura_c_mes7[[#This Row],[CUIT]]="","-",VLOOKUP(factura_c_mes7[[#This Row],[CUIT]],Lista_CUIT[#All],2,0)),"CUIT NO CARGADO")</f>
        <v>GUASCH HECTOR RAUL</v>
      </c>
      <c r="I159" s="244">
        <v>530000</v>
      </c>
      <c r="J159" s="54" t="str">
        <f>IFERROR(IF(factura_c_mes7[[#This Row],[CUIT]]="","-",VLOOKUP(factura_c_mes7[[#This Row],[CUIT]],Lista_CUIT[#All],3,0)),"CUIT NO CARGADO")</f>
        <v>Insumos</v>
      </c>
      <c r="K159" s="54">
        <f>IFERROR(IF(factura_c_mes7[[#This Row],[CUIT]]="","-",VLOOKUP(factura_c_mes7[[#This Row],[CUIT]],Lista_CUIT[#All],4,0)),"CUIT NO CARGADO")</f>
        <v>0</v>
      </c>
    </row>
    <row r="160" spans="2:13" x14ac:dyDescent="0.25">
      <c r="D160" s="247"/>
      <c r="E160" s="309"/>
      <c r="F160" s="309"/>
      <c r="G160" s="36">
        <v>20311855671</v>
      </c>
      <c r="H160" s="53" t="str">
        <f>IFERROR(IF(factura_c_mes7[[#This Row],[CUIT]]="","-",VLOOKUP(factura_c_mes7[[#This Row],[CUIT]],Lista_CUIT[#All],2,0)),"CUIT NO CARGADO")</f>
        <v>GUASCH HECTOR RAUL</v>
      </c>
      <c r="I160" s="244">
        <v>145000</v>
      </c>
      <c r="J160" s="54" t="str">
        <f>IFERROR(IF(factura_c_mes7[[#This Row],[CUIT]]="","-",VLOOKUP(factura_c_mes7[[#This Row],[CUIT]],Lista_CUIT[#All],3,0)),"CUIT NO CARGADO")</f>
        <v>Insumos</v>
      </c>
      <c r="K160" s="54">
        <f>IFERROR(IF(factura_c_mes7[[#This Row],[CUIT]]="","-",VLOOKUP(factura_c_mes7[[#This Row],[CUIT]],Lista_CUIT[#All],4,0)),"CUIT NO CARGADO")</f>
        <v>0</v>
      </c>
    </row>
    <row r="161" spans="4:11" x14ac:dyDescent="0.25">
      <c r="D161" s="247"/>
      <c r="E161" s="309"/>
      <c r="F161" s="309"/>
      <c r="G161" s="36">
        <v>20311855671</v>
      </c>
      <c r="H161" s="53" t="str">
        <f>IFERROR(IF(factura_c_mes7[[#This Row],[CUIT]]="","-",VLOOKUP(factura_c_mes7[[#This Row],[CUIT]],Lista_CUIT[#All],2,0)),"CUIT NO CARGADO")</f>
        <v>GUASCH HECTOR RAUL</v>
      </c>
      <c r="I161" s="244">
        <v>385000</v>
      </c>
      <c r="J161" s="54" t="str">
        <f>IFERROR(IF(factura_c_mes7[[#This Row],[CUIT]]="","-",VLOOKUP(factura_c_mes7[[#This Row],[CUIT]],Lista_CUIT[#All],3,0)),"CUIT NO CARGADO")</f>
        <v>Insumos</v>
      </c>
      <c r="K161" s="54">
        <f>IFERROR(IF(factura_c_mes7[[#This Row],[CUIT]]="","-",VLOOKUP(factura_c_mes7[[#This Row],[CUIT]],Lista_CUIT[#All],4,0)),"CUIT NO CARGADO")</f>
        <v>0</v>
      </c>
    </row>
    <row r="162" spans="4:11" x14ac:dyDescent="0.25">
      <c r="D162" s="247"/>
      <c r="E162" s="309"/>
      <c r="F162" s="309"/>
      <c r="G162" s="36">
        <v>20944494236</v>
      </c>
      <c r="H162" s="53" t="str">
        <f>IFERROR(IF(factura_c_mes7[[#This Row],[CUIT]]="","-",VLOOKUP(factura_c_mes7[[#This Row],[CUIT]],Lista_CUIT[#All],2,0)),"CUIT NO CARGADO")</f>
        <v>DILVER ALEX ISNADO IGNACIO</v>
      </c>
      <c r="I162" s="244">
        <v>246650</v>
      </c>
      <c r="J162" s="54" t="str">
        <f>IFERROR(IF(factura_c_mes7[[#This Row],[CUIT]]="","-",VLOOKUP(factura_c_mes7[[#This Row],[CUIT]],Lista_CUIT[#All],3,0)),"CUIT NO CARGADO")</f>
        <v>Insumos</v>
      </c>
      <c r="K162" s="54">
        <f>IFERROR(IF(factura_c_mes7[[#This Row],[CUIT]]="","-",VLOOKUP(factura_c_mes7[[#This Row],[CUIT]],Lista_CUIT[#All],4,0)),"CUIT NO CARGADO")</f>
        <v>0</v>
      </c>
    </row>
    <row r="163" spans="4:11" x14ac:dyDescent="0.25">
      <c r="D163" s="247"/>
      <c r="E163" s="309"/>
      <c r="F163" s="309"/>
      <c r="G163" s="36">
        <v>27338342840</v>
      </c>
      <c r="H163" s="53" t="str">
        <f>IFERROR(IF(factura_c_mes7[[#This Row],[CUIT]]="","-",VLOOKUP(factura_c_mes7[[#This Row],[CUIT]],Lista_CUIT[#All],2,0)),"CUIT NO CARGADO")</f>
        <v>CANCINO PAMELA RITA</v>
      </c>
      <c r="I163" s="244">
        <v>610000</v>
      </c>
      <c r="J163" s="54" t="str">
        <f>IFERROR(IF(factura_c_mes7[[#This Row],[CUIT]]="","-",VLOOKUP(factura_c_mes7[[#This Row],[CUIT]],Lista_CUIT[#All],3,0)),"CUIT NO CARGADO")</f>
        <v>PROVEEDOR</v>
      </c>
      <c r="K163" s="54">
        <f>IFERROR(IF(factura_c_mes7[[#This Row],[CUIT]]="","-",VLOOKUP(factura_c_mes7[[#This Row],[CUIT]],Lista_CUIT[#All],4,0)),"CUIT NO CARGADO")</f>
        <v>0</v>
      </c>
    </row>
    <row r="164" spans="4:11" x14ac:dyDescent="0.25">
      <c r="D164" s="247"/>
      <c r="E164" s="309"/>
      <c r="F164" s="309"/>
      <c r="G164" s="36">
        <v>20086277523</v>
      </c>
      <c r="H164" s="53" t="str">
        <f>IFERROR(IF(factura_c_mes7[[#This Row],[CUIT]]="","-",VLOOKUP(factura_c_mes7[[#This Row],[CUIT]],Lista_CUIT[#All],2,0)),"CUIT NO CARGADO")</f>
        <v>BOTINDARI JUAN CARLOS</v>
      </c>
      <c r="I164" s="244">
        <v>290000</v>
      </c>
      <c r="J164" s="54" t="str">
        <f>IFERROR(IF(factura_c_mes7[[#This Row],[CUIT]]="","-",VLOOKUP(factura_c_mes7[[#This Row],[CUIT]],Lista_CUIT[#All],3,0)),"CUIT NO CARGADO")</f>
        <v>HONORARIOS</v>
      </c>
      <c r="K164" s="54">
        <f>IFERROR(IF(factura_c_mes7[[#This Row],[CUIT]]="","-",VLOOKUP(factura_c_mes7[[#This Row],[CUIT]],Lista_CUIT[#All],4,0)),"CUIT NO CARGADO")</f>
        <v>0</v>
      </c>
    </row>
    <row r="165" spans="4:11" x14ac:dyDescent="0.25">
      <c r="D165" s="247"/>
      <c r="E165" s="309"/>
      <c r="F165" s="309"/>
      <c r="G165" s="36">
        <v>20086277523</v>
      </c>
      <c r="H165" s="53" t="str">
        <f>IFERROR(IF(factura_c_mes7[[#This Row],[CUIT]]="","-",VLOOKUP(factura_c_mes7[[#This Row],[CUIT]],Lista_CUIT[#All],2,0)),"CUIT NO CARGADO")</f>
        <v>BOTINDARI JUAN CARLOS</v>
      </c>
      <c r="I165" s="244">
        <v>800000</v>
      </c>
      <c r="J165" s="54" t="str">
        <f>IFERROR(IF(factura_c_mes7[[#This Row],[CUIT]]="","-",VLOOKUP(factura_c_mes7[[#This Row],[CUIT]],Lista_CUIT[#All],3,0)),"CUIT NO CARGADO")</f>
        <v>HONORARIOS</v>
      </c>
      <c r="K165" s="54">
        <f>IFERROR(IF(factura_c_mes7[[#This Row],[CUIT]]="","-",VLOOKUP(factura_c_mes7[[#This Row],[CUIT]],Lista_CUIT[#All],4,0)),"CUIT NO CARGADO")</f>
        <v>0</v>
      </c>
    </row>
    <row r="166" spans="4:11" x14ac:dyDescent="0.25">
      <c r="D166" s="247"/>
      <c r="E166" s="309"/>
      <c r="F166" s="309"/>
      <c r="G166" s="36">
        <v>27443612705</v>
      </c>
      <c r="H166" s="53" t="str">
        <f>IFERROR(IF(factura_c_mes7[[#This Row],[CUIT]]="","-",VLOOKUP(factura_c_mes7[[#This Row],[CUIT]],Lista_CUIT[#All],2,0)),"CUIT NO CARGADO")</f>
        <v>MIGOYA MORIONDO MARIA INES</v>
      </c>
      <c r="I166" s="244">
        <v>900000</v>
      </c>
      <c r="J166" s="54" t="str">
        <f>IFERROR(IF(factura_c_mes7[[#This Row],[CUIT]]="","-",VLOOKUP(factura_c_mes7[[#This Row],[CUIT]],Lista_CUIT[#All],3,0)),"CUIT NO CARGADO")</f>
        <v>GTOS ADMINISTRATIVOS</v>
      </c>
      <c r="K166" s="54">
        <f>IFERROR(IF(factura_c_mes7[[#This Row],[CUIT]]="","-",VLOOKUP(factura_c_mes7[[#This Row],[CUIT]],Lista_CUIT[#All],4,0)),"CUIT NO CARGADO")</f>
        <v>0</v>
      </c>
    </row>
    <row r="167" spans="4:11" x14ac:dyDescent="0.25">
      <c r="D167" s="247"/>
      <c r="E167" s="309"/>
      <c r="F167" s="309"/>
      <c r="G167" s="36">
        <v>27380284052</v>
      </c>
      <c r="H167" s="53" t="str">
        <f>IFERROR(IF(factura_c_mes7[[#This Row],[CUIT]]="","-",VLOOKUP(factura_c_mes7[[#This Row],[CUIT]],Lista_CUIT[#All],2,0)),"CUIT NO CARGADO")</f>
        <v>CIVALE PAULA</v>
      </c>
      <c r="I167" s="244">
        <v>260000</v>
      </c>
      <c r="J167" s="54" t="str">
        <f>IFERROR(IF(factura_c_mes7[[#This Row],[CUIT]]="","-",VLOOKUP(factura_c_mes7[[#This Row],[CUIT]],Lista_CUIT[#All],3,0)),"CUIT NO CARGADO")</f>
        <v>GTOS ADMINISTRATIVOS</v>
      </c>
      <c r="K167" s="54">
        <f>IFERROR(IF(factura_c_mes7[[#This Row],[CUIT]]="","-",VLOOKUP(factura_c_mes7[[#This Row],[CUIT]],Lista_CUIT[#All],4,0)),"CUIT NO CARGADO")</f>
        <v>0</v>
      </c>
    </row>
    <row r="168" spans="4:11" x14ac:dyDescent="0.25">
      <c r="D168" s="247"/>
      <c r="E168" s="309"/>
      <c r="F168" s="309"/>
      <c r="G168" s="36">
        <v>23281233084</v>
      </c>
      <c r="H168" s="53" t="str">
        <f>IFERROR(IF(factura_c_mes7[[#This Row],[CUIT]]="","-",VLOOKUP(factura_c_mes7[[#This Row],[CUIT]],Lista_CUIT[#All],2,0)),"CUIT NO CARGADO")</f>
        <v>DRUETTA ANDREA MARIEL</v>
      </c>
      <c r="I168" s="244">
        <v>300000</v>
      </c>
      <c r="J168" s="54" t="str">
        <f>IFERROR(IF(factura_c_mes7[[#This Row],[CUIT]]="","-",VLOOKUP(factura_c_mes7[[#This Row],[CUIT]],Lista_CUIT[#All],3,0)),"CUIT NO CARGADO")</f>
        <v>TECNICO</v>
      </c>
      <c r="K168" s="54">
        <f>IFERROR(IF(factura_c_mes7[[#This Row],[CUIT]]="","-",VLOOKUP(factura_c_mes7[[#This Row],[CUIT]],Lista_CUIT[#All],4,0)),"CUIT NO CARGADO")</f>
        <v>0</v>
      </c>
    </row>
    <row r="169" spans="4:11" x14ac:dyDescent="0.25">
      <c r="D169" s="247"/>
      <c r="E169" s="309"/>
      <c r="F169" s="309"/>
      <c r="G169" s="36">
        <v>27344304551</v>
      </c>
      <c r="H169" s="53" t="str">
        <f>IFERROR(IF(factura_c_mes7[[#This Row],[CUIT]]="","-",VLOOKUP(factura_c_mes7[[#This Row],[CUIT]],Lista_CUIT[#All],2,0)),"CUIT NO CARGADO")</f>
        <v>BOCCACCI MARIA FLORENCIA</v>
      </c>
      <c r="I169" s="244">
        <v>100000</v>
      </c>
      <c r="J169" s="54" t="str">
        <f>IFERROR(IF(factura_c_mes7[[#This Row],[CUIT]]="","-",VLOOKUP(factura_c_mes7[[#This Row],[CUIT]],Lista_CUIT[#All],3,0)),"CUIT NO CARGADO")</f>
        <v>Servicios</v>
      </c>
      <c r="K169" s="54">
        <f>IFERROR(IF(factura_c_mes7[[#This Row],[CUIT]]="","-",VLOOKUP(factura_c_mes7[[#This Row],[CUIT]],Lista_CUIT[#All],4,0)),"CUIT NO CARGADO")</f>
        <v>0</v>
      </c>
    </row>
    <row r="170" spans="4:11" x14ac:dyDescent="0.25">
      <c r="D170" s="247"/>
      <c r="E170" s="309"/>
      <c r="F170" s="309"/>
      <c r="G170" s="36">
        <v>27344304551</v>
      </c>
      <c r="H170" s="53" t="str">
        <f>IFERROR(IF(factura_c_mes7[[#This Row],[CUIT]]="","-",VLOOKUP(factura_c_mes7[[#This Row],[CUIT]],Lista_CUIT[#All],2,0)),"CUIT NO CARGADO")</f>
        <v>BOCCACCI MARIA FLORENCIA</v>
      </c>
      <c r="I170" s="244">
        <v>800000</v>
      </c>
      <c r="J170" s="54" t="str">
        <f>IFERROR(IF(factura_c_mes7[[#This Row],[CUIT]]="","-",VLOOKUP(factura_c_mes7[[#This Row],[CUIT]],Lista_CUIT[#All],3,0)),"CUIT NO CARGADO")</f>
        <v>Servicios</v>
      </c>
      <c r="K170" s="54">
        <f>IFERROR(IF(factura_c_mes7[[#This Row],[CUIT]]="","-",VLOOKUP(factura_c_mes7[[#This Row],[CUIT]],Lista_CUIT[#All],4,0)),"CUIT NO CARGADO")</f>
        <v>0</v>
      </c>
    </row>
    <row r="171" spans="4:11" x14ac:dyDescent="0.25">
      <c r="D171" s="247"/>
      <c r="E171" s="309"/>
      <c r="F171" s="309"/>
      <c r="G171" s="36">
        <v>27344304551</v>
      </c>
      <c r="H171" s="53" t="str">
        <f>IFERROR(IF(factura_c_mes7[[#This Row],[CUIT]]="","-",VLOOKUP(factura_c_mes7[[#This Row],[CUIT]],Lista_CUIT[#All],2,0)),"CUIT NO CARGADO")</f>
        <v>BOCCACCI MARIA FLORENCIA</v>
      </c>
      <c r="I171" s="244">
        <v>800000</v>
      </c>
      <c r="J171" s="54" t="str">
        <f>IFERROR(IF(factura_c_mes7[[#This Row],[CUIT]]="","-",VLOOKUP(factura_c_mes7[[#This Row],[CUIT]],Lista_CUIT[#All],3,0)),"CUIT NO CARGADO")</f>
        <v>Servicios</v>
      </c>
      <c r="K171" s="54">
        <f>IFERROR(IF(factura_c_mes7[[#This Row],[CUIT]]="","-",VLOOKUP(factura_c_mes7[[#This Row],[CUIT]],Lista_CUIT[#All],4,0)),"CUIT NO CARGADO")</f>
        <v>0</v>
      </c>
    </row>
    <row r="172" spans="4:11" x14ac:dyDescent="0.25">
      <c r="D172" s="247"/>
      <c r="E172" s="309"/>
      <c r="F172" s="309"/>
      <c r="G172" s="36">
        <v>27315710508</v>
      </c>
      <c r="H172" s="53" t="str">
        <f>IFERROR(IF(factura_c_mes7[[#This Row],[CUIT]]="","-",VLOOKUP(factura_c_mes7[[#This Row],[CUIT]],Lista_CUIT[#All],2,0)),"CUIT NO CARGADO")</f>
        <v>RIVERO GABRIELA ROCIO</v>
      </c>
      <c r="I172" s="244">
        <v>48600</v>
      </c>
      <c r="J172" s="54" t="str">
        <f>IFERROR(IF(factura_c_mes7[[#This Row],[CUIT]]="","-",VLOOKUP(factura_c_mes7[[#This Row],[CUIT]],Lista_CUIT[#All],3,0)),"CUIT NO CARGADO")</f>
        <v>Serv. Informaticos</v>
      </c>
      <c r="K172" s="54">
        <f>IFERROR(IF(factura_c_mes7[[#This Row],[CUIT]]="","-",VLOOKUP(factura_c_mes7[[#This Row],[CUIT]],Lista_CUIT[#All],4,0)),"CUIT NO CARGADO")</f>
        <v>0</v>
      </c>
    </row>
    <row r="173" spans="4:11" x14ac:dyDescent="0.25">
      <c r="D173" s="247"/>
      <c r="E173" s="309"/>
      <c r="F173" s="309"/>
      <c r="G173" s="36">
        <v>27265832178</v>
      </c>
      <c r="H173" s="53" t="str">
        <f>IFERROR(IF(factura_c_mes7[[#This Row],[CUIT]]="","-",VLOOKUP(factura_c_mes7[[#This Row],[CUIT]],Lista_CUIT[#All],2,0)),"CUIT NO CARGADO")</f>
        <v>BLASCO MARIA GUADALUPE</v>
      </c>
      <c r="I173" s="244">
        <v>3200000</v>
      </c>
      <c r="J173" s="54" t="str">
        <f>IFERROR(IF(factura_c_mes7[[#This Row],[CUIT]]="","-",VLOOKUP(factura_c_mes7[[#This Row],[CUIT]],Lista_CUIT[#All],3,0)),"CUIT NO CARGADO")</f>
        <v>PROVEEDOR</v>
      </c>
      <c r="K173" s="54">
        <f>IFERROR(IF(factura_c_mes7[[#This Row],[CUIT]]="","-",VLOOKUP(factura_c_mes7[[#This Row],[CUIT]],Lista_CUIT[#All],4,0)),"CUIT NO CARGADO")</f>
        <v>0</v>
      </c>
    </row>
    <row r="174" spans="4:11" x14ac:dyDescent="0.25">
      <c r="D174" s="247"/>
      <c r="E174" s="309"/>
      <c r="F174" s="309"/>
      <c r="G174" s="36"/>
      <c r="H174" s="53" t="str">
        <f>IFERROR(IF(factura_c_mes7[[#This Row],[CUIT]]="","-",VLOOKUP(factura_c_mes7[[#This Row],[CUIT]],Lista_CUIT[#All],2,0)),"CUIT NO CARGADO")</f>
        <v>-</v>
      </c>
      <c r="I174" s="244"/>
      <c r="J174" s="54" t="str">
        <f>IFERROR(IF(factura_c_mes7[[#This Row],[CUIT]]="","-",VLOOKUP(factura_c_mes7[[#This Row],[CUIT]],Lista_CUIT[#All],3,0)),"CUIT NO CARGADO")</f>
        <v>-</v>
      </c>
      <c r="K174" s="54" t="str">
        <f>IFERROR(IF(factura_c_mes7[[#This Row],[CUIT]]="","-",VLOOKUP(factura_c_mes7[[#This Row],[CUIT]],Lista_CUIT[#All],4,0)),"CUIT NO CARGADO")</f>
        <v>-</v>
      </c>
    </row>
    <row r="175" spans="4:11" x14ac:dyDescent="0.25">
      <c r="D175" s="247"/>
      <c r="E175" s="309"/>
      <c r="F175" s="309"/>
      <c r="G175" s="36"/>
      <c r="H175" s="53" t="str">
        <f>IFERROR(IF(factura_c_mes7[[#This Row],[CUIT]]="","-",VLOOKUP(factura_c_mes7[[#This Row],[CUIT]],Lista_CUIT[#All],2,0)),"CUIT NO CARGADO")</f>
        <v>-</v>
      </c>
      <c r="I175" s="244"/>
      <c r="J175" s="54" t="str">
        <f>IFERROR(IF(factura_c_mes7[[#This Row],[CUIT]]="","-",VLOOKUP(factura_c_mes7[[#This Row],[CUIT]],Lista_CUIT[#All],3,0)),"CUIT NO CARGADO")</f>
        <v>-</v>
      </c>
      <c r="K175" s="54" t="str">
        <f>IFERROR(IF(factura_c_mes7[[#This Row],[CUIT]]="","-",VLOOKUP(factura_c_mes7[[#This Row],[CUIT]],Lista_CUIT[#All],4,0)),"CUIT NO CARGADO")</f>
        <v>-</v>
      </c>
    </row>
    <row r="176" spans="4:11" x14ac:dyDescent="0.25">
      <c r="D176" s="247"/>
      <c r="E176" s="309"/>
      <c r="F176" s="309"/>
      <c r="G176" s="36"/>
      <c r="H176" s="53" t="str">
        <f>IFERROR(IF(factura_c_mes7[[#This Row],[CUIT]]="","-",VLOOKUP(factura_c_mes7[[#This Row],[CUIT]],Lista_CUIT[#All],2,0)),"CUIT NO CARGADO")</f>
        <v>-</v>
      </c>
      <c r="I176" s="244"/>
      <c r="J176" s="54" t="str">
        <f>IFERROR(IF(factura_c_mes7[[#This Row],[CUIT]]="","-",VLOOKUP(factura_c_mes7[[#This Row],[CUIT]],Lista_CUIT[#All],3,0)),"CUIT NO CARGADO")</f>
        <v>-</v>
      </c>
      <c r="K176" s="54" t="str">
        <f>IFERROR(IF(factura_c_mes7[[#This Row],[CUIT]]="","-",VLOOKUP(factura_c_mes7[[#This Row],[CUIT]],Lista_CUIT[#All],4,0)),"CUIT NO CARGADO")</f>
        <v>-</v>
      </c>
    </row>
    <row r="177" spans="2:18" x14ac:dyDescent="0.25">
      <c r="D177" s="247"/>
      <c r="E177" s="309"/>
      <c r="F177" s="309"/>
      <c r="G177" s="36"/>
      <c r="H177" s="53" t="str">
        <f>IFERROR(IF(factura_c_mes7[[#This Row],[CUIT]]="","-",VLOOKUP(factura_c_mes7[[#This Row],[CUIT]],Lista_CUIT[#All],2,0)),"CUIT NO CARGADO")</f>
        <v>-</v>
      </c>
      <c r="I177" s="244"/>
      <c r="J177" s="54" t="str">
        <f>IFERROR(IF(factura_c_mes7[[#This Row],[CUIT]]="","-",VLOOKUP(factura_c_mes7[[#This Row],[CUIT]],Lista_CUIT[#All],3,0)),"CUIT NO CARGADO")</f>
        <v>-</v>
      </c>
      <c r="K177" s="54" t="str">
        <f>IFERROR(IF(factura_c_mes7[[#This Row],[CUIT]]="","-",VLOOKUP(factura_c_mes7[[#This Row],[CUIT]],Lista_CUIT[#All],4,0)),"CUIT NO CARGADO")</f>
        <v>-</v>
      </c>
    </row>
    <row r="178" spans="2:18" x14ac:dyDescent="0.25">
      <c r="D178" s="247"/>
      <c r="E178" s="309"/>
      <c r="F178" s="309"/>
      <c r="G178" s="36"/>
      <c r="H178" s="53" t="str">
        <f>IFERROR(IF(factura_c_mes7[[#This Row],[CUIT]]="","-",VLOOKUP(factura_c_mes7[[#This Row],[CUIT]],Lista_CUIT[#All],2,0)),"CUIT NO CARGADO")</f>
        <v>-</v>
      </c>
      <c r="I178" s="244"/>
      <c r="J178" s="54" t="str">
        <f>IFERROR(IF(factura_c_mes7[[#This Row],[CUIT]]="","-",VLOOKUP(factura_c_mes7[[#This Row],[CUIT]],Lista_CUIT[#All],3,0)),"CUIT NO CARGADO")</f>
        <v>-</v>
      </c>
      <c r="K178" s="54" t="str">
        <f>IFERROR(IF(factura_c_mes7[[#This Row],[CUIT]]="","-",VLOOKUP(factura_c_mes7[[#This Row],[CUIT]],Lista_CUIT[#All],4,0)),"CUIT NO CARGADO")</f>
        <v>-</v>
      </c>
    </row>
    <row r="179" spans="2:18" x14ac:dyDescent="0.25">
      <c r="D179" s="247"/>
      <c r="E179" s="309"/>
      <c r="F179" s="309"/>
      <c r="G179" s="36"/>
      <c r="H179" s="53" t="str">
        <f>IFERROR(IF(factura_c_mes7[[#This Row],[CUIT]]="","-",VLOOKUP(factura_c_mes7[[#This Row],[CUIT]],Lista_CUIT[#All],2,0)),"CUIT NO CARGADO")</f>
        <v>-</v>
      </c>
      <c r="I179" s="244"/>
      <c r="J179" s="54" t="str">
        <f>IFERROR(IF(factura_c_mes7[[#This Row],[CUIT]]="","-",VLOOKUP(factura_c_mes7[[#This Row],[CUIT]],Lista_CUIT[#All],3,0)),"CUIT NO CARGADO")</f>
        <v>-</v>
      </c>
      <c r="K179" s="54" t="str">
        <f>IFERROR(IF(factura_c_mes7[[#This Row],[CUIT]]="","-",VLOOKUP(factura_c_mes7[[#This Row],[CUIT]],Lista_CUIT[#All],4,0)),"CUIT NO CARGADO")</f>
        <v>-</v>
      </c>
    </row>
    <row r="180" spans="2:18" x14ac:dyDescent="0.25">
      <c r="D180" s="247"/>
      <c r="E180" s="309"/>
      <c r="F180" s="309"/>
      <c r="G180" s="36"/>
      <c r="H180" s="53" t="str">
        <f>IFERROR(IF(factura_c_mes7[[#This Row],[CUIT]]="","-",VLOOKUP(factura_c_mes7[[#This Row],[CUIT]],Lista_CUIT[#All],2,0)),"CUIT NO CARGADO")</f>
        <v>-</v>
      </c>
      <c r="I180" s="244"/>
      <c r="J180" s="54" t="str">
        <f>IFERROR(IF(factura_c_mes7[[#This Row],[CUIT]]="","-",VLOOKUP(factura_c_mes7[[#This Row],[CUIT]],Lista_CUIT[#All],3,0)),"CUIT NO CARGADO")</f>
        <v>-</v>
      </c>
      <c r="K180" s="54" t="str">
        <f>IFERROR(IF(factura_c_mes7[[#This Row],[CUIT]]="","-",VLOOKUP(factura_c_mes7[[#This Row],[CUIT]],Lista_CUIT[#All],4,0)),"CUIT NO CARGADO")</f>
        <v>-</v>
      </c>
    </row>
    <row r="181" spans="2:18" x14ac:dyDescent="0.25">
      <c r="D181" s="247"/>
      <c r="E181" s="309"/>
      <c r="F181" s="309"/>
      <c r="G181" s="36"/>
      <c r="H181" s="53" t="str">
        <f>IFERROR(IF(factura_c_mes7[[#This Row],[CUIT]]="","-",VLOOKUP(factura_c_mes7[[#This Row],[CUIT]],Lista_CUIT[#All],2,0)),"CUIT NO CARGADO")</f>
        <v>-</v>
      </c>
      <c r="I181" s="244"/>
      <c r="J181" s="54" t="str">
        <f>IFERROR(IF(factura_c_mes7[[#This Row],[CUIT]]="","-",VLOOKUP(factura_c_mes7[[#This Row],[CUIT]],Lista_CUIT[#All],3,0)),"CUIT NO CARGADO")</f>
        <v>-</v>
      </c>
      <c r="K181" s="54" t="str">
        <f>IFERROR(IF(factura_c_mes7[[#This Row],[CUIT]]="","-",VLOOKUP(factura_c_mes7[[#This Row],[CUIT]],Lista_CUIT[#All],4,0)),"CUIT NO CARGADO")</f>
        <v>-</v>
      </c>
    </row>
    <row r="182" spans="2:18" x14ac:dyDescent="0.25">
      <c r="D182" s="247"/>
      <c r="E182" s="309"/>
      <c r="F182" s="309"/>
      <c r="G182" s="36"/>
      <c r="H182" s="53" t="str">
        <f>IFERROR(IF(factura_c_mes7[[#This Row],[CUIT]]="","-",VLOOKUP(factura_c_mes7[[#This Row],[CUIT]],Lista_CUIT[#All],2,0)),"CUIT NO CARGADO")</f>
        <v>-</v>
      </c>
      <c r="I182" s="244"/>
      <c r="J182" s="54" t="str">
        <f>IFERROR(IF(factura_c_mes7[[#This Row],[CUIT]]="","-",VLOOKUP(factura_c_mes7[[#This Row],[CUIT]],Lista_CUIT[#All],3,0)),"CUIT NO CARGADO")</f>
        <v>-</v>
      </c>
      <c r="K182" s="54" t="str">
        <f>IFERROR(IF(factura_c_mes7[[#This Row],[CUIT]]="","-",VLOOKUP(factura_c_mes7[[#This Row],[CUIT]],Lista_CUIT[#All],4,0)),"CUIT NO CARGADO")</f>
        <v>-</v>
      </c>
    </row>
    <row r="183" spans="2:18" x14ac:dyDescent="0.25">
      <c r="D183" s="247"/>
      <c r="E183" s="309"/>
      <c r="F183" s="309"/>
      <c r="G183" s="36"/>
      <c r="H183" s="53" t="str">
        <f>IFERROR(IF(factura_c_mes7[[#This Row],[CUIT]]="","-",VLOOKUP(factura_c_mes7[[#This Row],[CUIT]],Lista_CUIT[#All],2,0)),"CUIT NO CARGADO")</f>
        <v>-</v>
      </c>
      <c r="I183" s="244"/>
      <c r="J183" s="54" t="str">
        <f>IFERROR(IF(factura_c_mes7[[#This Row],[CUIT]]="","-",VLOOKUP(factura_c_mes7[[#This Row],[CUIT]],Lista_CUIT[#All],3,0)),"CUIT NO CARGADO")</f>
        <v>-</v>
      </c>
      <c r="K183" s="54" t="str">
        <f>IFERROR(IF(factura_c_mes7[[#This Row],[CUIT]]="","-",VLOOKUP(factura_c_mes7[[#This Row],[CUIT]],Lista_CUIT[#All],4,0)),"CUIT NO CARGADO")</f>
        <v>-</v>
      </c>
    </row>
    <row r="184" spans="2:18" x14ac:dyDescent="0.25">
      <c r="D184" s="247"/>
      <c r="E184" s="309"/>
      <c r="F184" s="309"/>
      <c r="G184" s="36"/>
      <c r="H184" s="53" t="str">
        <f>IFERROR(IF(factura_c_mes7[[#This Row],[CUIT]]="","-",VLOOKUP(factura_c_mes7[[#This Row],[CUIT]],Lista_CUIT[#All],2,0)),"CUIT NO CARGADO")</f>
        <v>-</v>
      </c>
      <c r="I184" s="244"/>
      <c r="J184" s="54" t="str">
        <f>IFERROR(IF(factura_c_mes7[[#This Row],[CUIT]]="","-",VLOOKUP(factura_c_mes7[[#This Row],[CUIT]],Lista_CUIT[#All],3,0)),"CUIT NO CARGADO")</f>
        <v>-</v>
      </c>
      <c r="K184" s="54" t="str">
        <f>IFERROR(IF(factura_c_mes7[[#This Row],[CUIT]]="","-",VLOOKUP(factura_c_mes7[[#This Row],[CUIT]],Lista_CUIT[#All],4,0)),"CUIT NO CARGADO")</f>
        <v>-</v>
      </c>
    </row>
    <row r="185" spans="2:18" x14ac:dyDescent="0.25">
      <c r="D185" s="247"/>
      <c r="E185" s="309"/>
      <c r="F185" s="309"/>
      <c r="G185" s="36"/>
      <c r="H185" s="53" t="str">
        <f>IFERROR(IF(factura_c_mes7[[#This Row],[CUIT]]="","-",VLOOKUP(factura_c_mes7[[#This Row],[CUIT]],Lista_CUIT[#All],2,0)),"CUIT NO CARGADO")</f>
        <v>-</v>
      </c>
      <c r="I185" s="244"/>
      <c r="J185" s="54" t="str">
        <f>IFERROR(IF(factura_c_mes7[[#This Row],[CUIT]]="","-",VLOOKUP(factura_c_mes7[[#This Row],[CUIT]],Lista_CUIT[#All],3,0)),"CUIT NO CARGADO")</f>
        <v>-</v>
      </c>
      <c r="K185" s="54" t="str">
        <f>IFERROR(IF(factura_c_mes7[[#This Row],[CUIT]]="","-",VLOOKUP(factura_c_mes7[[#This Row],[CUIT]],Lista_CUIT[#All],4,0)),"CUIT NO CARGADO")</f>
        <v>-</v>
      </c>
    </row>
    <row r="186" spans="2:18" x14ac:dyDescent="0.25">
      <c r="D186" s="247"/>
      <c r="E186" s="309"/>
      <c r="F186" s="309"/>
      <c r="G186" s="36"/>
      <c r="H186" s="53" t="str">
        <f>IFERROR(IF(factura_c_mes7[[#This Row],[CUIT]]="","-",VLOOKUP(factura_c_mes7[[#This Row],[CUIT]],Lista_CUIT[#All],2,0)),"CUIT NO CARGADO")</f>
        <v>-</v>
      </c>
      <c r="I186" s="244"/>
      <c r="J186" s="54" t="str">
        <f>IFERROR(IF(factura_c_mes7[[#This Row],[CUIT]]="","-",VLOOKUP(factura_c_mes7[[#This Row],[CUIT]],Lista_CUIT[#All],3,0)),"CUIT NO CARGADO")</f>
        <v>-</v>
      </c>
      <c r="K186" s="54" t="str">
        <f>IFERROR(IF(factura_c_mes7[[#This Row],[CUIT]]="","-",VLOOKUP(factura_c_mes7[[#This Row],[CUIT]],Lista_CUIT[#All],4,0)),"CUIT NO CARGADO")</f>
        <v>-</v>
      </c>
    </row>
    <row r="187" spans="2:18" x14ac:dyDescent="0.25">
      <c r="D187" s="247"/>
      <c r="E187" s="309"/>
      <c r="F187" s="309"/>
      <c r="G187" s="36"/>
      <c r="H187" s="53" t="str">
        <f>IFERROR(IF(factura_c_mes7[[#This Row],[CUIT]]="","-",VLOOKUP(factura_c_mes7[[#This Row],[CUIT]],Lista_CUIT[#All],2,0)),"CUIT NO CARGADO")</f>
        <v>-</v>
      </c>
      <c r="I187" s="244"/>
      <c r="J187" s="54" t="str">
        <f>IFERROR(IF(factura_c_mes7[[#This Row],[CUIT]]="","-",VLOOKUP(factura_c_mes7[[#This Row],[CUIT]],Lista_CUIT[#All],3,0)),"CUIT NO CARGADO")</f>
        <v>-</v>
      </c>
      <c r="K187" s="54" t="str">
        <f>IFERROR(IF(factura_c_mes7[[#This Row],[CUIT]]="","-",VLOOKUP(factura_c_mes7[[#This Row],[CUIT]],Lista_CUIT[#All],4,0)),"CUIT NO CARGADO")</f>
        <v>-</v>
      </c>
    </row>
    <row r="188" spans="2:18" x14ac:dyDescent="0.25">
      <c r="D188" s="247"/>
      <c r="E188" s="309"/>
      <c r="F188" s="309"/>
      <c r="G188" s="36"/>
      <c r="H188" s="53" t="str">
        <f>IFERROR(IF(factura_c_mes7[[#This Row],[CUIT]]="","-",VLOOKUP(factura_c_mes7[[#This Row],[CUIT]],Lista_CUIT[#All],2,0)),"CUIT NO CARGADO")</f>
        <v>-</v>
      </c>
      <c r="I188" s="244"/>
      <c r="J188" s="54" t="str">
        <f>IFERROR(IF(factura_c_mes7[[#This Row],[CUIT]]="","-",VLOOKUP(factura_c_mes7[[#This Row],[CUIT]],Lista_CUIT[#All],3,0)),"CUIT NO CARGADO")</f>
        <v>-</v>
      </c>
      <c r="K188" s="54" t="str">
        <f>IFERROR(IF(factura_c_mes7[[#This Row],[CUIT]]="","-",VLOOKUP(factura_c_mes7[[#This Row],[CUIT]],Lista_CUIT[#All],4,0)),"CUIT NO CARGADO")</f>
        <v>-</v>
      </c>
    </row>
    <row r="189" spans="2:18" x14ac:dyDescent="0.25">
      <c r="D189" s="247"/>
      <c r="E189" s="164"/>
      <c r="F189" s="164"/>
      <c r="G189" s="118"/>
      <c r="H189" s="53" t="str">
        <f>IFERROR(IF(factura_c_mes7[[#This Row],[CUIT]]="","-",VLOOKUP(factura_c_mes7[[#This Row],[CUIT]],Lista_CUIT[#All],2,0)),"CUIT NO CARGADO")</f>
        <v>-</v>
      </c>
      <c r="I189" s="244"/>
      <c r="J189" s="54" t="str">
        <f>IFERROR(IF(factura_c_mes7[[#This Row],[CUIT]]="","-",VLOOKUP(factura_c_mes7[[#This Row],[CUIT]],Lista_CUIT[#All],3,0)),"CUIT NO CARGADO")</f>
        <v>-</v>
      </c>
      <c r="K189" s="54" t="str">
        <f>IFERROR(IF(factura_c_mes7[[#This Row],[CUIT]]="","-",VLOOKUP(factura_c_mes7[[#This Row],[CUIT]],Lista_CUIT[#All],4,0)),"CUIT NO CARGADO")</f>
        <v>-</v>
      </c>
    </row>
    <row r="190" spans="2:18" x14ac:dyDescent="0.25">
      <c r="D190" s="247"/>
      <c r="E190" s="164"/>
      <c r="F190" s="164"/>
      <c r="G190" s="118"/>
      <c r="H190" s="53" t="str">
        <f>IFERROR(IF(factura_c_mes7[[#This Row],[CUIT]]="","-",VLOOKUP(factura_c_mes7[[#This Row],[CUIT]],Lista_CUIT[#All],2,0)),"CUIT NO CARGADO")</f>
        <v>-</v>
      </c>
      <c r="I190" s="244"/>
      <c r="J190" s="54" t="str">
        <f>IFERROR(IF(factura_c_mes7[[#This Row],[CUIT]]="","-",VLOOKUP(factura_c_mes7[[#This Row],[CUIT]],Lista_CUIT[#All],3,0)),"CUIT NO CARGADO")</f>
        <v>-</v>
      </c>
      <c r="K190" s="54" t="str">
        <f>IFERROR(IF(factura_c_mes7[[#This Row],[CUIT]]="","-",VLOOKUP(factura_c_mes7[[#This Row],[CUIT]],Lista_CUIT[#All],4,0)),"CUIT NO CARGADO")</f>
        <v>-</v>
      </c>
    </row>
    <row r="191" spans="2:18" x14ac:dyDescent="0.25">
      <c r="D191" s="247"/>
      <c r="E191" s="164"/>
      <c r="F191" s="164"/>
      <c r="G191" s="118"/>
      <c r="H191" s="53" t="str">
        <f>IFERROR(IF(factura_c_mes7[[#This Row],[CUIT]]="","-",VLOOKUP(factura_c_mes7[[#This Row],[CUIT]],Lista_CUIT[#All],2,0)),"CUIT NO CARGADO")</f>
        <v>-</v>
      </c>
      <c r="I191" s="244"/>
      <c r="J191" s="54" t="str">
        <f>IFERROR(IF(factura_c_mes7[[#This Row],[CUIT]]="","-",VLOOKUP(factura_c_mes7[[#This Row],[CUIT]],Lista_CUIT[#All],3,0)),"CUIT NO CARGADO")</f>
        <v>-</v>
      </c>
      <c r="K191" s="54" t="str">
        <f>IFERROR(IF(factura_c_mes7[[#This Row],[CUIT]]="","-",VLOOKUP(factura_c_mes7[[#This Row],[CUIT]],Lista_CUIT[#All],4,0)),"CUIT NO CARGADO")</f>
        <v>-</v>
      </c>
    </row>
    <row r="192" spans="2:18" x14ac:dyDescent="0.25">
      <c r="B192" s="56"/>
      <c r="C192" s="56"/>
      <c r="D192" s="247"/>
      <c r="E192" s="164"/>
      <c r="F192" s="164"/>
      <c r="G192" s="118"/>
      <c r="H192" s="53" t="str">
        <f>IFERROR(IF(factura_c_mes7[[#This Row],[CUIT]]="","-",VLOOKUP(factura_c_mes7[[#This Row],[CUIT]],Lista_CUIT[#All],2,0)),"CUIT NO CARGADO")</f>
        <v>-</v>
      </c>
      <c r="I192" s="244"/>
      <c r="J192" s="54" t="str">
        <f>IFERROR(IF(factura_c_mes7[[#This Row],[CUIT]]="","-",VLOOKUP(factura_c_mes7[[#This Row],[CUIT]],Lista_CUIT[#All],3,0)),"CUIT NO CARGADO")</f>
        <v>-</v>
      </c>
      <c r="K192" s="54" t="str">
        <f>IFERROR(IF(factura_c_mes7[[#This Row],[CUIT]]="","-",VLOOKUP(factura_c_mes7[[#This Row],[CUIT]],Lista_CUIT[#All],4,0)),"CUIT NO CARGADO")</f>
        <v>-</v>
      </c>
      <c r="L192" s="56"/>
      <c r="M192" s="56"/>
      <c r="N192" s="56"/>
      <c r="O192" s="56"/>
      <c r="P192" s="56"/>
      <c r="Q192" s="56"/>
      <c r="R192" s="56"/>
    </row>
    <row r="193" spans="2:13" x14ac:dyDescent="0.25">
      <c r="D193" s="55" t="s">
        <v>110</v>
      </c>
      <c r="E193" s="55"/>
      <c r="F193" s="55"/>
      <c r="G193" s="55"/>
      <c r="H193" s="57"/>
      <c r="I193" s="58">
        <f>SUBTOTAL(109,factura_c_mes7[TOTAL])</f>
        <v>11265250</v>
      </c>
      <c r="J193" s="55"/>
      <c r="K193" s="55"/>
    </row>
    <row r="197" spans="2:13" ht="26.25" x14ac:dyDescent="0.25">
      <c r="B197" s="629" t="s">
        <v>29</v>
      </c>
      <c r="C197" s="629"/>
      <c r="D197" s="629"/>
      <c r="E197" s="629"/>
      <c r="F197" s="629"/>
      <c r="G197" s="629"/>
      <c r="H197" s="629"/>
      <c r="I197" s="629"/>
      <c r="J197" s="629"/>
      <c r="K197" s="630">
        <f>N1</f>
        <v>45839</v>
      </c>
      <c r="L197" s="630"/>
      <c r="M197" s="630"/>
    </row>
    <row r="199" spans="2:13" ht="21" x14ac:dyDescent="0.25">
      <c r="B199" s="631" t="s">
        <v>30</v>
      </c>
      <c r="C199" s="631"/>
    </row>
    <row r="200" spans="2:13" ht="15.75" x14ac:dyDescent="0.25">
      <c r="B200" s="60" t="s">
        <v>0</v>
      </c>
      <c r="C200" s="61" t="s">
        <v>1</v>
      </c>
      <c r="D200" s="61" t="s">
        <v>21</v>
      </c>
      <c r="E200" s="61" t="s">
        <v>22</v>
      </c>
      <c r="F200" s="61" t="s">
        <v>3</v>
      </c>
      <c r="G200" s="61" t="s">
        <v>4</v>
      </c>
      <c r="H200" s="61" t="s">
        <v>23</v>
      </c>
      <c r="I200" s="61" t="s">
        <v>17</v>
      </c>
      <c r="J200" s="61" t="s">
        <v>7</v>
      </c>
      <c r="K200" s="61" t="s">
        <v>24</v>
      </c>
      <c r="L200" s="61" t="s">
        <v>10</v>
      </c>
      <c r="M200" s="62" t="s">
        <v>38</v>
      </c>
    </row>
    <row r="201" spans="2:13" x14ac:dyDescent="0.25">
      <c r="B201" s="40"/>
      <c r="C201" s="41"/>
      <c r="D201" s="42"/>
      <c r="E201" s="43"/>
      <c r="F201" s="44"/>
      <c r="G201" s="98" t="str">
        <f>IFERROR(IF(venta_a_mes7[[#This Row],[CUIT]]="","-",VLOOKUP(venta_a_mes7[[#This Row],[CUIT]],Lista_CUIT[#All],2,0)),"CUIT NO CARGADO")</f>
        <v>-</v>
      </c>
      <c r="H201" s="99"/>
      <c r="I201" s="100">
        <f>venta_a_mes7[[#This Row],[IMPORTE NETO]]*0.21</f>
        <v>0</v>
      </c>
      <c r="J201" s="65"/>
      <c r="K201" s="65"/>
      <c r="L201" s="65">
        <f>SUM(venta_a_mes7[[#This Row],[IMPORTE NETO]:[EXENTO]])</f>
        <v>0</v>
      </c>
      <c r="M201" s="59"/>
    </row>
    <row r="202" spans="2:13" x14ac:dyDescent="0.25">
      <c r="B202" s="40"/>
      <c r="C202" s="41"/>
      <c r="D202" s="42"/>
      <c r="E202" s="43"/>
      <c r="F202" s="44"/>
      <c r="G202" s="98" t="str">
        <f>IFERROR(IF(venta_a_mes7[[#This Row],[CUIT]]="","-",VLOOKUP(venta_a_mes7[[#This Row],[CUIT]],Lista_CUIT[#All],2,0)),"CUIT NO CARGADO")</f>
        <v>-</v>
      </c>
      <c r="H202" s="99"/>
      <c r="I202" s="100">
        <f>venta_a_mes7[[#This Row],[IMPORTE NETO]]*0.21</f>
        <v>0</v>
      </c>
      <c r="J202" s="65"/>
      <c r="K202" s="65"/>
      <c r="L202" s="65">
        <f>SUM(venta_a_mes7[[#This Row],[IMPORTE NETO]:[EXENTO]])</f>
        <v>0</v>
      </c>
      <c r="M202" s="59"/>
    </row>
    <row r="203" spans="2:13" x14ac:dyDescent="0.25">
      <c r="B203" s="40"/>
      <c r="C203" s="41"/>
      <c r="D203" s="42"/>
      <c r="E203" s="43"/>
      <c r="F203" s="44"/>
      <c r="G203" s="98" t="str">
        <f>IFERROR(IF(venta_a_mes7[[#This Row],[CUIT]]="","-",VLOOKUP(venta_a_mes7[[#This Row],[CUIT]],Lista_CUIT[#All],2,0)),"CUIT NO CARGADO")</f>
        <v>-</v>
      </c>
      <c r="H203" s="99"/>
      <c r="I203" s="100">
        <f>venta_a_mes7[[#This Row],[IMPORTE NETO]]*0.21</f>
        <v>0</v>
      </c>
      <c r="J203" s="65"/>
      <c r="K203" s="65"/>
      <c r="L203" s="65">
        <f>SUM(venta_a_mes7[[#This Row],[IMPORTE NETO]:[EXENTO]])</f>
        <v>0</v>
      </c>
      <c r="M203" s="59"/>
    </row>
    <row r="204" spans="2:13" x14ac:dyDescent="0.25">
      <c r="B204" s="40"/>
      <c r="C204" s="41"/>
      <c r="D204" s="42"/>
      <c r="E204" s="43"/>
      <c r="F204" s="44"/>
      <c r="G204" s="98" t="str">
        <f>IFERROR(IF(venta_a_mes7[[#This Row],[CUIT]]="","-",VLOOKUP(venta_a_mes7[[#This Row],[CUIT]],Lista_CUIT[#All],2,0)),"CUIT NO CARGADO")</f>
        <v>-</v>
      </c>
      <c r="H204" s="99"/>
      <c r="I204" s="100">
        <f>venta_a_mes7[[#This Row],[IMPORTE NETO]]*0.21</f>
        <v>0</v>
      </c>
      <c r="J204" s="65"/>
      <c r="K204" s="65"/>
      <c r="L204" s="65">
        <f>SUM(venta_a_mes7[[#This Row],[IMPORTE NETO]:[EXENTO]])</f>
        <v>0</v>
      </c>
      <c r="M204" s="59"/>
    </row>
    <row r="205" spans="2:13" x14ac:dyDescent="0.25">
      <c r="B205" s="40"/>
      <c r="C205" s="41"/>
      <c r="D205" s="42"/>
      <c r="E205" s="43"/>
      <c r="F205" s="44"/>
      <c r="G205" s="98" t="str">
        <f>IFERROR(IF(venta_a_mes7[[#This Row],[CUIT]]="","-",VLOOKUP(venta_a_mes7[[#This Row],[CUIT]],Lista_CUIT[#All],2,0)),"CUIT NO CARGADO")</f>
        <v>-</v>
      </c>
      <c r="H205" s="99"/>
      <c r="I205" s="100">
        <f>venta_a_mes7[[#This Row],[IMPORTE NETO]]*0.21</f>
        <v>0</v>
      </c>
      <c r="J205" s="65"/>
      <c r="K205" s="65"/>
      <c r="L205" s="65">
        <f>SUM(venta_a_mes7[[#This Row],[IMPORTE NETO]:[EXENTO]])</f>
        <v>0</v>
      </c>
      <c r="M205" s="59"/>
    </row>
    <row r="206" spans="2:13" x14ac:dyDescent="0.25">
      <c r="B206" s="40"/>
      <c r="C206" s="41"/>
      <c r="D206" s="42"/>
      <c r="E206" s="43"/>
      <c r="F206" s="44"/>
      <c r="G206" s="98" t="str">
        <f>IFERROR(IF(venta_a_mes7[[#This Row],[CUIT]]="","-",VLOOKUP(venta_a_mes7[[#This Row],[CUIT]],Lista_CUIT[#All],2,0)),"CUIT NO CARGADO")</f>
        <v>-</v>
      </c>
      <c r="H206" s="99"/>
      <c r="I206" s="100">
        <f>venta_a_mes7[[#This Row],[IMPORTE NETO]]*0.21</f>
        <v>0</v>
      </c>
      <c r="J206" s="65"/>
      <c r="K206" s="65"/>
      <c r="L206" s="65">
        <f>SUM(venta_a_mes7[[#This Row],[IMPORTE NETO]:[EXENTO]])</f>
        <v>0</v>
      </c>
      <c r="M206" s="59"/>
    </row>
    <row r="207" spans="2:13" x14ac:dyDescent="0.25">
      <c r="B207" s="40"/>
      <c r="C207" s="41"/>
      <c r="D207" s="42"/>
      <c r="E207" s="43"/>
      <c r="F207" s="44"/>
      <c r="G207" s="98" t="str">
        <f>IFERROR(IF(venta_a_mes7[[#This Row],[CUIT]]="","-",VLOOKUP(venta_a_mes7[[#This Row],[CUIT]],Lista_CUIT[#All],2,0)),"CUIT NO CARGADO")</f>
        <v>-</v>
      </c>
      <c r="H207" s="99"/>
      <c r="I207" s="100">
        <f>venta_a_mes7[[#This Row],[IMPORTE NETO]]*0.21</f>
        <v>0</v>
      </c>
      <c r="J207" s="65"/>
      <c r="K207" s="65"/>
      <c r="L207" s="65">
        <f>SUM(venta_a_mes7[[#This Row],[IMPORTE NETO]:[EXENTO]])</f>
        <v>0</v>
      </c>
      <c r="M207" s="63"/>
    </row>
    <row r="208" spans="2:13" x14ac:dyDescent="0.25">
      <c r="B208" s="101"/>
      <c r="C208" s="102"/>
      <c r="D208" s="103"/>
      <c r="E208" s="104"/>
      <c r="F208" s="105"/>
      <c r="G208" s="98" t="str">
        <f>IFERROR(IF(venta_a_mes7[[#This Row],[CUIT]]="","-",VLOOKUP(venta_a_mes7[[#This Row],[CUIT]],Lista_CUIT[#All],2,0)),"CUIT NO CARGADO")</f>
        <v>-</v>
      </c>
      <c r="H208" s="106"/>
      <c r="I208" s="107">
        <f>venta_a_mes7[[#This Row],[IMPORTE NETO]]*0.21</f>
        <v>0</v>
      </c>
      <c r="J208" s="72"/>
      <c r="K208" s="72"/>
      <c r="L208" s="72">
        <f>SUM(venta_a_mes7[[#This Row],[IMPORTE NETO]:[EXENTO]])</f>
        <v>0</v>
      </c>
      <c r="M208" s="63"/>
    </row>
    <row r="209" spans="2:13" x14ac:dyDescent="0.25">
      <c r="B209" s="108"/>
      <c r="C209" s="109"/>
      <c r="D209" s="110"/>
      <c r="E209" s="111"/>
      <c r="F209" s="112"/>
      <c r="G209" s="98" t="str">
        <f>IFERROR(IF(venta_a_mes7[[#This Row],[CUIT]]="","-",VLOOKUP(venta_a_mes7[[#This Row],[CUIT]],Lista_CUIT[#All],2,0)),"CUIT NO CARGADO")</f>
        <v>-</v>
      </c>
      <c r="H209" s="99"/>
      <c r="I209" s="100">
        <f>venta_a_mes7[[#This Row],[IMPORTE NETO]]*0.21</f>
        <v>0</v>
      </c>
      <c r="J209" s="65"/>
      <c r="K209" s="65"/>
      <c r="L209" s="65">
        <f>SUM(venta_a_mes7[[#This Row],[IMPORTE NETO]:[EXENTO]])</f>
        <v>0</v>
      </c>
      <c r="M209" s="59"/>
    </row>
    <row r="210" spans="2:13" x14ac:dyDescent="0.25">
      <c r="B210" s="66" t="s">
        <v>110</v>
      </c>
      <c r="C210" s="67"/>
      <c r="D210" s="67"/>
      <c r="E210" s="67"/>
      <c r="F210" s="67"/>
      <c r="G210" s="67"/>
      <c r="H210" s="69">
        <f>SUBTOTAL(109,venta_a_mes7[IMPORTE NETO])</f>
        <v>0</v>
      </c>
      <c r="I210" s="70">
        <f>SUBTOTAL(109,venta_a_mes7[IVA 21%])</f>
        <v>0</v>
      </c>
      <c r="J210" s="71">
        <f>SUBTOTAL(109,venta_a_mes7[IVA 10,5%])</f>
        <v>0</v>
      </c>
      <c r="K210" s="71">
        <f>SUBTOTAL(109,venta_a_mes7[EXENTO])</f>
        <v>0</v>
      </c>
      <c r="L210" s="71">
        <f>SUBTOTAL(109,venta_a_mes7[TOTAL])</f>
        <v>0</v>
      </c>
      <c r="M210" s="68">
        <f>SUBTOTAL(103,venta_a_mes7[Provincia])</f>
        <v>0</v>
      </c>
    </row>
    <row r="213" spans="2:13" ht="21" x14ac:dyDescent="0.25">
      <c r="B213" s="631" t="s">
        <v>31</v>
      </c>
      <c r="C213" s="631"/>
    </row>
    <row r="214" spans="2:13" ht="15.75" x14ac:dyDescent="0.25">
      <c r="B214" s="60" t="s">
        <v>0</v>
      </c>
      <c r="C214" s="61" t="s">
        <v>1</v>
      </c>
      <c r="D214" s="61" t="s">
        <v>21</v>
      </c>
      <c r="E214" s="61" t="s">
        <v>22</v>
      </c>
      <c r="F214" s="61" t="s">
        <v>3</v>
      </c>
      <c r="G214" s="61" t="s">
        <v>4</v>
      </c>
      <c r="H214" s="61" t="s">
        <v>23</v>
      </c>
      <c r="I214" s="61" t="s">
        <v>17</v>
      </c>
      <c r="J214" s="61" t="s">
        <v>7</v>
      </c>
      <c r="K214" s="61" t="s">
        <v>24</v>
      </c>
      <c r="L214" s="61" t="s">
        <v>10</v>
      </c>
      <c r="M214" s="62" t="s">
        <v>38</v>
      </c>
    </row>
    <row r="215" spans="2:13" x14ac:dyDescent="0.25">
      <c r="B215" s="40"/>
      <c r="C215" s="41"/>
      <c r="D215" s="42"/>
      <c r="E215" s="43"/>
      <c r="F215" s="44"/>
      <c r="G215" s="1" t="str">
        <f>IFERROR(IF(ventas_b_mes7[[#This Row],[CUIT]]="","-",VLOOKUP(ventas_b_mes7[[#This Row],[CUIT]],Lista_CUIT[#All],2,0)),"CUIT NO CARGADO")</f>
        <v>-</v>
      </c>
      <c r="H215" s="64"/>
      <c r="I215" s="64"/>
      <c r="J215" s="64"/>
      <c r="K215" s="64"/>
      <c r="L215" s="64">
        <f>SUM(ventas_b_mes7[[#This Row],[IMPORTE NETO]:[EXENTO]])</f>
        <v>0</v>
      </c>
      <c r="M215" s="59"/>
    </row>
    <row r="216" spans="2:13" x14ac:dyDescent="0.25">
      <c r="B216" s="40"/>
      <c r="C216" s="41"/>
      <c r="D216" s="42"/>
      <c r="E216" s="43"/>
      <c r="F216" s="44"/>
      <c r="G216" s="1"/>
      <c r="H216" s="64"/>
      <c r="I216" s="64"/>
      <c r="J216" s="64"/>
      <c r="K216" s="64"/>
      <c r="L216" s="64">
        <f>SUM(ventas_b_mes7[[#This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1"/>
      <c r="H217" s="64"/>
      <c r="I217" s="64"/>
      <c r="J217" s="64"/>
      <c r="K217" s="64"/>
      <c r="L217" s="64">
        <f>SUM(ventas_b_mes7[[#This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1"/>
      <c r="H218" s="64"/>
      <c r="I218" s="64"/>
      <c r="J218" s="64"/>
      <c r="K218" s="64"/>
      <c r="L218" s="64">
        <f>SUM(ventas_b_mes7[[#This Row],[IMPORTE NETO]:[EXENTO]])</f>
        <v>0</v>
      </c>
      <c r="M218" s="59"/>
    </row>
    <row r="219" spans="2:13" x14ac:dyDescent="0.25">
      <c r="B219" s="40"/>
      <c r="C219" s="41"/>
      <c r="D219" s="42"/>
      <c r="E219" s="43"/>
      <c r="F219" s="44"/>
      <c r="G219" s="1"/>
      <c r="H219" s="64"/>
      <c r="I219" s="64"/>
      <c r="J219" s="64"/>
      <c r="K219" s="64"/>
      <c r="L219" s="64">
        <f>SUM(ventas_b_mes7[[#This Row],[IMPORTE NETO]:[EXENTO]])</f>
        <v>0</v>
      </c>
      <c r="M219" s="59"/>
    </row>
    <row r="220" spans="2:13" x14ac:dyDescent="0.25">
      <c r="B220" s="40"/>
      <c r="C220" s="41"/>
      <c r="D220" s="42"/>
      <c r="E220" s="43"/>
      <c r="F220" s="44"/>
      <c r="G220" s="1"/>
      <c r="H220" s="64"/>
      <c r="I220" s="64"/>
      <c r="J220" s="64"/>
      <c r="K220" s="64"/>
      <c r="L220" s="64">
        <f>SUM(ventas_b_mes7[[#This Row],[IMPORTE NETO]:[EXENTO]])</f>
        <v>0</v>
      </c>
      <c r="M220" s="59"/>
    </row>
    <row r="221" spans="2:13" x14ac:dyDescent="0.25">
      <c r="B221" s="66" t="s">
        <v>110</v>
      </c>
      <c r="C221" s="67"/>
      <c r="D221" s="67"/>
      <c r="E221" s="67"/>
      <c r="F221" s="67"/>
      <c r="G221" s="67"/>
      <c r="H221" s="77">
        <f>SUBTOTAL(109,ventas_b_mes7[IMPORTE NETO])</f>
        <v>0</v>
      </c>
      <c r="I221" s="77">
        <f>SUBTOTAL(109,ventas_b_mes7[IVA 21%])</f>
        <v>0</v>
      </c>
      <c r="J221" s="78">
        <f>SUBTOTAL(109,ventas_b_mes7[IVA 10,5%])</f>
        <v>0</v>
      </c>
      <c r="K221" s="78">
        <f>SUBTOTAL(109,ventas_b_mes7[EXENTO])</f>
        <v>0</v>
      </c>
      <c r="L221" s="78">
        <f>SUBTOTAL(109,ventas_b_mes7[TOTAL])</f>
        <v>0</v>
      </c>
      <c r="M221" s="68">
        <f>SUBTOTAL(103,ventas_b_mes7[Provincia])</f>
        <v>0</v>
      </c>
    </row>
    <row r="228" spans="3:12" ht="15.75" thickBot="1" x14ac:dyDescent="0.3"/>
    <row r="229" spans="3:12" ht="15.75" thickTop="1" x14ac:dyDescent="0.25">
      <c r="C229" s="625" t="s">
        <v>66</v>
      </c>
      <c r="D229" s="625"/>
      <c r="E229" s="625"/>
      <c r="F229" s="625"/>
      <c r="G229" s="625"/>
      <c r="H229" s="32"/>
      <c r="I229" s="32"/>
      <c r="J229" s="32"/>
    </row>
    <row r="230" spans="3:12" ht="15.75" x14ac:dyDescent="0.25">
      <c r="C230" s="113" t="s">
        <v>67</v>
      </c>
      <c r="D230" s="114" t="s">
        <v>68</v>
      </c>
      <c r="E230" s="114" t="s">
        <v>112</v>
      </c>
      <c r="F230" s="114" t="s">
        <v>3</v>
      </c>
      <c r="G230" s="114" t="s">
        <v>4</v>
      </c>
      <c r="H230" s="115" t="s">
        <v>69</v>
      </c>
      <c r="I230" s="115" t="s">
        <v>70</v>
      </c>
      <c r="J230" s="115" t="s">
        <v>71</v>
      </c>
      <c r="K230" s="115" t="s">
        <v>72</v>
      </c>
      <c r="L230" s="115" t="s">
        <v>73</v>
      </c>
    </row>
    <row r="231" spans="3:12" x14ac:dyDescent="0.25">
      <c r="C231" s="116"/>
      <c r="D231" s="117"/>
      <c r="E231" s="117"/>
      <c r="F231" s="118"/>
      <c r="G231" s="53" t="str">
        <f>IFERROR(IF(Retenciones_mes7[[#This Row],[CUIT]]="","-",VLOOKUP(Retenciones_mes7[[#This Row],[CUIT]],Lista_CUIT[#All],2,0)),"CUIT NO CARGADO")</f>
        <v>-</v>
      </c>
      <c r="H231" s="119"/>
      <c r="I231" s="119"/>
      <c r="J231" s="119"/>
      <c r="K231" s="119"/>
      <c r="L231" s="119"/>
    </row>
    <row r="232" spans="3:12" x14ac:dyDescent="0.25">
      <c r="C232" s="116"/>
      <c r="D232" s="117"/>
      <c r="E232" s="117"/>
      <c r="F232" s="118"/>
      <c r="G232" s="53" t="str">
        <f>IFERROR(IF(Retenciones_mes7[[#This Row],[CUIT]]="","-",VLOOKUP(Retenciones_mes7[[#This Row],[CUIT]],Lista_CUIT[#All],2,0)),"CUIT NO CARGADO")</f>
        <v>-</v>
      </c>
      <c r="H232" s="119"/>
      <c r="I232" s="119"/>
      <c r="J232" s="119"/>
      <c r="K232" s="119"/>
      <c r="L232" s="119"/>
    </row>
    <row r="233" spans="3:12" x14ac:dyDescent="0.25">
      <c r="C233" s="116"/>
      <c r="D233" s="117"/>
      <c r="E233" s="117"/>
      <c r="F233" s="118"/>
      <c r="G233" s="53" t="str">
        <f>IFERROR(IF(Retenciones_mes7[[#This Row],[CUIT]]="","-",VLOOKUP(Retenciones_mes7[[#This Row],[CUIT]],Lista_CUIT[#All],2,0)),"CUIT NO CARGADO")</f>
        <v>-</v>
      </c>
      <c r="H233" s="119"/>
      <c r="I233" s="119"/>
      <c r="J233" s="119"/>
      <c r="K233" s="119"/>
      <c r="L233" s="119"/>
    </row>
    <row r="234" spans="3:12" x14ac:dyDescent="0.25">
      <c r="C234" s="116"/>
      <c r="D234" s="117"/>
      <c r="E234" s="117"/>
      <c r="F234" s="118"/>
      <c r="G234" s="53" t="str">
        <f>IFERROR(IF(Retenciones_mes7[[#This Row],[CUIT]]="","-",VLOOKUP(Retenciones_mes7[[#This Row],[CUIT]],Lista_CUIT[#All],2,0)),"CUIT NO CARGADO")</f>
        <v>-</v>
      </c>
      <c r="H234" s="119"/>
      <c r="I234" s="119"/>
      <c r="J234" s="119"/>
      <c r="K234" s="119"/>
      <c r="L234" s="119"/>
    </row>
    <row r="235" spans="3:12" x14ac:dyDescent="0.25">
      <c r="D235" s="117"/>
      <c r="E235" s="117"/>
      <c r="G235" s="53" t="str">
        <f>IFERROR(IF(Retenciones_mes7[[#This Row],[CUIT]]="","-",VLOOKUP(Retenciones_mes7[[#This Row],[CUIT]],Lista_CUIT[#All],2,0)),"CUIT NO CARGADO")</f>
        <v>-</v>
      </c>
    </row>
    <row r="236" spans="3:12" x14ac:dyDescent="0.25">
      <c r="C236" s="33"/>
    </row>
  </sheetData>
  <mergeCells count="20">
    <mergeCell ref="C229:G229"/>
    <mergeCell ref="B4:E4"/>
    <mergeCell ref="G4:H4"/>
    <mergeCell ref="J4:K4"/>
    <mergeCell ref="M4:N4"/>
    <mergeCell ref="D155:K155"/>
    <mergeCell ref="B197:J197"/>
    <mergeCell ref="K197:M197"/>
    <mergeCell ref="B199:C199"/>
    <mergeCell ref="B213:C213"/>
    <mergeCell ref="P4:R4"/>
    <mergeCell ref="D146:L14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whole" allowBlank="1" showInputMessage="1" showErrorMessage="1" sqref="E157:E192 D201:D209 D215:D220 D9:D140" xr:uid="{00000000-0002-0000-0700-000000000000}">
      <formula1>1</formula1>
      <formula2>9999</formula2>
    </dataValidation>
    <dataValidation type="whole" allowBlank="1" showInputMessage="1" showErrorMessage="1" sqref="F157:F192 E201:E209 E215:E220 E9:E140" xr:uid="{00000000-0002-0000-0700-000001000000}">
      <formula1>1</formula1>
      <formula2>99999999</formula2>
    </dataValidation>
    <dataValidation type="whole" allowBlank="1" showInputMessage="1" showErrorMessage="1" sqref="G157:G192 F201:F209 F215:F220 F9:F140" xr:uid="{00000000-0002-0000-0700-000002000000}">
      <formula1>20000000000</formula1>
      <formula2>33999999999</formula2>
    </dataValidation>
    <dataValidation type="date" allowBlank="1" showInputMessage="1" showErrorMessage="1" sqref="D148:D150 B201:B209 B9:B140 B142:B145 B215:B220 D157:D192" xr:uid="{00000000-0002-0000-0700-000003000000}">
      <formula1>40179</formula1>
      <formula2>TODAY()</formula2>
    </dataValidation>
    <dataValidation type="whole" allowBlank="1" showInputMessage="1" showErrorMessage="1" sqref="C201:C209 C142:C145 C9:C140" xr:uid="{00000000-0002-0000-0700-000004000000}">
      <formula1>1</formula1>
      <formula2>3</formula2>
    </dataValidation>
    <dataValidation type="custom" allowBlank="1" showInputMessage="1" showErrorMessage="1" sqref="H201:K201 H203:K203 H205:K205 H207:K207" xr:uid="{00000000-0002-0000-0700-000005000000}">
      <formula1>IF($C201=3,H201&lt;0,H201&gt;=0)</formula1>
    </dataValidation>
    <dataValidation type="whole" allowBlank="1" showInputMessage="1" showErrorMessage="1" sqref="C215:C220" xr:uid="{00000000-0002-0000-0700-000006000000}">
      <formula1>6</formula1>
      <formula2>8</formula2>
    </dataValidation>
    <dataValidation type="custom" allowBlank="1" showInputMessage="1" showErrorMessage="1" sqref="L201:L205" xr:uid="{00000000-0002-0000-0700-000007000000}">
      <formula1>IF(#REF!=3,#REF!&lt;0,#REF!&gt;=0)</formula1>
    </dataValidation>
    <dataValidation type="custom" allowBlank="1" showInputMessage="1" showErrorMessage="1" sqref="L206:L207" xr:uid="{00000000-0002-0000-0700-000008000000}">
      <formula1>IF($C141=3,L141&lt;0,L141&gt;=0)</formula1>
    </dataValidation>
    <dataValidation type="custom" allowBlank="1" showInputMessage="1" showErrorMessage="1" sqref="H215:L220" xr:uid="{00000000-0002-0000-0700-000009000000}">
      <formula1>IF($C215=8,H215&lt;0,H215&gt;=0)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0" xr:uid="{00000000-0002-0000-0700-00000A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237"/>
  <sheetViews>
    <sheetView showGridLines="0" topLeftCell="C148" zoomScale="70" zoomScaleNormal="70" workbookViewId="0">
      <selection activeCell="H171" sqref="H171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31.85546875" customWidth="1"/>
    <col min="9" max="9" width="17.5703125" customWidth="1"/>
    <col min="10" max="11" width="13.7109375" customWidth="1"/>
    <col min="12" max="12" width="18.28515625" bestFit="1" customWidth="1"/>
    <col min="13" max="13" width="13.28515625" customWidth="1"/>
    <col min="14" max="14" width="17.7109375" bestFit="1" customWidth="1"/>
    <col min="15" max="15" width="13.42578125" customWidth="1"/>
    <col min="16" max="16" width="23.140625" customWidth="1"/>
    <col min="17" max="17" width="12.5703125" customWidth="1"/>
    <col min="18" max="18" width="14.28515625" customWidth="1"/>
    <col min="19" max="19" width="11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EDATE('Ene-25'!N1,7)</f>
        <v>45870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SUM(compras_mes8[[#Totals],[NETO GRAVADO]])+extracto_banco_mes8[[#Totals],[NETO]]</f>
        <v>53985632.080000035</v>
      </c>
      <c r="C4" s="626"/>
      <c r="D4" s="626"/>
      <c r="E4" s="626"/>
      <c r="F4" s="39"/>
      <c r="G4" s="627">
        <f>compras_mes8[[#Totals],[IVA 21 %]]+compras_mes8[[#Totals],[IVA 27%]]+compras_mes8[[#Totals],[IVA 10,5%]]+extracto_banco_mes8[[#Totals],[IVA 21%]]+extracto_banco_mes8[[#Totals],[IVA 10,5%]]</f>
        <v>10561484.700000005</v>
      </c>
      <c r="H4" s="627"/>
      <c r="I4" s="39"/>
      <c r="J4" s="628">
        <f>venta_a_mes8[[#Totals],[IMPORTE NETO]]+ventas_b_mes8[[#Totals],[IMPORTE NETO]]</f>
        <v>0</v>
      </c>
      <c r="K4" s="628"/>
      <c r="L4" s="39"/>
      <c r="M4" s="628">
        <f>venta_a_mes8[[#Totals],[IVA 21%]]+venta_a_mes8[[#Totals],[IVA 10,5%]]+ventas_b_mes8[[#Totals],[IVA 21%]]+ventas_b_mes8[[#Totals],[IVA 10,5%]]</f>
        <v>0</v>
      </c>
      <c r="N4" s="628"/>
      <c r="O4" s="39"/>
      <c r="P4" s="616">
        <f>G4-M4</f>
        <v>10561484.700000005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/>
      <c r="C9" s="41"/>
      <c r="D9" s="42"/>
      <c r="E9" s="43"/>
      <c r="F9" s="44">
        <v>30715141201</v>
      </c>
      <c r="G9" s="45" t="str">
        <f>IFERROR(IF(compras_mes8[[#This Row],[CUIT]]="","-",VLOOKUP(compras_mes8[[#This Row],[CUIT]],Lista_CUIT[#All],2,0)),"CUIT NO CARGADO")</f>
        <v>REHAB SRL</v>
      </c>
      <c r="H9" s="46">
        <v>181856.25</v>
      </c>
      <c r="I9" s="85">
        <f>IF(compras_mes8[[#This Row],[NETO GRAVADO]]="","",compras_mes8[[#This Row],[NETO GRAVADO]]*0.21)</f>
        <v>38189.8125</v>
      </c>
      <c r="J9" s="85"/>
      <c r="K9" s="85"/>
      <c r="L9" s="85"/>
      <c r="M9" s="85"/>
      <c r="N9" s="85"/>
      <c r="O9" s="85"/>
      <c r="P9" s="48">
        <f>SUM(compras_mes8[[#This Row],[NETO GRAVADO]:[Otros / No Grav.]])</f>
        <v>220046.0625</v>
      </c>
      <c r="Q9" s="49" t="str">
        <f>IFERROR(IF(compras_mes8[[#This Row],[CUIT]]="","-",VLOOKUP(compras_mes8[[#This Row],[CUIT]],Lista_CUIT[#All],3,0)),"CUIT NO CARGADO")</f>
        <v>INSUMO</v>
      </c>
      <c r="R9" s="49">
        <f>IFERROR(IF(compras_mes8[[#This Row],[CUIT]]="","-",VLOOKUP(compras_mes8[[#This Row],[CUIT]],Lista_CUIT[#All],4,0)),"CUIT NO CARGADO")</f>
        <v>0</v>
      </c>
    </row>
    <row r="10" spans="1:26" x14ac:dyDescent="0.25">
      <c r="B10" s="40"/>
      <c r="C10" s="41"/>
      <c r="D10" s="42"/>
      <c r="E10" s="43"/>
      <c r="F10" s="44">
        <v>30715141201</v>
      </c>
      <c r="G10" s="45" t="str">
        <f>IFERROR(IF(compras_mes8[[#This Row],[CUIT]]="","-",VLOOKUP(compras_mes8[[#This Row],[CUIT]],Lista_CUIT[#All],2,0)),"CUIT NO CARGADO")</f>
        <v>REHAB SRL</v>
      </c>
      <c r="H10" s="46">
        <v>283353.75</v>
      </c>
      <c r="I10" s="85">
        <f>IF(compras_mes8[[#This Row],[NETO GRAVADO]]="","",compras_mes8[[#This Row],[NETO GRAVADO]]*0.21)</f>
        <v>59504.287499999999</v>
      </c>
      <c r="J10" s="85"/>
      <c r="K10" s="85"/>
      <c r="L10" s="85"/>
      <c r="M10" s="85"/>
      <c r="N10" s="85"/>
      <c r="O10" s="85"/>
      <c r="P10" s="48">
        <f>SUM(compras_mes8[[#This Row],[NETO GRAVADO]:[Otros / No Grav.]])</f>
        <v>342858.03749999998</v>
      </c>
      <c r="Q10" s="49" t="str">
        <f>IFERROR(IF(compras_mes8[[#This Row],[CUIT]]="","-",VLOOKUP(compras_mes8[[#This Row],[CUIT]],Lista_CUIT[#All],3,0)),"CUIT NO CARGADO")</f>
        <v>INSUMO</v>
      </c>
      <c r="R10" s="49">
        <f>IFERROR(IF(compras_mes8[[#This Row],[CUIT]]="","-",VLOOKUP(compras_mes8[[#This Row],[CUIT]],Lista_CUIT[#All],4,0)),"CUIT NO CARGADO")</f>
        <v>0</v>
      </c>
    </row>
    <row r="11" spans="1:26" x14ac:dyDescent="0.25">
      <c r="B11" s="40"/>
      <c r="C11" s="41"/>
      <c r="D11" s="42"/>
      <c r="E11" s="43"/>
      <c r="F11" s="44">
        <v>20329826946</v>
      </c>
      <c r="G11" s="45" t="str">
        <f>IFERROR(IF(compras_mes8[[#This Row],[CUIT]]="","-",VLOOKUP(compras_mes8[[#This Row],[CUIT]],Lista_CUIT[#All],2,0)),"CUIT NO CARGADO")</f>
        <v>BLANCO JUAN JOSE</v>
      </c>
      <c r="H11" s="46">
        <v>537190.1</v>
      </c>
      <c r="I11" s="85">
        <f>IF(compras_mes8[[#This Row],[NETO GRAVADO]]="","",compras_mes8[[#This Row],[NETO GRAVADO]]*0.21)</f>
        <v>112809.92099999999</v>
      </c>
      <c r="J11" s="85"/>
      <c r="K11" s="85"/>
      <c r="L11" s="85"/>
      <c r="M11" s="85"/>
      <c r="N11" s="85"/>
      <c r="O11" s="85"/>
      <c r="P11" s="48">
        <f>SUM(compras_mes8[[#This Row],[NETO GRAVADO]:[Otros / No Grav.]])</f>
        <v>650000.02099999995</v>
      </c>
      <c r="Q11" s="49" t="str">
        <f>IFERROR(IF(compras_mes8[[#This Row],[CUIT]]="","-",VLOOKUP(compras_mes8[[#This Row],[CUIT]],Lista_CUIT[#All],3,0)),"CUIT NO CARGADO")</f>
        <v>Insumos</v>
      </c>
      <c r="R11" s="49">
        <f>IFERROR(IF(compras_mes8[[#This Row],[CUIT]]="","-",VLOOKUP(compras_mes8[[#This Row],[CUIT]],Lista_CUIT[#All],4,0)),"CUIT NO CARGADO")</f>
        <v>0</v>
      </c>
    </row>
    <row r="12" spans="1:26" x14ac:dyDescent="0.25">
      <c r="B12" s="40"/>
      <c r="C12" s="41"/>
      <c r="D12" s="42"/>
      <c r="E12" s="43"/>
      <c r="F12" s="44">
        <v>20272865869</v>
      </c>
      <c r="G12" s="45" t="str">
        <f>IFERROR(IF(compras_mes8[[#This Row],[CUIT]]="","-",VLOOKUP(compras_mes8[[#This Row],[CUIT]],Lista_CUIT[#All],2,0)),"CUIT NO CARGADO")</f>
        <v>DI FEO MARTIN EZEQUIEL</v>
      </c>
      <c r="H12" s="46">
        <v>170700</v>
      </c>
      <c r="I12" s="85">
        <f>IF(compras_mes8[[#This Row],[NETO GRAVADO]]="","",compras_mes8[[#This Row],[NETO GRAVADO]]*0.21)</f>
        <v>35847</v>
      </c>
      <c r="J12" s="85"/>
      <c r="K12" s="85"/>
      <c r="L12" s="85"/>
      <c r="M12" s="85"/>
      <c r="N12" s="85"/>
      <c r="O12" s="85"/>
      <c r="P12" s="48">
        <f>SUM(compras_mes8[[#This Row],[NETO GRAVADO]:[Otros / No Grav.]])</f>
        <v>206547</v>
      </c>
      <c r="Q12" s="49" t="str">
        <f>IFERROR(IF(compras_mes8[[#This Row],[CUIT]]="","-",VLOOKUP(compras_mes8[[#This Row],[CUIT]],Lista_CUIT[#All],3,0)),"CUIT NO CARGADO")</f>
        <v>INSUMOS</v>
      </c>
      <c r="R12" s="49">
        <f>IFERROR(IF(compras_mes8[[#This Row],[CUIT]]="","-",VLOOKUP(compras_mes8[[#This Row],[CUIT]],Lista_CUIT[#All],4,0)),"CUIT NO CARGADO")</f>
        <v>0</v>
      </c>
    </row>
    <row r="13" spans="1:26" x14ac:dyDescent="0.25">
      <c r="B13" s="40"/>
      <c r="C13" s="41"/>
      <c r="D13" s="42"/>
      <c r="E13" s="43"/>
      <c r="F13" s="44">
        <v>20272865869</v>
      </c>
      <c r="G13" s="45" t="str">
        <f>IFERROR(IF(compras_mes8[[#This Row],[CUIT]]="","-",VLOOKUP(compras_mes8[[#This Row],[CUIT]],Lista_CUIT[#All],2,0)),"CUIT NO CARGADO")</f>
        <v>DI FEO MARTIN EZEQUIEL</v>
      </c>
      <c r="H13" s="46">
        <v>160500</v>
      </c>
      <c r="I13" s="85">
        <f>IF(compras_mes8[[#This Row],[NETO GRAVADO]]="","",compras_mes8[[#This Row],[NETO GRAVADO]]*0.21)</f>
        <v>33705</v>
      </c>
      <c r="J13" s="85"/>
      <c r="K13" s="85"/>
      <c r="L13" s="85"/>
      <c r="M13" s="85"/>
      <c r="N13" s="85"/>
      <c r="O13" s="85"/>
      <c r="P13" s="48">
        <f>SUM(compras_mes8[[#This Row],[NETO GRAVADO]:[Otros / No Grav.]])</f>
        <v>194205</v>
      </c>
      <c r="Q13" s="49" t="str">
        <f>IFERROR(IF(compras_mes8[[#This Row],[CUIT]]="","-",VLOOKUP(compras_mes8[[#This Row],[CUIT]],Lista_CUIT[#All],3,0)),"CUIT NO CARGADO")</f>
        <v>INSUMOS</v>
      </c>
      <c r="R13" s="49">
        <f>IFERROR(IF(compras_mes8[[#This Row],[CUIT]]="","-",VLOOKUP(compras_mes8[[#This Row],[CUIT]],Lista_CUIT[#All],4,0)),"CUIT NO CARGADO")</f>
        <v>0</v>
      </c>
    </row>
    <row r="14" spans="1:26" x14ac:dyDescent="0.25">
      <c r="B14" s="40"/>
      <c r="C14" s="41"/>
      <c r="D14" s="42"/>
      <c r="E14" s="43"/>
      <c r="F14" s="44">
        <v>20272865869</v>
      </c>
      <c r="G14" s="45" t="str">
        <f>IFERROR(IF(compras_mes8[[#This Row],[CUIT]]="","-",VLOOKUP(compras_mes8[[#This Row],[CUIT]],Lista_CUIT[#All],2,0)),"CUIT NO CARGADO")</f>
        <v>DI FEO MARTIN EZEQUIEL</v>
      </c>
      <c r="H14" s="46">
        <v>60100</v>
      </c>
      <c r="I14" s="85">
        <f>IF(compras_mes8[[#This Row],[NETO GRAVADO]]="","",compras_mes8[[#This Row],[NETO GRAVADO]]*0.21)</f>
        <v>12621</v>
      </c>
      <c r="J14" s="85"/>
      <c r="K14" s="85"/>
      <c r="L14" s="85"/>
      <c r="M14" s="85"/>
      <c r="N14" s="85"/>
      <c r="O14" s="85"/>
      <c r="P14" s="48">
        <f>SUM(compras_mes8[[#This Row],[NETO GRAVADO]:[Otros / No Grav.]])</f>
        <v>72721</v>
      </c>
      <c r="Q14" s="49" t="str">
        <f>IFERROR(IF(compras_mes8[[#This Row],[CUIT]]="","-",VLOOKUP(compras_mes8[[#This Row],[CUIT]],Lista_CUIT[#All],3,0)),"CUIT NO CARGADO")</f>
        <v>INSUMOS</v>
      </c>
      <c r="R14" s="49">
        <f>IFERROR(IF(compras_mes8[[#This Row],[CUIT]]="","-",VLOOKUP(compras_mes8[[#This Row],[CUIT]],Lista_CUIT[#All],4,0)),"CUIT NO CARGADO")</f>
        <v>0</v>
      </c>
    </row>
    <row r="15" spans="1:26" x14ac:dyDescent="0.25">
      <c r="B15" s="40"/>
      <c r="C15" s="41"/>
      <c r="D15" s="42"/>
      <c r="E15" s="43"/>
      <c r="F15" s="44">
        <v>20272865869</v>
      </c>
      <c r="G15" s="45" t="str">
        <f>IFERROR(IF(compras_mes8[[#This Row],[CUIT]]="","-",VLOOKUP(compras_mes8[[#This Row],[CUIT]],Lista_CUIT[#All],2,0)),"CUIT NO CARGADO")</f>
        <v>DI FEO MARTIN EZEQUIEL</v>
      </c>
      <c r="H15" s="46">
        <v>166100</v>
      </c>
      <c r="I15" s="85">
        <f>IF(compras_mes8[[#This Row],[NETO GRAVADO]]="","",compras_mes8[[#This Row],[NETO GRAVADO]]*0.21)</f>
        <v>34881</v>
      </c>
      <c r="J15" s="85"/>
      <c r="K15" s="85"/>
      <c r="L15" s="85"/>
      <c r="M15" s="85"/>
      <c r="N15" s="85"/>
      <c r="O15" s="85"/>
      <c r="P15" s="48">
        <f>SUM(compras_mes8[[#This Row],[NETO GRAVADO]:[Otros / No Grav.]])</f>
        <v>200981</v>
      </c>
      <c r="Q15" s="49" t="str">
        <f>IFERROR(IF(compras_mes8[[#This Row],[CUIT]]="","-",VLOOKUP(compras_mes8[[#This Row],[CUIT]],Lista_CUIT[#All],3,0)),"CUIT NO CARGADO")</f>
        <v>INSUMOS</v>
      </c>
      <c r="R15" s="49">
        <f>IFERROR(IF(compras_mes8[[#This Row],[CUIT]]="","-",VLOOKUP(compras_mes8[[#This Row],[CUIT]],Lista_CUIT[#All],4,0)),"CUIT NO CARGADO")</f>
        <v>0</v>
      </c>
    </row>
    <row r="16" spans="1:26" x14ac:dyDescent="0.25">
      <c r="B16" s="40"/>
      <c r="C16" s="41"/>
      <c r="D16" s="42"/>
      <c r="E16" s="43"/>
      <c r="F16" s="44">
        <v>20272865869</v>
      </c>
      <c r="G16" s="45" t="str">
        <f>IFERROR(IF(compras_mes8[[#This Row],[CUIT]]="","-",VLOOKUP(compras_mes8[[#This Row],[CUIT]],Lista_CUIT[#All],2,0)),"CUIT NO CARGADO")</f>
        <v>DI FEO MARTIN EZEQUIEL</v>
      </c>
      <c r="H16" s="46">
        <v>62400</v>
      </c>
      <c r="I16" s="85">
        <f>IF(compras_mes8[[#This Row],[NETO GRAVADO]]="","",compras_mes8[[#This Row],[NETO GRAVADO]]*0.21)</f>
        <v>13104</v>
      </c>
      <c r="J16" s="85"/>
      <c r="K16" s="85"/>
      <c r="L16" s="85"/>
      <c r="M16" s="85"/>
      <c r="N16" s="85"/>
      <c r="O16" s="85"/>
      <c r="P16" s="48">
        <f>SUM(compras_mes8[[#This Row],[NETO GRAVADO]:[Otros / No Grav.]])</f>
        <v>75504</v>
      </c>
      <c r="Q16" s="49" t="str">
        <f>IFERROR(IF(compras_mes8[[#This Row],[CUIT]]="","-",VLOOKUP(compras_mes8[[#This Row],[CUIT]],Lista_CUIT[#All],3,0)),"CUIT NO CARGADO")</f>
        <v>INSUMOS</v>
      </c>
      <c r="R16" s="49">
        <f>IFERROR(IF(compras_mes8[[#This Row],[CUIT]]="","-",VLOOKUP(compras_mes8[[#This Row],[CUIT]],Lista_CUIT[#All],4,0)),"CUIT NO CARGADO")</f>
        <v>0</v>
      </c>
    </row>
    <row r="17" spans="2:18" x14ac:dyDescent="0.25">
      <c r="B17" s="40"/>
      <c r="C17" s="41"/>
      <c r="D17" s="42"/>
      <c r="E17" s="43"/>
      <c r="F17" s="44">
        <v>30643862928</v>
      </c>
      <c r="G17" s="45" t="str">
        <f>IFERROR(IF(compras_mes8[[#This Row],[CUIT]]="","-",VLOOKUP(compras_mes8[[#This Row],[CUIT]],Lista_CUIT[#All],2,0)),"CUIT NO CARGADO")</f>
        <v>OUTLANDISH SRL</v>
      </c>
      <c r="H17" s="46">
        <v>167338.84</v>
      </c>
      <c r="I17" s="85">
        <f>IF(compras_mes8[[#This Row],[NETO GRAVADO]]="","",compras_mes8[[#This Row],[NETO GRAVADO]]*0.21)</f>
        <v>35141.1564</v>
      </c>
      <c r="J17" s="85"/>
      <c r="K17" s="85"/>
      <c r="L17" s="85"/>
      <c r="M17" s="85"/>
      <c r="N17" s="85"/>
      <c r="O17" s="85"/>
      <c r="P17" s="48">
        <f>SUM(compras_mes8[[#This Row],[NETO GRAVADO]:[Otros / No Grav.]])</f>
        <v>202479.9964</v>
      </c>
      <c r="Q17" s="49" t="str">
        <f>IFERROR(IF(compras_mes8[[#This Row],[CUIT]]="","-",VLOOKUP(compras_mes8[[#This Row],[CUIT]],Lista_CUIT[#All],3,0)),"CUIT NO CARGADO")</f>
        <v>INSUMO</v>
      </c>
      <c r="R17" s="49">
        <f>IFERROR(IF(compras_mes8[[#This Row],[CUIT]]="","-",VLOOKUP(compras_mes8[[#This Row],[CUIT]],Lista_CUIT[#All],4,0)),"CUIT NO CARGADO")</f>
        <v>0</v>
      </c>
    </row>
    <row r="18" spans="2:18" x14ac:dyDescent="0.25">
      <c r="B18" s="40"/>
      <c r="C18" s="41"/>
      <c r="D18" s="42"/>
      <c r="E18" s="43"/>
      <c r="F18" s="44">
        <v>30643862928</v>
      </c>
      <c r="G18" s="45" t="str">
        <f>IFERROR(IF(compras_mes8[[#This Row],[CUIT]]="","-",VLOOKUP(compras_mes8[[#This Row],[CUIT]],Lista_CUIT[#All],2,0)),"CUIT NO CARGADO")</f>
        <v>OUTLANDISH SRL</v>
      </c>
      <c r="H18" s="46">
        <v>180561.98</v>
      </c>
      <c r="I18" s="85">
        <f>IF(compras_mes8[[#This Row],[NETO GRAVADO]]="","",compras_mes8[[#This Row],[NETO GRAVADO]]*0.21)</f>
        <v>37918.015800000001</v>
      </c>
      <c r="J18" s="85"/>
      <c r="K18" s="85"/>
      <c r="L18" s="85"/>
      <c r="M18" s="85"/>
      <c r="N18" s="85"/>
      <c r="O18" s="85"/>
      <c r="P18" s="48">
        <f>SUM(compras_mes8[[#This Row],[NETO GRAVADO]:[Otros / No Grav.]])</f>
        <v>218479.9958</v>
      </c>
      <c r="Q18" s="49" t="str">
        <f>IFERROR(IF(compras_mes8[[#This Row],[CUIT]]="","-",VLOOKUP(compras_mes8[[#This Row],[CUIT]],Lista_CUIT[#All],3,0)),"CUIT NO CARGADO")</f>
        <v>INSUMO</v>
      </c>
      <c r="R18" s="49">
        <f>IFERROR(IF(compras_mes8[[#This Row],[CUIT]]="","-",VLOOKUP(compras_mes8[[#This Row],[CUIT]],Lista_CUIT[#All],4,0)),"CUIT NO CARGADO")</f>
        <v>0</v>
      </c>
    </row>
    <row r="19" spans="2:18" x14ac:dyDescent="0.25">
      <c r="B19" s="40"/>
      <c r="C19" s="41"/>
      <c r="D19" s="42"/>
      <c r="E19" s="43"/>
      <c r="F19" s="44">
        <v>30714331082</v>
      </c>
      <c r="G19" s="45" t="str">
        <f>IFERROR(IF(compras_mes8[[#This Row],[CUIT]]="","-",VLOOKUP(compras_mes8[[#This Row],[CUIT]],Lista_CUIT[#All],2,0)),"CUIT NO CARGADO")</f>
        <v>ORTOPEDIA CASA ESCALADA SRL</v>
      </c>
      <c r="H19" s="46">
        <v>688791.13</v>
      </c>
      <c r="I19" s="85">
        <f>IF(compras_mes8[[#This Row],[NETO GRAVADO]]="","",compras_mes8[[#This Row],[NETO GRAVADO]]*0.21)</f>
        <v>144646.1373</v>
      </c>
      <c r="J19" s="85"/>
      <c r="K19" s="85"/>
      <c r="L19" s="85"/>
      <c r="M19" s="85"/>
      <c r="N19" s="85"/>
      <c r="O19" s="85"/>
      <c r="P19" s="48">
        <f>SUM(compras_mes8[[#This Row],[NETO GRAVADO]:[Otros / No Grav.]])</f>
        <v>833437.26729999995</v>
      </c>
      <c r="Q19" s="49" t="str">
        <f>IFERROR(IF(compras_mes8[[#This Row],[CUIT]]="","-",VLOOKUP(compras_mes8[[#This Row],[CUIT]],Lista_CUIT[#All],3,0)),"CUIT NO CARGADO")</f>
        <v>INSUMO</v>
      </c>
      <c r="R19" s="49">
        <f>IFERROR(IF(compras_mes8[[#This Row],[CUIT]]="","-",VLOOKUP(compras_mes8[[#This Row],[CUIT]],Lista_CUIT[#All],4,0)),"CUIT NO CARGADO")</f>
        <v>0</v>
      </c>
    </row>
    <row r="20" spans="2:18" x14ac:dyDescent="0.25">
      <c r="B20" s="40"/>
      <c r="C20" s="41"/>
      <c r="D20" s="42"/>
      <c r="E20" s="43"/>
      <c r="F20" s="44">
        <v>30714331082</v>
      </c>
      <c r="G20" s="45" t="str">
        <f>IFERROR(IF(compras_mes8[[#This Row],[CUIT]]="","-",VLOOKUP(compras_mes8[[#This Row],[CUIT]],Lista_CUIT[#All],2,0)),"CUIT NO CARGADO")</f>
        <v>ORTOPEDIA CASA ESCALADA SRL</v>
      </c>
      <c r="H20" s="46">
        <v>350114.83</v>
      </c>
      <c r="I20" s="85">
        <f>IF(compras_mes8[[#This Row],[NETO GRAVADO]]="","",compras_mes8[[#This Row],[NETO GRAVADO]]*0.21)</f>
        <v>73524.114300000001</v>
      </c>
      <c r="J20" s="85"/>
      <c r="K20" s="85"/>
      <c r="L20" s="85"/>
      <c r="M20" s="85"/>
      <c r="N20" s="85"/>
      <c r="O20" s="85"/>
      <c r="P20" s="48">
        <f>SUM(compras_mes8[[#This Row],[NETO GRAVADO]:[Otros / No Grav.]])</f>
        <v>423638.94430000003</v>
      </c>
      <c r="Q20" s="49" t="str">
        <f>IFERROR(IF(compras_mes8[[#This Row],[CUIT]]="","-",VLOOKUP(compras_mes8[[#This Row],[CUIT]],Lista_CUIT[#All],3,0)),"CUIT NO CARGADO")</f>
        <v>INSUMO</v>
      </c>
      <c r="R20" s="49">
        <f>IFERROR(IF(compras_mes8[[#This Row],[CUIT]]="","-",VLOOKUP(compras_mes8[[#This Row],[CUIT]],Lista_CUIT[#All],4,0)),"CUIT NO CARGADO")</f>
        <v>0</v>
      </c>
    </row>
    <row r="21" spans="2:18" x14ac:dyDescent="0.25">
      <c r="B21" s="40"/>
      <c r="C21" s="41"/>
      <c r="D21" s="42"/>
      <c r="E21" s="43"/>
      <c r="F21" s="44">
        <v>30714331082</v>
      </c>
      <c r="G21" s="45" t="str">
        <f>IFERROR(IF(compras_mes8[[#This Row],[CUIT]]="","-",VLOOKUP(compras_mes8[[#This Row],[CUIT]],Lista_CUIT[#All],2,0)),"CUIT NO CARGADO")</f>
        <v>ORTOPEDIA CASA ESCALADA SRL</v>
      </c>
      <c r="H21" s="46">
        <v>1545593.09</v>
      </c>
      <c r="I21" s="85">
        <f>IF(compras_mes8[[#This Row],[NETO GRAVADO]]="","",compras_mes8[[#This Row],[NETO GRAVADO]]*0.21)</f>
        <v>324574.54889999999</v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1870167.6389000001</v>
      </c>
      <c r="Q21" s="49" t="str">
        <f>IFERROR(IF(compras_mes8[[#This Row],[CUIT]]="","-",VLOOKUP(compras_mes8[[#This Row],[CUIT]],Lista_CUIT[#All],3,0)),"CUIT NO CARGADO")</f>
        <v>INSUMO</v>
      </c>
      <c r="R21" s="49">
        <f>IFERROR(IF(compras_mes8[[#This Row],[CUIT]]="","-",VLOOKUP(compras_mes8[[#This Row],[CUIT]],Lista_CUIT[#All],4,0)),"CUIT NO CARGADO")</f>
        <v>0</v>
      </c>
    </row>
    <row r="22" spans="2:18" x14ac:dyDescent="0.25">
      <c r="B22" s="40"/>
      <c r="C22" s="41"/>
      <c r="D22" s="42"/>
      <c r="E22" s="43"/>
      <c r="F22" s="44">
        <v>23233422029</v>
      </c>
      <c r="G22" s="45" t="str">
        <f>IFERROR(IF(compras_mes8[[#This Row],[CUIT]]="","-",VLOOKUP(compras_mes8[[#This Row],[CUIT]],Lista_CUIT[#All],2,0)),"CUIT NO CARGADO")</f>
        <v>RODOLFO SCHULZE</v>
      </c>
      <c r="H22" s="46">
        <v>257499.03</v>
      </c>
      <c r="I22" s="85">
        <f>IF(compras_mes8[[#This Row],[NETO GRAVADO]]="","",compras_mes8[[#This Row],[NETO GRAVADO]]*0.21)</f>
        <v>54074.796299999995</v>
      </c>
      <c r="J22" s="85"/>
      <c r="K22" s="85"/>
      <c r="L22" s="85"/>
      <c r="M22" s="85"/>
      <c r="N22" s="85"/>
      <c r="O22" s="85"/>
      <c r="P22" s="48">
        <f>SUM(compras_mes8[[#This Row],[NETO GRAVADO]:[Otros / No Grav.]])</f>
        <v>311573.82630000002</v>
      </c>
      <c r="Q22" s="49" t="str">
        <f>IFERROR(IF(compras_mes8[[#This Row],[CUIT]]="","-",VLOOKUP(compras_mes8[[#This Row],[CUIT]],Lista_CUIT[#All],3,0)),"CUIT NO CARGADO")</f>
        <v>INSUMO</v>
      </c>
      <c r="R22" s="49">
        <f>IFERROR(IF(compras_mes8[[#This Row],[CUIT]]="","-",VLOOKUP(compras_mes8[[#This Row],[CUIT]],Lista_CUIT[#All],4,0)),"CUIT NO CARGADO")</f>
        <v>0</v>
      </c>
    </row>
    <row r="23" spans="2:18" x14ac:dyDescent="0.25">
      <c r="B23" s="40"/>
      <c r="C23" s="41"/>
      <c r="D23" s="42"/>
      <c r="E23" s="43"/>
      <c r="F23" s="44">
        <v>23233422029</v>
      </c>
      <c r="G23" s="45" t="str">
        <f>IFERROR(IF(compras_mes8[[#This Row],[CUIT]]="","-",VLOOKUP(compras_mes8[[#This Row],[CUIT]],Lista_CUIT[#All],2,0)),"CUIT NO CARGADO")</f>
        <v>RODOLFO SCHULZE</v>
      </c>
      <c r="H23" s="46">
        <v>381585.74</v>
      </c>
      <c r="I23" s="85">
        <f>IF(compras_mes8[[#This Row],[NETO GRAVADO]]="","",compras_mes8[[#This Row],[NETO GRAVADO]]*0.21)</f>
        <v>80133.005399999995</v>
      </c>
      <c r="J23" s="85"/>
      <c r="K23" s="85"/>
      <c r="L23" s="85"/>
      <c r="M23" s="85"/>
      <c r="N23" s="85"/>
      <c r="O23" s="85"/>
      <c r="P23" s="48">
        <f>SUM(compras_mes8[[#This Row],[NETO GRAVADO]:[Otros / No Grav.]])</f>
        <v>461718.74540000001</v>
      </c>
      <c r="Q23" s="49" t="str">
        <f>IFERROR(IF(compras_mes8[[#This Row],[CUIT]]="","-",VLOOKUP(compras_mes8[[#This Row],[CUIT]],Lista_CUIT[#All],3,0)),"CUIT NO CARGADO")</f>
        <v>INSUMO</v>
      </c>
      <c r="R23" s="49">
        <f>IFERROR(IF(compras_mes8[[#This Row],[CUIT]]="","-",VLOOKUP(compras_mes8[[#This Row],[CUIT]],Lista_CUIT[#All],4,0)),"CUIT NO CARGADO")</f>
        <v>0</v>
      </c>
    </row>
    <row r="24" spans="2:18" x14ac:dyDescent="0.25">
      <c r="B24" s="40"/>
      <c r="C24" s="41"/>
      <c r="D24" s="42"/>
      <c r="E24" s="43"/>
      <c r="F24" s="44">
        <v>30707986189</v>
      </c>
      <c r="G24" s="45" t="str">
        <f>IFERROR(IF(compras_mes8[[#This Row],[CUIT]]="","-",VLOOKUP(compras_mes8[[#This Row],[CUIT]],Lista_CUIT[#All],2,0)),"CUIT NO CARGADO")</f>
        <v>CIERRER, ABROJO &amp; HERRAJES SRL</v>
      </c>
      <c r="H24" s="46">
        <v>258277.4</v>
      </c>
      <c r="I24" s="85">
        <f>IF(compras_mes8[[#This Row],[NETO GRAVADO]]="","",compras_mes8[[#This Row],[NETO GRAVADO]]*0.21)</f>
        <v>54238.253999999994</v>
      </c>
      <c r="J24" s="85"/>
      <c r="K24" s="85"/>
      <c r="L24" s="85"/>
      <c r="M24" s="85"/>
      <c r="N24" s="85"/>
      <c r="O24" s="85"/>
      <c r="P24" s="48">
        <f>SUM(compras_mes8[[#This Row],[NETO GRAVADO]:[Otros / No Grav.]])</f>
        <v>312515.65399999998</v>
      </c>
      <c r="Q24" s="49" t="str">
        <f>IFERROR(IF(compras_mes8[[#This Row],[CUIT]]="","-",VLOOKUP(compras_mes8[[#This Row],[CUIT]],Lista_CUIT[#All],3,0)),"CUIT NO CARGADO")</f>
        <v>INSUMO</v>
      </c>
      <c r="R24" s="49">
        <f>IFERROR(IF(compras_mes8[[#This Row],[CUIT]]="","-",VLOOKUP(compras_mes8[[#This Row],[CUIT]],Lista_CUIT[#All],4,0)),"CUIT NO CARGADO")</f>
        <v>0</v>
      </c>
    </row>
    <row r="25" spans="2:18" x14ac:dyDescent="0.25">
      <c r="B25" s="40"/>
      <c r="C25" s="41"/>
      <c r="D25" s="42"/>
      <c r="E25" s="43"/>
      <c r="F25" s="44">
        <v>30715458744</v>
      </c>
      <c r="G25" s="45" t="str">
        <f>IFERROR(IF(compras_mes8[[#This Row],[CUIT]]="","-",VLOOKUP(compras_mes8[[#This Row],[CUIT]],Lista_CUIT[#All],2,0)),"CUIT NO CARGADO")</f>
        <v>SUR CARBURANTES SA</v>
      </c>
      <c r="H25" s="46">
        <v>35994.86</v>
      </c>
      <c r="I25" s="85">
        <f>IF(compras_mes8[[#This Row],[NETO GRAVADO]]="","",compras_mes8[[#This Row],[NETO GRAVADO]]*0.21)</f>
        <v>7558.9205999999995</v>
      </c>
      <c r="J25" s="85"/>
      <c r="K25" s="85"/>
      <c r="L25" s="85"/>
      <c r="M25" s="85"/>
      <c r="N25" s="85"/>
      <c r="O25" s="85"/>
      <c r="P25" s="48">
        <f>SUM(compras_mes8[[#This Row],[NETO GRAVADO]:[Otros / No Grav.]])</f>
        <v>43553.780599999998</v>
      </c>
      <c r="Q25" s="49" t="str">
        <f>IFERROR(IF(compras_mes8[[#This Row],[CUIT]]="","-",VLOOKUP(compras_mes8[[#This Row],[CUIT]],Lista_CUIT[#All],3,0)),"CUIT NO CARGADO")</f>
        <v>COMBUSTIBLE</v>
      </c>
      <c r="R25" s="49">
        <f>IFERROR(IF(compras_mes8[[#This Row],[CUIT]]="","-",VLOOKUP(compras_mes8[[#This Row],[CUIT]],Lista_CUIT[#All],4,0)),"CUIT NO CARGADO")</f>
        <v>0</v>
      </c>
    </row>
    <row r="26" spans="2:18" x14ac:dyDescent="0.25">
      <c r="B26" s="40"/>
      <c r="C26" s="41"/>
      <c r="D26" s="42"/>
      <c r="E26" s="43"/>
      <c r="F26" s="44">
        <v>30711678820</v>
      </c>
      <c r="G26" s="45" t="str">
        <f>IFERROR(IF(compras_mes8[[#This Row],[CUIT]]="","-",VLOOKUP(compras_mes8[[#This Row],[CUIT]],Lista_CUIT[#All],2,0)),"CUIT NO CARGADO")</f>
        <v>RELIEF CENTER SRL</v>
      </c>
      <c r="H26" s="46">
        <v>200000</v>
      </c>
      <c r="I26" s="85">
        <f>IF(compras_mes8[[#This Row],[NETO GRAVADO]]="","",compras_mes8[[#This Row],[NETO GRAVADO]]*0.21)</f>
        <v>42000</v>
      </c>
      <c r="J26" s="85"/>
      <c r="K26" s="85"/>
      <c r="L26" s="85"/>
      <c r="M26" s="85"/>
      <c r="N26" s="85"/>
      <c r="O26" s="85"/>
      <c r="P26" s="48">
        <f>SUM(compras_mes8[[#This Row],[NETO GRAVADO]:[Otros / No Grav.]])</f>
        <v>242000</v>
      </c>
      <c r="Q26" s="49" t="str">
        <f>IFERROR(IF(compras_mes8[[#This Row],[CUIT]]="","-",VLOOKUP(compras_mes8[[#This Row],[CUIT]],Lista_CUIT[#All],3,0)),"CUIT NO CARGADO")</f>
        <v>PROVEEDOR</v>
      </c>
      <c r="R26" s="49">
        <f>IFERROR(IF(compras_mes8[[#This Row],[CUIT]]="","-",VLOOKUP(compras_mes8[[#This Row],[CUIT]],Lista_CUIT[#All],4,0)),"CUIT NO CARGADO")</f>
        <v>0</v>
      </c>
    </row>
    <row r="27" spans="2:18" x14ac:dyDescent="0.25">
      <c r="B27" s="40"/>
      <c r="C27" s="41"/>
      <c r="D27" s="42"/>
      <c r="E27" s="43"/>
      <c r="F27" s="44">
        <v>20184052858</v>
      </c>
      <c r="G27" s="45" t="str">
        <f>IFERROR(IF(compras_mes8[[#This Row],[CUIT]]="","-",VLOOKUP(compras_mes8[[#This Row],[CUIT]],Lista_CUIT[#All],2,0)),"CUIT NO CARGADO")</f>
        <v>ABOUD PABLO DANIEL</v>
      </c>
      <c r="H27" s="46">
        <v>72727.28</v>
      </c>
      <c r="I27" s="85">
        <f>IF(compras_mes8[[#This Row],[NETO GRAVADO]]="","",compras_mes8[[#This Row],[NETO GRAVADO]]*0.21)</f>
        <v>15272.728799999999</v>
      </c>
      <c r="J27" s="85"/>
      <c r="K27" s="85"/>
      <c r="L27" s="85"/>
      <c r="M27" s="85"/>
      <c r="N27" s="85"/>
      <c r="O27" s="85"/>
      <c r="P27" s="48">
        <f>SUM(compras_mes8[[#This Row],[NETO GRAVADO]:[Otros / No Grav.]])</f>
        <v>88000.008799999996</v>
      </c>
      <c r="Q27" s="49" t="str">
        <f>IFERROR(IF(compras_mes8[[#This Row],[CUIT]]="","-",VLOOKUP(compras_mes8[[#This Row],[CUIT]],Lista_CUIT[#All],3,0)),"CUIT NO CARGADO")</f>
        <v>Gastos Varios</v>
      </c>
      <c r="R27" s="49">
        <f>IFERROR(IF(compras_mes8[[#This Row],[CUIT]]="","-",VLOOKUP(compras_mes8[[#This Row],[CUIT]],Lista_CUIT[#All],4,0)),"CUIT NO CARGADO")</f>
        <v>0</v>
      </c>
    </row>
    <row r="28" spans="2:18" x14ac:dyDescent="0.25">
      <c r="B28" s="40"/>
      <c r="C28" s="41"/>
      <c r="D28" s="42"/>
      <c r="E28" s="43"/>
      <c r="F28" s="44">
        <v>30707042679</v>
      </c>
      <c r="G28" s="45" t="str">
        <f>IFERROR(IF(compras_mes8[[#This Row],[CUIT]]="","-",VLOOKUP(compras_mes8[[#This Row],[CUIT]],Lista_CUIT[#All],2,0)),"CUIT NO CARGADO")</f>
        <v>MEDICAL FOAM SRL</v>
      </c>
      <c r="H28" s="46">
        <v>2104305</v>
      </c>
      <c r="I28" s="85">
        <f>IF(compras_mes8[[#This Row],[NETO GRAVADO]]="","",compras_mes8[[#This Row],[NETO GRAVADO]]*0.21)</f>
        <v>441904.05</v>
      </c>
      <c r="J28" s="85"/>
      <c r="K28" s="85"/>
      <c r="L28" s="85"/>
      <c r="M28" s="85"/>
      <c r="N28" s="85"/>
      <c r="O28" s="85"/>
      <c r="P28" s="48">
        <f>SUM(compras_mes8[[#This Row],[NETO GRAVADO]:[Otros / No Grav.]])</f>
        <v>2546209.0499999998</v>
      </c>
      <c r="Q28" s="49" t="str">
        <f>IFERROR(IF(compras_mes8[[#This Row],[CUIT]]="","-",VLOOKUP(compras_mes8[[#This Row],[CUIT]],Lista_CUIT[#All],3,0)),"CUIT NO CARGADO")</f>
        <v>INSUMO</v>
      </c>
      <c r="R28" s="49">
        <f>IFERROR(IF(compras_mes8[[#This Row],[CUIT]]="","-",VLOOKUP(compras_mes8[[#This Row],[CUIT]],Lista_CUIT[#All],4,0)),"CUIT NO CARGADO")</f>
        <v>0</v>
      </c>
    </row>
    <row r="29" spans="2:18" x14ac:dyDescent="0.25">
      <c r="B29" s="40"/>
      <c r="C29" s="41"/>
      <c r="D29" s="42"/>
      <c r="E29" s="43"/>
      <c r="F29" s="44">
        <v>30707042679</v>
      </c>
      <c r="G29" s="45" t="str">
        <f>IFERROR(IF(compras_mes8[[#This Row],[CUIT]]="","-",VLOOKUP(compras_mes8[[#This Row],[CUIT]],Lista_CUIT[#All],2,0)),"CUIT NO CARGADO")</f>
        <v>MEDICAL FOAM SRL</v>
      </c>
      <c r="H29" s="46">
        <v>3337407</v>
      </c>
      <c r="I29" s="85">
        <f>1812807*0.21</f>
        <v>380689.47</v>
      </c>
      <c r="J29" s="85"/>
      <c r="K29" s="85">
        <f>1524600*0.105</f>
        <v>160083</v>
      </c>
      <c r="L29" s="85"/>
      <c r="M29" s="85"/>
      <c r="N29" s="85">
        <v>37800</v>
      </c>
      <c r="O29" s="85"/>
      <c r="P29" s="48">
        <f>SUM(compras_mes8[[#This Row],[NETO GRAVADO]:[Otros / No Grav.]])</f>
        <v>3915979.4699999997</v>
      </c>
      <c r="Q29" s="49" t="str">
        <f>IFERROR(IF(compras_mes8[[#This Row],[CUIT]]="","-",VLOOKUP(compras_mes8[[#This Row],[CUIT]],Lista_CUIT[#All],3,0)),"CUIT NO CARGADO")</f>
        <v>INSUMO</v>
      </c>
      <c r="R29" s="49">
        <f>IFERROR(IF(compras_mes8[[#This Row],[CUIT]]="","-",VLOOKUP(compras_mes8[[#This Row],[CUIT]],Lista_CUIT[#All],4,0)),"CUIT NO CARGADO")</f>
        <v>0</v>
      </c>
    </row>
    <row r="30" spans="2:18" x14ac:dyDescent="0.25">
      <c r="B30" s="40"/>
      <c r="C30" s="41"/>
      <c r="D30" s="42"/>
      <c r="E30" s="43"/>
      <c r="F30" s="44">
        <v>20183882512</v>
      </c>
      <c r="G30" s="45" t="str">
        <f>IFERROR(IF(compras_mes8[[#This Row],[CUIT]]="","-",VLOOKUP(compras_mes8[[#This Row],[CUIT]],Lista_CUIT[#All],2,0)),"CUIT NO CARGADO")</f>
        <v>CLAUDIO OMAR MASTROPASQUA</v>
      </c>
      <c r="H30" s="46">
        <v>80000</v>
      </c>
      <c r="I30" s="85">
        <f>IF(compras_mes8[[#This Row],[NETO GRAVADO]]="","",compras_mes8[[#This Row],[NETO GRAVADO]]*0.21)</f>
        <v>16800</v>
      </c>
      <c r="J30" s="85"/>
      <c r="K30" s="85"/>
      <c r="L30" s="85"/>
      <c r="M30" s="85"/>
      <c r="N30" s="85"/>
      <c r="O30" s="85"/>
      <c r="P30" s="48">
        <f>SUM(compras_mes8[[#This Row],[NETO GRAVADO]:[Otros / No Grav.]])</f>
        <v>96800</v>
      </c>
      <c r="Q30" s="49" t="str">
        <f>IFERROR(IF(compras_mes8[[#This Row],[CUIT]]="","-",VLOOKUP(compras_mes8[[#This Row],[CUIT]],Lista_CUIT[#All],3,0)),"CUIT NO CARGADO")</f>
        <v>Insumos</v>
      </c>
      <c r="R30" s="49">
        <f>IFERROR(IF(compras_mes8[[#This Row],[CUIT]]="","-",VLOOKUP(compras_mes8[[#This Row],[CUIT]],Lista_CUIT[#All],4,0)),"CUIT NO CARGADO")</f>
        <v>0</v>
      </c>
    </row>
    <row r="31" spans="2:18" x14ac:dyDescent="0.25">
      <c r="B31" s="40"/>
      <c r="C31" s="41"/>
      <c r="D31" s="42"/>
      <c r="E31" s="43"/>
      <c r="F31" s="44">
        <v>20142643384</v>
      </c>
      <c r="G31" s="45" t="str">
        <f>IFERROR(IF(compras_mes8[[#This Row],[CUIT]]="","-",VLOOKUP(compras_mes8[[#This Row],[CUIT]],Lista_CUIT[#All],2,0)),"CUIT NO CARGADO")</f>
        <v>RAMASKO JORGE FERNANDO</v>
      </c>
      <c r="H31" s="46">
        <v>616543.80000000005</v>
      </c>
      <c r="I31" s="85">
        <f>IF(compras_mes8[[#This Row],[NETO GRAVADO]]="","",compras_mes8[[#This Row],[NETO GRAVADO]]*0.21)</f>
        <v>129474.198</v>
      </c>
      <c r="J31" s="85"/>
      <c r="K31" s="85"/>
      <c r="L31" s="85"/>
      <c r="M31" s="85"/>
      <c r="N31" s="85"/>
      <c r="O31" s="85"/>
      <c r="P31" s="48">
        <f>SUM(compras_mes8[[#This Row],[NETO GRAVADO]:[Otros / No Grav.]])</f>
        <v>746017.99800000002</v>
      </c>
      <c r="Q31" s="49" t="str">
        <f>IFERROR(IF(compras_mes8[[#This Row],[CUIT]]="","-",VLOOKUP(compras_mes8[[#This Row],[CUIT]],Lista_CUIT[#All],3,0)),"CUIT NO CARGADO")</f>
        <v>Insumos</v>
      </c>
      <c r="R31" s="49">
        <f>IFERROR(IF(compras_mes8[[#This Row],[CUIT]]="","-",VLOOKUP(compras_mes8[[#This Row],[CUIT]],Lista_CUIT[#All],4,0)),"CUIT NO CARGADO")</f>
        <v>0</v>
      </c>
    </row>
    <row r="32" spans="2:18" x14ac:dyDescent="0.25">
      <c r="B32" s="40"/>
      <c r="C32" s="41"/>
      <c r="D32" s="42"/>
      <c r="E32" s="43"/>
      <c r="F32" s="44">
        <v>30712305513</v>
      </c>
      <c r="G32" s="45" t="str">
        <f>IFERROR(IF(compras_mes8[[#This Row],[CUIT]]="","-",VLOOKUP(compras_mes8[[#This Row],[CUIT]],Lista_CUIT[#All],2,0)),"CUIT NO CARGADO")</f>
        <v>TRINIDAD INSUMOS SRL</v>
      </c>
      <c r="H32" s="46">
        <v>2734675.2</v>
      </c>
      <c r="I32" s="85">
        <f>IF(compras_mes8[[#This Row],[NETO GRAVADO]]="","",compras_mes8[[#This Row],[NETO GRAVADO]]*0.21)</f>
        <v>574281.79200000002</v>
      </c>
      <c r="J32" s="85"/>
      <c r="K32" s="85"/>
      <c r="L32" s="85"/>
      <c r="M32" s="85"/>
      <c r="N32" s="85"/>
      <c r="O32" s="85"/>
      <c r="P32" s="48">
        <f>SUM(compras_mes8[[#This Row],[NETO GRAVADO]:[Otros / No Grav.]])</f>
        <v>3308956.9920000001</v>
      </c>
      <c r="Q32" s="49" t="str">
        <f>IFERROR(IF(compras_mes8[[#This Row],[CUIT]]="","-",VLOOKUP(compras_mes8[[#This Row],[CUIT]],Lista_CUIT[#All],3,0)),"CUIT NO CARGADO")</f>
        <v>SERVICIOS</v>
      </c>
      <c r="R32" s="49">
        <f>IFERROR(IF(compras_mes8[[#This Row],[CUIT]]="","-",VLOOKUP(compras_mes8[[#This Row],[CUIT]],Lista_CUIT[#All],4,0)),"CUIT NO CARGADO")</f>
        <v>0</v>
      </c>
    </row>
    <row r="33" spans="2:18" x14ac:dyDescent="0.25">
      <c r="B33" s="40"/>
      <c r="C33" s="41"/>
      <c r="D33" s="42"/>
      <c r="E33" s="43"/>
      <c r="F33" s="44">
        <v>30712305513</v>
      </c>
      <c r="G33" s="45" t="str">
        <f>IFERROR(IF(compras_mes8[[#This Row],[CUIT]]="","-",VLOOKUP(compras_mes8[[#This Row],[CUIT]],Lista_CUIT[#All],2,0)),"CUIT NO CARGADO")</f>
        <v>TRINIDAD INSUMOS SRL</v>
      </c>
      <c r="H33" s="46">
        <v>3285481.5</v>
      </c>
      <c r="I33" s="85">
        <f>2151481.5*0.21</f>
        <v>451811.11499999999</v>
      </c>
      <c r="J33" s="85"/>
      <c r="K33" s="85">
        <f>1134000*0.105</f>
        <v>119070</v>
      </c>
      <c r="L33" s="85"/>
      <c r="M33" s="85"/>
      <c r="N33" s="85"/>
      <c r="O33" s="85"/>
      <c r="P33" s="48">
        <f>SUM(compras_mes8[[#This Row],[NETO GRAVADO]:[Otros / No Grav.]])</f>
        <v>3856362.6150000002</v>
      </c>
      <c r="Q33" s="49" t="str">
        <f>IFERROR(IF(compras_mes8[[#This Row],[CUIT]]="","-",VLOOKUP(compras_mes8[[#This Row],[CUIT]],Lista_CUIT[#All],3,0)),"CUIT NO CARGADO")</f>
        <v>SERVICIOS</v>
      </c>
      <c r="R33" s="49">
        <f>IFERROR(IF(compras_mes8[[#This Row],[CUIT]]="","-",VLOOKUP(compras_mes8[[#This Row],[CUIT]],Lista_CUIT[#All],4,0)),"CUIT NO CARGADO")</f>
        <v>0</v>
      </c>
    </row>
    <row r="34" spans="2:18" x14ac:dyDescent="0.25">
      <c r="B34" s="40"/>
      <c r="C34" s="41"/>
      <c r="D34" s="42"/>
      <c r="E34" s="43"/>
      <c r="F34" s="44">
        <v>30712305513</v>
      </c>
      <c r="G34" s="45" t="str">
        <f>IFERROR(IF(compras_mes8[[#This Row],[CUIT]]="","-",VLOOKUP(compras_mes8[[#This Row],[CUIT]],Lista_CUIT[#All],2,0)),"CUIT NO CARGADO")</f>
        <v>TRINIDAD INSUMOS SRL</v>
      </c>
      <c r="H34" s="46">
        <v>1812807</v>
      </c>
      <c r="I34" s="85">
        <f>IF(compras_mes8[[#This Row],[NETO GRAVADO]]="","",compras_mes8[[#This Row],[NETO GRAVADO]]*0.21)</f>
        <v>380689.47</v>
      </c>
      <c r="J34" s="85"/>
      <c r="K34" s="85"/>
      <c r="L34" s="85"/>
      <c r="M34" s="85"/>
      <c r="N34" s="85"/>
      <c r="O34" s="85"/>
      <c r="P34" s="48">
        <f>SUM(compras_mes8[[#This Row],[NETO GRAVADO]:[Otros / No Grav.]])</f>
        <v>2193496.4699999997</v>
      </c>
      <c r="Q34" s="49" t="str">
        <f>IFERROR(IF(compras_mes8[[#This Row],[CUIT]]="","-",VLOOKUP(compras_mes8[[#This Row],[CUIT]],Lista_CUIT[#All],3,0)),"CUIT NO CARGADO")</f>
        <v>SERVICIOS</v>
      </c>
      <c r="R34" s="49">
        <f>IFERROR(IF(compras_mes8[[#This Row],[CUIT]]="","-",VLOOKUP(compras_mes8[[#This Row],[CUIT]],Lista_CUIT[#All],4,0)),"CUIT NO CARGADO")</f>
        <v>0</v>
      </c>
    </row>
    <row r="35" spans="2:18" x14ac:dyDescent="0.25">
      <c r="B35" s="40"/>
      <c r="C35" s="41"/>
      <c r="D35" s="42"/>
      <c r="E35" s="43"/>
      <c r="F35" s="44">
        <v>30712305513</v>
      </c>
      <c r="G35" s="45" t="str">
        <f>IFERROR(IF(compras_mes8[[#This Row],[CUIT]]="","-",VLOOKUP(compras_mes8[[#This Row],[CUIT]],Lista_CUIT[#All],2,0)),"CUIT NO CARGADO")</f>
        <v>TRINIDAD INSUMOS SRL</v>
      </c>
      <c r="H35" s="46">
        <v>3232620</v>
      </c>
      <c r="I35" s="85">
        <f>IF(compras_mes8[[#This Row],[NETO GRAVADO]]="","",compras_mes8[[#This Row],[NETO GRAVADO]]*0.21)</f>
        <v>678850.2</v>
      </c>
      <c r="J35" s="85"/>
      <c r="K35" s="85"/>
      <c r="L35" s="85"/>
      <c r="M35" s="85"/>
      <c r="N35" s="85"/>
      <c r="O35" s="85"/>
      <c r="P35" s="48">
        <f>SUM(compras_mes8[[#This Row],[NETO GRAVADO]:[Otros / No Grav.]])</f>
        <v>3911470.2</v>
      </c>
      <c r="Q35" s="49" t="str">
        <f>IFERROR(IF(compras_mes8[[#This Row],[CUIT]]="","-",VLOOKUP(compras_mes8[[#This Row],[CUIT]],Lista_CUIT[#All],3,0)),"CUIT NO CARGADO")</f>
        <v>SERVICIOS</v>
      </c>
      <c r="R35" s="49">
        <f>IFERROR(IF(compras_mes8[[#This Row],[CUIT]]="","-",VLOOKUP(compras_mes8[[#This Row],[CUIT]],Lista_CUIT[#All],4,0)),"CUIT NO CARGADO")</f>
        <v>0</v>
      </c>
    </row>
    <row r="36" spans="2:18" x14ac:dyDescent="0.25">
      <c r="B36" s="40"/>
      <c r="C36" s="41"/>
      <c r="D36" s="42"/>
      <c r="E36" s="43"/>
      <c r="F36" s="44">
        <v>27265302225</v>
      </c>
      <c r="G36" s="45" t="str">
        <f>IFERROR(IF(compras_mes8[[#This Row],[CUIT]]="","-",VLOOKUP(compras_mes8[[#This Row],[CUIT]],Lista_CUIT[#All],2,0)),"CUIT NO CARGADO")</f>
        <v>PRADO MARISOL</v>
      </c>
      <c r="H36" s="46">
        <v>1400000</v>
      </c>
      <c r="I36" s="85">
        <f>IF(compras_mes8[[#This Row],[NETO GRAVADO]]="","",compras_mes8[[#This Row],[NETO GRAVADO]]*0.21)</f>
        <v>294000</v>
      </c>
      <c r="J36" s="85"/>
      <c r="K36" s="85"/>
      <c r="L36" s="85"/>
      <c r="M36" s="85"/>
      <c r="N36" s="85"/>
      <c r="O36" s="85"/>
      <c r="P36" s="48">
        <f>SUM(compras_mes8[[#This Row],[NETO GRAVADO]:[Otros / No Grav.]])</f>
        <v>1694000</v>
      </c>
      <c r="Q36" s="49" t="str">
        <f>IFERROR(IF(compras_mes8[[#This Row],[CUIT]]="","-",VLOOKUP(compras_mes8[[#This Row],[CUIT]],Lista_CUIT[#All],3,0)),"CUIT NO CARGADO")</f>
        <v>INSUMO</v>
      </c>
      <c r="R36" s="49">
        <f>IFERROR(IF(compras_mes8[[#This Row],[CUIT]]="","-",VLOOKUP(compras_mes8[[#This Row],[CUIT]],Lista_CUIT[#All],4,0)),"CUIT NO CARGADO")</f>
        <v>0</v>
      </c>
    </row>
    <row r="37" spans="2:18" x14ac:dyDescent="0.25">
      <c r="B37" s="40"/>
      <c r="C37" s="41"/>
      <c r="D37" s="42"/>
      <c r="E37" s="43"/>
      <c r="F37" s="44">
        <v>30707267077</v>
      </c>
      <c r="G37" s="45" t="str">
        <f>IFERROR(IF(compras_mes8[[#This Row],[CUIT]]="","-",VLOOKUP(compras_mes8[[#This Row],[CUIT]],Lista_CUIT[#All],2,0)),"CUIT NO CARGADO")</f>
        <v>BARBARO SOCIEDAD COLECTIVA</v>
      </c>
      <c r="H37" s="46">
        <v>1710000</v>
      </c>
      <c r="I37" s="85">
        <f>IF(compras_mes8[[#This Row],[NETO GRAVADO]]="","",compras_mes8[[#This Row],[NETO GRAVADO]]*0.21)</f>
        <v>359100</v>
      </c>
      <c r="J37" s="85"/>
      <c r="K37" s="85"/>
      <c r="L37" s="85"/>
      <c r="M37" s="85"/>
      <c r="N37" s="85"/>
      <c r="O37" s="85"/>
      <c r="P37" s="48">
        <f>SUM(compras_mes8[[#This Row],[NETO GRAVADO]:[Otros / No Grav.]])</f>
        <v>2069100</v>
      </c>
      <c r="Q37" s="49" t="str">
        <f>IFERROR(IF(compras_mes8[[#This Row],[CUIT]]="","-",VLOOKUP(compras_mes8[[#This Row],[CUIT]],Lista_CUIT[#All],3,0)),"CUIT NO CARGADO")</f>
        <v>MERCADERIA</v>
      </c>
      <c r="R37" s="49">
        <f>IFERROR(IF(compras_mes8[[#This Row],[CUIT]]="","-",VLOOKUP(compras_mes8[[#This Row],[CUIT]],Lista_CUIT[#All],4,0)),"CUIT NO CARGADO")</f>
        <v>0</v>
      </c>
    </row>
    <row r="38" spans="2:18" x14ac:dyDescent="0.25">
      <c r="B38" s="40"/>
      <c r="C38" s="41"/>
      <c r="D38" s="42"/>
      <c r="E38" s="43"/>
      <c r="F38" s="44">
        <v>30598960093</v>
      </c>
      <c r="G38" s="45" t="str">
        <f>IFERROR(IF(compras_mes8[[#This Row],[CUIT]]="","-",VLOOKUP(compras_mes8[[#This Row],[CUIT]],Lista_CUIT[#All],2,0)),"CUIT NO CARGADO")</f>
        <v>SILVESTRIN FABRIS SRL</v>
      </c>
      <c r="H38" s="46">
        <v>1070879.3999999999</v>
      </c>
      <c r="I38" s="85">
        <f>IF(compras_mes8[[#This Row],[NETO GRAVADO]]="","",compras_mes8[[#This Row],[NETO GRAVADO]]*0.21)</f>
        <v>224884.67399999997</v>
      </c>
      <c r="J38" s="85"/>
      <c r="K38" s="85"/>
      <c r="L38" s="85"/>
      <c r="M38" s="85"/>
      <c r="N38" s="85">
        <v>42835.18</v>
      </c>
      <c r="O38" s="85"/>
      <c r="P38" s="48">
        <f>SUM(compras_mes8[[#This Row],[NETO GRAVADO]:[Otros / No Grav.]])</f>
        <v>1338599.2539999997</v>
      </c>
      <c r="Q38" s="49" t="str">
        <f>IFERROR(IF(compras_mes8[[#This Row],[CUIT]]="","-",VLOOKUP(compras_mes8[[#This Row],[CUIT]],Lista_CUIT[#All],3,0)),"CUIT NO CARGADO")</f>
        <v>INSUMO</v>
      </c>
      <c r="R38" s="49">
        <f>IFERROR(IF(compras_mes8[[#This Row],[CUIT]]="","-",VLOOKUP(compras_mes8[[#This Row],[CUIT]],Lista_CUIT[#All],4,0)),"CUIT NO CARGADO")</f>
        <v>0</v>
      </c>
    </row>
    <row r="39" spans="2:18" x14ac:dyDescent="0.25">
      <c r="B39" s="40"/>
      <c r="C39" s="41"/>
      <c r="D39" s="42"/>
      <c r="E39" s="43"/>
      <c r="F39" s="44">
        <v>30598960093</v>
      </c>
      <c r="G39" s="45" t="str">
        <f>IFERROR(IF(compras_mes8[[#This Row],[CUIT]]="","-",VLOOKUP(compras_mes8[[#This Row],[CUIT]],Lista_CUIT[#All],2,0)),"CUIT NO CARGADO")</f>
        <v>SILVESTRIN FABRIS SRL</v>
      </c>
      <c r="H39" s="46">
        <v>375489</v>
      </c>
      <c r="I39" s="85">
        <f>IF(compras_mes8[[#This Row],[NETO GRAVADO]]="","",compras_mes8[[#This Row],[NETO GRAVADO]]*0.21)</f>
        <v>78852.69</v>
      </c>
      <c r="J39" s="85"/>
      <c r="K39" s="85"/>
      <c r="L39" s="85"/>
      <c r="M39" s="85"/>
      <c r="N39" s="85">
        <v>15019.56</v>
      </c>
      <c r="O39" s="85"/>
      <c r="P39" s="48">
        <f>SUM(compras_mes8[[#This Row],[NETO GRAVADO]:[Otros / No Grav.]])</f>
        <v>469361.25</v>
      </c>
      <c r="Q39" s="49" t="str">
        <f>IFERROR(IF(compras_mes8[[#This Row],[CUIT]]="","-",VLOOKUP(compras_mes8[[#This Row],[CUIT]],Lista_CUIT[#All],3,0)),"CUIT NO CARGADO")</f>
        <v>INSUMO</v>
      </c>
      <c r="R39" s="49">
        <f>IFERROR(IF(compras_mes8[[#This Row],[CUIT]]="","-",VLOOKUP(compras_mes8[[#This Row],[CUIT]],Lista_CUIT[#All],4,0)),"CUIT NO CARGADO")</f>
        <v>0</v>
      </c>
    </row>
    <row r="40" spans="2:18" x14ac:dyDescent="0.25">
      <c r="B40" s="40"/>
      <c r="C40" s="41"/>
      <c r="D40" s="42"/>
      <c r="E40" s="43"/>
      <c r="F40" s="44">
        <v>30598960093</v>
      </c>
      <c r="G40" s="45" t="str">
        <f>IFERROR(IF(compras_mes8[[#This Row],[CUIT]]="","-",VLOOKUP(compras_mes8[[#This Row],[CUIT]],Lista_CUIT[#All],2,0)),"CUIT NO CARGADO")</f>
        <v>SILVESTRIN FABRIS SRL</v>
      </c>
      <c r="H40" s="46">
        <v>578477.69999999995</v>
      </c>
      <c r="I40" s="85"/>
      <c r="J40" s="85"/>
      <c r="K40" s="85">
        <f>compras_mes8[[#This Row],[NETO GRAVADO]]*0.105</f>
        <v>60740.15849999999</v>
      </c>
      <c r="L40" s="85"/>
      <c r="M40" s="85"/>
      <c r="N40" s="85">
        <v>23139.11</v>
      </c>
      <c r="O40" s="85"/>
      <c r="P40" s="48">
        <f>SUM(compras_mes8[[#This Row],[NETO GRAVADO]:[Otros / No Grav.]])</f>
        <v>662356.96849999996</v>
      </c>
      <c r="Q40" s="49" t="str">
        <f>IFERROR(IF(compras_mes8[[#This Row],[CUIT]]="","-",VLOOKUP(compras_mes8[[#This Row],[CUIT]],Lista_CUIT[#All],3,0)),"CUIT NO CARGADO")</f>
        <v>INSUMO</v>
      </c>
      <c r="R40" s="49">
        <f>IFERROR(IF(compras_mes8[[#This Row],[CUIT]]="","-",VLOOKUP(compras_mes8[[#This Row],[CUIT]],Lista_CUIT[#All],4,0)),"CUIT NO CARGADO")</f>
        <v>0</v>
      </c>
    </row>
    <row r="41" spans="2:18" x14ac:dyDescent="0.25">
      <c r="B41" s="40"/>
      <c r="C41" s="41"/>
      <c r="D41" s="42"/>
      <c r="E41" s="43"/>
      <c r="F41" s="44">
        <v>30716815710</v>
      </c>
      <c r="G41" s="45" t="str">
        <f>IFERROR(IF(compras_mes8[[#This Row],[CUIT]]="","-",VLOOKUP(compras_mes8[[#This Row],[CUIT]],Lista_CUIT[#All],2,0)),"CUIT NO CARGADO")</f>
        <v>PAPELERA GEOPEL SRL</v>
      </c>
      <c r="H41" s="46">
        <v>13600</v>
      </c>
      <c r="I41" s="85">
        <f>IF(compras_mes8[[#This Row],[NETO GRAVADO]]="","",compras_mes8[[#This Row],[NETO GRAVADO]]*0.21)</f>
        <v>2856</v>
      </c>
      <c r="J41" s="85"/>
      <c r="K41" s="85"/>
      <c r="L41" s="85"/>
      <c r="M41" s="85"/>
      <c r="N41" s="85"/>
      <c r="O41" s="85"/>
      <c r="P41" s="48">
        <f>SUM(compras_mes8[[#This Row],[NETO GRAVADO]:[Otros / No Grav.]])</f>
        <v>16456</v>
      </c>
      <c r="Q41" s="49" t="str">
        <f>IFERROR(IF(compras_mes8[[#This Row],[CUIT]]="","-",VLOOKUP(compras_mes8[[#This Row],[CUIT]],Lista_CUIT[#All],3,0)),"CUIT NO CARGADO")</f>
        <v>librería</v>
      </c>
      <c r="R41" s="49">
        <f>IFERROR(IF(compras_mes8[[#This Row],[CUIT]]="","-",VLOOKUP(compras_mes8[[#This Row],[CUIT]],Lista_CUIT[#All],4,0)),"CUIT NO CARGADO")</f>
        <v>0</v>
      </c>
    </row>
    <row r="42" spans="2:18" x14ac:dyDescent="0.25">
      <c r="B42" s="40"/>
      <c r="C42" s="41"/>
      <c r="D42" s="42"/>
      <c r="E42" s="43"/>
      <c r="F42" s="44">
        <v>30715775014</v>
      </c>
      <c r="G42" s="45" t="str">
        <f>IFERROR(IF(compras_mes8[[#This Row],[CUIT]]="","-",VLOOKUP(compras_mes8[[#This Row],[CUIT]],Lista_CUIT[#All],2,0)),"CUIT NO CARGADO")</f>
        <v>GRUPO MAXIMUS S.R.L.</v>
      </c>
      <c r="H42" s="46">
        <v>12751.09</v>
      </c>
      <c r="I42" s="85"/>
      <c r="J42" s="85"/>
      <c r="K42" s="85">
        <f>compras_mes8[[#This Row],[NETO GRAVADO]]*0.105</f>
        <v>1338.86445</v>
      </c>
      <c r="L42" s="85"/>
      <c r="M42" s="85"/>
      <c r="N42" s="85"/>
      <c r="O42" s="85"/>
      <c r="P42" s="48">
        <f>SUM(compras_mes8[[#This Row],[NETO GRAVADO]:[Otros / No Grav.]])</f>
        <v>14089.954450000001</v>
      </c>
      <c r="Q42" s="49" t="str">
        <f>IFERROR(IF(compras_mes8[[#This Row],[CUIT]]="","-",VLOOKUP(compras_mes8[[#This Row],[CUIT]],Lista_CUIT[#All],3,0)),"CUIT NO CARGADO")</f>
        <v>Insumos</v>
      </c>
      <c r="R42" s="49">
        <f>IFERROR(IF(compras_mes8[[#This Row],[CUIT]]="","-",VLOOKUP(compras_mes8[[#This Row],[CUIT]],Lista_CUIT[#All],4,0)),"CUIT NO CARGADO")</f>
        <v>0</v>
      </c>
    </row>
    <row r="43" spans="2:18" x14ac:dyDescent="0.25">
      <c r="B43" s="40"/>
      <c r="C43" s="41"/>
      <c r="D43" s="42"/>
      <c r="E43" s="43"/>
      <c r="F43" s="44">
        <v>30710177658</v>
      </c>
      <c r="G43" s="45" t="str">
        <f>IFERROR(IF(compras_mes8[[#This Row],[CUIT]]="","-",VLOOKUP(compras_mes8[[#This Row],[CUIT]],Lista_CUIT[#All],2,0)),"CUIT NO CARGADO")</f>
        <v>TARGET MEDICAL SA</v>
      </c>
      <c r="H43" s="46">
        <v>1038850</v>
      </c>
      <c r="I43" s="85">
        <f>IF(compras_mes8[[#This Row],[NETO GRAVADO]]="","",compras_mes8[[#This Row],[NETO GRAVADO]]*0.21)</f>
        <v>218158.5</v>
      </c>
      <c r="J43" s="85"/>
      <c r="K43" s="85"/>
      <c r="L43" s="85"/>
      <c r="M43" s="85"/>
      <c r="N43" s="85">
        <v>41080</v>
      </c>
      <c r="O43" s="85"/>
      <c r="P43" s="48">
        <f>SUM(compras_mes8[[#This Row],[NETO GRAVADO]:[Otros / No Grav.]])</f>
        <v>1298088.5</v>
      </c>
      <c r="Q43" s="49" t="str">
        <f>IFERROR(IF(compras_mes8[[#This Row],[CUIT]]="","-",VLOOKUP(compras_mes8[[#This Row],[CUIT]],Lista_CUIT[#All],3,0)),"CUIT NO CARGADO")</f>
        <v>INSUMO</v>
      </c>
      <c r="R43" s="49">
        <f>IFERROR(IF(compras_mes8[[#This Row],[CUIT]]="","-",VLOOKUP(compras_mes8[[#This Row],[CUIT]],Lista_CUIT[#All],4,0)),"CUIT NO CARGADO")</f>
        <v>0</v>
      </c>
    </row>
    <row r="44" spans="2:18" x14ac:dyDescent="0.25">
      <c r="B44" s="40"/>
      <c r="C44" s="41"/>
      <c r="D44" s="42"/>
      <c r="E44" s="43"/>
      <c r="F44" s="44">
        <v>30710177658</v>
      </c>
      <c r="G44" s="45" t="str">
        <f>IFERROR(IF(compras_mes8[[#This Row],[CUIT]]="","-",VLOOKUP(compras_mes8[[#This Row],[CUIT]],Lista_CUIT[#All],2,0)),"CUIT NO CARGADO")</f>
        <v>TARGET MEDICAL SA</v>
      </c>
      <c r="H44" s="46">
        <v>154570</v>
      </c>
      <c r="I44" s="85">
        <f>IF(compras_mes8[[#This Row],[NETO GRAVADO]]="","",compras_mes8[[#This Row],[NETO GRAVADO]]*0.21)</f>
        <v>32459.699999999997</v>
      </c>
      <c r="J44" s="85"/>
      <c r="K44" s="85"/>
      <c r="L44" s="85"/>
      <c r="M44" s="85"/>
      <c r="N44" s="85"/>
      <c r="O44" s="85"/>
      <c r="P44" s="48">
        <f>SUM(compras_mes8[[#This Row],[NETO GRAVADO]:[Otros / No Grav.]])</f>
        <v>187029.7</v>
      </c>
      <c r="Q44" s="49" t="str">
        <f>IFERROR(IF(compras_mes8[[#This Row],[CUIT]]="","-",VLOOKUP(compras_mes8[[#This Row],[CUIT]],Lista_CUIT[#All],3,0)),"CUIT NO CARGADO")</f>
        <v>INSUMO</v>
      </c>
      <c r="R44" s="49">
        <f>IFERROR(IF(compras_mes8[[#This Row],[CUIT]]="","-",VLOOKUP(compras_mes8[[#This Row],[CUIT]],Lista_CUIT[#All],4,0)),"CUIT NO CARGADO")</f>
        <v>0</v>
      </c>
    </row>
    <row r="45" spans="2:18" x14ac:dyDescent="0.25">
      <c r="B45" s="40"/>
      <c r="C45" s="41"/>
      <c r="D45" s="42"/>
      <c r="E45" s="43"/>
      <c r="F45" s="44">
        <v>30710177658</v>
      </c>
      <c r="G45" s="45" t="str">
        <f>IFERROR(IF(compras_mes8[[#This Row],[CUIT]]="","-",VLOOKUP(compras_mes8[[#This Row],[CUIT]],Lista_CUIT[#All],2,0)),"CUIT NO CARGADO")</f>
        <v>TARGET MEDICAL SA</v>
      </c>
      <c r="H45" s="46">
        <v>1237500</v>
      </c>
      <c r="I45" s="85">
        <f>IF(compras_mes8[[#This Row],[NETO GRAVADO]]="","",compras_mes8[[#This Row],[NETO GRAVADO]]*0.21)</f>
        <v>259875</v>
      </c>
      <c r="J45" s="85"/>
      <c r="K45" s="85"/>
      <c r="L45" s="85"/>
      <c r="M45" s="85"/>
      <c r="N45" s="85">
        <v>46530</v>
      </c>
      <c r="O45" s="85"/>
      <c r="P45" s="48">
        <f>SUM(compras_mes8[[#This Row],[NETO GRAVADO]:[Otros / No Grav.]])</f>
        <v>1543905</v>
      </c>
      <c r="Q45" s="49" t="str">
        <f>IFERROR(IF(compras_mes8[[#This Row],[CUIT]]="","-",VLOOKUP(compras_mes8[[#This Row],[CUIT]],Lista_CUIT[#All],3,0)),"CUIT NO CARGADO")</f>
        <v>INSUMO</v>
      </c>
      <c r="R45" s="49">
        <f>IFERROR(IF(compras_mes8[[#This Row],[CUIT]]="","-",VLOOKUP(compras_mes8[[#This Row],[CUIT]],Lista_CUIT[#All],4,0)),"CUIT NO CARGADO")</f>
        <v>0</v>
      </c>
    </row>
    <row r="46" spans="2:18" x14ac:dyDescent="0.25">
      <c r="B46" s="40"/>
      <c r="C46" s="41"/>
      <c r="D46" s="42"/>
      <c r="E46" s="43"/>
      <c r="F46" s="44">
        <v>30710177658</v>
      </c>
      <c r="G46" s="45" t="str">
        <f>IFERROR(IF(compras_mes8[[#This Row],[CUIT]]="","-",VLOOKUP(compras_mes8[[#This Row],[CUIT]],Lista_CUIT[#All],2,0)),"CUIT NO CARGADO")</f>
        <v>TARGET MEDICAL SA</v>
      </c>
      <c r="H46" s="46">
        <v>36200</v>
      </c>
      <c r="I46" s="85">
        <f>IF(compras_mes8[[#This Row],[NETO GRAVADO]]="","",compras_mes8[[#This Row],[NETO GRAVADO]]*0.21)</f>
        <v>7602</v>
      </c>
      <c r="J46" s="85"/>
      <c r="K46" s="85"/>
      <c r="L46" s="85"/>
      <c r="M46" s="85"/>
      <c r="N46" s="85"/>
      <c r="O46" s="85"/>
      <c r="P46" s="48">
        <f>SUM(compras_mes8[[#This Row],[NETO GRAVADO]:[Otros / No Grav.]])</f>
        <v>43802</v>
      </c>
      <c r="Q46" s="49" t="str">
        <f>IFERROR(IF(compras_mes8[[#This Row],[CUIT]]="","-",VLOOKUP(compras_mes8[[#This Row],[CUIT]],Lista_CUIT[#All],3,0)),"CUIT NO CARGADO")</f>
        <v>INSUMO</v>
      </c>
      <c r="R46" s="49">
        <f>IFERROR(IF(compras_mes8[[#This Row],[CUIT]]="","-",VLOOKUP(compras_mes8[[#This Row],[CUIT]],Lista_CUIT[#All],4,0)),"CUIT NO CARGADO")</f>
        <v>0</v>
      </c>
    </row>
    <row r="47" spans="2:18" x14ac:dyDescent="0.25">
      <c r="B47" s="40"/>
      <c r="C47" s="41"/>
      <c r="D47" s="42"/>
      <c r="E47" s="43"/>
      <c r="F47" s="44">
        <v>30710177658</v>
      </c>
      <c r="G47" s="45" t="str">
        <f>IFERROR(IF(compras_mes8[[#This Row],[CUIT]]="","-",VLOOKUP(compras_mes8[[#This Row],[CUIT]],Lista_CUIT[#All],2,0)),"CUIT NO CARGADO")</f>
        <v>TARGET MEDICAL SA</v>
      </c>
      <c r="H47" s="46">
        <v>1710000</v>
      </c>
      <c r="I47" s="85">
        <f>IF(compras_mes8[[#This Row],[NETO GRAVADO]]="","",compras_mes8[[#This Row],[NETO GRAVADO]]*0.21)</f>
        <v>359100</v>
      </c>
      <c r="J47" s="85"/>
      <c r="K47" s="85"/>
      <c r="L47" s="85"/>
      <c r="M47" s="85"/>
      <c r="N47" s="85">
        <v>63984</v>
      </c>
      <c r="O47" s="85"/>
      <c r="P47" s="48">
        <f>SUM(compras_mes8[[#This Row],[NETO GRAVADO]:[Otros / No Grav.]])</f>
        <v>2133084</v>
      </c>
      <c r="Q47" s="49" t="str">
        <f>IFERROR(IF(compras_mes8[[#This Row],[CUIT]]="","-",VLOOKUP(compras_mes8[[#This Row],[CUIT]],Lista_CUIT[#All],3,0)),"CUIT NO CARGADO")</f>
        <v>INSUMO</v>
      </c>
      <c r="R47" s="49">
        <f>IFERROR(IF(compras_mes8[[#This Row],[CUIT]]="","-",VLOOKUP(compras_mes8[[#This Row],[CUIT]],Lista_CUIT[#All],4,0)),"CUIT NO CARGADO")</f>
        <v>0</v>
      </c>
    </row>
    <row r="48" spans="2:18" x14ac:dyDescent="0.25">
      <c r="B48" s="40"/>
      <c r="C48" s="41"/>
      <c r="D48" s="42"/>
      <c r="E48" s="43"/>
      <c r="F48" s="44">
        <v>30711553564</v>
      </c>
      <c r="G48" s="45" t="str">
        <f>IFERROR(IF(compras_mes8[[#This Row],[CUIT]]="","-",VLOOKUP(compras_mes8[[#This Row],[CUIT]],Lista_CUIT[#All],2,0)),"CUIT NO CARGADO")</f>
        <v>SALUD TEX S.A</v>
      </c>
      <c r="H48" s="46">
        <v>307014.59999999998</v>
      </c>
      <c r="I48" s="85">
        <f>IF(compras_mes8[[#This Row],[NETO GRAVADO]]="","",compras_mes8[[#This Row],[NETO GRAVADO]]*0.21)</f>
        <v>64473.065999999992</v>
      </c>
      <c r="J48" s="85"/>
      <c r="K48" s="85"/>
      <c r="L48" s="85"/>
      <c r="M48" s="85"/>
      <c r="N48" s="85"/>
      <c r="O48" s="85"/>
      <c r="P48" s="48">
        <f>SUM(compras_mes8[[#This Row],[NETO GRAVADO]:[Otros / No Grav.]])</f>
        <v>371487.66599999997</v>
      </c>
      <c r="Q48" s="49" t="str">
        <f>IFERROR(IF(compras_mes8[[#This Row],[CUIT]]="","-",VLOOKUP(compras_mes8[[#This Row],[CUIT]],Lista_CUIT[#All],3,0)),"CUIT NO CARGADO")</f>
        <v>INSUMO</v>
      </c>
      <c r="R48" s="49">
        <f>IFERROR(IF(compras_mes8[[#This Row],[CUIT]]="","-",VLOOKUP(compras_mes8[[#This Row],[CUIT]],Lista_CUIT[#All],4,0)),"CUIT NO CARGADO")</f>
        <v>0</v>
      </c>
    </row>
    <row r="49" spans="2:18" x14ac:dyDescent="0.25">
      <c r="B49" s="40"/>
      <c r="C49" s="41"/>
      <c r="D49" s="42"/>
      <c r="E49" s="43"/>
      <c r="F49" s="44">
        <v>27325223273</v>
      </c>
      <c r="G49" s="45" t="str">
        <f>IFERROR(IF(compras_mes8[[#This Row],[CUIT]]="","-",VLOOKUP(compras_mes8[[#This Row],[CUIT]],Lista_CUIT[#All],2,0)),"CUIT NO CARGADO")</f>
        <v>SOUSA ALDERETE ALEJANDRA MABEL</v>
      </c>
      <c r="H49" s="46">
        <v>3200000</v>
      </c>
      <c r="I49" s="85">
        <f>IF(compras_mes8[[#This Row],[NETO GRAVADO]]="","",compras_mes8[[#This Row],[NETO GRAVADO]]*0.21)</f>
        <v>672000</v>
      </c>
      <c r="J49" s="85"/>
      <c r="K49" s="85"/>
      <c r="L49" s="85"/>
      <c r="M49" s="85"/>
      <c r="N49" s="85"/>
      <c r="O49" s="85"/>
      <c r="P49" s="48">
        <f>SUM(compras_mes8[[#This Row],[NETO GRAVADO]:[Otros / No Grav.]])</f>
        <v>3872000</v>
      </c>
      <c r="Q49" s="49" t="str">
        <f>IFERROR(IF(compras_mes8[[#This Row],[CUIT]]="","-",VLOOKUP(compras_mes8[[#This Row],[CUIT]],Lista_CUIT[#All],3,0)),"CUIT NO CARGADO")</f>
        <v>Insumos</v>
      </c>
      <c r="R49" s="49">
        <f>IFERROR(IF(compras_mes8[[#This Row],[CUIT]]="","-",VLOOKUP(compras_mes8[[#This Row],[CUIT]],Lista_CUIT[#All],4,0)),"CUIT NO CARGADO")</f>
        <v>0</v>
      </c>
    </row>
    <row r="50" spans="2:18" x14ac:dyDescent="0.25">
      <c r="B50" s="40"/>
      <c r="C50" s="41"/>
      <c r="D50" s="42"/>
      <c r="E50" s="43"/>
      <c r="F50" s="44">
        <v>27325223273</v>
      </c>
      <c r="G50" s="45" t="str">
        <f>IFERROR(IF(compras_mes8[[#This Row],[CUIT]]="","-",VLOOKUP(compras_mes8[[#This Row],[CUIT]],Lista_CUIT[#All],2,0)),"CUIT NO CARGADO")</f>
        <v>SOUSA ALDERETE ALEJANDRA MABEL</v>
      </c>
      <c r="H50" s="46">
        <v>1361029.59</v>
      </c>
      <c r="I50" s="85">
        <f>IF(compras_mes8[[#This Row],[NETO GRAVADO]]="","",compras_mes8[[#This Row],[NETO GRAVADO]]*0.21)</f>
        <v>285816.21390000003</v>
      </c>
      <c r="J50" s="85"/>
      <c r="K50" s="85"/>
      <c r="L50" s="85"/>
      <c r="M50" s="85"/>
      <c r="N50" s="85"/>
      <c r="O50" s="85"/>
      <c r="P50" s="48">
        <f>SUM(compras_mes8[[#This Row],[NETO GRAVADO]:[Otros / No Grav.]])</f>
        <v>1646845.8039000002</v>
      </c>
      <c r="Q50" s="49" t="str">
        <f>IFERROR(IF(compras_mes8[[#This Row],[CUIT]]="","-",VLOOKUP(compras_mes8[[#This Row],[CUIT]],Lista_CUIT[#All],3,0)),"CUIT NO CARGADO")</f>
        <v>Insumos</v>
      </c>
      <c r="R50" s="49">
        <f>IFERROR(IF(compras_mes8[[#This Row],[CUIT]]="","-",VLOOKUP(compras_mes8[[#This Row],[CUIT]],Lista_CUIT[#All],4,0)),"CUIT NO CARGADO")</f>
        <v>0</v>
      </c>
    </row>
    <row r="51" spans="2:18" x14ac:dyDescent="0.25">
      <c r="B51" s="40"/>
      <c r="C51" s="41"/>
      <c r="D51" s="42"/>
      <c r="E51" s="43"/>
      <c r="F51" s="44">
        <v>27227155367</v>
      </c>
      <c r="G51" s="45" t="str">
        <f>IFERROR(IF(compras_mes8[[#This Row],[CUIT]]="","-",VLOOKUP(compras_mes8[[#This Row],[CUIT]],Lista_CUIT[#All],2,0)),"CUIT NO CARGADO")</f>
        <v>SALZGEBER FASSI CARINA RITA</v>
      </c>
      <c r="H51" s="46">
        <v>102065.33</v>
      </c>
      <c r="I51" s="85">
        <f>IF(compras_mes8[[#This Row],[NETO GRAVADO]]="","",compras_mes8[[#This Row],[NETO GRAVADO]]*0.21)</f>
        <v>21433.719300000001</v>
      </c>
      <c r="J51" s="85"/>
      <c r="K51" s="85"/>
      <c r="L51" s="85"/>
      <c r="M51" s="85"/>
      <c r="N51" s="85"/>
      <c r="O51" s="85"/>
      <c r="P51" s="48">
        <f>SUM(compras_mes8[[#This Row],[NETO GRAVADO]:[Otros / No Grav.]])</f>
        <v>123499.0493</v>
      </c>
      <c r="Q51" s="49" t="str">
        <f>IFERROR(IF(compras_mes8[[#This Row],[CUIT]]="","-",VLOOKUP(compras_mes8[[#This Row],[CUIT]],Lista_CUIT[#All],3,0)),"CUIT NO CARGADO")</f>
        <v>Insumos</v>
      </c>
      <c r="R51" s="49">
        <f>IFERROR(IF(compras_mes8[[#This Row],[CUIT]]="","-",VLOOKUP(compras_mes8[[#This Row],[CUIT]],Lista_CUIT[#All],4,0)),"CUIT NO CARGADO")</f>
        <v>0</v>
      </c>
    </row>
    <row r="52" spans="2:18" x14ac:dyDescent="0.25">
      <c r="B52" s="40"/>
      <c r="C52" s="41"/>
      <c r="D52" s="42"/>
      <c r="E52" s="43"/>
      <c r="F52" s="44">
        <v>27227155367</v>
      </c>
      <c r="G52" s="45" t="str">
        <f>IFERROR(IF(compras_mes8[[#This Row],[CUIT]]="","-",VLOOKUP(compras_mes8[[#This Row],[CUIT]],Lista_CUIT[#All],2,0)),"CUIT NO CARGADO")</f>
        <v>SALZGEBER FASSI CARINA RITA</v>
      </c>
      <c r="H52" s="46">
        <v>6480.79</v>
      </c>
      <c r="I52" s="85">
        <f>IF(compras_mes8[[#This Row],[NETO GRAVADO]]="","",compras_mes8[[#This Row],[NETO GRAVADO]]*0.21)</f>
        <v>1360.9658999999999</v>
      </c>
      <c r="J52" s="85"/>
      <c r="K52" s="85"/>
      <c r="L52" s="85"/>
      <c r="M52" s="85"/>
      <c r="N52" s="85"/>
      <c r="O52" s="85"/>
      <c r="P52" s="48">
        <f>SUM(compras_mes8[[#This Row],[NETO GRAVADO]:[Otros / No Grav.]])</f>
        <v>7841.7559000000001</v>
      </c>
      <c r="Q52" s="49" t="str">
        <f>IFERROR(IF(compras_mes8[[#This Row],[CUIT]]="","-",VLOOKUP(compras_mes8[[#This Row],[CUIT]],Lista_CUIT[#All],3,0)),"CUIT NO CARGADO")</f>
        <v>Insumos</v>
      </c>
      <c r="R52" s="49">
        <f>IFERROR(IF(compras_mes8[[#This Row],[CUIT]]="","-",VLOOKUP(compras_mes8[[#This Row],[CUIT]],Lista_CUIT[#All],4,0)),"CUIT NO CARGADO")</f>
        <v>0</v>
      </c>
    </row>
    <row r="53" spans="2:18" x14ac:dyDescent="0.25">
      <c r="B53" s="40"/>
      <c r="C53" s="41"/>
      <c r="D53" s="42"/>
      <c r="E53" s="43"/>
      <c r="F53" s="44">
        <v>27227155367</v>
      </c>
      <c r="G53" s="45" t="str">
        <f>IFERROR(IF(compras_mes8[[#This Row],[CUIT]]="","-",VLOOKUP(compras_mes8[[#This Row],[CUIT]],Lista_CUIT[#All],2,0)),"CUIT NO CARGADO")</f>
        <v>SALZGEBER FASSI CARINA RITA</v>
      </c>
      <c r="H53" s="46">
        <v>26776.12</v>
      </c>
      <c r="I53" s="85">
        <f>IF(compras_mes8[[#This Row],[NETO GRAVADO]]="","",compras_mes8[[#This Row],[NETO GRAVADO]]*0.21)</f>
        <v>5622.9851999999992</v>
      </c>
      <c r="J53" s="85"/>
      <c r="K53" s="85"/>
      <c r="L53" s="85"/>
      <c r="M53" s="85"/>
      <c r="N53" s="85"/>
      <c r="O53" s="85"/>
      <c r="P53" s="48">
        <f>SUM(compras_mes8[[#This Row],[NETO GRAVADO]:[Otros / No Grav.]])</f>
        <v>32399.105199999998</v>
      </c>
      <c r="Q53" s="49" t="str">
        <f>IFERROR(IF(compras_mes8[[#This Row],[CUIT]]="","-",VLOOKUP(compras_mes8[[#This Row],[CUIT]],Lista_CUIT[#All],3,0)),"CUIT NO CARGADO")</f>
        <v>Insumos</v>
      </c>
      <c r="R53" s="49">
        <f>IFERROR(IF(compras_mes8[[#This Row],[CUIT]]="","-",VLOOKUP(compras_mes8[[#This Row],[CUIT]],Lista_CUIT[#All],4,0)),"CUIT NO CARGADO")</f>
        <v>0</v>
      </c>
    </row>
    <row r="54" spans="2:18" x14ac:dyDescent="0.25">
      <c r="B54" s="40"/>
      <c r="C54" s="41"/>
      <c r="D54" s="42"/>
      <c r="E54" s="43"/>
      <c r="F54" s="44">
        <v>30712187316</v>
      </c>
      <c r="G54" s="45" t="str">
        <f>IFERROR(IF(compras_mes8[[#This Row],[CUIT]]="","-",VLOOKUP(compras_mes8[[#This Row],[CUIT]],Lista_CUIT[#All],2,0)),"CUIT NO CARGADO")</f>
        <v>ITALOMED PRODUCTOS SRL</v>
      </c>
      <c r="H54" s="46">
        <v>146336</v>
      </c>
      <c r="I54" s="85">
        <f>IF(compras_mes8[[#This Row],[NETO GRAVADO]]="","",compras_mes8[[#This Row],[NETO GRAVADO]]*0.21)</f>
        <v>30730.559999999998</v>
      </c>
      <c r="J54" s="85"/>
      <c r="K54" s="85"/>
      <c r="L54" s="85"/>
      <c r="M54" s="85"/>
      <c r="N54" s="85"/>
      <c r="O54" s="85"/>
      <c r="P54" s="48">
        <f>SUM(compras_mes8[[#This Row],[NETO GRAVADO]:[Otros / No Grav.]])</f>
        <v>177066.56</v>
      </c>
      <c r="Q54" s="49" t="str">
        <f>IFERROR(IF(compras_mes8[[#This Row],[CUIT]]="","-",VLOOKUP(compras_mes8[[#This Row],[CUIT]],Lista_CUIT[#All],3,0)),"CUIT NO CARGADO")</f>
        <v>INSUMO</v>
      </c>
      <c r="R54" s="49">
        <f>IFERROR(IF(compras_mes8[[#This Row],[CUIT]]="","-",VLOOKUP(compras_mes8[[#This Row],[CUIT]],Lista_CUIT[#All],4,0)),"CUIT NO CARGADO")</f>
        <v>0</v>
      </c>
    </row>
    <row r="55" spans="2:18" x14ac:dyDescent="0.25">
      <c r="B55" s="40"/>
      <c r="C55" s="41"/>
      <c r="D55" s="42"/>
      <c r="E55" s="43"/>
      <c r="F55" s="44">
        <v>30712187316</v>
      </c>
      <c r="G55" s="45" t="str">
        <f>IFERROR(IF(compras_mes8[[#This Row],[CUIT]]="","-",VLOOKUP(compras_mes8[[#This Row],[CUIT]],Lista_CUIT[#All],2,0)),"CUIT NO CARGADO")</f>
        <v>ITALOMED PRODUCTOS SRL</v>
      </c>
      <c r="H55" s="46">
        <v>189671.33</v>
      </c>
      <c r="I55" s="85">
        <f>IF(compras_mes8[[#This Row],[NETO GRAVADO]]="","",compras_mes8[[#This Row],[NETO GRAVADO]]*0.21)</f>
        <v>39830.979299999999</v>
      </c>
      <c r="J55" s="85"/>
      <c r="K55" s="85"/>
      <c r="L55" s="85"/>
      <c r="M55" s="85"/>
      <c r="N55" s="85"/>
      <c r="O55" s="85"/>
      <c r="P55" s="48">
        <f>SUM(compras_mes8[[#This Row],[NETO GRAVADO]:[Otros / No Grav.]])</f>
        <v>229502.30929999999</v>
      </c>
      <c r="Q55" s="49" t="str">
        <f>IFERROR(IF(compras_mes8[[#This Row],[CUIT]]="","-",VLOOKUP(compras_mes8[[#This Row],[CUIT]],Lista_CUIT[#All],3,0)),"CUIT NO CARGADO")</f>
        <v>INSUMO</v>
      </c>
      <c r="R55" s="49">
        <f>IFERROR(IF(compras_mes8[[#This Row],[CUIT]]="","-",VLOOKUP(compras_mes8[[#This Row],[CUIT]],Lista_CUIT[#All],4,0)),"CUIT NO CARGADO")</f>
        <v>0</v>
      </c>
    </row>
    <row r="56" spans="2:18" x14ac:dyDescent="0.25">
      <c r="B56" s="40"/>
      <c r="C56" s="41"/>
      <c r="D56" s="42"/>
      <c r="E56" s="43"/>
      <c r="F56" s="44">
        <v>30712187316</v>
      </c>
      <c r="G56" s="45" t="str">
        <f>IFERROR(IF(compras_mes8[[#This Row],[CUIT]]="","-",VLOOKUP(compras_mes8[[#This Row],[CUIT]],Lista_CUIT[#All],2,0)),"CUIT NO CARGADO")</f>
        <v>ITALOMED PRODUCTOS SRL</v>
      </c>
      <c r="H56" s="46">
        <v>160074.95000000001</v>
      </c>
      <c r="I56" s="85">
        <f>IF(compras_mes8[[#This Row],[NETO GRAVADO]]="","",compras_mes8[[#This Row],[NETO GRAVADO]]*0.21)</f>
        <v>33615.739500000003</v>
      </c>
      <c r="J56" s="85"/>
      <c r="K56" s="85"/>
      <c r="L56" s="85"/>
      <c r="M56" s="85"/>
      <c r="N56" s="85"/>
      <c r="O56" s="85"/>
      <c r="P56" s="48">
        <f>SUM(compras_mes8[[#This Row],[NETO GRAVADO]:[Otros / No Grav.]])</f>
        <v>193690.68950000001</v>
      </c>
      <c r="Q56" s="49" t="str">
        <f>IFERROR(IF(compras_mes8[[#This Row],[CUIT]]="","-",VLOOKUP(compras_mes8[[#This Row],[CUIT]],Lista_CUIT[#All],3,0)),"CUIT NO CARGADO")</f>
        <v>INSUMO</v>
      </c>
      <c r="R56" s="49">
        <f>IFERROR(IF(compras_mes8[[#This Row],[CUIT]]="","-",VLOOKUP(compras_mes8[[#This Row],[CUIT]],Lista_CUIT[#All],4,0)),"CUIT NO CARGADO")</f>
        <v>0</v>
      </c>
    </row>
    <row r="57" spans="2:18" x14ac:dyDescent="0.25">
      <c r="B57" s="40"/>
      <c r="C57" s="41"/>
      <c r="D57" s="42"/>
      <c r="E57" s="43"/>
      <c r="F57" s="44">
        <v>30712187316</v>
      </c>
      <c r="G57" s="45" t="str">
        <f>IFERROR(IF(compras_mes8[[#This Row],[CUIT]]="","-",VLOOKUP(compras_mes8[[#This Row],[CUIT]],Lista_CUIT[#All],2,0)),"CUIT NO CARGADO")</f>
        <v>ITALOMED PRODUCTOS SRL</v>
      </c>
      <c r="H57" s="46">
        <v>221961.14</v>
      </c>
      <c r="I57" s="85">
        <f>IF(compras_mes8[[#This Row],[NETO GRAVADO]]="","",compras_mes8[[#This Row],[NETO GRAVADO]]*0.21)</f>
        <v>46611.839400000004</v>
      </c>
      <c r="J57" s="85"/>
      <c r="K57" s="85"/>
      <c r="L57" s="85"/>
      <c r="M57" s="85"/>
      <c r="N57" s="85"/>
      <c r="O57" s="85"/>
      <c r="P57" s="48">
        <f>SUM(compras_mes8[[#This Row],[NETO GRAVADO]:[Otros / No Grav.]])</f>
        <v>268572.97940000001</v>
      </c>
      <c r="Q57" s="49" t="str">
        <f>IFERROR(IF(compras_mes8[[#This Row],[CUIT]]="","-",VLOOKUP(compras_mes8[[#This Row],[CUIT]],Lista_CUIT[#All],3,0)),"CUIT NO CARGADO")</f>
        <v>INSUMO</v>
      </c>
      <c r="R57" s="49">
        <f>IFERROR(IF(compras_mes8[[#This Row],[CUIT]]="","-",VLOOKUP(compras_mes8[[#This Row],[CUIT]],Lista_CUIT[#All],4,0)),"CUIT NO CARGADO")</f>
        <v>0</v>
      </c>
    </row>
    <row r="58" spans="2:18" x14ac:dyDescent="0.25">
      <c r="B58" s="40"/>
      <c r="C58" s="41"/>
      <c r="D58" s="42"/>
      <c r="E58" s="43"/>
      <c r="F58" s="44">
        <v>20284183534</v>
      </c>
      <c r="G58" s="45" t="str">
        <f>IFERROR(IF(compras_mes8[[#This Row],[CUIT]]="","-",VLOOKUP(compras_mes8[[#This Row],[CUIT]],Lista_CUIT[#All],2,0)),"CUIT NO CARGADO")</f>
        <v>FURLANETTO MARTIN</v>
      </c>
      <c r="H58" s="46">
        <v>8264.4599999999991</v>
      </c>
      <c r="I58" s="85">
        <f>IF(compras_mes8[[#This Row],[NETO GRAVADO]]="","",compras_mes8[[#This Row],[NETO GRAVADO]]*0.21)</f>
        <v>1735.5365999999997</v>
      </c>
      <c r="J58" s="85"/>
      <c r="K58" s="85"/>
      <c r="L58" s="85"/>
      <c r="M58" s="85"/>
      <c r="N58" s="85"/>
      <c r="O58" s="85"/>
      <c r="P58" s="48">
        <f>SUM(compras_mes8[[#This Row],[NETO GRAVADO]:[Otros / No Grav.]])</f>
        <v>9999.9965999999986</v>
      </c>
      <c r="Q58" s="49" t="str">
        <f>IFERROR(IF(compras_mes8[[#This Row],[CUIT]]="","-",VLOOKUP(compras_mes8[[#This Row],[CUIT]],Lista_CUIT[#All],3,0)),"CUIT NO CARGADO")</f>
        <v>gastos varios</v>
      </c>
      <c r="R58" s="49">
        <f>IFERROR(IF(compras_mes8[[#This Row],[CUIT]]="","-",VLOOKUP(compras_mes8[[#This Row],[CUIT]],Lista_CUIT[#All],4,0)),"CUIT NO CARGADO")</f>
        <v>0</v>
      </c>
    </row>
    <row r="59" spans="2:18" x14ac:dyDescent="0.25">
      <c r="B59" s="40"/>
      <c r="C59" s="41"/>
      <c r="D59" s="42"/>
      <c r="E59" s="43"/>
      <c r="F59" s="44">
        <v>30709214078</v>
      </c>
      <c r="G59" s="45" t="str">
        <f>IFERROR(IF(compras_mes8[[#This Row],[CUIT]]="","-",VLOOKUP(compras_mes8[[#This Row],[CUIT]],Lista_CUIT[#All],2,0)),"CUIT NO CARGADO")</f>
        <v>REHAVITA S.A</v>
      </c>
      <c r="H59" s="46">
        <v>1322500</v>
      </c>
      <c r="I59" s="85">
        <f>IF(compras_mes8[[#This Row],[NETO GRAVADO]]="","",compras_mes8[[#This Row],[NETO GRAVADO]]*0.21)</f>
        <v>277725</v>
      </c>
      <c r="J59" s="85"/>
      <c r="K59" s="85"/>
      <c r="L59" s="85"/>
      <c r="M59" s="85"/>
      <c r="N59" s="85"/>
      <c r="O59" s="85"/>
      <c r="P59" s="48">
        <f>SUM(compras_mes8[[#This Row],[NETO GRAVADO]:[Otros / No Grav.]])</f>
        <v>1600225</v>
      </c>
      <c r="Q59" s="49" t="str">
        <f>IFERROR(IF(compras_mes8[[#This Row],[CUIT]]="","-",VLOOKUP(compras_mes8[[#This Row],[CUIT]],Lista_CUIT[#All],3,0)),"CUIT NO CARGADO")</f>
        <v>INSUMO</v>
      </c>
      <c r="R59" s="49">
        <f>IFERROR(IF(compras_mes8[[#This Row],[CUIT]]="","-",VLOOKUP(compras_mes8[[#This Row],[CUIT]],Lista_CUIT[#All],4,0)),"CUIT NO CARGADO")</f>
        <v>0</v>
      </c>
    </row>
    <row r="60" spans="2:18" x14ac:dyDescent="0.25">
      <c r="B60" s="40"/>
      <c r="C60" s="41"/>
      <c r="D60" s="42"/>
      <c r="E60" s="43"/>
      <c r="F60" s="44">
        <v>30709214078</v>
      </c>
      <c r="G60" s="45" t="str">
        <f>IFERROR(IF(compras_mes8[[#This Row],[CUIT]]="","-",VLOOKUP(compras_mes8[[#This Row],[CUIT]],Lista_CUIT[#All],2,0)),"CUIT NO CARGADO")</f>
        <v>REHAVITA S.A</v>
      </c>
      <c r="H60" s="46">
        <v>718750</v>
      </c>
      <c r="I60" s="85"/>
      <c r="J60" s="85"/>
      <c r="K60" s="85">
        <f>compras_mes8[[#This Row],[NETO GRAVADO]]*0.105</f>
        <v>75468.75</v>
      </c>
      <c r="L60" s="85"/>
      <c r="M60" s="85"/>
      <c r="N60" s="85"/>
      <c r="O60" s="85"/>
      <c r="P60" s="48">
        <f>SUM(compras_mes8[[#This Row],[NETO GRAVADO]:[Otros / No Grav.]])</f>
        <v>794218.75</v>
      </c>
      <c r="Q60" s="49" t="str">
        <f>IFERROR(IF(compras_mes8[[#This Row],[CUIT]]="","-",VLOOKUP(compras_mes8[[#This Row],[CUIT]],Lista_CUIT[#All],3,0)),"CUIT NO CARGADO")</f>
        <v>INSUMO</v>
      </c>
      <c r="R60" s="49">
        <f>IFERROR(IF(compras_mes8[[#This Row],[CUIT]]="","-",VLOOKUP(compras_mes8[[#This Row],[CUIT]],Lista_CUIT[#All],4,0)),"CUIT NO CARGADO")</f>
        <v>0</v>
      </c>
    </row>
    <row r="61" spans="2:18" x14ac:dyDescent="0.25">
      <c r="B61" s="40"/>
      <c r="C61" s="41"/>
      <c r="D61" s="42"/>
      <c r="E61" s="43"/>
      <c r="F61" s="44">
        <v>30709214078</v>
      </c>
      <c r="G61" s="45" t="str">
        <f>IFERROR(IF(compras_mes8[[#This Row],[CUIT]]="","-",VLOOKUP(compras_mes8[[#This Row],[CUIT]],Lista_CUIT[#All],2,0)),"CUIT NO CARGADO")</f>
        <v>REHAVITA S.A</v>
      </c>
      <c r="H61" s="46">
        <v>6019932</v>
      </c>
      <c r="I61" s="85">
        <f>IF(compras_mes8[[#This Row],[NETO GRAVADO]]="","",compras_mes8[[#This Row],[NETO GRAVADO]]*0.21)</f>
        <v>1264185.72</v>
      </c>
      <c r="J61" s="85"/>
      <c r="K61" s="85"/>
      <c r="L61" s="85"/>
      <c r="M61" s="85"/>
      <c r="N61" s="85"/>
      <c r="O61" s="85"/>
      <c r="P61" s="48">
        <f>SUM(compras_mes8[[#This Row],[NETO GRAVADO]:[Otros / No Grav.]])</f>
        <v>7284117.7199999997</v>
      </c>
      <c r="Q61" s="49" t="str">
        <f>IFERROR(IF(compras_mes8[[#This Row],[CUIT]]="","-",VLOOKUP(compras_mes8[[#This Row],[CUIT]],Lista_CUIT[#All],3,0)),"CUIT NO CARGADO")</f>
        <v>INSUMO</v>
      </c>
      <c r="R61" s="49">
        <f>IFERROR(IF(compras_mes8[[#This Row],[CUIT]]="","-",VLOOKUP(compras_mes8[[#This Row],[CUIT]],Lista_CUIT[#All],4,0)),"CUIT NO CARGADO")</f>
        <v>0</v>
      </c>
    </row>
    <row r="62" spans="2:18" x14ac:dyDescent="0.25">
      <c r="B62" s="40"/>
      <c r="C62" s="41"/>
      <c r="D62" s="42"/>
      <c r="E62" s="43"/>
      <c r="F62" s="44">
        <v>30709214078</v>
      </c>
      <c r="G62" s="45" t="str">
        <f>IFERROR(IF(compras_mes8[[#This Row],[CUIT]]="","-",VLOOKUP(compras_mes8[[#This Row],[CUIT]],Lista_CUIT[#All],2,0)),"CUIT NO CARGADO")</f>
        <v>REHAVITA S.A</v>
      </c>
      <c r="H62" s="46">
        <v>3056240</v>
      </c>
      <c r="I62" s="85"/>
      <c r="J62" s="85"/>
      <c r="K62" s="85">
        <f>compras_mes8[[#This Row],[NETO GRAVADO]]*0.105</f>
        <v>320905.2</v>
      </c>
      <c r="L62" s="85"/>
      <c r="M62" s="85"/>
      <c r="N62" s="85"/>
      <c r="O62" s="85"/>
      <c r="P62" s="48">
        <f>SUM(compras_mes8[[#This Row],[NETO GRAVADO]:[Otros / No Grav.]])</f>
        <v>3377145.2</v>
      </c>
      <c r="Q62" s="49" t="str">
        <f>IFERROR(IF(compras_mes8[[#This Row],[CUIT]]="","-",VLOOKUP(compras_mes8[[#This Row],[CUIT]],Lista_CUIT[#All],3,0)),"CUIT NO CARGADO")</f>
        <v>INSUMO</v>
      </c>
      <c r="R62" s="49">
        <f>IFERROR(IF(compras_mes8[[#This Row],[CUIT]]="","-",VLOOKUP(compras_mes8[[#This Row],[CUIT]],Lista_CUIT[#All],4,0)),"CUIT NO CARGADO")</f>
        <v>0</v>
      </c>
    </row>
    <row r="63" spans="2:18" x14ac:dyDescent="0.25">
      <c r="B63" s="40"/>
      <c r="C63" s="41"/>
      <c r="D63" s="42"/>
      <c r="E63" s="43"/>
      <c r="F63" s="44">
        <v>20293286281</v>
      </c>
      <c r="G63" s="45" t="str">
        <f>IFERROR(IF(compras_mes8[[#This Row],[CUIT]]="","-",VLOOKUP(compras_mes8[[#This Row],[CUIT]],Lista_CUIT[#All],2,0)),"CUIT NO CARGADO")</f>
        <v>GOMEZ JULIO CESAR</v>
      </c>
      <c r="H63" s="46">
        <v>36500</v>
      </c>
      <c r="I63" s="85">
        <f>IF(compras_mes8[[#This Row],[NETO GRAVADO]]="","",compras_mes8[[#This Row],[NETO GRAVADO]]*0.21)</f>
        <v>7665</v>
      </c>
      <c r="J63" s="85"/>
      <c r="K63" s="85"/>
      <c r="L63" s="85"/>
      <c r="M63" s="85"/>
      <c r="N63" s="85"/>
      <c r="O63" s="85"/>
      <c r="P63" s="48">
        <f>SUM(compras_mes8[[#This Row],[NETO GRAVADO]:[Otros / No Grav.]])</f>
        <v>44165</v>
      </c>
      <c r="Q63" s="49" t="str">
        <f>IFERROR(IF(compras_mes8[[#This Row],[CUIT]]="","-",VLOOKUP(compras_mes8[[#This Row],[CUIT]],Lista_CUIT[#All],3,0)),"CUIT NO CARGADO")</f>
        <v>Mantenimiento</v>
      </c>
      <c r="R63" s="49">
        <f>IFERROR(IF(compras_mes8[[#This Row],[CUIT]]="","-",VLOOKUP(compras_mes8[[#This Row],[CUIT]],Lista_CUIT[#All],4,0)),"CUIT NO CARGADO")</f>
        <v>0</v>
      </c>
    </row>
    <row r="64" spans="2:18" x14ac:dyDescent="0.25">
      <c r="B64" s="40"/>
      <c r="C64" s="41"/>
      <c r="D64" s="42"/>
      <c r="E64" s="43"/>
      <c r="F64" s="44">
        <v>20242126158</v>
      </c>
      <c r="G64" s="45" t="str">
        <f>IFERROR(IF(compras_mes8[[#This Row],[CUIT]]="","-",VLOOKUP(compras_mes8[[#This Row],[CUIT]],Lista_CUIT[#All],2,0)),"CUIT NO CARGADO")</f>
        <v>IALLONARDO SERGIO</v>
      </c>
      <c r="H64" s="46">
        <v>750832.5</v>
      </c>
      <c r="I64" s="85">
        <f>413250*0.21</f>
        <v>86782.5</v>
      </c>
      <c r="J64" s="85"/>
      <c r="K64" s="85">
        <f>337582.5*0.105</f>
        <v>35446.162499999999</v>
      </c>
      <c r="L64" s="85"/>
      <c r="M64" s="85"/>
      <c r="N64" s="85"/>
      <c r="O64" s="85"/>
      <c r="P64" s="48">
        <f>SUM(compras_mes8[[#This Row],[NETO GRAVADO]:[Otros / No Grav.]])</f>
        <v>873061.16249999998</v>
      </c>
      <c r="Q64" s="49" t="str">
        <f>IFERROR(IF(compras_mes8[[#This Row],[CUIT]]="","-",VLOOKUP(compras_mes8[[#This Row],[CUIT]],Lista_CUIT[#All],3,0)),"CUIT NO CARGADO")</f>
        <v>PROVEEDOR</v>
      </c>
      <c r="R64" s="49">
        <f>IFERROR(IF(compras_mes8[[#This Row],[CUIT]]="","-",VLOOKUP(compras_mes8[[#This Row],[CUIT]],Lista_CUIT[#All],4,0)),"CUIT NO CARGADO")</f>
        <v>0</v>
      </c>
    </row>
    <row r="65" spans="2:18" x14ac:dyDescent="0.25">
      <c r="B65" s="40"/>
      <c r="C65" s="41"/>
      <c r="D65" s="42"/>
      <c r="E65" s="43"/>
      <c r="F65" s="44">
        <v>30708395443</v>
      </c>
      <c r="G65" s="45" t="str">
        <f>IFERROR(IF(compras_mes8[[#This Row],[CUIT]]="","-",VLOOKUP(compras_mes8[[#This Row],[CUIT]],Lista_CUIT[#All],2,0)),"CUIT NO CARGADO")</f>
        <v>SUPERFOTO S R L</v>
      </c>
      <c r="H65" s="46">
        <v>140495.04000000001</v>
      </c>
      <c r="I65" s="85">
        <f>IF(compras_mes8[[#This Row],[NETO GRAVADO]]="","",compras_mes8[[#This Row],[NETO GRAVADO]]*0.21)</f>
        <v>29503.9584</v>
      </c>
      <c r="J65" s="85"/>
      <c r="K65" s="85"/>
      <c r="L65" s="85"/>
      <c r="M65" s="85"/>
      <c r="N65" s="85"/>
      <c r="O65" s="85"/>
      <c r="P65" s="48">
        <f>SUM(compras_mes8[[#This Row],[NETO GRAVADO]:[Otros / No Grav.]])</f>
        <v>169998.99840000001</v>
      </c>
      <c r="Q65" s="49" t="str">
        <f>IFERROR(IF(compras_mes8[[#This Row],[CUIT]]="","-",VLOOKUP(compras_mes8[[#This Row],[CUIT]],Lista_CUIT[#All],3,0)),"CUIT NO CARGADO")</f>
        <v>Gastos Varios</v>
      </c>
      <c r="R65" s="49">
        <f>IFERROR(IF(compras_mes8[[#This Row],[CUIT]]="","-",VLOOKUP(compras_mes8[[#This Row],[CUIT]],Lista_CUIT[#All],4,0)),"CUIT NO CARGADO")</f>
        <v>0</v>
      </c>
    </row>
    <row r="66" spans="2:18" x14ac:dyDescent="0.25">
      <c r="B66" s="40"/>
      <c r="C66" s="41"/>
      <c r="D66" s="42"/>
      <c r="E66" s="43"/>
      <c r="F66" s="44">
        <v>30711091552</v>
      </c>
      <c r="G66" s="45" t="str">
        <f>IFERROR(IF(compras_mes8[[#This Row],[CUIT]]="","-",VLOOKUP(compras_mes8[[#This Row],[CUIT]],Lista_CUIT[#All],2,0)),"CUIT NO CARGADO")</f>
        <v>BIGBOX S.A.</v>
      </c>
      <c r="H66" s="46">
        <v>59504.13</v>
      </c>
      <c r="I66" s="85">
        <f>IF(compras_mes8[[#This Row],[NETO GRAVADO]]="","",compras_mes8[[#This Row],[NETO GRAVADO]]*0.21)</f>
        <v>12495.8673</v>
      </c>
      <c r="J66" s="85"/>
      <c r="K66" s="85"/>
      <c r="L66" s="85"/>
      <c r="M66" s="85"/>
      <c r="N66" s="85"/>
      <c r="O66" s="85"/>
      <c r="P66" s="48">
        <f>SUM(compras_mes8[[#This Row],[NETO GRAVADO]:[Otros / No Grav.]])</f>
        <v>71999.997300000003</v>
      </c>
      <c r="Q66" s="49" t="str">
        <f>IFERROR(IF(compras_mes8[[#This Row],[CUIT]]="","-",VLOOKUP(compras_mes8[[#This Row],[CUIT]],Lista_CUIT[#All],3,0)),"CUIT NO CARGADO")</f>
        <v>INSUMO</v>
      </c>
      <c r="R66" s="49">
        <f>IFERROR(IF(compras_mes8[[#This Row],[CUIT]]="","-",VLOOKUP(compras_mes8[[#This Row],[CUIT]],Lista_CUIT[#All],4,0)),"CUIT NO CARGADO")</f>
        <v>0</v>
      </c>
    </row>
    <row r="67" spans="2:18" x14ac:dyDescent="0.25">
      <c r="B67" s="40"/>
      <c r="C67" s="41"/>
      <c r="D67" s="42"/>
      <c r="E67" s="43"/>
      <c r="F67" s="44">
        <v>30707627650</v>
      </c>
      <c r="G67" s="45" t="str">
        <f>IFERROR(IF(compras_mes8[[#This Row],[CUIT]]="","-",VLOOKUP(compras_mes8[[#This Row],[CUIT]],Lista_CUIT[#All],2,0)),"CUIT NO CARGADO")</f>
        <v>DR LENOX SA</v>
      </c>
      <c r="H67" s="46">
        <v>27351</v>
      </c>
      <c r="I67" s="85">
        <f>IF(compras_mes8[[#This Row],[NETO GRAVADO]]="","",compras_mes8[[#This Row],[NETO GRAVADO]]*0.21)</f>
        <v>5743.71</v>
      </c>
      <c r="J67" s="85"/>
      <c r="K67" s="85"/>
      <c r="L67" s="85"/>
      <c r="M67" s="85"/>
      <c r="N67" s="85"/>
      <c r="O67" s="85"/>
      <c r="P67" s="48">
        <f>SUM(compras_mes8[[#This Row],[NETO GRAVADO]:[Otros / No Grav.]])</f>
        <v>33094.71</v>
      </c>
      <c r="Q67" s="49" t="str">
        <f>IFERROR(IF(compras_mes8[[#This Row],[CUIT]]="","-",VLOOKUP(compras_mes8[[#This Row],[CUIT]],Lista_CUIT[#All],3,0)),"CUIT NO CARGADO")</f>
        <v>Prod. Ortopedicos</v>
      </c>
      <c r="R67" s="49">
        <f>IFERROR(IF(compras_mes8[[#This Row],[CUIT]]="","-",VLOOKUP(compras_mes8[[#This Row],[CUIT]],Lista_CUIT[#All],4,0)),"CUIT NO CARGADO")</f>
        <v>0</v>
      </c>
    </row>
    <row r="68" spans="2:18" x14ac:dyDescent="0.25">
      <c r="B68" s="40"/>
      <c r="C68" s="41"/>
      <c r="D68" s="42"/>
      <c r="E68" s="43"/>
      <c r="F68" s="44">
        <v>30711764921</v>
      </c>
      <c r="G68" s="45" t="str">
        <f>IFERROR(IF(compras_mes8[[#This Row],[CUIT]]="","-",VLOOKUP(compras_mes8[[#This Row],[CUIT]],Lista_CUIT[#All],2,0)),"CUIT NO CARGADO")</f>
        <v>RELIEF CENTER SRL</v>
      </c>
      <c r="H68" s="46">
        <v>785470</v>
      </c>
      <c r="I68" s="85">
        <f>IF(compras_mes8[[#This Row],[NETO GRAVADO]]="","",compras_mes8[[#This Row],[NETO GRAVADO]]*0.21)</f>
        <v>164948.69999999998</v>
      </c>
      <c r="J68" s="85"/>
      <c r="K68" s="85"/>
      <c r="L68" s="85"/>
      <c r="M68" s="85"/>
      <c r="N68" s="85"/>
      <c r="O68" s="85"/>
      <c r="P68" s="48">
        <f>SUM(compras_mes8[[#This Row],[NETO GRAVADO]:[Otros / No Grav.]])</f>
        <v>950418.7</v>
      </c>
      <c r="Q68" s="49" t="str">
        <f>IFERROR(IF(compras_mes8[[#This Row],[CUIT]]="","-",VLOOKUP(compras_mes8[[#This Row],[CUIT]],Lista_CUIT[#All],3,0)),"CUIT NO CARGADO")</f>
        <v>INSUMO</v>
      </c>
      <c r="R68" s="49">
        <f>IFERROR(IF(compras_mes8[[#This Row],[CUIT]]="","-",VLOOKUP(compras_mes8[[#This Row],[CUIT]],Lista_CUIT[#All],4,0)),"CUIT NO CARGADO")</f>
        <v>0</v>
      </c>
    </row>
    <row r="69" spans="2:18" x14ac:dyDescent="0.25">
      <c r="B69" s="40"/>
      <c r="C69" s="41"/>
      <c r="D69" s="42"/>
      <c r="E69" s="43"/>
      <c r="F69" s="44">
        <v>30685116657</v>
      </c>
      <c r="G69" s="45" t="str">
        <f>IFERROR(IF(compras_mes8[[#This Row],[CUIT]]="","-",VLOOKUP(compras_mes8[[#This Row],[CUIT]],Lista_CUIT[#All],2,0)),"CUIT NO CARGADO")</f>
        <v>MIRVAR SA</v>
      </c>
      <c r="H69" s="46">
        <v>36732.25</v>
      </c>
      <c r="I69" s="85">
        <f>IF(compras_mes8[[#This Row],[NETO GRAVADO]]="","",compras_mes8[[#This Row],[NETO GRAVADO]]*0.21)</f>
        <v>7713.7725</v>
      </c>
      <c r="J69" s="85"/>
      <c r="K69" s="85"/>
      <c r="L69" s="85"/>
      <c r="M69" s="85"/>
      <c r="N69" s="85"/>
      <c r="O69" s="85"/>
      <c r="P69" s="48">
        <f>SUM(compras_mes8[[#This Row],[NETO GRAVADO]:[Otros / No Grav.]])</f>
        <v>44446.022499999999</v>
      </c>
      <c r="Q69" s="49" t="str">
        <f>IFERROR(IF(compras_mes8[[#This Row],[CUIT]]="","-",VLOOKUP(compras_mes8[[#This Row],[CUIT]],Lista_CUIT[#All],3,0)),"CUIT NO CARGADO")</f>
        <v>COMBUSTIBLE</v>
      </c>
      <c r="R69" s="49">
        <f>IFERROR(IF(compras_mes8[[#This Row],[CUIT]]="","-",VLOOKUP(compras_mes8[[#This Row],[CUIT]],Lista_CUIT[#All],4,0)),"CUIT NO CARGADO")</f>
        <v>0</v>
      </c>
    </row>
    <row r="70" spans="2:18" x14ac:dyDescent="0.25">
      <c r="B70" s="40"/>
      <c r="C70" s="41"/>
      <c r="D70" s="42"/>
      <c r="E70" s="43"/>
      <c r="F70" s="44">
        <v>30715804812</v>
      </c>
      <c r="G70" s="45" t="str">
        <f>IFERROR(IF(compras_mes8[[#This Row],[CUIT]]="","-",VLOOKUP(compras_mes8[[#This Row],[CUIT]],Lista_CUIT[#All],2,0)),"CUIT NO CARGADO")</f>
        <v>CORREDORES VIALES SOCIEDAD ANONIMA</v>
      </c>
      <c r="H70" s="46">
        <v>24751.59</v>
      </c>
      <c r="I70" s="85">
        <f>IF(compras_mes8[[#This Row],[NETO GRAVADO]]="","",compras_mes8[[#This Row],[NETO GRAVADO]]*0.21)</f>
        <v>5197.8338999999996</v>
      </c>
      <c r="J70" s="85"/>
      <c r="K70" s="85"/>
      <c r="L70" s="85"/>
      <c r="M70" s="85"/>
      <c r="N70" s="85">
        <v>990.06</v>
      </c>
      <c r="O70" s="85"/>
      <c r="P70" s="48">
        <f>SUM(compras_mes8[[#This Row],[NETO GRAVADO]:[Otros / No Grav.]])</f>
        <v>30939.483900000003</v>
      </c>
      <c r="Q70" s="49" t="str">
        <f>IFERROR(IF(compras_mes8[[#This Row],[CUIT]]="","-",VLOOKUP(compras_mes8[[#This Row],[CUIT]],Lista_CUIT[#All],3,0)),"CUIT NO CARGADO")</f>
        <v>Autopista</v>
      </c>
      <c r="R70" s="49">
        <f>IFERROR(IF(compras_mes8[[#This Row],[CUIT]]="","-",VLOOKUP(compras_mes8[[#This Row],[CUIT]],Lista_CUIT[#All],4,0)),"CUIT NO CARGADO")</f>
        <v>0</v>
      </c>
    </row>
    <row r="71" spans="2:18" x14ac:dyDescent="0.25">
      <c r="B71" s="40"/>
      <c r="C71" s="41"/>
      <c r="D71" s="42"/>
      <c r="E71" s="43"/>
      <c r="F71" s="44">
        <v>30654118767</v>
      </c>
      <c r="G71" s="45" t="str">
        <f>IFERROR(IF(compras_mes8[[#This Row],[CUIT]]="","-",VLOOKUP(compras_mes8[[#This Row],[CUIT]],Lista_CUIT[#All],2,0)),"CUIT NO CARGADO")</f>
        <v>SOLUCIONES MULTIMEDIA SA</v>
      </c>
      <c r="H71" s="46">
        <v>139844.51</v>
      </c>
      <c r="I71" s="85">
        <f>IF(compras_mes8[[#This Row],[NETO GRAVADO]]="","",compras_mes8[[#This Row],[NETO GRAVADO]]*0.21)</f>
        <v>29367.347100000003</v>
      </c>
      <c r="J71" s="85"/>
      <c r="K71" s="85"/>
      <c r="L71" s="85"/>
      <c r="M71" s="85"/>
      <c r="N71" s="85">
        <v>5593.78</v>
      </c>
      <c r="O71" s="85"/>
      <c r="P71" s="48">
        <f>SUM(compras_mes8[[#This Row],[NETO GRAVADO]:[Otros / No Grav.]])</f>
        <v>174805.63710000002</v>
      </c>
      <c r="Q71" s="49" t="str">
        <f>IFERROR(IF(compras_mes8[[#This Row],[CUIT]]="","-",VLOOKUP(compras_mes8[[#This Row],[CUIT]],Lista_CUIT[#All],3,0)),"CUIT NO CARGADO")</f>
        <v>gastos varios</v>
      </c>
      <c r="R71" s="49">
        <f>IFERROR(IF(compras_mes8[[#This Row],[CUIT]]="","-",VLOOKUP(compras_mes8[[#This Row],[CUIT]],Lista_CUIT[#All],4,0)),"CUIT NO CARGADO")</f>
        <v>0</v>
      </c>
    </row>
    <row r="72" spans="2:18" x14ac:dyDescent="0.25">
      <c r="B72" s="40"/>
      <c r="C72" s="41"/>
      <c r="D72" s="42"/>
      <c r="E72" s="43"/>
      <c r="F72" s="44">
        <v>30715804812</v>
      </c>
      <c r="G72" s="45" t="str">
        <f>IFERROR(IF(compras_mes8[[#This Row],[CUIT]]="","-",VLOOKUP(compras_mes8[[#This Row],[CUIT]],Lista_CUIT[#All],2,0)),"CUIT NO CARGADO")</f>
        <v>CORREDORES VIALES SOCIEDAD ANONIMA</v>
      </c>
      <c r="H72" s="46">
        <v>1039.98</v>
      </c>
      <c r="I72" s="85">
        <f>IF(compras_mes8[[#This Row],[NETO GRAVADO]]="","",compras_mes8[[#This Row],[NETO GRAVADO]]*0.21)</f>
        <v>218.39580000000001</v>
      </c>
      <c r="J72" s="85"/>
      <c r="K72" s="85"/>
      <c r="L72" s="85"/>
      <c r="M72" s="85"/>
      <c r="N72" s="85"/>
      <c r="O72" s="85"/>
      <c r="P72" s="48">
        <f>SUM(compras_mes8[[#This Row],[NETO GRAVADO]:[Otros / No Grav.]])</f>
        <v>1258.3758</v>
      </c>
      <c r="Q72" s="49" t="str">
        <f>IFERROR(IF(compras_mes8[[#This Row],[CUIT]]="","-",VLOOKUP(compras_mes8[[#This Row],[CUIT]],Lista_CUIT[#All],3,0)),"CUIT NO CARGADO")</f>
        <v>Autopista</v>
      </c>
      <c r="R72" s="49">
        <f>IFERROR(IF(compras_mes8[[#This Row],[CUIT]]="","-",VLOOKUP(compras_mes8[[#This Row],[CUIT]],Lista_CUIT[#All],4,0)),"CUIT NO CARGADO")</f>
        <v>0</v>
      </c>
    </row>
    <row r="73" spans="2:18" x14ac:dyDescent="0.25">
      <c r="B73" s="40"/>
      <c r="C73" s="41"/>
      <c r="D73" s="42"/>
      <c r="E73" s="43"/>
      <c r="F73" s="44">
        <v>30715804812</v>
      </c>
      <c r="G73" s="45" t="str">
        <f>IFERROR(IF(compras_mes8[[#This Row],[CUIT]]="","-",VLOOKUP(compras_mes8[[#This Row],[CUIT]],Lista_CUIT[#All],2,0)),"CUIT NO CARGADO")</f>
        <v>CORREDORES VIALES SOCIEDAD ANONIMA</v>
      </c>
      <c r="H73" s="46">
        <v>19343.650000000001</v>
      </c>
      <c r="I73" s="85">
        <f>IF(compras_mes8[[#This Row],[NETO GRAVADO]]="","",compras_mes8[[#This Row],[NETO GRAVADO]]*0.21)</f>
        <v>4062.1665000000003</v>
      </c>
      <c r="J73" s="85"/>
      <c r="K73" s="85"/>
      <c r="L73" s="85"/>
      <c r="M73" s="85"/>
      <c r="N73" s="85">
        <v>773.74</v>
      </c>
      <c r="O73" s="85"/>
      <c r="P73" s="48">
        <f>SUM(compras_mes8[[#This Row],[NETO GRAVADO]:[Otros / No Grav.]])</f>
        <v>24179.556500000002</v>
      </c>
      <c r="Q73" s="49" t="str">
        <f>IFERROR(IF(compras_mes8[[#This Row],[CUIT]]="","-",VLOOKUP(compras_mes8[[#This Row],[CUIT]],Lista_CUIT[#All],3,0)),"CUIT NO CARGADO")</f>
        <v>Autopista</v>
      </c>
      <c r="R73" s="49">
        <f>IFERROR(IF(compras_mes8[[#This Row],[CUIT]]="","-",VLOOKUP(compras_mes8[[#This Row],[CUIT]],Lista_CUIT[#All],4,0)),"CUIT NO CARGADO")</f>
        <v>0</v>
      </c>
    </row>
    <row r="74" spans="2:18" x14ac:dyDescent="0.25">
      <c r="B74" s="40"/>
      <c r="C74" s="41"/>
      <c r="D74" s="42"/>
      <c r="E74" s="43"/>
      <c r="F74" s="44">
        <v>30715804812</v>
      </c>
      <c r="G74" s="45" t="str">
        <f>IFERROR(IF(compras_mes8[[#This Row],[CUIT]]="","-",VLOOKUP(compras_mes8[[#This Row],[CUIT]],Lista_CUIT[#All],2,0)),"CUIT NO CARGADO")</f>
        <v>CORREDORES VIALES SOCIEDAD ANONIMA</v>
      </c>
      <c r="H74" s="46">
        <v>831.98</v>
      </c>
      <c r="I74" s="85">
        <f>IF(compras_mes8[[#This Row],[NETO GRAVADO]]="","",compras_mes8[[#This Row],[NETO GRAVADO]]*0.21)</f>
        <v>174.7158</v>
      </c>
      <c r="J74" s="85"/>
      <c r="K74" s="85"/>
      <c r="L74" s="85"/>
      <c r="M74" s="85"/>
      <c r="N74" s="85"/>
      <c r="O74" s="85"/>
      <c r="P74" s="48">
        <f>SUM(compras_mes8[[#This Row],[NETO GRAVADO]:[Otros / No Grav.]])</f>
        <v>1006.6958</v>
      </c>
      <c r="Q74" s="49" t="str">
        <f>IFERROR(IF(compras_mes8[[#This Row],[CUIT]]="","-",VLOOKUP(compras_mes8[[#This Row],[CUIT]],Lista_CUIT[#All],3,0)),"CUIT NO CARGADO")</f>
        <v>Autopista</v>
      </c>
      <c r="R74" s="49">
        <f>IFERROR(IF(compras_mes8[[#This Row],[CUIT]]="","-",VLOOKUP(compras_mes8[[#This Row],[CUIT]],Lista_CUIT[#All],4,0)),"CUIT NO CARGADO")</f>
        <v>0</v>
      </c>
    </row>
    <row r="75" spans="2:18" x14ac:dyDescent="0.25">
      <c r="B75" s="40"/>
      <c r="C75" s="41"/>
      <c r="D75" s="42"/>
      <c r="E75" s="43"/>
      <c r="F75" s="44">
        <v>30707639896</v>
      </c>
      <c r="G75" s="45" t="str">
        <f>IFERROR(IF(compras_mes8[[#This Row],[CUIT]]="","-",VLOOKUP(compras_mes8[[#This Row],[CUIT]],Lista_CUIT[#All],2,0)),"CUIT NO CARGADO")</f>
        <v>PETENATTI HNOS SA</v>
      </c>
      <c r="H75" s="46">
        <v>111827.27</v>
      </c>
      <c r="I75" s="85">
        <f>IF(compras_mes8[[#This Row],[NETO GRAVADO]]="","",compras_mes8[[#This Row],[NETO GRAVADO]]*0.21)</f>
        <v>23483.726699999999</v>
      </c>
      <c r="J75" s="85"/>
      <c r="K75" s="85"/>
      <c r="L75" s="85"/>
      <c r="M75" s="85"/>
      <c r="N75" s="85"/>
      <c r="O75" s="85"/>
      <c r="P75" s="48">
        <f>SUM(compras_mes8[[#This Row],[NETO GRAVADO]:[Otros / No Grav.]])</f>
        <v>135310.99670000002</v>
      </c>
      <c r="Q75" s="49" t="str">
        <f>IFERROR(IF(compras_mes8[[#This Row],[CUIT]]="","-",VLOOKUP(compras_mes8[[#This Row],[CUIT]],Lista_CUIT[#All],3,0)),"CUIT NO CARGADO")</f>
        <v>Insumos</v>
      </c>
      <c r="R75" s="49">
        <f>IFERROR(IF(compras_mes8[[#This Row],[CUIT]]="","-",VLOOKUP(compras_mes8[[#This Row],[CUIT]],Lista_CUIT[#All],4,0)),"CUIT NO CARGADO")</f>
        <v>0</v>
      </c>
    </row>
    <row r="76" spans="2:18" x14ac:dyDescent="0.25">
      <c r="B76" s="40"/>
      <c r="C76" s="41"/>
      <c r="D76" s="42"/>
      <c r="E76" s="43"/>
      <c r="F76" s="44">
        <v>30548083156</v>
      </c>
      <c r="G76" s="45" t="str">
        <f>IFERROR(IF(compras_mes8[[#This Row],[CUIT]]="","-",VLOOKUP(compras_mes8[[#This Row],[CUIT]],Lista_CUIT[#All],2,0)),"CUIT NO CARGADO")</f>
        <v>COTO CICSA</v>
      </c>
      <c r="H76" s="46">
        <v>69959.740000000005</v>
      </c>
      <c r="I76" s="85">
        <f>9841*0.21</f>
        <v>2066.61</v>
      </c>
      <c r="J76" s="85"/>
      <c r="K76" s="85">
        <f>60118.74*0.105</f>
        <v>6312.4676999999992</v>
      </c>
      <c r="L76" s="85"/>
      <c r="M76" s="85"/>
      <c r="N76" s="85">
        <v>731.53</v>
      </c>
      <c r="O76" s="85"/>
      <c r="P76" s="48">
        <f>SUM(compras_mes8[[#This Row],[NETO GRAVADO]:[Otros / No Grav.]])</f>
        <v>79070.347699999998</v>
      </c>
      <c r="Q76" s="49" t="str">
        <f>IFERROR(IF(compras_mes8[[#This Row],[CUIT]]="","-",VLOOKUP(compras_mes8[[#This Row],[CUIT]],Lista_CUIT[#All],3,0)),"CUIT NO CARGADO")</f>
        <v>Gastos Varios</v>
      </c>
      <c r="R76" s="49">
        <f>IFERROR(IF(compras_mes8[[#This Row],[CUIT]]="","-",VLOOKUP(compras_mes8[[#This Row],[CUIT]],Lista_CUIT[#All],4,0)),"CUIT NO CARGADO")</f>
        <v>0</v>
      </c>
    </row>
    <row r="77" spans="2:18" x14ac:dyDescent="0.25">
      <c r="B77" s="40"/>
      <c r="C77" s="41"/>
      <c r="D77" s="42"/>
      <c r="E77" s="43"/>
      <c r="F77" s="44">
        <v>30548083156</v>
      </c>
      <c r="G77" s="45" t="str">
        <f>IFERROR(IF(compras_mes8[[#This Row],[CUIT]]="","-",VLOOKUP(compras_mes8[[#This Row],[CUIT]],Lista_CUIT[#All],2,0)),"CUIT NO CARGADO")</f>
        <v>COTO CICSA</v>
      </c>
      <c r="H77" s="46">
        <v>20380.04</v>
      </c>
      <c r="I77" s="85">
        <f>1312.93*0.21</f>
        <v>275.71530000000001</v>
      </c>
      <c r="J77" s="85"/>
      <c r="K77" s="85">
        <f>19067.11*0.105</f>
        <v>2002.04655</v>
      </c>
      <c r="L77" s="85"/>
      <c r="M77" s="85"/>
      <c r="N77" s="85">
        <v>52.52</v>
      </c>
      <c r="O77" s="85"/>
      <c r="P77" s="48">
        <f>SUM(compras_mes8[[#This Row],[NETO GRAVADO]:[Otros / No Grav.]])</f>
        <v>22710.32185</v>
      </c>
      <c r="Q77" s="49" t="str">
        <f>IFERROR(IF(compras_mes8[[#This Row],[CUIT]]="","-",VLOOKUP(compras_mes8[[#This Row],[CUIT]],Lista_CUIT[#All],3,0)),"CUIT NO CARGADO")</f>
        <v>Gastos Varios</v>
      </c>
      <c r="R77" s="49">
        <f>IFERROR(IF(compras_mes8[[#This Row],[CUIT]]="","-",VLOOKUP(compras_mes8[[#This Row],[CUIT]],Lista_CUIT[#All],4,0)),"CUIT NO CARGADO")</f>
        <v>0</v>
      </c>
    </row>
    <row r="78" spans="2:18" x14ac:dyDescent="0.25">
      <c r="B78" s="40"/>
      <c r="C78" s="41"/>
      <c r="D78" s="42"/>
      <c r="E78" s="43"/>
      <c r="F78" s="44">
        <v>30687310434</v>
      </c>
      <c r="G78" s="45" t="str">
        <f>IFERROR(IF(compras_mes8[[#This Row],[CUIT]]="","-",VLOOKUP(compras_mes8[[#This Row],[CUIT]],Lista_CUIT[#All],2,0)),"CUIT NO CARGADO")</f>
        <v>INC SA</v>
      </c>
      <c r="H78" s="46">
        <v>227129.92</v>
      </c>
      <c r="I78" s="85">
        <f>217058.18*0.21</f>
        <v>45582.217799999999</v>
      </c>
      <c r="J78" s="85"/>
      <c r="K78" s="85">
        <f>10071.74*0.105</f>
        <v>1057.5327</v>
      </c>
      <c r="L78" s="85"/>
      <c r="M78" s="85"/>
      <c r="N78" s="85"/>
      <c r="O78" s="85"/>
      <c r="P78" s="48">
        <f>SUM(compras_mes8[[#This Row],[NETO GRAVADO]:[Otros / No Grav.]])</f>
        <v>273769.67050000001</v>
      </c>
      <c r="Q78" s="49" t="str">
        <f>IFERROR(IF(compras_mes8[[#This Row],[CUIT]]="","-",VLOOKUP(compras_mes8[[#This Row],[CUIT]],Lista_CUIT[#All],3,0)),"CUIT NO CARGADO")</f>
        <v>Gastos Varios</v>
      </c>
      <c r="R78" s="49">
        <f>IFERROR(IF(compras_mes8[[#This Row],[CUIT]]="","-",VLOOKUP(compras_mes8[[#This Row],[CUIT]],Lista_CUIT[#All],4,0)),"CUIT NO CARGADO")</f>
        <v>0</v>
      </c>
    </row>
    <row r="79" spans="2:18" x14ac:dyDescent="0.25">
      <c r="B79" s="40"/>
      <c r="C79" s="41"/>
      <c r="D79" s="42"/>
      <c r="E79" s="43"/>
      <c r="F79" s="44">
        <v>30711454388</v>
      </c>
      <c r="G79" s="45" t="str">
        <f>IFERROR(IF(compras_mes8[[#This Row],[CUIT]]="","-",VLOOKUP(compras_mes8[[#This Row],[CUIT]],Lista_CUIT[#All],2,0)),"CUIT NO CARGADO")</f>
        <v>LIPROT S.R.L.</v>
      </c>
      <c r="H79" s="46">
        <v>-501615</v>
      </c>
      <c r="I79" s="85">
        <f>IF(compras_mes8[[#This Row],[NETO GRAVADO]]="","",compras_mes8[[#This Row],[NETO GRAVADO]]*0.21)</f>
        <v>-105339.15</v>
      </c>
      <c r="J79" s="85"/>
      <c r="K79" s="85"/>
      <c r="L79" s="85"/>
      <c r="M79" s="85"/>
      <c r="N79" s="85"/>
      <c r="O79" s="85"/>
      <c r="P79" s="48">
        <f>SUM(compras_mes8[[#This Row],[NETO GRAVADO]:[Otros / No Grav.]])</f>
        <v>-606954.15</v>
      </c>
      <c r="Q79" s="49" t="str">
        <f>IFERROR(IF(compras_mes8[[#This Row],[CUIT]]="","-",VLOOKUP(compras_mes8[[#This Row],[CUIT]],Lista_CUIT[#All],3,0)),"CUIT NO CARGADO")</f>
        <v>textil</v>
      </c>
      <c r="R79" s="49">
        <f>IFERROR(IF(compras_mes8[[#This Row],[CUIT]]="","-",VLOOKUP(compras_mes8[[#This Row],[CUIT]],Lista_CUIT[#All],4,0)),"CUIT NO CARGADO")</f>
        <v>0</v>
      </c>
    </row>
    <row r="80" spans="2:18" x14ac:dyDescent="0.25">
      <c r="B80" s="40"/>
      <c r="C80" s="41"/>
      <c r="D80" s="42"/>
      <c r="E80" s="43"/>
      <c r="F80" s="44">
        <v>30598960093</v>
      </c>
      <c r="G80" s="45" t="str">
        <f>IFERROR(IF(compras_mes8[[#This Row],[CUIT]]="","-",VLOOKUP(compras_mes8[[#This Row],[CUIT]],Lista_CUIT[#All],2,0)),"CUIT NO CARGADO")</f>
        <v>SILVESTRIN FABRIS SRL</v>
      </c>
      <c r="H80" s="46">
        <v>-453249.6</v>
      </c>
      <c r="I80" s="85">
        <f>IF(compras_mes8[[#This Row],[NETO GRAVADO]]="","",compras_mes8[[#This Row],[NETO GRAVADO]]*0.21)</f>
        <v>-95182.415999999997</v>
      </c>
      <c r="J80" s="85"/>
      <c r="K80" s="85"/>
      <c r="L80" s="85"/>
      <c r="M80" s="85"/>
      <c r="N80" s="85"/>
      <c r="O80" s="85"/>
      <c r="P80" s="48">
        <f>SUM(compras_mes8[[#This Row],[NETO GRAVADO]:[Otros / No Grav.]])</f>
        <v>-548432.01599999995</v>
      </c>
      <c r="Q80" s="49" t="str">
        <f>IFERROR(IF(compras_mes8[[#This Row],[CUIT]]="","-",VLOOKUP(compras_mes8[[#This Row],[CUIT]],Lista_CUIT[#All],3,0)),"CUIT NO CARGADO")</f>
        <v>INSUMO</v>
      </c>
      <c r="R80" s="49">
        <f>IFERROR(IF(compras_mes8[[#This Row],[CUIT]]="","-",VLOOKUP(compras_mes8[[#This Row],[CUIT]],Lista_CUIT[#All],4,0)),"CUIT NO CARGADO")</f>
        <v>0</v>
      </c>
    </row>
    <row r="81" spans="2:18" x14ac:dyDescent="0.25">
      <c r="B81" s="40"/>
      <c r="C81" s="41"/>
      <c r="D81" s="42"/>
      <c r="E81" s="43"/>
      <c r="F81" s="44">
        <v>27243660535</v>
      </c>
      <c r="G81" s="45" t="str">
        <f>IFERROR(IF(compras_mes8[[#This Row],[CUIT]]="","-",VLOOKUP(compras_mes8[[#This Row],[CUIT]],Lista_CUIT[#All],2,0)),"CUIT NO CARGADO")</f>
        <v>BARD MARISA SILVIA</v>
      </c>
      <c r="H81" s="46">
        <v>474914.87</v>
      </c>
      <c r="I81" s="85">
        <f>IF(compras_mes8[[#This Row],[NETO GRAVADO]]="","",compras_mes8[[#This Row],[NETO GRAVADO]]*0.21)</f>
        <v>99732.122699999993</v>
      </c>
      <c r="J81" s="85"/>
      <c r="K81" s="85"/>
      <c r="L81" s="85"/>
      <c r="M81" s="85"/>
      <c r="N81" s="85"/>
      <c r="O81" s="85"/>
      <c r="P81" s="48">
        <f>SUM(compras_mes8[[#This Row],[NETO GRAVADO]:[Otros / No Grav.]])</f>
        <v>574646.99269999994</v>
      </c>
      <c r="Q81" s="49" t="str">
        <f>IFERROR(IF(compras_mes8[[#This Row],[CUIT]]="","-",VLOOKUP(compras_mes8[[#This Row],[CUIT]],Lista_CUIT[#All],3,0)),"CUIT NO CARGADO")</f>
        <v>Insumos</v>
      </c>
      <c r="R81" s="49">
        <f>IFERROR(IF(compras_mes8[[#This Row],[CUIT]]="","-",VLOOKUP(compras_mes8[[#This Row],[CUIT]],Lista_CUIT[#All],4,0)),"CUIT NO CARGADO")</f>
        <v>0</v>
      </c>
    </row>
    <row r="82" spans="2:18" x14ac:dyDescent="0.25">
      <c r="B82" s="40"/>
      <c r="C82" s="41"/>
      <c r="D82" s="42"/>
      <c r="E82" s="43"/>
      <c r="F82" s="44">
        <v>33708218699</v>
      </c>
      <c r="G82" s="45" t="str">
        <f>IFERROR(IF(compras_mes8[[#This Row],[CUIT]]="","-",VLOOKUP(compras_mes8[[#This Row],[CUIT]],Lista_CUIT[#All],2,0)),"CUIT NO CARGADO")</f>
        <v>MANGGINI PABLO Y MANGGINI ULISES SOC. DE HECHO.</v>
      </c>
      <c r="H82" s="46">
        <v>30000</v>
      </c>
      <c r="I82" s="85">
        <f>IF(compras_mes8[[#This Row],[NETO GRAVADO]]="","",compras_mes8[[#This Row],[NETO GRAVADO]]*0.21)</f>
        <v>6300</v>
      </c>
      <c r="J82" s="85"/>
      <c r="K82" s="85"/>
      <c r="L82" s="85"/>
      <c r="M82" s="85"/>
      <c r="N82" s="85"/>
      <c r="O82" s="85"/>
      <c r="P82" s="48">
        <f>SUM(compras_mes8[[#This Row],[NETO GRAVADO]:[Otros / No Grav.]])</f>
        <v>36300</v>
      </c>
      <c r="Q82" s="49" t="str">
        <f>IFERROR(IF(compras_mes8[[#This Row],[CUIT]]="","-",VLOOKUP(compras_mes8[[#This Row],[CUIT]],Lista_CUIT[#All],3,0)),"CUIT NO CARGADO")</f>
        <v>SERVICIO</v>
      </c>
      <c r="R82" s="49">
        <f>IFERROR(IF(compras_mes8[[#This Row],[CUIT]]="","-",VLOOKUP(compras_mes8[[#This Row],[CUIT]],Lista_CUIT[#All],4,0)),"CUIT NO CARGADO")</f>
        <v>0</v>
      </c>
    </row>
    <row r="83" spans="2:18" x14ac:dyDescent="0.25">
      <c r="B83" s="40"/>
      <c r="C83" s="41"/>
      <c r="D83" s="42"/>
      <c r="E83" s="43"/>
      <c r="F83" s="44">
        <v>27298128484</v>
      </c>
      <c r="G83" s="45" t="str">
        <f>IFERROR(IF(compras_mes8[[#This Row],[CUIT]]="","-",VLOOKUP(compras_mes8[[#This Row],[CUIT]],Lista_CUIT[#All],2,0)),"CUIT NO CARGADO")</f>
        <v>ARPI JULIA</v>
      </c>
      <c r="H83" s="46">
        <v>761157.1</v>
      </c>
      <c r="I83" s="85">
        <f>IF(compras_mes8[[#This Row],[NETO GRAVADO]]="","",compras_mes8[[#This Row],[NETO GRAVADO]]*0.21)</f>
        <v>159842.99099999998</v>
      </c>
      <c r="J83" s="85"/>
      <c r="K83" s="85"/>
      <c r="L83" s="85"/>
      <c r="M83" s="85"/>
      <c r="N83" s="85"/>
      <c r="O83" s="85"/>
      <c r="P83" s="48">
        <f>SUM(compras_mes8[[#This Row],[NETO GRAVADO]:[Otros / No Grav.]])</f>
        <v>921000.09100000001</v>
      </c>
      <c r="Q83" s="49" t="str">
        <f>IFERROR(IF(compras_mes8[[#This Row],[CUIT]]="","-",VLOOKUP(compras_mes8[[#This Row],[CUIT]],Lista_CUIT[#All],3,0)),"CUIT NO CARGADO")</f>
        <v>ALQUILER</v>
      </c>
      <c r="R83" s="49">
        <f>IFERROR(IF(compras_mes8[[#This Row],[CUIT]]="","-",VLOOKUP(compras_mes8[[#This Row],[CUIT]],Lista_CUIT[#All],4,0)),"CUIT NO CARGADO")</f>
        <v>0</v>
      </c>
    </row>
    <row r="84" spans="2:18" x14ac:dyDescent="0.25">
      <c r="B84" s="40"/>
      <c r="C84" s="41"/>
      <c r="D84" s="42"/>
      <c r="E84" s="43"/>
      <c r="F84" s="44">
        <v>30707370552</v>
      </c>
      <c r="G84" s="45" t="str">
        <f>IFERROR(IF(compras_mes8[[#This Row],[CUIT]]="","-",VLOOKUP(compras_mes8[[#This Row],[CUIT]],Lista_CUIT[#All],2,0)),"CUIT NO CARGADO")</f>
        <v>RAKE SA</v>
      </c>
      <c r="H84" s="46">
        <v>2107851.2400000002</v>
      </c>
      <c r="I84" s="85">
        <f>IF(compras_mes8[[#This Row],[NETO GRAVADO]]="","",compras_mes8[[#This Row],[NETO GRAVADO]]*0.21)</f>
        <v>442648.76040000003</v>
      </c>
      <c r="J84" s="85"/>
      <c r="K84" s="85"/>
      <c r="L84" s="85"/>
      <c r="M84" s="85"/>
      <c r="N84" s="85"/>
      <c r="O84" s="85"/>
      <c r="P84" s="48">
        <f>SUM(compras_mes8[[#This Row],[NETO GRAVADO]:[Otros / No Grav.]])</f>
        <v>2550500.0004000003</v>
      </c>
      <c r="Q84" s="49" t="str">
        <f>IFERROR(IF(compras_mes8[[#This Row],[CUIT]]="","-",VLOOKUP(compras_mes8[[#This Row],[CUIT]],Lista_CUIT[#All],3,0)),"CUIT NO CARGADO")</f>
        <v>GASTOS VARIOS</v>
      </c>
      <c r="R84" s="49">
        <f>IFERROR(IF(compras_mes8[[#This Row],[CUIT]]="","-",VLOOKUP(compras_mes8[[#This Row],[CUIT]],Lista_CUIT[#All],4,0)),"CUIT NO CARGADO")</f>
        <v>0</v>
      </c>
    </row>
    <row r="85" spans="2:18" x14ac:dyDescent="0.25">
      <c r="B85" s="40"/>
      <c r="C85" s="41"/>
      <c r="D85" s="42"/>
      <c r="E85" s="43"/>
      <c r="F85" s="44">
        <v>30707370552</v>
      </c>
      <c r="G85" s="45" t="str">
        <f>IFERROR(IF(compras_mes8[[#This Row],[CUIT]]="","-",VLOOKUP(compras_mes8[[#This Row],[CUIT]],Lista_CUIT[#All],2,0)),"CUIT NO CARGADO")</f>
        <v>RAKE SA</v>
      </c>
      <c r="H85" s="46">
        <v>-2644729.75</v>
      </c>
      <c r="I85" s="85">
        <f>IF(compras_mes8[[#This Row],[NETO GRAVADO]]="","",compras_mes8[[#This Row],[NETO GRAVADO]]*0.21)</f>
        <v>-555393.24749999994</v>
      </c>
      <c r="J85" s="85"/>
      <c r="K85" s="85"/>
      <c r="L85" s="85"/>
      <c r="M85" s="85"/>
      <c r="N85" s="85"/>
      <c r="O85" s="85"/>
      <c r="P85" s="48">
        <f>SUM(compras_mes8[[#This Row],[NETO GRAVADO]:[Otros / No Grav.]])</f>
        <v>-3200122.9975000001</v>
      </c>
      <c r="Q85" s="49" t="str">
        <f>IFERROR(IF(compras_mes8[[#This Row],[CUIT]]="","-",VLOOKUP(compras_mes8[[#This Row],[CUIT]],Lista_CUIT[#All],3,0)),"CUIT NO CARGADO")</f>
        <v>GASTOS VARIOS</v>
      </c>
      <c r="R85" s="49">
        <f>IFERROR(IF(compras_mes8[[#This Row],[CUIT]]="","-",VLOOKUP(compras_mes8[[#This Row],[CUIT]],Lista_CUIT[#All],4,0)),"CUIT NO CARGADO")</f>
        <v>0</v>
      </c>
    </row>
    <row r="86" spans="2:18" x14ac:dyDescent="0.25">
      <c r="B86" s="40"/>
      <c r="C86" s="41"/>
      <c r="D86" s="42"/>
      <c r="E86" s="43"/>
      <c r="F86" s="44">
        <v>30707370552</v>
      </c>
      <c r="G86" s="45" t="str">
        <f>IFERROR(IF(compras_mes8[[#This Row],[CUIT]]="","-",VLOOKUP(compras_mes8[[#This Row],[CUIT]],Lista_CUIT[#All],2,0)),"CUIT NO CARGADO")</f>
        <v>RAKE SA</v>
      </c>
      <c r="H86" s="46">
        <v>-2397520.66</v>
      </c>
      <c r="I86" s="85">
        <f>IF(compras_mes8[[#This Row],[NETO GRAVADO]]="","",compras_mes8[[#This Row],[NETO GRAVADO]]*0.21)</f>
        <v>-503479.33860000002</v>
      </c>
      <c r="J86" s="85"/>
      <c r="K86" s="85"/>
      <c r="L86" s="85"/>
      <c r="M86" s="85"/>
      <c r="N86" s="85"/>
      <c r="O86" s="85"/>
      <c r="P86" s="48">
        <f>SUM(compras_mes8[[#This Row],[NETO GRAVADO]:[Otros / No Grav.]])</f>
        <v>-2900999.9986</v>
      </c>
      <c r="Q86" s="49" t="str">
        <f>IFERROR(IF(compras_mes8[[#This Row],[CUIT]]="","-",VLOOKUP(compras_mes8[[#This Row],[CUIT]],Lista_CUIT[#All],3,0)),"CUIT NO CARGADO")</f>
        <v>GASTOS VARIOS</v>
      </c>
      <c r="R86" s="49">
        <f>IFERROR(IF(compras_mes8[[#This Row],[CUIT]]="","-",VLOOKUP(compras_mes8[[#This Row],[CUIT]],Lista_CUIT[#All],4,0)),"CUIT NO CARGADO")</f>
        <v>0</v>
      </c>
    </row>
    <row r="87" spans="2:18" x14ac:dyDescent="0.25">
      <c r="B87" s="40"/>
      <c r="C87" s="41"/>
      <c r="D87" s="42"/>
      <c r="E87" s="43"/>
      <c r="F87" s="44">
        <v>30714864269</v>
      </c>
      <c r="G87" s="45" t="str">
        <f>IFERROR(IF(compras_mes8[[#This Row],[CUIT]]="","-",VLOOKUP(compras_mes8[[#This Row],[CUIT]],Lista_CUIT[#All],2,0)),"CUIT NO CARGADO")</f>
        <v>CONTABILIUM S.A. S. A.</v>
      </c>
      <c r="H87" s="46">
        <v>184800</v>
      </c>
      <c r="I87" s="85">
        <f>IF(compras_mes8[[#This Row],[NETO GRAVADO]]="","",compras_mes8[[#This Row],[NETO GRAVADO]]*0.21)</f>
        <v>38808</v>
      </c>
      <c r="J87" s="85"/>
      <c r="K87" s="85"/>
      <c r="L87" s="85"/>
      <c r="M87" s="85"/>
      <c r="N87" s="85"/>
      <c r="O87" s="85"/>
      <c r="P87" s="48">
        <f>SUM(compras_mes8[[#This Row],[NETO GRAVADO]:[Otros / No Grav.]])</f>
        <v>223608</v>
      </c>
      <c r="Q87" s="49" t="str">
        <f>IFERROR(IF(compras_mes8[[#This Row],[CUIT]]="","-",VLOOKUP(compras_mes8[[#This Row],[CUIT]],Lista_CUIT[#All],3,0)),"CUIT NO CARGADO")</f>
        <v>USUARIO CONTABLE</v>
      </c>
      <c r="R87" s="49">
        <f>IFERROR(IF(compras_mes8[[#This Row],[CUIT]]="","-",VLOOKUP(compras_mes8[[#This Row],[CUIT]],Lista_CUIT[#All],4,0)),"CUIT NO CARGADO")</f>
        <v>0</v>
      </c>
    </row>
    <row r="88" spans="2:18" x14ac:dyDescent="0.25">
      <c r="B88" s="40"/>
      <c r="C88" s="41"/>
      <c r="D88" s="42"/>
      <c r="E88" s="43"/>
      <c r="F88" s="44">
        <v>30714864269</v>
      </c>
      <c r="G88" s="45" t="str">
        <f>IFERROR(IF(compras_mes8[[#This Row],[CUIT]]="","-",VLOOKUP(compras_mes8[[#This Row],[CUIT]],Lista_CUIT[#All],2,0)),"CUIT NO CARGADO")</f>
        <v>CONTABILIUM S.A. S. A.</v>
      </c>
      <c r="H88" s="46">
        <v>190960</v>
      </c>
      <c r="I88" s="85">
        <f>IF(compras_mes8[[#This Row],[NETO GRAVADO]]="","",compras_mes8[[#This Row],[NETO GRAVADO]]*0.21)</f>
        <v>40101.599999999999</v>
      </c>
      <c r="J88" s="85"/>
      <c r="K88" s="85"/>
      <c r="L88" s="85"/>
      <c r="M88" s="85"/>
      <c r="N88" s="85"/>
      <c r="O88" s="85"/>
      <c r="P88" s="48">
        <f>SUM(compras_mes8[[#This Row],[NETO GRAVADO]:[Otros / No Grav.]])</f>
        <v>231061.6</v>
      </c>
      <c r="Q88" s="49" t="str">
        <f>IFERROR(IF(compras_mes8[[#This Row],[CUIT]]="","-",VLOOKUP(compras_mes8[[#This Row],[CUIT]],Lista_CUIT[#All],3,0)),"CUIT NO CARGADO")</f>
        <v>USUARIO CONTABLE</v>
      </c>
      <c r="R88" s="49">
        <f>IFERROR(IF(compras_mes8[[#This Row],[CUIT]]="","-",VLOOKUP(compras_mes8[[#This Row],[CUIT]],Lista_CUIT[#All],4,0)),"CUIT NO CARGADO")</f>
        <v>0</v>
      </c>
    </row>
    <row r="89" spans="2:18" x14ac:dyDescent="0.25">
      <c r="B89" s="40"/>
      <c r="C89" s="41"/>
      <c r="D89" s="42"/>
      <c r="E89" s="43"/>
      <c r="F89" s="44">
        <v>33716307749</v>
      </c>
      <c r="G89" s="45" t="str">
        <f>IFERROR(IF(compras_mes8[[#This Row],[CUIT]]="","-",VLOOKUP(compras_mes8[[#This Row],[CUIT]],Lista_CUIT[#All],2,0)),"CUIT NO CARGADO")</f>
        <v>VERISURE ARGENTINA MONITOREO DE ALARMAS SA</v>
      </c>
      <c r="H89" s="46">
        <v>58270.1</v>
      </c>
      <c r="I89" s="85">
        <f>IF(compras_mes8[[#This Row],[NETO GRAVADO]]="","",compras_mes8[[#This Row],[NETO GRAVADO]]*0.21)</f>
        <v>12236.721</v>
      </c>
      <c r="J89" s="85"/>
      <c r="K89" s="85"/>
      <c r="L89" s="85"/>
      <c r="M89" s="85"/>
      <c r="N89" s="85"/>
      <c r="O89" s="85"/>
      <c r="P89" s="48">
        <f>SUM(compras_mes8[[#This Row],[NETO GRAVADO]:[Otros / No Grav.]])</f>
        <v>70506.820999999996</v>
      </c>
      <c r="Q89" s="49" t="str">
        <f>IFERROR(IF(compras_mes8[[#This Row],[CUIT]]="","-",VLOOKUP(compras_mes8[[#This Row],[CUIT]],Lista_CUIT[#All],3,0)),"CUIT NO CARGADO")</f>
        <v>Serv. Seguridad</v>
      </c>
      <c r="R89" s="49">
        <f>IFERROR(IF(compras_mes8[[#This Row],[CUIT]]="","-",VLOOKUP(compras_mes8[[#This Row],[CUIT]],Lista_CUIT[#All],4,0)),"CUIT NO CARGADO")</f>
        <v>0</v>
      </c>
    </row>
    <row r="90" spans="2:18" x14ac:dyDescent="0.25">
      <c r="B90" s="40"/>
      <c r="C90" s="41"/>
      <c r="D90" s="42"/>
      <c r="E90" s="43"/>
      <c r="F90" s="44">
        <v>30605344352</v>
      </c>
      <c r="G90" s="45" t="str">
        <f>IFERROR(IF(compras_mes8[[#This Row],[CUIT]]="","-",VLOOKUP(compras_mes8[[#This Row],[CUIT]],Lista_CUIT[#All],2,0)),"CUIT NO CARGADO")</f>
        <v>CONSORCIO BARTOLME MITRE 2466</v>
      </c>
      <c r="H90" s="46">
        <v>2000000</v>
      </c>
      <c r="I90" s="85">
        <f>IF(compras_mes8[[#This Row],[NETO GRAVADO]]="","",compras_mes8[[#This Row],[NETO GRAVADO]]*0.21)</f>
        <v>420000</v>
      </c>
      <c r="J90" s="85"/>
      <c r="K90" s="85"/>
      <c r="L90" s="85"/>
      <c r="M90" s="85"/>
      <c r="N90" s="85"/>
      <c r="O90" s="85"/>
      <c r="P90" s="48">
        <f>SUM(compras_mes8[[#This Row],[NETO GRAVADO]:[Otros / No Grav.]])</f>
        <v>2420000</v>
      </c>
      <c r="Q90" s="49" t="str">
        <f>IFERROR(IF(compras_mes8[[#This Row],[CUIT]]="","-",VLOOKUP(compras_mes8[[#This Row],[CUIT]],Lista_CUIT[#All],3,0)),"CUIT NO CARGADO")</f>
        <v>ALQUILER LOCAL</v>
      </c>
      <c r="R90" s="49">
        <f>IFERROR(IF(compras_mes8[[#This Row],[CUIT]]="","-",VLOOKUP(compras_mes8[[#This Row],[CUIT]],Lista_CUIT[#All],4,0)),"CUIT NO CARGADO")</f>
        <v>0</v>
      </c>
    </row>
    <row r="91" spans="2:18" x14ac:dyDescent="0.25">
      <c r="B91" s="40"/>
      <c r="C91" s="41"/>
      <c r="D91" s="42"/>
      <c r="E91" s="43"/>
      <c r="F91" s="44">
        <v>30605344352</v>
      </c>
      <c r="G91" s="45" t="str">
        <f>IFERROR(IF(compras_mes8[[#This Row],[CUIT]]="","-",VLOOKUP(compras_mes8[[#This Row],[CUIT]],Lista_CUIT[#All],2,0)),"CUIT NO CARGADO")</f>
        <v>CONSORCIO BARTOLME MITRE 2466</v>
      </c>
      <c r="H91" s="46">
        <v>86477.38</v>
      </c>
      <c r="I91" s="85">
        <f>IF(compras_mes8[[#This Row],[NETO GRAVADO]]="","",compras_mes8[[#This Row],[NETO GRAVADO]]*0.21)</f>
        <v>18160.249800000001</v>
      </c>
      <c r="J91" s="85"/>
      <c r="K91" s="85"/>
      <c r="L91" s="85"/>
      <c r="M91" s="85"/>
      <c r="N91" s="85"/>
      <c r="O91" s="85"/>
      <c r="P91" s="48">
        <f>SUM(compras_mes8[[#This Row],[NETO GRAVADO]:[Otros / No Grav.]])</f>
        <v>104637.62980000001</v>
      </c>
      <c r="Q91" s="49" t="str">
        <f>IFERROR(IF(compras_mes8[[#This Row],[CUIT]]="","-",VLOOKUP(compras_mes8[[#This Row],[CUIT]],Lista_CUIT[#All],3,0)),"CUIT NO CARGADO")</f>
        <v>ALQUILER LOCAL</v>
      </c>
      <c r="R91" s="49">
        <f>IFERROR(IF(compras_mes8[[#This Row],[CUIT]]="","-",VLOOKUP(compras_mes8[[#This Row],[CUIT]],Lista_CUIT[#All],4,0)),"CUIT NO CARGADO")</f>
        <v>0</v>
      </c>
    </row>
    <row r="92" spans="2:18" x14ac:dyDescent="0.25">
      <c r="B92" s="40"/>
      <c r="C92" s="41"/>
      <c r="D92" s="42"/>
      <c r="E92" s="43"/>
      <c r="F92" s="44">
        <v>30605344352</v>
      </c>
      <c r="G92" s="45" t="str">
        <f>IFERROR(IF(compras_mes8[[#This Row],[CUIT]]="","-",VLOOKUP(compras_mes8[[#This Row],[CUIT]],Lista_CUIT[#All],2,0)),"CUIT NO CARGADO")</f>
        <v>CONSORCIO BARTOLME MITRE 2466</v>
      </c>
      <c r="H92" s="46">
        <v>86477.38</v>
      </c>
      <c r="I92" s="85">
        <f>IF(compras_mes8[[#This Row],[NETO GRAVADO]]="","",compras_mes8[[#This Row],[NETO GRAVADO]]*0.21)</f>
        <v>18160.249800000001</v>
      </c>
      <c r="J92" s="85"/>
      <c r="K92" s="85"/>
      <c r="L92" s="85"/>
      <c r="M92" s="85"/>
      <c r="N92" s="85"/>
      <c r="O92" s="85"/>
      <c r="P92" s="48">
        <f>SUM(compras_mes8[[#This Row],[NETO GRAVADO]:[Otros / No Grav.]])</f>
        <v>104637.62980000001</v>
      </c>
      <c r="Q92" s="49" t="str">
        <f>IFERROR(IF(compras_mes8[[#This Row],[CUIT]]="","-",VLOOKUP(compras_mes8[[#This Row],[CUIT]],Lista_CUIT[#All],3,0)),"CUIT NO CARGADO")</f>
        <v>ALQUILER LOCAL</v>
      </c>
      <c r="R92" s="49">
        <f>IFERROR(IF(compras_mes8[[#This Row],[CUIT]]="","-",VLOOKUP(compras_mes8[[#This Row],[CUIT]],Lista_CUIT[#All],4,0)),"CUIT NO CARGADO")</f>
        <v>0</v>
      </c>
    </row>
    <row r="93" spans="2:18" x14ac:dyDescent="0.25">
      <c r="B93" s="40"/>
      <c r="C93" s="41"/>
      <c r="D93" s="42"/>
      <c r="E93" s="43"/>
      <c r="F93" s="44">
        <v>30605344352</v>
      </c>
      <c r="G93" s="45" t="str">
        <f>IFERROR(IF(compras_mes8[[#This Row],[CUIT]]="","-",VLOOKUP(compras_mes8[[#This Row],[CUIT]],Lista_CUIT[#All],2,0)),"CUIT NO CARGADO")</f>
        <v>CONSORCIO BARTOLME MITRE 2466</v>
      </c>
      <c r="H93" s="46">
        <v>86477.38</v>
      </c>
      <c r="I93" s="85">
        <f>IF(compras_mes8[[#This Row],[NETO GRAVADO]]="","",compras_mes8[[#This Row],[NETO GRAVADO]]*0.21)</f>
        <v>18160.249800000001</v>
      </c>
      <c r="J93" s="85"/>
      <c r="K93" s="85"/>
      <c r="L93" s="85"/>
      <c r="M93" s="85"/>
      <c r="N93" s="85"/>
      <c r="O93" s="85"/>
      <c r="P93" s="48">
        <f>SUM(compras_mes8[[#This Row],[NETO GRAVADO]:[Otros / No Grav.]])</f>
        <v>104637.62980000001</v>
      </c>
      <c r="Q93" s="49" t="str">
        <f>IFERROR(IF(compras_mes8[[#This Row],[CUIT]]="","-",VLOOKUP(compras_mes8[[#This Row],[CUIT]],Lista_CUIT[#All],3,0)),"CUIT NO CARGADO")</f>
        <v>ALQUILER LOCAL</v>
      </c>
      <c r="R93" s="49">
        <f>IFERROR(IF(compras_mes8[[#This Row],[CUIT]]="","-",VLOOKUP(compras_mes8[[#This Row],[CUIT]],Lista_CUIT[#All],4,0)),"CUIT NO CARGADO")</f>
        <v>0</v>
      </c>
    </row>
    <row r="94" spans="2:18" x14ac:dyDescent="0.25">
      <c r="B94" s="40"/>
      <c r="C94" s="41"/>
      <c r="D94" s="42"/>
      <c r="E94" s="43"/>
      <c r="F94" s="44">
        <v>30577744579</v>
      </c>
      <c r="G94" s="45" t="str">
        <f>IFERROR(IF(compras_mes8[[#This Row],[CUIT]]="","-",VLOOKUP(compras_mes8[[#This Row],[CUIT]],Lista_CUIT[#All],2,0)),"CUIT NO CARGADO")</f>
        <v>EXPRESO TROLE SRL</v>
      </c>
      <c r="H94" s="46">
        <v>116234.63</v>
      </c>
      <c r="I94" s="85">
        <f>IF(compras_mes8[[#This Row],[NETO GRAVADO]]="","",compras_mes8[[#This Row],[NETO GRAVADO]]*0.21)</f>
        <v>24409.272300000001</v>
      </c>
      <c r="J94" s="85"/>
      <c r="K94" s="85"/>
      <c r="L94" s="85"/>
      <c r="M94" s="85"/>
      <c r="N94" s="85"/>
      <c r="O94" s="85"/>
      <c r="P94" s="48">
        <f>SUM(compras_mes8[[#This Row],[NETO GRAVADO]:[Otros / No Grav.]])</f>
        <v>140643.90230000002</v>
      </c>
      <c r="Q94" s="49" t="str">
        <f>IFERROR(IF(compras_mes8[[#This Row],[CUIT]]="","-",VLOOKUP(compras_mes8[[#This Row],[CUIT]],Lista_CUIT[#All],3,0)),"CUIT NO CARGADO")</f>
        <v>Flete</v>
      </c>
      <c r="R94" s="49">
        <f>IFERROR(IF(compras_mes8[[#This Row],[CUIT]]="","-",VLOOKUP(compras_mes8[[#This Row],[CUIT]],Lista_CUIT[#All],4,0)),"CUIT NO CARGADO")</f>
        <v>0</v>
      </c>
    </row>
    <row r="95" spans="2:18" x14ac:dyDescent="0.25">
      <c r="B95" s="40"/>
      <c r="C95" s="41"/>
      <c r="D95" s="42"/>
      <c r="E95" s="43"/>
      <c r="F95" s="44">
        <v>30577744579</v>
      </c>
      <c r="G95" s="45" t="str">
        <f>IFERROR(IF(compras_mes8[[#This Row],[CUIT]]="","-",VLOOKUP(compras_mes8[[#This Row],[CUIT]],Lista_CUIT[#All],2,0)),"CUIT NO CARGADO")</f>
        <v>EXPRESO TROLE SRL</v>
      </c>
      <c r="H95" s="46">
        <v>79571.070000000007</v>
      </c>
      <c r="I95" s="85">
        <f>IF(compras_mes8[[#This Row],[NETO GRAVADO]]="","",compras_mes8[[#This Row],[NETO GRAVADO]]*0.21)</f>
        <v>16709.9247</v>
      </c>
      <c r="J95" s="85"/>
      <c r="K95" s="85"/>
      <c r="L95" s="85"/>
      <c r="M95" s="85"/>
      <c r="N95" s="85"/>
      <c r="O95" s="85"/>
      <c r="P95" s="48">
        <f>SUM(compras_mes8[[#This Row],[NETO GRAVADO]:[Otros / No Grav.]])</f>
        <v>96280.99470000001</v>
      </c>
      <c r="Q95" s="49" t="str">
        <f>IFERROR(IF(compras_mes8[[#This Row],[CUIT]]="","-",VLOOKUP(compras_mes8[[#This Row],[CUIT]],Lista_CUIT[#All],3,0)),"CUIT NO CARGADO")</f>
        <v>Flete</v>
      </c>
      <c r="R95" s="49">
        <f>IFERROR(IF(compras_mes8[[#This Row],[CUIT]]="","-",VLOOKUP(compras_mes8[[#This Row],[CUIT]],Lista_CUIT[#All],4,0)),"CUIT NO CARGADO")</f>
        <v>0</v>
      </c>
    </row>
    <row r="96" spans="2:18" x14ac:dyDescent="0.25">
      <c r="B96" s="40"/>
      <c r="C96" s="41"/>
      <c r="D96" s="42"/>
      <c r="E96" s="43"/>
      <c r="F96" s="44">
        <v>30712019359</v>
      </c>
      <c r="G96" s="45" t="str">
        <f>IFERROR(IF(compras_mes8[[#This Row],[CUIT]]="","-",VLOOKUP(compras_mes8[[#This Row],[CUIT]],Lista_CUIT[#All],2,0)),"CUIT NO CARGADO")</f>
        <v>LINKEDSTORE ARGENTINA SRL</v>
      </c>
      <c r="H96" s="46">
        <v>16528.099999999999</v>
      </c>
      <c r="I96" s="85">
        <f>IF(compras_mes8[[#This Row],[NETO GRAVADO]]="","",compras_mes8[[#This Row],[NETO GRAVADO]]*0.21)</f>
        <v>3470.9009999999994</v>
      </c>
      <c r="J96" s="85"/>
      <c r="K96" s="85"/>
      <c r="L96" s="85"/>
      <c r="M96" s="85"/>
      <c r="N96" s="85">
        <v>661.13</v>
      </c>
      <c r="O96" s="85"/>
      <c r="P96" s="48">
        <f>SUM(compras_mes8[[#This Row],[NETO GRAVADO]:[Otros / No Grav.]])</f>
        <v>20660.130999999998</v>
      </c>
      <c r="Q96" s="49" t="str">
        <f>IFERROR(IF(compras_mes8[[#This Row],[CUIT]]="","-",VLOOKUP(compras_mes8[[#This Row],[CUIT]],Lista_CUIT[#All],3,0)),"CUIT NO CARGADO")</f>
        <v>pROVEEDOR</v>
      </c>
      <c r="R96" s="49">
        <f>IFERROR(IF(compras_mes8[[#This Row],[CUIT]]="","-",VLOOKUP(compras_mes8[[#This Row],[CUIT]],Lista_CUIT[#All],4,0)),"CUIT NO CARGADO")</f>
        <v>0</v>
      </c>
    </row>
    <row r="97" spans="2:18" x14ac:dyDescent="0.25">
      <c r="B97" s="40"/>
      <c r="C97" s="41"/>
      <c r="D97" s="42"/>
      <c r="E97" s="43"/>
      <c r="F97" s="44">
        <v>20174004146</v>
      </c>
      <c r="G97" s="45" t="str">
        <f>IFERROR(IF(compras_mes8[[#This Row],[CUIT]]="","-",VLOOKUP(compras_mes8[[#This Row],[CUIT]],Lista_CUIT[#All],2,0)),"CUIT NO CARGADO")</f>
        <v>EDUEARDO FRANCISCO NARDOMARINO</v>
      </c>
      <c r="H97" s="46">
        <v>240000</v>
      </c>
      <c r="I97" s="85">
        <f>IF(compras_mes8[[#This Row],[NETO GRAVADO]]="","",compras_mes8[[#This Row],[NETO GRAVADO]]*0.21)</f>
        <v>50400</v>
      </c>
      <c r="J97" s="85"/>
      <c r="K97" s="85"/>
      <c r="L97" s="85"/>
      <c r="M97" s="85"/>
      <c r="N97" s="85"/>
      <c r="O97" s="85"/>
      <c r="P97" s="48">
        <f>SUM(compras_mes8[[#This Row],[NETO GRAVADO]:[Otros / No Grav.]])</f>
        <v>290400</v>
      </c>
      <c r="Q97" s="49" t="str">
        <f>IFERROR(IF(compras_mes8[[#This Row],[CUIT]]="","-",VLOOKUP(compras_mes8[[#This Row],[CUIT]],Lista_CUIT[#All],3,0)),"CUIT NO CARGADO")</f>
        <v>FLETE</v>
      </c>
      <c r="R97" s="49">
        <f>IFERROR(IF(compras_mes8[[#This Row],[CUIT]]="","-",VLOOKUP(compras_mes8[[#This Row],[CUIT]],Lista_CUIT[#All],4,0)),"CUIT NO CARGADO")</f>
        <v>0</v>
      </c>
    </row>
    <row r="98" spans="2:18" x14ac:dyDescent="0.25">
      <c r="B98" s="40"/>
      <c r="C98" s="41"/>
      <c r="D98" s="42"/>
      <c r="E98" s="43"/>
      <c r="F98" s="44">
        <v>20174004146</v>
      </c>
      <c r="G98" s="45" t="str">
        <f>IFERROR(IF(compras_mes8[[#This Row],[CUIT]]="","-",VLOOKUP(compras_mes8[[#This Row],[CUIT]],Lista_CUIT[#All],2,0)),"CUIT NO CARGADO")</f>
        <v>EDUEARDO FRANCISCO NARDOMARINO</v>
      </c>
      <c r="H98" s="46">
        <v>135000</v>
      </c>
      <c r="I98" s="85">
        <f>IF(compras_mes8[[#This Row],[NETO GRAVADO]]="","",compras_mes8[[#This Row],[NETO GRAVADO]]*0.21)</f>
        <v>28350</v>
      </c>
      <c r="J98" s="85"/>
      <c r="K98" s="85"/>
      <c r="L98" s="85"/>
      <c r="M98" s="85"/>
      <c r="N98" s="85"/>
      <c r="O98" s="85"/>
      <c r="P98" s="48">
        <f>SUM(compras_mes8[[#This Row],[NETO GRAVADO]:[Otros / No Grav.]])</f>
        <v>163350</v>
      </c>
      <c r="Q98" s="49" t="str">
        <f>IFERROR(IF(compras_mes8[[#This Row],[CUIT]]="","-",VLOOKUP(compras_mes8[[#This Row],[CUIT]],Lista_CUIT[#All],3,0)),"CUIT NO CARGADO")</f>
        <v>FLETE</v>
      </c>
      <c r="R98" s="49">
        <f>IFERROR(IF(compras_mes8[[#This Row],[CUIT]]="","-",VLOOKUP(compras_mes8[[#This Row],[CUIT]],Lista_CUIT[#All],4,0)),"CUIT NO CARGADO")</f>
        <v>0</v>
      </c>
    </row>
    <row r="99" spans="2:18" x14ac:dyDescent="0.25">
      <c r="B99" s="40"/>
      <c r="C99" s="41"/>
      <c r="D99" s="42"/>
      <c r="E99" s="43"/>
      <c r="F99" s="44">
        <v>30682998330</v>
      </c>
      <c r="G99" s="45" t="str">
        <f>IFERROR(IF(compras_mes8[[#This Row],[CUIT]]="","-",VLOOKUP(compras_mes8[[#This Row],[CUIT]],Lista_CUIT[#All],2,0)),"CUIT NO CARGADO")</f>
        <v>CONTROL TECNICO DE VEH. SA</v>
      </c>
      <c r="H99" s="46">
        <v>93388.43</v>
      </c>
      <c r="I99" s="85">
        <f>IF(compras_mes8[[#This Row],[NETO GRAVADO]]="","",compras_mes8[[#This Row],[NETO GRAVADO]]*0.21)</f>
        <v>19611.570299999999</v>
      </c>
      <c r="J99" s="85"/>
      <c r="K99" s="85"/>
      <c r="L99" s="85"/>
      <c r="M99" s="85"/>
      <c r="N99" s="85"/>
      <c r="O99" s="85"/>
      <c r="P99" s="48">
        <f>SUM(compras_mes8[[#This Row],[NETO GRAVADO]:[Otros / No Grav.]])</f>
        <v>113000.00029999999</v>
      </c>
      <c r="Q99" s="49" t="str">
        <f>IFERROR(IF(compras_mes8[[#This Row],[CUIT]]="","-",VLOOKUP(compras_mes8[[#This Row],[CUIT]],Lista_CUIT[#All],3,0)),"CUIT NO CARGADO")</f>
        <v>gastos varios</v>
      </c>
      <c r="R99" s="49">
        <f>IFERROR(IF(compras_mes8[[#This Row],[CUIT]]="","-",VLOOKUP(compras_mes8[[#This Row],[CUIT]],Lista_CUIT[#All],4,0)),"CUIT NO CARGADO")</f>
        <v>0</v>
      </c>
    </row>
    <row r="100" spans="2:18" x14ac:dyDescent="0.25">
      <c r="B100" s="40"/>
      <c r="C100" s="41"/>
      <c r="D100" s="42"/>
      <c r="E100" s="43"/>
      <c r="F100" s="44">
        <v>20929183143</v>
      </c>
      <c r="G100" s="45" t="str">
        <f>IFERROR(IF(compras_mes8[[#This Row],[CUIT]]="","-",VLOOKUP(compras_mes8[[#This Row],[CUIT]],Lista_CUIT[#All],2,0)),"CUIT NO CARGADO")</f>
        <v>MA JUN</v>
      </c>
      <c r="H100" s="46">
        <v>85000</v>
      </c>
      <c r="I100" s="85">
        <f>IF(compras_mes8[[#This Row],[NETO GRAVADO]]="","",compras_mes8[[#This Row],[NETO GRAVADO]]*0.21)</f>
        <v>17850</v>
      </c>
      <c r="J100" s="85"/>
      <c r="K100" s="85"/>
      <c r="L100" s="85"/>
      <c r="M100" s="85"/>
      <c r="N100" s="85"/>
      <c r="O100" s="85"/>
      <c r="P100" s="48">
        <f>SUM(compras_mes8[[#This Row],[NETO GRAVADO]:[Otros / No Grav.]])</f>
        <v>102850</v>
      </c>
      <c r="Q100" s="49" t="str">
        <f>IFERROR(IF(compras_mes8[[#This Row],[CUIT]]="","-",VLOOKUP(compras_mes8[[#This Row],[CUIT]],Lista_CUIT[#All],3,0)),"CUIT NO CARGADO")</f>
        <v>Gastos Varios</v>
      </c>
      <c r="R100" s="49">
        <f>IFERROR(IF(compras_mes8[[#This Row],[CUIT]]="","-",VLOOKUP(compras_mes8[[#This Row],[CUIT]],Lista_CUIT[#All],4,0)),"CUIT NO CARGADO")</f>
        <v>0</v>
      </c>
    </row>
    <row r="101" spans="2:18" x14ac:dyDescent="0.25">
      <c r="B101" s="40"/>
      <c r="C101" s="41"/>
      <c r="D101" s="42"/>
      <c r="E101" s="43"/>
      <c r="F101" s="44">
        <v>30702652975</v>
      </c>
      <c r="G101" s="45" t="str">
        <f>IFERROR(IF(compras_mes8[[#This Row],[CUIT]]="","-",VLOOKUP(compras_mes8[[#This Row],[CUIT]],Lista_CUIT[#All],2,0)),"CUIT NO CARGADO")</f>
        <v>NSS SA</v>
      </c>
      <c r="H101" s="46">
        <v>35660.75</v>
      </c>
      <c r="I101" s="85">
        <f>IF(compras_mes8[[#This Row],[NETO GRAVADO]]="","",compras_mes8[[#This Row],[NETO GRAVADO]]*0.21)</f>
        <v>7488.7574999999997</v>
      </c>
      <c r="J101" s="85"/>
      <c r="K101" s="85"/>
      <c r="L101" s="85"/>
      <c r="M101" s="85"/>
      <c r="N101" s="85">
        <v>1426.43</v>
      </c>
      <c r="O101" s="85"/>
      <c r="P101" s="48">
        <f>SUM(compras_mes8[[#This Row],[NETO GRAVADO]:[Otros / No Grav.]])</f>
        <v>44575.9375</v>
      </c>
      <c r="Q101" s="49" t="str">
        <f>IFERROR(IF(compras_mes8[[#This Row],[CUIT]]="","-",VLOOKUP(compras_mes8[[#This Row],[CUIT]],Lista_CUIT[#All],3,0)),"CUIT NO CARGADO")</f>
        <v>SERVICIOS</v>
      </c>
      <c r="R101" s="49">
        <f>IFERROR(IF(compras_mes8[[#This Row],[CUIT]]="","-",VLOOKUP(compras_mes8[[#This Row],[CUIT]],Lista_CUIT[#All],4,0)),"CUIT NO CARGADO")</f>
        <v>0</v>
      </c>
    </row>
    <row r="102" spans="2:18" x14ac:dyDescent="0.25">
      <c r="B102" s="40"/>
      <c r="C102" s="41"/>
      <c r="D102" s="42"/>
      <c r="E102" s="43"/>
      <c r="F102" s="44">
        <v>33715594949</v>
      </c>
      <c r="G102" s="45" t="str">
        <f>IFERROR(IF(compras_mes8[[#This Row],[CUIT]]="","-",VLOOKUP(compras_mes8[[#This Row],[CUIT]],Lista_CUIT[#All],2,0)),"CUIT NO CARGADO")</f>
        <v>SOMOS ENERGIA SA</v>
      </c>
      <c r="H102" s="46">
        <v>36715.22</v>
      </c>
      <c r="I102" s="85">
        <f>IF(compras_mes8[[#This Row],[NETO GRAVADO]]="","",compras_mes8[[#This Row],[NETO GRAVADO]]*0.21)</f>
        <v>7710.1962000000003</v>
      </c>
      <c r="J102" s="85"/>
      <c r="K102" s="85"/>
      <c r="L102" s="85"/>
      <c r="M102" s="85"/>
      <c r="N102" s="85"/>
      <c r="O102" s="85"/>
      <c r="P102" s="48">
        <f>SUM(compras_mes8[[#This Row],[NETO GRAVADO]:[Otros / No Grav.]])</f>
        <v>44425.4162</v>
      </c>
      <c r="Q102" s="49" t="str">
        <f>IFERROR(IF(compras_mes8[[#This Row],[CUIT]]="","-",VLOOKUP(compras_mes8[[#This Row],[CUIT]],Lista_CUIT[#All],3,0)),"CUIT NO CARGADO")</f>
        <v>COMBUSTIBLE</v>
      </c>
      <c r="R102" s="49">
        <f>IFERROR(IF(compras_mes8[[#This Row],[CUIT]]="","-",VLOOKUP(compras_mes8[[#This Row],[CUIT]],Lista_CUIT[#All],4,0)),"CUIT NO CARGADO")</f>
        <v>0</v>
      </c>
    </row>
    <row r="103" spans="2:18" x14ac:dyDescent="0.25">
      <c r="B103" s="40"/>
      <c r="C103" s="41"/>
      <c r="D103" s="42"/>
      <c r="E103" s="43"/>
      <c r="F103" s="44">
        <v>33715594949</v>
      </c>
      <c r="G103" s="45" t="str">
        <f>IFERROR(IF(compras_mes8[[#This Row],[CUIT]]="","-",VLOOKUP(compras_mes8[[#This Row],[CUIT]],Lista_CUIT[#All],2,0)),"CUIT NO CARGADO")</f>
        <v>SOMOS ENERGIA SA</v>
      </c>
      <c r="H103" s="46">
        <v>51441</v>
      </c>
      <c r="I103" s="85">
        <f>IF(compras_mes8[[#This Row],[NETO GRAVADO]]="","",compras_mes8[[#This Row],[NETO GRAVADO]]*0.21)</f>
        <v>10802.609999999999</v>
      </c>
      <c r="J103" s="85"/>
      <c r="K103" s="85"/>
      <c r="L103" s="85"/>
      <c r="M103" s="85"/>
      <c r="N103" s="85"/>
      <c r="O103" s="85"/>
      <c r="P103" s="48">
        <f>SUM(compras_mes8[[#This Row],[NETO GRAVADO]:[Otros / No Grav.]])</f>
        <v>62243.61</v>
      </c>
      <c r="Q103" s="49" t="str">
        <f>IFERROR(IF(compras_mes8[[#This Row],[CUIT]]="","-",VLOOKUP(compras_mes8[[#This Row],[CUIT]],Lista_CUIT[#All],3,0)),"CUIT NO CARGADO")</f>
        <v>COMBUSTIBLE</v>
      </c>
      <c r="R103" s="49">
        <f>IFERROR(IF(compras_mes8[[#This Row],[CUIT]]="","-",VLOOKUP(compras_mes8[[#This Row],[CUIT]],Lista_CUIT[#All],4,0)),"CUIT NO CARGADO")</f>
        <v>0</v>
      </c>
    </row>
    <row r="104" spans="2:18" x14ac:dyDescent="0.25">
      <c r="B104" s="40"/>
      <c r="C104" s="41"/>
      <c r="D104" s="42"/>
      <c r="E104" s="43"/>
      <c r="F104" s="44">
        <v>30620177497</v>
      </c>
      <c r="G104" s="45" t="str">
        <f>IFERROR(IF(compras_mes8[[#This Row],[CUIT]]="","-",VLOOKUP(compras_mes8[[#This Row],[CUIT]],Lista_CUIT[#All],2,0)),"CUIT NO CARGADO")</f>
        <v>POSNET SOCIEDAD DE RESPONSABILIDAD LIMITADA</v>
      </c>
      <c r="H104" s="46">
        <v>35062.089999999997</v>
      </c>
      <c r="I104" s="85">
        <f>IF(compras_mes8[[#This Row],[NETO GRAVADO]]="","",compras_mes8[[#This Row],[NETO GRAVADO]]*0.21)</f>
        <v>7363.0388999999986</v>
      </c>
      <c r="J104" s="85"/>
      <c r="K104" s="85"/>
      <c r="L104" s="85"/>
      <c r="M104" s="85"/>
      <c r="N104" s="85"/>
      <c r="O104" s="85"/>
      <c r="P104" s="48">
        <f>SUM(compras_mes8[[#This Row],[NETO GRAVADO]:[Otros / No Grav.]])</f>
        <v>42425.128899999996</v>
      </c>
      <c r="Q104" s="49" t="str">
        <f>IFERROR(IF(compras_mes8[[#This Row],[CUIT]]="","-",VLOOKUP(compras_mes8[[#This Row],[CUIT]],Lista_CUIT[#All],3,0)),"CUIT NO CARGADO")</f>
        <v>Gastos Varios</v>
      </c>
      <c r="R104" s="49">
        <f>IFERROR(IF(compras_mes8[[#This Row],[CUIT]]="","-",VLOOKUP(compras_mes8[[#This Row],[CUIT]],Lista_CUIT[#All],4,0)),"CUIT NO CARGADO")</f>
        <v>0</v>
      </c>
    </row>
    <row r="105" spans="2:18" x14ac:dyDescent="0.25">
      <c r="B105" s="40"/>
      <c r="C105" s="41"/>
      <c r="D105" s="42"/>
      <c r="E105" s="43"/>
      <c r="F105" s="44">
        <v>33715594949</v>
      </c>
      <c r="G105" s="45" t="str">
        <f>IFERROR(IF(compras_mes8[[#This Row],[CUIT]]="","-",VLOOKUP(compras_mes8[[#This Row],[CUIT]],Lista_CUIT[#All],2,0)),"CUIT NO CARGADO")</f>
        <v>SOMOS ENERGIA SA</v>
      </c>
      <c r="H105" s="46">
        <v>52137.86</v>
      </c>
      <c r="I105" s="85">
        <f>IF(compras_mes8[[#This Row],[NETO GRAVADO]]="","",compras_mes8[[#This Row],[NETO GRAVADO]]*0.21)</f>
        <v>10948.9506</v>
      </c>
      <c r="J105" s="85"/>
      <c r="K105" s="85"/>
      <c r="L105" s="85"/>
      <c r="M105" s="85"/>
      <c r="N105" s="85"/>
      <c r="O105" s="85"/>
      <c r="P105" s="48">
        <f>SUM(compras_mes8[[#This Row],[NETO GRAVADO]:[Otros / No Grav.]])</f>
        <v>63086.810599999997</v>
      </c>
      <c r="Q105" s="49" t="str">
        <f>IFERROR(IF(compras_mes8[[#This Row],[CUIT]]="","-",VLOOKUP(compras_mes8[[#This Row],[CUIT]],Lista_CUIT[#All],3,0)),"CUIT NO CARGADO")</f>
        <v>COMBUSTIBLE</v>
      </c>
      <c r="R105" s="49">
        <f>IFERROR(IF(compras_mes8[[#This Row],[CUIT]]="","-",VLOOKUP(compras_mes8[[#This Row],[CUIT]],Lista_CUIT[#All],4,0)),"CUIT NO CARGADO")</f>
        <v>0</v>
      </c>
    </row>
    <row r="106" spans="2:18" x14ac:dyDescent="0.25">
      <c r="B106" s="40"/>
      <c r="C106" s="41"/>
      <c r="D106" s="42"/>
      <c r="E106" s="43"/>
      <c r="F106" s="44">
        <v>33715594949</v>
      </c>
      <c r="G106" s="45" t="str">
        <f>IFERROR(IF(compras_mes8[[#This Row],[CUIT]]="","-",VLOOKUP(compras_mes8[[#This Row],[CUIT]],Lista_CUIT[#All],2,0)),"CUIT NO CARGADO")</f>
        <v>SOMOS ENERGIA SA</v>
      </c>
      <c r="H106" s="46">
        <v>66699.199999999997</v>
      </c>
      <c r="I106" s="85">
        <f>IF(compras_mes8[[#This Row],[NETO GRAVADO]]="","",compras_mes8[[#This Row],[NETO GRAVADO]]*0.21)</f>
        <v>14006.831999999999</v>
      </c>
      <c r="J106" s="85"/>
      <c r="K106" s="85"/>
      <c r="L106" s="85"/>
      <c r="M106" s="85"/>
      <c r="N106" s="85"/>
      <c r="O106" s="85"/>
      <c r="P106" s="48">
        <f>SUM(compras_mes8[[#This Row],[NETO GRAVADO]:[Otros / No Grav.]])</f>
        <v>80706.031999999992</v>
      </c>
      <c r="Q106" s="49" t="str">
        <f>IFERROR(IF(compras_mes8[[#This Row],[CUIT]]="","-",VLOOKUP(compras_mes8[[#This Row],[CUIT]],Lista_CUIT[#All],3,0)),"CUIT NO CARGADO")</f>
        <v>COMBUSTIBLE</v>
      </c>
      <c r="R106" s="49">
        <f>IFERROR(IF(compras_mes8[[#This Row],[CUIT]]="","-",VLOOKUP(compras_mes8[[#This Row],[CUIT]],Lista_CUIT[#All],4,0)),"CUIT NO CARGADO")</f>
        <v>0</v>
      </c>
    </row>
    <row r="107" spans="2:18" x14ac:dyDescent="0.25">
      <c r="B107" s="40"/>
      <c r="C107" s="41"/>
      <c r="D107" s="42"/>
      <c r="E107" s="43"/>
      <c r="F107" s="44">
        <v>30705740670</v>
      </c>
      <c r="G107" s="45" t="str">
        <f>IFERROR(IF(compras_mes8[[#This Row],[CUIT]]="","-",VLOOKUP(compras_mes8[[#This Row],[CUIT]],Lista_CUIT[#All],2,0)),"CUIT NO CARGADO")</f>
        <v>MAVISUR SA</v>
      </c>
      <c r="H107" s="46">
        <v>52831.46</v>
      </c>
      <c r="I107" s="85">
        <f>IF(compras_mes8[[#This Row],[NETO GRAVADO]]="","",compras_mes8[[#This Row],[NETO GRAVADO]]*0.21)</f>
        <v>11094.606599999999</v>
      </c>
      <c r="J107" s="85"/>
      <c r="K107" s="85"/>
      <c r="L107" s="85"/>
      <c r="M107" s="85"/>
      <c r="N107" s="85"/>
      <c r="O107" s="85"/>
      <c r="P107" s="48">
        <f>SUM(compras_mes8[[#This Row],[NETO GRAVADO]:[Otros / No Grav.]])</f>
        <v>63926.066599999998</v>
      </c>
      <c r="Q107" s="49" t="str">
        <f>IFERROR(IF(compras_mes8[[#This Row],[CUIT]]="","-",VLOOKUP(compras_mes8[[#This Row],[CUIT]],Lista_CUIT[#All],3,0)),"CUIT NO CARGADO")</f>
        <v>COMBUSTIBLE</v>
      </c>
      <c r="R107" s="49">
        <f>IFERROR(IF(compras_mes8[[#This Row],[CUIT]]="","-",VLOOKUP(compras_mes8[[#This Row],[CUIT]],Lista_CUIT[#All],4,0)),"CUIT NO CARGADO")</f>
        <v>0</v>
      </c>
    </row>
    <row r="108" spans="2:18" x14ac:dyDescent="0.25">
      <c r="B108" s="40"/>
      <c r="C108" s="41"/>
      <c r="D108" s="42"/>
      <c r="E108" s="43"/>
      <c r="F108" s="44">
        <v>30574876474</v>
      </c>
      <c r="G108" s="45" t="str">
        <f>IFERROR(IF(compras_mes8[[#This Row],[CUIT]]="","-",VLOOKUP(compras_mes8[[#This Row],[CUIT]],Lista_CUIT[#All],2,0)),"CUIT NO CARGADO")</f>
        <v>AUTOP. URBANAS SA</v>
      </c>
      <c r="H108" s="46">
        <v>56766.11</v>
      </c>
      <c r="I108" s="85">
        <f>IF(compras_mes8[[#This Row],[NETO GRAVADO]]="","",compras_mes8[[#This Row],[NETO GRAVADO]]*0.21)</f>
        <v>11920.883099999999</v>
      </c>
      <c r="J108" s="85"/>
      <c r="K108" s="85"/>
      <c r="L108" s="85"/>
      <c r="M108" s="85"/>
      <c r="N108" s="85"/>
      <c r="O108" s="85"/>
      <c r="P108" s="48">
        <f>SUM(compras_mes8[[#This Row],[NETO GRAVADO]:[Otros / No Grav.]])</f>
        <v>68686.993099999992</v>
      </c>
      <c r="Q108" s="49" t="str">
        <f>IFERROR(IF(compras_mes8[[#This Row],[CUIT]]="","-",VLOOKUP(compras_mes8[[#This Row],[CUIT]],Lista_CUIT[#All],3,0)),"CUIT NO CARGADO")</f>
        <v>PEAJE</v>
      </c>
      <c r="R108" s="49">
        <f>IFERROR(IF(compras_mes8[[#This Row],[CUIT]]="","-",VLOOKUP(compras_mes8[[#This Row],[CUIT]],Lista_CUIT[#All],4,0)),"CUIT NO CARGADO")</f>
        <v>0</v>
      </c>
    </row>
    <row r="109" spans="2:18" x14ac:dyDescent="0.25">
      <c r="B109" s="40"/>
      <c r="C109" s="41"/>
      <c r="D109" s="42"/>
      <c r="E109" s="43"/>
      <c r="F109" s="44">
        <v>30708847247</v>
      </c>
      <c r="G109" s="45" t="str">
        <f>IFERROR(IF(compras_mes8[[#This Row],[CUIT]]="","-",VLOOKUP(compras_mes8[[#This Row],[CUIT]],Lista_CUIT[#All],2,0)),"CUIT NO CARGADO")</f>
        <v>TOAGRA SRL</v>
      </c>
      <c r="H109" s="46">
        <v>29534.959999999999</v>
      </c>
      <c r="I109" s="85">
        <f>IF(compras_mes8[[#This Row],[NETO GRAVADO]]="","",compras_mes8[[#This Row],[NETO GRAVADO]]*0.21)</f>
        <v>6202.3415999999997</v>
      </c>
      <c r="J109" s="85"/>
      <c r="K109" s="85"/>
      <c r="L109" s="85"/>
      <c r="M109" s="85"/>
      <c r="N109" s="85">
        <v>1181.4000000000001</v>
      </c>
      <c r="O109" s="85"/>
      <c r="P109" s="48">
        <f>SUM(compras_mes8[[#This Row],[NETO GRAVADO]:[Otros / No Grav.]])</f>
        <v>36918.7016</v>
      </c>
      <c r="Q109" s="49" t="str">
        <f>IFERROR(IF(compras_mes8[[#This Row],[CUIT]]="","-",VLOOKUP(compras_mes8[[#This Row],[CUIT]],Lista_CUIT[#All],3,0)),"CUIT NO CARGADO")</f>
        <v>FLETE</v>
      </c>
      <c r="R109" s="49">
        <f>IFERROR(IF(compras_mes8[[#This Row],[CUIT]]="","-",VLOOKUP(compras_mes8[[#This Row],[CUIT]],Lista_CUIT[#All],4,0)),"CUIT NO CARGADO")</f>
        <v>0</v>
      </c>
    </row>
    <row r="110" spans="2:18" x14ac:dyDescent="0.25">
      <c r="B110" s="40"/>
      <c r="C110" s="41"/>
      <c r="D110" s="42"/>
      <c r="E110" s="43"/>
      <c r="F110" s="44">
        <v>30708847247</v>
      </c>
      <c r="G110" s="45" t="str">
        <f>IFERROR(IF(compras_mes8[[#This Row],[CUIT]]="","-",VLOOKUP(compras_mes8[[#This Row],[CUIT]],Lista_CUIT[#All],2,0)),"CUIT NO CARGADO")</f>
        <v>TOAGRA SRL</v>
      </c>
      <c r="H110" s="46">
        <v>172707.29</v>
      </c>
      <c r="I110" s="85">
        <f>IF(compras_mes8[[#This Row],[NETO GRAVADO]]="","",compras_mes8[[#This Row],[NETO GRAVADO]]*0.21)</f>
        <v>36268.530899999998</v>
      </c>
      <c r="J110" s="85"/>
      <c r="K110" s="85"/>
      <c r="L110" s="85"/>
      <c r="M110" s="85"/>
      <c r="N110" s="85">
        <v>6908.29</v>
      </c>
      <c r="O110" s="85"/>
      <c r="P110" s="48">
        <f>SUM(compras_mes8[[#This Row],[NETO GRAVADO]:[Otros / No Grav.]])</f>
        <v>215884.1109</v>
      </c>
      <c r="Q110" s="49" t="str">
        <f>IFERROR(IF(compras_mes8[[#This Row],[CUIT]]="","-",VLOOKUP(compras_mes8[[#This Row],[CUIT]],Lista_CUIT[#All],3,0)),"CUIT NO CARGADO")</f>
        <v>FLETE</v>
      </c>
      <c r="R110" s="49">
        <f>IFERROR(IF(compras_mes8[[#This Row],[CUIT]]="","-",VLOOKUP(compras_mes8[[#This Row],[CUIT]],Lista_CUIT[#All],4,0)),"CUIT NO CARGADO")</f>
        <v>0</v>
      </c>
    </row>
    <row r="111" spans="2:18" x14ac:dyDescent="0.25">
      <c r="B111" s="40"/>
      <c r="C111" s="41"/>
      <c r="D111" s="42"/>
      <c r="E111" s="43"/>
      <c r="F111" s="44">
        <v>30714112836</v>
      </c>
      <c r="G111" s="45" t="str">
        <f>IFERROR(IF(compras_mes8[[#This Row],[CUIT]]="","-",VLOOKUP(compras_mes8[[#This Row],[CUIT]],Lista_CUIT[#All],2,0)),"CUIT NO CARGADO")</f>
        <v>AUTOPISTAS DE BUENOS AIRES (AUBASA) SA</v>
      </c>
      <c r="H111" s="46">
        <v>4153.5200000000004</v>
      </c>
      <c r="I111" s="85">
        <f>IF(compras_mes8[[#This Row],[NETO GRAVADO]]="","",compras_mes8[[#This Row],[NETO GRAVADO]]*0.21)</f>
        <v>872.2392000000001</v>
      </c>
      <c r="J111" s="85"/>
      <c r="K111" s="85"/>
      <c r="L111" s="85">
        <v>124.61</v>
      </c>
      <c r="M111" s="85"/>
      <c r="N111" s="85"/>
      <c r="O111" s="85"/>
      <c r="P111" s="48">
        <f>SUM(compras_mes8[[#This Row],[NETO GRAVADO]:[Otros / No Grav.]])</f>
        <v>5150.3692000000001</v>
      </c>
      <c r="Q111" s="49" t="str">
        <f>IFERROR(IF(compras_mes8[[#This Row],[CUIT]]="","-",VLOOKUP(compras_mes8[[#This Row],[CUIT]],Lista_CUIT[#All],3,0)),"CUIT NO CARGADO")</f>
        <v>Autopista</v>
      </c>
      <c r="R111" s="49">
        <f>IFERROR(IF(compras_mes8[[#This Row],[CUIT]]="","-",VLOOKUP(compras_mes8[[#This Row],[CUIT]],Lista_CUIT[#All],4,0)),"CUIT NO CARGADO")</f>
        <v>0</v>
      </c>
    </row>
    <row r="112" spans="2:18" x14ac:dyDescent="0.25">
      <c r="B112" s="40"/>
      <c r="C112" s="41"/>
      <c r="D112" s="42"/>
      <c r="E112" s="43"/>
      <c r="F112" s="44">
        <v>30714112836</v>
      </c>
      <c r="G112" s="45" t="str">
        <f>IFERROR(IF(compras_mes8[[#This Row],[CUIT]]="","-",VLOOKUP(compras_mes8[[#This Row],[CUIT]],Lista_CUIT[#All],2,0)),"CUIT NO CARGADO")</f>
        <v>AUTOPISTAS DE BUENOS AIRES (AUBASA) SA</v>
      </c>
      <c r="H112" s="46">
        <v>7230.2</v>
      </c>
      <c r="I112" s="85">
        <f>IF(compras_mes8[[#This Row],[NETO GRAVADO]]="","",compras_mes8[[#This Row],[NETO GRAVADO]]*0.21)</f>
        <v>1518.3419999999999</v>
      </c>
      <c r="J112" s="85"/>
      <c r="K112" s="85"/>
      <c r="L112" s="85">
        <v>216.91</v>
      </c>
      <c r="M112" s="85"/>
      <c r="N112" s="85"/>
      <c r="O112" s="85"/>
      <c r="P112" s="48">
        <f>SUM(compras_mes8[[#This Row],[NETO GRAVADO]:[Otros / No Grav.]])</f>
        <v>8965.4519999999993</v>
      </c>
      <c r="Q112" s="49" t="str">
        <f>IFERROR(IF(compras_mes8[[#This Row],[CUIT]]="","-",VLOOKUP(compras_mes8[[#This Row],[CUIT]],Lista_CUIT[#All],3,0)),"CUIT NO CARGADO")</f>
        <v>Autopista</v>
      </c>
      <c r="R112" s="49">
        <f>IFERROR(IF(compras_mes8[[#This Row],[CUIT]]="","-",VLOOKUP(compras_mes8[[#This Row],[CUIT]],Lista_CUIT[#All],4,0)),"CUIT NO CARGADO")</f>
        <v>0</v>
      </c>
    </row>
    <row r="113" spans="2:18" x14ac:dyDescent="0.25">
      <c r="B113" s="259"/>
      <c r="C113" s="41"/>
      <c r="D113" s="260"/>
      <c r="E113" s="261"/>
      <c r="F113" s="262">
        <v>30703088534</v>
      </c>
      <c r="G113" s="263" t="str">
        <f>IFERROR(IF(compras_mes8[[#This Row],[CUIT]]="","-",VLOOKUP(compras_mes8[[#This Row],[CUIT]],Lista_CUIT[#All],2,0)),"CUIT NO CARGADO")</f>
        <v>MERCADO LIBRE SRL</v>
      </c>
      <c r="H113" s="264">
        <v>135948.76</v>
      </c>
      <c r="I113" s="85">
        <f>IF(compras_mes8[[#This Row],[NETO GRAVADO]]="","",compras_mes8[[#This Row],[NETO GRAVADO]]*0.21)</f>
        <v>28549.239600000001</v>
      </c>
      <c r="J113" s="513"/>
      <c r="K113" s="513"/>
      <c r="L113" s="513">
        <v>4078.46</v>
      </c>
      <c r="M113" s="513"/>
      <c r="N113" s="513">
        <v>5437.95</v>
      </c>
      <c r="O113" s="513"/>
      <c r="P113" s="514">
        <f>SUM(compras_mes8[[#This Row],[NETO GRAVADO]:[Otros / No Grav.]])</f>
        <v>174014.40960000001</v>
      </c>
      <c r="Q113" s="515" t="str">
        <f>IFERROR(IF(compras_mes8[[#This Row],[CUIT]]="","-",VLOOKUP(compras_mes8[[#This Row],[CUIT]],Lista_CUIT[#All],3,0)),"CUIT NO CARGADO")</f>
        <v>PLATAFORMA ONLINE</v>
      </c>
      <c r="R113" s="515">
        <f>IFERROR(IF(compras_mes8[[#This Row],[CUIT]]="","-",VLOOKUP(compras_mes8[[#This Row],[CUIT]],Lista_CUIT[#All],4,0)),"CUIT NO CARGADO")</f>
        <v>0</v>
      </c>
    </row>
    <row r="114" spans="2:18" x14ac:dyDescent="0.25">
      <c r="B114" s="40"/>
      <c r="C114" s="41"/>
      <c r="D114" s="42"/>
      <c r="E114" s="43"/>
      <c r="F114" s="44">
        <v>30703088534</v>
      </c>
      <c r="G114" s="45" t="str">
        <f>IFERROR(IF(compras_mes8[[#This Row],[CUIT]]="","-",VLOOKUP(compras_mes8[[#This Row],[CUIT]],Lista_CUIT[#All],2,0)),"CUIT NO CARGADO")</f>
        <v>MERCADO LIBRE SRL</v>
      </c>
      <c r="H114" s="46">
        <v>117577.09</v>
      </c>
      <c r="I114" s="85">
        <f>IF(compras_mes8[[#This Row],[NETO GRAVADO]]="","",compras_mes8[[#This Row],[NETO GRAVADO]]*0.21)</f>
        <v>24691.188899999997</v>
      </c>
      <c r="J114" s="85"/>
      <c r="K114" s="85"/>
      <c r="L114" s="85">
        <v>3527.31</v>
      </c>
      <c r="M114" s="85"/>
      <c r="N114" s="85">
        <v>4703.08</v>
      </c>
      <c r="O114" s="85"/>
      <c r="P114" s="48">
        <f>SUM(compras_mes8[[#This Row],[NETO GRAVADO]:[Otros / No Grav.]])</f>
        <v>150498.66889999999</v>
      </c>
      <c r="Q114" s="49" t="str">
        <f>IFERROR(IF(compras_mes8[[#This Row],[CUIT]]="","-",VLOOKUP(compras_mes8[[#This Row],[CUIT]],Lista_CUIT[#All],3,0)),"CUIT NO CARGADO")</f>
        <v>PLATAFORMA ONLINE</v>
      </c>
      <c r="R114" s="49">
        <f>IFERROR(IF(compras_mes8[[#This Row],[CUIT]]="","-",VLOOKUP(compras_mes8[[#This Row],[CUIT]],Lista_CUIT[#All],4,0)),"CUIT NO CARGADO")</f>
        <v>0</v>
      </c>
    </row>
    <row r="115" spans="2:18" x14ac:dyDescent="0.25">
      <c r="B115" s="40"/>
      <c r="C115" s="41"/>
      <c r="D115" s="42"/>
      <c r="E115" s="43"/>
      <c r="F115" s="44">
        <v>30587197215</v>
      </c>
      <c r="G115" s="45" t="str">
        <f>IFERROR(IF(compras_mes8[[#This Row],[CUIT]]="","-",VLOOKUP(compras_mes8[[#This Row],[CUIT]],Lista_CUIT[#All],2,0)),"CUIT NO CARGADO")</f>
        <v>PANATEL SOCIEDAD ANONIMA</v>
      </c>
      <c r="H115" s="46">
        <v>148760.32999999999</v>
      </c>
      <c r="I115" s="85">
        <f>IF(compras_mes8[[#This Row],[NETO GRAVADO]]="","",compras_mes8[[#This Row],[NETO GRAVADO]]*0.21)</f>
        <v>31239.669299999998</v>
      </c>
      <c r="J115" s="85"/>
      <c r="K115" s="85"/>
      <c r="L115" s="85"/>
      <c r="M115" s="85"/>
      <c r="N115" s="85">
        <v>5950.41</v>
      </c>
      <c r="O115" s="85"/>
      <c r="P115" s="48">
        <f>SUM(compras_mes8[[#This Row],[NETO GRAVADO]:[Otros / No Grav.]])</f>
        <v>185950.4093</v>
      </c>
      <c r="Q115" s="49" t="str">
        <f>IFERROR(IF(compras_mes8[[#This Row],[CUIT]]="","-",VLOOKUP(compras_mes8[[#This Row],[CUIT]],Lista_CUIT[#All],3,0)),"CUIT NO CARGADO")</f>
        <v>SERVICIOS DE ALOJAMIENTO EN HOTELES</v>
      </c>
      <c r="R115" s="49">
        <f>IFERROR(IF(compras_mes8[[#This Row],[CUIT]]="","-",VLOOKUP(compras_mes8[[#This Row],[CUIT]],Lista_CUIT[#All],4,0)),"CUIT NO CARGADO")</f>
        <v>0</v>
      </c>
    </row>
    <row r="116" spans="2:18" s="56" customFormat="1" ht="18.600000000000001" customHeight="1" x14ac:dyDescent="0.25">
      <c r="B116" s="40"/>
      <c r="C116" s="41"/>
      <c r="D116" s="42"/>
      <c r="E116" s="43"/>
      <c r="F116" s="44">
        <v>30577207190</v>
      </c>
      <c r="G116" s="45" t="str">
        <f>IFERROR(IF(compras_mes8[[#This Row],[CUIT]]="","-",VLOOKUP(compras_mes8[[#This Row],[CUIT]],Lista_CUIT[#All],2,0)),"CUIT NO CARGADO")</f>
        <v>COORDINACION ECOLOGICA AREA METROPOLITANA SOCIEDAD DEL ESTADO</v>
      </c>
      <c r="H116" s="46">
        <v>2975.21</v>
      </c>
      <c r="I116" s="85">
        <f>IF(compras_mes8[[#This Row],[NETO GRAVADO]]="","",compras_mes8[[#This Row],[NETO GRAVADO]]*0.21)</f>
        <v>624.79409999999996</v>
      </c>
      <c r="J116" s="85"/>
      <c r="K116" s="85"/>
      <c r="L116" s="85"/>
      <c r="M116" s="85"/>
      <c r="N116" s="85"/>
      <c r="O116" s="85"/>
      <c r="P116" s="48">
        <f>SUM(compras_mes8[[#This Row],[NETO GRAVADO]:[Otros / No Grav.]])</f>
        <v>3600.0041000000001</v>
      </c>
      <c r="Q116" s="49" t="str">
        <f>IFERROR(IF(compras_mes8[[#This Row],[CUIT]]="","-",VLOOKUP(compras_mes8[[#This Row],[CUIT]],Lista_CUIT[#All],3,0)),"CUIT NO CARGADO")</f>
        <v>gastos varios</v>
      </c>
      <c r="R116" s="49">
        <f>IFERROR(IF(compras_mes8[[#This Row],[CUIT]]="","-",VLOOKUP(compras_mes8[[#This Row],[CUIT]],Lista_CUIT[#All],4,0)),"CUIT NO CARGADO")</f>
        <v>0</v>
      </c>
    </row>
    <row r="117" spans="2:18" x14ac:dyDescent="0.25">
      <c r="B117" s="40"/>
      <c r="C117" s="41"/>
      <c r="D117" s="42"/>
      <c r="E117" s="43"/>
      <c r="F117" s="44">
        <v>30577207190</v>
      </c>
      <c r="G117" s="45" t="str">
        <f>IFERROR(IF(compras_mes8[[#This Row],[CUIT]]="","-",VLOOKUP(compras_mes8[[#This Row],[CUIT]],Lista_CUIT[#All],2,0)),"CUIT NO CARGADO")</f>
        <v>COORDINACION ECOLOGICA AREA METROPOLITANA SOCIEDAD DEL ESTADO</v>
      </c>
      <c r="H117" s="46">
        <v>2975.21</v>
      </c>
      <c r="I117" s="85">
        <f>IF(compras_mes8[[#This Row],[NETO GRAVADO]]="","",compras_mes8[[#This Row],[NETO GRAVADO]]*0.21)</f>
        <v>624.79409999999996</v>
      </c>
      <c r="J117" s="85"/>
      <c r="K117" s="85"/>
      <c r="L117" s="85"/>
      <c r="M117" s="85"/>
      <c r="N117" s="85"/>
      <c r="O117" s="85"/>
      <c r="P117" s="48">
        <f>SUM(compras_mes8[[#This Row],[NETO GRAVADO]:[Otros / No Grav.]])</f>
        <v>3600.0041000000001</v>
      </c>
      <c r="Q117" s="49" t="str">
        <f>IFERROR(IF(compras_mes8[[#This Row],[CUIT]]="","-",VLOOKUP(compras_mes8[[#This Row],[CUIT]],Lista_CUIT[#All],3,0)),"CUIT NO CARGADO")</f>
        <v>gastos varios</v>
      </c>
      <c r="R117" s="49">
        <f>IFERROR(IF(compras_mes8[[#This Row],[CUIT]]="","-",VLOOKUP(compras_mes8[[#This Row],[CUIT]],Lista_CUIT[#All],4,0)),"CUIT NO CARGADO")</f>
        <v>0</v>
      </c>
    </row>
    <row r="118" spans="2:18" x14ac:dyDescent="0.25">
      <c r="B118" s="40"/>
      <c r="C118" s="41"/>
      <c r="D118" s="42"/>
      <c r="E118" s="43"/>
      <c r="F118" s="44">
        <v>30663498513</v>
      </c>
      <c r="G118" s="45" t="str">
        <f>IFERROR(IF(compras_mes8[[#This Row],[CUIT]]="","-",VLOOKUP(compras_mes8[[#This Row],[CUIT]],Lista_CUIT[#All],2,0)),"CUIT NO CARGADO")</f>
        <v>GRUPO CONCES. DEL OESTE SA</v>
      </c>
      <c r="H118" s="46">
        <v>1848.85</v>
      </c>
      <c r="I118" s="85">
        <f>IF(compras_mes8[[#This Row],[NETO GRAVADO]]="","",compras_mes8[[#This Row],[NETO GRAVADO]]*0.21)</f>
        <v>388.25849999999997</v>
      </c>
      <c r="J118" s="85"/>
      <c r="K118" s="85"/>
      <c r="L118" s="85"/>
      <c r="M118" s="85"/>
      <c r="N118" s="85">
        <v>73.95</v>
      </c>
      <c r="O118" s="85"/>
      <c r="P118" s="48">
        <f>SUM(compras_mes8[[#This Row],[NETO GRAVADO]:[Otros / No Grav.]])</f>
        <v>2311.0584999999996</v>
      </c>
      <c r="Q118" s="49" t="str">
        <f>IFERROR(IF(compras_mes8[[#This Row],[CUIT]]="","-",VLOOKUP(compras_mes8[[#This Row],[CUIT]],Lista_CUIT[#All],3,0)),"CUIT NO CARGADO")</f>
        <v>Autopista</v>
      </c>
      <c r="R118" s="49">
        <f>IFERROR(IF(compras_mes8[[#This Row],[CUIT]]="","-",VLOOKUP(compras_mes8[[#This Row],[CUIT]],Lista_CUIT[#All],4,0)),"CUIT NO CARGADO")</f>
        <v>0</v>
      </c>
    </row>
    <row r="119" spans="2:18" x14ac:dyDescent="0.25">
      <c r="B119" s="40"/>
      <c r="C119" s="41"/>
      <c r="D119" s="42"/>
      <c r="E119" s="43"/>
      <c r="F119" s="44">
        <v>30663498513</v>
      </c>
      <c r="G119" s="45" t="str">
        <f>IFERROR(IF(compras_mes8[[#This Row],[CUIT]]="","-",VLOOKUP(compras_mes8[[#This Row],[CUIT]],Lista_CUIT[#All],2,0)),"CUIT NO CARGADO")</f>
        <v>GRUPO CONCES. DEL OESTE SA</v>
      </c>
      <c r="H119" s="46">
        <v>4391.03</v>
      </c>
      <c r="I119" s="85">
        <f>IF(compras_mes8[[#This Row],[NETO GRAVADO]]="","",compras_mes8[[#This Row],[NETO GRAVADO]]*0.21)</f>
        <v>922.11629999999991</v>
      </c>
      <c r="J119" s="85"/>
      <c r="K119" s="85"/>
      <c r="L119" s="85"/>
      <c r="M119" s="85"/>
      <c r="N119" s="85">
        <v>175.64</v>
      </c>
      <c r="O119" s="85"/>
      <c r="P119" s="48">
        <f>SUM(compras_mes8[[#This Row],[NETO GRAVADO]:[Otros / No Grav.]])</f>
        <v>5488.7862999999998</v>
      </c>
      <c r="Q119" s="49" t="str">
        <f>IFERROR(IF(compras_mes8[[#This Row],[CUIT]]="","-",VLOOKUP(compras_mes8[[#This Row],[CUIT]],Lista_CUIT[#All],3,0)),"CUIT NO CARGADO")</f>
        <v>Autopista</v>
      </c>
      <c r="R119" s="49">
        <f>IFERROR(IF(compras_mes8[[#This Row],[CUIT]]="","-",VLOOKUP(compras_mes8[[#This Row],[CUIT]],Lista_CUIT[#All],4,0)),"CUIT NO CARGADO")</f>
        <v>0</v>
      </c>
    </row>
    <row r="120" spans="2:18" ht="14.45" customHeight="1" x14ac:dyDescent="0.25">
      <c r="B120" s="40"/>
      <c r="C120" s="41"/>
      <c r="D120" s="42"/>
      <c r="E120" s="43"/>
      <c r="F120" s="44">
        <v>30663498513</v>
      </c>
      <c r="G120" s="45" t="str">
        <f>IFERROR(IF(compras_mes8[[#This Row],[CUIT]]="","-",VLOOKUP(compras_mes8[[#This Row],[CUIT]],Lista_CUIT[#All],2,0)),"CUIT NO CARGADO")</f>
        <v>GRUPO CONCES. DEL OESTE SA</v>
      </c>
      <c r="H120" s="46">
        <v>693.33</v>
      </c>
      <c r="I120" s="85">
        <f>IF(compras_mes8[[#This Row],[NETO GRAVADO]]="","",compras_mes8[[#This Row],[NETO GRAVADO]]*0.21)</f>
        <v>145.5993</v>
      </c>
      <c r="J120" s="85"/>
      <c r="K120" s="85"/>
      <c r="L120" s="85"/>
      <c r="M120" s="85"/>
      <c r="N120" s="85">
        <v>27.73</v>
      </c>
      <c r="O120" s="85"/>
      <c r="P120" s="48">
        <f>SUM(compras_mes8[[#This Row],[NETO GRAVADO]:[Otros / No Grav.]])</f>
        <v>866.65930000000003</v>
      </c>
      <c r="Q120" s="49" t="str">
        <f>IFERROR(IF(compras_mes8[[#This Row],[CUIT]]="","-",VLOOKUP(compras_mes8[[#This Row],[CUIT]],Lista_CUIT[#All],3,0)),"CUIT NO CARGADO")</f>
        <v>Autopista</v>
      </c>
      <c r="R120" s="49">
        <f>IFERROR(IF(compras_mes8[[#This Row],[CUIT]]="","-",VLOOKUP(compras_mes8[[#This Row],[CUIT]],Lista_CUIT[#All],4,0)),"CUIT NO CARGADO")</f>
        <v>0</v>
      </c>
    </row>
    <row r="121" spans="2:18" x14ac:dyDescent="0.25">
      <c r="B121" s="40"/>
      <c r="C121" s="41"/>
      <c r="D121" s="42"/>
      <c r="E121" s="43"/>
      <c r="F121" s="44">
        <v>30677237119</v>
      </c>
      <c r="G121" s="45" t="str">
        <f>IFERROR(IF(compras_mes8[[#This Row],[CUIT]]="","-",VLOOKUP(compras_mes8[[#This Row],[CUIT]],Lista_CUIT[#All],2,0)),"CUIT NO CARGADO")</f>
        <v>AUTOPISTAS DEL SOL SA</v>
      </c>
      <c r="H121" s="46">
        <v>4506.6000000000004</v>
      </c>
      <c r="I121" s="85">
        <f>IF(compras_mes8[[#This Row],[NETO GRAVADO]]="","",compras_mes8[[#This Row],[NETO GRAVADO]]*0.21)</f>
        <v>946.38600000000008</v>
      </c>
      <c r="J121" s="85"/>
      <c r="K121" s="85"/>
      <c r="L121" s="85">
        <v>135.19999999999999</v>
      </c>
      <c r="M121" s="85"/>
      <c r="N121" s="85">
        <v>180.26</v>
      </c>
      <c r="O121" s="85"/>
      <c r="P121" s="48">
        <f>SUM(compras_mes8[[#This Row],[NETO GRAVADO]:[Otros / No Grav.]])</f>
        <v>5768.4460000000008</v>
      </c>
      <c r="Q121" s="49" t="str">
        <f>IFERROR(IF(compras_mes8[[#This Row],[CUIT]]="","-",VLOOKUP(compras_mes8[[#This Row],[CUIT]],Lista_CUIT[#All],3,0)),"CUIT NO CARGADO")</f>
        <v>Autopista</v>
      </c>
      <c r="R121" s="49">
        <f>IFERROR(IF(compras_mes8[[#This Row],[CUIT]]="","-",VLOOKUP(compras_mes8[[#This Row],[CUIT]],Lista_CUIT[#All],4,0)),"CUIT NO CARGADO")</f>
        <v>0</v>
      </c>
    </row>
    <row r="122" spans="2:18" x14ac:dyDescent="0.25">
      <c r="B122" s="40"/>
      <c r="C122" s="41"/>
      <c r="D122" s="42"/>
      <c r="E122" s="43"/>
      <c r="F122" s="44">
        <v>30677237119</v>
      </c>
      <c r="G122" s="45" t="str">
        <f>IFERROR(IF(compras_mes8[[#This Row],[CUIT]]="","-",VLOOKUP(compras_mes8[[#This Row],[CUIT]],Lista_CUIT[#All],2,0)),"CUIT NO CARGADO")</f>
        <v>AUTOPISTAS DEL SOL SA</v>
      </c>
      <c r="H122" s="46">
        <v>1155.52</v>
      </c>
      <c r="I122" s="85">
        <f>IF(compras_mes8[[#This Row],[NETO GRAVADO]]="","",compras_mes8[[#This Row],[NETO GRAVADO]]*0.21)</f>
        <v>242.6592</v>
      </c>
      <c r="J122" s="85"/>
      <c r="K122" s="85"/>
      <c r="L122" s="85"/>
      <c r="M122" s="85"/>
      <c r="N122" s="85">
        <v>46.22</v>
      </c>
      <c r="O122" s="85"/>
      <c r="P122" s="48">
        <f>SUM(compras_mes8[[#This Row],[NETO GRAVADO]:[Otros / No Grav.]])</f>
        <v>1444.3992000000001</v>
      </c>
      <c r="Q122" s="49" t="str">
        <f>IFERROR(IF(compras_mes8[[#This Row],[CUIT]]="","-",VLOOKUP(compras_mes8[[#This Row],[CUIT]],Lista_CUIT[#All],3,0)),"CUIT NO CARGADO")</f>
        <v>Autopista</v>
      </c>
      <c r="R122" s="49">
        <f>IFERROR(IF(compras_mes8[[#This Row],[CUIT]]="","-",VLOOKUP(compras_mes8[[#This Row],[CUIT]],Lista_CUIT[#All],4,0)),"CUIT NO CARGADO")</f>
        <v>0</v>
      </c>
    </row>
    <row r="123" spans="2:18" ht="14.45" customHeight="1" x14ac:dyDescent="0.25">
      <c r="B123" s="40"/>
      <c r="C123" s="41"/>
      <c r="D123" s="42"/>
      <c r="E123" s="43"/>
      <c r="F123" s="44">
        <v>30677237119</v>
      </c>
      <c r="G123" s="45" t="str">
        <f>IFERROR(IF(compras_mes8[[#This Row],[CUIT]]="","-",VLOOKUP(compras_mes8[[#This Row],[CUIT]],Lista_CUIT[#All],2,0)),"CUIT NO CARGADO")</f>
        <v>AUTOPISTAS DEL SOL SA</v>
      </c>
      <c r="H123" s="46">
        <v>4737.6499999999996</v>
      </c>
      <c r="I123" s="85">
        <f>IF(compras_mes8[[#This Row],[NETO GRAVADO]]="","",compras_mes8[[#This Row],[NETO GRAVADO]]*0.21)</f>
        <v>994.90649999999994</v>
      </c>
      <c r="J123" s="85"/>
      <c r="K123" s="85"/>
      <c r="L123" s="85">
        <v>142.13</v>
      </c>
      <c r="M123" s="85"/>
      <c r="N123" s="85">
        <v>189.51</v>
      </c>
      <c r="O123" s="85"/>
      <c r="P123" s="48">
        <f>SUM(compras_mes8[[#This Row],[NETO GRAVADO]:[Otros / No Grav.]])</f>
        <v>6064.1965</v>
      </c>
      <c r="Q123" s="49" t="str">
        <f>IFERROR(IF(compras_mes8[[#This Row],[CUIT]]="","-",VLOOKUP(compras_mes8[[#This Row],[CUIT]],Lista_CUIT[#All],3,0)),"CUIT NO CARGADO")</f>
        <v>Autopista</v>
      </c>
      <c r="R123" s="49">
        <f>IFERROR(IF(compras_mes8[[#This Row],[CUIT]]="","-",VLOOKUP(compras_mes8[[#This Row],[CUIT]],Lista_CUIT[#All],4,0)),"CUIT NO CARGADO")</f>
        <v>0</v>
      </c>
    </row>
    <row r="124" spans="2:18" ht="14.45" customHeight="1" x14ac:dyDescent="0.25">
      <c r="B124" s="40"/>
      <c r="C124" s="41"/>
      <c r="D124" s="42"/>
      <c r="E124" s="43"/>
      <c r="F124" s="44">
        <v>30516186670</v>
      </c>
      <c r="G124" s="45" t="str">
        <f>IFERROR(IF(compras_mes8[[#This Row],[CUIT]]="","-",VLOOKUP(compras_mes8[[#This Row],[CUIT]],Lista_CUIT[#All],2,0)),"CUIT NO CARGADO")</f>
        <v>DEHEZA SAICF E I</v>
      </c>
      <c r="H124" s="46">
        <v>123598.75</v>
      </c>
      <c r="I124" s="85">
        <f>IF(compras_mes8[[#This Row],[NETO GRAVADO]]="","",compras_mes8[[#This Row],[NETO GRAVADO]]*0.21)</f>
        <v>25955.737499999999</v>
      </c>
      <c r="J124" s="85"/>
      <c r="K124" s="85"/>
      <c r="L124" s="85">
        <v>3707.96</v>
      </c>
      <c r="M124" s="85"/>
      <c r="N124" s="85">
        <v>5408.77</v>
      </c>
      <c r="O124" s="85"/>
      <c r="P124" s="48">
        <f>SUM(compras_mes8[[#This Row],[NETO GRAVADO]:[Otros / No Grav.]])</f>
        <v>158671.21749999997</v>
      </c>
      <c r="Q124" s="49" t="str">
        <f>IFERROR(IF(compras_mes8[[#This Row],[CUIT]]="","-",VLOOKUP(compras_mes8[[#This Row],[CUIT]],Lista_CUIT[#All],3,0)),"CUIT NO CARGADO")</f>
        <v>COMBUSTIBLE</v>
      </c>
      <c r="R124" s="49">
        <f>IFERROR(IF(compras_mes8[[#This Row],[CUIT]]="","-",VLOOKUP(compras_mes8[[#This Row],[CUIT]],Lista_CUIT[#All],4,0)),"CUIT NO CARGADO")</f>
        <v>0</v>
      </c>
    </row>
    <row r="125" spans="2:18" ht="15" customHeight="1" x14ac:dyDescent="0.25">
      <c r="B125" s="40"/>
      <c r="C125" s="41"/>
      <c r="D125" s="42"/>
      <c r="E125" s="43"/>
      <c r="F125" s="44">
        <v>30516186670</v>
      </c>
      <c r="G125" s="45" t="str">
        <f>IFERROR(IF(compras_mes8[[#This Row],[CUIT]]="","-",VLOOKUP(compras_mes8[[#This Row],[CUIT]],Lista_CUIT[#All],2,0)),"CUIT NO CARGADO")</f>
        <v>DEHEZA SAICF E I</v>
      </c>
      <c r="H125" s="46">
        <v>45046.68</v>
      </c>
      <c r="I125" s="85">
        <f>IF(compras_mes8[[#This Row],[NETO GRAVADO]]="","",compras_mes8[[#This Row],[NETO GRAVADO]]*0.21)</f>
        <v>9459.8027999999995</v>
      </c>
      <c r="J125" s="85"/>
      <c r="K125" s="85"/>
      <c r="L125" s="85"/>
      <c r="M125" s="85"/>
      <c r="N125" s="85"/>
      <c r="O125" s="85"/>
      <c r="P125" s="48">
        <f>SUM(compras_mes8[[#This Row],[NETO GRAVADO]:[Otros / No Grav.]])</f>
        <v>54506.482799999998</v>
      </c>
      <c r="Q125" s="49" t="str">
        <f>IFERROR(IF(compras_mes8[[#This Row],[CUIT]]="","-",VLOOKUP(compras_mes8[[#This Row],[CUIT]],Lista_CUIT[#All],3,0)),"CUIT NO CARGADO")</f>
        <v>COMBUSTIBLE</v>
      </c>
      <c r="R125" s="49">
        <f>IFERROR(IF(compras_mes8[[#This Row],[CUIT]]="","-",VLOOKUP(compras_mes8[[#This Row],[CUIT]],Lista_CUIT[#All],4,0)),"CUIT NO CARGADO")</f>
        <v>0</v>
      </c>
    </row>
    <row r="126" spans="2:18" ht="15" customHeight="1" x14ac:dyDescent="0.25">
      <c r="B126" s="40"/>
      <c r="C126" s="41"/>
      <c r="D126" s="42"/>
      <c r="E126" s="43"/>
      <c r="F126" s="44">
        <v>30516186670</v>
      </c>
      <c r="G126" s="45" t="str">
        <f>IFERROR(IF(compras_mes8[[#This Row],[CUIT]]="","-",VLOOKUP(compras_mes8[[#This Row],[CUIT]],Lista_CUIT[#All],2,0)),"CUIT NO CARGADO")</f>
        <v>DEHEZA SAICF E I</v>
      </c>
      <c r="H126" s="46">
        <v>47692.56</v>
      </c>
      <c r="I126" s="85">
        <f>IF(compras_mes8[[#This Row],[NETO GRAVADO]]="","",compras_mes8[[#This Row],[NETO GRAVADO]]*0.21)</f>
        <v>10015.437599999999</v>
      </c>
      <c r="J126" s="85"/>
      <c r="K126" s="85"/>
      <c r="L126" s="85">
        <v>1430.78</v>
      </c>
      <c r="M126" s="85"/>
      <c r="N126" s="85">
        <v>1907.7</v>
      </c>
      <c r="O126" s="85"/>
      <c r="P126" s="48">
        <f>SUM(compras_mes8[[#This Row],[NETO GRAVADO]:[Otros / No Grav.]])</f>
        <v>61046.477599999991</v>
      </c>
      <c r="Q126" s="49" t="str">
        <f>IFERROR(IF(compras_mes8[[#This Row],[CUIT]]="","-",VLOOKUP(compras_mes8[[#This Row],[CUIT]],Lista_CUIT[#All],3,0)),"CUIT NO CARGADO")</f>
        <v>COMBUSTIBLE</v>
      </c>
      <c r="R126" s="49">
        <f>IFERROR(IF(compras_mes8[[#This Row],[CUIT]]="","-",VLOOKUP(compras_mes8[[#This Row],[CUIT]],Lista_CUIT[#All],4,0)),"CUIT NO CARGADO")</f>
        <v>0</v>
      </c>
    </row>
    <row r="127" spans="2:18" ht="15" customHeight="1" x14ac:dyDescent="0.25">
      <c r="B127" s="40"/>
      <c r="C127" s="41"/>
      <c r="D127" s="42"/>
      <c r="E127" s="43"/>
      <c r="F127" s="44">
        <v>30678814357</v>
      </c>
      <c r="G127" s="45" t="str">
        <f>IFERROR(IF(compras_mes8[[#This Row],[CUIT]]="","-",VLOOKUP(compras_mes8[[#This Row],[CUIT]],Lista_CUIT[#All],2,0)),"CUIT NO CARGADO")</f>
        <v>TELEFONICA MOVILES ARG SA</v>
      </c>
      <c r="H127" s="46">
        <v>100950.92</v>
      </c>
      <c r="I127" s="85"/>
      <c r="J127" s="85">
        <f>compras_mes8[[#This Row],[NETO GRAVADO]]*0.27</f>
        <v>27256.7484</v>
      </c>
      <c r="K127" s="85"/>
      <c r="L127" s="85">
        <v>3028.53</v>
      </c>
      <c r="M127" s="85"/>
      <c r="N127" s="85">
        <v>4244.25</v>
      </c>
      <c r="O127" s="85"/>
      <c r="P127" s="48">
        <f>SUM(compras_mes8[[#This Row],[NETO GRAVADO]:[Otros / No Grav.]])</f>
        <v>135480.44839999999</v>
      </c>
      <c r="Q127" s="49" t="str">
        <f>IFERROR(IF(compras_mes8[[#This Row],[CUIT]]="","-",VLOOKUP(compras_mes8[[#This Row],[CUIT]],Lista_CUIT[#All],3,0)),"CUIT NO CARGADO")</f>
        <v>SERVICIO</v>
      </c>
      <c r="R127" s="49">
        <f>IFERROR(IF(compras_mes8[[#This Row],[CUIT]]="","-",VLOOKUP(compras_mes8[[#This Row],[CUIT]],Lista_CUIT[#All],4,0)),"CUIT NO CARGADO")</f>
        <v>0</v>
      </c>
    </row>
    <row r="128" spans="2:18" ht="15" customHeight="1" x14ac:dyDescent="0.25">
      <c r="B128" s="40"/>
      <c r="C128" s="41"/>
      <c r="D128" s="42"/>
      <c r="E128" s="43"/>
      <c r="F128" s="44">
        <v>30678814357</v>
      </c>
      <c r="G128" s="45" t="str">
        <f>IFERROR(IF(compras_mes8[[#This Row],[CUIT]]="","-",VLOOKUP(compras_mes8[[#This Row],[CUIT]],Lista_CUIT[#All],2,0)),"CUIT NO CARGADO")</f>
        <v>TELEFONICA MOVILES ARG SA</v>
      </c>
      <c r="H128" s="46">
        <v>115435.76</v>
      </c>
      <c r="I128" s="85"/>
      <c r="J128" s="85">
        <f>compras_mes8[[#This Row],[NETO GRAVADO]]*0.27</f>
        <v>31167.655200000001</v>
      </c>
      <c r="K128" s="85"/>
      <c r="L128" s="85">
        <v>3463.07</v>
      </c>
      <c r="M128" s="85"/>
      <c r="N128" s="85">
        <v>4617.43</v>
      </c>
      <c r="O128" s="85"/>
      <c r="P128" s="48">
        <f>SUM(compras_mes8[[#This Row],[NETO GRAVADO]:[Otros / No Grav.]])</f>
        <v>154683.91519999999</v>
      </c>
      <c r="Q128" s="49" t="str">
        <f>IFERROR(IF(compras_mes8[[#This Row],[CUIT]]="","-",VLOOKUP(compras_mes8[[#This Row],[CUIT]],Lista_CUIT[#All],3,0)),"CUIT NO CARGADO")</f>
        <v>SERVICIO</v>
      </c>
      <c r="R128" s="49">
        <f>IFERROR(IF(compras_mes8[[#This Row],[CUIT]]="","-",VLOOKUP(compras_mes8[[#This Row],[CUIT]],Lista_CUIT[#All],4,0)),"CUIT NO CARGADO")</f>
        <v>0</v>
      </c>
    </row>
    <row r="129" spans="2:18" ht="15" customHeight="1" x14ac:dyDescent="0.25">
      <c r="B129" s="40"/>
      <c r="C129" s="41"/>
      <c r="D129" s="42"/>
      <c r="E129" s="43"/>
      <c r="F129" s="44">
        <v>30639453738</v>
      </c>
      <c r="G129" s="45" t="str">
        <f>IFERROR(IF(compras_mes8[[#This Row],[CUIT]]="","-",VLOOKUP(compras_mes8[[#This Row],[CUIT]],Lista_CUIT[#All],2,0)),"CUIT NO CARGADO")</f>
        <v>TELECOM ARGENTINA SA</v>
      </c>
      <c r="H129" s="46">
        <v>49738.01</v>
      </c>
      <c r="I129" s="85">
        <f>IF(compras_mes8[[#This Row],[NETO GRAVADO]]="","",compras_mes8[[#This Row],[NETO GRAVADO]]*0.21)</f>
        <v>10444.982099999999</v>
      </c>
      <c r="J129" s="85"/>
      <c r="K129" s="85"/>
      <c r="L129" s="85">
        <v>1492.14</v>
      </c>
      <c r="M129" s="85"/>
      <c r="N129" s="85">
        <v>1989.52</v>
      </c>
      <c r="O129" s="85"/>
      <c r="P129" s="48">
        <f>SUM(compras_mes8[[#This Row],[NETO GRAVADO]:[Otros / No Grav.]])</f>
        <v>63664.652099999999</v>
      </c>
      <c r="Q129" s="49" t="str">
        <f>IFERROR(IF(compras_mes8[[#This Row],[CUIT]]="","-",VLOOKUP(compras_mes8[[#This Row],[CUIT]],Lista_CUIT[#All],3,0)),"CUIT NO CARGADO")</f>
        <v>SERVICIO</v>
      </c>
      <c r="R129" s="49">
        <f>IFERROR(IF(compras_mes8[[#This Row],[CUIT]]="","-",VLOOKUP(compras_mes8[[#This Row],[CUIT]],Lista_CUIT[#All],4,0)),"CUIT NO CARGADO")</f>
        <v>0</v>
      </c>
    </row>
    <row r="130" spans="2:18" x14ac:dyDescent="0.25">
      <c r="B130" s="40"/>
      <c r="C130" s="41"/>
      <c r="D130" s="42"/>
      <c r="E130" s="43"/>
      <c r="F130" s="44">
        <v>30574876474</v>
      </c>
      <c r="G130" s="45" t="str">
        <f>IFERROR(IF(compras_mes8[[#This Row],[CUIT]]="","-",VLOOKUP(compras_mes8[[#This Row],[CUIT]],Lista_CUIT[#All],2,0)),"CUIT NO CARGADO")</f>
        <v>AUTOP. URBANAS SA</v>
      </c>
      <c r="H130" s="46">
        <v>86838.05</v>
      </c>
      <c r="I130" s="85">
        <f>IF(compras_mes8[[#This Row],[NETO GRAVADO]]="","",compras_mes8[[#This Row],[NETO GRAVADO]]*0.21)</f>
        <v>18235.9905</v>
      </c>
      <c r="J130" s="85"/>
      <c r="K130" s="85"/>
      <c r="L130" s="85"/>
      <c r="M130" s="85"/>
      <c r="N130" s="85"/>
      <c r="O130" s="85"/>
      <c r="P130" s="48">
        <f>SUM(compras_mes8[[#This Row],[NETO GRAVADO]:[Otros / No Grav.]])</f>
        <v>105074.0405</v>
      </c>
      <c r="Q130" s="49" t="str">
        <f>IFERROR(IF(compras_mes8[[#This Row],[CUIT]]="","-",VLOOKUP(compras_mes8[[#This Row],[CUIT]],Lista_CUIT[#All],3,0)),"CUIT NO CARGADO")</f>
        <v>PEAJE</v>
      </c>
      <c r="R130" s="49">
        <f>IFERROR(IF(compras_mes8[[#This Row],[CUIT]]="","-",VLOOKUP(compras_mes8[[#This Row],[CUIT]],Lista_CUIT[#All],4,0)),"CUIT NO CARGADO")</f>
        <v>0</v>
      </c>
    </row>
    <row r="131" spans="2:18" x14ac:dyDescent="0.25">
      <c r="B131" s="40"/>
      <c r="C131" s="41"/>
      <c r="D131" s="42"/>
      <c r="E131" s="43"/>
      <c r="F131" s="44">
        <v>30714864269</v>
      </c>
      <c r="G131" s="45" t="str">
        <f>IFERROR(IF(compras_mes8[[#This Row],[CUIT]]="","-",VLOOKUP(compras_mes8[[#This Row],[CUIT]],Lista_CUIT[#All],2,0)),"CUIT NO CARGADO")</f>
        <v>CONTABILIUM S.A. S. A.</v>
      </c>
      <c r="H131" s="46">
        <v>-184800</v>
      </c>
      <c r="I131" s="85">
        <f>IF(compras_mes8[[#This Row],[NETO GRAVADO]]="","",compras_mes8[[#This Row],[NETO GRAVADO]]*0.21)</f>
        <v>-38808</v>
      </c>
      <c r="J131" s="85"/>
      <c r="K131" s="85"/>
      <c r="L131" s="85"/>
      <c r="M131" s="85"/>
      <c r="N131" s="85"/>
      <c r="O131" s="85"/>
      <c r="P131" s="48">
        <f>SUM(compras_mes8[[#This Row],[NETO GRAVADO]:[Otros / No Grav.]])</f>
        <v>-223608</v>
      </c>
      <c r="Q131" s="49" t="str">
        <f>IFERROR(IF(compras_mes8[[#This Row],[CUIT]]="","-",VLOOKUP(compras_mes8[[#This Row],[CUIT]],Lista_CUIT[#All],3,0)),"CUIT NO CARGADO")</f>
        <v>USUARIO CONTABLE</v>
      </c>
      <c r="R131" s="49">
        <f>IFERROR(IF(compras_mes8[[#This Row],[CUIT]]="","-",VLOOKUP(compras_mes8[[#This Row],[CUIT]],Lista_CUIT[#All],4,0)),"CUIT NO CARGADO")</f>
        <v>0</v>
      </c>
    </row>
    <row r="132" spans="2:18" x14ac:dyDescent="0.25">
      <c r="B132" s="40"/>
      <c r="C132" s="41"/>
      <c r="D132" s="42"/>
      <c r="E132" s="43"/>
      <c r="F132" s="44">
        <v>30703088534</v>
      </c>
      <c r="G132" s="45" t="str">
        <f>IFERROR(IF(compras_mes8[[#This Row],[CUIT]]="","-",VLOOKUP(compras_mes8[[#This Row],[CUIT]],Lista_CUIT[#All],2,0)),"CUIT NO CARGADO")</f>
        <v>MERCADO LIBRE SRL</v>
      </c>
      <c r="H132" s="46">
        <v>-1219.83</v>
      </c>
      <c r="I132" s="85">
        <f>IF(compras_mes8[[#This Row],[NETO GRAVADO]]="","",compras_mes8[[#This Row],[NETO GRAVADO]]*0.21)</f>
        <v>-256.16429999999997</v>
      </c>
      <c r="J132" s="85"/>
      <c r="K132" s="85"/>
      <c r="L132" s="85">
        <v>-36.590000000000003</v>
      </c>
      <c r="M132" s="85"/>
      <c r="N132" s="85"/>
      <c r="O132" s="85"/>
      <c r="P132" s="48">
        <f>SUM(compras_mes8[[#This Row],[NETO GRAVADO]:[Otros / No Grav.]])</f>
        <v>-1512.5842999999998</v>
      </c>
      <c r="Q132" s="49" t="str">
        <f>IFERROR(IF(compras_mes8[[#This Row],[CUIT]]="","-",VLOOKUP(compras_mes8[[#This Row],[CUIT]],Lista_CUIT[#All],3,0)),"CUIT NO CARGADO")</f>
        <v>PLATAFORMA ONLINE</v>
      </c>
      <c r="R132" s="49">
        <f>IFERROR(IF(compras_mes8[[#This Row],[CUIT]]="","-",VLOOKUP(compras_mes8[[#This Row],[CUIT]],Lista_CUIT[#All],4,0)),"CUIT NO CARGADO")</f>
        <v>0</v>
      </c>
    </row>
    <row r="133" spans="2:18" x14ac:dyDescent="0.25">
      <c r="B133" s="40"/>
      <c r="C133" s="41"/>
      <c r="D133" s="42"/>
      <c r="E133" s="43"/>
      <c r="F133" s="44">
        <v>30678814357</v>
      </c>
      <c r="G133" s="45" t="str">
        <f>IFERROR(IF(compras_mes8[[#This Row],[CUIT]]="","-",VLOOKUP(compras_mes8[[#This Row],[CUIT]],Lista_CUIT[#All],2,0)),"CUIT NO CARGADO")</f>
        <v>TELEFONICA MOVILES ARG SA</v>
      </c>
      <c r="H133" s="46">
        <v>-21534.55</v>
      </c>
      <c r="I133" s="85"/>
      <c r="J133" s="85">
        <f>compras_mes8[[#This Row],[NETO GRAVADO]]*0.27</f>
        <v>-5814.3285000000005</v>
      </c>
      <c r="K133" s="85"/>
      <c r="L133" s="85"/>
      <c r="M133" s="85"/>
      <c r="N133" s="85"/>
      <c r="O133" s="85"/>
      <c r="P133" s="48">
        <f>SUM(compras_mes8[[#This Row],[NETO GRAVADO]:[Otros / No Grav.]])</f>
        <v>-27348.878499999999</v>
      </c>
      <c r="Q133" s="49" t="str">
        <f>IFERROR(IF(compras_mes8[[#This Row],[CUIT]]="","-",VLOOKUP(compras_mes8[[#This Row],[CUIT]],Lista_CUIT[#All],3,0)),"CUIT NO CARGADO")</f>
        <v>SERVICIO</v>
      </c>
      <c r="R133" s="49">
        <f>IFERROR(IF(compras_mes8[[#This Row],[CUIT]]="","-",VLOOKUP(compras_mes8[[#This Row],[CUIT]],Lista_CUIT[#All],4,0)),"CUIT NO CARGADO")</f>
        <v>0</v>
      </c>
    </row>
    <row r="134" spans="2:18" x14ac:dyDescent="0.25">
      <c r="B134" s="40"/>
      <c r="C134" s="41"/>
      <c r="D134" s="42"/>
      <c r="E134" s="43"/>
      <c r="F134" s="44">
        <v>30678814357</v>
      </c>
      <c r="G134" s="45" t="str">
        <f>IFERROR(IF(compras_mes8[[#This Row],[CUIT]]="","-",VLOOKUP(compras_mes8[[#This Row],[CUIT]],Lista_CUIT[#All],2,0)),"CUIT NO CARGADO")</f>
        <v>TELEFONICA MOVILES ARG SA</v>
      </c>
      <c r="H134" s="46">
        <v>-35890.92</v>
      </c>
      <c r="I134" s="85"/>
      <c r="J134" s="85">
        <f>compras_mes8[[#This Row],[NETO GRAVADO]]*0.27</f>
        <v>-9690.5483999999997</v>
      </c>
      <c r="K134" s="85"/>
      <c r="L134" s="85"/>
      <c r="M134" s="85"/>
      <c r="N134" s="85"/>
      <c r="O134" s="85"/>
      <c r="P134" s="48">
        <f>SUM(compras_mes8[[#This Row],[NETO GRAVADO]:[Otros / No Grav.]])</f>
        <v>-45581.468399999998</v>
      </c>
      <c r="Q134" s="49" t="str">
        <f>IFERROR(IF(compras_mes8[[#This Row],[CUIT]]="","-",VLOOKUP(compras_mes8[[#This Row],[CUIT]],Lista_CUIT[#All],3,0)),"CUIT NO CARGADO")</f>
        <v>SERVICIO</v>
      </c>
      <c r="R134" s="49">
        <f>IFERROR(IF(compras_mes8[[#This Row],[CUIT]]="","-",VLOOKUP(compras_mes8[[#This Row],[CUIT]],Lista_CUIT[#All],4,0)),"CUIT NO CARGADO")</f>
        <v>0</v>
      </c>
    </row>
    <row r="135" spans="2:18" x14ac:dyDescent="0.25">
      <c r="B135" s="40"/>
      <c r="C135" s="516"/>
      <c r="D135" s="517"/>
      <c r="E135" s="518"/>
      <c r="F135" s="519">
        <v>30678814357</v>
      </c>
      <c r="G135" s="520" t="str">
        <f>IFERROR(IF(compras_mes8[[#This Row],[CUIT]]="","-",VLOOKUP(compras_mes8[[#This Row],[CUIT]],Lista_CUIT[#All],2,0)),"CUIT NO CARGADO")</f>
        <v>TELEFONICA MOVILES ARG SA</v>
      </c>
      <c r="H135" s="521">
        <v>-34506.97</v>
      </c>
      <c r="I135" s="85"/>
      <c r="J135" s="85">
        <f>compras_mes8[[#This Row],[NETO GRAVADO]]*0.27</f>
        <v>-9316.8819000000003</v>
      </c>
      <c r="K135" s="522"/>
      <c r="L135" s="522"/>
      <c r="M135" s="522"/>
      <c r="N135" s="522"/>
      <c r="O135" s="522"/>
      <c r="P135" s="523">
        <f>SUM(compras_mes8[[#This Row],[NETO GRAVADO]:[Otros / No Grav.]])</f>
        <v>-43823.851900000001</v>
      </c>
      <c r="Q135" s="524" t="str">
        <f>IFERROR(IF(compras_mes8[[#This Row],[CUIT]]="","-",VLOOKUP(compras_mes8[[#This Row],[CUIT]],Lista_CUIT[#All],3,0)),"CUIT NO CARGADO")</f>
        <v>SERVICIO</v>
      </c>
      <c r="R135" s="524">
        <f>IFERROR(IF(compras_mes8[[#This Row],[CUIT]]="","-",VLOOKUP(compras_mes8[[#This Row],[CUIT]],Lista_CUIT[#All],4,0)),"CUIT NO CARGADO")</f>
        <v>0</v>
      </c>
    </row>
    <row r="136" spans="2:18" x14ac:dyDescent="0.25">
      <c r="B136" s="40"/>
      <c r="C136" s="41"/>
      <c r="D136" s="42"/>
      <c r="E136" s="43"/>
      <c r="F136" s="44">
        <v>30678814357</v>
      </c>
      <c r="G136" s="45" t="str">
        <f>IFERROR(IF(compras_mes8[[#This Row],[CUIT]]="","-",VLOOKUP(compras_mes8[[#This Row],[CUIT]],Lista_CUIT[#All],2,0)),"CUIT NO CARGADO")</f>
        <v>TELEFONICA MOVILES ARG SA</v>
      </c>
      <c r="H136" s="46">
        <v>-9018.48</v>
      </c>
      <c r="I136" s="85"/>
      <c r="J136" s="85">
        <f>compras_mes8[[#This Row],[NETO GRAVADO]]*0.27</f>
        <v>-2434.9895999999999</v>
      </c>
      <c r="K136" s="85"/>
      <c r="L136" s="85"/>
      <c r="M136" s="85"/>
      <c r="N136" s="85"/>
      <c r="O136" s="85"/>
      <c r="P136" s="48">
        <f>SUM(compras_mes8[[#This Row],[NETO GRAVADO]:[Otros / No Grav.]])</f>
        <v>-11453.4696</v>
      </c>
      <c r="Q136" s="49" t="str">
        <f>IFERROR(IF(compras_mes8[[#This Row],[CUIT]]="","-",VLOOKUP(compras_mes8[[#This Row],[CUIT]],Lista_CUIT[#All],3,0)),"CUIT NO CARGADO")</f>
        <v>SERVICIO</v>
      </c>
      <c r="R136" s="49">
        <f>IFERROR(IF(compras_mes8[[#This Row],[CUIT]]="","-",VLOOKUP(compras_mes8[[#This Row],[CUIT]],Lista_CUIT[#All],4,0)),"CUIT NO CARGADO")</f>
        <v>0</v>
      </c>
    </row>
    <row r="137" spans="2:18" x14ac:dyDescent="0.25">
      <c r="B137" s="40"/>
      <c r="C137" s="41"/>
      <c r="D137" s="42"/>
      <c r="E137" s="43"/>
      <c r="F137" s="44">
        <v>27051553573</v>
      </c>
      <c r="G137" s="45" t="str">
        <f>IFERROR(IF(compras_mes8[[#This Row],[CUIT]]="","-",VLOOKUP(compras_mes8[[#This Row],[CUIT]],Lista_CUIT[#All],2,0)),"CUIT NO CARGADO")</f>
        <v>BONET SARA MARIA</v>
      </c>
      <c r="H137" s="46">
        <v>27232.84</v>
      </c>
      <c r="I137" s="85">
        <f>IF(compras_mes8[[#This Row],[NETO GRAVADO]]="","",compras_mes8[[#This Row],[NETO GRAVADO]]*0.21)</f>
        <v>5718.8963999999996</v>
      </c>
      <c r="J137" s="85"/>
      <c r="K137" s="85"/>
      <c r="L137" s="85"/>
      <c r="M137" s="85"/>
      <c r="N137" s="85"/>
      <c r="O137" s="85"/>
      <c r="P137" s="48">
        <f>SUM(compras_mes8[[#This Row],[NETO GRAVADO]:[Otros / No Grav.]])</f>
        <v>32951.736400000002</v>
      </c>
      <c r="Q137" s="49" t="str">
        <f>IFERROR(IF(compras_mes8[[#This Row],[CUIT]]="","-",VLOOKUP(compras_mes8[[#This Row],[CUIT]],Lista_CUIT[#All],3,0)),"CUIT NO CARGADO")</f>
        <v>Insumos</v>
      </c>
      <c r="R137" s="49">
        <f>IFERROR(IF(compras_mes8[[#This Row],[CUIT]]="","-",VLOOKUP(compras_mes8[[#This Row],[CUIT]],Lista_CUIT[#All],4,0)),"CUIT NO CARGADO")</f>
        <v>0</v>
      </c>
    </row>
    <row r="138" spans="2:18" x14ac:dyDescent="0.25">
      <c r="B138" s="40"/>
      <c r="C138" s="41"/>
      <c r="D138" s="42"/>
      <c r="E138" s="43"/>
      <c r="F138" s="44">
        <v>27051553573</v>
      </c>
      <c r="G138" s="45" t="str">
        <f>IFERROR(IF(compras_mes8[[#This Row],[CUIT]]="","-",VLOOKUP(compras_mes8[[#This Row],[CUIT]],Lista_CUIT[#All],2,0)),"CUIT NO CARGADO")</f>
        <v>BONET SARA MARIA</v>
      </c>
      <c r="H138" s="46">
        <v>7402.72</v>
      </c>
      <c r="I138" s="85">
        <f>IF(compras_mes8[[#This Row],[NETO GRAVADO]]="","",compras_mes8[[#This Row],[NETO GRAVADO]]*0.21)</f>
        <v>1554.5712000000001</v>
      </c>
      <c r="J138" s="85"/>
      <c r="K138" s="85"/>
      <c r="L138" s="85"/>
      <c r="M138" s="85"/>
      <c r="N138" s="85"/>
      <c r="O138" s="85"/>
      <c r="P138" s="48">
        <f>SUM(compras_mes8[[#This Row],[NETO GRAVADO]:[Otros / No Grav.]])</f>
        <v>8957.2911999999997</v>
      </c>
      <c r="Q138" s="49" t="str">
        <f>IFERROR(IF(compras_mes8[[#This Row],[CUIT]]="","-",VLOOKUP(compras_mes8[[#This Row],[CUIT]],Lista_CUIT[#All],3,0)),"CUIT NO CARGADO")</f>
        <v>Insumos</v>
      </c>
      <c r="R138" s="49">
        <f>IFERROR(IF(compras_mes8[[#This Row],[CUIT]]="","-",VLOOKUP(compras_mes8[[#This Row],[CUIT]],Lista_CUIT[#All],4,0)),"CUIT NO CARGADO")</f>
        <v>0</v>
      </c>
    </row>
    <row r="139" spans="2:18" x14ac:dyDescent="0.25">
      <c r="B139" s="40"/>
      <c r="C139" s="41"/>
      <c r="D139" s="42"/>
      <c r="E139" s="43"/>
      <c r="F139" s="44">
        <v>27051553573</v>
      </c>
      <c r="G139" s="45" t="str">
        <f>IFERROR(IF(compras_mes8[[#This Row],[CUIT]]="","-",VLOOKUP(compras_mes8[[#This Row],[CUIT]],Lista_CUIT[#All],2,0)),"CUIT NO CARGADO")</f>
        <v>BONET SARA MARIA</v>
      </c>
      <c r="H139" s="46">
        <v>27232.84</v>
      </c>
      <c r="I139" s="85">
        <f>IF(compras_mes8[[#This Row],[NETO GRAVADO]]="","",compras_mes8[[#This Row],[NETO GRAVADO]]*0.21)</f>
        <v>5718.8963999999996</v>
      </c>
      <c r="J139" s="85"/>
      <c r="K139" s="85"/>
      <c r="L139" s="85"/>
      <c r="M139" s="85"/>
      <c r="N139" s="85"/>
      <c r="O139" s="85"/>
      <c r="P139" s="48">
        <f>SUM(compras_mes8[[#This Row],[NETO GRAVADO]:[Otros / No Grav.]])</f>
        <v>32951.736400000002</v>
      </c>
      <c r="Q139" s="49" t="str">
        <f>IFERROR(IF(compras_mes8[[#This Row],[CUIT]]="","-",VLOOKUP(compras_mes8[[#This Row],[CUIT]],Lista_CUIT[#All],3,0)),"CUIT NO CARGADO")</f>
        <v>Insumos</v>
      </c>
      <c r="R139" s="49">
        <f>IFERROR(IF(compras_mes8[[#This Row],[CUIT]]="","-",VLOOKUP(compras_mes8[[#This Row],[CUIT]],Lista_CUIT[#All],4,0)),"CUIT NO CARGADO")</f>
        <v>0</v>
      </c>
    </row>
    <row r="140" spans="2:18" x14ac:dyDescent="0.25">
      <c r="B140" s="40"/>
      <c r="C140" s="41"/>
      <c r="D140" s="42"/>
      <c r="E140" s="43"/>
      <c r="F140" s="44">
        <v>30632331793</v>
      </c>
      <c r="G140" s="45" t="str">
        <f>IFERROR(IF(compras_mes8[[#This Row],[CUIT]]="","-",VLOOKUP(compras_mes8[[#This Row],[CUIT]],Lista_CUIT[#All],2,0)),"CUIT NO CARGADO")</f>
        <v>RANKO SA</v>
      </c>
      <c r="H140" s="46">
        <v>101021.91</v>
      </c>
      <c r="I140" s="85">
        <f>IF(compras_mes8[[#This Row],[NETO GRAVADO]]="","",compras_mes8[[#This Row],[NETO GRAVADO]]*0.21)</f>
        <v>21214.6011</v>
      </c>
      <c r="J140" s="85"/>
      <c r="K140" s="85"/>
      <c r="L140" s="85"/>
      <c r="M140" s="85"/>
      <c r="N140" s="85"/>
      <c r="O140" s="85"/>
      <c r="P140" s="48">
        <f>SUM(compras_mes8[[#This Row],[NETO GRAVADO]:[Otros / No Grav.]])</f>
        <v>122236.5111</v>
      </c>
      <c r="Q140" s="49" t="str">
        <f>IFERROR(IF(compras_mes8[[#This Row],[CUIT]]="","-",VLOOKUP(compras_mes8[[#This Row],[CUIT]],Lista_CUIT[#All],3,0)),"CUIT NO CARGADO")</f>
        <v>Prod. Ortopedicos</v>
      </c>
      <c r="R140" s="49">
        <f>IFERROR(IF(compras_mes8[[#This Row],[CUIT]]="","-",VLOOKUP(compras_mes8[[#This Row],[CUIT]],Lista_CUIT[#All],4,0)),"CUIT NO CARGADO")</f>
        <v>0</v>
      </c>
    </row>
    <row r="141" spans="2:18" x14ac:dyDescent="0.25">
      <c r="B141" s="40"/>
      <c r="C141" s="41"/>
      <c r="D141" s="42"/>
      <c r="E141" s="43"/>
      <c r="F141" s="44"/>
      <c r="G141" s="45" t="str">
        <f>IFERROR(IF(compras_mes8[[#This Row],[CUIT]]="","-",VLOOKUP(compras_mes8[[#This Row],[CUIT]],Lista_CUIT[#All],2,0)),"CUIT NO CARGADO")</f>
        <v>-</v>
      </c>
      <c r="H141" s="46"/>
      <c r="I141" s="85" t="str">
        <f>IF(compras_mes8[[#This Row],[NETO GRAVADO]]="","",compras_mes8[[#This Row],[NETO GRAVADO]]*0.21)</f>
        <v/>
      </c>
      <c r="J141" s="85"/>
      <c r="K141" s="85"/>
      <c r="L141" s="85"/>
      <c r="M141" s="85"/>
      <c r="N141" s="85"/>
      <c r="O141" s="85"/>
      <c r="P141" s="48">
        <f>SUM(compras_mes8[[#This Row],[NETO GRAVADO]:[Otros / No Grav.]])</f>
        <v>0</v>
      </c>
      <c r="Q141" s="49" t="str">
        <f>IFERROR(IF(compras_mes8[[#This Row],[CUIT]]="","-",VLOOKUP(compras_mes8[[#This Row],[CUIT]],Lista_CUIT[#All],3,0)),"CUIT NO CARGADO")</f>
        <v>-</v>
      </c>
      <c r="R141" s="49" t="str">
        <f>IFERROR(IF(compras_mes8[[#This Row],[CUIT]]="","-",VLOOKUP(compras_mes8[[#This Row],[CUIT]],Lista_CUIT[#All],4,0)),"CUIT NO CARGADO")</f>
        <v>-</v>
      </c>
    </row>
    <row r="142" spans="2:18" x14ac:dyDescent="0.25">
      <c r="B142" s="40"/>
      <c r="C142" s="41"/>
      <c r="D142" s="42"/>
      <c r="E142" s="43"/>
      <c r="F142" s="44"/>
      <c r="G142" s="45" t="str">
        <f>IFERROR(IF(compras_mes8[[#This Row],[CUIT]]="","-",VLOOKUP(compras_mes8[[#This Row],[CUIT]],Lista_CUIT[#All],2,0)),"CUIT NO CARGADO")</f>
        <v>-</v>
      </c>
      <c r="H142" s="46"/>
      <c r="I142" s="85" t="str">
        <f>IF(compras_mes8[[#This Row],[NETO GRAVADO]]="","",compras_mes8[[#This Row],[NETO GRAVADO]]*0.21)</f>
        <v/>
      </c>
      <c r="J142" s="85"/>
      <c r="K142" s="85"/>
      <c r="L142" s="85"/>
      <c r="M142" s="85"/>
      <c r="N142" s="85"/>
      <c r="O142" s="85"/>
      <c r="P142" s="48">
        <f>SUM(compras_mes8[[#This Row],[NETO GRAVADO]:[Otros / No Grav.]])</f>
        <v>0</v>
      </c>
      <c r="Q142" s="49" t="str">
        <f>IFERROR(IF(compras_mes8[[#This Row],[CUIT]]="","-",VLOOKUP(compras_mes8[[#This Row],[CUIT]],Lista_CUIT[#All],3,0)),"CUIT NO CARGADO")</f>
        <v>-</v>
      </c>
      <c r="R142" s="49" t="str">
        <f>IFERROR(IF(compras_mes8[[#This Row],[CUIT]]="","-",VLOOKUP(compras_mes8[[#This Row],[CUIT]],Lista_CUIT[#All],4,0)),"CUIT NO CARGADO")</f>
        <v>-</v>
      </c>
    </row>
    <row r="143" spans="2:18" x14ac:dyDescent="0.25">
      <c r="B143" s="40"/>
      <c r="C143" s="41"/>
      <c r="D143" s="42"/>
      <c r="E143" s="43"/>
      <c r="F143" s="44"/>
      <c r="G143" s="45" t="str">
        <f>IFERROR(IF(compras_mes8[[#This Row],[CUIT]]="","-",VLOOKUP(compras_mes8[[#This Row],[CUIT]],Lista_CUIT[#All],2,0)),"CUIT NO CARGADO")</f>
        <v>-</v>
      </c>
      <c r="H143" s="46"/>
      <c r="I143" s="85" t="str">
        <f>IF(compras_mes8[[#This Row],[NETO GRAVADO]]="","",compras_mes8[[#This Row],[NETO GRAVADO]]*0.21)</f>
        <v/>
      </c>
      <c r="J143" s="85"/>
      <c r="K143" s="85"/>
      <c r="L143" s="85"/>
      <c r="M143" s="85"/>
      <c r="N143" s="85"/>
      <c r="O143" s="85"/>
      <c r="P143" s="48">
        <f>SUM(compras_mes8[[#This Row],[NETO GRAVADO]:[Otros / No Grav.]])</f>
        <v>0</v>
      </c>
      <c r="Q143" s="49" t="str">
        <f>IFERROR(IF(compras_mes8[[#This Row],[CUIT]]="","-",VLOOKUP(compras_mes8[[#This Row],[CUIT]],Lista_CUIT[#All],3,0)),"CUIT NO CARGADO")</f>
        <v>-</v>
      </c>
      <c r="R143" s="49" t="str">
        <f>IFERROR(IF(compras_mes8[[#This Row],[CUIT]]="","-",VLOOKUP(compras_mes8[[#This Row],[CUIT]],Lista_CUIT[#All],4,0)),"CUIT NO CARGADO")</f>
        <v>-</v>
      </c>
    </row>
    <row r="144" spans="2:18" x14ac:dyDescent="0.25">
      <c r="B144" s="40"/>
      <c r="C144" s="41"/>
      <c r="D144" s="42"/>
      <c r="E144" s="43"/>
      <c r="F144" s="44"/>
      <c r="G144" s="45" t="str">
        <f>IFERROR(IF(compras_mes8[[#This Row],[CUIT]]="","-",VLOOKUP(compras_mes8[[#This Row],[CUIT]],Lista_CUIT[#All],2,0)),"CUIT NO CARGADO")</f>
        <v>-</v>
      </c>
      <c r="H144" s="46"/>
      <c r="I144" s="85" t="str">
        <f>IF(compras_mes8[[#This Row],[NETO GRAVADO]]="","",compras_mes8[[#This Row],[NETO GRAVADO]]*0.21)</f>
        <v/>
      </c>
      <c r="J144" s="85"/>
      <c r="K144" s="85"/>
      <c r="L144" s="85"/>
      <c r="M144" s="85"/>
      <c r="N144" s="85"/>
      <c r="O144" s="85"/>
      <c r="P144" s="48">
        <f>SUM(compras_mes8[[#This Row],[NETO GRAVADO]:[Otros / No Grav.]])</f>
        <v>0</v>
      </c>
      <c r="Q144" s="49" t="str">
        <f>IFERROR(IF(compras_mes8[[#This Row],[CUIT]]="","-",VLOOKUP(compras_mes8[[#This Row],[CUIT]],Lista_CUIT[#All],3,0)),"CUIT NO CARGADO")</f>
        <v>-</v>
      </c>
      <c r="R144" s="49" t="str">
        <f>IFERROR(IF(compras_mes8[[#This Row],[CUIT]]="","-",VLOOKUP(compras_mes8[[#This Row],[CUIT]],Lista_CUIT[#All],4,0)),"CUIT NO CARGADO")</f>
        <v>-</v>
      </c>
    </row>
    <row r="145" spans="2:18" x14ac:dyDescent="0.25">
      <c r="B145" s="40"/>
      <c r="C145" s="41"/>
      <c r="D145" s="42"/>
      <c r="E145" s="43"/>
      <c r="F145" s="44"/>
      <c r="G145" s="45" t="str">
        <f>IFERROR(IF(compras_mes8[[#This Row],[CUIT]]="","-",VLOOKUP(compras_mes8[[#This Row],[CUIT]],Lista_CUIT[#All],2,0)),"CUIT NO CARGADO")</f>
        <v>-</v>
      </c>
      <c r="H145" s="46"/>
      <c r="I145" s="85" t="str">
        <f>IF(compras_mes8[[#This Row],[NETO GRAVADO]]="","",compras_mes8[[#This Row],[NETO GRAVADO]]*0.21)</f>
        <v/>
      </c>
      <c r="J145" s="85"/>
      <c r="K145" s="85"/>
      <c r="L145" s="85"/>
      <c r="M145" s="85"/>
      <c r="N145" s="85"/>
      <c r="O145" s="85"/>
      <c r="P145" s="48">
        <f>SUM(compras_mes8[[#This Row],[NETO GRAVADO]:[Otros / No Grav.]])</f>
        <v>0</v>
      </c>
      <c r="Q145" s="49" t="str">
        <f>IFERROR(IF(compras_mes8[[#This Row],[CUIT]]="","-",VLOOKUP(compras_mes8[[#This Row],[CUIT]],Lista_CUIT[#All],3,0)),"CUIT NO CARGADO")</f>
        <v>-</v>
      </c>
      <c r="R145" s="49" t="str">
        <f>IFERROR(IF(compras_mes8[[#This Row],[CUIT]]="","-",VLOOKUP(compras_mes8[[#This Row],[CUIT]],Lista_CUIT[#All],4,0)),"CUIT NO CARGADO")</f>
        <v>-</v>
      </c>
    </row>
    <row r="146" spans="2:18" x14ac:dyDescent="0.25">
      <c r="B146" s="95" t="s">
        <v>110</v>
      </c>
      <c r="C146" s="95"/>
      <c r="D146" s="95"/>
      <c r="E146" s="95"/>
      <c r="F146" s="95"/>
      <c r="G146" s="96"/>
      <c r="H146" s="97">
        <f>SUBTOTAL(109,compras_mes8[NETO GRAVADO])</f>
        <v>53909653.080000035</v>
      </c>
      <c r="I146" s="97">
        <f>SUBTOTAL(109,compras_mes8[IVA 21 %])</f>
        <v>9731937.2724000048</v>
      </c>
      <c r="J146" s="97">
        <f>SUBTOTAL(109,compras_mes8[IVA 27%])</f>
        <v>31167.655200000001</v>
      </c>
      <c r="K146" s="97">
        <f>SUBTOTAL(109,compras_mes8[IVA 10,5%])</f>
        <v>782424.18240000005</v>
      </c>
      <c r="L146" s="97">
        <f>SUBTOTAL(109,compras_mes8[PERC. IVA])</f>
        <v>21310.51</v>
      </c>
      <c r="M146" s="97">
        <f>SUBTOTAL(109,compras_mes8[PERC IIBB 
BS AS])</f>
        <v>0</v>
      </c>
      <c r="N146" s="97">
        <f>SUBTOTAL(109,compras_mes8[PERC. IIBB CABA])</f>
        <v>323659.15000000008</v>
      </c>
      <c r="O146" s="97">
        <f>SUBTOTAL(109,compras_mes8[Otros / No Grav.])</f>
        <v>0</v>
      </c>
      <c r="P146" s="97">
        <f>SUBTOTAL(109,compras_mes8[TOTAL])</f>
        <v>64800151.850000031</v>
      </c>
      <c r="Q146" s="95"/>
      <c r="R146" s="95"/>
    </row>
    <row r="147" spans="2:18" x14ac:dyDescent="0.25">
      <c r="B147" s="40"/>
      <c r="C147" s="41"/>
      <c r="D147" s="42"/>
      <c r="E147" s="43"/>
      <c r="F147" s="44"/>
      <c r="G147" s="45"/>
      <c r="H147" s="46"/>
      <c r="I147" s="47"/>
      <c r="J147" s="47"/>
      <c r="K147" s="47"/>
      <c r="L147" s="47"/>
      <c r="M147" s="47"/>
      <c r="N147" s="47"/>
      <c r="O147" s="47"/>
      <c r="P147" s="48"/>
      <c r="Q147" s="49"/>
      <c r="R147" s="49"/>
    </row>
    <row r="148" spans="2:18" x14ac:dyDescent="0.25">
      <c r="B148" s="40"/>
      <c r="C148" s="41"/>
      <c r="D148" s="42"/>
      <c r="E148" s="43"/>
      <c r="F148" s="44"/>
      <c r="G148" s="45"/>
      <c r="H148" s="46"/>
      <c r="I148" s="47"/>
      <c r="J148" s="47"/>
      <c r="K148" s="47"/>
      <c r="L148" s="47"/>
      <c r="M148" s="47"/>
      <c r="N148" s="47"/>
      <c r="O148" s="47"/>
      <c r="P148" s="48"/>
      <c r="Q148" s="49"/>
      <c r="R148" s="49"/>
    </row>
    <row r="149" spans="2:18" x14ac:dyDescent="0.25">
      <c r="B149" s="40"/>
      <c r="C149" s="41"/>
      <c r="D149" s="42"/>
      <c r="E149" s="43"/>
      <c r="F149" s="44"/>
      <c r="G149" s="45"/>
      <c r="H149" s="46"/>
      <c r="I149" s="47"/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 x14ac:dyDescent="0.25">
      <c r="B150" s="40"/>
      <c r="C150" s="41"/>
      <c r="D150" s="42"/>
      <c r="E150" s="43"/>
      <c r="F150" s="44"/>
      <c r="G150" s="45"/>
      <c r="H150" s="46"/>
      <c r="I150" s="47"/>
      <c r="J150" s="47"/>
      <c r="K150" s="47"/>
      <c r="L150" s="47"/>
    </row>
    <row r="151" spans="2:18" ht="21" x14ac:dyDescent="0.25">
      <c r="D151" s="618" t="s">
        <v>15</v>
      </c>
      <c r="E151" s="618"/>
      <c r="F151" s="618"/>
      <c r="G151" s="618"/>
      <c r="H151" s="618"/>
      <c r="I151" s="618"/>
      <c r="J151" s="618"/>
      <c r="K151" s="618"/>
      <c r="L151" s="618"/>
    </row>
    <row r="152" spans="2:18" ht="15.75" x14ac:dyDescent="0.25">
      <c r="D152" s="73" t="s">
        <v>0</v>
      </c>
      <c r="E152" s="74" t="s">
        <v>26</v>
      </c>
      <c r="F152" s="74" t="s">
        <v>16</v>
      </c>
      <c r="G152" s="74" t="s">
        <v>5</v>
      </c>
      <c r="H152" s="74" t="s">
        <v>17</v>
      </c>
      <c r="I152" s="74" t="s">
        <v>7</v>
      </c>
      <c r="J152" s="75" t="s">
        <v>18</v>
      </c>
      <c r="K152" s="75" t="s">
        <v>19</v>
      </c>
      <c r="L152" s="76" t="s">
        <v>20</v>
      </c>
    </row>
    <row r="153" spans="2:18" x14ac:dyDescent="0.25">
      <c r="D153" s="50"/>
      <c r="E153" s="80"/>
      <c r="F153" s="80"/>
      <c r="G153" s="81">
        <v>40604</v>
      </c>
      <c r="H153" s="81">
        <f>extracto_banco_mes8[[#This Row],[NETO]]*0.21</f>
        <v>8526.84</v>
      </c>
      <c r="I153" s="81"/>
      <c r="J153" s="81"/>
      <c r="K153" s="81"/>
      <c r="L153" s="81"/>
    </row>
    <row r="154" spans="2:18" x14ac:dyDescent="0.25">
      <c r="D154" s="50"/>
      <c r="E154" s="80"/>
      <c r="F154" s="80"/>
      <c r="G154" s="81">
        <v>35375</v>
      </c>
      <c r="H154" s="81">
        <f>extracto_banco_mes8[[#This Row],[NETO]]*0.21</f>
        <v>7428.75</v>
      </c>
      <c r="I154" s="81"/>
      <c r="J154" s="81"/>
      <c r="K154" s="81"/>
      <c r="L154" s="81"/>
    </row>
    <row r="155" spans="2:18" x14ac:dyDescent="0.25">
      <c r="D155" s="50"/>
      <c r="E155" s="79"/>
      <c r="F155" s="80"/>
      <c r="G155" s="81"/>
      <c r="H155" s="81">
        <f>extracto_banco_mes8[[#This Row],[NETO]]*0.21</f>
        <v>0</v>
      </c>
      <c r="I155" s="81"/>
      <c r="J155" s="81"/>
      <c r="K155" s="81"/>
      <c r="L155" s="81"/>
    </row>
    <row r="156" spans="2:18" x14ac:dyDescent="0.25">
      <c r="D156" s="82" t="s">
        <v>110</v>
      </c>
      <c r="E156" s="80"/>
      <c r="F156" s="80"/>
      <c r="G156" s="83">
        <f>SUBTOTAL(109,extracto_banco_mes8[NETO])</f>
        <v>75979</v>
      </c>
      <c r="H156" s="83">
        <f>SUBTOTAL(109,extracto_banco_mes8[IVA 21%])</f>
        <v>15955.59</v>
      </c>
      <c r="I156" s="83">
        <f>SUBTOTAL(109,extracto_banco_mes8[IVA 10,5%])</f>
        <v>0</v>
      </c>
      <c r="J156" s="83">
        <f>SUBTOTAL(109,extracto_banco_mes8[RET IIBB CABA])</f>
        <v>0</v>
      </c>
      <c r="K156" s="83">
        <f>SUBTOTAL(109,extracto_banco_mes8[PERC IVA])</f>
        <v>0</v>
      </c>
      <c r="L156" s="83">
        <f>SUBTOTAL(109,extracto_banco_mes8[PERC IIBB])</f>
        <v>0</v>
      </c>
    </row>
    <row r="160" spans="2:18" ht="21" x14ac:dyDescent="0.25">
      <c r="D160" s="618" t="s">
        <v>25</v>
      </c>
      <c r="E160" s="618"/>
      <c r="F160" s="618"/>
      <c r="G160" s="618"/>
      <c r="H160" s="618"/>
      <c r="I160" s="618"/>
      <c r="J160" s="618"/>
      <c r="K160" s="618"/>
    </row>
    <row r="161" spans="2:18" x14ac:dyDescent="0.25">
      <c r="D161" s="51" t="s">
        <v>0</v>
      </c>
      <c r="E161" s="51" t="s">
        <v>2</v>
      </c>
      <c r="F161" s="51" t="s">
        <v>74</v>
      </c>
      <c r="G161" s="51" t="s">
        <v>3</v>
      </c>
      <c r="H161" s="51" t="s">
        <v>4</v>
      </c>
      <c r="I161" s="52" t="s">
        <v>10</v>
      </c>
      <c r="J161" s="51" t="s">
        <v>13</v>
      </c>
      <c r="K161" s="51" t="s">
        <v>38</v>
      </c>
    </row>
    <row r="162" spans="2:18" x14ac:dyDescent="0.25">
      <c r="D162" s="50"/>
      <c r="E162" s="42"/>
      <c r="F162" s="43"/>
      <c r="G162" s="44">
        <v>27443612713</v>
      </c>
      <c r="H162" s="53" t="str">
        <f>IFERROR(IF(factura_c_mes8[[#This Row],[CUIT]]="","-",VLOOKUP(factura_c_mes8[[#This Row],[CUIT]],Lista_CUIT[#All],2,0)),"CUIT NO CARGADO")</f>
        <v>MIGOYA MORIONDO SOFIA</v>
      </c>
      <c r="I162" s="249">
        <v>870000</v>
      </c>
      <c r="J162" s="54" t="str">
        <f>IFERROR(IF(factura_c_mes8[[#This Row],[CUIT]]="","-",VLOOKUP(factura_c_mes8[[#This Row],[CUIT]],Lista_CUIT[#All],3,0)),"CUIT NO CARGADO")</f>
        <v>GTOS ADMINISTRATIVOS</v>
      </c>
      <c r="K162" s="54">
        <f>IFERROR(IF(factura_c_mes8[[#This Row],[CUIT]]="","-",VLOOKUP(factura_c_mes8[[#This Row],[CUIT]],Lista_CUIT[#All],4,0)),"CUIT NO CARGADO")</f>
        <v>0</v>
      </c>
    </row>
    <row r="163" spans="2:18" x14ac:dyDescent="0.25">
      <c r="D163" s="50"/>
      <c r="E163" s="42"/>
      <c r="F163" s="43"/>
      <c r="G163" s="44">
        <v>20311855671</v>
      </c>
      <c r="H163" s="53" t="str">
        <f>IFERROR(IF(factura_c_mes8[[#This Row],[CUIT]]="","-",VLOOKUP(factura_c_mes8[[#This Row],[CUIT]],Lista_CUIT[#All],2,0)),"CUIT NO CARGADO")</f>
        <v>GUASCH HECTOR RAUL</v>
      </c>
      <c r="I163" s="250">
        <v>110000</v>
      </c>
      <c r="J163" s="54" t="str">
        <f>IFERROR(IF(factura_c_mes8[[#This Row],[CUIT]]="","-",VLOOKUP(factura_c_mes8[[#This Row],[CUIT]],Lista_CUIT[#All],3,0)),"CUIT NO CARGADO")</f>
        <v>Insumos</v>
      </c>
      <c r="K163" s="54">
        <f>IFERROR(IF(factura_c_mes8[[#This Row],[CUIT]]="","-",VLOOKUP(factura_c_mes8[[#This Row],[CUIT]],Lista_CUIT[#All],4,0)),"CUIT NO CARGADO")</f>
        <v>0</v>
      </c>
    </row>
    <row r="164" spans="2:18" s="56" customFormat="1" ht="18.600000000000001" customHeight="1" x14ac:dyDescent="0.25">
      <c r="B164"/>
      <c r="C164"/>
      <c r="D164" s="50"/>
      <c r="E164" s="42"/>
      <c r="F164" s="43"/>
      <c r="G164" s="44">
        <v>20311855671</v>
      </c>
      <c r="H164" s="53" t="str">
        <f>IFERROR(IF(factura_c_mes8[[#This Row],[CUIT]]="","-",VLOOKUP(factura_c_mes8[[#This Row],[CUIT]],Lista_CUIT[#All],2,0)),"CUIT NO CARGADO")</f>
        <v>GUASCH HECTOR RAUL</v>
      </c>
      <c r="I164" s="250">
        <v>104400</v>
      </c>
      <c r="J164" s="54" t="str">
        <f>IFERROR(IF(factura_c_mes8[[#This Row],[CUIT]]="","-",VLOOKUP(factura_c_mes8[[#This Row],[CUIT]],Lista_CUIT[#All],3,0)),"CUIT NO CARGADO")</f>
        <v>Insumos</v>
      </c>
      <c r="K164" s="54">
        <f>IFERROR(IF(factura_c_mes8[[#This Row],[CUIT]]="","-",VLOOKUP(factura_c_mes8[[#This Row],[CUIT]],Lista_CUIT[#All],4,0)),"CUIT NO CARGADO")</f>
        <v>0</v>
      </c>
      <c r="L164"/>
      <c r="M164"/>
      <c r="N164"/>
      <c r="O164"/>
      <c r="P164"/>
      <c r="Q164"/>
      <c r="R164"/>
    </row>
    <row r="165" spans="2:18" x14ac:dyDescent="0.25">
      <c r="D165" s="50"/>
      <c r="E165" s="42"/>
      <c r="F165" s="43"/>
      <c r="G165" s="44">
        <v>20311855671</v>
      </c>
      <c r="H165" s="53" t="str">
        <f>IFERROR(IF(factura_c_mes8[[#This Row],[CUIT]]="","-",VLOOKUP(factura_c_mes8[[#This Row],[CUIT]],Lista_CUIT[#All],2,0)),"CUIT NO CARGADO")</f>
        <v>GUASCH HECTOR RAUL</v>
      </c>
      <c r="I165" s="250">
        <v>60000</v>
      </c>
      <c r="J165" s="54" t="str">
        <f>IFERROR(IF(factura_c_mes8[[#This Row],[CUIT]]="","-",VLOOKUP(factura_c_mes8[[#This Row],[CUIT]],Lista_CUIT[#All],3,0)),"CUIT NO CARGADO")</f>
        <v>Insumos</v>
      </c>
      <c r="K165" s="54">
        <f>IFERROR(IF(factura_c_mes8[[#This Row],[CUIT]]="","-",VLOOKUP(factura_c_mes8[[#This Row],[CUIT]],Lista_CUIT[#All],4,0)),"CUIT NO CARGADO")</f>
        <v>0</v>
      </c>
    </row>
    <row r="166" spans="2:18" x14ac:dyDescent="0.25">
      <c r="D166" s="50"/>
      <c r="E166" s="42"/>
      <c r="F166" s="43"/>
      <c r="G166" s="44">
        <v>20299835260</v>
      </c>
      <c r="H166" s="53" t="str">
        <f>IFERROR(IF(factura_c_mes8[[#This Row],[CUIT]]="","-",VLOOKUP(factura_c_mes8[[#This Row],[CUIT]],Lista_CUIT[#All],2,0)),"CUIT NO CARGADO")</f>
        <v>MALGAREJO NICOLAS EMILIO</v>
      </c>
      <c r="I166" s="250">
        <v>80000</v>
      </c>
      <c r="J166" s="54" t="str">
        <f>IFERROR(IF(factura_c_mes8[[#This Row],[CUIT]]="","-",VLOOKUP(factura_c_mes8[[#This Row],[CUIT]],Lista_CUIT[#All],3,0)),"CUIT NO CARGADO")</f>
        <v>INSUMO</v>
      </c>
      <c r="K166" s="54">
        <f>IFERROR(IF(factura_c_mes8[[#This Row],[CUIT]]="","-",VLOOKUP(factura_c_mes8[[#This Row],[CUIT]],Lista_CUIT[#All],4,0)),"CUIT NO CARGADO")</f>
        <v>0</v>
      </c>
    </row>
    <row r="167" spans="2:18" x14ac:dyDescent="0.25">
      <c r="D167" s="50"/>
      <c r="E167" s="42"/>
      <c r="F167" s="43"/>
      <c r="G167" s="44">
        <v>20310489930</v>
      </c>
      <c r="H167" s="53" t="str">
        <f>IFERROR(IF(factura_c_mes8[[#This Row],[CUIT]]="","-",VLOOKUP(factura_c_mes8[[#This Row],[CUIT]],Lista_CUIT[#All],2,0)),"CUIT NO CARGADO")</f>
        <v>OVIEDO LUIS ALBERTO</v>
      </c>
      <c r="I167" s="250">
        <v>734731</v>
      </c>
      <c r="J167" s="54" t="str">
        <f>IFERROR(IF(factura_c_mes8[[#This Row],[CUIT]]="","-",VLOOKUP(factura_c_mes8[[#This Row],[CUIT]],Lista_CUIT[#All],3,0)),"CUIT NO CARGADO")</f>
        <v>Insumos</v>
      </c>
      <c r="K167" s="54">
        <f>IFERROR(IF(factura_c_mes8[[#This Row],[CUIT]]="","-",VLOOKUP(factura_c_mes8[[#This Row],[CUIT]],Lista_CUIT[#All],4,0)),"CUIT NO CARGADO")</f>
        <v>0</v>
      </c>
    </row>
    <row r="168" spans="2:18" x14ac:dyDescent="0.25">
      <c r="D168" s="50"/>
      <c r="E168" s="42"/>
      <c r="F168" s="43"/>
      <c r="G168" s="44">
        <v>20310489930</v>
      </c>
      <c r="H168" s="53" t="str">
        <f>IFERROR(IF(factura_c_mes8[[#This Row],[CUIT]]="","-",VLOOKUP(factura_c_mes8[[#This Row],[CUIT]],Lista_CUIT[#All],2,0)),"CUIT NO CARGADO")</f>
        <v>OVIEDO LUIS ALBERTO</v>
      </c>
      <c r="I168" s="250">
        <v>692000</v>
      </c>
      <c r="J168" s="54" t="str">
        <f>IFERROR(IF(factura_c_mes8[[#This Row],[CUIT]]="","-",VLOOKUP(factura_c_mes8[[#This Row],[CUIT]],Lista_CUIT[#All],3,0)),"CUIT NO CARGADO")</f>
        <v>Insumos</v>
      </c>
      <c r="K168" s="54">
        <f>IFERROR(IF(factura_c_mes8[[#This Row],[CUIT]]="","-",VLOOKUP(factura_c_mes8[[#This Row],[CUIT]],Lista_CUIT[#All],4,0)),"CUIT NO CARGADO")</f>
        <v>0</v>
      </c>
    </row>
    <row r="169" spans="2:18" x14ac:dyDescent="0.25">
      <c r="D169" s="50"/>
      <c r="E169" s="42"/>
      <c r="F169" s="43"/>
      <c r="G169" s="44">
        <v>20086277523</v>
      </c>
      <c r="H169" s="53" t="str">
        <f>IFERROR(IF(factura_c_mes8[[#This Row],[CUIT]]="","-",VLOOKUP(factura_c_mes8[[#This Row],[CUIT]],Lista_CUIT[#All],2,0)),"CUIT NO CARGADO")</f>
        <v>BOTINDARI JUAN CARLOS</v>
      </c>
      <c r="I169" s="249">
        <v>800000</v>
      </c>
      <c r="J169" s="54" t="str">
        <f>IFERROR(IF(factura_c_mes8[[#This Row],[CUIT]]="","-",VLOOKUP(factura_c_mes8[[#This Row],[CUIT]],Lista_CUIT[#All],3,0)),"CUIT NO CARGADO")</f>
        <v>HONORARIOS</v>
      </c>
      <c r="K169" s="54">
        <f>IFERROR(IF(factura_c_mes8[[#This Row],[CUIT]]="","-",VLOOKUP(factura_c_mes8[[#This Row],[CUIT]],Lista_CUIT[#All],4,0)),"CUIT NO CARGADO")</f>
        <v>0</v>
      </c>
    </row>
    <row r="170" spans="2:18" x14ac:dyDescent="0.25">
      <c r="D170" s="50"/>
      <c r="E170" s="42"/>
      <c r="F170" s="43"/>
      <c r="G170" s="44">
        <v>20086277523</v>
      </c>
      <c r="H170" s="53" t="str">
        <f>IFERROR(IF(factura_c_mes8[[#This Row],[CUIT]]="","-",VLOOKUP(factura_c_mes8[[#This Row],[CUIT]],Lista_CUIT[#All],2,0)),"CUIT NO CARGADO")</f>
        <v>BOTINDARI JUAN CARLOS</v>
      </c>
      <c r="I170" s="249">
        <v>290000</v>
      </c>
      <c r="J170" s="54" t="str">
        <f>IFERROR(IF(factura_c_mes8[[#This Row],[CUIT]]="","-",VLOOKUP(factura_c_mes8[[#This Row],[CUIT]],Lista_CUIT[#All],3,0)),"CUIT NO CARGADO")</f>
        <v>HONORARIOS</v>
      </c>
      <c r="K170" s="54">
        <f>IFERROR(IF(factura_c_mes8[[#This Row],[CUIT]]="","-",VLOOKUP(factura_c_mes8[[#This Row],[CUIT]],Lista_CUIT[#All],4,0)),"CUIT NO CARGADO")</f>
        <v>0</v>
      </c>
    </row>
    <row r="171" spans="2:18" x14ac:dyDescent="0.25">
      <c r="D171" s="50"/>
      <c r="E171" s="42"/>
      <c r="F171" s="43"/>
      <c r="G171" s="44">
        <v>27443612705</v>
      </c>
      <c r="H171" s="53" t="str">
        <f>IFERROR(IF(factura_c_mes8[[#This Row],[CUIT]]="","-",VLOOKUP(factura_c_mes8[[#This Row],[CUIT]],Lista_CUIT[#All],2,0)),"CUIT NO CARGADO")</f>
        <v>MIGOYA MORIONDO MARIA INES</v>
      </c>
      <c r="I171" s="249">
        <v>1800000</v>
      </c>
      <c r="J171" s="54" t="str">
        <f>IFERROR(IF(factura_c_mes8[[#This Row],[CUIT]]="","-",VLOOKUP(factura_c_mes8[[#This Row],[CUIT]],Lista_CUIT[#All],3,0)),"CUIT NO CARGADO")</f>
        <v>GTOS ADMINISTRATIVOS</v>
      </c>
      <c r="K171" s="54">
        <f>IFERROR(IF(factura_c_mes8[[#This Row],[CUIT]]="","-",VLOOKUP(factura_c_mes8[[#This Row],[CUIT]],Lista_CUIT[#All],4,0)),"CUIT NO CARGADO")</f>
        <v>0</v>
      </c>
    </row>
    <row r="172" spans="2:18" x14ac:dyDescent="0.25">
      <c r="D172" s="50"/>
      <c r="E172" s="42"/>
      <c r="F172" s="43"/>
      <c r="G172" s="44">
        <v>27062343449</v>
      </c>
      <c r="H172" s="53" t="str">
        <f>IFERROR(IF(factura_c_mes8[[#This Row],[CUIT]]="","-",VLOOKUP(factura_c_mes8[[#This Row],[CUIT]],Lista_CUIT[#All],2,0)),"CUIT NO CARGADO")</f>
        <v>FERREIRS LILISNS INES</v>
      </c>
      <c r="I172" s="249">
        <v>450000</v>
      </c>
      <c r="J172" s="54" t="str">
        <f>IFERROR(IF(factura_c_mes8[[#This Row],[CUIT]]="","-",VLOOKUP(factura_c_mes8[[#This Row],[CUIT]],Lista_CUIT[#All],3,0)),"CUIT NO CARGADO")</f>
        <v>FLETE</v>
      </c>
      <c r="K172" s="54">
        <f>IFERROR(IF(factura_c_mes8[[#This Row],[CUIT]]="","-",VLOOKUP(factura_c_mes8[[#This Row],[CUIT]],Lista_CUIT[#All],4,0)),"CUIT NO CARGADO")</f>
        <v>0</v>
      </c>
    </row>
    <row r="173" spans="2:18" ht="18" customHeight="1" x14ac:dyDescent="0.25">
      <c r="D173" s="50"/>
      <c r="E173" s="42"/>
      <c r="F173" s="43"/>
      <c r="G173" s="44">
        <v>27062343449</v>
      </c>
      <c r="H173" s="53" t="str">
        <f>IFERROR(IF(factura_c_mes8[[#This Row],[CUIT]]="","-",VLOOKUP(factura_c_mes8[[#This Row],[CUIT]],Lista_CUIT[#All],2,0)),"CUIT NO CARGADO")</f>
        <v>FERREIRS LILISNS INES</v>
      </c>
      <c r="I173" s="249">
        <v>450000</v>
      </c>
      <c r="J173" s="54" t="str">
        <f>IFERROR(IF(factura_c_mes8[[#This Row],[CUIT]]="","-",VLOOKUP(factura_c_mes8[[#This Row],[CUIT]],Lista_CUIT[#All],3,0)),"CUIT NO CARGADO")</f>
        <v>FLETE</v>
      </c>
      <c r="K173" s="54">
        <f>IFERROR(IF(factura_c_mes8[[#This Row],[CUIT]]="","-",VLOOKUP(factura_c_mes8[[#This Row],[CUIT]],Lista_CUIT[#All],4,0)),"CUIT NO CARGADO")</f>
        <v>0</v>
      </c>
    </row>
    <row r="174" spans="2:18" x14ac:dyDescent="0.25">
      <c r="D174" s="50"/>
      <c r="E174" s="42"/>
      <c r="F174" s="43"/>
      <c r="G174" s="44">
        <v>27062343449</v>
      </c>
      <c r="H174" s="53" t="str">
        <f>IFERROR(IF(factura_c_mes8[[#This Row],[CUIT]]="","-",VLOOKUP(factura_c_mes8[[#This Row],[CUIT]],Lista_CUIT[#All],2,0)),"CUIT NO CARGADO")</f>
        <v>FERREIRS LILISNS INES</v>
      </c>
      <c r="I174" s="249">
        <v>550000</v>
      </c>
      <c r="J174" s="54" t="str">
        <f>IFERROR(IF(factura_c_mes8[[#This Row],[CUIT]]="","-",VLOOKUP(factura_c_mes8[[#This Row],[CUIT]],Lista_CUIT[#All],3,0)),"CUIT NO CARGADO")</f>
        <v>FLETE</v>
      </c>
      <c r="K174" s="54">
        <f>IFERROR(IF(factura_c_mes8[[#This Row],[CUIT]]="","-",VLOOKUP(factura_c_mes8[[#This Row],[CUIT]],Lista_CUIT[#All],4,0)),"CUIT NO CARGADO")</f>
        <v>0</v>
      </c>
    </row>
    <row r="175" spans="2:18" x14ac:dyDescent="0.25">
      <c r="D175" s="50"/>
      <c r="E175" s="42"/>
      <c r="F175" s="43"/>
      <c r="G175" s="44">
        <v>27380284052</v>
      </c>
      <c r="H175" s="53" t="str">
        <f>IFERROR(IF(factura_c_mes8[[#This Row],[CUIT]]="","-",VLOOKUP(factura_c_mes8[[#This Row],[CUIT]],Lista_CUIT[#All],2,0)),"CUIT NO CARGADO")</f>
        <v>CIVALE PAULA</v>
      </c>
      <c r="I175" s="249">
        <v>267000</v>
      </c>
      <c r="J175" s="54" t="str">
        <f>IFERROR(IF(factura_c_mes8[[#This Row],[CUIT]]="","-",VLOOKUP(factura_c_mes8[[#This Row],[CUIT]],Lista_CUIT[#All],3,0)),"CUIT NO CARGADO")</f>
        <v>GTOS ADMINISTRATIVOS</v>
      </c>
      <c r="K175" s="54">
        <f>IFERROR(IF(factura_c_mes8[[#This Row],[CUIT]]="","-",VLOOKUP(factura_c_mes8[[#This Row],[CUIT]],Lista_CUIT[#All],4,0)),"CUIT NO CARGADO")</f>
        <v>0</v>
      </c>
    </row>
    <row r="176" spans="2:18" x14ac:dyDescent="0.25">
      <c r="D176" s="50"/>
      <c r="E176" s="42"/>
      <c r="F176" s="43"/>
      <c r="G176" s="44">
        <v>23281233084</v>
      </c>
      <c r="H176" s="53" t="str">
        <f>IFERROR(IF(factura_c_mes8[[#This Row],[CUIT]]="","-",VLOOKUP(factura_c_mes8[[#This Row],[CUIT]],Lista_CUIT[#All],2,0)),"CUIT NO CARGADO")</f>
        <v>DRUETTA ANDREA MARIEL</v>
      </c>
      <c r="I176" s="249">
        <v>300000</v>
      </c>
      <c r="J176" s="54" t="str">
        <f>IFERROR(IF(factura_c_mes8[[#This Row],[CUIT]]="","-",VLOOKUP(factura_c_mes8[[#This Row],[CUIT]],Lista_CUIT[#All],3,0)),"CUIT NO CARGADO")</f>
        <v>TECNICO</v>
      </c>
      <c r="K176" s="54">
        <f>IFERROR(IF(factura_c_mes8[[#This Row],[CUIT]]="","-",VLOOKUP(factura_c_mes8[[#This Row],[CUIT]],Lista_CUIT[#All],4,0)),"CUIT NO CARGADO")</f>
        <v>0</v>
      </c>
    </row>
    <row r="177" spans="4:11" x14ac:dyDescent="0.25">
      <c r="D177" s="50"/>
      <c r="E177" s="42"/>
      <c r="F177" s="43"/>
      <c r="G177" s="44">
        <v>27344304551</v>
      </c>
      <c r="H177" s="53" t="str">
        <f>IFERROR(IF(factura_c_mes8[[#This Row],[CUIT]]="","-",VLOOKUP(factura_c_mes8[[#This Row],[CUIT]],Lista_CUIT[#All],2,0)),"CUIT NO CARGADO")</f>
        <v>BOCCACCI MARIA FLORENCIA</v>
      </c>
      <c r="I177" s="249">
        <v>200000</v>
      </c>
      <c r="J177" s="54" t="str">
        <f>IFERROR(IF(factura_c_mes8[[#This Row],[CUIT]]="","-",VLOOKUP(factura_c_mes8[[#This Row],[CUIT]],Lista_CUIT[#All],3,0)),"CUIT NO CARGADO")</f>
        <v>Servicios</v>
      </c>
      <c r="K177" s="54">
        <f>IFERROR(IF(factura_c_mes8[[#This Row],[CUIT]]="","-",VLOOKUP(factura_c_mes8[[#This Row],[CUIT]],Lista_CUIT[#All],4,0)),"CUIT NO CARGADO")</f>
        <v>0</v>
      </c>
    </row>
    <row r="178" spans="4:11" x14ac:dyDescent="0.25">
      <c r="D178" s="50"/>
      <c r="E178" s="42"/>
      <c r="F178" s="43"/>
      <c r="G178" s="44">
        <v>27344304551</v>
      </c>
      <c r="H178" s="53" t="str">
        <f>IFERROR(IF(factura_c_mes8[[#This Row],[CUIT]]="","-",VLOOKUP(factura_c_mes8[[#This Row],[CUIT]],Lista_CUIT[#All],2,0)),"CUIT NO CARGADO")</f>
        <v>BOCCACCI MARIA FLORENCIA</v>
      </c>
      <c r="I178" s="249">
        <v>116667</v>
      </c>
      <c r="J178" s="54" t="str">
        <f>IFERROR(IF(factura_c_mes8[[#This Row],[CUIT]]="","-",VLOOKUP(factura_c_mes8[[#This Row],[CUIT]],Lista_CUIT[#All],3,0)),"CUIT NO CARGADO")</f>
        <v>Servicios</v>
      </c>
      <c r="K178" s="54">
        <f>IFERROR(IF(factura_c_mes8[[#This Row],[CUIT]]="","-",VLOOKUP(factura_c_mes8[[#This Row],[CUIT]],Lista_CUIT[#All],4,0)),"CUIT NO CARGADO")</f>
        <v>0</v>
      </c>
    </row>
    <row r="179" spans="4:11" x14ac:dyDescent="0.25">
      <c r="D179" s="50"/>
      <c r="E179" s="42"/>
      <c r="F179" s="43"/>
      <c r="G179" s="44">
        <v>27344304551</v>
      </c>
      <c r="H179" s="53" t="str">
        <f>IFERROR(IF(factura_c_mes8[[#This Row],[CUIT]]="","-",VLOOKUP(factura_c_mes8[[#This Row],[CUIT]],Lista_CUIT[#All],2,0)),"CUIT NO CARGADO")</f>
        <v>BOCCACCI MARIA FLORENCIA</v>
      </c>
      <c r="I179" s="249">
        <v>100000</v>
      </c>
      <c r="J179" s="54" t="str">
        <f>IFERROR(IF(factura_c_mes8[[#This Row],[CUIT]]="","-",VLOOKUP(factura_c_mes8[[#This Row],[CUIT]],Lista_CUIT[#All],3,0)),"CUIT NO CARGADO")</f>
        <v>Servicios</v>
      </c>
      <c r="K179" s="54">
        <f>IFERROR(IF(factura_c_mes8[[#This Row],[CUIT]]="","-",VLOOKUP(factura_c_mes8[[#This Row],[CUIT]],Lista_CUIT[#All],4,0)),"CUIT NO CARGADO")</f>
        <v>0</v>
      </c>
    </row>
    <row r="180" spans="4:11" x14ac:dyDescent="0.25">
      <c r="D180" s="50"/>
      <c r="E180" s="42"/>
      <c r="F180" s="43"/>
      <c r="G180" s="44">
        <v>27344304551</v>
      </c>
      <c r="H180" s="53" t="str">
        <f>IFERROR(IF(factura_c_mes8[[#This Row],[CUIT]]="","-",VLOOKUP(factura_c_mes8[[#This Row],[CUIT]],Lista_CUIT[#All],2,0)),"CUIT NO CARGADO")</f>
        <v>BOCCACCI MARIA FLORENCIA</v>
      </c>
      <c r="I180" s="249">
        <v>850000</v>
      </c>
      <c r="J180" s="54" t="str">
        <f>IFERROR(IF(factura_c_mes8[[#This Row],[CUIT]]="","-",VLOOKUP(factura_c_mes8[[#This Row],[CUIT]],Lista_CUIT[#All],3,0)),"CUIT NO CARGADO")</f>
        <v>Servicios</v>
      </c>
      <c r="K180" s="54">
        <f>IFERROR(IF(factura_c_mes8[[#This Row],[CUIT]]="","-",VLOOKUP(factura_c_mes8[[#This Row],[CUIT]],Lista_CUIT[#All],4,0)),"CUIT NO CARGADO")</f>
        <v>0</v>
      </c>
    </row>
    <row r="181" spans="4:11" x14ac:dyDescent="0.25">
      <c r="D181" s="50"/>
      <c r="E181" s="42"/>
      <c r="F181" s="43"/>
      <c r="G181" s="44">
        <v>27315710508</v>
      </c>
      <c r="H181" s="53" t="str">
        <f>IFERROR(IF(factura_c_mes8[[#This Row],[CUIT]]="","-",VLOOKUP(factura_c_mes8[[#This Row],[CUIT]],Lista_CUIT[#All],2,0)),"CUIT NO CARGADO")</f>
        <v>RIVERO GABRIELA ROCIO</v>
      </c>
      <c r="I181" s="249">
        <v>51030</v>
      </c>
      <c r="J181" s="54" t="str">
        <f>IFERROR(IF(factura_c_mes8[[#This Row],[CUIT]]="","-",VLOOKUP(factura_c_mes8[[#This Row],[CUIT]],Lista_CUIT[#All],3,0)),"CUIT NO CARGADO")</f>
        <v>Serv. Informaticos</v>
      </c>
      <c r="K181" s="54">
        <f>IFERROR(IF(factura_c_mes8[[#This Row],[CUIT]]="","-",VLOOKUP(factura_c_mes8[[#This Row],[CUIT]],Lista_CUIT[#All],4,0)),"CUIT NO CARGADO")</f>
        <v>0</v>
      </c>
    </row>
    <row r="182" spans="4:11" x14ac:dyDescent="0.25">
      <c r="D182" s="50"/>
      <c r="E182" s="42"/>
      <c r="F182" s="43"/>
      <c r="G182" s="44">
        <v>27265832178</v>
      </c>
      <c r="H182" s="53" t="str">
        <f>IFERROR(IF(factura_c_mes8[[#This Row],[CUIT]]="","-",VLOOKUP(factura_c_mes8[[#This Row],[CUIT]],Lista_CUIT[#All],2,0)),"CUIT NO CARGADO")</f>
        <v>BLASCO MARIA GUADALUPE</v>
      </c>
      <c r="I182" s="249">
        <v>3200000</v>
      </c>
      <c r="J182" s="54" t="str">
        <f>IFERROR(IF(factura_c_mes8[[#This Row],[CUIT]]="","-",VLOOKUP(factura_c_mes8[[#This Row],[CUIT]],Lista_CUIT[#All],3,0)),"CUIT NO CARGADO")</f>
        <v>PROVEEDOR</v>
      </c>
      <c r="K182" s="54">
        <f>IFERROR(IF(factura_c_mes8[[#This Row],[CUIT]]="","-",VLOOKUP(factura_c_mes8[[#This Row],[CUIT]],Lista_CUIT[#All],4,0)),"CUIT NO CARGADO")</f>
        <v>0</v>
      </c>
    </row>
    <row r="183" spans="4:11" x14ac:dyDescent="0.25">
      <c r="D183" s="50"/>
      <c r="E183" s="42"/>
      <c r="F183" s="43"/>
      <c r="G183" s="44">
        <v>27207433867</v>
      </c>
      <c r="H183" s="53" t="str">
        <f>IFERROR(IF(factura_c_mes8[[#This Row],[CUIT]]="","-",VLOOKUP(factura_c_mes8[[#This Row],[CUIT]],Lista_CUIT[#All],2,0)),"CUIT NO CARGADO")</f>
        <v>CIGNONI ALEJANDRA FABIANA</v>
      </c>
      <c r="I183" s="249">
        <v>1500000</v>
      </c>
      <c r="J183" s="54" t="str">
        <f>IFERROR(IF(factura_c_mes8[[#This Row],[CUIT]]="","-",VLOOKUP(factura_c_mes8[[#This Row],[CUIT]],Lista_CUIT[#All],3,0)),"CUIT NO CARGADO")</f>
        <v>GTOS ADMINISTRATIVOS</v>
      </c>
      <c r="K183" s="54">
        <f>IFERROR(IF(factura_c_mes8[[#This Row],[CUIT]]="","-",VLOOKUP(factura_c_mes8[[#This Row],[CUIT]],Lista_CUIT[#All],4,0)),"CUIT NO CARGADO")</f>
        <v>0</v>
      </c>
    </row>
    <row r="184" spans="4:11" x14ac:dyDescent="0.25">
      <c r="D184" s="50"/>
      <c r="E184" s="42"/>
      <c r="F184" s="43"/>
      <c r="G184" s="44">
        <v>20174826286</v>
      </c>
      <c r="H184" s="53" t="str">
        <f>IFERROR(IF(factura_c_mes8[[#This Row],[CUIT]]="","-",VLOOKUP(factura_c_mes8[[#This Row],[CUIT]],Lista_CUIT[#All],2,0)),"CUIT NO CARGADO")</f>
        <v>GARAY GERARDO ANTONIO</v>
      </c>
      <c r="I184" s="249">
        <v>98900</v>
      </c>
      <c r="J184" s="54" t="str">
        <f>IFERROR(IF(factura_c_mes8[[#This Row],[CUIT]]="","-",VLOOKUP(factura_c_mes8[[#This Row],[CUIT]],Lista_CUIT[#All],3,0)),"CUIT NO CARGADO")</f>
        <v>Gastos Varios</v>
      </c>
      <c r="K184" s="54">
        <f>IFERROR(IF(factura_c_mes8[[#This Row],[CUIT]]="","-",VLOOKUP(factura_c_mes8[[#This Row],[CUIT]],Lista_CUIT[#All],4,0)),"CUIT NO CARGADO")</f>
        <v>0</v>
      </c>
    </row>
    <row r="185" spans="4:11" ht="17.25" customHeight="1" x14ac:dyDescent="0.25">
      <c r="D185" s="50"/>
      <c r="E185" s="42"/>
      <c r="F185" s="43"/>
      <c r="G185" s="44"/>
      <c r="H185" s="53" t="str">
        <f>IFERROR(IF(factura_c_mes8[[#This Row],[CUIT]]="","-",VLOOKUP(factura_c_mes8[[#This Row],[CUIT]],Lista_CUIT[#All],2,0)),"CUIT NO CARGADO")</f>
        <v>-</v>
      </c>
      <c r="I185" s="249"/>
      <c r="J185" s="54" t="str">
        <f>IFERROR(IF(factura_c_mes8[[#This Row],[CUIT]]="","-",VLOOKUP(factura_c_mes8[[#This Row],[CUIT]],Lista_CUIT[#All],3,0)),"CUIT NO CARGADO")</f>
        <v>-</v>
      </c>
      <c r="K185" s="54" t="str">
        <f>IFERROR(IF(factura_c_mes8[[#This Row],[CUIT]]="","-",VLOOKUP(factura_c_mes8[[#This Row],[CUIT]],Lista_CUIT[#All],4,0)),"CUIT NO CARGADO")</f>
        <v>-</v>
      </c>
    </row>
    <row r="186" spans="4:11" x14ac:dyDescent="0.25">
      <c r="D186" s="50"/>
      <c r="E186" s="42"/>
      <c r="F186" s="43"/>
      <c r="G186" s="44"/>
      <c r="H186" s="53" t="str">
        <f>IFERROR(IF(factura_c_mes8[[#This Row],[CUIT]]="","-",VLOOKUP(factura_c_mes8[[#This Row],[CUIT]],Lista_CUIT[#All],2,0)),"CUIT NO CARGADO")</f>
        <v>-</v>
      </c>
      <c r="I186" s="249"/>
      <c r="J186" s="54" t="str">
        <f>IFERROR(IF(factura_c_mes8[[#This Row],[CUIT]]="","-",VLOOKUP(factura_c_mes8[[#This Row],[CUIT]],Lista_CUIT[#All],3,0)),"CUIT NO CARGADO")</f>
        <v>-</v>
      </c>
      <c r="K186" s="54" t="str">
        <f>IFERROR(IF(factura_c_mes8[[#This Row],[CUIT]]="","-",VLOOKUP(factura_c_mes8[[#This Row],[CUIT]],Lista_CUIT[#All],4,0)),"CUIT NO CARGADO")</f>
        <v>-</v>
      </c>
    </row>
    <row r="187" spans="4:11" x14ac:dyDescent="0.25">
      <c r="D187" s="50"/>
      <c r="E187" s="42"/>
      <c r="F187" s="43"/>
      <c r="G187" s="44"/>
      <c r="H187" s="53" t="str">
        <f>IFERROR(IF(factura_c_mes8[[#This Row],[CUIT]]="","-",VLOOKUP(factura_c_mes8[[#This Row],[CUIT]],Lista_CUIT[#All],2,0)),"CUIT NO CARGADO")</f>
        <v>-</v>
      </c>
      <c r="I187" s="249"/>
      <c r="J187" s="54" t="str">
        <f>IFERROR(IF(factura_c_mes8[[#This Row],[CUIT]]="","-",VLOOKUP(factura_c_mes8[[#This Row],[CUIT]],Lista_CUIT[#All],3,0)),"CUIT NO CARGADO")</f>
        <v>-</v>
      </c>
      <c r="K187" s="54" t="str">
        <f>IFERROR(IF(factura_c_mes8[[#This Row],[CUIT]]="","-",VLOOKUP(factura_c_mes8[[#This Row],[CUIT]],Lista_CUIT[#All],4,0)),"CUIT NO CARGADO")</f>
        <v>-</v>
      </c>
    </row>
    <row r="188" spans="4:11" x14ac:dyDescent="0.25">
      <c r="D188" s="50"/>
      <c r="E188" s="42"/>
      <c r="F188" s="43"/>
      <c r="G188" s="44"/>
      <c r="H188" s="53" t="str">
        <f>IFERROR(IF(factura_c_mes8[[#This Row],[CUIT]]="","-",VLOOKUP(factura_c_mes8[[#This Row],[CUIT]],Lista_CUIT[#All],2,0)),"CUIT NO CARGADO")</f>
        <v>-</v>
      </c>
      <c r="I188" s="249"/>
      <c r="J188" s="54" t="str">
        <f>IFERROR(IF(factura_c_mes8[[#This Row],[CUIT]]="","-",VLOOKUP(factura_c_mes8[[#This Row],[CUIT]],Lista_CUIT[#All],3,0)),"CUIT NO CARGADO")</f>
        <v>-</v>
      </c>
      <c r="K188" s="54" t="str">
        <f>IFERROR(IF(factura_c_mes8[[#This Row],[CUIT]]="","-",VLOOKUP(factura_c_mes8[[#This Row],[CUIT]],Lista_CUIT[#All],4,0)),"CUIT NO CARGADO")</f>
        <v>-</v>
      </c>
    </row>
    <row r="189" spans="4:11" x14ac:dyDescent="0.25">
      <c r="D189" s="50"/>
      <c r="E189" s="42"/>
      <c r="F189" s="43"/>
      <c r="G189" s="44"/>
      <c r="H189" s="53" t="str">
        <f>IFERROR(IF(factura_c_mes8[[#This Row],[CUIT]]="","-",VLOOKUP(factura_c_mes8[[#This Row],[CUIT]],Lista_CUIT[#All],2,0)),"CUIT NO CARGADO")</f>
        <v>-</v>
      </c>
      <c r="I189" s="249"/>
      <c r="J189" s="54" t="str">
        <f>IFERROR(IF(factura_c_mes8[[#This Row],[CUIT]]="","-",VLOOKUP(factura_c_mes8[[#This Row],[CUIT]],Lista_CUIT[#All],3,0)),"CUIT NO CARGADO")</f>
        <v>-</v>
      </c>
      <c r="K189" s="54" t="str">
        <f>IFERROR(IF(factura_c_mes8[[#This Row],[CUIT]]="","-",VLOOKUP(factura_c_mes8[[#This Row],[CUIT]],Lista_CUIT[#All],4,0)),"CUIT NO CARGADO")</f>
        <v>-</v>
      </c>
    </row>
    <row r="190" spans="4:11" x14ac:dyDescent="0.25">
      <c r="D190" s="50"/>
      <c r="E190" s="42"/>
      <c r="F190" s="43"/>
      <c r="G190" s="44"/>
      <c r="H190" s="53" t="str">
        <f>IFERROR(IF(factura_c_mes8[[#This Row],[CUIT]]="","-",VLOOKUP(factura_c_mes8[[#This Row],[CUIT]],Lista_CUIT[#All],2,0)),"CUIT NO CARGADO")</f>
        <v>-</v>
      </c>
      <c r="I190" s="249"/>
      <c r="J190" s="54" t="str">
        <f>IFERROR(IF(factura_c_mes8[[#This Row],[CUIT]]="","-",VLOOKUP(factura_c_mes8[[#This Row],[CUIT]],Lista_CUIT[#All],3,0)),"CUIT NO CARGADO")</f>
        <v>-</v>
      </c>
      <c r="K190" s="54" t="str">
        <f>IFERROR(IF(factura_c_mes8[[#This Row],[CUIT]]="","-",VLOOKUP(factura_c_mes8[[#This Row],[CUIT]],Lista_CUIT[#All],4,0)),"CUIT NO CARGADO")</f>
        <v>-</v>
      </c>
    </row>
    <row r="191" spans="4:11" x14ac:dyDescent="0.25">
      <c r="D191" s="50"/>
      <c r="E191" s="42"/>
      <c r="F191" s="43"/>
      <c r="G191" s="44"/>
      <c r="H191" s="53" t="str">
        <f>IFERROR(IF(factura_c_mes8[[#This Row],[CUIT]]="","-",VLOOKUP(factura_c_mes8[[#This Row],[CUIT]],Lista_CUIT[#All],2,0)),"CUIT NO CARGADO")</f>
        <v>-</v>
      </c>
      <c r="I191" s="81"/>
      <c r="J191" s="54" t="str">
        <f>IFERROR(IF(factura_c_mes8[[#This Row],[CUIT]]="","-",VLOOKUP(factura_c_mes8[[#This Row],[CUIT]],Lista_CUIT[#All],3,0)),"CUIT NO CARGADO")</f>
        <v>-</v>
      </c>
      <c r="K191" s="54" t="str">
        <f>IFERROR(IF(factura_c_mes8[[#This Row],[CUIT]]="","-",VLOOKUP(factura_c_mes8[[#This Row],[CUIT]],Lista_CUIT[#All],4,0)),"CUIT NO CARGADO")</f>
        <v>-</v>
      </c>
    </row>
    <row r="192" spans="4:11" x14ac:dyDescent="0.25">
      <c r="D192" s="55" t="s">
        <v>110</v>
      </c>
      <c r="E192" s="55"/>
      <c r="F192" s="55"/>
      <c r="G192" s="55"/>
      <c r="H192" s="57"/>
      <c r="I192" s="58">
        <f>SUBTOTAL(109,factura_c_mes8[TOTAL])</f>
        <v>13674728</v>
      </c>
      <c r="J192" s="55"/>
      <c r="K192" s="55"/>
    </row>
    <row r="193" spans="2:18" x14ac:dyDescent="0.25">
      <c r="B193" s="56"/>
      <c r="C193" s="56"/>
      <c r="L193" s="56"/>
      <c r="M193" s="56"/>
      <c r="N193" s="56"/>
      <c r="O193" s="56"/>
      <c r="P193" s="56"/>
      <c r="Q193" s="56"/>
      <c r="R193" s="56"/>
    </row>
    <row r="194" spans="2:18" ht="19.149999999999999" customHeight="1" x14ac:dyDescent="0.25"/>
    <row r="195" spans="2:18" ht="28.9" customHeight="1" x14ac:dyDescent="0.25"/>
    <row r="198" spans="2:18" ht="26.25" x14ac:dyDescent="0.25">
      <c r="B198" s="629" t="s">
        <v>29</v>
      </c>
      <c r="C198" s="629"/>
      <c r="D198" s="629"/>
      <c r="E198" s="629"/>
      <c r="F198" s="629"/>
      <c r="G198" s="629"/>
      <c r="H198" s="629"/>
      <c r="I198" s="629"/>
      <c r="J198" s="629"/>
      <c r="K198" s="630">
        <f>N1</f>
        <v>45870</v>
      </c>
      <c r="L198" s="630"/>
      <c r="M198" s="630"/>
    </row>
    <row r="200" spans="2:18" ht="21" x14ac:dyDescent="0.25">
      <c r="B200" s="631" t="s">
        <v>30</v>
      </c>
      <c r="C200" s="631"/>
    </row>
    <row r="201" spans="2:18" ht="15.75" x14ac:dyDescent="0.25">
      <c r="B201" s="60" t="s">
        <v>0</v>
      </c>
      <c r="C201" s="61" t="s">
        <v>1</v>
      </c>
      <c r="D201" s="61" t="s">
        <v>21</v>
      </c>
      <c r="E201" s="61" t="s">
        <v>22</v>
      </c>
      <c r="F201" s="61" t="s">
        <v>3</v>
      </c>
      <c r="G201" s="61" t="s">
        <v>4</v>
      </c>
      <c r="H201" s="61" t="s">
        <v>23</v>
      </c>
      <c r="I201" s="61" t="s">
        <v>17</v>
      </c>
      <c r="J201" s="61" t="s">
        <v>7</v>
      </c>
      <c r="K201" s="61" t="s">
        <v>24</v>
      </c>
      <c r="L201" s="61" t="s">
        <v>10</v>
      </c>
      <c r="M201" s="62" t="s">
        <v>38</v>
      </c>
    </row>
    <row r="202" spans="2:18" x14ac:dyDescent="0.25">
      <c r="B202" s="40"/>
      <c r="C202" s="41"/>
      <c r="D202" s="42"/>
      <c r="E202" s="43"/>
      <c r="F202" s="44"/>
      <c r="G202" s="98" t="str">
        <f>IFERROR(IF(venta_a_mes8[[#This Row],[CUIT]]="","-",VLOOKUP(venta_a_mes8[[#This Row],[CUIT]],Lista_CUIT[#All],2,0)),"CUIT NO CARGADO")</f>
        <v>-</v>
      </c>
      <c r="H202" s="99"/>
      <c r="I202" s="100">
        <f>venta_a_mes8[[#This Row],[IMPORTE NETO]]*0.21</f>
        <v>0</v>
      </c>
      <c r="J202" s="65"/>
      <c r="K202" s="65"/>
      <c r="L202" s="65">
        <f>SUM(venta_a_mes8[[#This Row],[IMPORTE NETO]:[EXENTO]])</f>
        <v>0</v>
      </c>
      <c r="M202" s="59"/>
    </row>
    <row r="203" spans="2:18" x14ac:dyDescent="0.25">
      <c r="B203" s="40"/>
      <c r="C203" s="41"/>
      <c r="D203" s="42"/>
      <c r="E203" s="43"/>
      <c r="F203" s="44"/>
      <c r="G203" s="98" t="str">
        <f>IFERROR(IF(venta_a_mes8[[#This Row],[CUIT]]="","-",VLOOKUP(venta_a_mes8[[#This Row],[CUIT]],Lista_CUIT[#All],2,0)),"CUIT NO CARGADO")</f>
        <v>-</v>
      </c>
      <c r="H203" s="99"/>
      <c r="I203" s="100">
        <f>venta_a_mes8[[#This Row],[IMPORTE NETO]]*0.21</f>
        <v>0</v>
      </c>
      <c r="J203" s="65"/>
      <c r="K203" s="65"/>
      <c r="L203" s="65">
        <f>SUM(venta_a_mes8[[#This Row],[IMPORTE NETO]:[EXENTO]])</f>
        <v>0</v>
      </c>
      <c r="M203" s="59"/>
    </row>
    <row r="204" spans="2:18" x14ac:dyDescent="0.25">
      <c r="B204" s="40"/>
      <c r="C204" s="41"/>
      <c r="D204" s="42"/>
      <c r="E204" s="43"/>
      <c r="F204" s="44"/>
      <c r="G204" s="98" t="str">
        <f>IFERROR(IF(venta_a_mes8[[#This Row],[CUIT]]="","-",VLOOKUP(venta_a_mes8[[#This Row],[CUIT]],Lista_CUIT[#All],2,0)),"CUIT NO CARGADO")</f>
        <v>-</v>
      </c>
      <c r="H204" s="99"/>
      <c r="I204" s="100">
        <f>venta_a_mes8[[#This Row],[IMPORTE NETO]]*0.21</f>
        <v>0</v>
      </c>
      <c r="J204" s="65"/>
      <c r="K204" s="65"/>
      <c r="L204" s="65">
        <f>SUM(venta_a_mes8[[#This Row],[IMPORTE NETO]:[EXENTO]])</f>
        <v>0</v>
      </c>
      <c r="M204" s="59"/>
    </row>
    <row r="205" spans="2:18" x14ac:dyDescent="0.25">
      <c r="B205" s="40"/>
      <c r="C205" s="41"/>
      <c r="D205" s="42"/>
      <c r="E205" s="43"/>
      <c r="F205" s="44"/>
      <c r="G205" s="98" t="str">
        <f>IFERROR(IF(venta_a_mes8[[#This Row],[CUIT]]="","-",VLOOKUP(venta_a_mes8[[#This Row],[CUIT]],Lista_CUIT[#All],2,0)),"CUIT NO CARGADO")</f>
        <v>-</v>
      </c>
      <c r="H205" s="99"/>
      <c r="I205" s="100">
        <f>venta_a_mes8[[#This Row],[IMPORTE NETO]]*0.21</f>
        <v>0</v>
      </c>
      <c r="J205" s="65"/>
      <c r="K205" s="65"/>
      <c r="L205" s="65">
        <f>SUM(venta_a_mes8[[#This Row],[IMPORTE NETO]:[EXENTO]])</f>
        <v>0</v>
      </c>
      <c r="M205" s="59"/>
    </row>
    <row r="206" spans="2:18" x14ac:dyDescent="0.25">
      <c r="B206" s="40"/>
      <c r="C206" s="41"/>
      <c r="D206" s="42"/>
      <c r="E206" s="43"/>
      <c r="F206" s="44"/>
      <c r="G206" s="98" t="str">
        <f>IFERROR(IF(venta_a_mes8[[#This Row],[CUIT]]="","-",VLOOKUP(venta_a_mes8[[#This Row],[CUIT]],Lista_CUIT[#All],2,0)),"CUIT NO CARGADO")</f>
        <v>-</v>
      </c>
      <c r="H206" s="99"/>
      <c r="I206" s="100">
        <f>venta_a_mes8[[#This Row],[IMPORTE NETO]]*0.21</f>
        <v>0</v>
      </c>
      <c r="J206" s="65"/>
      <c r="K206" s="65"/>
      <c r="L206" s="65">
        <f>SUM(venta_a_mes8[[#This Row],[IMPORTE NETO]:[EXENTO]])</f>
        <v>0</v>
      </c>
      <c r="M206" s="59"/>
    </row>
    <row r="207" spans="2:18" x14ac:dyDescent="0.25">
      <c r="B207" s="40"/>
      <c r="C207" s="41"/>
      <c r="D207" s="42"/>
      <c r="E207" s="43"/>
      <c r="F207" s="44"/>
      <c r="G207" s="98" t="str">
        <f>IFERROR(IF(venta_a_mes8[[#This Row],[CUIT]]="","-",VLOOKUP(venta_a_mes8[[#This Row],[CUIT]],Lista_CUIT[#All],2,0)),"CUIT NO CARGADO")</f>
        <v>-</v>
      </c>
      <c r="H207" s="99"/>
      <c r="I207" s="100">
        <f>venta_a_mes8[[#This Row],[IMPORTE NETO]]*0.21</f>
        <v>0</v>
      </c>
      <c r="J207" s="65"/>
      <c r="K207" s="65"/>
      <c r="L207" s="65">
        <f>SUM(venta_a_mes8[[#This Row],[IMPORTE NETO]:[EXENTO]])</f>
        <v>0</v>
      </c>
      <c r="M207" s="59"/>
    </row>
    <row r="208" spans="2:18" x14ac:dyDescent="0.25">
      <c r="B208" s="40"/>
      <c r="C208" s="41"/>
      <c r="D208" s="42"/>
      <c r="E208" s="43"/>
      <c r="F208" s="44"/>
      <c r="G208" s="98" t="str">
        <f>IFERROR(IF(venta_a_mes8[[#This Row],[CUIT]]="","-",VLOOKUP(venta_a_mes8[[#This Row],[CUIT]],Lista_CUIT[#All],2,0)),"CUIT NO CARGADO")</f>
        <v>-</v>
      </c>
      <c r="H208" s="99"/>
      <c r="I208" s="100">
        <f>venta_a_mes8[[#This Row],[IMPORTE NETO]]*0.21</f>
        <v>0</v>
      </c>
      <c r="J208" s="65"/>
      <c r="K208" s="65"/>
      <c r="L208" s="65">
        <f>SUM(venta_a_mes8[[#This Row],[IMPORTE NETO]:[EXENTO]])</f>
        <v>0</v>
      </c>
      <c r="M208" s="63"/>
    </row>
    <row r="209" spans="2:13" x14ac:dyDescent="0.25">
      <c r="B209" s="101"/>
      <c r="C209" s="102"/>
      <c r="D209" s="103"/>
      <c r="E209" s="104"/>
      <c r="F209" s="105"/>
      <c r="G209" s="98" t="str">
        <f>IFERROR(IF(venta_a_mes8[[#This Row],[CUIT]]="","-",VLOOKUP(venta_a_mes8[[#This Row],[CUIT]],Lista_CUIT[#All],2,0)),"CUIT NO CARGADO")</f>
        <v>-</v>
      </c>
      <c r="H209" s="106"/>
      <c r="I209" s="107">
        <f>venta_a_mes8[[#This Row],[IMPORTE NETO]]*0.21</f>
        <v>0</v>
      </c>
      <c r="J209" s="72"/>
      <c r="K209" s="72"/>
      <c r="L209" s="72">
        <f>SUM(venta_a_mes8[[#This Row],[IMPORTE NETO]:[EXENTO]])</f>
        <v>0</v>
      </c>
      <c r="M209" s="63"/>
    </row>
    <row r="210" spans="2:13" x14ac:dyDescent="0.25">
      <c r="B210" s="108"/>
      <c r="C210" s="109"/>
      <c r="D210" s="110"/>
      <c r="E210" s="111"/>
      <c r="F210" s="112"/>
      <c r="G210" s="98" t="str">
        <f>IFERROR(IF(venta_a_mes8[[#This Row],[CUIT]]="","-",VLOOKUP(venta_a_mes8[[#This Row],[CUIT]],Lista_CUIT[#All],2,0)),"CUIT NO CARGADO")</f>
        <v>-</v>
      </c>
      <c r="H210" s="99"/>
      <c r="I210" s="100">
        <f>venta_a_mes8[[#This Row],[IMPORTE NETO]]*0.21</f>
        <v>0</v>
      </c>
      <c r="J210" s="65"/>
      <c r="K210" s="65"/>
      <c r="L210" s="65">
        <f>SUM(venta_a_mes8[[#This Row],[IMPORTE NETO]:[EXENTO]])</f>
        <v>0</v>
      </c>
      <c r="M210" s="59"/>
    </row>
    <row r="211" spans="2:13" x14ac:dyDescent="0.25">
      <c r="B211" s="66" t="s">
        <v>110</v>
      </c>
      <c r="C211" s="67"/>
      <c r="D211" s="67"/>
      <c r="E211" s="67"/>
      <c r="F211" s="67"/>
      <c r="G211" s="67"/>
      <c r="H211" s="69">
        <f>SUBTOTAL(109,venta_a_mes8[IMPORTE NETO])</f>
        <v>0</v>
      </c>
      <c r="I211" s="70">
        <f>SUBTOTAL(109,venta_a_mes8[IVA 21%])</f>
        <v>0</v>
      </c>
      <c r="J211" s="71">
        <f>SUBTOTAL(109,venta_a_mes8[IVA 10,5%])</f>
        <v>0</v>
      </c>
      <c r="K211" s="71">
        <f>SUBTOTAL(109,venta_a_mes8[EXENTO])</f>
        <v>0</v>
      </c>
      <c r="L211" s="71">
        <f>SUBTOTAL(109,venta_a_mes8[TOTAL])</f>
        <v>0</v>
      </c>
      <c r="M211" s="68">
        <f>SUBTOTAL(103,venta_a_mes8[Provincia])</f>
        <v>0</v>
      </c>
    </row>
    <row r="214" spans="2:13" ht="21" x14ac:dyDescent="0.25">
      <c r="B214" s="631" t="s">
        <v>31</v>
      </c>
      <c r="C214" s="631"/>
    </row>
    <row r="215" spans="2:13" ht="15.75" x14ac:dyDescent="0.25">
      <c r="B215" s="60" t="s">
        <v>0</v>
      </c>
      <c r="C215" s="61" t="s">
        <v>1</v>
      </c>
      <c r="D215" s="61" t="s">
        <v>21</v>
      </c>
      <c r="E215" s="61" t="s">
        <v>22</v>
      </c>
      <c r="F215" s="61" t="s">
        <v>3</v>
      </c>
      <c r="G215" s="61" t="s">
        <v>4</v>
      </c>
      <c r="H215" s="61" t="s">
        <v>23</v>
      </c>
      <c r="I215" s="61" t="s">
        <v>17</v>
      </c>
      <c r="J215" s="61" t="s">
        <v>7</v>
      </c>
      <c r="K215" s="61" t="s">
        <v>24</v>
      </c>
      <c r="L215" s="61" t="s">
        <v>10</v>
      </c>
      <c r="M215" s="62" t="s">
        <v>38</v>
      </c>
    </row>
    <row r="216" spans="2:13" x14ac:dyDescent="0.25">
      <c r="B216" s="40"/>
      <c r="C216" s="41"/>
      <c r="D216" s="42"/>
      <c r="E216" s="43"/>
      <c r="F216" s="44"/>
      <c r="G216" s="1" t="str">
        <f>IFERROR(IF(ventas_b_mes8[[#This Row],[CUIT]]="","-",VLOOKUP(ventas_b_mes8[[#This Row],[CUIT]],Lista_CUIT[#All],2,0)),"CUIT NO CARGADO")</f>
        <v>-</v>
      </c>
      <c r="H216" s="64"/>
      <c r="I216" s="64"/>
      <c r="J216" s="64"/>
      <c r="K216" s="64"/>
      <c r="L216" s="64">
        <f>SUM(ventas_b_mes8[[#This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1"/>
      <c r="H217" s="64"/>
      <c r="I217" s="64"/>
      <c r="J217" s="64"/>
      <c r="K217" s="64"/>
      <c r="L217" s="64">
        <f>SUM(ventas_b_mes8[[#This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1"/>
      <c r="H218" s="64"/>
      <c r="I218" s="64"/>
      <c r="J218" s="64"/>
      <c r="K218" s="64"/>
      <c r="L218" s="64">
        <f>SUM(ventas_b_mes8[[#This Row],[IMPORTE NETO]:[EXENTO]])</f>
        <v>0</v>
      </c>
      <c r="M218" s="59"/>
    </row>
    <row r="219" spans="2:13" x14ac:dyDescent="0.25">
      <c r="B219" s="40"/>
      <c r="C219" s="41"/>
      <c r="D219" s="42"/>
      <c r="E219" s="43"/>
      <c r="F219" s="44"/>
      <c r="G219" s="1"/>
      <c r="H219" s="64"/>
      <c r="I219" s="64"/>
      <c r="J219" s="64"/>
      <c r="K219" s="64"/>
      <c r="L219" s="64">
        <f>SUM(ventas_b_mes8[[#This Row],[IMPORTE NETO]:[EXENTO]])</f>
        <v>0</v>
      </c>
      <c r="M219" s="59"/>
    </row>
    <row r="220" spans="2:13" x14ac:dyDescent="0.25">
      <c r="B220" s="40"/>
      <c r="C220" s="41"/>
      <c r="D220" s="42"/>
      <c r="E220" s="43"/>
      <c r="F220" s="44"/>
      <c r="G220" s="1"/>
      <c r="H220" s="64"/>
      <c r="I220" s="64"/>
      <c r="J220" s="64"/>
      <c r="K220" s="64"/>
      <c r="L220" s="64">
        <f>SUM(ventas_b_mes8[[#This Row],[IMPORTE NETO]:[EXENTO]])</f>
        <v>0</v>
      </c>
      <c r="M220" s="59"/>
    </row>
    <row r="221" spans="2:13" x14ac:dyDescent="0.25">
      <c r="B221" s="40"/>
      <c r="C221" s="41"/>
      <c r="D221" s="42"/>
      <c r="E221" s="43"/>
      <c r="F221" s="44"/>
      <c r="G221" s="1"/>
      <c r="H221" s="64"/>
      <c r="I221" s="64"/>
      <c r="J221" s="64"/>
      <c r="K221" s="64"/>
      <c r="L221" s="64">
        <f>SUM(ventas_b_mes8[[#This Row],[IMPORTE NETO]:[EXENTO]])</f>
        <v>0</v>
      </c>
      <c r="M221" s="59"/>
    </row>
    <row r="222" spans="2:13" x14ac:dyDescent="0.25">
      <c r="B222" s="66" t="s">
        <v>110</v>
      </c>
      <c r="C222" s="67"/>
      <c r="D222" s="67"/>
      <c r="E222" s="67"/>
      <c r="F222" s="67"/>
      <c r="G222" s="67"/>
      <c r="H222" s="77">
        <f>SUBTOTAL(109,ventas_b_mes8[IMPORTE NETO])</f>
        <v>0</v>
      </c>
      <c r="I222" s="77">
        <f>SUBTOTAL(109,ventas_b_mes8[IVA 21%])</f>
        <v>0</v>
      </c>
      <c r="J222" s="78">
        <f>SUBTOTAL(109,ventas_b_mes8[IVA 10,5%])</f>
        <v>0</v>
      </c>
      <c r="K222" s="78">
        <f>SUBTOTAL(109,ventas_b_mes8[EXENTO])</f>
        <v>0</v>
      </c>
      <c r="L222" s="78">
        <f>SUBTOTAL(109,ventas_b_mes8[TOTAL])</f>
        <v>0</v>
      </c>
      <c r="M222" s="68">
        <f>SUBTOTAL(103,ventas_b_mes8[Provincia])</f>
        <v>0</v>
      </c>
    </row>
    <row r="229" spans="3:12" ht="15.75" thickBot="1" x14ac:dyDescent="0.3"/>
    <row r="230" spans="3:12" ht="15.75" thickTop="1" x14ac:dyDescent="0.25">
      <c r="C230" s="625" t="s">
        <v>66</v>
      </c>
      <c r="D230" s="625"/>
      <c r="E230" s="625"/>
      <c r="F230" s="625"/>
      <c r="G230" s="625"/>
      <c r="H230" s="32"/>
      <c r="I230" s="32"/>
      <c r="J230" s="32"/>
    </row>
    <row r="231" spans="3:12" ht="15.75" x14ac:dyDescent="0.25">
      <c r="C231" s="113" t="s">
        <v>67</v>
      </c>
      <c r="D231" s="114" t="s">
        <v>68</v>
      </c>
      <c r="E231" s="114" t="s">
        <v>112</v>
      </c>
      <c r="F231" s="114" t="s">
        <v>3</v>
      </c>
      <c r="G231" s="114" t="s">
        <v>4</v>
      </c>
      <c r="H231" s="115" t="s">
        <v>69</v>
      </c>
      <c r="I231" s="115" t="s">
        <v>70</v>
      </c>
      <c r="J231" s="115" t="s">
        <v>71</v>
      </c>
      <c r="K231" s="115" t="s">
        <v>72</v>
      </c>
      <c r="L231" s="115" t="s">
        <v>73</v>
      </c>
    </row>
    <row r="232" spans="3:12" x14ac:dyDescent="0.25">
      <c r="C232" s="116"/>
      <c r="D232" s="117"/>
      <c r="E232" s="117"/>
      <c r="F232" s="118"/>
      <c r="G232" s="53" t="str">
        <f>IFERROR(IF(Retenciones_mes8[[#This Row],[CUIT]]="","-",VLOOKUP(Retenciones_mes8[[#This Row],[CUIT]],Lista_CUIT[#All],2,0)),"CUIT NO CARGADO")</f>
        <v>-</v>
      </c>
      <c r="H232" s="119"/>
      <c r="I232" s="119"/>
      <c r="J232" s="119"/>
      <c r="K232" s="119"/>
      <c r="L232" s="119"/>
    </row>
    <row r="233" spans="3:12" x14ac:dyDescent="0.25">
      <c r="C233" s="116"/>
      <c r="D233" s="117"/>
      <c r="E233" s="117"/>
      <c r="F233" s="118"/>
      <c r="G233" s="53" t="str">
        <f>IFERROR(IF(Retenciones_mes8[[#This Row],[CUIT]]="","-",VLOOKUP(Retenciones_mes8[[#This Row],[CUIT]],Lista_CUIT[#All],2,0)),"CUIT NO CARGADO")</f>
        <v>-</v>
      </c>
      <c r="H233" s="119"/>
      <c r="I233" s="119"/>
      <c r="J233" s="119"/>
      <c r="K233" s="119"/>
      <c r="L233" s="119"/>
    </row>
    <row r="234" spans="3:12" x14ac:dyDescent="0.25">
      <c r="C234" s="116"/>
      <c r="D234" s="117"/>
      <c r="E234" s="117"/>
      <c r="F234" s="118"/>
      <c r="G234" s="53" t="str">
        <f>IFERROR(IF(Retenciones_mes8[[#This Row],[CUIT]]="","-",VLOOKUP(Retenciones_mes8[[#This Row],[CUIT]],Lista_CUIT[#All],2,0)),"CUIT NO CARGADO")</f>
        <v>-</v>
      </c>
      <c r="H234" s="119"/>
      <c r="I234" s="119"/>
      <c r="J234" s="119"/>
      <c r="K234" s="119"/>
      <c r="L234" s="119"/>
    </row>
    <row r="235" spans="3:12" x14ac:dyDescent="0.25">
      <c r="C235" s="116"/>
      <c r="D235" s="117"/>
      <c r="E235" s="117"/>
      <c r="F235" s="118"/>
      <c r="G235" s="53" t="str">
        <f>IFERROR(IF(Retenciones_mes8[[#This Row],[CUIT]]="","-",VLOOKUP(Retenciones_mes8[[#This Row],[CUIT]],Lista_CUIT[#All],2,0)),"CUIT NO CARGADO")</f>
        <v>-</v>
      </c>
      <c r="H235" s="119"/>
      <c r="I235" s="119"/>
      <c r="J235" s="119"/>
      <c r="K235" s="119"/>
      <c r="L235" s="119"/>
    </row>
    <row r="236" spans="3:12" x14ac:dyDescent="0.25">
      <c r="D236" s="117"/>
      <c r="E236" s="117"/>
      <c r="G236" s="53" t="str">
        <f>IFERROR(IF(Retenciones_mes8[[#This Row],[CUIT]]="","-",VLOOKUP(Retenciones_mes8[[#This Row],[CUIT]],Lista_CUIT[#All],2,0)),"CUIT NO CARGADO")</f>
        <v>-</v>
      </c>
    </row>
    <row r="237" spans="3:12" x14ac:dyDescent="0.25">
      <c r="C237" s="33"/>
    </row>
  </sheetData>
  <mergeCells count="20">
    <mergeCell ref="C230:G230"/>
    <mergeCell ref="B4:E4"/>
    <mergeCell ref="G4:H4"/>
    <mergeCell ref="J4:K4"/>
    <mergeCell ref="M4:N4"/>
    <mergeCell ref="D160:K160"/>
    <mergeCell ref="B198:J198"/>
    <mergeCell ref="K198:M198"/>
    <mergeCell ref="B200:C200"/>
    <mergeCell ref="B214:C214"/>
    <mergeCell ref="P4:R4"/>
    <mergeCell ref="D151:L15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216:L221" xr:uid="{00000000-0002-0000-0800-000000000000}">
      <formula1>IF($C216=8,H216&lt;0,H216&gt;=0)</formula1>
    </dataValidation>
    <dataValidation type="custom" allowBlank="1" showInputMessage="1" showErrorMessage="1" sqref="L204:L206" xr:uid="{00000000-0002-0000-0800-000001000000}">
      <formula1>IF($C113=3,L113&lt;0,L113&gt;=0)</formula1>
    </dataValidation>
    <dataValidation type="whole" allowBlank="1" showInputMessage="1" showErrorMessage="1" sqref="C216:C221" xr:uid="{00000000-0002-0000-0800-000002000000}">
      <formula1>6</formula1>
      <formula2>8</formula2>
    </dataValidation>
    <dataValidation type="custom" allowBlank="1" showInputMessage="1" showErrorMessage="1" sqref="H202:K202 H204:K204 H206:K206 H208:K208" xr:uid="{00000000-0002-0000-0800-000003000000}">
      <formula1>IF($C202=3,H202&lt;0,H202&gt;=0)</formula1>
    </dataValidation>
    <dataValidation type="whole" allowBlank="1" showInputMessage="1" showErrorMessage="1" sqref="C202:C210 C147:C150 C9:C145" xr:uid="{00000000-0002-0000-0800-000004000000}">
      <formula1>1</formula1>
      <formula2>3</formula2>
    </dataValidation>
    <dataValidation type="date" allowBlank="1" showInputMessage="1" showErrorMessage="1" sqref="D153:D155 B202:B210 D162:D191 B147:B150 B216:B221 B9:B145" xr:uid="{00000000-0002-0000-0800-000005000000}">
      <formula1>40179</formula1>
      <formula2>TODAY()</formula2>
    </dataValidation>
    <dataValidation type="whole" allowBlank="1" showInputMessage="1" showErrorMessage="1" sqref="G162:G191 F202:F210 F216:F221 F9:F145" xr:uid="{00000000-0002-0000-0800-000006000000}">
      <formula1>20000000000</formula1>
      <formula2>33999999999</formula2>
    </dataValidation>
    <dataValidation type="whole" allowBlank="1" showInputMessage="1" showErrorMessage="1" sqref="F162:F191 E202:E210 E216:E221 E9:E145" xr:uid="{00000000-0002-0000-0800-000007000000}">
      <formula1>1</formula1>
      <formula2>99999999</formula2>
    </dataValidation>
    <dataValidation type="whole" allowBlank="1" showInputMessage="1" showErrorMessage="1" sqref="E162:E191 D202:D210 D216:D221 D9:D145" xr:uid="{00000000-0002-0000-0800-000008000000}">
      <formula1>1</formula1>
      <formula2>9999</formula2>
    </dataValidation>
    <dataValidation type="custom" allowBlank="1" showInputMessage="1" showErrorMessage="1" sqref="L202" xr:uid="{00000000-0002-0000-0800-000009000000}">
      <formula1>IF($C9=3,L9&lt;0,L9&gt;=0)</formula1>
    </dataValidation>
    <dataValidation type="custom" allowBlank="1" showInputMessage="1" showErrorMessage="1" sqref="L203" xr:uid="{00000000-0002-0000-0800-00000A000000}">
      <formula1>IF($C110=3,L110&lt;0,L110&gt;=0)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5" xr:uid="{00000000-0002-0000-0800-00000B000000}">
      <formula1>IF($C9=3,H9&lt;0,H9&gt;=0)</formula1>
    </dataValidation>
    <dataValidation type="custom" allowBlank="1" showInputMessage="1" showErrorMessage="1" sqref="L207:L208" xr:uid="{00000000-0002-0000-0800-00000C000000}">
      <formula1>IF($C146=3,L146&lt;0,L146&gt;=0)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237"/>
  <sheetViews>
    <sheetView showGridLines="0" topLeftCell="E55" zoomScale="70" zoomScaleNormal="70" workbookViewId="0">
      <selection activeCell="G92" sqref="G92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EDATE('Ene-25'!N1,8)</f>
        <v>45901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SUM(compras_mes9[[#Totals],[NETO GRAVADO]])+extracto_banco_mes9[[#Totals],[NETO]]</f>
        <v>55018867.049999997</v>
      </c>
      <c r="C4" s="626"/>
      <c r="D4" s="626"/>
      <c r="E4" s="626"/>
      <c r="F4" s="39"/>
      <c r="G4" s="627">
        <f>compras_mes9[[#Totals],[IVA 21 %]]+compras_mes9[[#Totals],[IVA 27%]]+compras_mes9[[#Totals],[IVA 10,5%]]+extracto_banco_mes9[[#Totals],[IVA 21%]]+extracto_banco_mes9[[#Totals],[IVA 10,5%]]</f>
        <v>11518113.024299998</v>
      </c>
      <c r="H4" s="627"/>
      <c r="I4" s="39"/>
      <c r="J4" s="628">
        <f>venta_a_mes9[[#Totals],[IMPORTE NETO]]+ventas_b_mes9[[#Totals],[IMPORTE NETO]]</f>
        <v>0</v>
      </c>
      <c r="K4" s="628"/>
      <c r="L4" s="39"/>
      <c r="M4" s="628">
        <f>venta_a_mes9[[#Totals],[IVA 21%]]+venta_a_mes9[[#Totals],[IVA 10,5%]]+ventas_b_mes9[[#Totals],[IVA 21%]]+ventas_b_mes9[[#Totals],[IVA 10,5%]]</f>
        <v>0</v>
      </c>
      <c r="N4" s="628"/>
      <c r="O4" s="39"/>
      <c r="P4" s="616">
        <f>G4-M4</f>
        <v>11518113.024299998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/>
      <c r="C9" s="41"/>
      <c r="D9" s="42"/>
      <c r="E9" s="43"/>
      <c r="F9" s="44">
        <v>30715141201</v>
      </c>
      <c r="G9" s="45" t="str">
        <f>IFERROR(IF(compras_mes9[[#This Row],[CUIT]]="","-",VLOOKUP(compras_mes9[[#This Row],[CUIT]],Lista_CUIT[#All],2,0)),"CUIT NO CARGADO")</f>
        <v>REHAB SRL</v>
      </c>
      <c r="H9" s="46">
        <v>184601</v>
      </c>
      <c r="I9" s="85">
        <f>IF(compras_mes9[[#This Row],[NETO GRAVADO]]="","",compras_mes9[[#This Row],[NETO GRAVADO]]*0.21)</f>
        <v>38766.21</v>
      </c>
      <c r="J9" s="85"/>
      <c r="K9" s="85"/>
      <c r="L9" s="85"/>
      <c r="M9" s="85"/>
      <c r="N9" s="85"/>
      <c r="O9" s="85"/>
      <c r="P9" s="48">
        <f>SUM(compras_mes9[[#This Row],[NETO GRAVADO]:[Otros / No Grav.]])</f>
        <v>223367.21</v>
      </c>
      <c r="Q9" s="49" t="str">
        <f>IFERROR(IF(compras_mes9[[#This Row],[CUIT]]="","-",VLOOKUP(compras_mes9[[#This Row],[CUIT]],Lista_CUIT[#All],3,0)),"CUIT NO CARGADO")</f>
        <v>INSUMO</v>
      </c>
      <c r="R9" s="49">
        <f>IFERROR(IF(compras_mes9[[#This Row],[CUIT]]="","-",VLOOKUP(compras_mes9[[#This Row],[CUIT]],Lista_CUIT[#All],4,0)),"CUIT NO CARGADO")</f>
        <v>0</v>
      </c>
    </row>
    <row r="10" spans="1:26" x14ac:dyDescent="0.25">
      <c r="B10" s="40"/>
      <c r="C10" s="41"/>
      <c r="D10" s="42"/>
      <c r="E10" s="43"/>
      <c r="F10" s="44">
        <v>30715141201</v>
      </c>
      <c r="G10" s="45" t="str">
        <f>IFERROR(IF(compras_mes9[[#This Row],[CUIT]]="","-",VLOOKUP(compras_mes9[[#This Row],[CUIT]],Lista_CUIT[#All],2,0)),"CUIT NO CARGADO")</f>
        <v>REHAB SRL</v>
      </c>
      <c r="H10" s="46">
        <v>10114320</v>
      </c>
      <c r="I10" s="85">
        <f>IF(compras_mes9[[#This Row],[NETO GRAVADO]]="","",compras_mes9[[#This Row],[NETO GRAVADO]]*0.21)</f>
        <v>2124007.1999999997</v>
      </c>
      <c r="J10" s="85"/>
      <c r="K10" s="85"/>
      <c r="L10" s="85"/>
      <c r="M10" s="85"/>
      <c r="N10" s="85"/>
      <c r="O10" s="85"/>
      <c r="P10" s="48">
        <f>SUM(compras_mes9[[#This Row],[NETO GRAVADO]:[Otros / No Grav.]])</f>
        <v>12238327.199999999</v>
      </c>
      <c r="Q10" s="49" t="str">
        <f>IFERROR(IF(compras_mes9[[#This Row],[CUIT]]="","-",VLOOKUP(compras_mes9[[#This Row],[CUIT]],Lista_CUIT[#All],3,0)),"CUIT NO CARGADO")</f>
        <v>INSUMO</v>
      </c>
      <c r="R10" s="49">
        <f>IFERROR(IF(compras_mes9[[#This Row],[CUIT]]="","-",VLOOKUP(compras_mes9[[#This Row],[CUIT]],Lista_CUIT[#All],4,0)),"CUIT NO CARGADO")</f>
        <v>0</v>
      </c>
    </row>
    <row r="11" spans="1:26" x14ac:dyDescent="0.25">
      <c r="B11" s="40"/>
      <c r="C11" s="41"/>
      <c r="D11" s="42"/>
      <c r="E11" s="43"/>
      <c r="F11" s="44">
        <v>30715141201</v>
      </c>
      <c r="G11" s="45" t="str">
        <f>IFERROR(IF(compras_mes9[[#This Row],[CUIT]]="","-",VLOOKUP(compras_mes9[[#This Row],[CUIT]],Lista_CUIT[#All],2,0)),"CUIT NO CARGADO")</f>
        <v>REHAB SRL</v>
      </c>
      <c r="H11" s="46">
        <v>3569145</v>
      </c>
      <c r="I11" s="85">
        <f>IF(compras_mes9[[#This Row],[NETO GRAVADO]]="","",compras_mes9[[#This Row],[NETO GRAVADO]]*0.21)</f>
        <v>749520.45</v>
      </c>
      <c r="J11" s="85"/>
      <c r="K11" s="85"/>
      <c r="L11" s="85"/>
      <c r="M11" s="85"/>
      <c r="N11" s="85"/>
      <c r="O11" s="85"/>
      <c r="P11" s="48">
        <f>SUM(compras_mes9[[#This Row],[NETO GRAVADO]:[Otros / No Grav.]])</f>
        <v>4318665.45</v>
      </c>
      <c r="Q11" s="49" t="str">
        <f>IFERROR(IF(compras_mes9[[#This Row],[CUIT]]="","-",VLOOKUP(compras_mes9[[#This Row],[CUIT]],Lista_CUIT[#All],3,0)),"CUIT NO CARGADO")</f>
        <v>INSUMO</v>
      </c>
      <c r="R11" s="49">
        <f>IFERROR(IF(compras_mes9[[#This Row],[CUIT]]="","-",VLOOKUP(compras_mes9[[#This Row],[CUIT]],Lista_CUIT[#All],4,0)),"CUIT NO CARGADO")</f>
        <v>0</v>
      </c>
    </row>
    <row r="12" spans="1:26" x14ac:dyDescent="0.25">
      <c r="B12" s="40"/>
      <c r="C12" s="41"/>
      <c r="D12" s="42"/>
      <c r="E12" s="43"/>
      <c r="F12" s="44">
        <v>30715141201</v>
      </c>
      <c r="G12" s="45" t="str">
        <f>IFERROR(IF(compras_mes9[[#This Row],[CUIT]]="","-",VLOOKUP(compras_mes9[[#This Row],[CUIT]],Lista_CUIT[#All],2,0)),"CUIT NO CARGADO")</f>
        <v>REHAB SRL</v>
      </c>
      <c r="H12" s="46">
        <v>2260440</v>
      </c>
      <c r="I12" s="85">
        <f>IF(compras_mes9[[#This Row],[NETO GRAVADO]]="","",compras_mes9[[#This Row],[NETO GRAVADO]]*0.21)</f>
        <v>474692.39999999997</v>
      </c>
      <c r="J12" s="85"/>
      <c r="K12" s="85"/>
      <c r="L12" s="85"/>
      <c r="M12" s="85"/>
      <c r="N12" s="85"/>
      <c r="O12" s="85"/>
      <c r="P12" s="48">
        <f>SUM(compras_mes9[[#This Row],[NETO GRAVADO]:[Otros / No Grav.]])</f>
        <v>2735132.4</v>
      </c>
      <c r="Q12" s="49" t="str">
        <f>IFERROR(IF(compras_mes9[[#This Row],[CUIT]]="","-",VLOOKUP(compras_mes9[[#This Row],[CUIT]],Lista_CUIT[#All],3,0)),"CUIT NO CARGADO")</f>
        <v>INSUMO</v>
      </c>
      <c r="R12" s="49">
        <f>IFERROR(IF(compras_mes9[[#This Row],[CUIT]]="","-",VLOOKUP(compras_mes9[[#This Row],[CUIT]],Lista_CUIT[#All],4,0)),"CUIT NO CARGADO")</f>
        <v>0</v>
      </c>
    </row>
    <row r="13" spans="1:26" x14ac:dyDescent="0.25">
      <c r="B13" s="40"/>
      <c r="C13" s="41"/>
      <c r="D13" s="42"/>
      <c r="E13" s="43"/>
      <c r="F13" s="44">
        <v>30715141201</v>
      </c>
      <c r="G13" s="45" t="str">
        <f>IFERROR(IF(compras_mes9[[#This Row],[CUIT]]="","-",VLOOKUP(compras_mes9[[#This Row],[CUIT]],Lista_CUIT[#All],2,0)),"CUIT NO CARGADO")</f>
        <v>REHAB SRL</v>
      </c>
      <c r="H13" s="46">
        <v>1014731.25</v>
      </c>
      <c r="I13" s="85">
        <f>IF(compras_mes9[[#This Row],[NETO GRAVADO]]="","",compras_mes9[[#This Row],[NETO GRAVADO]]*0.21)</f>
        <v>213093.5625</v>
      </c>
      <c r="J13" s="85"/>
      <c r="K13" s="85"/>
      <c r="L13" s="85"/>
      <c r="M13" s="85"/>
      <c r="N13" s="85"/>
      <c r="O13" s="85"/>
      <c r="P13" s="48">
        <f>SUM(compras_mes9[[#This Row],[NETO GRAVADO]:[Otros / No Grav.]])</f>
        <v>1227824.8125</v>
      </c>
      <c r="Q13" s="49" t="str">
        <f>IFERROR(IF(compras_mes9[[#This Row],[CUIT]]="","-",VLOOKUP(compras_mes9[[#This Row],[CUIT]],Lista_CUIT[#All],3,0)),"CUIT NO CARGADO")</f>
        <v>INSUMO</v>
      </c>
      <c r="R13" s="49">
        <f>IFERROR(IF(compras_mes9[[#This Row],[CUIT]]="","-",VLOOKUP(compras_mes9[[#This Row],[CUIT]],Lista_CUIT[#All],4,0)),"CUIT NO CARGADO")</f>
        <v>0</v>
      </c>
    </row>
    <row r="14" spans="1:26" x14ac:dyDescent="0.25">
      <c r="B14" s="40"/>
      <c r="C14" s="41"/>
      <c r="D14" s="42"/>
      <c r="E14" s="43"/>
      <c r="F14" s="44">
        <v>30715141201</v>
      </c>
      <c r="G14" s="45" t="str">
        <f>IFERROR(IF(compras_mes9[[#This Row],[CUIT]]="","-",VLOOKUP(compras_mes9[[#This Row],[CUIT]],Lista_CUIT[#All],2,0)),"CUIT NO CARGADO")</f>
        <v>REHAB SRL</v>
      </c>
      <c r="H14" s="46">
        <v>3746096.95</v>
      </c>
      <c r="I14" s="85">
        <f>IF(compras_mes9[[#This Row],[NETO GRAVADO]]="","",compras_mes9[[#This Row],[NETO GRAVADO]]*0.21)</f>
        <v>786680.35950000002</v>
      </c>
      <c r="J14" s="85"/>
      <c r="K14" s="85"/>
      <c r="L14" s="85"/>
      <c r="M14" s="85"/>
      <c r="N14" s="85"/>
      <c r="O14" s="85"/>
      <c r="P14" s="48">
        <f>SUM(compras_mes9[[#This Row],[NETO GRAVADO]:[Otros / No Grav.]])</f>
        <v>4532777.3095000004</v>
      </c>
      <c r="Q14" s="49" t="str">
        <f>IFERROR(IF(compras_mes9[[#This Row],[CUIT]]="","-",VLOOKUP(compras_mes9[[#This Row],[CUIT]],Lista_CUIT[#All],3,0)),"CUIT NO CARGADO")</f>
        <v>INSUMO</v>
      </c>
      <c r="R14" s="49">
        <f>IFERROR(IF(compras_mes9[[#This Row],[CUIT]]="","-",VLOOKUP(compras_mes9[[#This Row],[CUIT]],Lista_CUIT[#All],4,0)),"CUIT NO CARGADO")</f>
        <v>0</v>
      </c>
    </row>
    <row r="15" spans="1:26" x14ac:dyDescent="0.25">
      <c r="B15" s="40"/>
      <c r="C15" s="41"/>
      <c r="D15" s="42"/>
      <c r="E15" s="43"/>
      <c r="F15" s="44">
        <v>30715141201</v>
      </c>
      <c r="G15" s="45" t="str">
        <f>IFERROR(IF(compras_mes9[[#This Row],[CUIT]]="","-",VLOOKUP(compras_mes9[[#This Row],[CUIT]],Lista_CUIT[#All],2,0)),"CUIT NO CARGADO")</f>
        <v>REHAB SRL</v>
      </c>
      <c r="H15" s="46">
        <v>262803.75</v>
      </c>
      <c r="I15" s="85">
        <f>IF(compras_mes9[[#This Row],[NETO GRAVADO]]="","",compras_mes9[[#This Row],[NETO GRAVADO]]*0.21)</f>
        <v>55188.787499999999</v>
      </c>
      <c r="J15" s="85"/>
      <c r="K15" s="85"/>
      <c r="L15" s="85"/>
      <c r="M15" s="85"/>
      <c r="N15" s="85"/>
      <c r="O15" s="85"/>
      <c r="P15" s="48">
        <f>SUM(compras_mes9[[#This Row],[NETO GRAVADO]:[Otros / No Grav.]])</f>
        <v>317992.53749999998</v>
      </c>
      <c r="Q15" s="49" t="str">
        <f>IFERROR(IF(compras_mes9[[#This Row],[CUIT]]="","-",VLOOKUP(compras_mes9[[#This Row],[CUIT]],Lista_CUIT[#All],3,0)),"CUIT NO CARGADO")</f>
        <v>INSUMO</v>
      </c>
      <c r="R15" s="49">
        <f>IFERROR(IF(compras_mes9[[#This Row],[CUIT]]="","-",VLOOKUP(compras_mes9[[#This Row],[CUIT]],Lista_CUIT[#All],4,0)),"CUIT NO CARGADO")</f>
        <v>0</v>
      </c>
    </row>
    <row r="16" spans="1:26" x14ac:dyDescent="0.25">
      <c r="B16" s="40"/>
      <c r="C16" s="41"/>
      <c r="D16" s="42"/>
      <c r="E16" s="43"/>
      <c r="F16" s="44">
        <v>30718387694</v>
      </c>
      <c r="G16" s="45" t="str">
        <f>IFERROR(IF(compras_mes9[[#This Row],[CUIT]]="","-",VLOOKUP(compras_mes9[[#This Row],[CUIT]],Lista_CUIT[#All],2,0)),"CUIT NO CARGADO")</f>
        <v>BUGABLER SA</v>
      </c>
      <c r="H16" s="46">
        <v>9750000</v>
      </c>
      <c r="I16" s="85">
        <f>IF(compras_mes9[[#This Row],[NETO GRAVADO]]="","",compras_mes9[[#This Row],[NETO GRAVADO]]*0.21)</f>
        <v>2047500</v>
      </c>
      <c r="J16" s="85"/>
      <c r="K16" s="85"/>
      <c r="L16" s="85"/>
      <c r="M16" s="85"/>
      <c r="N16" s="85"/>
      <c r="O16" s="85"/>
      <c r="P16" s="48">
        <f>SUM(compras_mes9[[#This Row],[NETO GRAVADO]:[Otros / No Grav.]])</f>
        <v>11797500</v>
      </c>
      <c r="Q16" s="49" t="str">
        <f>IFERROR(IF(compras_mes9[[#This Row],[CUIT]]="","-",VLOOKUP(compras_mes9[[#This Row],[CUIT]],Lista_CUIT[#All],3,0)),"CUIT NO CARGADO")</f>
        <v>Insumos</v>
      </c>
      <c r="R16" s="49">
        <f>IFERROR(IF(compras_mes9[[#This Row],[CUIT]]="","-",VLOOKUP(compras_mes9[[#This Row],[CUIT]],Lista_CUIT[#All],4,0)),"CUIT NO CARGADO")</f>
        <v>0</v>
      </c>
    </row>
    <row r="17" spans="2:18" x14ac:dyDescent="0.25">
      <c r="B17" s="40"/>
      <c r="C17" s="41"/>
      <c r="D17" s="42"/>
      <c r="E17" s="43"/>
      <c r="F17" s="44">
        <v>20272865869</v>
      </c>
      <c r="G17" s="45" t="str">
        <f>IFERROR(IF(compras_mes9[[#This Row],[CUIT]]="","-",VLOOKUP(compras_mes9[[#This Row],[CUIT]],Lista_CUIT[#All],2,0)),"CUIT NO CARGADO")</f>
        <v>DI FEO MARTIN EZEQUIEL</v>
      </c>
      <c r="H17" s="46">
        <v>138200</v>
      </c>
      <c r="I17" s="85">
        <f>IF(compras_mes9[[#This Row],[NETO GRAVADO]]="","",compras_mes9[[#This Row],[NETO GRAVADO]]*0.21)</f>
        <v>29022</v>
      </c>
      <c r="J17" s="85"/>
      <c r="K17" s="85"/>
      <c r="L17" s="85"/>
      <c r="M17" s="85"/>
      <c r="N17" s="85"/>
      <c r="O17" s="85"/>
      <c r="P17" s="48">
        <f>SUM(compras_mes9[[#This Row],[NETO GRAVADO]:[Otros / No Grav.]])</f>
        <v>167222</v>
      </c>
      <c r="Q17" s="49" t="str">
        <f>IFERROR(IF(compras_mes9[[#This Row],[CUIT]]="","-",VLOOKUP(compras_mes9[[#This Row],[CUIT]],Lista_CUIT[#All],3,0)),"CUIT NO CARGADO")</f>
        <v>INSUMOS</v>
      </c>
      <c r="R17" s="49">
        <f>IFERROR(IF(compras_mes9[[#This Row],[CUIT]]="","-",VLOOKUP(compras_mes9[[#This Row],[CUIT]],Lista_CUIT[#All],4,0)),"CUIT NO CARGADO")</f>
        <v>0</v>
      </c>
    </row>
    <row r="18" spans="2:18" x14ac:dyDescent="0.25">
      <c r="B18" s="40"/>
      <c r="C18" s="41"/>
      <c r="D18" s="42"/>
      <c r="E18" s="43"/>
      <c r="F18" s="44">
        <v>20272865869</v>
      </c>
      <c r="G18" s="45" t="str">
        <f>IFERROR(IF(compras_mes9[[#This Row],[CUIT]]="","-",VLOOKUP(compras_mes9[[#This Row],[CUIT]],Lista_CUIT[#All],2,0)),"CUIT NO CARGADO")</f>
        <v>DI FEO MARTIN EZEQUIEL</v>
      </c>
      <c r="H18" s="46">
        <v>44000</v>
      </c>
      <c r="I18" s="85">
        <f>IF(compras_mes9[[#This Row],[NETO GRAVADO]]="","",compras_mes9[[#This Row],[NETO GRAVADO]]*0.21)</f>
        <v>9240</v>
      </c>
      <c r="J18" s="85"/>
      <c r="K18" s="85"/>
      <c r="L18" s="85"/>
      <c r="M18" s="85"/>
      <c r="N18" s="85"/>
      <c r="O18" s="85"/>
      <c r="P18" s="48">
        <f>SUM(compras_mes9[[#This Row],[NETO GRAVADO]:[Otros / No Grav.]])</f>
        <v>53240</v>
      </c>
      <c r="Q18" s="49" t="str">
        <f>IFERROR(IF(compras_mes9[[#This Row],[CUIT]]="","-",VLOOKUP(compras_mes9[[#This Row],[CUIT]],Lista_CUIT[#All],3,0)),"CUIT NO CARGADO")</f>
        <v>INSUMOS</v>
      </c>
      <c r="R18" s="49">
        <f>IFERROR(IF(compras_mes9[[#This Row],[CUIT]]="","-",VLOOKUP(compras_mes9[[#This Row],[CUIT]],Lista_CUIT[#All],4,0)),"CUIT NO CARGADO")</f>
        <v>0</v>
      </c>
    </row>
    <row r="19" spans="2:18" x14ac:dyDescent="0.25">
      <c r="B19" s="40"/>
      <c r="C19" s="41"/>
      <c r="D19" s="42"/>
      <c r="E19" s="43"/>
      <c r="F19" s="44">
        <v>20272865869</v>
      </c>
      <c r="G19" s="45" t="str">
        <f>IFERROR(IF(compras_mes9[[#This Row],[CUIT]]="","-",VLOOKUP(compras_mes9[[#This Row],[CUIT]],Lista_CUIT[#All],2,0)),"CUIT NO CARGADO")</f>
        <v>DI FEO MARTIN EZEQUIEL</v>
      </c>
      <c r="H19" s="46">
        <v>218900</v>
      </c>
      <c r="I19" s="85">
        <f>IF(compras_mes9[[#This Row],[NETO GRAVADO]]="","",compras_mes9[[#This Row],[NETO GRAVADO]]*0.21)</f>
        <v>45969</v>
      </c>
      <c r="J19" s="85"/>
      <c r="K19" s="85"/>
      <c r="L19" s="85"/>
      <c r="M19" s="85"/>
      <c r="N19" s="85"/>
      <c r="O19" s="85"/>
      <c r="P19" s="48">
        <f>SUM(compras_mes9[[#This Row],[NETO GRAVADO]:[Otros / No Grav.]])</f>
        <v>264869</v>
      </c>
      <c r="Q19" s="49" t="str">
        <f>IFERROR(IF(compras_mes9[[#This Row],[CUIT]]="","-",VLOOKUP(compras_mes9[[#This Row],[CUIT]],Lista_CUIT[#All],3,0)),"CUIT NO CARGADO")</f>
        <v>INSUMOS</v>
      </c>
      <c r="R19" s="49">
        <f>IFERROR(IF(compras_mes9[[#This Row],[CUIT]]="","-",VLOOKUP(compras_mes9[[#This Row],[CUIT]],Lista_CUIT[#All],4,0)),"CUIT NO CARGADO")</f>
        <v>0</v>
      </c>
    </row>
    <row r="20" spans="2:18" x14ac:dyDescent="0.25">
      <c r="B20" s="40"/>
      <c r="C20" s="41"/>
      <c r="D20" s="42"/>
      <c r="E20" s="43"/>
      <c r="F20" s="44">
        <v>20272865869</v>
      </c>
      <c r="G20" s="45" t="str">
        <f>IFERROR(IF(compras_mes9[[#This Row],[CUIT]]="","-",VLOOKUP(compras_mes9[[#This Row],[CUIT]],Lista_CUIT[#All],2,0)),"CUIT NO CARGADO")</f>
        <v>DI FEO MARTIN EZEQUIEL</v>
      </c>
      <c r="H20" s="46">
        <v>172800</v>
      </c>
      <c r="I20" s="85">
        <f>IF(compras_mes9[[#This Row],[NETO GRAVADO]]="","",compras_mes9[[#This Row],[NETO GRAVADO]]*0.21)</f>
        <v>36288</v>
      </c>
      <c r="J20" s="85"/>
      <c r="K20" s="85"/>
      <c r="L20" s="85"/>
      <c r="M20" s="85"/>
      <c r="N20" s="85"/>
      <c r="O20" s="85"/>
      <c r="P20" s="48">
        <f>SUM(compras_mes9[[#This Row],[NETO GRAVADO]:[Otros / No Grav.]])</f>
        <v>209088</v>
      </c>
      <c r="Q20" s="49" t="str">
        <f>IFERROR(IF(compras_mes9[[#This Row],[CUIT]]="","-",VLOOKUP(compras_mes9[[#This Row],[CUIT]],Lista_CUIT[#All],3,0)),"CUIT NO CARGADO")</f>
        <v>INSUMOS</v>
      </c>
      <c r="R20" s="49">
        <f>IFERROR(IF(compras_mes9[[#This Row],[CUIT]]="","-",VLOOKUP(compras_mes9[[#This Row],[CUIT]],Lista_CUIT[#All],4,0)),"CUIT NO CARGADO")</f>
        <v>0</v>
      </c>
    </row>
    <row r="21" spans="2:18" x14ac:dyDescent="0.25">
      <c r="B21" s="40"/>
      <c r="C21" s="41"/>
      <c r="D21" s="42"/>
      <c r="E21" s="43"/>
      <c r="F21" s="44">
        <v>20272865869</v>
      </c>
      <c r="G21" s="45" t="str">
        <f>IFERROR(IF(compras_mes9[[#This Row],[CUIT]]="","-",VLOOKUP(compras_mes9[[#This Row],[CUIT]],Lista_CUIT[#All],2,0)),"CUIT NO CARGADO")</f>
        <v>DI FEO MARTIN EZEQUIEL</v>
      </c>
      <c r="H21" s="46">
        <v>93400</v>
      </c>
      <c r="I21" s="85">
        <f>IF(compras_mes9[[#This Row],[NETO GRAVADO]]="","",compras_mes9[[#This Row],[NETO GRAVADO]]*0.21)</f>
        <v>19614</v>
      </c>
      <c r="J21" s="85"/>
      <c r="K21" s="85"/>
      <c r="L21" s="85"/>
      <c r="M21" s="85"/>
      <c r="N21" s="85"/>
      <c r="O21" s="85"/>
      <c r="P21" s="48">
        <f>SUM(compras_mes9[[#This Row],[NETO GRAVADO]:[Otros / No Grav.]])</f>
        <v>113014</v>
      </c>
      <c r="Q21" s="49" t="str">
        <f>IFERROR(IF(compras_mes9[[#This Row],[CUIT]]="","-",VLOOKUP(compras_mes9[[#This Row],[CUIT]],Lista_CUIT[#All],3,0)),"CUIT NO CARGADO")</f>
        <v>INSUMOS</v>
      </c>
      <c r="R21" s="49">
        <f>IFERROR(IF(compras_mes9[[#This Row],[CUIT]]="","-",VLOOKUP(compras_mes9[[#This Row],[CUIT]],Lista_CUIT[#All],4,0)),"CUIT NO CARGADO")</f>
        <v>0</v>
      </c>
    </row>
    <row r="22" spans="2:18" x14ac:dyDescent="0.25">
      <c r="B22" s="40"/>
      <c r="C22" s="41"/>
      <c r="D22" s="42"/>
      <c r="E22" s="43"/>
      <c r="F22" s="44">
        <v>33710130189</v>
      </c>
      <c r="G22" s="45" t="str">
        <f>IFERROR(IF(compras_mes9[[#This Row],[CUIT]]="","-",VLOOKUP(compras_mes9[[#This Row],[CUIT]],Lista_CUIT[#All],2,0)),"CUIT NO CARGADO")</f>
        <v>SEANTEC SA</v>
      </c>
      <c r="H22" s="46">
        <v>42720</v>
      </c>
      <c r="I22" s="85">
        <f>IF(compras_mes9[[#This Row],[NETO GRAVADO]]="","",compras_mes9[[#This Row],[NETO GRAVADO]]*0.21)</f>
        <v>8971.1999999999989</v>
      </c>
      <c r="J22" s="85"/>
      <c r="K22" s="85"/>
      <c r="L22" s="85"/>
      <c r="M22" s="85"/>
      <c r="N22" s="85"/>
      <c r="O22" s="85"/>
      <c r="P22" s="48">
        <f>SUM(compras_mes9[[#This Row],[NETO GRAVADO]:[Otros / No Grav.]])</f>
        <v>51691.199999999997</v>
      </c>
      <c r="Q22" s="49" t="str">
        <f>IFERROR(IF(compras_mes9[[#This Row],[CUIT]]="","-",VLOOKUP(compras_mes9[[#This Row],[CUIT]],Lista_CUIT[#All],3,0)),"CUIT NO CARGADO")</f>
        <v>Prod. Ortopedicos</v>
      </c>
      <c r="R22" s="49">
        <f>IFERROR(IF(compras_mes9[[#This Row],[CUIT]]="","-",VLOOKUP(compras_mes9[[#This Row],[CUIT]],Lista_CUIT[#All],4,0)),"CUIT NO CARGADO")</f>
        <v>0</v>
      </c>
    </row>
    <row r="23" spans="2:18" x14ac:dyDescent="0.25">
      <c r="B23" s="40"/>
      <c r="C23" s="41"/>
      <c r="D23" s="42"/>
      <c r="E23" s="43"/>
      <c r="F23" s="44">
        <v>30714331082</v>
      </c>
      <c r="G23" s="45" t="str">
        <f>IFERROR(IF(compras_mes9[[#This Row],[CUIT]]="","-",VLOOKUP(compras_mes9[[#This Row],[CUIT]],Lista_CUIT[#All],2,0)),"CUIT NO CARGADO")</f>
        <v>ORTOPEDIA CASA ESCALADA SRL</v>
      </c>
      <c r="H23" s="46">
        <v>526851.14</v>
      </c>
      <c r="I23" s="85">
        <f>IF(compras_mes9[[#This Row],[NETO GRAVADO]]="","",compras_mes9[[#This Row],[NETO GRAVADO]]*0.21)</f>
        <v>110638.73940000001</v>
      </c>
      <c r="J23" s="85"/>
      <c r="K23" s="85"/>
      <c r="L23" s="85"/>
      <c r="M23" s="85"/>
      <c r="N23" s="85"/>
      <c r="O23" s="85"/>
      <c r="P23" s="48">
        <f>SUM(compras_mes9[[#This Row],[NETO GRAVADO]:[Otros / No Grav.]])</f>
        <v>637489.87939999998</v>
      </c>
      <c r="Q23" s="49" t="str">
        <f>IFERROR(IF(compras_mes9[[#This Row],[CUIT]]="","-",VLOOKUP(compras_mes9[[#This Row],[CUIT]],Lista_CUIT[#All],3,0)),"CUIT NO CARGADO")</f>
        <v>INSUMO</v>
      </c>
      <c r="R23" s="49">
        <f>IFERROR(IF(compras_mes9[[#This Row],[CUIT]]="","-",VLOOKUP(compras_mes9[[#This Row],[CUIT]],Lista_CUIT[#All],4,0)),"CUIT NO CARGADO")</f>
        <v>0</v>
      </c>
    </row>
    <row r="24" spans="2:18" x14ac:dyDescent="0.25">
      <c r="B24" s="40"/>
      <c r="C24" s="41"/>
      <c r="D24" s="42"/>
      <c r="E24" s="43"/>
      <c r="F24" s="44">
        <v>30714331082</v>
      </c>
      <c r="G24" s="45" t="str">
        <f>IFERROR(IF(compras_mes9[[#This Row],[CUIT]]="","-",VLOOKUP(compras_mes9[[#This Row],[CUIT]],Lista_CUIT[#All],2,0)),"CUIT NO CARGADO")</f>
        <v>ORTOPEDIA CASA ESCALADA SRL</v>
      </c>
      <c r="H24" s="46">
        <v>258331.82</v>
      </c>
      <c r="I24" s="85">
        <f>IF(compras_mes9[[#This Row],[NETO GRAVADO]]="","",compras_mes9[[#This Row],[NETO GRAVADO]]*0.21)</f>
        <v>54249.682200000003</v>
      </c>
      <c r="J24" s="85"/>
      <c r="K24" s="85"/>
      <c r="L24" s="85"/>
      <c r="M24" s="85"/>
      <c r="N24" s="85"/>
      <c r="O24" s="85"/>
      <c r="P24" s="48">
        <f>SUM(compras_mes9[[#This Row],[NETO GRAVADO]:[Otros / No Grav.]])</f>
        <v>312581.50219999999</v>
      </c>
      <c r="Q24" s="49" t="str">
        <f>IFERROR(IF(compras_mes9[[#This Row],[CUIT]]="","-",VLOOKUP(compras_mes9[[#This Row],[CUIT]],Lista_CUIT[#All],3,0)),"CUIT NO CARGADO")</f>
        <v>INSUMO</v>
      </c>
      <c r="R24" s="49">
        <f>IFERROR(IF(compras_mes9[[#This Row],[CUIT]]="","-",VLOOKUP(compras_mes9[[#This Row],[CUIT]],Lista_CUIT[#All],4,0)),"CUIT NO CARGADO")</f>
        <v>0</v>
      </c>
    </row>
    <row r="25" spans="2:18" x14ac:dyDescent="0.25">
      <c r="B25" s="40"/>
      <c r="C25" s="41"/>
      <c r="D25" s="42"/>
      <c r="E25" s="43"/>
      <c r="F25" s="44">
        <v>30714331082</v>
      </c>
      <c r="G25" s="45" t="str">
        <f>IFERROR(IF(compras_mes9[[#This Row],[CUIT]]="","-",VLOOKUP(compras_mes9[[#This Row],[CUIT]],Lista_CUIT[#All],2,0)),"CUIT NO CARGADO")</f>
        <v>ORTOPEDIA CASA ESCALADA SRL</v>
      </c>
      <c r="H25" s="46">
        <v>581003.14</v>
      </c>
      <c r="I25" s="85">
        <f>IF(compras_mes9[[#This Row],[NETO GRAVADO]]="","",compras_mes9[[#This Row],[NETO GRAVADO]]*0.21)</f>
        <v>122010.6594</v>
      </c>
      <c r="J25" s="85"/>
      <c r="K25" s="85"/>
      <c r="L25" s="85"/>
      <c r="M25" s="85"/>
      <c r="N25" s="85"/>
      <c r="O25" s="85"/>
      <c r="P25" s="48">
        <f>SUM(compras_mes9[[#This Row],[NETO GRAVADO]:[Otros / No Grav.]])</f>
        <v>703013.79940000002</v>
      </c>
      <c r="Q25" s="49" t="str">
        <f>IFERROR(IF(compras_mes9[[#This Row],[CUIT]]="","-",VLOOKUP(compras_mes9[[#This Row],[CUIT]],Lista_CUIT[#All],3,0)),"CUIT NO CARGADO")</f>
        <v>INSUMO</v>
      </c>
      <c r="R25" s="49">
        <f>IFERROR(IF(compras_mes9[[#This Row],[CUIT]]="","-",VLOOKUP(compras_mes9[[#This Row],[CUIT]],Lista_CUIT[#All],4,0)),"CUIT NO CARGADO")</f>
        <v>0</v>
      </c>
    </row>
    <row r="26" spans="2:18" x14ac:dyDescent="0.25">
      <c r="B26" s="40"/>
      <c r="C26" s="41"/>
      <c r="D26" s="42"/>
      <c r="E26" s="43"/>
      <c r="F26" s="44">
        <v>30717156826</v>
      </c>
      <c r="G26" s="45" t="str">
        <f>IFERROR(IF(compras_mes9[[#This Row],[CUIT]]="","-",VLOOKUP(compras_mes9[[#This Row],[CUIT]],Lista_CUIT[#All],2,0)),"CUIT NO CARGADO")</f>
        <v>NORTH TOOLS</v>
      </c>
      <c r="H26" s="46">
        <v>825619.83</v>
      </c>
      <c r="I26" s="85">
        <f>IF(compras_mes9[[#This Row],[NETO GRAVADO]]="","",compras_mes9[[#This Row],[NETO GRAVADO]]*0.21)</f>
        <v>173380.16429999997</v>
      </c>
      <c r="J26" s="85"/>
      <c r="K26" s="85"/>
      <c r="L26" s="85"/>
      <c r="M26" s="85"/>
      <c r="N26" s="85"/>
      <c r="O26" s="85"/>
      <c r="P26" s="48">
        <f>SUM(compras_mes9[[#This Row],[NETO GRAVADO]:[Otros / No Grav.]])</f>
        <v>998999.9942999999</v>
      </c>
      <c r="Q26" s="49" t="str">
        <f>IFERROR(IF(compras_mes9[[#This Row],[CUIT]]="","-",VLOOKUP(compras_mes9[[#This Row],[CUIT]],Lista_CUIT[#All],3,0)),"CUIT NO CARGADO")</f>
        <v>Insumos</v>
      </c>
      <c r="R26" s="49">
        <f>IFERROR(IF(compras_mes9[[#This Row],[CUIT]]="","-",VLOOKUP(compras_mes9[[#This Row],[CUIT]],Lista_CUIT[#All],4,0)),"CUIT NO CARGADO")</f>
        <v>0</v>
      </c>
    </row>
    <row r="27" spans="2:18" x14ac:dyDescent="0.25">
      <c r="B27" s="40"/>
      <c r="C27" s="41"/>
      <c r="D27" s="42"/>
      <c r="E27" s="43"/>
      <c r="F27" s="44">
        <v>30717156826</v>
      </c>
      <c r="G27" s="45" t="str">
        <f>IFERROR(IF(compras_mes9[[#This Row],[CUIT]]="","-",VLOOKUP(compras_mes9[[#This Row],[CUIT]],Lista_CUIT[#All],2,0)),"CUIT NO CARGADO")</f>
        <v>NORTH TOOLS</v>
      </c>
      <c r="H27" s="46">
        <v>8264.4599999999991</v>
      </c>
      <c r="I27" s="85">
        <f>IF(compras_mes9[[#This Row],[NETO GRAVADO]]="","",compras_mes9[[#This Row],[NETO GRAVADO]]*0.21)</f>
        <v>1735.5365999999997</v>
      </c>
      <c r="J27" s="85"/>
      <c r="K27" s="85"/>
      <c r="L27" s="85"/>
      <c r="M27" s="85"/>
      <c r="N27" s="85"/>
      <c r="O27" s="85"/>
      <c r="P27" s="48">
        <f>SUM(compras_mes9[[#This Row],[NETO GRAVADO]:[Otros / No Grav.]])</f>
        <v>9999.9965999999986</v>
      </c>
      <c r="Q27" s="49" t="str">
        <f>IFERROR(IF(compras_mes9[[#This Row],[CUIT]]="","-",VLOOKUP(compras_mes9[[#This Row],[CUIT]],Lista_CUIT[#All],3,0)),"CUIT NO CARGADO")</f>
        <v>Insumos</v>
      </c>
      <c r="R27" s="49">
        <f>IFERROR(IF(compras_mes9[[#This Row],[CUIT]]="","-",VLOOKUP(compras_mes9[[#This Row],[CUIT]],Lista_CUIT[#All],4,0)),"CUIT NO CARGADO")</f>
        <v>0</v>
      </c>
    </row>
    <row r="28" spans="2:18" x14ac:dyDescent="0.25">
      <c r="B28" s="40"/>
      <c r="C28" s="41"/>
      <c r="D28" s="42"/>
      <c r="E28" s="43"/>
      <c r="F28" s="44">
        <v>30711678820</v>
      </c>
      <c r="G28" s="45" t="str">
        <f>IFERROR(IF(compras_mes9[[#This Row],[CUIT]]="","-",VLOOKUP(compras_mes9[[#This Row],[CUIT]],Lista_CUIT[#All],2,0)),"CUIT NO CARGADO")</f>
        <v>RELIEF CENTER SRL</v>
      </c>
      <c r="H28" s="46">
        <v>70000</v>
      </c>
      <c r="I28" s="85">
        <f>IF(compras_mes9[[#This Row],[NETO GRAVADO]]="","",compras_mes9[[#This Row],[NETO GRAVADO]]*0.21)</f>
        <v>14700</v>
      </c>
      <c r="J28" s="85"/>
      <c r="K28" s="85"/>
      <c r="L28" s="85"/>
      <c r="M28" s="85"/>
      <c r="N28" s="85"/>
      <c r="O28" s="85"/>
      <c r="P28" s="48">
        <f>SUM(compras_mes9[[#This Row],[NETO GRAVADO]:[Otros / No Grav.]])</f>
        <v>84700</v>
      </c>
      <c r="Q28" s="49" t="str">
        <f>IFERROR(IF(compras_mes9[[#This Row],[CUIT]]="","-",VLOOKUP(compras_mes9[[#This Row],[CUIT]],Lista_CUIT[#All],3,0)),"CUIT NO CARGADO")</f>
        <v>PROVEEDOR</v>
      </c>
      <c r="R28" s="49">
        <f>IFERROR(IF(compras_mes9[[#This Row],[CUIT]]="","-",VLOOKUP(compras_mes9[[#This Row],[CUIT]],Lista_CUIT[#All],4,0)),"CUIT NO CARGADO")</f>
        <v>0</v>
      </c>
    </row>
    <row r="29" spans="2:18" x14ac:dyDescent="0.25">
      <c r="B29" s="40"/>
      <c r="C29" s="41"/>
      <c r="D29" s="42"/>
      <c r="E29" s="43"/>
      <c r="F29" s="44">
        <v>30707042679</v>
      </c>
      <c r="G29" s="45" t="str">
        <f>IFERROR(IF(compras_mes9[[#This Row],[CUIT]]="","-",VLOOKUP(compras_mes9[[#This Row],[CUIT]],Lista_CUIT[#All],2,0)),"CUIT NO CARGADO")</f>
        <v>MEDICAL FOAM SRL</v>
      </c>
      <c r="H29" s="46">
        <v>612111</v>
      </c>
      <c r="I29" s="85">
        <f>IF(compras_mes9[[#This Row],[NETO GRAVADO]]="","",compras_mes9[[#This Row],[NETO GRAVADO]]*0.21)</f>
        <v>128543.31</v>
      </c>
      <c r="J29" s="85"/>
      <c r="K29" s="85"/>
      <c r="L29" s="85"/>
      <c r="M29" s="85"/>
      <c r="N29" s="85"/>
      <c r="O29" s="85"/>
      <c r="P29" s="48">
        <f>SUM(compras_mes9[[#This Row],[NETO GRAVADO]:[Otros / No Grav.]])</f>
        <v>740654.31</v>
      </c>
      <c r="Q29" s="49" t="str">
        <f>IFERROR(IF(compras_mes9[[#This Row],[CUIT]]="","-",VLOOKUP(compras_mes9[[#This Row],[CUIT]],Lista_CUIT[#All],3,0)),"CUIT NO CARGADO")</f>
        <v>INSUMO</v>
      </c>
      <c r="R29" s="49">
        <f>IFERROR(IF(compras_mes9[[#This Row],[CUIT]]="","-",VLOOKUP(compras_mes9[[#This Row],[CUIT]],Lista_CUIT[#All],4,0)),"CUIT NO CARGADO")</f>
        <v>0</v>
      </c>
    </row>
    <row r="30" spans="2:18" x14ac:dyDescent="0.25">
      <c r="B30" s="40"/>
      <c r="C30" s="41"/>
      <c r="D30" s="42"/>
      <c r="E30" s="43"/>
      <c r="F30" s="44">
        <v>30707042679</v>
      </c>
      <c r="G30" s="45" t="str">
        <f>IFERROR(IF(compras_mes9[[#This Row],[CUIT]]="","-",VLOOKUP(compras_mes9[[#This Row],[CUIT]],Lista_CUIT[#All],2,0)),"CUIT NO CARGADO")</f>
        <v>MEDICAL FOAM SRL</v>
      </c>
      <c r="H30" s="46">
        <v>1611051</v>
      </c>
      <c r="I30" s="85">
        <f>IF(compras_mes9[[#This Row],[NETO GRAVADO]]="","",compras_mes9[[#This Row],[NETO GRAVADO]]*0.21)</f>
        <v>338320.70999999996</v>
      </c>
      <c r="J30" s="85"/>
      <c r="K30" s="85"/>
      <c r="L30" s="85"/>
      <c r="M30" s="85"/>
      <c r="N30" s="85"/>
      <c r="O30" s="85"/>
      <c r="P30" s="48">
        <f>SUM(compras_mes9[[#This Row],[NETO GRAVADO]:[Otros / No Grav.]])</f>
        <v>1949371.71</v>
      </c>
      <c r="Q30" s="49" t="str">
        <f>IFERROR(IF(compras_mes9[[#This Row],[CUIT]]="","-",VLOOKUP(compras_mes9[[#This Row],[CUIT]],Lista_CUIT[#All],3,0)),"CUIT NO CARGADO")</f>
        <v>INSUMO</v>
      </c>
      <c r="R30" s="49">
        <f>IFERROR(IF(compras_mes9[[#This Row],[CUIT]]="","-",VLOOKUP(compras_mes9[[#This Row],[CUIT]],Lista_CUIT[#All],4,0)),"CUIT NO CARGADO")</f>
        <v>0</v>
      </c>
    </row>
    <row r="31" spans="2:18" x14ac:dyDescent="0.25">
      <c r="B31" s="40"/>
      <c r="C31" s="41"/>
      <c r="D31" s="42"/>
      <c r="E31" s="43"/>
      <c r="F31" s="44">
        <v>30707042679</v>
      </c>
      <c r="G31" s="45" t="str">
        <f>IFERROR(IF(compras_mes9[[#This Row],[CUIT]]="","-",VLOOKUP(compras_mes9[[#This Row],[CUIT]],Lista_CUIT[#All],2,0)),"CUIT NO CARGADO")</f>
        <v>MEDICAL FOAM SRL</v>
      </c>
      <c r="H31" s="46">
        <v>1698052</v>
      </c>
      <c r="I31" s="85">
        <f>IF(compras_mes9[[#This Row],[NETO GRAVADO]]="","",compras_mes9[[#This Row],[NETO GRAVADO]]*0.21)</f>
        <v>356590.92</v>
      </c>
      <c r="J31" s="85"/>
      <c r="K31" s="85"/>
      <c r="L31" s="85"/>
      <c r="M31" s="85"/>
      <c r="N31" s="85"/>
      <c r="O31" s="85"/>
      <c r="P31" s="48">
        <f>SUM(compras_mes9[[#This Row],[NETO GRAVADO]:[Otros / No Grav.]])</f>
        <v>2054642.92</v>
      </c>
      <c r="Q31" s="49" t="str">
        <f>IFERROR(IF(compras_mes9[[#This Row],[CUIT]]="","-",VLOOKUP(compras_mes9[[#This Row],[CUIT]],Lista_CUIT[#All],3,0)),"CUIT NO CARGADO")</f>
        <v>INSUMO</v>
      </c>
      <c r="R31" s="49">
        <f>IFERROR(IF(compras_mes9[[#This Row],[CUIT]]="","-",VLOOKUP(compras_mes9[[#This Row],[CUIT]],Lista_CUIT[#All],4,0)),"CUIT NO CARGADO")</f>
        <v>0</v>
      </c>
    </row>
    <row r="32" spans="2:18" x14ac:dyDescent="0.25">
      <c r="B32" s="40"/>
      <c r="C32" s="41"/>
      <c r="D32" s="42"/>
      <c r="E32" s="43"/>
      <c r="F32" s="44">
        <v>30711454388</v>
      </c>
      <c r="G32" s="45" t="str">
        <f>IFERROR(IF(compras_mes9[[#This Row],[CUIT]]="","-",VLOOKUP(compras_mes9[[#This Row],[CUIT]],Lista_CUIT[#All],2,0)),"CUIT NO CARGADO")</f>
        <v>LIPROT S.R.L.</v>
      </c>
      <c r="H32" s="46">
        <v>300879</v>
      </c>
      <c r="I32" s="85">
        <f>IF(compras_mes9[[#This Row],[NETO GRAVADO]]="","",compras_mes9[[#This Row],[NETO GRAVADO]]*0.21)</f>
        <v>63184.59</v>
      </c>
      <c r="J32" s="85"/>
      <c r="K32" s="85"/>
      <c r="L32" s="85"/>
      <c r="M32" s="85"/>
      <c r="N32" s="85"/>
      <c r="O32" s="85"/>
      <c r="P32" s="48">
        <f>SUM(compras_mes9[[#This Row],[NETO GRAVADO]:[Otros / No Grav.]])</f>
        <v>364063.58999999997</v>
      </c>
      <c r="Q32" s="49" t="str">
        <f>IFERROR(IF(compras_mes9[[#This Row],[CUIT]]="","-",VLOOKUP(compras_mes9[[#This Row],[CUIT]],Lista_CUIT[#All],3,0)),"CUIT NO CARGADO")</f>
        <v>textil</v>
      </c>
      <c r="R32" s="49">
        <f>IFERROR(IF(compras_mes9[[#This Row],[CUIT]]="","-",VLOOKUP(compras_mes9[[#This Row],[CUIT]],Lista_CUIT[#All],4,0)),"CUIT NO CARGADO")</f>
        <v>0</v>
      </c>
    </row>
    <row r="33" spans="2:18" x14ac:dyDescent="0.25">
      <c r="B33" s="40"/>
      <c r="C33" s="41"/>
      <c r="D33" s="42"/>
      <c r="E33" s="43"/>
      <c r="F33" s="44">
        <v>20142643384</v>
      </c>
      <c r="G33" s="45" t="str">
        <f>IFERROR(IF(compras_mes9[[#This Row],[CUIT]]="","-",VLOOKUP(compras_mes9[[#This Row],[CUIT]],Lista_CUIT[#All],2,0)),"CUIT NO CARGADO")</f>
        <v>RAMASKO JORGE FERNANDO</v>
      </c>
      <c r="H33" s="46">
        <v>137603.29</v>
      </c>
      <c r="I33" s="85">
        <f>IF(compras_mes9[[#This Row],[NETO GRAVADO]]="","",compras_mes9[[#This Row],[NETO GRAVADO]]*0.21)</f>
        <v>28896.690900000001</v>
      </c>
      <c r="J33" s="85"/>
      <c r="K33" s="85"/>
      <c r="L33" s="85"/>
      <c r="M33" s="85"/>
      <c r="N33" s="85"/>
      <c r="O33" s="85"/>
      <c r="P33" s="48">
        <f>SUM(compras_mes9[[#This Row],[NETO GRAVADO]:[Otros / No Grav.]])</f>
        <v>166499.98090000002</v>
      </c>
      <c r="Q33" s="49" t="str">
        <f>IFERROR(IF(compras_mes9[[#This Row],[CUIT]]="","-",VLOOKUP(compras_mes9[[#This Row],[CUIT]],Lista_CUIT[#All],3,0)),"CUIT NO CARGADO")</f>
        <v>Insumos</v>
      </c>
      <c r="R33" s="49">
        <f>IFERROR(IF(compras_mes9[[#This Row],[CUIT]]="","-",VLOOKUP(compras_mes9[[#This Row],[CUIT]],Lista_CUIT[#All],4,0)),"CUIT NO CARGADO")</f>
        <v>0</v>
      </c>
    </row>
    <row r="34" spans="2:18" x14ac:dyDescent="0.25">
      <c r="B34" s="40"/>
      <c r="C34" s="41"/>
      <c r="D34" s="42"/>
      <c r="E34" s="43"/>
      <c r="F34" s="44">
        <v>30712305513</v>
      </c>
      <c r="G34" s="45" t="str">
        <f>IFERROR(IF(compras_mes9[[#This Row],[CUIT]]="","-",VLOOKUP(compras_mes9[[#This Row],[CUIT]],Lista_CUIT[#All],2,0)),"CUIT NO CARGADO")</f>
        <v>TRINIDAD INSUMOS SRL</v>
      </c>
      <c r="H34" s="46">
        <v>2831000</v>
      </c>
      <c r="I34" s="85">
        <f>IF(compras_mes9[[#This Row],[NETO GRAVADO]]="","",compras_mes9[[#This Row],[NETO GRAVADO]]*0.21)</f>
        <v>594510</v>
      </c>
      <c r="J34" s="85"/>
      <c r="K34" s="85"/>
      <c r="L34" s="85"/>
      <c r="M34" s="85"/>
      <c r="N34" s="85"/>
      <c r="O34" s="85"/>
      <c r="P34" s="48">
        <f>SUM(compras_mes9[[#This Row],[NETO GRAVADO]:[Otros / No Grav.]])</f>
        <v>3425510</v>
      </c>
      <c r="Q34" s="49" t="str">
        <f>IFERROR(IF(compras_mes9[[#This Row],[CUIT]]="","-",VLOOKUP(compras_mes9[[#This Row],[CUIT]],Lista_CUIT[#All],3,0)),"CUIT NO CARGADO")</f>
        <v>SERVICIOS</v>
      </c>
      <c r="R34" s="49">
        <f>IFERROR(IF(compras_mes9[[#This Row],[CUIT]]="","-",VLOOKUP(compras_mes9[[#This Row],[CUIT]],Lista_CUIT[#All],4,0)),"CUIT NO CARGADO")</f>
        <v>0</v>
      </c>
    </row>
    <row r="35" spans="2:18" x14ac:dyDescent="0.25">
      <c r="B35" s="40"/>
      <c r="C35" s="41"/>
      <c r="D35" s="42"/>
      <c r="E35" s="43"/>
      <c r="F35" s="44">
        <v>20289111329</v>
      </c>
      <c r="G35" s="45" t="str">
        <f>IFERROR(IF(compras_mes9[[#This Row],[CUIT]]="","-",VLOOKUP(compras_mes9[[#This Row],[CUIT]],Lista_CUIT[#All],2,0)),"CUIT NO CARGADO")</f>
        <v>R. N. LEDESMA</v>
      </c>
      <c r="H35" s="46">
        <v>585730.80000000005</v>
      </c>
      <c r="I35" s="85">
        <f>IF(compras_mes9[[#This Row],[NETO GRAVADO]]="","",compras_mes9[[#This Row],[NETO GRAVADO]]*0.21)</f>
        <v>123003.46800000001</v>
      </c>
      <c r="J35" s="85"/>
      <c r="K35" s="85"/>
      <c r="L35" s="85"/>
      <c r="M35" s="85"/>
      <c r="N35" s="85"/>
      <c r="O35" s="85"/>
      <c r="P35" s="48">
        <f>SUM(compras_mes9[[#This Row],[NETO GRAVADO]:[Otros / No Grav.]])</f>
        <v>708734.26800000004</v>
      </c>
      <c r="Q35" s="49" t="str">
        <f>IFERROR(IF(compras_mes9[[#This Row],[CUIT]]="","-",VLOOKUP(compras_mes9[[#This Row],[CUIT]],Lista_CUIT[#All],3,0)),"CUIT NO CARGADO")</f>
        <v>Insumo</v>
      </c>
      <c r="R35" s="49">
        <f>IFERROR(IF(compras_mes9[[#This Row],[CUIT]]="","-",VLOOKUP(compras_mes9[[#This Row],[CUIT]],Lista_CUIT[#All],4,0)),"CUIT NO CARGADO")</f>
        <v>0</v>
      </c>
    </row>
    <row r="36" spans="2:18" x14ac:dyDescent="0.25">
      <c r="B36" s="40"/>
      <c r="C36" s="41"/>
      <c r="D36" s="42"/>
      <c r="E36" s="43"/>
      <c r="F36" s="44">
        <v>20289111329</v>
      </c>
      <c r="G36" s="45" t="str">
        <f>IFERROR(IF(compras_mes9[[#This Row],[CUIT]]="","-",VLOOKUP(compras_mes9[[#This Row],[CUIT]],Lista_CUIT[#All],2,0)),"CUIT NO CARGADO")</f>
        <v>R. N. LEDESMA</v>
      </c>
      <c r="H36" s="46">
        <v>878596.21</v>
      </c>
      <c r="I36" s="85">
        <f>IF(compras_mes9[[#This Row],[NETO GRAVADO]]="","",compras_mes9[[#This Row],[NETO GRAVADO]]*0.21)</f>
        <v>184505.20409999997</v>
      </c>
      <c r="J36" s="85"/>
      <c r="K36" s="85"/>
      <c r="L36" s="85"/>
      <c r="M36" s="85"/>
      <c r="N36" s="85"/>
      <c r="O36" s="85"/>
      <c r="P36" s="48">
        <f>SUM(compras_mes9[[#This Row],[NETO GRAVADO]:[Otros / No Grav.]])</f>
        <v>1063101.4140999999</v>
      </c>
      <c r="Q36" s="49" t="str">
        <f>IFERROR(IF(compras_mes9[[#This Row],[CUIT]]="","-",VLOOKUP(compras_mes9[[#This Row],[CUIT]],Lista_CUIT[#All],3,0)),"CUIT NO CARGADO")</f>
        <v>Insumo</v>
      </c>
      <c r="R36" s="49">
        <f>IFERROR(IF(compras_mes9[[#This Row],[CUIT]]="","-",VLOOKUP(compras_mes9[[#This Row],[CUIT]],Lista_CUIT[#All],4,0)),"CUIT NO CARGADO")</f>
        <v>0</v>
      </c>
    </row>
    <row r="37" spans="2:18" x14ac:dyDescent="0.25">
      <c r="B37" s="40"/>
      <c r="C37" s="41"/>
      <c r="D37" s="42"/>
      <c r="E37" s="43"/>
      <c r="F37" s="44">
        <v>30708534907</v>
      </c>
      <c r="G37" s="45" t="str">
        <f>IFERROR(IF(compras_mes9[[#This Row],[CUIT]]="","-",VLOOKUP(compras_mes9[[#This Row],[CUIT]],Lista_CUIT[#All],2,0)),"CUIT NO CARGADO")</f>
        <v>VZH SRL</v>
      </c>
      <c r="H37" s="46">
        <v>222750</v>
      </c>
      <c r="I37" s="85">
        <f>IF(compras_mes9[[#This Row],[NETO GRAVADO]]="","",compras_mes9[[#This Row],[NETO GRAVADO]]*0.21)</f>
        <v>46777.5</v>
      </c>
      <c r="J37" s="85"/>
      <c r="K37" s="85"/>
      <c r="L37" s="85"/>
      <c r="M37" s="85"/>
      <c r="N37" s="85">
        <v>8910</v>
      </c>
      <c r="O37" s="85"/>
      <c r="P37" s="48">
        <f>SUM(compras_mes9[[#This Row],[NETO GRAVADO]:[Otros / No Grav.]])</f>
        <v>278437.5</v>
      </c>
      <c r="Q37" s="49" t="str">
        <f>IFERROR(IF(compras_mes9[[#This Row],[CUIT]]="","-",VLOOKUP(compras_mes9[[#This Row],[CUIT]],Lista_CUIT[#All],3,0)),"CUIT NO CARGADO")</f>
        <v>SERVICIO</v>
      </c>
      <c r="R37" s="49">
        <f>IFERROR(IF(compras_mes9[[#This Row],[CUIT]]="","-",VLOOKUP(compras_mes9[[#This Row],[CUIT]],Lista_CUIT[#All],4,0)),"CUIT NO CARGADO")</f>
        <v>0</v>
      </c>
    </row>
    <row r="38" spans="2:18" x14ac:dyDescent="0.25">
      <c r="B38" s="40"/>
      <c r="C38" s="41"/>
      <c r="D38" s="42"/>
      <c r="E38" s="43"/>
      <c r="F38" s="44">
        <v>27265302225</v>
      </c>
      <c r="G38" s="45" t="str">
        <f>IFERROR(IF(compras_mes9[[#This Row],[CUIT]]="","-",VLOOKUP(compras_mes9[[#This Row],[CUIT]],Lista_CUIT[#All],2,0)),"CUIT NO CARGADO")</f>
        <v>PRADO MARISOL</v>
      </c>
      <c r="H38" s="46">
        <v>1250000</v>
      </c>
      <c r="I38" s="85">
        <f>IF(compras_mes9[[#This Row],[NETO GRAVADO]]="","",compras_mes9[[#This Row],[NETO GRAVADO]]*0.21)</f>
        <v>262500</v>
      </c>
      <c r="J38" s="85"/>
      <c r="K38" s="85"/>
      <c r="L38" s="85"/>
      <c r="M38" s="85"/>
      <c r="N38" s="85"/>
      <c r="O38" s="85"/>
      <c r="P38" s="48">
        <f>SUM(compras_mes9[[#This Row],[NETO GRAVADO]:[Otros / No Grav.]])</f>
        <v>1512500</v>
      </c>
      <c r="Q38" s="49" t="str">
        <f>IFERROR(IF(compras_mes9[[#This Row],[CUIT]]="","-",VLOOKUP(compras_mes9[[#This Row],[CUIT]],Lista_CUIT[#All],3,0)),"CUIT NO CARGADO")</f>
        <v>INSUMO</v>
      </c>
      <c r="R38" s="49">
        <f>IFERROR(IF(compras_mes9[[#This Row],[CUIT]]="","-",VLOOKUP(compras_mes9[[#This Row],[CUIT]],Lista_CUIT[#All],4,0)),"CUIT NO CARGADO")</f>
        <v>0</v>
      </c>
    </row>
    <row r="39" spans="2:18" x14ac:dyDescent="0.25">
      <c r="B39" s="40"/>
      <c r="C39" s="41"/>
      <c r="D39" s="42"/>
      <c r="E39" s="43"/>
      <c r="F39" s="44">
        <v>30598960093</v>
      </c>
      <c r="G39" s="45" t="str">
        <f>IFERROR(IF(compras_mes9[[#This Row],[CUIT]]="","-",VLOOKUP(compras_mes9[[#This Row],[CUIT]],Lista_CUIT[#All],2,0)),"CUIT NO CARGADO")</f>
        <v>SILVESTRIN FABRIS SRL</v>
      </c>
      <c r="H39" s="46">
        <v>48216</v>
      </c>
      <c r="I39" s="85">
        <f>IF(compras_mes9[[#This Row],[NETO GRAVADO]]="","",compras_mes9[[#This Row],[NETO GRAVADO]]*0.21)</f>
        <v>10125.359999999999</v>
      </c>
      <c r="J39" s="85"/>
      <c r="K39" s="85"/>
      <c r="L39" s="85">
        <v>1928.64</v>
      </c>
      <c r="M39" s="85"/>
      <c r="N39" s="85"/>
      <c r="O39" s="85"/>
      <c r="P39" s="48">
        <f>SUM(compras_mes9[[#This Row],[NETO GRAVADO]:[Otros / No Grav.]])</f>
        <v>60270</v>
      </c>
      <c r="Q39" s="49" t="str">
        <f>IFERROR(IF(compras_mes9[[#This Row],[CUIT]]="","-",VLOOKUP(compras_mes9[[#This Row],[CUIT]],Lista_CUIT[#All],3,0)),"CUIT NO CARGADO")</f>
        <v>INSUMO</v>
      </c>
      <c r="R39" s="49">
        <f>IFERROR(IF(compras_mes9[[#This Row],[CUIT]]="","-",VLOOKUP(compras_mes9[[#This Row],[CUIT]],Lista_CUIT[#All],4,0)),"CUIT NO CARGADO")</f>
        <v>0</v>
      </c>
    </row>
    <row r="40" spans="2:18" x14ac:dyDescent="0.25">
      <c r="B40" s="40"/>
      <c r="C40" s="41"/>
      <c r="D40" s="42"/>
      <c r="E40" s="43"/>
      <c r="F40" s="44">
        <v>30598960093</v>
      </c>
      <c r="G40" s="45" t="str">
        <f>IFERROR(IF(compras_mes9[[#This Row],[CUIT]]="","-",VLOOKUP(compras_mes9[[#This Row],[CUIT]],Lista_CUIT[#All],2,0)),"CUIT NO CARGADO")</f>
        <v>SILVESTRIN FABRIS SRL</v>
      </c>
      <c r="H40" s="46">
        <v>317887.7</v>
      </c>
      <c r="I40" s="85">
        <f>IF(compras_mes9[[#This Row],[NETO GRAVADO]]="","",compras_mes9[[#This Row],[NETO GRAVADO]]*0.21)</f>
        <v>66756.417000000001</v>
      </c>
      <c r="J40" s="85"/>
      <c r="K40" s="85"/>
      <c r="L40" s="85">
        <v>12715.51</v>
      </c>
      <c r="M40" s="85"/>
      <c r="N40" s="85"/>
      <c r="O40" s="85"/>
      <c r="P40" s="48">
        <f>SUM(compras_mes9[[#This Row],[NETO GRAVADO]:[Otros / No Grav.]])</f>
        <v>397359.62700000004</v>
      </c>
      <c r="Q40" s="49" t="str">
        <f>IFERROR(IF(compras_mes9[[#This Row],[CUIT]]="","-",VLOOKUP(compras_mes9[[#This Row],[CUIT]],Lista_CUIT[#All],3,0)),"CUIT NO CARGADO")</f>
        <v>INSUMO</v>
      </c>
      <c r="R40" s="49">
        <f>IFERROR(IF(compras_mes9[[#This Row],[CUIT]]="","-",VLOOKUP(compras_mes9[[#This Row],[CUIT]],Lista_CUIT[#All],4,0)),"CUIT NO CARGADO")</f>
        <v>0</v>
      </c>
    </row>
    <row r="41" spans="2:18" x14ac:dyDescent="0.25">
      <c r="B41" s="40"/>
      <c r="C41" s="41"/>
      <c r="D41" s="42"/>
      <c r="E41" s="43"/>
      <c r="F41" s="44">
        <v>30598960093</v>
      </c>
      <c r="G41" s="45" t="str">
        <f>IFERROR(IF(compras_mes9[[#This Row],[CUIT]]="","-",VLOOKUP(compras_mes9[[#This Row],[CUIT]],Lista_CUIT[#All],2,0)),"CUIT NO CARGADO")</f>
        <v>SILVESTRIN FABRIS SRL</v>
      </c>
      <c r="H41" s="46">
        <v>26476.1</v>
      </c>
      <c r="I41" s="85">
        <f>IF(compras_mes9[[#This Row],[NETO GRAVADO]]="","",compras_mes9[[#This Row],[NETO GRAVADO]]*0.21)</f>
        <v>5559.9809999999998</v>
      </c>
      <c r="J41" s="85"/>
      <c r="K41" s="85"/>
      <c r="L41" s="85"/>
      <c r="M41" s="85"/>
      <c r="N41" s="85">
        <v>1059.04</v>
      </c>
      <c r="O41" s="85"/>
      <c r="P41" s="48">
        <f>SUM(compras_mes9[[#This Row],[NETO GRAVADO]:[Otros / No Grav.]])</f>
        <v>33095.120999999999</v>
      </c>
      <c r="Q41" s="49" t="str">
        <f>IFERROR(IF(compras_mes9[[#This Row],[CUIT]]="","-",VLOOKUP(compras_mes9[[#This Row],[CUIT]],Lista_CUIT[#All],3,0)),"CUIT NO CARGADO")</f>
        <v>INSUMO</v>
      </c>
      <c r="R41" s="49">
        <f>IFERROR(IF(compras_mes9[[#This Row],[CUIT]]="","-",VLOOKUP(compras_mes9[[#This Row],[CUIT]],Lista_CUIT[#All],4,0)),"CUIT NO CARGADO")</f>
        <v>0</v>
      </c>
    </row>
    <row r="42" spans="2:18" x14ac:dyDescent="0.25">
      <c r="B42" s="40"/>
      <c r="C42" s="41"/>
      <c r="D42" s="42"/>
      <c r="E42" s="43"/>
      <c r="F42" s="44">
        <v>30598960093</v>
      </c>
      <c r="G42" s="45" t="str">
        <f>IFERROR(IF(compras_mes9[[#This Row],[CUIT]]="","-",VLOOKUP(compras_mes9[[#This Row],[CUIT]],Lista_CUIT[#All],2,0)),"CUIT NO CARGADO")</f>
        <v>SILVESTRIN FABRIS SRL</v>
      </c>
      <c r="H42" s="46">
        <v>123489</v>
      </c>
      <c r="I42" s="85">
        <f>IF(compras_mes9[[#This Row],[NETO GRAVADO]]="","",compras_mes9[[#This Row],[NETO GRAVADO]]*0.21)</f>
        <v>25932.69</v>
      </c>
      <c r="J42" s="85"/>
      <c r="K42" s="85"/>
      <c r="L42" s="85"/>
      <c r="M42" s="85"/>
      <c r="N42" s="85">
        <v>4939.5600000000004</v>
      </c>
      <c r="O42" s="85"/>
      <c r="P42" s="48">
        <f>SUM(compras_mes9[[#This Row],[NETO GRAVADO]:[Otros / No Grav.]])</f>
        <v>154361.25</v>
      </c>
      <c r="Q42" s="49" t="str">
        <f>IFERROR(IF(compras_mes9[[#This Row],[CUIT]]="","-",VLOOKUP(compras_mes9[[#This Row],[CUIT]],Lista_CUIT[#All],3,0)),"CUIT NO CARGADO")</f>
        <v>INSUMO</v>
      </c>
      <c r="R42" s="49">
        <f>IFERROR(IF(compras_mes9[[#This Row],[CUIT]]="","-",VLOOKUP(compras_mes9[[#This Row],[CUIT]],Lista_CUIT[#All],4,0)),"CUIT NO CARGADO")</f>
        <v>0</v>
      </c>
    </row>
    <row r="43" spans="2:18" x14ac:dyDescent="0.25">
      <c r="B43" s="40"/>
      <c r="C43" s="41"/>
      <c r="D43" s="42"/>
      <c r="E43" s="43"/>
      <c r="F43" s="44">
        <v>30711610096</v>
      </c>
      <c r="G43" s="45" t="str">
        <f>IFERROR(IF(compras_mes9[[#This Row],[CUIT]]="","-",VLOOKUP(compras_mes9[[#This Row],[CUIT]],Lista_CUIT[#All],2,0)),"CUIT NO CARGADO")</f>
        <v>46 SPEED S.A.</v>
      </c>
      <c r="H43" s="46">
        <v>564144</v>
      </c>
      <c r="I43" s="85">
        <f>IF(compras_mes9[[#This Row],[NETO GRAVADO]]="","",compras_mes9[[#This Row],[NETO GRAVADO]]*0.21)</f>
        <v>118470.23999999999</v>
      </c>
      <c r="J43" s="85"/>
      <c r="K43" s="85"/>
      <c r="L43" s="85"/>
      <c r="M43" s="85"/>
      <c r="N43" s="85"/>
      <c r="O43" s="85"/>
      <c r="P43" s="48">
        <f>SUM(compras_mes9[[#This Row],[NETO GRAVADO]:[Otros / No Grav.]])</f>
        <v>682614.24</v>
      </c>
      <c r="Q43" s="49" t="str">
        <f>IFERROR(IF(compras_mes9[[#This Row],[CUIT]]="","-",VLOOKUP(compras_mes9[[#This Row],[CUIT]],Lista_CUIT[#All],3,0)),"CUIT NO CARGADO")</f>
        <v>Insumos</v>
      </c>
      <c r="R43" s="49">
        <f>IFERROR(IF(compras_mes9[[#This Row],[CUIT]]="","-",VLOOKUP(compras_mes9[[#This Row],[CUIT]],Lista_CUIT[#All],4,0)),"CUIT NO CARGADO")</f>
        <v>0</v>
      </c>
    </row>
    <row r="44" spans="2:18" x14ac:dyDescent="0.25">
      <c r="B44" s="40"/>
      <c r="C44" s="41"/>
      <c r="D44" s="42"/>
      <c r="E44" s="43"/>
      <c r="F44" s="44">
        <v>20231240005</v>
      </c>
      <c r="G44" s="45" t="str">
        <f>IFERROR(IF(compras_mes9[[#This Row],[CUIT]]="","-",VLOOKUP(compras_mes9[[#This Row],[CUIT]],Lista_CUIT[#All],2,0)),"CUIT NO CARGADO")</f>
        <v>PASSALACQUA RICARDO ADOLFO</v>
      </c>
      <c r="H44" s="46">
        <v>5785.12</v>
      </c>
      <c r="I44" s="85">
        <f>IF(compras_mes9[[#This Row],[NETO GRAVADO]]="","",compras_mes9[[#This Row],[NETO GRAVADO]]*0.21)</f>
        <v>1214.8751999999999</v>
      </c>
      <c r="J44" s="85"/>
      <c r="K44" s="85"/>
      <c r="L44" s="85"/>
      <c r="M44" s="85"/>
      <c r="N44" s="85"/>
      <c r="O44" s="85"/>
      <c r="P44" s="48">
        <f>SUM(compras_mes9[[#This Row],[NETO GRAVADO]:[Otros / No Grav.]])</f>
        <v>6999.9951999999994</v>
      </c>
      <c r="Q44" s="49" t="str">
        <f>IFERROR(IF(compras_mes9[[#This Row],[CUIT]]="","-",VLOOKUP(compras_mes9[[#This Row],[CUIT]],Lista_CUIT[#All],3,0)),"CUIT NO CARGADO")</f>
        <v>Gastos Varios</v>
      </c>
      <c r="R44" s="49">
        <f>IFERROR(IF(compras_mes9[[#This Row],[CUIT]]="","-",VLOOKUP(compras_mes9[[#This Row],[CUIT]],Lista_CUIT[#All],4,0)),"CUIT NO CARGADO")</f>
        <v>0</v>
      </c>
    </row>
    <row r="45" spans="2:18" x14ac:dyDescent="0.25">
      <c r="B45" s="40"/>
      <c r="C45" s="41"/>
      <c r="D45" s="42"/>
      <c r="E45" s="43"/>
      <c r="F45" s="44">
        <v>30711553564</v>
      </c>
      <c r="G45" s="45" t="str">
        <f>IFERROR(IF(compras_mes9[[#This Row],[CUIT]]="","-",VLOOKUP(compras_mes9[[#This Row],[CUIT]],Lista_CUIT[#All],2,0)),"CUIT NO CARGADO")</f>
        <v>SALUD TEX S.A</v>
      </c>
      <c r="H45" s="46">
        <v>1027410</v>
      </c>
      <c r="I45" s="85">
        <f>IF(compras_mes9[[#This Row],[NETO GRAVADO]]="","",compras_mes9[[#This Row],[NETO GRAVADO]]*0.21)</f>
        <v>215756.1</v>
      </c>
      <c r="J45" s="85"/>
      <c r="K45" s="85"/>
      <c r="L45" s="85"/>
      <c r="M45" s="85"/>
      <c r="N45" s="85"/>
      <c r="O45" s="85"/>
      <c r="P45" s="48">
        <f>SUM(compras_mes9[[#This Row],[NETO GRAVADO]:[Otros / No Grav.]])</f>
        <v>1243166.1000000001</v>
      </c>
      <c r="Q45" s="49" t="str">
        <f>IFERROR(IF(compras_mes9[[#This Row],[CUIT]]="","-",VLOOKUP(compras_mes9[[#This Row],[CUIT]],Lista_CUIT[#All],3,0)),"CUIT NO CARGADO")</f>
        <v>INSUMO</v>
      </c>
      <c r="R45" s="49">
        <f>IFERROR(IF(compras_mes9[[#This Row],[CUIT]]="","-",VLOOKUP(compras_mes9[[#This Row],[CUIT]],Lista_CUIT[#All],4,0)),"CUIT NO CARGADO")</f>
        <v>0</v>
      </c>
    </row>
    <row r="46" spans="2:18" x14ac:dyDescent="0.25">
      <c r="B46" s="40"/>
      <c r="C46" s="41"/>
      <c r="D46" s="42"/>
      <c r="E46" s="43"/>
      <c r="F46" s="44">
        <v>27325223273</v>
      </c>
      <c r="G46" s="45" t="str">
        <f>IFERROR(IF(compras_mes9[[#This Row],[CUIT]]="","-",VLOOKUP(compras_mes9[[#This Row],[CUIT]],Lista_CUIT[#All],2,0)),"CUIT NO CARGADO")</f>
        <v>SOUSA ALDERETE ALEJANDRA MABEL</v>
      </c>
      <c r="H46" s="46">
        <v>2200000</v>
      </c>
      <c r="I46" s="85">
        <f>IF(compras_mes9[[#This Row],[NETO GRAVADO]]="","",compras_mes9[[#This Row],[NETO GRAVADO]]*0.21)</f>
        <v>462000</v>
      </c>
      <c r="J46" s="85"/>
      <c r="K46" s="85"/>
      <c r="L46" s="85"/>
      <c r="M46" s="85"/>
      <c r="N46" s="85"/>
      <c r="O46" s="85"/>
      <c r="P46" s="48">
        <f>SUM(compras_mes9[[#This Row],[NETO GRAVADO]:[Otros / No Grav.]])</f>
        <v>2662000</v>
      </c>
      <c r="Q46" s="49" t="str">
        <f>IFERROR(IF(compras_mes9[[#This Row],[CUIT]]="","-",VLOOKUP(compras_mes9[[#This Row],[CUIT]],Lista_CUIT[#All],3,0)),"CUIT NO CARGADO")</f>
        <v>Insumos</v>
      </c>
      <c r="R46" s="49">
        <f>IFERROR(IF(compras_mes9[[#This Row],[CUIT]]="","-",VLOOKUP(compras_mes9[[#This Row],[CUIT]],Lista_CUIT[#All],4,0)),"CUIT NO CARGADO")</f>
        <v>0</v>
      </c>
    </row>
    <row r="47" spans="2:18" x14ac:dyDescent="0.25">
      <c r="B47" s="40"/>
      <c r="C47" s="41"/>
      <c r="D47" s="42"/>
      <c r="E47" s="43"/>
      <c r="F47" s="44">
        <v>30712187316</v>
      </c>
      <c r="G47" s="45" t="str">
        <f>IFERROR(IF(compras_mes9[[#This Row],[CUIT]]="","-",VLOOKUP(compras_mes9[[#This Row],[CUIT]],Lista_CUIT[#All],2,0)),"CUIT NO CARGADO")</f>
        <v>ITALOMED PRODUCTOS SRL</v>
      </c>
      <c r="H47" s="46">
        <v>195642.6</v>
      </c>
      <c r="I47" s="85">
        <f>IF(compras_mes9[[#This Row],[NETO GRAVADO]]="","",compras_mes9[[#This Row],[NETO GRAVADO]]*0.21)</f>
        <v>41084.945999999996</v>
      </c>
      <c r="J47" s="85"/>
      <c r="K47" s="85"/>
      <c r="L47" s="85"/>
      <c r="M47" s="85"/>
      <c r="N47" s="85"/>
      <c r="O47" s="85"/>
      <c r="P47" s="48">
        <f>SUM(compras_mes9[[#This Row],[NETO GRAVADO]:[Otros / No Grav.]])</f>
        <v>236727.546</v>
      </c>
      <c r="Q47" s="49" t="str">
        <f>IFERROR(IF(compras_mes9[[#This Row],[CUIT]]="","-",VLOOKUP(compras_mes9[[#This Row],[CUIT]],Lista_CUIT[#All],3,0)),"CUIT NO CARGADO")</f>
        <v>INSUMO</v>
      </c>
      <c r="R47" s="49">
        <f>IFERROR(IF(compras_mes9[[#This Row],[CUIT]]="","-",VLOOKUP(compras_mes9[[#This Row],[CUIT]],Lista_CUIT[#All],4,0)),"CUIT NO CARGADO")</f>
        <v>0</v>
      </c>
    </row>
    <row r="48" spans="2:18" x14ac:dyDescent="0.25">
      <c r="B48" s="40"/>
      <c r="C48" s="41"/>
      <c r="D48" s="42"/>
      <c r="E48" s="43"/>
      <c r="F48" s="44">
        <v>30712187316</v>
      </c>
      <c r="G48" s="45" t="str">
        <f>IFERROR(IF(compras_mes9[[#This Row],[CUIT]]="","-",VLOOKUP(compras_mes9[[#This Row],[CUIT]],Lista_CUIT[#All],2,0)),"CUIT NO CARGADO")</f>
        <v>ITALOMED PRODUCTOS SRL</v>
      </c>
      <c r="H48" s="46">
        <v>194988.75</v>
      </c>
      <c r="I48" s="85">
        <f>IF(compras_mes9[[#This Row],[NETO GRAVADO]]="","",compras_mes9[[#This Row],[NETO GRAVADO]]*0.21)</f>
        <v>40947.637499999997</v>
      </c>
      <c r="J48" s="85"/>
      <c r="K48" s="85"/>
      <c r="L48" s="85"/>
      <c r="M48" s="85"/>
      <c r="N48" s="85"/>
      <c r="O48" s="85"/>
      <c r="P48" s="48">
        <f>SUM(compras_mes9[[#This Row],[NETO GRAVADO]:[Otros / No Grav.]])</f>
        <v>235936.38750000001</v>
      </c>
      <c r="Q48" s="49" t="str">
        <f>IFERROR(IF(compras_mes9[[#This Row],[CUIT]]="","-",VLOOKUP(compras_mes9[[#This Row],[CUIT]],Lista_CUIT[#All],3,0)),"CUIT NO CARGADO")</f>
        <v>INSUMO</v>
      </c>
      <c r="R48" s="49">
        <f>IFERROR(IF(compras_mes9[[#This Row],[CUIT]]="","-",VLOOKUP(compras_mes9[[#This Row],[CUIT]],Lista_CUIT[#All],4,0)),"CUIT NO CARGADO")</f>
        <v>0</v>
      </c>
    </row>
    <row r="49" spans="2:18" x14ac:dyDescent="0.25">
      <c r="B49" s="40"/>
      <c r="C49" s="41"/>
      <c r="D49" s="42"/>
      <c r="E49" s="43"/>
      <c r="F49" s="44">
        <v>30712187316</v>
      </c>
      <c r="G49" s="45" t="str">
        <f>IFERROR(IF(compras_mes9[[#This Row],[CUIT]]="","-",VLOOKUP(compras_mes9[[#This Row],[CUIT]],Lista_CUIT[#All],2,0)),"CUIT NO CARGADO")</f>
        <v>ITALOMED PRODUCTOS SRL</v>
      </c>
      <c r="H49" s="46">
        <v>219425</v>
      </c>
      <c r="I49" s="85">
        <f>IF(compras_mes9[[#This Row],[NETO GRAVADO]]="","",compras_mes9[[#This Row],[NETO GRAVADO]]*0.21)</f>
        <v>46079.25</v>
      </c>
      <c r="J49" s="85"/>
      <c r="K49" s="85"/>
      <c r="L49" s="85"/>
      <c r="M49" s="85"/>
      <c r="N49" s="85"/>
      <c r="O49" s="85"/>
      <c r="P49" s="48">
        <f>SUM(compras_mes9[[#This Row],[NETO GRAVADO]:[Otros / No Grav.]])</f>
        <v>265504.25</v>
      </c>
      <c r="Q49" s="49" t="str">
        <f>IFERROR(IF(compras_mes9[[#This Row],[CUIT]]="","-",VLOOKUP(compras_mes9[[#This Row],[CUIT]],Lista_CUIT[#All],3,0)),"CUIT NO CARGADO")</f>
        <v>INSUMO</v>
      </c>
      <c r="R49" s="49">
        <f>IFERROR(IF(compras_mes9[[#This Row],[CUIT]]="","-",VLOOKUP(compras_mes9[[#This Row],[CUIT]],Lista_CUIT[#All],4,0)),"CUIT NO CARGADO")</f>
        <v>0</v>
      </c>
    </row>
    <row r="50" spans="2:18" x14ac:dyDescent="0.25">
      <c r="B50" s="40"/>
      <c r="C50" s="41"/>
      <c r="D50" s="42"/>
      <c r="E50" s="43"/>
      <c r="F50" s="44">
        <v>30712187316</v>
      </c>
      <c r="G50" s="45" t="str">
        <f>IFERROR(IF(compras_mes9[[#This Row],[CUIT]]="","-",VLOOKUP(compras_mes9[[#This Row],[CUIT]],Lista_CUIT[#All],2,0)),"CUIT NO CARGADO")</f>
        <v>ITALOMED PRODUCTOS SRL</v>
      </c>
      <c r="H50" s="46">
        <v>207440.8</v>
      </c>
      <c r="I50" s="85">
        <f>IF(compras_mes9[[#This Row],[NETO GRAVADO]]="","",compras_mes9[[#This Row],[NETO GRAVADO]]*0.21)</f>
        <v>43562.567999999999</v>
      </c>
      <c r="J50" s="85"/>
      <c r="K50" s="85"/>
      <c r="L50" s="85"/>
      <c r="M50" s="85"/>
      <c r="N50" s="85"/>
      <c r="O50" s="85"/>
      <c r="P50" s="48">
        <f>SUM(compras_mes9[[#This Row],[NETO GRAVADO]:[Otros / No Grav.]])</f>
        <v>251003.36799999999</v>
      </c>
      <c r="Q50" s="49" t="str">
        <f>IFERROR(IF(compras_mes9[[#This Row],[CUIT]]="","-",VLOOKUP(compras_mes9[[#This Row],[CUIT]],Lista_CUIT[#All],3,0)),"CUIT NO CARGADO")</f>
        <v>INSUMO</v>
      </c>
      <c r="R50" s="49">
        <f>IFERROR(IF(compras_mes9[[#This Row],[CUIT]]="","-",VLOOKUP(compras_mes9[[#This Row],[CUIT]],Lista_CUIT[#All],4,0)),"CUIT NO CARGADO")</f>
        <v>0</v>
      </c>
    </row>
    <row r="51" spans="2:18" x14ac:dyDescent="0.25">
      <c r="B51" s="40"/>
      <c r="C51" s="41"/>
      <c r="D51" s="42"/>
      <c r="E51" s="43"/>
      <c r="F51" s="44">
        <v>30708973501</v>
      </c>
      <c r="G51" s="45" t="str">
        <f>IFERROR(IF(compras_mes9[[#This Row],[CUIT]]="","-",VLOOKUP(compras_mes9[[#This Row],[CUIT]],Lista_CUIT[#All],2,0)),"CUIT NO CARGADO")</f>
        <v>ASIAL SRL</v>
      </c>
      <c r="H51" s="46">
        <v>1043316</v>
      </c>
      <c r="I51" s="85">
        <f>IF(compras_mes9[[#This Row],[NETO GRAVADO]]="","",compras_mes9[[#This Row],[NETO GRAVADO]]*0.21)</f>
        <v>219096.36</v>
      </c>
      <c r="J51" s="85"/>
      <c r="K51" s="85"/>
      <c r="L51" s="85"/>
      <c r="M51" s="85"/>
      <c r="N51" s="85"/>
      <c r="O51" s="85"/>
      <c r="P51" s="48">
        <f>SUM(compras_mes9[[#This Row],[NETO GRAVADO]:[Otros / No Grav.]])</f>
        <v>1262412.3599999999</v>
      </c>
      <c r="Q51" s="49" t="str">
        <f>IFERROR(IF(compras_mes9[[#This Row],[CUIT]]="","-",VLOOKUP(compras_mes9[[#This Row],[CUIT]],Lista_CUIT[#All],3,0)),"CUIT NO CARGADO")</f>
        <v>INSUMO</v>
      </c>
      <c r="R51" s="49">
        <f>IFERROR(IF(compras_mes9[[#This Row],[CUIT]]="","-",VLOOKUP(compras_mes9[[#This Row],[CUIT]],Lista_CUIT[#All],4,0)),"CUIT NO CARGADO")</f>
        <v>0</v>
      </c>
    </row>
    <row r="52" spans="2:18" x14ac:dyDescent="0.25">
      <c r="B52" s="40"/>
      <c r="C52" s="41"/>
      <c r="D52" s="42"/>
      <c r="E52" s="43"/>
      <c r="F52" s="44">
        <v>20242126158</v>
      </c>
      <c r="G52" s="45" t="str">
        <f>IFERROR(IF(compras_mes9[[#This Row],[CUIT]]="","-",VLOOKUP(compras_mes9[[#This Row],[CUIT]],Lista_CUIT[#All],2,0)),"CUIT NO CARGADO")</f>
        <v>IALLONARDO SERGIO</v>
      </c>
      <c r="H52" s="46">
        <v>767790</v>
      </c>
      <c r="I52" s="85">
        <f>413250*0.21</f>
        <v>86782.5</v>
      </c>
      <c r="J52" s="85"/>
      <c r="K52" s="85">
        <f>354540*0.105</f>
        <v>37226.699999999997</v>
      </c>
      <c r="L52" s="85"/>
      <c r="M52" s="85"/>
      <c r="N52" s="85"/>
      <c r="O52" s="85"/>
      <c r="P52" s="48">
        <f>SUM(compras_mes9[[#This Row],[NETO GRAVADO]:[Otros / No Grav.]])</f>
        <v>891799.2</v>
      </c>
      <c r="Q52" s="49" t="str">
        <f>IFERROR(IF(compras_mes9[[#This Row],[CUIT]]="","-",VLOOKUP(compras_mes9[[#This Row],[CUIT]],Lista_CUIT[#All],3,0)),"CUIT NO CARGADO")</f>
        <v>PROVEEDOR</v>
      </c>
      <c r="R52" s="49">
        <f>IFERROR(IF(compras_mes9[[#This Row],[CUIT]]="","-",VLOOKUP(compras_mes9[[#This Row],[CUIT]],Lista_CUIT[#All],4,0)),"CUIT NO CARGADO")</f>
        <v>0</v>
      </c>
    </row>
    <row r="53" spans="2:18" x14ac:dyDescent="0.25">
      <c r="B53" s="40"/>
      <c r="C53" s="41"/>
      <c r="D53" s="42"/>
      <c r="E53" s="43"/>
      <c r="F53" s="44">
        <v>30714201286</v>
      </c>
      <c r="G53" s="45" t="str">
        <f>IFERROR(IF(compras_mes9[[#This Row],[CUIT]]="","-",VLOOKUP(compras_mes9[[#This Row],[CUIT]],Lista_CUIT[#All],2,0)),"CUIT NO CARGADO")</f>
        <v>T.I.M. TIME IS MONEY S.R.L.</v>
      </c>
      <c r="H53" s="46">
        <v>144600</v>
      </c>
      <c r="I53" s="85">
        <f>IF(compras_mes9[[#This Row],[NETO GRAVADO]]="","",compras_mes9[[#This Row],[NETO GRAVADO]]*0.21)</f>
        <v>30366</v>
      </c>
      <c r="J53" s="85"/>
      <c r="K53" s="85"/>
      <c r="L53" s="85"/>
      <c r="M53" s="85"/>
      <c r="N53" s="85"/>
      <c r="O53" s="85"/>
      <c r="P53" s="48">
        <f>SUM(compras_mes9[[#This Row],[NETO GRAVADO]:[Otros / No Grav.]])</f>
        <v>174966</v>
      </c>
      <c r="Q53" s="49" t="str">
        <f>IFERROR(IF(compras_mes9[[#This Row],[CUIT]]="","-",VLOOKUP(compras_mes9[[#This Row],[CUIT]],Lista_CUIT[#All],3,0)),"CUIT NO CARGADO")</f>
        <v>textil</v>
      </c>
      <c r="R53" s="49">
        <f>IFERROR(IF(compras_mes9[[#This Row],[CUIT]]="","-",VLOOKUP(compras_mes9[[#This Row],[CUIT]],Lista_CUIT[#All],4,0)),"CUIT NO CARGADO")</f>
        <v>0</v>
      </c>
    </row>
    <row r="54" spans="2:18" x14ac:dyDescent="0.25">
      <c r="B54" s="40"/>
      <c r="C54" s="41"/>
      <c r="D54" s="42"/>
      <c r="E54" s="43"/>
      <c r="F54" s="44">
        <v>27310367813</v>
      </c>
      <c r="G54" s="45" t="str">
        <f>IFERROR(IF(compras_mes9[[#This Row],[CUIT]]="","-",VLOOKUP(compras_mes9[[#This Row],[CUIT]],Lista_CUIT[#All],2,0)),"CUIT NO CARGADO")</f>
        <v>LA BRUNA MARIA VIRGINIA</v>
      </c>
      <c r="H54" s="46">
        <v>152066.12</v>
      </c>
      <c r="I54" s="85">
        <f>IF(compras_mes9[[#This Row],[NETO GRAVADO]]="","",compras_mes9[[#This Row],[NETO GRAVADO]]*0.21)</f>
        <v>31933.885199999997</v>
      </c>
      <c r="J54" s="85"/>
      <c r="K54" s="85"/>
      <c r="L54" s="85"/>
      <c r="M54" s="85"/>
      <c r="N54" s="85"/>
      <c r="O54" s="85"/>
      <c r="P54" s="48">
        <f>SUM(compras_mes9[[#This Row],[NETO GRAVADO]:[Otros / No Grav.]])</f>
        <v>184000.00519999999</v>
      </c>
      <c r="Q54" s="49" t="str">
        <f>IFERROR(IF(compras_mes9[[#This Row],[CUIT]]="","-",VLOOKUP(compras_mes9[[#This Row],[CUIT]],Lista_CUIT[#All],3,0)),"CUIT NO CARGADO")</f>
        <v>Hon. Juridicos</v>
      </c>
      <c r="R54" s="49">
        <f>IFERROR(IF(compras_mes9[[#This Row],[CUIT]]="","-",VLOOKUP(compras_mes9[[#This Row],[CUIT]],Lista_CUIT[#All],4,0)),"CUIT NO CARGADO")</f>
        <v>0</v>
      </c>
    </row>
    <row r="55" spans="2:18" x14ac:dyDescent="0.25">
      <c r="B55" s="40"/>
      <c r="C55" s="41"/>
      <c r="D55" s="42"/>
      <c r="E55" s="43"/>
      <c r="F55" s="44">
        <v>30516199292</v>
      </c>
      <c r="G55" s="45" t="str">
        <f>IFERROR(IF(compras_mes9[[#This Row],[CUIT]]="","-",VLOOKUP(compras_mes9[[#This Row],[CUIT]],Lista_CUIT[#All],2,0)),"CUIT NO CARGADO")</f>
        <v>S V A SACIFI</v>
      </c>
      <c r="H55" s="46">
        <v>357044.57</v>
      </c>
      <c r="I55" s="85">
        <f>IF(compras_mes9[[#This Row],[NETO GRAVADO]]="","",compras_mes9[[#This Row],[NETO GRAVADO]]*0.21)</f>
        <v>74979.359700000001</v>
      </c>
      <c r="J55" s="85"/>
      <c r="K55" s="85"/>
      <c r="L55" s="85"/>
      <c r="M55" s="85"/>
      <c r="N55" s="85">
        <v>14281.78</v>
      </c>
      <c r="O55" s="85"/>
      <c r="P55" s="48">
        <f>SUM(compras_mes9[[#This Row],[NETO GRAVADO]:[Otros / No Grav.]])</f>
        <v>446305.70970000001</v>
      </c>
      <c r="Q55" s="49" t="str">
        <f>IFERROR(IF(compras_mes9[[#This Row],[CUIT]]="","-",VLOOKUP(compras_mes9[[#This Row],[CUIT]],Lista_CUIT[#All],3,0)),"CUIT NO CARGADO")</f>
        <v>Mantenimiento</v>
      </c>
      <c r="R55" s="49">
        <f>IFERROR(IF(compras_mes9[[#This Row],[CUIT]]="","-",VLOOKUP(compras_mes9[[#This Row],[CUIT]],Lista_CUIT[#All],4,0)),"CUIT NO CARGADO")</f>
        <v>0</v>
      </c>
    </row>
    <row r="56" spans="2:18" x14ac:dyDescent="0.25">
      <c r="B56" s="40"/>
      <c r="C56" s="41"/>
      <c r="D56" s="42"/>
      <c r="E56" s="43"/>
      <c r="F56" s="44">
        <v>30715804812</v>
      </c>
      <c r="G56" s="45" t="str">
        <f>IFERROR(IF(compras_mes9[[#This Row],[CUIT]]="","-",VLOOKUP(compras_mes9[[#This Row],[CUIT]],Lista_CUIT[#All],2,0)),"CUIT NO CARGADO")</f>
        <v>CORREDORES VIALES SOCIEDAD ANONIMA</v>
      </c>
      <c r="H56" s="46">
        <v>1039.98</v>
      </c>
      <c r="I56" s="85">
        <f>IF(compras_mes9[[#This Row],[NETO GRAVADO]]="","",compras_mes9[[#This Row],[NETO GRAVADO]]*0.21)</f>
        <v>218.39580000000001</v>
      </c>
      <c r="J56" s="85"/>
      <c r="K56" s="85"/>
      <c r="L56" s="85"/>
      <c r="M56" s="85"/>
      <c r="N56" s="85"/>
      <c r="O56" s="85"/>
      <c r="P56" s="48">
        <f>SUM(compras_mes9[[#This Row],[NETO GRAVADO]:[Otros / No Grav.]])</f>
        <v>1258.3758</v>
      </c>
      <c r="Q56" s="49" t="str">
        <f>IFERROR(IF(compras_mes9[[#This Row],[CUIT]]="","-",VLOOKUP(compras_mes9[[#This Row],[CUIT]],Lista_CUIT[#All],3,0)),"CUIT NO CARGADO")</f>
        <v>Autopista</v>
      </c>
      <c r="R56" s="49">
        <f>IFERROR(IF(compras_mes9[[#This Row],[CUIT]]="","-",VLOOKUP(compras_mes9[[#This Row],[CUIT]],Lista_CUIT[#All],4,0)),"CUIT NO CARGADO")</f>
        <v>0</v>
      </c>
    </row>
    <row r="57" spans="2:18" x14ac:dyDescent="0.25">
      <c r="B57" s="40"/>
      <c r="C57" s="41"/>
      <c r="D57" s="42"/>
      <c r="E57" s="43"/>
      <c r="F57" s="44">
        <v>30654118767</v>
      </c>
      <c r="G57" s="45" t="str">
        <f>IFERROR(IF(compras_mes9[[#This Row],[CUIT]]="","-",VLOOKUP(compras_mes9[[#This Row],[CUIT]],Lista_CUIT[#All],2,0)),"CUIT NO CARGADO")</f>
        <v>SOLUCIONES MULTIMEDIA SA</v>
      </c>
      <c r="H57" s="46">
        <v>159114.10999999999</v>
      </c>
      <c r="I57" s="85">
        <f>IF(compras_mes9[[#This Row],[NETO GRAVADO]]="","",compras_mes9[[#This Row],[NETO GRAVADO]]*0.21)</f>
        <v>33413.963099999994</v>
      </c>
      <c r="J57" s="85"/>
      <c r="K57" s="85"/>
      <c r="L57" s="85">
        <v>6364.57</v>
      </c>
      <c r="M57" s="85"/>
      <c r="N57" s="85"/>
      <c r="O57" s="85"/>
      <c r="P57" s="48">
        <f>SUM(compras_mes9[[#This Row],[NETO GRAVADO]:[Otros / No Grav.]])</f>
        <v>198892.64309999999</v>
      </c>
      <c r="Q57" s="49" t="str">
        <f>IFERROR(IF(compras_mes9[[#This Row],[CUIT]]="","-",VLOOKUP(compras_mes9[[#This Row],[CUIT]],Lista_CUIT[#All],3,0)),"CUIT NO CARGADO")</f>
        <v>gastos varios</v>
      </c>
      <c r="R57" s="49">
        <f>IFERROR(IF(compras_mes9[[#This Row],[CUIT]]="","-",VLOOKUP(compras_mes9[[#This Row],[CUIT]],Lista_CUIT[#All],4,0)),"CUIT NO CARGADO")</f>
        <v>0</v>
      </c>
    </row>
    <row r="58" spans="2:18" x14ac:dyDescent="0.25">
      <c r="B58" s="40"/>
      <c r="C58" s="41"/>
      <c r="D58" s="42"/>
      <c r="E58" s="43"/>
      <c r="F58" s="44">
        <v>30715804812</v>
      </c>
      <c r="G58" s="45" t="str">
        <f>IFERROR(IF(compras_mes9[[#This Row],[CUIT]]="","-",VLOOKUP(compras_mes9[[#This Row],[CUIT]],Lista_CUIT[#All],2,0)),"CUIT NO CARGADO")</f>
        <v>CORREDORES VIALES SOCIEDAD ANONIMA</v>
      </c>
      <c r="H58" s="46">
        <v>41183.269999999997</v>
      </c>
      <c r="I58" s="85">
        <f>IF(compras_mes9[[#This Row],[NETO GRAVADO]]="","",compras_mes9[[#This Row],[NETO GRAVADO]]*0.21)</f>
        <v>8648.4866999999995</v>
      </c>
      <c r="J58" s="85"/>
      <c r="K58" s="85"/>
      <c r="L58" s="85"/>
      <c r="M58" s="85"/>
      <c r="N58" s="85"/>
      <c r="O58" s="85"/>
      <c r="P58" s="48">
        <f>SUM(compras_mes9[[#This Row],[NETO GRAVADO]:[Otros / No Grav.]])</f>
        <v>49831.756699999998</v>
      </c>
      <c r="Q58" s="49" t="str">
        <f>IFERROR(IF(compras_mes9[[#This Row],[CUIT]]="","-",VLOOKUP(compras_mes9[[#This Row],[CUIT]],Lista_CUIT[#All],3,0)),"CUIT NO CARGADO")</f>
        <v>Autopista</v>
      </c>
      <c r="R58" s="49">
        <f>IFERROR(IF(compras_mes9[[#This Row],[CUIT]]="","-",VLOOKUP(compras_mes9[[#This Row],[CUIT]],Lista_CUIT[#All],4,0)),"CUIT NO CARGADO")</f>
        <v>0</v>
      </c>
    </row>
    <row r="59" spans="2:18" x14ac:dyDescent="0.25">
      <c r="B59" s="40"/>
      <c r="C59" s="41"/>
      <c r="D59" s="42"/>
      <c r="E59" s="43"/>
      <c r="F59" s="44">
        <v>30715804812</v>
      </c>
      <c r="G59" s="45" t="str">
        <f>IFERROR(IF(compras_mes9[[#This Row],[CUIT]]="","-",VLOOKUP(compras_mes9[[#This Row],[CUIT]],Lista_CUIT[#All],2,0)),"CUIT NO CARGADO")</f>
        <v>CORREDORES VIALES SOCIEDAD ANONIMA</v>
      </c>
      <c r="H59" s="46">
        <v>831.98</v>
      </c>
      <c r="I59" s="85">
        <f>IF(compras_mes9[[#This Row],[NETO GRAVADO]]="","",compras_mes9[[#This Row],[NETO GRAVADO]]*0.21)</f>
        <v>174.7158</v>
      </c>
      <c r="J59" s="85"/>
      <c r="K59" s="85"/>
      <c r="L59" s="85"/>
      <c r="M59" s="85"/>
      <c r="N59" s="85"/>
      <c r="O59" s="85"/>
      <c r="P59" s="48">
        <f>SUM(compras_mes9[[#This Row],[NETO GRAVADO]:[Otros / No Grav.]])</f>
        <v>1006.6958</v>
      </c>
      <c r="Q59" s="49" t="str">
        <f>IFERROR(IF(compras_mes9[[#This Row],[CUIT]]="","-",VLOOKUP(compras_mes9[[#This Row],[CUIT]],Lista_CUIT[#All],3,0)),"CUIT NO CARGADO")</f>
        <v>Autopista</v>
      </c>
      <c r="R59" s="49">
        <f>IFERROR(IF(compras_mes9[[#This Row],[CUIT]]="","-",VLOOKUP(compras_mes9[[#This Row],[CUIT]],Lista_CUIT[#All],4,0)),"CUIT NO CARGADO")</f>
        <v>0</v>
      </c>
    </row>
    <row r="60" spans="2:18" x14ac:dyDescent="0.25">
      <c r="B60" s="40"/>
      <c r="C60" s="41"/>
      <c r="D60" s="42"/>
      <c r="E60" s="43"/>
      <c r="F60" s="44">
        <v>30715804812</v>
      </c>
      <c r="G60" s="45" t="str">
        <f>IFERROR(IF(compras_mes9[[#This Row],[CUIT]]="","-",VLOOKUP(compras_mes9[[#This Row],[CUIT]],Lista_CUIT[#All],2,0)),"CUIT NO CARGADO")</f>
        <v>CORREDORES VIALES SOCIEDAD ANONIMA</v>
      </c>
      <c r="H60" s="46">
        <v>17887.7</v>
      </c>
      <c r="I60" s="85">
        <f>IF(compras_mes9[[#This Row],[NETO GRAVADO]]="","",compras_mes9[[#This Row],[NETO GRAVADO]]*0.21)</f>
        <v>3756.4169999999999</v>
      </c>
      <c r="J60" s="85"/>
      <c r="K60" s="85"/>
      <c r="L60" s="85">
        <v>715.51</v>
      </c>
      <c r="M60" s="85"/>
      <c r="N60" s="85"/>
      <c r="O60" s="85"/>
      <c r="P60" s="48">
        <f>SUM(compras_mes9[[#This Row],[NETO GRAVADO]:[Otros / No Grav.]])</f>
        <v>22359.627</v>
      </c>
      <c r="Q60" s="49" t="str">
        <f>IFERROR(IF(compras_mes9[[#This Row],[CUIT]]="","-",VLOOKUP(compras_mes9[[#This Row],[CUIT]],Lista_CUIT[#All],3,0)),"CUIT NO CARGADO")</f>
        <v>Autopista</v>
      </c>
      <c r="R60" s="49">
        <f>IFERROR(IF(compras_mes9[[#This Row],[CUIT]]="","-",VLOOKUP(compras_mes9[[#This Row],[CUIT]],Lista_CUIT[#All],4,0)),"CUIT NO CARGADO")</f>
        <v>0</v>
      </c>
    </row>
    <row r="61" spans="2:18" x14ac:dyDescent="0.25">
      <c r="B61" s="40"/>
      <c r="C61" s="41"/>
      <c r="D61" s="42"/>
      <c r="E61" s="43"/>
      <c r="F61" s="44">
        <v>30715804812</v>
      </c>
      <c r="G61" s="45" t="str">
        <f>IFERROR(IF(compras_mes9[[#This Row],[CUIT]]="","-",VLOOKUP(compras_mes9[[#This Row],[CUIT]],Lista_CUIT[#All],2,0)),"CUIT NO CARGADO")</f>
        <v>CORREDORES VIALES SOCIEDAD ANONIMA</v>
      </c>
      <c r="H61" s="46">
        <v>4991.8999999999996</v>
      </c>
      <c r="I61" s="85">
        <f>IF(compras_mes9[[#This Row],[NETO GRAVADO]]="","",compras_mes9[[#This Row],[NETO GRAVADO]]*0.21)</f>
        <v>1048.299</v>
      </c>
      <c r="J61" s="85"/>
      <c r="K61" s="85"/>
      <c r="L61" s="85"/>
      <c r="M61" s="85"/>
      <c r="N61" s="85"/>
      <c r="O61" s="85"/>
      <c r="P61" s="48">
        <f>SUM(compras_mes9[[#This Row],[NETO GRAVADO]:[Otros / No Grav.]])</f>
        <v>6040.1989999999996</v>
      </c>
      <c r="Q61" s="49" t="str">
        <f>IFERROR(IF(compras_mes9[[#This Row],[CUIT]]="","-",VLOOKUP(compras_mes9[[#This Row],[CUIT]],Lista_CUIT[#All],3,0)),"CUIT NO CARGADO")</f>
        <v>Autopista</v>
      </c>
      <c r="R61" s="49">
        <f>IFERROR(IF(compras_mes9[[#This Row],[CUIT]]="","-",VLOOKUP(compras_mes9[[#This Row],[CUIT]],Lista_CUIT[#All],4,0)),"CUIT NO CARGADO")</f>
        <v>0</v>
      </c>
    </row>
    <row r="62" spans="2:18" x14ac:dyDescent="0.25">
      <c r="B62" s="40"/>
      <c r="C62" s="41"/>
      <c r="D62" s="42"/>
      <c r="E62" s="43"/>
      <c r="F62" s="44">
        <v>30685849751</v>
      </c>
      <c r="G62" s="45" t="str">
        <f>IFERROR(IF(compras_mes9[[#This Row],[CUIT]]="","-",VLOOKUP(compras_mes9[[#This Row],[CUIT]],Lista_CUIT[#All],2,0)),"CUIT NO CARGADO")</f>
        <v>DIA ARGENTINA S.A.</v>
      </c>
      <c r="H62" s="46">
        <v>2223.14</v>
      </c>
      <c r="I62" s="85">
        <f>IF(compras_mes9[[#This Row],[NETO GRAVADO]]="","",compras_mes9[[#This Row],[NETO GRAVADO]]*0.21)</f>
        <v>466.85939999999994</v>
      </c>
      <c r="J62" s="85"/>
      <c r="K62" s="85"/>
      <c r="L62" s="85"/>
      <c r="M62" s="85"/>
      <c r="N62" s="85"/>
      <c r="O62" s="85"/>
      <c r="P62" s="48">
        <f>SUM(compras_mes9[[#This Row],[NETO GRAVADO]:[Otros / No Grav.]])</f>
        <v>2689.9993999999997</v>
      </c>
      <c r="Q62" s="49" t="str">
        <f>IFERROR(IF(compras_mes9[[#This Row],[CUIT]]="","-",VLOOKUP(compras_mes9[[#This Row],[CUIT]],Lista_CUIT[#All],3,0)),"CUIT NO CARGADO")</f>
        <v>MERCADERIA</v>
      </c>
      <c r="R62" s="49">
        <f>IFERROR(IF(compras_mes9[[#This Row],[CUIT]]="","-",VLOOKUP(compras_mes9[[#This Row],[CUIT]],Lista_CUIT[#All],4,0)),"CUIT NO CARGADO")</f>
        <v>0</v>
      </c>
    </row>
    <row r="63" spans="2:18" x14ac:dyDescent="0.25">
      <c r="B63" s="40"/>
      <c r="C63" s="41"/>
      <c r="D63" s="42"/>
      <c r="E63" s="43"/>
      <c r="F63" s="44">
        <v>30685849751</v>
      </c>
      <c r="G63" s="45" t="str">
        <f>IFERROR(IF(compras_mes9[[#This Row],[CUIT]]="","-",VLOOKUP(compras_mes9[[#This Row],[CUIT]],Lista_CUIT[#All],2,0)),"CUIT NO CARGADO")</f>
        <v>DIA ARGENTINA S.A.</v>
      </c>
      <c r="H63" s="46">
        <v>7683.47</v>
      </c>
      <c r="I63" s="85">
        <f>IF(compras_mes9[[#This Row],[NETO GRAVADO]]="","",compras_mes9[[#This Row],[NETO GRAVADO]]*0.21)</f>
        <v>1613.5287000000001</v>
      </c>
      <c r="J63" s="85"/>
      <c r="K63" s="85"/>
      <c r="L63" s="85"/>
      <c r="M63" s="85"/>
      <c r="N63" s="85">
        <v>307.33999999999997</v>
      </c>
      <c r="O63" s="85"/>
      <c r="P63" s="48">
        <f>SUM(compras_mes9[[#This Row],[NETO GRAVADO]:[Otros / No Grav.]])</f>
        <v>9604.3387000000002</v>
      </c>
      <c r="Q63" s="49" t="str">
        <f>IFERROR(IF(compras_mes9[[#This Row],[CUIT]]="","-",VLOOKUP(compras_mes9[[#This Row],[CUIT]],Lista_CUIT[#All],3,0)),"CUIT NO CARGADO")</f>
        <v>MERCADERIA</v>
      </c>
      <c r="R63" s="49">
        <f>IFERROR(IF(compras_mes9[[#This Row],[CUIT]]="","-",VLOOKUP(compras_mes9[[#This Row],[CUIT]],Lista_CUIT[#All],4,0)),"CUIT NO CARGADO")</f>
        <v>0</v>
      </c>
    </row>
    <row r="64" spans="2:18" x14ac:dyDescent="0.25">
      <c r="B64" s="40"/>
      <c r="C64" s="41"/>
      <c r="D64" s="42"/>
      <c r="E64" s="43"/>
      <c r="F64" s="44">
        <v>30685849751</v>
      </c>
      <c r="G64" s="45" t="str">
        <f>IFERROR(IF(compras_mes9[[#This Row],[CUIT]]="","-",VLOOKUP(compras_mes9[[#This Row],[CUIT]],Lista_CUIT[#All],2,0)),"CUIT NO CARGADO")</f>
        <v>DIA ARGENTINA S.A.</v>
      </c>
      <c r="H64" s="46">
        <v>5185.96</v>
      </c>
      <c r="I64" s="85">
        <f>IF(compras_mes9[[#This Row],[NETO GRAVADO]]="","",compras_mes9[[#This Row],[NETO GRAVADO]]*0.21)</f>
        <v>1089.0516</v>
      </c>
      <c r="J64" s="85"/>
      <c r="K64" s="85"/>
      <c r="L64" s="85"/>
      <c r="M64" s="85"/>
      <c r="N64" s="85">
        <v>207.44</v>
      </c>
      <c r="O64" s="85"/>
      <c r="P64" s="48">
        <f>SUM(compras_mes9[[#This Row],[NETO GRAVADO]:[Otros / No Grav.]])</f>
        <v>6482.4515999999994</v>
      </c>
      <c r="Q64" s="49" t="str">
        <f>IFERROR(IF(compras_mes9[[#This Row],[CUIT]]="","-",VLOOKUP(compras_mes9[[#This Row],[CUIT]],Lista_CUIT[#All],3,0)),"CUIT NO CARGADO")</f>
        <v>MERCADERIA</v>
      </c>
      <c r="R64" s="49">
        <f>IFERROR(IF(compras_mes9[[#This Row],[CUIT]]="","-",VLOOKUP(compras_mes9[[#This Row],[CUIT]],Lista_CUIT[#All],4,0)),"CUIT NO CARGADO")</f>
        <v>0</v>
      </c>
    </row>
    <row r="65" spans="2:18" x14ac:dyDescent="0.25">
      <c r="B65" s="40"/>
      <c r="C65" s="41"/>
      <c r="D65" s="42"/>
      <c r="E65" s="43"/>
      <c r="F65" s="44">
        <v>30712289046</v>
      </c>
      <c r="G65" s="45" t="str">
        <f>IFERROR(IF(compras_mes9[[#This Row],[CUIT]]="","-",VLOOKUP(compras_mes9[[#This Row],[CUIT]],Lista_CUIT[#All],2,0)),"CUIT NO CARGADO")</f>
        <v>IMPIERI, PIÑEIIRO, R  Y A SA</v>
      </c>
      <c r="H65" s="46">
        <v>36602.32</v>
      </c>
      <c r="I65" s="85">
        <f>IF(compras_mes9[[#This Row],[NETO GRAVADO]]="","",compras_mes9[[#This Row],[NETO GRAVADO]]*0.21)</f>
        <v>7686.4871999999996</v>
      </c>
      <c r="J65" s="85"/>
      <c r="K65" s="85"/>
      <c r="L65" s="85"/>
      <c r="M65" s="85"/>
      <c r="N65" s="85"/>
      <c r="O65" s="85"/>
      <c r="P65" s="48">
        <f>SUM(compras_mes9[[#This Row],[NETO GRAVADO]:[Otros / No Grav.]])</f>
        <v>44288.807199999996</v>
      </c>
      <c r="Q65" s="49" t="str">
        <f>IFERROR(IF(compras_mes9[[#This Row],[CUIT]]="","-",VLOOKUP(compras_mes9[[#This Row],[CUIT]],Lista_CUIT[#All],3,0)),"CUIT NO CARGADO")</f>
        <v>COMBUSTIBLE</v>
      </c>
      <c r="R65" s="49">
        <f>IFERROR(IF(compras_mes9[[#This Row],[CUIT]]="","-",VLOOKUP(compras_mes9[[#This Row],[CUIT]],Lista_CUIT[#All],4,0)),"CUIT NO CARGADO")</f>
        <v>0</v>
      </c>
    </row>
    <row r="66" spans="2:18" x14ac:dyDescent="0.25">
      <c r="B66" s="40"/>
      <c r="C66" s="41"/>
      <c r="D66" s="42"/>
      <c r="E66" s="43"/>
      <c r="F66" s="44">
        <v>30712289046</v>
      </c>
      <c r="G66" s="45" t="str">
        <f>IFERROR(IF(compras_mes9[[#This Row],[CUIT]]="","-",VLOOKUP(compras_mes9[[#This Row],[CUIT]],Lista_CUIT[#All],2,0)),"CUIT NO CARGADO")</f>
        <v>IMPIERI, PIÑEIIRO, R  Y A SA</v>
      </c>
      <c r="H66" s="46">
        <v>23425.49</v>
      </c>
      <c r="I66" s="85">
        <f>IF(compras_mes9[[#This Row],[NETO GRAVADO]]="","",compras_mes9[[#This Row],[NETO GRAVADO]]*0.21)</f>
        <v>4919.3528999999999</v>
      </c>
      <c r="J66" s="85"/>
      <c r="K66" s="85"/>
      <c r="L66" s="85"/>
      <c r="M66" s="85"/>
      <c r="N66" s="85"/>
      <c r="O66" s="85"/>
      <c r="P66" s="48">
        <f>SUM(compras_mes9[[#This Row],[NETO GRAVADO]:[Otros / No Grav.]])</f>
        <v>28344.842900000003</v>
      </c>
      <c r="Q66" s="49" t="str">
        <f>IFERROR(IF(compras_mes9[[#This Row],[CUIT]]="","-",VLOOKUP(compras_mes9[[#This Row],[CUIT]],Lista_CUIT[#All],3,0)),"CUIT NO CARGADO")</f>
        <v>COMBUSTIBLE</v>
      </c>
      <c r="R66" s="49">
        <f>IFERROR(IF(compras_mes9[[#This Row],[CUIT]]="","-",VLOOKUP(compras_mes9[[#This Row],[CUIT]],Lista_CUIT[#All],4,0)),"CUIT NO CARGADO")</f>
        <v>0</v>
      </c>
    </row>
    <row r="67" spans="2:18" x14ac:dyDescent="0.25">
      <c r="B67" s="40"/>
      <c r="C67" s="41"/>
      <c r="D67" s="42"/>
      <c r="E67" s="43"/>
      <c r="F67" s="44">
        <v>30548083156</v>
      </c>
      <c r="G67" s="45" t="str">
        <f>IFERROR(IF(compras_mes9[[#This Row],[CUIT]]="","-",VLOOKUP(compras_mes9[[#This Row],[CUIT]],Lista_CUIT[#All],2,0)),"CUIT NO CARGADO")</f>
        <v>COTO CICSA</v>
      </c>
      <c r="H67" s="46">
        <v>22123.13</v>
      </c>
      <c r="I67" s="85">
        <f>IF(compras_mes9[[#This Row],[NETO GRAVADO]]="","",compras_mes9[[#This Row],[NETO GRAVADO]]*0.21)</f>
        <v>4645.8572999999997</v>
      </c>
      <c r="J67" s="85"/>
      <c r="K67" s="85"/>
      <c r="L67" s="85"/>
      <c r="M67" s="85"/>
      <c r="N67" s="85"/>
      <c r="O67" s="85"/>
      <c r="P67" s="48">
        <f>SUM(compras_mes9[[#This Row],[NETO GRAVADO]:[Otros / No Grav.]])</f>
        <v>26768.987300000001</v>
      </c>
      <c r="Q67" s="49" t="str">
        <f>IFERROR(IF(compras_mes9[[#This Row],[CUIT]]="","-",VLOOKUP(compras_mes9[[#This Row],[CUIT]],Lista_CUIT[#All],3,0)),"CUIT NO CARGADO")</f>
        <v>Gastos Varios</v>
      </c>
      <c r="R67" s="49">
        <f>IFERROR(IF(compras_mes9[[#This Row],[CUIT]]="","-",VLOOKUP(compras_mes9[[#This Row],[CUIT]],Lista_CUIT[#All],4,0)),"CUIT NO CARGADO")</f>
        <v>0</v>
      </c>
    </row>
    <row r="68" spans="2:18" x14ac:dyDescent="0.25">
      <c r="B68" s="40"/>
      <c r="C68" s="41"/>
      <c r="D68" s="42"/>
      <c r="E68" s="43"/>
      <c r="F68" s="44">
        <v>30548083156</v>
      </c>
      <c r="G68" s="45" t="str">
        <f>IFERROR(IF(compras_mes9[[#This Row],[CUIT]]="","-",VLOOKUP(compras_mes9[[#This Row],[CUIT]],Lista_CUIT[#All],2,0)),"CUIT NO CARGADO")</f>
        <v>COTO CICSA</v>
      </c>
      <c r="H68" s="46">
        <v>14048.76</v>
      </c>
      <c r="I68" s="85">
        <f>IF(compras_mes9[[#This Row],[NETO GRAVADO]]="","",compras_mes9[[#This Row],[NETO GRAVADO]]*0.21)</f>
        <v>2950.2395999999999</v>
      </c>
      <c r="J68" s="85"/>
      <c r="K68" s="85"/>
      <c r="L68" s="85"/>
      <c r="M68" s="85"/>
      <c r="N68" s="85"/>
      <c r="O68" s="85"/>
      <c r="P68" s="48">
        <f>SUM(compras_mes9[[#This Row],[NETO GRAVADO]:[Otros / No Grav.]])</f>
        <v>16998.999599999999</v>
      </c>
      <c r="Q68" s="49" t="str">
        <f>IFERROR(IF(compras_mes9[[#This Row],[CUIT]]="","-",VLOOKUP(compras_mes9[[#This Row],[CUIT]],Lista_CUIT[#All],3,0)),"CUIT NO CARGADO")</f>
        <v>Gastos Varios</v>
      </c>
      <c r="R68" s="49">
        <f>IFERROR(IF(compras_mes9[[#This Row],[CUIT]]="","-",VLOOKUP(compras_mes9[[#This Row],[CUIT]],Lista_CUIT[#All],4,0)),"CUIT NO CARGADO")</f>
        <v>0</v>
      </c>
    </row>
    <row r="69" spans="2:18" x14ac:dyDescent="0.25">
      <c r="B69" s="40"/>
      <c r="C69" s="41"/>
      <c r="D69" s="42"/>
      <c r="E69" s="43"/>
      <c r="F69" s="44">
        <v>30548083156</v>
      </c>
      <c r="G69" s="45" t="str">
        <f>IFERROR(IF(compras_mes9[[#This Row],[CUIT]]="","-",VLOOKUP(compras_mes9[[#This Row],[CUIT]],Lista_CUIT[#All],2,0)),"CUIT NO CARGADO")</f>
        <v>COTO CICSA</v>
      </c>
      <c r="H69" s="46">
        <v>72153.009999999995</v>
      </c>
      <c r="I69" s="85">
        <f>20098.46*0.21</f>
        <v>4220.6765999999998</v>
      </c>
      <c r="J69" s="85"/>
      <c r="K69" s="85">
        <f>52054.55*0.105</f>
        <v>5465.72775</v>
      </c>
      <c r="L69" s="85">
        <v>1383.77</v>
      </c>
      <c r="M69" s="85"/>
      <c r="N69" s="85">
        <v>1169.3399999999999</v>
      </c>
      <c r="O69" s="85"/>
      <c r="P69" s="48">
        <f>SUM(compras_mes9[[#This Row],[NETO GRAVADO]:[Otros / No Grav.]])</f>
        <v>84392.524350000007</v>
      </c>
      <c r="Q69" s="49" t="str">
        <f>IFERROR(IF(compras_mes9[[#This Row],[CUIT]]="","-",VLOOKUP(compras_mes9[[#This Row],[CUIT]],Lista_CUIT[#All],3,0)),"CUIT NO CARGADO")</f>
        <v>Gastos Varios</v>
      </c>
      <c r="R69" s="49">
        <f>IFERROR(IF(compras_mes9[[#This Row],[CUIT]]="","-",VLOOKUP(compras_mes9[[#This Row],[CUIT]],Lista_CUIT[#All],4,0)),"CUIT NO CARGADO")</f>
        <v>0</v>
      </c>
    </row>
    <row r="70" spans="2:18" x14ac:dyDescent="0.25">
      <c r="B70" s="40"/>
      <c r="C70" s="41"/>
      <c r="D70" s="42"/>
      <c r="E70" s="43"/>
      <c r="F70" s="44">
        <v>30548083156</v>
      </c>
      <c r="G70" s="45" t="str">
        <f>IFERROR(IF(compras_mes9[[#This Row],[CUIT]]="","-",VLOOKUP(compras_mes9[[#This Row],[CUIT]],Lista_CUIT[#All],2,0)),"CUIT NO CARGADO")</f>
        <v>COTO CICSA</v>
      </c>
      <c r="H70" s="46">
        <v>24632.86</v>
      </c>
      <c r="I70" s="85">
        <f>5799.05*0.21</f>
        <v>1217.8005000000001</v>
      </c>
      <c r="J70" s="85"/>
      <c r="K70" s="85">
        <f>18833.81*0.105</f>
        <v>1977.5500500000001</v>
      </c>
      <c r="L70" s="85">
        <v>456.48</v>
      </c>
      <c r="M70" s="85"/>
      <c r="N70" s="85">
        <v>339.81</v>
      </c>
      <c r="O70" s="85"/>
      <c r="P70" s="48">
        <f>SUM(compras_mes9[[#This Row],[NETO GRAVADO]:[Otros / No Grav.]])</f>
        <v>28624.500550000004</v>
      </c>
      <c r="Q70" s="49" t="str">
        <f>IFERROR(IF(compras_mes9[[#This Row],[CUIT]]="","-",VLOOKUP(compras_mes9[[#This Row],[CUIT]],Lista_CUIT[#All],3,0)),"CUIT NO CARGADO")</f>
        <v>Gastos Varios</v>
      </c>
      <c r="R70" s="49">
        <f>IFERROR(IF(compras_mes9[[#This Row],[CUIT]]="","-",VLOOKUP(compras_mes9[[#This Row],[CUIT]],Lista_CUIT[#All],4,0)),"CUIT NO CARGADO")</f>
        <v>0</v>
      </c>
    </row>
    <row r="71" spans="2:18" x14ac:dyDescent="0.25">
      <c r="B71" s="40"/>
      <c r="C71" s="41"/>
      <c r="D71" s="42"/>
      <c r="E71" s="43"/>
      <c r="F71" s="44">
        <v>30707042679</v>
      </c>
      <c r="G71" s="45" t="str">
        <f>IFERROR(IF(compras_mes9[[#This Row],[CUIT]]="","-",VLOOKUP(compras_mes9[[#This Row],[CUIT]],Lista_CUIT[#All],2,0)),"CUIT NO CARGADO")</f>
        <v>MEDICAL FOAM SRL</v>
      </c>
      <c r="H71" s="46">
        <v>-250921</v>
      </c>
      <c r="I71" s="85">
        <f>IF(compras_mes9[[#This Row],[NETO GRAVADO]]="","",compras_mes9[[#This Row],[NETO GRAVADO]]*0.21)</f>
        <v>-52693.409999999996</v>
      </c>
      <c r="J71" s="85"/>
      <c r="K71" s="85"/>
      <c r="L71" s="85"/>
      <c r="M71" s="85"/>
      <c r="N71" s="85"/>
      <c r="O71" s="85"/>
      <c r="P71" s="48">
        <f>SUM(compras_mes9[[#This Row],[NETO GRAVADO]:[Otros / No Grav.]])</f>
        <v>-303614.40999999997</v>
      </c>
      <c r="Q71" s="49" t="str">
        <f>IFERROR(IF(compras_mes9[[#This Row],[CUIT]]="","-",VLOOKUP(compras_mes9[[#This Row],[CUIT]],Lista_CUIT[#All],3,0)),"CUIT NO CARGADO")</f>
        <v>INSUMO</v>
      </c>
      <c r="R71" s="49">
        <f>IFERROR(IF(compras_mes9[[#This Row],[CUIT]]="","-",VLOOKUP(compras_mes9[[#This Row],[CUIT]],Lista_CUIT[#All],4,0)),"CUIT NO CARGADO")</f>
        <v>0</v>
      </c>
    </row>
    <row r="72" spans="2:18" x14ac:dyDescent="0.25">
      <c r="B72" s="40"/>
      <c r="C72" s="41"/>
      <c r="D72" s="42"/>
      <c r="E72" s="43"/>
      <c r="F72" s="44">
        <v>30598960093</v>
      </c>
      <c r="G72" s="45" t="str">
        <f>IFERROR(IF(compras_mes9[[#This Row],[CUIT]]="","-",VLOOKUP(compras_mes9[[#This Row],[CUIT]],Lista_CUIT[#All],2,0)),"CUIT NO CARGADO")</f>
        <v>SILVESTRIN FABRIS SRL</v>
      </c>
      <c r="H72" s="46">
        <v>-774076.5</v>
      </c>
      <c r="I72" s="85">
        <f>IF(compras_mes9[[#This Row],[NETO GRAVADO]]="","",compras_mes9[[#This Row],[NETO GRAVADO]]*0.21)</f>
        <v>-162556.065</v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-936632.56499999994</v>
      </c>
      <c r="Q72" s="49" t="str">
        <f>IFERROR(IF(compras_mes9[[#This Row],[CUIT]]="","-",VLOOKUP(compras_mes9[[#This Row],[CUIT]],Lista_CUIT[#All],3,0)),"CUIT NO CARGADO")</f>
        <v>INSUMO</v>
      </c>
      <c r="R72" s="49">
        <f>IFERROR(IF(compras_mes9[[#This Row],[CUIT]]="","-",VLOOKUP(compras_mes9[[#This Row],[CUIT]],Lista_CUIT[#All],4,0)),"CUIT NO CARGADO")</f>
        <v>0</v>
      </c>
    </row>
    <row r="73" spans="2:18" x14ac:dyDescent="0.25">
      <c r="B73" s="40"/>
      <c r="C73" s="41"/>
      <c r="D73" s="42"/>
      <c r="E73" s="43"/>
      <c r="F73" s="44">
        <v>27325223273</v>
      </c>
      <c r="G73" s="45" t="str">
        <f>IFERROR(IF(compras_mes9[[#This Row],[CUIT]]="","-",VLOOKUP(compras_mes9[[#This Row],[CUIT]],Lista_CUIT[#All],2,0)),"CUIT NO CARGADO")</f>
        <v>SOUSA ALDERETE ALEJANDRA MABEL</v>
      </c>
      <c r="H73" s="46">
        <v>-2200000</v>
      </c>
      <c r="I73" s="85">
        <f>IF(compras_mes9[[#This Row],[NETO GRAVADO]]="","",compras_mes9[[#This Row],[NETO GRAVADO]]*0.21)</f>
        <v>-462000</v>
      </c>
      <c r="J73" s="85"/>
      <c r="K73" s="85"/>
      <c r="L73" s="85"/>
      <c r="M73" s="85"/>
      <c r="N73" s="85"/>
      <c r="O73" s="85"/>
      <c r="P73" s="48">
        <f>SUM(compras_mes9[[#This Row],[NETO GRAVADO]:[Otros / No Grav.]])</f>
        <v>-2662000</v>
      </c>
      <c r="Q73" s="49" t="str">
        <f>IFERROR(IF(compras_mes9[[#This Row],[CUIT]]="","-",VLOOKUP(compras_mes9[[#This Row],[CUIT]],Lista_CUIT[#All],3,0)),"CUIT NO CARGADO")</f>
        <v>Insumos</v>
      </c>
      <c r="R73" s="49">
        <f>IFERROR(IF(compras_mes9[[#This Row],[CUIT]]="","-",VLOOKUP(compras_mes9[[#This Row],[CUIT]],Lista_CUIT[#All],4,0)),"CUIT NO CARGADO")</f>
        <v>0</v>
      </c>
    </row>
    <row r="74" spans="2:18" x14ac:dyDescent="0.25">
      <c r="B74" s="40"/>
      <c r="C74" s="41"/>
      <c r="D74" s="42"/>
      <c r="E74" s="43"/>
      <c r="F74" s="44">
        <v>27243660535</v>
      </c>
      <c r="G74" s="45" t="str">
        <f>IFERROR(IF(compras_mes9[[#This Row],[CUIT]]="","-",VLOOKUP(compras_mes9[[#This Row],[CUIT]],Lista_CUIT[#All],2,0)),"CUIT NO CARGADO")</f>
        <v>BARD MARISA SILVIA</v>
      </c>
      <c r="H74" s="46">
        <v>474914.87</v>
      </c>
      <c r="I74" s="85">
        <f>IF(compras_mes9[[#This Row],[NETO GRAVADO]]="","",compras_mes9[[#This Row],[NETO GRAVADO]]*0.21)</f>
        <v>99732.122699999993</v>
      </c>
      <c r="J74" s="85"/>
      <c r="K74" s="85"/>
      <c r="L74" s="85"/>
      <c r="M74" s="85"/>
      <c r="N74" s="85"/>
      <c r="O74" s="85"/>
      <c r="P74" s="48">
        <f>SUM(compras_mes9[[#This Row],[NETO GRAVADO]:[Otros / No Grav.]])</f>
        <v>574646.99269999994</v>
      </c>
      <c r="Q74" s="49" t="str">
        <f>IFERROR(IF(compras_mes9[[#This Row],[CUIT]]="","-",VLOOKUP(compras_mes9[[#This Row],[CUIT]],Lista_CUIT[#All],3,0)),"CUIT NO CARGADO")</f>
        <v>Insumos</v>
      </c>
      <c r="R74" s="49">
        <f>IFERROR(IF(compras_mes9[[#This Row],[CUIT]]="","-",VLOOKUP(compras_mes9[[#This Row],[CUIT]],Lista_CUIT[#All],4,0)),"CUIT NO CARGADO")</f>
        <v>0</v>
      </c>
    </row>
    <row r="75" spans="2:18" x14ac:dyDescent="0.25">
      <c r="B75" s="40"/>
      <c r="C75" s="41"/>
      <c r="D75" s="42"/>
      <c r="E75" s="43"/>
      <c r="F75" s="44">
        <v>33708218699</v>
      </c>
      <c r="G75" s="45" t="str">
        <f>IFERROR(IF(compras_mes9[[#This Row],[CUIT]]="","-",VLOOKUP(compras_mes9[[#This Row],[CUIT]],Lista_CUIT[#All],2,0)),"CUIT NO CARGADO")</f>
        <v>MANGGINI PABLO Y MANGGINI ULISES SOC. DE HECHO.</v>
      </c>
      <c r="H75" s="46">
        <v>30000</v>
      </c>
      <c r="I75" s="85">
        <f>IF(compras_mes9[[#This Row],[NETO GRAVADO]]="","",compras_mes9[[#This Row],[NETO GRAVADO]]*0.21)</f>
        <v>6300</v>
      </c>
      <c r="J75" s="85"/>
      <c r="K75" s="85"/>
      <c r="L75" s="85"/>
      <c r="M75" s="85"/>
      <c r="N75" s="85"/>
      <c r="O75" s="85"/>
      <c r="P75" s="48">
        <f>SUM(compras_mes9[[#This Row],[NETO GRAVADO]:[Otros / No Grav.]])</f>
        <v>36300</v>
      </c>
      <c r="Q75" s="49" t="str">
        <f>IFERROR(IF(compras_mes9[[#This Row],[CUIT]]="","-",VLOOKUP(compras_mes9[[#This Row],[CUIT]],Lista_CUIT[#All],3,0)),"CUIT NO CARGADO")</f>
        <v>SERVICIO</v>
      </c>
      <c r="R75" s="49">
        <f>IFERROR(IF(compras_mes9[[#This Row],[CUIT]]="","-",VLOOKUP(compras_mes9[[#This Row],[CUIT]],Lista_CUIT[#All],4,0)),"CUIT NO CARGADO")</f>
        <v>0</v>
      </c>
    </row>
    <row r="76" spans="2:18" x14ac:dyDescent="0.25">
      <c r="B76" s="40"/>
      <c r="C76" s="41"/>
      <c r="D76" s="42"/>
      <c r="E76" s="43"/>
      <c r="F76" s="44">
        <v>30707370552</v>
      </c>
      <c r="G76" s="45" t="str">
        <f>IFERROR(IF(compras_mes9[[#This Row],[CUIT]]="","-",VLOOKUP(compras_mes9[[#This Row],[CUIT]],Lista_CUIT[#All],2,0)),"CUIT NO CARGADO")</f>
        <v>RAKE SA</v>
      </c>
      <c r="H76" s="46">
        <v>1198760.33</v>
      </c>
      <c r="I76" s="85">
        <f>IF(compras_mes9[[#This Row],[NETO GRAVADO]]="","",compras_mes9[[#This Row],[NETO GRAVADO]]*0.21)</f>
        <v>251739.66930000001</v>
      </c>
      <c r="J76" s="85"/>
      <c r="K76" s="85"/>
      <c r="L76" s="85"/>
      <c r="M76" s="85"/>
      <c r="N76" s="85"/>
      <c r="O76" s="85"/>
      <c r="P76" s="48">
        <f>SUM(compras_mes9[[#This Row],[NETO GRAVADO]:[Otros / No Grav.]])</f>
        <v>1450499.9993</v>
      </c>
      <c r="Q76" s="49" t="str">
        <f>IFERROR(IF(compras_mes9[[#This Row],[CUIT]]="","-",VLOOKUP(compras_mes9[[#This Row],[CUIT]],Lista_CUIT[#All],3,0)),"CUIT NO CARGADO")</f>
        <v>GASTOS VARIOS</v>
      </c>
      <c r="R76" s="49">
        <f>IFERROR(IF(compras_mes9[[#This Row],[CUIT]]="","-",VLOOKUP(compras_mes9[[#This Row],[CUIT]],Lista_CUIT[#All],4,0)),"CUIT NO CARGADO")</f>
        <v>0</v>
      </c>
    </row>
    <row r="77" spans="2:18" x14ac:dyDescent="0.25">
      <c r="B77" s="40"/>
      <c r="C77" s="41"/>
      <c r="D77" s="42"/>
      <c r="E77" s="43"/>
      <c r="F77" s="44">
        <v>33716307749</v>
      </c>
      <c r="G77" s="45" t="str">
        <f>IFERROR(IF(compras_mes9[[#This Row],[CUIT]]="","-",VLOOKUP(compras_mes9[[#This Row],[CUIT]],Lista_CUIT[#All],2,0)),"CUIT NO CARGADO")</f>
        <v>VERISURE ARGENTINA MONITOREO DE ALARMAS SA</v>
      </c>
      <c r="H77" s="46">
        <v>58270.1</v>
      </c>
      <c r="I77" s="85">
        <f>IF(compras_mes9[[#This Row],[NETO GRAVADO]]="","",compras_mes9[[#This Row],[NETO GRAVADO]]*0.21)</f>
        <v>12236.721</v>
      </c>
      <c r="J77" s="85"/>
      <c r="K77" s="85"/>
      <c r="L77" s="85"/>
      <c r="M77" s="85"/>
      <c r="N77" s="85"/>
      <c r="O77" s="85"/>
      <c r="P77" s="48">
        <f>SUM(compras_mes9[[#This Row],[NETO GRAVADO]:[Otros / No Grav.]])</f>
        <v>70506.820999999996</v>
      </c>
      <c r="Q77" s="49" t="str">
        <f>IFERROR(IF(compras_mes9[[#This Row],[CUIT]]="","-",VLOOKUP(compras_mes9[[#This Row],[CUIT]],Lista_CUIT[#All],3,0)),"CUIT NO CARGADO")</f>
        <v>Serv. Seguridad</v>
      </c>
      <c r="R77" s="49">
        <f>IFERROR(IF(compras_mes9[[#This Row],[CUIT]]="","-",VLOOKUP(compras_mes9[[#This Row],[CUIT]],Lista_CUIT[#All],4,0)),"CUIT NO CARGADO")</f>
        <v>0</v>
      </c>
    </row>
    <row r="78" spans="2:18" x14ac:dyDescent="0.25">
      <c r="B78" s="40"/>
      <c r="C78" s="41"/>
      <c r="D78" s="42"/>
      <c r="E78" s="43"/>
      <c r="F78" s="44">
        <v>30605344352</v>
      </c>
      <c r="G78" s="45" t="str">
        <f>IFERROR(IF(compras_mes9[[#This Row],[CUIT]]="","-",VLOOKUP(compras_mes9[[#This Row],[CUIT]],Lista_CUIT[#All],2,0)),"CUIT NO CARGADO")</f>
        <v>CONSORCIO BARTOLME MITRE 2466</v>
      </c>
      <c r="H78" s="46">
        <v>2160580.9900000002</v>
      </c>
      <c r="I78" s="85">
        <f>IF(compras_mes9[[#This Row],[NETO GRAVADO]]="","",compras_mes9[[#This Row],[NETO GRAVADO]]*0.21)</f>
        <v>453722.00790000003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2614302.9979000003</v>
      </c>
      <c r="Q78" s="49" t="str">
        <f>IFERROR(IF(compras_mes9[[#This Row],[CUIT]]="","-",VLOOKUP(compras_mes9[[#This Row],[CUIT]],Lista_CUIT[#All],3,0)),"CUIT NO CARGADO")</f>
        <v>ALQUILER LOCAL</v>
      </c>
      <c r="R78" s="49">
        <f>IFERROR(IF(compras_mes9[[#This Row],[CUIT]]="","-",VLOOKUP(compras_mes9[[#This Row],[CUIT]],Lista_CUIT[#All],4,0)),"CUIT NO CARGADO")</f>
        <v>0</v>
      </c>
    </row>
    <row r="79" spans="2:18" x14ac:dyDescent="0.25">
      <c r="B79" s="40"/>
      <c r="C79" s="41"/>
      <c r="D79" s="42"/>
      <c r="E79" s="43"/>
      <c r="F79" s="44">
        <v>30577744579</v>
      </c>
      <c r="G79" s="45" t="str">
        <f>IFERROR(IF(compras_mes9[[#This Row],[CUIT]]="","-",VLOOKUP(compras_mes9[[#This Row],[CUIT]],Lista_CUIT[#All],2,0)),"CUIT NO CARGADO")</f>
        <v>EXPRESO TROLE SRL</v>
      </c>
      <c r="H79" s="46">
        <v>30833.26</v>
      </c>
      <c r="I79" s="85">
        <f>IF(compras_mes9[[#This Row],[NETO GRAVADO]]="","",compras_mes9[[#This Row],[NETO GRAVADO]]*0.21)</f>
        <v>6474.9845999999998</v>
      </c>
      <c r="J79" s="85"/>
      <c r="K79" s="85"/>
      <c r="L79" s="85"/>
      <c r="M79" s="85"/>
      <c r="N79" s="85"/>
      <c r="O79" s="85"/>
      <c r="P79" s="48">
        <f>SUM(compras_mes9[[#This Row],[NETO GRAVADO]:[Otros / No Grav.]])</f>
        <v>37308.244599999998</v>
      </c>
      <c r="Q79" s="49" t="str">
        <f>IFERROR(IF(compras_mes9[[#This Row],[CUIT]]="","-",VLOOKUP(compras_mes9[[#This Row],[CUIT]],Lista_CUIT[#All],3,0)),"CUIT NO CARGADO")</f>
        <v>Flete</v>
      </c>
      <c r="R79" s="49">
        <f>IFERROR(IF(compras_mes9[[#This Row],[CUIT]]="","-",VLOOKUP(compras_mes9[[#This Row],[CUIT]],Lista_CUIT[#All],4,0)),"CUIT NO CARGADO")</f>
        <v>0</v>
      </c>
    </row>
    <row r="80" spans="2:18" x14ac:dyDescent="0.25">
      <c r="B80" s="40"/>
      <c r="C80" s="41"/>
      <c r="D80" s="42"/>
      <c r="E80" s="43"/>
      <c r="F80" s="44">
        <v>20174004146</v>
      </c>
      <c r="G80" s="45" t="str">
        <f>IFERROR(IF(compras_mes9[[#This Row],[CUIT]]="","-",VLOOKUP(compras_mes9[[#This Row],[CUIT]],Lista_CUIT[#All],2,0)),"CUIT NO CARGADO")</f>
        <v>EDUEARDO FRANCISCO NARDOMARINO</v>
      </c>
      <c r="H80" s="46">
        <v>385000</v>
      </c>
      <c r="I80" s="85">
        <f>IF(compras_mes9[[#This Row],[NETO GRAVADO]]="","",compras_mes9[[#This Row],[NETO GRAVADO]]*0.21)</f>
        <v>80850</v>
      </c>
      <c r="J80" s="85"/>
      <c r="K80" s="85"/>
      <c r="L80" s="85"/>
      <c r="M80" s="85"/>
      <c r="N80" s="85"/>
      <c r="O80" s="85"/>
      <c r="P80" s="48">
        <f>SUM(compras_mes9[[#This Row],[NETO GRAVADO]:[Otros / No Grav.]])</f>
        <v>465850</v>
      </c>
      <c r="Q80" s="49" t="str">
        <f>IFERROR(IF(compras_mes9[[#This Row],[CUIT]]="","-",VLOOKUP(compras_mes9[[#This Row],[CUIT]],Lista_CUIT[#All],3,0)),"CUIT NO CARGADO")</f>
        <v>FLETE</v>
      </c>
      <c r="R80" s="49">
        <f>IFERROR(IF(compras_mes9[[#This Row],[CUIT]]="","-",VLOOKUP(compras_mes9[[#This Row],[CUIT]],Lista_CUIT[#All],4,0)),"CUIT NO CARGADO")</f>
        <v>0</v>
      </c>
    </row>
    <row r="81" spans="2:18" x14ac:dyDescent="0.25">
      <c r="B81" s="40"/>
      <c r="C81" s="41"/>
      <c r="D81" s="42"/>
      <c r="E81" s="43"/>
      <c r="F81" s="44">
        <v>20174004146</v>
      </c>
      <c r="G81" s="45" t="str">
        <f>IFERROR(IF(compras_mes9[[#This Row],[CUIT]]="","-",VLOOKUP(compras_mes9[[#This Row],[CUIT]],Lista_CUIT[#All],2,0)),"CUIT NO CARGADO")</f>
        <v>EDUEARDO FRANCISCO NARDOMARINO</v>
      </c>
      <c r="H81" s="46">
        <v>210000</v>
      </c>
      <c r="I81" s="85">
        <f>IF(compras_mes9[[#This Row],[NETO GRAVADO]]="","",compras_mes9[[#This Row],[NETO GRAVADO]]*0.21)</f>
        <v>44100</v>
      </c>
      <c r="J81" s="85"/>
      <c r="K81" s="85"/>
      <c r="L81" s="85"/>
      <c r="M81" s="85"/>
      <c r="N81" s="85"/>
      <c r="O81" s="85"/>
      <c r="P81" s="48">
        <f>SUM(compras_mes9[[#This Row],[NETO GRAVADO]:[Otros / No Grav.]])</f>
        <v>254100</v>
      </c>
      <c r="Q81" s="49" t="str">
        <f>IFERROR(IF(compras_mes9[[#This Row],[CUIT]]="","-",VLOOKUP(compras_mes9[[#This Row],[CUIT]],Lista_CUIT[#All],3,0)),"CUIT NO CARGADO")</f>
        <v>FLETE</v>
      </c>
      <c r="R81" s="49">
        <f>IFERROR(IF(compras_mes9[[#This Row],[CUIT]]="","-",VLOOKUP(compras_mes9[[#This Row],[CUIT]],Lista_CUIT[#All],4,0)),"CUIT NO CARGADO")</f>
        <v>0</v>
      </c>
    </row>
    <row r="82" spans="2:18" x14ac:dyDescent="0.25">
      <c r="B82" s="40"/>
      <c r="C82" s="41"/>
      <c r="D82" s="42"/>
      <c r="E82" s="43"/>
      <c r="F82" s="44">
        <v>20174004146</v>
      </c>
      <c r="G82" s="45" t="str">
        <f>IFERROR(IF(compras_mes9[[#This Row],[CUIT]]="","-",VLOOKUP(compras_mes9[[#This Row],[CUIT]],Lista_CUIT[#All],2,0)),"CUIT NO CARGADO")</f>
        <v>EDUEARDO FRANCISCO NARDOMARINO</v>
      </c>
      <c r="H82" s="46">
        <v>262500</v>
      </c>
      <c r="I82" s="85">
        <f>IF(compras_mes9[[#This Row],[NETO GRAVADO]]="","",compras_mes9[[#This Row],[NETO GRAVADO]]*0.21)</f>
        <v>55125</v>
      </c>
      <c r="J82" s="85"/>
      <c r="K82" s="85"/>
      <c r="L82" s="85"/>
      <c r="M82" s="85"/>
      <c r="N82" s="85"/>
      <c r="O82" s="85"/>
      <c r="P82" s="48">
        <f>SUM(compras_mes9[[#This Row],[NETO GRAVADO]:[Otros / No Grav.]])</f>
        <v>317625</v>
      </c>
      <c r="Q82" s="49" t="str">
        <f>IFERROR(IF(compras_mes9[[#This Row],[CUIT]]="","-",VLOOKUP(compras_mes9[[#This Row],[CUIT]],Lista_CUIT[#All],3,0)),"CUIT NO CARGADO")</f>
        <v>FLETE</v>
      </c>
      <c r="R82" s="49">
        <f>IFERROR(IF(compras_mes9[[#This Row],[CUIT]]="","-",VLOOKUP(compras_mes9[[#This Row],[CUIT]],Lista_CUIT[#All],4,0)),"CUIT NO CARGADO")</f>
        <v>0</v>
      </c>
    </row>
    <row r="83" spans="2:18" x14ac:dyDescent="0.25">
      <c r="B83" s="40"/>
      <c r="C83" s="41"/>
      <c r="D83" s="42"/>
      <c r="E83" s="43"/>
      <c r="F83" s="44">
        <v>20929183143</v>
      </c>
      <c r="G83" s="45" t="str">
        <f>IFERROR(IF(compras_mes9[[#This Row],[CUIT]]="","-",VLOOKUP(compras_mes9[[#This Row],[CUIT]],Lista_CUIT[#All],2,0)),"CUIT NO CARGADO")</f>
        <v>MA JUN</v>
      </c>
      <c r="H83" s="46">
        <v>110000</v>
      </c>
      <c r="I83" s="85">
        <f>IF(compras_mes9[[#This Row],[NETO GRAVADO]]="","",compras_mes9[[#This Row],[NETO GRAVADO]]*0.21)</f>
        <v>23100</v>
      </c>
      <c r="J83" s="85"/>
      <c r="K83" s="85"/>
      <c r="L83" s="85"/>
      <c r="M83" s="85"/>
      <c r="N83" s="85"/>
      <c r="O83" s="85"/>
      <c r="P83" s="48">
        <f>SUM(compras_mes9[[#This Row],[NETO GRAVADO]:[Otros / No Grav.]])</f>
        <v>133100</v>
      </c>
      <c r="Q83" s="49" t="str">
        <f>IFERROR(IF(compras_mes9[[#This Row],[CUIT]]="","-",VLOOKUP(compras_mes9[[#This Row],[CUIT]],Lista_CUIT[#All],3,0)),"CUIT NO CARGADO")</f>
        <v>Gastos Varios</v>
      </c>
      <c r="R83" s="49">
        <f>IFERROR(IF(compras_mes9[[#This Row],[CUIT]]="","-",VLOOKUP(compras_mes9[[#This Row],[CUIT]],Lista_CUIT[#All],4,0)),"CUIT NO CARGADO")</f>
        <v>0</v>
      </c>
    </row>
    <row r="84" spans="2:18" x14ac:dyDescent="0.25">
      <c r="B84" s="40"/>
      <c r="C84" s="41"/>
      <c r="D84" s="42"/>
      <c r="E84" s="43"/>
      <c r="F84" s="44">
        <v>30702652975</v>
      </c>
      <c r="G84" s="45" t="str">
        <f>IFERROR(IF(compras_mes9[[#This Row],[CUIT]]="","-",VLOOKUP(compras_mes9[[#This Row],[CUIT]],Lista_CUIT[#All],2,0)),"CUIT NO CARGADO")</f>
        <v>NSS SA</v>
      </c>
      <c r="H84" s="46">
        <v>38423.29</v>
      </c>
      <c r="I84" s="85">
        <f>IF(compras_mes9[[#This Row],[NETO GRAVADO]]="","",compras_mes9[[#This Row],[NETO GRAVADO]]*0.21)</f>
        <v>8068.8909000000003</v>
      </c>
      <c r="J84" s="85"/>
      <c r="K84" s="85"/>
      <c r="L84" s="85"/>
      <c r="M84" s="85"/>
      <c r="N84" s="85">
        <v>1536.93</v>
      </c>
      <c r="O84" s="85"/>
      <c r="P84" s="48">
        <f>SUM(compras_mes9[[#This Row],[NETO GRAVADO]:[Otros / No Grav.]])</f>
        <v>48029.1109</v>
      </c>
      <c r="Q84" s="49" t="str">
        <f>IFERROR(IF(compras_mes9[[#This Row],[CUIT]]="","-",VLOOKUP(compras_mes9[[#This Row],[CUIT]],Lista_CUIT[#All],3,0)),"CUIT NO CARGADO")</f>
        <v>SERVICIOS</v>
      </c>
      <c r="R84" s="49">
        <f>IFERROR(IF(compras_mes9[[#This Row],[CUIT]]="","-",VLOOKUP(compras_mes9[[#This Row],[CUIT]],Lista_CUIT[#All],4,0)),"CUIT NO CARGADO")</f>
        <v>0</v>
      </c>
    </row>
    <row r="85" spans="2:18" x14ac:dyDescent="0.25">
      <c r="B85" s="40"/>
      <c r="C85" s="41"/>
      <c r="D85" s="42"/>
      <c r="E85" s="43"/>
      <c r="F85" s="44">
        <v>33715594949</v>
      </c>
      <c r="G85" s="45" t="str">
        <f>IFERROR(IF(compras_mes9[[#This Row],[CUIT]]="","-",VLOOKUP(compras_mes9[[#This Row],[CUIT]],Lista_CUIT[#All],2,0)),"CUIT NO CARGADO")</f>
        <v>SOMOS ENERGIA SA</v>
      </c>
      <c r="H85" s="46">
        <v>62130.06</v>
      </c>
      <c r="I85" s="85">
        <f>IF(compras_mes9[[#This Row],[NETO GRAVADO]]="","",compras_mes9[[#This Row],[NETO GRAVADO]]*0.21)</f>
        <v>13047.312599999999</v>
      </c>
      <c r="J85" s="85"/>
      <c r="K85" s="85"/>
      <c r="L85" s="85"/>
      <c r="M85" s="85"/>
      <c r="N85" s="85"/>
      <c r="O85" s="85"/>
      <c r="P85" s="48">
        <f>SUM(compras_mes9[[#This Row],[NETO GRAVADO]:[Otros / No Grav.]])</f>
        <v>75177.372600000002</v>
      </c>
      <c r="Q85" s="49" t="str">
        <f>IFERROR(IF(compras_mes9[[#This Row],[CUIT]]="","-",VLOOKUP(compras_mes9[[#This Row],[CUIT]],Lista_CUIT[#All],3,0)),"CUIT NO CARGADO")</f>
        <v>COMBUSTIBLE</v>
      </c>
      <c r="R85" s="49">
        <f>IFERROR(IF(compras_mes9[[#This Row],[CUIT]]="","-",VLOOKUP(compras_mes9[[#This Row],[CUIT]],Lista_CUIT[#All],4,0)),"CUIT NO CARGADO")</f>
        <v>0</v>
      </c>
    </row>
    <row r="86" spans="2:18" x14ac:dyDescent="0.25">
      <c r="B86" s="40"/>
      <c r="C86" s="41"/>
      <c r="D86" s="42"/>
      <c r="E86" s="43"/>
      <c r="F86" s="44">
        <v>30620177497</v>
      </c>
      <c r="G86" s="45" t="str">
        <f>IFERROR(IF(compras_mes9[[#This Row],[CUIT]]="","-",VLOOKUP(compras_mes9[[#This Row],[CUIT]],Lista_CUIT[#All],2,0)),"CUIT NO CARGADO")</f>
        <v>POSNET SOCIEDAD DE RESPONSABILIDAD LIMITADA</v>
      </c>
      <c r="H86" s="46">
        <v>35728.269999999997</v>
      </c>
      <c r="I86" s="85">
        <f>IF(compras_mes9[[#This Row],[NETO GRAVADO]]="","",compras_mes9[[#This Row],[NETO GRAVADO]]*0.21)</f>
        <v>7502.9366999999993</v>
      </c>
      <c r="J86" s="85"/>
      <c r="K86" s="85"/>
      <c r="L86" s="85"/>
      <c r="M86" s="85"/>
      <c r="N86" s="85"/>
      <c r="O86" s="85"/>
      <c r="P86" s="48">
        <f>SUM(compras_mes9[[#This Row],[NETO GRAVADO]:[Otros / No Grav.]])</f>
        <v>43231.206699999995</v>
      </c>
      <c r="Q86" s="49" t="str">
        <f>IFERROR(IF(compras_mes9[[#This Row],[CUIT]]="","-",VLOOKUP(compras_mes9[[#This Row],[CUIT]],Lista_CUIT[#All],3,0)),"CUIT NO CARGADO")</f>
        <v>Gastos Varios</v>
      </c>
      <c r="R86" s="49">
        <f>IFERROR(IF(compras_mes9[[#This Row],[CUIT]]="","-",VLOOKUP(compras_mes9[[#This Row],[CUIT]],Lista_CUIT[#All],4,0)),"CUIT NO CARGADO")</f>
        <v>0</v>
      </c>
    </row>
    <row r="87" spans="2:18" x14ac:dyDescent="0.25">
      <c r="B87" s="40"/>
      <c r="C87" s="41"/>
      <c r="D87" s="42"/>
      <c r="E87" s="43"/>
      <c r="F87" s="44">
        <v>33715594949</v>
      </c>
      <c r="G87" s="45" t="str">
        <f>IFERROR(IF(compras_mes9[[#This Row],[CUIT]]="","-",VLOOKUP(compras_mes9[[#This Row],[CUIT]],Lista_CUIT[#All],2,0)),"CUIT NO CARGADO")</f>
        <v>SOMOS ENERGIA SA</v>
      </c>
      <c r="H87" s="46">
        <v>81149.850000000006</v>
      </c>
      <c r="I87" s="85">
        <f>IF(compras_mes9[[#This Row],[NETO GRAVADO]]="","",compras_mes9[[#This Row],[NETO GRAVADO]]*0.21)</f>
        <v>17041.468499999999</v>
      </c>
      <c r="J87" s="85"/>
      <c r="K87" s="85"/>
      <c r="L87" s="85">
        <v>1209.28</v>
      </c>
      <c r="M87" s="85"/>
      <c r="N87" s="85"/>
      <c r="O87" s="85"/>
      <c r="P87" s="48">
        <f>SUM(compras_mes9[[#This Row],[NETO GRAVADO]:[Otros / No Grav.]])</f>
        <v>99400.598500000007</v>
      </c>
      <c r="Q87" s="49" t="str">
        <f>IFERROR(IF(compras_mes9[[#This Row],[CUIT]]="","-",VLOOKUP(compras_mes9[[#This Row],[CUIT]],Lista_CUIT[#All],3,0)),"CUIT NO CARGADO")</f>
        <v>COMBUSTIBLE</v>
      </c>
      <c r="R87" s="49">
        <f>IFERROR(IF(compras_mes9[[#This Row],[CUIT]]="","-",VLOOKUP(compras_mes9[[#This Row],[CUIT]],Lista_CUIT[#All],4,0)),"CUIT NO CARGADO")</f>
        <v>0</v>
      </c>
    </row>
    <row r="88" spans="2:18" x14ac:dyDescent="0.25">
      <c r="B88" s="40"/>
      <c r="C88" s="41"/>
      <c r="D88" s="42"/>
      <c r="E88" s="43"/>
      <c r="F88" s="44">
        <v>33715594949</v>
      </c>
      <c r="G88" s="45" t="str">
        <f>IFERROR(IF(compras_mes9[[#This Row],[CUIT]]="","-",VLOOKUP(compras_mes9[[#This Row],[CUIT]],Lista_CUIT[#All],2,0)),"CUIT NO CARGADO")</f>
        <v>SOMOS ENERGIA SA</v>
      </c>
      <c r="H88" s="46">
        <v>32846.300000000003</v>
      </c>
      <c r="I88" s="85">
        <f>IF(compras_mes9[[#This Row],[NETO GRAVADO]]="","",compras_mes9[[#This Row],[NETO GRAVADO]]*0.21)</f>
        <v>6897.723</v>
      </c>
      <c r="J88" s="85"/>
      <c r="K88" s="85"/>
      <c r="L88" s="85">
        <v>537.76</v>
      </c>
      <c r="M88" s="85"/>
      <c r="N88" s="85"/>
      <c r="O88" s="85"/>
      <c r="P88" s="48">
        <f>SUM(compras_mes9[[#This Row],[NETO GRAVADO]:[Otros / No Grav.]])</f>
        <v>40281.783000000003</v>
      </c>
      <c r="Q88" s="49" t="str">
        <f>IFERROR(IF(compras_mes9[[#This Row],[CUIT]]="","-",VLOOKUP(compras_mes9[[#This Row],[CUIT]],Lista_CUIT[#All],3,0)),"CUIT NO CARGADO")</f>
        <v>COMBUSTIBLE</v>
      </c>
      <c r="R88" s="49">
        <f>IFERROR(IF(compras_mes9[[#This Row],[CUIT]]="","-",VLOOKUP(compras_mes9[[#This Row],[CUIT]],Lista_CUIT[#All],4,0)),"CUIT NO CARGADO")</f>
        <v>0</v>
      </c>
    </row>
    <row r="89" spans="2:18" x14ac:dyDescent="0.25">
      <c r="B89" s="40"/>
      <c r="C89" s="41"/>
      <c r="D89" s="42"/>
      <c r="E89" s="43"/>
      <c r="F89" s="44">
        <v>33715594949</v>
      </c>
      <c r="G89" s="45" t="str">
        <f>IFERROR(IF(compras_mes9[[#This Row],[CUIT]]="","-",VLOOKUP(compras_mes9[[#This Row],[CUIT]],Lista_CUIT[#All],2,0)),"CUIT NO CARGADO")</f>
        <v>SOMOS ENERGIA SA</v>
      </c>
      <c r="H89" s="46">
        <v>58450.559999999998</v>
      </c>
      <c r="I89" s="85">
        <f>IF(compras_mes9[[#This Row],[NETO GRAVADO]]="","",compras_mes9[[#This Row],[NETO GRAVADO]]*0.21)</f>
        <v>12274.6176</v>
      </c>
      <c r="J89" s="85"/>
      <c r="K89" s="85"/>
      <c r="L89" s="85">
        <v>948.86</v>
      </c>
      <c r="M89" s="85"/>
      <c r="N89" s="85"/>
      <c r="O89" s="85"/>
      <c r="P89" s="48">
        <f>SUM(compras_mes9[[#This Row],[NETO GRAVADO]:[Otros / No Grav.]])</f>
        <v>71674.037599999996</v>
      </c>
      <c r="Q89" s="49" t="str">
        <f>IFERROR(IF(compras_mes9[[#This Row],[CUIT]]="","-",VLOOKUP(compras_mes9[[#This Row],[CUIT]],Lista_CUIT[#All],3,0)),"CUIT NO CARGADO")</f>
        <v>COMBUSTIBLE</v>
      </c>
      <c r="R89" s="49">
        <f>IFERROR(IF(compras_mes9[[#This Row],[CUIT]]="","-",VLOOKUP(compras_mes9[[#This Row],[CUIT]],Lista_CUIT[#All],4,0)),"CUIT NO CARGADO")</f>
        <v>0</v>
      </c>
    </row>
    <row r="90" spans="2:18" x14ac:dyDescent="0.25">
      <c r="B90" s="40"/>
      <c r="C90" s="41"/>
      <c r="D90" s="42"/>
      <c r="E90" s="43"/>
      <c r="F90" s="44">
        <v>33715594949</v>
      </c>
      <c r="G90" s="45" t="str">
        <f>IFERROR(IF(compras_mes9[[#This Row],[CUIT]]="","-",VLOOKUP(compras_mes9[[#This Row],[CUIT]],Lista_CUIT[#All],2,0)),"CUIT NO CARGADO")</f>
        <v>SOMOS ENERGIA SA</v>
      </c>
      <c r="H90" s="46">
        <v>51164.83</v>
      </c>
      <c r="I90" s="85">
        <f>IF(compras_mes9[[#This Row],[NETO GRAVADO]]="","",compras_mes9[[#This Row],[NETO GRAVADO]]*0.21)</f>
        <v>10744.614299999999</v>
      </c>
      <c r="J90" s="85"/>
      <c r="K90" s="85"/>
      <c r="L90" s="85">
        <v>827.89</v>
      </c>
      <c r="M90" s="85"/>
      <c r="N90" s="85"/>
      <c r="O90" s="85"/>
      <c r="P90" s="48">
        <f>SUM(compras_mes9[[#This Row],[NETO GRAVADO]:[Otros / No Grav.]])</f>
        <v>62737.334300000002</v>
      </c>
      <c r="Q90" s="49" t="str">
        <f>IFERROR(IF(compras_mes9[[#This Row],[CUIT]]="","-",VLOOKUP(compras_mes9[[#This Row],[CUIT]],Lista_CUIT[#All],3,0)),"CUIT NO CARGADO")</f>
        <v>COMBUSTIBLE</v>
      </c>
      <c r="R90" s="49">
        <f>IFERROR(IF(compras_mes9[[#This Row],[CUIT]]="","-",VLOOKUP(compras_mes9[[#This Row],[CUIT]],Lista_CUIT[#All],4,0)),"CUIT NO CARGADO")</f>
        <v>0</v>
      </c>
    </row>
    <row r="91" spans="2:18" x14ac:dyDescent="0.25">
      <c r="B91" s="40"/>
      <c r="C91" s="41"/>
      <c r="D91" s="42"/>
      <c r="E91" s="43"/>
      <c r="F91" s="44">
        <v>20144610637</v>
      </c>
      <c r="G91" s="45" t="str">
        <f>IFERROR(IF(compras_mes9[[#This Row],[CUIT]]="","-",VLOOKUP(compras_mes9[[#This Row],[CUIT]],Lista_CUIT[#All],2,0)),"CUIT NO CARGADO")</f>
        <v>DIAS DOS SANTOS ALBERTO</v>
      </c>
      <c r="H91" s="46">
        <v>36375.449999999997</v>
      </c>
      <c r="I91" s="85">
        <f>IF(compras_mes9[[#This Row],[NETO GRAVADO]]="","",compras_mes9[[#This Row],[NETO GRAVADO]]*0.21)</f>
        <v>7638.8444999999992</v>
      </c>
      <c r="J91" s="85"/>
      <c r="K91" s="85"/>
      <c r="L91" s="85"/>
      <c r="M91" s="85"/>
      <c r="N91" s="85"/>
      <c r="O91" s="85"/>
      <c r="P91" s="48">
        <f>SUM(compras_mes9[[#This Row],[NETO GRAVADO]:[Otros / No Grav.]])</f>
        <v>44014.294499999996</v>
      </c>
      <c r="Q91" s="49" t="str">
        <f>IFERROR(IF(compras_mes9[[#This Row],[CUIT]]="","-",VLOOKUP(compras_mes9[[#This Row],[CUIT]],Lista_CUIT[#All],3,0)),"CUIT NO CARGADO")</f>
        <v>COMBUSTIBLE</v>
      </c>
      <c r="R91" s="49">
        <f>IFERROR(IF(compras_mes9[[#This Row],[CUIT]]="","-",VLOOKUP(compras_mes9[[#This Row],[CUIT]],Lista_CUIT[#All],4,0)),"CUIT NO CARGADO")</f>
        <v>0</v>
      </c>
    </row>
    <row r="92" spans="2:18" x14ac:dyDescent="0.25">
      <c r="B92" s="40"/>
      <c r="C92" s="41"/>
      <c r="D92" s="42"/>
      <c r="E92" s="43"/>
      <c r="F92" s="44">
        <v>30708574836</v>
      </c>
      <c r="G92" s="45" t="str">
        <f>IFERROR(IF(compras_mes9[[#This Row],[CUIT]]="","-",VLOOKUP(compras_mes9[[#This Row],[CUIT]],Lista_CUIT[#All],2,0)),"CUIT NO CARGADO")</f>
        <v>CORREO OFICIAL DE LA REPUBLICA ARGENTINA SOCIEDAD ANONIMA</v>
      </c>
      <c r="H92" s="46">
        <v>0</v>
      </c>
      <c r="I92" s="85"/>
      <c r="J92" s="85"/>
      <c r="K92" s="85"/>
      <c r="L92" s="85"/>
      <c r="M92" s="85"/>
      <c r="N92" s="85"/>
      <c r="O92" s="85">
        <v>44100</v>
      </c>
      <c r="P92" s="48">
        <f>SUM(compras_mes9[[#This Row],[NETO GRAVADO]:[Otros / No Grav.]])</f>
        <v>44100</v>
      </c>
      <c r="Q92" s="49" t="str">
        <f>IFERROR(IF(compras_mes9[[#This Row],[CUIT]]="","-",VLOOKUP(compras_mes9[[#This Row],[CUIT]],Lista_CUIT[#All],3,0)),"CUIT NO CARGADO")</f>
        <v>Gastos Varios</v>
      </c>
      <c r="R92" s="49">
        <f>IFERROR(IF(compras_mes9[[#This Row],[CUIT]]="","-",VLOOKUP(compras_mes9[[#This Row],[CUIT]],Lista_CUIT[#All],4,0)),"CUIT NO CARGADO")</f>
        <v>0</v>
      </c>
    </row>
    <row r="93" spans="2:18" x14ac:dyDescent="0.25">
      <c r="B93" s="40"/>
      <c r="C93" s="41"/>
      <c r="D93" s="42"/>
      <c r="E93" s="43"/>
      <c r="F93" s="44">
        <v>30708847247</v>
      </c>
      <c r="G93" s="45" t="str">
        <f>IFERROR(IF(compras_mes9[[#This Row],[CUIT]]="","-",VLOOKUP(compras_mes9[[#This Row],[CUIT]],Lista_CUIT[#All],2,0)),"CUIT NO CARGADO")</f>
        <v>TOAGRA SRL</v>
      </c>
      <c r="H93" s="46">
        <v>89244.75</v>
      </c>
      <c r="I93" s="85">
        <f>IF(compras_mes9[[#This Row],[NETO GRAVADO]]="","",compras_mes9[[#This Row],[NETO GRAVADO]]*0.21)</f>
        <v>18741.397499999999</v>
      </c>
      <c r="J93" s="85"/>
      <c r="K93" s="85"/>
      <c r="L93" s="85"/>
      <c r="M93" s="85"/>
      <c r="N93" s="85"/>
      <c r="O93" s="85"/>
      <c r="P93" s="48">
        <f>SUM(compras_mes9[[#This Row],[NETO GRAVADO]:[Otros / No Grav.]])</f>
        <v>107986.14749999999</v>
      </c>
      <c r="Q93" s="49" t="str">
        <f>IFERROR(IF(compras_mes9[[#This Row],[CUIT]]="","-",VLOOKUP(compras_mes9[[#This Row],[CUIT]],Lista_CUIT[#All],3,0)),"CUIT NO CARGADO")</f>
        <v>FLETE</v>
      </c>
      <c r="R93" s="49">
        <f>IFERROR(IF(compras_mes9[[#This Row],[CUIT]]="","-",VLOOKUP(compras_mes9[[#This Row],[CUIT]],Lista_CUIT[#All],4,0)),"CUIT NO CARGADO")</f>
        <v>0</v>
      </c>
    </row>
    <row r="94" spans="2:18" x14ac:dyDescent="0.25">
      <c r="B94" s="40"/>
      <c r="C94" s="41"/>
      <c r="D94" s="42"/>
      <c r="E94" s="43"/>
      <c r="F94" s="44">
        <v>30714112836</v>
      </c>
      <c r="G94" s="45" t="str">
        <f>IFERROR(IF(compras_mes9[[#This Row],[CUIT]]="","-",VLOOKUP(compras_mes9[[#This Row],[CUIT]],Lista_CUIT[#All],2,0)),"CUIT NO CARGADO")</f>
        <v>AUTOPISTAS DE BUENOS AIRES (AUBASA) SA</v>
      </c>
      <c r="H94" s="46">
        <v>5691.85</v>
      </c>
      <c r="I94" s="85">
        <f>IF(compras_mes9[[#This Row],[NETO GRAVADO]]="","",compras_mes9[[#This Row],[NETO GRAVADO]]*0.21)</f>
        <v>1195.2885000000001</v>
      </c>
      <c r="J94" s="85"/>
      <c r="K94" s="85"/>
      <c r="L94" s="85"/>
      <c r="M94" s="85"/>
      <c r="N94" s="85"/>
      <c r="O94" s="85"/>
      <c r="P94" s="48">
        <f>SUM(compras_mes9[[#This Row],[NETO GRAVADO]:[Otros / No Grav.]])</f>
        <v>6887.1385000000009</v>
      </c>
      <c r="Q94" s="49" t="str">
        <f>IFERROR(IF(compras_mes9[[#This Row],[CUIT]]="","-",VLOOKUP(compras_mes9[[#This Row],[CUIT]],Lista_CUIT[#All],3,0)),"CUIT NO CARGADO")</f>
        <v>Autopista</v>
      </c>
      <c r="R94" s="49">
        <f>IFERROR(IF(compras_mes9[[#This Row],[CUIT]]="","-",VLOOKUP(compras_mes9[[#This Row],[CUIT]],Lista_CUIT[#All],4,0)),"CUIT NO CARGADO")</f>
        <v>0</v>
      </c>
    </row>
    <row r="95" spans="2:18" x14ac:dyDescent="0.25">
      <c r="B95" s="40"/>
      <c r="C95" s="41"/>
      <c r="D95" s="42"/>
      <c r="E95" s="43"/>
      <c r="F95" s="44">
        <v>30703088534</v>
      </c>
      <c r="G95" s="45" t="str">
        <f>IFERROR(IF(compras_mes9[[#This Row],[CUIT]]="","-",VLOOKUP(compras_mes9[[#This Row],[CUIT]],Lista_CUIT[#All],2,0)),"CUIT NO CARGADO")</f>
        <v>MERCADO LIBRE SRL</v>
      </c>
      <c r="H95" s="46">
        <v>128163.17</v>
      </c>
      <c r="I95" s="85">
        <f>IF(compras_mes9[[#This Row],[NETO GRAVADO]]="","",compras_mes9[[#This Row],[NETO GRAVADO]]*0.21)</f>
        <v>26914.2657</v>
      </c>
      <c r="J95" s="85"/>
      <c r="K95" s="85"/>
      <c r="L95" s="85"/>
      <c r="M95" s="85"/>
      <c r="N95" s="85"/>
      <c r="O95" s="85"/>
      <c r="P95" s="48">
        <f>SUM(compras_mes9[[#This Row],[NETO GRAVADO]:[Otros / No Grav.]])</f>
        <v>155077.4357</v>
      </c>
      <c r="Q95" s="49" t="str">
        <f>IFERROR(IF(compras_mes9[[#This Row],[CUIT]]="","-",VLOOKUP(compras_mes9[[#This Row],[CUIT]],Lista_CUIT[#All],3,0)),"CUIT NO CARGADO")</f>
        <v>PLATAFORMA ONLINE</v>
      </c>
      <c r="R95" s="49">
        <f>IFERROR(IF(compras_mes9[[#This Row],[CUIT]]="","-",VLOOKUP(compras_mes9[[#This Row],[CUIT]],Lista_CUIT[#All],4,0)),"CUIT NO CARGADO")</f>
        <v>0</v>
      </c>
    </row>
    <row r="96" spans="2:18" x14ac:dyDescent="0.25">
      <c r="B96" s="40"/>
      <c r="C96" s="41"/>
      <c r="D96" s="42"/>
      <c r="E96" s="43"/>
      <c r="F96" s="44">
        <v>30587197215</v>
      </c>
      <c r="G96" s="45" t="str">
        <f>IFERROR(IF(compras_mes9[[#This Row],[CUIT]]="","-",VLOOKUP(compras_mes9[[#This Row],[CUIT]],Lista_CUIT[#All],2,0)),"CUIT NO CARGADO")</f>
        <v>PANATEL SOCIEDAD ANONIMA</v>
      </c>
      <c r="H96" s="46">
        <v>148760.32999999999</v>
      </c>
      <c r="I96" s="85">
        <f>IF(compras_mes9[[#This Row],[NETO GRAVADO]]="","",compras_mes9[[#This Row],[NETO GRAVADO]]*0.21)</f>
        <v>31239.669299999998</v>
      </c>
      <c r="J96" s="85"/>
      <c r="K96" s="85"/>
      <c r="L96" s="85"/>
      <c r="M96" s="85"/>
      <c r="N96" s="85">
        <v>5950.41</v>
      </c>
      <c r="O96" s="85"/>
      <c r="P96" s="48">
        <f>SUM(compras_mes9[[#This Row],[NETO GRAVADO]:[Otros / No Grav.]])</f>
        <v>185950.4093</v>
      </c>
      <c r="Q96" s="49" t="str">
        <f>IFERROR(IF(compras_mes9[[#This Row],[CUIT]]="","-",VLOOKUP(compras_mes9[[#This Row],[CUIT]],Lista_CUIT[#All],3,0)),"CUIT NO CARGADO")</f>
        <v>SERVICIOS DE ALOJAMIENTO EN HOTELES</v>
      </c>
      <c r="R96" s="49">
        <f>IFERROR(IF(compras_mes9[[#This Row],[CUIT]]="","-",VLOOKUP(compras_mes9[[#This Row],[CUIT]],Lista_CUIT[#All],4,0)),"CUIT NO CARGADO")</f>
        <v>0</v>
      </c>
    </row>
    <row r="97" spans="2:18" x14ac:dyDescent="0.25">
      <c r="B97" s="40"/>
      <c r="C97" s="41"/>
      <c r="D97" s="42"/>
      <c r="E97" s="43"/>
      <c r="F97" s="44">
        <v>30577207190</v>
      </c>
      <c r="G97" s="45" t="str">
        <f>IFERROR(IF(compras_mes9[[#This Row],[CUIT]]="","-",VLOOKUP(compras_mes9[[#This Row],[CUIT]],Lista_CUIT[#All],2,0)),"CUIT NO CARGADO")</f>
        <v>COORDINACION ECOLOGICA AREA METROPOLITANA SOCIEDAD DEL ESTADO</v>
      </c>
      <c r="H97" s="46">
        <v>4462.8100000000004</v>
      </c>
      <c r="I97" s="85">
        <f>IF(compras_mes9[[#This Row],[NETO GRAVADO]]="","",compras_mes9[[#This Row],[NETO GRAVADO]]*0.21)</f>
        <v>937.19010000000003</v>
      </c>
      <c r="J97" s="85"/>
      <c r="K97" s="85"/>
      <c r="L97" s="85"/>
      <c r="M97" s="85"/>
      <c r="N97" s="85"/>
      <c r="O97" s="85"/>
      <c r="P97" s="48">
        <f>SUM(compras_mes9[[#This Row],[NETO GRAVADO]:[Otros / No Grav.]])</f>
        <v>5400.0001000000002</v>
      </c>
      <c r="Q97" s="49" t="str">
        <f>IFERROR(IF(compras_mes9[[#This Row],[CUIT]]="","-",VLOOKUP(compras_mes9[[#This Row],[CUIT]],Lista_CUIT[#All],3,0)),"CUIT NO CARGADO")</f>
        <v>gastos varios</v>
      </c>
      <c r="R97" s="49">
        <f>IFERROR(IF(compras_mes9[[#This Row],[CUIT]]="","-",VLOOKUP(compras_mes9[[#This Row],[CUIT]],Lista_CUIT[#All],4,0)),"CUIT NO CARGADO")</f>
        <v>0</v>
      </c>
    </row>
    <row r="98" spans="2:18" x14ac:dyDescent="0.25">
      <c r="B98" s="40"/>
      <c r="C98" s="41"/>
      <c r="D98" s="42"/>
      <c r="E98" s="43"/>
      <c r="F98" s="44">
        <v>30577207190</v>
      </c>
      <c r="G98" s="45" t="str">
        <f>IFERROR(IF(compras_mes9[[#This Row],[CUIT]]="","-",VLOOKUP(compras_mes9[[#This Row],[CUIT]],Lista_CUIT[#All],2,0)),"CUIT NO CARGADO")</f>
        <v>COORDINACION ECOLOGICA AREA METROPOLITANA SOCIEDAD DEL ESTADO</v>
      </c>
      <c r="H98" s="46">
        <v>5950.41</v>
      </c>
      <c r="I98" s="85">
        <f>IF(compras_mes9[[#This Row],[NETO GRAVADO]]="","",compras_mes9[[#This Row],[NETO GRAVADO]]*0.21)</f>
        <v>1249.5861</v>
      </c>
      <c r="J98" s="85"/>
      <c r="K98" s="85"/>
      <c r="L98" s="85"/>
      <c r="M98" s="85"/>
      <c r="N98" s="85"/>
      <c r="O98" s="85"/>
      <c r="P98" s="48">
        <f>SUM(compras_mes9[[#This Row],[NETO GRAVADO]:[Otros / No Grav.]])</f>
        <v>7199.9961000000003</v>
      </c>
      <c r="Q98" s="49" t="str">
        <f>IFERROR(IF(compras_mes9[[#This Row],[CUIT]]="","-",VLOOKUP(compras_mes9[[#This Row],[CUIT]],Lista_CUIT[#All],3,0)),"CUIT NO CARGADO")</f>
        <v>gastos varios</v>
      </c>
      <c r="R98" s="49">
        <f>IFERROR(IF(compras_mes9[[#This Row],[CUIT]]="","-",VLOOKUP(compras_mes9[[#This Row],[CUIT]],Lista_CUIT[#All],4,0)),"CUIT NO CARGADO")</f>
        <v>0</v>
      </c>
    </row>
    <row r="99" spans="2:18" x14ac:dyDescent="0.25">
      <c r="B99" s="340"/>
      <c r="C99" s="41"/>
      <c r="D99" s="332"/>
      <c r="E99" s="333"/>
      <c r="F99" s="334">
        <v>30663498513</v>
      </c>
      <c r="G99" s="335" t="str">
        <f>IFERROR(IF(compras_mes9[[#This Row],[CUIT]]="","-",VLOOKUP(compras_mes9[[#This Row],[CUIT]],Lista_CUIT[#All],2,0)),"CUIT NO CARGADO")</f>
        <v>GRUPO CONCES. DEL OESTE SA</v>
      </c>
      <c r="H99" s="336">
        <v>1733.28</v>
      </c>
      <c r="I99" s="85">
        <f>IF(compras_mes9[[#This Row],[NETO GRAVADO]]="","",compras_mes9[[#This Row],[NETO GRAVADO]]*0.21)</f>
        <v>363.98879999999997</v>
      </c>
      <c r="J99" s="337"/>
      <c r="K99" s="337"/>
      <c r="L99" s="337"/>
      <c r="M99" s="337"/>
      <c r="N99" s="337"/>
      <c r="O99" s="337"/>
      <c r="P99" s="338">
        <f>SUM(compras_mes9[[#This Row],[NETO GRAVADO]:[Otros / No Grav.]])</f>
        <v>2097.2687999999998</v>
      </c>
      <c r="Q99" s="339" t="str">
        <f>IFERROR(IF(compras_mes9[[#This Row],[CUIT]]="","-",VLOOKUP(compras_mes9[[#This Row],[CUIT]],Lista_CUIT[#All],3,0)),"CUIT NO CARGADO")</f>
        <v>Autopista</v>
      </c>
      <c r="R99" s="339">
        <f>IFERROR(IF(compras_mes9[[#This Row],[CUIT]]="","-",VLOOKUP(compras_mes9[[#This Row],[CUIT]],Lista_CUIT[#All],4,0)),"CUIT NO CARGADO")</f>
        <v>0</v>
      </c>
    </row>
    <row r="100" spans="2:18" x14ac:dyDescent="0.25">
      <c r="B100" s="341"/>
      <c r="C100" s="41"/>
      <c r="D100" s="332"/>
      <c r="E100" s="333"/>
      <c r="F100" s="334">
        <v>30663498513</v>
      </c>
      <c r="G100" s="335" t="str">
        <f>IFERROR(IF(compras_mes9[[#This Row],[CUIT]]="","-",VLOOKUP(compras_mes9[[#This Row],[CUIT]],Lista_CUIT[#All],2,0)),"CUIT NO CARGADO")</f>
        <v>GRUPO CONCES. DEL OESTE SA</v>
      </c>
      <c r="H100" s="336">
        <v>7510.97</v>
      </c>
      <c r="I100" s="85">
        <f>IF(compras_mes9[[#This Row],[NETO GRAVADO]]="","",compras_mes9[[#This Row],[NETO GRAVADO]]*0.21)</f>
        <v>1577.3036999999999</v>
      </c>
      <c r="J100" s="337"/>
      <c r="K100" s="337"/>
      <c r="L100" s="337">
        <v>300.44</v>
      </c>
      <c r="M100" s="337"/>
      <c r="N100" s="337"/>
      <c r="O100" s="337"/>
      <c r="P100" s="338">
        <f>SUM(compras_mes9[[#This Row],[NETO GRAVADO]:[Otros / No Grav.]])</f>
        <v>9388.7137000000002</v>
      </c>
      <c r="Q100" s="339" t="str">
        <f>IFERROR(IF(compras_mes9[[#This Row],[CUIT]]="","-",VLOOKUP(compras_mes9[[#This Row],[CUIT]],Lista_CUIT[#All],3,0)),"CUIT NO CARGADO")</f>
        <v>Autopista</v>
      </c>
      <c r="R100" s="339">
        <f>IFERROR(IF(compras_mes9[[#This Row],[CUIT]]="","-",VLOOKUP(compras_mes9[[#This Row],[CUIT]],Lista_CUIT[#All],4,0)),"CUIT NO CARGADO")</f>
        <v>0</v>
      </c>
    </row>
    <row r="101" spans="2:18" x14ac:dyDescent="0.25">
      <c r="B101" s="341"/>
      <c r="C101" s="41"/>
      <c r="D101" s="332"/>
      <c r="E101" s="333"/>
      <c r="F101" s="334">
        <v>30677237119</v>
      </c>
      <c r="G101" s="335" t="str">
        <f>IFERROR(IF(compras_mes9[[#This Row],[CUIT]]="","-",VLOOKUP(compras_mes9[[#This Row],[CUIT]],Lista_CUIT[#All],2,0)),"CUIT NO CARGADO")</f>
        <v>AUTOPISTAS DEL SOL SA</v>
      </c>
      <c r="H101" s="336">
        <v>4853.22</v>
      </c>
      <c r="I101" s="85">
        <f>IF(compras_mes9[[#This Row],[NETO GRAVADO]]="","",compras_mes9[[#This Row],[NETO GRAVADO]]*0.21)</f>
        <v>1019.1762</v>
      </c>
      <c r="J101" s="337"/>
      <c r="K101" s="337"/>
      <c r="L101" s="337"/>
      <c r="M101" s="337"/>
      <c r="N101" s="337"/>
      <c r="O101" s="337"/>
      <c r="P101" s="338">
        <f>SUM(compras_mes9[[#This Row],[NETO GRAVADO]:[Otros / No Grav.]])</f>
        <v>5872.3962000000001</v>
      </c>
      <c r="Q101" s="339" t="str">
        <f>IFERROR(IF(compras_mes9[[#This Row],[CUIT]]="","-",VLOOKUP(compras_mes9[[#This Row],[CUIT]],Lista_CUIT[#All],3,0)),"CUIT NO CARGADO")</f>
        <v>Autopista</v>
      </c>
      <c r="R101" s="339">
        <f>IFERROR(IF(compras_mes9[[#This Row],[CUIT]]="","-",VLOOKUP(compras_mes9[[#This Row],[CUIT]],Lista_CUIT[#All],4,0)),"CUIT NO CARGADO")</f>
        <v>0</v>
      </c>
    </row>
    <row r="102" spans="2:18" ht="14.45" customHeight="1" x14ac:dyDescent="0.25">
      <c r="B102" s="341"/>
      <c r="C102" s="41"/>
      <c r="D102" s="332"/>
      <c r="E102" s="333"/>
      <c r="F102" s="334">
        <v>30677237119</v>
      </c>
      <c r="G102" s="335" t="str">
        <f>IFERROR(IF(compras_mes9[[#This Row],[CUIT]]="","-",VLOOKUP(compras_mes9[[#This Row],[CUIT]],Lista_CUIT[#All],2,0)),"CUIT NO CARGADO")</f>
        <v>AUTOPISTAS DEL SOL SA</v>
      </c>
      <c r="H102" s="336">
        <v>4391.3</v>
      </c>
      <c r="I102" s="85">
        <f>IF(compras_mes9[[#This Row],[NETO GRAVADO]]="","",compras_mes9[[#This Row],[NETO GRAVADO]]*0.21)</f>
        <v>922.173</v>
      </c>
      <c r="J102" s="337"/>
      <c r="K102" s="337"/>
      <c r="L102" s="337">
        <v>307.37</v>
      </c>
      <c r="M102" s="337"/>
      <c r="N102" s="337"/>
      <c r="O102" s="337"/>
      <c r="P102" s="338">
        <f>SUM(compras_mes9[[#This Row],[NETO GRAVADO]:[Otros / No Grav.]])</f>
        <v>5620.8429999999998</v>
      </c>
      <c r="Q102" s="339" t="str">
        <f>IFERROR(IF(compras_mes9[[#This Row],[CUIT]]="","-",VLOOKUP(compras_mes9[[#This Row],[CUIT]],Lista_CUIT[#All],3,0)),"CUIT NO CARGADO")</f>
        <v>Autopista</v>
      </c>
      <c r="R102" s="339">
        <f>IFERROR(IF(compras_mes9[[#This Row],[CUIT]]="","-",VLOOKUP(compras_mes9[[#This Row],[CUIT]],Lista_CUIT[#All],4,0)),"CUIT NO CARGADO")</f>
        <v>0</v>
      </c>
    </row>
    <row r="103" spans="2:18" x14ac:dyDescent="0.25">
      <c r="B103" s="341"/>
      <c r="C103" s="41"/>
      <c r="D103" s="332"/>
      <c r="E103" s="333"/>
      <c r="F103" s="334">
        <v>30516186670</v>
      </c>
      <c r="G103" s="335" t="str">
        <f>IFERROR(IF(compras_mes9[[#This Row],[CUIT]]="","-",VLOOKUP(compras_mes9[[#This Row],[CUIT]],Lista_CUIT[#All],2,0)),"CUIT NO CARGADO")</f>
        <v>DEHEZA SAICF E I</v>
      </c>
      <c r="H103" s="336">
        <v>42147.839999999997</v>
      </c>
      <c r="I103" s="85">
        <f>IF(compras_mes9[[#This Row],[NETO GRAVADO]]="","",compras_mes9[[#This Row],[NETO GRAVADO]]*0.21)</f>
        <v>8851.0463999999993</v>
      </c>
      <c r="J103" s="337"/>
      <c r="K103" s="337"/>
      <c r="L103" s="337"/>
      <c r="M103" s="337"/>
      <c r="N103" s="337"/>
      <c r="O103" s="337"/>
      <c r="P103" s="338">
        <f>SUM(compras_mes9[[#This Row],[NETO GRAVADO]:[Otros / No Grav.]])</f>
        <v>50998.886399999996</v>
      </c>
      <c r="Q103" s="339" t="str">
        <f>IFERROR(IF(compras_mes9[[#This Row],[CUIT]]="","-",VLOOKUP(compras_mes9[[#This Row],[CUIT]],Lista_CUIT[#All],3,0)),"CUIT NO CARGADO")</f>
        <v>COMBUSTIBLE</v>
      </c>
      <c r="R103" s="339">
        <f>IFERROR(IF(compras_mes9[[#This Row],[CUIT]]="","-",VLOOKUP(compras_mes9[[#This Row],[CUIT]],Lista_CUIT[#All],4,0)),"CUIT NO CARGADO")</f>
        <v>0</v>
      </c>
    </row>
    <row r="104" spans="2:18" x14ac:dyDescent="0.25">
      <c r="B104" s="341"/>
      <c r="C104" s="41"/>
      <c r="D104" s="332"/>
      <c r="E104" s="333"/>
      <c r="F104" s="334">
        <v>30708574836</v>
      </c>
      <c r="G104" s="335" t="str">
        <f>IFERROR(IF(compras_mes9[[#This Row],[CUIT]]="","-",VLOOKUP(compras_mes9[[#This Row],[CUIT]],Lista_CUIT[#All],2,0)),"CUIT NO CARGADO")</f>
        <v>CORREO OFICIAL DE LA REPUBLICA ARGENTINA SOCIEDAD ANONIMA</v>
      </c>
      <c r="H104" s="336">
        <v>0</v>
      </c>
      <c r="I104" s="85">
        <f>IF(compras_mes9[[#This Row],[NETO GRAVADO]]="","",compras_mes9[[#This Row],[NETO GRAVADO]]*0.21)</f>
        <v>0</v>
      </c>
      <c r="J104" s="337"/>
      <c r="K104" s="337"/>
      <c r="L104" s="337"/>
      <c r="M104" s="337"/>
      <c r="N104" s="337"/>
      <c r="O104" s="337">
        <v>19900</v>
      </c>
      <c r="P104" s="338">
        <f>SUM(compras_mes9[[#This Row],[NETO GRAVADO]:[Otros / No Grav.]])</f>
        <v>19900</v>
      </c>
      <c r="Q104" s="339" t="str">
        <f>IFERROR(IF(compras_mes9[[#This Row],[CUIT]]="","-",VLOOKUP(compras_mes9[[#This Row],[CUIT]],Lista_CUIT[#All],3,0)),"CUIT NO CARGADO")</f>
        <v>Gastos Varios</v>
      </c>
      <c r="R104" s="339">
        <f>IFERROR(IF(compras_mes9[[#This Row],[CUIT]]="","-",VLOOKUP(compras_mes9[[#This Row],[CUIT]],Lista_CUIT[#All],4,0)),"CUIT NO CARGADO")</f>
        <v>0</v>
      </c>
    </row>
    <row r="105" spans="2:18" ht="14.45" customHeight="1" x14ac:dyDescent="0.25">
      <c r="B105" s="341"/>
      <c r="C105" s="41"/>
      <c r="D105" s="332"/>
      <c r="E105" s="333"/>
      <c r="F105" s="334">
        <v>30708574836</v>
      </c>
      <c r="G105" s="335" t="str">
        <f>IFERROR(IF(compras_mes9[[#This Row],[CUIT]]="","-",VLOOKUP(compras_mes9[[#This Row],[CUIT]],Lista_CUIT[#All],2,0)),"CUIT NO CARGADO")</f>
        <v>CORREO OFICIAL DE LA REPUBLICA ARGENTINA SOCIEDAD ANONIMA</v>
      </c>
      <c r="H105" s="336">
        <v>0</v>
      </c>
      <c r="I105" s="85">
        <f>IF(compras_mes9[[#This Row],[NETO GRAVADO]]="","",compras_mes9[[#This Row],[NETO GRAVADO]]*0.21)</f>
        <v>0</v>
      </c>
      <c r="J105" s="337"/>
      <c r="K105" s="337"/>
      <c r="L105" s="337"/>
      <c r="M105" s="337"/>
      <c r="N105" s="337"/>
      <c r="O105" s="337">
        <v>34100</v>
      </c>
      <c r="P105" s="338">
        <f>SUM(compras_mes9[[#This Row],[NETO GRAVADO]:[Otros / No Grav.]])</f>
        <v>34100</v>
      </c>
      <c r="Q105" s="339" t="str">
        <f>IFERROR(IF(compras_mes9[[#This Row],[CUIT]]="","-",VLOOKUP(compras_mes9[[#This Row],[CUIT]],Lista_CUIT[#All],3,0)),"CUIT NO CARGADO")</f>
        <v>Gastos Varios</v>
      </c>
      <c r="R105" s="339">
        <f>IFERROR(IF(compras_mes9[[#This Row],[CUIT]]="","-",VLOOKUP(compras_mes9[[#This Row],[CUIT]],Lista_CUIT[#All],4,0)),"CUIT NO CARGADO")</f>
        <v>0</v>
      </c>
    </row>
    <row r="106" spans="2:18" ht="14.45" customHeight="1" x14ac:dyDescent="0.25">
      <c r="B106" s="341"/>
      <c r="C106" s="41"/>
      <c r="D106" s="332"/>
      <c r="E106" s="333"/>
      <c r="F106" s="334">
        <v>30708574836</v>
      </c>
      <c r="G106" s="335" t="str">
        <f>IFERROR(IF(compras_mes9[[#This Row],[CUIT]]="","-",VLOOKUP(compras_mes9[[#This Row],[CUIT]],Lista_CUIT[#All],2,0)),"CUIT NO CARGADO")</f>
        <v>CORREO OFICIAL DE LA REPUBLICA ARGENTINA SOCIEDAD ANONIMA</v>
      </c>
      <c r="H106" s="336">
        <v>413.22</v>
      </c>
      <c r="I106" s="85">
        <f>IF(compras_mes9[[#This Row],[NETO GRAVADO]]="","",compras_mes9[[#This Row],[NETO GRAVADO]]*0.21)</f>
        <v>86.776200000000003</v>
      </c>
      <c r="J106" s="337"/>
      <c r="K106" s="337"/>
      <c r="L106" s="337"/>
      <c r="M106" s="337"/>
      <c r="N106" s="337"/>
      <c r="O106" s="337"/>
      <c r="P106" s="338">
        <f>SUM(compras_mes9[[#This Row],[NETO GRAVADO]:[Otros / No Grav.]])</f>
        <v>499.99620000000004</v>
      </c>
      <c r="Q106" s="339" t="str">
        <f>IFERROR(IF(compras_mes9[[#This Row],[CUIT]]="","-",VLOOKUP(compras_mes9[[#This Row],[CUIT]],Lista_CUIT[#All],3,0)),"CUIT NO CARGADO")</f>
        <v>Gastos Varios</v>
      </c>
      <c r="R106" s="339">
        <f>IFERROR(IF(compras_mes9[[#This Row],[CUIT]]="","-",VLOOKUP(compras_mes9[[#This Row],[CUIT]],Lista_CUIT[#All],4,0)),"CUIT NO CARGADO")</f>
        <v>0</v>
      </c>
    </row>
    <row r="107" spans="2:18" ht="15" customHeight="1" x14ac:dyDescent="0.25">
      <c r="B107" s="341"/>
      <c r="C107" s="41"/>
      <c r="D107" s="332"/>
      <c r="E107" s="333"/>
      <c r="F107" s="334">
        <v>30708574836</v>
      </c>
      <c r="G107" s="335" t="str">
        <f>IFERROR(IF(compras_mes9[[#This Row],[CUIT]]="","-",VLOOKUP(compras_mes9[[#This Row],[CUIT]],Lista_CUIT[#All],2,0)),"CUIT NO CARGADO")</f>
        <v>CORREO OFICIAL DE LA REPUBLICA ARGENTINA SOCIEDAD ANONIMA</v>
      </c>
      <c r="H107" s="336">
        <v>0</v>
      </c>
      <c r="I107" s="85">
        <f>IF(compras_mes9[[#This Row],[NETO GRAVADO]]="","",compras_mes9[[#This Row],[NETO GRAVADO]]*0.21)</f>
        <v>0</v>
      </c>
      <c r="J107" s="337"/>
      <c r="K107" s="337"/>
      <c r="L107" s="337"/>
      <c r="M107" s="337"/>
      <c r="N107" s="337"/>
      <c r="O107" s="337">
        <v>18950</v>
      </c>
      <c r="P107" s="338">
        <f>SUM(compras_mes9[[#This Row],[NETO GRAVADO]:[Otros / No Grav.]])</f>
        <v>18950</v>
      </c>
      <c r="Q107" s="339" t="str">
        <f>IFERROR(IF(compras_mes9[[#This Row],[CUIT]]="","-",VLOOKUP(compras_mes9[[#This Row],[CUIT]],Lista_CUIT[#All],3,0)),"CUIT NO CARGADO")</f>
        <v>Gastos Varios</v>
      </c>
      <c r="R107" s="339">
        <f>IFERROR(IF(compras_mes9[[#This Row],[CUIT]]="","-",VLOOKUP(compras_mes9[[#This Row],[CUIT]],Lista_CUIT[#All],4,0)),"CUIT NO CARGADO")</f>
        <v>0</v>
      </c>
    </row>
    <row r="108" spans="2:18" ht="15" customHeight="1" x14ac:dyDescent="0.25">
      <c r="B108" s="341"/>
      <c r="C108" s="41"/>
      <c r="D108" s="332"/>
      <c r="E108" s="333"/>
      <c r="F108" s="334">
        <v>30678814357</v>
      </c>
      <c r="G108" s="335" t="str">
        <f>IFERROR(IF(compras_mes9[[#This Row],[CUIT]]="","-",VLOOKUP(compras_mes9[[#This Row],[CUIT]],Lista_CUIT[#All],2,0)),"CUIT NO CARGADO")</f>
        <v>TELEFONICA MOVILES ARG SA</v>
      </c>
      <c r="H108" s="336">
        <v>69959.92</v>
      </c>
      <c r="I108" s="337"/>
      <c r="J108" s="337">
        <f>compras_mes9[[#This Row],[NETO GRAVADO]]*0.27</f>
        <v>18889.178400000001</v>
      </c>
      <c r="K108" s="337"/>
      <c r="L108" s="337"/>
      <c r="M108" s="337"/>
      <c r="N108" s="337"/>
      <c r="O108" s="337"/>
      <c r="P108" s="338">
        <f>SUM(compras_mes9[[#This Row],[NETO GRAVADO]:[Otros / No Grav.]])</f>
        <v>88849.098400000003</v>
      </c>
      <c r="Q108" s="339" t="str">
        <f>IFERROR(IF(compras_mes9[[#This Row],[CUIT]]="","-",VLOOKUP(compras_mes9[[#This Row],[CUIT]],Lista_CUIT[#All],3,0)),"CUIT NO CARGADO")</f>
        <v>SERVICIO</v>
      </c>
      <c r="R108" s="339">
        <f>IFERROR(IF(compras_mes9[[#This Row],[CUIT]]="","-",VLOOKUP(compras_mes9[[#This Row],[CUIT]],Lista_CUIT[#All],4,0)),"CUIT NO CARGADO")</f>
        <v>0</v>
      </c>
    </row>
    <row r="109" spans="2:18" ht="15" customHeight="1" x14ac:dyDescent="0.25">
      <c r="B109" s="341"/>
      <c r="C109" s="41"/>
      <c r="D109" s="332"/>
      <c r="E109" s="333"/>
      <c r="F109" s="334">
        <v>30678814357</v>
      </c>
      <c r="G109" s="335" t="str">
        <f>IFERROR(IF(compras_mes9[[#This Row],[CUIT]]="","-",VLOOKUP(compras_mes9[[#This Row],[CUIT]],Lista_CUIT[#All],2,0)),"CUIT NO CARGADO")</f>
        <v>TELEFONICA MOVILES ARG SA</v>
      </c>
      <c r="H109" s="336">
        <v>77055.44</v>
      </c>
      <c r="I109" s="337"/>
      <c r="J109" s="337">
        <f>compras_mes9[[#This Row],[NETO GRAVADO]]*0.27</f>
        <v>20804.968800000002</v>
      </c>
      <c r="K109" s="337"/>
      <c r="L109" s="337"/>
      <c r="M109" s="337"/>
      <c r="N109" s="337"/>
      <c r="O109" s="337"/>
      <c r="P109" s="338">
        <f>SUM(compras_mes9[[#This Row],[NETO GRAVADO]:[Otros / No Grav.]])</f>
        <v>97860.408800000005</v>
      </c>
      <c r="Q109" s="339" t="str">
        <f>IFERROR(IF(compras_mes9[[#This Row],[CUIT]]="","-",VLOOKUP(compras_mes9[[#This Row],[CUIT]],Lista_CUIT[#All],3,0)),"CUIT NO CARGADO")</f>
        <v>SERVICIO</v>
      </c>
      <c r="R109" s="339">
        <f>IFERROR(IF(compras_mes9[[#This Row],[CUIT]]="","-",VLOOKUP(compras_mes9[[#This Row],[CUIT]],Lista_CUIT[#All],4,0)),"CUIT NO CARGADO")</f>
        <v>0</v>
      </c>
    </row>
    <row r="110" spans="2:18" ht="15" customHeight="1" x14ac:dyDescent="0.25">
      <c r="B110" s="341"/>
      <c r="C110" s="331"/>
      <c r="D110" s="332"/>
      <c r="E110" s="333"/>
      <c r="F110" s="334">
        <v>30639453738</v>
      </c>
      <c r="G110" s="335" t="str">
        <f>IFERROR(IF(compras_mes9[[#This Row],[CUIT]]="","-",VLOOKUP(compras_mes9[[#This Row],[CUIT]],Lista_CUIT[#All],2,0)),"CUIT NO CARGADO")</f>
        <v>TELECOM ARGENTINA SA</v>
      </c>
      <c r="H110" s="336">
        <v>50738</v>
      </c>
      <c r="I110" s="337">
        <f>IF(compras_mes9[[#This Row],[NETO GRAVADO]]="","",compras_mes9[[#This Row],[NETO GRAVADO]]*0.21)</f>
        <v>10654.98</v>
      </c>
      <c r="J110" s="337"/>
      <c r="K110" s="337"/>
      <c r="L110" s="337">
        <v>1522.14</v>
      </c>
      <c r="M110" s="337"/>
      <c r="N110" s="337"/>
      <c r="O110" s="337"/>
      <c r="P110" s="338">
        <f>SUM(compras_mes9[[#This Row],[NETO GRAVADO]:[Otros / No Grav.]])</f>
        <v>62915.119999999995</v>
      </c>
      <c r="Q110" s="339" t="str">
        <f>IFERROR(IF(compras_mes9[[#This Row],[CUIT]]="","-",VLOOKUP(compras_mes9[[#This Row],[CUIT]],Lista_CUIT[#All],3,0)),"CUIT NO CARGADO")</f>
        <v>SERVICIO</v>
      </c>
      <c r="R110" s="339">
        <f>IFERROR(IF(compras_mes9[[#This Row],[CUIT]]="","-",VLOOKUP(compras_mes9[[#This Row],[CUIT]],Lista_CUIT[#All],4,0)),"CUIT NO CARGADO")</f>
        <v>0</v>
      </c>
    </row>
    <row r="111" spans="2:18" ht="15" customHeight="1" x14ac:dyDescent="0.25">
      <c r="B111" s="341"/>
      <c r="C111" s="331"/>
      <c r="D111" s="332"/>
      <c r="E111" s="333"/>
      <c r="F111" s="334">
        <v>30574876474</v>
      </c>
      <c r="G111" s="335" t="str">
        <f>IFERROR(IF(compras_mes9[[#This Row],[CUIT]]="","-",VLOOKUP(compras_mes9[[#This Row],[CUIT]],Lista_CUIT[#All],2,0)),"CUIT NO CARGADO")</f>
        <v>AUTOP. URBANAS SA</v>
      </c>
      <c r="H111" s="336">
        <v>4691.42</v>
      </c>
      <c r="I111" s="337">
        <f>IF(compras_mes9[[#This Row],[NETO GRAVADO]]="","",compras_mes9[[#This Row],[NETO GRAVADO]]*0.21)</f>
        <v>985.19819999999993</v>
      </c>
      <c r="J111" s="337"/>
      <c r="K111" s="337"/>
      <c r="L111" s="337"/>
      <c r="M111" s="337"/>
      <c r="N111" s="337"/>
      <c r="O111" s="337"/>
      <c r="P111" s="338">
        <f>SUM(compras_mes9[[#This Row],[NETO GRAVADO]:[Otros / No Grav.]])</f>
        <v>5676.6181999999999</v>
      </c>
      <c r="Q111" s="339" t="str">
        <f>IFERROR(IF(compras_mes9[[#This Row],[CUIT]]="","-",VLOOKUP(compras_mes9[[#This Row],[CUIT]],Lista_CUIT[#All],3,0)),"CUIT NO CARGADO")</f>
        <v>PEAJE</v>
      </c>
      <c r="R111" s="339">
        <f>IFERROR(IF(compras_mes9[[#This Row],[CUIT]]="","-",VLOOKUP(compras_mes9[[#This Row],[CUIT]],Lista_CUIT[#All],4,0)),"CUIT NO CARGADO")</f>
        <v>0</v>
      </c>
    </row>
    <row r="112" spans="2:18" ht="15" customHeight="1" x14ac:dyDescent="0.25">
      <c r="B112" s="341"/>
      <c r="C112" s="331"/>
      <c r="D112" s="332"/>
      <c r="E112" s="333"/>
      <c r="F112" s="334">
        <v>30574876474</v>
      </c>
      <c r="G112" s="335" t="str">
        <f>IFERROR(IF(compras_mes9[[#This Row],[CUIT]]="","-",VLOOKUP(compras_mes9[[#This Row],[CUIT]],Lista_CUIT[#All],2,0)),"CUIT NO CARGADO")</f>
        <v>AUTOP. URBANAS SA</v>
      </c>
      <c r="H112" s="336">
        <v>7586.7</v>
      </c>
      <c r="I112" s="337">
        <f>IF(compras_mes9[[#This Row],[NETO GRAVADO]]="","",compras_mes9[[#This Row],[NETO GRAVADO]]*0.21)</f>
        <v>1593.2069999999999</v>
      </c>
      <c r="J112" s="337"/>
      <c r="K112" s="337"/>
      <c r="L112" s="337"/>
      <c r="M112" s="337"/>
      <c r="N112" s="337"/>
      <c r="O112" s="337"/>
      <c r="P112" s="338">
        <f>SUM(compras_mes9[[#This Row],[NETO GRAVADO]:[Otros / No Grav.]])</f>
        <v>9179.9069999999992</v>
      </c>
      <c r="Q112" s="339" t="str">
        <f>IFERROR(IF(compras_mes9[[#This Row],[CUIT]]="","-",VLOOKUP(compras_mes9[[#This Row],[CUIT]],Lista_CUIT[#All],3,0)),"CUIT NO CARGADO")</f>
        <v>PEAJE</v>
      </c>
      <c r="R112" s="339">
        <f>IFERROR(IF(compras_mes9[[#This Row],[CUIT]]="","-",VLOOKUP(compras_mes9[[#This Row],[CUIT]],Lista_CUIT[#All],4,0)),"CUIT NO CARGADO")</f>
        <v>0</v>
      </c>
    </row>
    <row r="113" spans="2:18" ht="15" customHeight="1" x14ac:dyDescent="0.25">
      <c r="B113" s="341"/>
      <c r="C113" s="331"/>
      <c r="D113" s="332"/>
      <c r="E113" s="333"/>
      <c r="F113" s="334">
        <v>30574876474</v>
      </c>
      <c r="G113" s="335" t="str">
        <f>IFERROR(IF(compras_mes9[[#This Row],[CUIT]]="","-",VLOOKUP(compras_mes9[[#This Row],[CUIT]],Lista_CUIT[#All],2,0)),"CUIT NO CARGADO")</f>
        <v>AUTOP. URBANAS SA</v>
      </c>
      <c r="H113" s="336">
        <v>35415.800000000003</v>
      </c>
      <c r="I113" s="337">
        <f>IF(compras_mes9[[#This Row],[NETO GRAVADO]]="","",compras_mes9[[#This Row],[NETO GRAVADO]]*0.21)</f>
        <v>7437.3180000000002</v>
      </c>
      <c r="J113" s="337"/>
      <c r="K113" s="337"/>
      <c r="L113" s="337">
        <v>1062.47</v>
      </c>
      <c r="M113" s="337"/>
      <c r="N113" s="337"/>
      <c r="O113" s="337"/>
      <c r="P113" s="338">
        <f>SUM(compras_mes9[[#This Row],[NETO GRAVADO]:[Otros / No Grav.]])</f>
        <v>43915.588000000003</v>
      </c>
      <c r="Q113" s="339" t="str">
        <f>IFERROR(IF(compras_mes9[[#This Row],[CUIT]]="","-",VLOOKUP(compras_mes9[[#This Row],[CUIT]],Lista_CUIT[#All],3,0)),"CUIT NO CARGADO")</f>
        <v>PEAJE</v>
      </c>
      <c r="R113" s="339">
        <f>IFERROR(IF(compras_mes9[[#This Row],[CUIT]]="","-",VLOOKUP(compras_mes9[[#This Row],[CUIT]],Lista_CUIT[#All],4,0)),"CUIT NO CARGADO")</f>
        <v>0</v>
      </c>
    </row>
    <row r="114" spans="2:18" ht="15" customHeight="1" x14ac:dyDescent="0.25">
      <c r="B114" s="341"/>
      <c r="C114" s="331"/>
      <c r="D114" s="332"/>
      <c r="E114" s="333"/>
      <c r="F114" s="334">
        <v>30574876474</v>
      </c>
      <c r="G114" s="335" t="str">
        <f>IFERROR(IF(compras_mes9[[#This Row],[CUIT]]="","-",VLOOKUP(compras_mes9[[#This Row],[CUIT]],Lista_CUIT[#All],2,0)),"CUIT NO CARGADO")</f>
        <v>AUTOP. URBANAS SA</v>
      </c>
      <c r="H114" s="336">
        <v>28872.62</v>
      </c>
      <c r="I114" s="337">
        <f>IF(compras_mes9[[#This Row],[NETO GRAVADO]]="","",compras_mes9[[#This Row],[NETO GRAVADO]]*0.21)</f>
        <v>6063.2501999999995</v>
      </c>
      <c r="J114" s="337"/>
      <c r="K114" s="337"/>
      <c r="L114" s="337"/>
      <c r="M114" s="337"/>
      <c r="N114" s="337"/>
      <c r="O114" s="337"/>
      <c r="P114" s="338">
        <f>SUM(compras_mes9[[#This Row],[NETO GRAVADO]:[Otros / No Grav.]])</f>
        <v>34935.870199999998</v>
      </c>
      <c r="Q114" s="339" t="str">
        <f>IFERROR(IF(compras_mes9[[#This Row],[CUIT]]="","-",VLOOKUP(compras_mes9[[#This Row],[CUIT]],Lista_CUIT[#All],3,0)),"CUIT NO CARGADO")</f>
        <v>PEAJE</v>
      </c>
      <c r="R114" s="339">
        <f>IFERROR(IF(compras_mes9[[#This Row],[CUIT]]="","-",VLOOKUP(compras_mes9[[#This Row],[CUIT]],Lista_CUIT[#All],4,0)),"CUIT NO CARGADO")</f>
        <v>0</v>
      </c>
    </row>
    <row r="115" spans="2:18" ht="15" customHeight="1" x14ac:dyDescent="0.25">
      <c r="B115" s="341"/>
      <c r="C115" s="331"/>
      <c r="D115" s="332"/>
      <c r="E115" s="333"/>
      <c r="F115" s="334">
        <v>30574876474</v>
      </c>
      <c r="G115" s="335" t="str">
        <f>IFERROR(IF(compras_mes9[[#This Row],[CUIT]]="","-",VLOOKUP(compras_mes9[[#This Row],[CUIT]],Lista_CUIT[#All],2,0)),"CUIT NO CARGADO")</f>
        <v>AUTOP. URBANAS SA</v>
      </c>
      <c r="H115" s="336">
        <v>19668.189999999999</v>
      </c>
      <c r="I115" s="337">
        <f>IF(compras_mes9[[#This Row],[NETO GRAVADO]]="","",compras_mes9[[#This Row],[NETO GRAVADO]]*0.21)</f>
        <v>4130.3198999999995</v>
      </c>
      <c r="J115" s="337"/>
      <c r="K115" s="337"/>
      <c r="L115" s="337">
        <v>590.04999999999995</v>
      </c>
      <c r="M115" s="337"/>
      <c r="N115" s="337"/>
      <c r="O115" s="337"/>
      <c r="P115" s="338">
        <f>SUM(compras_mes9[[#This Row],[NETO GRAVADO]:[Otros / No Grav.]])</f>
        <v>24388.559899999997</v>
      </c>
      <c r="Q115" s="339" t="str">
        <f>IFERROR(IF(compras_mes9[[#This Row],[CUIT]]="","-",VLOOKUP(compras_mes9[[#This Row],[CUIT]],Lista_CUIT[#All],3,0)),"CUIT NO CARGADO")</f>
        <v>PEAJE</v>
      </c>
      <c r="R115" s="339">
        <f>IFERROR(IF(compras_mes9[[#This Row],[CUIT]]="","-",VLOOKUP(compras_mes9[[#This Row],[CUIT]],Lista_CUIT[#All],4,0)),"CUIT NO CARGADO")</f>
        <v>0</v>
      </c>
    </row>
    <row r="116" spans="2:18" ht="15" customHeight="1" x14ac:dyDescent="0.25">
      <c r="B116" s="341"/>
      <c r="C116" s="331"/>
      <c r="D116" s="332"/>
      <c r="E116" s="333"/>
      <c r="F116" s="334">
        <v>30574876474</v>
      </c>
      <c r="G116" s="335" t="str">
        <f>IFERROR(IF(compras_mes9[[#This Row],[CUIT]]="","-",VLOOKUP(compras_mes9[[#This Row],[CUIT]],Lista_CUIT[#All],2,0)),"CUIT NO CARGADO")</f>
        <v>AUTOP. URBANAS SA</v>
      </c>
      <c r="H116" s="336">
        <v>41374.11</v>
      </c>
      <c r="I116" s="337">
        <f>IF(compras_mes9[[#This Row],[NETO GRAVADO]]="","",compras_mes9[[#This Row],[NETO GRAVADO]]*0.21)</f>
        <v>8688.5630999999994</v>
      </c>
      <c r="J116" s="337"/>
      <c r="K116" s="337"/>
      <c r="L116" s="337"/>
      <c r="M116" s="337"/>
      <c r="N116" s="337"/>
      <c r="O116" s="337"/>
      <c r="P116" s="338">
        <f>SUM(compras_mes9[[#This Row],[NETO GRAVADO]:[Otros / No Grav.]])</f>
        <v>50062.6731</v>
      </c>
      <c r="Q116" s="339" t="str">
        <f>IFERROR(IF(compras_mes9[[#This Row],[CUIT]]="","-",VLOOKUP(compras_mes9[[#This Row],[CUIT]],Lista_CUIT[#All],3,0)),"CUIT NO CARGADO")</f>
        <v>PEAJE</v>
      </c>
      <c r="R116" s="339">
        <f>IFERROR(IF(compras_mes9[[#This Row],[CUIT]]="","-",VLOOKUP(compras_mes9[[#This Row],[CUIT]],Lista_CUIT[#All],4,0)),"CUIT NO CARGADO")</f>
        <v>0</v>
      </c>
    </row>
    <row r="117" spans="2:18" ht="15" customHeight="1" x14ac:dyDescent="0.25">
      <c r="B117" s="341"/>
      <c r="C117" s="331"/>
      <c r="D117" s="332"/>
      <c r="E117" s="333"/>
      <c r="F117" s="334">
        <v>30643922157</v>
      </c>
      <c r="G117" s="335" t="str">
        <f>IFERROR(IF(compras_mes9[[#This Row],[CUIT]]="","-",VLOOKUP(compras_mes9[[#This Row],[CUIT]],Lista_CUIT[#All],2,0)),"CUIT NO CARGADO")</f>
        <v>VIA BARILOCHE SA</v>
      </c>
      <c r="H117" s="336">
        <v>39669.42</v>
      </c>
      <c r="I117" s="337">
        <f>IF(compras_mes9[[#This Row],[NETO GRAVADO]]="","",compras_mes9[[#This Row],[NETO GRAVADO]]*0.21)</f>
        <v>8330.5781999999999</v>
      </c>
      <c r="J117" s="337"/>
      <c r="K117" s="337"/>
      <c r="L117" s="337"/>
      <c r="M117" s="337"/>
      <c r="N117" s="337"/>
      <c r="O117" s="337"/>
      <c r="P117" s="338">
        <f>SUM(compras_mes9[[#This Row],[NETO GRAVADO]:[Otros / No Grav.]])</f>
        <v>47999.998200000002</v>
      </c>
      <c r="Q117" s="339" t="str">
        <f>IFERROR(IF(compras_mes9[[#This Row],[CUIT]]="","-",VLOOKUP(compras_mes9[[#This Row],[CUIT]],Lista_CUIT[#All],3,0)),"CUIT NO CARGADO")</f>
        <v>FLETE</v>
      </c>
      <c r="R117" s="339">
        <f>IFERROR(IF(compras_mes9[[#This Row],[CUIT]]="","-",VLOOKUP(compras_mes9[[#This Row],[CUIT]],Lista_CUIT[#All],4,0)),"CUIT NO CARGADO")</f>
        <v>0</v>
      </c>
    </row>
    <row r="118" spans="2:18" ht="15" customHeight="1" x14ac:dyDescent="0.25">
      <c r="B118" s="341"/>
      <c r="C118" s="331"/>
      <c r="D118" s="332"/>
      <c r="E118" s="333"/>
      <c r="F118" s="334">
        <v>30703088534</v>
      </c>
      <c r="G118" s="335" t="str">
        <f>IFERROR(IF(compras_mes9[[#This Row],[CUIT]]="","-",VLOOKUP(compras_mes9[[#This Row],[CUIT]],Lista_CUIT[#All],2,0)),"CUIT NO CARGADO")</f>
        <v>MERCADO LIBRE SRL</v>
      </c>
      <c r="H118" s="336">
        <v>-1185.95</v>
      </c>
      <c r="I118" s="337">
        <f>IF(compras_mes9[[#This Row],[NETO GRAVADO]]="","",compras_mes9[[#This Row],[NETO GRAVADO]]*0.21)</f>
        <v>-249.04949999999999</v>
      </c>
      <c r="J118" s="337"/>
      <c r="K118" s="337"/>
      <c r="L118" s="337"/>
      <c r="M118" s="337"/>
      <c r="N118" s="337"/>
      <c r="O118" s="337"/>
      <c r="P118" s="338">
        <f>SUM(compras_mes9[[#This Row],[NETO GRAVADO]:[Otros / No Grav.]])</f>
        <v>-1434.9995000000001</v>
      </c>
      <c r="Q118" s="339" t="str">
        <f>IFERROR(IF(compras_mes9[[#This Row],[CUIT]]="","-",VLOOKUP(compras_mes9[[#This Row],[CUIT]],Lista_CUIT[#All],3,0)),"CUIT NO CARGADO")</f>
        <v>PLATAFORMA ONLINE</v>
      </c>
      <c r="R118" s="339">
        <f>IFERROR(IF(compras_mes9[[#This Row],[CUIT]]="","-",VLOOKUP(compras_mes9[[#This Row],[CUIT]],Lista_CUIT[#All],4,0)),"CUIT NO CARGADO")</f>
        <v>0</v>
      </c>
    </row>
    <row r="119" spans="2:18" ht="15" customHeight="1" x14ac:dyDescent="0.25">
      <c r="B119" s="341"/>
      <c r="C119" s="331"/>
      <c r="D119" s="332"/>
      <c r="E119" s="333"/>
      <c r="F119" s="334">
        <v>20230902780</v>
      </c>
      <c r="G119" s="335" t="str">
        <f>IFERROR(IF(compras_mes9[[#This Row],[CUIT]]="","-",VLOOKUP(compras_mes9[[#This Row],[CUIT]],Lista_CUIT[#All],2,0)),"CUIT NO CARGADO")</f>
        <v>SOSA CRISTIAN HERNAN</v>
      </c>
      <c r="H119" s="336">
        <v>19633.71</v>
      </c>
      <c r="I119" s="337">
        <f>IF(compras_mes9[[#This Row],[NETO GRAVADO]]="","",compras_mes9[[#This Row],[NETO GRAVADO]]*0.21)</f>
        <v>4123.0790999999999</v>
      </c>
      <c r="J119" s="337"/>
      <c r="K119" s="337"/>
      <c r="L119" s="337"/>
      <c r="M119" s="337"/>
      <c r="N119" s="337"/>
      <c r="O119" s="337"/>
      <c r="P119" s="338">
        <f>SUM(compras_mes9[[#This Row],[NETO GRAVADO]:[Otros / No Grav.]])</f>
        <v>23756.789099999998</v>
      </c>
      <c r="Q119" s="339" t="str">
        <f>IFERROR(IF(compras_mes9[[#This Row],[CUIT]]="","-",VLOOKUP(compras_mes9[[#This Row],[CUIT]],Lista_CUIT[#All],3,0)),"CUIT NO CARGADO")</f>
        <v>Gastos Varios</v>
      </c>
      <c r="R119" s="339">
        <f>IFERROR(IF(compras_mes9[[#This Row],[CUIT]]="","-",VLOOKUP(compras_mes9[[#This Row],[CUIT]],Lista_CUIT[#All],4,0)),"CUIT NO CARGADO")</f>
        <v>0</v>
      </c>
    </row>
    <row r="120" spans="2:18" ht="15" customHeight="1" x14ac:dyDescent="0.25">
      <c r="B120" s="341"/>
      <c r="C120" s="331"/>
      <c r="D120" s="332"/>
      <c r="E120" s="333"/>
      <c r="F120" s="334">
        <v>20230902780</v>
      </c>
      <c r="G120" s="335" t="str">
        <f>IFERROR(IF(compras_mes9[[#This Row],[CUIT]]="","-",VLOOKUP(compras_mes9[[#This Row],[CUIT]],Lista_CUIT[#All],2,0)),"CUIT NO CARGADO")</f>
        <v>SOSA CRISTIAN HERNAN</v>
      </c>
      <c r="H120" s="336">
        <v>30606</v>
      </c>
      <c r="I120" s="337">
        <f>IF(compras_mes9[[#This Row],[NETO GRAVADO]]="","",compras_mes9[[#This Row],[NETO GRAVADO]]*0.21)</f>
        <v>6427.2599999999993</v>
      </c>
      <c r="J120" s="337"/>
      <c r="K120" s="337"/>
      <c r="L120" s="337"/>
      <c r="M120" s="337"/>
      <c r="N120" s="337"/>
      <c r="O120" s="337"/>
      <c r="P120" s="338">
        <f>SUM(compras_mes9[[#This Row],[NETO GRAVADO]:[Otros / No Grav.]])</f>
        <v>37033.26</v>
      </c>
      <c r="Q120" s="339" t="str">
        <f>IFERROR(IF(compras_mes9[[#This Row],[CUIT]]="","-",VLOOKUP(compras_mes9[[#This Row],[CUIT]],Lista_CUIT[#All],3,0)),"CUIT NO CARGADO")</f>
        <v>Gastos Varios</v>
      </c>
      <c r="R120" s="339">
        <f>IFERROR(IF(compras_mes9[[#This Row],[CUIT]]="","-",VLOOKUP(compras_mes9[[#This Row],[CUIT]],Lista_CUIT[#All],4,0)),"CUIT NO CARGADO")</f>
        <v>0</v>
      </c>
    </row>
    <row r="121" spans="2:18" ht="15" customHeight="1" x14ac:dyDescent="0.25">
      <c r="B121" s="341"/>
      <c r="C121" s="331"/>
      <c r="D121" s="332"/>
      <c r="E121" s="333"/>
      <c r="F121" s="334">
        <v>20230902780</v>
      </c>
      <c r="G121" s="335" t="str">
        <f>IFERROR(IF(compras_mes9[[#This Row],[CUIT]]="","-",VLOOKUP(compras_mes9[[#This Row],[CUIT]],Lista_CUIT[#All],2,0)),"CUIT NO CARGADO")</f>
        <v>SOSA CRISTIAN HERNAN</v>
      </c>
      <c r="H121" s="336">
        <v>20477.38</v>
      </c>
      <c r="I121" s="337">
        <f>IF(compras_mes9[[#This Row],[NETO GRAVADO]]="","",compras_mes9[[#This Row],[NETO GRAVADO]]*0.21)</f>
        <v>4300.2498000000005</v>
      </c>
      <c r="J121" s="337"/>
      <c r="K121" s="337"/>
      <c r="L121" s="337"/>
      <c r="M121" s="337"/>
      <c r="N121" s="337"/>
      <c r="O121" s="337"/>
      <c r="P121" s="338">
        <f>SUM(compras_mes9[[#This Row],[NETO GRAVADO]:[Otros / No Grav.]])</f>
        <v>24777.629800000002</v>
      </c>
      <c r="Q121" s="339" t="str">
        <f>IFERROR(IF(compras_mes9[[#This Row],[CUIT]]="","-",VLOOKUP(compras_mes9[[#This Row],[CUIT]],Lista_CUIT[#All],3,0)),"CUIT NO CARGADO")</f>
        <v>Gastos Varios</v>
      </c>
      <c r="R121" s="339">
        <f>IFERROR(IF(compras_mes9[[#This Row],[CUIT]]="","-",VLOOKUP(compras_mes9[[#This Row],[CUIT]],Lista_CUIT[#All],4,0)),"CUIT NO CARGADO")</f>
        <v>0</v>
      </c>
    </row>
    <row r="122" spans="2:18" ht="15" customHeight="1" x14ac:dyDescent="0.25">
      <c r="B122" s="525"/>
      <c r="C122" s="331"/>
      <c r="D122" s="332"/>
      <c r="E122" s="333"/>
      <c r="F122" s="334"/>
      <c r="G122" s="335" t="str">
        <f>IFERROR(IF(compras_mes9[[#This Row],[CUIT]]="","-",VLOOKUP(compras_mes9[[#This Row],[CUIT]],Lista_CUIT[#All],2,0)),"CUIT NO CARGADO")</f>
        <v>-</v>
      </c>
      <c r="H122" s="336"/>
      <c r="I122" s="337" t="str">
        <f>IF(compras_mes9[[#This Row],[NETO GRAVADO]]="","",compras_mes9[[#This Row],[NETO GRAVADO]]*0.21)</f>
        <v/>
      </c>
      <c r="J122" s="337"/>
      <c r="K122" s="337"/>
      <c r="L122" s="337"/>
      <c r="M122" s="337"/>
      <c r="N122" s="337"/>
      <c r="O122" s="337"/>
      <c r="P122" s="338">
        <f>SUM(compras_mes9[[#This Row],[NETO GRAVADO]:[Otros / No Grav.]])</f>
        <v>0</v>
      </c>
      <c r="Q122" s="339" t="str">
        <f>IFERROR(IF(compras_mes9[[#This Row],[CUIT]]="","-",VLOOKUP(compras_mes9[[#This Row],[CUIT]],Lista_CUIT[#All],3,0)),"CUIT NO CARGADO")</f>
        <v>-</v>
      </c>
      <c r="R122" s="339" t="str">
        <f>IFERROR(IF(compras_mes9[[#This Row],[CUIT]]="","-",VLOOKUP(compras_mes9[[#This Row],[CUIT]],Lista_CUIT[#All],4,0)),"CUIT NO CARGADO")</f>
        <v>-</v>
      </c>
    </row>
    <row r="123" spans="2:18" ht="15" customHeight="1" x14ac:dyDescent="0.25">
      <c r="B123" s="525"/>
      <c r="C123" s="331"/>
      <c r="D123" s="332"/>
      <c r="E123" s="333"/>
      <c r="F123" s="334"/>
      <c r="G123" s="335" t="str">
        <f>IFERROR(IF(compras_mes9[[#This Row],[CUIT]]="","-",VLOOKUP(compras_mes9[[#This Row],[CUIT]],Lista_CUIT[#All],2,0)),"CUIT NO CARGADO")</f>
        <v>-</v>
      </c>
      <c r="H123" s="336"/>
      <c r="I123" s="337" t="str">
        <f>IF(compras_mes9[[#This Row],[NETO GRAVADO]]="","",compras_mes9[[#This Row],[NETO GRAVADO]]*0.21)</f>
        <v/>
      </c>
      <c r="J123" s="337"/>
      <c r="K123" s="337"/>
      <c r="L123" s="337"/>
      <c r="M123" s="337"/>
      <c r="N123" s="337"/>
      <c r="O123" s="337"/>
      <c r="P123" s="338">
        <f>SUM(compras_mes9[[#This Row],[NETO GRAVADO]:[Otros / No Grav.]])</f>
        <v>0</v>
      </c>
      <c r="Q123" s="339" t="str">
        <f>IFERROR(IF(compras_mes9[[#This Row],[CUIT]]="","-",VLOOKUP(compras_mes9[[#This Row],[CUIT]],Lista_CUIT[#All],3,0)),"CUIT NO CARGADO")</f>
        <v>-</v>
      </c>
      <c r="R123" s="339" t="str">
        <f>IFERROR(IF(compras_mes9[[#This Row],[CUIT]]="","-",VLOOKUP(compras_mes9[[#This Row],[CUIT]],Lista_CUIT[#All],4,0)),"CUIT NO CARGADO")</f>
        <v>-</v>
      </c>
    </row>
    <row r="124" spans="2:18" ht="15" customHeight="1" x14ac:dyDescent="0.25">
      <c r="B124" s="40"/>
      <c r="C124" s="41"/>
      <c r="D124" s="42"/>
      <c r="E124" s="43"/>
      <c r="F124" s="44"/>
      <c r="G124" s="45" t="str">
        <f>IFERROR(IF(compras_mes9[[#This Row],[CUIT]]="","-",VLOOKUP(compras_mes9[[#This Row],[CUIT]],Lista_CUIT[#All],2,0)),"CUIT NO CARGADO")</f>
        <v>-</v>
      </c>
      <c r="H124" s="46"/>
      <c r="I124" s="85" t="str">
        <f>IF(compras_mes9[[#This Row],[NETO GRAVADO]]="","",compras_mes9[[#This Row],[NETO GRAVADO]]*0.21)</f>
        <v/>
      </c>
      <c r="J124" s="85"/>
      <c r="K124" s="85"/>
      <c r="L124" s="85"/>
      <c r="M124" s="85"/>
      <c r="N124" s="85"/>
      <c r="O124" s="85"/>
      <c r="P124" s="48">
        <f>SUM(compras_mes9[[#This Row],[NETO GRAVADO]:[Otros / No Grav.]])</f>
        <v>0</v>
      </c>
      <c r="Q124" s="49" t="str">
        <f>IFERROR(IF(compras_mes9[[#This Row],[CUIT]]="","-",VLOOKUP(compras_mes9[[#This Row],[CUIT]],Lista_CUIT[#All],3,0)),"CUIT NO CARGADO")</f>
        <v>-</v>
      </c>
      <c r="R124" s="49" t="str">
        <f>IFERROR(IF(compras_mes9[[#This Row],[CUIT]]="","-",VLOOKUP(compras_mes9[[#This Row],[CUIT]],Lista_CUIT[#All],4,0)),"CUIT NO CARGADO")</f>
        <v>-</v>
      </c>
    </row>
    <row r="125" spans="2:18" ht="15" customHeight="1" x14ac:dyDescent="0.25">
      <c r="B125" s="40"/>
      <c r="C125" s="41"/>
      <c r="D125" s="42"/>
      <c r="E125" s="43"/>
      <c r="F125" s="44"/>
      <c r="G125" s="45" t="str">
        <f>IFERROR(IF(compras_mes9[[#This Row],[CUIT]]="","-",VLOOKUP(compras_mes9[[#This Row],[CUIT]],Lista_CUIT[#All],2,0)),"CUIT NO CARGADO")</f>
        <v>-</v>
      </c>
      <c r="H125" s="46"/>
      <c r="I125" s="85" t="str">
        <f>IF(compras_mes9[[#This Row],[NETO GRAVADO]]="","",compras_mes9[[#This Row],[NETO GRAVADO]]*0.21)</f>
        <v/>
      </c>
      <c r="J125" s="85"/>
      <c r="K125" s="85"/>
      <c r="L125" s="85"/>
      <c r="M125" s="85"/>
      <c r="N125" s="85"/>
      <c r="O125" s="85"/>
      <c r="P125" s="48">
        <f>SUM(compras_mes9[[#This Row],[NETO GRAVADO]:[Otros / No Grav.]])</f>
        <v>0</v>
      </c>
      <c r="Q125" s="49" t="str">
        <f>IFERROR(IF(compras_mes9[[#This Row],[CUIT]]="","-",VLOOKUP(compras_mes9[[#This Row],[CUIT]],Lista_CUIT[#All],3,0)),"CUIT NO CARGADO")</f>
        <v>-</v>
      </c>
      <c r="R125" s="49" t="str">
        <f>IFERROR(IF(compras_mes9[[#This Row],[CUIT]]="","-",VLOOKUP(compras_mes9[[#This Row],[CUIT]],Lista_CUIT[#All],4,0)),"CUIT NO CARGADO")</f>
        <v>-</v>
      </c>
    </row>
    <row r="126" spans="2:18" ht="15" customHeight="1" x14ac:dyDescent="0.25">
      <c r="B126" s="40"/>
      <c r="C126" s="41"/>
      <c r="D126" s="42"/>
      <c r="E126" s="43"/>
      <c r="F126" s="44"/>
      <c r="G126" s="45" t="str">
        <f>IFERROR(IF(compras_mes9[[#This Row],[CUIT]]="","-",VLOOKUP(compras_mes9[[#This Row],[CUIT]],Lista_CUIT[#All],2,0)),"CUIT NO CARGADO")</f>
        <v>-</v>
      </c>
      <c r="H126" s="46"/>
      <c r="I126" s="85" t="str">
        <f>IF(compras_mes9[[#This Row],[NETO GRAVADO]]="","",compras_mes9[[#This Row],[NETO GRAVADO]]*0.21)</f>
        <v/>
      </c>
      <c r="J126" s="85"/>
      <c r="K126" s="85"/>
      <c r="L126" s="85"/>
      <c r="M126" s="85"/>
      <c r="N126" s="85"/>
      <c r="O126" s="85"/>
      <c r="P126" s="48">
        <f>SUM(compras_mes9[[#This Row],[NETO GRAVADO]:[Otros / No Grav.]])</f>
        <v>0</v>
      </c>
      <c r="Q126" s="49" t="str">
        <f>IFERROR(IF(compras_mes9[[#This Row],[CUIT]]="","-",VLOOKUP(compras_mes9[[#This Row],[CUIT]],Lista_CUIT[#All],3,0)),"CUIT NO CARGADO")</f>
        <v>-</v>
      </c>
      <c r="R126" s="49" t="str">
        <f>IFERROR(IF(compras_mes9[[#This Row],[CUIT]]="","-",VLOOKUP(compras_mes9[[#This Row],[CUIT]],Lista_CUIT[#All],4,0)),"CUIT NO CARGADO")</f>
        <v>-</v>
      </c>
    </row>
    <row r="127" spans="2:18" ht="15" customHeight="1" x14ac:dyDescent="0.25">
      <c r="B127" s="40"/>
      <c r="C127" s="41"/>
      <c r="D127" s="42"/>
      <c r="E127" s="43"/>
      <c r="F127" s="44"/>
      <c r="G127" s="45" t="str">
        <f>IFERROR(IF(compras_mes9[[#This Row],[CUIT]]="","-",VLOOKUP(compras_mes9[[#This Row],[CUIT]],Lista_CUIT[#All],2,0)),"CUIT NO CARGADO")</f>
        <v>-</v>
      </c>
      <c r="H127" s="46"/>
      <c r="I127" s="85" t="str">
        <f>IF(compras_mes9[[#This Row],[NETO GRAVADO]]="","",compras_mes9[[#This Row],[NETO GRAVADO]]*0.21)</f>
        <v/>
      </c>
      <c r="J127" s="85"/>
      <c r="K127" s="85"/>
      <c r="L127" s="85"/>
      <c r="M127" s="85"/>
      <c r="N127" s="85"/>
      <c r="O127" s="85"/>
      <c r="P127" s="48">
        <f>SUM(compras_mes9[[#This Row],[NETO GRAVADO]:[Otros / No Grav.]])</f>
        <v>0</v>
      </c>
      <c r="Q127" s="49" t="str">
        <f>IFERROR(IF(compras_mes9[[#This Row],[CUIT]]="","-",VLOOKUP(compras_mes9[[#This Row],[CUIT]],Lista_CUIT[#All],3,0)),"CUIT NO CARGADO")</f>
        <v>-</v>
      </c>
      <c r="R127" s="49" t="str">
        <f>IFERROR(IF(compras_mes9[[#This Row],[CUIT]]="","-",VLOOKUP(compras_mes9[[#This Row],[CUIT]],Lista_CUIT[#All],4,0)),"CUIT NO CARGADO")</f>
        <v>-</v>
      </c>
    </row>
    <row r="128" spans="2:18" ht="15" customHeight="1" x14ac:dyDescent="0.25">
      <c r="B128" s="40"/>
      <c r="C128" s="41"/>
      <c r="D128" s="42"/>
      <c r="E128" s="43"/>
      <c r="F128" s="44"/>
      <c r="G128" s="45" t="str">
        <f>IFERROR(IF(compras_mes9[[#This Row],[CUIT]]="","-",VLOOKUP(compras_mes9[[#This Row],[CUIT]],Lista_CUIT[#All],2,0)),"CUIT NO CARGADO")</f>
        <v>-</v>
      </c>
      <c r="H128" s="46"/>
      <c r="I128" s="85" t="str">
        <f>IF(compras_mes9[[#This Row],[NETO GRAVADO]]="","",compras_mes9[[#This Row],[NETO GRAVADO]]*0.21)</f>
        <v/>
      </c>
      <c r="J128" s="85"/>
      <c r="K128" s="85"/>
      <c r="L128" s="85"/>
      <c r="M128" s="85"/>
      <c r="N128" s="85"/>
      <c r="O128" s="85"/>
      <c r="P128" s="48">
        <f>SUM(compras_mes9[[#This Row],[NETO GRAVADO]:[Otros / No Grav.]])</f>
        <v>0</v>
      </c>
      <c r="Q128" s="49" t="str">
        <f>IFERROR(IF(compras_mes9[[#This Row],[CUIT]]="","-",VLOOKUP(compras_mes9[[#This Row],[CUIT]],Lista_CUIT[#All],3,0)),"CUIT NO CARGADO")</f>
        <v>-</v>
      </c>
      <c r="R128" s="49" t="str">
        <f>IFERROR(IF(compras_mes9[[#This Row],[CUIT]]="","-",VLOOKUP(compras_mes9[[#This Row],[CUIT]],Lista_CUIT[#All],4,0)),"CUIT NO CARGADO")</f>
        <v>-</v>
      </c>
    </row>
    <row r="129" spans="2:18" ht="15" customHeight="1" x14ac:dyDescent="0.25">
      <c r="B129" s="40"/>
      <c r="C129" s="41"/>
      <c r="D129" s="42"/>
      <c r="E129" s="43"/>
      <c r="F129" s="44"/>
      <c r="G129" s="45" t="str">
        <f>IFERROR(IF(compras_mes9[[#This Row],[CUIT]]="","-",VLOOKUP(compras_mes9[[#This Row],[CUIT]],Lista_CUIT[#All],2,0)),"CUIT NO CARGADO")</f>
        <v>-</v>
      </c>
      <c r="H129" s="46"/>
      <c r="I129" s="85" t="str">
        <f>IF(compras_mes9[[#This Row],[NETO GRAVADO]]="","",compras_mes9[[#This Row],[NETO GRAVADO]]*0.21)</f>
        <v/>
      </c>
      <c r="J129" s="85"/>
      <c r="K129" s="85"/>
      <c r="L129" s="85"/>
      <c r="M129" s="85"/>
      <c r="N129" s="85"/>
      <c r="O129" s="85"/>
      <c r="P129" s="48">
        <f>SUM(compras_mes9[[#This Row],[NETO GRAVADO]:[Otros / No Grav.]])</f>
        <v>0</v>
      </c>
      <c r="Q129" s="49" t="str">
        <f>IFERROR(IF(compras_mes9[[#This Row],[CUIT]]="","-",VLOOKUP(compras_mes9[[#This Row],[CUIT]],Lista_CUIT[#All],3,0)),"CUIT NO CARGADO")</f>
        <v>-</v>
      </c>
      <c r="R129" s="49" t="str">
        <f>IFERROR(IF(compras_mes9[[#This Row],[CUIT]]="","-",VLOOKUP(compras_mes9[[#This Row],[CUIT]],Lista_CUIT[#All],4,0)),"CUIT NO CARGADO")</f>
        <v>-</v>
      </c>
    </row>
    <row r="130" spans="2:18" ht="15" customHeight="1" x14ac:dyDescent="0.25">
      <c r="B130" s="40"/>
      <c r="C130" s="41"/>
      <c r="D130" s="42"/>
      <c r="E130" s="43"/>
      <c r="F130" s="44"/>
      <c r="G130" s="45" t="str">
        <f>IFERROR(IF(compras_mes9[[#This Row],[CUIT]]="","-",VLOOKUP(compras_mes9[[#This Row],[CUIT]],Lista_CUIT[#All],2,0)),"CUIT NO CARGADO")</f>
        <v>-</v>
      </c>
      <c r="H130" s="46"/>
      <c r="I130" s="85" t="str">
        <f>IF(compras_mes9[[#This Row],[NETO GRAVADO]]="","",compras_mes9[[#This Row],[NETO GRAVADO]]*0.21)</f>
        <v/>
      </c>
      <c r="J130" s="85"/>
      <c r="K130" s="85"/>
      <c r="L130" s="85"/>
      <c r="M130" s="85"/>
      <c r="N130" s="85"/>
      <c r="O130" s="85"/>
      <c r="P130" s="48">
        <f>SUM(compras_mes9[[#This Row],[NETO GRAVADO]:[Otros / No Grav.]])</f>
        <v>0</v>
      </c>
      <c r="Q130" s="49" t="str">
        <f>IFERROR(IF(compras_mes9[[#This Row],[CUIT]]="","-",VLOOKUP(compras_mes9[[#This Row],[CUIT]],Lista_CUIT[#All],3,0)),"CUIT NO CARGADO")</f>
        <v>-</v>
      </c>
      <c r="R130" s="49" t="str">
        <f>IFERROR(IF(compras_mes9[[#This Row],[CUIT]]="","-",VLOOKUP(compras_mes9[[#This Row],[CUIT]],Lista_CUIT[#All],4,0)),"CUIT NO CARGADO")</f>
        <v>-</v>
      </c>
    </row>
    <row r="131" spans="2:18" x14ac:dyDescent="0.25">
      <c r="B131" s="341"/>
      <c r="C131" s="331"/>
      <c r="D131" s="332"/>
      <c r="E131" s="333"/>
      <c r="F131" s="334"/>
      <c r="G131" s="335" t="str">
        <f>IFERROR(IF(compras_mes9[[#This Row],[CUIT]]="","-",VLOOKUP(compras_mes9[[#This Row],[CUIT]],Lista_CUIT[#All],2,0)),"CUIT NO CARGADO")</f>
        <v>-</v>
      </c>
      <c r="H131" s="336"/>
      <c r="I131" s="337" t="str">
        <f>IF(compras_mes9[[#This Row],[NETO GRAVADO]]="","",compras_mes9[[#This Row],[NETO GRAVADO]]*0.21)</f>
        <v/>
      </c>
      <c r="J131" s="337"/>
      <c r="K131" s="337"/>
      <c r="L131" s="337"/>
      <c r="M131" s="337"/>
      <c r="N131" s="337"/>
      <c r="O131" s="337"/>
      <c r="P131" s="338">
        <f>SUM(compras_mes9[[#This Row],[NETO GRAVADO]:[Otros / No Grav.]])</f>
        <v>0</v>
      </c>
      <c r="Q131" s="339" t="str">
        <f>IFERROR(IF(compras_mes9[[#This Row],[CUIT]]="","-",VLOOKUP(compras_mes9[[#This Row],[CUIT]],Lista_CUIT[#All],3,0)),"CUIT NO CARGADO")</f>
        <v>-</v>
      </c>
      <c r="R131" s="339" t="str">
        <f>IFERROR(IF(compras_mes9[[#This Row],[CUIT]]="","-",VLOOKUP(compras_mes9[[#This Row],[CUIT]],Lista_CUIT[#All],4,0)),"CUIT NO CARGADO")</f>
        <v>-</v>
      </c>
    </row>
    <row r="132" spans="2:18" x14ac:dyDescent="0.25">
      <c r="B132" s="341"/>
      <c r="C132" s="331"/>
      <c r="D132" s="332"/>
      <c r="E132" s="333"/>
      <c r="F132" s="334"/>
      <c r="G132" s="335" t="str">
        <f>IFERROR(IF(compras_mes9[[#This Row],[CUIT]]="","-",VLOOKUP(compras_mes9[[#This Row],[CUIT]],Lista_CUIT[#All],2,0)),"CUIT NO CARGADO")</f>
        <v>-</v>
      </c>
      <c r="H132" s="336"/>
      <c r="I132" s="337" t="str">
        <f>IF(compras_mes9[[#This Row],[NETO GRAVADO]]="","",compras_mes9[[#This Row],[NETO GRAVADO]]*0.21)</f>
        <v/>
      </c>
      <c r="J132" s="337"/>
      <c r="K132" s="337"/>
      <c r="L132" s="337"/>
      <c r="M132" s="337"/>
      <c r="N132" s="337"/>
      <c r="O132" s="337"/>
      <c r="P132" s="338">
        <f>SUM(compras_mes9[[#This Row],[NETO GRAVADO]:[Otros / No Grav.]])</f>
        <v>0</v>
      </c>
      <c r="Q132" s="339" t="str">
        <f>IFERROR(IF(compras_mes9[[#This Row],[CUIT]]="","-",VLOOKUP(compras_mes9[[#This Row],[CUIT]],Lista_CUIT[#All],3,0)),"CUIT NO CARGADO")</f>
        <v>-</v>
      </c>
      <c r="R132" s="339" t="str">
        <f>IFERROR(IF(compras_mes9[[#This Row],[CUIT]]="","-",VLOOKUP(compras_mes9[[#This Row],[CUIT]],Lista_CUIT[#All],4,0)),"CUIT NO CARGADO")</f>
        <v>-</v>
      </c>
    </row>
    <row r="133" spans="2:18" ht="15" customHeight="1" x14ac:dyDescent="0.25">
      <c r="B133" s="95" t="s">
        <v>110</v>
      </c>
      <c r="C133" s="95"/>
      <c r="D133" s="95"/>
      <c r="E133" s="95"/>
      <c r="F133" s="95"/>
      <c r="G133" s="96"/>
      <c r="H133" s="97">
        <f>SUBTOTAL(109,compras_mes9[NETO GRAVADO])</f>
        <v>55018867.049999997</v>
      </c>
      <c r="I133" s="97">
        <f>SUBTOTAL(109,compras_mes9[IVA 21 %])</f>
        <v>11433748.899299998</v>
      </c>
      <c r="J133" s="97">
        <f>SUBTOTAL(109,compras_mes9[IVA 27%])</f>
        <v>39694.147200000007</v>
      </c>
      <c r="K133" s="97">
        <f>SUBTOTAL(109,compras_mes9[IVA 10,5%])</f>
        <v>44669.977799999993</v>
      </c>
      <c r="L133" s="97">
        <f>SUBTOTAL(109,compras_mes9[PERC. IVA])</f>
        <v>30870.739999999994</v>
      </c>
      <c r="M133" s="97">
        <f>SUBTOTAL(109,compras_mes9[PERC IIBB 
BS AS])</f>
        <v>0</v>
      </c>
      <c r="N133" s="97">
        <f>SUBTOTAL(109,compras_mes9[PERC. IIBB CABA])</f>
        <v>38701.650000000009</v>
      </c>
      <c r="O133" s="97">
        <f>SUBTOTAL(109,compras_mes9[Otros / No Grav.])</f>
        <v>117050</v>
      </c>
      <c r="P133" s="97">
        <f>SUBTOTAL(109,compras_mes9[TOTAL])</f>
        <v>66723602.464300007</v>
      </c>
      <c r="Q133" s="95"/>
      <c r="R133" s="95"/>
    </row>
    <row r="134" spans="2:18" ht="15" customHeight="1" x14ac:dyDescent="0.25">
      <c r="B134" s="40"/>
      <c r="C134" s="41"/>
      <c r="D134" s="42"/>
      <c r="E134" s="43"/>
      <c r="F134" s="44"/>
      <c r="G134" s="45"/>
      <c r="H134" s="46"/>
      <c r="I134" s="47"/>
      <c r="J134" s="47"/>
      <c r="K134" s="47"/>
      <c r="L134" s="47"/>
      <c r="M134" s="47"/>
      <c r="N134" s="47"/>
      <c r="O134" s="47"/>
      <c r="P134" s="48"/>
      <c r="Q134" s="49"/>
      <c r="R134" s="49"/>
    </row>
    <row r="135" spans="2:18" ht="15" customHeight="1" x14ac:dyDescent="0.25">
      <c r="B135" s="40"/>
      <c r="C135" s="41"/>
      <c r="D135" s="42"/>
      <c r="E135" s="43"/>
      <c r="F135" s="44"/>
      <c r="G135" s="45"/>
      <c r="H135" s="46"/>
      <c r="I135" s="47"/>
      <c r="J135" s="47"/>
      <c r="K135" s="47"/>
      <c r="L135" s="47"/>
      <c r="M135" s="47"/>
      <c r="N135" s="47"/>
      <c r="O135" s="47"/>
      <c r="P135" s="48"/>
      <c r="Q135" s="49"/>
      <c r="R135" s="49"/>
    </row>
    <row r="136" spans="2:18" ht="15" customHeight="1" x14ac:dyDescent="0.25">
      <c r="B136" s="40"/>
      <c r="C136" s="41"/>
      <c r="D136" s="42"/>
      <c r="E136" s="43"/>
      <c r="F136" s="44"/>
      <c r="G136" s="45"/>
      <c r="H136" s="46"/>
      <c r="I136" s="47"/>
      <c r="J136" s="47"/>
      <c r="K136" s="47"/>
      <c r="L136" s="47"/>
      <c r="M136" s="47"/>
      <c r="N136" s="47"/>
      <c r="O136" s="47"/>
      <c r="P136" s="48"/>
      <c r="Q136" s="49"/>
      <c r="R136" s="49"/>
    </row>
    <row r="137" spans="2:18" ht="15" customHeight="1" x14ac:dyDescent="0.25">
      <c r="B137" s="40"/>
      <c r="C137" s="41"/>
      <c r="D137" s="42"/>
      <c r="E137" s="43"/>
      <c r="F137" s="44"/>
      <c r="G137" s="45"/>
      <c r="H137" s="46"/>
      <c r="I137" s="47"/>
      <c r="J137" s="47"/>
      <c r="K137" s="47"/>
      <c r="L137" s="47"/>
    </row>
    <row r="138" spans="2:18" ht="15" customHeight="1" x14ac:dyDescent="0.25">
      <c r="D138" s="618" t="s">
        <v>15</v>
      </c>
      <c r="E138" s="618"/>
      <c r="F138" s="618"/>
      <c r="G138" s="618"/>
      <c r="H138" s="618"/>
      <c r="I138" s="618"/>
      <c r="J138" s="618"/>
      <c r="K138" s="618"/>
      <c r="L138" s="618"/>
      <c r="M138" s="618"/>
    </row>
    <row r="139" spans="2:18" ht="15" customHeight="1" x14ac:dyDescent="0.25">
      <c r="D139" s="73" t="s">
        <v>0</v>
      </c>
      <c r="E139" s="74" t="s">
        <v>26</v>
      </c>
      <c r="F139" s="74" t="s">
        <v>16</v>
      </c>
      <c r="G139" s="74" t="s">
        <v>5</v>
      </c>
      <c r="H139" s="74" t="s">
        <v>17</v>
      </c>
      <c r="I139" s="74" t="s">
        <v>7</v>
      </c>
      <c r="J139" s="75" t="s">
        <v>18</v>
      </c>
      <c r="K139" s="75" t="s">
        <v>19</v>
      </c>
      <c r="L139" s="76" t="s">
        <v>20</v>
      </c>
      <c r="M139" s="257" t="s">
        <v>10</v>
      </c>
    </row>
    <row r="140" spans="2:18" ht="15" customHeight="1" x14ac:dyDescent="0.25">
      <c r="D140" s="50"/>
      <c r="E140" s="251"/>
      <c r="F140" s="80" t="s">
        <v>2391</v>
      </c>
      <c r="G140" s="81"/>
      <c r="H140" s="81">
        <f>extracto_banco_mes9[[#This Row],[NETO]]*0.21</f>
        <v>0</v>
      </c>
      <c r="I140" s="81"/>
      <c r="J140" s="81"/>
      <c r="K140" s="81"/>
      <c r="L140" s="81"/>
      <c r="M140" s="258">
        <f>SUM(extracto_banco_mes9[[#This Row],[NETO]:[PERC IIBB]])</f>
        <v>0</v>
      </c>
    </row>
    <row r="141" spans="2:18" ht="15" customHeight="1" x14ac:dyDescent="0.25">
      <c r="D141" s="50"/>
      <c r="E141" s="251"/>
      <c r="F141" s="80" t="s">
        <v>2392</v>
      </c>
      <c r="G141" s="81"/>
      <c r="H141" s="81">
        <f>extracto_banco_mes9[[#This Row],[NETO]]*0.21</f>
        <v>0</v>
      </c>
      <c r="I141" s="81"/>
      <c r="J141" s="81"/>
      <c r="K141" s="81"/>
      <c r="L141" s="81"/>
      <c r="M141" s="258">
        <f>SUM(extracto_banco_mes9[[#This Row],[NETO]:[PERC IIBB]])</f>
        <v>0</v>
      </c>
    </row>
    <row r="142" spans="2:18" x14ac:dyDescent="0.25">
      <c r="D142" s="252"/>
      <c r="E142" s="251"/>
      <c r="F142" s="80"/>
      <c r="G142" s="254"/>
      <c r="H142" s="81">
        <f>extracto_banco_mes9[[#This Row],[NETO]]*0.21</f>
        <v>0</v>
      </c>
      <c r="I142" s="254"/>
      <c r="J142" s="254"/>
      <c r="K142" s="254"/>
      <c r="L142" s="254"/>
      <c r="M142" s="258">
        <f>SUM(extracto_banco_mes9[[#This Row],[NETO]:[PERC IIBB]])</f>
        <v>0</v>
      </c>
    </row>
    <row r="143" spans="2:18" x14ac:dyDescent="0.25">
      <c r="D143" s="252"/>
      <c r="E143" s="251"/>
      <c r="F143" s="80"/>
      <c r="G143" s="254"/>
      <c r="H143" s="81">
        <f>extracto_banco_mes9[[#This Row],[NETO]]*0.21</f>
        <v>0</v>
      </c>
      <c r="I143" s="254"/>
      <c r="J143" s="254"/>
      <c r="K143" s="254"/>
      <c r="L143" s="254"/>
      <c r="M143" s="258">
        <f>SUM(extracto_banco_mes9[[#This Row],[NETO]:[PERC IIBB]])</f>
        <v>0</v>
      </c>
      <c r="N143" s="255"/>
      <c r="O143" s="255"/>
    </row>
    <row r="144" spans="2:18" x14ac:dyDescent="0.25">
      <c r="D144" s="252"/>
      <c r="E144" s="251"/>
      <c r="F144" s="80"/>
      <c r="G144" s="254"/>
      <c r="H144" s="81">
        <f>extracto_banco_mes9[[#This Row],[NETO]]*0.21</f>
        <v>0</v>
      </c>
      <c r="I144" s="254"/>
      <c r="J144" s="254"/>
      <c r="K144" s="254"/>
      <c r="L144" s="254"/>
      <c r="M144" s="258">
        <f>SUM(extracto_banco_mes9[[#This Row],[NETO]:[PERC IIBB]])</f>
        <v>0</v>
      </c>
    </row>
    <row r="145" spans="4:14" x14ac:dyDescent="0.25">
      <c r="D145" s="252"/>
      <c r="E145" s="251"/>
      <c r="F145" s="80"/>
      <c r="G145" s="254"/>
      <c r="H145" s="81">
        <f>extracto_banco_mes9[[#This Row],[NETO]]*0.21</f>
        <v>0</v>
      </c>
      <c r="I145" s="254"/>
      <c r="J145" s="254"/>
      <c r="K145" s="254"/>
      <c r="L145" s="254"/>
      <c r="M145" s="258">
        <f>SUM(extracto_banco_mes9[[#This Row],[NETO]:[PERC IIBB]])</f>
        <v>0</v>
      </c>
    </row>
    <row r="146" spans="4:14" x14ac:dyDescent="0.25">
      <c r="D146" s="252"/>
      <c r="E146" s="251"/>
      <c r="F146" s="80"/>
      <c r="G146" s="254"/>
      <c r="H146" s="81">
        <f>extracto_banco_mes9[[#This Row],[NETO]]*0.21</f>
        <v>0</v>
      </c>
      <c r="I146" s="254"/>
      <c r="J146" s="254"/>
      <c r="K146" s="254"/>
      <c r="L146" s="254"/>
      <c r="M146" s="258">
        <f>SUM(extracto_banco_mes9[[#This Row],[NETO]:[PERC IIBB]])</f>
        <v>0</v>
      </c>
    </row>
    <row r="147" spans="4:14" x14ac:dyDescent="0.25">
      <c r="D147" s="252"/>
      <c r="E147" s="251"/>
      <c r="F147" s="80"/>
      <c r="G147" s="254"/>
      <c r="H147" s="81">
        <f>extracto_banco_mes9[[#This Row],[NETO]]*0.21</f>
        <v>0</v>
      </c>
      <c r="I147" s="254"/>
      <c r="J147" s="254"/>
      <c r="K147" s="254"/>
      <c r="L147" s="254"/>
      <c r="M147" s="258">
        <f>SUM(extracto_banco_mes9[[#This Row],[NETO]:[PERC IIBB]])</f>
        <v>0</v>
      </c>
    </row>
    <row r="148" spans="4:14" x14ac:dyDescent="0.25">
      <c r="D148" s="252"/>
      <c r="E148" s="251"/>
      <c r="F148" s="80"/>
      <c r="G148" s="254"/>
      <c r="H148" s="81">
        <f>extracto_banco_mes9[[#This Row],[NETO]]*0.21</f>
        <v>0</v>
      </c>
      <c r="I148" s="254"/>
      <c r="J148" s="254"/>
      <c r="K148" s="254"/>
      <c r="L148" s="254"/>
      <c r="M148" s="258">
        <f>SUM(extracto_banco_mes9[[#This Row],[NETO]:[PERC IIBB]])</f>
        <v>0</v>
      </c>
    </row>
    <row r="149" spans="4:14" x14ac:dyDescent="0.25">
      <c r="D149" s="252"/>
      <c r="E149" s="251"/>
      <c r="F149" s="253"/>
      <c r="G149" s="254"/>
      <c r="H149" s="81">
        <f>extracto_banco_mes9[[#This Row],[NETO]]*0.21</f>
        <v>0</v>
      </c>
      <c r="I149" s="254"/>
      <c r="J149" s="254"/>
      <c r="K149" s="254"/>
      <c r="L149" s="254"/>
      <c r="M149" s="258">
        <f>SUM(extracto_banco_mes9[[#This Row],[NETO]:[PERC IIBB]])</f>
        <v>0</v>
      </c>
    </row>
    <row r="150" spans="4:14" x14ac:dyDescent="0.25">
      <c r="D150" s="252"/>
      <c r="E150" s="251"/>
      <c r="F150" s="80"/>
      <c r="G150" s="254"/>
      <c r="H150" s="81">
        <f>extracto_banco_mes9[[#This Row],[NETO]]*0.21</f>
        <v>0</v>
      </c>
      <c r="I150" s="254"/>
      <c r="J150" s="254"/>
      <c r="K150" s="254"/>
      <c r="L150" s="254"/>
      <c r="M150" s="258">
        <f>SUM(extracto_banco_mes9[[#This Row],[NETO]:[PERC IIBB]])</f>
        <v>0</v>
      </c>
    </row>
    <row r="151" spans="4:14" x14ac:dyDescent="0.25">
      <c r="D151" s="252"/>
      <c r="E151" s="251"/>
      <c r="F151" s="80"/>
      <c r="G151" s="254"/>
      <c r="H151" s="81">
        <f>extracto_banco_mes9[[#This Row],[NETO]]*0.21</f>
        <v>0</v>
      </c>
      <c r="I151" s="254"/>
      <c r="J151" s="254"/>
      <c r="K151" s="254"/>
      <c r="L151" s="254"/>
      <c r="M151" s="258">
        <f>SUM(extracto_banco_mes9[[#This Row],[NETO]:[PERC IIBB]])</f>
        <v>0</v>
      </c>
    </row>
    <row r="152" spans="4:14" x14ac:dyDescent="0.25">
      <c r="D152" s="252"/>
      <c r="E152" s="251"/>
      <c r="F152" s="80"/>
      <c r="G152" s="254"/>
      <c r="H152" s="81">
        <f>extracto_banco_mes9[[#This Row],[NETO]]*0.21</f>
        <v>0</v>
      </c>
      <c r="I152" s="254"/>
      <c r="J152" s="254"/>
      <c r="K152" s="254"/>
      <c r="L152" s="254"/>
      <c r="M152" s="258">
        <f>SUM(extracto_banco_mes9[[#This Row],[NETO]:[PERC IIBB]])</f>
        <v>0</v>
      </c>
    </row>
    <row r="153" spans="4:14" x14ac:dyDescent="0.25">
      <c r="D153" s="252"/>
      <c r="E153" s="251"/>
      <c r="F153" s="80"/>
      <c r="G153" s="254"/>
      <c r="H153" s="81">
        <f>extracto_banco_mes9[[#This Row],[NETO]]*0.21</f>
        <v>0</v>
      </c>
      <c r="I153" s="254"/>
      <c r="J153" s="254"/>
      <c r="K153" s="254"/>
      <c r="L153" s="254"/>
      <c r="M153" s="258">
        <f>SUM(extracto_banco_mes9[[#This Row],[NETO]:[PERC IIBB]])</f>
        <v>0</v>
      </c>
      <c r="N153" s="255"/>
    </row>
    <row r="154" spans="4:14" x14ac:dyDescent="0.25">
      <c r="D154" s="252"/>
      <c r="E154" s="251"/>
      <c r="F154" s="80"/>
      <c r="G154" s="254"/>
      <c r="H154" s="81">
        <f>extracto_banco_mes9[[#This Row],[NETO]]*0.21</f>
        <v>0</v>
      </c>
      <c r="I154" s="254"/>
      <c r="J154" s="254"/>
      <c r="K154" s="254"/>
      <c r="L154" s="254"/>
      <c r="M154" s="258">
        <f>SUM(extracto_banco_mes9[[#This Row],[NETO]:[PERC IIBB]])</f>
        <v>0</v>
      </c>
    </row>
    <row r="155" spans="4:14" x14ac:dyDescent="0.25">
      <c r="D155" s="252"/>
      <c r="E155" s="251"/>
      <c r="F155" s="80"/>
      <c r="G155" s="254"/>
      <c r="H155" s="254">
        <f>extracto_banco_mes9[[#This Row],[NETO]]*0.21</f>
        <v>0</v>
      </c>
      <c r="I155" s="254"/>
      <c r="J155" s="254"/>
      <c r="K155" s="254"/>
      <c r="L155" s="254"/>
      <c r="M155" s="258">
        <f>SUM(extracto_banco_mes9[[#This Row],[NETO]:[PERC IIBB]])</f>
        <v>0</v>
      </c>
    </row>
    <row r="156" spans="4:14" x14ac:dyDescent="0.25">
      <c r="D156" s="82" t="s">
        <v>110</v>
      </c>
      <c r="E156" s="80"/>
      <c r="F156" s="80"/>
      <c r="G156" s="83">
        <f>SUBTOTAL(109,extracto_banco_mes9[NETO])</f>
        <v>0</v>
      </c>
      <c r="H156" s="83">
        <f>SUBTOTAL(109,extracto_banco_mes9[IVA 21%])</f>
        <v>0</v>
      </c>
      <c r="I156" s="83">
        <f>SUBTOTAL(109,extracto_banco_mes9[IVA 10,5%])</f>
        <v>0</v>
      </c>
      <c r="J156" s="83">
        <f>SUBTOTAL(109,extracto_banco_mes9[RET IIBB CABA])</f>
        <v>0</v>
      </c>
      <c r="K156" s="83">
        <f>SUBTOTAL(109,extracto_banco_mes9[PERC IVA])</f>
        <v>0</v>
      </c>
      <c r="L156" s="83">
        <f>SUBTOTAL(109,extracto_banco_mes9[PERC IIBB])</f>
        <v>0</v>
      </c>
      <c r="M156" s="256"/>
    </row>
    <row r="160" spans="4:14" ht="21" x14ac:dyDescent="0.25">
      <c r="D160" s="618" t="s">
        <v>25</v>
      </c>
      <c r="E160" s="618"/>
      <c r="F160" s="618"/>
      <c r="G160" s="618"/>
      <c r="H160" s="618"/>
      <c r="I160" s="618"/>
      <c r="J160" s="618"/>
      <c r="K160" s="618"/>
    </row>
    <row r="161" spans="2:18" x14ac:dyDescent="0.25">
      <c r="D161" s="51" t="s">
        <v>0</v>
      </c>
      <c r="E161" s="51" t="s">
        <v>2</v>
      </c>
      <c r="F161" s="51" t="s">
        <v>74</v>
      </c>
      <c r="G161" s="51" t="s">
        <v>3</v>
      </c>
      <c r="H161" s="51" t="s">
        <v>4</v>
      </c>
      <c r="I161" s="52" t="s">
        <v>10</v>
      </c>
      <c r="J161" s="51" t="s">
        <v>13</v>
      </c>
      <c r="K161" s="51" t="s">
        <v>38</v>
      </c>
    </row>
    <row r="162" spans="2:18" x14ac:dyDescent="0.25">
      <c r="D162" s="50"/>
      <c r="E162" s="42"/>
      <c r="F162" s="43"/>
      <c r="G162" s="44">
        <v>27443612713</v>
      </c>
      <c r="H162" s="53" t="str">
        <f>IFERROR(IF(factura_c_mes9[[#This Row],[CUIT]]="","-",VLOOKUP(factura_c_mes9[[#This Row],[CUIT]],Lista_CUIT[#All],2,0)),"CUIT NO CARGADO")</f>
        <v>MIGOYA MORIONDO SOFIA</v>
      </c>
      <c r="I162" s="81">
        <v>870000</v>
      </c>
      <c r="J162" s="54" t="str">
        <f>IFERROR(IF(factura_c_mes9[[#This Row],[CUIT]]="","-",VLOOKUP(factura_c_mes9[[#This Row],[CUIT]],Lista_CUIT[#All],3,0)),"CUIT NO CARGADO")</f>
        <v>GTOS ADMINISTRATIVOS</v>
      </c>
      <c r="K162" s="54">
        <f>IFERROR(IF(factura_c_mes9[[#This Row],[CUIT]]="","-",VLOOKUP(factura_c_mes9[[#This Row],[CUIT]],Lista_CUIT[#All],4,0)),"CUIT NO CARGADO")</f>
        <v>0</v>
      </c>
    </row>
    <row r="163" spans="2:18" x14ac:dyDescent="0.25">
      <c r="D163" s="50"/>
      <c r="E163" s="42"/>
      <c r="F163" s="43"/>
      <c r="G163" s="44">
        <v>20311855671</v>
      </c>
      <c r="H163" s="53" t="str">
        <f>IFERROR(IF(factura_c_mes9[[#This Row],[CUIT]]="","-",VLOOKUP(factura_c_mes9[[#This Row],[CUIT]],Lista_CUIT[#All],2,0)),"CUIT NO CARGADO")</f>
        <v>GUASCH HECTOR RAUL</v>
      </c>
      <c r="I163" s="81">
        <v>290000</v>
      </c>
      <c r="J163" s="54" t="str">
        <f>IFERROR(IF(factura_c_mes9[[#This Row],[CUIT]]="","-",VLOOKUP(factura_c_mes9[[#This Row],[CUIT]],Lista_CUIT[#All],3,0)),"CUIT NO CARGADO")</f>
        <v>Insumos</v>
      </c>
      <c r="K163" s="54">
        <f>IFERROR(IF(factura_c_mes9[[#This Row],[CUIT]]="","-",VLOOKUP(factura_c_mes9[[#This Row],[CUIT]],Lista_CUIT[#All],4,0)),"CUIT NO CARGADO")</f>
        <v>0</v>
      </c>
    </row>
    <row r="164" spans="2:18" x14ac:dyDescent="0.25">
      <c r="D164" s="50"/>
      <c r="E164" s="42"/>
      <c r="F164" s="43"/>
      <c r="G164" s="44">
        <v>20311855671</v>
      </c>
      <c r="H164" s="53" t="str">
        <f>IFERROR(IF(factura_c_mes9[[#This Row],[CUIT]]="","-",VLOOKUP(factura_c_mes9[[#This Row],[CUIT]],Lista_CUIT[#All],2,0)),"CUIT NO CARGADO")</f>
        <v>GUASCH HECTOR RAUL</v>
      </c>
      <c r="I164" s="81">
        <v>280500</v>
      </c>
      <c r="J164" s="54" t="str">
        <f>IFERROR(IF(factura_c_mes9[[#This Row],[CUIT]]="","-",VLOOKUP(factura_c_mes9[[#This Row],[CUIT]],Lista_CUIT[#All],3,0)),"CUIT NO CARGADO")</f>
        <v>Insumos</v>
      </c>
      <c r="K164" s="54">
        <f>IFERROR(IF(factura_c_mes9[[#This Row],[CUIT]]="","-",VLOOKUP(factura_c_mes9[[#This Row],[CUIT]],Lista_CUIT[#All],4,0)),"CUIT NO CARGADO")</f>
        <v>0</v>
      </c>
    </row>
    <row r="165" spans="2:18" x14ac:dyDescent="0.25">
      <c r="D165" s="50"/>
      <c r="E165" s="42"/>
      <c r="F165" s="43"/>
      <c r="G165" s="44">
        <v>20299835260</v>
      </c>
      <c r="H165" s="53" t="str">
        <f>IFERROR(IF(factura_c_mes9[[#This Row],[CUIT]]="","-",VLOOKUP(factura_c_mes9[[#This Row],[CUIT]],Lista_CUIT[#All],2,0)),"CUIT NO CARGADO")</f>
        <v>MALGAREJO NICOLAS EMILIO</v>
      </c>
      <c r="I165" s="81">
        <v>1200000</v>
      </c>
      <c r="J165" s="54" t="str">
        <f>IFERROR(IF(factura_c_mes9[[#This Row],[CUIT]]="","-",VLOOKUP(factura_c_mes9[[#This Row],[CUIT]],Lista_CUIT[#All],3,0)),"CUIT NO CARGADO")</f>
        <v>INSUMO</v>
      </c>
      <c r="K165" s="54">
        <f>IFERROR(IF(factura_c_mes9[[#This Row],[CUIT]]="","-",VLOOKUP(factura_c_mes9[[#This Row],[CUIT]],Lista_CUIT[#All],4,0)),"CUIT NO CARGADO")</f>
        <v>0</v>
      </c>
    </row>
    <row r="166" spans="2:18" x14ac:dyDescent="0.25">
      <c r="D166" s="50"/>
      <c r="E166" s="42"/>
      <c r="F166" s="43"/>
      <c r="G166" s="44">
        <v>27338342840</v>
      </c>
      <c r="H166" s="53" t="str">
        <f>IFERROR(IF(factura_c_mes9[[#This Row],[CUIT]]="","-",VLOOKUP(factura_c_mes9[[#This Row],[CUIT]],Lista_CUIT[#All],2,0)),"CUIT NO CARGADO")</f>
        <v>CANCINO PAMELA RITA</v>
      </c>
      <c r="I166" s="81">
        <v>540000</v>
      </c>
      <c r="J166" s="54" t="str">
        <f>IFERROR(IF(factura_c_mes9[[#This Row],[CUIT]]="","-",VLOOKUP(factura_c_mes9[[#This Row],[CUIT]],Lista_CUIT[#All],3,0)),"CUIT NO CARGADO")</f>
        <v>PROVEEDOR</v>
      </c>
      <c r="K166" s="54">
        <f>IFERROR(IF(factura_c_mes9[[#This Row],[CUIT]]="","-",VLOOKUP(factura_c_mes9[[#This Row],[CUIT]],Lista_CUIT[#All],4,0)),"CUIT NO CARGADO")</f>
        <v>0</v>
      </c>
    </row>
    <row r="167" spans="2:18" x14ac:dyDescent="0.25">
      <c r="D167" s="50"/>
      <c r="E167" s="42"/>
      <c r="F167" s="43"/>
      <c r="G167" s="44">
        <v>27338342840</v>
      </c>
      <c r="H167" s="53" t="str">
        <f>IFERROR(IF(factura_c_mes9[[#This Row],[CUIT]]="","-",VLOOKUP(factura_c_mes9[[#This Row],[CUIT]],Lista_CUIT[#All],2,0)),"CUIT NO CARGADO")</f>
        <v>CANCINO PAMELA RITA</v>
      </c>
      <c r="I167" s="81">
        <v>245000</v>
      </c>
      <c r="J167" s="54" t="str">
        <f>IFERROR(IF(factura_c_mes9[[#This Row],[CUIT]]="","-",VLOOKUP(factura_c_mes9[[#This Row],[CUIT]],Lista_CUIT[#All],3,0)),"CUIT NO CARGADO")</f>
        <v>PROVEEDOR</v>
      </c>
      <c r="K167" s="54">
        <f>IFERROR(IF(factura_c_mes9[[#This Row],[CUIT]]="","-",VLOOKUP(factura_c_mes9[[#This Row],[CUIT]],Lista_CUIT[#All],4,0)),"CUIT NO CARGADO")</f>
        <v>0</v>
      </c>
    </row>
    <row r="168" spans="2:18" x14ac:dyDescent="0.25">
      <c r="D168" s="50"/>
      <c r="E168" s="42"/>
      <c r="F168" s="43"/>
      <c r="G168" s="44">
        <v>27338342840</v>
      </c>
      <c r="H168" s="53" t="str">
        <f>IFERROR(IF(factura_c_mes9[[#This Row],[CUIT]]="","-",VLOOKUP(factura_c_mes9[[#This Row],[CUIT]],Lista_CUIT[#All],2,0)),"CUIT NO CARGADO")</f>
        <v>CANCINO PAMELA RITA</v>
      </c>
      <c r="I168" s="81">
        <v>480000</v>
      </c>
      <c r="J168" s="54" t="str">
        <f>IFERROR(IF(factura_c_mes9[[#This Row],[CUIT]]="","-",VLOOKUP(factura_c_mes9[[#This Row],[CUIT]],Lista_CUIT[#All],3,0)),"CUIT NO CARGADO")</f>
        <v>PROVEEDOR</v>
      </c>
      <c r="K168" s="54">
        <f>IFERROR(IF(factura_c_mes9[[#This Row],[CUIT]]="","-",VLOOKUP(factura_c_mes9[[#This Row],[CUIT]],Lista_CUIT[#All],4,0)),"CUIT NO CARGADO")</f>
        <v>0</v>
      </c>
    </row>
    <row r="169" spans="2:18" x14ac:dyDescent="0.25">
      <c r="D169" s="50"/>
      <c r="E169" s="42"/>
      <c r="F169" s="43"/>
      <c r="G169" s="44">
        <v>27338342840</v>
      </c>
      <c r="H169" s="53" t="str">
        <f>IFERROR(IF(factura_c_mes9[[#This Row],[CUIT]]="","-",VLOOKUP(factura_c_mes9[[#This Row],[CUIT]],Lista_CUIT[#All],2,0)),"CUIT NO CARGADO")</f>
        <v>CANCINO PAMELA RITA</v>
      </c>
      <c r="I169" s="81">
        <v>430000</v>
      </c>
      <c r="J169" s="54" t="str">
        <f>IFERROR(IF(factura_c_mes9[[#This Row],[CUIT]]="","-",VLOOKUP(factura_c_mes9[[#This Row],[CUIT]],Lista_CUIT[#All],3,0)),"CUIT NO CARGADO")</f>
        <v>PROVEEDOR</v>
      </c>
      <c r="K169" s="54">
        <f>IFERROR(IF(factura_c_mes9[[#This Row],[CUIT]]="","-",VLOOKUP(factura_c_mes9[[#This Row],[CUIT]],Lista_CUIT[#All],4,0)),"CUIT NO CARGADO")</f>
        <v>0</v>
      </c>
    </row>
    <row r="170" spans="2:18" x14ac:dyDescent="0.25">
      <c r="D170" s="50"/>
      <c r="E170" s="42"/>
      <c r="F170" s="43"/>
      <c r="G170" s="44">
        <v>27338342840</v>
      </c>
      <c r="H170" s="53" t="str">
        <f>IFERROR(IF(factura_c_mes9[[#This Row],[CUIT]]="","-",VLOOKUP(factura_c_mes9[[#This Row],[CUIT]],Lista_CUIT[#All],2,0)),"CUIT NO CARGADO")</f>
        <v>CANCINO PAMELA RITA</v>
      </c>
      <c r="I170" s="81">
        <v>135000</v>
      </c>
      <c r="J170" s="54" t="str">
        <f>IFERROR(IF(factura_c_mes9[[#This Row],[CUIT]]="","-",VLOOKUP(factura_c_mes9[[#This Row],[CUIT]],Lista_CUIT[#All],3,0)),"CUIT NO CARGADO")</f>
        <v>PROVEEDOR</v>
      </c>
      <c r="K170" s="54">
        <f>IFERROR(IF(factura_c_mes9[[#This Row],[CUIT]]="","-",VLOOKUP(factura_c_mes9[[#This Row],[CUIT]],Lista_CUIT[#All],4,0)),"CUIT NO CARGADO")</f>
        <v>0</v>
      </c>
    </row>
    <row r="171" spans="2:18" x14ac:dyDescent="0.25">
      <c r="D171" s="50"/>
      <c r="E171" s="42"/>
      <c r="F171" s="43"/>
      <c r="G171" s="44">
        <v>20298657539</v>
      </c>
      <c r="H171" s="53" t="str">
        <f>IFERROR(IF(factura_c_mes9[[#This Row],[CUIT]]="","-",VLOOKUP(factura_c_mes9[[#This Row],[CUIT]],Lista_CUIT[#All],2,0)),"CUIT NO CARGADO")</f>
        <v>JABIBI CRISTIAN VICTOR</v>
      </c>
      <c r="I171" s="81">
        <v>220000</v>
      </c>
      <c r="J171" s="54" t="str">
        <f>IFERROR(IF(factura_c_mes9[[#This Row],[CUIT]]="","-",VLOOKUP(factura_c_mes9[[#This Row],[CUIT]],Lista_CUIT[#All],3,0)),"CUIT NO CARGADO")</f>
        <v>Insumos</v>
      </c>
      <c r="K171" s="54">
        <f>IFERROR(IF(factura_c_mes9[[#This Row],[CUIT]]="","-",VLOOKUP(factura_c_mes9[[#This Row],[CUIT]],Lista_CUIT[#All],4,0)),"CUIT NO CARGADO")</f>
        <v>0</v>
      </c>
    </row>
    <row r="172" spans="2:18" x14ac:dyDescent="0.25">
      <c r="D172" s="50"/>
      <c r="E172" s="42"/>
      <c r="F172" s="43"/>
      <c r="G172" s="44">
        <v>20310489930</v>
      </c>
      <c r="H172" s="53" t="str">
        <f>IFERROR(IF(factura_c_mes9[[#This Row],[CUIT]]="","-",VLOOKUP(factura_c_mes9[[#This Row],[CUIT]],Lista_CUIT[#All],2,0)),"CUIT NO CARGADO")</f>
        <v>OVIEDO LUIS ALBERTO</v>
      </c>
      <c r="I172" s="81">
        <v>722580</v>
      </c>
      <c r="J172" s="54" t="str">
        <f>IFERROR(IF(factura_c_mes9[[#This Row],[CUIT]]="","-",VLOOKUP(factura_c_mes9[[#This Row],[CUIT]],Lista_CUIT[#All],3,0)),"CUIT NO CARGADO")</f>
        <v>Insumos</v>
      </c>
      <c r="K172" s="54">
        <f>IFERROR(IF(factura_c_mes9[[#This Row],[CUIT]]="","-",VLOOKUP(factura_c_mes9[[#This Row],[CUIT]],Lista_CUIT[#All],4,0)),"CUIT NO CARGADO")</f>
        <v>0</v>
      </c>
    </row>
    <row r="173" spans="2:18" x14ac:dyDescent="0.25">
      <c r="D173" s="50"/>
      <c r="E173" s="42"/>
      <c r="F173" s="43"/>
      <c r="G173" s="44">
        <v>20231292285</v>
      </c>
      <c r="H173" s="53" t="str">
        <f>IFERROR(IF(factura_c_mes9[[#This Row],[CUIT]]="","-",VLOOKUP(factura_c_mes9[[#This Row],[CUIT]],Lista_CUIT[#All],2,0)),"CUIT NO CARGADO")</f>
        <v>GRANDI GUSTAVO GABRIEL</v>
      </c>
      <c r="I173" s="81">
        <v>750000</v>
      </c>
      <c r="J173" s="54" t="str">
        <f>IFERROR(IF(factura_c_mes9[[#This Row],[CUIT]]="","-",VLOOKUP(factura_c_mes9[[#This Row],[CUIT]],Lista_CUIT[#All],3,0)),"CUIT NO CARGADO")</f>
        <v>Insumos</v>
      </c>
      <c r="K173" s="54">
        <f>IFERROR(IF(factura_c_mes9[[#This Row],[CUIT]]="","-",VLOOKUP(factura_c_mes9[[#This Row],[CUIT]],Lista_CUIT[#All],4,0)),"CUIT NO CARGADO")</f>
        <v>0</v>
      </c>
    </row>
    <row r="174" spans="2:18" x14ac:dyDescent="0.25">
      <c r="D174" s="50"/>
      <c r="E174" s="42"/>
      <c r="F174" s="43"/>
      <c r="G174" s="44">
        <v>20086277523</v>
      </c>
      <c r="H174" s="53" t="str">
        <f>IFERROR(IF(factura_c_mes9[[#This Row],[CUIT]]="","-",VLOOKUP(factura_c_mes9[[#This Row],[CUIT]],Lista_CUIT[#All],2,0)),"CUIT NO CARGADO")</f>
        <v>BOTINDARI JUAN CARLOS</v>
      </c>
      <c r="I174" s="81">
        <v>300000</v>
      </c>
      <c r="J174" s="54" t="str">
        <f>IFERROR(IF(factura_c_mes9[[#This Row],[CUIT]]="","-",VLOOKUP(factura_c_mes9[[#This Row],[CUIT]],Lista_CUIT[#All],3,0)),"CUIT NO CARGADO")</f>
        <v>HONORARIOS</v>
      </c>
      <c r="K174" s="54">
        <f>IFERROR(IF(factura_c_mes9[[#This Row],[CUIT]]="","-",VLOOKUP(factura_c_mes9[[#This Row],[CUIT]],Lista_CUIT[#All],4,0)),"CUIT NO CARGADO")</f>
        <v>0</v>
      </c>
    </row>
    <row r="175" spans="2:18" s="56" customFormat="1" ht="18.600000000000001" customHeight="1" x14ac:dyDescent="0.25">
      <c r="B175"/>
      <c r="C175"/>
      <c r="D175" s="50"/>
      <c r="E175" s="42"/>
      <c r="F175" s="43"/>
      <c r="G175" s="44">
        <v>27443612705</v>
      </c>
      <c r="H175" s="53" t="str">
        <f>IFERROR(IF(factura_c_mes9[[#This Row],[CUIT]]="","-",VLOOKUP(factura_c_mes9[[#This Row],[CUIT]],Lista_CUIT[#All],2,0)),"CUIT NO CARGADO")</f>
        <v>MIGOYA MORIONDO MARIA INES</v>
      </c>
      <c r="I175" s="81">
        <v>900000</v>
      </c>
      <c r="J175" s="54" t="str">
        <f>IFERROR(IF(factura_c_mes9[[#This Row],[CUIT]]="","-",VLOOKUP(factura_c_mes9[[#This Row],[CUIT]],Lista_CUIT[#All],3,0)),"CUIT NO CARGADO")</f>
        <v>GTOS ADMINISTRATIVOS</v>
      </c>
      <c r="K175" s="54">
        <f>IFERROR(IF(factura_c_mes9[[#This Row],[CUIT]]="","-",VLOOKUP(factura_c_mes9[[#This Row],[CUIT]],Lista_CUIT[#All],4,0)),"CUIT NO CARGADO")</f>
        <v>0</v>
      </c>
      <c r="L175"/>
      <c r="M175"/>
      <c r="N175"/>
      <c r="O175"/>
      <c r="P175"/>
      <c r="Q175"/>
      <c r="R175"/>
    </row>
    <row r="176" spans="2:18" x14ac:dyDescent="0.25">
      <c r="D176" s="50"/>
      <c r="E176" s="42"/>
      <c r="F176" s="43"/>
      <c r="G176" s="44">
        <v>27380284052</v>
      </c>
      <c r="H176" s="53" t="str">
        <f>IFERROR(IF(factura_c_mes9[[#This Row],[CUIT]]="","-",VLOOKUP(factura_c_mes9[[#This Row],[CUIT]],Lista_CUIT[#All],2,0)),"CUIT NO CARGADO")</f>
        <v>CIVALE PAULA</v>
      </c>
      <c r="I176" s="81">
        <v>4260000</v>
      </c>
      <c r="J176" s="54" t="str">
        <f>IFERROR(IF(factura_c_mes9[[#This Row],[CUIT]]="","-",VLOOKUP(factura_c_mes9[[#This Row],[CUIT]],Lista_CUIT[#All],3,0)),"CUIT NO CARGADO")</f>
        <v>GTOS ADMINISTRATIVOS</v>
      </c>
      <c r="K176" s="54">
        <f>IFERROR(IF(factura_c_mes9[[#This Row],[CUIT]]="","-",VLOOKUP(factura_c_mes9[[#This Row],[CUIT]],Lista_CUIT[#All],4,0)),"CUIT NO CARGADO")</f>
        <v>0</v>
      </c>
    </row>
    <row r="177" spans="4:11" x14ac:dyDescent="0.25">
      <c r="D177" s="50"/>
      <c r="E177" s="42"/>
      <c r="F177" s="43"/>
      <c r="G177" s="44">
        <v>23281233084</v>
      </c>
      <c r="H177" s="53" t="str">
        <f>IFERROR(IF(factura_c_mes9[[#This Row],[CUIT]]="","-",VLOOKUP(factura_c_mes9[[#This Row],[CUIT]],Lista_CUIT[#All],2,0)),"CUIT NO CARGADO")</f>
        <v>DRUETTA ANDREA MARIEL</v>
      </c>
      <c r="I177" s="81">
        <v>300000</v>
      </c>
      <c r="J177" s="54" t="str">
        <f>IFERROR(IF(factura_c_mes9[[#This Row],[CUIT]]="","-",VLOOKUP(factura_c_mes9[[#This Row],[CUIT]],Lista_CUIT[#All],3,0)),"CUIT NO CARGADO")</f>
        <v>TECNICO</v>
      </c>
      <c r="K177" s="54">
        <f>IFERROR(IF(factura_c_mes9[[#This Row],[CUIT]]="","-",VLOOKUP(factura_c_mes9[[#This Row],[CUIT]],Lista_CUIT[#All],4,0)),"CUIT NO CARGADO")</f>
        <v>0</v>
      </c>
    </row>
    <row r="178" spans="4:11" x14ac:dyDescent="0.25">
      <c r="D178" s="50"/>
      <c r="E178" s="42"/>
      <c r="F178" s="43"/>
      <c r="G178" s="44">
        <v>27344304551</v>
      </c>
      <c r="H178" s="53" t="str">
        <f>IFERROR(IF(factura_c_mes9[[#This Row],[CUIT]]="","-",VLOOKUP(factura_c_mes9[[#This Row],[CUIT]],Lista_CUIT[#All],2,0)),"CUIT NO CARGADO")</f>
        <v>BOCCACCI MARIA FLORENCIA</v>
      </c>
      <c r="I178" s="81">
        <v>130000</v>
      </c>
      <c r="J178" s="54" t="str">
        <f>IFERROR(IF(factura_c_mes9[[#This Row],[CUIT]]="","-",VLOOKUP(factura_c_mes9[[#This Row],[CUIT]],Lista_CUIT[#All],3,0)),"CUIT NO CARGADO")</f>
        <v>Servicios</v>
      </c>
      <c r="K178" s="54">
        <f>IFERROR(IF(factura_c_mes9[[#This Row],[CUIT]]="","-",VLOOKUP(factura_c_mes9[[#This Row],[CUIT]],Lista_CUIT[#All],4,0)),"CUIT NO CARGADO")</f>
        <v>0</v>
      </c>
    </row>
    <row r="179" spans="4:11" x14ac:dyDescent="0.25">
      <c r="D179" s="50"/>
      <c r="E179" s="42"/>
      <c r="F179" s="43"/>
      <c r="G179" s="44">
        <v>27344304551</v>
      </c>
      <c r="H179" s="53" t="str">
        <f>IFERROR(IF(factura_c_mes9[[#This Row],[CUIT]]="","-",VLOOKUP(factura_c_mes9[[#This Row],[CUIT]],Lista_CUIT[#All],2,0)),"CUIT NO CARGADO")</f>
        <v>BOCCACCI MARIA FLORENCIA</v>
      </c>
      <c r="I179" s="81">
        <v>850000</v>
      </c>
      <c r="J179" s="54" t="str">
        <f>IFERROR(IF(factura_c_mes9[[#This Row],[CUIT]]="","-",VLOOKUP(factura_c_mes9[[#This Row],[CUIT]],Lista_CUIT[#All],3,0)),"CUIT NO CARGADO")</f>
        <v>Servicios</v>
      </c>
      <c r="K179" s="54">
        <f>IFERROR(IF(factura_c_mes9[[#This Row],[CUIT]]="","-",VLOOKUP(factura_c_mes9[[#This Row],[CUIT]],Lista_CUIT[#All],4,0)),"CUIT NO CARGADO")</f>
        <v>0</v>
      </c>
    </row>
    <row r="180" spans="4:11" x14ac:dyDescent="0.25">
      <c r="D180" s="50"/>
      <c r="E180" s="42"/>
      <c r="F180" s="43"/>
      <c r="G180" s="44">
        <v>27315710508</v>
      </c>
      <c r="H180" s="53" t="str">
        <f>IFERROR(IF(factura_c_mes9[[#This Row],[CUIT]]="","-",VLOOKUP(factura_c_mes9[[#This Row],[CUIT]],Lista_CUIT[#All],2,0)),"CUIT NO CARGADO")</f>
        <v>RIVERO GABRIELA ROCIO</v>
      </c>
      <c r="I180" s="81">
        <v>51030</v>
      </c>
      <c r="J180" s="54" t="str">
        <f>IFERROR(IF(factura_c_mes9[[#This Row],[CUIT]]="","-",VLOOKUP(factura_c_mes9[[#This Row],[CUIT]],Lista_CUIT[#All],3,0)),"CUIT NO CARGADO")</f>
        <v>Serv. Informaticos</v>
      </c>
      <c r="K180" s="54">
        <f>IFERROR(IF(factura_c_mes9[[#This Row],[CUIT]]="","-",VLOOKUP(factura_c_mes9[[#This Row],[CUIT]],Lista_CUIT[#All],4,0)),"CUIT NO CARGADO")</f>
        <v>0</v>
      </c>
    </row>
    <row r="181" spans="4:11" x14ac:dyDescent="0.25">
      <c r="D181" s="50"/>
      <c r="E181" s="42"/>
      <c r="F181" s="43"/>
      <c r="G181" s="44">
        <v>27265832178</v>
      </c>
      <c r="H181" s="53" t="str">
        <f>IFERROR(IF(factura_c_mes9[[#This Row],[CUIT]]="","-",VLOOKUP(factura_c_mes9[[#This Row],[CUIT]],Lista_CUIT[#All],2,0)),"CUIT NO CARGADO")</f>
        <v>BLASCO MARIA GUADALUPE</v>
      </c>
      <c r="I181" s="81">
        <v>3200000</v>
      </c>
      <c r="J181" s="54" t="str">
        <f>IFERROR(IF(factura_c_mes9[[#This Row],[CUIT]]="","-",VLOOKUP(factura_c_mes9[[#This Row],[CUIT]],Lista_CUIT[#All],3,0)),"CUIT NO CARGADO")</f>
        <v>PROVEEDOR</v>
      </c>
      <c r="K181" s="54">
        <f>IFERROR(IF(factura_c_mes9[[#This Row],[CUIT]]="","-",VLOOKUP(factura_c_mes9[[#This Row],[CUIT]],Lista_CUIT[#All],4,0)),"CUIT NO CARGADO")</f>
        <v>0</v>
      </c>
    </row>
    <row r="182" spans="4:11" ht="22.5" customHeight="1" x14ac:dyDescent="0.25">
      <c r="D182" s="50"/>
      <c r="E182" s="42"/>
      <c r="F182" s="43"/>
      <c r="G182" s="44">
        <v>27233748205</v>
      </c>
      <c r="H182" s="53" t="str">
        <f>IFERROR(IF(factura_c_mes9[[#This Row],[CUIT]]="","-",VLOOKUP(factura_c_mes9[[#This Row],[CUIT]],Lista_CUIT[#All],2,0)),"CUIT NO CARGADO")</f>
        <v>RADRIZZANI GABRIELA ALEJANDRA</v>
      </c>
      <c r="I182" s="81">
        <v>250000</v>
      </c>
      <c r="J182" s="54" t="str">
        <f>IFERROR(IF(factura_c_mes9[[#This Row],[CUIT]]="","-",VLOOKUP(factura_c_mes9[[#This Row],[CUIT]],Lista_CUIT[#All],3,0)),"CUIT NO CARGADO")</f>
        <v>HONORARIOS CONTABLES</v>
      </c>
      <c r="K182" s="54">
        <f>IFERROR(IF(factura_c_mes9[[#This Row],[CUIT]]="","-",VLOOKUP(factura_c_mes9[[#This Row],[CUIT]],Lista_CUIT[#All],4,0)),"CUIT NO CARGADO")</f>
        <v>0</v>
      </c>
    </row>
    <row r="183" spans="4:11" x14ac:dyDescent="0.25">
      <c r="D183" s="50"/>
      <c r="E183" s="42"/>
      <c r="F183" s="43"/>
      <c r="G183" s="44"/>
      <c r="H183" s="53" t="str">
        <f>IFERROR(IF(factura_c_mes9[[#This Row],[CUIT]]="","-",VLOOKUP(factura_c_mes9[[#This Row],[CUIT]],Lista_CUIT[#All],2,0)),"CUIT NO CARGADO")</f>
        <v>-</v>
      </c>
      <c r="I183" s="81"/>
      <c r="J183" s="54" t="str">
        <f>IFERROR(IF(factura_c_mes9[[#This Row],[CUIT]]="","-",VLOOKUP(factura_c_mes9[[#This Row],[CUIT]],Lista_CUIT[#All],3,0)),"CUIT NO CARGADO")</f>
        <v>-</v>
      </c>
      <c r="K183" s="54" t="str">
        <f>IFERROR(IF(factura_c_mes9[[#This Row],[CUIT]]="","-",VLOOKUP(factura_c_mes9[[#This Row],[CUIT]],Lista_CUIT[#All],4,0)),"CUIT NO CARGADO")</f>
        <v>-</v>
      </c>
    </row>
    <row r="184" spans="4:11" ht="18" customHeight="1" x14ac:dyDescent="0.25">
      <c r="D184" s="50"/>
      <c r="E184" s="42"/>
      <c r="F184" s="43"/>
      <c r="G184" s="44"/>
      <c r="H184" s="53" t="str">
        <f>IFERROR(IF(factura_c_mes9[[#This Row],[CUIT]]="","-",VLOOKUP(factura_c_mes9[[#This Row],[CUIT]],Lista_CUIT[#All],2,0)),"CUIT NO CARGADO")</f>
        <v>-</v>
      </c>
      <c r="I184" s="81"/>
      <c r="J184" s="54" t="str">
        <f>IFERROR(IF(factura_c_mes9[[#This Row],[CUIT]]="","-",VLOOKUP(factura_c_mes9[[#This Row],[CUIT]],Lista_CUIT[#All],3,0)),"CUIT NO CARGADO")</f>
        <v>-</v>
      </c>
      <c r="K184" s="54" t="str">
        <f>IFERROR(IF(factura_c_mes9[[#This Row],[CUIT]]="","-",VLOOKUP(factura_c_mes9[[#This Row],[CUIT]],Lista_CUIT[#All],4,0)),"CUIT NO CARGADO")</f>
        <v>-</v>
      </c>
    </row>
    <row r="185" spans="4:11" x14ac:dyDescent="0.25">
      <c r="D185" s="50"/>
      <c r="E185" s="42"/>
      <c r="F185" s="43"/>
      <c r="G185" s="44"/>
      <c r="H185" s="53" t="str">
        <f>IFERROR(IF(factura_c_mes9[[#This Row],[CUIT]]="","-",VLOOKUP(factura_c_mes9[[#This Row],[CUIT]],Lista_CUIT[#All],2,0)),"CUIT NO CARGADO")</f>
        <v>-</v>
      </c>
      <c r="I185" s="81"/>
      <c r="J185" s="54" t="str">
        <f>IFERROR(IF(factura_c_mes9[[#This Row],[CUIT]]="","-",VLOOKUP(factura_c_mes9[[#This Row],[CUIT]],Lista_CUIT[#All],3,0)),"CUIT NO CARGADO")</f>
        <v>-</v>
      </c>
      <c r="K185" s="54" t="str">
        <f>IFERROR(IF(factura_c_mes9[[#This Row],[CUIT]]="","-",VLOOKUP(factura_c_mes9[[#This Row],[CUIT]],Lista_CUIT[#All],4,0)),"CUIT NO CARGADO")</f>
        <v>-</v>
      </c>
    </row>
    <row r="186" spans="4:11" x14ac:dyDescent="0.25">
      <c r="D186" s="50"/>
      <c r="E186" s="42"/>
      <c r="F186" s="43"/>
      <c r="G186" s="44"/>
      <c r="H186" s="53" t="str">
        <f>IFERROR(IF(factura_c_mes9[[#This Row],[CUIT]]="","-",VLOOKUP(factura_c_mes9[[#This Row],[CUIT]],Lista_CUIT[#All],2,0)),"CUIT NO CARGADO")</f>
        <v>-</v>
      </c>
      <c r="I186" s="81"/>
      <c r="J186" s="54" t="str">
        <f>IFERROR(IF(factura_c_mes9[[#This Row],[CUIT]]="","-",VLOOKUP(factura_c_mes9[[#This Row],[CUIT]],Lista_CUIT[#All],3,0)),"CUIT NO CARGADO")</f>
        <v>-</v>
      </c>
      <c r="K186" s="54" t="str">
        <f>IFERROR(IF(factura_c_mes9[[#This Row],[CUIT]]="","-",VLOOKUP(factura_c_mes9[[#This Row],[CUIT]],Lista_CUIT[#All],4,0)),"CUIT NO CARGADO")</f>
        <v>-</v>
      </c>
    </row>
    <row r="187" spans="4:11" x14ac:dyDescent="0.25">
      <c r="D187" s="50"/>
      <c r="E187" s="42"/>
      <c r="F187" s="43"/>
      <c r="G187" s="44"/>
      <c r="H187" s="53" t="str">
        <f>IFERROR(IF(factura_c_mes9[[#This Row],[CUIT]]="","-",VLOOKUP(factura_c_mes9[[#This Row],[CUIT]],Lista_CUIT[#All],2,0)),"CUIT NO CARGADO")</f>
        <v>-</v>
      </c>
      <c r="I187" s="81"/>
      <c r="J187" s="54" t="str">
        <f>IFERROR(IF(factura_c_mes9[[#This Row],[CUIT]]="","-",VLOOKUP(factura_c_mes9[[#This Row],[CUIT]],Lista_CUIT[#All],3,0)),"CUIT NO CARGADO")</f>
        <v>-</v>
      </c>
      <c r="K187" s="54" t="str">
        <f>IFERROR(IF(factura_c_mes9[[#This Row],[CUIT]]="","-",VLOOKUP(factura_c_mes9[[#This Row],[CUIT]],Lista_CUIT[#All],4,0)),"CUIT NO CARGADO")</f>
        <v>-</v>
      </c>
    </row>
    <row r="188" spans="4:11" x14ac:dyDescent="0.25">
      <c r="D188" s="50"/>
      <c r="E188" s="42"/>
      <c r="F188" s="43"/>
      <c r="G188" s="44"/>
      <c r="H188" s="53" t="str">
        <f>IFERROR(IF(factura_c_mes9[[#This Row],[CUIT]]="","-",VLOOKUP(factura_c_mes9[[#This Row],[CUIT]],Lista_CUIT[#All],2,0)),"CUIT NO CARGADO")</f>
        <v>-</v>
      </c>
      <c r="I188" s="81"/>
      <c r="J188" s="54" t="str">
        <f>IFERROR(IF(factura_c_mes9[[#This Row],[CUIT]]="","-",VLOOKUP(factura_c_mes9[[#This Row],[CUIT]],Lista_CUIT[#All],3,0)),"CUIT NO CARGADO")</f>
        <v>-</v>
      </c>
      <c r="K188" s="54" t="str">
        <f>IFERROR(IF(factura_c_mes9[[#This Row],[CUIT]]="","-",VLOOKUP(factura_c_mes9[[#This Row],[CUIT]],Lista_CUIT[#All],4,0)),"CUIT NO CARGADO")</f>
        <v>-</v>
      </c>
    </row>
    <row r="189" spans="4:11" x14ac:dyDescent="0.25">
      <c r="D189" s="50"/>
      <c r="E189" s="42"/>
      <c r="F189" s="43"/>
      <c r="G189" s="44"/>
      <c r="H189" s="53" t="str">
        <f>IFERROR(IF(factura_c_mes9[[#This Row],[CUIT]]="","-",VLOOKUP(factura_c_mes9[[#This Row],[CUIT]],Lista_CUIT[#All],2,0)),"CUIT NO CARGADO")</f>
        <v>-</v>
      </c>
      <c r="I189" s="81"/>
      <c r="J189" s="54" t="str">
        <f>IFERROR(IF(factura_c_mes9[[#This Row],[CUIT]]="","-",VLOOKUP(factura_c_mes9[[#This Row],[CUIT]],Lista_CUIT[#All],3,0)),"CUIT NO CARGADO")</f>
        <v>-</v>
      </c>
      <c r="K189" s="54" t="str">
        <f>IFERROR(IF(factura_c_mes9[[#This Row],[CUIT]]="","-",VLOOKUP(factura_c_mes9[[#This Row],[CUIT]],Lista_CUIT[#All],4,0)),"CUIT NO CARGADO")</f>
        <v>-</v>
      </c>
    </row>
    <row r="190" spans="4:11" x14ac:dyDescent="0.25">
      <c r="D190" s="50"/>
      <c r="E190" s="42"/>
      <c r="F190" s="43"/>
      <c r="G190" s="44"/>
      <c r="H190" s="53" t="str">
        <f>IFERROR(IF(factura_c_mes9[[#This Row],[CUIT]]="","-",VLOOKUP(factura_c_mes9[[#This Row],[CUIT]],Lista_CUIT[#All],2,0)),"CUIT NO CARGADO")</f>
        <v>-</v>
      </c>
      <c r="I190" s="81"/>
      <c r="J190" s="54" t="str">
        <f>IFERROR(IF(factura_c_mes9[[#This Row],[CUIT]]="","-",VLOOKUP(factura_c_mes9[[#This Row],[CUIT]],Lista_CUIT[#All],3,0)),"CUIT NO CARGADO")</f>
        <v>-</v>
      </c>
      <c r="K190" s="54" t="str">
        <f>IFERROR(IF(factura_c_mes9[[#This Row],[CUIT]]="","-",VLOOKUP(factura_c_mes9[[#This Row],[CUIT]],Lista_CUIT[#All],4,0)),"CUIT NO CARGADO")</f>
        <v>-</v>
      </c>
    </row>
    <row r="191" spans="4:11" x14ac:dyDescent="0.25">
      <c r="D191" s="50"/>
      <c r="E191" s="42"/>
      <c r="F191" s="43"/>
      <c r="G191" s="44"/>
      <c r="H191" s="53" t="str">
        <f>IFERROR(IF(factura_c_mes9[[#This Row],[CUIT]]="","-",VLOOKUP(factura_c_mes9[[#This Row],[CUIT]],Lista_CUIT[#All],2,0)),"CUIT NO CARGADO")</f>
        <v>-</v>
      </c>
      <c r="I191" s="81"/>
      <c r="J191" s="54" t="str">
        <f>IFERROR(IF(factura_c_mes9[[#This Row],[CUIT]]="","-",VLOOKUP(factura_c_mes9[[#This Row],[CUIT]],Lista_CUIT[#All],3,0)),"CUIT NO CARGADO")</f>
        <v>-</v>
      </c>
      <c r="K191" s="54" t="str">
        <f>IFERROR(IF(factura_c_mes9[[#This Row],[CUIT]]="","-",VLOOKUP(factura_c_mes9[[#This Row],[CUIT]],Lista_CUIT[#All],4,0)),"CUIT NO CARGADO")</f>
        <v>-</v>
      </c>
    </row>
    <row r="192" spans="4:11" x14ac:dyDescent="0.25">
      <c r="D192" s="55" t="s">
        <v>110</v>
      </c>
      <c r="E192" s="55"/>
      <c r="F192" s="55"/>
      <c r="G192" s="55"/>
      <c r="H192" s="57"/>
      <c r="I192" s="58">
        <f>SUBTOTAL(109,factura_c_mes9[TOTAL])</f>
        <v>16404110</v>
      </c>
      <c r="J192" s="55"/>
      <c r="K192" s="55"/>
    </row>
    <row r="193" spans="2:18" x14ac:dyDescent="0.25">
      <c r="B193" s="56"/>
      <c r="C193" s="56"/>
      <c r="L193" s="56"/>
      <c r="M193" s="56"/>
      <c r="N193" s="56"/>
      <c r="O193" s="56"/>
      <c r="P193" s="56"/>
      <c r="Q193" s="56"/>
      <c r="R193" s="56"/>
    </row>
    <row r="194" spans="2:18" ht="25.9" customHeight="1" x14ac:dyDescent="0.25"/>
    <row r="196" spans="2:18" ht="17.25" customHeight="1" x14ac:dyDescent="0.25"/>
    <row r="197" spans="2:18" ht="31.5" customHeight="1" x14ac:dyDescent="0.25"/>
    <row r="198" spans="2:18" ht="26.25" x14ac:dyDescent="0.25">
      <c r="B198" s="629" t="s">
        <v>29</v>
      </c>
      <c r="C198" s="629"/>
      <c r="D198" s="629"/>
      <c r="E198" s="629"/>
      <c r="F198" s="629"/>
      <c r="G198" s="629"/>
      <c r="H198" s="629"/>
      <c r="I198" s="629"/>
      <c r="J198" s="629"/>
      <c r="K198" s="630">
        <f>N1</f>
        <v>45901</v>
      </c>
      <c r="L198" s="630"/>
      <c r="M198" s="630"/>
    </row>
    <row r="200" spans="2:18" ht="21" x14ac:dyDescent="0.25">
      <c r="B200" s="631" t="s">
        <v>30</v>
      </c>
      <c r="C200" s="631"/>
    </row>
    <row r="201" spans="2:18" ht="15.75" x14ac:dyDescent="0.25">
      <c r="B201" s="60" t="s">
        <v>0</v>
      </c>
      <c r="C201" s="61" t="s">
        <v>1</v>
      </c>
      <c r="D201" s="61" t="s">
        <v>21</v>
      </c>
      <c r="E201" s="61" t="s">
        <v>22</v>
      </c>
      <c r="F201" s="61" t="s">
        <v>3</v>
      </c>
      <c r="G201" s="61" t="s">
        <v>4</v>
      </c>
      <c r="H201" s="61" t="s">
        <v>23</v>
      </c>
      <c r="I201" s="61" t="s">
        <v>17</v>
      </c>
      <c r="J201" s="61" t="s">
        <v>7</v>
      </c>
      <c r="K201" s="61" t="s">
        <v>24</v>
      </c>
      <c r="L201" s="61" t="s">
        <v>10</v>
      </c>
      <c r="M201" s="62" t="s">
        <v>38</v>
      </c>
    </row>
    <row r="202" spans="2:18" x14ac:dyDescent="0.25">
      <c r="B202" s="40"/>
      <c r="C202" s="41"/>
      <c r="D202" s="42"/>
      <c r="E202" s="43"/>
      <c r="F202" s="44"/>
      <c r="G202" s="98" t="str">
        <f>IFERROR(IF(venta_a_mes9[[#This Row],[CUIT]]="","-",VLOOKUP(venta_a_mes9[[#This Row],[CUIT]],Lista_CUIT[#All],2,0)),"CUIT NO CARGADO")</f>
        <v>-</v>
      </c>
      <c r="H202" s="99"/>
      <c r="I202" s="100">
        <f>venta_a_mes9[[#This Row],[IMPORTE NETO]]*0.21</f>
        <v>0</v>
      </c>
      <c r="J202" s="65"/>
      <c r="K202" s="65"/>
      <c r="L202" s="65">
        <f>SUM(venta_a_mes9[[#This Row],[IMPORTE NETO]:[EXENTO]])</f>
        <v>0</v>
      </c>
      <c r="M202" s="59"/>
    </row>
    <row r="203" spans="2:18" x14ac:dyDescent="0.25">
      <c r="B203" s="40"/>
      <c r="C203" s="41"/>
      <c r="D203" s="42"/>
      <c r="E203" s="43"/>
      <c r="F203" s="44"/>
      <c r="G203" s="98" t="str">
        <f>IFERROR(IF(venta_a_mes9[[#This Row],[CUIT]]="","-",VLOOKUP(venta_a_mes9[[#This Row],[CUIT]],Lista_CUIT[#All],2,0)),"CUIT NO CARGADO")</f>
        <v>-</v>
      </c>
      <c r="H203" s="99"/>
      <c r="I203" s="100">
        <f>venta_a_mes9[[#This Row],[IMPORTE NETO]]*0.21</f>
        <v>0</v>
      </c>
      <c r="J203" s="65"/>
      <c r="K203" s="65"/>
      <c r="L203" s="65">
        <f>SUM(venta_a_mes9[[#This Row],[IMPORTE NETO]:[EXENTO]])</f>
        <v>0</v>
      </c>
      <c r="M203" s="59"/>
    </row>
    <row r="204" spans="2:18" x14ac:dyDescent="0.25">
      <c r="B204" s="40"/>
      <c r="C204" s="41"/>
      <c r="D204" s="42"/>
      <c r="E204" s="43"/>
      <c r="F204" s="44"/>
      <c r="G204" s="98" t="str">
        <f>IFERROR(IF(venta_a_mes9[[#This Row],[CUIT]]="","-",VLOOKUP(venta_a_mes9[[#This Row],[CUIT]],Lista_CUIT[#All],2,0)),"CUIT NO CARGADO")</f>
        <v>-</v>
      </c>
      <c r="H204" s="99"/>
      <c r="I204" s="100">
        <f>venta_a_mes9[[#This Row],[IMPORTE NETO]]*0.21</f>
        <v>0</v>
      </c>
      <c r="J204" s="65"/>
      <c r="K204" s="65"/>
      <c r="L204" s="65">
        <f>SUM(venta_a_mes9[[#This Row],[IMPORTE NETO]:[EXENTO]])</f>
        <v>0</v>
      </c>
      <c r="M204" s="59"/>
    </row>
    <row r="205" spans="2:18" x14ac:dyDescent="0.25">
      <c r="B205" s="40"/>
      <c r="C205" s="41"/>
      <c r="D205" s="42"/>
      <c r="E205" s="43"/>
      <c r="F205" s="44"/>
      <c r="G205" s="98" t="str">
        <f>IFERROR(IF(venta_a_mes9[[#This Row],[CUIT]]="","-",VLOOKUP(venta_a_mes9[[#This Row],[CUIT]],Lista_CUIT[#All],2,0)),"CUIT NO CARGADO")</f>
        <v>-</v>
      </c>
      <c r="H205" s="99"/>
      <c r="I205" s="100">
        <f>venta_a_mes9[[#This Row],[IMPORTE NETO]]*0.21</f>
        <v>0</v>
      </c>
      <c r="J205" s="65"/>
      <c r="K205" s="65"/>
      <c r="L205" s="65">
        <f>SUM(venta_a_mes9[[#This Row],[IMPORTE NETO]:[EXENTO]])</f>
        <v>0</v>
      </c>
      <c r="M205" s="59"/>
    </row>
    <row r="206" spans="2:18" x14ac:dyDescent="0.25">
      <c r="B206" s="40"/>
      <c r="C206" s="41"/>
      <c r="D206" s="42"/>
      <c r="E206" s="43"/>
      <c r="F206" s="44"/>
      <c r="G206" s="98" t="str">
        <f>IFERROR(IF(venta_a_mes9[[#This Row],[CUIT]]="","-",VLOOKUP(venta_a_mes9[[#This Row],[CUIT]],Lista_CUIT[#All],2,0)),"CUIT NO CARGADO")</f>
        <v>-</v>
      </c>
      <c r="H206" s="99"/>
      <c r="I206" s="100">
        <f>venta_a_mes9[[#This Row],[IMPORTE NETO]]*0.21</f>
        <v>0</v>
      </c>
      <c r="J206" s="65"/>
      <c r="K206" s="65"/>
      <c r="L206" s="65">
        <f>SUM(venta_a_mes9[[#This Row],[IMPORTE NETO]:[EXENTO]])</f>
        <v>0</v>
      </c>
      <c r="M206" s="59"/>
    </row>
    <row r="207" spans="2:18" ht="19.149999999999999" customHeight="1" x14ac:dyDescent="0.25">
      <c r="B207" s="40"/>
      <c r="C207" s="41"/>
      <c r="D207" s="42"/>
      <c r="E207" s="43"/>
      <c r="F207" s="44"/>
      <c r="G207" s="98" t="str">
        <f>IFERROR(IF(venta_a_mes9[[#This Row],[CUIT]]="","-",VLOOKUP(venta_a_mes9[[#This Row],[CUIT]],Lista_CUIT[#All],2,0)),"CUIT NO CARGADO")</f>
        <v>-</v>
      </c>
      <c r="H207" s="99"/>
      <c r="I207" s="100">
        <f>venta_a_mes9[[#This Row],[IMPORTE NETO]]*0.21</f>
        <v>0</v>
      </c>
      <c r="J207" s="65"/>
      <c r="K207" s="65"/>
      <c r="L207" s="65">
        <f>SUM(venta_a_mes9[[#This Row],[IMPORTE NETO]:[EXENTO]])</f>
        <v>0</v>
      </c>
      <c r="M207" s="59"/>
    </row>
    <row r="208" spans="2:18" ht="28.9" customHeight="1" x14ac:dyDescent="0.25">
      <c r="B208" s="40"/>
      <c r="C208" s="41"/>
      <c r="D208" s="42"/>
      <c r="E208" s="43"/>
      <c r="F208" s="44"/>
      <c r="G208" s="98" t="str">
        <f>IFERROR(IF(venta_a_mes9[[#This Row],[CUIT]]="","-",VLOOKUP(venta_a_mes9[[#This Row],[CUIT]],Lista_CUIT[#All],2,0)),"CUIT NO CARGADO")</f>
        <v>-</v>
      </c>
      <c r="H208" s="99"/>
      <c r="I208" s="100">
        <f>venta_a_mes9[[#This Row],[IMPORTE NETO]]*0.21</f>
        <v>0</v>
      </c>
      <c r="J208" s="65"/>
      <c r="K208" s="65"/>
      <c r="L208" s="65">
        <f>SUM(venta_a_mes9[[#This Row],[IMPORTE NETO]:[EXENTO]])</f>
        <v>0</v>
      </c>
      <c r="M208" s="63"/>
    </row>
    <row r="209" spans="2:13" x14ac:dyDescent="0.25">
      <c r="B209" s="101"/>
      <c r="C209" s="102"/>
      <c r="D209" s="103"/>
      <c r="E209" s="104"/>
      <c r="F209" s="105"/>
      <c r="G209" s="98" t="str">
        <f>IFERROR(IF(venta_a_mes9[[#This Row],[CUIT]]="","-",VLOOKUP(venta_a_mes9[[#This Row],[CUIT]],Lista_CUIT[#All],2,0)),"CUIT NO CARGADO")</f>
        <v>-</v>
      </c>
      <c r="H209" s="106"/>
      <c r="I209" s="107">
        <f>venta_a_mes9[[#This Row],[IMPORTE NETO]]*0.21</f>
        <v>0</v>
      </c>
      <c r="J209" s="72"/>
      <c r="K209" s="72"/>
      <c r="L209" s="72">
        <f>SUM(venta_a_mes9[[#This Row],[IMPORTE NETO]:[EXENTO]])</f>
        <v>0</v>
      </c>
      <c r="M209" s="63"/>
    </row>
    <row r="210" spans="2:13" x14ac:dyDescent="0.25">
      <c r="B210" s="108"/>
      <c r="C210" s="109"/>
      <c r="D210" s="110"/>
      <c r="E210" s="111"/>
      <c r="F210" s="112"/>
      <c r="G210" s="98" t="str">
        <f>IFERROR(IF(venta_a_mes9[[#This Row],[CUIT]]="","-",VLOOKUP(venta_a_mes9[[#This Row],[CUIT]],Lista_CUIT[#All],2,0)),"CUIT NO CARGADO")</f>
        <v>-</v>
      </c>
      <c r="H210" s="99"/>
      <c r="I210" s="100">
        <f>venta_a_mes9[[#This Row],[IMPORTE NETO]]*0.21</f>
        <v>0</v>
      </c>
      <c r="J210" s="65"/>
      <c r="K210" s="65"/>
      <c r="L210" s="65">
        <f>SUM(venta_a_mes9[[#This Row],[IMPORTE NETO]:[EXENTO]])</f>
        <v>0</v>
      </c>
      <c r="M210" s="59"/>
    </row>
    <row r="211" spans="2:13" x14ac:dyDescent="0.25">
      <c r="B211" s="66" t="s">
        <v>110</v>
      </c>
      <c r="C211" s="67"/>
      <c r="D211" s="67"/>
      <c r="E211" s="67"/>
      <c r="F211" s="67"/>
      <c r="G211" s="67"/>
      <c r="H211" s="69">
        <f>SUBTOTAL(109,venta_a_mes9[IMPORTE NETO])</f>
        <v>0</v>
      </c>
      <c r="I211" s="70">
        <f>SUBTOTAL(109,venta_a_mes9[IVA 21%])</f>
        <v>0</v>
      </c>
      <c r="J211" s="71">
        <f>SUBTOTAL(109,venta_a_mes9[IVA 10,5%])</f>
        <v>0</v>
      </c>
      <c r="K211" s="71">
        <f>SUBTOTAL(109,venta_a_mes9[EXENTO])</f>
        <v>0</v>
      </c>
      <c r="L211" s="71">
        <f>SUBTOTAL(109,venta_a_mes9[TOTAL])</f>
        <v>0</v>
      </c>
      <c r="M211" s="68">
        <f>SUBTOTAL(103,venta_a_mes9[Provincia])</f>
        <v>0</v>
      </c>
    </row>
    <row r="214" spans="2:13" ht="21" x14ac:dyDescent="0.25">
      <c r="B214" s="631" t="s">
        <v>31</v>
      </c>
      <c r="C214" s="631"/>
    </row>
    <row r="215" spans="2:13" ht="15.75" x14ac:dyDescent="0.25">
      <c r="B215" s="60" t="s">
        <v>0</v>
      </c>
      <c r="C215" s="61" t="s">
        <v>1</v>
      </c>
      <c r="D215" s="61" t="s">
        <v>21</v>
      </c>
      <c r="E215" s="61" t="s">
        <v>22</v>
      </c>
      <c r="F215" s="61" t="s">
        <v>3</v>
      </c>
      <c r="G215" s="61" t="s">
        <v>4</v>
      </c>
      <c r="H215" s="61" t="s">
        <v>23</v>
      </c>
      <c r="I215" s="61" t="s">
        <v>17</v>
      </c>
      <c r="J215" s="61" t="s">
        <v>7</v>
      </c>
      <c r="K215" s="61" t="s">
        <v>24</v>
      </c>
      <c r="L215" s="61" t="s">
        <v>10</v>
      </c>
      <c r="M215" s="62" t="s">
        <v>38</v>
      </c>
    </row>
    <row r="216" spans="2:13" x14ac:dyDescent="0.25">
      <c r="B216" s="40"/>
      <c r="C216" s="41"/>
      <c r="D216" s="42"/>
      <c r="E216" s="43"/>
      <c r="F216" s="44"/>
      <c r="G216" s="1" t="str">
        <f>IFERROR(IF(ventas_b_mes9[[#This Row],[CUIT]]="","-",VLOOKUP(ventas_b_mes9[[#This Row],[CUIT]],Lista_CUIT[#All],2,0)),"CUIT NO CARGADO")</f>
        <v>-</v>
      </c>
      <c r="H216" s="64"/>
      <c r="I216" s="64"/>
      <c r="J216" s="64"/>
      <c r="K216" s="64"/>
      <c r="L216" s="64">
        <f>SUM(ventas_b_mes9[[#This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1"/>
      <c r="H217" s="64"/>
      <c r="I217" s="64"/>
      <c r="J217" s="64"/>
      <c r="K217" s="64"/>
      <c r="L217" s="64">
        <f>SUM(ventas_b_mes9[[#This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1"/>
      <c r="H218" s="64"/>
      <c r="I218" s="64"/>
      <c r="J218" s="64"/>
      <c r="K218" s="64"/>
      <c r="L218" s="64">
        <f>SUM(ventas_b_mes9[[#This Row],[IMPORTE NETO]:[EXENTO]])</f>
        <v>0</v>
      </c>
      <c r="M218" s="59"/>
    </row>
    <row r="219" spans="2:13" x14ac:dyDescent="0.25">
      <c r="B219" s="40"/>
      <c r="C219" s="41"/>
      <c r="D219" s="42"/>
      <c r="E219" s="43"/>
      <c r="F219" s="44"/>
      <c r="G219" s="1"/>
      <c r="H219" s="64"/>
      <c r="I219" s="64"/>
      <c r="J219" s="64"/>
      <c r="K219" s="64"/>
      <c r="L219" s="64">
        <f>SUM(ventas_b_mes9[[#This Row],[IMPORTE NETO]:[EXENTO]])</f>
        <v>0</v>
      </c>
      <c r="M219" s="59"/>
    </row>
    <row r="220" spans="2:13" x14ac:dyDescent="0.25">
      <c r="B220" s="40"/>
      <c r="C220" s="41"/>
      <c r="D220" s="42"/>
      <c r="E220" s="43"/>
      <c r="F220" s="44"/>
      <c r="G220" s="1"/>
      <c r="H220" s="64"/>
      <c r="I220" s="64"/>
      <c r="J220" s="64"/>
      <c r="K220" s="64"/>
      <c r="L220" s="64">
        <f>SUM(ventas_b_mes9[[#This Row],[IMPORTE NETO]:[EXENTO]])</f>
        <v>0</v>
      </c>
      <c r="M220" s="59"/>
    </row>
    <row r="221" spans="2:13" x14ac:dyDescent="0.25">
      <c r="B221" s="40"/>
      <c r="C221" s="41"/>
      <c r="D221" s="42"/>
      <c r="E221" s="43"/>
      <c r="F221" s="44"/>
      <c r="G221" s="1"/>
      <c r="H221" s="64"/>
      <c r="I221" s="64"/>
      <c r="J221" s="64"/>
      <c r="K221" s="64"/>
      <c r="L221" s="64">
        <f>SUM(ventas_b_mes9[[#This Row],[IMPORTE NETO]:[EXENTO]])</f>
        <v>0</v>
      </c>
      <c r="M221" s="59"/>
    </row>
    <row r="222" spans="2:13" x14ac:dyDescent="0.25">
      <c r="B222" s="66" t="s">
        <v>110</v>
      </c>
      <c r="C222" s="67"/>
      <c r="D222" s="67"/>
      <c r="E222" s="67"/>
      <c r="F222" s="67"/>
      <c r="G222" s="67"/>
      <c r="H222" s="77">
        <f>SUBTOTAL(109,ventas_b_mes9[IMPORTE NETO])</f>
        <v>0</v>
      </c>
      <c r="I222" s="77">
        <f>SUBTOTAL(109,ventas_b_mes9[IVA 21%])</f>
        <v>0</v>
      </c>
      <c r="J222" s="78">
        <f>SUBTOTAL(109,ventas_b_mes9[IVA 10,5%])</f>
        <v>0</v>
      </c>
      <c r="K222" s="78">
        <f>SUBTOTAL(109,ventas_b_mes9[EXENTO])</f>
        <v>0</v>
      </c>
      <c r="L222" s="78">
        <f>SUBTOTAL(109,ventas_b_mes9[TOTAL])</f>
        <v>0</v>
      </c>
      <c r="M222" s="68">
        <f>SUBTOTAL(103,ventas_b_mes9[Provincia])</f>
        <v>0</v>
      </c>
    </row>
    <row r="229" spans="3:12" ht="15.75" thickBot="1" x14ac:dyDescent="0.3"/>
    <row r="230" spans="3:12" ht="15.75" thickTop="1" x14ac:dyDescent="0.25">
      <c r="C230" s="625" t="s">
        <v>66</v>
      </c>
      <c r="D230" s="625"/>
      <c r="E230" s="625"/>
      <c r="F230" s="625"/>
      <c r="G230" s="625"/>
      <c r="H230" s="32"/>
      <c r="I230" s="32"/>
      <c r="J230" s="32"/>
    </row>
    <row r="231" spans="3:12" ht="15.75" x14ac:dyDescent="0.25">
      <c r="C231" s="113" t="s">
        <v>67</v>
      </c>
      <c r="D231" s="114" t="s">
        <v>68</v>
      </c>
      <c r="E231" s="114" t="s">
        <v>112</v>
      </c>
      <c r="F231" s="114" t="s">
        <v>3</v>
      </c>
      <c r="G231" s="114" t="s">
        <v>4</v>
      </c>
      <c r="H231" s="115" t="s">
        <v>69</v>
      </c>
      <c r="I231" s="115" t="s">
        <v>70</v>
      </c>
      <c r="J231" s="115" t="s">
        <v>71</v>
      </c>
      <c r="K231" s="115" t="s">
        <v>72</v>
      </c>
      <c r="L231" s="115" t="s">
        <v>73</v>
      </c>
    </row>
    <row r="232" spans="3:12" x14ac:dyDescent="0.25">
      <c r="C232" s="116"/>
      <c r="D232" s="117"/>
      <c r="E232" s="117"/>
      <c r="F232" s="118"/>
      <c r="G232" s="53" t="str">
        <f>IFERROR(IF(Retenciones_mes9[[#This Row],[CUIT]]="","-",VLOOKUP(Retenciones_mes9[[#This Row],[CUIT]],Lista_CUIT[#All],2,0)),"CUIT NO CARGADO")</f>
        <v>-</v>
      </c>
      <c r="H232" s="119"/>
      <c r="I232" s="119"/>
      <c r="J232" s="119"/>
      <c r="K232" s="119"/>
      <c r="L232" s="119"/>
    </row>
    <row r="233" spans="3:12" x14ac:dyDescent="0.25">
      <c r="C233" s="116"/>
      <c r="D233" s="117"/>
      <c r="E233" s="117"/>
      <c r="F233" s="118"/>
      <c r="G233" s="53" t="str">
        <f>IFERROR(IF(Retenciones_mes9[[#This Row],[CUIT]]="","-",VLOOKUP(Retenciones_mes9[[#This Row],[CUIT]],Lista_CUIT[#All],2,0)),"CUIT NO CARGADO")</f>
        <v>-</v>
      </c>
      <c r="H233" s="119"/>
      <c r="I233" s="119"/>
      <c r="J233" s="119"/>
      <c r="K233" s="119"/>
      <c r="L233" s="119"/>
    </row>
    <row r="234" spans="3:12" x14ac:dyDescent="0.25">
      <c r="C234" s="116"/>
      <c r="D234" s="117"/>
      <c r="E234" s="117"/>
      <c r="F234" s="118"/>
      <c r="G234" s="53" t="str">
        <f>IFERROR(IF(Retenciones_mes9[[#This Row],[CUIT]]="","-",VLOOKUP(Retenciones_mes9[[#This Row],[CUIT]],Lista_CUIT[#All],2,0)),"CUIT NO CARGADO")</f>
        <v>-</v>
      </c>
      <c r="H234" s="119"/>
      <c r="I234" s="119"/>
      <c r="J234" s="119"/>
      <c r="K234" s="119"/>
      <c r="L234" s="119"/>
    </row>
    <row r="235" spans="3:12" x14ac:dyDescent="0.25">
      <c r="C235" s="116"/>
      <c r="D235" s="117"/>
      <c r="E235" s="117"/>
      <c r="F235" s="118"/>
      <c r="G235" s="53" t="str">
        <f>IFERROR(IF(Retenciones_mes9[[#This Row],[CUIT]]="","-",VLOOKUP(Retenciones_mes9[[#This Row],[CUIT]],Lista_CUIT[#All],2,0)),"CUIT NO CARGADO")</f>
        <v>-</v>
      </c>
      <c r="H235" s="119"/>
      <c r="I235" s="119"/>
      <c r="J235" s="119"/>
      <c r="K235" s="119"/>
      <c r="L235" s="119"/>
    </row>
    <row r="236" spans="3:12" x14ac:dyDescent="0.25">
      <c r="D236" s="117"/>
      <c r="E236" s="117"/>
      <c r="G236" s="53" t="str">
        <f>IFERROR(IF(Retenciones_mes9[[#This Row],[CUIT]]="","-",VLOOKUP(Retenciones_mes9[[#This Row],[CUIT]],Lista_CUIT[#All],2,0)),"CUIT NO CARGADO")</f>
        <v>-</v>
      </c>
    </row>
    <row r="237" spans="3:12" x14ac:dyDescent="0.25">
      <c r="C237" s="33"/>
    </row>
  </sheetData>
  <mergeCells count="20">
    <mergeCell ref="C230:G230"/>
    <mergeCell ref="B4:E4"/>
    <mergeCell ref="G4:H4"/>
    <mergeCell ref="J4:K4"/>
    <mergeCell ref="M4:N4"/>
    <mergeCell ref="D160:K160"/>
    <mergeCell ref="B198:J198"/>
    <mergeCell ref="K198:M198"/>
    <mergeCell ref="B200:C200"/>
    <mergeCell ref="B214:C214"/>
    <mergeCell ref="D138:M138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216:L221" xr:uid="{00000000-0002-0000-0900-000000000000}">
      <formula1>IF($C216=8,H216&lt;0,H216&gt;=0)</formula1>
    </dataValidation>
    <dataValidation type="custom" allowBlank="1" showInputMessage="1" showErrorMessage="1" sqref="L203" xr:uid="{00000000-0002-0000-0900-000001000000}">
      <formula1>IF($C95=3,L95&lt;0,L95&gt;=0)</formula1>
    </dataValidation>
    <dataValidation type="custom" allowBlank="1" showInputMessage="1" showErrorMessage="1" sqref="L204:L206" xr:uid="{00000000-0002-0000-0900-000002000000}">
      <formula1>IF(#REF!=3,#REF!&lt;0,#REF!&gt;=0)</formula1>
    </dataValidation>
    <dataValidation type="whole" allowBlank="1" showInputMessage="1" showErrorMessage="1" sqref="C216:C221" xr:uid="{00000000-0002-0000-0900-000003000000}">
      <formula1>6</formula1>
      <formula2>8</formula2>
    </dataValidation>
    <dataValidation type="custom" allowBlank="1" showInputMessage="1" showErrorMessage="1" sqref="H202:K202 H204:K204 H206:K206 H208:K208" xr:uid="{00000000-0002-0000-0900-000004000000}">
      <formula1>IF($C202=3,H202&lt;0,H202&gt;=0)</formula1>
    </dataValidation>
    <dataValidation type="whole" allowBlank="1" showInputMessage="1" showErrorMessage="1" sqref="C202:C210 C134:C137 C9:C132" xr:uid="{00000000-0002-0000-0900-000005000000}">
      <formula1>1</formula1>
      <formula2>3</formula2>
    </dataValidation>
    <dataValidation type="date" allowBlank="1" showInputMessage="1" showErrorMessage="1" sqref="D140:D155 B202:B210 B134:B137 B216:B221 D162:D191 B9:B132" xr:uid="{00000000-0002-0000-0900-000006000000}">
      <formula1>40179</formula1>
      <formula2>TODAY()</formula2>
    </dataValidation>
    <dataValidation type="whole" allowBlank="1" showInputMessage="1" showErrorMessage="1" sqref="F216:F221 F202:F210 G162:G191 F9:F132" xr:uid="{00000000-0002-0000-0900-000007000000}">
      <formula1>20000000000</formula1>
      <formula2>33999999999</formula2>
    </dataValidation>
    <dataValidation type="whole" allowBlank="1" showInputMessage="1" showErrorMessage="1" sqref="E202:E210 E216:E221 F162:F191 E9:E132" xr:uid="{00000000-0002-0000-0900-000008000000}">
      <formula1>1</formula1>
      <formula2>99999999</formula2>
    </dataValidation>
    <dataValidation type="whole" allowBlank="1" showInputMessage="1" showErrorMessage="1" sqref="D202:D210 D216:D221 E162:E191 D9:D132" xr:uid="{00000000-0002-0000-0900-000009000000}">
      <formula1>1</formula1>
      <formula2>9999</formula2>
    </dataValidation>
    <dataValidation type="custom" allowBlank="1" showInputMessage="1" showErrorMessage="1" sqref="L202" xr:uid="{00000000-0002-0000-0900-00000A000000}">
      <formula1>IF($C9=3,L9&lt;0,L9&gt;=0)</formula1>
    </dataValidation>
    <dataValidation type="custom" allowBlank="1" showInputMessage="1" showErrorMessage="1" sqref="L207:L208" xr:uid="{00000000-0002-0000-0900-00000B000000}">
      <formula1>IF($C133=3,L133&lt;0,L133&gt;=0)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2" xr:uid="{00000000-0002-0000-09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A1:Z254"/>
  <sheetViews>
    <sheetView showGridLines="0" topLeftCell="E154" zoomScale="70" zoomScaleNormal="70" workbookViewId="0">
      <selection activeCell="G113" sqref="G113"/>
    </sheetView>
  </sheetViews>
  <sheetFormatPr baseColWidth="10" defaultColWidth="15.7109375" defaultRowHeight="15" x14ac:dyDescent="0.25"/>
  <cols>
    <col min="1" max="1" width="8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4.85546875" customWidth="1"/>
    <col min="7" max="7" width="23.140625" customWidth="1"/>
    <col min="8" max="8" width="20" customWidth="1"/>
    <col min="9" max="9" width="15.42578125" customWidth="1"/>
    <col min="10" max="11" width="13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EDATE('Ene-25'!N1,9)</f>
        <v>45931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SUM(compras_mes103[[#Totals],[NETO GRAVADO]])+extracto_banco_mes1055[[#Totals],[NETO]]</f>
        <v>51294805.670000002</v>
      </c>
      <c r="C4" s="626"/>
      <c r="D4" s="626"/>
      <c r="E4" s="626"/>
      <c r="F4" s="39"/>
      <c r="G4" s="627">
        <f>compras_mes103[[#Totals],[IVA 21 %]]+compras_mes103[[#Totals],[IVA 27%]]+compras_mes103[[#Totals],[IVA 10,5%]]+extracto_banco_mes1055[[#Totals],[IVA 21%]]+extracto_banco_mes1055[[#Totals],[IVA 10,5%]]</f>
        <v>10572864.737550005</v>
      </c>
      <c r="H4" s="627"/>
      <c r="I4" s="39"/>
      <c r="J4" s="628">
        <f>venta_a_mes1053[[#Totals],[IMPORTE NETO]]+ventas_b_mes1054[[#Totals],[IMPORTE NETO]]</f>
        <v>0</v>
      </c>
      <c r="K4" s="628"/>
      <c r="L4" s="39"/>
      <c r="M4" s="628">
        <f>venta_a_mes1053[[#Totals],[IVA 21%]]+venta_a_mes1053[[#Totals],[IVA 10,5%]]+ventas_b_mes1054[[#Totals],[IVA 21%]]+ventas_b_mes1054[[#Totals],[IVA 10,5%]]</f>
        <v>0</v>
      </c>
      <c r="N4" s="628"/>
      <c r="O4" s="39"/>
      <c r="P4" s="616">
        <f>G4-M4</f>
        <v>10572864.737550005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thickBo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thickBot="1" x14ac:dyDescent="0.3">
      <c r="B8" s="353" t="s">
        <v>0</v>
      </c>
      <c r="C8" s="354" t="s">
        <v>1</v>
      </c>
      <c r="D8" s="354" t="s">
        <v>2</v>
      </c>
      <c r="E8" s="354" t="s">
        <v>27</v>
      </c>
      <c r="F8" s="354" t="s">
        <v>3</v>
      </c>
      <c r="G8" s="354" t="s">
        <v>4</v>
      </c>
      <c r="H8" s="354" t="s">
        <v>34</v>
      </c>
      <c r="I8" s="354" t="s">
        <v>35</v>
      </c>
      <c r="J8" s="354" t="s">
        <v>6</v>
      </c>
      <c r="K8" s="354" t="s">
        <v>7</v>
      </c>
      <c r="L8" s="354" t="s">
        <v>8</v>
      </c>
      <c r="M8" s="354" t="s">
        <v>33</v>
      </c>
      <c r="N8" s="354" t="s">
        <v>9</v>
      </c>
      <c r="O8" s="354" t="s">
        <v>36</v>
      </c>
      <c r="P8" s="354" t="s">
        <v>10</v>
      </c>
      <c r="Q8" s="354" t="s">
        <v>11</v>
      </c>
      <c r="R8" s="355" t="s">
        <v>38</v>
      </c>
    </row>
    <row r="9" spans="1:26" x14ac:dyDescent="0.25">
      <c r="B9" s="259"/>
      <c r="C9" s="270"/>
      <c r="D9" s="260"/>
      <c r="E9" s="261"/>
      <c r="F9" s="262">
        <v>30716046091</v>
      </c>
      <c r="G9" s="263" t="str">
        <f>IFERROR(IF(compras_mes103[[#This Row],[CUIT]]="","-",VLOOKUP(compras_mes103[[#This Row],[CUIT]],Lista_CUIT[#All],2,0)),"CUIT NO CARGADO")</f>
        <v>GOU TURISMO EJECUTIVO SRL</v>
      </c>
      <c r="H9" s="264">
        <v>400000</v>
      </c>
      <c r="I9" s="513"/>
      <c r="J9" s="513"/>
      <c r="K9" s="513">
        <f>compras_mes103[[#This Row],[NETO GRAVADO]]*0.105</f>
        <v>42000</v>
      </c>
      <c r="L9" s="513"/>
      <c r="M9" s="513"/>
      <c r="N9" s="513"/>
      <c r="O9" s="513"/>
      <c r="P9" s="514">
        <f>SUM(compras_mes103[[#This Row],[NETO GRAVADO]:[Otros / No Grav.]])</f>
        <v>442000</v>
      </c>
      <c r="Q9" s="515" t="str">
        <f>IFERROR(IF(compras_mes103[[#This Row],[CUIT]]="","-",VLOOKUP(compras_mes103[[#This Row],[CUIT]],Lista_CUIT[#All],3,0)),"CUIT NO CARGADO")</f>
        <v>Flete</v>
      </c>
      <c r="R9" s="515">
        <f>IFERROR(IF(compras_mes103[[#This Row],[CUIT]]="","-",VLOOKUP(compras_mes103[[#This Row],[CUIT]],Lista_CUIT[#All],4,0)),"CUIT NO CARGADO")</f>
        <v>0</v>
      </c>
    </row>
    <row r="10" spans="1:26" x14ac:dyDescent="0.25">
      <c r="B10" s="259"/>
      <c r="C10" s="270"/>
      <c r="D10" s="260"/>
      <c r="E10" s="261"/>
      <c r="F10" s="262">
        <v>30715141201</v>
      </c>
      <c r="G10" s="263" t="str">
        <f>IFERROR(IF(compras_mes103[[#This Row],[CUIT]]="","-",VLOOKUP(compras_mes103[[#This Row],[CUIT]],Lista_CUIT[#All],2,0)),"CUIT NO CARGADO")</f>
        <v>REHAB SRL</v>
      </c>
      <c r="H10" s="264">
        <v>2411808.75</v>
      </c>
      <c r="I10" s="513">
        <f>IF(compras_mes103[[#This Row],[NETO GRAVADO]]="","",compras_mes103[[#This Row],[NETO GRAVADO]]*0.21)</f>
        <v>506479.83749999997</v>
      </c>
      <c r="J10" s="513"/>
      <c r="K10" s="513"/>
      <c r="L10" s="513"/>
      <c r="M10" s="513"/>
      <c r="N10" s="513"/>
      <c r="O10" s="513"/>
      <c r="P10" s="514">
        <f>SUM(compras_mes103[[#This Row],[NETO GRAVADO]:[Otros / No Grav.]])</f>
        <v>2918288.5874999999</v>
      </c>
      <c r="Q10" s="515" t="str">
        <f>IFERROR(IF(compras_mes103[[#This Row],[CUIT]]="","-",VLOOKUP(compras_mes103[[#This Row],[CUIT]],Lista_CUIT[#All],3,0)),"CUIT NO CARGADO")</f>
        <v>INSUMO</v>
      </c>
      <c r="R10" s="515">
        <f>IFERROR(IF(compras_mes103[[#This Row],[CUIT]]="","-",VLOOKUP(compras_mes103[[#This Row],[CUIT]],Lista_CUIT[#All],4,0)),"CUIT NO CARGADO")</f>
        <v>0</v>
      </c>
    </row>
    <row r="11" spans="1:26" x14ac:dyDescent="0.25">
      <c r="B11" s="40"/>
      <c r="C11" s="270"/>
      <c r="D11" s="260"/>
      <c r="E11" s="261"/>
      <c r="F11" s="262">
        <v>30715141201</v>
      </c>
      <c r="G11" s="263" t="str">
        <f>IFERROR(IF(compras_mes103[[#This Row],[CUIT]]="","-",VLOOKUP(compras_mes103[[#This Row],[CUIT]],Lista_CUIT[#All],2,0)),"CUIT NO CARGADO")</f>
        <v>REHAB SRL</v>
      </c>
      <c r="H11" s="264">
        <v>14480733.75</v>
      </c>
      <c r="I11" s="513">
        <f>IF(compras_mes103[[#This Row],[NETO GRAVADO]]="","",compras_mes103[[#This Row],[NETO GRAVADO]]*0.21)</f>
        <v>3040954.0874999999</v>
      </c>
      <c r="J11" s="513"/>
      <c r="K11" s="513"/>
      <c r="L11" s="513"/>
      <c r="M11" s="513"/>
      <c r="N11" s="513"/>
      <c r="O11" s="513"/>
      <c r="P11" s="514">
        <f>SUM(compras_mes103[[#This Row],[NETO GRAVADO]:[Otros / No Grav.]])</f>
        <v>17521687.837499999</v>
      </c>
      <c r="Q11" s="515" t="str">
        <f>IFERROR(IF(compras_mes103[[#This Row],[CUIT]]="","-",VLOOKUP(compras_mes103[[#This Row],[CUIT]],Lista_CUIT[#All],3,0)),"CUIT NO CARGADO")</f>
        <v>INSUMO</v>
      </c>
      <c r="R11" s="49">
        <f>IFERROR(IF(compras_mes103[[#This Row],[CUIT]]="","-",VLOOKUP(compras_mes103[[#This Row],[CUIT]],Lista_CUIT[#All],4,0)),"CUIT NO CARGADO")</f>
        <v>0</v>
      </c>
    </row>
    <row r="12" spans="1:26" x14ac:dyDescent="0.25">
      <c r="B12" s="259"/>
      <c r="C12" s="270"/>
      <c r="D12" s="260"/>
      <c r="E12" s="261"/>
      <c r="F12" s="262">
        <v>30715141201</v>
      </c>
      <c r="G12" s="263" t="str">
        <f>IFERROR(IF(compras_mes103[[#This Row],[CUIT]]="","-",VLOOKUP(compras_mes103[[#This Row],[CUIT]],Lista_CUIT[#All],2,0)),"CUIT NO CARGADO")</f>
        <v>REHAB SRL</v>
      </c>
      <c r="H12" s="264">
        <v>1647975</v>
      </c>
      <c r="I12" s="513">
        <f>IF(compras_mes103[[#This Row],[NETO GRAVADO]]="","",compras_mes103[[#This Row],[NETO GRAVADO]]*0.21)</f>
        <v>346074.75</v>
      </c>
      <c r="J12" s="513"/>
      <c r="K12" s="513"/>
      <c r="L12" s="513"/>
      <c r="M12" s="513"/>
      <c r="N12" s="513"/>
      <c r="O12" s="513"/>
      <c r="P12" s="514">
        <f>SUM(compras_mes103[[#This Row],[NETO GRAVADO]:[Otros / No Grav.]])</f>
        <v>1994049.75</v>
      </c>
      <c r="Q12" s="515" t="str">
        <f>IFERROR(IF(compras_mes103[[#This Row],[CUIT]]="","-",VLOOKUP(compras_mes103[[#This Row],[CUIT]],Lista_CUIT[#All],3,0)),"CUIT NO CARGADO")</f>
        <v>INSUMO</v>
      </c>
      <c r="R12" s="515">
        <f>IFERROR(IF(compras_mes103[[#This Row],[CUIT]]="","-",VLOOKUP(compras_mes103[[#This Row],[CUIT]],Lista_CUIT[#All],4,0)),"CUIT NO CARGADO")</f>
        <v>0</v>
      </c>
    </row>
    <row r="13" spans="1:26" x14ac:dyDescent="0.25">
      <c r="B13" s="259"/>
      <c r="C13" s="270"/>
      <c r="D13" s="260"/>
      <c r="E13" s="261"/>
      <c r="F13" s="262">
        <v>30715141201</v>
      </c>
      <c r="G13" s="263" t="str">
        <f>IFERROR(IF(compras_mes103[[#This Row],[CUIT]]="","-",VLOOKUP(compras_mes103[[#This Row],[CUIT]],Lista_CUIT[#All],2,0)),"CUIT NO CARGADO")</f>
        <v>REHAB SRL</v>
      </c>
      <c r="H13" s="264">
        <v>206561.25</v>
      </c>
      <c r="I13" s="513">
        <f>IF(compras_mes103[[#This Row],[NETO GRAVADO]]="","",compras_mes103[[#This Row],[NETO GRAVADO]]*0.21)</f>
        <v>43377.862499999996</v>
      </c>
      <c r="J13" s="513"/>
      <c r="K13" s="513"/>
      <c r="L13" s="513"/>
      <c r="M13" s="513"/>
      <c r="N13" s="513"/>
      <c r="O13" s="513"/>
      <c r="P13" s="514">
        <f>SUM(compras_mes103[[#This Row],[NETO GRAVADO]:[Otros / No Grav.]])</f>
        <v>249939.11249999999</v>
      </c>
      <c r="Q13" s="515" t="str">
        <f>IFERROR(IF(compras_mes103[[#This Row],[CUIT]]="","-",VLOOKUP(compras_mes103[[#This Row],[CUIT]],Lista_CUIT[#All],3,0)),"CUIT NO CARGADO")</f>
        <v>INSUMO</v>
      </c>
      <c r="R13" s="515">
        <f>IFERROR(IF(compras_mes103[[#This Row],[CUIT]]="","-",VLOOKUP(compras_mes103[[#This Row],[CUIT]],Lista_CUIT[#All],4,0)),"CUIT NO CARGADO")</f>
        <v>0</v>
      </c>
    </row>
    <row r="14" spans="1:26" x14ac:dyDescent="0.25">
      <c r="B14" s="259"/>
      <c r="C14" s="270"/>
      <c r="D14" s="260"/>
      <c r="E14" s="261"/>
      <c r="F14" s="262">
        <v>30714864269</v>
      </c>
      <c r="G14" s="263" t="str">
        <f>IFERROR(IF(compras_mes103[[#This Row],[CUIT]]="","-",VLOOKUP(compras_mes103[[#This Row],[CUIT]],Lista_CUIT[#All],2,0)),"CUIT NO CARGADO")</f>
        <v>CONTABILIUM S.A. S. A.</v>
      </c>
      <c r="H14" s="264">
        <v>184800</v>
      </c>
      <c r="I14" s="513">
        <f>IF(compras_mes103[[#This Row],[NETO GRAVADO]]="","",compras_mes103[[#This Row],[NETO GRAVADO]]*0.21)</f>
        <v>38808</v>
      </c>
      <c r="J14" s="513"/>
      <c r="K14" s="513"/>
      <c r="L14" s="513"/>
      <c r="M14" s="513"/>
      <c r="N14" s="513"/>
      <c r="O14" s="513"/>
      <c r="P14" s="514">
        <f>SUM(compras_mes103[[#This Row],[NETO GRAVADO]:[Otros / No Grav.]])</f>
        <v>223608</v>
      </c>
      <c r="Q14" s="515" t="str">
        <f>IFERROR(IF(compras_mes103[[#This Row],[CUIT]]="","-",VLOOKUP(compras_mes103[[#This Row],[CUIT]],Lista_CUIT[#All],3,0)),"CUIT NO CARGADO")</f>
        <v>USUARIO CONTABLE</v>
      </c>
      <c r="R14" s="515">
        <f>IFERROR(IF(compras_mes103[[#This Row],[CUIT]]="","-",VLOOKUP(compras_mes103[[#This Row],[CUIT]],Lista_CUIT[#All],4,0)),"CUIT NO CARGADO")</f>
        <v>0</v>
      </c>
    </row>
    <row r="15" spans="1:26" x14ac:dyDescent="0.25">
      <c r="B15" s="259"/>
      <c r="C15" s="270"/>
      <c r="D15" s="260"/>
      <c r="E15" s="261"/>
      <c r="F15" s="262">
        <v>33716307749</v>
      </c>
      <c r="G15" s="263" t="str">
        <f>IFERROR(IF(compras_mes103[[#This Row],[CUIT]]="","-",VLOOKUP(compras_mes103[[#This Row],[CUIT]],Lista_CUIT[#All],2,0)),"CUIT NO CARGADO")</f>
        <v>VERISURE ARGENTINA MONITOREO DE ALARMAS SA</v>
      </c>
      <c r="H15" s="264">
        <v>62349.01</v>
      </c>
      <c r="I15" s="513">
        <f>IF(compras_mes103[[#This Row],[NETO GRAVADO]]="","",compras_mes103[[#This Row],[NETO GRAVADO]]*0.21)</f>
        <v>13093.292100000001</v>
      </c>
      <c r="J15" s="513"/>
      <c r="K15" s="513"/>
      <c r="L15" s="513"/>
      <c r="M15" s="513"/>
      <c r="N15" s="513"/>
      <c r="O15" s="513">
        <v>2493.96</v>
      </c>
      <c r="P15" s="514">
        <f>SUM(compras_mes103[[#This Row],[NETO GRAVADO]:[Otros / No Grav.]])</f>
        <v>77936.262100000007</v>
      </c>
      <c r="Q15" s="515" t="str">
        <f>IFERROR(IF(compras_mes103[[#This Row],[CUIT]]="","-",VLOOKUP(compras_mes103[[#This Row],[CUIT]],Lista_CUIT[#All],3,0)),"CUIT NO CARGADO")</f>
        <v>Serv. Seguridad</v>
      </c>
      <c r="R15" s="515">
        <f>IFERROR(IF(compras_mes103[[#This Row],[CUIT]]="","-",VLOOKUP(compras_mes103[[#This Row],[CUIT]],Lista_CUIT[#All],4,0)),"CUIT NO CARGADO")</f>
        <v>0</v>
      </c>
    </row>
    <row r="16" spans="1:26" x14ac:dyDescent="0.25">
      <c r="B16" s="40"/>
      <c r="C16" s="270"/>
      <c r="D16" s="260"/>
      <c r="E16" s="261"/>
      <c r="F16" s="262">
        <v>27243660535</v>
      </c>
      <c r="G16" s="263" t="str">
        <f>IFERROR(IF(compras_mes103[[#This Row],[CUIT]]="","-",VLOOKUP(compras_mes103[[#This Row],[CUIT]],Lista_CUIT[#All],2,0)),"CUIT NO CARGADO")</f>
        <v>BARD MARISA SILVIA</v>
      </c>
      <c r="H16" s="264">
        <v>474914.87</v>
      </c>
      <c r="I16" s="513">
        <f>IF(compras_mes103[[#This Row],[NETO GRAVADO]]="","",compras_mes103[[#This Row],[NETO GRAVADO]]*0.21)</f>
        <v>99732.122699999993</v>
      </c>
      <c r="J16" s="513"/>
      <c r="K16" s="513"/>
      <c r="L16" s="513"/>
      <c r="M16" s="513"/>
      <c r="N16" s="513"/>
      <c r="O16" s="513"/>
      <c r="P16" s="514">
        <f>SUM(compras_mes103[[#This Row],[NETO GRAVADO]:[Otros / No Grav.]])</f>
        <v>574646.99269999994</v>
      </c>
      <c r="Q16" s="515" t="str">
        <f>IFERROR(IF(compras_mes103[[#This Row],[CUIT]]="","-",VLOOKUP(compras_mes103[[#This Row],[CUIT]],Lista_CUIT[#All],3,0)),"CUIT NO CARGADO")</f>
        <v>Insumos</v>
      </c>
      <c r="R16" s="515">
        <f>IFERROR(IF(compras_mes103[[#This Row],[CUIT]]="","-",VLOOKUP(compras_mes103[[#This Row],[CUIT]],Lista_CUIT[#All],4,0)),"CUIT NO CARGADO")</f>
        <v>0</v>
      </c>
    </row>
    <row r="17" spans="2:18" x14ac:dyDescent="0.25">
      <c r="B17" s="259"/>
      <c r="C17" s="270"/>
      <c r="D17" s="260"/>
      <c r="E17" s="261"/>
      <c r="F17" s="262">
        <v>27243660535</v>
      </c>
      <c r="G17" s="263" t="str">
        <f>IFERROR(IF(compras_mes103[[#This Row],[CUIT]]="","-",VLOOKUP(compras_mes103[[#This Row],[CUIT]],Lista_CUIT[#All],2,0)),"CUIT NO CARGADO")</f>
        <v>BARD MARISA SILVIA</v>
      </c>
      <c r="H17" s="264">
        <v>474914.87</v>
      </c>
      <c r="I17" s="513">
        <f>IF(compras_mes103[[#This Row],[NETO GRAVADO]]="","",compras_mes103[[#This Row],[NETO GRAVADO]]*0.21)</f>
        <v>99732.122699999993</v>
      </c>
      <c r="J17" s="513"/>
      <c r="K17" s="513"/>
      <c r="L17" s="513"/>
      <c r="M17" s="513"/>
      <c r="N17" s="513"/>
      <c r="O17" s="513"/>
      <c r="P17" s="514">
        <f>SUM(compras_mes103[[#This Row],[NETO GRAVADO]:[Otros / No Grav.]])</f>
        <v>574646.99269999994</v>
      </c>
      <c r="Q17" s="515" t="str">
        <f>IFERROR(IF(compras_mes103[[#This Row],[CUIT]]="","-",VLOOKUP(compras_mes103[[#This Row],[CUIT]],Lista_CUIT[#All],3,0)),"CUIT NO CARGADO")</f>
        <v>Insumos</v>
      </c>
      <c r="R17" s="515">
        <f>IFERROR(IF(compras_mes103[[#This Row],[CUIT]]="","-",VLOOKUP(compras_mes103[[#This Row],[CUIT]],Lista_CUIT[#All],4,0)),"CUIT NO CARGADO")</f>
        <v>0</v>
      </c>
    </row>
    <row r="18" spans="2:18" x14ac:dyDescent="0.25">
      <c r="B18" s="40"/>
      <c r="C18" s="270"/>
      <c r="D18" s="260"/>
      <c r="E18" s="261"/>
      <c r="F18" s="262">
        <v>20276761111</v>
      </c>
      <c r="G18" s="263" t="str">
        <f>IFERROR(IF(compras_mes103[[#This Row],[CUIT]]="","-",VLOOKUP(compras_mes103[[#This Row],[CUIT]],Lista_CUIT[#All],2,0)),"CUIT NO CARGADO")</f>
        <v>AQUINO WILSON GUSTAVO UBALDO</v>
      </c>
      <c r="H18" s="264">
        <v>49950</v>
      </c>
      <c r="I18" s="513">
        <f>IF(compras_mes103[[#This Row],[NETO GRAVADO]]="","",compras_mes103[[#This Row],[NETO GRAVADO]]*0.21)</f>
        <v>10489.5</v>
      </c>
      <c r="J18" s="513"/>
      <c r="K18" s="513"/>
      <c r="L18" s="513"/>
      <c r="M18" s="513"/>
      <c r="N18" s="513"/>
      <c r="O18" s="513"/>
      <c r="P18" s="514">
        <f>SUM(compras_mes103[[#This Row],[NETO GRAVADO]:[Otros / No Grav.]])</f>
        <v>60439.5</v>
      </c>
      <c r="Q18" s="515" t="str">
        <f>IFERROR(IF(compras_mes103[[#This Row],[CUIT]]="","-",VLOOKUP(compras_mes103[[#This Row],[CUIT]],Lista_CUIT[#All],3,0)),"CUIT NO CARGADO")</f>
        <v>Insumos</v>
      </c>
      <c r="R18" s="515">
        <f>IFERROR(IF(compras_mes103[[#This Row],[CUIT]]="","-",VLOOKUP(compras_mes103[[#This Row],[CUIT]],Lista_CUIT[#All],4,0)),"CUIT NO CARGADO")</f>
        <v>0</v>
      </c>
    </row>
    <row r="19" spans="2:18" x14ac:dyDescent="0.25">
      <c r="B19" s="40"/>
      <c r="C19" s="270"/>
      <c r="D19" s="260"/>
      <c r="E19" s="261"/>
      <c r="F19" s="262">
        <v>30605344352</v>
      </c>
      <c r="G19" s="263" t="str">
        <f>IFERROR(IF(compras_mes103[[#This Row],[CUIT]]="","-",VLOOKUP(compras_mes103[[#This Row],[CUIT]],Lista_CUIT[#All],2,0)),"CUIT NO CARGADO")</f>
        <v>CONSORCIO BARTOLME MITRE 2466</v>
      </c>
      <c r="H19" s="264">
        <v>2160580.9900000002</v>
      </c>
      <c r="I19" s="513">
        <f>IF(compras_mes103[[#This Row],[NETO GRAVADO]]="","",compras_mes103[[#This Row],[NETO GRAVADO]]*0.21)</f>
        <v>453722.00790000003</v>
      </c>
      <c r="J19" s="513"/>
      <c r="K19" s="513"/>
      <c r="L19" s="513"/>
      <c r="M19" s="513"/>
      <c r="N19" s="513"/>
      <c r="O19" s="513"/>
      <c r="P19" s="514">
        <f>SUM(compras_mes103[[#This Row],[NETO GRAVADO]:[Otros / No Grav.]])</f>
        <v>2614302.9979000003</v>
      </c>
      <c r="Q19" s="515" t="str">
        <f>IFERROR(IF(compras_mes103[[#This Row],[CUIT]]="","-",VLOOKUP(compras_mes103[[#This Row],[CUIT]],Lista_CUIT[#All],3,0)),"CUIT NO CARGADO")</f>
        <v>ALQUILER LOCAL</v>
      </c>
      <c r="R19" s="515">
        <f>IFERROR(IF(compras_mes103[[#This Row],[CUIT]]="","-",VLOOKUP(compras_mes103[[#This Row],[CUIT]],Lista_CUIT[#All],4,0)),"CUIT NO CARGADO")</f>
        <v>0</v>
      </c>
    </row>
    <row r="20" spans="2:18" x14ac:dyDescent="0.25">
      <c r="B20" s="526"/>
      <c r="C20" s="527"/>
      <c r="D20" s="373"/>
      <c r="E20" s="374"/>
      <c r="F20" s="375">
        <v>20272865869</v>
      </c>
      <c r="G20" s="376" t="str">
        <f>IFERROR(IF(compras_mes103[[#This Row],[CUIT]]="","-",VLOOKUP(compras_mes103[[#This Row],[CUIT]],Lista_CUIT[#All],2,0)),"CUIT NO CARGADO")</f>
        <v>DI FEO MARTIN EZEQUIEL</v>
      </c>
      <c r="H20" s="377">
        <v>69400</v>
      </c>
      <c r="I20" s="513">
        <f>IF(compras_mes103[[#This Row],[NETO GRAVADO]]="","",compras_mes103[[#This Row],[NETO GRAVADO]]*0.21)</f>
        <v>14574</v>
      </c>
      <c r="J20" s="528"/>
      <c r="K20" s="528"/>
      <c r="L20" s="528"/>
      <c r="M20" s="528"/>
      <c r="N20" s="528"/>
      <c r="O20" s="528"/>
      <c r="P20" s="529">
        <f>SUM(compras_mes103[[#This Row],[NETO GRAVADO]:[Otros / No Grav.]])</f>
        <v>83974</v>
      </c>
      <c r="Q20" s="530" t="str">
        <f>IFERROR(IF(compras_mes103[[#This Row],[CUIT]]="","-",VLOOKUP(compras_mes103[[#This Row],[CUIT]],Lista_CUIT[#All],3,0)),"CUIT NO CARGADO")</f>
        <v>INSUMOS</v>
      </c>
      <c r="R20" s="530">
        <f>IFERROR(IF(compras_mes103[[#This Row],[CUIT]]="","-",VLOOKUP(compras_mes103[[#This Row],[CUIT]],Lista_CUIT[#All],4,0)),"CUIT NO CARGADO")</f>
        <v>0</v>
      </c>
    </row>
    <row r="21" spans="2:18" x14ac:dyDescent="0.25">
      <c r="B21" s="259"/>
      <c r="C21" s="270"/>
      <c r="D21" s="260"/>
      <c r="E21" s="261"/>
      <c r="F21" s="262">
        <v>20272865869</v>
      </c>
      <c r="G21" s="263" t="str">
        <f>IFERROR(IF(compras_mes103[[#This Row],[CUIT]]="","-",VLOOKUP(compras_mes103[[#This Row],[CUIT]],Lista_CUIT[#All],2,0)),"CUIT NO CARGADO")</f>
        <v>DI FEO MARTIN EZEQUIEL</v>
      </c>
      <c r="H21" s="264">
        <v>309200</v>
      </c>
      <c r="I21" s="513">
        <f>IF(compras_mes103[[#This Row],[NETO GRAVADO]]="","",compras_mes103[[#This Row],[NETO GRAVADO]]*0.21)</f>
        <v>64932</v>
      </c>
      <c r="J21" s="513"/>
      <c r="K21" s="513"/>
      <c r="L21" s="513"/>
      <c r="M21" s="513"/>
      <c r="N21" s="513"/>
      <c r="O21" s="513"/>
      <c r="P21" s="514">
        <f>SUM(compras_mes103[[#This Row],[NETO GRAVADO]:[Otros / No Grav.]])</f>
        <v>374132</v>
      </c>
      <c r="Q21" s="515" t="str">
        <f>IFERROR(IF(compras_mes103[[#This Row],[CUIT]]="","-",VLOOKUP(compras_mes103[[#This Row],[CUIT]],Lista_CUIT[#All],3,0)),"CUIT NO CARGADO")</f>
        <v>INSUMOS</v>
      </c>
      <c r="R21" s="515">
        <f>IFERROR(IF(compras_mes103[[#This Row],[CUIT]]="","-",VLOOKUP(compras_mes103[[#This Row],[CUIT]],Lista_CUIT[#All],4,0)),"CUIT NO CARGADO")</f>
        <v>0</v>
      </c>
    </row>
    <row r="22" spans="2:18" x14ac:dyDescent="0.25">
      <c r="B22" s="259"/>
      <c r="C22" s="270"/>
      <c r="D22" s="260"/>
      <c r="E22" s="261"/>
      <c r="F22" s="262">
        <v>20272865869</v>
      </c>
      <c r="G22" s="263" t="str">
        <f>IFERROR(IF(compras_mes103[[#This Row],[CUIT]]="","-",VLOOKUP(compras_mes103[[#This Row],[CUIT]],Lista_CUIT[#All],2,0)),"CUIT NO CARGADO")</f>
        <v>DI FEO MARTIN EZEQUIEL</v>
      </c>
      <c r="H22" s="264">
        <v>66700</v>
      </c>
      <c r="I22" s="513">
        <f>IF(compras_mes103[[#This Row],[NETO GRAVADO]]="","",compras_mes103[[#This Row],[NETO GRAVADO]]*0.21)</f>
        <v>14007</v>
      </c>
      <c r="J22" s="513"/>
      <c r="K22" s="513"/>
      <c r="L22" s="513"/>
      <c r="M22" s="513"/>
      <c r="N22" s="513"/>
      <c r="O22" s="513"/>
      <c r="P22" s="514">
        <f>SUM(compras_mes103[[#This Row],[NETO GRAVADO]:[Otros / No Grav.]])</f>
        <v>80707</v>
      </c>
      <c r="Q22" s="515" t="str">
        <f>IFERROR(IF(compras_mes103[[#This Row],[CUIT]]="","-",VLOOKUP(compras_mes103[[#This Row],[CUIT]],Lista_CUIT[#All],3,0)),"CUIT NO CARGADO")</f>
        <v>INSUMOS</v>
      </c>
      <c r="R22" s="515">
        <f>IFERROR(IF(compras_mes103[[#This Row],[CUIT]]="","-",VLOOKUP(compras_mes103[[#This Row],[CUIT]],Lista_CUIT[#All],4,0)),"CUIT NO CARGADO")</f>
        <v>0</v>
      </c>
    </row>
    <row r="23" spans="2:18" x14ac:dyDescent="0.25">
      <c r="B23" s="40"/>
      <c r="C23" s="270"/>
      <c r="D23" s="260"/>
      <c r="E23" s="261"/>
      <c r="F23" s="262">
        <v>20272865869</v>
      </c>
      <c r="G23" s="263" t="str">
        <f>IFERROR(IF(compras_mes103[[#This Row],[CUIT]]="","-",VLOOKUP(compras_mes103[[#This Row],[CUIT]],Lista_CUIT[#All],2,0)),"CUIT NO CARGADO")</f>
        <v>DI FEO MARTIN EZEQUIEL</v>
      </c>
      <c r="H23" s="264">
        <v>155200</v>
      </c>
      <c r="I23" s="513">
        <f>IF(compras_mes103[[#This Row],[NETO GRAVADO]]="","",compras_mes103[[#This Row],[NETO GRAVADO]]*0.21)</f>
        <v>32592</v>
      </c>
      <c r="J23" s="513"/>
      <c r="K23" s="513"/>
      <c r="L23" s="513"/>
      <c r="M23" s="513"/>
      <c r="N23" s="513"/>
      <c r="O23" s="513"/>
      <c r="P23" s="514">
        <f>SUM(compras_mes103[[#This Row],[NETO GRAVADO]:[Otros / No Grav.]])</f>
        <v>187792</v>
      </c>
      <c r="Q23" s="515" t="str">
        <f>IFERROR(IF(compras_mes103[[#This Row],[CUIT]]="","-",VLOOKUP(compras_mes103[[#This Row],[CUIT]],Lista_CUIT[#All],3,0)),"CUIT NO CARGADO")</f>
        <v>INSUMOS</v>
      </c>
      <c r="R23" s="515">
        <f>IFERROR(IF(compras_mes103[[#This Row],[CUIT]]="","-",VLOOKUP(compras_mes103[[#This Row],[CUIT]],Lista_CUIT[#All],4,0)),"CUIT NO CARGADO")</f>
        <v>0</v>
      </c>
    </row>
    <row r="24" spans="2:18" x14ac:dyDescent="0.25">
      <c r="B24" s="40"/>
      <c r="C24" s="270"/>
      <c r="D24" s="260"/>
      <c r="E24" s="261"/>
      <c r="F24" s="262">
        <v>20272865869</v>
      </c>
      <c r="G24" s="263" t="str">
        <f>IFERROR(IF(compras_mes103[[#This Row],[CUIT]]="","-",VLOOKUP(compras_mes103[[#This Row],[CUIT]],Lista_CUIT[#All],2,0)),"CUIT NO CARGADO")</f>
        <v>DI FEO MARTIN EZEQUIEL</v>
      </c>
      <c r="H24" s="264">
        <v>157900</v>
      </c>
      <c r="I24" s="513">
        <f>IF(compras_mes103[[#This Row],[NETO GRAVADO]]="","",compras_mes103[[#This Row],[NETO GRAVADO]]*0.21)</f>
        <v>33159</v>
      </c>
      <c r="J24" s="513"/>
      <c r="K24" s="513"/>
      <c r="L24" s="513"/>
      <c r="M24" s="513"/>
      <c r="N24" s="513"/>
      <c r="O24" s="513"/>
      <c r="P24" s="514">
        <f>SUM(compras_mes103[[#This Row],[NETO GRAVADO]:[Otros / No Grav.]])</f>
        <v>191059</v>
      </c>
      <c r="Q24" s="515" t="str">
        <f>IFERROR(IF(compras_mes103[[#This Row],[CUIT]]="","-",VLOOKUP(compras_mes103[[#This Row],[CUIT]],Lista_CUIT[#All],3,0)),"CUIT NO CARGADO")</f>
        <v>INSUMOS</v>
      </c>
      <c r="R24" s="515">
        <f>IFERROR(IF(compras_mes103[[#This Row],[CUIT]]="","-",VLOOKUP(compras_mes103[[#This Row],[CUIT]],Lista_CUIT[#All],4,0)),"CUIT NO CARGADO")</f>
        <v>0</v>
      </c>
    </row>
    <row r="25" spans="2:18" x14ac:dyDescent="0.25">
      <c r="B25" s="40"/>
      <c r="C25" s="270"/>
      <c r="D25" s="260"/>
      <c r="E25" s="261"/>
      <c r="F25" s="262">
        <v>20272865869</v>
      </c>
      <c r="G25" s="263" t="str">
        <f>IFERROR(IF(compras_mes103[[#This Row],[CUIT]]="","-",VLOOKUP(compras_mes103[[#This Row],[CUIT]],Lista_CUIT[#All],2,0)),"CUIT NO CARGADO")</f>
        <v>DI FEO MARTIN EZEQUIEL</v>
      </c>
      <c r="H25" s="264">
        <v>28500</v>
      </c>
      <c r="I25" s="513">
        <f>IF(compras_mes103[[#This Row],[NETO GRAVADO]]="","",compras_mes103[[#This Row],[NETO GRAVADO]]*0.21)</f>
        <v>5985</v>
      </c>
      <c r="J25" s="513"/>
      <c r="K25" s="513"/>
      <c r="L25" s="513"/>
      <c r="M25" s="513"/>
      <c r="N25" s="513"/>
      <c r="O25" s="513"/>
      <c r="P25" s="514">
        <f>SUM(compras_mes103[[#This Row],[NETO GRAVADO]:[Otros / No Grav.]])</f>
        <v>34485</v>
      </c>
      <c r="Q25" s="515" t="str">
        <f>IFERROR(IF(compras_mes103[[#This Row],[CUIT]]="","-",VLOOKUP(compras_mes103[[#This Row],[CUIT]],Lista_CUIT[#All],3,0)),"CUIT NO CARGADO")</f>
        <v>INSUMOS</v>
      </c>
      <c r="R25" s="515">
        <f>IFERROR(IF(compras_mes103[[#This Row],[CUIT]]="","-",VLOOKUP(compras_mes103[[#This Row],[CUIT]],Lista_CUIT[#All],4,0)),"CUIT NO CARGADO")</f>
        <v>0</v>
      </c>
    </row>
    <row r="26" spans="2:18" x14ac:dyDescent="0.25">
      <c r="B26" s="40"/>
      <c r="C26" s="270"/>
      <c r="D26" s="260"/>
      <c r="E26" s="261"/>
      <c r="F26" s="262">
        <v>20263170017</v>
      </c>
      <c r="G26" s="263" t="str">
        <f>IFERROR(IF(compras_mes103[[#This Row],[CUIT]]="","-",VLOOKUP(compras_mes103[[#This Row],[CUIT]],Lista_CUIT[#All],2,0)),"CUIT NO CARGADO")</f>
        <v>ESPERANZA MIGUEL ANGEL</v>
      </c>
      <c r="H26" s="264">
        <v>17347.11</v>
      </c>
      <c r="I26" s="513">
        <f>IF(compras_mes103[[#This Row],[NETO GRAVADO]]="","",compras_mes103[[#This Row],[NETO GRAVADO]]*0.21)</f>
        <v>3642.8930999999998</v>
      </c>
      <c r="J26" s="513"/>
      <c r="K26" s="513"/>
      <c r="L26" s="513"/>
      <c r="M26" s="513"/>
      <c r="N26" s="513"/>
      <c r="O26" s="513"/>
      <c r="P26" s="514">
        <f>SUM(compras_mes103[[#This Row],[NETO GRAVADO]:[Otros / No Grav.]])</f>
        <v>20990.003100000002</v>
      </c>
      <c r="Q26" s="515" t="str">
        <f>IFERROR(IF(compras_mes103[[#This Row],[CUIT]]="","-",VLOOKUP(compras_mes103[[#This Row],[CUIT]],Lista_CUIT[#All],3,0)),"CUIT NO CARGADO")</f>
        <v>Limpieza</v>
      </c>
      <c r="R26" s="515">
        <f>IFERROR(IF(compras_mes103[[#This Row],[CUIT]]="","-",VLOOKUP(compras_mes103[[#This Row],[CUIT]],Lista_CUIT[#All],4,0)),"CUIT NO CARGADO")</f>
        <v>0</v>
      </c>
    </row>
    <row r="27" spans="2:18" x14ac:dyDescent="0.25">
      <c r="B27" s="259"/>
      <c r="C27" s="270"/>
      <c r="D27" s="260"/>
      <c r="E27" s="261"/>
      <c r="F27" s="262">
        <v>30643862928</v>
      </c>
      <c r="G27" s="263" t="str">
        <f>IFERROR(IF(compras_mes103[[#This Row],[CUIT]]="","-",VLOOKUP(compras_mes103[[#This Row],[CUIT]],Lista_CUIT[#All],2,0)),"CUIT NO CARGADO")</f>
        <v>OUTLANDISH SRL</v>
      </c>
      <c r="H27" s="264">
        <v>294876.03000000003</v>
      </c>
      <c r="I27" s="513">
        <f>IF(compras_mes103[[#This Row],[NETO GRAVADO]]="","",compras_mes103[[#This Row],[NETO GRAVADO]]*0.21)</f>
        <v>61923.9663</v>
      </c>
      <c r="J27" s="513"/>
      <c r="K27" s="513"/>
      <c r="L27" s="513"/>
      <c r="M27" s="513"/>
      <c r="N27" s="513"/>
      <c r="O27" s="513"/>
      <c r="P27" s="514">
        <f>SUM(compras_mes103[[#This Row],[NETO GRAVADO]:[Otros / No Grav.]])</f>
        <v>356799.9963</v>
      </c>
      <c r="Q27" s="515" t="str">
        <f>IFERROR(IF(compras_mes103[[#This Row],[CUIT]]="","-",VLOOKUP(compras_mes103[[#This Row],[CUIT]],Lista_CUIT[#All],3,0)),"CUIT NO CARGADO")</f>
        <v>INSUMO</v>
      </c>
      <c r="R27" s="515">
        <f>IFERROR(IF(compras_mes103[[#This Row],[CUIT]]="","-",VLOOKUP(compras_mes103[[#This Row],[CUIT]],Lista_CUIT[#All],4,0)),"CUIT NO CARGADO")</f>
        <v>0</v>
      </c>
    </row>
    <row r="28" spans="2:18" x14ac:dyDescent="0.25">
      <c r="B28" s="259"/>
      <c r="C28" s="270"/>
      <c r="D28" s="260"/>
      <c r="E28" s="261"/>
      <c r="F28" s="262">
        <v>30643862928</v>
      </c>
      <c r="G28" s="263" t="str">
        <f>IFERROR(IF(compras_mes103[[#This Row],[CUIT]]="","-",VLOOKUP(compras_mes103[[#This Row],[CUIT]],Lista_CUIT[#All],2,0)),"CUIT NO CARGADO")</f>
        <v>OUTLANDISH SRL</v>
      </c>
      <c r="H28" s="264">
        <v>255206.61</v>
      </c>
      <c r="I28" s="513">
        <f>IF(compras_mes103[[#This Row],[NETO GRAVADO]]="","",compras_mes103[[#This Row],[NETO GRAVADO]]*0.21)</f>
        <v>53593.388099999996</v>
      </c>
      <c r="J28" s="513"/>
      <c r="K28" s="513"/>
      <c r="L28" s="513"/>
      <c r="M28" s="513"/>
      <c r="N28" s="513"/>
      <c r="O28" s="513"/>
      <c r="P28" s="514">
        <f>SUM(compras_mes103[[#This Row],[NETO GRAVADO]:[Otros / No Grav.]])</f>
        <v>308799.99809999997</v>
      </c>
      <c r="Q28" s="515" t="str">
        <f>IFERROR(IF(compras_mes103[[#This Row],[CUIT]]="","-",VLOOKUP(compras_mes103[[#This Row],[CUIT]],Lista_CUIT[#All],3,0)),"CUIT NO CARGADO")</f>
        <v>INSUMO</v>
      </c>
      <c r="R28" s="515">
        <f>IFERROR(IF(compras_mes103[[#This Row],[CUIT]]="","-",VLOOKUP(compras_mes103[[#This Row],[CUIT]],Lista_CUIT[#All],4,0)),"CUIT NO CARGADO")</f>
        <v>0</v>
      </c>
    </row>
    <row r="29" spans="2:18" x14ac:dyDescent="0.25">
      <c r="B29" s="259"/>
      <c r="C29" s="270"/>
      <c r="D29" s="260"/>
      <c r="E29" s="261"/>
      <c r="F29" s="262">
        <v>30714331082</v>
      </c>
      <c r="G29" s="263" t="str">
        <f>IFERROR(IF(compras_mes103[[#This Row],[CUIT]]="","-",VLOOKUP(compras_mes103[[#This Row],[CUIT]],Lista_CUIT[#All],2,0)),"CUIT NO CARGADO")</f>
        <v>ORTOPEDIA CASA ESCALADA SRL</v>
      </c>
      <c r="H29" s="264">
        <v>46159.19</v>
      </c>
      <c r="I29" s="513">
        <f>IF(compras_mes103[[#This Row],[NETO GRAVADO]]="","",compras_mes103[[#This Row],[NETO GRAVADO]]*0.21)</f>
        <v>9693.429900000001</v>
      </c>
      <c r="J29" s="513"/>
      <c r="K29" s="513"/>
      <c r="L29" s="513"/>
      <c r="M29" s="513"/>
      <c r="N29" s="513"/>
      <c r="O29" s="513"/>
      <c r="P29" s="514">
        <f>SUM(compras_mes103[[#This Row],[NETO GRAVADO]:[Otros / No Grav.]])</f>
        <v>55852.619900000005</v>
      </c>
      <c r="Q29" s="515" t="str">
        <f>IFERROR(IF(compras_mes103[[#This Row],[CUIT]]="","-",VLOOKUP(compras_mes103[[#This Row],[CUIT]],Lista_CUIT[#All],3,0)),"CUIT NO CARGADO")</f>
        <v>INSUMO</v>
      </c>
      <c r="R29" s="515">
        <f>IFERROR(IF(compras_mes103[[#This Row],[CUIT]]="","-",VLOOKUP(compras_mes103[[#This Row],[CUIT]],Lista_CUIT[#All],4,0)),"CUIT NO CARGADO")</f>
        <v>0</v>
      </c>
    </row>
    <row r="30" spans="2:18" x14ac:dyDescent="0.25">
      <c r="B30" s="259"/>
      <c r="C30" s="270"/>
      <c r="D30" s="260"/>
      <c r="E30" s="261"/>
      <c r="F30" s="262">
        <v>30714331082</v>
      </c>
      <c r="G30" s="263" t="str">
        <f>IFERROR(IF(compras_mes103[[#This Row],[CUIT]]="","-",VLOOKUP(compras_mes103[[#This Row],[CUIT]],Lista_CUIT[#All],2,0)),"CUIT NO CARGADO")</f>
        <v>ORTOPEDIA CASA ESCALADA SRL</v>
      </c>
      <c r="H30" s="264">
        <v>979873.56</v>
      </c>
      <c r="I30" s="513">
        <f>IF(compras_mes103[[#This Row],[NETO GRAVADO]]="","",compras_mes103[[#This Row],[NETO GRAVADO]]*0.21)</f>
        <v>205773.44760000001</v>
      </c>
      <c r="J30" s="513"/>
      <c r="K30" s="513"/>
      <c r="L30" s="513"/>
      <c r="M30" s="513"/>
      <c r="N30" s="513"/>
      <c r="O30" s="513"/>
      <c r="P30" s="514">
        <f>SUM(compras_mes103[[#This Row],[NETO GRAVADO]:[Otros / No Grav.]])</f>
        <v>1185647.0076000001</v>
      </c>
      <c r="Q30" s="515" t="str">
        <f>IFERROR(IF(compras_mes103[[#This Row],[CUIT]]="","-",VLOOKUP(compras_mes103[[#This Row],[CUIT]],Lista_CUIT[#All],3,0)),"CUIT NO CARGADO")</f>
        <v>INSUMO</v>
      </c>
      <c r="R30" s="515">
        <f>IFERROR(IF(compras_mes103[[#This Row],[CUIT]]="","-",VLOOKUP(compras_mes103[[#This Row],[CUIT]],Lista_CUIT[#All],4,0)),"CUIT NO CARGADO")</f>
        <v>0</v>
      </c>
    </row>
    <row r="31" spans="2:18" x14ac:dyDescent="0.25">
      <c r="B31" s="259"/>
      <c r="C31" s="270"/>
      <c r="D31" s="260"/>
      <c r="E31" s="261"/>
      <c r="F31" s="262">
        <v>27160577652</v>
      </c>
      <c r="G31" s="263" t="str">
        <f>IFERROR(IF(compras_mes103[[#This Row],[CUIT]]="","-",VLOOKUP(compras_mes103[[#This Row],[CUIT]],Lista_CUIT[#All],2,0)),"CUIT NO CARGADO")</f>
        <v>IZQUIERDO MONICA BEATRIZ</v>
      </c>
      <c r="H31" s="264">
        <v>149681</v>
      </c>
      <c r="I31" s="513">
        <f>IF(compras_mes103[[#This Row],[NETO GRAVADO]]="","",compras_mes103[[#This Row],[NETO GRAVADO]]*0.21)</f>
        <v>31433.01</v>
      </c>
      <c r="J31" s="513"/>
      <c r="K31" s="513"/>
      <c r="L31" s="513"/>
      <c r="M31" s="513"/>
      <c r="N31" s="513"/>
      <c r="O31" s="513"/>
      <c r="P31" s="514">
        <f>SUM(compras_mes103[[#This Row],[NETO GRAVADO]:[Otros / No Grav.]])</f>
        <v>181114.01</v>
      </c>
      <c r="Q31" s="515" t="str">
        <f>IFERROR(IF(compras_mes103[[#This Row],[CUIT]]="","-",VLOOKUP(compras_mes103[[#This Row],[CUIT]],Lista_CUIT[#All],3,0)),"CUIT NO CARGADO")</f>
        <v>Insumos</v>
      </c>
      <c r="R31" s="515">
        <f>IFERROR(IF(compras_mes103[[#This Row],[CUIT]]="","-",VLOOKUP(compras_mes103[[#This Row],[CUIT]],Lista_CUIT[#All],4,0)),"CUIT NO CARGADO")</f>
        <v>0</v>
      </c>
    </row>
    <row r="32" spans="2:18" x14ac:dyDescent="0.25">
      <c r="B32" s="259"/>
      <c r="C32" s="270"/>
      <c r="D32" s="260"/>
      <c r="E32" s="261"/>
      <c r="F32" s="262">
        <v>23076996989</v>
      </c>
      <c r="G32" s="263" t="str">
        <f>IFERROR(IF(compras_mes103[[#This Row],[CUIT]]="","-",VLOOKUP(compras_mes103[[#This Row],[CUIT]],Lista_CUIT[#All],2,0)),"CUIT NO CARGADO")</f>
        <v>GIULIETTI LUIS ALBERTO</v>
      </c>
      <c r="H32" s="264">
        <v>13223.14</v>
      </c>
      <c r="I32" s="513">
        <f>IF(compras_mes103[[#This Row],[NETO GRAVADO]]="","",compras_mes103[[#This Row],[NETO GRAVADO]]*0.21)</f>
        <v>2776.8593999999998</v>
      </c>
      <c r="J32" s="513"/>
      <c r="K32" s="513"/>
      <c r="L32" s="513"/>
      <c r="M32" s="513"/>
      <c r="N32" s="513"/>
      <c r="O32" s="513"/>
      <c r="P32" s="514">
        <f>SUM(compras_mes103[[#This Row],[NETO GRAVADO]:[Otros / No Grav.]])</f>
        <v>15999.999399999999</v>
      </c>
      <c r="Q32" s="515" t="str">
        <f>IFERROR(IF(compras_mes103[[#This Row],[CUIT]]="","-",VLOOKUP(compras_mes103[[#This Row],[CUIT]],Lista_CUIT[#All],3,0)),"CUIT NO CARGADO")</f>
        <v>FERRETERIA</v>
      </c>
      <c r="R32" s="515">
        <f>IFERROR(IF(compras_mes103[[#This Row],[CUIT]]="","-",VLOOKUP(compras_mes103[[#This Row],[CUIT]],Lista_CUIT[#All],4,0)),"CUIT NO CARGADO")</f>
        <v>0</v>
      </c>
    </row>
    <row r="33" spans="2:18" x14ac:dyDescent="0.25">
      <c r="B33" s="259"/>
      <c r="C33" s="270"/>
      <c r="D33" s="260"/>
      <c r="E33" s="261"/>
      <c r="F33" s="262">
        <v>30718627792</v>
      </c>
      <c r="G33" s="263" t="str">
        <f>IFERROR(IF(compras_mes103[[#This Row],[CUIT]]="","-",VLOOKUP(compras_mes103[[#This Row],[CUIT]],Lista_CUIT[#All],2,0)),"CUIT NO CARGADO")</f>
        <v>GRUPO GAUSS SRL</v>
      </c>
      <c r="H33" s="264">
        <v>355370.25</v>
      </c>
      <c r="I33" s="513">
        <f>IF(compras_mes103[[#This Row],[NETO GRAVADO]]="","",compras_mes103[[#This Row],[NETO GRAVADO]]*0.21)</f>
        <v>74627.752500000002</v>
      </c>
      <c r="J33" s="513"/>
      <c r="K33" s="513"/>
      <c r="L33" s="513"/>
      <c r="M33" s="513"/>
      <c r="N33" s="513"/>
      <c r="O33" s="513"/>
      <c r="P33" s="514">
        <f>SUM(compras_mes103[[#This Row],[NETO GRAVADO]:[Otros / No Grav.]])</f>
        <v>429998.0025</v>
      </c>
      <c r="Q33" s="515" t="str">
        <f>IFERROR(IF(compras_mes103[[#This Row],[CUIT]]="","-",VLOOKUP(compras_mes103[[#This Row],[CUIT]],Lista_CUIT[#All],3,0)),"CUIT NO CARGADO")</f>
        <v>Insumos</v>
      </c>
      <c r="R33" s="515">
        <f>IFERROR(IF(compras_mes103[[#This Row],[CUIT]]="","-",VLOOKUP(compras_mes103[[#This Row],[CUIT]],Lista_CUIT[#All],4,0)),"CUIT NO CARGADO")</f>
        <v>0</v>
      </c>
    </row>
    <row r="34" spans="2:18" x14ac:dyDescent="0.25">
      <c r="B34" s="259"/>
      <c r="C34" s="270"/>
      <c r="D34" s="260"/>
      <c r="E34" s="261"/>
      <c r="F34" s="262">
        <v>30707042679</v>
      </c>
      <c r="G34" s="263" t="str">
        <f>IFERROR(IF(compras_mes103[[#This Row],[CUIT]]="","-",VLOOKUP(compras_mes103[[#This Row],[CUIT]],Lista_CUIT[#All],2,0)),"CUIT NO CARGADO")</f>
        <v>MEDICAL FOAM SRL</v>
      </c>
      <c r="H34" s="264">
        <v>1600604</v>
      </c>
      <c r="I34" s="513">
        <f>IF(compras_mes103[[#This Row],[NETO GRAVADO]]="","",compras_mes103[[#This Row],[NETO GRAVADO]]*0.21)</f>
        <v>336126.83999999997</v>
      </c>
      <c r="J34" s="513"/>
      <c r="K34" s="513"/>
      <c r="L34" s="513"/>
      <c r="M34" s="513"/>
      <c r="N34" s="513"/>
      <c r="O34" s="513"/>
      <c r="P34" s="514">
        <f>SUM(compras_mes103[[#This Row],[NETO GRAVADO]:[Otros / No Grav.]])</f>
        <v>1936730.8399999999</v>
      </c>
      <c r="Q34" s="515" t="str">
        <f>IFERROR(IF(compras_mes103[[#This Row],[CUIT]]="","-",VLOOKUP(compras_mes103[[#This Row],[CUIT]],Lista_CUIT[#All],3,0)),"CUIT NO CARGADO")</f>
        <v>INSUMO</v>
      </c>
      <c r="R34" s="515">
        <f>IFERROR(IF(compras_mes103[[#This Row],[CUIT]]="","-",VLOOKUP(compras_mes103[[#This Row],[CUIT]],Lista_CUIT[#All],4,0)),"CUIT NO CARGADO")</f>
        <v>0</v>
      </c>
    </row>
    <row r="35" spans="2:18" x14ac:dyDescent="0.25">
      <c r="B35" s="526"/>
      <c r="C35" s="527"/>
      <c r="D35" s="373"/>
      <c r="E35" s="374"/>
      <c r="F35" s="375">
        <v>30707042679</v>
      </c>
      <c r="G35" s="376" t="str">
        <f>IFERROR(IF(compras_mes103[[#This Row],[CUIT]]="","-",VLOOKUP(compras_mes103[[#This Row],[CUIT]],Lista_CUIT[#All],2,0)),"CUIT NO CARGADO")</f>
        <v>MEDICAL FOAM SRL</v>
      </c>
      <c r="H35" s="377">
        <v>80697</v>
      </c>
      <c r="I35" s="513">
        <f>IF(compras_mes103[[#This Row],[NETO GRAVADO]]="","",compras_mes103[[#This Row],[NETO GRAVADO]]*0.21)</f>
        <v>16946.37</v>
      </c>
      <c r="J35" s="528"/>
      <c r="K35" s="528"/>
      <c r="L35" s="528"/>
      <c r="M35" s="528"/>
      <c r="N35" s="528"/>
      <c r="O35" s="528"/>
      <c r="P35" s="529">
        <f>SUM(compras_mes103[[#This Row],[NETO GRAVADO]:[Otros / No Grav.]])</f>
        <v>97643.37</v>
      </c>
      <c r="Q35" s="530" t="str">
        <f>IFERROR(IF(compras_mes103[[#This Row],[CUIT]]="","-",VLOOKUP(compras_mes103[[#This Row],[CUIT]],Lista_CUIT[#All],3,0)),"CUIT NO CARGADO")</f>
        <v>INSUMO</v>
      </c>
      <c r="R35" s="530">
        <f>IFERROR(IF(compras_mes103[[#This Row],[CUIT]]="","-",VLOOKUP(compras_mes103[[#This Row],[CUIT]],Lista_CUIT[#All],4,0)),"CUIT NO CARGADO")</f>
        <v>0</v>
      </c>
    </row>
    <row r="36" spans="2:18" x14ac:dyDescent="0.25">
      <c r="B36" s="259"/>
      <c r="C36" s="270"/>
      <c r="D36" s="260"/>
      <c r="E36" s="261"/>
      <c r="F36" s="262">
        <v>33708218699</v>
      </c>
      <c r="G36" s="263" t="str">
        <f>IFERROR(IF(compras_mes103[[#This Row],[CUIT]]="","-",VLOOKUP(compras_mes103[[#This Row],[CUIT]],Lista_CUIT[#All],2,0)),"CUIT NO CARGADO")</f>
        <v>MANGGINI PABLO Y MANGGINI ULISES SOC. DE HECHO.</v>
      </c>
      <c r="H36" s="264">
        <v>90000</v>
      </c>
      <c r="I36" s="513">
        <f>IF(compras_mes103[[#This Row],[NETO GRAVADO]]="","",compras_mes103[[#This Row],[NETO GRAVADO]]*0.21)</f>
        <v>18900</v>
      </c>
      <c r="J36" s="513"/>
      <c r="K36" s="513"/>
      <c r="L36" s="513"/>
      <c r="M36" s="513"/>
      <c r="N36" s="513"/>
      <c r="O36" s="513"/>
      <c r="P36" s="514">
        <f>SUM(compras_mes103[[#This Row],[NETO GRAVADO]:[Otros / No Grav.]])</f>
        <v>108900</v>
      </c>
      <c r="Q36" s="515" t="str">
        <f>IFERROR(IF(compras_mes103[[#This Row],[CUIT]]="","-",VLOOKUP(compras_mes103[[#This Row],[CUIT]],Lista_CUIT[#All],3,0)),"CUIT NO CARGADO")</f>
        <v>SERVICIO</v>
      </c>
      <c r="R36" s="515">
        <f>IFERROR(IF(compras_mes103[[#This Row],[CUIT]]="","-",VLOOKUP(compras_mes103[[#This Row],[CUIT]],Lista_CUIT[#All],4,0)),"CUIT NO CARGADO")</f>
        <v>0</v>
      </c>
    </row>
    <row r="37" spans="2:18" x14ac:dyDescent="0.25">
      <c r="B37" s="259"/>
      <c r="C37" s="270"/>
      <c r="D37" s="260"/>
      <c r="E37" s="261"/>
      <c r="F37" s="262">
        <v>30712019359</v>
      </c>
      <c r="G37" s="263" t="str">
        <f>IFERROR(IF(compras_mes103[[#This Row],[CUIT]]="","-",VLOOKUP(compras_mes103[[#This Row],[CUIT]],Lista_CUIT[#All],2,0)),"CUIT NO CARGADO")</f>
        <v>LINKEDSTORE ARGENTINA SRL</v>
      </c>
      <c r="H37" s="264">
        <v>17767.77</v>
      </c>
      <c r="I37" s="513">
        <f>IF(compras_mes103[[#This Row],[NETO GRAVADO]]="","",compras_mes103[[#This Row],[NETO GRAVADO]]*0.21)</f>
        <v>3731.2316999999998</v>
      </c>
      <c r="J37" s="513"/>
      <c r="K37" s="513"/>
      <c r="L37" s="513"/>
      <c r="M37" s="513"/>
      <c r="N37" s="513">
        <v>710.72</v>
      </c>
      <c r="O37" s="513"/>
      <c r="P37" s="514">
        <f>SUM(compras_mes103[[#This Row],[NETO GRAVADO]:[Otros / No Grav.]])</f>
        <v>22209.721700000002</v>
      </c>
      <c r="Q37" s="515" t="str">
        <f>IFERROR(IF(compras_mes103[[#This Row],[CUIT]]="","-",VLOOKUP(compras_mes103[[#This Row],[CUIT]],Lista_CUIT[#All],3,0)),"CUIT NO CARGADO")</f>
        <v>pROVEEDOR</v>
      </c>
      <c r="R37" s="515">
        <f>IFERROR(IF(compras_mes103[[#This Row],[CUIT]]="","-",VLOOKUP(compras_mes103[[#This Row],[CUIT]],Lista_CUIT[#All],4,0)),"CUIT NO CARGADO")</f>
        <v>0</v>
      </c>
    </row>
    <row r="38" spans="2:18" x14ac:dyDescent="0.25">
      <c r="B38" s="526"/>
      <c r="C38" s="527"/>
      <c r="D38" s="373"/>
      <c r="E38" s="374"/>
      <c r="F38" s="375">
        <v>20174004146</v>
      </c>
      <c r="G38" s="376" t="str">
        <f>IFERROR(IF(compras_mes103[[#This Row],[CUIT]]="","-",VLOOKUP(compras_mes103[[#This Row],[CUIT]],Lista_CUIT[#All],2,0)),"CUIT NO CARGADO")</f>
        <v>EDUEARDO FRANCISCO NARDOMARINO</v>
      </c>
      <c r="H38" s="377">
        <v>210000</v>
      </c>
      <c r="I38" s="513">
        <f>IF(compras_mes103[[#This Row],[NETO GRAVADO]]="","",compras_mes103[[#This Row],[NETO GRAVADO]]*0.21)</f>
        <v>44100</v>
      </c>
      <c r="J38" s="528"/>
      <c r="K38" s="528"/>
      <c r="L38" s="528"/>
      <c r="M38" s="528"/>
      <c r="N38" s="528"/>
      <c r="O38" s="528"/>
      <c r="P38" s="529">
        <f>SUM(compras_mes103[[#This Row],[NETO GRAVADO]:[Otros / No Grav.]])</f>
        <v>254100</v>
      </c>
      <c r="Q38" s="530" t="str">
        <f>IFERROR(IF(compras_mes103[[#This Row],[CUIT]]="","-",VLOOKUP(compras_mes103[[#This Row],[CUIT]],Lista_CUIT[#All],3,0)),"CUIT NO CARGADO")</f>
        <v>FLETE</v>
      </c>
      <c r="R38" s="530">
        <f>IFERROR(IF(compras_mes103[[#This Row],[CUIT]]="","-",VLOOKUP(compras_mes103[[#This Row],[CUIT]],Lista_CUIT[#All],4,0)),"CUIT NO CARGADO")</f>
        <v>0</v>
      </c>
    </row>
    <row r="39" spans="2:18" x14ac:dyDescent="0.25">
      <c r="B39" s="40"/>
      <c r="C39" s="270"/>
      <c r="D39" s="260"/>
      <c r="E39" s="261"/>
      <c r="F39" s="262">
        <v>20379223185</v>
      </c>
      <c r="G39" s="263" t="str">
        <f>IFERROR(IF(compras_mes103[[#This Row],[CUIT]]="","-",VLOOKUP(compras_mes103[[#This Row],[CUIT]],Lista_CUIT[#All],2,0)),"CUIT NO CARGADO")</f>
        <v>AYALA MAURICIO JUAN JOSE</v>
      </c>
      <c r="H39" s="264">
        <v>199490</v>
      </c>
      <c r="I39" s="513">
        <f>IF(compras_mes103[[#This Row],[NETO GRAVADO]]="","",compras_mes103[[#This Row],[NETO GRAVADO]]*0.21)</f>
        <v>41892.9</v>
      </c>
      <c r="J39" s="513"/>
      <c r="K39" s="513"/>
      <c r="L39" s="513"/>
      <c r="M39" s="513"/>
      <c r="N39" s="513"/>
      <c r="O39" s="513"/>
      <c r="P39" s="514">
        <f>SUM(compras_mes103[[#This Row],[NETO GRAVADO]:[Otros / No Grav.]])</f>
        <v>241382.9</v>
      </c>
      <c r="Q39" s="515" t="str">
        <f>IFERROR(IF(compras_mes103[[#This Row],[CUIT]]="","-",VLOOKUP(compras_mes103[[#This Row],[CUIT]],Lista_CUIT[#All],3,0)),"CUIT NO CARGADO")</f>
        <v>SERVICIOS</v>
      </c>
      <c r="R39" s="515">
        <f>IFERROR(IF(compras_mes103[[#This Row],[CUIT]]="","-",VLOOKUP(compras_mes103[[#This Row],[CUIT]],Lista_CUIT[#All],4,0)),"CUIT NO CARGADO")</f>
        <v>0</v>
      </c>
    </row>
    <row r="40" spans="2:18" x14ac:dyDescent="0.25">
      <c r="B40" s="259"/>
      <c r="C40" s="270"/>
      <c r="D40" s="260"/>
      <c r="E40" s="261"/>
      <c r="F40" s="262">
        <v>30712305513</v>
      </c>
      <c r="G40" s="263" t="str">
        <f>IFERROR(IF(compras_mes103[[#This Row],[CUIT]]="","-",VLOOKUP(compras_mes103[[#This Row],[CUIT]],Lista_CUIT[#All],2,0)),"CUIT NO CARGADO")</f>
        <v>TRINIDAD INSUMOS SRL</v>
      </c>
      <c r="H40" s="264">
        <v>3086185.25</v>
      </c>
      <c r="I40" s="513">
        <f>3026585.25*0.21</f>
        <v>635582.90249999997</v>
      </c>
      <c r="J40" s="513"/>
      <c r="K40" s="513">
        <f>59600*0.105</f>
        <v>6258</v>
      </c>
      <c r="L40" s="513"/>
      <c r="M40" s="513"/>
      <c r="N40" s="513"/>
      <c r="O40" s="513"/>
      <c r="P40" s="514">
        <f>SUM(compras_mes103[[#This Row],[NETO GRAVADO]:[Otros / No Grav.]])</f>
        <v>3728026.1524999999</v>
      </c>
      <c r="Q40" s="515" t="str">
        <f>IFERROR(IF(compras_mes103[[#This Row],[CUIT]]="","-",VLOOKUP(compras_mes103[[#This Row],[CUIT]],Lista_CUIT[#All],3,0)),"CUIT NO CARGADO")</f>
        <v>SERVICIOS</v>
      </c>
      <c r="R40" s="515">
        <f>IFERROR(IF(compras_mes103[[#This Row],[CUIT]]="","-",VLOOKUP(compras_mes103[[#This Row],[CUIT]],Lista_CUIT[#All],4,0)),"CUIT NO CARGADO")</f>
        <v>0</v>
      </c>
    </row>
    <row r="41" spans="2:18" x14ac:dyDescent="0.25">
      <c r="B41" s="259"/>
      <c r="C41" s="270"/>
      <c r="D41" s="260"/>
      <c r="E41" s="261"/>
      <c r="F41" s="262">
        <v>30712305513</v>
      </c>
      <c r="G41" s="263" t="str">
        <f>IFERROR(IF(compras_mes103[[#This Row],[CUIT]]="","-",VLOOKUP(compras_mes103[[#This Row],[CUIT]],Lista_CUIT[#All],2,0)),"CUIT NO CARGADO")</f>
        <v>TRINIDAD INSUMOS SRL</v>
      </c>
      <c r="H41" s="264">
        <v>674989.25</v>
      </c>
      <c r="I41" s="513">
        <f>IF(compras_mes103[[#This Row],[NETO GRAVADO]]="","",compras_mes103[[#This Row],[NETO GRAVADO]]*0.21)</f>
        <v>141747.74249999999</v>
      </c>
      <c r="J41" s="513"/>
      <c r="K41" s="513"/>
      <c r="L41" s="513"/>
      <c r="M41" s="513"/>
      <c r="N41" s="513"/>
      <c r="O41" s="513"/>
      <c r="P41" s="514">
        <f>SUM(compras_mes103[[#This Row],[NETO GRAVADO]:[Otros / No Grav.]])</f>
        <v>816736.99249999993</v>
      </c>
      <c r="Q41" s="515" t="str">
        <f>IFERROR(IF(compras_mes103[[#This Row],[CUIT]]="","-",VLOOKUP(compras_mes103[[#This Row],[CUIT]],Lista_CUIT[#All],3,0)),"CUIT NO CARGADO")</f>
        <v>SERVICIOS</v>
      </c>
      <c r="R41" s="515">
        <f>IFERROR(IF(compras_mes103[[#This Row],[CUIT]]="","-",VLOOKUP(compras_mes103[[#This Row],[CUIT]],Lista_CUIT[#All],4,0)),"CUIT NO CARGADO")</f>
        <v>0</v>
      </c>
    </row>
    <row r="42" spans="2:18" x14ac:dyDescent="0.25">
      <c r="B42" s="259"/>
      <c r="C42" s="270"/>
      <c r="D42" s="260"/>
      <c r="E42" s="261"/>
      <c r="F42" s="262">
        <v>30714440183</v>
      </c>
      <c r="G42" s="263" t="str">
        <f>IFERROR(IF(compras_mes103[[#This Row],[CUIT]]="","-",VLOOKUP(compras_mes103[[#This Row],[CUIT]],Lista_CUIT[#All],2,0)),"CUIT NO CARGADO")</f>
        <v>INDUSTRIAS FERNANDEZ GARRIDO SA</v>
      </c>
      <c r="H42" s="264">
        <v>27070.3</v>
      </c>
      <c r="I42" s="513">
        <f>IF(compras_mes103[[#This Row],[NETO GRAVADO]]="","",compras_mes103[[#This Row],[NETO GRAVADO]]*0.21)</f>
        <v>5684.7629999999999</v>
      </c>
      <c r="J42" s="513"/>
      <c r="K42" s="513"/>
      <c r="L42" s="513"/>
      <c r="M42" s="513"/>
      <c r="N42" s="513"/>
      <c r="O42" s="513"/>
      <c r="P42" s="514">
        <f>SUM(compras_mes103[[#This Row],[NETO GRAVADO]:[Otros / No Grav.]])</f>
        <v>32755.062999999998</v>
      </c>
      <c r="Q42" s="515" t="str">
        <f>IFERROR(IF(compras_mes103[[#This Row],[CUIT]]="","-",VLOOKUP(compras_mes103[[#This Row],[CUIT]],Lista_CUIT[#All],3,0)),"CUIT NO CARGADO")</f>
        <v>Mantenimiento</v>
      </c>
      <c r="R42" s="515">
        <f>IFERROR(IF(compras_mes103[[#This Row],[CUIT]]="","-",VLOOKUP(compras_mes103[[#This Row],[CUIT]],Lista_CUIT[#All],4,0)),"CUIT NO CARGADO")</f>
        <v>0</v>
      </c>
    </row>
    <row r="43" spans="2:18" x14ac:dyDescent="0.25">
      <c r="B43" s="259"/>
      <c r="C43" s="270"/>
      <c r="D43" s="260"/>
      <c r="E43" s="261"/>
      <c r="F43" s="262">
        <v>30714749206</v>
      </c>
      <c r="G43" s="263" t="str">
        <f>IFERROR(IF(compras_mes103[[#This Row],[CUIT]]="","-",VLOOKUP(compras_mes103[[#This Row],[CUIT]],Lista_CUIT[#All],2,0)),"CUIT NO CARGADO")</f>
        <v>EBOX SA</v>
      </c>
      <c r="H43" s="264">
        <v>233364.6</v>
      </c>
      <c r="I43" s="513">
        <f>1691.3*0.21</f>
        <v>355.173</v>
      </c>
      <c r="J43" s="513"/>
      <c r="K43" s="85">
        <f>231673.3*0.105</f>
        <v>24325.696499999998</v>
      </c>
      <c r="L43" s="513"/>
      <c r="M43" s="513"/>
      <c r="N43" s="513"/>
      <c r="O43" s="513"/>
      <c r="P43" s="514">
        <f>SUM(compras_mes103[[#This Row],[NETO GRAVADO]:[Otros / No Grav.]])</f>
        <v>258045.46950000001</v>
      </c>
      <c r="Q43" s="515" t="str">
        <f>IFERROR(IF(compras_mes103[[#This Row],[CUIT]]="","-",VLOOKUP(compras_mes103[[#This Row],[CUIT]],Lista_CUIT[#All],3,0)),"CUIT NO CARGADO")</f>
        <v>Insumos</v>
      </c>
      <c r="R43" s="515">
        <f>IFERROR(IF(compras_mes103[[#This Row],[CUIT]]="","-",VLOOKUP(compras_mes103[[#This Row],[CUIT]],Lista_CUIT[#All],4,0)),"CUIT NO CARGADO")</f>
        <v>0</v>
      </c>
    </row>
    <row r="44" spans="2:18" x14ac:dyDescent="0.25">
      <c r="B44" s="259"/>
      <c r="C44" s="270"/>
      <c r="D44" s="260"/>
      <c r="E44" s="261"/>
      <c r="F44" s="262">
        <v>20929183143</v>
      </c>
      <c r="G44" s="263" t="str">
        <f>IFERROR(IF(compras_mes103[[#This Row],[CUIT]]="","-",VLOOKUP(compras_mes103[[#This Row],[CUIT]],Lista_CUIT[#All],2,0)),"CUIT NO CARGADO")</f>
        <v>MA JUN</v>
      </c>
      <c r="H44" s="264">
        <v>110000</v>
      </c>
      <c r="I44" s="513">
        <f>IF(compras_mes103[[#This Row],[NETO GRAVADO]]="","",compras_mes103[[#This Row],[NETO GRAVADO]]*0.21)</f>
        <v>23100</v>
      </c>
      <c r="J44" s="513"/>
      <c r="K44" s="513"/>
      <c r="L44" s="513"/>
      <c r="M44" s="513"/>
      <c r="N44" s="513"/>
      <c r="O44" s="513"/>
      <c r="P44" s="514">
        <f>SUM(compras_mes103[[#This Row],[NETO GRAVADO]:[Otros / No Grav.]])</f>
        <v>133100</v>
      </c>
      <c r="Q44" s="515" t="str">
        <f>IFERROR(IF(compras_mes103[[#This Row],[CUIT]]="","-",VLOOKUP(compras_mes103[[#This Row],[CUIT]],Lista_CUIT[#All],3,0)),"CUIT NO CARGADO")</f>
        <v>Gastos Varios</v>
      </c>
      <c r="R44" s="515">
        <f>IFERROR(IF(compras_mes103[[#This Row],[CUIT]]="","-",VLOOKUP(compras_mes103[[#This Row],[CUIT]],Lista_CUIT[#All],4,0)),"CUIT NO CARGADO")</f>
        <v>0</v>
      </c>
    </row>
    <row r="45" spans="2:18" x14ac:dyDescent="0.25">
      <c r="B45" s="526"/>
      <c r="C45" s="527"/>
      <c r="D45" s="373"/>
      <c r="E45" s="374"/>
      <c r="F45" s="375">
        <v>27265302225</v>
      </c>
      <c r="G45" s="376" t="str">
        <f>IFERROR(IF(compras_mes103[[#This Row],[CUIT]]="","-",VLOOKUP(compras_mes103[[#This Row],[CUIT]],Lista_CUIT[#All],2,0)),"CUIT NO CARGADO")</f>
        <v>PRADO MARISOL</v>
      </c>
      <c r="H45" s="377">
        <v>2500000</v>
      </c>
      <c r="I45" s="513">
        <f>IF(compras_mes103[[#This Row],[NETO GRAVADO]]="","",compras_mes103[[#This Row],[NETO GRAVADO]]*0.21)</f>
        <v>525000</v>
      </c>
      <c r="J45" s="528"/>
      <c r="K45" s="528"/>
      <c r="L45" s="528"/>
      <c r="M45" s="528"/>
      <c r="N45" s="528"/>
      <c r="O45" s="528"/>
      <c r="P45" s="529">
        <f>SUM(compras_mes103[[#This Row],[NETO GRAVADO]:[Otros / No Grav.]])</f>
        <v>3025000</v>
      </c>
      <c r="Q45" s="530" t="str">
        <f>IFERROR(IF(compras_mes103[[#This Row],[CUIT]]="","-",VLOOKUP(compras_mes103[[#This Row],[CUIT]],Lista_CUIT[#All],3,0)),"CUIT NO CARGADO")</f>
        <v>INSUMO</v>
      </c>
      <c r="R45" s="530">
        <f>IFERROR(IF(compras_mes103[[#This Row],[CUIT]]="","-",VLOOKUP(compras_mes103[[#This Row],[CUIT]],Lista_CUIT[#All],4,0)),"CUIT NO CARGADO")</f>
        <v>0</v>
      </c>
    </row>
    <row r="46" spans="2:18" x14ac:dyDescent="0.25">
      <c r="B46" s="40"/>
      <c r="C46" s="270"/>
      <c r="D46" s="260"/>
      <c r="E46" s="261"/>
      <c r="F46" s="262">
        <v>27265302225</v>
      </c>
      <c r="G46" s="263" t="str">
        <f>IFERROR(IF(compras_mes103[[#This Row],[CUIT]]="","-",VLOOKUP(compras_mes103[[#This Row],[CUIT]],Lista_CUIT[#All],2,0)),"CUIT NO CARGADO")</f>
        <v>PRADO MARISOL</v>
      </c>
      <c r="H46" s="264">
        <v>125000</v>
      </c>
      <c r="I46" s="513">
        <f>IF(compras_mes103[[#This Row],[NETO GRAVADO]]="","",compras_mes103[[#This Row],[NETO GRAVADO]]*0.21)</f>
        <v>26250</v>
      </c>
      <c r="J46" s="513"/>
      <c r="K46" s="513"/>
      <c r="L46" s="513"/>
      <c r="M46" s="513"/>
      <c r="N46" s="513"/>
      <c r="O46" s="513"/>
      <c r="P46" s="514">
        <f>SUM(compras_mes103[[#This Row],[NETO GRAVADO]:[Otros / No Grav.]])</f>
        <v>151250</v>
      </c>
      <c r="Q46" s="515" t="str">
        <f>IFERROR(IF(compras_mes103[[#This Row],[CUIT]]="","-",VLOOKUP(compras_mes103[[#This Row],[CUIT]],Lista_CUIT[#All],3,0)),"CUIT NO CARGADO")</f>
        <v>INSUMO</v>
      </c>
      <c r="R46" s="515">
        <f>IFERROR(IF(compras_mes103[[#This Row],[CUIT]]="","-",VLOOKUP(compras_mes103[[#This Row],[CUIT]],Lista_CUIT[#All],4,0)),"CUIT NO CARGADO")</f>
        <v>0</v>
      </c>
    </row>
    <row r="47" spans="2:18" x14ac:dyDescent="0.25">
      <c r="B47" s="40"/>
      <c r="C47" s="270"/>
      <c r="D47" s="260"/>
      <c r="E47" s="261"/>
      <c r="F47" s="262">
        <v>27265302225</v>
      </c>
      <c r="G47" s="263" t="str">
        <f>IFERROR(IF(compras_mes103[[#This Row],[CUIT]]="","-",VLOOKUP(compras_mes103[[#This Row],[CUIT]],Lista_CUIT[#All],2,0)),"CUIT NO CARGADO")</f>
        <v>PRADO MARISOL</v>
      </c>
      <c r="H47" s="264">
        <v>1400000</v>
      </c>
      <c r="I47" s="513">
        <f>IF(compras_mes103[[#This Row],[NETO GRAVADO]]="","",compras_mes103[[#This Row],[NETO GRAVADO]]*0.21)</f>
        <v>294000</v>
      </c>
      <c r="J47" s="513"/>
      <c r="K47" s="513"/>
      <c r="L47" s="513"/>
      <c r="M47" s="513"/>
      <c r="N47" s="513"/>
      <c r="O47" s="513"/>
      <c r="P47" s="514">
        <f>SUM(compras_mes103[[#This Row],[NETO GRAVADO]:[Otros / No Grav.]])</f>
        <v>1694000</v>
      </c>
      <c r="Q47" s="515" t="str">
        <f>IFERROR(IF(compras_mes103[[#This Row],[CUIT]]="","-",VLOOKUP(compras_mes103[[#This Row],[CUIT]],Lista_CUIT[#All],3,0)),"CUIT NO CARGADO")</f>
        <v>INSUMO</v>
      </c>
      <c r="R47" s="515">
        <f>IFERROR(IF(compras_mes103[[#This Row],[CUIT]]="","-",VLOOKUP(compras_mes103[[#This Row],[CUIT]],Lista_CUIT[#All],4,0)),"CUIT NO CARGADO")</f>
        <v>0</v>
      </c>
    </row>
    <row r="48" spans="2:18" x14ac:dyDescent="0.25">
      <c r="B48" s="40"/>
      <c r="C48" s="270"/>
      <c r="D48" s="260"/>
      <c r="E48" s="261"/>
      <c r="F48" s="262">
        <v>27265302225</v>
      </c>
      <c r="G48" s="263" t="str">
        <f>IFERROR(IF(compras_mes103[[#This Row],[CUIT]]="","-",VLOOKUP(compras_mes103[[#This Row],[CUIT]],Lista_CUIT[#All],2,0)),"CUIT NO CARGADO")</f>
        <v>PRADO MARISOL</v>
      </c>
      <c r="H48" s="264">
        <v>1250000</v>
      </c>
      <c r="I48" s="513">
        <f>IF(compras_mes103[[#This Row],[NETO GRAVADO]]="","",compras_mes103[[#This Row],[NETO GRAVADO]]*0.21)</f>
        <v>262500</v>
      </c>
      <c r="J48" s="513"/>
      <c r="K48" s="513"/>
      <c r="L48" s="513"/>
      <c r="M48" s="513"/>
      <c r="N48" s="513"/>
      <c r="O48" s="513"/>
      <c r="P48" s="514">
        <f>SUM(compras_mes103[[#This Row],[NETO GRAVADO]:[Otros / No Grav.]])</f>
        <v>1512500</v>
      </c>
      <c r="Q48" s="515" t="str">
        <f>IFERROR(IF(compras_mes103[[#This Row],[CUIT]]="","-",VLOOKUP(compras_mes103[[#This Row],[CUIT]],Lista_CUIT[#All],3,0)),"CUIT NO CARGADO")</f>
        <v>INSUMO</v>
      </c>
      <c r="R48" s="515">
        <f>IFERROR(IF(compras_mes103[[#This Row],[CUIT]]="","-",VLOOKUP(compras_mes103[[#This Row],[CUIT]],Lista_CUIT[#All],4,0)),"CUIT NO CARGADO")</f>
        <v>0</v>
      </c>
    </row>
    <row r="49" spans="2:18" x14ac:dyDescent="0.25">
      <c r="B49" s="259"/>
      <c r="C49" s="270"/>
      <c r="D49" s="260"/>
      <c r="E49" s="261"/>
      <c r="F49" s="262">
        <v>27265302225</v>
      </c>
      <c r="G49" s="263" t="str">
        <f>IFERROR(IF(compras_mes103[[#This Row],[CUIT]]="","-",VLOOKUP(compras_mes103[[#This Row],[CUIT]],Lista_CUIT[#All],2,0)),"CUIT NO CARGADO")</f>
        <v>PRADO MARISOL</v>
      </c>
      <c r="H49" s="264">
        <v>1400000</v>
      </c>
      <c r="I49" s="513">
        <f>IF(compras_mes103[[#This Row],[NETO GRAVADO]]="","",compras_mes103[[#This Row],[NETO GRAVADO]]*0.21)</f>
        <v>294000</v>
      </c>
      <c r="J49" s="513"/>
      <c r="K49" s="513"/>
      <c r="L49" s="513"/>
      <c r="M49" s="513"/>
      <c r="N49" s="513"/>
      <c r="O49" s="513"/>
      <c r="P49" s="514">
        <f>SUM(compras_mes103[[#This Row],[NETO GRAVADO]:[Otros / No Grav.]])</f>
        <v>1694000</v>
      </c>
      <c r="Q49" s="515" t="str">
        <f>IFERROR(IF(compras_mes103[[#This Row],[CUIT]]="","-",VLOOKUP(compras_mes103[[#This Row],[CUIT]],Lista_CUIT[#All],3,0)),"CUIT NO CARGADO")</f>
        <v>INSUMO</v>
      </c>
      <c r="R49" s="515">
        <f>IFERROR(IF(compras_mes103[[#This Row],[CUIT]]="","-",VLOOKUP(compras_mes103[[#This Row],[CUIT]],Lista_CUIT[#All],4,0)),"CUIT NO CARGADO")</f>
        <v>0</v>
      </c>
    </row>
    <row r="50" spans="2:18" x14ac:dyDescent="0.25">
      <c r="B50" s="259"/>
      <c r="C50" s="270"/>
      <c r="D50" s="260"/>
      <c r="E50" s="261"/>
      <c r="F50" s="262">
        <v>33714967989</v>
      </c>
      <c r="G50" s="263" t="str">
        <f>IFERROR(IF(compras_mes103[[#This Row],[CUIT]]="","-",VLOOKUP(compras_mes103[[#This Row],[CUIT]],Lista_CUIT[#All],2,0)),"CUIT NO CARGADO")</f>
        <v>MONTE DUAL SRL</v>
      </c>
      <c r="H50" s="264">
        <v>47207.83</v>
      </c>
      <c r="I50" s="513">
        <f>IF(compras_mes103[[#This Row],[NETO GRAVADO]]="","",compras_mes103[[#This Row],[NETO GRAVADO]]*0.21)</f>
        <v>9913.6442999999999</v>
      </c>
      <c r="J50" s="513"/>
      <c r="K50" s="513"/>
      <c r="L50" s="513"/>
      <c r="M50" s="513"/>
      <c r="N50" s="513"/>
      <c r="O50" s="513">
        <v>687.49</v>
      </c>
      <c r="P50" s="514">
        <f>SUM(compras_mes103[[#This Row],[NETO GRAVADO]:[Otros / No Grav.]])</f>
        <v>57808.9643</v>
      </c>
      <c r="Q50" s="515" t="str">
        <f>IFERROR(IF(compras_mes103[[#This Row],[CUIT]]="","-",VLOOKUP(compras_mes103[[#This Row],[CUIT]],Lista_CUIT[#All],3,0)),"CUIT NO CARGADO")</f>
        <v>COMBUSTIBLE</v>
      </c>
      <c r="R50" s="515">
        <f>IFERROR(IF(compras_mes103[[#This Row],[CUIT]]="","-",VLOOKUP(compras_mes103[[#This Row],[CUIT]],Lista_CUIT[#All],4,0)),"CUIT NO CARGADO")</f>
        <v>0</v>
      </c>
    </row>
    <row r="51" spans="2:18" x14ac:dyDescent="0.25">
      <c r="B51" s="40"/>
      <c r="C51" s="41"/>
      <c r="D51" s="42"/>
      <c r="E51" s="43"/>
      <c r="F51" s="44">
        <v>30715833243</v>
      </c>
      <c r="G51" s="45" t="str">
        <f>IFERROR(IF(compras_mes103[[#This Row],[CUIT]]="","-",VLOOKUP(compras_mes103[[#This Row],[CUIT]],Lista_CUIT[#All],2,0)),"CUIT NO CARGADO")</f>
        <v>BIODINAMICA ASIST E INSUMOS</v>
      </c>
      <c r="H51" s="46">
        <v>378025</v>
      </c>
      <c r="I51" s="85">
        <f>IF(compras_mes103[[#This Row],[NETO GRAVADO]]="","",compras_mes103[[#This Row],[NETO GRAVADO]]*0.21)</f>
        <v>79385.25</v>
      </c>
      <c r="J51" s="85"/>
      <c r="K51" s="85"/>
      <c r="L51" s="85"/>
      <c r="M51" s="85"/>
      <c r="N51" s="85"/>
      <c r="O51" s="85"/>
      <c r="P51" s="48">
        <f>SUM(compras_mes103[[#This Row],[NETO GRAVADO]:[Otros / No Grav.]])</f>
        <v>457410.25</v>
      </c>
      <c r="Q51" s="49" t="str">
        <f>IFERROR(IF(compras_mes103[[#This Row],[CUIT]]="","-",VLOOKUP(compras_mes103[[#This Row],[CUIT]],Lista_CUIT[#All],3,0)),"CUIT NO CARGADO")</f>
        <v>INSUMO</v>
      </c>
      <c r="R51" s="49">
        <f>IFERROR(IF(compras_mes103[[#This Row],[CUIT]]="","-",VLOOKUP(compras_mes103[[#This Row],[CUIT]],Lista_CUIT[#All],4,0)),"CUIT NO CARGADO")</f>
        <v>0</v>
      </c>
    </row>
    <row r="52" spans="2:18" x14ac:dyDescent="0.25">
      <c r="B52" s="40"/>
      <c r="C52" s="41"/>
      <c r="D52" s="42"/>
      <c r="E52" s="43"/>
      <c r="F52" s="44">
        <v>30715833243</v>
      </c>
      <c r="G52" s="45" t="str">
        <f>IFERROR(IF(compras_mes103[[#This Row],[CUIT]]="","-",VLOOKUP(compras_mes103[[#This Row],[CUIT]],Lista_CUIT[#All],2,0)),"CUIT NO CARGADO")</f>
        <v>BIODINAMICA ASIST E INSUMOS</v>
      </c>
      <c r="H52" s="46">
        <v>115215</v>
      </c>
      <c r="I52" s="85">
        <f>IF(compras_mes103[[#This Row],[NETO GRAVADO]]="","",compras_mes103[[#This Row],[NETO GRAVADO]]*0.21)</f>
        <v>24195.149999999998</v>
      </c>
      <c r="J52" s="85"/>
      <c r="K52" s="85"/>
      <c r="L52" s="85"/>
      <c r="M52" s="85"/>
      <c r="N52" s="85"/>
      <c r="O52" s="85"/>
      <c r="P52" s="48">
        <f>SUM(compras_mes103[[#This Row],[NETO GRAVADO]:[Otros / No Grav.]])</f>
        <v>139410.15</v>
      </c>
      <c r="Q52" s="49" t="str">
        <f>IFERROR(IF(compras_mes103[[#This Row],[CUIT]]="","-",VLOOKUP(compras_mes103[[#This Row],[CUIT]],Lista_CUIT[#All],3,0)),"CUIT NO CARGADO")</f>
        <v>INSUMO</v>
      </c>
      <c r="R52" s="49">
        <f>IFERROR(IF(compras_mes103[[#This Row],[CUIT]]="","-",VLOOKUP(compras_mes103[[#This Row],[CUIT]],Lista_CUIT[#All],4,0)),"CUIT NO CARGADO")</f>
        <v>0</v>
      </c>
    </row>
    <row r="53" spans="2:18" x14ac:dyDescent="0.25">
      <c r="B53" s="40"/>
      <c r="C53" s="41"/>
      <c r="D53" s="42"/>
      <c r="E53" s="43"/>
      <c r="F53" s="44">
        <v>30715833243</v>
      </c>
      <c r="G53" s="45" t="str">
        <f>IFERROR(IF(compras_mes103[[#This Row],[CUIT]]="","-",VLOOKUP(compras_mes103[[#This Row],[CUIT]],Lista_CUIT[#All],2,0)),"CUIT NO CARGADO")</f>
        <v>BIODINAMICA ASIST E INSUMOS</v>
      </c>
      <c r="H53" s="46">
        <v>102960</v>
      </c>
      <c r="I53" s="85">
        <f>IF(compras_mes103[[#This Row],[NETO GRAVADO]]="","",compras_mes103[[#This Row],[NETO GRAVADO]]*0.21)</f>
        <v>21621.599999999999</v>
      </c>
      <c r="J53" s="85"/>
      <c r="K53" s="85"/>
      <c r="L53" s="85"/>
      <c r="M53" s="85"/>
      <c r="N53" s="85"/>
      <c r="O53" s="85"/>
      <c r="P53" s="48">
        <f>SUM(compras_mes103[[#This Row],[NETO GRAVADO]:[Otros / No Grav.]])</f>
        <v>124581.6</v>
      </c>
      <c r="Q53" s="49" t="str">
        <f>IFERROR(IF(compras_mes103[[#This Row],[CUIT]]="","-",VLOOKUP(compras_mes103[[#This Row],[CUIT]],Lista_CUIT[#All],3,0)),"CUIT NO CARGADO")</f>
        <v>INSUMO</v>
      </c>
      <c r="R53" s="49">
        <f>IFERROR(IF(compras_mes103[[#This Row],[CUIT]]="","-",VLOOKUP(compras_mes103[[#This Row],[CUIT]],Lista_CUIT[#All],4,0)),"CUIT NO CARGADO")</f>
        <v>0</v>
      </c>
    </row>
    <row r="54" spans="2:18" x14ac:dyDescent="0.25">
      <c r="B54" s="40"/>
      <c r="C54" s="41"/>
      <c r="D54" s="42"/>
      <c r="E54" s="43"/>
      <c r="F54" s="44">
        <v>30715833243</v>
      </c>
      <c r="G54" s="45" t="str">
        <f>IFERROR(IF(compras_mes103[[#This Row],[CUIT]]="","-",VLOOKUP(compras_mes103[[#This Row],[CUIT]],Lista_CUIT[#All],2,0)),"CUIT NO CARGADO")</f>
        <v>BIODINAMICA ASIST E INSUMOS</v>
      </c>
      <c r="H54" s="46">
        <v>33660.78</v>
      </c>
      <c r="I54" s="85">
        <f>IF(compras_mes103[[#This Row],[NETO GRAVADO]]="","",compras_mes103[[#This Row],[NETO GRAVADO]]*0.21)</f>
        <v>7068.7637999999997</v>
      </c>
      <c r="J54" s="85"/>
      <c r="K54" s="85"/>
      <c r="L54" s="85"/>
      <c r="M54" s="85"/>
      <c r="N54" s="85"/>
      <c r="O54" s="85"/>
      <c r="P54" s="48">
        <f>SUM(compras_mes103[[#This Row],[NETO GRAVADO]:[Otros / No Grav.]])</f>
        <v>40729.543799999999</v>
      </c>
      <c r="Q54" s="49" t="str">
        <f>IFERROR(IF(compras_mes103[[#This Row],[CUIT]]="","-",VLOOKUP(compras_mes103[[#This Row],[CUIT]],Lista_CUIT[#All],3,0)),"CUIT NO CARGADO")</f>
        <v>INSUMO</v>
      </c>
      <c r="R54" s="49">
        <f>IFERROR(IF(compras_mes103[[#This Row],[CUIT]]="","-",VLOOKUP(compras_mes103[[#This Row],[CUIT]],Lista_CUIT[#All],4,0)),"CUIT NO CARGADO")</f>
        <v>0</v>
      </c>
    </row>
    <row r="55" spans="2:18" x14ac:dyDescent="0.25">
      <c r="B55" s="40"/>
      <c r="C55" s="41"/>
      <c r="D55" s="42"/>
      <c r="E55" s="43"/>
      <c r="F55" s="44">
        <v>30715833243</v>
      </c>
      <c r="G55" s="45" t="str">
        <f>IFERROR(IF(compras_mes103[[#This Row],[CUIT]]="","-",VLOOKUP(compras_mes103[[#This Row],[CUIT]],Lista_CUIT[#All],2,0)),"CUIT NO CARGADO")</f>
        <v>BIODINAMICA ASIST E INSUMOS</v>
      </c>
      <c r="H55" s="46">
        <v>432231</v>
      </c>
      <c r="I55" s="85">
        <f>IF(compras_mes103[[#This Row],[NETO GRAVADO]]="","",compras_mes103[[#This Row],[NETO GRAVADO]]*0.21)</f>
        <v>90768.51</v>
      </c>
      <c r="J55" s="85"/>
      <c r="K55" s="85"/>
      <c r="L55" s="85"/>
      <c r="M55" s="85"/>
      <c r="N55" s="85"/>
      <c r="O55" s="85"/>
      <c r="P55" s="48">
        <f>SUM(compras_mes103[[#This Row],[NETO GRAVADO]:[Otros / No Grav.]])</f>
        <v>522999.51</v>
      </c>
      <c r="Q55" s="49" t="str">
        <f>IFERROR(IF(compras_mes103[[#This Row],[CUIT]]="","-",VLOOKUP(compras_mes103[[#This Row],[CUIT]],Lista_CUIT[#All],3,0)),"CUIT NO CARGADO")</f>
        <v>INSUMO</v>
      </c>
      <c r="R55" s="49">
        <f>IFERROR(IF(compras_mes103[[#This Row],[CUIT]]="","-",VLOOKUP(compras_mes103[[#This Row],[CUIT]],Lista_CUIT[#All],4,0)),"CUIT NO CARGADO")</f>
        <v>0</v>
      </c>
    </row>
    <row r="56" spans="2:18" x14ac:dyDescent="0.25">
      <c r="B56" s="40"/>
      <c r="C56" s="41"/>
      <c r="D56" s="42"/>
      <c r="E56" s="43"/>
      <c r="F56" s="44">
        <v>30702652975</v>
      </c>
      <c r="G56" s="45" t="str">
        <f>IFERROR(IF(compras_mes103[[#This Row],[CUIT]]="","-",VLOOKUP(compras_mes103[[#This Row],[CUIT]],Lista_CUIT[#All],2,0)),"CUIT NO CARGADO")</f>
        <v>NSS SA</v>
      </c>
      <c r="H56" s="46">
        <v>39734.25</v>
      </c>
      <c r="I56" s="85">
        <f>IF(compras_mes103[[#This Row],[NETO GRAVADO]]="","",compras_mes103[[#This Row],[NETO GRAVADO]]*0.21)</f>
        <v>8344.1924999999992</v>
      </c>
      <c r="J56" s="85"/>
      <c r="K56" s="85"/>
      <c r="L56" s="85"/>
      <c r="M56" s="85"/>
      <c r="N56" s="85">
        <v>1589.37</v>
      </c>
      <c r="O56" s="85"/>
      <c r="P56" s="48">
        <f>SUM(compras_mes103[[#This Row],[NETO GRAVADO]:[Otros / No Grav.]])</f>
        <v>49667.8125</v>
      </c>
      <c r="Q56" s="49" t="str">
        <f>IFERROR(IF(compras_mes103[[#This Row],[CUIT]]="","-",VLOOKUP(compras_mes103[[#This Row],[CUIT]],Lista_CUIT[#All],3,0)),"CUIT NO CARGADO")</f>
        <v>SERVICIOS</v>
      </c>
      <c r="R56" s="49">
        <f>IFERROR(IF(compras_mes103[[#This Row],[CUIT]]="","-",VLOOKUP(compras_mes103[[#This Row],[CUIT]],Lista_CUIT[#All],4,0)),"CUIT NO CARGADO")</f>
        <v>0</v>
      </c>
    </row>
    <row r="57" spans="2:18" x14ac:dyDescent="0.25">
      <c r="B57" s="40"/>
      <c r="C57" s="41"/>
      <c r="D57" s="42"/>
      <c r="E57" s="43"/>
      <c r="F57" s="44">
        <v>30711610096</v>
      </c>
      <c r="G57" s="45" t="str">
        <f>IFERROR(IF(compras_mes103[[#This Row],[CUIT]]="","-",VLOOKUP(compras_mes103[[#This Row],[CUIT]],Lista_CUIT[#All],2,0)),"CUIT NO CARGADO")</f>
        <v>46 SPEED S.A.</v>
      </c>
      <c r="H57" s="46">
        <v>865620</v>
      </c>
      <c r="I57" s="85">
        <f>IF(compras_mes103[[#This Row],[NETO GRAVADO]]="","",compras_mes103[[#This Row],[NETO GRAVADO]]*0.21)</f>
        <v>181780.19999999998</v>
      </c>
      <c r="J57" s="85"/>
      <c r="K57" s="85"/>
      <c r="L57" s="85"/>
      <c r="M57" s="85"/>
      <c r="N57" s="85"/>
      <c r="O57" s="85"/>
      <c r="P57" s="48">
        <f>SUM(compras_mes103[[#This Row],[NETO GRAVADO]:[Otros / No Grav.]])</f>
        <v>1047400.2</v>
      </c>
      <c r="Q57" s="49" t="str">
        <f>IFERROR(IF(compras_mes103[[#This Row],[CUIT]]="","-",VLOOKUP(compras_mes103[[#This Row],[CUIT]],Lista_CUIT[#All],3,0)),"CUIT NO CARGADO")</f>
        <v>Insumos</v>
      </c>
      <c r="R57" s="49">
        <f>IFERROR(IF(compras_mes103[[#This Row],[CUIT]]="","-",VLOOKUP(compras_mes103[[#This Row],[CUIT]],Lista_CUIT[#All],4,0)),"CUIT NO CARGADO")</f>
        <v>0</v>
      </c>
    </row>
    <row r="58" spans="2:18" x14ac:dyDescent="0.25">
      <c r="B58" s="40"/>
      <c r="C58" s="41"/>
      <c r="D58" s="42"/>
      <c r="E58" s="43"/>
      <c r="F58" s="44">
        <v>30711610096</v>
      </c>
      <c r="G58" s="45" t="str">
        <f>IFERROR(IF(compras_mes103[[#This Row],[CUIT]]="","-",VLOOKUP(compras_mes103[[#This Row],[CUIT]],Lista_CUIT[#All],2,0)),"CUIT NO CARGADO")</f>
        <v>46 SPEED S.A.</v>
      </c>
      <c r="H58" s="46">
        <v>865620</v>
      </c>
      <c r="I58" s="85">
        <f>IF(compras_mes103[[#This Row],[NETO GRAVADO]]="","",compras_mes103[[#This Row],[NETO GRAVADO]]*0.21)</f>
        <v>181780.19999999998</v>
      </c>
      <c r="J58" s="85"/>
      <c r="K58" s="85"/>
      <c r="L58" s="85"/>
      <c r="M58" s="85"/>
      <c r="N58" s="85"/>
      <c r="O58" s="85"/>
      <c r="P58" s="48">
        <f>SUM(compras_mes103[[#This Row],[NETO GRAVADO]:[Otros / No Grav.]])</f>
        <v>1047400.2</v>
      </c>
      <c r="Q58" s="49" t="str">
        <f>IFERROR(IF(compras_mes103[[#This Row],[CUIT]]="","-",VLOOKUP(compras_mes103[[#This Row],[CUIT]],Lista_CUIT[#All],3,0)),"CUIT NO CARGADO")</f>
        <v>Insumos</v>
      </c>
      <c r="R58" s="49">
        <f>IFERROR(IF(compras_mes103[[#This Row],[CUIT]]="","-",VLOOKUP(compras_mes103[[#This Row],[CUIT]],Lista_CUIT[#All],4,0)),"CUIT NO CARGADO")</f>
        <v>0</v>
      </c>
    </row>
    <row r="59" spans="2:18" x14ac:dyDescent="0.25">
      <c r="B59" s="40"/>
      <c r="C59" s="41"/>
      <c r="D59" s="42"/>
      <c r="E59" s="43"/>
      <c r="F59" s="44">
        <v>30711610096</v>
      </c>
      <c r="G59" s="45" t="str">
        <f>IFERROR(IF(compras_mes103[[#This Row],[CUIT]]="","-",VLOOKUP(compras_mes103[[#This Row],[CUIT]],Lista_CUIT[#All],2,0)),"CUIT NO CARGADO")</f>
        <v>46 SPEED S.A.</v>
      </c>
      <c r="H59" s="46">
        <v>720000</v>
      </c>
      <c r="I59" s="85">
        <f>IF(compras_mes103[[#This Row],[NETO GRAVADO]]="","",compras_mes103[[#This Row],[NETO GRAVADO]]*0.21)</f>
        <v>151200</v>
      </c>
      <c r="J59" s="85"/>
      <c r="K59" s="85"/>
      <c r="L59" s="85"/>
      <c r="M59" s="85"/>
      <c r="N59" s="85"/>
      <c r="O59" s="85"/>
      <c r="P59" s="48">
        <f>SUM(compras_mes103[[#This Row],[NETO GRAVADO]:[Otros / No Grav.]])</f>
        <v>871200</v>
      </c>
      <c r="Q59" s="49" t="str">
        <f>IFERROR(IF(compras_mes103[[#This Row],[CUIT]]="","-",VLOOKUP(compras_mes103[[#This Row],[CUIT]],Lista_CUIT[#All],3,0)),"CUIT NO CARGADO")</f>
        <v>Insumos</v>
      </c>
      <c r="R59" s="49">
        <f>IFERROR(IF(compras_mes103[[#This Row],[CUIT]]="","-",VLOOKUP(compras_mes103[[#This Row],[CUIT]],Lista_CUIT[#All],4,0)),"CUIT NO CARGADO")</f>
        <v>0</v>
      </c>
    </row>
    <row r="60" spans="2:18" x14ac:dyDescent="0.25">
      <c r="B60" s="40"/>
      <c r="C60" s="41"/>
      <c r="D60" s="42"/>
      <c r="E60" s="43"/>
      <c r="F60" s="44">
        <v>30716815710</v>
      </c>
      <c r="G60" s="45" t="str">
        <f>IFERROR(IF(compras_mes103[[#This Row],[CUIT]]="","-",VLOOKUP(compras_mes103[[#This Row],[CUIT]],Lista_CUIT[#All],2,0)),"CUIT NO CARGADO")</f>
        <v>PAPELERA GEOPEL SRL</v>
      </c>
      <c r="H60" s="46">
        <v>26800</v>
      </c>
      <c r="I60" s="85">
        <f>IF(compras_mes103[[#This Row],[NETO GRAVADO]]="","",compras_mes103[[#This Row],[NETO GRAVADO]]*0.21)</f>
        <v>5628</v>
      </c>
      <c r="J60" s="85"/>
      <c r="K60" s="85"/>
      <c r="L60" s="85"/>
      <c r="M60" s="85"/>
      <c r="N60" s="85"/>
      <c r="O60" s="85"/>
      <c r="P60" s="48">
        <f>SUM(compras_mes103[[#This Row],[NETO GRAVADO]:[Otros / No Grav.]])</f>
        <v>32428</v>
      </c>
      <c r="Q60" s="49" t="str">
        <f>IFERROR(IF(compras_mes103[[#This Row],[CUIT]]="","-",VLOOKUP(compras_mes103[[#This Row],[CUIT]],Lista_CUIT[#All],3,0)),"CUIT NO CARGADO")</f>
        <v>librería</v>
      </c>
      <c r="R60" s="49">
        <f>IFERROR(IF(compras_mes103[[#This Row],[CUIT]]="","-",VLOOKUP(compras_mes103[[#This Row],[CUIT]],Lista_CUIT[#All],4,0)),"CUIT NO CARGADO")</f>
        <v>0</v>
      </c>
    </row>
    <row r="61" spans="2:18" x14ac:dyDescent="0.25">
      <c r="B61" s="40"/>
      <c r="C61" s="41"/>
      <c r="D61" s="42"/>
      <c r="E61" s="43"/>
      <c r="F61" s="44">
        <v>30715775014</v>
      </c>
      <c r="G61" s="45" t="str">
        <f>IFERROR(IF(compras_mes103[[#This Row],[CUIT]]="","-",VLOOKUP(compras_mes103[[#This Row],[CUIT]],Lista_CUIT[#All],2,0)),"CUIT NO CARGADO")</f>
        <v>GRUPO MAXIMUS S.R.L.</v>
      </c>
      <c r="H61" s="46">
        <v>38371.040000000001</v>
      </c>
      <c r="I61" s="85"/>
      <c r="J61" s="85"/>
      <c r="K61" s="85">
        <f>compras_mes103[[#This Row],[NETO GRAVADO]]*0.105</f>
        <v>4028.9591999999998</v>
      </c>
      <c r="L61" s="85"/>
      <c r="M61" s="85"/>
      <c r="N61" s="85">
        <v>1534.84</v>
      </c>
      <c r="O61" s="85"/>
      <c r="P61" s="48">
        <f>SUM(compras_mes103[[#This Row],[NETO GRAVADO]:[Otros / No Grav.]])</f>
        <v>43934.839199999995</v>
      </c>
      <c r="Q61" s="49" t="str">
        <f>IFERROR(IF(compras_mes103[[#This Row],[CUIT]]="","-",VLOOKUP(compras_mes103[[#This Row],[CUIT]],Lista_CUIT[#All],3,0)),"CUIT NO CARGADO")</f>
        <v>Insumos</v>
      </c>
      <c r="R61" s="49">
        <f>IFERROR(IF(compras_mes103[[#This Row],[CUIT]]="","-",VLOOKUP(compras_mes103[[#This Row],[CUIT]],Lista_CUIT[#All],4,0)),"CUIT NO CARGADO")</f>
        <v>0</v>
      </c>
    </row>
    <row r="62" spans="2:18" x14ac:dyDescent="0.25">
      <c r="B62" s="40"/>
      <c r="C62" s="41"/>
      <c r="D62" s="42"/>
      <c r="E62" s="43"/>
      <c r="F62" s="44">
        <v>30710177658</v>
      </c>
      <c r="G62" s="45" t="str">
        <f>IFERROR(IF(compras_mes103[[#This Row],[CUIT]]="","-",VLOOKUP(compras_mes103[[#This Row],[CUIT]],Lista_CUIT[#All],2,0)),"CUIT NO CARGADO")</f>
        <v>TARGET MEDICAL SA</v>
      </c>
      <c r="H62" s="46">
        <v>831952</v>
      </c>
      <c r="I62" s="85">
        <f>IF(compras_mes103[[#This Row],[NETO GRAVADO]]="","",compras_mes103[[#This Row],[NETO GRAVADO]]*0.21)</f>
        <v>174709.91999999998</v>
      </c>
      <c r="J62" s="85"/>
      <c r="K62" s="85"/>
      <c r="L62" s="85"/>
      <c r="M62" s="85"/>
      <c r="N62" s="85">
        <v>33278.080000000002</v>
      </c>
      <c r="O62" s="85"/>
      <c r="P62" s="48">
        <f>SUM(compras_mes103[[#This Row],[NETO GRAVADO]:[Otros / No Grav.]])</f>
        <v>1039939.9999999999</v>
      </c>
      <c r="Q62" s="49" t="str">
        <f>IFERROR(IF(compras_mes103[[#This Row],[CUIT]]="","-",VLOOKUP(compras_mes103[[#This Row],[CUIT]],Lista_CUIT[#All],3,0)),"CUIT NO CARGADO")</f>
        <v>INSUMO</v>
      </c>
      <c r="R62" s="49">
        <f>IFERROR(IF(compras_mes103[[#This Row],[CUIT]]="","-",VLOOKUP(compras_mes103[[#This Row],[CUIT]],Lista_CUIT[#All],4,0)),"CUIT NO CARGADO")</f>
        <v>0</v>
      </c>
    </row>
    <row r="63" spans="2:18" x14ac:dyDescent="0.25">
      <c r="B63" s="40"/>
      <c r="C63" s="41"/>
      <c r="D63" s="42"/>
      <c r="E63" s="43"/>
      <c r="F63" s="44">
        <v>30710177658</v>
      </c>
      <c r="G63" s="45" t="str">
        <f>IFERROR(IF(compras_mes103[[#This Row],[CUIT]]="","-",VLOOKUP(compras_mes103[[#This Row],[CUIT]],Lista_CUIT[#All],2,0)),"CUIT NO CARGADO")</f>
        <v>TARGET MEDICAL SA</v>
      </c>
      <c r="H63" s="46">
        <v>575200</v>
      </c>
      <c r="I63" s="85">
        <f>IF(compras_mes103[[#This Row],[NETO GRAVADO]]="","",compras_mes103[[#This Row],[NETO GRAVADO]]*0.21)</f>
        <v>120792</v>
      </c>
      <c r="J63" s="85"/>
      <c r="K63" s="85"/>
      <c r="L63" s="85"/>
      <c r="M63" s="85"/>
      <c r="N63" s="85">
        <v>23008</v>
      </c>
      <c r="O63" s="85"/>
      <c r="P63" s="48">
        <f>SUM(compras_mes103[[#This Row],[NETO GRAVADO]:[Otros / No Grav.]])</f>
        <v>719000</v>
      </c>
      <c r="Q63" s="49" t="str">
        <f>IFERROR(IF(compras_mes103[[#This Row],[CUIT]]="","-",VLOOKUP(compras_mes103[[#This Row],[CUIT]],Lista_CUIT[#All],3,0)),"CUIT NO CARGADO")</f>
        <v>INSUMO</v>
      </c>
      <c r="R63" s="49">
        <f>IFERROR(IF(compras_mes103[[#This Row],[CUIT]]="","-",VLOOKUP(compras_mes103[[#This Row],[CUIT]],Lista_CUIT[#All],4,0)),"CUIT NO CARGADO")</f>
        <v>0</v>
      </c>
    </row>
    <row r="64" spans="2:18" x14ac:dyDescent="0.25">
      <c r="B64" s="40"/>
      <c r="C64" s="41"/>
      <c r="D64" s="42"/>
      <c r="E64" s="43"/>
      <c r="F64" s="44">
        <v>30711553564</v>
      </c>
      <c r="G64" s="45" t="str">
        <f>IFERROR(IF(compras_mes103[[#This Row],[CUIT]]="","-",VLOOKUP(compras_mes103[[#This Row],[CUIT]],Lista_CUIT[#All],2,0)),"CUIT NO CARGADO")</f>
        <v>SALUD TEX S.A</v>
      </c>
      <c r="H64" s="46">
        <v>1332279</v>
      </c>
      <c r="I64" s="85">
        <f>IF(compras_mes103[[#This Row],[NETO GRAVADO]]="","",compras_mes103[[#This Row],[NETO GRAVADO]]*0.21)</f>
        <v>279778.58999999997</v>
      </c>
      <c r="J64" s="85"/>
      <c r="K64" s="85"/>
      <c r="L64" s="85"/>
      <c r="M64" s="85"/>
      <c r="N64" s="85"/>
      <c r="O64" s="85"/>
      <c r="P64" s="48">
        <f>SUM(compras_mes103[[#This Row],[NETO GRAVADO]:[Otros / No Grav.]])</f>
        <v>1612057.5899999999</v>
      </c>
      <c r="Q64" s="49" t="str">
        <f>IFERROR(IF(compras_mes103[[#This Row],[CUIT]]="","-",VLOOKUP(compras_mes103[[#This Row],[CUIT]],Lista_CUIT[#All],3,0)),"CUIT NO CARGADO")</f>
        <v>INSUMO</v>
      </c>
      <c r="R64" s="49">
        <f>IFERROR(IF(compras_mes103[[#This Row],[CUIT]]="","-",VLOOKUP(compras_mes103[[#This Row],[CUIT]],Lista_CUIT[#All],4,0)),"CUIT NO CARGADO")</f>
        <v>0</v>
      </c>
    </row>
    <row r="65" spans="2:18" x14ac:dyDescent="0.25">
      <c r="B65" s="40"/>
      <c r="C65" s="41"/>
      <c r="D65" s="42"/>
      <c r="E65" s="43"/>
      <c r="F65" s="44">
        <v>30711553564</v>
      </c>
      <c r="G65" s="45" t="str">
        <f>IFERROR(IF(compras_mes103[[#This Row],[CUIT]]="","-",VLOOKUP(compras_mes103[[#This Row],[CUIT]],Lista_CUIT[#All],2,0)),"CUIT NO CARGADO")</f>
        <v>SALUD TEX S.A</v>
      </c>
      <c r="H65" s="46">
        <v>702555</v>
      </c>
      <c r="I65" s="85">
        <f>IF(compras_mes103[[#This Row],[NETO GRAVADO]]="","",compras_mes103[[#This Row],[NETO GRAVADO]]*0.21)</f>
        <v>147536.54999999999</v>
      </c>
      <c r="J65" s="85"/>
      <c r="K65" s="85"/>
      <c r="L65" s="85"/>
      <c r="M65" s="85"/>
      <c r="N65" s="85"/>
      <c r="O65" s="85"/>
      <c r="P65" s="48">
        <f>SUM(compras_mes103[[#This Row],[NETO GRAVADO]:[Otros / No Grav.]])</f>
        <v>850091.55</v>
      </c>
      <c r="Q65" s="49" t="str">
        <f>IFERROR(IF(compras_mes103[[#This Row],[CUIT]]="","-",VLOOKUP(compras_mes103[[#This Row],[CUIT]],Lista_CUIT[#All],3,0)),"CUIT NO CARGADO")</f>
        <v>INSUMO</v>
      </c>
      <c r="R65" s="49">
        <f>IFERROR(IF(compras_mes103[[#This Row],[CUIT]]="","-",VLOOKUP(compras_mes103[[#This Row],[CUIT]],Lista_CUIT[#All],4,0)),"CUIT NO CARGADO")</f>
        <v>0</v>
      </c>
    </row>
    <row r="66" spans="2:18" x14ac:dyDescent="0.25">
      <c r="B66" s="40"/>
      <c r="C66" s="41"/>
      <c r="D66" s="42"/>
      <c r="E66" s="43"/>
      <c r="F66" s="44">
        <v>30711553564</v>
      </c>
      <c r="G66" s="45" t="str">
        <f>IFERROR(IF(compras_mes103[[#This Row],[CUIT]]="","-",VLOOKUP(compras_mes103[[#This Row],[CUIT]],Lista_CUIT[#All],2,0)),"CUIT NO CARGADO")</f>
        <v>SALUD TEX S.A</v>
      </c>
      <c r="H66" s="46">
        <v>30765</v>
      </c>
      <c r="I66" s="85">
        <f>IF(compras_mes103[[#This Row],[NETO GRAVADO]]="","",compras_mes103[[#This Row],[NETO GRAVADO]]*0.21)</f>
        <v>6460.65</v>
      </c>
      <c r="J66" s="85"/>
      <c r="K66" s="85"/>
      <c r="L66" s="85"/>
      <c r="M66" s="85"/>
      <c r="N66" s="85"/>
      <c r="O66" s="85"/>
      <c r="P66" s="48">
        <f>SUM(compras_mes103[[#This Row],[NETO GRAVADO]:[Otros / No Grav.]])</f>
        <v>37225.65</v>
      </c>
      <c r="Q66" s="49" t="str">
        <f>IFERROR(IF(compras_mes103[[#This Row],[CUIT]]="","-",VLOOKUP(compras_mes103[[#This Row],[CUIT]],Lista_CUIT[#All],3,0)),"CUIT NO CARGADO")</f>
        <v>INSUMO</v>
      </c>
      <c r="R66" s="49">
        <f>IFERROR(IF(compras_mes103[[#This Row],[CUIT]]="","-",VLOOKUP(compras_mes103[[#This Row],[CUIT]],Lista_CUIT[#All],4,0)),"CUIT NO CARGADO")</f>
        <v>0</v>
      </c>
    </row>
    <row r="67" spans="2:18" x14ac:dyDescent="0.25">
      <c r="B67" s="40"/>
      <c r="C67" s="41"/>
      <c r="D67" s="42"/>
      <c r="E67" s="43"/>
      <c r="F67" s="44">
        <v>30711553564</v>
      </c>
      <c r="G67" s="45" t="str">
        <f>IFERROR(IF(compras_mes103[[#This Row],[CUIT]]="","-",VLOOKUP(compras_mes103[[#This Row],[CUIT]],Lista_CUIT[#All],2,0)),"CUIT NO CARGADO")</f>
        <v>SALUD TEX S.A</v>
      </c>
      <c r="H67" s="46">
        <v>355304</v>
      </c>
      <c r="I67" s="85">
        <f>IF(compras_mes103[[#This Row],[NETO GRAVADO]]="","",compras_mes103[[#This Row],[NETO GRAVADO]]*0.21)</f>
        <v>74613.84</v>
      </c>
      <c r="J67" s="85"/>
      <c r="K67" s="85"/>
      <c r="L67" s="85"/>
      <c r="M67" s="85"/>
      <c r="N67" s="85"/>
      <c r="O67" s="85"/>
      <c r="P67" s="48">
        <f>SUM(compras_mes103[[#This Row],[NETO GRAVADO]:[Otros / No Grav.]])</f>
        <v>429917.83999999997</v>
      </c>
      <c r="Q67" s="49" t="str">
        <f>IFERROR(IF(compras_mes103[[#This Row],[CUIT]]="","-",VLOOKUP(compras_mes103[[#This Row],[CUIT]],Lista_CUIT[#All],3,0)),"CUIT NO CARGADO")</f>
        <v>INSUMO</v>
      </c>
      <c r="R67" s="49">
        <f>IFERROR(IF(compras_mes103[[#This Row],[CUIT]]="","-",VLOOKUP(compras_mes103[[#This Row],[CUIT]],Lista_CUIT[#All],4,0)),"CUIT NO CARGADO")</f>
        <v>0</v>
      </c>
    </row>
    <row r="68" spans="2:18" x14ac:dyDescent="0.25">
      <c r="B68" s="40"/>
      <c r="C68" s="41"/>
      <c r="D68" s="42"/>
      <c r="E68" s="43"/>
      <c r="F68" s="44">
        <v>30620177497</v>
      </c>
      <c r="G68" s="45" t="str">
        <f>IFERROR(IF(compras_mes103[[#This Row],[CUIT]]="","-",VLOOKUP(compras_mes103[[#This Row],[CUIT]],Lista_CUIT[#All],2,0)),"CUIT NO CARGADO")</f>
        <v>POSNET SOCIEDAD DE RESPONSABILIDAD LIMITADA</v>
      </c>
      <c r="H68" s="46">
        <v>19593.02</v>
      </c>
      <c r="I68" s="85">
        <f>IF(compras_mes103[[#This Row],[NETO GRAVADO]]="","",compras_mes103[[#This Row],[NETO GRAVADO]]*0.21)</f>
        <v>4114.5342000000001</v>
      </c>
      <c r="J68" s="85"/>
      <c r="K68" s="85"/>
      <c r="L68" s="85"/>
      <c r="M68" s="85"/>
      <c r="N68" s="85"/>
      <c r="O68" s="85">
        <v>1371.51</v>
      </c>
      <c r="P68" s="48">
        <f>SUM(compras_mes103[[#This Row],[NETO GRAVADO]:[Otros / No Grav.]])</f>
        <v>25079.064199999997</v>
      </c>
      <c r="Q68" s="49" t="str">
        <f>IFERROR(IF(compras_mes103[[#This Row],[CUIT]]="","-",VLOOKUP(compras_mes103[[#This Row],[CUIT]],Lista_CUIT[#All],3,0)),"CUIT NO CARGADO")</f>
        <v>Gastos Varios</v>
      </c>
      <c r="R68" s="49">
        <f>IFERROR(IF(compras_mes103[[#This Row],[CUIT]]="","-",VLOOKUP(compras_mes103[[#This Row],[CUIT]],Lista_CUIT[#All],4,0)),"CUIT NO CARGADO")</f>
        <v>0</v>
      </c>
    </row>
    <row r="69" spans="2:18" x14ac:dyDescent="0.25">
      <c r="B69" s="40"/>
      <c r="C69" s="41"/>
      <c r="D69" s="42"/>
      <c r="E69" s="43"/>
      <c r="F69" s="44">
        <v>27325223273</v>
      </c>
      <c r="G69" s="45" t="str">
        <f>IFERROR(IF(compras_mes103[[#This Row],[CUIT]]="","-",VLOOKUP(compras_mes103[[#This Row],[CUIT]],Lista_CUIT[#All],2,0)),"CUIT NO CARGADO")</f>
        <v>SOUSA ALDERETE ALEJANDRA MABEL</v>
      </c>
      <c r="H69" s="46">
        <v>2200000</v>
      </c>
      <c r="I69" s="85">
        <f>IF(compras_mes103[[#This Row],[NETO GRAVADO]]="","",compras_mes103[[#This Row],[NETO GRAVADO]]*0.21)</f>
        <v>462000</v>
      </c>
      <c r="J69" s="85"/>
      <c r="K69" s="85"/>
      <c r="L69" s="85"/>
      <c r="M69" s="85"/>
      <c r="N69" s="85"/>
      <c r="O69" s="85"/>
      <c r="P69" s="48">
        <f>SUM(compras_mes103[[#This Row],[NETO GRAVADO]:[Otros / No Grav.]])</f>
        <v>2662000</v>
      </c>
      <c r="Q69" s="49" t="str">
        <f>IFERROR(IF(compras_mes103[[#This Row],[CUIT]]="","-",VLOOKUP(compras_mes103[[#This Row],[CUIT]],Lista_CUIT[#All],3,0)),"CUIT NO CARGADO")</f>
        <v>Insumos</v>
      </c>
      <c r="R69" s="49">
        <f>IFERROR(IF(compras_mes103[[#This Row],[CUIT]]="","-",VLOOKUP(compras_mes103[[#This Row],[CUIT]],Lista_CUIT[#All],4,0)),"CUIT NO CARGADO")</f>
        <v>0</v>
      </c>
    </row>
    <row r="70" spans="2:18" x14ac:dyDescent="0.25">
      <c r="B70" s="40"/>
      <c r="C70" s="41"/>
      <c r="D70" s="42"/>
      <c r="E70" s="43"/>
      <c r="F70" s="44">
        <v>27325223273</v>
      </c>
      <c r="G70" s="45" t="str">
        <f>IFERROR(IF(compras_mes103[[#This Row],[CUIT]]="","-",VLOOKUP(compras_mes103[[#This Row],[CUIT]],Lista_CUIT[#All],2,0)),"CUIT NO CARGADO")</f>
        <v>SOUSA ALDERETE ALEJANDRA MABEL</v>
      </c>
      <c r="H70" s="46">
        <v>1300000</v>
      </c>
      <c r="I70" s="85">
        <f>IF(compras_mes103[[#This Row],[NETO GRAVADO]]="","",compras_mes103[[#This Row],[NETO GRAVADO]]*0.21)</f>
        <v>273000</v>
      </c>
      <c r="J70" s="85"/>
      <c r="K70" s="85"/>
      <c r="L70" s="85"/>
      <c r="M70" s="85"/>
      <c r="N70" s="85"/>
      <c r="O70" s="85"/>
      <c r="P70" s="48">
        <f>SUM(compras_mes103[[#This Row],[NETO GRAVADO]:[Otros / No Grav.]])</f>
        <v>1573000</v>
      </c>
      <c r="Q70" s="49" t="str">
        <f>IFERROR(IF(compras_mes103[[#This Row],[CUIT]]="","-",VLOOKUP(compras_mes103[[#This Row],[CUIT]],Lista_CUIT[#All],3,0)),"CUIT NO CARGADO")</f>
        <v>Insumos</v>
      </c>
      <c r="R70" s="49">
        <f>IFERROR(IF(compras_mes103[[#This Row],[CUIT]]="","-",VLOOKUP(compras_mes103[[#This Row],[CUIT]],Lista_CUIT[#All],4,0)),"CUIT NO CARGADO")</f>
        <v>0</v>
      </c>
    </row>
    <row r="71" spans="2:18" x14ac:dyDescent="0.25">
      <c r="B71" s="40"/>
      <c r="C71" s="41"/>
      <c r="D71" s="42"/>
      <c r="E71" s="43"/>
      <c r="F71" s="44">
        <v>30712187316</v>
      </c>
      <c r="G71" s="45" t="str">
        <f>IFERROR(IF(compras_mes103[[#This Row],[CUIT]]="","-",VLOOKUP(compras_mes103[[#This Row],[CUIT]],Lista_CUIT[#All],2,0)),"CUIT NO CARGADO")</f>
        <v>ITALOMED PRODUCTOS SRL</v>
      </c>
      <c r="H71" s="46">
        <v>215832.05</v>
      </c>
      <c r="I71" s="85">
        <f>IF(compras_mes103[[#This Row],[NETO GRAVADO]]="","",compras_mes103[[#This Row],[NETO GRAVADO]]*0.21)</f>
        <v>45324.730499999998</v>
      </c>
      <c r="J71" s="85"/>
      <c r="K71" s="85"/>
      <c r="L71" s="85"/>
      <c r="M71" s="85"/>
      <c r="N71" s="85"/>
      <c r="O71" s="85"/>
      <c r="P71" s="48">
        <f>SUM(compras_mes103[[#This Row],[NETO GRAVADO]:[Otros / No Grav.]])</f>
        <v>261156.78049999999</v>
      </c>
      <c r="Q71" s="49" t="str">
        <f>IFERROR(IF(compras_mes103[[#This Row],[CUIT]]="","-",VLOOKUP(compras_mes103[[#This Row],[CUIT]],Lista_CUIT[#All],3,0)),"CUIT NO CARGADO")</f>
        <v>INSUMO</v>
      </c>
      <c r="R71" s="49">
        <f>IFERROR(IF(compras_mes103[[#This Row],[CUIT]]="","-",VLOOKUP(compras_mes103[[#This Row],[CUIT]],Lista_CUIT[#All],4,0)),"CUIT NO CARGADO")</f>
        <v>0</v>
      </c>
    </row>
    <row r="72" spans="2:18" x14ac:dyDescent="0.25">
      <c r="B72" s="40"/>
      <c r="C72" s="41"/>
      <c r="D72" s="42"/>
      <c r="E72" s="43"/>
      <c r="F72" s="44">
        <v>30712187316</v>
      </c>
      <c r="G72" s="45" t="str">
        <f>IFERROR(IF(compras_mes103[[#This Row],[CUIT]]="","-",VLOOKUP(compras_mes103[[#This Row],[CUIT]],Lista_CUIT[#All],2,0)),"CUIT NO CARGADO")</f>
        <v>ITALOMED PRODUCTOS SRL</v>
      </c>
      <c r="H72" s="46">
        <v>199854.05</v>
      </c>
      <c r="I72" s="85">
        <f>IF(compras_mes103[[#This Row],[NETO GRAVADO]]="","",compras_mes103[[#This Row],[NETO GRAVADO]]*0.21)</f>
        <v>41969.350499999993</v>
      </c>
      <c r="J72" s="85"/>
      <c r="K72" s="85"/>
      <c r="L72" s="85"/>
      <c r="M72" s="85"/>
      <c r="N72" s="85"/>
      <c r="O72" s="85"/>
      <c r="P72" s="48">
        <f>SUM(compras_mes103[[#This Row],[NETO GRAVADO]:[Otros / No Grav.]])</f>
        <v>241823.40049999999</v>
      </c>
      <c r="Q72" s="49" t="str">
        <f>IFERROR(IF(compras_mes103[[#This Row],[CUIT]]="","-",VLOOKUP(compras_mes103[[#This Row],[CUIT]],Lista_CUIT[#All],3,0)),"CUIT NO CARGADO")</f>
        <v>INSUMO</v>
      </c>
      <c r="R72" s="49">
        <f>IFERROR(IF(compras_mes103[[#This Row],[CUIT]]="","-",VLOOKUP(compras_mes103[[#This Row],[CUIT]],Lista_CUIT[#All],4,0)),"CUIT NO CARGADO")</f>
        <v>0</v>
      </c>
    </row>
    <row r="73" spans="2:18" x14ac:dyDescent="0.25">
      <c r="B73" s="40"/>
      <c r="C73" s="41"/>
      <c r="D73" s="42"/>
      <c r="E73" s="43"/>
      <c r="F73" s="44">
        <v>20347228002</v>
      </c>
      <c r="G73" s="45" t="str">
        <f>IFERROR(IF(compras_mes103[[#This Row],[CUIT]]="","-",VLOOKUP(compras_mes103[[#This Row],[CUIT]],Lista_CUIT[#All],2,0)),"CUIT NO CARGADO")</f>
        <v>MATIAS EZEQUIEL ROMANO</v>
      </c>
      <c r="H73" s="46">
        <v>80594.23</v>
      </c>
      <c r="I73" s="85">
        <f>IF(compras_mes103[[#This Row],[NETO GRAVADO]]="","",compras_mes103[[#This Row],[NETO GRAVADO]]*0.21)</f>
        <v>16924.7883</v>
      </c>
      <c r="J73" s="85"/>
      <c r="K73" s="85"/>
      <c r="L73" s="85"/>
      <c r="M73" s="85"/>
      <c r="N73" s="85"/>
      <c r="O73" s="85"/>
      <c r="P73" s="48">
        <f>SUM(compras_mes103[[#This Row],[NETO GRAVADO]:[Otros / No Grav.]])</f>
        <v>97519.018299999996</v>
      </c>
      <c r="Q73" s="49" t="str">
        <f>IFERROR(IF(compras_mes103[[#This Row],[CUIT]]="","-",VLOOKUP(compras_mes103[[#This Row],[CUIT]],Lista_CUIT[#All],3,0)),"CUIT NO CARGADO")</f>
        <v>INSUMO</v>
      </c>
      <c r="R73" s="49">
        <f>IFERROR(IF(compras_mes103[[#This Row],[CUIT]]="","-",VLOOKUP(compras_mes103[[#This Row],[CUIT]],Lista_CUIT[#All],4,0)),"CUIT NO CARGADO")</f>
        <v>0</v>
      </c>
    </row>
    <row r="74" spans="2:18" x14ac:dyDescent="0.25">
      <c r="B74" s="40"/>
      <c r="C74" s="41"/>
      <c r="D74" s="42"/>
      <c r="E74" s="43"/>
      <c r="F74" s="44">
        <v>30711647135</v>
      </c>
      <c r="G74" s="45" t="str">
        <f>IFERROR(IF(compras_mes103[[#This Row],[CUIT]]="","-",VLOOKUP(compras_mes103[[#This Row],[CUIT]],Lista_CUIT[#All],2,0)),"CUIT NO CARGADO")</f>
        <v>FOURMAX SRL</v>
      </c>
      <c r="H74" s="46">
        <v>96169.7</v>
      </c>
      <c r="I74" s="85">
        <f>IF(compras_mes103[[#This Row],[NETO GRAVADO]]="","",compras_mes103[[#This Row],[NETO GRAVADO]]*0.21)</f>
        <v>20195.636999999999</v>
      </c>
      <c r="J74" s="85"/>
      <c r="K74" s="85"/>
      <c r="L74" s="85"/>
      <c r="M74" s="85"/>
      <c r="N74" s="85"/>
      <c r="O74" s="85">
        <v>13634.67</v>
      </c>
      <c r="P74" s="48">
        <f>SUM(compras_mes103[[#This Row],[NETO GRAVADO]:[Otros / No Grav.]])</f>
        <v>130000.007</v>
      </c>
      <c r="Q74" s="49" t="str">
        <f>IFERROR(IF(compras_mes103[[#This Row],[CUIT]]="","-",VLOOKUP(compras_mes103[[#This Row],[CUIT]],Lista_CUIT[#All],3,0)),"CUIT NO CARGADO")</f>
        <v>COMBUSTIBLE</v>
      </c>
      <c r="R74" s="49">
        <f>IFERROR(IF(compras_mes103[[#This Row],[CUIT]]="","-",VLOOKUP(compras_mes103[[#This Row],[CUIT]],Lista_CUIT[#All],4,0)),"CUIT NO CARGADO")</f>
        <v>0</v>
      </c>
    </row>
    <row r="75" spans="2:18" x14ac:dyDescent="0.25">
      <c r="B75" s="40"/>
      <c r="C75" s="41"/>
      <c r="D75" s="42"/>
      <c r="E75" s="43"/>
      <c r="F75" s="44">
        <v>30709214078</v>
      </c>
      <c r="G75" s="45" t="str">
        <f>IFERROR(IF(compras_mes103[[#This Row],[CUIT]]="","-",VLOOKUP(compras_mes103[[#This Row],[CUIT]],Lista_CUIT[#All],2,0)),"CUIT NO CARGADO")</f>
        <v>REHAVITA S.A</v>
      </c>
      <c r="H75" s="46">
        <v>315560</v>
      </c>
      <c r="I75" s="85"/>
      <c r="J75" s="85"/>
      <c r="K75" s="85">
        <f>compras_mes103[[#This Row],[NETO GRAVADO]]*0.105</f>
        <v>33133.799999999996</v>
      </c>
      <c r="L75" s="85"/>
      <c r="M75" s="85"/>
      <c r="N75" s="85"/>
      <c r="O75" s="85"/>
      <c r="P75" s="48">
        <f>SUM(compras_mes103[[#This Row],[NETO GRAVADO]:[Otros / No Grav.]])</f>
        <v>348693.8</v>
      </c>
      <c r="Q75" s="49" t="str">
        <f>IFERROR(IF(compras_mes103[[#This Row],[CUIT]]="","-",VLOOKUP(compras_mes103[[#This Row],[CUIT]],Lista_CUIT[#All],3,0)),"CUIT NO CARGADO")</f>
        <v>INSUMO</v>
      </c>
      <c r="R75" s="49">
        <f>IFERROR(IF(compras_mes103[[#This Row],[CUIT]]="","-",VLOOKUP(compras_mes103[[#This Row],[CUIT]],Lista_CUIT[#All],4,0)),"CUIT NO CARGADO")</f>
        <v>0</v>
      </c>
    </row>
    <row r="76" spans="2:18" x14ac:dyDescent="0.25">
      <c r="B76" s="40"/>
      <c r="C76" s="41"/>
      <c r="D76" s="42"/>
      <c r="E76" s="43"/>
      <c r="F76" s="44">
        <v>30709214078</v>
      </c>
      <c r="G76" s="45" t="str">
        <f>IFERROR(IF(compras_mes103[[#This Row],[CUIT]]="","-",VLOOKUP(compras_mes103[[#This Row],[CUIT]],Lista_CUIT[#All],2,0)),"CUIT NO CARGADO")</f>
        <v>REHAVITA S.A</v>
      </c>
      <c r="H76" s="46">
        <v>875840</v>
      </c>
      <c r="I76" s="85"/>
      <c r="J76" s="85"/>
      <c r="K76" s="85">
        <f>compras_mes103[[#This Row],[NETO GRAVADO]]*0.105</f>
        <v>91963.199999999997</v>
      </c>
      <c r="L76" s="85"/>
      <c r="M76" s="85"/>
      <c r="N76" s="85"/>
      <c r="O76" s="85"/>
      <c r="P76" s="48">
        <f>SUM(compras_mes103[[#This Row],[NETO GRAVADO]:[Otros / No Grav.]])</f>
        <v>967803.2</v>
      </c>
      <c r="Q76" s="49" t="str">
        <f>IFERROR(IF(compras_mes103[[#This Row],[CUIT]]="","-",VLOOKUP(compras_mes103[[#This Row],[CUIT]],Lista_CUIT[#All],3,0)),"CUIT NO CARGADO")</f>
        <v>INSUMO</v>
      </c>
      <c r="R76" s="49">
        <f>IFERROR(IF(compras_mes103[[#This Row],[CUIT]]="","-",VLOOKUP(compras_mes103[[#This Row],[CUIT]],Lista_CUIT[#All],4,0)),"CUIT NO CARGADO")</f>
        <v>0</v>
      </c>
    </row>
    <row r="77" spans="2:18" x14ac:dyDescent="0.25">
      <c r="B77" s="40"/>
      <c r="C77" s="41"/>
      <c r="D77" s="42"/>
      <c r="E77" s="43"/>
      <c r="F77" s="44">
        <v>30643518364</v>
      </c>
      <c r="G77" s="45" t="str">
        <f>IFERROR(IF(compras_mes103[[#This Row],[CUIT]]="","-",VLOOKUP(compras_mes103[[#This Row],[CUIT]],Lista_CUIT[#All],2,0)),"CUIT NO CARGADO")</f>
        <v>FARMACIA DE MEDRANO SCS</v>
      </c>
      <c r="H77" s="46">
        <v>88750</v>
      </c>
      <c r="I77" s="85">
        <f>IF(compras_mes103[[#This Row],[NETO GRAVADO]]="","",compras_mes103[[#This Row],[NETO GRAVADO]]*0.21)</f>
        <v>18637.5</v>
      </c>
      <c r="J77" s="85"/>
      <c r="K77" s="85"/>
      <c r="L77" s="85"/>
      <c r="M77" s="85"/>
      <c r="N77" s="85"/>
      <c r="O77" s="85"/>
      <c r="P77" s="48">
        <f>SUM(compras_mes103[[#This Row],[NETO GRAVADO]:[Otros / No Grav.]])</f>
        <v>107387.5</v>
      </c>
      <c r="Q77" s="49" t="str">
        <f>IFERROR(IF(compras_mes103[[#This Row],[CUIT]]="","-",VLOOKUP(compras_mes103[[#This Row],[CUIT]],Lista_CUIT[#All],3,0)),"CUIT NO CARGADO")</f>
        <v>INSUMO</v>
      </c>
      <c r="R77" s="49">
        <f>IFERROR(IF(compras_mes103[[#This Row],[CUIT]]="","-",VLOOKUP(compras_mes103[[#This Row],[CUIT]],Lista_CUIT[#All],4,0)),"CUIT NO CARGADO")</f>
        <v>0</v>
      </c>
    </row>
    <row r="78" spans="2:18" x14ac:dyDescent="0.25">
      <c r="B78" s="40"/>
      <c r="C78" s="41"/>
      <c r="D78" s="42"/>
      <c r="E78" s="43"/>
      <c r="F78" s="44">
        <v>23288035059</v>
      </c>
      <c r="G78" s="45" t="str">
        <f>IFERROR(IF(compras_mes103[[#This Row],[CUIT]]="","-",VLOOKUP(compras_mes103[[#This Row],[CUIT]],Lista_CUIT[#All],2,0)),"CUIT NO CARGADO")</f>
        <v>MENDIZABAL RAUL EUGENIO</v>
      </c>
      <c r="H78" s="46">
        <v>9380.17</v>
      </c>
      <c r="I78" s="85">
        <f>IF(compras_mes103[[#This Row],[NETO GRAVADO]]="","",compras_mes103[[#This Row],[NETO GRAVADO]]*0.21)</f>
        <v>1969.8356999999999</v>
      </c>
      <c r="J78" s="85"/>
      <c r="K78" s="85"/>
      <c r="L78" s="85"/>
      <c r="M78" s="85"/>
      <c r="N78" s="85"/>
      <c r="O78" s="85"/>
      <c r="P78" s="48">
        <f>SUM(compras_mes103[[#This Row],[NETO GRAVADO]:[Otros / No Grav.]])</f>
        <v>11350.0057</v>
      </c>
      <c r="Q78" s="49" t="str">
        <f>IFERROR(IF(compras_mes103[[#This Row],[CUIT]]="","-",VLOOKUP(compras_mes103[[#This Row],[CUIT]],Lista_CUIT[#All],3,0)),"CUIT NO CARGADO")</f>
        <v>Papeleria</v>
      </c>
      <c r="R78" s="49">
        <f>IFERROR(IF(compras_mes103[[#This Row],[CUIT]]="","-",VLOOKUP(compras_mes103[[#This Row],[CUIT]],Lista_CUIT[#All],4,0)),"CUIT NO CARGADO")</f>
        <v>0</v>
      </c>
    </row>
    <row r="79" spans="2:18" x14ac:dyDescent="0.25">
      <c r="B79" s="40"/>
      <c r="C79" s="41"/>
      <c r="D79" s="42"/>
      <c r="E79" s="43"/>
      <c r="F79" s="44">
        <v>33715594949</v>
      </c>
      <c r="G79" s="45" t="str">
        <f>IFERROR(IF(compras_mes103[[#This Row],[CUIT]]="","-",VLOOKUP(compras_mes103[[#This Row],[CUIT]],Lista_CUIT[#All],2,0)),"CUIT NO CARGADO")</f>
        <v>SOMOS ENERGIA SA</v>
      </c>
      <c r="H79" s="46">
        <v>73101.039999999994</v>
      </c>
      <c r="I79" s="85">
        <f>IF(compras_mes103[[#This Row],[NETO GRAVADO]]="","",compras_mes103[[#This Row],[NETO GRAVADO]]*0.21)</f>
        <v>15351.218399999998</v>
      </c>
      <c r="J79" s="85"/>
      <c r="K79" s="85"/>
      <c r="L79" s="85"/>
      <c r="M79" s="85"/>
      <c r="N79" s="85"/>
      <c r="O79" s="85">
        <v>1182.8399999999999</v>
      </c>
      <c r="P79" s="48">
        <f>SUM(compras_mes103[[#This Row],[NETO GRAVADO]:[Otros / No Grav.]])</f>
        <v>89635.098399999988</v>
      </c>
      <c r="Q79" s="49" t="str">
        <f>IFERROR(IF(compras_mes103[[#This Row],[CUIT]]="","-",VLOOKUP(compras_mes103[[#This Row],[CUIT]],Lista_CUIT[#All],3,0)),"CUIT NO CARGADO")</f>
        <v>COMBUSTIBLE</v>
      </c>
      <c r="R79" s="49">
        <f>IFERROR(IF(compras_mes103[[#This Row],[CUIT]]="","-",VLOOKUP(compras_mes103[[#This Row],[CUIT]],Lista_CUIT[#All],4,0)),"CUIT NO CARGADO")</f>
        <v>0</v>
      </c>
    </row>
    <row r="80" spans="2:18" x14ac:dyDescent="0.25">
      <c r="B80" s="40"/>
      <c r="C80" s="41"/>
      <c r="D80" s="42"/>
      <c r="E80" s="43"/>
      <c r="F80" s="44">
        <v>33715594949</v>
      </c>
      <c r="G80" s="45" t="str">
        <f>IFERROR(IF(compras_mes103[[#This Row],[CUIT]]="","-",VLOOKUP(compras_mes103[[#This Row],[CUIT]],Lista_CUIT[#All],2,0)),"CUIT NO CARGADO")</f>
        <v>SOMOS ENERGIA SA</v>
      </c>
      <c r="H80" s="46">
        <v>47576.46</v>
      </c>
      <c r="I80" s="85">
        <f>IF(compras_mes103[[#This Row],[NETO GRAVADO]]="","",compras_mes103[[#This Row],[NETO GRAVADO]]*0.21)</f>
        <v>9991.0565999999999</v>
      </c>
      <c r="J80" s="85"/>
      <c r="K80" s="85"/>
      <c r="L80" s="85"/>
      <c r="M80" s="85"/>
      <c r="N80" s="85"/>
      <c r="O80" s="85">
        <v>760.46</v>
      </c>
      <c r="P80" s="48">
        <f>SUM(compras_mes103[[#This Row],[NETO GRAVADO]:[Otros / No Grav.]])</f>
        <v>58327.976600000002</v>
      </c>
      <c r="Q80" s="49" t="str">
        <f>IFERROR(IF(compras_mes103[[#This Row],[CUIT]]="","-",VLOOKUP(compras_mes103[[#This Row],[CUIT]],Lista_CUIT[#All],3,0)),"CUIT NO CARGADO")</f>
        <v>COMBUSTIBLE</v>
      </c>
      <c r="R80" s="49">
        <f>IFERROR(IF(compras_mes103[[#This Row],[CUIT]]="","-",VLOOKUP(compras_mes103[[#This Row],[CUIT]],Lista_CUIT[#All],4,0)),"CUIT NO CARGADO")</f>
        <v>0</v>
      </c>
    </row>
    <row r="81" spans="2:18" x14ac:dyDescent="0.25">
      <c r="B81" s="40"/>
      <c r="C81" s="41"/>
      <c r="D81" s="42"/>
      <c r="E81" s="43"/>
      <c r="F81" s="44">
        <v>33715594949</v>
      </c>
      <c r="G81" s="45" t="str">
        <f>IFERROR(IF(compras_mes103[[#This Row],[CUIT]]="","-",VLOOKUP(compras_mes103[[#This Row],[CUIT]],Lista_CUIT[#All],2,0)),"CUIT NO CARGADO")</f>
        <v>SOMOS ENERGIA SA</v>
      </c>
      <c r="H81" s="46">
        <v>43948.61</v>
      </c>
      <c r="I81" s="85">
        <f>IF(compras_mes103[[#This Row],[NETO GRAVADO]]="","",compras_mes103[[#This Row],[NETO GRAVADO]]*0.21)</f>
        <v>9229.2080999999998</v>
      </c>
      <c r="J81" s="85"/>
      <c r="K81" s="85"/>
      <c r="L81" s="85"/>
      <c r="M81" s="85"/>
      <c r="N81" s="85"/>
      <c r="O81" s="85">
        <v>698</v>
      </c>
      <c r="P81" s="48">
        <f>SUM(compras_mes103[[#This Row],[NETO GRAVADO]:[Otros / No Grav.]])</f>
        <v>53875.818100000004</v>
      </c>
      <c r="Q81" s="49" t="str">
        <f>IFERROR(IF(compras_mes103[[#This Row],[CUIT]]="","-",VLOOKUP(compras_mes103[[#This Row],[CUIT]],Lista_CUIT[#All],3,0)),"CUIT NO CARGADO")</f>
        <v>COMBUSTIBLE</v>
      </c>
      <c r="R81" s="49">
        <f>IFERROR(IF(compras_mes103[[#This Row],[CUIT]]="","-",VLOOKUP(compras_mes103[[#This Row],[CUIT]],Lista_CUIT[#All],4,0)),"CUIT NO CARGADO")</f>
        <v>0</v>
      </c>
    </row>
    <row r="82" spans="2:18" x14ac:dyDescent="0.25">
      <c r="B82" s="40"/>
      <c r="C82" s="41"/>
      <c r="D82" s="42"/>
      <c r="E82" s="43"/>
      <c r="F82" s="44">
        <v>33715594949</v>
      </c>
      <c r="G82" s="45" t="str">
        <f>IFERROR(IF(compras_mes103[[#This Row],[CUIT]]="","-",VLOOKUP(compras_mes103[[#This Row],[CUIT]],Lista_CUIT[#All],2,0)),"CUIT NO CARGADO")</f>
        <v>SOMOS ENERGIA SA</v>
      </c>
      <c r="H82" s="46">
        <v>13063.72</v>
      </c>
      <c r="I82" s="85">
        <f>IF(compras_mes103[[#This Row],[NETO GRAVADO]]="","",compras_mes103[[#This Row],[NETO GRAVADO]]*0.21)</f>
        <v>2743.3811999999998</v>
      </c>
      <c r="J82" s="85"/>
      <c r="K82" s="85"/>
      <c r="L82" s="85"/>
      <c r="M82" s="85"/>
      <c r="N82" s="85"/>
      <c r="O82" s="85">
        <v>207.48</v>
      </c>
      <c r="P82" s="48">
        <f>SUM(compras_mes103[[#This Row],[NETO GRAVADO]:[Otros / No Grav.]])</f>
        <v>16014.581199999999</v>
      </c>
      <c r="Q82" s="49" t="str">
        <f>IFERROR(IF(compras_mes103[[#This Row],[CUIT]]="","-",VLOOKUP(compras_mes103[[#This Row],[CUIT]],Lista_CUIT[#All],3,0)),"CUIT NO CARGADO")</f>
        <v>COMBUSTIBLE</v>
      </c>
      <c r="R82" s="49">
        <f>IFERROR(IF(compras_mes103[[#This Row],[CUIT]]="","-",VLOOKUP(compras_mes103[[#This Row],[CUIT]],Lista_CUIT[#All],4,0)),"CUIT NO CARGADO")</f>
        <v>0</v>
      </c>
    </row>
    <row r="83" spans="2:18" x14ac:dyDescent="0.25">
      <c r="B83" s="40"/>
      <c r="C83" s="41"/>
      <c r="D83" s="42"/>
      <c r="E83" s="43"/>
      <c r="F83" s="44">
        <v>33715594949</v>
      </c>
      <c r="G83" s="45" t="str">
        <f>IFERROR(IF(compras_mes103[[#This Row],[CUIT]]="","-",VLOOKUP(compras_mes103[[#This Row],[CUIT]],Lista_CUIT[#All],2,0)),"CUIT NO CARGADO")</f>
        <v>SOMOS ENERGIA SA</v>
      </c>
      <c r="H83" s="46">
        <v>49810.75</v>
      </c>
      <c r="I83" s="85">
        <f>IF(compras_mes103[[#This Row],[NETO GRAVADO]]="","",compras_mes103[[#This Row],[NETO GRAVADO]]*0.21)</f>
        <v>10460.2575</v>
      </c>
      <c r="J83" s="85"/>
      <c r="K83" s="85"/>
      <c r="L83" s="85"/>
      <c r="M83" s="85"/>
      <c r="N83" s="85"/>
      <c r="O83" s="85">
        <v>791.11</v>
      </c>
      <c r="P83" s="48">
        <f>SUM(compras_mes103[[#This Row],[NETO GRAVADO]:[Otros / No Grav.]])</f>
        <v>61062.1175</v>
      </c>
      <c r="Q83" s="49" t="str">
        <f>IFERROR(IF(compras_mes103[[#This Row],[CUIT]]="","-",VLOOKUP(compras_mes103[[#This Row],[CUIT]],Lista_CUIT[#All],3,0)),"CUIT NO CARGADO")</f>
        <v>COMBUSTIBLE</v>
      </c>
      <c r="R83" s="49">
        <f>IFERROR(IF(compras_mes103[[#This Row],[CUIT]]="","-",VLOOKUP(compras_mes103[[#This Row],[CUIT]],Lista_CUIT[#All],4,0)),"CUIT NO CARGADO")</f>
        <v>0</v>
      </c>
    </row>
    <row r="84" spans="2:18" x14ac:dyDescent="0.25">
      <c r="B84" s="40"/>
      <c r="C84" s="41"/>
      <c r="D84" s="42"/>
      <c r="E84" s="43"/>
      <c r="F84" s="44">
        <v>20207044262</v>
      </c>
      <c r="G84" s="45" t="str">
        <f>IFERROR(IF(compras_mes103[[#This Row],[CUIT]]="","-",VLOOKUP(compras_mes103[[#This Row],[CUIT]],Lista_CUIT[#All],2,0)),"CUIT NO CARGADO")</f>
        <v>GARCIA HORACIO FERNANDO</v>
      </c>
      <c r="H84" s="46">
        <v>23405.78</v>
      </c>
      <c r="I84" s="85">
        <f>IF(compras_mes103[[#This Row],[NETO GRAVADO]]="","",compras_mes103[[#This Row],[NETO GRAVADO]]*0.21)</f>
        <v>4915.2137999999995</v>
      </c>
      <c r="J84" s="85"/>
      <c r="K84" s="85"/>
      <c r="L84" s="85"/>
      <c r="M84" s="85"/>
      <c r="N84" s="85"/>
      <c r="O84" s="85"/>
      <c r="P84" s="48">
        <f>SUM(compras_mes103[[#This Row],[NETO GRAVADO]:[Otros / No Grav.]])</f>
        <v>28320.993799999997</v>
      </c>
      <c r="Q84" s="49" t="str">
        <f>IFERROR(IF(compras_mes103[[#This Row],[CUIT]]="","-",VLOOKUP(compras_mes103[[#This Row],[CUIT]],Lista_CUIT[#All],3,0)),"CUIT NO CARGADO")</f>
        <v>Papeleria</v>
      </c>
      <c r="R84" s="49">
        <f>IFERROR(IF(compras_mes103[[#This Row],[CUIT]]="","-",VLOOKUP(compras_mes103[[#This Row],[CUIT]],Lista_CUIT[#All],4,0)),"CUIT NO CARGADO")</f>
        <v>0</v>
      </c>
    </row>
    <row r="85" spans="2:18" x14ac:dyDescent="0.25">
      <c r="B85" s="40"/>
      <c r="C85" s="41"/>
      <c r="D85" s="42"/>
      <c r="E85" s="43"/>
      <c r="F85" s="44">
        <v>30716886766</v>
      </c>
      <c r="G85" s="45" t="str">
        <f>IFERROR(IF(compras_mes103[[#This Row],[CUIT]]="","-",VLOOKUP(compras_mes103[[#This Row],[CUIT]],Lista_CUIT[#All],2,0)),"CUIT NO CARGADO")</f>
        <v>QBIKE</v>
      </c>
      <c r="H85" s="46">
        <v>37776.86</v>
      </c>
      <c r="I85" s="85">
        <f>IF(compras_mes103[[#This Row],[NETO GRAVADO]]="","",compras_mes103[[#This Row],[NETO GRAVADO]]*0.21)</f>
        <v>7933.1405999999997</v>
      </c>
      <c r="J85" s="85"/>
      <c r="K85" s="85"/>
      <c r="L85" s="85"/>
      <c r="M85" s="85"/>
      <c r="N85" s="85"/>
      <c r="O85" s="85"/>
      <c r="P85" s="48">
        <f>SUM(compras_mes103[[#This Row],[NETO GRAVADO]:[Otros / No Grav.]])</f>
        <v>45710.000599999999</v>
      </c>
      <c r="Q85" s="49" t="str">
        <f>IFERROR(IF(compras_mes103[[#This Row],[CUIT]]="","-",VLOOKUP(compras_mes103[[#This Row],[CUIT]],Lista_CUIT[#All],3,0)),"CUIT NO CARGADO")</f>
        <v>Gastos Varios</v>
      </c>
      <c r="R85" s="49">
        <f>IFERROR(IF(compras_mes103[[#This Row],[CUIT]]="","-",VLOOKUP(compras_mes103[[#This Row],[CUIT]],Lista_CUIT[#All],4,0)),"CUIT NO CARGADO")</f>
        <v>0</v>
      </c>
    </row>
    <row r="86" spans="2:18" x14ac:dyDescent="0.25">
      <c r="B86" s="40"/>
      <c r="C86" s="41"/>
      <c r="D86" s="42"/>
      <c r="E86" s="43"/>
      <c r="F86" s="44">
        <v>30591749656</v>
      </c>
      <c r="G86" s="45" t="str">
        <f>IFERROR(IF(compras_mes103[[#This Row],[CUIT]]="","-",VLOOKUP(compras_mes103[[#This Row],[CUIT]],Lista_CUIT[#All],2,0)),"CUIT NO CARGADO")</f>
        <v>PLASTICENTRO 11 SOCIEDAD ANONIMA</v>
      </c>
      <c r="H86" s="46">
        <v>132090</v>
      </c>
      <c r="I86" s="85">
        <f>IF(compras_mes103[[#This Row],[NETO GRAVADO]]="","",compras_mes103[[#This Row],[NETO GRAVADO]]*0.21)</f>
        <v>27738.899999999998</v>
      </c>
      <c r="J86" s="85"/>
      <c r="K86" s="85"/>
      <c r="L86" s="85"/>
      <c r="M86" s="85"/>
      <c r="N86" s="85">
        <v>5283.6</v>
      </c>
      <c r="O86" s="85"/>
      <c r="P86" s="48">
        <f>SUM(compras_mes103[[#This Row],[NETO GRAVADO]:[Otros / No Grav.]])</f>
        <v>165112.5</v>
      </c>
      <c r="Q86" s="49" t="str">
        <f>IFERROR(IF(compras_mes103[[#This Row],[CUIT]]="","-",VLOOKUP(compras_mes103[[#This Row],[CUIT]],Lista_CUIT[#All],3,0)),"CUIT NO CARGADO")</f>
        <v>Insumos</v>
      </c>
      <c r="R86" s="49">
        <f>IFERROR(IF(compras_mes103[[#This Row],[CUIT]]="","-",VLOOKUP(compras_mes103[[#This Row],[CUIT]],Lista_CUIT[#All],4,0)),"CUIT NO CARGADO")</f>
        <v>0</v>
      </c>
    </row>
    <row r="87" spans="2:18" x14ac:dyDescent="0.25">
      <c r="B87" s="40"/>
      <c r="C87" s="41"/>
      <c r="D87" s="42"/>
      <c r="E87" s="43"/>
      <c r="F87" s="44">
        <v>27167838001</v>
      </c>
      <c r="G87" s="45" t="str">
        <f>IFERROR(IF(compras_mes103[[#This Row],[CUIT]]="","-",VLOOKUP(compras_mes103[[#This Row],[CUIT]],Lista_CUIT[#All],2,0)),"CUIT NO CARGADO")</f>
        <v>DI SALVI OLGA ESTELA</v>
      </c>
      <c r="H87" s="46">
        <v>315000</v>
      </c>
      <c r="I87" s="85">
        <f>IF(compras_mes103[[#This Row],[NETO GRAVADO]]="","",compras_mes103[[#This Row],[NETO GRAVADO]]*0.21)</f>
        <v>66150</v>
      </c>
      <c r="J87" s="85"/>
      <c r="K87" s="85"/>
      <c r="L87" s="85"/>
      <c r="M87" s="85"/>
      <c r="N87" s="85"/>
      <c r="O87" s="85"/>
      <c r="P87" s="48">
        <f>SUM(compras_mes103[[#This Row],[NETO GRAVADO]:[Otros / No Grav.]])</f>
        <v>381150</v>
      </c>
      <c r="Q87" s="49" t="str">
        <f>IFERROR(IF(compras_mes103[[#This Row],[CUIT]]="","-",VLOOKUP(compras_mes103[[#This Row],[CUIT]],Lista_CUIT[#All],3,0)),"CUIT NO CARGADO")</f>
        <v>Insumos</v>
      </c>
      <c r="R87" s="49">
        <f>IFERROR(IF(compras_mes103[[#This Row],[CUIT]]="","-",VLOOKUP(compras_mes103[[#This Row],[CUIT]],Lista_CUIT[#All],4,0)),"CUIT NO CARGADO")</f>
        <v>0</v>
      </c>
    </row>
    <row r="88" spans="2:18" x14ac:dyDescent="0.25">
      <c r="B88" s="40"/>
      <c r="C88" s="41"/>
      <c r="D88" s="42"/>
      <c r="E88" s="43"/>
      <c r="F88" s="44">
        <v>27167838001</v>
      </c>
      <c r="G88" s="45" t="str">
        <f>IFERROR(IF(compras_mes103[[#This Row],[CUIT]]="","-",VLOOKUP(compras_mes103[[#This Row],[CUIT]],Lista_CUIT[#All],2,0)),"CUIT NO CARGADO")</f>
        <v>DI SALVI OLGA ESTELA</v>
      </c>
      <c r="H88" s="46">
        <v>357000</v>
      </c>
      <c r="I88" s="85">
        <f>IF(compras_mes103[[#This Row],[NETO GRAVADO]]="","",compras_mes103[[#This Row],[NETO GRAVADO]]*0.21)</f>
        <v>74970</v>
      </c>
      <c r="J88" s="85"/>
      <c r="K88" s="85"/>
      <c r="L88" s="85"/>
      <c r="M88" s="85"/>
      <c r="N88" s="85"/>
      <c r="O88" s="85"/>
      <c r="P88" s="48">
        <f>SUM(compras_mes103[[#This Row],[NETO GRAVADO]:[Otros / No Grav.]])</f>
        <v>431970</v>
      </c>
      <c r="Q88" s="49" t="str">
        <f>IFERROR(IF(compras_mes103[[#This Row],[CUIT]]="","-",VLOOKUP(compras_mes103[[#This Row],[CUIT]],Lista_CUIT[#All],3,0)),"CUIT NO CARGADO")</f>
        <v>Insumos</v>
      </c>
      <c r="R88" s="49">
        <f>IFERROR(IF(compras_mes103[[#This Row],[CUIT]]="","-",VLOOKUP(compras_mes103[[#This Row],[CUIT]],Lista_CUIT[#All],4,0)),"CUIT NO CARGADO")</f>
        <v>0</v>
      </c>
    </row>
    <row r="89" spans="2:18" x14ac:dyDescent="0.25">
      <c r="B89" s="40"/>
      <c r="C89" s="41"/>
      <c r="D89" s="42"/>
      <c r="E89" s="43"/>
      <c r="F89" s="44">
        <v>30703088534</v>
      </c>
      <c r="G89" s="45" t="str">
        <f>IFERROR(IF(compras_mes103[[#This Row],[CUIT]]="","-",VLOOKUP(compras_mes103[[#This Row],[CUIT]],Lista_CUIT[#All],2,0)),"CUIT NO CARGADO")</f>
        <v>MERCADO LIBRE SRL</v>
      </c>
      <c r="H89" s="46">
        <v>83568.600000000006</v>
      </c>
      <c r="I89" s="85">
        <f>IF(compras_mes103[[#This Row],[NETO GRAVADO]]="","",compras_mes103[[#This Row],[NETO GRAVADO]]*0.21)</f>
        <v>17549.405999999999</v>
      </c>
      <c r="J89" s="85"/>
      <c r="K89" s="85"/>
      <c r="L89" s="85">
        <v>2507.06</v>
      </c>
      <c r="M89" s="85"/>
      <c r="N89" s="85">
        <v>3342.74</v>
      </c>
      <c r="O89" s="85"/>
      <c r="P89" s="48">
        <f>SUM(compras_mes103[[#This Row],[NETO GRAVADO]:[Otros / No Grav.]])</f>
        <v>106967.80600000001</v>
      </c>
      <c r="Q89" s="49" t="str">
        <f>IFERROR(IF(compras_mes103[[#This Row],[CUIT]]="","-",VLOOKUP(compras_mes103[[#This Row],[CUIT]],Lista_CUIT[#All],3,0)),"CUIT NO CARGADO")</f>
        <v>PLATAFORMA ONLINE</v>
      </c>
      <c r="R89" s="49">
        <f>IFERROR(IF(compras_mes103[[#This Row],[CUIT]]="","-",VLOOKUP(compras_mes103[[#This Row],[CUIT]],Lista_CUIT[#All],4,0)),"CUIT NO CARGADO")</f>
        <v>0</v>
      </c>
    </row>
    <row r="90" spans="2:18" x14ac:dyDescent="0.25">
      <c r="B90" s="40"/>
      <c r="C90" s="41"/>
      <c r="D90" s="42"/>
      <c r="E90" s="43"/>
      <c r="F90" s="44">
        <v>30688140923</v>
      </c>
      <c r="G90" s="45" t="str">
        <f>IFERROR(IF(compras_mes103[[#This Row],[CUIT]]="","-",VLOOKUP(compras_mes103[[#This Row],[CUIT]],Lista_CUIT[#All],2,0)),"CUIT NO CARGADO")</f>
        <v>COLTEX SRL</v>
      </c>
      <c r="H90" s="46">
        <v>126761.5</v>
      </c>
      <c r="I90" s="85">
        <f>IF(compras_mes103[[#This Row],[NETO GRAVADO]]="","",compras_mes103[[#This Row],[NETO GRAVADO]]*0.21)</f>
        <v>26619.914999999997</v>
      </c>
      <c r="J90" s="85"/>
      <c r="K90" s="85"/>
      <c r="L90" s="85"/>
      <c r="M90" s="85"/>
      <c r="N90" s="85"/>
      <c r="O90" s="85"/>
      <c r="P90" s="48">
        <f>SUM(compras_mes103[[#This Row],[NETO GRAVADO]:[Otros / No Grav.]])</f>
        <v>153381.41500000001</v>
      </c>
      <c r="Q90" s="49" t="str">
        <f>IFERROR(IF(compras_mes103[[#This Row],[CUIT]]="","-",VLOOKUP(compras_mes103[[#This Row],[CUIT]],Lista_CUIT[#All],3,0)),"CUIT NO CARGADO")</f>
        <v>INSUMO</v>
      </c>
      <c r="R90" s="49">
        <f>IFERROR(IF(compras_mes103[[#This Row],[CUIT]]="","-",VLOOKUP(compras_mes103[[#This Row],[CUIT]],Lista_CUIT[#All],4,0)),"CUIT NO CARGADO")</f>
        <v>0</v>
      </c>
    </row>
    <row r="91" spans="2:18" x14ac:dyDescent="0.25">
      <c r="B91" s="40"/>
      <c r="C91" s="41"/>
      <c r="D91" s="42"/>
      <c r="E91" s="43"/>
      <c r="F91" s="44">
        <v>27310367813</v>
      </c>
      <c r="G91" s="45" t="str">
        <f>IFERROR(IF(compras_mes103[[#This Row],[CUIT]]="","-",VLOOKUP(compras_mes103[[#This Row],[CUIT]],Lista_CUIT[#All],2,0)),"CUIT NO CARGADO")</f>
        <v>LA BRUNA MARIA VIRGINIA</v>
      </c>
      <c r="H91" s="46">
        <v>190248.57</v>
      </c>
      <c r="I91" s="85">
        <f>IF(compras_mes103[[#This Row],[NETO GRAVADO]]="","",compras_mes103[[#This Row],[NETO GRAVADO]]*0.21)</f>
        <v>39952.199699999997</v>
      </c>
      <c r="J91" s="85"/>
      <c r="K91" s="85"/>
      <c r="L91" s="85"/>
      <c r="M91" s="85"/>
      <c r="N91" s="85"/>
      <c r="O91" s="85"/>
      <c r="P91" s="48">
        <f>SUM(compras_mes103[[#This Row],[NETO GRAVADO]:[Otros / No Grav.]])</f>
        <v>230200.7697</v>
      </c>
      <c r="Q91" s="49" t="str">
        <f>IFERROR(IF(compras_mes103[[#This Row],[CUIT]]="","-",VLOOKUP(compras_mes103[[#This Row],[CUIT]],Lista_CUIT[#All],3,0)),"CUIT NO CARGADO")</f>
        <v>Hon. Juridicos</v>
      </c>
      <c r="R91" s="49">
        <f>IFERROR(IF(compras_mes103[[#This Row],[CUIT]]="","-",VLOOKUP(compras_mes103[[#This Row],[CUIT]],Lista_CUIT[#All],4,0)),"CUIT NO CARGADO")</f>
        <v>0</v>
      </c>
    </row>
    <row r="92" spans="2:18" x14ac:dyDescent="0.25">
      <c r="B92" s="40"/>
      <c r="C92" s="41"/>
      <c r="D92" s="42"/>
      <c r="E92" s="43"/>
      <c r="F92" s="44">
        <v>30711764921</v>
      </c>
      <c r="G92" s="45" t="str">
        <f>IFERROR(IF(compras_mes103[[#This Row],[CUIT]]="","-",VLOOKUP(compras_mes103[[#This Row],[CUIT]],Lista_CUIT[#All],2,0)),"CUIT NO CARGADO")</f>
        <v>RELIEF CENTER SRL</v>
      </c>
      <c r="H92" s="46">
        <v>210051</v>
      </c>
      <c r="I92" s="85">
        <f>IF(compras_mes103[[#This Row],[NETO GRAVADO]]="","",compras_mes103[[#This Row],[NETO GRAVADO]]*0.21)</f>
        <v>44110.71</v>
      </c>
      <c r="J92" s="85"/>
      <c r="K92" s="85"/>
      <c r="L92" s="85"/>
      <c r="M92" s="85"/>
      <c r="N92" s="85"/>
      <c r="O92" s="85"/>
      <c r="P92" s="48">
        <f>SUM(compras_mes103[[#This Row],[NETO GRAVADO]:[Otros / No Grav.]])</f>
        <v>254161.71</v>
      </c>
      <c r="Q92" s="49" t="str">
        <f>IFERROR(IF(compras_mes103[[#This Row],[CUIT]]="","-",VLOOKUP(compras_mes103[[#This Row],[CUIT]],Lista_CUIT[#All],3,0)),"CUIT NO CARGADO")</f>
        <v>INSUMO</v>
      </c>
      <c r="R92" s="49">
        <f>IFERROR(IF(compras_mes103[[#This Row],[CUIT]]="","-",VLOOKUP(compras_mes103[[#This Row],[CUIT]],Lista_CUIT[#All],4,0)),"CUIT NO CARGADO")</f>
        <v>0</v>
      </c>
    </row>
    <row r="93" spans="2:18" x14ac:dyDescent="0.25">
      <c r="B93" s="40"/>
      <c r="C93" s="41"/>
      <c r="D93" s="42"/>
      <c r="E93" s="43"/>
      <c r="F93" s="44">
        <v>30661143610</v>
      </c>
      <c r="G93" s="45" t="str">
        <f>IFERROR(IF(compras_mes103[[#This Row],[CUIT]]="","-",VLOOKUP(compras_mes103[[#This Row],[CUIT]],Lista_CUIT[#All],2,0)),"CUIT NO CARGADO")</f>
        <v>ORTOPEDIA BERNAT SRL</v>
      </c>
      <c r="H93" s="46">
        <v>102800</v>
      </c>
      <c r="I93" s="85">
        <f>IF(compras_mes103[[#This Row],[NETO GRAVADO]]="","",compras_mes103[[#This Row],[NETO GRAVADO]]*0.21)</f>
        <v>21588</v>
      </c>
      <c r="J93" s="85"/>
      <c r="K93" s="85"/>
      <c r="L93" s="85"/>
      <c r="M93" s="85"/>
      <c r="N93" s="85"/>
      <c r="O93" s="85">
        <v>4112</v>
      </c>
      <c r="P93" s="48">
        <f>SUM(compras_mes103[[#This Row],[NETO GRAVADO]:[Otros / No Grav.]])</f>
        <v>128500</v>
      </c>
      <c r="Q93" s="49" t="str">
        <f>IFERROR(IF(compras_mes103[[#This Row],[CUIT]]="","-",VLOOKUP(compras_mes103[[#This Row],[CUIT]],Lista_CUIT[#All],3,0)),"CUIT NO CARGADO")</f>
        <v>INSUMO</v>
      </c>
      <c r="R93" s="49">
        <f>IFERROR(IF(compras_mes103[[#This Row],[CUIT]]="","-",VLOOKUP(compras_mes103[[#This Row],[CUIT]],Lista_CUIT[#All],4,0)),"CUIT NO CARGADO")</f>
        <v>0</v>
      </c>
    </row>
    <row r="94" spans="2:18" x14ac:dyDescent="0.25">
      <c r="B94" s="259"/>
      <c r="C94" s="270"/>
      <c r="D94" s="260"/>
      <c r="E94" s="261"/>
      <c r="F94" s="262">
        <v>30679067431</v>
      </c>
      <c r="G94" s="263" t="str">
        <f>IFERROR(IF(compras_mes103[[#This Row],[CUIT]]="","-",VLOOKUP(compras_mes103[[#This Row],[CUIT]],Lista_CUIT[#All],2,0)),"CUIT NO CARGADO")</f>
        <v>LIBRERÍA PELUFFO SRL</v>
      </c>
      <c r="H94" s="264">
        <v>27267.360000000001</v>
      </c>
      <c r="I94" s="513">
        <f>IF(compras_mes103[[#This Row],[NETO GRAVADO]]="","",compras_mes103[[#This Row],[NETO GRAVADO]]*0.21)</f>
        <v>5726.1455999999998</v>
      </c>
      <c r="J94" s="513"/>
      <c r="K94" s="513"/>
      <c r="L94" s="513"/>
      <c r="M94" s="513"/>
      <c r="N94" s="513"/>
      <c r="O94" s="513"/>
      <c r="P94" s="514">
        <f>SUM(compras_mes103[[#This Row],[NETO GRAVADO]:[Otros / No Grav.]])</f>
        <v>32993.505600000004</v>
      </c>
      <c r="Q94" s="515" t="str">
        <f>IFERROR(IF(compras_mes103[[#This Row],[CUIT]]="","-",VLOOKUP(compras_mes103[[#This Row],[CUIT]],Lista_CUIT[#All],3,0)),"CUIT NO CARGADO")</f>
        <v>INSUMO</v>
      </c>
      <c r="R94" s="515">
        <f>IFERROR(IF(compras_mes103[[#This Row],[CUIT]]="","-",VLOOKUP(compras_mes103[[#This Row],[CUIT]],Lista_CUIT[#All],4,0)),"CUIT NO CARGADO")</f>
        <v>0</v>
      </c>
    </row>
    <row r="95" spans="2:18" x14ac:dyDescent="0.25">
      <c r="B95" s="40"/>
      <c r="C95" s="270"/>
      <c r="D95" s="260"/>
      <c r="E95" s="261"/>
      <c r="F95" s="262">
        <v>30708847247</v>
      </c>
      <c r="G95" s="263" t="str">
        <f>IFERROR(IF(compras_mes103[[#This Row],[CUIT]]="","-",VLOOKUP(compras_mes103[[#This Row],[CUIT]],Lista_CUIT[#All],2,0)),"CUIT NO CARGADO")</f>
        <v>TOAGRA SRL</v>
      </c>
      <c r="H95" s="264">
        <v>74779.13</v>
      </c>
      <c r="I95" s="513">
        <f>IF(compras_mes103[[#This Row],[NETO GRAVADO]]="","",compras_mes103[[#This Row],[NETO GRAVADO]]*0.21)</f>
        <v>15703.6173</v>
      </c>
      <c r="J95" s="513"/>
      <c r="K95" s="513"/>
      <c r="L95" s="513"/>
      <c r="M95" s="513"/>
      <c r="N95" s="513"/>
      <c r="O95" s="513">
        <v>2991.17</v>
      </c>
      <c r="P95" s="514">
        <f>SUM(compras_mes103[[#This Row],[NETO GRAVADO]:[Otros / No Grav.]])</f>
        <v>93473.917300000001</v>
      </c>
      <c r="Q95" s="515" t="str">
        <f>IFERROR(IF(compras_mes103[[#This Row],[CUIT]]="","-",VLOOKUP(compras_mes103[[#This Row],[CUIT]],Lista_CUIT[#All],3,0)),"CUIT NO CARGADO")</f>
        <v>FLETE</v>
      </c>
      <c r="R95" s="515">
        <f>IFERROR(IF(compras_mes103[[#This Row],[CUIT]]="","-",VLOOKUP(compras_mes103[[#This Row],[CUIT]],Lista_CUIT[#All],4,0)),"CUIT NO CARGADO")</f>
        <v>0</v>
      </c>
    </row>
    <row r="96" spans="2:18" x14ac:dyDescent="0.25">
      <c r="B96" s="526"/>
      <c r="C96" s="527"/>
      <c r="D96" s="373"/>
      <c r="E96" s="374"/>
      <c r="F96" s="375">
        <v>30714112836</v>
      </c>
      <c r="G96" s="376" t="str">
        <f>IFERROR(IF(compras_mes103[[#This Row],[CUIT]]="","-",VLOOKUP(compras_mes103[[#This Row],[CUIT]],Lista_CUIT[#All],2,0)),"CUIT NO CARGADO")</f>
        <v>AUTOPISTAS DE BUENOS AIRES (AUBASA) SA</v>
      </c>
      <c r="H96" s="377">
        <v>4911.22</v>
      </c>
      <c r="I96" s="513">
        <f>IF(compras_mes103[[#This Row],[NETO GRAVADO]]="","",compras_mes103[[#This Row],[NETO GRAVADO]]*0.21)</f>
        <v>1031.3561999999999</v>
      </c>
      <c r="J96" s="528"/>
      <c r="K96" s="528"/>
      <c r="L96" s="528">
        <v>147.34</v>
      </c>
      <c r="M96" s="528"/>
      <c r="N96" s="528"/>
      <c r="O96" s="528"/>
      <c r="P96" s="529">
        <f>SUM(compras_mes103[[#This Row],[NETO GRAVADO]:[Otros / No Grav.]])</f>
        <v>6089.9162000000006</v>
      </c>
      <c r="Q96" s="530" t="str">
        <f>IFERROR(IF(compras_mes103[[#This Row],[CUIT]]="","-",VLOOKUP(compras_mes103[[#This Row],[CUIT]],Lista_CUIT[#All],3,0)),"CUIT NO CARGADO")</f>
        <v>Autopista</v>
      </c>
      <c r="R96" s="530">
        <f>IFERROR(IF(compras_mes103[[#This Row],[CUIT]]="","-",VLOOKUP(compras_mes103[[#This Row],[CUIT]],Lista_CUIT[#All],4,0)),"CUIT NO CARGADO")</f>
        <v>0</v>
      </c>
    </row>
    <row r="97" spans="2:18" x14ac:dyDescent="0.25">
      <c r="B97" s="259"/>
      <c r="C97" s="270"/>
      <c r="D97" s="260"/>
      <c r="E97" s="261"/>
      <c r="F97" s="262">
        <v>30714112836</v>
      </c>
      <c r="G97" s="263" t="str">
        <f>IFERROR(IF(compras_mes103[[#This Row],[CUIT]]="","-",VLOOKUP(compras_mes103[[#This Row],[CUIT]],Lista_CUIT[#All],2,0)),"CUIT NO CARGADO")</f>
        <v>AUTOPISTAS DE BUENOS AIRES (AUBASA) SA</v>
      </c>
      <c r="H97" s="264">
        <v>1637.07</v>
      </c>
      <c r="I97" s="513">
        <f>IF(compras_mes103[[#This Row],[NETO GRAVADO]]="","",compras_mes103[[#This Row],[NETO GRAVADO]]*0.21)</f>
        <v>343.78469999999999</v>
      </c>
      <c r="J97" s="513"/>
      <c r="K97" s="513"/>
      <c r="L97" s="513"/>
      <c r="M97" s="513"/>
      <c r="N97" s="513"/>
      <c r="O97" s="513"/>
      <c r="P97" s="514">
        <f>SUM(compras_mes103[[#This Row],[NETO GRAVADO]:[Otros / No Grav.]])</f>
        <v>1980.8546999999999</v>
      </c>
      <c r="Q97" s="515" t="str">
        <f>IFERROR(IF(compras_mes103[[#This Row],[CUIT]]="","-",VLOOKUP(compras_mes103[[#This Row],[CUIT]],Lista_CUIT[#All],3,0)),"CUIT NO CARGADO")</f>
        <v>Autopista</v>
      </c>
      <c r="R97" s="515">
        <f>IFERROR(IF(compras_mes103[[#This Row],[CUIT]]="","-",VLOOKUP(compras_mes103[[#This Row],[CUIT]],Lista_CUIT[#All],4,0)),"CUIT NO CARGADO")</f>
        <v>0</v>
      </c>
    </row>
    <row r="98" spans="2:18" x14ac:dyDescent="0.25">
      <c r="B98" s="259"/>
      <c r="C98" s="270"/>
      <c r="D98" s="260"/>
      <c r="E98" s="261"/>
      <c r="F98" s="262">
        <v>30703088534</v>
      </c>
      <c r="G98" s="263" t="str">
        <f>IFERROR(IF(compras_mes103[[#This Row],[CUIT]]="","-",VLOOKUP(compras_mes103[[#This Row],[CUIT]],Lista_CUIT[#All],2,0)),"CUIT NO CARGADO")</f>
        <v>MERCADO LIBRE SRL</v>
      </c>
      <c r="H98" s="264">
        <v>140500.92000000001</v>
      </c>
      <c r="I98" s="513">
        <f>IF(compras_mes103[[#This Row],[NETO GRAVADO]]="","",compras_mes103[[#This Row],[NETO GRAVADO]]*0.21)</f>
        <v>29505.193200000002</v>
      </c>
      <c r="J98" s="513"/>
      <c r="K98" s="513"/>
      <c r="L98" s="513">
        <v>4215.03</v>
      </c>
      <c r="M98" s="513"/>
      <c r="N98" s="513">
        <v>5620.03</v>
      </c>
      <c r="O98" s="513"/>
      <c r="P98" s="514">
        <f>SUM(compras_mes103[[#This Row],[NETO GRAVADO]:[Otros / No Grav.]])</f>
        <v>179841.17320000002</v>
      </c>
      <c r="Q98" s="515" t="str">
        <f>IFERROR(IF(compras_mes103[[#This Row],[CUIT]]="","-",VLOOKUP(compras_mes103[[#This Row],[CUIT]],Lista_CUIT[#All],3,0)),"CUIT NO CARGADO")</f>
        <v>PLATAFORMA ONLINE</v>
      </c>
      <c r="R98" s="515">
        <f>IFERROR(IF(compras_mes103[[#This Row],[CUIT]]="","-",VLOOKUP(compras_mes103[[#This Row],[CUIT]],Lista_CUIT[#All],4,0)),"CUIT NO CARGADO")</f>
        <v>0</v>
      </c>
    </row>
    <row r="99" spans="2:18" x14ac:dyDescent="0.25">
      <c r="B99" s="259"/>
      <c r="C99" s="270"/>
      <c r="D99" s="260"/>
      <c r="E99" s="261"/>
      <c r="F99" s="262">
        <v>30537679855</v>
      </c>
      <c r="G99" s="263" t="str">
        <f>IFERROR(IF(compras_mes103[[#This Row],[CUIT]]="","-",VLOOKUP(compras_mes103[[#This Row],[CUIT]],Lista_CUIT[#All],2,0)),"CUIT NO CARGADO")</f>
        <v>ESTACION LIMA SA</v>
      </c>
      <c r="H99" s="264">
        <v>80996.100000000006</v>
      </c>
      <c r="I99" s="513">
        <f>IF(compras_mes103[[#This Row],[NETO GRAVADO]]="","",compras_mes103[[#This Row],[NETO GRAVADO]]*0.21)</f>
        <v>17009.181</v>
      </c>
      <c r="J99" s="513"/>
      <c r="K99" s="513"/>
      <c r="L99" s="513"/>
      <c r="M99" s="513"/>
      <c r="N99" s="513">
        <v>2825.71</v>
      </c>
      <c r="O99" s="513">
        <v>11844.3</v>
      </c>
      <c r="P99" s="514">
        <f>SUM(compras_mes103[[#This Row],[NETO GRAVADO]:[Otros / No Grav.]])</f>
        <v>112675.29100000001</v>
      </c>
      <c r="Q99" s="515" t="str">
        <f>IFERROR(IF(compras_mes103[[#This Row],[CUIT]]="","-",VLOOKUP(compras_mes103[[#This Row],[CUIT]],Lista_CUIT[#All],3,0)),"CUIT NO CARGADO")</f>
        <v>MERCADERIA</v>
      </c>
      <c r="R99" s="515">
        <f>IFERROR(IF(compras_mes103[[#This Row],[CUIT]]="","-",VLOOKUP(compras_mes103[[#This Row],[CUIT]],Lista_CUIT[#All],4,0)),"CUIT NO CARGADO")</f>
        <v>0</v>
      </c>
    </row>
    <row r="100" spans="2:18" x14ac:dyDescent="0.25">
      <c r="B100" s="259"/>
      <c r="C100" s="270"/>
      <c r="D100" s="260"/>
      <c r="E100" s="261"/>
      <c r="F100" s="262">
        <v>30715804812</v>
      </c>
      <c r="G100" s="263" t="str">
        <f>IFERROR(IF(compras_mes103[[#This Row],[CUIT]]="","-",VLOOKUP(compras_mes103[[#This Row],[CUIT]],Lista_CUIT[#All],2,0)),"CUIT NO CARGADO")</f>
        <v>CORREDORES VIALES SOCIEDAD ANONIMA</v>
      </c>
      <c r="H100" s="264">
        <v>4159.9399999999996</v>
      </c>
      <c r="I100" s="513">
        <f>IF(compras_mes103[[#This Row],[NETO GRAVADO]]="","",compras_mes103[[#This Row],[NETO GRAVADO]]*0.21)</f>
        <v>873.58739999999989</v>
      </c>
      <c r="J100" s="513"/>
      <c r="K100" s="513"/>
      <c r="L100" s="513"/>
      <c r="M100" s="513"/>
      <c r="N100" s="513">
        <v>166.4</v>
      </c>
      <c r="O100" s="513"/>
      <c r="P100" s="514">
        <f>SUM(compras_mes103[[#This Row],[NETO GRAVADO]:[Otros / No Grav.]])</f>
        <v>5199.9273999999987</v>
      </c>
      <c r="Q100" s="515" t="str">
        <f>IFERROR(IF(compras_mes103[[#This Row],[CUIT]]="","-",VLOOKUP(compras_mes103[[#This Row],[CUIT]],Lista_CUIT[#All],3,0)),"CUIT NO CARGADO")</f>
        <v>Autopista</v>
      </c>
      <c r="R100" s="515">
        <f>IFERROR(IF(compras_mes103[[#This Row],[CUIT]]="","-",VLOOKUP(compras_mes103[[#This Row],[CUIT]],Lista_CUIT[#All],4,0)),"CUIT NO CARGADO")</f>
        <v>0</v>
      </c>
    </row>
    <row r="101" spans="2:18" x14ac:dyDescent="0.25">
      <c r="B101" s="40"/>
      <c r="C101" s="270"/>
      <c r="D101" s="260"/>
      <c r="E101" s="261"/>
      <c r="F101" s="262">
        <v>30715804812</v>
      </c>
      <c r="G101" s="263" t="str">
        <f>IFERROR(IF(compras_mes103[[#This Row],[CUIT]]="","-",VLOOKUP(compras_mes103[[#This Row],[CUIT]],Lista_CUIT[#All],2,0)),"CUIT NO CARGADO")</f>
        <v>CORREDORES VIALES SOCIEDAD ANONIMA</v>
      </c>
      <c r="H101" s="264">
        <v>2079.9699999999998</v>
      </c>
      <c r="I101" s="513">
        <f>IF(compras_mes103[[#This Row],[NETO GRAVADO]]="","",compras_mes103[[#This Row],[NETO GRAVADO]]*0.21)</f>
        <v>436.79369999999994</v>
      </c>
      <c r="J101" s="513"/>
      <c r="K101" s="513"/>
      <c r="L101" s="513"/>
      <c r="M101" s="513"/>
      <c r="N101" s="513">
        <v>83.2</v>
      </c>
      <c r="O101" s="513"/>
      <c r="P101" s="514">
        <f>SUM(compras_mes103[[#This Row],[NETO GRAVADO]:[Otros / No Grav.]])</f>
        <v>2599.9636999999993</v>
      </c>
      <c r="Q101" s="515" t="str">
        <f>IFERROR(IF(compras_mes103[[#This Row],[CUIT]]="","-",VLOOKUP(compras_mes103[[#This Row],[CUIT]],Lista_CUIT[#All],3,0)),"CUIT NO CARGADO")</f>
        <v>Autopista</v>
      </c>
      <c r="R101" s="515">
        <f>IFERROR(IF(compras_mes103[[#This Row],[CUIT]]="","-",VLOOKUP(compras_mes103[[#This Row],[CUIT]],Lista_CUIT[#All],4,0)),"CUIT NO CARGADO")</f>
        <v>0</v>
      </c>
    </row>
    <row r="102" spans="2:18" x14ac:dyDescent="0.25">
      <c r="B102" s="259"/>
      <c r="C102" s="270"/>
      <c r="D102" s="260"/>
      <c r="E102" s="261"/>
      <c r="F102" s="262">
        <v>30715804812</v>
      </c>
      <c r="G102" s="263" t="str">
        <f>IFERROR(IF(compras_mes103[[#This Row],[CUIT]]="","-",VLOOKUP(compras_mes103[[#This Row],[CUIT]],Lista_CUIT[#All],2,0)),"CUIT NO CARGADO")</f>
        <v>CORREDORES VIALES SOCIEDAD ANONIMA</v>
      </c>
      <c r="H102" s="264">
        <v>1039.98</v>
      </c>
      <c r="I102" s="513">
        <f>IF(compras_mes103[[#This Row],[NETO GRAVADO]]="","",compras_mes103[[#This Row],[NETO GRAVADO]]*0.21)</f>
        <v>218.39580000000001</v>
      </c>
      <c r="J102" s="513"/>
      <c r="K102" s="513"/>
      <c r="L102" s="513"/>
      <c r="M102" s="513"/>
      <c r="N102" s="513">
        <v>41.6</v>
      </c>
      <c r="O102" s="513"/>
      <c r="P102" s="514">
        <f>SUM(compras_mes103[[#This Row],[NETO GRAVADO]:[Otros / No Grav.]])</f>
        <v>1299.9757999999999</v>
      </c>
      <c r="Q102" s="515" t="str">
        <f>IFERROR(IF(compras_mes103[[#This Row],[CUIT]]="","-",VLOOKUP(compras_mes103[[#This Row],[CUIT]],Lista_CUIT[#All],3,0)),"CUIT NO CARGADO")</f>
        <v>Autopista</v>
      </c>
      <c r="R102" s="515">
        <f>IFERROR(IF(compras_mes103[[#This Row],[CUIT]]="","-",VLOOKUP(compras_mes103[[#This Row],[CUIT]],Lista_CUIT[#All],4,0)),"CUIT NO CARGADO")</f>
        <v>0</v>
      </c>
    </row>
    <row r="103" spans="2:18" x14ac:dyDescent="0.25">
      <c r="B103" s="259"/>
      <c r="C103" s="270"/>
      <c r="D103" s="260"/>
      <c r="E103" s="261"/>
      <c r="F103" s="262">
        <v>30587197215</v>
      </c>
      <c r="G103" s="263" t="str">
        <f>IFERROR(IF(compras_mes103[[#This Row],[CUIT]]="","-",VLOOKUP(compras_mes103[[#This Row],[CUIT]],Lista_CUIT[#All],2,0)),"CUIT NO CARGADO")</f>
        <v>PANATEL SOCIEDAD ANONIMA</v>
      </c>
      <c r="H103" s="264">
        <v>148760.32999999999</v>
      </c>
      <c r="I103" s="513">
        <f>IF(compras_mes103[[#This Row],[NETO GRAVADO]]="","",compras_mes103[[#This Row],[NETO GRAVADO]]*0.21)</f>
        <v>31239.669299999998</v>
      </c>
      <c r="J103" s="513"/>
      <c r="K103" s="513"/>
      <c r="L103" s="513"/>
      <c r="M103" s="513"/>
      <c r="N103" s="513">
        <v>5950.41</v>
      </c>
      <c r="O103" s="513"/>
      <c r="P103" s="514">
        <f>SUM(compras_mes103[[#This Row],[NETO GRAVADO]:[Otros / No Grav.]])</f>
        <v>185950.4093</v>
      </c>
      <c r="Q103" s="515" t="str">
        <f>IFERROR(IF(compras_mes103[[#This Row],[CUIT]]="","-",VLOOKUP(compras_mes103[[#This Row],[CUIT]],Lista_CUIT[#All],3,0)),"CUIT NO CARGADO")</f>
        <v>SERVICIOS DE ALOJAMIENTO EN HOTELES</v>
      </c>
      <c r="R103" s="515">
        <f>IFERROR(IF(compras_mes103[[#This Row],[CUIT]]="","-",VLOOKUP(compras_mes103[[#This Row],[CUIT]],Lista_CUIT[#All],4,0)),"CUIT NO CARGADO")</f>
        <v>0</v>
      </c>
    </row>
    <row r="104" spans="2:18" x14ac:dyDescent="0.25">
      <c r="B104" s="40"/>
      <c r="C104" s="270"/>
      <c r="D104" s="260"/>
      <c r="E104" s="261"/>
      <c r="F104" s="262">
        <v>30577207190</v>
      </c>
      <c r="G104" s="263" t="str">
        <f>IFERROR(IF(compras_mes103[[#This Row],[CUIT]]="","-",VLOOKUP(compras_mes103[[#This Row],[CUIT]],Lista_CUIT[#All],2,0)),"CUIT NO CARGADO")</f>
        <v>COORDINACION ECOLOGICA AREA METROPOLITANA SOCIEDAD DEL ESTADO</v>
      </c>
      <c r="H104" s="264">
        <v>1487.6</v>
      </c>
      <c r="I104" s="513">
        <f>IF(compras_mes103[[#This Row],[NETO GRAVADO]]="","",compras_mes103[[#This Row],[NETO GRAVADO]]*0.21)</f>
        <v>312.39599999999996</v>
      </c>
      <c r="J104" s="513"/>
      <c r="K104" s="513"/>
      <c r="L104" s="513"/>
      <c r="M104" s="513"/>
      <c r="N104" s="513"/>
      <c r="O104" s="513"/>
      <c r="P104" s="514">
        <f>SUM(compras_mes103[[#This Row],[NETO GRAVADO]:[Otros / No Grav.]])</f>
        <v>1799.9959999999999</v>
      </c>
      <c r="Q104" s="515" t="str">
        <f>IFERROR(IF(compras_mes103[[#This Row],[CUIT]]="","-",VLOOKUP(compras_mes103[[#This Row],[CUIT]],Lista_CUIT[#All],3,0)),"CUIT NO CARGADO")</f>
        <v>gastos varios</v>
      </c>
      <c r="R104" s="515">
        <f>IFERROR(IF(compras_mes103[[#This Row],[CUIT]]="","-",VLOOKUP(compras_mes103[[#This Row],[CUIT]],Lista_CUIT[#All],4,0)),"CUIT NO CARGADO")</f>
        <v>0</v>
      </c>
    </row>
    <row r="105" spans="2:18" x14ac:dyDescent="0.25">
      <c r="B105" s="259"/>
      <c r="C105" s="270"/>
      <c r="D105" s="260"/>
      <c r="E105" s="261"/>
      <c r="F105" s="262">
        <v>30577207190</v>
      </c>
      <c r="G105" s="263" t="str">
        <f>IFERROR(IF(compras_mes103[[#This Row],[CUIT]]="","-",VLOOKUP(compras_mes103[[#This Row],[CUIT]],Lista_CUIT[#All],2,0)),"CUIT NO CARGADO")</f>
        <v>COORDINACION ECOLOGICA AREA METROPOLITANA SOCIEDAD DEL ESTADO</v>
      </c>
      <c r="H105" s="264">
        <v>10423.14</v>
      </c>
      <c r="I105" s="513">
        <f>IF(compras_mes103[[#This Row],[NETO GRAVADO]]="","",compras_mes103[[#This Row],[NETO GRAVADO]]*0.21)</f>
        <v>2188.8593999999998</v>
      </c>
      <c r="J105" s="513"/>
      <c r="K105" s="513"/>
      <c r="L105" s="513"/>
      <c r="M105" s="513"/>
      <c r="N105" s="513"/>
      <c r="O105" s="513">
        <v>312.69</v>
      </c>
      <c r="P105" s="514">
        <f>SUM(compras_mes103[[#This Row],[NETO GRAVADO]:[Otros / No Grav.]])</f>
        <v>12924.689399999999</v>
      </c>
      <c r="Q105" s="515" t="str">
        <f>IFERROR(IF(compras_mes103[[#This Row],[CUIT]]="","-",VLOOKUP(compras_mes103[[#This Row],[CUIT]],Lista_CUIT[#All],3,0)),"CUIT NO CARGADO")</f>
        <v>gastos varios</v>
      </c>
      <c r="R105" s="515">
        <f>IFERROR(IF(compras_mes103[[#This Row],[CUIT]]="","-",VLOOKUP(compras_mes103[[#This Row],[CUIT]],Lista_CUIT[#All],4,0)),"CUIT NO CARGADO")</f>
        <v>0</v>
      </c>
    </row>
    <row r="106" spans="2:18" x14ac:dyDescent="0.25">
      <c r="B106" s="259"/>
      <c r="C106" s="270"/>
      <c r="D106" s="260"/>
      <c r="E106" s="261"/>
      <c r="F106" s="262">
        <v>30654118767</v>
      </c>
      <c r="G106" s="263" t="str">
        <f>IFERROR(IF(compras_mes103[[#This Row],[CUIT]]="","-",VLOOKUP(compras_mes103[[#This Row],[CUIT]],Lista_CUIT[#All],2,0)),"CUIT NO CARGADO")</f>
        <v>SOLUCIONES MULTIMEDIA SA</v>
      </c>
      <c r="H106" s="264">
        <v>165623.79</v>
      </c>
      <c r="I106" s="513">
        <f>IF(compras_mes103[[#This Row],[NETO GRAVADO]]="","",compras_mes103[[#This Row],[NETO GRAVADO]]*0.21)</f>
        <v>34780.995900000002</v>
      </c>
      <c r="J106" s="513"/>
      <c r="K106" s="513"/>
      <c r="L106" s="513"/>
      <c r="M106" s="513"/>
      <c r="N106" s="513">
        <v>6624.95</v>
      </c>
      <c r="O106" s="513"/>
      <c r="P106" s="514">
        <f>SUM(compras_mes103[[#This Row],[NETO GRAVADO]:[Otros / No Grav.]])</f>
        <v>207029.73590000003</v>
      </c>
      <c r="Q106" s="515" t="str">
        <f>IFERROR(IF(compras_mes103[[#This Row],[CUIT]]="","-",VLOOKUP(compras_mes103[[#This Row],[CUIT]],Lista_CUIT[#All],3,0)),"CUIT NO CARGADO")</f>
        <v>gastos varios</v>
      </c>
      <c r="R106" s="515">
        <f>IFERROR(IF(compras_mes103[[#This Row],[CUIT]]="","-",VLOOKUP(compras_mes103[[#This Row],[CUIT]],Lista_CUIT[#All],4,0)),"CUIT NO CARGADO")</f>
        <v>0</v>
      </c>
    </row>
    <row r="107" spans="2:18" x14ac:dyDescent="0.25">
      <c r="B107" s="259"/>
      <c r="C107" s="270"/>
      <c r="D107" s="260"/>
      <c r="E107" s="261"/>
      <c r="F107" s="262">
        <v>30663498513</v>
      </c>
      <c r="G107" s="263" t="str">
        <f>IFERROR(IF(compras_mes103[[#This Row],[CUIT]]="","-",VLOOKUP(compras_mes103[[#This Row],[CUIT]],Lista_CUIT[#All],2,0)),"CUIT NO CARGADO")</f>
        <v>GRUPO CONCES. DEL OESTE SA</v>
      </c>
      <c r="H107" s="264">
        <v>3466.56</v>
      </c>
      <c r="I107" s="513">
        <f>IF(compras_mes103[[#This Row],[NETO GRAVADO]]="","",compras_mes103[[#This Row],[NETO GRAVADO]]*0.21)</f>
        <v>727.97759999999994</v>
      </c>
      <c r="J107" s="513"/>
      <c r="K107" s="513"/>
      <c r="L107" s="513"/>
      <c r="M107" s="513"/>
      <c r="N107" s="513">
        <v>138.66</v>
      </c>
      <c r="O107" s="513"/>
      <c r="P107" s="514">
        <f>SUM(compras_mes103[[#This Row],[NETO GRAVADO]:[Otros / No Grav.]])</f>
        <v>4333.1975999999995</v>
      </c>
      <c r="Q107" s="515" t="str">
        <f>IFERROR(IF(compras_mes103[[#This Row],[CUIT]]="","-",VLOOKUP(compras_mes103[[#This Row],[CUIT]],Lista_CUIT[#All],3,0)),"CUIT NO CARGADO")</f>
        <v>Autopista</v>
      </c>
      <c r="R107" s="515">
        <f>IFERROR(IF(compras_mes103[[#This Row],[CUIT]]="","-",VLOOKUP(compras_mes103[[#This Row],[CUIT]],Lista_CUIT[#All],4,0)),"CUIT NO CARGADO")</f>
        <v>0</v>
      </c>
    </row>
    <row r="108" spans="2:18" s="56" customFormat="1" x14ac:dyDescent="0.25">
      <c r="B108" s="526"/>
      <c r="C108" s="527"/>
      <c r="D108" s="373"/>
      <c r="E108" s="374"/>
      <c r="F108" s="375">
        <v>30663498513</v>
      </c>
      <c r="G108" s="376" t="str">
        <f>IFERROR(IF(compras_mes103[[#This Row],[CUIT]]="","-",VLOOKUP(compras_mes103[[#This Row],[CUIT]],Lista_CUIT[#All],2,0)),"CUIT NO CARGADO")</f>
        <v>GRUPO CONCES. DEL OESTE SA</v>
      </c>
      <c r="H108" s="377">
        <v>4968.79</v>
      </c>
      <c r="I108" s="513">
        <f>IF(compras_mes103[[#This Row],[NETO GRAVADO]]="","",compras_mes103[[#This Row],[NETO GRAVADO]]*0.21)</f>
        <v>1043.4458999999999</v>
      </c>
      <c r="J108" s="528"/>
      <c r="K108" s="528"/>
      <c r="L108" s="528"/>
      <c r="M108" s="528"/>
      <c r="N108" s="528">
        <v>198.75</v>
      </c>
      <c r="O108" s="528"/>
      <c r="P108" s="529">
        <f>SUM(compras_mes103[[#This Row],[NETO GRAVADO]:[Otros / No Grav.]])</f>
        <v>6210.9858999999997</v>
      </c>
      <c r="Q108" s="530" t="str">
        <f>IFERROR(IF(compras_mes103[[#This Row],[CUIT]]="","-",VLOOKUP(compras_mes103[[#This Row],[CUIT]],Lista_CUIT[#All],3,0)),"CUIT NO CARGADO")</f>
        <v>Autopista</v>
      </c>
      <c r="R108" s="530">
        <f>IFERROR(IF(compras_mes103[[#This Row],[CUIT]]="","-",VLOOKUP(compras_mes103[[#This Row],[CUIT]],Lista_CUIT[#All],4,0)),"CUIT NO CARGADO")</f>
        <v>0</v>
      </c>
    </row>
    <row r="109" spans="2:18" x14ac:dyDescent="0.25">
      <c r="B109" s="526"/>
      <c r="C109" s="527"/>
      <c r="D109" s="373"/>
      <c r="E109" s="374"/>
      <c r="F109" s="375">
        <v>30715804812</v>
      </c>
      <c r="G109" s="376" t="str">
        <f>IFERROR(IF(compras_mes103[[#This Row],[CUIT]]="","-",VLOOKUP(compras_mes103[[#This Row],[CUIT]],Lista_CUIT[#All],2,0)),"CUIT NO CARGADO")</f>
        <v>CORREDORES VIALES SOCIEDAD ANONIMA</v>
      </c>
      <c r="H109" s="377">
        <v>12479.78</v>
      </c>
      <c r="I109" s="513">
        <f>IF(compras_mes103[[#This Row],[NETO GRAVADO]]="","",compras_mes103[[#This Row],[NETO GRAVADO]]*0.21)</f>
        <v>2620.7538</v>
      </c>
      <c r="J109" s="528"/>
      <c r="K109" s="528"/>
      <c r="L109" s="528"/>
      <c r="M109" s="528"/>
      <c r="N109" s="528">
        <v>499.19</v>
      </c>
      <c r="O109" s="528"/>
      <c r="P109" s="529">
        <f>SUM(compras_mes103[[#This Row],[NETO GRAVADO]:[Otros / No Grav.]])</f>
        <v>15599.723800000002</v>
      </c>
      <c r="Q109" s="530" t="str">
        <f>IFERROR(IF(compras_mes103[[#This Row],[CUIT]]="","-",VLOOKUP(compras_mes103[[#This Row],[CUIT]],Lista_CUIT[#All],3,0)),"CUIT NO CARGADO")</f>
        <v>Autopista</v>
      </c>
      <c r="R109" s="530">
        <f>IFERROR(IF(compras_mes103[[#This Row],[CUIT]]="","-",VLOOKUP(compras_mes103[[#This Row],[CUIT]],Lista_CUIT[#All],4,0)),"CUIT NO CARGADO")</f>
        <v>0</v>
      </c>
    </row>
    <row r="110" spans="2:18" x14ac:dyDescent="0.25">
      <c r="B110" s="40"/>
      <c r="C110" s="270"/>
      <c r="D110" s="260"/>
      <c r="E110" s="261"/>
      <c r="F110" s="262">
        <v>30715804812</v>
      </c>
      <c r="G110" s="263" t="str">
        <f>IFERROR(IF(compras_mes103[[#This Row],[CUIT]]="","-",VLOOKUP(compras_mes103[[#This Row],[CUIT]],Lista_CUIT[#All],2,0)),"CUIT NO CARGADO")</f>
        <v>CORREDORES VIALES SOCIEDAD ANONIMA</v>
      </c>
      <c r="H110" s="264">
        <v>15807.73</v>
      </c>
      <c r="I110" s="513">
        <f>IF(compras_mes103[[#This Row],[NETO GRAVADO]]="","",compras_mes103[[#This Row],[NETO GRAVADO]]*0.21)</f>
        <v>3319.6232999999997</v>
      </c>
      <c r="J110" s="513"/>
      <c r="K110" s="513"/>
      <c r="L110" s="513"/>
      <c r="M110" s="513"/>
      <c r="N110" s="513">
        <v>632.30999999999995</v>
      </c>
      <c r="O110" s="513"/>
      <c r="P110" s="514">
        <f>SUM(compras_mes103[[#This Row],[NETO GRAVADO]:[Otros / No Grav.]])</f>
        <v>19759.6633</v>
      </c>
      <c r="Q110" s="515" t="str">
        <f>IFERROR(IF(compras_mes103[[#This Row],[CUIT]]="","-",VLOOKUP(compras_mes103[[#This Row],[CUIT]],Lista_CUIT[#All],3,0)),"CUIT NO CARGADO")</f>
        <v>Autopista</v>
      </c>
      <c r="R110" s="515">
        <f>IFERROR(IF(compras_mes103[[#This Row],[CUIT]]="","-",VLOOKUP(compras_mes103[[#This Row],[CUIT]],Lista_CUIT[#All],4,0)),"CUIT NO CARGADO")</f>
        <v>0</v>
      </c>
    </row>
    <row r="111" spans="2:18" x14ac:dyDescent="0.25">
      <c r="B111" s="40"/>
      <c r="C111" s="270"/>
      <c r="D111" s="260"/>
      <c r="E111" s="261"/>
      <c r="F111" s="262">
        <v>30677237119</v>
      </c>
      <c r="G111" s="263" t="str">
        <f>IFERROR(IF(compras_mes103[[#This Row],[CUIT]]="","-",VLOOKUP(compras_mes103[[#This Row],[CUIT]],Lista_CUIT[#All],2,0)),"CUIT NO CARGADO")</f>
        <v>AUTOPISTAS DEL SOL SA</v>
      </c>
      <c r="H111" s="264">
        <v>9244.34</v>
      </c>
      <c r="I111" s="513">
        <f>IF(compras_mes103[[#This Row],[NETO GRAVADO]]="","",compras_mes103[[#This Row],[NETO GRAVADO]]*0.21)</f>
        <v>1941.3114</v>
      </c>
      <c r="J111" s="513"/>
      <c r="K111" s="513"/>
      <c r="L111" s="513">
        <v>369.77</v>
      </c>
      <c r="M111" s="513"/>
      <c r="N111" s="513"/>
      <c r="O111" s="513">
        <v>277.33</v>
      </c>
      <c r="P111" s="514">
        <f>SUM(compras_mes103[[#This Row],[NETO GRAVADO]:[Otros / No Grav.]])</f>
        <v>11832.751400000001</v>
      </c>
      <c r="Q111" s="515" t="str">
        <f>IFERROR(IF(compras_mes103[[#This Row],[CUIT]]="","-",VLOOKUP(compras_mes103[[#This Row],[CUIT]],Lista_CUIT[#All],3,0)),"CUIT NO CARGADO")</f>
        <v>Autopista</v>
      </c>
      <c r="R111" s="515">
        <f>IFERROR(IF(compras_mes103[[#This Row],[CUIT]]="","-",VLOOKUP(compras_mes103[[#This Row],[CUIT]],Lista_CUIT[#All],4,0)),"CUIT NO CARGADO")</f>
        <v>0</v>
      </c>
    </row>
    <row r="112" spans="2:18" ht="14.45" customHeight="1" x14ac:dyDescent="0.25">
      <c r="B112" s="259"/>
      <c r="C112" s="270"/>
      <c r="D112" s="260"/>
      <c r="E112" s="261"/>
      <c r="F112" s="262">
        <v>30677237119</v>
      </c>
      <c r="G112" s="263" t="str">
        <f>IFERROR(IF(compras_mes103[[#This Row],[CUIT]]="","-",VLOOKUP(compras_mes103[[#This Row],[CUIT]],Lista_CUIT[#All],2,0)),"CUIT NO CARGADO")</f>
        <v>AUTOPISTAS DEL SOL SA</v>
      </c>
      <c r="H112" s="264">
        <v>6124.31</v>
      </c>
      <c r="I112" s="513">
        <f>IF(compras_mes103[[#This Row],[NETO GRAVADO]]="","",compras_mes103[[#This Row],[NETO GRAVADO]]*0.21)</f>
        <v>1286.1051</v>
      </c>
      <c r="J112" s="513"/>
      <c r="K112" s="513"/>
      <c r="L112" s="513">
        <v>183.73</v>
      </c>
      <c r="M112" s="513"/>
      <c r="N112" s="513">
        <v>244.97</v>
      </c>
      <c r="O112" s="513"/>
      <c r="P112" s="514">
        <f>SUM(compras_mes103[[#This Row],[NETO GRAVADO]:[Otros / No Grav.]])</f>
        <v>7839.1151</v>
      </c>
      <c r="Q112" s="515" t="str">
        <f>IFERROR(IF(compras_mes103[[#This Row],[CUIT]]="","-",VLOOKUP(compras_mes103[[#This Row],[CUIT]],Lista_CUIT[#All],3,0)),"CUIT NO CARGADO")</f>
        <v>Autopista</v>
      </c>
      <c r="R112" s="515">
        <f>IFERROR(IF(compras_mes103[[#This Row],[CUIT]]="","-",VLOOKUP(compras_mes103[[#This Row],[CUIT]],Lista_CUIT[#All],4,0)),"CUIT NO CARGADO")</f>
        <v>0</v>
      </c>
    </row>
    <row r="113" spans="2:18" x14ac:dyDescent="0.25">
      <c r="B113" s="259"/>
      <c r="C113" s="270"/>
      <c r="D113" s="260"/>
      <c r="E113" s="261"/>
      <c r="F113" s="262">
        <v>30707370552</v>
      </c>
      <c r="G113" s="263" t="str">
        <f>IFERROR(IF(compras_mes103[[#This Row],[CUIT]]="","-",VLOOKUP(compras_mes103[[#This Row],[CUIT]],Lista_CUIT[#All],2,0)),"CUIT NO CARGADO")</f>
        <v>RAKE SA</v>
      </c>
      <c r="H113" s="264">
        <v>1983884.3</v>
      </c>
      <c r="I113" s="513">
        <f>IF(compras_mes103[[#This Row],[NETO GRAVADO]]="","",compras_mes103[[#This Row],[NETO GRAVADO]]*0.21)</f>
        <v>416615.70299999998</v>
      </c>
      <c r="J113" s="513"/>
      <c r="K113" s="513"/>
      <c r="L113" s="513"/>
      <c r="M113" s="513"/>
      <c r="N113" s="513"/>
      <c r="O113" s="513"/>
      <c r="P113" s="514">
        <f>SUM(compras_mes103[[#This Row],[NETO GRAVADO]:[Otros / No Grav.]])</f>
        <v>2400500.003</v>
      </c>
      <c r="Q113" s="515" t="str">
        <f>IFERROR(IF(compras_mes103[[#This Row],[CUIT]]="","-",VLOOKUP(compras_mes103[[#This Row],[CUIT]],Lista_CUIT[#All],3,0)),"CUIT NO CARGADO")</f>
        <v>GASTOS VARIOS</v>
      </c>
      <c r="R113" s="515">
        <f>IFERROR(IF(compras_mes103[[#This Row],[CUIT]]="","-",VLOOKUP(compras_mes103[[#This Row],[CUIT]],Lista_CUIT[#All],4,0)),"CUIT NO CARGADO")</f>
        <v>0</v>
      </c>
    </row>
    <row r="114" spans="2:18" x14ac:dyDescent="0.25">
      <c r="B114" s="259"/>
      <c r="C114" s="270"/>
      <c r="D114" s="260"/>
      <c r="E114" s="261"/>
      <c r="F114" s="262">
        <v>30712289046</v>
      </c>
      <c r="G114" s="263" t="str">
        <f>IFERROR(IF(compras_mes103[[#This Row],[CUIT]]="","-",VLOOKUP(compras_mes103[[#This Row],[CUIT]],Lista_CUIT[#All],2,0)),"CUIT NO CARGADO")</f>
        <v>IMPIERI, PIÑEIIRO, R  Y A SA</v>
      </c>
      <c r="H114" s="264">
        <v>84755.7</v>
      </c>
      <c r="I114" s="513">
        <f>IF(compras_mes103[[#This Row],[NETO GRAVADO]]="","",compras_mes103[[#This Row],[NETO GRAVADO]]*0.21)</f>
        <v>17798.697</v>
      </c>
      <c r="J114" s="513"/>
      <c r="K114" s="513"/>
      <c r="L114" s="513"/>
      <c r="M114" s="513"/>
      <c r="N114" s="513"/>
      <c r="O114" s="513">
        <v>13482.57</v>
      </c>
      <c r="P114" s="514">
        <f>SUM(compras_mes103[[#This Row],[NETO GRAVADO]:[Otros / No Grav.]])</f>
        <v>116036.967</v>
      </c>
      <c r="Q114" s="515" t="str">
        <f>IFERROR(IF(compras_mes103[[#This Row],[CUIT]]="","-",VLOOKUP(compras_mes103[[#This Row],[CUIT]],Lista_CUIT[#All],3,0)),"CUIT NO CARGADO")</f>
        <v>COMBUSTIBLE</v>
      </c>
      <c r="R114" s="49">
        <f>IFERROR(IF(compras_mes103[[#This Row],[CUIT]]="","-",VLOOKUP(compras_mes103[[#This Row],[CUIT]],Lista_CUIT[#All],4,0)),"CUIT NO CARGADO")</f>
        <v>0</v>
      </c>
    </row>
    <row r="115" spans="2:18" ht="14.45" customHeight="1" x14ac:dyDescent="0.25">
      <c r="B115" s="259"/>
      <c r="C115" s="270"/>
      <c r="D115" s="260"/>
      <c r="E115" s="261"/>
      <c r="F115" s="262">
        <v>30685849751</v>
      </c>
      <c r="G115" s="263" t="str">
        <f>IFERROR(IF(compras_mes103[[#This Row],[CUIT]]="","-",VLOOKUP(compras_mes103[[#This Row],[CUIT]],Lista_CUIT[#All],2,0)),"CUIT NO CARGADO")</f>
        <v>DIA ARGENTINA S.A.</v>
      </c>
      <c r="H115" s="264">
        <v>5396.69</v>
      </c>
      <c r="I115" s="513">
        <f>IF(compras_mes103[[#This Row],[NETO GRAVADO]]="","",compras_mes103[[#This Row],[NETO GRAVADO]]*0.21)</f>
        <v>1133.3048999999999</v>
      </c>
      <c r="J115" s="513"/>
      <c r="K115" s="513"/>
      <c r="L115" s="513"/>
      <c r="M115" s="513"/>
      <c r="N115" s="513"/>
      <c r="O115" s="513">
        <v>215.87</v>
      </c>
      <c r="P115" s="514">
        <f>SUM(compras_mes103[[#This Row],[NETO GRAVADO]:[Otros / No Grav.]])</f>
        <v>6745.8648999999996</v>
      </c>
      <c r="Q115" s="515" t="str">
        <f>IFERROR(IF(compras_mes103[[#This Row],[CUIT]]="","-",VLOOKUP(compras_mes103[[#This Row],[CUIT]],Lista_CUIT[#All],3,0)),"CUIT NO CARGADO")</f>
        <v>MERCADERIA</v>
      </c>
      <c r="R115" s="88">
        <f>IFERROR(IF(compras_mes103[[#This Row],[CUIT]]="","-",VLOOKUP(compras_mes103[[#This Row],[CUIT]],Lista_CUIT[#All],4,0)),"CUIT NO CARGADO")</f>
        <v>0</v>
      </c>
    </row>
    <row r="116" spans="2:18" ht="14.45" customHeight="1" x14ac:dyDescent="0.25">
      <c r="B116" s="40"/>
      <c r="C116" s="41"/>
      <c r="D116" s="260"/>
      <c r="E116" s="261"/>
      <c r="F116" s="262">
        <v>30685849751</v>
      </c>
      <c r="G116" s="263" t="str">
        <f>IFERROR(IF(compras_mes103[[#This Row],[CUIT]]="","-",VLOOKUP(compras_mes103[[#This Row],[CUIT]],Lista_CUIT[#All],2,0)),"CUIT NO CARGADO")</f>
        <v>DIA ARGENTINA S.A.</v>
      </c>
      <c r="H116" s="264">
        <v>1636.36</v>
      </c>
      <c r="I116" s="513">
        <f>IF(compras_mes103[[#This Row],[NETO GRAVADO]]="","",compras_mes103[[#This Row],[NETO GRAVADO]]*0.21)</f>
        <v>343.63559999999995</v>
      </c>
      <c r="J116" s="513"/>
      <c r="K116" s="513"/>
      <c r="L116" s="513"/>
      <c r="M116" s="513"/>
      <c r="N116" s="513"/>
      <c r="O116" s="513"/>
      <c r="P116" s="514">
        <f>SUM(compras_mes103[[#This Row],[NETO GRAVADO]:[Otros / No Grav.]])</f>
        <v>1979.9955999999997</v>
      </c>
      <c r="Q116" s="515" t="str">
        <f>IFERROR(IF(compras_mes103[[#This Row],[CUIT]]="","-",VLOOKUP(compras_mes103[[#This Row],[CUIT]],Lista_CUIT[#All],3,0)),"CUIT NO CARGADO")</f>
        <v>MERCADERIA</v>
      </c>
      <c r="R116" s="515">
        <f>IFERROR(IF(compras_mes103[[#This Row],[CUIT]]="","-",VLOOKUP(compras_mes103[[#This Row],[CUIT]],Lista_CUIT[#All],4,0)),"CUIT NO CARGADO")</f>
        <v>0</v>
      </c>
    </row>
    <row r="117" spans="2:18" ht="15" customHeight="1" x14ac:dyDescent="0.25">
      <c r="B117" s="40"/>
      <c r="C117" s="270"/>
      <c r="D117" s="260"/>
      <c r="E117" s="261"/>
      <c r="F117" s="262">
        <v>30685849751</v>
      </c>
      <c r="G117" s="263" t="str">
        <f>IFERROR(IF(compras_mes103[[#This Row],[CUIT]]="","-",VLOOKUP(compras_mes103[[#This Row],[CUIT]],Lista_CUIT[#All],2,0)),"CUIT NO CARGADO")</f>
        <v>DIA ARGENTINA S.A.</v>
      </c>
      <c r="H117" s="264">
        <v>7123.96</v>
      </c>
      <c r="I117" s="513">
        <f>IF(compras_mes103[[#This Row],[NETO GRAVADO]]="","",compras_mes103[[#This Row],[NETO GRAVADO]]*0.21)</f>
        <v>1496.0316</v>
      </c>
      <c r="J117" s="513"/>
      <c r="K117" s="513"/>
      <c r="L117" s="513"/>
      <c r="M117" s="513"/>
      <c r="N117" s="513">
        <v>284.95999999999998</v>
      </c>
      <c r="O117" s="513"/>
      <c r="P117" s="514">
        <f>SUM(compras_mes103[[#This Row],[NETO GRAVADO]:[Otros / No Grav.]])</f>
        <v>8904.9515999999985</v>
      </c>
      <c r="Q117" s="515" t="str">
        <f>IFERROR(IF(compras_mes103[[#This Row],[CUIT]]="","-",VLOOKUP(compras_mes103[[#This Row],[CUIT]],Lista_CUIT[#All],3,0)),"CUIT NO CARGADO")</f>
        <v>MERCADERIA</v>
      </c>
      <c r="R117" s="515">
        <f>IFERROR(IF(compras_mes103[[#This Row],[CUIT]]="","-",VLOOKUP(compras_mes103[[#This Row],[CUIT]],Lista_CUIT[#All],4,0)),"CUIT NO CARGADO")</f>
        <v>0</v>
      </c>
    </row>
    <row r="118" spans="2:18" ht="15" customHeight="1" x14ac:dyDescent="0.25">
      <c r="B118" s="40"/>
      <c r="C118" s="270"/>
      <c r="D118" s="260"/>
      <c r="E118" s="261"/>
      <c r="F118" s="262">
        <v>30685849751</v>
      </c>
      <c r="G118" s="263" t="str">
        <f>IFERROR(IF(compras_mes103[[#This Row],[CUIT]]="","-",VLOOKUP(compras_mes103[[#This Row],[CUIT]],Lista_CUIT[#All],2,0)),"CUIT NO CARGADO")</f>
        <v>DIA ARGENTINA S.A.</v>
      </c>
      <c r="H118" s="264">
        <v>7028.93</v>
      </c>
      <c r="I118" s="513">
        <f>IF(compras_mes103[[#This Row],[NETO GRAVADO]]="","",compras_mes103[[#This Row],[NETO GRAVADO]]*0.21)</f>
        <v>1476.0753</v>
      </c>
      <c r="J118" s="513"/>
      <c r="K118" s="513"/>
      <c r="L118" s="513"/>
      <c r="M118" s="513"/>
      <c r="N118" s="513">
        <v>281.16000000000003</v>
      </c>
      <c r="O118" s="513"/>
      <c r="P118" s="514">
        <f>SUM(compras_mes103[[#This Row],[NETO GRAVADO]:[Otros / No Grav.]])</f>
        <v>8786.1653000000006</v>
      </c>
      <c r="Q118" s="515" t="str">
        <f>IFERROR(IF(compras_mes103[[#This Row],[CUIT]]="","-",VLOOKUP(compras_mes103[[#This Row],[CUIT]],Lista_CUIT[#All],3,0)),"CUIT NO CARGADO")</f>
        <v>MERCADERIA</v>
      </c>
      <c r="R118" s="515">
        <f>IFERROR(IF(compras_mes103[[#This Row],[CUIT]]="","-",VLOOKUP(compras_mes103[[#This Row],[CUIT]],Lista_CUIT[#All],4,0)),"CUIT NO CARGADO")</f>
        <v>0</v>
      </c>
    </row>
    <row r="119" spans="2:18" ht="15" customHeight="1" x14ac:dyDescent="0.25">
      <c r="B119" s="40"/>
      <c r="C119" s="270"/>
      <c r="D119" s="90"/>
      <c r="E119" s="91"/>
      <c r="F119" s="92">
        <v>30685849751</v>
      </c>
      <c r="G119" s="93" t="str">
        <f>IFERROR(IF(compras_mes103[[#This Row],[CUIT]]="","-",VLOOKUP(compras_mes103[[#This Row],[CUIT]],Lista_CUIT[#All],2,0)),"CUIT NO CARGADO")</f>
        <v>DIA ARGENTINA S.A.</v>
      </c>
      <c r="H119" s="94">
        <v>5407</v>
      </c>
      <c r="I119" s="513">
        <f>IF(compras_mes103[[#This Row],[NETO GRAVADO]]="","",compras_mes103[[#This Row],[NETO GRAVADO]]*0.21)</f>
        <v>1135.47</v>
      </c>
      <c r="J119" s="86"/>
      <c r="K119" s="86"/>
      <c r="L119" s="86"/>
      <c r="M119" s="86"/>
      <c r="N119" s="86"/>
      <c r="O119" s="86">
        <v>216.3</v>
      </c>
      <c r="P119" s="48">
        <f>SUM(compras_mes103[[#This Row],[NETO GRAVADO]:[Otros / No Grav.]])</f>
        <v>6758.77</v>
      </c>
      <c r="Q119" s="88" t="str">
        <f>IFERROR(IF(compras_mes103[[#This Row],[CUIT]]="","-",VLOOKUP(compras_mes103[[#This Row],[CUIT]],Lista_CUIT[#All],3,0)),"CUIT NO CARGADO")</f>
        <v>MERCADERIA</v>
      </c>
      <c r="R119" s="88">
        <f>IFERROR(IF(compras_mes103[[#This Row],[CUIT]]="","-",VLOOKUP(compras_mes103[[#This Row],[CUIT]],Lista_CUIT[#All],4,0)),"CUIT NO CARGADO")</f>
        <v>0</v>
      </c>
    </row>
    <row r="120" spans="2:18" ht="15" customHeight="1" x14ac:dyDescent="0.25">
      <c r="B120" s="259"/>
      <c r="C120" s="270"/>
      <c r="D120" s="260"/>
      <c r="E120" s="261"/>
      <c r="F120" s="262">
        <v>30685849751</v>
      </c>
      <c r="G120" s="263" t="str">
        <f>IFERROR(IF(compras_mes103[[#This Row],[CUIT]]="","-",VLOOKUP(compras_mes103[[#This Row],[CUIT]],Lista_CUIT[#All],2,0)),"CUIT NO CARGADO")</f>
        <v>DIA ARGENTINA S.A.</v>
      </c>
      <c r="H120" s="264">
        <v>1636.36</v>
      </c>
      <c r="I120" s="513">
        <f>IF(compras_mes103[[#This Row],[NETO GRAVADO]]="","",compras_mes103[[#This Row],[NETO GRAVADO]]*0.21)</f>
        <v>343.63559999999995</v>
      </c>
      <c r="J120" s="513"/>
      <c r="K120" s="513"/>
      <c r="L120" s="513"/>
      <c r="M120" s="513"/>
      <c r="N120" s="513"/>
      <c r="O120" s="513"/>
      <c r="P120" s="514">
        <f>SUM(compras_mes103[[#This Row],[NETO GRAVADO]:[Otros / No Grav.]])</f>
        <v>1979.9955999999997</v>
      </c>
      <c r="Q120" s="515" t="str">
        <f>IFERROR(IF(compras_mes103[[#This Row],[CUIT]]="","-",VLOOKUP(compras_mes103[[#This Row],[CUIT]],Lista_CUIT[#All],3,0)),"CUIT NO CARGADO")</f>
        <v>MERCADERIA</v>
      </c>
      <c r="R120" s="49">
        <f>IFERROR(IF(compras_mes103[[#This Row],[CUIT]]="","-",VLOOKUP(compras_mes103[[#This Row],[CUIT]],Lista_CUIT[#All],4,0)),"CUIT NO CARGADO")</f>
        <v>0</v>
      </c>
    </row>
    <row r="121" spans="2:18" ht="15" customHeight="1" x14ac:dyDescent="0.25">
      <c r="B121" s="259"/>
      <c r="C121" s="270"/>
      <c r="D121" s="260"/>
      <c r="E121" s="261"/>
      <c r="F121" s="262">
        <v>30685849751</v>
      </c>
      <c r="G121" s="263" t="str">
        <f>IFERROR(IF(compras_mes103[[#This Row],[CUIT]]="","-",VLOOKUP(compras_mes103[[#This Row],[CUIT]],Lista_CUIT[#All],2,0)),"CUIT NO CARGADO")</f>
        <v>DIA ARGENTINA S.A.</v>
      </c>
      <c r="H121" s="264">
        <v>1636.36</v>
      </c>
      <c r="I121" s="513">
        <f>IF(compras_mes103[[#This Row],[NETO GRAVADO]]="","",compras_mes103[[#This Row],[NETO GRAVADO]]*0.21)</f>
        <v>343.63559999999995</v>
      </c>
      <c r="J121" s="85"/>
      <c r="K121" s="513"/>
      <c r="L121" s="513"/>
      <c r="M121" s="513"/>
      <c r="N121" s="513"/>
      <c r="O121" s="513"/>
      <c r="P121" s="514">
        <f>SUM(compras_mes103[[#This Row],[NETO GRAVADO]:[Otros / No Grav.]])</f>
        <v>1979.9955999999997</v>
      </c>
      <c r="Q121" s="515" t="str">
        <f>IFERROR(IF(compras_mes103[[#This Row],[CUIT]]="","-",VLOOKUP(compras_mes103[[#This Row],[CUIT]],Lista_CUIT[#All],3,0)),"CUIT NO CARGADO")</f>
        <v>MERCADERIA</v>
      </c>
      <c r="R121" s="515">
        <f>IFERROR(IF(compras_mes103[[#This Row],[CUIT]]="","-",VLOOKUP(compras_mes103[[#This Row],[CUIT]],Lista_CUIT[#All],4,0)),"CUIT NO CARGADO")</f>
        <v>0</v>
      </c>
    </row>
    <row r="122" spans="2:18" x14ac:dyDescent="0.25">
      <c r="B122" s="40"/>
      <c r="C122" s="270"/>
      <c r="D122" s="90"/>
      <c r="E122" s="91"/>
      <c r="F122" s="92">
        <v>30685849751</v>
      </c>
      <c r="G122" s="93" t="str">
        <f>IFERROR(IF(compras_mes103[[#This Row],[CUIT]]="","-",VLOOKUP(compras_mes103[[#This Row],[CUIT]],Lista_CUIT[#All],2,0)),"CUIT NO CARGADO")</f>
        <v>DIA ARGENTINA S.A.</v>
      </c>
      <c r="H122" s="94">
        <v>3611.57</v>
      </c>
      <c r="I122" s="513">
        <f>IF(compras_mes103[[#This Row],[NETO GRAVADO]]="","",compras_mes103[[#This Row],[NETO GRAVADO]]*0.21)</f>
        <v>758.42970000000003</v>
      </c>
      <c r="J122" s="86"/>
      <c r="K122" s="86"/>
      <c r="L122" s="86"/>
      <c r="M122" s="86"/>
      <c r="N122" s="86">
        <v>144.46</v>
      </c>
      <c r="O122" s="86"/>
      <c r="P122" s="514">
        <f>SUM(compras_mes103[[#This Row],[NETO GRAVADO]:[Otros / No Grav.]])</f>
        <v>4514.4597000000003</v>
      </c>
      <c r="Q122" s="88" t="str">
        <f>IFERROR(IF(compras_mes103[[#This Row],[CUIT]]="","-",VLOOKUP(compras_mes103[[#This Row],[CUIT]],Lista_CUIT[#All],3,0)),"CUIT NO CARGADO")</f>
        <v>MERCADERIA</v>
      </c>
      <c r="R122" s="88">
        <f>IFERROR(IF(compras_mes103[[#This Row],[CUIT]]="","-",VLOOKUP(compras_mes103[[#This Row],[CUIT]],Lista_CUIT[#All],4,0)),"CUIT NO CARGADO")</f>
        <v>0</v>
      </c>
    </row>
    <row r="123" spans="2:18" x14ac:dyDescent="0.25">
      <c r="B123" s="259"/>
      <c r="C123" s="270"/>
      <c r="D123" s="260"/>
      <c r="E123" s="261"/>
      <c r="F123" s="262">
        <v>30685849751</v>
      </c>
      <c r="G123" s="263" t="str">
        <f>IFERROR(IF(compras_mes103[[#This Row],[CUIT]]="","-",VLOOKUP(compras_mes103[[#This Row],[CUIT]],Lista_CUIT[#All],2,0)),"CUIT NO CARGADO")</f>
        <v>DIA ARGENTINA S.A.</v>
      </c>
      <c r="H123" s="264">
        <v>3991.73</v>
      </c>
      <c r="I123" s="513">
        <f>IF(compras_mes103[[#This Row],[NETO GRAVADO]]="","",compras_mes103[[#This Row],[NETO GRAVADO]]*0.21)</f>
        <v>838.26329999999996</v>
      </c>
      <c r="J123" s="513"/>
      <c r="K123" s="513"/>
      <c r="L123" s="513"/>
      <c r="M123" s="513"/>
      <c r="N123" s="513">
        <v>159.66999999999999</v>
      </c>
      <c r="O123" s="513"/>
      <c r="P123" s="514">
        <f>SUM(compras_mes103[[#This Row],[NETO GRAVADO]:[Otros / No Grav.]])</f>
        <v>4989.6633000000002</v>
      </c>
      <c r="Q123" s="515" t="str">
        <f>IFERROR(IF(compras_mes103[[#This Row],[CUIT]]="","-",VLOOKUP(compras_mes103[[#This Row],[CUIT]],Lista_CUIT[#All],3,0)),"CUIT NO CARGADO")</f>
        <v>MERCADERIA</v>
      </c>
      <c r="R123" s="49">
        <f>IFERROR(IF(compras_mes103[[#This Row],[CUIT]]="","-",VLOOKUP(compras_mes103[[#This Row],[CUIT]],Lista_CUIT[#All],4,0)),"CUIT NO CARGADO")</f>
        <v>0</v>
      </c>
    </row>
    <row r="124" spans="2:18" x14ac:dyDescent="0.25">
      <c r="B124" s="40"/>
      <c r="C124" s="270"/>
      <c r="D124" s="42"/>
      <c r="E124" s="43"/>
      <c r="F124" s="44">
        <v>30516186670</v>
      </c>
      <c r="G124" s="45" t="str">
        <f>IFERROR(IF(compras_mes103[[#This Row],[CUIT]]="","-",VLOOKUP(compras_mes103[[#This Row],[CUIT]],Lista_CUIT[#All],2,0)),"CUIT NO CARGADO")</f>
        <v>DEHEZA SAICF E I</v>
      </c>
      <c r="H124" s="46">
        <v>51235.1</v>
      </c>
      <c r="I124" s="513">
        <f>IF(compras_mes103[[#This Row],[NETO GRAVADO]]="","",compras_mes103[[#This Row],[NETO GRAVADO]]*0.21)</f>
        <v>10759.370999999999</v>
      </c>
      <c r="J124" s="85"/>
      <c r="K124" s="85"/>
      <c r="L124" s="85">
        <v>1537.05</v>
      </c>
      <c r="M124" s="85"/>
      <c r="N124" s="85">
        <v>2529.66</v>
      </c>
      <c r="O124" s="85">
        <v>11313.41</v>
      </c>
      <c r="P124" s="514">
        <f>SUM(compras_mes103[[#This Row],[NETO GRAVADO]:[Otros / No Grav.]])</f>
        <v>77374.591</v>
      </c>
      <c r="Q124" s="49" t="str">
        <f>IFERROR(IF(compras_mes103[[#This Row],[CUIT]]="","-",VLOOKUP(compras_mes103[[#This Row],[CUIT]],Lista_CUIT[#All],3,0)),"CUIT NO CARGADO")</f>
        <v>COMBUSTIBLE</v>
      </c>
      <c r="R124" s="49">
        <f>IFERROR(IF(compras_mes103[[#This Row],[CUIT]]="","-",VLOOKUP(compras_mes103[[#This Row],[CUIT]],Lista_CUIT[#All],4,0)),"CUIT NO CARGADO")</f>
        <v>0</v>
      </c>
    </row>
    <row r="125" spans="2:18" x14ac:dyDescent="0.25">
      <c r="B125" s="259"/>
      <c r="C125" s="270"/>
      <c r="D125" s="260"/>
      <c r="E125" s="261"/>
      <c r="F125" s="262">
        <v>30516186670</v>
      </c>
      <c r="G125" s="263" t="str">
        <f>IFERROR(IF(compras_mes103[[#This Row],[CUIT]]="","-",VLOOKUP(compras_mes103[[#This Row],[CUIT]],Lista_CUIT[#All],2,0)),"CUIT NO CARGADO")</f>
        <v>DEHEZA SAICF E I</v>
      </c>
      <c r="H125" s="264">
        <v>47476.05</v>
      </c>
      <c r="I125" s="513">
        <f>IF(compras_mes103[[#This Row],[NETO GRAVADO]]="","",compras_mes103[[#This Row],[NETO GRAVADO]]*0.21)</f>
        <v>9969.9704999999994</v>
      </c>
      <c r="J125" s="513"/>
      <c r="K125" s="513"/>
      <c r="L125" s="513">
        <v>1424.28</v>
      </c>
      <c r="M125" s="513"/>
      <c r="N125" s="513">
        <v>2201.13</v>
      </c>
      <c r="O125" s="513">
        <v>6779.57</v>
      </c>
      <c r="P125" s="514">
        <f>SUM(compras_mes103[[#This Row],[NETO GRAVADO]:[Otros / No Grav.]])</f>
        <v>67851.000499999995</v>
      </c>
      <c r="Q125" s="515" t="str">
        <f>IFERROR(IF(compras_mes103[[#This Row],[CUIT]]="","-",VLOOKUP(compras_mes103[[#This Row],[CUIT]],Lista_CUIT[#All],3,0)),"CUIT NO CARGADO")</f>
        <v>COMBUSTIBLE</v>
      </c>
      <c r="R125" s="515">
        <f>IFERROR(IF(compras_mes103[[#This Row],[CUIT]]="","-",VLOOKUP(compras_mes103[[#This Row],[CUIT]],Lista_CUIT[#All],4,0)),"CUIT NO CARGADO")</f>
        <v>0</v>
      </c>
    </row>
    <row r="126" spans="2:18" x14ac:dyDescent="0.25">
      <c r="B126" s="259"/>
      <c r="C126" s="270"/>
      <c r="D126" s="260"/>
      <c r="E126" s="261"/>
      <c r="F126" s="262">
        <v>30548083156</v>
      </c>
      <c r="G126" s="263" t="str">
        <f>IFERROR(IF(compras_mes103[[#This Row],[CUIT]]="","-",VLOOKUP(compras_mes103[[#This Row],[CUIT]],Lista_CUIT[#All],2,0)),"CUIT NO CARGADO")</f>
        <v>COTO CICSA</v>
      </c>
      <c r="H126" s="264">
        <v>5480.36</v>
      </c>
      <c r="I126" s="513">
        <f>IF(compras_mes103[[#This Row],[NETO GRAVADO]]="","",compras_mes103[[#This Row],[NETO GRAVADO]]*0.21)</f>
        <v>1150.8755999999998</v>
      </c>
      <c r="J126" s="513"/>
      <c r="K126" s="513"/>
      <c r="L126" s="513">
        <v>164.41</v>
      </c>
      <c r="M126" s="513"/>
      <c r="N126" s="513"/>
      <c r="O126" s="513">
        <v>219.21</v>
      </c>
      <c r="P126" s="514">
        <f>SUM(compras_mes103[[#This Row],[NETO GRAVADO]:[Otros / No Grav.]])</f>
        <v>7014.8555999999999</v>
      </c>
      <c r="Q126" s="515" t="str">
        <f>IFERROR(IF(compras_mes103[[#This Row],[CUIT]]="","-",VLOOKUP(compras_mes103[[#This Row],[CUIT]],Lista_CUIT[#All],3,0)),"CUIT NO CARGADO")</f>
        <v>Gastos Varios</v>
      </c>
      <c r="R126" s="515">
        <f>IFERROR(IF(compras_mes103[[#This Row],[CUIT]]="","-",VLOOKUP(compras_mes103[[#This Row],[CUIT]],Lista_CUIT[#All],4,0)),"CUIT NO CARGADO")</f>
        <v>0</v>
      </c>
    </row>
    <row r="127" spans="2:18" x14ac:dyDescent="0.25">
      <c r="B127" s="259"/>
      <c r="C127" s="270"/>
      <c r="D127" s="260"/>
      <c r="E127" s="261"/>
      <c r="F127" s="262">
        <v>30548083156</v>
      </c>
      <c r="G127" s="263" t="str">
        <f>IFERROR(IF(compras_mes103[[#This Row],[CUIT]]="","-",VLOOKUP(compras_mes103[[#This Row],[CUIT]],Lista_CUIT[#All],2,0)),"CUIT NO CARGADO")</f>
        <v>COTO CICSA</v>
      </c>
      <c r="H127" s="264">
        <v>11933.46</v>
      </c>
      <c r="I127" s="513">
        <f>IF(compras_mes103[[#This Row],[NETO GRAVADO]]="","",compras_mes103[[#This Row],[NETO GRAVADO]]*0.21)</f>
        <v>2506.0265999999997</v>
      </c>
      <c r="J127" s="513"/>
      <c r="K127" s="513"/>
      <c r="L127" s="513">
        <v>477.34</v>
      </c>
      <c r="M127" s="513"/>
      <c r="N127" s="513">
        <v>477.34</v>
      </c>
      <c r="O127" s="513"/>
      <c r="P127" s="514">
        <f>SUM(compras_mes103[[#This Row],[NETO GRAVADO]:[Otros / No Grav.]])</f>
        <v>15394.166599999999</v>
      </c>
      <c r="Q127" s="515" t="str">
        <f>IFERROR(IF(compras_mes103[[#This Row],[CUIT]]="","-",VLOOKUP(compras_mes103[[#This Row],[CUIT]],Lista_CUIT[#All],3,0)),"CUIT NO CARGADO")</f>
        <v>Gastos Varios</v>
      </c>
      <c r="R127" s="515">
        <f>IFERROR(IF(compras_mes103[[#This Row],[CUIT]]="","-",VLOOKUP(compras_mes103[[#This Row],[CUIT]],Lista_CUIT[#All],4,0)),"CUIT NO CARGADO")</f>
        <v>0</v>
      </c>
    </row>
    <row r="128" spans="2:18" x14ac:dyDescent="0.25">
      <c r="B128" s="259"/>
      <c r="C128" s="270"/>
      <c r="D128" s="260"/>
      <c r="E128" s="261"/>
      <c r="F128" s="262">
        <v>30548083156</v>
      </c>
      <c r="G128" s="263" t="str">
        <f>IFERROR(IF(compras_mes103[[#This Row],[CUIT]]="","-",VLOOKUP(compras_mes103[[#This Row],[CUIT]],Lista_CUIT[#All],2,0)),"CUIT NO CARGADO")</f>
        <v>COTO CICSA</v>
      </c>
      <c r="H128" s="264">
        <v>44860.71</v>
      </c>
      <c r="I128" s="513">
        <f>2169.42*0.21</f>
        <v>455.57819999999998</v>
      </c>
      <c r="J128" s="513"/>
      <c r="K128" s="513">
        <f>42691.29*0.105</f>
        <v>4482.5854499999996</v>
      </c>
      <c r="L128" s="513">
        <v>676.81</v>
      </c>
      <c r="M128" s="513"/>
      <c r="N128" s="513">
        <v>354.73</v>
      </c>
      <c r="O128" s="513"/>
      <c r="P128" s="514">
        <f>SUM(compras_mes103[[#This Row],[NETO GRAVADO]:[Otros / No Grav.]])</f>
        <v>50830.413650000002</v>
      </c>
      <c r="Q128" s="515" t="str">
        <f>IFERROR(IF(compras_mes103[[#This Row],[CUIT]]="","-",VLOOKUP(compras_mes103[[#This Row],[CUIT]],Lista_CUIT[#All],3,0)),"CUIT NO CARGADO")</f>
        <v>Gastos Varios</v>
      </c>
      <c r="R128" s="515">
        <f>IFERROR(IF(compras_mes103[[#This Row],[CUIT]]="","-",VLOOKUP(compras_mes103[[#This Row],[CUIT]],Lista_CUIT[#All],4,0)),"CUIT NO CARGADO")</f>
        <v>0</v>
      </c>
    </row>
    <row r="129" spans="2:18" x14ac:dyDescent="0.25">
      <c r="B129" s="259"/>
      <c r="C129" s="270"/>
      <c r="D129" s="260"/>
      <c r="E129" s="261"/>
      <c r="F129" s="262">
        <v>30708574836</v>
      </c>
      <c r="G129" s="263" t="str">
        <f>IFERROR(IF(compras_mes103[[#This Row],[CUIT]]="","-",VLOOKUP(compras_mes103[[#This Row],[CUIT]],Lista_CUIT[#All],2,0)),"CUIT NO CARGADO")</f>
        <v>CORREO OFICIAL DE LA REPUBLICA ARGENTINA SOCIEDAD ANONIMA</v>
      </c>
      <c r="H129" s="264">
        <v>0</v>
      </c>
      <c r="I129" s="513">
        <f>IF(compras_mes103[[#This Row],[NETO GRAVADO]]="","",compras_mes103[[#This Row],[NETO GRAVADO]]*0.21)</f>
        <v>0</v>
      </c>
      <c r="J129" s="513"/>
      <c r="K129" s="513"/>
      <c r="L129" s="513"/>
      <c r="M129" s="513"/>
      <c r="N129" s="513"/>
      <c r="O129" s="513">
        <v>17400</v>
      </c>
      <c r="P129" s="514">
        <f>SUM(compras_mes103[[#This Row],[NETO GRAVADO]:[Otros / No Grav.]])</f>
        <v>17400</v>
      </c>
      <c r="Q129" s="515" t="str">
        <f>IFERROR(IF(compras_mes103[[#This Row],[CUIT]]="","-",VLOOKUP(compras_mes103[[#This Row],[CUIT]],Lista_CUIT[#All],3,0)),"CUIT NO CARGADO")</f>
        <v>Gastos Varios</v>
      </c>
      <c r="R129" s="515">
        <f>IFERROR(IF(compras_mes103[[#This Row],[CUIT]]="","-",VLOOKUP(compras_mes103[[#This Row],[CUIT]],Lista_CUIT[#All],4,0)),"CUIT NO CARGADO")</f>
        <v>0</v>
      </c>
    </row>
    <row r="130" spans="2:18" x14ac:dyDescent="0.25">
      <c r="B130" s="259"/>
      <c r="C130" s="270"/>
      <c r="D130" s="260"/>
      <c r="E130" s="261"/>
      <c r="F130" s="262">
        <v>30708574836</v>
      </c>
      <c r="G130" s="263" t="str">
        <f>IFERROR(IF(compras_mes103[[#This Row],[CUIT]]="","-",VLOOKUP(compras_mes103[[#This Row],[CUIT]],Lista_CUIT[#All],2,0)),"CUIT NO CARGADO")</f>
        <v>CORREO OFICIAL DE LA REPUBLICA ARGENTINA SOCIEDAD ANONIMA</v>
      </c>
      <c r="H130" s="264">
        <v>0</v>
      </c>
      <c r="I130" s="513">
        <f>IF(compras_mes103[[#This Row],[NETO GRAVADO]]="","",compras_mes103[[#This Row],[NETO GRAVADO]]*0.21)</f>
        <v>0</v>
      </c>
      <c r="J130" s="513"/>
      <c r="K130" s="513"/>
      <c r="L130" s="513"/>
      <c r="M130" s="513"/>
      <c r="N130" s="513"/>
      <c r="O130" s="513">
        <v>19900</v>
      </c>
      <c r="P130" s="514">
        <f>SUM(compras_mes103[[#This Row],[NETO GRAVADO]:[Otros / No Grav.]])</f>
        <v>19900</v>
      </c>
      <c r="Q130" s="515" t="str">
        <f>IFERROR(IF(compras_mes103[[#This Row],[CUIT]]="","-",VLOOKUP(compras_mes103[[#This Row],[CUIT]],Lista_CUIT[#All],3,0)),"CUIT NO CARGADO")</f>
        <v>Gastos Varios</v>
      </c>
      <c r="R130" s="515">
        <f>IFERROR(IF(compras_mes103[[#This Row],[CUIT]]="","-",VLOOKUP(compras_mes103[[#This Row],[CUIT]],Lista_CUIT[#All],4,0)),"CUIT NO CARGADO")</f>
        <v>0</v>
      </c>
    </row>
    <row r="131" spans="2:18" x14ac:dyDescent="0.25">
      <c r="B131" s="526"/>
      <c r="C131" s="270"/>
      <c r="D131" s="373"/>
      <c r="E131" s="374"/>
      <c r="F131" s="375">
        <v>30708574836</v>
      </c>
      <c r="G131" s="376" t="str">
        <f>IFERROR(IF(compras_mes103[[#This Row],[CUIT]]="","-",VLOOKUP(compras_mes103[[#This Row],[CUIT]],Lista_CUIT[#All],2,0)),"CUIT NO CARGADO")</f>
        <v>CORREO OFICIAL DE LA REPUBLICA ARGENTINA SOCIEDAD ANONIMA</v>
      </c>
      <c r="H131" s="377">
        <v>0</v>
      </c>
      <c r="I131" s="513">
        <f>IF(compras_mes103[[#This Row],[NETO GRAVADO]]="","",compras_mes103[[#This Row],[NETO GRAVADO]]*0.21)</f>
        <v>0</v>
      </c>
      <c r="J131" s="528"/>
      <c r="K131" s="528"/>
      <c r="L131" s="528"/>
      <c r="M131" s="528"/>
      <c r="N131" s="528"/>
      <c r="O131" s="528">
        <v>18950</v>
      </c>
      <c r="P131" s="529">
        <f>SUM(compras_mes103[[#This Row],[NETO GRAVADO]:[Otros / No Grav.]])</f>
        <v>18950</v>
      </c>
      <c r="Q131" s="530" t="str">
        <f>IFERROR(IF(compras_mes103[[#This Row],[CUIT]]="","-",VLOOKUP(compras_mes103[[#This Row],[CUIT]],Lista_CUIT[#All],3,0)),"CUIT NO CARGADO")</f>
        <v>Gastos Varios</v>
      </c>
      <c r="R131" s="530">
        <f>IFERROR(IF(compras_mes103[[#This Row],[CUIT]]="","-",VLOOKUP(compras_mes103[[#This Row],[CUIT]],Lista_CUIT[#All],4,0)),"CUIT NO CARGADO")</f>
        <v>0</v>
      </c>
    </row>
    <row r="132" spans="2:18" x14ac:dyDescent="0.25">
      <c r="B132" s="526"/>
      <c r="C132" s="270"/>
      <c r="D132" s="373"/>
      <c r="E132" s="374"/>
      <c r="F132" s="375">
        <v>30678814357</v>
      </c>
      <c r="G132" s="376" t="str">
        <f>IFERROR(IF(compras_mes103[[#This Row],[CUIT]]="","-",VLOOKUP(compras_mes103[[#This Row],[CUIT]],Lista_CUIT[#All],2,0)),"CUIT NO CARGADO")</f>
        <v>TELEFONICA MOVILES ARG SA</v>
      </c>
      <c r="H132" s="377">
        <v>57907</v>
      </c>
      <c r="I132" s="513"/>
      <c r="J132" s="528">
        <f>compras_mes103[[#This Row],[NETO GRAVADO]]*0.27</f>
        <v>15634.890000000001</v>
      </c>
      <c r="K132" s="528"/>
      <c r="L132" s="528">
        <v>1737.21</v>
      </c>
      <c r="M132" s="528"/>
      <c r="N132" s="528">
        <v>2438.19</v>
      </c>
      <c r="O132" s="528"/>
      <c r="P132" s="529">
        <f>SUM(compras_mes103[[#This Row],[NETO GRAVADO]:[Otros / No Grav.]])</f>
        <v>77717.290000000008</v>
      </c>
      <c r="Q132" s="530" t="str">
        <f>IFERROR(IF(compras_mes103[[#This Row],[CUIT]]="","-",VLOOKUP(compras_mes103[[#This Row],[CUIT]],Lista_CUIT[#All],3,0)),"CUIT NO CARGADO")</f>
        <v>SERVICIO</v>
      </c>
      <c r="R132" s="530">
        <f>IFERROR(IF(compras_mes103[[#This Row],[CUIT]]="","-",VLOOKUP(compras_mes103[[#This Row],[CUIT]],Lista_CUIT[#All],4,0)),"CUIT NO CARGADO")</f>
        <v>0</v>
      </c>
    </row>
    <row r="133" spans="2:18" x14ac:dyDescent="0.25">
      <c r="B133" s="526"/>
      <c r="C133" s="270"/>
      <c r="D133" s="373"/>
      <c r="E133" s="374"/>
      <c r="F133" s="375">
        <v>30678814357</v>
      </c>
      <c r="G133" s="376" t="str">
        <f>IFERROR(IF(compras_mes103[[#This Row],[CUIT]]="","-",VLOOKUP(compras_mes103[[#This Row],[CUIT]],Lista_CUIT[#All],2,0)),"CUIT NO CARGADO")</f>
        <v>TELEFONICA MOVILES ARG SA</v>
      </c>
      <c r="H133" s="377">
        <v>61222.8</v>
      </c>
      <c r="I133" s="513"/>
      <c r="J133" s="528">
        <f>compras_mes103[[#This Row],[NETO GRAVADO]]*0.27</f>
        <v>16530.156000000003</v>
      </c>
      <c r="K133" s="528"/>
      <c r="L133" s="528">
        <v>1836.68</v>
      </c>
      <c r="M133" s="528"/>
      <c r="N133" s="528">
        <v>2448.91</v>
      </c>
      <c r="O133" s="528"/>
      <c r="P133" s="529">
        <f>SUM(compras_mes103[[#This Row],[NETO GRAVADO]:[Otros / No Grav.]])</f>
        <v>82038.546000000002</v>
      </c>
      <c r="Q133" s="530" t="str">
        <f>IFERROR(IF(compras_mes103[[#This Row],[CUIT]]="","-",VLOOKUP(compras_mes103[[#This Row],[CUIT]],Lista_CUIT[#All],3,0)),"CUIT NO CARGADO")</f>
        <v>SERVICIO</v>
      </c>
      <c r="R133" s="530">
        <f>IFERROR(IF(compras_mes103[[#This Row],[CUIT]]="","-",VLOOKUP(compras_mes103[[#This Row],[CUIT]],Lista_CUIT[#All],4,0)),"CUIT NO CARGADO")</f>
        <v>0</v>
      </c>
    </row>
    <row r="134" spans="2:18" x14ac:dyDescent="0.25">
      <c r="B134" s="40"/>
      <c r="C134" s="270"/>
      <c r="D134" s="260"/>
      <c r="E134" s="261"/>
      <c r="F134" s="262">
        <v>30639453738</v>
      </c>
      <c r="G134" s="263" t="str">
        <f>IFERROR(IF(compras_mes103[[#This Row],[CUIT]]="","-",VLOOKUP(compras_mes103[[#This Row],[CUIT]],Lista_CUIT[#All],2,0)),"CUIT NO CARGADO")</f>
        <v>TELECOM ARGENTINA SA</v>
      </c>
      <c r="H134" s="264">
        <v>46766.15</v>
      </c>
      <c r="I134" s="513">
        <f>IF(compras_mes103[[#This Row],[NETO GRAVADO]]="","",compras_mes103[[#This Row],[NETO GRAVADO]]*0.21)</f>
        <v>9820.8914999999997</v>
      </c>
      <c r="J134" s="513"/>
      <c r="K134" s="513"/>
      <c r="L134" s="513">
        <v>1402.98</v>
      </c>
      <c r="M134" s="513"/>
      <c r="N134" s="513">
        <v>1870.65</v>
      </c>
      <c r="O134" s="513"/>
      <c r="P134" s="514">
        <f>SUM(compras_mes103[[#This Row],[NETO GRAVADO]:[Otros / No Grav.]])</f>
        <v>59860.671500000004</v>
      </c>
      <c r="Q134" s="515" t="str">
        <f>IFERROR(IF(compras_mes103[[#This Row],[CUIT]]="","-",VLOOKUP(compras_mes103[[#This Row],[CUIT]],Lista_CUIT[#All],3,0)),"CUIT NO CARGADO")</f>
        <v>SERVICIO</v>
      </c>
      <c r="R134" s="515">
        <f>IFERROR(IF(compras_mes103[[#This Row],[CUIT]]="","-",VLOOKUP(compras_mes103[[#This Row],[CUIT]],Lista_CUIT[#All],4,0)),"CUIT NO CARGADO")</f>
        <v>0</v>
      </c>
    </row>
    <row r="135" spans="2:18" x14ac:dyDescent="0.25">
      <c r="B135" s="259"/>
      <c r="C135" s="270"/>
      <c r="D135" s="260"/>
      <c r="E135" s="261"/>
      <c r="F135" s="262">
        <v>30574876474</v>
      </c>
      <c r="G135" s="263" t="str">
        <f>IFERROR(IF(compras_mes103[[#This Row],[CUIT]]="","-",VLOOKUP(compras_mes103[[#This Row],[CUIT]],Lista_CUIT[#All],2,0)),"CUIT NO CARGADO")</f>
        <v>AUTOP. URBANAS SA</v>
      </c>
      <c r="H135" s="264">
        <v>5891.09</v>
      </c>
      <c r="I135" s="513">
        <f>IF(compras_mes103[[#This Row],[NETO GRAVADO]]="","",compras_mes103[[#This Row],[NETO GRAVADO]]*0.21)</f>
        <v>1237.1288999999999</v>
      </c>
      <c r="J135" s="513"/>
      <c r="K135" s="513"/>
      <c r="L135" s="513"/>
      <c r="M135" s="513"/>
      <c r="N135" s="513"/>
      <c r="O135" s="513">
        <v>765.84</v>
      </c>
      <c r="P135" s="514">
        <f>SUM(compras_mes103[[#This Row],[NETO GRAVADO]:[Otros / No Grav.]])</f>
        <v>7894.0589</v>
      </c>
      <c r="Q135" s="515" t="str">
        <f>IFERROR(IF(compras_mes103[[#This Row],[CUIT]]="","-",VLOOKUP(compras_mes103[[#This Row],[CUIT]],Lista_CUIT[#All],3,0)),"CUIT NO CARGADO")</f>
        <v>PEAJE</v>
      </c>
      <c r="R135" s="515">
        <f>IFERROR(IF(compras_mes103[[#This Row],[CUIT]]="","-",VLOOKUP(compras_mes103[[#This Row],[CUIT]],Lista_CUIT[#All],4,0)),"CUIT NO CARGADO")</f>
        <v>0</v>
      </c>
    </row>
    <row r="136" spans="2:18" x14ac:dyDescent="0.25">
      <c r="B136" s="259"/>
      <c r="C136" s="270"/>
      <c r="D136" s="260"/>
      <c r="E136" s="261"/>
      <c r="F136" s="262">
        <v>30574876474</v>
      </c>
      <c r="G136" s="263" t="str">
        <f>IFERROR(IF(compras_mes103[[#This Row],[CUIT]]="","-",VLOOKUP(compras_mes103[[#This Row],[CUIT]],Lista_CUIT[#All],2,0)),"CUIT NO CARGADO")</f>
        <v>AUTOP. URBANAS SA</v>
      </c>
      <c r="H136" s="264">
        <v>35885.79</v>
      </c>
      <c r="I136" s="513">
        <f>IF(compras_mes103[[#This Row],[NETO GRAVADO]]="","",compras_mes103[[#This Row],[NETO GRAVADO]]*0.21)</f>
        <v>7536.0159000000003</v>
      </c>
      <c r="J136" s="513"/>
      <c r="K136" s="513"/>
      <c r="L136" s="513"/>
      <c r="M136" s="513"/>
      <c r="N136" s="513"/>
      <c r="O136" s="513">
        <v>1076.57</v>
      </c>
      <c r="P136" s="514">
        <f>SUM(compras_mes103[[#This Row],[NETO GRAVADO]:[Otros / No Grav.]])</f>
        <v>44498.375899999999</v>
      </c>
      <c r="Q136" s="515" t="str">
        <f>IFERROR(IF(compras_mes103[[#This Row],[CUIT]]="","-",VLOOKUP(compras_mes103[[#This Row],[CUIT]],Lista_CUIT[#All],3,0)),"CUIT NO CARGADO")</f>
        <v>PEAJE</v>
      </c>
      <c r="R136" s="515">
        <f>IFERROR(IF(compras_mes103[[#This Row],[CUIT]]="","-",VLOOKUP(compras_mes103[[#This Row],[CUIT]],Lista_CUIT[#All],4,0)),"CUIT NO CARGADO")</f>
        <v>0</v>
      </c>
    </row>
    <row r="137" spans="2:18" x14ac:dyDescent="0.25">
      <c r="B137" s="259"/>
      <c r="C137" s="270"/>
      <c r="D137" s="260"/>
      <c r="E137" s="261"/>
      <c r="F137" s="262">
        <v>30574876474</v>
      </c>
      <c r="G137" s="263" t="str">
        <f>IFERROR(IF(compras_mes103[[#This Row],[CUIT]]="","-",VLOOKUP(compras_mes103[[#This Row],[CUIT]],Lista_CUIT[#All],2,0)),"CUIT NO CARGADO")</f>
        <v>AUTOP. URBANAS SA</v>
      </c>
      <c r="H137" s="264">
        <v>18677.599999999999</v>
      </c>
      <c r="I137" s="513">
        <f>IF(compras_mes103[[#This Row],[NETO GRAVADO]]="","",compras_mes103[[#This Row],[NETO GRAVADO]]*0.21)</f>
        <v>3922.2959999999994</v>
      </c>
      <c r="J137" s="513"/>
      <c r="K137" s="513"/>
      <c r="L137" s="513"/>
      <c r="M137" s="513"/>
      <c r="N137" s="513"/>
      <c r="O137" s="513">
        <v>560.33000000000004</v>
      </c>
      <c r="P137" s="514">
        <f>SUM(compras_mes103[[#This Row],[NETO GRAVADO]:[Otros / No Grav.]])</f>
        <v>23160.225999999999</v>
      </c>
      <c r="Q137" s="515" t="str">
        <f>IFERROR(IF(compras_mes103[[#This Row],[CUIT]]="","-",VLOOKUP(compras_mes103[[#This Row],[CUIT]],Lista_CUIT[#All],3,0)),"CUIT NO CARGADO")</f>
        <v>PEAJE</v>
      </c>
      <c r="R137" s="515">
        <f>IFERROR(IF(compras_mes103[[#This Row],[CUIT]]="","-",VLOOKUP(compras_mes103[[#This Row],[CUIT]],Lista_CUIT[#All],4,0)),"CUIT NO CARGADO")</f>
        <v>0</v>
      </c>
    </row>
    <row r="138" spans="2:18" x14ac:dyDescent="0.25">
      <c r="B138" s="40"/>
      <c r="C138" s="270"/>
      <c r="D138" s="260"/>
      <c r="E138" s="261"/>
      <c r="F138" s="262">
        <v>30574876474</v>
      </c>
      <c r="G138" s="263" t="str">
        <f>IFERROR(IF(compras_mes103[[#This Row],[CUIT]]="","-",VLOOKUP(compras_mes103[[#This Row],[CUIT]],Lista_CUIT[#All],2,0)),"CUIT NO CARGADO")</f>
        <v>AUTOP. URBANAS SA</v>
      </c>
      <c r="H138" s="264">
        <v>35776.78</v>
      </c>
      <c r="I138" s="513">
        <f>IF(compras_mes103[[#This Row],[NETO GRAVADO]]="","",compras_mes103[[#This Row],[NETO GRAVADO]]*0.21)</f>
        <v>7513.1237999999994</v>
      </c>
      <c r="J138" s="513"/>
      <c r="K138" s="513"/>
      <c r="L138" s="513"/>
      <c r="M138" s="513"/>
      <c r="N138" s="513"/>
      <c r="O138" s="513">
        <v>1073.3</v>
      </c>
      <c r="P138" s="514">
        <f>SUM(compras_mes103[[#This Row],[NETO GRAVADO]:[Otros / No Grav.]])</f>
        <v>44363.203800000003</v>
      </c>
      <c r="Q138" s="515" t="str">
        <f>IFERROR(IF(compras_mes103[[#This Row],[CUIT]]="","-",VLOOKUP(compras_mes103[[#This Row],[CUIT]],Lista_CUIT[#All],3,0)),"CUIT NO CARGADO")</f>
        <v>PEAJE</v>
      </c>
      <c r="R138" s="515">
        <f>IFERROR(IF(compras_mes103[[#This Row],[CUIT]]="","-",VLOOKUP(compras_mes103[[#This Row],[CUIT]],Lista_CUIT[#All],4,0)),"CUIT NO CARGADO")</f>
        <v>0</v>
      </c>
    </row>
    <row r="139" spans="2:18" x14ac:dyDescent="0.25">
      <c r="B139" s="40"/>
      <c r="C139" s="270"/>
      <c r="D139" s="260"/>
      <c r="E139" s="261"/>
      <c r="F139" s="262">
        <v>30574876474</v>
      </c>
      <c r="G139" s="263" t="str">
        <f>IFERROR(IF(compras_mes103[[#This Row],[CUIT]]="","-",VLOOKUP(compras_mes103[[#This Row],[CUIT]],Lista_CUIT[#All],2,0)),"CUIT NO CARGADO")</f>
        <v>AUTOP. URBANAS SA</v>
      </c>
      <c r="H139" s="264">
        <v>9832.17</v>
      </c>
      <c r="I139" s="513">
        <f>IF(compras_mes103[[#This Row],[NETO GRAVADO]]="","",compras_mes103[[#This Row],[NETO GRAVADO]]*0.21)</f>
        <v>2064.7557000000002</v>
      </c>
      <c r="J139" s="513"/>
      <c r="K139" s="513"/>
      <c r="L139" s="513"/>
      <c r="M139" s="513"/>
      <c r="N139" s="513"/>
      <c r="O139" s="513">
        <v>1278.19</v>
      </c>
      <c r="P139" s="514">
        <f>SUM(compras_mes103[[#This Row],[NETO GRAVADO]:[Otros / No Grav.]])</f>
        <v>13175.1157</v>
      </c>
      <c r="Q139" s="515" t="str">
        <f>IFERROR(IF(compras_mes103[[#This Row],[CUIT]]="","-",VLOOKUP(compras_mes103[[#This Row],[CUIT]],Lista_CUIT[#All],3,0)),"CUIT NO CARGADO")</f>
        <v>PEAJE</v>
      </c>
      <c r="R139" s="515">
        <f>IFERROR(IF(compras_mes103[[#This Row],[CUIT]]="","-",VLOOKUP(compras_mes103[[#This Row],[CUIT]],Lista_CUIT[#All],4,0)),"CUIT NO CARGADO")</f>
        <v>0</v>
      </c>
    </row>
    <row r="140" spans="2:18" x14ac:dyDescent="0.25">
      <c r="B140" s="259"/>
      <c r="C140" s="270"/>
      <c r="D140" s="260"/>
      <c r="E140" s="261"/>
      <c r="F140" s="262">
        <v>30643922157</v>
      </c>
      <c r="G140" s="263" t="str">
        <f>IFERROR(IF(compras_mes103[[#This Row],[CUIT]]="","-",VLOOKUP(compras_mes103[[#This Row],[CUIT]],Lista_CUIT[#All],2,0)),"CUIT NO CARGADO")</f>
        <v>VIA BARILOCHE SA</v>
      </c>
      <c r="H140" s="264">
        <v>29752.07</v>
      </c>
      <c r="I140" s="513">
        <f>IF(compras_mes103[[#This Row],[NETO GRAVADO]]="","",compras_mes103[[#This Row],[NETO GRAVADO]]*0.21)</f>
        <v>6247.9346999999998</v>
      </c>
      <c r="J140" s="513"/>
      <c r="K140" s="513"/>
      <c r="L140" s="513"/>
      <c r="M140" s="513"/>
      <c r="N140" s="513"/>
      <c r="O140" s="513"/>
      <c r="P140" s="514">
        <f>SUM(compras_mes103[[#This Row],[NETO GRAVADO]:[Otros / No Grav.]])</f>
        <v>36000.004699999998</v>
      </c>
      <c r="Q140" s="515" t="str">
        <f>IFERROR(IF(compras_mes103[[#This Row],[CUIT]]="","-",VLOOKUP(compras_mes103[[#This Row],[CUIT]],Lista_CUIT[#All],3,0)),"CUIT NO CARGADO")</f>
        <v>FLETE</v>
      </c>
      <c r="R140" s="515">
        <f>IFERROR(IF(compras_mes103[[#This Row],[CUIT]]="","-",VLOOKUP(compras_mes103[[#This Row],[CUIT]],Lista_CUIT[#All],4,0)),"CUIT NO CARGADO")</f>
        <v>0</v>
      </c>
    </row>
    <row r="141" spans="2:18" x14ac:dyDescent="0.25">
      <c r="B141" s="259"/>
      <c r="C141" s="270"/>
      <c r="D141" s="260"/>
      <c r="E141" s="261"/>
      <c r="F141" s="262">
        <v>30643922157</v>
      </c>
      <c r="G141" s="263" t="str">
        <f>IFERROR(IF(compras_mes103[[#This Row],[CUIT]]="","-",VLOOKUP(compras_mes103[[#This Row],[CUIT]],Lista_CUIT[#All],2,0)),"CUIT NO CARGADO")</f>
        <v>VIA BARILOCHE SA</v>
      </c>
      <c r="H141" s="264">
        <v>19008.27</v>
      </c>
      <c r="I141" s="513">
        <f>IF(compras_mes103[[#This Row],[NETO GRAVADO]]="","",compras_mes103[[#This Row],[NETO GRAVADO]]*0.21)</f>
        <v>3991.7366999999999</v>
      </c>
      <c r="J141" s="513"/>
      <c r="K141" s="513"/>
      <c r="L141" s="513"/>
      <c r="M141" s="513"/>
      <c r="N141" s="513"/>
      <c r="O141" s="513"/>
      <c r="P141" s="514">
        <f>SUM(compras_mes103[[#This Row],[NETO GRAVADO]:[Otros / No Grav.]])</f>
        <v>23000.006700000002</v>
      </c>
      <c r="Q141" s="515" t="str">
        <f>IFERROR(IF(compras_mes103[[#This Row],[CUIT]]="","-",VLOOKUP(compras_mes103[[#This Row],[CUIT]],Lista_CUIT[#All],3,0)),"CUIT NO CARGADO")</f>
        <v>FLETE</v>
      </c>
      <c r="R141" s="515">
        <f>IFERROR(IF(compras_mes103[[#This Row],[CUIT]]="","-",VLOOKUP(compras_mes103[[#This Row],[CUIT]],Lista_CUIT[#All],4,0)),"CUIT NO CARGADO")</f>
        <v>0</v>
      </c>
    </row>
    <row r="142" spans="2:18" x14ac:dyDescent="0.25">
      <c r="B142" s="40"/>
      <c r="C142" s="270"/>
      <c r="D142" s="260"/>
      <c r="E142" s="261"/>
      <c r="F142" s="262">
        <v>27243660535</v>
      </c>
      <c r="G142" s="263" t="str">
        <f>IFERROR(IF(compras_mes103[[#This Row],[CUIT]]="","-",VLOOKUP(compras_mes103[[#This Row],[CUIT]],Lista_CUIT[#All],2,0)),"CUIT NO CARGADO")</f>
        <v>BARD MARISA SILVIA</v>
      </c>
      <c r="H142" s="264">
        <v>-474914.86</v>
      </c>
      <c r="I142" s="513">
        <f>IF(compras_mes103[[#This Row],[NETO GRAVADO]]="","",compras_mes103[[#This Row],[NETO GRAVADO]]*0.21)</f>
        <v>-99732.120599999995</v>
      </c>
      <c r="J142" s="513"/>
      <c r="K142" s="513"/>
      <c r="L142" s="513"/>
      <c r="M142" s="513"/>
      <c r="N142" s="513"/>
      <c r="O142" s="513"/>
      <c r="P142" s="514">
        <f>SUM(compras_mes103[[#This Row],[NETO GRAVADO]:[Otros / No Grav.]])</f>
        <v>-574646.98060000001</v>
      </c>
      <c r="Q142" s="515" t="str">
        <f>IFERROR(IF(compras_mes103[[#This Row],[CUIT]]="","-",VLOOKUP(compras_mes103[[#This Row],[CUIT]],Lista_CUIT[#All],3,0)),"CUIT NO CARGADO")</f>
        <v>Insumos</v>
      </c>
      <c r="R142" s="515">
        <f>IFERROR(IF(compras_mes103[[#This Row],[CUIT]]="","-",VLOOKUP(compras_mes103[[#This Row],[CUIT]],Lista_CUIT[#All],4,0)),"CUIT NO CARGADO")</f>
        <v>0</v>
      </c>
    </row>
    <row r="143" spans="2:18" x14ac:dyDescent="0.25">
      <c r="B143" s="259"/>
      <c r="C143" s="270"/>
      <c r="D143" s="260"/>
      <c r="E143" s="261"/>
      <c r="F143" s="262">
        <v>20272865869</v>
      </c>
      <c r="G143" s="263" t="str">
        <f>IFERROR(IF(compras_mes103[[#This Row],[CUIT]]="","-",VLOOKUP(compras_mes103[[#This Row],[CUIT]],Lista_CUIT[#All],2,0)),"CUIT NO CARGADO")</f>
        <v>DI FEO MARTIN EZEQUIEL</v>
      </c>
      <c r="H143" s="264">
        <v>-13300</v>
      </c>
      <c r="I143" s="513">
        <f>IF(compras_mes103[[#This Row],[NETO GRAVADO]]="","",compras_mes103[[#This Row],[NETO GRAVADO]]*0.21)</f>
        <v>-2793</v>
      </c>
      <c r="J143" s="513"/>
      <c r="K143" s="513"/>
      <c r="L143" s="513"/>
      <c r="M143" s="513"/>
      <c r="N143" s="513"/>
      <c r="O143" s="513"/>
      <c r="P143" s="514">
        <f>SUM(compras_mes103[[#This Row],[NETO GRAVADO]:[Otros / No Grav.]])</f>
        <v>-16093</v>
      </c>
      <c r="Q143" s="515" t="str">
        <f>IFERROR(IF(compras_mes103[[#This Row],[CUIT]]="","-",VLOOKUP(compras_mes103[[#This Row],[CUIT]],Lista_CUIT[#All],3,0)),"CUIT NO CARGADO")</f>
        <v>INSUMOS</v>
      </c>
      <c r="R143" s="515">
        <f>IFERROR(IF(compras_mes103[[#This Row],[CUIT]]="","-",VLOOKUP(compras_mes103[[#This Row],[CUIT]],Lista_CUIT[#All],4,0)),"CUIT NO CARGADO")</f>
        <v>0</v>
      </c>
    </row>
    <row r="144" spans="2:18" x14ac:dyDescent="0.25">
      <c r="B144" s="259"/>
      <c r="C144" s="270"/>
      <c r="D144" s="260"/>
      <c r="E144" s="261"/>
      <c r="F144" s="262">
        <v>30707042679</v>
      </c>
      <c r="G144" s="263" t="str">
        <f>IFERROR(IF(compras_mes103[[#This Row],[CUIT]]="","-",VLOOKUP(compras_mes103[[#This Row],[CUIT]],Lista_CUIT[#All],2,0)),"CUIT NO CARGADO")</f>
        <v>MEDICAL FOAM SRL</v>
      </c>
      <c r="H144" s="264">
        <v>-1600604</v>
      </c>
      <c r="I144" s="513">
        <f>IF(compras_mes103[[#This Row],[NETO GRAVADO]]="","",compras_mes103[[#This Row],[NETO GRAVADO]]*0.21)</f>
        <v>-336126.83999999997</v>
      </c>
      <c r="J144" s="513"/>
      <c r="K144" s="513"/>
      <c r="L144" s="513"/>
      <c r="M144" s="513"/>
      <c r="N144" s="513"/>
      <c r="O144" s="513"/>
      <c r="P144" s="514">
        <f>SUM(compras_mes103[[#This Row],[NETO GRAVADO]:[Otros / No Grav.]])</f>
        <v>-1936730.8399999999</v>
      </c>
      <c r="Q144" s="515" t="str">
        <f>IFERROR(IF(compras_mes103[[#This Row],[CUIT]]="","-",VLOOKUP(compras_mes103[[#This Row],[CUIT]],Lista_CUIT[#All],3,0)),"CUIT NO CARGADO")</f>
        <v>INSUMO</v>
      </c>
      <c r="R144" s="515">
        <f>IFERROR(IF(compras_mes103[[#This Row],[CUIT]]="","-",VLOOKUP(compras_mes103[[#This Row],[CUIT]],Lista_CUIT[#All],4,0)),"CUIT NO CARGADO")</f>
        <v>0</v>
      </c>
    </row>
    <row r="145" spans="2:18" x14ac:dyDescent="0.25">
      <c r="B145" s="40"/>
      <c r="C145" s="270"/>
      <c r="D145" s="260"/>
      <c r="E145" s="261"/>
      <c r="F145" s="262">
        <v>27265302225</v>
      </c>
      <c r="G145" s="263" t="str">
        <f>IFERROR(IF(compras_mes103[[#This Row],[CUIT]]="","-",VLOOKUP(compras_mes103[[#This Row],[CUIT]],Lista_CUIT[#All],2,0)),"CUIT NO CARGADO")</f>
        <v>PRADO MARISOL</v>
      </c>
      <c r="H145" s="264">
        <v>-2500000</v>
      </c>
      <c r="I145" s="513">
        <f>IF(compras_mes103[[#This Row],[NETO GRAVADO]]="","",compras_mes103[[#This Row],[NETO GRAVADO]]*0.21)</f>
        <v>-525000</v>
      </c>
      <c r="J145" s="513"/>
      <c r="K145" s="513"/>
      <c r="L145" s="513"/>
      <c r="M145" s="513"/>
      <c r="N145" s="513"/>
      <c r="O145" s="513"/>
      <c r="P145" s="514">
        <f>SUM(compras_mes103[[#This Row],[NETO GRAVADO]:[Otros / No Grav.]])</f>
        <v>-3025000</v>
      </c>
      <c r="Q145" s="515" t="str">
        <f>IFERROR(IF(compras_mes103[[#This Row],[CUIT]]="","-",VLOOKUP(compras_mes103[[#This Row],[CUIT]],Lista_CUIT[#All],3,0)),"CUIT NO CARGADO")</f>
        <v>INSUMO</v>
      </c>
      <c r="R145" s="515">
        <f>IFERROR(IF(compras_mes103[[#This Row],[CUIT]]="","-",VLOOKUP(compras_mes103[[#This Row],[CUIT]],Lista_CUIT[#All],4,0)),"CUIT NO CARGADO")</f>
        <v>0</v>
      </c>
    </row>
    <row r="146" spans="2:18" x14ac:dyDescent="0.25">
      <c r="B146" s="259"/>
      <c r="C146" s="270"/>
      <c r="D146" s="260"/>
      <c r="E146" s="261"/>
      <c r="F146" s="262">
        <v>27265302225</v>
      </c>
      <c r="G146" s="263" t="str">
        <f>IFERROR(IF(compras_mes103[[#This Row],[CUIT]]="","-",VLOOKUP(compras_mes103[[#This Row],[CUIT]],Lista_CUIT[#All],2,0)),"CUIT NO CARGADO")</f>
        <v>PRADO MARISOL</v>
      </c>
      <c r="H146" s="264">
        <v>-125000</v>
      </c>
      <c r="I146" s="513">
        <f>IF(compras_mes103[[#This Row],[NETO GRAVADO]]="","",compras_mes103[[#This Row],[NETO GRAVADO]]*0.21)</f>
        <v>-26250</v>
      </c>
      <c r="J146" s="513"/>
      <c r="K146" s="513"/>
      <c r="L146" s="513"/>
      <c r="M146" s="513"/>
      <c r="N146" s="513"/>
      <c r="O146" s="513"/>
      <c r="P146" s="514">
        <f>SUM(compras_mes103[[#This Row],[NETO GRAVADO]:[Otros / No Grav.]])</f>
        <v>-151250</v>
      </c>
      <c r="Q146" s="515" t="str">
        <f>IFERROR(IF(compras_mes103[[#This Row],[CUIT]]="","-",VLOOKUP(compras_mes103[[#This Row],[CUIT]],Lista_CUIT[#All],3,0)),"CUIT NO CARGADO")</f>
        <v>INSUMO</v>
      </c>
      <c r="R146" s="515">
        <f>IFERROR(IF(compras_mes103[[#This Row],[CUIT]]="","-",VLOOKUP(compras_mes103[[#This Row],[CUIT]],Lista_CUIT[#All],4,0)),"CUIT NO CARGADO")</f>
        <v>0</v>
      </c>
    </row>
    <row r="147" spans="2:18" x14ac:dyDescent="0.25">
      <c r="B147" s="259"/>
      <c r="C147" s="270"/>
      <c r="D147" s="260"/>
      <c r="E147" s="261"/>
      <c r="F147" s="262">
        <v>30711553564</v>
      </c>
      <c r="G147" s="263" t="str">
        <f>IFERROR(IF(compras_mes103[[#This Row],[CUIT]]="","-",VLOOKUP(compras_mes103[[#This Row],[CUIT]],Lista_CUIT[#All],2,0)),"CUIT NO CARGADO")</f>
        <v>SALUD TEX S.A</v>
      </c>
      <c r="H147" s="264">
        <v>-137991</v>
      </c>
      <c r="I147" s="513">
        <f>IF(compras_mes103[[#This Row],[NETO GRAVADO]]="","",compras_mes103[[#This Row],[NETO GRAVADO]]*0.21)</f>
        <v>-28978.11</v>
      </c>
      <c r="J147" s="513"/>
      <c r="K147" s="513"/>
      <c r="L147" s="513"/>
      <c r="M147" s="513"/>
      <c r="N147" s="513"/>
      <c r="O147" s="513"/>
      <c r="P147" s="514">
        <f>SUM(compras_mes103[[#This Row],[NETO GRAVADO]:[Otros / No Grav.]])</f>
        <v>-166969.10999999999</v>
      </c>
      <c r="Q147" s="515" t="str">
        <f>IFERROR(IF(compras_mes103[[#This Row],[CUIT]]="","-",VLOOKUP(compras_mes103[[#This Row],[CUIT]],Lista_CUIT[#All],3,0)),"CUIT NO CARGADO")</f>
        <v>INSUMO</v>
      </c>
      <c r="R147" s="515">
        <f>IFERROR(IF(compras_mes103[[#This Row],[CUIT]]="","-",VLOOKUP(compras_mes103[[#This Row],[CUIT]],Lista_CUIT[#All],4,0)),"CUIT NO CARGADO")</f>
        <v>0</v>
      </c>
    </row>
    <row r="148" spans="2:18" x14ac:dyDescent="0.25">
      <c r="B148" s="259"/>
      <c r="C148" s="270"/>
      <c r="D148" s="260"/>
      <c r="E148" s="261"/>
      <c r="F148" s="262">
        <v>30703088534</v>
      </c>
      <c r="G148" s="263" t="str">
        <f>IFERROR(IF(compras_mes103[[#This Row],[CUIT]]="","-",VLOOKUP(compras_mes103[[#This Row],[CUIT]],Lista_CUIT[#All],2,0)),"CUIT NO CARGADO")</f>
        <v>MERCADO LIBRE SRL</v>
      </c>
      <c r="H148" s="264">
        <v>-1626.45</v>
      </c>
      <c r="I148" s="513">
        <f>IF(compras_mes103[[#This Row],[NETO GRAVADO]]="","",compras_mes103[[#This Row],[NETO GRAVADO]]*0.21)</f>
        <v>-341.55450000000002</v>
      </c>
      <c r="J148" s="513"/>
      <c r="K148" s="513"/>
      <c r="L148" s="513">
        <v>-48.79</v>
      </c>
      <c r="M148" s="513"/>
      <c r="N148" s="513"/>
      <c r="O148" s="513"/>
      <c r="P148" s="514">
        <f>SUM(compras_mes103[[#This Row],[NETO GRAVADO]:[Otros / No Grav.]])</f>
        <v>-2016.7945</v>
      </c>
      <c r="Q148" s="515" t="str">
        <f>IFERROR(IF(compras_mes103[[#This Row],[CUIT]]="","-",VLOOKUP(compras_mes103[[#This Row],[CUIT]],Lista_CUIT[#All],3,0)),"CUIT NO CARGADO")</f>
        <v>PLATAFORMA ONLINE</v>
      </c>
      <c r="R148" s="515">
        <f>IFERROR(IF(compras_mes103[[#This Row],[CUIT]]="","-",VLOOKUP(compras_mes103[[#This Row],[CUIT]],Lista_CUIT[#All],4,0)),"CUIT NO CARGADO")</f>
        <v>0</v>
      </c>
    </row>
    <row r="149" spans="2:18" x14ac:dyDescent="0.25">
      <c r="B149" s="259"/>
      <c r="C149" s="270"/>
      <c r="D149" s="260"/>
      <c r="E149" s="261"/>
      <c r="F149" s="262">
        <v>27167838001</v>
      </c>
      <c r="G149" s="263" t="str">
        <f>IFERROR(IF(compras_mes103[[#This Row],[CUIT]]="","-",VLOOKUP(compras_mes103[[#This Row],[CUIT]],Lista_CUIT[#All],2,0)),"CUIT NO CARGADO")</f>
        <v>DI SALVI OLGA ESTELA</v>
      </c>
      <c r="H149" s="264">
        <v>-315000</v>
      </c>
      <c r="I149" s="513">
        <f>IF(compras_mes103[[#This Row],[NETO GRAVADO]]="","",compras_mes103[[#This Row],[NETO GRAVADO]]*0.21)</f>
        <v>-66150</v>
      </c>
      <c r="J149" s="513"/>
      <c r="K149" s="513"/>
      <c r="L149" s="513"/>
      <c r="M149" s="513"/>
      <c r="N149" s="513"/>
      <c r="O149" s="513"/>
      <c r="P149" s="514">
        <f>SUM(compras_mes103[[#This Row],[NETO GRAVADO]:[Otros / No Grav.]])</f>
        <v>-381150</v>
      </c>
      <c r="Q149" s="515" t="str">
        <f>IFERROR(IF(compras_mes103[[#This Row],[CUIT]]="","-",VLOOKUP(compras_mes103[[#This Row],[CUIT]],Lista_CUIT[#All],3,0)),"CUIT NO CARGADO")</f>
        <v>Insumos</v>
      </c>
      <c r="R149" s="515">
        <f>IFERROR(IF(compras_mes103[[#This Row],[CUIT]]="","-",VLOOKUP(compras_mes103[[#This Row],[CUIT]],Lista_CUIT[#All],4,0)),"CUIT NO CARGADO")</f>
        <v>0</v>
      </c>
    </row>
    <row r="150" spans="2:18" x14ac:dyDescent="0.25">
      <c r="B150" s="259"/>
      <c r="C150" s="270"/>
      <c r="D150" s="260"/>
      <c r="E150" s="261"/>
      <c r="F150" s="262"/>
      <c r="G150" s="263" t="str">
        <f>IFERROR(IF(compras_mes103[[#This Row],[CUIT]]="","-",VLOOKUP(compras_mes103[[#This Row],[CUIT]],Lista_CUIT[#All],2,0)),"CUIT NO CARGADO")</f>
        <v>-</v>
      </c>
      <c r="H150" s="264"/>
      <c r="I150" s="513" t="str">
        <f>IF(compras_mes103[[#This Row],[NETO GRAVADO]]="","",compras_mes103[[#This Row],[NETO GRAVADO]]*0.21)</f>
        <v/>
      </c>
      <c r="J150" s="513"/>
      <c r="K150" s="513"/>
      <c r="L150" s="513"/>
      <c r="M150" s="513"/>
      <c r="N150" s="513"/>
      <c r="O150" s="513"/>
      <c r="P150" s="514">
        <f>SUM(compras_mes103[[#This Row],[NETO GRAVADO]:[Otros / No Grav.]])</f>
        <v>0</v>
      </c>
      <c r="Q150" s="515" t="str">
        <f>IFERROR(IF(compras_mes103[[#This Row],[CUIT]]="","-",VLOOKUP(compras_mes103[[#This Row],[CUIT]],Lista_CUIT[#All],3,0)),"CUIT NO CARGADO")</f>
        <v>-</v>
      </c>
      <c r="R150" s="515" t="str">
        <f>IFERROR(IF(compras_mes103[[#This Row],[CUIT]]="","-",VLOOKUP(compras_mes103[[#This Row],[CUIT]],Lista_CUIT[#All],4,0)),"CUIT NO CARGADO")</f>
        <v>-</v>
      </c>
    </row>
    <row r="151" spans="2:18" x14ac:dyDescent="0.25">
      <c r="B151" s="95" t="s">
        <v>110</v>
      </c>
      <c r="C151" s="95"/>
      <c r="D151" s="95"/>
      <c r="E151" s="95"/>
      <c r="F151" s="95"/>
      <c r="G151" s="96"/>
      <c r="H151" s="97">
        <f>SUBTOTAL(109,compras_mes103[NETO GRAVADO])</f>
        <v>51294805.670000002</v>
      </c>
      <c r="I151" s="97">
        <f>SUBTOTAL(109,compras_mes103[IVA 21 %])</f>
        <v>10334507.450400006</v>
      </c>
      <c r="J151" s="97">
        <f>SUBTOTAL(109,compras_mes103[IVA 27%])</f>
        <v>32165.046000000002</v>
      </c>
      <c r="K151" s="97">
        <f>SUBTOTAL(109,compras_mes103[IVA 10,5%])</f>
        <v>206192.24115000002</v>
      </c>
      <c r="L151" s="97">
        <f>SUBTOTAL(109,compras_mes103[PERC. IVA])</f>
        <v>16630.899999999998</v>
      </c>
      <c r="M151" s="97">
        <f>SUBTOTAL(109,compras_mes103[PERC IIBB 
BS AS])</f>
        <v>0</v>
      </c>
      <c r="N151" s="97">
        <f>SUBTOTAL(109,compras_mes103[PERC. IIBB CABA])</f>
        <v>104964.39000000003</v>
      </c>
      <c r="O151" s="97">
        <f>SUBTOTAL(109,compras_mes103[Otros / No Grav.])</f>
        <v>134596.16999999998</v>
      </c>
      <c r="P151" s="97">
        <f>SUBTOTAL(109,compras_mes103[TOTAL])</f>
        <v>62123861.867549963</v>
      </c>
      <c r="Q151" s="95"/>
      <c r="R151" s="95"/>
    </row>
    <row r="152" spans="2:18" x14ac:dyDescent="0.25">
      <c r="B152" s="40"/>
      <c r="C152" s="41"/>
      <c r="D152" s="42"/>
      <c r="E152" s="43"/>
      <c r="F152" s="44"/>
      <c r="G152" s="45"/>
      <c r="H152" s="46"/>
      <c r="I152" s="47"/>
      <c r="J152" s="47"/>
      <c r="K152" s="47"/>
      <c r="L152" s="47"/>
      <c r="M152" s="47"/>
      <c r="N152" s="47"/>
      <c r="O152" s="47"/>
      <c r="P152" s="48"/>
      <c r="Q152" s="49"/>
      <c r="R152" s="49"/>
    </row>
    <row r="153" spans="2:18" x14ac:dyDescent="0.25">
      <c r="B153" s="40"/>
      <c r="C153" s="41"/>
      <c r="D153" s="42"/>
      <c r="E153" s="43"/>
      <c r="F153" s="44"/>
      <c r="G153" s="45"/>
      <c r="H153" s="46"/>
      <c r="I153" s="47"/>
      <c r="J153" s="47"/>
      <c r="K153" s="47"/>
      <c r="L153" s="47"/>
      <c r="M153" s="47"/>
      <c r="N153" s="47"/>
      <c r="O153" s="47"/>
      <c r="P153" s="48"/>
      <c r="Q153" s="49"/>
      <c r="R153" s="49"/>
    </row>
    <row r="154" spans="2:18" x14ac:dyDescent="0.25">
      <c r="B154" s="40"/>
      <c r="C154" s="41"/>
      <c r="D154" s="42"/>
      <c r="E154" s="43"/>
      <c r="F154" s="44"/>
      <c r="G154" s="45"/>
      <c r="H154" s="46"/>
      <c r="I154" s="47"/>
      <c r="J154" s="47"/>
      <c r="K154" s="47"/>
      <c r="L154" s="47"/>
      <c r="M154" s="47"/>
      <c r="N154" s="47"/>
      <c r="O154" s="47"/>
      <c r="P154" s="48"/>
      <c r="Q154" s="49"/>
      <c r="R154" s="49"/>
    </row>
    <row r="155" spans="2:18" x14ac:dyDescent="0.25">
      <c r="B155" s="40"/>
      <c r="C155" s="41"/>
      <c r="D155" s="42"/>
      <c r="E155" s="43"/>
      <c r="F155" s="44"/>
      <c r="G155" s="45"/>
      <c r="H155" s="46"/>
      <c r="I155" s="47"/>
      <c r="J155" s="47"/>
      <c r="K155" s="47"/>
      <c r="L155" s="47"/>
    </row>
    <row r="156" spans="2:18" ht="21" x14ac:dyDescent="0.25">
      <c r="D156" s="618" t="s">
        <v>15</v>
      </c>
      <c r="E156" s="618"/>
      <c r="F156" s="618"/>
      <c r="G156" s="618"/>
      <c r="H156" s="618"/>
      <c r="I156" s="618"/>
      <c r="J156" s="618"/>
      <c r="K156" s="618"/>
      <c r="L156" s="618"/>
    </row>
    <row r="157" spans="2:18" ht="15.75" x14ac:dyDescent="0.25">
      <c r="D157" s="73" t="s">
        <v>0</v>
      </c>
      <c r="E157" s="74" t="s">
        <v>26</v>
      </c>
      <c r="F157" s="74" t="s">
        <v>16</v>
      </c>
      <c r="G157" s="74" t="s">
        <v>5</v>
      </c>
      <c r="H157" s="74" t="s">
        <v>17</v>
      </c>
      <c r="I157" s="74" t="s">
        <v>7</v>
      </c>
      <c r="J157" s="75" t="s">
        <v>18</v>
      </c>
      <c r="K157" s="75" t="s">
        <v>19</v>
      </c>
      <c r="L157" s="76" t="s">
        <v>20</v>
      </c>
    </row>
    <row r="158" spans="2:18" x14ac:dyDescent="0.25">
      <c r="D158" s="50"/>
      <c r="E158" s="80"/>
      <c r="F158" s="80"/>
      <c r="G158" s="81"/>
      <c r="H158" s="81">
        <f>extracto_banco_mes1055[[#This Row],[NETO]]*0.21</f>
        <v>0</v>
      </c>
      <c r="I158" s="81"/>
      <c r="J158" s="81"/>
      <c r="K158" s="81"/>
      <c r="L158" s="81"/>
    </row>
    <row r="159" spans="2:18" x14ac:dyDescent="0.25">
      <c r="D159" s="50"/>
      <c r="E159" s="80"/>
      <c r="F159" s="80"/>
      <c r="G159" s="356"/>
      <c r="H159" s="356">
        <f>extracto_banco_mes1055[[#This Row],[NETO]]*0.21</f>
        <v>0</v>
      </c>
      <c r="I159" s="356"/>
      <c r="J159" s="356"/>
      <c r="K159" s="356"/>
      <c r="L159" s="356"/>
    </row>
    <row r="160" spans="2:18" x14ac:dyDescent="0.25">
      <c r="D160" s="50"/>
      <c r="E160" s="80"/>
      <c r="F160" s="80"/>
      <c r="G160" s="81"/>
      <c r="H160" s="81">
        <f>extracto_banco_mes1055[[#This Row],[NETO]]*0.21</f>
        <v>0</v>
      </c>
      <c r="I160" s="81"/>
      <c r="J160" s="81"/>
      <c r="K160" s="81"/>
      <c r="L160" s="81"/>
    </row>
    <row r="161" spans="2:18" x14ac:dyDescent="0.25">
      <c r="D161" s="82" t="s">
        <v>110</v>
      </c>
      <c r="E161" s="80"/>
      <c r="F161" s="80"/>
      <c r="G161" s="83">
        <f>SUBTOTAL(109,extracto_banco_mes1055[NETO])</f>
        <v>0</v>
      </c>
      <c r="H161" s="83">
        <f>SUBTOTAL(109,extracto_banco_mes1055[IVA 21%])</f>
        <v>0</v>
      </c>
      <c r="I161" s="83">
        <f>SUBTOTAL(109,extracto_banco_mes1055[IVA 10,5%])</f>
        <v>0</v>
      </c>
      <c r="J161" s="83">
        <f>SUBTOTAL(109,extracto_banco_mes1055[RET IIBB CABA])</f>
        <v>0</v>
      </c>
      <c r="K161" s="83">
        <f>SUBTOTAL(109,extracto_banco_mes1055[PERC IVA])</f>
        <v>0</v>
      </c>
      <c r="L161" s="83">
        <f>SUBTOTAL(109,extracto_banco_mes1055[PERC IIBB])</f>
        <v>0</v>
      </c>
    </row>
    <row r="165" spans="2:18" ht="21" x14ac:dyDescent="0.25">
      <c r="D165" s="618" t="s">
        <v>25</v>
      </c>
      <c r="E165" s="618"/>
      <c r="F165" s="618"/>
      <c r="G165" s="618"/>
      <c r="H165" s="618"/>
      <c r="I165" s="618"/>
      <c r="J165" s="618"/>
      <c r="K165" s="618"/>
    </row>
    <row r="166" spans="2:18" x14ac:dyDescent="0.25">
      <c r="D166" s="51" t="s">
        <v>0</v>
      </c>
      <c r="E166" s="51" t="s">
        <v>2</v>
      </c>
      <c r="F166" s="51" t="s">
        <v>74</v>
      </c>
      <c r="G166" s="51" t="s">
        <v>3</v>
      </c>
      <c r="H166" s="51" t="s">
        <v>4</v>
      </c>
      <c r="I166" s="52" t="s">
        <v>10</v>
      </c>
      <c r="J166" s="51" t="s">
        <v>13</v>
      </c>
      <c r="K166" s="51" t="s">
        <v>38</v>
      </c>
    </row>
    <row r="167" spans="2:18" s="56" customFormat="1" ht="18.600000000000001" customHeight="1" x14ac:dyDescent="0.25">
      <c r="B167"/>
      <c r="C167"/>
      <c r="D167" s="259"/>
      <c r="E167" s="265"/>
      <c r="F167" s="265"/>
      <c r="G167" s="266">
        <v>20421434450</v>
      </c>
      <c r="H167" s="267" t="str">
        <f>IFERROR(IF(factura_c_mes1052[[#This Row],[CUIT]]="","-",VLOOKUP(factura_c_mes1052[[#This Row],[CUIT]],Lista_CUIT[#All],2,0)),"CUIT NO CARGADO")</f>
        <v>GALTIERI WALTER QUIMEY</v>
      </c>
      <c r="I167" s="165">
        <v>260000</v>
      </c>
      <c r="J167" s="269" t="str">
        <f>IFERROR(IF(factura_c_mes1052[[#This Row],[CUIT]]="","-",VLOOKUP(factura_c_mes1052[[#This Row],[CUIT]],Lista_CUIT[#All],3,0)),"CUIT NO CARGADO")</f>
        <v>GTOS ADMINISTRATIVOS</v>
      </c>
      <c r="K167" s="269">
        <f>IFERROR(IF(factura_c_mes1052[[#This Row],[CUIT]]="","-",VLOOKUP(factura_c_mes1052[[#This Row],[CUIT]],Lista_CUIT[#All],4,0)),"CUIT NO CARGADO")</f>
        <v>0</v>
      </c>
      <c r="L167"/>
      <c r="M167"/>
      <c r="N167"/>
      <c r="O167"/>
      <c r="P167"/>
      <c r="Q167"/>
      <c r="R167"/>
    </row>
    <row r="168" spans="2:18" x14ac:dyDescent="0.25">
      <c r="D168" s="259"/>
      <c r="E168" s="265"/>
      <c r="F168" s="265"/>
      <c r="G168" s="266">
        <v>27380284052</v>
      </c>
      <c r="H168" s="267" t="str">
        <f>IFERROR(IF(factura_c_mes1052[[#This Row],[CUIT]]="","-",VLOOKUP(factura_c_mes1052[[#This Row],[CUIT]],Lista_CUIT[#All],2,0)),"CUIT NO CARGADO")</f>
        <v>CIVALE PAULA</v>
      </c>
      <c r="I168" s="165">
        <v>4365000</v>
      </c>
      <c r="J168" s="269" t="str">
        <f>IFERROR(IF(factura_c_mes1052[[#This Row],[CUIT]]="","-",VLOOKUP(factura_c_mes1052[[#This Row],[CUIT]],Lista_CUIT[#All],3,0)),"CUIT NO CARGADO")</f>
        <v>GTOS ADMINISTRATIVOS</v>
      </c>
      <c r="K168" s="269">
        <f>IFERROR(IF(factura_c_mes1052[[#This Row],[CUIT]]="","-",VLOOKUP(factura_c_mes1052[[#This Row],[CUIT]],Lista_CUIT[#All],4,0)),"CUIT NO CARGADO")</f>
        <v>0</v>
      </c>
    </row>
    <row r="169" spans="2:18" x14ac:dyDescent="0.25">
      <c r="D169" s="259"/>
      <c r="E169" s="265"/>
      <c r="F169" s="265"/>
      <c r="G169" s="266">
        <v>27443612713</v>
      </c>
      <c r="H169" s="267" t="str">
        <f>IFERROR(IF(factura_c_mes1052[[#This Row],[CUIT]]="","-",VLOOKUP(factura_c_mes1052[[#This Row],[CUIT]],Lista_CUIT[#All],2,0)),"CUIT NO CARGADO")</f>
        <v>MIGOYA MORIONDO SOFIA</v>
      </c>
      <c r="I169" s="165">
        <v>870000</v>
      </c>
      <c r="J169" s="269" t="str">
        <f>IFERROR(IF(factura_c_mes1052[[#This Row],[CUIT]]="","-",VLOOKUP(factura_c_mes1052[[#This Row],[CUIT]],Lista_CUIT[#All],3,0)),"CUIT NO CARGADO")</f>
        <v>GTOS ADMINISTRATIVOS</v>
      </c>
      <c r="K169" s="269">
        <f>IFERROR(IF(factura_c_mes1052[[#This Row],[CUIT]]="","-",VLOOKUP(factura_c_mes1052[[#This Row],[CUIT]],Lista_CUIT[#All],4,0)),"CUIT NO CARGADO")</f>
        <v>0</v>
      </c>
    </row>
    <row r="170" spans="2:18" x14ac:dyDescent="0.25">
      <c r="D170" s="259"/>
      <c r="E170" s="265"/>
      <c r="F170" s="265"/>
      <c r="G170" s="266">
        <v>27443612705</v>
      </c>
      <c r="H170" s="267" t="str">
        <f>IFERROR(IF(factura_c_mes1052[[#This Row],[CUIT]]="","-",VLOOKUP(factura_c_mes1052[[#This Row],[CUIT]],Lista_CUIT[#All],2,0)),"CUIT NO CARGADO")</f>
        <v>MIGOYA MORIONDO MARIA INES</v>
      </c>
      <c r="I170" s="165">
        <v>900000</v>
      </c>
      <c r="J170" s="269" t="str">
        <f>IFERROR(IF(factura_c_mes1052[[#This Row],[CUIT]]="","-",VLOOKUP(factura_c_mes1052[[#This Row],[CUIT]],Lista_CUIT[#All],3,0)),"CUIT NO CARGADO")</f>
        <v>GTOS ADMINISTRATIVOS</v>
      </c>
      <c r="K170" s="269">
        <f>IFERROR(IF(factura_c_mes1052[[#This Row],[CUIT]]="","-",VLOOKUP(factura_c_mes1052[[#This Row],[CUIT]],Lista_CUIT[#All],4,0)),"CUIT NO CARGADO")</f>
        <v>0</v>
      </c>
    </row>
    <row r="171" spans="2:18" x14ac:dyDescent="0.25">
      <c r="D171" s="259"/>
      <c r="E171" s="265"/>
      <c r="F171" s="265"/>
      <c r="G171" s="266">
        <v>20311855671</v>
      </c>
      <c r="H171" s="267" t="str">
        <f>IFERROR(IF(factura_c_mes1052[[#This Row],[CUIT]]="","-",VLOOKUP(factura_c_mes1052[[#This Row],[CUIT]],Lista_CUIT[#All],2,0)),"CUIT NO CARGADO")</f>
        <v>GUASCH HECTOR RAUL</v>
      </c>
      <c r="I171" s="165">
        <v>290000</v>
      </c>
      <c r="J171" s="269" t="str">
        <f>IFERROR(IF(factura_c_mes1052[[#This Row],[CUIT]]="","-",VLOOKUP(factura_c_mes1052[[#This Row],[CUIT]],Lista_CUIT[#All],3,0)),"CUIT NO CARGADO")</f>
        <v>Insumos</v>
      </c>
      <c r="K171" s="269">
        <f>IFERROR(IF(factura_c_mes1052[[#This Row],[CUIT]]="","-",VLOOKUP(factura_c_mes1052[[#This Row],[CUIT]],Lista_CUIT[#All],4,0)),"CUIT NO CARGADO")</f>
        <v>0</v>
      </c>
    </row>
    <row r="172" spans="2:18" x14ac:dyDescent="0.25">
      <c r="D172" s="259"/>
      <c r="E172" s="265"/>
      <c r="F172" s="265"/>
      <c r="G172" s="266">
        <v>20311855671</v>
      </c>
      <c r="H172" s="267" t="str">
        <f>IFERROR(IF(factura_c_mes1052[[#This Row],[CUIT]]="","-",VLOOKUP(factura_c_mes1052[[#This Row],[CUIT]],Lista_CUIT[#All],2,0)),"CUIT NO CARGADO")</f>
        <v>GUASCH HECTOR RAUL</v>
      </c>
      <c r="I172" s="165">
        <v>557300</v>
      </c>
      <c r="J172" s="269" t="str">
        <f>IFERROR(IF(factura_c_mes1052[[#This Row],[CUIT]]="","-",VLOOKUP(factura_c_mes1052[[#This Row],[CUIT]],Lista_CUIT[#All],3,0)),"CUIT NO CARGADO")</f>
        <v>Insumos</v>
      </c>
      <c r="K172" s="269">
        <f>IFERROR(IF(factura_c_mes1052[[#This Row],[CUIT]]="","-",VLOOKUP(factura_c_mes1052[[#This Row],[CUIT]],Lista_CUIT[#All],4,0)),"CUIT NO CARGADO")</f>
        <v>0</v>
      </c>
    </row>
    <row r="173" spans="2:18" x14ac:dyDescent="0.25">
      <c r="D173" s="259"/>
      <c r="E173" s="265"/>
      <c r="F173" s="265"/>
      <c r="G173" s="266">
        <v>20311855671</v>
      </c>
      <c r="H173" s="267" t="str">
        <f>IFERROR(IF(factura_c_mes1052[[#This Row],[CUIT]]="","-",VLOOKUP(factura_c_mes1052[[#This Row],[CUIT]],Lista_CUIT[#All],2,0)),"CUIT NO CARGADO")</f>
        <v>GUASCH HECTOR RAUL</v>
      </c>
      <c r="I173" s="165">
        <v>717200</v>
      </c>
      <c r="J173" s="269" t="str">
        <f>IFERROR(IF(factura_c_mes1052[[#This Row],[CUIT]]="","-",VLOOKUP(factura_c_mes1052[[#This Row],[CUIT]],Lista_CUIT[#All],3,0)),"CUIT NO CARGADO")</f>
        <v>Insumos</v>
      </c>
      <c r="K173" s="269">
        <f>IFERROR(IF(factura_c_mes1052[[#This Row],[CUIT]]="","-",VLOOKUP(factura_c_mes1052[[#This Row],[CUIT]],Lista_CUIT[#All],4,0)),"CUIT NO CARGADO")</f>
        <v>0</v>
      </c>
    </row>
    <row r="174" spans="2:18" x14ac:dyDescent="0.25">
      <c r="D174" s="259"/>
      <c r="E174" s="265"/>
      <c r="F174" s="265"/>
      <c r="G174" s="266">
        <v>23281233084</v>
      </c>
      <c r="H174" s="267" t="str">
        <f>IFERROR(IF(factura_c_mes1052[[#This Row],[CUIT]]="","-",VLOOKUP(factura_c_mes1052[[#This Row],[CUIT]],Lista_CUIT[#All],2,0)),"CUIT NO CARGADO")</f>
        <v>DRUETTA ANDREA MARIEL</v>
      </c>
      <c r="I174" s="165">
        <v>300000</v>
      </c>
      <c r="J174" s="269" t="str">
        <f>IFERROR(IF(factura_c_mes1052[[#This Row],[CUIT]]="","-",VLOOKUP(factura_c_mes1052[[#This Row],[CUIT]],Lista_CUIT[#All],3,0)),"CUIT NO CARGADO")</f>
        <v>TECNICO</v>
      </c>
      <c r="K174" s="269">
        <f>IFERROR(IF(factura_c_mes1052[[#This Row],[CUIT]]="","-",VLOOKUP(factura_c_mes1052[[#This Row],[CUIT]],Lista_CUIT[#All],4,0)),"CUIT NO CARGADO")</f>
        <v>0</v>
      </c>
    </row>
    <row r="175" spans="2:18" x14ac:dyDescent="0.25">
      <c r="D175" s="259"/>
      <c r="E175" s="265"/>
      <c r="F175" s="265"/>
      <c r="G175" s="266">
        <v>23281233084</v>
      </c>
      <c r="H175" s="267" t="str">
        <f>IFERROR(IF(factura_c_mes1052[[#This Row],[CUIT]]="","-",VLOOKUP(factura_c_mes1052[[#This Row],[CUIT]],Lista_CUIT[#All],2,0)),"CUIT NO CARGADO")</f>
        <v>DRUETTA ANDREA MARIEL</v>
      </c>
      <c r="I175" s="165">
        <v>300000</v>
      </c>
      <c r="J175" s="269" t="str">
        <f>IFERROR(IF(factura_c_mes1052[[#This Row],[CUIT]]="","-",VLOOKUP(factura_c_mes1052[[#This Row],[CUIT]],Lista_CUIT[#All],3,0)),"CUIT NO CARGADO")</f>
        <v>TECNICO</v>
      </c>
      <c r="K175" s="269">
        <f>IFERROR(IF(factura_c_mes1052[[#This Row],[CUIT]]="","-",VLOOKUP(factura_c_mes1052[[#This Row],[CUIT]],Lista_CUIT[#All],4,0)),"CUIT NO CARGADO")</f>
        <v>0</v>
      </c>
    </row>
    <row r="176" spans="2:18" ht="18" customHeight="1" x14ac:dyDescent="0.25">
      <c r="D176" s="259"/>
      <c r="E176" s="265"/>
      <c r="F176" s="265"/>
      <c r="G176" s="266">
        <v>27338342840</v>
      </c>
      <c r="H176" s="267" t="str">
        <f>IFERROR(IF(factura_c_mes1052[[#This Row],[CUIT]]="","-",VLOOKUP(factura_c_mes1052[[#This Row],[CUIT]],Lista_CUIT[#All],2,0)),"CUIT NO CARGADO")</f>
        <v>CANCINO PAMELA RITA</v>
      </c>
      <c r="I176" s="165">
        <v>123000</v>
      </c>
      <c r="J176" s="269" t="str">
        <f>IFERROR(IF(factura_c_mes1052[[#This Row],[CUIT]]="","-",VLOOKUP(factura_c_mes1052[[#This Row],[CUIT]],Lista_CUIT[#All],3,0)),"CUIT NO CARGADO")</f>
        <v>PROVEEDOR</v>
      </c>
      <c r="K176" s="269">
        <f>IFERROR(IF(factura_c_mes1052[[#This Row],[CUIT]]="","-",VLOOKUP(factura_c_mes1052[[#This Row],[CUIT]],Lista_CUIT[#All],4,0)),"CUIT NO CARGADO")</f>
        <v>0</v>
      </c>
    </row>
    <row r="177" spans="4:11" x14ac:dyDescent="0.25">
      <c r="D177" s="259"/>
      <c r="E177" s="265"/>
      <c r="F177" s="265"/>
      <c r="G177" s="266">
        <v>27338342840</v>
      </c>
      <c r="H177" s="267" t="str">
        <f>IFERROR(IF(factura_c_mes1052[[#This Row],[CUIT]]="","-",VLOOKUP(factura_c_mes1052[[#This Row],[CUIT]],Lista_CUIT[#All],2,0)),"CUIT NO CARGADO")</f>
        <v>CANCINO PAMELA RITA</v>
      </c>
      <c r="I177" s="165">
        <v>295000</v>
      </c>
      <c r="J177" s="269" t="str">
        <f>IFERROR(IF(factura_c_mes1052[[#This Row],[CUIT]]="","-",VLOOKUP(factura_c_mes1052[[#This Row],[CUIT]],Lista_CUIT[#All],3,0)),"CUIT NO CARGADO")</f>
        <v>PROVEEDOR</v>
      </c>
      <c r="K177" s="269">
        <f>IFERROR(IF(factura_c_mes1052[[#This Row],[CUIT]]="","-",VLOOKUP(factura_c_mes1052[[#This Row],[CUIT]],Lista_CUIT[#All],4,0)),"CUIT NO CARGADO")</f>
        <v>0</v>
      </c>
    </row>
    <row r="178" spans="4:11" x14ac:dyDescent="0.25">
      <c r="D178" s="259"/>
      <c r="E178" s="265"/>
      <c r="F178" s="265"/>
      <c r="G178" s="266">
        <v>27344304551</v>
      </c>
      <c r="H178" s="267" t="str">
        <f>IFERROR(IF(factura_c_mes1052[[#This Row],[CUIT]]="","-",VLOOKUP(factura_c_mes1052[[#This Row],[CUIT]],Lista_CUIT[#All],2,0)),"CUIT NO CARGADO")</f>
        <v>BOCCACCI MARIA FLORENCIA</v>
      </c>
      <c r="I178" s="165">
        <v>600000</v>
      </c>
      <c r="J178" s="269" t="str">
        <f>IFERROR(IF(factura_c_mes1052[[#This Row],[CUIT]]="","-",VLOOKUP(factura_c_mes1052[[#This Row],[CUIT]],Lista_CUIT[#All],3,0)),"CUIT NO CARGADO")</f>
        <v>Servicios</v>
      </c>
      <c r="K178" s="269">
        <f>IFERROR(IF(factura_c_mes1052[[#This Row],[CUIT]]="","-",VLOOKUP(factura_c_mes1052[[#This Row],[CUIT]],Lista_CUIT[#All],4,0)),"CUIT NO CARGADO")</f>
        <v>0</v>
      </c>
    </row>
    <row r="179" spans="4:11" x14ac:dyDescent="0.25">
      <c r="D179" s="259"/>
      <c r="E179" s="265"/>
      <c r="F179" s="265"/>
      <c r="G179" s="266">
        <v>27344304551</v>
      </c>
      <c r="H179" s="267" t="str">
        <f>IFERROR(IF(factura_c_mes1052[[#This Row],[CUIT]]="","-",VLOOKUP(factura_c_mes1052[[#This Row],[CUIT]],Lista_CUIT[#All],2,0)),"CUIT NO CARGADO")</f>
        <v>BOCCACCI MARIA FLORENCIA</v>
      </c>
      <c r="I179" s="165">
        <v>170000</v>
      </c>
      <c r="J179" s="269" t="str">
        <f>IFERROR(IF(factura_c_mes1052[[#This Row],[CUIT]]="","-",VLOOKUP(factura_c_mes1052[[#This Row],[CUIT]],Lista_CUIT[#All],3,0)),"CUIT NO CARGADO")</f>
        <v>Servicios</v>
      </c>
      <c r="K179" s="269">
        <f>IFERROR(IF(factura_c_mes1052[[#This Row],[CUIT]]="","-",VLOOKUP(factura_c_mes1052[[#This Row],[CUIT]],Lista_CUIT[#All],4,0)),"CUIT NO CARGADO")</f>
        <v>0</v>
      </c>
    </row>
    <row r="180" spans="4:11" x14ac:dyDescent="0.25">
      <c r="D180" s="259"/>
      <c r="E180" s="265"/>
      <c r="F180" s="265"/>
      <c r="G180" s="266">
        <v>27344304551</v>
      </c>
      <c r="H180" s="267" t="str">
        <f>IFERROR(IF(factura_c_mes1052[[#This Row],[CUIT]]="","-",VLOOKUP(factura_c_mes1052[[#This Row],[CUIT]],Lista_CUIT[#All],2,0)),"CUIT NO CARGADO")</f>
        <v>BOCCACCI MARIA FLORENCIA</v>
      </c>
      <c r="I180" s="165">
        <v>980000</v>
      </c>
      <c r="J180" s="269" t="str">
        <f>IFERROR(IF(factura_c_mes1052[[#This Row],[CUIT]]="","-",VLOOKUP(factura_c_mes1052[[#This Row],[CUIT]],Lista_CUIT[#All],3,0)),"CUIT NO CARGADO")</f>
        <v>Servicios</v>
      </c>
      <c r="K180" s="269">
        <f>IFERROR(IF(factura_c_mes1052[[#This Row],[CUIT]]="","-",VLOOKUP(factura_c_mes1052[[#This Row],[CUIT]],Lista_CUIT[#All],4,0)),"CUIT NO CARGADO")</f>
        <v>0</v>
      </c>
    </row>
    <row r="181" spans="4:11" x14ac:dyDescent="0.25">
      <c r="D181" s="259"/>
      <c r="E181" s="265"/>
      <c r="F181" s="265"/>
      <c r="G181" s="266">
        <v>27315710508</v>
      </c>
      <c r="H181" s="267" t="str">
        <f>IFERROR(IF(factura_c_mes1052[[#This Row],[CUIT]]="","-",VLOOKUP(factura_c_mes1052[[#This Row],[CUIT]],Lista_CUIT[#All],2,0)),"CUIT NO CARGADO")</f>
        <v>RIVERO GABRIELA ROCIO</v>
      </c>
      <c r="I181" s="165">
        <v>51030</v>
      </c>
      <c r="J181" s="269" t="str">
        <f>IFERROR(IF(factura_c_mes1052[[#This Row],[CUIT]]="","-",VLOOKUP(factura_c_mes1052[[#This Row],[CUIT]],Lista_CUIT[#All],3,0)),"CUIT NO CARGADO")</f>
        <v>Serv. Informaticos</v>
      </c>
      <c r="K181" s="269">
        <f>IFERROR(IF(factura_c_mes1052[[#This Row],[CUIT]]="","-",VLOOKUP(factura_c_mes1052[[#This Row],[CUIT]],Lista_CUIT[#All],4,0)),"CUIT NO CARGADO")</f>
        <v>0</v>
      </c>
    </row>
    <row r="182" spans="4:11" x14ac:dyDescent="0.25">
      <c r="D182" s="259"/>
      <c r="E182" s="265"/>
      <c r="F182" s="265"/>
      <c r="G182" s="266">
        <v>27265832178</v>
      </c>
      <c r="H182" s="267" t="str">
        <f>IFERROR(IF(factura_c_mes1052[[#This Row],[CUIT]]="","-",VLOOKUP(factura_c_mes1052[[#This Row],[CUIT]],Lista_CUIT[#All],2,0)),"CUIT NO CARGADO")</f>
        <v>BLASCO MARIA GUADALUPE</v>
      </c>
      <c r="I182" s="165">
        <v>3200000</v>
      </c>
      <c r="J182" s="269" t="str">
        <f>IFERROR(IF(factura_c_mes1052[[#This Row],[CUIT]]="","-",VLOOKUP(factura_c_mes1052[[#This Row],[CUIT]],Lista_CUIT[#All],3,0)),"CUIT NO CARGADO")</f>
        <v>PROVEEDOR</v>
      </c>
      <c r="K182" s="269">
        <f>IFERROR(IF(factura_c_mes1052[[#This Row],[CUIT]]="","-",VLOOKUP(factura_c_mes1052[[#This Row],[CUIT]],Lista_CUIT[#All],4,0)),"CUIT NO CARGADO")</f>
        <v>0</v>
      </c>
    </row>
    <row r="183" spans="4:11" x14ac:dyDescent="0.25">
      <c r="D183" s="259"/>
      <c r="E183" s="265"/>
      <c r="F183" s="265"/>
      <c r="G183" s="266">
        <v>20247881957</v>
      </c>
      <c r="H183" s="267" t="str">
        <f>IFERROR(IF(factura_c_mes1052[[#This Row],[CUIT]]="","-",VLOOKUP(factura_c_mes1052[[#This Row],[CUIT]],Lista_CUIT[#All],2,0)),"CUIT NO CARGADO")</f>
        <v>CAMPA DANIEL JORGE</v>
      </c>
      <c r="I183" s="165">
        <v>13400</v>
      </c>
      <c r="J183" s="269" t="str">
        <f>IFERROR(IF(factura_c_mes1052[[#This Row],[CUIT]]="","-",VLOOKUP(factura_c_mes1052[[#This Row],[CUIT]],Lista_CUIT[#All],3,0)),"CUIT NO CARGADO")</f>
        <v>Gastos Varios</v>
      </c>
      <c r="K183" s="269">
        <f>IFERROR(IF(factura_c_mes1052[[#This Row],[CUIT]]="","-",VLOOKUP(factura_c_mes1052[[#This Row],[CUIT]],Lista_CUIT[#All],4,0)),"CUIT NO CARGADO")</f>
        <v>0</v>
      </c>
    </row>
    <row r="184" spans="4:11" x14ac:dyDescent="0.25">
      <c r="D184" s="259"/>
      <c r="E184" s="265"/>
      <c r="F184" s="265"/>
      <c r="G184" s="266">
        <v>20247881957</v>
      </c>
      <c r="H184" s="267" t="str">
        <f>IFERROR(IF(factura_c_mes1052[[#This Row],[CUIT]]="","-",VLOOKUP(factura_c_mes1052[[#This Row],[CUIT]],Lista_CUIT[#All],2,0)),"CUIT NO CARGADO")</f>
        <v>CAMPA DANIEL JORGE</v>
      </c>
      <c r="I184" s="165">
        <v>21300</v>
      </c>
      <c r="J184" s="269" t="str">
        <f>IFERROR(IF(factura_c_mes1052[[#This Row],[CUIT]]="","-",VLOOKUP(factura_c_mes1052[[#This Row],[CUIT]],Lista_CUIT[#All],3,0)),"CUIT NO CARGADO")</f>
        <v>Gastos Varios</v>
      </c>
      <c r="K184" s="269">
        <f>IFERROR(IF(factura_c_mes1052[[#This Row],[CUIT]]="","-",VLOOKUP(factura_c_mes1052[[#This Row],[CUIT]],Lista_CUIT[#All],4,0)),"CUIT NO CARGADO")</f>
        <v>0</v>
      </c>
    </row>
    <row r="185" spans="4:11" x14ac:dyDescent="0.25">
      <c r="D185" s="259"/>
      <c r="E185" s="265"/>
      <c r="F185" s="265"/>
      <c r="G185" s="266">
        <v>20310489930</v>
      </c>
      <c r="H185" s="267" t="str">
        <f>IFERROR(IF(factura_c_mes1052[[#This Row],[CUIT]]="","-",VLOOKUP(factura_c_mes1052[[#This Row],[CUIT]],Lista_CUIT[#All],2,0)),"CUIT NO CARGADO")</f>
        <v>OVIEDO LUIS ALBERTO</v>
      </c>
      <c r="I185" s="165">
        <v>922580</v>
      </c>
      <c r="J185" s="269" t="str">
        <f>IFERROR(IF(factura_c_mes1052[[#This Row],[CUIT]]="","-",VLOOKUP(factura_c_mes1052[[#This Row],[CUIT]],Lista_CUIT[#All],3,0)),"CUIT NO CARGADO")</f>
        <v>Insumos</v>
      </c>
      <c r="K185" s="269">
        <f>IFERROR(IF(factura_c_mes1052[[#This Row],[CUIT]]="","-",VLOOKUP(factura_c_mes1052[[#This Row],[CUIT]],Lista_CUIT[#All],4,0)),"CUIT NO CARGADO")</f>
        <v>0</v>
      </c>
    </row>
    <row r="186" spans="4:11" x14ac:dyDescent="0.25">
      <c r="D186" s="259"/>
      <c r="E186" s="265"/>
      <c r="F186" s="265"/>
      <c r="G186" s="266">
        <v>20310489930</v>
      </c>
      <c r="H186" s="267" t="str">
        <f>IFERROR(IF(factura_c_mes1052[[#This Row],[CUIT]]="","-",VLOOKUP(factura_c_mes1052[[#This Row],[CUIT]],Lista_CUIT[#All],2,0)),"CUIT NO CARGADO")</f>
        <v>OVIEDO LUIS ALBERTO</v>
      </c>
      <c r="I186" s="268">
        <v>500000</v>
      </c>
      <c r="J186" s="269" t="str">
        <f>IFERROR(IF(factura_c_mes1052[[#This Row],[CUIT]]="","-",VLOOKUP(factura_c_mes1052[[#This Row],[CUIT]],Lista_CUIT[#All],3,0)),"CUIT NO CARGADO")</f>
        <v>Insumos</v>
      </c>
      <c r="K186" s="269">
        <f>IFERROR(IF(factura_c_mes1052[[#This Row],[CUIT]]="","-",VLOOKUP(factura_c_mes1052[[#This Row],[CUIT]],Lista_CUIT[#All],4,0)),"CUIT NO CARGADO")</f>
        <v>0</v>
      </c>
    </row>
    <row r="187" spans="4:11" x14ac:dyDescent="0.25">
      <c r="D187" s="259"/>
      <c r="E187" s="265"/>
      <c r="F187" s="265"/>
      <c r="G187" s="266">
        <v>20086277523</v>
      </c>
      <c r="H187" s="267" t="str">
        <f>IFERROR(IF(factura_c_mes1052[[#This Row],[CUIT]]="","-",VLOOKUP(factura_c_mes1052[[#This Row],[CUIT]],Lista_CUIT[#All],2,0)),"CUIT NO CARGADO")</f>
        <v>BOTINDARI JUAN CARLOS</v>
      </c>
      <c r="I187" s="268">
        <v>300000</v>
      </c>
      <c r="J187" s="269" t="str">
        <f>IFERROR(IF(factura_c_mes1052[[#This Row],[CUIT]]="","-",VLOOKUP(factura_c_mes1052[[#This Row],[CUIT]],Lista_CUIT[#All],3,0)),"CUIT NO CARGADO")</f>
        <v>HONORARIOS</v>
      </c>
      <c r="K187" s="269">
        <f>IFERROR(IF(factura_c_mes1052[[#This Row],[CUIT]]="","-",VLOOKUP(factura_c_mes1052[[#This Row],[CUIT]],Lista_CUIT[#All],4,0)),"CUIT NO CARGADO")</f>
        <v>0</v>
      </c>
    </row>
    <row r="188" spans="4:11" ht="17.25" customHeight="1" x14ac:dyDescent="0.25">
      <c r="D188" s="259"/>
      <c r="E188" s="265"/>
      <c r="F188" s="265"/>
      <c r="G188" s="266">
        <v>20086277523</v>
      </c>
      <c r="H188" s="267" t="str">
        <f>IFERROR(IF(factura_c_mes1052[[#This Row],[CUIT]]="","-",VLOOKUP(factura_c_mes1052[[#This Row],[CUIT]],Lista_CUIT[#All],2,0)),"CUIT NO CARGADO")</f>
        <v>BOTINDARI JUAN CARLOS</v>
      </c>
      <c r="I188" s="268">
        <v>300000</v>
      </c>
      <c r="J188" s="269" t="str">
        <f>IFERROR(IF(factura_c_mes1052[[#This Row],[CUIT]]="","-",VLOOKUP(factura_c_mes1052[[#This Row],[CUIT]],Lista_CUIT[#All],3,0)),"CUIT NO CARGADO")</f>
        <v>HONORARIOS</v>
      </c>
      <c r="K188" s="269">
        <f>IFERROR(IF(factura_c_mes1052[[#This Row],[CUIT]]="","-",VLOOKUP(factura_c_mes1052[[#This Row],[CUIT]],Lista_CUIT[#All],4,0)),"CUIT NO CARGADO")</f>
        <v>0</v>
      </c>
    </row>
    <row r="189" spans="4:11" x14ac:dyDescent="0.25">
      <c r="D189" s="259"/>
      <c r="E189" s="265"/>
      <c r="F189" s="265"/>
      <c r="G189" s="266">
        <v>27062343449</v>
      </c>
      <c r="H189" s="267" t="str">
        <f>IFERROR(IF(factura_c_mes1052[[#This Row],[CUIT]]="","-",VLOOKUP(factura_c_mes1052[[#This Row],[CUIT]],Lista_CUIT[#All],2,0)),"CUIT NO CARGADO")</f>
        <v>FERREIRS LILISNS INES</v>
      </c>
      <c r="I189" s="268">
        <v>600000</v>
      </c>
      <c r="J189" s="269" t="str">
        <f>IFERROR(IF(factura_c_mes1052[[#This Row],[CUIT]]="","-",VLOOKUP(factura_c_mes1052[[#This Row],[CUIT]],Lista_CUIT[#All],3,0)),"CUIT NO CARGADO")</f>
        <v>FLETE</v>
      </c>
      <c r="K189" s="269">
        <f>IFERROR(IF(factura_c_mes1052[[#This Row],[CUIT]]="","-",VLOOKUP(factura_c_mes1052[[#This Row],[CUIT]],Lista_CUIT[#All],4,0)),"CUIT NO CARGADO")</f>
        <v>0</v>
      </c>
    </row>
    <row r="190" spans="4:11" x14ac:dyDescent="0.25">
      <c r="D190" s="259"/>
      <c r="E190" s="265"/>
      <c r="F190" s="265"/>
      <c r="G190" s="266">
        <v>27062343449</v>
      </c>
      <c r="H190" s="267" t="str">
        <f>IFERROR(IF(factura_c_mes1052[[#This Row],[CUIT]]="","-",VLOOKUP(factura_c_mes1052[[#This Row],[CUIT]],Lista_CUIT[#All],2,0)),"CUIT NO CARGADO")</f>
        <v>FERREIRS LILISNS INES</v>
      </c>
      <c r="I190" s="268">
        <v>700000</v>
      </c>
      <c r="J190" s="269" t="str">
        <f>IFERROR(IF(factura_c_mes1052[[#This Row],[CUIT]]="","-",VLOOKUP(factura_c_mes1052[[#This Row],[CUIT]],Lista_CUIT[#All],3,0)),"CUIT NO CARGADO")</f>
        <v>FLETE</v>
      </c>
      <c r="K190" s="269">
        <f>IFERROR(IF(factura_c_mes1052[[#This Row],[CUIT]]="","-",VLOOKUP(factura_c_mes1052[[#This Row],[CUIT]],Lista_CUIT[#All],4,0)),"CUIT NO CARGADO")</f>
        <v>0</v>
      </c>
    </row>
    <row r="191" spans="4:11" x14ac:dyDescent="0.25">
      <c r="D191" s="259"/>
      <c r="E191" s="265"/>
      <c r="F191" s="265"/>
      <c r="G191" s="266">
        <v>27167641798</v>
      </c>
      <c r="H191" s="267" t="str">
        <f>IFERROR(IF(factura_c_mes1052[[#This Row],[CUIT]]="","-",VLOOKUP(factura_c_mes1052[[#This Row],[CUIT]],Lista_CUIT[#All],2,0)),"CUIT NO CARGADO")</f>
        <v>STEINER FLAVIA ADRIANA</v>
      </c>
      <c r="I191" s="268">
        <v>170000</v>
      </c>
      <c r="J191" s="269" t="str">
        <f>IFERROR(IF(factura_c_mes1052[[#This Row],[CUIT]]="","-",VLOOKUP(factura_c_mes1052[[#This Row],[CUIT]],Lista_CUIT[#All],3,0)),"CUIT NO CARGADO")</f>
        <v>Insumos</v>
      </c>
      <c r="K191" s="269">
        <f>IFERROR(IF(factura_c_mes1052[[#This Row],[CUIT]]="","-",VLOOKUP(factura_c_mes1052[[#This Row],[CUIT]],Lista_CUIT[#All],4,0)),"CUIT NO CARGADO")</f>
        <v>0</v>
      </c>
    </row>
    <row r="192" spans="4:11" x14ac:dyDescent="0.25">
      <c r="D192" s="259"/>
      <c r="E192" s="265"/>
      <c r="F192" s="265"/>
      <c r="G192" s="266">
        <v>23281233084</v>
      </c>
      <c r="H192" s="267" t="str">
        <f>IFERROR(IF(factura_c_mes1052[[#This Row],[CUIT]]="","-",VLOOKUP(factura_c_mes1052[[#This Row],[CUIT]],Lista_CUIT[#All],2,0)),"CUIT NO CARGADO")</f>
        <v>DRUETTA ANDREA MARIEL</v>
      </c>
      <c r="I192" s="268">
        <v>-300000</v>
      </c>
      <c r="J192" s="269" t="str">
        <f>IFERROR(IF(factura_c_mes1052[[#This Row],[CUIT]]="","-",VLOOKUP(factura_c_mes1052[[#This Row],[CUIT]],Lista_CUIT[#All],3,0)),"CUIT NO CARGADO")</f>
        <v>TECNICO</v>
      </c>
      <c r="K192" s="269">
        <f>IFERROR(IF(factura_c_mes1052[[#This Row],[CUIT]]="","-",VLOOKUP(factura_c_mes1052[[#This Row],[CUIT]],Lista_CUIT[#All],4,0)),"CUIT NO CARGADO")</f>
        <v>0</v>
      </c>
    </row>
    <row r="193" spans="4:11" x14ac:dyDescent="0.25">
      <c r="D193" s="259"/>
      <c r="E193" s="265"/>
      <c r="F193" s="265"/>
      <c r="G193" s="266">
        <v>20086277523</v>
      </c>
      <c r="H193" s="267" t="str">
        <f>IFERROR(IF(factura_c_mes1052[[#This Row],[CUIT]]="","-",VLOOKUP(factura_c_mes1052[[#This Row],[CUIT]],Lista_CUIT[#All],2,0)),"CUIT NO CARGADO")</f>
        <v>BOTINDARI JUAN CARLOS</v>
      </c>
      <c r="I193" s="268">
        <v>-300000</v>
      </c>
      <c r="J193" s="269" t="str">
        <f>IFERROR(IF(factura_c_mes1052[[#This Row],[CUIT]]="","-",VLOOKUP(factura_c_mes1052[[#This Row],[CUIT]],Lista_CUIT[#All],3,0)),"CUIT NO CARGADO")</f>
        <v>HONORARIOS</v>
      </c>
      <c r="K193" s="269">
        <f>IFERROR(IF(factura_c_mes1052[[#This Row],[CUIT]]="","-",VLOOKUP(factura_c_mes1052[[#This Row],[CUIT]],Lista_CUIT[#All],4,0)),"CUIT NO CARGADO")</f>
        <v>0</v>
      </c>
    </row>
    <row r="194" spans="4:11" x14ac:dyDescent="0.25">
      <c r="D194" s="259"/>
      <c r="E194" s="265"/>
      <c r="F194" s="265"/>
      <c r="G194" s="266"/>
      <c r="H194" s="267" t="str">
        <f>IFERROR(IF(factura_c_mes1052[[#This Row],[CUIT]]="","-",VLOOKUP(factura_c_mes1052[[#This Row],[CUIT]],Lista_CUIT[#All],2,0)),"CUIT NO CARGADO")</f>
        <v>-</v>
      </c>
      <c r="I194" s="268"/>
      <c r="J194" s="269" t="str">
        <f>IFERROR(IF(factura_c_mes1052[[#This Row],[CUIT]]="","-",VLOOKUP(factura_c_mes1052[[#This Row],[CUIT]],Lista_CUIT[#All],3,0)),"CUIT NO CARGADO")</f>
        <v>-</v>
      </c>
      <c r="K194" s="269" t="str">
        <f>IFERROR(IF(factura_c_mes1052[[#This Row],[CUIT]]="","-",VLOOKUP(factura_c_mes1052[[#This Row],[CUIT]],Lista_CUIT[#All],4,0)),"CUIT NO CARGADO")</f>
        <v>-</v>
      </c>
    </row>
    <row r="195" spans="4:11" x14ac:dyDescent="0.25">
      <c r="D195" s="259"/>
      <c r="E195" s="265"/>
      <c r="F195" s="265"/>
      <c r="G195" s="266"/>
      <c r="H195" s="267" t="str">
        <f>IFERROR(IF(factura_c_mes1052[[#This Row],[CUIT]]="","-",VLOOKUP(factura_c_mes1052[[#This Row],[CUIT]],Lista_CUIT[#All],2,0)),"CUIT NO CARGADO")</f>
        <v>-</v>
      </c>
      <c r="I195" s="268"/>
      <c r="J195" s="269" t="str">
        <f>IFERROR(IF(factura_c_mes1052[[#This Row],[CUIT]]="","-",VLOOKUP(factura_c_mes1052[[#This Row],[CUIT]],Lista_CUIT[#All],3,0)),"CUIT NO CARGADO")</f>
        <v>-</v>
      </c>
      <c r="K195" s="269" t="str">
        <f>IFERROR(IF(factura_c_mes1052[[#This Row],[CUIT]]="","-",VLOOKUP(factura_c_mes1052[[#This Row],[CUIT]],Lista_CUIT[#All],4,0)),"CUIT NO CARGADO")</f>
        <v>-</v>
      </c>
    </row>
    <row r="196" spans="4:11" x14ac:dyDescent="0.25">
      <c r="D196" s="259"/>
      <c r="E196" s="265"/>
      <c r="F196" s="265"/>
      <c r="G196" s="266"/>
      <c r="H196" s="267" t="str">
        <f>IFERROR(IF(factura_c_mes1052[[#This Row],[CUIT]]="","-",VLOOKUP(factura_c_mes1052[[#This Row],[CUIT]],Lista_CUIT[#All],2,0)),"CUIT NO CARGADO")</f>
        <v>-</v>
      </c>
      <c r="I196" s="268"/>
      <c r="J196" s="269" t="str">
        <f>IFERROR(IF(factura_c_mes1052[[#This Row],[CUIT]]="","-",VLOOKUP(factura_c_mes1052[[#This Row],[CUIT]],Lista_CUIT[#All],3,0)),"CUIT NO CARGADO")</f>
        <v>-</v>
      </c>
      <c r="K196" s="269" t="str">
        <f>IFERROR(IF(factura_c_mes1052[[#This Row],[CUIT]]="","-",VLOOKUP(factura_c_mes1052[[#This Row],[CUIT]],Lista_CUIT[#All],4,0)),"CUIT NO CARGADO")</f>
        <v>-</v>
      </c>
    </row>
    <row r="197" spans="4:11" x14ac:dyDescent="0.25">
      <c r="D197" s="259"/>
      <c r="E197" s="265"/>
      <c r="F197" s="265"/>
      <c r="G197" s="266"/>
      <c r="H197" s="267" t="str">
        <f>IFERROR(IF(factura_c_mes1052[[#This Row],[CUIT]]="","-",VLOOKUP(factura_c_mes1052[[#This Row],[CUIT]],Lista_CUIT[#All],2,0)),"CUIT NO CARGADO")</f>
        <v>-</v>
      </c>
      <c r="I197" s="268"/>
      <c r="J197" s="269" t="str">
        <f>IFERROR(IF(factura_c_mes1052[[#This Row],[CUIT]]="","-",VLOOKUP(factura_c_mes1052[[#This Row],[CUIT]],Lista_CUIT[#All],3,0)),"CUIT NO CARGADO")</f>
        <v>-</v>
      </c>
      <c r="K197" s="269" t="str">
        <f>IFERROR(IF(factura_c_mes1052[[#This Row],[CUIT]]="","-",VLOOKUP(factura_c_mes1052[[#This Row],[CUIT]],Lista_CUIT[#All],4,0)),"CUIT NO CARGADO")</f>
        <v>-</v>
      </c>
    </row>
    <row r="198" spans="4:11" x14ac:dyDescent="0.25">
      <c r="D198" s="259"/>
      <c r="E198" s="265"/>
      <c r="F198" s="265"/>
      <c r="G198" s="266"/>
      <c r="H198" s="267" t="str">
        <f>IFERROR(IF(factura_c_mes1052[[#This Row],[CUIT]]="","-",VLOOKUP(factura_c_mes1052[[#This Row],[CUIT]],Lista_CUIT[#All],2,0)),"CUIT NO CARGADO")</f>
        <v>-</v>
      </c>
      <c r="I198" s="268"/>
      <c r="J198" s="269" t="str">
        <f>IFERROR(IF(factura_c_mes1052[[#This Row],[CUIT]]="","-",VLOOKUP(factura_c_mes1052[[#This Row],[CUIT]],Lista_CUIT[#All],3,0)),"CUIT NO CARGADO")</f>
        <v>-</v>
      </c>
      <c r="K198" s="269" t="str">
        <f>IFERROR(IF(factura_c_mes1052[[#This Row],[CUIT]]="","-",VLOOKUP(factura_c_mes1052[[#This Row],[CUIT]],Lista_CUIT[#All],4,0)),"CUIT NO CARGADO")</f>
        <v>-</v>
      </c>
    </row>
    <row r="199" spans="4:11" ht="19.149999999999999" customHeight="1" x14ac:dyDescent="0.25">
      <c r="D199" s="259"/>
      <c r="E199" s="265"/>
      <c r="F199" s="265"/>
      <c r="G199" s="266"/>
      <c r="H199" s="267" t="str">
        <f>IFERROR(IF(factura_c_mes1052[[#This Row],[CUIT]]="","-",VLOOKUP(factura_c_mes1052[[#This Row],[CUIT]],Lista_CUIT[#All],2,0)),"CUIT NO CARGADO")</f>
        <v>-</v>
      </c>
      <c r="I199" s="268"/>
      <c r="J199" s="269" t="str">
        <f>IFERROR(IF(factura_c_mes1052[[#This Row],[CUIT]]="","-",VLOOKUP(factura_c_mes1052[[#This Row],[CUIT]],Lista_CUIT[#All],3,0)),"CUIT NO CARGADO")</f>
        <v>-</v>
      </c>
      <c r="K199" s="269" t="str">
        <f>IFERROR(IF(factura_c_mes1052[[#This Row],[CUIT]]="","-",VLOOKUP(factura_c_mes1052[[#This Row],[CUIT]],Lista_CUIT[#All],4,0)),"CUIT NO CARGADO")</f>
        <v>-</v>
      </c>
    </row>
    <row r="200" spans="4:11" x14ac:dyDescent="0.25">
      <c r="D200" s="259"/>
      <c r="E200" s="265"/>
      <c r="F200" s="265"/>
      <c r="G200" s="266"/>
      <c r="H200" s="267" t="str">
        <f>IFERROR(IF(factura_c_mes1052[[#This Row],[CUIT]]="","-",VLOOKUP(factura_c_mes1052[[#This Row],[CUIT]],Lista_CUIT[#All],2,0)),"CUIT NO CARGADO")</f>
        <v>-</v>
      </c>
      <c r="I200" s="268"/>
      <c r="J200" s="269" t="str">
        <f>IFERROR(IF(factura_c_mes1052[[#This Row],[CUIT]]="","-",VLOOKUP(factura_c_mes1052[[#This Row],[CUIT]],Lista_CUIT[#All],3,0)),"CUIT NO CARGADO")</f>
        <v>-</v>
      </c>
      <c r="K200" s="269" t="str">
        <f>IFERROR(IF(factura_c_mes1052[[#This Row],[CUIT]]="","-",VLOOKUP(factura_c_mes1052[[#This Row],[CUIT]],Lista_CUIT[#All],4,0)),"CUIT NO CARGADO")</f>
        <v>-</v>
      </c>
    </row>
    <row r="201" spans="4:11" x14ac:dyDescent="0.25">
      <c r="D201" s="259"/>
      <c r="E201" s="265"/>
      <c r="F201" s="265"/>
      <c r="G201" s="266"/>
      <c r="H201" s="267" t="str">
        <f>IFERROR(IF(factura_c_mes1052[[#This Row],[CUIT]]="","-",VLOOKUP(factura_c_mes1052[[#This Row],[CUIT]],Lista_CUIT[#All],2,0)),"CUIT NO CARGADO")</f>
        <v>-</v>
      </c>
      <c r="I201" s="268"/>
      <c r="J201" s="269" t="str">
        <f>IFERROR(IF(factura_c_mes1052[[#This Row],[CUIT]]="","-",VLOOKUP(factura_c_mes1052[[#This Row],[CUIT]],Lista_CUIT[#All],3,0)),"CUIT NO CARGADO")</f>
        <v>-</v>
      </c>
      <c r="K201" s="269" t="str">
        <f>IFERROR(IF(factura_c_mes1052[[#This Row],[CUIT]]="","-",VLOOKUP(factura_c_mes1052[[#This Row],[CUIT]],Lista_CUIT[#All],4,0)),"CUIT NO CARGADO")</f>
        <v>-</v>
      </c>
    </row>
    <row r="202" spans="4:11" x14ac:dyDescent="0.25">
      <c r="D202" s="259"/>
      <c r="E202" s="265"/>
      <c r="F202" s="265"/>
      <c r="G202" s="266"/>
      <c r="H202" s="267" t="str">
        <f>IFERROR(IF(factura_c_mes1052[[#This Row],[CUIT]]="","-",VLOOKUP(factura_c_mes1052[[#This Row],[CUIT]],Lista_CUIT[#All],2,0)),"CUIT NO CARGADO")</f>
        <v>-</v>
      </c>
      <c r="I202" s="268"/>
      <c r="J202" s="269" t="str">
        <f>IFERROR(IF(factura_c_mes1052[[#This Row],[CUIT]]="","-",VLOOKUP(factura_c_mes1052[[#This Row],[CUIT]],Lista_CUIT[#All],3,0)),"CUIT NO CARGADO")</f>
        <v>-</v>
      </c>
      <c r="K202" s="269" t="str">
        <f>IFERROR(IF(factura_c_mes1052[[#This Row],[CUIT]]="","-",VLOOKUP(factura_c_mes1052[[#This Row],[CUIT]],Lista_CUIT[#All],4,0)),"CUIT NO CARGADO")</f>
        <v>-</v>
      </c>
    </row>
    <row r="203" spans="4:11" x14ac:dyDescent="0.25">
      <c r="D203" s="259"/>
      <c r="E203" s="265"/>
      <c r="F203" s="265"/>
      <c r="G203" s="266"/>
      <c r="H203" s="267" t="str">
        <f>IFERROR(IF(factura_c_mes1052[[#This Row],[CUIT]]="","-",VLOOKUP(factura_c_mes1052[[#This Row],[CUIT]],Lista_CUIT[#All],2,0)),"CUIT NO CARGADO")</f>
        <v>-</v>
      </c>
      <c r="I203" s="268"/>
      <c r="J203" s="269" t="str">
        <f>IFERROR(IF(factura_c_mes1052[[#This Row],[CUIT]]="","-",VLOOKUP(factura_c_mes1052[[#This Row],[CUIT]],Lista_CUIT[#All],3,0)),"CUIT NO CARGADO")</f>
        <v>-</v>
      </c>
      <c r="K203" s="269" t="str">
        <f>IFERROR(IF(factura_c_mes1052[[#This Row],[CUIT]]="","-",VLOOKUP(factura_c_mes1052[[#This Row],[CUIT]],Lista_CUIT[#All],4,0)),"CUIT NO CARGADO")</f>
        <v>-</v>
      </c>
    </row>
    <row r="204" spans="4:11" x14ac:dyDescent="0.25">
      <c r="D204" s="259"/>
      <c r="E204" s="265"/>
      <c r="F204" s="265"/>
      <c r="G204" s="266"/>
      <c r="H204" s="267" t="str">
        <f>IFERROR(IF(factura_c_mes1052[[#This Row],[CUIT]]="","-",VLOOKUP(factura_c_mes1052[[#This Row],[CUIT]],Lista_CUIT[#All],2,0)),"CUIT NO CARGADO")</f>
        <v>-</v>
      </c>
      <c r="I204" s="268"/>
      <c r="J204" s="269" t="str">
        <f>IFERROR(IF(factura_c_mes1052[[#This Row],[CUIT]]="","-",VLOOKUP(factura_c_mes1052[[#This Row],[CUIT]],Lista_CUIT[#All],3,0)),"CUIT NO CARGADO")</f>
        <v>-</v>
      </c>
      <c r="K204" s="269" t="str">
        <f>IFERROR(IF(factura_c_mes1052[[#This Row],[CUIT]]="","-",VLOOKUP(factura_c_mes1052[[#This Row],[CUIT]],Lista_CUIT[#All],4,0)),"CUIT NO CARGADO")</f>
        <v>-</v>
      </c>
    </row>
    <row r="205" spans="4:11" x14ac:dyDescent="0.25">
      <c r="D205" s="50"/>
      <c r="E205" s="42"/>
      <c r="F205" s="43"/>
      <c r="G205" s="44"/>
      <c r="H205" s="53" t="str">
        <f>IFERROR(IF(factura_c_mes1052[[#This Row],[CUIT]]="","-",VLOOKUP(factura_c_mes1052[[#This Row],[CUIT]],Lista_CUIT[#All],2,0)),"CUIT NO CARGADO")</f>
        <v>-</v>
      </c>
      <c r="I205" s="81"/>
      <c r="J205" s="54" t="str">
        <f>IFERROR(IF(factura_c_mes1052[[#This Row],[CUIT]]="","-",VLOOKUP(factura_c_mes1052[[#This Row],[CUIT]],Lista_CUIT[#All],3,0)),"CUIT NO CARGADO")</f>
        <v>-</v>
      </c>
      <c r="K205" s="54" t="str">
        <f>IFERROR(IF(factura_c_mes1052[[#This Row],[CUIT]]="","-",VLOOKUP(factura_c_mes1052[[#This Row],[CUIT]],Lista_CUIT[#All],4,0)),"CUIT NO CARGADO")</f>
        <v>-</v>
      </c>
    </row>
    <row r="206" spans="4:11" x14ac:dyDescent="0.25">
      <c r="D206" s="50"/>
      <c r="E206" s="42"/>
      <c r="F206" s="43"/>
      <c r="G206" s="44"/>
      <c r="H206" s="53" t="str">
        <f>IFERROR(IF(factura_c_mes1052[[#This Row],[CUIT]]="","-",VLOOKUP(factura_c_mes1052[[#This Row],[CUIT]],Lista_CUIT[#All],2,0)),"CUIT NO CARGADO")</f>
        <v>-</v>
      </c>
      <c r="I206" s="81"/>
      <c r="J206" s="54" t="str">
        <f>IFERROR(IF(factura_c_mes1052[[#This Row],[CUIT]]="","-",VLOOKUP(factura_c_mes1052[[#This Row],[CUIT]],Lista_CUIT[#All],3,0)),"CUIT NO CARGADO")</f>
        <v>-</v>
      </c>
      <c r="K206" s="54" t="str">
        <f>IFERROR(IF(factura_c_mes1052[[#This Row],[CUIT]]="","-",VLOOKUP(factura_c_mes1052[[#This Row],[CUIT]],Lista_CUIT[#All],4,0)),"CUIT NO CARGADO")</f>
        <v>-</v>
      </c>
    </row>
    <row r="207" spans="4:11" x14ac:dyDescent="0.25">
      <c r="D207" s="50"/>
      <c r="E207" s="42"/>
      <c r="F207" s="43"/>
      <c r="G207" s="44"/>
      <c r="H207" s="53" t="str">
        <f>IFERROR(IF(factura_c_mes1052[[#This Row],[CUIT]]="","-",VLOOKUP(factura_c_mes1052[[#This Row],[CUIT]],Lista_CUIT[#All],2,0)),"CUIT NO CARGADO")</f>
        <v>-</v>
      </c>
      <c r="I207" s="81"/>
      <c r="J207" s="54" t="str">
        <f>IFERROR(IF(factura_c_mes1052[[#This Row],[CUIT]]="","-",VLOOKUP(factura_c_mes1052[[#This Row],[CUIT]],Lista_CUIT[#All],3,0)),"CUIT NO CARGADO")</f>
        <v>-</v>
      </c>
      <c r="K207" s="54" t="str">
        <f>IFERROR(IF(factura_c_mes1052[[#This Row],[CUIT]]="","-",VLOOKUP(factura_c_mes1052[[#This Row],[CUIT]],Lista_CUIT[#All],4,0)),"CUIT NO CARGADO")</f>
        <v>-</v>
      </c>
    </row>
    <row r="208" spans="4:11" x14ac:dyDescent="0.25">
      <c r="D208" s="50"/>
      <c r="E208" s="42"/>
      <c r="F208" s="43"/>
      <c r="G208" s="44"/>
      <c r="H208" s="53" t="str">
        <f>IFERROR(IF(factura_c_mes1052[[#This Row],[CUIT]]="","-",VLOOKUP(factura_c_mes1052[[#This Row],[CUIT]],Lista_CUIT[#All],2,0)),"CUIT NO CARGADO")</f>
        <v>-</v>
      </c>
      <c r="I208" s="81"/>
      <c r="J208" s="54" t="str">
        <f>IFERROR(IF(factura_c_mes1052[[#This Row],[CUIT]]="","-",VLOOKUP(factura_c_mes1052[[#This Row],[CUIT]],Lista_CUIT[#All],3,0)),"CUIT NO CARGADO")</f>
        <v>-</v>
      </c>
      <c r="K208" s="54" t="str">
        <f>IFERROR(IF(factura_c_mes1052[[#This Row],[CUIT]]="","-",VLOOKUP(factura_c_mes1052[[#This Row],[CUIT]],Lista_CUIT[#All],4,0)),"CUIT NO CARGADO")</f>
        <v>-</v>
      </c>
    </row>
    <row r="209" spans="2:18" x14ac:dyDescent="0.25">
      <c r="D209" s="55" t="s">
        <v>110</v>
      </c>
      <c r="E209" s="55"/>
      <c r="F209" s="55"/>
      <c r="G209" s="55"/>
      <c r="H209" s="57"/>
      <c r="I209" s="58">
        <f>SUBTOTAL(109,factura_c_mes1052[TOTAL])</f>
        <v>16905810</v>
      </c>
      <c r="J209" s="55"/>
      <c r="K209" s="55"/>
    </row>
    <row r="210" spans="2:18" x14ac:dyDescent="0.25">
      <c r="B210" s="56"/>
      <c r="C210" s="56"/>
      <c r="L210" s="56"/>
      <c r="M210" s="56"/>
      <c r="N210" s="56"/>
      <c r="O210" s="56"/>
      <c r="P210" s="56"/>
      <c r="Q210" s="56"/>
      <c r="R210" s="56"/>
    </row>
    <row r="215" spans="2:18" ht="26.25" x14ac:dyDescent="0.25">
      <c r="B215" s="629" t="s">
        <v>29</v>
      </c>
      <c r="C215" s="629"/>
      <c r="D215" s="629"/>
      <c r="E215" s="629"/>
      <c r="F215" s="629"/>
      <c r="G215" s="629"/>
      <c r="H215" s="629"/>
      <c r="I215" s="629"/>
      <c r="J215" s="629"/>
      <c r="K215" s="630">
        <f>N1</f>
        <v>45931</v>
      </c>
      <c r="L215" s="630"/>
      <c r="M215" s="630"/>
    </row>
    <row r="217" spans="2:18" ht="21" x14ac:dyDescent="0.25">
      <c r="B217" s="631" t="s">
        <v>30</v>
      </c>
      <c r="C217" s="631"/>
    </row>
    <row r="218" spans="2:18" ht="15.75" x14ac:dyDescent="0.25">
      <c r="B218" s="60" t="s">
        <v>0</v>
      </c>
      <c r="C218" s="61" t="s">
        <v>1</v>
      </c>
      <c r="D218" s="61" t="s">
        <v>21</v>
      </c>
      <c r="E218" s="61" t="s">
        <v>22</v>
      </c>
      <c r="F218" s="61" t="s">
        <v>3</v>
      </c>
      <c r="G218" s="61" t="s">
        <v>4</v>
      </c>
      <c r="H218" s="61" t="s">
        <v>23</v>
      </c>
      <c r="I218" s="61" t="s">
        <v>17</v>
      </c>
      <c r="J218" s="61" t="s">
        <v>7</v>
      </c>
      <c r="K218" s="61" t="s">
        <v>24</v>
      </c>
      <c r="L218" s="61" t="s">
        <v>10</v>
      </c>
      <c r="M218" s="62" t="s">
        <v>38</v>
      </c>
    </row>
    <row r="219" spans="2:18" x14ac:dyDescent="0.25">
      <c r="B219" s="40"/>
      <c r="C219" s="41"/>
      <c r="D219" s="42"/>
      <c r="E219" s="43"/>
      <c r="F219" s="44"/>
      <c r="G219" s="98" t="str">
        <f>IFERROR(IF(venta_a_mes1053[[#This Row],[CUIT]]="","-",VLOOKUP(venta_a_mes1053[[#This Row],[CUIT]],Lista_CUIT[#All],2,0)),"CUIT NO CARGADO")</f>
        <v>-</v>
      </c>
      <c r="H219" s="99"/>
      <c r="I219" s="100">
        <f>venta_a_mes1053[[#This Row],[IMPORTE NETO]]*0.21</f>
        <v>0</v>
      </c>
      <c r="J219" s="65"/>
      <c r="K219" s="65"/>
      <c r="L219" s="65">
        <f>SUM(venta_a_mes1053[[#This Row],[IMPORTE NETO]:[EXENTO]])</f>
        <v>0</v>
      </c>
      <c r="M219" s="59"/>
    </row>
    <row r="220" spans="2:18" x14ac:dyDescent="0.25">
      <c r="B220" s="40"/>
      <c r="C220" s="41"/>
      <c r="D220" s="42"/>
      <c r="E220" s="43"/>
      <c r="F220" s="44"/>
      <c r="G220" s="98" t="str">
        <f>IFERROR(IF(venta_a_mes1053[[#This Row],[CUIT]]="","-",VLOOKUP(venta_a_mes1053[[#This Row],[CUIT]],Lista_CUIT[#All],2,0)),"CUIT NO CARGADO")</f>
        <v>-</v>
      </c>
      <c r="H220" s="99"/>
      <c r="I220" s="100">
        <f>venta_a_mes1053[[#This Row],[IMPORTE NETO]]*0.21</f>
        <v>0</v>
      </c>
      <c r="J220" s="65"/>
      <c r="K220" s="65"/>
      <c r="L220" s="65">
        <f>SUM(venta_a_mes1053[[#This Row],[IMPORTE NETO]:[EXENTO]])</f>
        <v>0</v>
      </c>
      <c r="M220" s="59"/>
    </row>
    <row r="221" spans="2:18" x14ac:dyDescent="0.25">
      <c r="B221" s="40"/>
      <c r="C221" s="41"/>
      <c r="D221" s="42"/>
      <c r="E221" s="43"/>
      <c r="F221" s="44"/>
      <c r="G221" s="98" t="str">
        <f>IFERROR(IF(venta_a_mes1053[[#This Row],[CUIT]]="","-",VLOOKUP(venta_a_mes1053[[#This Row],[CUIT]],Lista_CUIT[#All],2,0)),"CUIT NO CARGADO")</f>
        <v>-</v>
      </c>
      <c r="H221" s="99"/>
      <c r="I221" s="100">
        <f>venta_a_mes1053[[#This Row],[IMPORTE NETO]]*0.21</f>
        <v>0</v>
      </c>
      <c r="J221" s="65"/>
      <c r="K221" s="65"/>
      <c r="L221" s="65">
        <f>SUM(venta_a_mes1053[[#This Row],[IMPORTE NETO]:[EXENTO]])</f>
        <v>0</v>
      </c>
      <c r="M221" s="59"/>
    </row>
    <row r="222" spans="2:18" x14ac:dyDescent="0.25">
      <c r="B222" s="40"/>
      <c r="C222" s="41"/>
      <c r="D222" s="42"/>
      <c r="E222" s="43"/>
      <c r="F222" s="44"/>
      <c r="G222" s="98" t="str">
        <f>IFERROR(IF(venta_a_mes1053[[#This Row],[CUIT]]="","-",VLOOKUP(venta_a_mes1053[[#This Row],[CUIT]],Lista_CUIT[#All],2,0)),"CUIT NO CARGADO")</f>
        <v>-</v>
      </c>
      <c r="H222" s="99"/>
      <c r="I222" s="100">
        <f>venta_a_mes1053[[#This Row],[IMPORTE NETO]]*0.21</f>
        <v>0</v>
      </c>
      <c r="J222" s="65"/>
      <c r="K222" s="65"/>
      <c r="L222" s="65">
        <f>SUM(venta_a_mes1053[[#This Row],[IMPORTE NETO]:[EXENTO]])</f>
        <v>0</v>
      </c>
      <c r="M222" s="59"/>
    </row>
    <row r="223" spans="2:18" x14ac:dyDescent="0.25">
      <c r="B223" s="40"/>
      <c r="C223" s="41"/>
      <c r="D223" s="42"/>
      <c r="E223" s="43"/>
      <c r="F223" s="44"/>
      <c r="G223" s="98" t="str">
        <f>IFERROR(IF(venta_a_mes1053[[#This Row],[CUIT]]="","-",VLOOKUP(venta_a_mes1053[[#This Row],[CUIT]],Lista_CUIT[#All],2,0)),"CUIT NO CARGADO")</f>
        <v>-</v>
      </c>
      <c r="H223" s="99"/>
      <c r="I223" s="100">
        <f>venta_a_mes1053[[#This Row],[IMPORTE NETO]]*0.21</f>
        <v>0</v>
      </c>
      <c r="J223" s="65"/>
      <c r="K223" s="65"/>
      <c r="L223" s="65">
        <f>SUM(venta_a_mes1053[[#This Row],[IMPORTE NETO]:[EXENTO]])</f>
        <v>0</v>
      </c>
      <c r="M223" s="59"/>
    </row>
    <row r="224" spans="2:18" x14ac:dyDescent="0.25">
      <c r="B224" s="40"/>
      <c r="C224" s="41"/>
      <c r="D224" s="42"/>
      <c r="E224" s="43"/>
      <c r="F224" s="44"/>
      <c r="G224" s="98" t="str">
        <f>IFERROR(IF(venta_a_mes1053[[#This Row],[CUIT]]="","-",VLOOKUP(venta_a_mes1053[[#This Row],[CUIT]],Lista_CUIT[#All],2,0)),"CUIT NO CARGADO")</f>
        <v>-</v>
      </c>
      <c r="H224" s="99"/>
      <c r="I224" s="100">
        <f>venta_a_mes1053[[#This Row],[IMPORTE NETO]]*0.21</f>
        <v>0</v>
      </c>
      <c r="J224" s="65"/>
      <c r="K224" s="65"/>
      <c r="L224" s="65">
        <f>SUM(venta_a_mes1053[[#This Row],[IMPORTE NETO]:[EXENTO]])</f>
        <v>0</v>
      </c>
      <c r="M224" s="59"/>
    </row>
    <row r="225" spans="2:13" x14ac:dyDescent="0.25">
      <c r="B225" s="40"/>
      <c r="C225" s="41"/>
      <c r="D225" s="42"/>
      <c r="E225" s="43"/>
      <c r="F225" s="44"/>
      <c r="G225" s="98" t="str">
        <f>IFERROR(IF(venta_a_mes1053[[#This Row],[CUIT]]="","-",VLOOKUP(venta_a_mes1053[[#This Row],[CUIT]],Lista_CUIT[#All],2,0)),"CUIT NO CARGADO")</f>
        <v>-</v>
      </c>
      <c r="H225" s="99"/>
      <c r="I225" s="100">
        <f>venta_a_mes1053[[#This Row],[IMPORTE NETO]]*0.21</f>
        <v>0</v>
      </c>
      <c r="J225" s="65"/>
      <c r="K225" s="65"/>
      <c r="L225" s="65">
        <f>SUM(venta_a_mes1053[[#This Row],[IMPORTE NETO]:[EXENTO]])</f>
        <v>0</v>
      </c>
      <c r="M225" s="63"/>
    </row>
    <row r="226" spans="2:13" x14ac:dyDescent="0.25">
      <c r="B226" s="101"/>
      <c r="C226" s="102"/>
      <c r="D226" s="103"/>
      <c r="E226" s="104"/>
      <c r="F226" s="105"/>
      <c r="G226" s="98" t="str">
        <f>IFERROR(IF(venta_a_mes1053[[#This Row],[CUIT]]="","-",VLOOKUP(venta_a_mes1053[[#This Row],[CUIT]],Lista_CUIT[#All],2,0)),"CUIT NO CARGADO")</f>
        <v>-</v>
      </c>
      <c r="H226" s="106"/>
      <c r="I226" s="107">
        <f>venta_a_mes1053[[#This Row],[IMPORTE NETO]]*0.21</f>
        <v>0</v>
      </c>
      <c r="J226" s="72"/>
      <c r="K226" s="72"/>
      <c r="L226" s="72">
        <f>SUM(venta_a_mes1053[[#This Row],[IMPORTE NETO]:[EXENTO]])</f>
        <v>0</v>
      </c>
      <c r="M226" s="63"/>
    </row>
    <row r="227" spans="2:13" x14ac:dyDescent="0.25">
      <c r="B227" s="108"/>
      <c r="C227" s="109"/>
      <c r="D227" s="110"/>
      <c r="E227" s="111"/>
      <c r="F227" s="112"/>
      <c r="G227" s="98" t="str">
        <f>IFERROR(IF(venta_a_mes1053[[#This Row],[CUIT]]="","-",VLOOKUP(venta_a_mes1053[[#This Row],[CUIT]],Lista_CUIT[#All],2,0)),"CUIT NO CARGADO")</f>
        <v>-</v>
      </c>
      <c r="H227" s="99"/>
      <c r="I227" s="100">
        <f>venta_a_mes1053[[#This Row],[IMPORTE NETO]]*0.21</f>
        <v>0</v>
      </c>
      <c r="J227" s="65"/>
      <c r="K227" s="65"/>
      <c r="L227" s="65">
        <f>SUM(venta_a_mes1053[[#This Row],[IMPORTE NETO]:[EXENTO]])</f>
        <v>0</v>
      </c>
      <c r="M227" s="59"/>
    </row>
    <row r="228" spans="2:13" x14ac:dyDescent="0.25">
      <c r="B228" s="66" t="s">
        <v>110</v>
      </c>
      <c r="C228" s="67"/>
      <c r="D228" s="67"/>
      <c r="E228" s="67"/>
      <c r="F228" s="67"/>
      <c r="G228" s="67"/>
      <c r="H228" s="69">
        <f>SUBTOTAL(109,venta_a_mes1053[IMPORTE NETO])</f>
        <v>0</v>
      </c>
      <c r="I228" s="70">
        <f>SUBTOTAL(109,venta_a_mes1053[IVA 21%])</f>
        <v>0</v>
      </c>
      <c r="J228" s="71">
        <f>SUBTOTAL(109,venta_a_mes1053[IVA 10,5%])</f>
        <v>0</v>
      </c>
      <c r="K228" s="71">
        <f>SUBTOTAL(109,venta_a_mes1053[EXENTO])</f>
        <v>0</v>
      </c>
      <c r="L228" s="71">
        <f>SUBTOTAL(109,venta_a_mes1053[TOTAL])</f>
        <v>0</v>
      </c>
      <c r="M228" s="68">
        <f>SUBTOTAL(103,venta_a_mes1053[Provincia])</f>
        <v>0</v>
      </c>
    </row>
    <row r="231" spans="2:13" ht="21" x14ac:dyDescent="0.25">
      <c r="B231" s="631" t="s">
        <v>31</v>
      </c>
      <c r="C231" s="631"/>
    </row>
    <row r="232" spans="2:13" ht="15.75" x14ac:dyDescent="0.25">
      <c r="B232" s="60" t="s">
        <v>0</v>
      </c>
      <c r="C232" s="61" t="s">
        <v>1</v>
      </c>
      <c r="D232" s="61" t="s">
        <v>21</v>
      </c>
      <c r="E232" s="61" t="s">
        <v>22</v>
      </c>
      <c r="F232" s="61" t="s">
        <v>3</v>
      </c>
      <c r="G232" s="61" t="s">
        <v>4</v>
      </c>
      <c r="H232" s="61" t="s">
        <v>23</v>
      </c>
      <c r="I232" s="61" t="s">
        <v>17</v>
      </c>
      <c r="J232" s="61" t="s">
        <v>7</v>
      </c>
      <c r="K232" s="61" t="s">
        <v>24</v>
      </c>
      <c r="L232" s="61" t="s">
        <v>10</v>
      </c>
      <c r="M232" s="62" t="s">
        <v>38</v>
      </c>
    </row>
    <row r="233" spans="2:13" x14ac:dyDescent="0.25">
      <c r="B233" s="40"/>
      <c r="C233" s="41"/>
      <c r="D233" s="42"/>
      <c r="E233" s="43"/>
      <c r="F233" s="44"/>
      <c r="G233" s="1" t="str">
        <f>IFERROR(IF(ventas_b_mes1054[[#This Row],[CUIT]]="","-",VLOOKUP(ventas_b_mes1054[[#This Row],[CUIT]],Lista_CUIT[#All],2,0)),"CUIT NO CARGADO")</f>
        <v>-</v>
      </c>
      <c r="H233" s="64"/>
      <c r="I233" s="64"/>
      <c r="J233" s="64"/>
      <c r="K233" s="64"/>
      <c r="L233" s="64">
        <f>SUM(ventas_b_mes1054[[#This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1"/>
      <c r="H234" s="64"/>
      <c r="I234" s="64"/>
      <c r="J234" s="64"/>
      <c r="K234" s="64"/>
      <c r="L234" s="64">
        <f>SUM(ventas_b_mes1054[[#This Row],[IMPORTE NETO]:[EXENTO]])</f>
        <v>0</v>
      </c>
      <c r="M234" s="59"/>
    </row>
    <row r="235" spans="2:13" x14ac:dyDescent="0.25">
      <c r="B235" s="40"/>
      <c r="C235" s="41"/>
      <c r="D235" s="42"/>
      <c r="E235" s="43"/>
      <c r="F235" s="44"/>
      <c r="G235" s="1"/>
      <c r="H235" s="64"/>
      <c r="I235" s="64"/>
      <c r="J235" s="64"/>
      <c r="K235" s="64"/>
      <c r="L235" s="64">
        <f>SUM(ventas_b_mes1054[[#This Row],[IMPORTE NETO]:[EXENTO]])</f>
        <v>0</v>
      </c>
      <c r="M235" s="59"/>
    </row>
    <row r="236" spans="2:13" x14ac:dyDescent="0.25">
      <c r="B236" s="40"/>
      <c r="C236" s="41"/>
      <c r="D236" s="42"/>
      <c r="E236" s="43"/>
      <c r="F236" s="44"/>
      <c r="G236" s="1"/>
      <c r="H236" s="64"/>
      <c r="I236" s="64"/>
      <c r="J236" s="64"/>
      <c r="K236" s="64"/>
      <c r="L236" s="64">
        <f>SUM(ventas_b_mes1054[[#This Row],[IMPORTE NETO]:[EXENTO]])</f>
        <v>0</v>
      </c>
      <c r="M236" s="59"/>
    </row>
    <row r="237" spans="2:13" x14ac:dyDescent="0.25">
      <c r="B237" s="40"/>
      <c r="C237" s="41"/>
      <c r="D237" s="42"/>
      <c r="E237" s="43"/>
      <c r="F237" s="44"/>
      <c r="G237" s="1"/>
      <c r="H237" s="64"/>
      <c r="I237" s="64"/>
      <c r="J237" s="64"/>
      <c r="K237" s="64"/>
      <c r="L237" s="64">
        <f>SUM(ventas_b_mes1054[[#This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1"/>
      <c r="H238" s="64"/>
      <c r="I238" s="64"/>
      <c r="J238" s="64"/>
      <c r="K238" s="64"/>
      <c r="L238" s="64">
        <f>SUM(ventas_b_mes1054[[#This Row],[IMPORTE NETO]:[EXENTO]])</f>
        <v>0</v>
      </c>
      <c r="M238" s="59"/>
    </row>
    <row r="239" spans="2:13" x14ac:dyDescent="0.25">
      <c r="B239" s="66" t="s">
        <v>110</v>
      </c>
      <c r="C239" s="67"/>
      <c r="D239" s="67"/>
      <c r="E239" s="67"/>
      <c r="F239" s="67"/>
      <c r="G239" s="67"/>
      <c r="H239" s="77">
        <f>SUBTOTAL(109,ventas_b_mes1054[IMPORTE NETO])</f>
        <v>0</v>
      </c>
      <c r="I239" s="77">
        <f>SUBTOTAL(109,ventas_b_mes1054[IVA 21%])</f>
        <v>0</v>
      </c>
      <c r="J239" s="78">
        <f>SUBTOTAL(109,ventas_b_mes1054[IVA 10,5%])</f>
        <v>0</v>
      </c>
      <c r="K239" s="78">
        <f>SUBTOTAL(109,ventas_b_mes1054[EXENTO])</f>
        <v>0</v>
      </c>
      <c r="L239" s="78">
        <f>SUBTOTAL(109,ventas_b_mes1054[TOTAL])</f>
        <v>0</v>
      </c>
      <c r="M239" s="68">
        <f>SUBTOTAL(103,ventas_b_mes1054[Provincia])</f>
        <v>0</v>
      </c>
    </row>
    <row r="246" spans="3:12" ht="15.75" thickBot="1" x14ac:dyDescent="0.3"/>
    <row r="247" spans="3:12" ht="15.75" thickTop="1" x14ac:dyDescent="0.25">
      <c r="C247" s="625" t="s">
        <v>66</v>
      </c>
      <c r="D247" s="625"/>
      <c r="E247" s="625"/>
      <c r="F247" s="625"/>
      <c r="G247" s="625"/>
      <c r="H247" s="32"/>
      <c r="I247" s="32"/>
      <c r="J247" s="32"/>
    </row>
    <row r="248" spans="3:12" ht="15.75" x14ac:dyDescent="0.25">
      <c r="C248" s="113" t="s">
        <v>67</v>
      </c>
      <c r="D248" s="114" t="s">
        <v>68</v>
      </c>
      <c r="E248" s="114" t="s">
        <v>112</v>
      </c>
      <c r="F248" s="114" t="s">
        <v>3</v>
      </c>
      <c r="G248" s="114" t="s">
        <v>4</v>
      </c>
      <c r="H248" s="115" t="s">
        <v>69</v>
      </c>
      <c r="I248" s="115" t="s">
        <v>70</v>
      </c>
      <c r="J248" s="115" t="s">
        <v>71</v>
      </c>
      <c r="K248" s="115" t="s">
        <v>72</v>
      </c>
      <c r="L248" s="115" t="s">
        <v>73</v>
      </c>
    </row>
    <row r="249" spans="3:12" x14ac:dyDescent="0.25">
      <c r="C249" s="116"/>
      <c r="D249" s="117"/>
      <c r="E249" s="117"/>
      <c r="F249" s="118"/>
      <c r="G249" s="53" t="str">
        <f>IFERROR(IF(Retenciones_mes1056[[#This Row],[CUIT]]="","-",VLOOKUP(Retenciones_mes1056[[#This Row],[CUIT]],Lista_CUIT[#All],2,0)),"CUIT NO CARGADO")</f>
        <v>-</v>
      </c>
      <c r="H249" s="119"/>
      <c r="I249" s="119"/>
      <c r="J249" s="119"/>
      <c r="K249" s="119"/>
      <c r="L249" s="119"/>
    </row>
    <row r="250" spans="3:12" x14ac:dyDescent="0.25">
      <c r="C250" s="116"/>
      <c r="D250" s="117"/>
      <c r="E250" s="117"/>
      <c r="F250" s="118"/>
      <c r="G250" s="53" t="str">
        <f>IFERROR(IF(Retenciones_mes1056[[#This Row],[CUIT]]="","-",VLOOKUP(Retenciones_mes1056[[#This Row],[CUIT]],Lista_CUIT[#All],2,0)),"CUIT NO CARGADO")</f>
        <v>-</v>
      </c>
      <c r="H250" s="119"/>
      <c r="I250" s="119"/>
      <c r="J250" s="119"/>
      <c r="K250" s="119"/>
      <c r="L250" s="119"/>
    </row>
    <row r="251" spans="3:12" x14ac:dyDescent="0.25">
      <c r="C251" s="116"/>
      <c r="D251" s="117"/>
      <c r="E251" s="117"/>
      <c r="F251" s="118"/>
      <c r="G251" s="53" t="str">
        <f>IFERROR(IF(Retenciones_mes1056[[#This Row],[CUIT]]="","-",VLOOKUP(Retenciones_mes1056[[#This Row],[CUIT]],Lista_CUIT[#All],2,0)),"CUIT NO CARGADO")</f>
        <v>-</v>
      </c>
      <c r="H251" s="119"/>
      <c r="I251" s="119"/>
      <c r="J251" s="119"/>
      <c r="K251" s="119"/>
      <c r="L251" s="119"/>
    </row>
    <row r="252" spans="3:12" x14ac:dyDescent="0.25">
      <c r="C252" s="116"/>
      <c r="D252" s="117"/>
      <c r="E252" s="117"/>
      <c r="F252" s="118"/>
      <c r="G252" s="53" t="str">
        <f>IFERROR(IF(Retenciones_mes1056[[#This Row],[CUIT]]="","-",VLOOKUP(Retenciones_mes1056[[#This Row],[CUIT]],Lista_CUIT[#All],2,0)),"CUIT NO CARGADO")</f>
        <v>-</v>
      </c>
      <c r="H252" s="119"/>
      <c r="I252" s="119"/>
      <c r="J252" s="119"/>
      <c r="K252" s="119"/>
      <c r="L252" s="119"/>
    </row>
    <row r="253" spans="3:12" x14ac:dyDescent="0.25">
      <c r="D253" s="117"/>
      <c r="E253" s="117"/>
      <c r="G253" s="53" t="str">
        <f>IFERROR(IF(Retenciones_mes1056[[#This Row],[CUIT]]="","-",VLOOKUP(Retenciones_mes1056[[#This Row],[CUIT]],Lista_CUIT[#All],2,0)),"CUIT NO CARGADO")</f>
        <v>-</v>
      </c>
    </row>
    <row r="254" spans="3:12" x14ac:dyDescent="0.25">
      <c r="C254" s="33"/>
    </row>
  </sheetData>
  <mergeCells count="20">
    <mergeCell ref="C247:G247"/>
    <mergeCell ref="B4:E4"/>
    <mergeCell ref="G4:H4"/>
    <mergeCell ref="J4:K4"/>
    <mergeCell ref="M4:N4"/>
    <mergeCell ref="D165:K165"/>
    <mergeCell ref="B215:J215"/>
    <mergeCell ref="K215:M215"/>
    <mergeCell ref="B217:C217"/>
    <mergeCell ref="B231:C231"/>
    <mergeCell ref="P4:R4"/>
    <mergeCell ref="D156:L156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4">
    <dataValidation type="custom" allowBlank="1" showInputMessage="1" showErrorMessage="1" sqref="L224:L225" xr:uid="{00000000-0002-0000-0A00-000000000000}">
      <formula1>IF($C151=3,L151&lt;0,L151&gt;=0)</formula1>
    </dataValidation>
    <dataValidation type="custom" allowBlank="1" showInputMessage="1" showErrorMessage="1" sqref="L220" xr:uid="{00000000-0002-0000-0A00-000001000000}">
      <formula1>IF($C102=3,L102&lt;0,L102&gt;=0)</formula1>
    </dataValidation>
    <dataValidation type="custom" allowBlank="1" showInputMessage="1" showErrorMessage="1" sqref="L219" xr:uid="{00000000-0002-0000-0A00-000002000000}">
      <formula1>IF($C9=3,L9&lt;0,L9&gt;=0)</formula1>
    </dataValidation>
    <dataValidation type="whole" allowBlank="1" showInputMessage="1" showErrorMessage="1" sqref="D219:D227 D233:D238 E167:E208 D9:D150" xr:uid="{00000000-0002-0000-0A00-000003000000}">
      <formula1>1</formula1>
      <formula2>9999</formula2>
    </dataValidation>
    <dataValidation type="whole" allowBlank="1" showInputMessage="1" showErrorMessage="1" sqref="E219:E227 E233:E238 F167:F208 E9:E150" xr:uid="{00000000-0002-0000-0A00-000004000000}">
      <formula1>1</formula1>
      <formula2>99999999</formula2>
    </dataValidation>
    <dataValidation type="whole" allowBlank="1" showInputMessage="1" showErrorMessage="1" sqref="G167:G208 F219:F227 F233:F238 F9:F42 F44:F150" xr:uid="{00000000-0002-0000-0A00-000005000000}">
      <formula1>20000000000</formula1>
      <formula2>33999999999</formula2>
    </dataValidation>
    <dataValidation type="date" allowBlank="1" showInputMessage="1" showErrorMessage="1" sqref="D158:D160 B219:B227 B152:B155 B233:B238 D167:D208 B9:B150" xr:uid="{00000000-0002-0000-0A00-000006000000}">
      <formula1>40179</formula1>
      <formula2>TODAY()</formula2>
    </dataValidation>
    <dataValidation type="whole" allowBlank="1" showInputMessage="1" showErrorMessage="1" sqref="C152:C155 C219:C227 C9:C150" xr:uid="{00000000-0002-0000-0A00-000007000000}">
      <formula1>1</formula1>
      <formula2>3</formula2>
    </dataValidation>
    <dataValidation type="custom" allowBlank="1" showInputMessage="1" showErrorMessage="1" sqref="H219:K219 H221:K221 H223:K223 H225:K225" xr:uid="{00000000-0002-0000-0A00-000008000000}">
      <formula1>IF($C219=3,H219&lt;0,H219&gt;=0)</formula1>
    </dataValidation>
    <dataValidation type="whole" allowBlank="1" showInputMessage="1" showErrorMessage="1" sqref="C233:C238" xr:uid="{00000000-0002-0000-0A00-000009000000}">
      <formula1>6</formula1>
      <formula2>8</formula2>
    </dataValidation>
    <dataValidation type="custom" allowBlank="1" showInputMessage="1" showErrorMessage="1" sqref="H233:L238" xr:uid="{00000000-0002-0000-0A00-00000A000000}">
      <formula1>IF($C233=8,H233&lt;0,H233&gt;=0)</formula1>
    </dataValidation>
    <dataValidation type="custom" allowBlank="1" showInputMessage="1" showErrorMessage="1" sqref="L221" xr:uid="{00000000-0002-0000-0A00-00000B000000}">
      <formula1>IF(#REF!=3,#REF!&lt;0,#REF!&gt;=0)</formula1>
    </dataValidation>
    <dataValidation type="custom" allowBlank="1" showInputMessage="1" showErrorMessage="1" sqref="L222:L223" xr:uid="{00000000-0002-0000-0A00-00000C000000}">
      <formula1>IF($C107=3,L107&lt;0,L107&gt;=0)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50" xr:uid="{00000000-0002-0000-0A00-00000D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436"/>
  <sheetViews>
    <sheetView showGridLines="0" topLeftCell="E94" zoomScale="70" zoomScaleNormal="70" workbookViewId="0">
      <selection activeCell="G105" sqref="G105"/>
    </sheetView>
  </sheetViews>
  <sheetFormatPr baseColWidth="10" defaultColWidth="11.5703125" defaultRowHeight="15" x14ac:dyDescent="0.25"/>
  <cols>
    <col min="1" max="1" width="1.7109375" customWidth="1"/>
    <col min="2" max="2" width="11.28515625" customWidth="1"/>
    <col min="3" max="3" width="9.5703125" customWidth="1"/>
    <col min="4" max="4" width="13.28515625" customWidth="1"/>
    <col min="5" max="5" width="14.5703125" customWidth="1"/>
    <col min="6" max="6" width="20" customWidth="1"/>
    <col min="7" max="7" width="29.42578125" customWidth="1"/>
    <col min="8" max="8" width="20" customWidth="1"/>
    <col min="9" max="9" width="17.5703125" customWidth="1"/>
    <col min="10" max="10" width="18.28515625" customWidth="1"/>
    <col min="11" max="11" width="14.42578125" customWidth="1"/>
    <col min="12" max="12" width="13" customWidth="1"/>
    <col min="13" max="13" width="8.28515625" customWidth="1"/>
    <col min="14" max="14" width="14.5703125" customWidth="1"/>
    <col min="15" max="15" width="18.5703125" customWidth="1"/>
    <col min="16" max="16" width="17.28515625" customWidth="1"/>
    <col min="17" max="17" width="16.7109375" customWidth="1"/>
    <col min="18" max="18" width="14.28515625" customWidth="1"/>
    <col min="19" max="19" width="12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EDATE('Ene-25'!N1,10)</f>
        <v>45962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SUM(compras_mes11[[#Totals],[NETO GRAVADO]])+extracto_banco_mes11[[#Totals],[NETO]]</f>
        <v>36513402.32</v>
      </c>
      <c r="C4" s="626"/>
      <c r="D4" s="626"/>
      <c r="E4" s="626"/>
      <c r="F4" s="39"/>
      <c r="G4" s="627">
        <f>compras_mes11[[#Totals],[IVA 21 %]]+compras_mes11[[#Totals],[IVA 27%]]+compras_mes11[[#Totals],[IVA 10,5%]]+extracto_banco_mes11[[#Totals],[IVA 21%]]+extracto_banco_mes11[[#Totals],[IVA 10,5%]]</f>
        <v>7456946.5494000036</v>
      </c>
      <c r="H4" s="627"/>
      <c r="I4" s="39"/>
      <c r="J4" s="628">
        <f>venta_a_mes11[[#Totals],[IMPORTE NETO]]+ventas_b_mes11[[#Totals],[IMPORTE NETO]]</f>
        <v>0</v>
      </c>
      <c r="K4" s="628"/>
      <c r="L4" s="39"/>
      <c r="M4" s="628">
        <f>venta_a_mes11[[#Totals],[IVA 21%]]+venta_a_mes11[[#Totals],[IVA 10,5%]]+ventas_b_mes11[[#Totals],[IVA 21%]]+ventas_b_mes11[[#Totals],[IVA 10,5%]]</f>
        <v>0</v>
      </c>
      <c r="N4" s="628"/>
      <c r="O4" s="39"/>
      <c r="P4" s="616">
        <f>G4-M4</f>
        <v>7456946.5494000036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363" customFormat="1" x14ac:dyDescent="0.25">
      <c r="B9" s="372"/>
      <c r="C9" s="270"/>
      <c r="D9" s="260"/>
      <c r="E9" s="261"/>
      <c r="F9" s="262">
        <v>30715141201</v>
      </c>
      <c r="G9" s="263" t="str">
        <f>IFERROR(IF(compras_mes11[[#This Row],[CUIT]]="","-",VLOOKUP(compras_mes11[[#This Row],[CUIT]],Lista_CUIT[#All],2,0)),"CUIT NO CARGADO")</f>
        <v>REHAB SRL</v>
      </c>
      <c r="H9" s="264">
        <v>300318.75</v>
      </c>
      <c r="I9" s="367">
        <f>IF(compras_mes11[[#This Row],[NETO GRAVADO]]="","",compras_mes11[[#This Row],[NETO GRAVADO]]*0.21)</f>
        <v>63066.9375</v>
      </c>
      <c r="J9" s="367"/>
      <c r="K9" s="367"/>
      <c r="L9" s="367">
        <v>0</v>
      </c>
      <c r="M9" s="367"/>
      <c r="N9" s="367">
        <v>0</v>
      </c>
      <c r="O9" s="367"/>
      <c r="P9" s="368">
        <f>SUM(compras_mes11[[#This Row],[NETO GRAVADO]:[Otros / No Grav.]])</f>
        <v>363385.6875</v>
      </c>
      <c r="Q9" s="364" t="str">
        <f>IFERROR(IF(compras_mes11[[#This Row],[CUIT]]="","-",VLOOKUP(compras_mes11[[#This Row],[CUIT]],Lista_CUIT[#All],3,0)),"CUIT NO CARGADO")</f>
        <v>INSUMO</v>
      </c>
      <c r="R9" s="364">
        <f>IFERROR(IF(compras_mes11[[#This Row],[CUIT]]="","-",VLOOKUP(compras_mes11[[#This Row],[CUIT]],Lista_CUIT[#All],4,0)),"CUIT NO CARGADO")</f>
        <v>0</v>
      </c>
    </row>
    <row r="10" spans="1:26" s="363" customFormat="1" x14ac:dyDescent="0.25">
      <c r="B10" s="372"/>
      <c r="C10" s="270"/>
      <c r="D10" s="260"/>
      <c r="E10" s="261"/>
      <c r="F10" s="262">
        <v>30714864269</v>
      </c>
      <c r="G10" s="263" t="str">
        <f>IFERROR(IF(compras_mes11[[#This Row],[CUIT]]="","-",VLOOKUP(compras_mes11[[#This Row],[CUIT]],Lista_CUIT[#All],2,0)),"CUIT NO CARGADO")</f>
        <v>CONTABILIUM S.A. S. A.</v>
      </c>
      <c r="H10" s="264">
        <v>184800</v>
      </c>
      <c r="I10" s="367">
        <f>IF(compras_mes11[[#This Row],[NETO GRAVADO]]="","",compras_mes11[[#This Row],[NETO GRAVADO]]*0.21)</f>
        <v>38808</v>
      </c>
      <c r="J10" s="367"/>
      <c r="K10" s="367"/>
      <c r="L10" s="367">
        <v>0</v>
      </c>
      <c r="M10" s="367"/>
      <c r="N10" s="367">
        <v>0</v>
      </c>
      <c r="O10" s="367"/>
      <c r="P10" s="368">
        <f>SUM(compras_mes11[[#This Row],[NETO GRAVADO]:[Otros / No Grav.]])</f>
        <v>223608</v>
      </c>
      <c r="Q10" s="364" t="str">
        <f>IFERROR(IF(compras_mes11[[#This Row],[CUIT]]="","-",VLOOKUP(compras_mes11[[#This Row],[CUIT]],Lista_CUIT[#All],3,0)),"CUIT NO CARGADO")</f>
        <v>USUARIO CONTABLE</v>
      </c>
      <c r="R10" s="364">
        <f>IFERROR(IF(compras_mes11[[#This Row],[CUIT]]="","-",VLOOKUP(compras_mes11[[#This Row],[CUIT]],Lista_CUIT[#All],4,0)),"CUIT NO CARGADO")</f>
        <v>0</v>
      </c>
    </row>
    <row r="11" spans="1:26" s="363" customFormat="1" x14ac:dyDescent="0.25">
      <c r="B11" s="372"/>
      <c r="C11" s="270"/>
      <c r="D11" s="260"/>
      <c r="E11" s="261"/>
      <c r="F11" s="262">
        <v>33716307749</v>
      </c>
      <c r="G11" s="263" t="str">
        <f>IFERROR(IF(compras_mes11[[#This Row],[CUIT]]="","-",VLOOKUP(compras_mes11[[#This Row],[CUIT]],Lista_CUIT[#All],2,0)),"CUIT NO CARGADO")</f>
        <v>VERISURE ARGENTINA MONITOREO DE ALARMAS SA</v>
      </c>
      <c r="H11" s="264">
        <v>62349.01</v>
      </c>
      <c r="I11" s="367">
        <f>IF(compras_mes11[[#This Row],[NETO GRAVADO]]="","",compras_mes11[[#This Row],[NETO GRAVADO]]*0.21)</f>
        <v>13093.292100000001</v>
      </c>
      <c r="J11" s="367"/>
      <c r="K11" s="367"/>
      <c r="L11" s="367">
        <v>0</v>
      </c>
      <c r="M11" s="367"/>
      <c r="N11" s="367">
        <v>0</v>
      </c>
      <c r="O11" s="367"/>
      <c r="P11" s="368">
        <f>SUM(compras_mes11[[#This Row],[NETO GRAVADO]:[Otros / No Grav.]])</f>
        <v>75442.302100000001</v>
      </c>
      <c r="Q11" s="364" t="str">
        <f>IFERROR(IF(compras_mes11[[#This Row],[CUIT]]="","-",VLOOKUP(compras_mes11[[#This Row],[CUIT]],Lista_CUIT[#All],3,0)),"CUIT NO CARGADO")</f>
        <v>Serv. Seguridad</v>
      </c>
      <c r="R11" s="364">
        <f>IFERROR(IF(compras_mes11[[#This Row],[CUIT]]="","-",VLOOKUP(compras_mes11[[#This Row],[CUIT]],Lista_CUIT[#All],4,0)),"CUIT NO CARGADO")</f>
        <v>0</v>
      </c>
    </row>
    <row r="12" spans="1:26" s="363" customFormat="1" x14ac:dyDescent="0.25">
      <c r="B12" s="372"/>
      <c r="C12" s="270"/>
      <c r="D12" s="260"/>
      <c r="E12" s="261"/>
      <c r="F12" s="262">
        <v>27243660535</v>
      </c>
      <c r="G12" s="263" t="str">
        <f>IFERROR(IF(compras_mes11[[#This Row],[CUIT]]="","-",VLOOKUP(compras_mes11[[#This Row],[CUIT]],Lista_CUIT[#All],2,0)),"CUIT NO CARGADO")</f>
        <v>BARD MARISA SILVIA</v>
      </c>
      <c r="H12" s="264">
        <v>489161.16</v>
      </c>
      <c r="I12" s="367">
        <f>IF(compras_mes11[[#This Row],[NETO GRAVADO]]="","",compras_mes11[[#This Row],[NETO GRAVADO]]*0.21)</f>
        <v>102723.84359999999</v>
      </c>
      <c r="J12" s="367"/>
      <c r="K12" s="367"/>
      <c r="L12" s="367">
        <v>0</v>
      </c>
      <c r="M12" s="367"/>
      <c r="N12" s="367">
        <v>0</v>
      </c>
      <c r="O12" s="367"/>
      <c r="P12" s="368">
        <f>SUM(compras_mes11[[#This Row],[NETO GRAVADO]:[Otros / No Grav.]])</f>
        <v>591885.00359999994</v>
      </c>
      <c r="Q12" s="364" t="str">
        <f>IFERROR(IF(compras_mes11[[#This Row],[CUIT]]="","-",VLOOKUP(compras_mes11[[#This Row],[CUIT]],Lista_CUIT[#All],3,0)),"CUIT NO CARGADO")</f>
        <v>Insumos</v>
      </c>
      <c r="R12" s="364">
        <f>IFERROR(IF(compras_mes11[[#This Row],[CUIT]]="","-",VLOOKUP(compras_mes11[[#This Row],[CUIT]],Lista_CUIT[#All],4,0)),"CUIT NO CARGADO")</f>
        <v>0</v>
      </c>
    </row>
    <row r="13" spans="1:26" s="363" customFormat="1" x14ac:dyDescent="0.25">
      <c r="B13" s="372"/>
      <c r="C13" s="270"/>
      <c r="D13" s="260"/>
      <c r="E13" s="261"/>
      <c r="F13" s="262">
        <v>30605344352</v>
      </c>
      <c r="G13" s="263" t="str">
        <f>IFERROR(IF(compras_mes11[[#This Row],[CUIT]]="","-",VLOOKUP(compras_mes11[[#This Row],[CUIT]],Lista_CUIT[#All],2,0)),"CUIT NO CARGADO")</f>
        <v>CONSORCIO BARTOLME MITRE 2466</v>
      </c>
      <c r="H13" s="264">
        <v>2160580</v>
      </c>
      <c r="I13" s="367">
        <f>IF(compras_mes11[[#This Row],[NETO GRAVADO]]="","",compras_mes11[[#This Row],[NETO GRAVADO]]*0.21)</f>
        <v>453721.8</v>
      </c>
      <c r="J13" s="367"/>
      <c r="K13" s="367"/>
      <c r="L13" s="367">
        <v>0</v>
      </c>
      <c r="M13" s="367"/>
      <c r="N13" s="367">
        <v>0</v>
      </c>
      <c r="O13" s="367"/>
      <c r="P13" s="368">
        <f>SUM(compras_mes11[[#This Row],[NETO GRAVADO]:[Otros / No Grav.]])</f>
        <v>2614301.7999999998</v>
      </c>
      <c r="Q13" s="364" t="str">
        <f>IFERROR(IF(compras_mes11[[#This Row],[CUIT]]="","-",VLOOKUP(compras_mes11[[#This Row],[CUIT]],Lista_CUIT[#All],3,0)),"CUIT NO CARGADO")</f>
        <v>ALQUILER LOCAL</v>
      </c>
      <c r="R13" s="364">
        <f>IFERROR(IF(compras_mes11[[#This Row],[CUIT]]="","-",VLOOKUP(compras_mes11[[#This Row],[CUIT]],Lista_CUIT[#All],4,0)),"CUIT NO CARGADO")</f>
        <v>0</v>
      </c>
    </row>
    <row r="14" spans="1:26" s="363" customFormat="1" x14ac:dyDescent="0.25">
      <c r="B14" s="372"/>
      <c r="C14" s="270"/>
      <c r="D14" s="260"/>
      <c r="E14" s="261"/>
      <c r="F14" s="262">
        <v>27144282383</v>
      </c>
      <c r="G14" s="263" t="str">
        <f>IFERROR(IF(compras_mes11[[#This Row],[CUIT]]="","-",VLOOKUP(compras_mes11[[#This Row],[CUIT]],Lista_CUIT[#All],2,0)),"CUIT NO CARGADO")</f>
        <v>SCHEJTER LILA ELISA</v>
      </c>
      <c r="H14" s="264">
        <v>70000</v>
      </c>
      <c r="I14" s="367">
        <f>IF(compras_mes11[[#This Row],[NETO GRAVADO]]="","",compras_mes11[[#This Row],[NETO GRAVADO]]*0.21)</f>
        <v>14700</v>
      </c>
      <c r="J14" s="367"/>
      <c r="K14" s="367"/>
      <c r="L14" s="367">
        <v>0</v>
      </c>
      <c r="M14" s="367"/>
      <c r="N14" s="367">
        <v>0</v>
      </c>
      <c r="O14" s="367"/>
      <c r="P14" s="368">
        <f>SUM(compras_mes11[[#This Row],[NETO GRAVADO]:[Otros / No Grav.]])</f>
        <v>84700</v>
      </c>
      <c r="Q14" s="364" t="str">
        <f>IFERROR(IF(compras_mes11[[#This Row],[CUIT]]="","-",VLOOKUP(compras_mes11[[#This Row],[CUIT]],Lista_CUIT[#All],3,0)),"CUIT NO CARGADO")</f>
        <v>Gtos Comercializacion</v>
      </c>
      <c r="R14" s="364">
        <f>IFERROR(IF(compras_mes11[[#This Row],[CUIT]]="","-",VLOOKUP(compras_mes11[[#This Row],[CUIT]],Lista_CUIT[#All],4,0)),"CUIT NO CARGADO")</f>
        <v>0</v>
      </c>
    </row>
    <row r="15" spans="1:26" s="363" customFormat="1" x14ac:dyDescent="0.25">
      <c r="B15" s="372"/>
      <c r="C15" s="270"/>
      <c r="D15" s="260"/>
      <c r="E15" s="261"/>
      <c r="F15" s="262">
        <v>20272865869</v>
      </c>
      <c r="G15" s="263" t="str">
        <f>IFERROR(IF(compras_mes11[[#This Row],[CUIT]]="","-",VLOOKUP(compras_mes11[[#This Row],[CUIT]],Lista_CUIT[#All],2,0)),"CUIT NO CARGADO")</f>
        <v>DI FEO MARTIN EZEQUIEL</v>
      </c>
      <c r="H15" s="264">
        <v>109300</v>
      </c>
      <c r="I15" s="367">
        <f>IF(compras_mes11[[#This Row],[NETO GRAVADO]]="","",compras_mes11[[#This Row],[NETO GRAVADO]]*0.21)</f>
        <v>22953</v>
      </c>
      <c r="J15" s="367"/>
      <c r="K15" s="367"/>
      <c r="L15" s="367">
        <v>0</v>
      </c>
      <c r="M15" s="367"/>
      <c r="N15" s="367">
        <v>0</v>
      </c>
      <c r="O15" s="367"/>
      <c r="P15" s="368">
        <f>SUM(compras_mes11[[#This Row],[NETO GRAVADO]:[Otros / No Grav.]])</f>
        <v>132253</v>
      </c>
      <c r="Q15" s="364" t="str">
        <f>IFERROR(IF(compras_mes11[[#This Row],[CUIT]]="","-",VLOOKUP(compras_mes11[[#This Row],[CUIT]],Lista_CUIT[#All],3,0)),"CUIT NO CARGADO")</f>
        <v>INSUMOS</v>
      </c>
      <c r="R15" s="364">
        <f>IFERROR(IF(compras_mes11[[#This Row],[CUIT]]="","-",VLOOKUP(compras_mes11[[#This Row],[CUIT]],Lista_CUIT[#All],4,0)),"CUIT NO CARGADO")</f>
        <v>0</v>
      </c>
    </row>
    <row r="16" spans="1:26" s="363" customFormat="1" x14ac:dyDescent="0.25">
      <c r="B16" s="372"/>
      <c r="C16" s="270"/>
      <c r="D16" s="358"/>
      <c r="E16" s="359"/>
      <c r="F16" s="360">
        <v>20272865869</v>
      </c>
      <c r="G16" s="361" t="str">
        <f>IFERROR(IF(compras_mes11[[#This Row],[CUIT]]="","-",VLOOKUP(compras_mes11[[#This Row],[CUIT]],Lista_CUIT[#All],2,0)),"CUIT NO CARGADO")</f>
        <v>DI FEO MARTIN EZEQUIEL</v>
      </c>
      <c r="H16" s="362">
        <v>126400</v>
      </c>
      <c r="I16" s="367">
        <f>IF(compras_mes11[[#This Row],[NETO GRAVADO]]="","",compras_mes11[[#This Row],[NETO GRAVADO]]*0.21)</f>
        <v>26544</v>
      </c>
      <c r="J16" s="367"/>
      <c r="K16" s="367"/>
      <c r="L16" s="367">
        <v>0</v>
      </c>
      <c r="M16" s="367"/>
      <c r="N16" s="367">
        <v>0</v>
      </c>
      <c r="O16" s="367"/>
      <c r="P16" s="368">
        <f>SUM(compras_mes11[[#This Row],[NETO GRAVADO]:[Otros / No Grav.]])</f>
        <v>152944</v>
      </c>
      <c r="Q16" s="364" t="str">
        <f>IFERROR(IF(compras_mes11[[#This Row],[CUIT]]="","-",VLOOKUP(compras_mes11[[#This Row],[CUIT]],Lista_CUIT[#All],3,0)),"CUIT NO CARGADO")</f>
        <v>INSUMOS</v>
      </c>
      <c r="R16" s="364">
        <f>IFERROR(IF(compras_mes11[[#This Row],[CUIT]]="","-",VLOOKUP(compras_mes11[[#This Row],[CUIT]],Lista_CUIT[#All],4,0)),"CUIT NO CARGADO")</f>
        <v>0</v>
      </c>
    </row>
    <row r="17" spans="2:18" s="363" customFormat="1" x14ac:dyDescent="0.25">
      <c r="B17" s="372"/>
      <c r="C17" s="270"/>
      <c r="D17" s="260"/>
      <c r="E17" s="261"/>
      <c r="F17" s="262">
        <v>20272865869</v>
      </c>
      <c r="G17" s="263" t="str">
        <f>IFERROR(IF(compras_mes11[[#This Row],[CUIT]]="","-",VLOOKUP(compras_mes11[[#This Row],[CUIT]],Lista_CUIT[#All],2,0)),"CUIT NO CARGADO")</f>
        <v>DI FEO MARTIN EZEQUIEL</v>
      </c>
      <c r="H17" s="264">
        <v>19500</v>
      </c>
      <c r="I17" s="367">
        <f>IF(compras_mes11[[#This Row],[NETO GRAVADO]]="","",compras_mes11[[#This Row],[NETO GRAVADO]]*0.21)</f>
        <v>4095</v>
      </c>
      <c r="J17" s="367"/>
      <c r="K17" s="367"/>
      <c r="L17" s="367">
        <v>0</v>
      </c>
      <c r="M17" s="367"/>
      <c r="N17" s="367">
        <v>0</v>
      </c>
      <c r="O17" s="367"/>
      <c r="P17" s="368">
        <f>SUM(compras_mes11[[#This Row],[NETO GRAVADO]:[Otros / No Grav.]])</f>
        <v>23595</v>
      </c>
      <c r="Q17" s="364" t="str">
        <f>IFERROR(IF(compras_mes11[[#This Row],[CUIT]]="","-",VLOOKUP(compras_mes11[[#This Row],[CUIT]],Lista_CUIT[#All],3,0)),"CUIT NO CARGADO")</f>
        <v>INSUMOS</v>
      </c>
      <c r="R17" s="364">
        <f>IFERROR(IF(compras_mes11[[#This Row],[CUIT]]="","-",VLOOKUP(compras_mes11[[#This Row],[CUIT]],Lista_CUIT[#All],4,0)),"CUIT NO CARGADO")</f>
        <v>0</v>
      </c>
    </row>
    <row r="18" spans="2:18" s="363" customFormat="1" x14ac:dyDescent="0.25">
      <c r="B18" s="372"/>
      <c r="C18" s="270"/>
      <c r="D18" s="260"/>
      <c r="E18" s="261"/>
      <c r="F18" s="262">
        <v>20272865869</v>
      </c>
      <c r="G18" s="263" t="str">
        <f>IFERROR(IF(compras_mes11[[#This Row],[CUIT]]="","-",VLOOKUP(compras_mes11[[#This Row],[CUIT]],Lista_CUIT[#All],2,0)),"CUIT NO CARGADO")</f>
        <v>DI FEO MARTIN EZEQUIEL</v>
      </c>
      <c r="H18" s="264">
        <v>150700</v>
      </c>
      <c r="I18" s="367">
        <f>IF(compras_mes11[[#This Row],[NETO GRAVADO]]="","",compras_mes11[[#This Row],[NETO GRAVADO]]*0.21)</f>
        <v>31647</v>
      </c>
      <c r="J18" s="367"/>
      <c r="K18" s="367"/>
      <c r="L18" s="367">
        <v>0</v>
      </c>
      <c r="M18" s="367"/>
      <c r="N18" s="367">
        <v>0</v>
      </c>
      <c r="O18" s="367"/>
      <c r="P18" s="368">
        <f>SUM(compras_mes11[[#This Row],[NETO GRAVADO]:[Otros / No Grav.]])</f>
        <v>182347</v>
      </c>
      <c r="Q18" s="364" t="str">
        <f>IFERROR(IF(compras_mes11[[#This Row],[CUIT]]="","-",VLOOKUP(compras_mes11[[#This Row],[CUIT]],Lista_CUIT[#All],3,0)),"CUIT NO CARGADO")</f>
        <v>INSUMOS</v>
      </c>
      <c r="R18" s="364">
        <f>IFERROR(IF(compras_mes11[[#This Row],[CUIT]]="","-",VLOOKUP(compras_mes11[[#This Row],[CUIT]],Lista_CUIT[#All],4,0)),"CUIT NO CARGADO")</f>
        <v>0</v>
      </c>
    </row>
    <row r="19" spans="2:18" s="363" customFormat="1" x14ac:dyDescent="0.25">
      <c r="B19" s="372"/>
      <c r="C19" s="270"/>
      <c r="D19" s="260"/>
      <c r="E19" s="261"/>
      <c r="F19" s="262">
        <v>20272865869</v>
      </c>
      <c r="G19" s="263" t="str">
        <f>IFERROR(IF(compras_mes11[[#This Row],[CUIT]]="","-",VLOOKUP(compras_mes11[[#This Row],[CUIT]],Lista_CUIT[#All],2,0)),"CUIT NO CARGADO")</f>
        <v>DI FEO MARTIN EZEQUIEL</v>
      </c>
      <c r="H19" s="264">
        <v>15700</v>
      </c>
      <c r="I19" s="367">
        <f>IF(compras_mes11[[#This Row],[NETO GRAVADO]]="","",compras_mes11[[#This Row],[NETO GRAVADO]]*0.21)</f>
        <v>3297</v>
      </c>
      <c r="J19" s="367"/>
      <c r="K19" s="367"/>
      <c r="L19" s="367">
        <v>0</v>
      </c>
      <c r="M19" s="367"/>
      <c r="N19" s="367">
        <v>0</v>
      </c>
      <c r="O19" s="367"/>
      <c r="P19" s="368">
        <f>SUM(compras_mes11[[#This Row],[NETO GRAVADO]:[Otros / No Grav.]])</f>
        <v>18997</v>
      </c>
      <c r="Q19" s="364" t="str">
        <f>IFERROR(IF(compras_mes11[[#This Row],[CUIT]]="","-",VLOOKUP(compras_mes11[[#This Row],[CUIT]],Lista_CUIT[#All],3,0)),"CUIT NO CARGADO")</f>
        <v>INSUMOS</v>
      </c>
      <c r="R19" s="364">
        <f>IFERROR(IF(compras_mes11[[#This Row],[CUIT]]="","-",VLOOKUP(compras_mes11[[#This Row],[CUIT]],Lista_CUIT[#All],4,0)),"CUIT NO CARGADO")</f>
        <v>0</v>
      </c>
    </row>
    <row r="20" spans="2:18" s="363" customFormat="1" x14ac:dyDescent="0.25">
      <c r="B20" s="372"/>
      <c r="C20" s="270"/>
      <c r="D20" s="373"/>
      <c r="E20" s="374"/>
      <c r="F20" s="375">
        <v>20272865869</v>
      </c>
      <c r="G20" s="376" t="str">
        <f>IFERROR(IF(compras_mes11[[#This Row],[CUIT]]="","-",VLOOKUP(compras_mes11[[#This Row],[CUIT]],Lista_CUIT[#All],2,0)),"CUIT NO CARGADO")</f>
        <v>DI FEO MARTIN EZEQUIEL</v>
      </c>
      <c r="H20" s="377">
        <v>131009.09</v>
      </c>
      <c r="I20" s="367">
        <f>IF(compras_mes11[[#This Row],[NETO GRAVADO]]="","",compras_mes11[[#This Row],[NETO GRAVADO]]*0.21)</f>
        <v>27511.908899999999</v>
      </c>
      <c r="J20" s="370"/>
      <c r="K20" s="370"/>
      <c r="L20" s="370">
        <v>0</v>
      </c>
      <c r="M20" s="370"/>
      <c r="N20" s="370">
        <v>0</v>
      </c>
      <c r="O20" s="370"/>
      <c r="P20" s="368">
        <f>SUM(compras_mes11[[#This Row],[NETO GRAVADO]:[Otros / No Grav.]])</f>
        <v>158520.99890000001</v>
      </c>
      <c r="Q20" s="369" t="str">
        <f>IFERROR(IF(compras_mes11[[#This Row],[CUIT]]="","-",VLOOKUP(compras_mes11[[#This Row],[CUIT]],Lista_CUIT[#All],3,0)),"CUIT NO CARGADO")</f>
        <v>INSUMOS</v>
      </c>
      <c r="R20" s="369">
        <f>IFERROR(IF(compras_mes11[[#This Row],[CUIT]]="","-",VLOOKUP(compras_mes11[[#This Row],[CUIT]],Lista_CUIT[#All],4,0)),"CUIT NO CARGADO")</f>
        <v>0</v>
      </c>
    </row>
    <row r="21" spans="2:18" s="363" customFormat="1" x14ac:dyDescent="0.25">
      <c r="B21" s="372"/>
      <c r="C21" s="270"/>
      <c r="D21" s="260"/>
      <c r="E21" s="261"/>
      <c r="F21" s="262">
        <v>30718329805</v>
      </c>
      <c r="G21" s="263" t="str">
        <f>IFERROR(IF(compras_mes11[[#This Row],[CUIT]]="","-",VLOOKUP(compras_mes11[[#This Row],[CUIT]],Lista_CUIT[#All],2,0)),"CUIT NO CARGADO")</f>
        <v>CIEN POR CIENTO FOLLETOS SRL</v>
      </c>
      <c r="H21" s="264">
        <v>73057.850000000006</v>
      </c>
      <c r="I21" s="367">
        <f>IF(compras_mes11[[#This Row],[NETO GRAVADO]]="","",compras_mes11[[#This Row],[NETO GRAVADO]]*0.21)</f>
        <v>15342.148500000001</v>
      </c>
      <c r="J21" s="367"/>
      <c r="K21" s="367"/>
      <c r="L21" s="367">
        <v>0</v>
      </c>
      <c r="M21" s="367"/>
      <c r="N21" s="367">
        <v>0</v>
      </c>
      <c r="O21" s="367"/>
      <c r="P21" s="368">
        <f>SUM(compras_mes11[[#This Row],[NETO GRAVADO]:[Otros / No Grav.]])</f>
        <v>88399.998500000002</v>
      </c>
      <c r="Q21" s="364" t="str">
        <f>IFERROR(IF(compras_mes11[[#This Row],[CUIT]]="","-",VLOOKUP(compras_mes11[[#This Row],[CUIT]],Lista_CUIT[#All],3,0)),"CUIT NO CARGADO")</f>
        <v>Papeleria</v>
      </c>
      <c r="R21" s="364">
        <f>IFERROR(IF(compras_mes11[[#This Row],[CUIT]]="","-",VLOOKUP(compras_mes11[[#This Row],[CUIT]],Lista_CUIT[#All],4,0)),"CUIT NO CARGADO")</f>
        <v>0</v>
      </c>
    </row>
    <row r="22" spans="2:18" s="363" customFormat="1" x14ac:dyDescent="0.25">
      <c r="B22" s="372"/>
      <c r="C22" s="270"/>
      <c r="D22" s="260"/>
      <c r="E22" s="261"/>
      <c r="F22" s="262">
        <v>30718329805</v>
      </c>
      <c r="G22" s="263" t="str">
        <f>IFERROR(IF(compras_mes11[[#This Row],[CUIT]]="","-",VLOOKUP(compras_mes11[[#This Row],[CUIT]],Lista_CUIT[#All],2,0)),"CUIT NO CARGADO")</f>
        <v>CIEN POR CIENTO FOLLETOS SRL</v>
      </c>
      <c r="H22" s="264">
        <v>73057.850000000006</v>
      </c>
      <c r="I22" s="367">
        <f>IF(compras_mes11[[#This Row],[NETO GRAVADO]]="","",compras_mes11[[#This Row],[NETO GRAVADO]]*0.21)</f>
        <v>15342.148500000001</v>
      </c>
      <c r="J22" s="367"/>
      <c r="K22" s="367"/>
      <c r="L22" s="367">
        <v>0</v>
      </c>
      <c r="M22" s="367"/>
      <c r="N22" s="367">
        <v>0</v>
      </c>
      <c r="O22" s="367"/>
      <c r="P22" s="368">
        <f>SUM(compras_mes11[[#This Row],[NETO GRAVADO]:[Otros / No Grav.]])</f>
        <v>88399.998500000002</v>
      </c>
      <c r="Q22" s="364" t="str">
        <f>IFERROR(IF(compras_mes11[[#This Row],[CUIT]]="","-",VLOOKUP(compras_mes11[[#This Row],[CUIT]],Lista_CUIT[#All],3,0)),"CUIT NO CARGADO")</f>
        <v>Papeleria</v>
      </c>
      <c r="R22" s="364">
        <f>IFERROR(IF(compras_mes11[[#This Row],[CUIT]]="","-",VLOOKUP(compras_mes11[[#This Row],[CUIT]],Lista_CUIT[#All],4,0)),"CUIT NO CARGADO")</f>
        <v>0</v>
      </c>
    </row>
    <row r="23" spans="2:18" s="363" customFormat="1" x14ac:dyDescent="0.25">
      <c r="B23" s="372"/>
      <c r="C23" s="270"/>
      <c r="D23" s="260"/>
      <c r="E23" s="261"/>
      <c r="F23" s="262">
        <v>24253769951</v>
      </c>
      <c r="G23" s="263" t="str">
        <f>IFERROR(IF(compras_mes11[[#This Row],[CUIT]]="","-",VLOOKUP(compras_mes11[[#This Row],[CUIT]],Lista_CUIT[#All],2,0)),"CUIT NO CARGADO")</f>
        <v>VIDAL LEONARDO JAVIER</v>
      </c>
      <c r="H23" s="264">
        <v>315957</v>
      </c>
      <c r="I23" s="367">
        <f>IF(compras_mes11[[#This Row],[NETO GRAVADO]]="","",compras_mes11[[#This Row],[NETO GRAVADO]]*0.21)</f>
        <v>66350.97</v>
      </c>
      <c r="J23" s="367"/>
      <c r="K23" s="367"/>
      <c r="L23" s="367">
        <v>0</v>
      </c>
      <c r="M23" s="367"/>
      <c r="N23" s="367">
        <v>0</v>
      </c>
      <c r="O23" s="367"/>
      <c r="P23" s="368">
        <f>SUM(compras_mes11[[#This Row],[NETO GRAVADO]:[Otros / No Grav.]])</f>
        <v>382307.97</v>
      </c>
      <c r="Q23" s="364" t="str">
        <f>IFERROR(IF(compras_mes11[[#This Row],[CUIT]]="","-",VLOOKUP(compras_mes11[[#This Row],[CUIT]],Lista_CUIT[#All],3,0)),"CUIT NO CARGADO")</f>
        <v>Insumos</v>
      </c>
      <c r="R23" s="364">
        <f>IFERROR(IF(compras_mes11[[#This Row],[CUIT]]="","-",VLOOKUP(compras_mes11[[#This Row],[CUIT]],Lista_CUIT[#All],4,0)),"CUIT NO CARGADO")</f>
        <v>0</v>
      </c>
    </row>
    <row r="24" spans="2:18" s="363" customFormat="1" x14ac:dyDescent="0.25">
      <c r="B24" s="372"/>
      <c r="C24" s="270"/>
      <c r="D24" s="260"/>
      <c r="E24" s="261"/>
      <c r="F24" s="262">
        <v>30694549817</v>
      </c>
      <c r="G24" s="263" t="str">
        <f>IFERROR(IF(compras_mes11[[#This Row],[CUIT]]="","-",VLOOKUP(compras_mes11[[#This Row],[CUIT]],Lista_CUIT[#All],2,0)),"CUIT NO CARGADO")</f>
        <v>DISEÑOS JERY SRL</v>
      </c>
      <c r="H24" s="264">
        <v>193893</v>
      </c>
      <c r="I24" s="367">
        <f>IF(compras_mes11[[#This Row],[NETO GRAVADO]]="","",compras_mes11[[#This Row],[NETO GRAVADO]]*0.21)</f>
        <v>40717.53</v>
      </c>
      <c r="J24" s="367"/>
      <c r="K24" s="367"/>
      <c r="L24" s="367">
        <v>0</v>
      </c>
      <c r="M24" s="367"/>
      <c r="N24" s="367">
        <v>0</v>
      </c>
      <c r="O24" s="367"/>
      <c r="P24" s="368">
        <f>SUM(compras_mes11[[#This Row],[NETO GRAVADO]:[Otros / No Grav.]])</f>
        <v>234610.53</v>
      </c>
      <c r="Q24" s="364" t="str">
        <f>IFERROR(IF(compras_mes11[[#This Row],[CUIT]]="","-",VLOOKUP(compras_mes11[[#This Row],[CUIT]],Lista_CUIT[#All],3,0)),"CUIT NO CARGADO")</f>
        <v>INSUMO</v>
      </c>
      <c r="R24" s="364">
        <f>IFERROR(IF(compras_mes11[[#This Row],[CUIT]]="","-",VLOOKUP(compras_mes11[[#This Row],[CUIT]],Lista_CUIT[#All],4,0)),"CUIT NO CARGADO")</f>
        <v>0</v>
      </c>
    </row>
    <row r="25" spans="2:18" s="363" customFormat="1" x14ac:dyDescent="0.25">
      <c r="B25" s="372"/>
      <c r="C25" s="270"/>
      <c r="D25" s="260"/>
      <c r="E25" s="261"/>
      <c r="F25" s="262">
        <v>33708218699</v>
      </c>
      <c r="G25" s="263" t="str">
        <f>IFERROR(IF(compras_mes11[[#This Row],[CUIT]]="","-",VLOOKUP(compras_mes11[[#This Row],[CUIT]],Lista_CUIT[#All],2,0)),"CUIT NO CARGADO")</f>
        <v>MANGGINI PABLO Y MANGGINI ULISES SOC. DE HECHO.</v>
      </c>
      <c r="H25" s="264">
        <v>90000</v>
      </c>
      <c r="I25" s="367">
        <f>IF(compras_mes11[[#This Row],[NETO GRAVADO]]="","",compras_mes11[[#This Row],[NETO GRAVADO]]*0.21)</f>
        <v>18900</v>
      </c>
      <c r="J25" s="367"/>
      <c r="K25" s="367"/>
      <c r="L25" s="367">
        <v>0</v>
      </c>
      <c r="M25" s="367"/>
      <c r="N25" s="367">
        <v>0</v>
      </c>
      <c r="O25" s="367"/>
      <c r="P25" s="368">
        <f>SUM(compras_mes11[[#This Row],[NETO GRAVADO]:[Otros / No Grav.]])</f>
        <v>108900</v>
      </c>
      <c r="Q25" s="364" t="str">
        <f>IFERROR(IF(compras_mes11[[#This Row],[CUIT]]="","-",VLOOKUP(compras_mes11[[#This Row],[CUIT]],Lista_CUIT[#All],3,0)),"CUIT NO CARGADO")</f>
        <v>SERVICIO</v>
      </c>
      <c r="R25" s="364">
        <f>IFERROR(IF(compras_mes11[[#This Row],[CUIT]]="","-",VLOOKUP(compras_mes11[[#This Row],[CUIT]],Lista_CUIT[#All],4,0)),"CUIT NO CARGADO")</f>
        <v>0</v>
      </c>
    </row>
    <row r="26" spans="2:18" s="363" customFormat="1" x14ac:dyDescent="0.25">
      <c r="B26" s="372"/>
      <c r="C26" s="270"/>
      <c r="D26" s="260"/>
      <c r="E26" s="261"/>
      <c r="F26" s="262">
        <v>30703088534</v>
      </c>
      <c r="G26" s="263" t="str">
        <f>IFERROR(IF(compras_mes11[[#This Row],[CUIT]]="","-",VLOOKUP(compras_mes11[[#This Row],[CUIT]],Lista_CUIT[#All],2,0)),"CUIT NO CARGADO")</f>
        <v>MERCADO LIBRE SRL</v>
      </c>
      <c r="H26" s="264">
        <v>147998.62</v>
      </c>
      <c r="I26" s="367">
        <f>IF(compras_mes11[[#This Row],[NETO GRAVADO]]="","",compras_mes11[[#This Row],[NETO GRAVADO]]*0.21)</f>
        <v>31079.710199999998</v>
      </c>
      <c r="J26" s="367"/>
      <c r="K26" s="367"/>
      <c r="L26" s="367">
        <v>4439.96</v>
      </c>
      <c r="M26" s="367"/>
      <c r="N26" s="367">
        <v>0</v>
      </c>
      <c r="O26" s="367"/>
      <c r="P26" s="368">
        <f>SUM(compras_mes11[[#This Row],[NETO GRAVADO]:[Otros / No Grav.]])</f>
        <v>183518.29019999999</v>
      </c>
      <c r="Q26" s="364" t="str">
        <f>IFERROR(IF(compras_mes11[[#This Row],[CUIT]]="","-",VLOOKUP(compras_mes11[[#This Row],[CUIT]],Lista_CUIT[#All],3,0)),"CUIT NO CARGADO")</f>
        <v>PLATAFORMA ONLINE</v>
      </c>
      <c r="R26" s="364">
        <f>IFERROR(IF(compras_mes11[[#This Row],[CUIT]]="","-",VLOOKUP(compras_mes11[[#This Row],[CUIT]],Lista_CUIT[#All],4,0)),"CUIT NO CARGADO")</f>
        <v>0</v>
      </c>
    </row>
    <row r="27" spans="2:18" s="363" customFormat="1" x14ac:dyDescent="0.25">
      <c r="B27" s="372"/>
      <c r="C27" s="270"/>
      <c r="D27" s="260"/>
      <c r="E27" s="261"/>
      <c r="F27" s="262">
        <v>33708218699</v>
      </c>
      <c r="G27" s="263" t="str">
        <f>IFERROR(IF(compras_mes11[[#This Row],[CUIT]]="","-",VLOOKUP(compras_mes11[[#This Row],[CUIT]],Lista_CUIT[#All],2,0)),"CUIT NO CARGADO")</f>
        <v>MANGGINI PABLO Y MANGGINI ULISES SOC. DE HECHO.</v>
      </c>
      <c r="H27" s="264">
        <v>45000</v>
      </c>
      <c r="I27" s="367">
        <f>IF(compras_mes11[[#This Row],[NETO GRAVADO]]="","",compras_mes11[[#This Row],[NETO GRAVADO]]*0.21)</f>
        <v>9450</v>
      </c>
      <c r="J27" s="367"/>
      <c r="K27" s="367"/>
      <c r="L27" s="367">
        <v>0</v>
      </c>
      <c r="M27" s="367"/>
      <c r="N27" s="367">
        <v>0</v>
      </c>
      <c r="O27" s="367"/>
      <c r="P27" s="368">
        <f>SUM(compras_mes11[[#This Row],[NETO GRAVADO]:[Otros / No Grav.]])</f>
        <v>54450</v>
      </c>
      <c r="Q27" s="364" t="str">
        <f>IFERROR(IF(compras_mes11[[#This Row],[CUIT]]="","-",VLOOKUP(compras_mes11[[#This Row],[CUIT]],Lista_CUIT[#All],3,0)),"CUIT NO CARGADO")</f>
        <v>SERVICIO</v>
      </c>
      <c r="R27" s="364">
        <f>IFERROR(IF(compras_mes11[[#This Row],[CUIT]]="","-",VLOOKUP(compras_mes11[[#This Row],[CUIT]],Lista_CUIT[#All],4,0)),"CUIT NO CARGADO")</f>
        <v>0</v>
      </c>
    </row>
    <row r="28" spans="2:18" s="363" customFormat="1" x14ac:dyDescent="0.25">
      <c r="B28" s="372"/>
      <c r="C28" s="270"/>
      <c r="D28" s="260"/>
      <c r="E28" s="261"/>
      <c r="F28" s="262">
        <v>30577744579</v>
      </c>
      <c r="G28" s="263" t="str">
        <f>IFERROR(IF(compras_mes11[[#This Row],[CUIT]]="","-",VLOOKUP(compras_mes11[[#This Row],[CUIT]],Lista_CUIT[#All],2,0)),"CUIT NO CARGADO")</f>
        <v>EXPRESO TROLE SRL</v>
      </c>
      <c r="H28" s="264">
        <v>130554.62</v>
      </c>
      <c r="I28" s="367">
        <f>IF(compras_mes11[[#This Row],[NETO GRAVADO]]="","",compras_mes11[[#This Row],[NETO GRAVADO]]*0.21)</f>
        <v>27416.4702</v>
      </c>
      <c r="J28" s="367"/>
      <c r="K28" s="367"/>
      <c r="L28" s="367">
        <v>0</v>
      </c>
      <c r="M28" s="367"/>
      <c r="N28" s="367">
        <v>0</v>
      </c>
      <c r="O28" s="367"/>
      <c r="P28" s="368">
        <f>SUM(compras_mes11[[#This Row],[NETO GRAVADO]:[Otros / No Grav.]])</f>
        <v>157971.09020000001</v>
      </c>
      <c r="Q28" s="364" t="str">
        <f>IFERROR(IF(compras_mes11[[#This Row],[CUIT]]="","-",VLOOKUP(compras_mes11[[#This Row],[CUIT]],Lista_CUIT[#All],3,0)),"CUIT NO CARGADO")</f>
        <v>Flete</v>
      </c>
      <c r="R28" s="364">
        <f>IFERROR(IF(compras_mes11[[#This Row],[CUIT]]="","-",VLOOKUP(compras_mes11[[#This Row],[CUIT]],Lista_CUIT[#All],4,0)),"CUIT NO CARGADO")</f>
        <v>0</v>
      </c>
    </row>
    <row r="29" spans="2:18" s="363" customFormat="1" x14ac:dyDescent="0.25">
      <c r="B29" s="372"/>
      <c r="C29" s="270"/>
      <c r="D29" s="260"/>
      <c r="E29" s="261"/>
      <c r="F29" s="262">
        <v>30711454388</v>
      </c>
      <c r="G29" s="263" t="str">
        <f>IFERROR(IF(compras_mes11[[#This Row],[CUIT]]="","-",VLOOKUP(compras_mes11[[#This Row],[CUIT]],Lista_CUIT[#All],2,0)),"CUIT NO CARGADO")</f>
        <v>LIPROT S.R.L.</v>
      </c>
      <c r="H29" s="264">
        <v>197766</v>
      </c>
      <c r="I29" s="367">
        <f>IF(compras_mes11[[#This Row],[NETO GRAVADO]]="","",compras_mes11[[#This Row],[NETO GRAVADO]]*0.21)</f>
        <v>41530.86</v>
      </c>
      <c r="J29" s="367"/>
      <c r="K29" s="367"/>
      <c r="L29" s="367">
        <v>0</v>
      </c>
      <c r="M29" s="367"/>
      <c r="N29" s="367">
        <v>0</v>
      </c>
      <c r="O29" s="367"/>
      <c r="P29" s="368">
        <f>SUM(compras_mes11[[#This Row],[NETO GRAVADO]:[Otros / No Grav.]])</f>
        <v>239296.86</v>
      </c>
      <c r="Q29" s="364" t="str">
        <f>IFERROR(IF(compras_mes11[[#This Row],[CUIT]]="","-",VLOOKUP(compras_mes11[[#This Row],[CUIT]],Lista_CUIT[#All],3,0)),"CUIT NO CARGADO")</f>
        <v>textil</v>
      </c>
      <c r="R29" s="364">
        <f>IFERROR(IF(compras_mes11[[#This Row],[CUIT]]="","-",VLOOKUP(compras_mes11[[#This Row],[CUIT]],Lista_CUIT[#All],4,0)),"CUIT NO CARGADO")</f>
        <v>0</v>
      </c>
    </row>
    <row r="30" spans="2:18" s="363" customFormat="1" x14ac:dyDescent="0.25">
      <c r="B30" s="372"/>
      <c r="C30" s="270"/>
      <c r="D30" s="260"/>
      <c r="E30" s="261"/>
      <c r="F30" s="262">
        <v>30712019359</v>
      </c>
      <c r="G30" s="263" t="str">
        <f>IFERROR(IF(compras_mes11[[#This Row],[CUIT]]="","-",VLOOKUP(compras_mes11[[#This Row],[CUIT]],Lista_CUIT[#All],2,0)),"CUIT NO CARGADO")</f>
        <v>LINKEDSTORE ARGENTINA SRL</v>
      </c>
      <c r="H30" s="264">
        <v>17767.77</v>
      </c>
      <c r="I30" s="367">
        <f>IF(compras_mes11[[#This Row],[NETO GRAVADO]]="","",compras_mes11[[#This Row],[NETO GRAVADO]]*0.21)</f>
        <v>3731.2316999999998</v>
      </c>
      <c r="J30" s="367"/>
      <c r="K30" s="367"/>
      <c r="L30" s="367">
        <v>0</v>
      </c>
      <c r="M30" s="367"/>
      <c r="N30" s="367">
        <v>0</v>
      </c>
      <c r="O30" s="367"/>
      <c r="P30" s="368">
        <f>SUM(compras_mes11[[#This Row],[NETO GRAVADO]:[Otros / No Grav.]])</f>
        <v>21499.001700000001</v>
      </c>
      <c r="Q30" s="364" t="str">
        <f>IFERROR(IF(compras_mes11[[#This Row],[CUIT]]="","-",VLOOKUP(compras_mes11[[#This Row],[CUIT]],Lista_CUIT[#All],3,0)),"CUIT NO CARGADO")</f>
        <v>pROVEEDOR</v>
      </c>
      <c r="R30" s="364">
        <f>IFERROR(IF(compras_mes11[[#This Row],[CUIT]]="","-",VLOOKUP(compras_mes11[[#This Row],[CUIT]],Lista_CUIT[#All],4,0)),"CUIT NO CARGADO")</f>
        <v>0</v>
      </c>
    </row>
    <row r="31" spans="2:18" s="363" customFormat="1" x14ac:dyDescent="0.25">
      <c r="B31" s="372"/>
      <c r="C31" s="270"/>
      <c r="D31" s="260"/>
      <c r="E31" s="261"/>
      <c r="F31" s="262">
        <v>20174004146</v>
      </c>
      <c r="G31" s="263" t="str">
        <f>IFERROR(IF(compras_mes11[[#This Row],[CUIT]]="","-",VLOOKUP(compras_mes11[[#This Row],[CUIT]],Lista_CUIT[#All],2,0)),"CUIT NO CARGADO")</f>
        <v>EDUEARDO FRANCISCO NARDOMARINO</v>
      </c>
      <c r="H31" s="264">
        <v>270000</v>
      </c>
      <c r="I31" s="367">
        <f>IF(compras_mes11[[#This Row],[NETO GRAVADO]]="","",compras_mes11[[#This Row],[NETO GRAVADO]]*0.21)</f>
        <v>56700</v>
      </c>
      <c r="J31" s="367"/>
      <c r="K31" s="367"/>
      <c r="L31" s="367">
        <v>0</v>
      </c>
      <c r="M31" s="367"/>
      <c r="N31" s="367">
        <v>0</v>
      </c>
      <c r="O31" s="367"/>
      <c r="P31" s="368">
        <f>SUM(compras_mes11[[#This Row],[NETO GRAVADO]:[Otros / No Grav.]])</f>
        <v>326700</v>
      </c>
      <c r="Q31" s="364" t="str">
        <f>IFERROR(IF(compras_mes11[[#This Row],[CUIT]]="","-",VLOOKUP(compras_mes11[[#This Row],[CUIT]],Lista_CUIT[#All],3,0)),"CUIT NO CARGADO")</f>
        <v>FLETE</v>
      </c>
      <c r="R31" s="364">
        <f>IFERROR(IF(compras_mes11[[#This Row],[CUIT]]="","-",VLOOKUP(compras_mes11[[#This Row],[CUIT]],Lista_CUIT[#All],4,0)),"CUIT NO CARGADO")</f>
        <v>0</v>
      </c>
    </row>
    <row r="32" spans="2:18" s="363" customFormat="1" x14ac:dyDescent="0.25">
      <c r="B32" s="372"/>
      <c r="C32" s="270"/>
      <c r="D32" s="260"/>
      <c r="E32" s="261"/>
      <c r="F32" s="262">
        <v>20174004146</v>
      </c>
      <c r="G32" s="263" t="str">
        <f>IFERROR(IF(compras_mes11[[#This Row],[CUIT]]="","-",VLOOKUP(compras_mes11[[#This Row],[CUIT]],Lista_CUIT[#All],2,0)),"CUIT NO CARGADO")</f>
        <v>EDUEARDO FRANCISCO NARDOMARINO</v>
      </c>
      <c r="H32" s="264">
        <v>280000</v>
      </c>
      <c r="I32" s="367">
        <f>IF(compras_mes11[[#This Row],[NETO GRAVADO]]="","",compras_mes11[[#This Row],[NETO GRAVADO]]*0.21)</f>
        <v>58800</v>
      </c>
      <c r="J32" s="367"/>
      <c r="K32" s="367"/>
      <c r="L32" s="367">
        <v>0</v>
      </c>
      <c r="M32" s="367"/>
      <c r="N32" s="367">
        <v>0</v>
      </c>
      <c r="O32" s="367"/>
      <c r="P32" s="368">
        <f>SUM(compras_mes11[[#This Row],[NETO GRAVADO]:[Otros / No Grav.]])</f>
        <v>338800</v>
      </c>
      <c r="Q32" s="364" t="str">
        <f>IFERROR(IF(compras_mes11[[#This Row],[CUIT]]="","-",VLOOKUP(compras_mes11[[#This Row],[CUIT]],Lista_CUIT[#All],3,0)),"CUIT NO CARGADO")</f>
        <v>FLETE</v>
      </c>
      <c r="R32" s="364">
        <f>IFERROR(IF(compras_mes11[[#This Row],[CUIT]]="","-",VLOOKUP(compras_mes11[[#This Row],[CUIT]],Lista_CUIT[#All],4,0)),"CUIT NO CARGADO")</f>
        <v>0</v>
      </c>
    </row>
    <row r="33" spans="2:18" s="363" customFormat="1" x14ac:dyDescent="0.25">
      <c r="B33" s="372"/>
      <c r="C33" s="270"/>
      <c r="D33" s="260"/>
      <c r="E33" s="261"/>
      <c r="F33" s="262">
        <v>20174004146</v>
      </c>
      <c r="G33" s="263" t="str">
        <f>IFERROR(IF(compras_mes11[[#This Row],[CUIT]]="","-",VLOOKUP(compras_mes11[[#This Row],[CUIT]],Lista_CUIT[#All],2,0)),"CUIT NO CARGADO")</f>
        <v>EDUEARDO FRANCISCO NARDOMARINO</v>
      </c>
      <c r="H33" s="264">
        <v>332500</v>
      </c>
      <c r="I33" s="367">
        <f>IF(compras_mes11[[#This Row],[NETO GRAVADO]]="","",compras_mes11[[#This Row],[NETO GRAVADO]]*0.21)</f>
        <v>69825</v>
      </c>
      <c r="J33" s="367"/>
      <c r="K33" s="367"/>
      <c r="L33" s="367">
        <v>0</v>
      </c>
      <c r="M33" s="367"/>
      <c r="N33" s="367">
        <v>0</v>
      </c>
      <c r="O33" s="367"/>
      <c r="P33" s="368">
        <f>SUM(compras_mes11[[#This Row],[NETO GRAVADO]:[Otros / No Grav.]])</f>
        <v>402325</v>
      </c>
      <c r="Q33" s="364" t="str">
        <f>IFERROR(IF(compras_mes11[[#This Row],[CUIT]]="","-",VLOOKUP(compras_mes11[[#This Row],[CUIT]],Lista_CUIT[#All],3,0)),"CUIT NO CARGADO")</f>
        <v>FLETE</v>
      </c>
      <c r="R33" s="364">
        <f>IFERROR(IF(compras_mes11[[#This Row],[CUIT]]="","-",VLOOKUP(compras_mes11[[#This Row],[CUIT]],Lista_CUIT[#All],4,0)),"CUIT NO CARGADO")</f>
        <v>0</v>
      </c>
    </row>
    <row r="34" spans="2:18" s="363" customFormat="1" x14ac:dyDescent="0.25">
      <c r="B34" s="372"/>
      <c r="C34" s="270"/>
      <c r="D34" s="260"/>
      <c r="E34" s="261"/>
      <c r="F34" s="262">
        <v>20174004146</v>
      </c>
      <c r="G34" s="263" t="str">
        <f>IFERROR(IF(compras_mes11[[#This Row],[CUIT]]="","-",VLOOKUP(compras_mes11[[#This Row],[CUIT]],Lista_CUIT[#All],2,0)),"CUIT NO CARGADO")</f>
        <v>EDUEARDO FRANCISCO NARDOMARINO</v>
      </c>
      <c r="H34" s="264">
        <v>262500</v>
      </c>
      <c r="I34" s="367">
        <f>IF(compras_mes11[[#This Row],[NETO GRAVADO]]="","",compras_mes11[[#This Row],[NETO GRAVADO]]*0.21)</f>
        <v>55125</v>
      </c>
      <c r="J34" s="367"/>
      <c r="K34" s="367"/>
      <c r="L34" s="367">
        <v>0</v>
      </c>
      <c r="M34" s="367"/>
      <c r="N34" s="367">
        <v>0</v>
      </c>
      <c r="O34" s="367"/>
      <c r="P34" s="368">
        <f>SUM(compras_mes11[[#This Row],[NETO GRAVADO]:[Otros / No Grav.]])</f>
        <v>317625</v>
      </c>
      <c r="Q34" s="364" t="str">
        <f>IFERROR(IF(compras_mes11[[#This Row],[CUIT]]="","-",VLOOKUP(compras_mes11[[#This Row],[CUIT]],Lista_CUIT[#All],3,0)),"CUIT NO CARGADO")</f>
        <v>FLETE</v>
      </c>
      <c r="R34" s="364">
        <f>IFERROR(IF(compras_mes11[[#This Row],[CUIT]]="","-",VLOOKUP(compras_mes11[[#This Row],[CUIT]],Lista_CUIT[#All],4,0)),"CUIT NO CARGADO")</f>
        <v>0</v>
      </c>
    </row>
    <row r="35" spans="2:18" s="363" customFormat="1" x14ac:dyDescent="0.25">
      <c r="B35" s="596"/>
      <c r="C35" s="597"/>
      <c r="D35" s="598"/>
      <c r="E35" s="599"/>
      <c r="F35" s="600">
        <v>20317488476</v>
      </c>
      <c r="G35" s="601" t="str">
        <f>IFERROR(IF(compras_mes11[[#This Row],[CUIT]]="","-",VLOOKUP(compras_mes11[[#This Row],[CUIT]],Lista_CUIT[#All],2,0)),"CUIT NO CARGADO")</f>
        <v>MIGUEL ANGEL VILLALBA</v>
      </c>
      <c r="H35" s="602">
        <v>900000</v>
      </c>
      <c r="I35" s="603">
        <f>IF(compras_mes11[[#This Row],[NETO GRAVADO]]="","",compras_mes11[[#This Row],[NETO GRAVADO]]*0.21)</f>
        <v>189000</v>
      </c>
      <c r="J35" s="603"/>
      <c r="K35" s="603"/>
      <c r="L35" s="603">
        <v>0</v>
      </c>
      <c r="M35" s="603"/>
      <c r="N35" s="603">
        <v>0</v>
      </c>
      <c r="O35" s="603"/>
      <c r="P35" s="604">
        <f>SUM(compras_mes11[[#This Row],[NETO GRAVADO]:[Otros / No Grav.]])</f>
        <v>1089000</v>
      </c>
      <c r="Q35" s="605" t="s">
        <v>2515</v>
      </c>
      <c r="R35" s="606">
        <f>IFERROR(IF(compras_mes11[[#This Row],[CUIT]]="","-",VLOOKUP(compras_mes11[[#This Row],[CUIT]],Lista_CUIT[#All],4,0)),"CUIT NO CARGADO")</f>
        <v>0</v>
      </c>
    </row>
    <row r="36" spans="2:18" s="363" customFormat="1" x14ac:dyDescent="0.25">
      <c r="B36" s="372"/>
      <c r="C36" s="270"/>
      <c r="D36" s="260"/>
      <c r="E36" s="261"/>
      <c r="F36" s="262">
        <v>30712305513</v>
      </c>
      <c r="G36" s="263" t="str">
        <f>IFERROR(IF(compras_mes11[[#This Row],[CUIT]]="","-",VLOOKUP(compras_mes11[[#This Row],[CUIT]],Lista_CUIT[#All],2,0)),"CUIT NO CARGADO")</f>
        <v>TRINIDAD INSUMOS SRL</v>
      </c>
      <c r="H36" s="264">
        <v>1084000</v>
      </c>
      <c r="I36" s="367">
        <f>IF(compras_mes11[[#This Row],[NETO GRAVADO]]="","",compras_mes11[[#This Row],[NETO GRAVADO]]*0.21)</f>
        <v>227640</v>
      </c>
      <c r="J36" s="367"/>
      <c r="K36" s="367"/>
      <c r="L36" s="367">
        <v>0</v>
      </c>
      <c r="M36" s="367"/>
      <c r="N36" s="367">
        <v>0</v>
      </c>
      <c r="O36" s="367"/>
      <c r="P36" s="368">
        <f>SUM(compras_mes11[[#This Row],[NETO GRAVADO]:[Otros / No Grav.]])</f>
        <v>1311640</v>
      </c>
      <c r="Q36" s="364" t="str">
        <f>IFERROR(IF(compras_mes11[[#This Row],[CUIT]]="","-",VLOOKUP(compras_mes11[[#This Row],[CUIT]],Lista_CUIT[#All],3,0)),"CUIT NO CARGADO")</f>
        <v>SERVICIOS</v>
      </c>
      <c r="R36" s="364">
        <f>IFERROR(IF(compras_mes11[[#This Row],[CUIT]]="","-",VLOOKUP(compras_mes11[[#This Row],[CUIT]],Lista_CUIT[#All],4,0)),"CUIT NO CARGADO")</f>
        <v>0</v>
      </c>
    </row>
    <row r="37" spans="2:18" s="363" customFormat="1" x14ac:dyDescent="0.25">
      <c r="B37" s="372"/>
      <c r="C37" s="270"/>
      <c r="D37" s="260"/>
      <c r="E37" s="261"/>
      <c r="F37" s="262">
        <v>30712305513</v>
      </c>
      <c r="G37" s="263" t="str">
        <f>IFERROR(IF(compras_mes11[[#This Row],[CUIT]]="","-",VLOOKUP(compras_mes11[[#This Row],[CUIT]],Lista_CUIT[#All],2,0)),"CUIT NO CARGADO")</f>
        <v>TRINIDAD INSUMOS SRL</v>
      </c>
      <c r="H37" s="264">
        <v>1980800</v>
      </c>
      <c r="I37" s="367">
        <f>117800*0.21</f>
        <v>24738</v>
      </c>
      <c r="J37" s="367"/>
      <c r="K37" s="367">
        <f>1863000*0.105</f>
        <v>195615</v>
      </c>
      <c r="L37" s="367">
        <v>0</v>
      </c>
      <c r="M37" s="367"/>
      <c r="N37" s="367">
        <v>0</v>
      </c>
      <c r="O37" s="367"/>
      <c r="P37" s="368">
        <f>SUM(compras_mes11[[#This Row],[NETO GRAVADO]:[Otros / No Grav.]])</f>
        <v>2201153</v>
      </c>
      <c r="Q37" s="364" t="str">
        <f>IFERROR(IF(compras_mes11[[#This Row],[CUIT]]="","-",VLOOKUP(compras_mes11[[#This Row],[CUIT]],Lista_CUIT[#All],3,0)),"CUIT NO CARGADO")</f>
        <v>SERVICIOS</v>
      </c>
      <c r="R37" s="364">
        <f>IFERROR(IF(compras_mes11[[#This Row],[CUIT]]="","-",VLOOKUP(compras_mes11[[#This Row],[CUIT]],Lista_CUIT[#All],4,0)),"CUIT NO CARGADO")</f>
        <v>0</v>
      </c>
    </row>
    <row r="38" spans="2:18" s="363" customFormat="1" x14ac:dyDescent="0.25">
      <c r="B38" s="372"/>
      <c r="C38" s="270"/>
      <c r="D38" s="373"/>
      <c r="E38" s="374"/>
      <c r="F38" s="375">
        <v>20289111329</v>
      </c>
      <c r="G38" s="376" t="str">
        <f>IFERROR(IF(compras_mes11[[#This Row],[CUIT]]="","-",VLOOKUP(compras_mes11[[#This Row],[CUIT]],Lista_CUIT[#All],2,0)),"CUIT NO CARGADO")</f>
        <v>R. N. LEDESMA</v>
      </c>
      <c r="H38" s="377">
        <v>1704476.64</v>
      </c>
      <c r="I38" s="367">
        <f>IF(compras_mes11[[#This Row],[NETO GRAVADO]]="","",compras_mes11[[#This Row],[NETO GRAVADO]]*0.21)</f>
        <v>357940.09439999994</v>
      </c>
      <c r="J38" s="367"/>
      <c r="K38" s="367"/>
      <c r="L38" s="367">
        <v>0</v>
      </c>
      <c r="M38" s="367"/>
      <c r="N38" s="367">
        <v>0</v>
      </c>
      <c r="O38" s="367"/>
      <c r="P38" s="368">
        <f>SUM(compras_mes11[[#This Row],[NETO GRAVADO]:[Otros / No Grav.]])</f>
        <v>2062416.7344</v>
      </c>
      <c r="Q38" s="364" t="str">
        <f>IFERROR(IF(compras_mes11[[#This Row],[CUIT]]="","-",VLOOKUP(compras_mes11[[#This Row],[CUIT]],Lista_CUIT[#All],3,0)),"CUIT NO CARGADO")</f>
        <v>Insumo</v>
      </c>
      <c r="R38" s="364">
        <f>IFERROR(IF(compras_mes11[[#This Row],[CUIT]]="","-",VLOOKUP(compras_mes11[[#This Row],[CUIT]],Lista_CUIT[#All],4,0)),"CUIT NO CARGADO")</f>
        <v>0</v>
      </c>
    </row>
    <row r="39" spans="2:18" s="363" customFormat="1" x14ac:dyDescent="0.25">
      <c r="B39" s="372"/>
      <c r="C39" s="270"/>
      <c r="D39" s="260"/>
      <c r="E39" s="261"/>
      <c r="F39" s="262">
        <v>20289111329</v>
      </c>
      <c r="G39" s="263" t="str">
        <f>IFERROR(IF(compras_mes11[[#This Row],[CUIT]]="","-",VLOOKUP(compras_mes11[[#This Row],[CUIT]],Lista_CUIT[#All],2,0)),"CUIT NO CARGADO")</f>
        <v>R. N. LEDESMA</v>
      </c>
      <c r="H39" s="264">
        <v>60480</v>
      </c>
      <c r="I39" s="367">
        <f>IF(compras_mes11[[#This Row],[NETO GRAVADO]]="","",compras_mes11[[#This Row],[NETO GRAVADO]]*0.21)</f>
        <v>12700.8</v>
      </c>
      <c r="J39" s="367"/>
      <c r="K39" s="367"/>
      <c r="L39" s="367">
        <v>0</v>
      </c>
      <c r="M39" s="367"/>
      <c r="N39" s="367">
        <v>0</v>
      </c>
      <c r="O39" s="367"/>
      <c r="P39" s="368">
        <f>SUM(compras_mes11[[#This Row],[NETO GRAVADO]:[Otros / No Grav.]])</f>
        <v>73180.800000000003</v>
      </c>
      <c r="Q39" s="364" t="str">
        <f>IFERROR(IF(compras_mes11[[#This Row],[CUIT]]="","-",VLOOKUP(compras_mes11[[#This Row],[CUIT]],Lista_CUIT[#All],3,0)),"CUIT NO CARGADO")</f>
        <v>Insumo</v>
      </c>
      <c r="R39" s="364">
        <f>IFERROR(IF(compras_mes11[[#This Row],[CUIT]]="","-",VLOOKUP(compras_mes11[[#This Row],[CUIT]],Lista_CUIT[#All],4,0)),"CUIT NO CARGADO")</f>
        <v>0</v>
      </c>
    </row>
    <row r="40" spans="2:18" s="363" customFormat="1" x14ac:dyDescent="0.25">
      <c r="B40" s="372"/>
      <c r="C40" s="270"/>
      <c r="D40" s="260"/>
      <c r="E40" s="261"/>
      <c r="F40" s="262">
        <v>20929183143</v>
      </c>
      <c r="G40" s="263" t="str">
        <f>IFERROR(IF(compras_mes11[[#This Row],[CUIT]]="","-",VLOOKUP(compras_mes11[[#This Row],[CUIT]],Lista_CUIT[#All],2,0)),"CUIT NO CARGADO")</f>
        <v>MA JUN</v>
      </c>
      <c r="H40" s="264">
        <v>110000</v>
      </c>
      <c r="I40" s="367">
        <f>IF(compras_mes11[[#This Row],[NETO GRAVADO]]="","",compras_mes11[[#This Row],[NETO GRAVADO]]*0.21)</f>
        <v>23100</v>
      </c>
      <c r="J40" s="367"/>
      <c r="K40" s="367"/>
      <c r="L40" s="367">
        <v>0</v>
      </c>
      <c r="M40" s="367"/>
      <c r="N40" s="367">
        <v>0</v>
      </c>
      <c r="O40" s="367"/>
      <c r="P40" s="368">
        <f>SUM(compras_mes11[[#This Row],[NETO GRAVADO]:[Otros / No Grav.]])</f>
        <v>133100</v>
      </c>
      <c r="Q40" s="364" t="str">
        <f>IFERROR(IF(compras_mes11[[#This Row],[CUIT]]="","-",VLOOKUP(compras_mes11[[#This Row],[CUIT]],Lista_CUIT[#All],3,0)),"CUIT NO CARGADO")</f>
        <v>Gastos Varios</v>
      </c>
      <c r="R40" s="364">
        <f>IFERROR(IF(compras_mes11[[#This Row],[CUIT]]="","-",VLOOKUP(compras_mes11[[#This Row],[CUIT]],Lista_CUIT[#All],4,0)),"CUIT NO CARGADO")</f>
        <v>0</v>
      </c>
    </row>
    <row r="41" spans="2:18" s="363" customFormat="1" x14ac:dyDescent="0.25">
      <c r="B41" s="372"/>
      <c r="C41" s="270"/>
      <c r="D41" s="260"/>
      <c r="E41" s="261"/>
      <c r="F41" s="262">
        <v>30712155945</v>
      </c>
      <c r="G41" s="263" t="str">
        <f>IFERROR(IF(compras_mes11[[#This Row],[CUIT]]="","-",VLOOKUP(compras_mes11[[#This Row],[CUIT]],Lista_CUIT[#All],2,0)),"CUIT NO CARGADO")</f>
        <v>BM MEDICINE SRL</v>
      </c>
      <c r="H41" s="264">
        <v>783510</v>
      </c>
      <c r="I41" s="367">
        <f>IF(compras_mes11[[#This Row],[NETO GRAVADO]]="","",compras_mes11[[#This Row],[NETO GRAVADO]]*0.21)</f>
        <v>164537.1</v>
      </c>
      <c r="J41" s="367"/>
      <c r="K41" s="367"/>
      <c r="L41" s="367">
        <v>0</v>
      </c>
      <c r="M41" s="367"/>
      <c r="N41" s="367">
        <v>0</v>
      </c>
      <c r="O41" s="367"/>
      <c r="P41" s="368">
        <f>SUM(compras_mes11[[#This Row],[NETO GRAVADO]:[Otros / No Grav.]])</f>
        <v>948047.1</v>
      </c>
      <c r="Q41" s="364" t="str">
        <f>IFERROR(IF(compras_mes11[[#This Row],[CUIT]]="","-",VLOOKUP(compras_mes11[[#This Row],[CUIT]],Lista_CUIT[#All],3,0)),"CUIT NO CARGADO")</f>
        <v>Prod. Ortopedicos</v>
      </c>
      <c r="R41" s="364">
        <f>IFERROR(IF(compras_mes11[[#This Row],[CUIT]]="","-",VLOOKUP(compras_mes11[[#This Row],[CUIT]],Lista_CUIT[#All],4,0)),"CUIT NO CARGADO")</f>
        <v>0</v>
      </c>
    </row>
    <row r="42" spans="2:18" s="363" customFormat="1" x14ac:dyDescent="0.25">
      <c r="B42" s="372"/>
      <c r="C42" s="270"/>
      <c r="D42" s="260"/>
      <c r="E42" s="261"/>
      <c r="F42" s="262">
        <v>30712155945</v>
      </c>
      <c r="G42" s="263" t="str">
        <f>IFERROR(IF(compras_mes11[[#This Row],[CUIT]]="","-",VLOOKUP(compras_mes11[[#This Row],[CUIT]],Lista_CUIT[#All],2,0)),"CUIT NO CARGADO")</f>
        <v>BM MEDICINE SRL</v>
      </c>
      <c r="H42" s="264">
        <v>682110</v>
      </c>
      <c r="I42" s="367">
        <f>IF(compras_mes11[[#This Row],[NETO GRAVADO]]="","",compras_mes11[[#This Row],[NETO GRAVADO]]*0.21)</f>
        <v>143243.1</v>
      </c>
      <c r="J42" s="367"/>
      <c r="K42" s="367"/>
      <c r="L42" s="367">
        <v>0</v>
      </c>
      <c r="M42" s="367"/>
      <c r="N42" s="367">
        <v>0</v>
      </c>
      <c r="O42" s="367"/>
      <c r="P42" s="368">
        <f>SUM(compras_mes11[[#This Row],[NETO GRAVADO]:[Otros / No Grav.]])</f>
        <v>825353.1</v>
      </c>
      <c r="Q42" s="364" t="str">
        <f>IFERROR(IF(compras_mes11[[#This Row],[CUIT]]="","-",VLOOKUP(compras_mes11[[#This Row],[CUIT]],Lista_CUIT[#All],3,0)),"CUIT NO CARGADO")</f>
        <v>Prod. Ortopedicos</v>
      </c>
      <c r="R42" s="364">
        <f>IFERROR(IF(compras_mes11[[#This Row],[CUIT]]="","-",VLOOKUP(compras_mes11[[#This Row],[CUIT]],Lista_CUIT[#All],4,0)),"CUIT NO CARGADO")</f>
        <v>0</v>
      </c>
    </row>
    <row r="43" spans="2:18" s="363" customFormat="1" x14ac:dyDescent="0.25">
      <c r="B43" s="372"/>
      <c r="C43" s="270"/>
      <c r="D43" s="260"/>
      <c r="E43" s="261"/>
      <c r="F43" s="262">
        <v>27265302225</v>
      </c>
      <c r="G43" s="263" t="str">
        <f>IFERROR(IF(compras_mes11[[#This Row],[CUIT]]="","-",VLOOKUP(compras_mes11[[#This Row],[CUIT]],Lista_CUIT[#All],2,0)),"CUIT NO CARGADO")</f>
        <v>PRADO MARISOL</v>
      </c>
      <c r="H43" s="264">
        <v>1800000</v>
      </c>
      <c r="I43" s="367">
        <f>IF(compras_mes11[[#This Row],[NETO GRAVADO]]="","",compras_mes11[[#This Row],[NETO GRAVADO]]*0.21)</f>
        <v>378000</v>
      </c>
      <c r="J43" s="367"/>
      <c r="K43" s="367"/>
      <c r="L43" s="367">
        <v>0</v>
      </c>
      <c r="M43" s="367"/>
      <c r="N43" s="367">
        <v>0</v>
      </c>
      <c r="O43" s="367"/>
      <c r="P43" s="368">
        <f>SUM(compras_mes11[[#This Row],[NETO GRAVADO]:[Otros / No Grav.]])</f>
        <v>2178000</v>
      </c>
      <c r="Q43" s="364" t="str">
        <f>IFERROR(IF(compras_mes11[[#This Row],[CUIT]]="","-",VLOOKUP(compras_mes11[[#This Row],[CUIT]],Lista_CUIT[#All],3,0)),"CUIT NO CARGADO")</f>
        <v>INSUMO</v>
      </c>
      <c r="R43" s="364">
        <f>IFERROR(IF(compras_mes11[[#This Row],[CUIT]]="","-",VLOOKUP(compras_mes11[[#This Row],[CUIT]],Lista_CUIT[#All],4,0)),"CUIT NO CARGADO")</f>
        <v>0</v>
      </c>
    </row>
    <row r="44" spans="2:18" s="363" customFormat="1" x14ac:dyDescent="0.25">
      <c r="B44" s="372"/>
      <c r="C44" s="270"/>
      <c r="D44" s="260"/>
      <c r="E44" s="261"/>
      <c r="F44" s="262">
        <v>30715833243</v>
      </c>
      <c r="G44" s="263" t="str">
        <f>IFERROR(IF(compras_mes11[[#This Row],[CUIT]]="","-",VLOOKUP(compras_mes11[[#This Row],[CUIT]],Lista_CUIT[#All],2,0)),"CUIT NO CARGADO")</f>
        <v>BIODINAMICA ASIST E INSUMOS</v>
      </c>
      <c r="H44" s="264">
        <v>41801.370000000003</v>
      </c>
      <c r="I44" s="367">
        <f>IF(compras_mes11[[#This Row],[NETO GRAVADO]]="","",compras_mes11[[#This Row],[NETO GRAVADO]]*0.21)</f>
        <v>8778.2877000000008</v>
      </c>
      <c r="J44" s="367"/>
      <c r="K44" s="367"/>
      <c r="L44" s="367">
        <v>0</v>
      </c>
      <c r="M44" s="367"/>
      <c r="N44" s="367">
        <v>0</v>
      </c>
      <c r="O44" s="367"/>
      <c r="P44" s="368">
        <f>SUM(compras_mes11[[#This Row],[NETO GRAVADO]:[Otros / No Grav.]])</f>
        <v>50579.657700000003</v>
      </c>
      <c r="Q44" s="364" t="str">
        <f>IFERROR(IF(compras_mes11[[#This Row],[CUIT]]="","-",VLOOKUP(compras_mes11[[#This Row],[CUIT]],Lista_CUIT[#All],3,0)),"CUIT NO CARGADO")</f>
        <v>INSUMO</v>
      </c>
      <c r="R44" s="364">
        <f>IFERROR(IF(compras_mes11[[#This Row],[CUIT]]="","-",VLOOKUP(compras_mes11[[#This Row],[CUIT]],Lista_CUIT[#All],4,0)),"CUIT NO CARGADO")</f>
        <v>0</v>
      </c>
    </row>
    <row r="45" spans="2:18" s="363" customFormat="1" x14ac:dyDescent="0.25">
      <c r="B45" s="372"/>
      <c r="C45" s="270"/>
      <c r="D45" s="373"/>
      <c r="E45" s="374"/>
      <c r="F45" s="375">
        <v>30598960093</v>
      </c>
      <c r="G45" s="376" t="str">
        <f>IFERROR(IF(compras_mes11[[#This Row],[CUIT]]="","-",VLOOKUP(compras_mes11[[#This Row],[CUIT]],Lista_CUIT[#All],2,0)),"CUIT NO CARGADO")</f>
        <v>SILVESTRIN FABRIS SRL</v>
      </c>
      <c r="H45" s="377">
        <v>6722700.75</v>
      </c>
      <c r="I45" s="367">
        <f>IF(compras_mes11[[#This Row],[NETO GRAVADO]]="","",compras_mes11[[#This Row],[NETO GRAVADO]]*0.21)</f>
        <v>1411767.1575</v>
      </c>
      <c r="J45" s="367"/>
      <c r="K45" s="367"/>
      <c r="L45" s="367">
        <v>0</v>
      </c>
      <c r="M45" s="367"/>
      <c r="N45" s="367">
        <v>268908.03000000003</v>
      </c>
      <c r="O45" s="367"/>
      <c r="P45" s="368">
        <f>SUM(compras_mes11[[#This Row],[NETO GRAVADO]:[Otros / No Grav.]])</f>
        <v>8403375.9375</v>
      </c>
      <c r="Q45" s="364" t="str">
        <f>IFERROR(IF(compras_mes11[[#This Row],[CUIT]]="","-",VLOOKUP(compras_mes11[[#This Row],[CUIT]],Lista_CUIT[#All],3,0)),"CUIT NO CARGADO")</f>
        <v>INSUMO</v>
      </c>
      <c r="R45" s="364">
        <f>IFERROR(IF(compras_mes11[[#This Row],[CUIT]]="","-",VLOOKUP(compras_mes11[[#This Row],[CUIT]],Lista_CUIT[#All],4,0)),"CUIT NO CARGADO")</f>
        <v>0</v>
      </c>
    </row>
    <row r="46" spans="2:18" s="363" customFormat="1" x14ac:dyDescent="0.25">
      <c r="B46" s="372"/>
      <c r="C46" s="270"/>
      <c r="D46" s="260"/>
      <c r="E46" s="261"/>
      <c r="F46" s="262">
        <v>30702652975</v>
      </c>
      <c r="G46" s="263" t="str">
        <f>IFERROR(IF(compras_mes11[[#This Row],[CUIT]]="","-",VLOOKUP(compras_mes11[[#This Row],[CUIT]],Lista_CUIT[#All],2,0)),"CUIT NO CARGADO")</f>
        <v>NSS SA</v>
      </c>
      <c r="H46" s="264">
        <v>39226.82</v>
      </c>
      <c r="I46" s="367">
        <f>IF(compras_mes11[[#This Row],[NETO GRAVADO]]="","",compras_mes11[[#This Row],[NETO GRAVADO]]*0.21)</f>
        <v>8237.6322</v>
      </c>
      <c r="J46" s="367"/>
      <c r="K46" s="367"/>
      <c r="L46" s="367">
        <v>0</v>
      </c>
      <c r="M46" s="367"/>
      <c r="N46" s="367">
        <v>1569.07</v>
      </c>
      <c r="O46" s="367"/>
      <c r="P46" s="368">
        <f>SUM(compras_mes11[[#This Row],[NETO GRAVADO]:[Otros / No Grav.]])</f>
        <v>49033.522199999999</v>
      </c>
      <c r="Q46" s="364" t="str">
        <f>IFERROR(IF(compras_mes11[[#This Row],[CUIT]]="","-",VLOOKUP(compras_mes11[[#This Row],[CUIT]],Lista_CUIT[#All],3,0)),"CUIT NO CARGADO")</f>
        <v>SERVICIOS</v>
      </c>
      <c r="R46" s="364">
        <f>IFERROR(IF(compras_mes11[[#This Row],[CUIT]]="","-",VLOOKUP(compras_mes11[[#This Row],[CUIT]],Lista_CUIT[#All],4,0)),"CUIT NO CARGADO")</f>
        <v>0</v>
      </c>
    </row>
    <row r="47" spans="2:18" s="363" customFormat="1" x14ac:dyDescent="0.25">
      <c r="B47" s="372"/>
      <c r="C47" s="270"/>
      <c r="D47" s="260"/>
      <c r="E47" s="261"/>
      <c r="F47" s="262">
        <v>30708960736</v>
      </c>
      <c r="G47" s="263" t="str">
        <f>IFERROR(IF(compras_mes11[[#This Row],[CUIT]]="","-",VLOOKUP(compras_mes11[[#This Row],[CUIT]],Lista_CUIT[#All],2,0)),"CUIT NO CARGADO")</f>
        <v>TECNIPRAX SRL</v>
      </c>
      <c r="H47" s="264">
        <v>4008264.46</v>
      </c>
      <c r="I47" s="367">
        <f>IF(compras_mes11[[#This Row],[NETO GRAVADO]]="","",compras_mes11[[#This Row],[NETO GRAVADO]]*0.21)</f>
        <v>841735.53659999999</v>
      </c>
      <c r="J47" s="367"/>
      <c r="K47" s="367"/>
      <c r="L47" s="367">
        <v>0</v>
      </c>
      <c r="M47" s="367"/>
      <c r="N47" s="367">
        <v>0</v>
      </c>
      <c r="O47" s="367"/>
      <c r="P47" s="368">
        <f>SUM(compras_mes11[[#This Row],[NETO GRAVADO]:[Otros / No Grav.]])</f>
        <v>4849999.9966000002</v>
      </c>
      <c r="Q47" s="364" t="str">
        <f>IFERROR(IF(compras_mes11[[#This Row],[CUIT]]="","-",VLOOKUP(compras_mes11[[#This Row],[CUIT]],Lista_CUIT[#All],3,0)),"CUIT NO CARGADO")</f>
        <v>INSUMO</v>
      </c>
      <c r="R47" s="364">
        <f>IFERROR(IF(compras_mes11[[#This Row],[CUIT]]="","-",VLOOKUP(compras_mes11[[#This Row],[CUIT]],Lista_CUIT[#All],4,0)),"CUIT NO CARGADO")</f>
        <v>0</v>
      </c>
    </row>
    <row r="48" spans="2:18" s="363" customFormat="1" x14ac:dyDescent="0.25">
      <c r="B48" s="372"/>
      <c r="C48" s="270"/>
      <c r="D48" s="260"/>
      <c r="E48" s="261"/>
      <c r="F48" s="262">
        <v>20247225243</v>
      </c>
      <c r="G48" s="263" t="str">
        <f>IFERROR(IF(compras_mes11[[#This Row],[CUIT]]="","-",VLOOKUP(compras_mes11[[#This Row],[CUIT]],Lista_CUIT[#All],2,0)),"CUIT NO CARGADO")</f>
        <v>VENTO HUGO GABRIEL</v>
      </c>
      <c r="H48" s="264">
        <v>162934</v>
      </c>
      <c r="I48" s="367">
        <f>IF(compras_mes11[[#This Row],[NETO GRAVADO]]="","",compras_mes11[[#This Row],[NETO GRAVADO]]*0.21)</f>
        <v>34216.14</v>
      </c>
      <c r="J48" s="367"/>
      <c r="K48" s="367"/>
      <c r="L48" s="367">
        <v>0</v>
      </c>
      <c r="M48" s="367"/>
      <c r="N48" s="367">
        <v>0</v>
      </c>
      <c r="O48" s="367"/>
      <c r="P48" s="368">
        <f>SUM(compras_mes11[[#This Row],[NETO GRAVADO]:[Otros / No Grav.]])</f>
        <v>197150.14</v>
      </c>
      <c r="Q48" s="364" t="str">
        <f>IFERROR(IF(compras_mes11[[#This Row],[CUIT]]="","-",VLOOKUP(compras_mes11[[#This Row],[CUIT]],Lista_CUIT[#All],3,0)),"CUIT NO CARGADO")</f>
        <v>INSUMO</v>
      </c>
      <c r="R48" s="364">
        <f>IFERROR(IF(compras_mes11[[#This Row],[CUIT]]="","-",VLOOKUP(compras_mes11[[#This Row],[CUIT]],Lista_CUIT[#All],4,0)),"CUIT NO CARGADO")</f>
        <v>0</v>
      </c>
    </row>
    <row r="49" spans="2:18" s="363" customFormat="1" x14ac:dyDescent="0.25">
      <c r="B49" s="372"/>
      <c r="C49" s="270"/>
      <c r="D49" s="260"/>
      <c r="E49" s="261"/>
      <c r="F49" s="262">
        <v>20247225243</v>
      </c>
      <c r="G49" s="263" t="str">
        <f>IFERROR(IF(compras_mes11[[#This Row],[CUIT]]="","-",VLOOKUP(compras_mes11[[#This Row],[CUIT]],Lista_CUIT[#All],2,0)),"CUIT NO CARGADO")</f>
        <v>VENTO HUGO GABRIEL</v>
      </c>
      <c r="H49" s="264">
        <v>83368</v>
      </c>
      <c r="I49" s="367">
        <f>IF(compras_mes11[[#This Row],[NETO GRAVADO]]="","",compras_mes11[[#This Row],[NETO GRAVADO]]*0.21)</f>
        <v>17507.28</v>
      </c>
      <c r="J49" s="367"/>
      <c r="K49" s="367"/>
      <c r="L49" s="367">
        <v>0</v>
      </c>
      <c r="M49" s="367"/>
      <c r="N49" s="367">
        <v>0</v>
      </c>
      <c r="O49" s="367"/>
      <c r="P49" s="368">
        <f>SUM(compras_mes11[[#This Row],[NETO GRAVADO]:[Otros / No Grav.]])</f>
        <v>100875.28</v>
      </c>
      <c r="Q49" s="364" t="str">
        <f>IFERROR(IF(compras_mes11[[#This Row],[CUIT]]="","-",VLOOKUP(compras_mes11[[#This Row],[CUIT]],Lista_CUIT[#All],3,0)),"CUIT NO CARGADO")</f>
        <v>INSUMO</v>
      </c>
      <c r="R49" s="364">
        <f>IFERROR(IF(compras_mes11[[#This Row],[CUIT]]="","-",VLOOKUP(compras_mes11[[#This Row],[CUIT]],Lista_CUIT[#All],4,0)),"CUIT NO CARGADO")</f>
        <v>0</v>
      </c>
    </row>
    <row r="50" spans="2:18" s="363" customFormat="1" x14ac:dyDescent="0.25">
      <c r="B50" s="372"/>
      <c r="C50" s="270"/>
      <c r="D50" s="260"/>
      <c r="E50" s="261"/>
      <c r="F50" s="262">
        <v>20247225243</v>
      </c>
      <c r="G50" s="263" t="str">
        <f>IFERROR(IF(compras_mes11[[#This Row],[CUIT]]="","-",VLOOKUP(compras_mes11[[#This Row],[CUIT]],Lista_CUIT[#All],2,0)),"CUIT NO CARGADO")</f>
        <v>VENTO HUGO GABRIEL</v>
      </c>
      <c r="H50" s="264">
        <v>140932</v>
      </c>
      <c r="I50" s="367">
        <f>IF(compras_mes11[[#This Row],[NETO GRAVADO]]="","",compras_mes11[[#This Row],[NETO GRAVADO]]*0.21)</f>
        <v>29595.719999999998</v>
      </c>
      <c r="J50" s="367"/>
      <c r="K50" s="367"/>
      <c r="L50" s="367">
        <v>0</v>
      </c>
      <c r="M50" s="367"/>
      <c r="N50" s="367">
        <v>0</v>
      </c>
      <c r="O50" s="367"/>
      <c r="P50" s="368">
        <f>SUM(compras_mes11[[#This Row],[NETO GRAVADO]:[Otros / No Grav.]])</f>
        <v>170527.72</v>
      </c>
      <c r="Q50" s="364" t="str">
        <f>IFERROR(IF(compras_mes11[[#This Row],[CUIT]]="","-",VLOOKUP(compras_mes11[[#This Row],[CUIT]],Lista_CUIT[#All],3,0)),"CUIT NO CARGADO")</f>
        <v>INSUMO</v>
      </c>
      <c r="R50" s="364">
        <f>IFERROR(IF(compras_mes11[[#This Row],[CUIT]]="","-",VLOOKUP(compras_mes11[[#This Row],[CUIT]],Lista_CUIT[#All],4,0)),"CUIT NO CARGADO")</f>
        <v>0</v>
      </c>
    </row>
    <row r="51" spans="2:18" s="363" customFormat="1" x14ac:dyDescent="0.25">
      <c r="B51" s="372"/>
      <c r="C51" s="270"/>
      <c r="D51" s="260"/>
      <c r="E51" s="261"/>
      <c r="F51" s="262">
        <v>30716815710</v>
      </c>
      <c r="G51" s="263" t="str">
        <f>IFERROR(IF(compras_mes11[[#This Row],[CUIT]]="","-",VLOOKUP(compras_mes11[[#This Row],[CUIT]],Lista_CUIT[#All],2,0)),"CUIT NO CARGADO")</f>
        <v>PAPELERA GEOPEL SRL</v>
      </c>
      <c r="H51" s="264">
        <v>26200</v>
      </c>
      <c r="I51" s="367">
        <f>IF(compras_mes11[[#This Row],[NETO GRAVADO]]="","",compras_mes11[[#This Row],[NETO GRAVADO]]*0.21)</f>
        <v>5502</v>
      </c>
      <c r="J51" s="367"/>
      <c r="K51" s="367"/>
      <c r="L51" s="367">
        <v>0</v>
      </c>
      <c r="M51" s="367"/>
      <c r="N51" s="367">
        <v>0</v>
      </c>
      <c r="O51" s="367"/>
      <c r="P51" s="368">
        <f>SUM(compras_mes11[[#This Row],[NETO GRAVADO]:[Otros / No Grav.]])</f>
        <v>31702</v>
      </c>
      <c r="Q51" s="364" t="str">
        <f>IFERROR(IF(compras_mes11[[#This Row],[CUIT]]="","-",VLOOKUP(compras_mes11[[#This Row],[CUIT]],Lista_CUIT[#All],3,0)),"CUIT NO CARGADO")</f>
        <v>librería</v>
      </c>
      <c r="R51" s="364">
        <f>IFERROR(IF(compras_mes11[[#This Row],[CUIT]]="","-",VLOOKUP(compras_mes11[[#This Row],[CUIT]],Lista_CUIT[#All],4,0)),"CUIT NO CARGADO")</f>
        <v>0</v>
      </c>
    </row>
    <row r="52" spans="2:18" s="363" customFormat="1" x14ac:dyDescent="0.25">
      <c r="B52" s="372"/>
      <c r="C52" s="270"/>
      <c r="D52" s="260"/>
      <c r="E52" s="261"/>
      <c r="F52" s="262">
        <v>30716815710</v>
      </c>
      <c r="G52" s="263" t="str">
        <f>IFERROR(IF(compras_mes11[[#This Row],[CUIT]]="","-",VLOOKUP(compras_mes11[[#This Row],[CUIT]],Lista_CUIT[#All],2,0)),"CUIT NO CARGADO")</f>
        <v>PAPELERA GEOPEL SRL</v>
      </c>
      <c r="H52" s="264">
        <v>17000</v>
      </c>
      <c r="I52" s="367">
        <f>IF(compras_mes11[[#This Row],[NETO GRAVADO]]="","",compras_mes11[[#This Row],[NETO GRAVADO]]*0.21)</f>
        <v>3570</v>
      </c>
      <c r="J52" s="367"/>
      <c r="K52" s="367"/>
      <c r="L52" s="367">
        <v>0</v>
      </c>
      <c r="M52" s="367"/>
      <c r="N52" s="367">
        <v>0</v>
      </c>
      <c r="O52" s="367"/>
      <c r="P52" s="368">
        <f>SUM(compras_mes11[[#This Row],[NETO GRAVADO]:[Otros / No Grav.]])</f>
        <v>20570</v>
      </c>
      <c r="Q52" s="364" t="str">
        <f>IFERROR(IF(compras_mes11[[#This Row],[CUIT]]="","-",VLOOKUP(compras_mes11[[#This Row],[CUIT]],Lista_CUIT[#All],3,0)),"CUIT NO CARGADO")</f>
        <v>librería</v>
      </c>
      <c r="R52" s="364">
        <f>IFERROR(IF(compras_mes11[[#This Row],[CUIT]]="","-",VLOOKUP(compras_mes11[[#This Row],[CUIT]],Lista_CUIT[#All],4,0)),"CUIT NO CARGADO")</f>
        <v>0</v>
      </c>
    </row>
    <row r="53" spans="2:18" s="363" customFormat="1" x14ac:dyDescent="0.25">
      <c r="B53" s="372"/>
      <c r="C53" s="270"/>
      <c r="D53" s="373"/>
      <c r="E53" s="374"/>
      <c r="F53" s="375">
        <v>30716815710</v>
      </c>
      <c r="G53" s="376" t="str">
        <f>IFERROR(IF(compras_mes11[[#This Row],[CUIT]]="","-",VLOOKUP(compras_mes11[[#This Row],[CUIT]],Lista_CUIT[#All],2,0)),"CUIT NO CARGADO")</f>
        <v>PAPELERA GEOPEL SRL</v>
      </c>
      <c r="H53" s="377">
        <v>14000</v>
      </c>
      <c r="I53" s="367">
        <f>IF(compras_mes11[[#This Row],[NETO GRAVADO]]="","",compras_mes11[[#This Row],[NETO GRAVADO]]*0.21)</f>
        <v>2940</v>
      </c>
      <c r="J53" s="367"/>
      <c r="K53" s="367"/>
      <c r="L53" s="367">
        <v>0</v>
      </c>
      <c r="M53" s="367"/>
      <c r="N53" s="367">
        <v>0</v>
      </c>
      <c r="O53" s="367"/>
      <c r="P53" s="368">
        <f>SUM(compras_mes11[[#This Row],[NETO GRAVADO]:[Otros / No Grav.]])</f>
        <v>16940</v>
      </c>
      <c r="Q53" s="364" t="str">
        <f>IFERROR(IF(compras_mes11[[#This Row],[CUIT]]="","-",VLOOKUP(compras_mes11[[#This Row],[CUIT]],Lista_CUIT[#All],3,0)),"CUIT NO CARGADO")</f>
        <v>librería</v>
      </c>
      <c r="R53" s="364">
        <f>IFERROR(IF(compras_mes11[[#This Row],[CUIT]]="","-",VLOOKUP(compras_mes11[[#This Row],[CUIT]],Lista_CUIT[#All],4,0)),"CUIT NO CARGADO")</f>
        <v>0</v>
      </c>
    </row>
    <row r="54" spans="2:18" s="363" customFormat="1" x14ac:dyDescent="0.25">
      <c r="B54" s="372"/>
      <c r="C54" s="270"/>
      <c r="D54" s="260"/>
      <c r="E54" s="261"/>
      <c r="F54" s="262">
        <v>33715594949</v>
      </c>
      <c r="G54" s="263" t="str">
        <f>IFERROR(IF(compras_mes11[[#This Row],[CUIT]]="","-",VLOOKUP(compras_mes11[[#This Row],[CUIT]],Lista_CUIT[#All],2,0)),"CUIT NO CARGADO")</f>
        <v>SOMOS ENERGIA SA</v>
      </c>
      <c r="H54" s="264">
        <v>20749.09</v>
      </c>
      <c r="I54" s="367">
        <f>IF(compras_mes11[[#This Row],[NETO GRAVADO]]="","",compras_mes11[[#This Row],[NETO GRAVADO]]*0.21)</f>
        <v>4357.3089</v>
      </c>
      <c r="J54" s="367"/>
      <c r="K54" s="367"/>
      <c r="L54" s="367">
        <v>0</v>
      </c>
      <c r="M54" s="367"/>
      <c r="N54" s="367">
        <v>0</v>
      </c>
      <c r="O54" s="367"/>
      <c r="P54" s="368">
        <f>SUM(compras_mes11[[#This Row],[NETO GRAVADO]:[Otros / No Grav.]])</f>
        <v>25106.3989</v>
      </c>
      <c r="Q54" s="364" t="str">
        <f>IFERROR(IF(compras_mes11[[#This Row],[CUIT]]="","-",VLOOKUP(compras_mes11[[#This Row],[CUIT]],Lista_CUIT[#All],3,0)),"CUIT NO CARGADO")</f>
        <v>COMBUSTIBLE</v>
      </c>
      <c r="R54" s="364">
        <f>IFERROR(IF(compras_mes11[[#This Row],[CUIT]]="","-",VLOOKUP(compras_mes11[[#This Row],[CUIT]],Lista_CUIT[#All],4,0)),"CUIT NO CARGADO")</f>
        <v>0</v>
      </c>
    </row>
    <row r="55" spans="2:18" s="363" customFormat="1" x14ac:dyDescent="0.25">
      <c r="B55" s="372"/>
      <c r="C55" s="270"/>
      <c r="D55" s="260"/>
      <c r="E55" s="261"/>
      <c r="F55" s="262">
        <v>33715594949</v>
      </c>
      <c r="G55" s="263" t="str">
        <f>IFERROR(IF(compras_mes11[[#This Row],[CUIT]]="","-",VLOOKUP(compras_mes11[[#This Row],[CUIT]],Lista_CUIT[#All],2,0)),"CUIT NO CARGADO")</f>
        <v>SOMOS ENERGIA SA</v>
      </c>
      <c r="H55" s="264">
        <v>73327.399999999994</v>
      </c>
      <c r="I55" s="367">
        <f>IF(compras_mes11[[#This Row],[NETO GRAVADO]]="","",compras_mes11[[#This Row],[NETO GRAVADO]]*0.21)</f>
        <v>15398.753999999999</v>
      </c>
      <c r="J55" s="367"/>
      <c r="K55" s="367"/>
      <c r="L55" s="367">
        <v>0</v>
      </c>
      <c r="M55" s="367"/>
      <c r="N55" s="367">
        <v>0</v>
      </c>
      <c r="O55" s="367"/>
      <c r="P55" s="368">
        <f>SUM(compras_mes11[[#This Row],[NETO GRAVADO]:[Otros / No Grav.]])</f>
        <v>88726.153999999995</v>
      </c>
      <c r="Q55" s="364" t="str">
        <f>IFERROR(IF(compras_mes11[[#This Row],[CUIT]]="","-",VLOOKUP(compras_mes11[[#This Row],[CUIT]],Lista_CUIT[#All],3,0)),"CUIT NO CARGADO")</f>
        <v>COMBUSTIBLE</v>
      </c>
      <c r="R55" s="364">
        <f>IFERROR(IF(compras_mes11[[#This Row],[CUIT]]="","-",VLOOKUP(compras_mes11[[#This Row],[CUIT]],Lista_CUIT[#All],4,0)),"CUIT NO CARGADO")</f>
        <v>0</v>
      </c>
    </row>
    <row r="56" spans="2:18" s="363" customFormat="1" x14ac:dyDescent="0.25">
      <c r="B56" s="372"/>
      <c r="C56" s="270"/>
      <c r="D56" s="260"/>
      <c r="E56" s="261"/>
      <c r="F56" s="262">
        <v>30710177658</v>
      </c>
      <c r="G56" s="263" t="str">
        <f>IFERROR(IF(compras_mes11[[#This Row],[CUIT]]="","-",VLOOKUP(compras_mes11[[#This Row],[CUIT]],Lista_CUIT[#All],2,0)),"CUIT NO CARGADO")</f>
        <v>TARGET MEDICAL SA</v>
      </c>
      <c r="H56" s="264">
        <v>2392500</v>
      </c>
      <c r="I56" s="367">
        <f>IF(compras_mes11[[#This Row],[NETO GRAVADO]]="","",compras_mes11[[#This Row],[NETO GRAVADO]]*0.21)</f>
        <v>502425</v>
      </c>
      <c r="J56" s="367"/>
      <c r="K56" s="367"/>
      <c r="L56" s="367">
        <v>0</v>
      </c>
      <c r="M56" s="367"/>
      <c r="N56" s="367">
        <v>95700</v>
      </c>
      <c r="O56" s="367"/>
      <c r="P56" s="368">
        <f>SUM(compras_mes11[[#This Row],[NETO GRAVADO]:[Otros / No Grav.]])</f>
        <v>2990625</v>
      </c>
      <c r="Q56" s="364" t="str">
        <f>IFERROR(IF(compras_mes11[[#This Row],[CUIT]]="","-",VLOOKUP(compras_mes11[[#This Row],[CUIT]],Lista_CUIT[#All],3,0)),"CUIT NO CARGADO")</f>
        <v>INSUMO</v>
      </c>
      <c r="R56" s="364">
        <f>IFERROR(IF(compras_mes11[[#This Row],[CUIT]]="","-",VLOOKUP(compras_mes11[[#This Row],[CUIT]],Lista_CUIT[#All],4,0)),"CUIT NO CARGADO")</f>
        <v>0</v>
      </c>
    </row>
    <row r="57" spans="2:18" s="363" customFormat="1" x14ac:dyDescent="0.25">
      <c r="B57" s="372"/>
      <c r="C57" s="270"/>
      <c r="D57" s="260"/>
      <c r="E57" s="261"/>
      <c r="F57" s="262">
        <v>30711553564</v>
      </c>
      <c r="G57" s="263" t="str">
        <f>IFERROR(IF(compras_mes11[[#This Row],[CUIT]]="","-",VLOOKUP(compras_mes11[[#This Row],[CUIT]],Lista_CUIT[#All],2,0)),"CUIT NO CARGADO")</f>
        <v>SALUD TEX S.A</v>
      </c>
      <c r="H57" s="264">
        <v>1026246</v>
      </c>
      <c r="I57" s="367">
        <f>IF(compras_mes11[[#This Row],[NETO GRAVADO]]="","",compras_mes11[[#This Row],[NETO GRAVADO]]*0.21)</f>
        <v>215511.66</v>
      </c>
      <c r="J57" s="367"/>
      <c r="K57" s="367"/>
      <c r="L57" s="367">
        <v>0</v>
      </c>
      <c r="M57" s="367"/>
      <c r="N57" s="367">
        <v>0</v>
      </c>
      <c r="O57" s="367"/>
      <c r="P57" s="368">
        <f>SUM(compras_mes11[[#This Row],[NETO GRAVADO]:[Otros / No Grav.]])</f>
        <v>1241757.6599999999</v>
      </c>
      <c r="Q57" s="364" t="str">
        <f>IFERROR(IF(compras_mes11[[#This Row],[CUIT]]="","-",VLOOKUP(compras_mes11[[#This Row],[CUIT]],Lista_CUIT[#All],3,0)),"CUIT NO CARGADO")</f>
        <v>INSUMO</v>
      </c>
      <c r="R57" s="364">
        <f>IFERROR(IF(compras_mes11[[#This Row],[CUIT]]="","-",VLOOKUP(compras_mes11[[#This Row],[CUIT]],Lista_CUIT[#All],4,0)),"CUIT NO CARGADO")</f>
        <v>0</v>
      </c>
    </row>
    <row r="58" spans="2:18" s="363" customFormat="1" x14ac:dyDescent="0.25">
      <c r="B58" s="372"/>
      <c r="C58" s="270"/>
      <c r="D58" s="260"/>
      <c r="E58" s="261"/>
      <c r="F58" s="262">
        <v>30711553564</v>
      </c>
      <c r="G58" s="263" t="str">
        <f>IFERROR(IF(compras_mes11[[#This Row],[CUIT]]="","-",VLOOKUP(compras_mes11[[#This Row],[CUIT]],Lista_CUIT[#All],2,0)),"CUIT NO CARGADO")</f>
        <v>SALUD TEX S.A</v>
      </c>
      <c r="H58" s="264">
        <v>142068</v>
      </c>
      <c r="I58" s="367">
        <f>IF(compras_mes11[[#This Row],[NETO GRAVADO]]="","",compras_mes11[[#This Row],[NETO GRAVADO]]*0.21)</f>
        <v>29834.28</v>
      </c>
      <c r="J58" s="367"/>
      <c r="K58" s="367"/>
      <c r="L58" s="367">
        <v>0</v>
      </c>
      <c r="M58" s="367"/>
      <c r="N58" s="367">
        <v>0</v>
      </c>
      <c r="O58" s="367"/>
      <c r="P58" s="368">
        <f>SUM(compras_mes11[[#This Row],[NETO GRAVADO]:[Otros / No Grav.]])</f>
        <v>171902.28</v>
      </c>
      <c r="Q58" s="364" t="str">
        <f>IFERROR(IF(compras_mes11[[#This Row],[CUIT]]="","-",VLOOKUP(compras_mes11[[#This Row],[CUIT]],Lista_CUIT[#All],3,0)),"CUIT NO CARGADO")</f>
        <v>INSUMO</v>
      </c>
      <c r="R58" s="364">
        <f>IFERROR(IF(compras_mes11[[#This Row],[CUIT]]="","-",VLOOKUP(compras_mes11[[#This Row],[CUIT]],Lista_CUIT[#All],4,0)),"CUIT NO CARGADO")</f>
        <v>0</v>
      </c>
    </row>
    <row r="59" spans="2:18" s="363" customFormat="1" x14ac:dyDescent="0.25">
      <c r="B59" s="372"/>
      <c r="C59" s="270"/>
      <c r="D59" s="260"/>
      <c r="E59" s="261"/>
      <c r="F59" s="262">
        <v>30711553564</v>
      </c>
      <c r="G59" s="263" t="str">
        <f>IFERROR(IF(compras_mes11[[#This Row],[CUIT]]="","-",VLOOKUP(compras_mes11[[#This Row],[CUIT]],Lista_CUIT[#All],2,0)),"CUIT NO CARGADO")</f>
        <v>SALUD TEX S.A</v>
      </c>
      <c r="H59" s="264">
        <v>89188</v>
      </c>
      <c r="I59" s="367">
        <f>IF(compras_mes11[[#This Row],[NETO GRAVADO]]="","",compras_mes11[[#This Row],[NETO GRAVADO]]*0.21)</f>
        <v>18729.48</v>
      </c>
      <c r="J59" s="367"/>
      <c r="K59" s="367"/>
      <c r="L59" s="367">
        <v>0</v>
      </c>
      <c r="M59" s="367"/>
      <c r="N59" s="367">
        <v>0</v>
      </c>
      <c r="O59" s="367"/>
      <c r="P59" s="368">
        <f>SUM(compras_mes11[[#This Row],[NETO GRAVADO]:[Otros / No Grav.]])</f>
        <v>107917.48</v>
      </c>
      <c r="Q59" s="364" t="str">
        <f>IFERROR(IF(compras_mes11[[#This Row],[CUIT]]="","-",VLOOKUP(compras_mes11[[#This Row],[CUIT]],Lista_CUIT[#All],3,0)),"CUIT NO CARGADO")</f>
        <v>INSUMO</v>
      </c>
      <c r="R59" s="364">
        <f>IFERROR(IF(compras_mes11[[#This Row],[CUIT]]="","-",VLOOKUP(compras_mes11[[#This Row],[CUIT]],Lista_CUIT[#All],4,0)),"CUIT NO CARGADO")</f>
        <v>0</v>
      </c>
    </row>
    <row r="60" spans="2:18" s="363" customFormat="1" x14ac:dyDescent="0.25">
      <c r="B60" s="372"/>
      <c r="C60" s="270"/>
      <c r="D60" s="260"/>
      <c r="E60" s="261"/>
      <c r="F60" s="262">
        <v>30711553564</v>
      </c>
      <c r="G60" s="263" t="str">
        <f>IFERROR(IF(compras_mes11[[#This Row],[CUIT]]="","-",VLOOKUP(compras_mes11[[#This Row],[CUIT]],Lista_CUIT[#All],2,0)),"CUIT NO CARGADO")</f>
        <v>SALUD TEX S.A</v>
      </c>
      <c r="H60" s="264">
        <v>332368</v>
      </c>
      <c r="I60" s="367">
        <f>IF(compras_mes11[[#This Row],[NETO GRAVADO]]="","",compras_mes11[[#This Row],[NETO GRAVADO]]*0.21)</f>
        <v>69797.279999999999</v>
      </c>
      <c r="J60" s="367"/>
      <c r="K60" s="367"/>
      <c r="L60" s="367">
        <v>0</v>
      </c>
      <c r="M60" s="367"/>
      <c r="N60" s="367">
        <v>0</v>
      </c>
      <c r="O60" s="367"/>
      <c r="P60" s="368">
        <f>SUM(compras_mes11[[#This Row],[NETO GRAVADO]:[Otros / No Grav.]])</f>
        <v>402165.28</v>
      </c>
      <c r="Q60" s="364" t="str">
        <f>IFERROR(IF(compras_mes11[[#This Row],[CUIT]]="","-",VLOOKUP(compras_mes11[[#This Row],[CUIT]],Lista_CUIT[#All],3,0)),"CUIT NO CARGADO")</f>
        <v>INSUMO</v>
      </c>
      <c r="R60" s="364">
        <f>IFERROR(IF(compras_mes11[[#This Row],[CUIT]]="","-",VLOOKUP(compras_mes11[[#This Row],[CUIT]],Lista_CUIT[#All],4,0)),"CUIT NO CARGADO")</f>
        <v>0</v>
      </c>
    </row>
    <row r="61" spans="2:18" s="363" customFormat="1" x14ac:dyDescent="0.25">
      <c r="B61" s="372"/>
      <c r="C61" s="270"/>
      <c r="D61" s="260"/>
      <c r="E61" s="261"/>
      <c r="F61" s="262">
        <v>30711553564</v>
      </c>
      <c r="G61" s="263" t="str">
        <f>IFERROR(IF(compras_mes11[[#This Row],[CUIT]]="","-",VLOOKUP(compras_mes11[[#This Row],[CUIT]],Lista_CUIT[#All],2,0)),"CUIT NO CARGADO")</f>
        <v>SALUD TEX S.A</v>
      </c>
      <c r="H61" s="264">
        <v>137991</v>
      </c>
      <c r="I61" s="367">
        <f>IF(compras_mes11[[#This Row],[NETO GRAVADO]]="","",compras_mes11[[#This Row],[NETO GRAVADO]]*0.21)</f>
        <v>28978.11</v>
      </c>
      <c r="J61" s="367"/>
      <c r="K61" s="367"/>
      <c r="L61" s="367">
        <v>0</v>
      </c>
      <c r="M61" s="367"/>
      <c r="N61" s="367">
        <v>0</v>
      </c>
      <c r="O61" s="367"/>
      <c r="P61" s="368">
        <f>SUM(compras_mes11[[#This Row],[NETO GRAVADO]:[Otros / No Grav.]])</f>
        <v>166969.10999999999</v>
      </c>
      <c r="Q61" s="364" t="str">
        <f>IFERROR(IF(compras_mes11[[#This Row],[CUIT]]="","-",VLOOKUP(compras_mes11[[#This Row],[CUIT]],Lista_CUIT[#All],3,0)),"CUIT NO CARGADO")</f>
        <v>INSUMO</v>
      </c>
      <c r="R61" s="364">
        <f>IFERROR(IF(compras_mes11[[#This Row],[CUIT]]="","-",VLOOKUP(compras_mes11[[#This Row],[CUIT]],Lista_CUIT[#All],4,0)),"CUIT NO CARGADO")</f>
        <v>0</v>
      </c>
    </row>
    <row r="62" spans="2:18" s="363" customFormat="1" x14ac:dyDescent="0.25">
      <c r="B62" s="372"/>
      <c r="C62" s="270"/>
      <c r="D62" s="260"/>
      <c r="E62" s="261"/>
      <c r="F62" s="262">
        <v>27325223273</v>
      </c>
      <c r="G62" s="263" t="str">
        <f>IFERROR(IF(compras_mes11[[#This Row],[CUIT]]="","-",VLOOKUP(compras_mes11[[#This Row],[CUIT]],Lista_CUIT[#All],2,0)),"CUIT NO CARGADO")</f>
        <v>SOUSA ALDERETE ALEJANDRA MABEL</v>
      </c>
      <c r="H62" s="264">
        <v>700000</v>
      </c>
      <c r="I62" s="367">
        <f>IF(compras_mes11[[#This Row],[NETO GRAVADO]]="","",compras_mes11[[#This Row],[NETO GRAVADO]]*0.21)</f>
        <v>147000</v>
      </c>
      <c r="J62" s="367"/>
      <c r="K62" s="367"/>
      <c r="L62" s="367">
        <v>0</v>
      </c>
      <c r="M62" s="367"/>
      <c r="N62" s="367">
        <v>0</v>
      </c>
      <c r="O62" s="367"/>
      <c r="P62" s="368">
        <f>SUM(compras_mes11[[#This Row],[NETO GRAVADO]:[Otros / No Grav.]])</f>
        <v>847000</v>
      </c>
      <c r="Q62" s="364" t="str">
        <f>IFERROR(IF(compras_mes11[[#This Row],[CUIT]]="","-",VLOOKUP(compras_mes11[[#This Row],[CUIT]],Lista_CUIT[#All],3,0)),"CUIT NO CARGADO")</f>
        <v>Insumos</v>
      </c>
      <c r="R62" s="364">
        <f>IFERROR(IF(compras_mes11[[#This Row],[CUIT]]="","-",VLOOKUP(compras_mes11[[#This Row],[CUIT]],Lista_CUIT[#All],4,0)),"CUIT NO CARGADO")</f>
        <v>0</v>
      </c>
    </row>
    <row r="63" spans="2:18" s="363" customFormat="1" x14ac:dyDescent="0.25">
      <c r="B63" s="372"/>
      <c r="C63" s="270"/>
      <c r="D63" s="260"/>
      <c r="E63" s="261"/>
      <c r="F63" s="262">
        <v>30709214078</v>
      </c>
      <c r="G63" s="263" t="str">
        <f>IFERROR(IF(compras_mes11[[#This Row],[CUIT]]="","-",VLOOKUP(compras_mes11[[#This Row],[CUIT]],Lista_CUIT[#All],2,0)),"CUIT NO CARGADO")</f>
        <v>REHAVITA S.A</v>
      </c>
      <c r="H63" s="264">
        <v>386400</v>
      </c>
      <c r="I63" s="367"/>
      <c r="J63" s="367"/>
      <c r="K63" s="367">
        <f>compras_mes11[[#This Row],[NETO GRAVADO]]*0.105</f>
        <v>40572</v>
      </c>
      <c r="L63" s="367">
        <v>0</v>
      </c>
      <c r="M63" s="367"/>
      <c r="N63" s="367">
        <v>0</v>
      </c>
      <c r="O63" s="367"/>
      <c r="P63" s="368">
        <f>SUM(compras_mes11[[#This Row],[NETO GRAVADO]:[Otros / No Grav.]])</f>
        <v>426972</v>
      </c>
      <c r="Q63" s="364" t="str">
        <f>IFERROR(IF(compras_mes11[[#This Row],[CUIT]]="","-",VLOOKUP(compras_mes11[[#This Row],[CUIT]],Lista_CUIT[#All],3,0)),"CUIT NO CARGADO")</f>
        <v>INSUMO</v>
      </c>
      <c r="R63" s="364">
        <f>IFERROR(IF(compras_mes11[[#This Row],[CUIT]]="","-",VLOOKUP(compras_mes11[[#This Row],[CUIT]],Lista_CUIT[#All],4,0)),"CUIT NO CARGADO")</f>
        <v>0</v>
      </c>
    </row>
    <row r="64" spans="2:18" s="363" customFormat="1" x14ac:dyDescent="0.25">
      <c r="B64" s="372"/>
      <c r="C64" s="270"/>
      <c r="D64" s="260"/>
      <c r="E64" s="261"/>
      <c r="F64" s="262">
        <v>30716661519</v>
      </c>
      <c r="G64" s="263" t="str">
        <f>IFERROR(IF(compras_mes11[[#This Row],[CUIT]]="","-",VLOOKUP(compras_mes11[[#This Row],[CUIT]],Lista_CUIT[#All],2,0)),"CUIT NO CARGADO")</f>
        <v>KASAMI SA</v>
      </c>
      <c r="H64" s="264">
        <v>20429.759999999998</v>
      </c>
      <c r="I64" s="367">
        <f>IF(compras_mes11[[#This Row],[NETO GRAVADO]]="","",compras_mes11[[#This Row],[NETO GRAVADO]]*0.21)</f>
        <v>4290.2495999999992</v>
      </c>
      <c r="J64" s="367"/>
      <c r="K64" s="367"/>
      <c r="L64" s="367">
        <v>0</v>
      </c>
      <c r="M64" s="367"/>
      <c r="N64" s="367">
        <v>0</v>
      </c>
      <c r="O64" s="367"/>
      <c r="P64" s="368">
        <f>SUM(compras_mes11[[#This Row],[NETO GRAVADO]:[Otros / No Grav.]])</f>
        <v>24720.009599999998</v>
      </c>
      <c r="Q64" s="364" t="str">
        <f>IFERROR(IF(compras_mes11[[#This Row],[CUIT]]="","-",VLOOKUP(compras_mes11[[#This Row],[CUIT]],Lista_CUIT[#All],3,0)),"CUIT NO CARGADO")</f>
        <v>Mantenimiento</v>
      </c>
      <c r="R64" s="364">
        <f>IFERROR(IF(compras_mes11[[#This Row],[CUIT]]="","-",VLOOKUP(compras_mes11[[#This Row],[CUIT]],Lista_CUIT[#All],4,0)),"CUIT NO CARGADO")</f>
        <v>0</v>
      </c>
    </row>
    <row r="65" spans="2:18" s="363" customFormat="1" x14ac:dyDescent="0.25">
      <c r="B65" s="372"/>
      <c r="C65" s="270"/>
      <c r="D65" s="373"/>
      <c r="E65" s="374"/>
      <c r="F65" s="375">
        <v>30708973501</v>
      </c>
      <c r="G65" s="376" t="str">
        <f>IFERROR(IF(compras_mes11[[#This Row],[CUIT]]="","-",VLOOKUP(compras_mes11[[#This Row],[CUIT]],Lista_CUIT[#All],2,0)),"CUIT NO CARGADO")</f>
        <v>ASIAL SRL</v>
      </c>
      <c r="H65" s="377">
        <v>521936</v>
      </c>
      <c r="I65" s="367">
        <f>IF(compras_mes11[[#This Row],[NETO GRAVADO]]="","",compras_mes11[[#This Row],[NETO GRAVADO]]*0.21)</f>
        <v>109606.56</v>
      </c>
      <c r="J65" s="367"/>
      <c r="K65" s="367"/>
      <c r="L65" s="367">
        <v>0</v>
      </c>
      <c r="M65" s="367"/>
      <c r="N65" s="367">
        <v>0</v>
      </c>
      <c r="O65" s="367"/>
      <c r="P65" s="368">
        <f>SUM(compras_mes11[[#This Row],[NETO GRAVADO]:[Otros / No Grav.]])</f>
        <v>631542.56000000006</v>
      </c>
      <c r="Q65" s="364" t="str">
        <f>IFERROR(IF(compras_mes11[[#This Row],[CUIT]]="","-",VLOOKUP(compras_mes11[[#This Row],[CUIT]],Lista_CUIT[#All],3,0)),"CUIT NO CARGADO")</f>
        <v>INSUMO</v>
      </c>
      <c r="R65" s="364">
        <f>IFERROR(IF(compras_mes11[[#This Row],[CUIT]]="","-",VLOOKUP(compras_mes11[[#This Row],[CUIT]],Lista_CUIT[#All],4,0)),"CUIT NO CARGADO")</f>
        <v>0</v>
      </c>
    </row>
    <row r="66" spans="2:18" s="363" customFormat="1" x14ac:dyDescent="0.25">
      <c r="B66" s="372"/>
      <c r="C66" s="270"/>
      <c r="D66" s="373"/>
      <c r="E66" s="374"/>
      <c r="F66" s="375">
        <v>33715594949</v>
      </c>
      <c r="G66" s="376" t="str">
        <f>IFERROR(IF(compras_mes11[[#This Row],[CUIT]]="","-",VLOOKUP(compras_mes11[[#This Row],[CUIT]],Lista_CUIT[#All],2,0)),"CUIT NO CARGADO")</f>
        <v>SOMOS ENERGIA SA</v>
      </c>
      <c r="H66" s="377">
        <v>64264.47</v>
      </c>
      <c r="I66" s="367">
        <f>IF(compras_mes11[[#This Row],[NETO GRAVADO]]="","",compras_mes11[[#This Row],[NETO GRAVADO]]*0.21)</f>
        <v>13495.538699999999</v>
      </c>
      <c r="J66" s="367"/>
      <c r="K66" s="367"/>
      <c r="L66" s="367">
        <v>0</v>
      </c>
      <c r="M66" s="367"/>
      <c r="N66" s="367">
        <v>0</v>
      </c>
      <c r="O66" s="367"/>
      <c r="P66" s="368">
        <f>SUM(compras_mes11[[#This Row],[NETO GRAVADO]:[Otros / No Grav.]])</f>
        <v>77760.008700000006</v>
      </c>
      <c r="Q66" s="364" t="str">
        <f>IFERROR(IF(compras_mes11[[#This Row],[CUIT]]="","-",VLOOKUP(compras_mes11[[#This Row],[CUIT]],Lista_CUIT[#All],3,0)),"CUIT NO CARGADO")</f>
        <v>COMBUSTIBLE</v>
      </c>
      <c r="R66" s="364">
        <f>IFERROR(IF(compras_mes11[[#This Row],[CUIT]]="","-",VLOOKUP(compras_mes11[[#This Row],[CUIT]],Lista_CUIT[#All],4,0)),"CUIT NO CARGADO")</f>
        <v>0</v>
      </c>
    </row>
    <row r="67" spans="2:18" s="363" customFormat="1" x14ac:dyDescent="0.25">
      <c r="B67" s="372"/>
      <c r="C67" s="270"/>
      <c r="D67" s="260"/>
      <c r="E67" s="261"/>
      <c r="F67" s="262">
        <v>33715594949</v>
      </c>
      <c r="G67" s="263" t="str">
        <f>IFERROR(IF(compras_mes11[[#This Row],[CUIT]]="","-",VLOOKUP(compras_mes11[[#This Row],[CUIT]],Lista_CUIT[#All],2,0)),"CUIT NO CARGADO")</f>
        <v>SOMOS ENERGIA SA</v>
      </c>
      <c r="H67" s="264">
        <v>29354.14</v>
      </c>
      <c r="I67" s="367">
        <f>IF(compras_mes11[[#This Row],[NETO GRAVADO]]="","",compras_mes11[[#This Row],[NETO GRAVADO]]*0.21)</f>
        <v>6164.3693999999996</v>
      </c>
      <c r="J67" s="367"/>
      <c r="K67" s="367"/>
      <c r="L67" s="367">
        <v>0</v>
      </c>
      <c r="M67" s="367"/>
      <c r="N67" s="367">
        <v>0</v>
      </c>
      <c r="O67" s="367"/>
      <c r="P67" s="368">
        <f>SUM(compras_mes11[[#This Row],[NETO GRAVADO]:[Otros / No Grav.]])</f>
        <v>35518.509399999995</v>
      </c>
      <c r="Q67" s="364" t="str">
        <f>IFERROR(IF(compras_mes11[[#This Row],[CUIT]]="","-",VLOOKUP(compras_mes11[[#This Row],[CUIT]],Lista_CUIT[#All],3,0)),"CUIT NO CARGADO")</f>
        <v>COMBUSTIBLE</v>
      </c>
      <c r="R67" s="364">
        <f>IFERROR(IF(compras_mes11[[#This Row],[CUIT]]="","-",VLOOKUP(compras_mes11[[#This Row],[CUIT]],Lista_CUIT[#All],4,0)),"CUIT NO CARGADO")</f>
        <v>0</v>
      </c>
    </row>
    <row r="68" spans="2:18" s="363" customFormat="1" x14ac:dyDescent="0.25">
      <c r="B68" s="372"/>
      <c r="C68" s="270"/>
      <c r="D68" s="260"/>
      <c r="E68" s="261"/>
      <c r="F68" s="262">
        <v>33715594949</v>
      </c>
      <c r="G68" s="263" t="str">
        <f>IFERROR(IF(compras_mes11[[#This Row],[CUIT]]="","-",VLOOKUP(compras_mes11[[#This Row],[CUIT]],Lista_CUIT[#All],2,0)),"CUIT NO CARGADO")</f>
        <v>SOMOS ENERGIA SA</v>
      </c>
      <c r="H68" s="264">
        <v>13927.91</v>
      </c>
      <c r="I68" s="367">
        <f>IF(compras_mes11[[#This Row],[NETO GRAVADO]]="","",compras_mes11[[#This Row],[NETO GRAVADO]]*0.21)</f>
        <v>2924.8611000000001</v>
      </c>
      <c r="J68" s="367"/>
      <c r="K68" s="367"/>
      <c r="L68" s="367">
        <v>0</v>
      </c>
      <c r="M68" s="367"/>
      <c r="N68" s="367">
        <v>0</v>
      </c>
      <c r="O68" s="367"/>
      <c r="P68" s="368">
        <f>SUM(compras_mes11[[#This Row],[NETO GRAVADO]:[Otros / No Grav.]])</f>
        <v>16852.771099999998</v>
      </c>
      <c r="Q68" s="364" t="str">
        <f>IFERROR(IF(compras_mes11[[#This Row],[CUIT]]="","-",VLOOKUP(compras_mes11[[#This Row],[CUIT]],Lista_CUIT[#All],3,0)),"CUIT NO CARGADO")</f>
        <v>COMBUSTIBLE</v>
      </c>
      <c r="R68" s="364">
        <f>IFERROR(IF(compras_mes11[[#This Row],[CUIT]]="","-",VLOOKUP(compras_mes11[[#This Row],[CUIT]],Lista_CUIT[#All],4,0)),"CUIT NO CARGADO")</f>
        <v>0</v>
      </c>
    </row>
    <row r="69" spans="2:18" s="363" customFormat="1" x14ac:dyDescent="0.25">
      <c r="B69" s="372"/>
      <c r="C69" s="270"/>
      <c r="D69" s="260"/>
      <c r="E69" s="261"/>
      <c r="F69" s="262">
        <v>33715594949</v>
      </c>
      <c r="G69" s="263" t="str">
        <f>IFERROR(IF(compras_mes11[[#This Row],[CUIT]]="","-",VLOOKUP(compras_mes11[[#This Row],[CUIT]],Lista_CUIT[#All],2,0)),"CUIT NO CARGADO")</f>
        <v>SOMOS ENERGIA SA</v>
      </c>
      <c r="H69" s="264">
        <v>73663.81</v>
      </c>
      <c r="I69" s="367">
        <f>IF(compras_mes11[[#This Row],[NETO GRAVADO]]="","",compras_mes11[[#This Row],[NETO GRAVADO]]*0.21)</f>
        <v>15469.400099999999</v>
      </c>
      <c r="J69" s="367"/>
      <c r="K69" s="367"/>
      <c r="L69" s="367">
        <v>0</v>
      </c>
      <c r="M69" s="367"/>
      <c r="N69" s="367">
        <v>0</v>
      </c>
      <c r="O69" s="367"/>
      <c r="P69" s="368">
        <f>SUM(compras_mes11[[#This Row],[NETO GRAVADO]:[Otros / No Grav.]])</f>
        <v>89133.210099999997</v>
      </c>
      <c r="Q69" s="364" t="str">
        <f>IFERROR(IF(compras_mes11[[#This Row],[CUIT]]="","-",VLOOKUP(compras_mes11[[#This Row],[CUIT]],Lista_CUIT[#All],3,0)),"CUIT NO CARGADO")</f>
        <v>COMBUSTIBLE</v>
      </c>
      <c r="R69" s="364">
        <f>IFERROR(IF(compras_mes11[[#This Row],[CUIT]]="","-",VLOOKUP(compras_mes11[[#This Row],[CUIT]],Lista_CUIT[#All],4,0)),"CUIT NO CARGADO")</f>
        <v>0</v>
      </c>
    </row>
    <row r="70" spans="2:18" s="363" customFormat="1" x14ac:dyDescent="0.25">
      <c r="B70" s="372"/>
      <c r="C70" s="270"/>
      <c r="D70" s="260"/>
      <c r="E70" s="261"/>
      <c r="F70" s="262">
        <v>20242126158</v>
      </c>
      <c r="G70" s="263" t="str">
        <f>IFERROR(IF(compras_mes11[[#This Row],[CUIT]]="","-",VLOOKUP(compras_mes11[[#This Row],[CUIT]],Lista_CUIT[#All],2,0)),"CUIT NO CARGADO")</f>
        <v>IALLONARDO SERGIO</v>
      </c>
      <c r="H70" s="264">
        <v>140000</v>
      </c>
      <c r="I70" s="367">
        <f>IF(compras_mes11[[#This Row],[NETO GRAVADO]]="","",compras_mes11[[#This Row],[NETO GRAVADO]]*0.21)</f>
        <v>29400</v>
      </c>
      <c r="J70" s="367"/>
      <c r="K70" s="367"/>
      <c r="L70" s="367">
        <v>0</v>
      </c>
      <c r="M70" s="367"/>
      <c r="N70" s="367">
        <v>0</v>
      </c>
      <c r="O70" s="367"/>
      <c r="P70" s="368">
        <f>SUM(compras_mes11[[#This Row],[NETO GRAVADO]:[Otros / No Grav.]])</f>
        <v>169400</v>
      </c>
      <c r="Q70" s="364" t="str">
        <f>IFERROR(IF(compras_mes11[[#This Row],[CUIT]]="","-",VLOOKUP(compras_mes11[[#This Row],[CUIT]],Lista_CUIT[#All],3,0)),"CUIT NO CARGADO")</f>
        <v>PROVEEDOR</v>
      </c>
      <c r="R70" s="364">
        <f>IFERROR(IF(compras_mes11[[#This Row],[CUIT]]="","-",VLOOKUP(compras_mes11[[#This Row],[CUIT]],Lista_CUIT[#All],4,0)),"CUIT NO CARGADO")</f>
        <v>0</v>
      </c>
    </row>
    <row r="71" spans="2:18" s="363" customFormat="1" x14ac:dyDescent="0.25">
      <c r="B71" s="372"/>
      <c r="C71" s="270"/>
      <c r="D71" s="260"/>
      <c r="E71" s="261"/>
      <c r="F71" s="262">
        <v>33715594949</v>
      </c>
      <c r="G71" s="263" t="str">
        <f>IFERROR(IF(compras_mes11[[#This Row],[CUIT]]="","-",VLOOKUP(compras_mes11[[#This Row],[CUIT]],Lista_CUIT[#All],2,0)),"CUIT NO CARGADO")</f>
        <v>SOMOS ENERGIA SA</v>
      </c>
      <c r="H71" s="264">
        <v>47819.03</v>
      </c>
      <c r="I71" s="367">
        <f>IF(compras_mes11[[#This Row],[NETO GRAVADO]]="","",compras_mes11[[#This Row],[NETO GRAVADO]]*0.21)</f>
        <v>10041.996299999999</v>
      </c>
      <c r="J71" s="367"/>
      <c r="K71" s="367"/>
      <c r="L71" s="367">
        <v>0</v>
      </c>
      <c r="M71" s="367"/>
      <c r="N71" s="367">
        <v>0</v>
      </c>
      <c r="O71" s="367"/>
      <c r="P71" s="368">
        <f>SUM(compras_mes11[[#This Row],[NETO GRAVADO]:[Otros / No Grav.]])</f>
        <v>57861.026299999998</v>
      </c>
      <c r="Q71" s="364" t="str">
        <f>IFERROR(IF(compras_mes11[[#This Row],[CUIT]]="","-",VLOOKUP(compras_mes11[[#This Row],[CUIT]],Lista_CUIT[#All],3,0)),"CUIT NO CARGADO")</f>
        <v>COMBUSTIBLE</v>
      </c>
      <c r="R71" s="364">
        <f>IFERROR(IF(compras_mes11[[#This Row],[CUIT]]="","-",VLOOKUP(compras_mes11[[#This Row],[CUIT]],Lista_CUIT[#All],4,0)),"CUIT NO CARGADO")</f>
        <v>0</v>
      </c>
    </row>
    <row r="72" spans="2:18" s="363" customFormat="1" x14ac:dyDescent="0.25">
      <c r="B72" s="372"/>
      <c r="C72" s="270"/>
      <c r="D72" s="260"/>
      <c r="E72" s="261"/>
      <c r="F72" s="262">
        <v>30709208221</v>
      </c>
      <c r="G72" s="263" t="str">
        <f>IFERROR(IF(compras_mes11[[#This Row],[CUIT]]="","-",VLOOKUP(compras_mes11[[#This Row],[CUIT]],Lista_CUIT[#All],2,0)),"CUIT NO CARGADO")</f>
        <v>GNC MONTE GRANDE SRL</v>
      </c>
      <c r="H72" s="264">
        <v>43967.06</v>
      </c>
      <c r="I72" s="367">
        <f>IF(compras_mes11[[#This Row],[NETO GRAVADO]]="","",compras_mes11[[#This Row],[NETO GRAVADO]]*0.21)</f>
        <v>9233.0825999999997</v>
      </c>
      <c r="J72" s="367"/>
      <c r="K72" s="367"/>
      <c r="L72" s="367">
        <v>0</v>
      </c>
      <c r="M72" s="367"/>
      <c r="N72" s="367">
        <v>0</v>
      </c>
      <c r="O72" s="367"/>
      <c r="P72" s="368">
        <f>SUM(compras_mes11[[#This Row],[NETO GRAVADO]:[Otros / No Grav.]])</f>
        <v>53200.142599999999</v>
      </c>
      <c r="Q72" s="364" t="str">
        <f>IFERROR(IF(compras_mes11[[#This Row],[CUIT]]="","-",VLOOKUP(compras_mes11[[#This Row],[CUIT]],Lista_CUIT[#All],3,0)),"CUIT NO CARGADO")</f>
        <v>COMBUSTIBLE</v>
      </c>
      <c r="R72" s="364">
        <f>IFERROR(IF(compras_mes11[[#This Row],[CUIT]]="","-",VLOOKUP(compras_mes11[[#This Row],[CUIT]],Lista_CUIT[#All],4,0)),"CUIT NO CARGADO")</f>
        <v>0</v>
      </c>
    </row>
    <row r="73" spans="2:18" s="363" customFormat="1" x14ac:dyDescent="0.25">
      <c r="B73" s="372"/>
      <c r="C73" s="270"/>
      <c r="D73" s="260"/>
      <c r="E73" s="261"/>
      <c r="F73" s="262">
        <v>20327047354</v>
      </c>
      <c r="G73" s="263" t="str">
        <f>IFERROR(IF(compras_mes11[[#This Row],[CUIT]]="","-",VLOOKUP(compras_mes11[[#This Row],[CUIT]],Lista_CUIT[#All],2,0)),"CUIT NO CARGADO")</f>
        <v>LOPEZ DIMITRI CARLOS DANIEL</v>
      </c>
      <c r="H73" s="264">
        <v>37190.089999999997</v>
      </c>
      <c r="I73" s="367">
        <f>IF(compras_mes11[[#This Row],[NETO GRAVADO]]="","",compras_mes11[[#This Row],[NETO GRAVADO]]*0.21)</f>
        <v>7809.9188999999988</v>
      </c>
      <c r="J73" s="367"/>
      <c r="K73" s="367"/>
      <c r="L73" s="367">
        <v>0</v>
      </c>
      <c r="M73" s="367"/>
      <c r="N73" s="367">
        <v>0</v>
      </c>
      <c r="O73" s="367"/>
      <c r="P73" s="368">
        <f>SUM(compras_mes11[[#This Row],[NETO GRAVADO]:[Otros / No Grav.]])</f>
        <v>45000.008899999993</v>
      </c>
      <c r="Q73" s="364" t="str">
        <f>IFERROR(IF(compras_mes11[[#This Row],[CUIT]]="","-",VLOOKUP(compras_mes11[[#This Row],[CUIT]],Lista_CUIT[#All],3,0)),"CUIT NO CARGADO")</f>
        <v>Catering</v>
      </c>
      <c r="R73" s="364">
        <f>IFERROR(IF(compras_mes11[[#This Row],[CUIT]]="","-",VLOOKUP(compras_mes11[[#This Row],[CUIT]],Lista_CUIT[#All],4,0)),"CUIT NO CARGADO")</f>
        <v>0</v>
      </c>
    </row>
    <row r="74" spans="2:18" s="363" customFormat="1" x14ac:dyDescent="0.25">
      <c r="B74" s="372"/>
      <c r="C74" s="270"/>
      <c r="D74" s="260"/>
      <c r="E74" s="261"/>
      <c r="F74" s="262">
        <v>30711091552</v>
      </c>
      <c r="G74" s="263" t="str">
        <f>IFERROR(IF(compras_mes11[[#This Row],[CUIT]]="","-",VLOOKUP(compras_mes11[[#This Row],[CUIT]],Lista_CUIT[#All],2,0)),"CUIT NO CARGADO")</f>
        <v>BIGBOX S.A.</v>
      </c>
      <c r="H74" s="264">
        <v>164462.81</v>
      </c>
      <c r="I74" s="367">
        <f>IF(compras_mes11[[#This Row],[NETO GRAVADO]]="","",compras_mes11[[#This Row],[NETO GRAVADO]]*0.21)</f>
        <v>34537.1901</v>
      </c>
      <c r="J74" s="367"/>
      <c r="K74" s="367"/>
      <c r="L74" s="367">
        <v>0</v>
      </c>
      <c r="M74" s="367"/>
      <c r="N74" s="367">
        <v>0</v>
      </c>
      <c r="O74" s="367"/>
      <c r="P74" s="368">
        <f>SUM(compras_mes11[[#This Row],[NETO GRAVADO]:[Otros / No Grav.]])</f>
        <v>199000.0001</v>
      </c>
      <c r="Q74" s="364" t="str">
        <f>IFERROR(IF(compras_mes11[[#This Row],[CUIT]]="","-",VLOOKUP(compras_mes11[[#This Row],[CUIT]],Lista_CUIT[#All],3,0)),"CUIT NO CARGADO")</f>
        <v>INSUMO</v>
      </c>
      <c r="R74" s="364">
        <f>IFERROR(IF(compras_mes11[[#This Row],[CUIT]]="","-",VLOOKUP(compras_mes11[[#This Row],[CUIT]],Lista_CUIT[#All],4,0)),"CUIT NO CARGADO")</f>
        <v>0</v>
      </c>
    </row>
    <row r="75" spans="2:18" s="363" customFormat="1" x14ac:dyDescent="0.25">
      <c r="B75" s="372"/>
      <c r="C75" s="270"/>
      <c r="D75" s="260"/>
      <c r="E75" s="261"/>
      <c r="F75" s="262">
        <v>30711091552</v>
      </c>
      <c r="G75" s="263" t="str">
        <f>IFERROR(IF(compras_mes11[[#This Row],[CUIT]]="","-",VLOOKUP(compras_mes11[[#This Row],[CUIT]],Lista_CUIT[#All],2,0)),"CUIT NO CARGADO")</f>
        <v>BIGBOX S.A.</v>
      </c>
      <c r="H75" s="264">
        <v>76859.509999999995</v>
      </c>
      <c r="I75" s="367">
        <f>IF(compras_mes11[[#This Row],[NETO GRAVADO]]="","",compras_mes11[[#This Row],[NETO GRAVADO]]*0.21)</f>
        <v>16140.497099999999</v>
      </c>
      <c r="J75" s="367"/>
      <c r="K75" s="367"/>
      <c r="L75" s="367">
        <v>0</v>
      </c>
      <c r="M75" s="367"/>
      <c r="N75" s="367">
        <v>0</v>
      </c>
      <c r="O75" s="367"/>
      <c r="P75" s="368">
        <f>SUM(compras_mes11[[#This Row],[NETO GRAVADO]:[Otros / No Grav.]])</f>
        <v>93000.007099999988</v>
      </c>
      <c r="Q75" s="364" t="str">
        <f>IFERROR(IF(compras_mes11[[#This Row],[CUIT]]="","-",VLOOKUP(compras_mes11[[#This Row],[CUIT]],Lista_CUIT[#All],3,0)),"CUIT NO CARGADO")</f>
        <v>INSUMO</v>
      </c>
      <c r="R75" s="364">
        <f>IFERROR(IF(compras_mes11[[#This Row],[CUIT]]="","-",VLOOKUP(compras_mes11[[#This Row],[CUIT]],Lista_CUIT[#All],4,0)),"CUIT NO CARGADO")</f>
        <v>0</v>
      </c>
    </row>
    <row r="76" spans="2:18" s="363" customFormat="1" x14ac:dyDescent="0.25">
      <c r="B76" s="372"/>
      <c r="C76" s="270"/>
      <c r="D76" s="90"/>
      <c r="E76" s="91"/>
      <c r="F76" s="92">
        <v>30711764921</v>
      </c>
      <c r="G76" s="93" t="str">
        <f>IFERROR(IF(compras_mes11[[#This Row],[CUIT]]="","-",VLOOKUP(compras_mes11[[#This Row],[CUIT]],Lista_CUIT[#All],2,0)),"CUIT NO CARGADO")</f>
        <v>RELIEF CENTER SRL</v>
      </c>
      <c r="H76" s="94">
        <v>522689</v>
      </c>
      <c r="I76" s="367">
        <f>IF(compras_mes11[[#This Row],[NETO GRAVADO]]="","",compras_mes11[[#This Row],[NETO GRAVADO]]*0.21)</f>
        <v>109764.69</v>
      </c>
      <c r="J76" s="367"/>
      <c r="K76" s="367"/>
      <c r="L76" s="367">
        <v>0</v>
      </c>
      <c r="M76" s="367"/>
      <c r="N76" s="367">
        <v>0</v>
      </c>
      <c r="O76" s="367"/>
      <c r="P76" s="368">
        <f>SUM(compras_mes11[[#This Row],[NETO GRAVADO]:[Otros / No Grav.]])</f>
        <v>632453.68999999994</v>
      </c>
      <c r="Q76" s="364" t="str">
        <f>IFERROR(IF(compras_mes11[[#This Row],[CUIT]]="","-",VLOOKUP(compras_mes11[[#This Row],[CUIT]],Lista_CUIT[#All],3,0)),"CUIT NO CARGADO")</f>
        <v>INSUMO</v>
      </c>
      <c r="R76" s="364">
        <f>IFERROR(IF(compras_mes11[[#This Row],[CUIT]]="","-",VLOOKUP(compras_mes11[[#This Row],[CUIT]],Lista_CUIT[#All],4,0)),"CUIT NO CARGADO")</f>
        <v>0</v>
      </c>
    </row>
    <row r="77" spans="2:18" s="363" customFormat="1" x14ac:dyDescent="0.25">
      <c r="B77" s="372"/>
      <c r="C77" s="270"/>
      <c r="D77" s="260"/>
      <c r="E77" s="261"/>
      <c r="F77" s="262">
        <v>30711764921</v>
      </c>
      <c r="G77" s="263" t="str">
        <f>IFERROR(IF(compras_mes11[[#This Row],[CUIT]]="","-",VLOOKUP(compras_mes11[[#This Row],[CUIT]],Lista_CUIT[#All],2,0)),"CUIT NO CARGADO")</f>
        <v>RELIEF CENTER SRL</v>
      </c>
      <c r="H77" s="264">
        <v>253566</v>
      </c>
      <c r="I77" s="367">
        <f>IF(compras_mes11[[#This Row],[NETO GRAVADO]]="","",compras_mes11[[#This Row],[NETO GRAVADO]]*0.21)</f>
        <v>53248.86</v>
      </c>
      <c r="J77" s="367"/>
      <c r="K77" s="367"/>
      <c r="L77" s="367">
        <v>0</v>
      </c>
      <c r="M77" s="367"/>
      <c r="N77" s="367">
        <v>0</v>
      </c>
      <c r="O77" s="367"/>
      <c r="P77" s="368">
        <f>SUM(compras_mes11[[#This Row],[NETO GRAVADO]:[Otros / No Grav.]])</f>
        <v>306814.86</v>
      </c>
      <c r="Q77" s="364" t="str">
        <f>IFERROR(IF(compras_mes11[[#This Row],[CUIT]]="","-",VLOOKUP(compras_mes11[[#This Row],[CUIT]],Lista_CUIT[#All],3,0)),"CUIT NO CARGADO")</f>
        <v>INSUMO</v>
      </c>
      <c r="R77" s="364">
        <f>IFERROR(IF(compras_mes11[[#This Row],[CUIT]]="","-",VLOOKUP(compras_mes11[[#This Row],[CUIT]],Lista_CUIT[#All],4,0)),"CUIT NO CARGADO")</f>
        <v>0</v>
      </c>
    </row>
    <row r="78" spans="2:18" s="363" customFormat="1" x14ac:dyDescent="0.25">
      <c r="B78" s="372"/>
      <c r="C78" s="270"/>
      <c r="D78" s="260"/>
      <c r="E78" s="261"/>
      <c r="F78" s="262">
        <v>30711764921</v>
      </c>
      <c r="G78" s="263" t="str">
        <f>IFERROR(IF(compras_mes11[[#This Row],[CUIT]]="","-",VLOOKUP(compras_mes11[[#This Row],[CUIT]],Lista_CUIT[#All],2,0)),"CUIT NO CARGADO")</f>
        <v>RELIEF CENTER SRL</v>
      </c>
      <c r="H78" s="264">
        <v>218234</v>
      </c>
      <c r="I78" s="367">
        <f>IF(compras_mes11[[#This Row],[NETO GRAVADO]]="","",compras_mes11[[#This Row],[NETO GRAVADO]]*0.21)</f>
        <v>45829.14</v>
      </c>
      <c r="J78" s="367"/>
      <c r="K78" s="367"/>
      <c r="L78" s="367">
        <v>0</v>
      </c>
      <c r="M78" s="367"/>
      <c r="N78" s="367">
        <v>0</v>
      </c>
      <c r="O78" s="367"/>
      <c r="P78" s="368">
        <f>SUM(compras_mes11[[#This Row],[NETO GRAVADO]:[Otros / No Grav.]])</f>
        <v>264063.14</v>
      </c>
      <c r="Q78" s="364" t="str">
        <f>IFERROR(IF(compras_mes11[[#This Row],[CUIT]]="","-",VLOOKUP(compras_mes11[[#This Row],[CUIT]],Lista_CUIT[#All],3,0)),"CUIT NO CARGADO")</f>
        <v>INSUMO</v>
      </c>
      <c r="R78" s="364">
        <f>IFERROR(IF(compras_mes11[[#This Row],[CUIT]]="","-",VLOOKUP(compras_mes11[[#This Row],[CUIT]],Lista_CUIT[#All],4,0)),"CUIT NO CARGADO")</f>
        <v>0</v>
      </c>
    </row>
    <row r="79" spans="2:18" s="363" customFormat="1" x14ac:dyDescent="0.25">
      <c r="B79" s="372"/>
      <c r="C79" s="270"/>
      <c r="D79" s="90"/>
      <c r="E79" s="91"/>
      <c r="F79" s="92">
        <v>30707597956</v>
      </c>
      <c r="G79" s="93" t="str">
        <f>IFERROR(IF(compras_mes11[[#This Row],[CUIT]]="","-",VLOOKUP(compras_mes11[[#This Row],[CUIT]],Lista_CUIT[#All],2,0)),"CUIT NO CARGADO")</f>
        <v>COMPAÑÍA DE PAPELES SA</v>
      </c>
      <c r="H79" s="94">
        <v>14399.1</v>
      </c>
      <c r="I79" s="367">
        <f>IF(compras_mes11[[#This Row],[NETO GRAVADO]]="","",compras_mes11[[#This Row],[NETO GRAVADO]]*0.21)</f>
        <v>3023.8110000000001</v>
      </c>
      <c r="J79" s="367"/>
      <c r="K79" s="367"/>
      <c r="L79" s="367">
        <v>0</v>
      </c>
      <c r="M79" s="367"/>
      <c r="N79" s="367">
        <v>0</v>
      </c>
      <c r="O79" s="367"/>
      <c r="P79" s="368">
        <f>SUM(compras_mes11[[#This Row],[NETO GRAVADO]:[Otros / No Grav.]])</f>
        <v>17422.911</v>
      </c>
      <c r="Q79" s="364" t="str">
        <f>IFERROR(IF(compras_mes11[[#This Row],[CUIT]]="","-",VLOOKUP(compras_mes11[[#This Row],[CUIT]],Lista_CUIT[#All],3,0)),"CUIT NO CARGADO")</f>
        <v>Papeleria</v>
      </c>
      <c r="R79" s="364">
        <f>IFERROR(IF(compras_mes11[[#This Row],[CUIT]]="","-",VLOOKUP(compras_mes11[[#This Row],[CUIT]],Lista_CUIT[#All],4,0)),"CUIT NO CARGADO")</f>
        <v>0</v>
      </c>
    </row>
    <row r="80" spans="2:18" s="363" customFormat="1" x14ac:dyDescent="0.25">
      <c r="B80" s="372"/>
      <c r="C80" s="270"/>
      <c r="D80" s="260"/>
      <c r="E80" s="261"/>
      <c r="F80" s="262">
        <v>30709879258</v>
      </c>
      <c r="G80" s="263" t="str">
        <f>IFERROR(IF(compras_mes11[[#This Row],[CUIT]]="","-",VLOOKUP(compras_mes11[[#This Row],[CUIT]],Lista_CUIT[#All],2,0)),"CUIT NO CARGADO")</f>
        <v>LOGISTICA PATRICIOS  SA</v>
      </c>
      <c r="H80" s="264">
        <v>51500</v>
      </c>
      <c r="I80" s="367">
        <f>IF(compras_mes11[[#This Row],[NETO GRAVADO]]="","",compras_mes11[[#This Row],[NETO GRAVADO]]*0.21)</f>
        <v>10815</v>
      </c>
      <c r="J80" s="367"/>
      <c r="K80" s="367"/>
      <c r="L80" s="367">
        <v>0</v>
      </c>
      <c r="M80" s="367"/>
      <c r="N80" s="367">
        <v>0</v>
      </c>
      <c r="O80" s="367"/>
      <c r="P80" s="368">
        <f>SUM(compras_mes11[[#This Row],[NETO GRAVADO]:[Otros / No Grav.]])</f>
        <v>62315</v>
      </c>
      <c r="Q80" s="364" t="str">
        <f>IFERROR(IF(compras_mes11[[#This Row],[CUIT]]="","-",VLOOKUP(compras_mes11[[#This Row],[CUIT]],Lista_CUIT[#All],3,0)),"CUIT NO CARGADO")</f>
        <v>FLETE</v>
      </c>
      <c r="R80" s="364">
        <f>IFERROR(IF(compras_mes11[[#This Row],[CUIT]]="","-",VLOOKUP(compras_mes11[[#This Row],[CUIT]],Lista_CUIT[#All],4,0)),"CUIT NO CARGADO")</f>
        <v>0</v>
      </c>
    </row>
    <row r="81" spans="2:18" s="363" customFormat="1" x14ac:dyDescent="0.25">
      <c r="B81" s="372"/>
      <c r="C81" s="270"/>
      <c r="D81" s="42"/>
      <c r="E81" s="43"/>
      <c r="F81" s="44">
        <v>30715209833</v>
      </c>
      <c r="G81" s="45" t="str">
        <f>IFERROR(IF(compras_mes11[[#This Row],[CUIT]]="","-",VLOOKUP(compras_mes11[[#This Row],[CUIT]],Lista_CUIT[#All],2,0)),"CUIT NO CARGADO")</f>
        <v>GIFEL SRL</v>
      </c>
      <c r="H81" s="46">
        <v>15810.74</v>
      </c>
      <c r="I81" s="367">
        <f>IF(compras_mes11[[#This Row],[NETO GRAVADO]]="","",compras_mes11[[#This Row],[NETO GRAVADO]]*0.21)</f>
        <v>3320.2554</v>
      </c>
      <c r="J81" s="367"/>
      <c r="K81" s="367"/>
      <c r="L81" s="367">
        <v>0</v>
      </c>
      <c r="M81" s="367"/>
      <c r="N81" s="367">
        <v>0</v>
      </c>
      <c r="O81" s="367"/>
      <c r="P81" s="368">
        <f>SUM(compras_mes11[[#This Row],[NETO GRAVADO]:[Otros / No Grav.]])</f>
        <v>19130.9954</v>
      </c>
      <c r="Q81" s="364" t="str">
        <f>IFERROR(IF(compras_mes11[[#This Row],[CUIT]]="","-",VLOOKUP(compras_mes11[[#This Row],[CUIT]],Lista_CUIT[#All],3,0)),"CUIT NO CARGADO")</f>
        <v>Mantenimiento</v>
      </c>
      <c r="R81" s="364">
        <f>IFERROR(IF(compras_mes11[[#This Row],[CUIT]]="","-",VLOOKUP(compras_mes11[[#This Row],[CUIT]],Lista_CUIT[#All],4,0)),"CUIT NO CARGADO")</f>
        <v>0</v>
      </c>
    </row>
    <row r="82" spans="2:18" s="363" customFormat="1" x14ac:dyDescent="0.25">
      <c r="B82" s="372"/>
      <c r="C82" s="270"/>
      <c r="D82" s="260"/>
      <c r="E82" s="261"/>
      <c r="F82" s="262">
        <v>30715209833</v>
      </c>
      <c r="G82" s="263" t="str">
        <f>IFERROR(IF(compras_mes11[[#This Row],[CUIT]]="","-",VLOOKUP(compras_mes11[[#This Row],[CUIT]],Lista_CUIT[#All],2,0)),"CUIT NO CARGADO")</f>
        <v>GIFEL SRL</v>
      </c>
      <c r="H82" s="264">
        <v>15810.74</v>
      </c>
      <c r="I82" s="367">
        <f>IF(compras_mes11[[#This Row],[NETO GRAVADO]]="","",compras_mes11[[#This Row],[NETO GRAVADO]]*0.21)</f>
        <v>3320.2554</v>
      </c>
      <c r="J82" s="367"/>
      <c r="K82" s="367"/>
      <c r="L82" s="367">
        <v>0</v>
      </c>
      <c r="M82" s="367"/>
      <c r="N82" s="367">
        <v>0</v>
      </c>
      <c r="O82" s="367"/>
      <c r="P82" s="368">
        <f>SUM(compras_mes11[[#This Row],[NETO GRAVADO]:[Otros / No Grav.]])</f>
        <v>19130.9954</v>
      </c>
      <c r="Q82" s="364" t="str">
        <f>IFERROR(IF(compras_mes11[[#This Row],[CUIT]]="","-",VLOOKUP(compras_mes11[[#This Row],[CUIT]],Lista_CUIT[#All],3,0)),"CUIT NO CARGADO")</f>
        <v>Mantenimiento</v>
      </c>
      <c r="R82" s="364">
        <f>IFERROR(IF(compras_mes11[[#This Row],[CUIT]]="","-",VLOOKUP(compras_mes11[[#This Row],[CUIT]],Lista_CUIT[#All],4,0)),"CUIT NO CARGADO")</f>
        <v>0</v>
      </c>
    </row>
    <row r="83" spans="2:18" s="363" customFormat="1" x14ac:dyDescent="0.25">
      <c r="B83" s="372"/>
      <c r="C83" s="270"/>
      <c r="D83" s="260"/>
      <c r="E83" s="261"/>
      <c r="F83" s="262">
        <v>30708847247</v>
      </c>
      <c r="G83" s="263" t="str">
        <f>IFERROR(IF(compras_mes11[[#This Row],[CUIT]]="","-",VLOOKUP(compras_mes11[[#This Row],[CUIT]],Lista_CUIT[#All],2,0)),"CUIT NO CARGADO")</f>
        <v>TOAGRA SRL</v>
      </c>
      <c r="H83" s="264">
        <v>85233.81</v>
      </c>
      <c r="I83" s="367">
        <f>IF(compras_mes11[[#This Row],[NETO GRAVADO]]="","",compras_mes11[[#This Row],[NETO GRAVADO]]*0.21)</f>
        <v>17899.1001</v>
      </c>
      <c r="J83" s="367"/>
      <c r="K83" s="367"/>
      <c r="L83" s="367">
        <v>0</v>
      </c>
      <c r="M83" s="367"/>
      <c r="N83" s="367">
        <v>0</v>
      </c>
      <c r="O83" s="367"/>
      <c r="P83" s="368">
        <f>SUM(compras_mes11[[#This Row],[NETO GRAVADO]:[Otros / No Grav.]])</f>
        <v>103132.91009999999</v>
      </c>
      <c r="Q83" s="364" t="str">
        <f>IFERROR(IF(compras_mes11[[#This Row],[CUIT]]="","-",VLOOKUP(compras_mes11[[#This Row],[CUIT]],Lista_CUIT[#All],3,0)),"CUIT NO CARGADO")</f>
        <v>FLETE</v>
      </c>
      <c r="R83" s="364">
        <f>IFERROR(IF(compras_mes11[[#This Row],[CUIT]]="","-",VLOOKUP(compras_mes11[[#This Row],[CUIT]],Lista_CUIT[#All],4,0)),"CUIT NO CARGADO")</f>
        <v>0</v>
      </c>
    </row>
    <row r="84" spans="2:18" s="363" customFormat="1" x14ac:dyDescent="0.25">
      <c r="B84" s="372"/>
      <c r="C84" s="270"/>
      <c r="D84" s="260"/>
      <c r="E84" s="261"/>
      <c r="F84" s="262">
        <v>30714112836</v>
      </c>
      <c r="G84" s="263" t="str">
        <f>IFERROR(IF(compras_mes11[[#This Row],[CUIT]]="","-",VLOOKUP(compras_mes11[[#This Row],[CUIT]],Lista_CUIT[#All],2,0)),"CUIT NO CARGADO")</f>
        <v>AUTOPISTAS DE BUENOS AIRES (AUBASA) SA</v>
      </c>
      <c r="H84" s="264">
        <v>2783.03</v>
      </c>
      <c r="I84" s="367">
        <f>IF(compras_mes11[[#This Row],[NETO GRAVADO]]="","",compras_mes11[[#This Row],[NETO GRAVADO]]*0.21)</f>
        <v>584.43630000000007</v>
      </c>
      <c r="J84" s="367"/>
      <c r="K84" s="367"/>
      <c r="L84" s="367">
        <v>0</v>
      </c>
      <c r="M84" s="367"/>
      <c r="N84" s="367">
        <v>0</v>
      </c>
      <c r="O84" s="367"/>
      <c r="P84" s="368">
        <f>SUM(compras_mes11[[#This Row],[NETO GRAVADO]:[Otros / No Grav.]])</f>
        <v>3367.4663</v>
      </c>
      <c r="Q84" s="364" t="str">
        <f>IFERROR(IF(compras_mes11[[#This Row],[CUIT]]="","-",VLOOKUP(compras_mes11[[#This Row],[CUIT]],Lista_CUIT[#All],3,0)),"CUIT NO CARGADO")</f>
        <v>Autopista</v>
      </c>
      <c r="R84" s="364">
        <f>IFERROR(IF(compras_mes11[[#This Row],[CUIT]]="","-",VLOOKUP(compras_mes11[[#This Row],[CUIT]],Lista_CUIT[#All],4,0)),"CUIT NO CARGADO")</f>
        <v>0</v>
      </c>
    </row>
    <row r="85" spans="2:18" s="363" customFormat="1" x14ac:dyDescent="0.25">
      <c r="B85" s="372"/>
      <c r="C85" s="270"/>
      <c r="D85" s="260"/>
      <c r="E85" s="261"/>
      <c r="F85" s="262">
        <v>30714112836</v>
      </c>
      <c r="G85" s="263" t="str">
        <f>IFERROR(IF(compras_mes11[[#This Row],[CUIT]]="","-",VLOOKUP(compras_mes11[[#This Row],[CUIT]],Lista_CUIT[#All],2,0)),"CUIT NO CARGADO")</f>
        <v>AUTOPISTAS DE BUENOS AIRES (AUBASA) SA</v>
      </c>
      <c r="H85" s="264">
        <v>16383.12</v>
      </c>
      <c r="I85" s="367">
        <f>IF(compras_mes11[[#This Row],[NETO GRAVADO]]="","",compras_mes11[[#This Row],[NETO GRAVADO]]*0.21)</f>
        <v>3440.4551999999999</v>
      </c>
      <c r="J85" s="367"/>
      <c r="K85" s="367"/>
      <c r="L85" s="367">
        <v>0</v>
      </c>
      <c r="M85" s="367"/>
      <c r="N85" s="367">
        <v>0</v>
      </c>
      <c r="O85" s="367"/>
      <c r="P85" s="368">
        <f>SUM(compras_mes11[[#This Row],[NETO GRAVADO]:[Otros / No Grav.]])</f>
        <v>19823.575199999999</v>
      </c>
      <c r="Q85" s="364" t="str">
        <f>IFERROR(IF(compras_mes11[[#This Row],[CUIT]]="","-",VLOOKUP(compras_mes11[[#This Row],[CUIT]],Lista_CUIT[#All],3,0)),"CUIT NO CARGADO")</f>
        <v>Autopista</v>
      </c>
      <c r="R85" s="364">
        <f>IFERROR(IF(compras_mes11[[#This Row],[CUIT]]="","-",VLOOKUP(compras_mes11[[#This Row],[CUIT]],Lista_CUIT[#All],4,0)),"CUIT NO CARGADO")</f>
        <v>0</v>
      </c>
    </row>
    <row r="86" spans="2:18" s="363" customFormat="1" x14ac:dyDescent="0.25">
      <c r="B86" s="372"/>
      <c r="C86" s="270"/>
      <c r="D86" s="260"/>
      <c r="E86" s="261"/>
      <c r="F86" s="262">
        <v>30597228984</v>
      </c>
      <c r="G86" s="263" t="str">
        <f>IFERROR(IF(compras_mes11[[#This Row],[CUIT]]="","-",VLOOKUP(compras_mes11[[#This Row],[CUIT]],Lista_CUIT[#All],2,0)),"CUIT NO CARGADO")</f>
        <v>DARC LIBERTADOR SA</v>
      </c>
      <c r="H86" s="264">
        <v>414942.36</v>
      </c>
      <c r="I86" s="367">
        <f>IF(compras_mes11[[#This Row],[NETO GRAVADO]]="","",compras_mes11[[#This Row],[NETO GRAVADO]]*0.21)</f>
        <v>87137.895599999989</v>
      </c>
      <c r="J86" s="367"/>
      <c r="K86" s="367"/>
      <c r="L86" s="367">
        <v>0</v>
      </c>
      <c r="M86" s="367"/>
      <c r="N86" s="367">
        <v>0</v>
      </c>
      <c r="O86" s="367"/>
      <c r="P86" s="368">
        <f>SUM(compras_mes11[[#This Row],[NETO GRAVADO]:[Otros / No Grav.]])</f>
        <v>502080.25559999997</v>
      </c>
      <c r="Q86" s="364">
        <f>IFERROR(IF(compras_mes11[[#This Row],[CUIT]]="","-",VLOOKUP(compras_mes11[[#This Row],[CUIT]],Lista_CUIT[#All],3,0)),"CUIT NO CARGADO")</f>
        <v>0</v>
      </c>
      <c r="R86" s="364">
        <f>IFERROR(IF(compras_mes11[[#This Row],[CUIT]]="","-",VLOOKUP(compras_mes11[[#This Row],[CUIT]],Lista_CUIT[#All],4,0)),"CUIT NO CARGADO")</f>
        <v>0</v>
      </c>
    </row>
    <row r="87" spans="2:18" s="363" customFormat="1" x14ac:dyDescent="0.25">
      <c r="B87" s="372"/>
      <c r="C87" s="270"/>
      <c r="D87" s="260"/>
      <c r="E87" s="261"/>
      <c r="F87" s="262">
        <v>33711430879</v>
      </c>
      <c r="G87" s="263" t="str">
        <f>IFERROR(IF(compras_mes11[[#This Row],[CUIT]]="","-",VLOOKUP(compras_mes11[[#This Row],[CUIT]],Lista_CUIT[#All],2,0)),"CUIT NO CARGADO")</f>
        <v>BALANZE S.A.</v>
      </c>
      <c r="H87" s="264">
        <v>1566000</v>
      </c>
      <c r="I87" s="367">
        <f>IF(compras_mes11[[#This Row],[NETO GRAVADO]]="","",compras_mes11[[#This Row],[NETO GRAVADO]]*0.21)</f>
        <v>328860</v>
      </c>
      <c r="J87" s="367"/>
      <c r="K87" s="367"/>
      <c r="L87" s="367">
        <v>0</v>
      </c>
      <c r="M87" s="367"/>
      <c r="N87" s="367">
        <v>0</v>
      </c>
      <c r="O87" s="367"/>
      <c r="P87" s="368">
        <f>SUM(compras_mes11[[#This Row],[NETO GRAVADO]:[Otros / No Grav.]])</f>
        <v>1894860</v>
      </c>
      <c r="Q87" s="364" t="str">
        <f>IFERROR(IF(compras_mes11[[#This Row],[CUIT]]="","-",VLOOKUP(compras_mes11[[#This Row],[CUIT]],Lista_CUIT[#All],3,0)),"CUIT NO CARGADO")</f>
        <v>INSUMO</v>
      </c>
      <c r="R87" s="364">
        <f>IFERROR(IF(compras_mes11[[#This Row],[CUIT]]="","-",VLOOKUP(compras_mes11[[#This Row],[CUIT]],Lista_CUIT[#All],4,0)),"CUIT NO CARGADO")</f>
        <v>0</v>
      </c>
    </row>
    <row r="88" spans="2:18" s="363" customFormat="1" x14ac:dyDescent="0.25">
      <c r="B88" s="372"/>
      <c r="C88" s="270"/>
      <c r="D88" s="373"/>
      <c r="E88" s="374"/>
      <c r="F88" s="375">
        <v>30715804812</v>
      </c>
      <c r="G88" s="376" t="str">
        <f>IFERROR(IF(compras_mes11[[#This Row],[CUIT]]="","-",VLOOKUP(compras_mes11[[#This Row],[CUIT]],Lista_CUIT[#All],2,0)),"CUIT NO CARGADO")</f>
        <v>CORREDORES VIALES SOCIEDAD ANONIMA</v>
      </c>
      <c r="H88" s="377">
        <v>2079.9699999999998</v>
      </c>
      <c r="I88" s="367">
        <f>IF(compras_mes11[[#This Row],[NETO GRAVADO]]="","",compras_mes11[[#This Row],[NETO GRAVADO]]*0.21)</f>
        <v>436.79369999999994</v>
      </c>
      <c r="J88" s="367"/>
      <c r="K88" s="367"/>
      <c r="L88" s="367">
        <v>0</v>
      </c>
      <c r="M88" s="367"/>
      <c r="N88" s="367">
        <v>0</v>
      </c>
      <c r="O88" s="367"/>
      <c r="P88" s="368">
        <f>SUM(compras_mes11[[#This Row],[NETO GRAVADO]:[Otros / No Grav.]])</f>
        <v>2516.7636999999995</v>
      </c>
      <c r="Q88" s="364" t="str">
        <f>IFERROR(IF(compras_mes11[[#This Row],[CUIT]]="","-",VLOOKUP(compras_mes11[[#This Row],[CUIT]],Lista_CUIT[#All],3,0)),"CUIT NO CARGADO")</f>
        <v>Autopista</v>
      </c>
      <c r="R88" s="364">
        <f>IFERROR(IF(compras_mes11[[#This Row],[CUIT]]="","-",VLOOKUP(compras_mes11[[#This Row],[CUIT]],Lista_CUIT[#All],4,0)),"CUIT NO CARGADO")</f>
        <v>0</v>
      </c>
    </row>
    <row r="89" spans="2:18" s="363" customFormat="1" x14ac:dyDescent="0.25">
      <c r="B89" s="372"/>
      <c r="C89" s="270"/>
      <c r="D89" s="373"/>
      <c r="E89" s="374"/>
      <c r="F89" s="375">
        <v>30715804812</v>
      </c>
      <c r="G89" s="376" t="str">
        <f>IFERROR(IF(compras_mes11[[#This Row],[CUIT]]="","-",VLOOKUP(compras_mes11[[#This Row],[CUIT]],Lista_CUIT[#All],2,0)),"CUIT NO CARGADO")</f>
        <v>CORREDORES VIALES SOCIEDAD ANONIMA</v>
      </c>
      <c r="H89" s="377">
        <v>2079.9699999999998</v>
      </c>
      <c r="I89" s="367">
        <f>IF(compras_mes11[[#This Row],[NETO GRAVADO]]="","",compras_mes11[[#This Row],[NETO GRAVADO]]*0.21)</f>
        <v>436.79369999999994</v>
      </c>
      <c r="J89" s="367"/>
      <c r="K89" s="367"/>
      <c r="L89" s="367">
        <v>0</v>
      </c>
      <c r="M89" s="367"/>
      <c r="N89" s="367">
        <v>0</v>
      </c>
      <c r="O89" s="367"/>
      <c r="P89" s="368">
        <f>SUM(compras_mes11[[#This Row],[NETO GRAVADO]:[Otros / No Grav.]])</f>
        <v>2516.7636999999995</v>
      </c>
      <c r="Q89" s="364" t="str">
        <f>IFERROR(IF(compras_mes11[[#This Row],[CUIT]]="","-",VLOOKUP(compras_mes11[[#This Row],[CUIT]],Lista_CUIT[#All],3,0)),"CUIT NO CARGADO")</f>
        <v>Autopista</v>
      </c>
      <c r="R89" s="364">
        <f>IFERROR(IF(compras_mes11[[#This Row],[CUIT]]="","-",VLOOKUP(compras_mes11[[#This Row],[CUIT]],Lista_CUIT[#All],4,0)),"CUIT NO CARGADO")</f>
        <v>0</v>
      </c>
    </row>
    <row r="90" spans="2:18" s="363" customFormat="1" x14ac:dyDescent="0.25">
      <c r="B90" s="372"/>
      <c r="C90" s="270"/>
      <c r="D90" s="373"/>
      <c r="E90" s="374"/>
      <c r="F90" s="375">
        <v>30587197215</v>
      </c>
      <c r="G90" s="376" t="str">
        <f>IFERROR(IF(compras_mes11[[#This Row],[CUIT]]="","-",VLOOKUP(compras_mes11[[#This Row],[CUIT]],Lista_CUIT[#All],2,0)),"CUIT NO CARGADO")</f>
        <v>PANATEL SOCIEDAD ANONIMA</v>
      </c>
      <c r="H90" s="377">
        <v>148760.32999999999</v>
      </c>
      <c r="I90" s="367">
        <f>IF(compras_mes11[[#This Row],[NETO GRAVADO]]="","",compras_mes11[[#This Row],[NETO GRAVADO]]*0.21)</f>
        <v>31239.669299999998</v>
      </c>
      <c r="J90" s="367"/>
      <c r="K90" s="367"/>
      <c r="L90" s="367">
        <v>0</v>
      </c>
      <c r="M90" s="367"/>
      <c r="N90" s="367">
        <v>5950.41</v>
      </c>
      <c r="O90" s="367"/>
      <c r="P90" s="368">
        <f>SUM(compras_mes11[[#This Row],[NETO GRAVADO]:[Otros / No Grav.]])</f>
        <v>185950.4093</v>
      </c>
      <c r="Q90" s="364" t="str">
        <f>IFERROR(IF(compras_mes11[[#This Row],[CUIT]]="","-",VLOOKUP(compras_mes11[[#This Row],[CUIT]],Lista_CUIT[#All],3,0)),"CUIT NO CARGADO")</f>
        <v>SERVICIOS DE ALOJAMIENTO EN HOTELES</v>
      </c>
      <c r="R90" s="364">
        <f>IFERROR(IF(compras_mes11[[#This Row],[CUIT]]="","-",VLOOKUP(compras_mes11[[#This Row],[CUIT]],Lista_CUIT[#All],4,0)),"CUIT NO CARGADO")</f>
        <v>0</v>
      </c>
    </row>
    <row r="91" spans="2:18" s="363" customFormat="1" x14ac:dyDescent="0.25">
      <c r="B91" s="372"/>
      <c r="C91" s="270"/>
      <c r="D91" s="260"/>
      <c r="E91" s="261"/>
      <c r="F91" s="262">
        <v>30577207190</v>
      </c>
      <c r="G91" s="263" t="str">
        <f>IFERROR(IF(compras_mes11[[#This Row],[CUIT]]="","-",VLOOKUP(compras_mes11[[#This Row],[CUIT]],Lista_CUIT[#All],2,0)),"CUIT NO CARGADO")</f>
        <v>COORDINACION ECOLOGICA AREA METROPOLITANA SOCIEDAD DEL ESTADO</v>
      </c>
      <c r="H91" s="264">
        <v>1487.6</v>
      </c>
      <c r="I91" s="367">
        <f>IF(compras_mes11[[#This Row],[NETO GRAVADO]]="","",compras_mes11[[#This Row],[NETO GRAVADO]]*0.21)</f>
        <v>312.39599999999996</v>
      </c>
      <c r="J91" s="367"/>
      <c r="K91" s="367"/>
      <c r="L91" s="367">
        <v>0</v>
      </c>
      <c r="M91" s="367"/>
      <c r="N91" s="367">
        <v>0</v>
      </c>
      <c r="O91" s="367"/>
      <c r="P91" s="368">
        <f>SUM(compras_mes11[[#This Row],[NETO GRAVADO]:[Otros / No Grav.]])</f>
        <v>1799.9959999999999</v>
      </c>
      <c r="Q91" s="364" t="str">
        <f>IFERROR(IF(compras_mes11[[#This Row],[CUIT]]="","-",VLOOKUP(compras_mes11[[#This Row],[CUIT]],Lista_CUIT[#All],3,0)),"CUIT NO CARGADO")</f>
        <v>gastos varios</v>
      </c>
      <c r="R91" s="364">
        <f>IFERROR(IF(compras_mes11[[#This Row],[CUIT]]="","-",VLOOKUP(compras_mes11[[#This Row],[CUIT]],Lista_CUIT[#All],4,0)),"CUIT NO CARGADO")</f>
        <v>0</v>
      </c>
    </row>
    <row r="92" spans="2:18" s="363" customFormat="1" x14ac:dyDescent="0.25">
      <c r="B92" s="372"/>
      <c r="C92" s="270"/>
      <c r="D92" s="260"/>
      <c r="E92" s="261"/>
      <c r="F92" s="262">
        <v>30577207190</v>
      </c>
      <c r="G92" s="263" t="str">
        <f>IFERROR(IF(compras_mes11[[#This Row],[CUIT]]="","-",VLOOKUP(compras_mes11[[#This Row],[CUIT]],Lista_CUIT[#All],2,0)),"CUIT NO CARGADO")</f>
        <v>COORDINACION ECOLOGICA AREA METROPOLITANA SOCIEDAD DEL ESTADO</v>
      </c>
      <c r="H92" s="264">
        <v>1487.6</v>
      </c>
      <c r="I92" s="367">
        <f>IF(compras_mes11[[#This Row],[NETO GRAVADO]]="","",compras_mes11[[#This Row],[NETO GRAVADO]]*0.21)</f>
        <v>312.39599999999996</v>
      </c>
      <c r="J92" s="367"/>
      <c r="K92" s="367"/>
      <c r="L92" s="367">
        <v>0</v>
      </c>
      <c r="M92" s="367"/>
      <c r="N92" s="367">
        <v>0</v>
      </c>
      <c r="O92" s="367"/>
      <c r="P92" s="368">
        <f>SUM(compras_mes11[[#This Row],[NETO GRAVADO]:[Otros / No Grav.]])</f>
        <v>1799.9959999999999</v>
      </c>
      <c r="Q92" s="364" t="str">
        <f>IFERROR(IF(compras_mes11[[#This Row],[CUIT]]="","-",VLOOKUP(compras_mes11[[#This Row],[CUIT]],Lista_CUIT[#All],3,0)),"CUIT NO CARGADO")</f>
        <v>gastos varios</v>
      </c>
      <c r="R92" s="364">
        <f>IFERROR(IF(compras_mes11[[#This Row],[CUIT]]="","-",VLOOKUP(compras_mes11[[#This Row],[CUIT]],Lista_CUIT[#All],4,0)),"CUIT NO CARGADO")</f>
        <v>0</v>
      </c>
    </row>
    <row r="93" spans="2:18" s="363" customFormat="1" x14ac:dyDescent="0.25">
      <c r="B93" s="372"/>
      <c r="C93" s="270"/>
      <c r="D93" s="260"/>
      <c r="E93" s="261"/>
      <c r="F93" s="262">
        <v>30592097482</v>
      </c>
      <c r="G93" s="263" t="str">
        <f>IFERROR(IF(compras_mes11[[#This Row],[CUIT]]="","-",VLOOKUP(compras_mes11[[#This Row],[CUIT]],Lista_CUIT[#All],2,0)),"CUIT NO CARGADO")</f>
        <v>ED GAR SOCIEDAD ANONIMA</v>
      </c>
      <c r="H93" s="264">
        <v>0</v>
      </c>
      <c r="I93" s="367">
        <f>IF(compras_mes11[[#This Row],[NETO GRAVADO]]="","",compras_mes11[[#This Row],[NETO GRAVADO]]*0.21)</f>
        <v>0</v>
      </c>
      <c r="J93" s="367"/>
      <c r="K93" s="367"/>
      <c r="L93" s="367">
        <v>0</v>
      </c>
      <c r="M93" s="367"/>
      <c r="N93" s="367">
        <v>0</v>
      </c>
      <c r="O93" s="367">
        <v>30603.01</v>
      </c>
      <c r="P93" s="368">
        <f>SUM(compras_mes11[[#This Row],[NETO GRAVADO]:[Otros / No Grav.]])</f>
        <v>30603.01</v>
      </c>
      <c r="Q93" s="364" t="str">
        <f>IFERROR(IF(compras_mes11[[#This Row],[CUIT]]="","-",VLOOKUP(compras_mes11[[#This Row],[CUIT]],Lista_CUIT[#All],3,0)),"CUIT NO CARGADO")</f>
        <v>INSUMO</v>
      </c>
      <c r="R93" s="364">
        <f>IFERROR(IF(compras_mes11[[#This Row],[CUIT]]="","-",VLOOKUP(compras_mes11[[#This Row],[CUIT]],Lista_CUIT[#All],4,0)),"CUIT NO CARGADO")</f>
        <v>0</v>
      </c>
    </row>
    <row r="94" spans="2:18" s="363" customFormat="1" x14ac:dyDescent="0.25">
      <c r="B94" s="594"/>
      <c r="C94" s="41"/>
      <c r="D94" s="42"/>
      <c r="E94" s="43"/>
      <c r="F94" s="44">
        <v>30654118767</v>
      </c>
      <c r="G94" s="45" t="str">
        <f>IFERROR(IF(compras_mes11[[#This Row],[CUIT]]="","-",VLOOKUP(compras_mes11[[#This Row],[CUIT]],Lista_CUIT[#All],2,0)),"CUIT NO CARGADO")</f>
        <v>SOLUCIONES MULTIMEDIA SA</v>
      </c>
      <c r="H94" s="46">
        <v>172538.09</v>
      </c>
      <c r="I94" s="370">
        <f>IF(compras_mes11[[#This Row],[NETO GRAVADO]]="","",compras_mes11[[#This Row],[NETO GRAVADO]]*0.21)</f>
        <v>36232.998899999999</v>
      </c>
      <c r="J94" s="370"/>
      <c r="K94" s="370"/>
      <c r="L94" s="370">
        <v>0</v>
      </c>
      <c r="M94" s="370"/>
      <c r="N94" s="370">
        <v>6901.52</v>
      </c>
      <c r="O94" s="370"/>
      <c r="P94" s="595">
        <f>SUM(compras_mes11[[#This Row],[NETO GRAVADO]:[Otros / No Grav.]])</f>
        <v>215672.60889999999</v>
      </c>
      <c r="Q94" s="369" t="str">
        <f>IFERROR(IF(compras_mes11[[#This Row],[CUIT]]="","-",VLOOKUP(compras_mes11[[#This Row],[CUIT]],Lista_CUIT[#All],3,0)),"CUIT NO CARGADO")</f>
        <v>gastos varios</v>
      </c>
      <c r="R94" s="369">
        <f>IFERROR(IF(compras_mes11[[#This Row],[CUIT]]="","-",VLOOKUP(compras_mes11[[#This Row],[CUIT]],Lista_CUIT[#All],4,0)),"CUIT NO CARGADO")</f>
        <v>0</v>
      </c>
    </row>
    <row r="95" spans="2:18" s="363" customFormat="1" x14ac:dyDescent="0.25">
      <c r="B95" s="594"/>
      <c r="C95" s="41"/>
      <c r="D95" s="42"/>
      <c r="E95" s="43"/>
      <c r="F95" s="44">
        <v>30663498513</v>
      </c>
      <c r="G95" s="45" t="str">
        <f>IFERROR(IF(compras_mes11[[#This Row],[CUIT]]="","-",VLOOKUP(compras_mes11[[#This Row],[CUIT]],Lista_CUIT[#All],2,0)),"CUIT NO CARGADO")</f>
        <v>GRUPO CONCES. DEL OESTE SA</v>
      </c>
      <c r="H95" s="46">
        <v>7973.16</v>
      </c>
      <c r="I95" s="370">
        <f>IF(compras_mes11[[#This Row],[NETO GRAVADO]]="","",compras_mes11[[#This Row],[NETO GRAVADO]]*0.21)</f>
        <v>1674.3635999999999</v>
      </c>
      <c r="J95" s="370"/>
      <c r="K95" s="370"/>
      <c r="L95" s="370">
        <v>0</v>
      </c>
      <c r="M95" s="370"/>
      <c r="N95" s="370">
        <v>318.93</v>
      </c>
      <c r="O95" s="370"/>
      <c r="P95" s="595">
        <f>SUM(compras_mes11[[#This Row],[NETO GRAVADO]:[Otros / No Grav.]])</f>
        <v>9966.4536000000007</v>
      </c>
      <c r="Q95" s="369" t="str">
        <f>IFERROR(IF(compras_mes11[[#This Row],[CUIT]]="","-",VLOOKUP(compras_mes11[[#This Row],[CUIT]],Lista_CUIT[#All],3,0)),"CUIT NO CARGADO")</f>
        <v>Autopista</v>
      </c>
      <c r="R95" s="369">
        <f>IFERROR(IF(compras_mes11[[#This Row],[CUIT]]="","-",VLOOKUP(compras_mes11[[#This Row],[CUIT]],Lista_CUIT[#All],4,0)),"CUIT NO CARGADO")</f>
        <v>0</v>
      </c>
    </row>
    <row r="96" spans="2:18" s="363" customFormat="1" x14ac:dyDescent="0.25">
      <c r="B96" s="594"/>
      <c r="C96" s="41"/>
      <c r="D96" s="42"/>
      <c r="E96" s="43"/>
      <c r="F96" s="44">
        <v>30715804812</v>
      </c>
      <c r="G96" s="45" t="str">
        <f>IFERROR(IF(compras_mes11[[#This Row],[CUIT]]="","-",VLOOKUP(compras_mes11[[#This Row],[CUIT]],Lista_CUIT[#All],2,0)),"CUIT NO CARGADO")</f>
        <v>CORREDORES VIALES SOCIEDAD ANONIMA</v>
      </c>
      <c r="H96" s="46">
        <v>7695.87</v>
      </c>
      <c r="I96" s="370">
        <f>IF(compras_mes11[[#This Row],[NETO GRAVADO]]="","",compras_mes11[[#This Row],[NETO GRAVADO]]*0.21)</f>
        <v>1616.1326999999999</v>
      </c>
      <c r="J96" s="370"/>
      <c r="K96" s="370"/>
      <c r="L96" s="370">
        <v>0</v>
      </c>
      <c r="M96" s="370"/>
      <c r="N96" s="370">
        <v>307.83</v>
      </c>
      <c r="O96" s="370"/>
      <c r="P96" s="595">
        <f>SUM(compras_mes11[[#This Row],[NETO GRAVADO]:[Otros / No Grav.]])</f>
        <v>9619.832699999999</v>
      </c>
      <c r="Q96" s="369" t="str">
        <f>IFERROR(IF(compras_mes11[[#This Row],[CUIT]]="","-",VLOOKUP(compras_mes11[[#This Row],[CUIT]],Lista_CUIT[#All],3,0)),"CUIT NO CARGADO")</f>
        <v>Autopista</v>
      </c>
      <c r="R96" s="369">
        <f>IFERROR(IF(compras_mes11[[#This Row],[CUIT]]="","-",VLOOKUP(compras_mes11[[#This Row],[CUIT]],Lista_CUIT[#All],4,0)),"CUIT NO CARGADO")</f>
        <v>0</v>
      </c>
    </row>
    <row r="97" spans="2:18" s="363" customFormat="1" x14ac:dyDescent="0.25">
      <c r="B97" s="594"/>
      <c r="C97" s="41"/>
      <c r="D97" s="42"/>
      <c r="E97" s="43"/>
      <c r="F97" s="44">
        <v>30715804812</v>
      </c>
      <c r="G97" s="45" t="str">
        <f>IFERROR(IF(compras_mes11[[#This Row],[CUIT]]="","-",VLOOKUP(compras_mes11[[#This Row],[CUIT]],Lista_CUIT[#All],2,0)),"CUIT NO CARGADO")</f>
        <v>CORREDORES VIALES SOCIEDAD ANONIMA</v>
      </c>
      <c r="H97" s="46">
        <v>7071.89</v>
      </c>
      <c r="I97" s="370">
        <f>IF(compras_mes11[[#This Row],[NETO GRAVADO]]="","",compras_mes11[[#This Row],[NETO GRAVADO]]*0.21)</f>
        <v>1485.0969</v>
      </c>
      <c r="J97" s="370"/>
      <c r="K97" s="370"/>
      <c r="L97" s="370">
        <v>0</v>
      </c>
      <c r="M97" s="370"/>
      <c r="N97" s="370">
        <v>282.87</v>
      </c>
      <c r="O97" s="370"/>
      <c r="P97" s="595">
        <f>SUM(compras_mes11[[#This Row],[NETO GRAVADO]:[Otros / No Grav.]])</f>
        <v>8839.8569000000007</v>
      </c>
      <c r="Q97" s="369" t="str">
        <f>IFERROR(IF(compras_mes11[[#This Row],[CUIT]]="","-",VLOOKUP(compras_mes11[[#This Row],[CUIT]],Lista_CUIT[#All],3,0)),"CUIT NO CARGADO")</f>
        <v>Autopista</v>
      </c>
      <c r="R97" s="369">
        <f>IFERROR(IF(compras_mes11[[#This Row],[CUIT]]="","-",VLOOKUP(compras_mes11[[#This Row],[CUIT]],Lista_CUIT[#All],4,0)),"CUIT NO CARGADO")</f>
        <v>0</v>
      </c>
    </row>
    <row r="98" spans="2:18" s="363" customFormat="1" x14ac:dyDescent="0.25">
      <c r="B98" s="594"/>
      <c r="C98" s="41"/>
      <c r="D98" s="42"/>
      <c r="E98" s="43"/>
      <c r="F98" s="44">
        <v>30677237119</v>
      </c>
      <c r="G98" s="45" t="str">
        <f>IFERROR(IF(compras_mes11[[#This Row],[CUIT]]="","-",VLOOKUP(compras_mes11[[#This Row],[CUIT]],Lista_CUIT[#All],2,0)),"CUIT NO CARGADO")</f>
        <v>AUTOPISTAS DEL SOL SA</v>
      </c>
      <c r="H98" s="46">
        <v>4159.8900000000003</v>
      </c>
      <c r="I98" s="370">
        <f>IF(compras_mes11[[#This Row],[NETO GRAVADO]]="","",compras_mes11[[#This Row],[NETO GRAVADO]]*0.21)</f>
        <v>873.57690000000002</v>
      </c>
      <c r="J98" s="370"/>
      <c r="K98" s="370"/>
      <c r="L98" s="370">
        <v>0</v>
      </c>
      <c r="M98" s="370"/>
      <c r="N98" s="370">
        <v>166.4</v>
      </c>
      <c r="O98" s="370"/>
      <c r="P98" s="595">
        <f>SUM(compras_mes11[[#This Row],[NETO GRAVADO]:[Otros / No Grav.]])</f>
        <v>5199.8669</v>
      </c>
      <c r="Q98" s="369" t="str">
        <f>IFERROR(IF(compras_mes11[[#This Row],[CUIT]]="","-",VLOOKUP(compras_mes11[[#This Row],[CUIT]],Lista_CUIT[#All],3,0)),"CUIT NO CARGADO")</f>
        <v>Autopista</v>
      </c>
      <c r="R98" s="369">
        <f>IFERROR(IF(compras_mes11[[#This Row],[CUIT]]="","-",VLOOKUP(compras_mes11[[#This Row],[CUIT]],Lista_CUIT[#All],4,0)),"CUIT NO CARGADO")</f>
        <v>0</v>
      </c>
    </row>
    <row r="99" spans="2:18" s="363" customFormat="1" x14ac:dyDescent="0.25">
      <c r="B99" s="594"/>
      <c r="C99" s="41"/>
      <c r="D99" s="42"/>
      <c r="E99" s="43"/>
      <c r="F99" s="44">
        <v>30677237119</v>
      </c>
      <c r="G99" s="45" t="str">
        <f>IFERROR(IF(compras_mes11[[#This Row],[CUIT]]="","-",VLOOKUP(compras_mes11[[#This Row],[CUIT]],Lista_CUIT[#All],2,0)),"CUIT NO CARGADO")</f>
        <v>AUTOPISTAS DEL SOL SA</v>
      </c>
      <c r="H99" s="46">
        <v>7510.97</v>
      </c>
      <c r="I99" s="370">
        <f>IF(compras_mes11[[#This Row],[NETO GRAVADO]]="","",compras_mes11[[#This Row],[NETO GRAVADO]]*0.21)</f>
        <v>1577.3036999999999</v>
      </c>
      <c r="J99" s="370"/>
      <c r="K99" s="370"/>
      <c r="L99" s="370">
        <v>225.33</v>
      </c>
      <c r="M99" s="370"/>
      <c r="N99" s="370">
        <v>300.44</v>
      </c>
      <c r="O99" s="370"/>
      <c r="P99" s="595">
        <f>SUM(compras_mes11[[#This Row],[NETO GRAVADO]:[Otros / No Grav.]])</f>
        <v>9614.0437000000002</v>
      </c>
      <c r="Q99" s="369" t="str">
        <f>IFERROR(IF(compras_mes11[[#This Row],[CUIT]]="","-",VLOOKUP(compras_mes11[[#This Row],[CUIT]],Lista_CUIT[#All],3,0)),"CUIT NO CARGADO")</f>
        <v>Autopista</v>
      </c>
      <c r="R99" s="369">
        <f>IFERROR(IF(compras_mes11[[#This Row],[CUIT]]="","-",VLOOKUP(compras_mes11[[#This Row],[CUIT]],Lista_CUIT[#All],4,0)),"CUIT NO CARGADO")</f>
        <v>0</v>
      </c>
    </row>
    <row r="100" spans="2:18" s="363" customFormat="1" x14ac:dyDescent="0.25">
      <c r="B100" s="594"/>
      <c r="C100" s="41"/>
      <c r="D100" s="42"/>
      <c r="E100" s="43"/>
      <c r="F100" s="44">
        <v>30707370552</v>
      </c>
      <c r="G100" s="45" t="str">
        <f>IFERROR(IF(compras_mes11[[#This Row],[CUIT]]="","-",VLOOKUP(compras_mes11[[#This Row],[CUIT]],Lista_CUIT[#All],2,0)),"CUIT NO CARGADO")</f>
        <v>RAKE SA</v>
      </c>
      <c r="H100" s="46">
        <v>1623645.45</v>
      </c>
      <c r="I100" s="370">
        <f>IF(compras_mes11[[#This Row],[NETO GRAVADO]]="","",compras_mes11[[#This Row],[NETO GRAVADO]]*0.21)</f>
        <v>340965.54449999996</v>
      </c>
      <c r="J100" s="370"/>
      <c r="K100" s="370"/>
      <c r="L100" s="370">
        <v>0</v>
      </c>
      <c r="M100" s="370"/>
      <c r="N100" s="370">
        <v>0</v>
      </c>
      <c r="O100" s="370"/>
      <c r="P100" s="595">
        <f>SUM(compras_mes11[[#This Row],[NETO GRAVADO]:[Otros / No Grav.]])</f>
        <v>1964610.9945</v>
      </c>
      <c r="Q100" s="369" t="str">
        <f>IFERROR(IF(compras_mes11[[#This Row],[CUIT]]="","-",VLOOKUP(compras_mes11[[#This Row],[CUIT]],Lista_CUIT[#All],3,0)),"CUIT NO CARGADO")</f>
        <v>GASTOS VARIOS</v>
      </c>
      <c r="R100" s="369">
        <f>IFERROR(IF(compras_mes11[[#This Row],[CUIT]]="","-",VLOOKUP(compras_mes11[[#This Row],[CUIT]],Lista_CUIT[#All],4,0)),"CUIT NO CARGADO")</f>
        <v>0</v>
      </c>
    </row>
    <row r="101" spans="2:18" s="363" customFormat="1" x14ac:dyDescent="0.25">
      <c r="B101" s="594"/>
      <c r="C101" s="41"/>
      <c r="D101" s="42"/>
      <c r="E101" s="43"/>
      <c r="F101" s="44">
        <v>30685849751</v>
      </c>
      <c r="G101" s="45" t="str">
        <f>IFERROR(IF(compras_mes11[[#This Row],[CUIT]]="","-",VLOOKUP(compras_mes11[[#This Row],[CUIT]],Lista_CUIT[#All],2,0)),"CUIT NO CARGADO")</f>
        <v>DIA ARGENTINA S.A.</v>
      </c>
      <c r="H101" s="46">
        <v>5711.68</v>
      </c>
      <c r="I101" s="370">
        <f>2462.81*0.21</f>
        <v>517.19009999999992</v>
      </c>
      <c r="J101" s="370"/>
      <c r="K101" s="370">
        <f>3248.87*0.105</f>
        <v>341.13135</v>
      </c>
      <c r="L101" s="370">
        <v>0</v>
      </c>
      <c r="M101" s="370"/>
      <c r="N101" s="370">
        <v>0</v>
      </c>
      <c r="O101" s="370"/>
      <c r="P101" s="595">
        <f>SUM(compras_mes11[[#This Row],[NETO GRAVADO]:[Otros / No Grav.]])</f>
        <v>6570.0014499999997</v>
      </c>
      <c r="Q101" s="369" t="str">
        <f>IFERROR(IF(compras_mes11[[#This Row],[CUIT]]="","-",VLOOKUP(compras_mes11[[#This Row],[CUIT]],Lista_CUIT[#All],3,0)),"CUIT NO CARGADO")</f>
        <v>MERCADERIA</v>
      </c>
      <c r="R101" s="369">
        <f>IFERROR(IF(compras_mes11[[#This Row],[CUIT]]="","-",VLOOKUP(compras_mes11[[#This Row],[CUIT]],Lista_CUIT[#All],4,0)),"CUIT NO CARGADO")</f>
        <v>0</v>
      </c>
    </row>
    <row r="102" spans="2:18" s="363" customFormat="1" x14ac:dyDescent="0.25">
      <c r="B102" s="594"/>
      <c r="C102" s="41"/>
      <c r="D102" s="42"/>
      <c r="E102" s="43"/>
      <c r="F102" s="44">
        <v>30685849751</v>
      </c>
      <c r="G102" s="45" t="str">
        <f>IFERROR(IF(compras_mes11[[#This Row],[CUIT]]="","-",VLOOKUP(compras_mes11[[#This Row],[CUIT]],Lista_CUIT[#All],2,0)),"CUIT NO CARGADO")</f>
        <v>DIA ARGENTINA S.A.</v>
      </c>
      <c r="H102" s="46">
        <v>4223.1400000000003</v>
      </c>
      <c r="I102" s="370">
        <f>IF(compras_mes11[[#This Row],[NETO GRAVADO]]="","",compras_mes11[[#This Row],[NETO GRAVADO]]*0.21)</f>
        <v>886.85940000000005</v>
      </c>
      <c r="J102" s="370"/>
      <c r="K102" s="370"/>
      <c r="L102" s="370">
        <v>0</v>
      </c>
      <c r="M102" s="370"/>
      <c r="N102" s="370">
        <v>0</v>
      </c>
      <c r="O102" s="370"/>
      <c r="P102" s="595">
        <f>SUM(compras_mes11[[#This Row],[NETO GRAVADO]:[Otros / No Grav.]])</f>
        <v>5109.9994000000006</v>
      </c>
      <c r="Q102" s="369" t="str">
        <f>IFERROR(IF(compras_mes11[[#This Row],[CUIT]]="","-",VLOOKUP(compras_mes11[[#This Row],[CUIT]],Lista_CUIT[#All],3,0)),"CUIT NO CARGADO")</f>
        <v>MERCADERIA</v>
      </c>
      <c r="R102" s="369">
        <f>IFERROR(IF(compras_mes11[[#This Row],[CUIT]]="","-",VLOOKUP(compras_mes11[[#This Row],[CUIT]],Lista_CUIT[#All],4,0)),"CUIT NO CARGADO")</f>
        <v>0</v>
      </c>
    </row>
    <row r="103" spans="2:18" s="363" customFormat="1" x14ac:dyDescent="0.25">
      <c r="B103" s="594"/>
      <c r="C103" s="41"/>
      <c r="D103" s="42"/>
      <c r="E103" s="43"/>
      <c r="F103" s="44">
        <v>30685849751</v>
      </c>
      <c r="G103" s="45" t="str">
        <f>IFERROR(IF(compras_mes11[[#This Row],[CUIT]]="","-",VLOOKUP(compras_mes11[[#This Row],[CUIT]],Lista_CUIT[#All],2,0)),"CUIT NO CARGADO")</f>
        <v>DIA ARGENTINA S.A.</v>
      </c>
      <c r="H103" s="46">
        <v>11698.46</v>
      </c>
      <c r="I103" s="370">
        <f>8449.59*0.21</f>
        <v>1774.4139</v>
      </c>
      <c r="J103" s="370"/>
      <c r="K103" s="370">
        <f>3248.87*0.105</f>
        <v>341.13135</v>
      </c>
      <c r="L103" s="370">
        <v>0</v>
      </c>
      <c r="M103" s="370"/>
      <c r="N103" s="370">
        <v>0</v>
      </c>
      <c r="O103" s="370"/>
      <c r="P103" s="595">
        <f>SUM(compras_mes11[[#This Row],[NETO GRAVADO]:[Otros / No Grav.]])</f>
        <v>13814.005249999998</v>
      </c>
      <c r="Q103" s="369" t="str">
        <f>IFERROR(IF(compras_mes11[[#This Row],[CUIT]]="","-",VLOOKUP(compras_mes11[[#This Row],[CUIT]],Lista_CUIT[#All],3,0)),"CUIT NO CARGADO")</f>
        <v>MERCADERIA</v>
      </c>
      <c r="R103" s="369">
        <f>IFERROR(IF(compras_mes11[[#This Row],[CUIT]]="","-",VLOOKUP(compras_mes11[[#This Row],[CUIT]],Lista_CUIT[#All],4,0)),"CUIT NO CARGADO")</f>
        <v>0</v>
      </c>
    </row>
    <row r="104" spans="2:18" s="363" customFormat="1" x14ac:dyDescent="0.25">
      <c r="B104" s="594"/>
      <c r="C104" s="41"/>
      <c r="D104" s="42"/>
      <c r="E104" s="43"/>
      <c r="F104" s="44">
        <v>30685849751</v>
      </c>
      <c r="G104" s="45" t="str">
        <f>IFERROR(IF(compras_mes11[[#This Row],[CUIT]]="","-",VLOOKUP(compras_mes11[[#This Row],[CUIT]],Lista_CUIT[#All],2,0)),"CUIT NO CARGADO")</f>
        <v>DIA ARGENTINA S.A.</v>
      </c>
      <c r="H104" s="46">
        <v>5304.97</v>
      </c>
      <c r="I104" s="370">
        <f>IF(compras_mes11[[#This Row],[NETO GRAVADO]]="","",compras_mes11[[#This Row],[NETO GRAVADO]]*0.21)</f>
        <v>1114.0436999999999</v>
      </c>
      <c r="J104" s="370"/>
      <c r="K104" s="370"/>
      <c r="L104" s="370">
        <v>0</v>
      </c>
      <c r="M104" s="370"/>
      <c r="N104" s="370">
        <v>0</v>
      </c>
      <c r="O104" s="370"/>
      <c r="P104" s="595">
        <f>SUM(compras_mes11[[#This Row],[NETO GRAVADO]:[Otros / No Grav.]])</f>
        <v>6419.0137000000004</v>
      </c>
      <c r="Q104" s="369" t="str">
        <f>IFERROR(IF(compras_mes11[[#This Row],[CUIT]]="","-",VLOOKUP(compras_mes11[[#This Row],[CUIT]],Lista_CUIT[#All],3,0)),"CUIT NO CARGADO")</f>
        <v>MERCADERIA</v>
      </c>
      <c r="R104" s="369">
        <f>IFERROR(IF(compras_mes11[[#This Row],[CUIT]]="","-",VLOOKUP(compras_mes11[[#This Row],[CUIT]],Lista_CUIT[#All],4,0)),"CUIT NO CARGADO")</f>
        <v>0</v>
      </c>
    </row>
    <row r="105" spans="2:18" s="363" customFormat="1" x14ac:dyDescent="0.25">
      <c r="B105" s="372"/>
      <c r="C105" s="270"/>
      <c r="D105" s="260"/>
      <c r="E105" s="261"/>
      <c r="F105" s="262">
        <v>30685849751</v>
      </c>
      <c r="G105" s="263" t="str">
        <f>IFERROR(IF(compras_mes11[[#This Row],[CUIT]]="","-",VLOOKUP(compras_mes11[[#This Row],[CUIT]],Lista_CUIT[#All],2,0)),"CUIT NO CARGADO")</f>
        <v>DIA ARGENTINA S.A.</v>
      </c>
      <c r="H105" s="264">
        <v>7892.56</v>
      </c>
      <c r="I105" s="367">
        <f>IF(compras_mes11[[#This Row],[NETO GRAVADO]]="","",compras_mes11[[#This Row],[NETO GRAVADO]]*0.21)</f>
        <v>1657.4376</v>
      </c>
      <c r="J105" s="367"/>
      <c r="K105" s="367"/>
      <c r="L105" s="367">
        <v>0</v>
      </c>
      <c r="M105" s="367"/>
      <c r="N105" s="367">
        <v>0</v>
      </c>
      <c r="O105" s="367"/>
      <c r="P105" s="368">
        <f>SUM(compras_mes11[[#This Row],[NETO GRAVADO]:[Otros / No Grav.]])</f>
        <v>9549.9976000000006</v>
      </c>
      <c r="Q105" s="364" t="str">
        <f>IFERROR(IF(compras_mes11[[#This Row],[CUIT]]="","-",VLOOKUP(compras_mes11[[#This Row],[CUIT]],Lista_CUIT[#All],3,0)),"CUIT NO CARGADO")</f>
        <v>MERCADERIA</v>
      </c>
      <c r="R105" s="364">
        <f>IFERROR(IF(compras_mes11[[#This Row],[CUIT]]="","-",VLOOKUP(compras_mes11[[#This Row],[CUIT]],Lista_CUIT[#All],4,0)),"CUIT NO CARGADO")</f>
        <v>0</v>
      </c>
    </row>
    <row r="106" spans="2:18" s="363" customFormat="1" x14ac:dyDescent="0.25">
      <c r="B106" s="372"/>
      <c r="C106" s="270"/>
      <c r="D106" s="260"/>
      <c r="E106" s="261"/>
      <c r="F106" s="262">
        <v>30685849751</v>
      </c>
      <c r="G106" s="263" t="str">
        <f>IFERROR(IF(compras_mes11[[#This Row],[CUIT]]="","-",VLOOKUP(compras_mes11[[#This Row],[CUIT]],Lista_CUIT[#All],2,0)),"CUIT NO CARGADO")</f>
        <v>DIA ARGENTINA S.A.</v>
      </c>
      <c r="H106" s="264">
        <v>5549.59</v>
      </c>
      <c r="I106" s="367">
        <f>IF(compras_mes11[[#This Row],[NETO GRAVADO]]="","",compras_mes11[[#This Row],[NETO GRAVADO]]*0.21)</f>
        <v>1165.4139</v>
      </c>
      <c r="J106" s="367"/>
      <c r="K106" s="367"/>
      <c r="L106" s="367">
        <v>0</v>
      </c>
      <c r="M106" s="367"/>
      <c r="N106" s="367">
        <v>0</v>
      </c>
      <c r="O106" s="367"/>
      <c r="P106" s="368">
        <f>SUM(compras_mes11[[#This Row],[NETO GRAVADO]:[Otros / No Grav.]])</f>
        <v>6715.0038999999997</v>
      </c>
      <c r="Q106" s="364" t="str">
        <f>IFERROR(IF(compras_mes11[[#This Row],[CUIT]]="","-",VLOOKUP(compras_mes11[[#This Row],[CUIT]],Lista_CUIT[#All],3,0)),"CUIT NO CARGADO")</f>
        <v>MERCADERIA</v>
      </c>
      <c r="R106" s="364">
        <f>IFERROR(IF(compras_mes11[[#This Row],[CUIT]]="","-",VLOOKUP(compras_mes11[[#This Row],[CUIT]],Lista_CUIT[#All],4,0)),"CUIT NO CARGADO")</f>
        <v>0</v>
      </c>
    </row>
    <row r="107" spans="2:18" s="363" customFormat="1" x14ac:dyDescent="0.25">
      <c r="B107" s="372"/>
      <c r="C107" s="270"/>
      <c r="D107" s="260"/>
      <c r="E107" s="261"/>
      <c r="F107" s="262">
        <v>30516186670</v>
      </c>
      <c r="G107" s="263" t="str">
        <f>IFERROR(IF(compras_mes11[[#This Row],[CUIT]]="","-",VLOOKUP(compras_mes11[[#This Row],[CUIT]],Lista_CUIT[#All],2,0)),"CUIT NO CARGADO")</f>
        <v>DEHEZA SAICF E I</v>
      </c>
      <c r="H107" s="264">
        <v>33507.94</v>
      </c>
      <c r="I107" s="367">
        <f>IF(compras_mes11[[#This Row],[NETO GRAVADO]]="","",compras_mes11[[#This Row],[NETO GRAVADO]]*0.21)</f>
        <v>7036.6674000000003</v>
      </c>
      <c r="J107" s="378"/>
      <c r="K107" s="378"/>
      <c r="L107" s="378">
        <v>1667.24</v>
      </c>
      <c r="M107" s="378"/>
      <c r="N107" s="378">
        <v>0</v>
      </c>
      <c r="O107" s="378"/>
      <c r="P107" s="379">
        <f>SUM(compras_mes11[[#This Row],[NETO GRAVADO]:[Otros / No Grav.]])</f>
        <v>42211.847399999999</v>
      </c>
      <c r="Q107" s="364" t="str">
        <f>IFERROR(IF(compras_mes11[[#This Row],[CUIT]]="","-",VLOOKUP(compras_mes11[[#This Row],[CUIT]],Lista_CUIT[#All],3,0)),"CUIT NO CARGADO")</f>
        <v>COMBUSTIBLE</v>
      </c>
      <c r="R107" s="364">
        <f>IFERROR(IF(compras_mes11[[#This Row],[CUIT]]="","-",VLOOKUP(compras_mes11[[#This Row],[CUIT]],Lista_CUIT[#All],4,0)),"CUIT NO CARGADO")</f>
        <v>0</v>
      </c>
    </row>
    <row r="108" spans="2:18" s="363" customFormat="1" x14ac:dyDescent="0.25">
      <c r="B108" s="372"/>
      <c r="C108" s="270"/>
      <c r="D108" s="260"/>
      <c r="E108" s="261"/>
      <c r="F108" s="262">
        <v>30516186670</v>
      </c>
      <c r="G108" s="263" t="str">
        <f>IFERROR(IF(compras_mes11[[#This Row],[CUIT]]="","-",VLOOKUP(compras_mes11[[#This Row],[CUIT]],Lista_CUIT[#All],2,0)),"CUIT NO CARGADO")</f>
        <v>DEHEZA SAICF E I</v>
      </c>
      <c r="H108" s="264">
        <v>51648.07</v>
      </c>
      <c r="I108" s="367">
        <f>IF(compras_mes11[[#This Row],[NETO GRAVADO]]="","",compras_mes11[[#This Row],[NETO GRAVADO]]*0.21)</f>
        <v>10846.0947</v>
      </c>
      <c r="J108" s="378"/>
      <c r="K108" s="378"/>
      <c r="L108" s="378">
        <v>4115.38</v>
      </c>
      <c r="M108" s="378"/>
      <c r="N108" s="378">
        <v>0</v>
      </c>
      <c r="O108" s="378"/>
      <c r="P108" s="379">
        <f>SUM(compras_mes11[[#This Row],[NETO GRAVADO]:[Otros / No Grav.]])</f>
        <v>66609.544699999999</v>
      </c>
      <c r="Q108" s="364" t="str">
        <f>IFERROR(IF(compras_mes11[[#This Row],[CUIT]]="","-",VLOOKUP(compras_mes11[[#This Row],[CUIT]],Lista_CUIT[#All],3,0)),"CUIT NO CARGADO")</f>
        <v>COMBUSTIBLE</v>
      </c>
      <c r="R108" s="364">
        <f>IFERROR(IF(compras_mes11[[#This Row],[CUIT]]="","-",VLOOKUP(compras_mes11[[#This Row],[CUIT]],Lista_CUIT[#All],4,0)),"CUIT NO CARGADO")</f>
        <v>0</v>
      </c>
    </row>
    <row r="109" spans="2:18" s="363" customFormat="1" x14ac:dyDescent="0.25">
      <c r="B109" s="372"/>
      <c r="C109" s="270"/>
      <c r="D109" s="260"/>
      <c r="E109" s="261"/>
      <c r="F109" s="262">
        <v>30548083156</v>
      </c>
      <c r="G109" s="263" t="str">
        <f>IFERROR(IF(compras_mes11[[#This Row],[CUIT]]="","-",VLOOKUP(compras_mes11[[#This Row],[CUIT]],Lista_CUIT[#All],2,0)),"CUIT NO CARGADO")</f>
        <v>COTO CICSA</v>
      </c>
      <c r="H109" s="264">
        <v>44395.47</v>
      </c>
      <c r="I109" s="367">
        <f>22824.88*0.21</f>
        <v>4793.2248</v>
      </c>
      <c r="J109" s="378"/>
      <c r="K109" s="370">
        <f>21570.59*0.105</f>
        <v>2264.9119499999997</v>
      </c>
      <c r="L109" s="378">
        <v>0</v>
      </c>
      <c r="M109" s="378"/>
      <c r="N109" s="378">
        <v>0</v>
      </c>
      <c r="O109" s="378"/>
      <c r="P109" s="379">
        <f>SUM(compras_mes11[[#This Row],[NETO GRAVADO]:[Otros / No Grav.]])</f>
        <v>51453.606749999999</v>
      </c>
      <c r="Q109" s="364" t="str">
        <f>IFERROR(IF(compras_mes11[[#This Row],[CUIT]]="","-",VLOOKUP(compras_mes11[[#This Row],[CUIT]],Lista_CUIT[#All],3,0)),"CUIT NO CARGADO")</f>
        <v>Gastos Varios</v>
      </c>
      <c r="R109" s="364">
        <f>IFERROR(IF(compras_mes11[[#This Row],[CUIT]]="","-",VLOOKUP(compras_mes11[[#This Row],[CUIT]],Lista_CUIT[#All],4,0)),"CUIT NO CARGADO")</f>
        <v>0</v>
      </c>
    </row>
    <row r="110" spans="2:18" s="371" customFormat="1" x14ac:dyDescent="0.25">
      <c r="B110" s="372"/>
      <c r="C110" s="270"/>
      <c r="D110" s="260"/>
      <c r="E110" s="261"/>
      <c r="F110" s="262">
        <v>30548083156</v>
      </c>
      <c r="G110" s="263" t="str">
        <f>IFERROR(IF(compras_mes11[[#This Row],[CUIT]]="","-",VLOOKUP(compras_mes11[[#This Row],[CUIT]],Lista_CUIT[#All],2,0)),"CUIT NO CARGADO")</f>
        <v>COTO CICSA</v>
      </c>
      <c r="H110" s="264">
        <v>39527.769999999997</v>
      </c>
      <c r="I110" s="367">
        <f>2426.52*0.21</f>
        <v>509.56919999999997</v>
      </c>
      <c r="J110" s="378"/>
      <c r="K110" s="370">
        <f>37101.25*0.105</f>
        <v>3895.6312499999999</v>
      </c>
      <c r="L110" s="378">
        <v>305.3</v>
      </c>
      <c r="M110" s="378"/>
      <c r="N110" s="378">
        <v>0</v>
      </c>
      <c r="O110" s="378"/>
      <c r="P110" s="379">
        <f>SUM(compras_mes11[[#This Row],[NETO GRAVADO]:[Otros / No Grav.]])</f>
        <v>44238.270449999996</v>
      </c>
      <c r="Q110" s="364" t="str">
        <f>IFERROR(IF(compras_mes11[[#This Row],[CUIT]]="","-",VLOOKUP(compras_mes11[[#This Row],[CUIT]],Lista_CUIT[#All],3,0)),"CUIT NO CARGADO")</f>
        <v>Gastos Varios</v>
      </c>
      <c r="R110" s="364">
        <f>IFERROR(IF(compras_mes11[[#This Row],[CUIT]]="","-",VLOOKUP(compras_mes11[[#This Row],[CUIT]],Lista_CUIT[#All],4,0)),"CUIT NO CARGADO")</f>
        <v>0</v>
      </c>
    </row>
    <row r="111" spans="2:18" s="363" customFormat="1" x14ac:dyDescent="0.25">
      <c r="B111" s="364"/>
      <c r="C111" s="270"/>
      <c r="D111" s="260"/>
      <c r="E111" s="261"/>
      <c r="F111" s="262">
        <v>30708574836</v>
      </c>
      <c r="G111" s="263" t="str">
        <f>IFERROR(IF(compras_mes11[[#This Row],[CUIT]]="","-",VLOOKUP(compras_mes11[[#This Row],[CUIT]],Lista_CUIT[#All],2,0)),"CUIT NO CARGADO")</f>
        <v>CORREO OFICIAL DE LA REPUBLICA ARGENTINA SOCIEDAD ANONIMA</v>
      </c>
      <c r="H111" s="264">
        <v>0</v>
      </c>
      <c r="I111" s="378">
        <f>IF(compras_mes11[[#This Row],[NETO GRAVADO]]="","",compras_mes11[[#This Row],[NETO GRAVADO]]*0.21)</f>
        <v>0</v>
      </c>
      <c r="J111" s="367"/>
      <c r="K111" s="367"/>
      <c r="L111" s="367">
        <v>0</v>
      </c>
      <c r="M111" s="367"/>
      <c r="N111" s="367">
        <v>0</v>
      </c>
      <c r="O111" s="367">
        <v>20900</v>
      </c>
      <c r="P111" s="368">
        <f>SUM(compras_mes11[[#This Row],[NETO GRAVADO]:[Otros / No Grav.]])</f>
        <v>20900</v>
      </c>
      <c r="Q111" s="364" t="str">
        <f>IFERROR(IF(compras_mes11[[#This Row],[CUIT]]="","-",VLOOKUP(compras_mes11[[#This Row],[CUIT]],Lista_CUIT[#All],3,0)),"CUIT NO CARGADO")</f>
        <v>Gastos Varios</v>
      </c>
      <c r="R111" s="364">
        <f>IFERROR(IF(compras_mes11[[#This Row],[CUIT]]="","-",VLOOKUP(compras_mes11[[#This Row],[CUIT]],Lista_CUIT[#All],4,0)),"CUIT NO CARGADO")</f>
        <v>0</v>
      </c>
    </row>
    <row r="112" spans="2:18" s="363" customFormat="1" x14ac:dyDescent="0.25">
      <c r="B112" s="364"/>
      <c r="C112" s="270"/>
      <c r="D112" s="260"/>
      <c r="E112" s="261"/>
      <c r="F112" s="262">
        <v>30708574836</v>
      </c>
      <c r="G112" s="263" t="str">
        <f>IFERROR(IF(compras_mes11[[#This Row],[CUIT]]="","-",VLOOKUP(compras_mes11[[#This Row],[CUIT]],Lista_CUIT[#All],2,0)),"CUIT NO CARGADO")</f>
        <v>CORREO OFICIAL DE LA REPUBLICA ARGENTINA SOCIEDAD ANONIMA</v>
      </c>
      <c r="H112" s="264">
        <v>0</v>
      </c>
      <c r="I112" s="378">
        <f>IF(compras_mes11[[#This Row],[NETO GRAVADO]]="","",compras_mes11[[#This Row],[NETO GRAVADO]]*0.21)</f>
        <v>0</v>
      </c>
      <c r="J112" s="367"/>
      <c r="K112" s="367"/>
      <c r="L112" s="367">
        <v>0</v>
      </c>
      <c r="M112" s="367"/>
      <c r="N112" s="367">
        <v>0</v>
      </c>
      <c r="O112" s="367">
        <v>35800</v>
      </c>
      <c r="P112" s="368">
        <f>SUM(compras_mes11[[#This Row],[NETO GRAVADO]:[Otros / No Grav.]])</f>
        <v>35800</v>
      </c>
      <c r="Q112" s="364" t="str">
        <f>IFERROR(IF(compras_mes11[[#This Row],[CUIT]]="","-",VLOOKUP(compras_mes11[[#This Row],[CUIT]],Lista_CUIT[#All],3,0)),"CUIT NO CARGADO")</f>
        <v>Gastos Varios</v>
      </c>
      <c r="R112" s="364">
        <f>IFERROR(IF(compras_mes11[[#This Row],[CUIT]]="","-",VLOOKUP(compras_mes11[[#This Row],[CUIT]],Lista_CUIT[#All],4,0)),"CUIT NO CARGADO")</f>
        <v>0</v>
      </c>
    </row>
    <row r="113" spans="2:18" s="363" customFormat="1" x14ac:dyDescent="0.25">
      <c r="B113" s="364"/>
      <c r="C113" s="270"/>
      <c r="D113" s="260"/>
      <c r="E113" s="261"/>
      <c r="F113" s="262">
        <v>30708574836</v>
      </c>
      <c r="G113" s="263" t="str">
        <f>IFERROR(IF(compras_mes11[[#This Row],[CUIT]]="","-",VLOOKUP(compras_mes11[[#This Row],[CUIT]],Lista_CUIT[#All],2,0)),"CUIT NO CARGADO")</f>
        <v>CORREO OFICIAL DE LA REPUBLICA ARGENTINA SOCIEDAD ANONIMA</v>
      </c>
      <c r="H113" s="264">
        <v>0</v>
      </c>
      <c r="I113" s="367">
        <f>IF(compras_mes11[[#This Row],[NETO GRAVADO]]="","",compras_mes11[[#This Row],[NETO GRAVADO]]*0.21)</f>
        <v>0</v>
      </c>
      <c r="J113" s="367"/>
      <c r="K113" s="367"/>
      <c r="L113" s="367">
        <v>0</v>
      </c>
      <c r="M113" s="367"/>
      <c r="N113" s="367">
        <v>0</v>
      </c>
      <c r="O113" s="367">
        <v>25400</v>
      </c>
      <c r="P113" s="368">
        <f>SUM(compras_mes11[[#This Row],[NETO GRAVADO]:[Otros / No Grav.]])</f>
        <v>25400</v>
      </c>
      <c r="Q113" s="364" t="str">
        <f>IFERROR(IF(compras_mes11[[#This Row],[CUIT]]="","-",VLOOKUP(compras_mes11[[#This Row],[CUIT]],Lista_CUIT[#All],3,0)),"CUIT NO CARGADO")</f>
        <v>Gastos Varios</v>
      </c>
      <c r="R113" s="364">
        <f>IFERROR(IF(compras_mes11[[#This Row],[CUIT]]="","-",VLOOKUP(compras_mes11[[#This Row],[CUIT]],Lista_CUIT[#All],4,0)),"CUIT NO CARGADO")</f>
        <v>0</v>
      </c>
    </row>
    <row r="114" spans="2:18" s="363" customFormat="1" x14ac:dyDescent="0.25">
      <c r="B114" s="364"/>
      <c r="C114" s="357"/>
      <c r="D114" s="358"/>
      <c r="E114" s="359"/>
      <c r="F114" s="360">
        <v>30708574836</v>
      </c>
      <c r="G114" s="361" t="str">
        <f>IFERROR(IF(compras_mes11[[#This Row],[CUIT]]="","-",VLOOKUP(compras_mes11[[#This Row],[CUIT]],Lista_CUIT[#All],2,0)),"CUIT NO CARGADO")</f>
        <v>CORREO OFICIAL DE LA REPUBLICA ARGENTINA SOCIEDAD ANONIMA</v>
      </c>
      <c r="H114" s="362">
        <v>0</v>
      </c>
      <c r="I114" s="367">
        <f>IF(compras_mes11[[#This Row],[NETO GRAVADO]]="","",compras_mes11[[#This Row],[NETO GRAVADO]]*0.21)</f>
        <v>0</v>
      </c>
      <c r="J114" s="367"/>
      <c r="K114" s="367"/>
      <c r="L114" s="367">
        <v>0</v>
      </c>
      <c r="M114" s="367"/>
      <c r="N114" s="367">
        <v>0</v>
      </c>
      <c r="O114" s="367">
        <v>19950</v>
      </c>
      <c r="P114" s="368">
        <f>SUM(compras_mes11[[#This Row],[NETO GRAVADO]:[Otros / No Grav.]])</f>
        <v>19950</v>
      </c>
      <c r="Q114" s="364" t="str">
        <f>IFERROR(IF(compras_mes11[[#This Row],[CUIT]]="","-",VLOOKUP(compras_mes11[[#This Row],[CUIT]],Lista_CUIT[#All],3,0)),"CUIT NO CARGADO")</f>
        <v>Gastos Varios</v>
      </c>
      <c r="R114" s="364">
        <f>IFERROR(IF(compras_mes11[[#This Row],[CUIT]]="","-",VLOOKUP(compras_mes11[[#This Row],[CUIT]],Lista_CUIT[#All],4,0)),"CUIT NO CARGADO")</f>
        <v>0</v>
      </c>
    </row>
    <row r="115" spans="2:18" s="363" customFormat="1" x14ac:dyDescent="0.25">
      <c r="B115" s="364"/>
      <c r="C115" s="270"/>
      <c r="D115" s="260"/>
      <c r="E115" s="261"/>
      <c r="F115" s="262">
        <v>30708574836</v>
      </c>
      <c r="G115" s="263" t="str">
        <f>IFERROR(IF(compras_mes11[[#This Row],[CUIT]]="","-",VLOOKUP(compras_mes11[[#This Row],[CUIT]],Lista_CUIT[#All],2,0)),"CUIT NO CARGADO")</f>
        <v>CORREO OFICIAL DE LA REPUBLICA ARGENTINA SOCIEDAD ANONIMA</v>
      </c>
      <c r="H115" s="264">
        <v>0</v>
      </c>
      <c r="I115" s="367">
        <f>IF(compras_mes11[[#This Row],[NETO GRAVADO]]="","",compras_mes11[[#This Row],[NETO GRAVADO]]*0.21)</f>
        <v>0</v>
      </c>
      <c r="J115" s="367"/>
      <c r="K115" s="367"/>
      <c r="L115" s="367">
        <v>0</v>
      </c>
      <c r="M115" s="367"/>
      <c r="N115" s="367">
        <v>0</v>
      </c>
      <c r="O115" s="367">
        <v>19950</v>
      </c>
      <c r="P115" s="368">
        <f>SUM(compras_mes11[[#This Row],[NETO GRAVADO]:[Otros / No Grav.]])</f>
        <v>19950</v>
      </c>
      <c r="Q115" s="364" t="str">
        <f>IFERROR(IF(compras_mes11[[#This Row],[CUIT]]="","-",VLOOKUP(compras_mes11[[#This Row],[CUIT]],Lista_CUIT[#All],3,0)),"CUIT NO CARGADO")</f>
        <v>Gastos Varios</v>
      </c>
      <c r="R115" s="364">
        <f>IFERROR(IF(compras_mes11[[#This Row],[CUIT]]="","-",VLOOKUP(compras_mes11[[#This Row],[CUIT]],Lista_CUIT[#All],4,0)),"CUIT NO CARGADO")</f>
        <v>0</v>
      </c>
    </row>
    <row r="116" spans="2:18" s="363" customFormat="1" x14ac:dyDescent="0.25">
      <c r="B116" s="364"/>
      <c r="C116" s="270"/>
      <c r="D116" s="260"/>
      <c r="E116" s="261"/>
      <c r="F116" s="262">
        <v>30678814357</v>
      </c>
      <c r="G116" s="263" t="str">
        <f>IFERROR(IF(compras_mes11[[#This Row],[CUIT]]="","-",VLOOKUP(compras_mes11[[#This Row],[CUIT]],Lista_CUIT[#All],2,0)),"CUIT NO CARGADO")</f>
        <v>TELEFONICA MOVILES ARG SA</v>
      </c>
      <c r="H116" s="264">
        <v>60327</v>
      </c>
      <c r="I116" s="367"/>
      <c r="J116" s="367">
        <f>compras_mes11[[#This Row],[NETO GRAVADO]]*0.27</f>
        <v>16288.29</v>
      </c>
      <c r="K116" s="367"/>
      <c r="L116" s="367">
        <v>4349.8900000000003</v>
      </c>
      <c r="M116" s="367"/>
      <c r="N116" s="367">
        <v>0</v>
      </c>
      <c r="O116" s="367"/>
      <c r="P116" s="368">
        <f>SUM(compras_mes11[[#This Row],[NETO GRAVADO]:[Otros / No Grav.]])</f>
        <v>80965.180000000008</v>
      </c>
      <c r="Q116" s="364" t="str">
        <f>IFERROR(IF(compras_mes11[[#This Row],[CUIT]]="","-",VLOOKUP(compras_mes11[[#This Row],[CUIT]],Lista_CUIT[#All],3,0)),"CUIT NO CARGADO")</f>
        <v>SERVICIO</v>
      </c>
      <c r="R116" s="364">
        <f>IFERROR(IF(compras_mes11[[#This Row],[CUIT]]="","-",VLOOKUP(compras_mes11[[#This Row],[CUIT]],Lista_CUIT[#All],4,0)),"CUIT NO CARGADO")</f>
        <v>0</v>
      </c>
    </row>
    <row r="117" spans="2:18" s="363" customFormat="1" x14ac:dyDescent="0.25">
      <c r="B117" s="364"/>
      <c r="C117" s="364"/>
      <c r="D117" s="364"/>
      <c r="E117" s="364"/>
      <c r="F117" s="262">
        <v>30678814357</v>
      </c>
      <c r="G117" s="365" t="str">
        <f>IFERROR(IF(compras_mes11[[#This Row],[CUIT]]="","-",VLOOKUP(compras_mes11[[#This Row],[CUIT]],Lista_CUIT[#All],2,0)),"CUIT NO CARGADO")</f>
        <v>TELEFONICA MOVILES ARG SA</v>
      </c>
      <c r="H117" s="366">
        <v>70275.86</v>
      </c>
      <c r="I117" s="367"/>
      <c r="J117" s="367">
        <f>compras_mes11[[#This Row],[NETO GRAVADO]]*0.27</f>
        <v>18974.482200000002</v>
      </c>
      <c r="K117" s="367"/>
      <c r="L117" s="367">
        <v>2108.2800000000002</v>
      </c>
      <c r="M117" s="367"/>
      <c r="N117" s="367">
        <v>2811.03</v>
      </c>
      <c r="O117" s="367"/>
      <c r="P117" s="368">
        <f>SUM(compras_mes11[[#This Row],[NETO GRAVADO]:[Otros / No Grav.]])</f>
        <v>94169.652199999997</v>
      </c>
      <c r="Q117" s="364" t="str">
        <f>IFERROR(IF(compras_mes11[[#This Row],[CUIT]]="","-",VLOOKUP(compras_mes11[[#This Row],[CUIT]],Lista_CUIT[#All],3,0)),"CUIT NO CARGADO")</f>
        <v>SERVICIO</v>
      </c>
      <c r="R117" s="364">
        <f>IFERROR(IF(compras_mes11[[#This Row],[CUIT]]="","-",VLOOKUP(compras_mes11[[#This Row],[CUIT]],Lista_CUIT[#All],4,0)),"CUIT NO CARGADO")</f>
        <v>0</v>
      </c>
    </row>
    <row r="118" spans="2:18" s="363" customFormat="1" x14ac:dyDescent="0.25">
      <c r="B118" s="364"/>
      <c r="C118" s="364"/>
      <c r="D118" s="364"/>
      <c r="E118" s="364"/>
      <c r="F118" s="262">
        <v>30639453738</v>
      </c>
      <c r="G118" s="365" t="str">
        <f>IFERROR(IF(compras_mes11[[#This Row],[CUIT]]="","-",VLOOKUP(compras_mes11[[#This Row],[CUIT]],Lista_CUIT[#All],2,0)),"CUIT NO CARGADO")</f>
        <v>TELECOM ARGENTINA SA</v>
      </c>
      <c r="H118" s="366">
        <v>52988.43</v>
      </c>
      <c r="I118" s="370">
        <f>IF(compras_mes11[[#This Row],[NETO GRAVADO]]="","",compras_mes11[[#This Row],[NETO GRAVADO]]*0.21)</f>
        <v>11127.570299999999</v>
      </c>
      <c r="J118" s="367"/>
      <c r="K118" s="367"/>
      <c r="L118" s="367">
        <v>1589.66</v>
      </c>
      <c r="M118" s="367"/>
      <c r="N118" s="367">
        <v>2119.54</v>
      </c>
      <c r="O118" s="367"/>
      <c r="P118" s="368">
        <f>SUM(compras_mes11[[#This Row],[NETO GRAVADO]:[Otros / No Grav.]])</f>
        <v>67825.200299999997</v>
      </c>
      <c r="Q118" s="364" t="str">
        <f>IFERROR(IF(compras_mes11[[#This Row],[CUIT]]="","-",VLOOKUP(compras_mes11[[#This Row],[CUIT]],Lista_CUIT[#All],3,0)),"CUIT NO CARGADO")</f>
        <v>SERVICIO</v>
      </c>
      <c r="R118" s="364">
        <f>IFERROR(IF(compras_mes11[[#This Row],[CUIT]]="","-",VLOOKUP(compras_mes11[[#This Row],[CUIT]],Lista_CUIT[#All],4,0)),"CUIT NO CARGADO")</f>
        <v>0</v>
      </c>
    </row>
    <row r="119" spans="2:18" s="363" customFormat="1" x14ac:dyDescent="0.25">
      <c r="B119" s="364"/>
      <c r="C119" s="364"/>
      <c r="D119" s="364"/>
      <c r="E119" s="364"/>
      <c r="F119" s="262">
        <v>30574876474</v>
      </c>
      <c r="G119" s="365" t="str">
        <f>IFERROR(IF(compras_mes11[[#This Row],[CUIT]]="","-",VLOOKUP(compras_mes11[[#This Row],[CUIT]],Lista_CUIT[#All],2,0)),"CUIT NO CARGADO")</f>
        <v>AUTOP. URBANAS SA</v>
      </c>
      <c r="H119" s="366">
        <v>7147.41</v>
      </c>
      <c r="I119" s="370">
        <f>IF(compras_mes11[[#This Row],[NETO GRAVADO]]="","",compras_mes11[[#This Row],[NETO GRAVADO]]*0.21)</f>
        <v>1500.9560999999999</v>
      </c>
      <c r="J119" s="367"/>
      <c r="K119" s="367"/>
      <c r="L119" s="367">
        <v>0</v>
      </c>
      <c r="M119" s="367"/>
      <c r="N119" s="367">
        <v>0</v>
      </c>
      <c r="O119" s="367"/>
      <c r="P119" s="368">
        <f>SUM(compras_mes11[[#This Row],[NETO GRAVADO]:[Otros / No Grav.]])</f>
        <v>8648.3660999999993</v>
      </c>
      <c r="Q119" s="364" t="str">
        <f>IFERROR(IF(compras_mes11[[#This Row],[CUIT]]="","-",VLOOKUP(compras_mes11[[#This Row],[CUIT]],Lista_CUIT[#All],3,0)),"CUIT NO CARGADO")</f>
        <v>PEAJE</v>
      </c>
      <c r="R119" s="364">
        <f>IFERROR(IF(compras_mes11[[#This Row],[CUIT]]="","-",VLOOKUP(compras_mes11[[#This Row],[CUIT]],Lista_CUIT[#All],4,0)),"CUIT NO CARGADO")</f>
        <v>0</v>
      </c>
    </row>
    <row r="120" spans="2:18" s="363" customFormat="1" x14ac:dyDescent="0.25">
      <c r="B120" s="364"/>
      <c r="C120" s="364"/>
      <c r="D120" s="364"/>
      <c r="E120" s="364"/>
      <c r="F120" s="262">
        <v>30574876474</v>
      </c>
      <c r="G120" s="365" t="str">
        <f>IFERROR(IF(compras_mes11[[#This Row],[CUIT]]="","-",VLOOKUP(compras_mes11[[#This Row],[CUIT]],Lista_CUIT[#All],2,0)),"CUIT NO CARGADO")</f>
        <v>AUTOP. URBANAS SA</v>
      </c>
      <c r="H120" s="366">
        <v>13279.17</v>
      </c>
      <c r="I120" s="370">
        <f>IF(compras_mes11[[#This Row],[NETO GRAVADO]]="","",compras_mes11[[#This Row],[NETO GRAVADO]]*0.21)</f>
        <v>2788.6257000000001</v>
      </c>
      <c r="J120" s="367"/>
      <c r="K120" s="367"/>
      <c r="L120" s="367">
        <v>0</v>
      </c>
      <c r="M120" s="367"/>
      <c r="N120" s="367">
        <v>0</v>
      </c>
      <c r="O120" s="367"/>
      <c r="P120" s="368">
        <f>SUM(compras_mes11[[#This Row],[NETO GRAVADO]:[Otros / No Grav.]])</f>
        <v>16067.795700000001</v>
      </c>
      <c r="Q120" s="364" t="str">
        <f>IFERROR(IF(compras_mes11[[#This Row],[CUIT]]="","-",VLOOKUP(compras_mes11[[#This Row],[CUIT]],Lista_CUIT[#All],3,0)),"CUIT NO CARGADO")</f>
        <v>PEAJE</v>
      </c>
      <c r="R120" s="364">
        <f>IFERROR(IF(compras_mes11[[#This Row],[CUIT]]="","-",VLOOKUP(compras_mes11[[#This Row],[CUIT]],Lista_CUIT[#All],4,0)),"CUIT NO CARGADO")</f>
        <v>0</v>
      </c>
    </row>
    <row r="121" spans="2:18" s="363" customFormat="1" x14ac:dyDescent="0.25">
      <c r="B121" s="364"/>
      <c r="C121" s="364"/>
      <c r="D121" s="364"/>
      <c r="E121" s="364"/>
      <c r="F121" s="262">
        <v>30574876474</v>
      </c>
      <c r="G121" s="365" t="str">
        <f>IFERROR(IF(compras_mes11[[#This Row],[CUIT]]="","-",VLOOKUP(compras_mes11[[#This Row],[CUIT]],Lista_CUIT[#All],2,0)),"CUIT NO CARGADO")</f>
        <v>AUTOP. URBANAS SA</v>
      </c>
      <c r="H121" s="366">
        <v>16847.96</v>
      </c>
      <c r="I121" s="370">
        <f>IF(compras_mes11[[#This Row],[NETO GRAVADO]]="","",compras_mes11[[#This Row],[NETO GRAVADO]]*0.21)</f>
        <v>3538.0715999999998</v>
      </c>
      <c r="J121" s="367"/>
      <c r="K121" s="367"/>
      <c r="L121" s="367">
        <v>505.44</v>
      </c>
      <c r="M121" s="367"/>
      <c r="N121" s="367">
        <v>0</v>
      </c>
      <c r="O121" s="367"/>
      <c r="P121" s="368">
        <f>SUM(compras_mes11[[#This Row],[NETO GRAVADO]:[Otros / No Grav.]])</f>
        <v>20891.471599999997</v>
      </c>
      <c r="Q121" s="364" t="str">
        <f>IFERROR(IF(compras_mes11[[#This Row],[CUIT]]="","-",VLOOKUP(compras_mes11[[#This Row],[CUIT]],Lista_CUIT[#All],3,0)),"CUIT NO CARGADO")</f>
        <v>PEAJE</v>
      </c>
      <c r="R121" s="364">
        <f>IFERROR(IF(compras_mes11[[#This Row],[CUIT]]="","-",VLOOKUP(compras_mes11[[#This Row],[CUIT]],Lista_CUIT[#All],4,0)),"CUIT NO CARGADO")</f>
        <v>0</v>
      </c>
    </row>
    <row r="122" spans="2:18" s="363" customFormat="1" x14ac:dyDescent="0.25">
      <c r="B122" s="364"/>
      <c r="C122" s="364"/>
      <c r="D122" s="364"/>
      <c r="E122" s="364"/>
      <c r="F122" s="262">
        <v>30574876474</v>
      </c>
      <c r="G122" s="365" t="str">
        <f>IFERROR(IF(compras_mes11[[#This Row],[CUIT]]="","-",VLOOKUP(compras_mes11[[#This Row],[CUIT]],Lista_CUIT[#All],2,0)),"CUIT NO CARGADO")</f>
        <v>AUTOP. URBANAS SA</v>
      </c>
      <c r="H122" s="366">
        <v>20935.48</v>
      </c>
      <c r="I122" s="370">
        <f>IF(compras_mes11[[#This Row],[NETO GRAVADO]]="","",compras_mes11[[#This Row],[NETO GRAVADO]]*0.21)</f>
        <v>4396.4507999999996</v>
      </c>
      <c r="J122" s="367"/>
      <c r="K122" s="367"/>
      <c r="L122" s="367">
        <v>628.05999999999995</v>
      </c>
      <c r="M122" s="367"/>
      <c r="N122" s="367">
        <v>0</v>
      </c>
      <c r="O122" s="367"/>
      <c r="P122" s="368">
        <f>SUM(compras_mes11[[#This Row],[NETO GRAVADO]:[Otros / No Grav.]])</f>
        <v>25959.9908</v>
      </c>
      <c r="Q122" s="364" t="str">
        <f>IFERROR(IF(compras_mes11[[#This Row],[CUIT]]="","-",VLOOKUP(compras_mes11[[#This Row],[CUIT]],Lista_CUIT[#All],3,0)),"CUIT NO CARGADO")</f>
        <v>PEAJE</v>
      </c>
      <c r="R122" s="364">
        <f>IFERROR(IF(compras_mes11[[#This Row],[CUIT]]="","-",VLOOKUP(compras_mes11[[#This Row],[CUIT]],Lista_CUIT[#All],4,0)),"CUIT NO CARGADO")</f>
        <v>0</v>
      </c>
    </row>
    <row r="123" spans="2:18" s="363" customFormat="1" x14ac:dyDescent="0.25">
      <c r="B123" s="364"/>
      <c r="C123" s="364"/>
      <c r="D123" s="364"/>
      <c r="E123" s="364"/>
      <c r="F123" s="262">
        <v>30574876474</v>
      </c>
      <c r="G123" s="365" t="str">
        <f>IFERROR(IF(compras_mes11[[#This Row],[CUIT]]="","-",VLOOKUP(compras_mes11[[#This Row],[CUIT]],Lista_CUIT[#All],2,0)),"CUIT NO CARGADO")</f>
        <v>AUTOP. URBANAS SA</v>
      </c>
      <c r="H123" s="366">
        <v>13504.27</v>
      </c>
      <c r="I123" s="370">
        <f>IF(compras_mes11[[#This Row],[NETO GRAVADO]]="","",compras_mes11[[#This Row],[NETO GRAVADO]]*0.21)</f>
        <v>2835.8966999999998</v>
      </c>
      <c r="J123" s="367"/>
      <c r="K123" s="367"/>
      <c r="L123" s="367">
        <v>405.13</v>
      </c>
      <c r="M123" s="367"/>
      <c r="N123" s="367">
        <v>0</v>
      </c>
      <c r="O123" s="367"/>
      <c r="P123" s="368">
        <f>SUM(compras_mes11[[#This Row],[NETO GRAVADO]:[Otros / No Grav.]])</f>
        <v>16745.296699999999</v>
      </c>
      <c r="Q123" s="364" t="str">
        <f>IFERROR(IF(compras_mes11[[#This Row],[CUIT]]="","-",VLOOKUP(compras_mes11[[#This Row],[CUIT]],Lista_CUIT[#All],3,0)),"CUIT NO CARGADO")</f>
        <v>PEAJE</v>
      </c>
      <c r="R123" s="364">
        <f>IFERROR(IF(compras_mes11[[#This Row],[CUIT]]="","-",VLOOKUP(compras_mes11[[#This Row],[CUIT]],Lista_CUIT[#All],4,0)),"CUIT NO CARGADO")</f>
        <v>0</v>
      </c>
    </row>
    <row r="124" spans="2:18" s="363" customFormat="1" x14ac:dyDescent="0.25">
      <c r="B124" s="364"/>
      <c r="C124" s="364"/>
      <c r="D124" s="364"/>
      <c r="E124" s="364"/>
      <c r="F124" s="262">
        <v>30685849751</v>
      </c>
      <c r="G124" s="365" t="str">
        <f>IFERROR(IF(compras_mes11[[#This Row],[CUIT]]="","-",VLOOKUP(compras_mes11[[#This Row],[CUIT]],Lista_CUIT[#All],2,0)),"CUIT NO CARGADO")</f>
        <v>DIA ARGENTINA S.A.</v>
      </c>
      <c r="H124" s="366">
        <v>8504.1299999999992</v>
      </c>
      <c r="I124" s="370">
        <f>IF(compras_mes11[[#This Row],[NETO GRAVADO]]="","",compras_mes11[[#This Row],[NETO GRAVADO]]*0.21)</f>
        <v>1785.8672999999997</v>
      </c>
      <c r="J124" s="367"/>
      <c r="K124" s="367"/>
      <c r="L124" s="367">
        <v>0</v>
      </c>
      <c r="M124" s="367"/>
      <c r="N124" s="367">
        <v>340.17</v>
      </c>
      <c r="O124" s="367"/>
      <c r="P124" s="368">
        <f>SUM(compras_mes11[[#This Row],[NETO GRAVADO]:[Otros / No Grav.]])</f>
        <v>10630.167299999999</v>
      </c>
      <c r="Q124" s="364" t="str">
        <f>IFERROR(IF(compras_mes11[[#This Row],[CUIT]]="","-",VLOOKUP(compras_mes11[[#This Row],[CUIT]],Lista_CUIT[#All],3,0)),"CUIT NO CARGADO")</f>
        <v>MERCADERIA</v>
      </c>
      <c r="R124" s="364">
        <f>IFERROR(IF(compras_mes11[[#This Row],[CUIT]]="","-",VLOOKUP(compras_mes11[[#This Row],[CUIT]],Lista_CUIT[#All],4,0)),"CUIT NO CARGADO")</f>
        <v>0</v>
      </c>
    </row>
    <row r="125" spans="2:18" s="363" customFormat="1" x14ac:dyDescent="0.25">
      <c r="B125" s="364"/>
      <c r="C125" s="364"/>
      <c r="D125" s="364"/>
      <c r="E125" s="364"/>
      <c r="F125" s="262">
        <v>30685849751</v>
      </c>
      <c r="G125" s="365" t="str">
        <f>IFERROR(IF(compras_mes11[[#This Row],[CUIT]]="","-",VLOOKUP(compras_mes11[[#This Row],[CUIT]],Lista_CUIT[#All],2,0)),"CUIT NO CARGADO")</f>
        <v>DIA ARGENTINA S.A.</v>
      </c>
      <c r="H125" s="366">
        <v>0</v>
      </c>
      <c r="I125" s="370">
        <f>IF(compras_mes11[[#This Row],[NETO GRAVADO]]="","",compras_mes11[[#This Row],[NETO GRAVADO]]*0.21)</f>
        <v>0</v>
      </c>
      <c r="J125" s="367"/>
      <c r="K125" s="367"/>
      <c r="L125" s="367">
        <v>0</v>
      </c>
      <c r="M125" s="367"/>
      <c r="N125" s="367">
        <v>0</v>
      </c>
      <c r="O125" s="367">
        <v>15989</v>
      </c>
      <c r="P125" s="368">
        <f>SUM(compras_mes11[[#This Row],[NETO GRAVADO]:[Otros / No Grav.]])</f>
        <v>15989</v>
      </c>
      <c r="Q125" s="364" t="str">
        <f>IFERROR(IF(compras_mes11[[#This Row],[CUIT]]="","-",VLOOKUP(compras_mes11[[#This Row],[CUIT]],Lista_CUIT[#All],3,0)),"CUIT NO CARGADO")</f>
        <v>MERCADERIA</v>
      </c>
      <c r="R125" s="364">
        <f>IFERROR(IF(compras_mes11[[#This Row],[CUIT]]="","-",VLOOKUP(compras_mes11[[#This Row],[CUIT]],Lista_CUIT[#All],4,0)),"CUIT NO CARGADO")</f>
        <v>0</v>
      </c>
    </row>
    <row r="126" spans="2:18" s="363" customFormat="1" x14ac:dyDescent="0.25">
      <c r="B126" s="364"/>
      <c r="C126" s="369"/>
      <c r="D126" s="364"/>
      <c r="E126" s="364"/>
      <c r="F126" s="262">
        <v>30714749206</v>
      </c>
      <c r="G126" s="365" t="str">
        <f>IFERROR(IF(compras_mes11[[#This Row],[CUIT]]="","-",VLOOKUP(compras_mes11[[#This Row],[CUIT]],Lista_CUIT[#All],2,0)),"CUIT NO CARGADO")</f>
        <v>EBOX SA</v>
      </c>
      <c r="H126" s="366">
        <v>-233364.6</v>
      </c>
      <c r="I126" s="370">
        <f>-1691.3*0.21</f>
        <v>-355.173</v>
      </c>
      <c r="J126" s="367"/>
      <c r="K126" s="367">
        <f>-231673.3*0.105</f>
        <v>-24325.696499999998</v>
      </c>
      <c r="L126" s="367">
        <v>0</v>
      </c>
      <c r="M126" s="367"/>
      <c r="N126" s="367">
        <v>0</v>
      </c>
      <c r="O126" s="367"/>
      <c r="P126" s="368">
        <f>SUM(compras_mes11[[#This Row],[NETO GRAVADO]:[Otros / No Grav.]])</f>
        <v>-258045.46950000001</v>
      </c>
      <c r="Q126" s="364" t="str">
        <f>IFERROR(IF(compras_mes11[[#This Row],[CUIT]]="","-",VLOOKUP(compras_mes11[[#This Row],[CUIT]],Lista_CUIT[#All],3,0)),"CUIT NO CARGADO")</f>
        <v>Insumos</v>
      </c>
      <c r="R126" s="364">
        <f>IFERROR(IF(compras_mes11[[#This Row],[CUIT]]="","-",VLOOKUP(compras_mes11[[#This Row],[CUIT]],Lista_CUIT[#All],4,0)),"CUIT NO CARGADO")</f>
        <v>0</v>
      </c>
    </row>
    <row r="127" spans="2:18" s="363" customFormat="1" x14ac:dyDescent="0.25">
      <c r="B127" s="364"/>
      <c r="C127" s="369"/>
      <c r="D127" s="364"/>
      <c r="E127" s="364"/>
      <c r="F127" s="262">
        <v>30710177658</v>
      </c>
      <c r="G127" s="365" t="str">
        <f>IFERROR(IF(compras_mes11[[#This Row],[CUIT]]="","-",VLOOKUP(compras_mes11[[#This Row],[CUIT]],Lista_CUIT[#All],2,0)),"CUIT NO CARGADO")</f>
        <v>TARGET MEDICAL SA</v>
      </c>
      <c r="H127" s="366">
        <v>-575200</v>
      </c>
      <c r="I127" s="370">
        <f>IF(compras_mes11[[#This Row],[NETO GRAVADO]]="","",compras_mes11[[#This Row],[NETO GRAVADO]]*0.21)</f>
        <v>-120792</v>
      </c>
      <c r="J127" s="367"/>
      <c r="K127" s="367"/>
      <c r="L127" s="367">
        <v>0</v>
      </c>
      <c r="M127" s="367"/>
      <c r="N127" s="367">
        <v>0</v>
      </c>
      <c r="O127" s="367"/>
      <c r="P127" s="368">
        <f>SUM(compras_mes11[[#This Row],[NETO GRAVADO]:[Otros / No Grav.]])</f>
        <v>-695992</v>
      </c>
      <c r="Q127" s="364" t="str">
        <f>IFERROR(IF(compras_mes11[[#This Row],[CUIT]]="","-",VLOOKUP(compras_mes11[[#This Row],[CUIT]],Lista_CUIT[#All],3,0)),"CUIT NO CARGADO")</f>
        <v>INSUMO</v>
      </c>
      <c r="R127" s="364">
        <f>IFERROR(IF(compras_mes11[[#This Row],[CUIT]]="","-",VLOOKUP(compras_mes11[[#This Row],[CUIT]],Lista_CUIT[#All],4,0)),"CUIT NO CARGADO")</f>
        <v>0</v>
      </c>
    </row>
    <row r="128" spans="2:18" s="363" customFormat="1" x14ac:dyDescent="0.25">
      <c r="B128" s="364"/>
      <c r="C128" s="369"/>
      <c r="D128" s="364"/>
      <c r="E128" s="364"/>
      <c r="F128" s="262">
        <v>30711553564</v>
      </c>
      <c r="G128" s="365" t="str">
        <f>IFERROR(IF(compras_mes11[[#This Row],[CUIT]]="","-",VLOOKUP(compras_mes11[[#This Row],[CUIT]],Lista_CUIT[#All],2,0)),"CUIT NO CARGADO")</f>
        <v>SALUD TEX S.A</v>
      </c>
      <c r="H128" s="366">
        <v>-183988</v>
      </c>
      <c r="I128" s="370">
        <f>IF(compras_mes11[[#This Row],[NETO GRAVADO]]="","",compras_mes11[[#This Row],[NETO GRAVADO]]*0.21)</f>
        <v>-38637.479999999996</v>
      </c>
      <c r="J128" s="367"/>
      <c r="K128" s="367"/>
      <c r="L128" s="367">
        <v>0</v>
      </c>
      <c r="M128" s="367"/>
      <c r="N128" s="367">
        <v>0</v>
      </c>
      <c r="O128" s="367"/>
      <c r="P128" s="368">
        <f>SUM(compras_mes11[[#This Row],[NETO GRAVADO]:[Otros / No Grav.]])</f>
        <v>-222625.47999999998</v>
      </c>
      <c r="Q128" s="364" t="str">
        <f>IFERROR(IF(compras_mes11[[#This Row],[CUIT]]="","-",VLOOKUP(compras_mes11[[#This Row],[CUIT]],Lista_CUIT[#All],3,0)),"CUIT NO CARGADO")</f>
        <v>INSUMO</v>
      </c>
      <c r="R128" s="364">
        <f>IFERROR(IF(compras_mes11[[#This Row],[CUIT]]="","-",VLOOKUP(compras_mes11[[#This Row],[CUIT]],Lista_CUIT[#All],4,0)),"CUIT NO CARGADO")</f>
        <v>0</v>
      </c>
    </row>
    <row r="129" spans="2:19" s="363" customFormat="1" x14ac:dyDescent="0.25">
      <c r="B129" s="364"/>
      <c r="C129" s="369"/>
      <c r="D129" s="364"/>
      <c r="E129" s="364"/>
      <c r="F129" s="262">
        <v>27325223273</v>
      </c>
      <c r="G129" s="365" t="str">
        <f>IFERROR(IF(compras_mes11[[#This Row],[CUIT]]="","-",VLOOKUP(compras_mes11[[#This Row],[CUIT]],Lista_CUIT[#All],2,0)),"CUIT NO CARGADO")</f>
        <v>SOUSA ALDERETE ALEJANDRA MABEL</v>
      </c>
      <c r="H129" s="366">
        <v>-1300000</v>
      </c>
      <c r="I129" s="370">
        <f>IF(compras_mes11[[#This Row],[NETO GRAVADO]]="","",compras_mes11[[#This Row],[NETO GRAVADO]]*0.21)</f>
        <v>-273000</v>
      </c>
      <c r="J129" s="367"/>
      <c r="K129" s="367"/>
      <c r="L129" s="367">
        <v>0</v>
      </c>
      <c r="M129" s="367"/>
      <c r="N129" s="367">
        <v>0</v>
      </c>
      <c r="O129" s="367"/>
      <c r="P129" s="368">
        <f>SUM(compras_mes11[[#This Row],[NETO GRAVADO]:[Otros / No Grav.]])</f>
        <v>-1573000</v>
      </c>
      <c r="Q129" s="364" t="str">
        <f>IFERROR(IF(compras_mes11[[#This Row],[CUIT]]="","-",VLOOKUP(compras_mes11[[#This Row],[CUIT]],Lista_CUIT[#All],3,0)),"CUIT NO CARGADO")</f>
        <v>Insumos</v>
      </c>
      <c r="R129" s="364">
        <f>IFERROR(IF(compras_mes11[[#This Row],[CUIT]]="","-",VLOOKUP(compras_mes11[[#This Row],[CUIT]],Lista_CUIT[#All],4,0)),"CUIT NO CARGADO")</f>
        <v>0</v>
      </c>
    </row>
    <row r="130" spans="2:19" s="363" customFormat="1" x14ac:dyDescent="0.25">
      <c r="B130" s="364"/>
      <c r="C130" s="364"/>
      <c r="D130" s="364"/>
      <c r="E130" s="364"/>
      <c r="F130" s="262">
        <v>30703088534</v>
      </c>
      <c r="G130" s="365" t="str">
        <f>IFERROR(IF(compras_mes11[[#This Row],[CUIT]]="","-",VLOOKUP(compras_mes11[[#This Row],[CUIT]],Lista_CUIT[#All],2,0)),"CUIT NO CARGADO")</f>
        <v>MERCADO LIBRE SRL</v>
      </c>
      <c r="H130" s="366">
        <v>-1185.95</v>
      </c>
      <c r="I130" s="370">
        <f>IF(compras_mes11[[#This Row],[NETO GRAVADO]]="","",compras_mes11[[#This Row],[NETO GRAVADO]]*0.21)</f>
        <v>-249.04949999999999</v>
      </c>
      <c r="J130" s="367"/>
      <c r="K130" s="367"/>
      <c r="L130" s="367">
        <v>-35.58</v>
      </c>
      <c r="M130" s="367"/>
      <c r="N130" s="367">
        <v>0</v>
      </c>
      <c r="O130" s="367"/>
      <c r="P130" s="368">
        <f>SUM(compras_mes11[[#This Row],[NETO GRAVADO]:[Otros / No Grav.]])</f>
        <v>-1470.5795000000001</v>
      </c>
      <c r="Q130" s="364" t="str">
        <f>IFERROR(IF(compras_mes11[[#This Row],[CUIT]]="","-",VLOOKUP(compras_mes11[[#This Row],[CUIT]],Lista_CUIT[#All],3,0)),"CUIT NO CARGADO")</f>
        <v>PLATAFORMA ONLINE</v>
      </c>
      <c r="R130" s="364">
        <f>IFERROR(IF(compras_mes11[[#This Row],[CUIT]]="","-",VLOOKUP(compras_mes11[[#This Row],[CUIT]],Lista_CUIT[#All],4,0)),"CUIT NO CARGADO")</f>
        <v>0</v>
      </c>
    </row>
    <row r="131" spans="2:19" s="371" customFormat="1" x14ac:dyDescent="0.25">
      <c r="B131" s="364"/>
      <c r="C131" s="364"/>
      <c r="D131" s="364"/>
      <c r="E131" s="364"/>
      <c r="F131" s="262">
        <v>30712187316</v>
      </c>
      <c r="G131" s="365" t="str">
        <f>IFERROR(IF(compras_mes11[[#This Row],[CUIT]]="","-",VLOOKUP(compras_mes11[[#This Row],[CUIT]],Lista_CUIT[#All],2,0)),"CUIT NO CARGADO")</f>
        <v>ITALOMED PRODUCTOS SRL</v>
      </c>
      <c r="H131" s="366">
        <v>23641.98</v>
      </c>
      <c r="I131" s="370">
        <f>IF(compras_mes11[[#This Row],[NETO GRAVADO]]="","",compras_mes11[[#This Row],[NETO GRAVADO]]*0.21)</f>
        <v>4964.8157999999994</v>
      </c>
      <c r="J131" s="367"/>
      <c r="K131" s="367"/>
      <c r="L131" s="367">
        <v>0</v>
      </c>
      <c r="M131" s="367"/>
      <c r="N131" s="367">
        <v>0</v>
      </c>
      <c r="O131" s="367"/>
      <c r="P131" s="368">
        <f>SUM(compras_mes11[[#This Row],[NETO GRAVADO]:[Otros / No Grav.]])</f>
        <v>28606.7958</v>
      </c>
      <c r="Q131" s="364" t="str">
        <f>IFERROR(IF(compras_mes11[[#This Row],[CUIT]]="","-",VLOOKUP(compras_mes11[[#This Row],[CUIT]],Lista_CUIT[#All],3,0)),"CUIT NO CARGADO")</f>
        <v>INSUMO</v>
      </c>
      <c r="R131" s="364">
        <f>IFERROR(IF(compras_mes11[[#This Row],[CUIT]]="","-",VLOOKUP(compras_mes11[[#This Row],[CUIT]],Lista_CUIT[#All],4,0)),"CUIT NO CARGADO")</f>
        <v>0</v>
      </c>
    </row>
    <row r="132" spans="2:19" s="363" customFormat="1" x14ac:dyDescent="0.25">
      <c r="B132" s="364"/>
      <c r="C132" s="364"/>
      <c r="D132" s="364"/>
      <c r="E132" s="364"/>
      <c r="F132" s="364"/>
      <c r="G132" s="365" t="str">
        <f>IFERROR(IF(compras_mes11[[#This Row],[CUIT]]="","-",VLOOKUP(compras_mes11[[#This Row],[CUIT]],Lista_CUIT[#All],2,0)),"CUIT NO CARGADO")</f>
        <v>-</v>
      </c>
      <c r="H132" s="366"/>
      <c r="I132" s="370" t="str">
        <f>IF(compras_mes11[[#This Row],[NETO GRAVADO]]="","",compras_mes11[[#This Row],[NETO GRAVADO]]*0.21)</f>
        <v/>
      </c>
      <c r="J132" s="367"/>
      <c r="K132" s="367"/>
      <c r="L132" s="367"/>
      <c r="M132" s="367"/>
      <c r="N132" s="367"/>
      <c r="O132" s="367"/>
      <c r="P132" s="368">
        <f>SUM(compras_mes11[[#This Row],[NETO GRAVADO]:[Otros / No Grav.]])</f>
        <v>0</v>
      </c>
      <c r="Q132" s="364" t="str">
        <f>IFERROR(IF(compras_mes11[[#This Row],[CUIT]]="","-",VLOOKUP(compras_mes11[[#This Row],[CUIT]],Lista_CUIT[#All],3,0)),"CUIT NO CARGADO")</f>
        <v>-</v>
      </c>
      <c r="R132" s="364" t="str">
        <f>IFERROR(IF(compras_mes11[[#This Row],[CUIT]]="","-",VLOOKUP(compras_mes11[[#This Row],[CUIT]],Lista_CUIT[#All],4,0)),"CUIT NO CARGADO")</f>
        <v>-</v>
      </c>
    </row>
    <row r="133" spans="2:19" s="363" customFormat="1" x14ac:dyDescent="0.25">
      <c r="B133" s="364"/>
      <c r="C133" s="364"/>
      <c r="D133" s="364"/>
      <c r="E133" s="364"/>
      <c r="F133" s="364"/>
      <c r="G133" s="365" t="str">
        <f>IFERROR(IF(compras_mes11[[#This Row],[CUIT]]="","-",VLOOKUP(compras_mes11[[#This Row],[CUIT]],Lista_CUIT[#All],2,0)),"CUIT NO CARGADO")</f>
        <v>-</v>
      </c>
      <c r="H133" s="366"/>
      <c r="I133" s="367" t="str">
        <f>IF(compras_mes11[[#This Row],[NETO GRAVADO]]="","",compras_mes11[[#This Row],[NETO GRAVADO]]*0.21)</f>
        <v/>
      </c>
      <c r="J133" s="367"/>
      <c r="K133" s="367"/>
      <c r="L133" s="367"/>
      <c r="M133" s="367"/>
      <c r="N133" s="367"/>
      <c r="O133" s="367"/>
      <c r="P133" s="368">
        <f>SUM(compras_mes11[[#This Row],[NETO GRAVADO]:[Otros / No Grav.]])</f>
        <v>0</v>
      </c>
      <c r="Q133" s="364" t="str">
        <f>IFERROR(IF(compras_mes11[[#This Row],[CUIT]]="","-",VLOOKUP(compras_mes11[[#This Row],[CUIT]],Lista_CUIT[#All],3,0)),"CUIT NO CARGADO")</f>
        <v>-</v>
      </c>
      <c r="R133" s="364" t="str">
        <f>IFERROR(IF(compras_mes11[[#This Row],[CUIT]]="","-",VLOOKUP(compras_mes11[[#This Row],[CUIT]],Lista_CUIT[#All],4,0)),"CUIT NO CARGADO")</f>
        <v>-</v>
      </c>
    </row>
    <row r="134" spans="2:19" s="363" customFormat="1" x14ac:dyDescent="0.25">
      <c r="B134" s="364"/>
      <c r="C134" s="364"/>
      <c r="D134" s="364"/>
      <c r="E134" s="364"/>
      <c r="F134" s="364"/>
      <c r="G134" s="365" t="str">
        <f>IFERROR(IF(compras_mes11[[#This Row],[CUIT]]="","-",VLOOKUP(compras_mes11[[#This Row],[CUIT]],Lista_CUIT[#All],2,0)),"CUIT NO CARGADO")</f>
        <v>-</v>
      </c>
      <c r="H134" s="366"/>
      <c r="I134" s="367" t="str">
        <f>IF(compras_mes11[[#This Row],[NETO GRAVADO]]="","",compras_mes11[[#This Row],[NETO GRAVADO]]*0.21)</f>
        <v/>
      </c>
      <c r="J134" s="367"/>
      <c r="K134" s="367"/>
      <c r="L134" s="367"/>
      <c r="M134" s="367"/>
      <c r="N134" s="367"/>
      <c r="O134" s="367"/>
      <c r="P134" s="368">
        <f>SUM(compras_mes11[[#This Row],[NETO GRAVADO]:[Otros / No Grav.]])</f>
        <v>0</v>
      </c>
      <c r="Q134" s="364" t="str">
        <f>IFERROR(IF(compras_mes11[[#This Row],[CUIT]]="","-",VLOOKUP(compras_mes11[[#This Row],[CUIT]],Lista_CUIT[#All],3,0)),"CUIT NO CARGADO")</f>
        <v>-</v>
      </c>
      <c r="R134" s="364" t="str">
        <f>IFERROR(IF(compras_mes11[[#This Row],[CUIT]]="","-",VLOOKUP(compras_mes11[[#This Row],[CUIT]],Lista_CUIT[#All],4,0)),"CUIT NO CARGADO")</f>
        <v>-</v>
      </c>
      <c r="S134" s="363" t="s">
        <v>2317</v>
      </c>
    </row>
    <row r="135" spans="2:19" s="363" customFormat="1" x14ac:dyDescent="0.25">
      <c r="B135" s="364"/>
      <c r="C135" s="369"/>
      <c r="D135" s="364"/>
      <c r="E135" s="364"/>
      <c r="F135" s="364"/>
      <c r="G135" s="365" t="str">
        <f>IFERROR(IF(compras_mes11[[#This Row],[CUIT]]="","-",VLOOKUP(compras_mes11[[#This Row],[CUIT]],Lista_CUIT[#All],2,0)),"CUIT NO CARGADO")</f>
        <v>-</v>
      </c>
      <c r="H135" s="366"/>
      <c r="I135" s="367" t="str">
        <f>IF(compras_mes11[[#This Row],[NETO GRAVADO]]="","",compras_mes11[[#This Row],[NETO GRAVADO]]*0.21)</f>
        <v/>
      </c>
      <c r="J135" s="367"/>
      <c r="K135" s="367"/>
      <c r="L135" s="367"/>
      <c r="M135" s="367"/>
      <c r="N135" s="367"/>
      <c r="O135" s="367"/>
      <c r="P135" s="368">
        <f>SUM(compras_mes11[[#This Row],[NETO GRAVADO]:[Otros / No Grav.]])</f>
        <v>0</v>
      </c>
      <c r="Q135" s="364" t="str">
        <f>IFERROR(IF(compras_mes11[[#This Row],[CUIT]]="","-",VLOOKUP(compras_mes11[[#This Row],[CUIT]],Lista_CUIT[#All],3,0)),"CUIT NO CARGADO")</f>
        <v>-</v>
      </c>
      <c r="R135" s="364" t="str">
        <f>IFERROR(IF(compras_mes11[[#This Row],[CUIT]]="","-",VLOOKUP(compras_mes11[[#This Row],[CUIT]],Lista_CUIT[#All],4,0)),"CUIT NO CARGADO")</f>
        <v>-</v>
      </c>
    </row>
    <row r="136" spans="2:19" x14ac:dyDescent="0.25">
      <c r="B136" s="95" t="s">
        <v>110</v>
      </c>
      <c r="C136" s="95"/>
      <c r="D136" s="95"/>
      <c r="E136" s="95"/>
      <c r="F136" s="95"/>
      <c r="G136" s="96"/>
      <c r="H136" s="97">
        <f>SUBTOTAL(109,compras_mes11[NETO GRAVADO])</f>
        <v>36513402.32</v>
      </c>
      <c r="I136" s="97">
        <f>SUBTOTAL(109,compras_mes11[IVA 21 %])</f>
        <v>7202979.6678000027</v>
      </c>
      <c r="J136" s="97">
        <f>SUBTOTAL(109,compras_mes11[IVA 27%])</f>
        <v>35262.772200000007</v>
      </c>
      <c r="K136" s="97">
        <f>SUBTOTAL(109,compras_mes11[IVA 10,5%])</f>
        <v>218704.10940000004</v>
      </c>
      <c r="L136" s="97">
        <f>SUBTOTAL(109,compras_mes11[PERC. IVA])</f>
        <v>20304.089999999997</v>
      </c>
      <c r="M136" s="97">
        <f>SUBTOTAL(109,compras_mes11[PERC IIBB 
BS AS])</f>
        <v>0</v>
      </c>
      <c r="N136" s="97">
        <f>SUBTOTAL(109,compras_mes11[PERC. IIBB CABA])</f>
        <v>385676.24000000005</v>
      </c>
      <c r="O136" s="97">
        <f>SUBTOTAL(109,compras_mes11[Otros / No Grav.])</f>
        <v>168592.01</v>
      </c>
      <c r="P136" s="97">
        <f>SUBTOTAL(109,compras_mes11[TOTAL])</f>
        <v>44544921.209399983</v>
      </c>
      <c r="Q136" s="95"/>
      <c r="R136" s="95"/>
    </row>
    <row r="137" spans="2:19" x14ac:dyDescent="0.25">
      <c r="B137" s="40"/>
      <c r="C137" s="41"/>
      <c r="D137" s="42"/>
      <c r="E137" s="43"/>
      <c r="F137" s="44"/>
      <c r="G137" s="45"/>
      <c r="H137" s="46"/>
      <c r="I137" s="47"/>
      <c r="J137" s="47"/>
      <c r="K137" s="47"/>
      <c r="L137" s="47"/>
      <c r="M137" s="47"/>
      <c r="N137" s="47"/>
      <c r="O137" s="47"/>
      <c r="P137" s="48"/>
      <c r="Q137" s="49"/>
      <c r="R137" s="49"/>
    </row>
    <row r="138" spans="2:19" x14ac:dyDescent="0.25">
      <c r="B138" s="40"/>
      <c r="C138" s="41"/>
      <c r="D138" s="42"/>
      <c r="E138" s="43"/>
      <c r="F138" s="44"/>
      <c r="G138" s="45"/>
      <c r="H138" s="46"/>
      <c r="I138" s="47"/>
      <c r="J138" s="47"/>
      <c r="K138" s="47"/>
      <c r="L138" s="47"/>
      <c r="M138" s="47"/>
      <c r="N138" s="47"/>
      <c r="O138" s="47"/>
      <c r="P138" s="48"/>
      <c r="Q138" s="49"/>
      <c r="R138" s="49"/>
    </row>
    <row r="139" spans="2:19" x14ac:dyDescent="0.25">
      <c r="B139" s="40"/>
      <c r="C139" s="41"/>
      <c r="D139" s="42"/>
      <c r="E139" s="43"/>
      <c r="F139" s="44"/>
      <c r="G139" s="45"/>
      <c r="H139" s="46"/>
      <c r="I139" s="47"/>
      <c r="J139" s="47"/>
      <c r="K139" s="47"/>
      <c r="L139" s="47"/>
      <c r="M139" s="47"/>
      <c r="N139" s="47"/>
      <c r="O139" s="47"/>
      <c r="P139" s="48"/>
      <c r="Q139" s="49"/>
      <c r="R139" s="49"/>
    </row>
    <row r="140" spans="2:19" x14ac:dyDescent="0.25">
      <c r="B140" s="40"/>
      <c r="C140" s="41"/>
      <c r="D140" s="42"/>
      <c r="E140" s="43"/>
      <c r="F140" s="44"/>
      <c r="G140" s="45"/>
      <c r="H140" s="46"/>
      <c r="I140" s="47"/>
      <c r="J140" s="47"/>
      <c r="K140" s="47"/>
      <c r="L140" s="47"/>
    </row>
    <row r="141" spans="2:19" ht="21" x14ac:dyDescent="0.25">
      <c r="D141" s="618" t="s">
        <v>15</v>
      </c>
      <c r="E141" s="618"/>
      <c r="F141" s="618"/>
      <c r="G141" s="618"/>
      <c r="H141" s="618"/>
      <c r="I141" s="618"/>
      <c r="J141" s="618"/>
      <c r="K141" s="618"/>
      <c r="L141" s="618"/>
    </row>
    <row r="142" spans="2:19" ht="15.75" x14ac:dyDescent="0.25">
      <c r="D142" s="73" t="s">
        <v>0</v>
      </c>
      <c r="E142" s="74" t="s">
        <v>26</v>
      </c>
      <c r="F142" s="74" t="s">
        <v>3</v>
      </c>
      <c r="G142" s="74" t="s">
        <v>16</v>
      </c>
      <c r="H142" s="74" t="s">
        <v>5</v>
      </c>
      <c r="I142" s="74" t="s">
        <v>17</v>
      </c>
      <c r="J142" s="74" t="s">
        <v>7</v>
      </c>
      <c r="K142" s="75" t="s">
        <v>18</v>
      </c>
      <c r="L142" s="75" t="s">
        <v>19</v>
      </c>
      <c r="M142" s="76" t="s">
        <v>20</v>
      </c>
    </row>
    <row r="143" spans="2:19" x14ac:dyDescent="0.25">
      <c r="D143" s="50"/>
      <c r="E143" s="80"/>
      <c r="F143" s="80"/>
      <c r="G143" s="80" t="s">
        <v>2238</v>
      </c>
      <c r="H143" s="81"/>
      <c r="I143" s="81">
        <f>extracto_banco_mes11[[#This Row],[NETO]]*0.21</f>
        <v>0</v>
      </c>
      <c r="J143" s="81"/>
      <c r="K143" s="81"/>
      <c r="L143" s="81"/>
      <c r="M143" s="81"/>
    </row>
    <row r="144" spans="2:19" x14ac:dyDescent="0.25">
      <c r="D144" s="50"/>
      <c r="E144" s="80"/>
      <c r="F144" s="80"/>
      <c r="G144" s="80" t="s">
        <v>2237</v>
      </c>
      <c r="H144" s="383"/>
      <c r="I144" s="383">
        <f>extracto_banco_mes11[[#This Row],[NETO]]*0.21</f>
        <v>0</v>
      </c>
      <c r="J144" s="383"/>
      <c r="K144" s="383"/>
      <c r="L144" s="383"/>
      <c r="M144" s="383"/>
    </row>
    <row r="145" spans="4:13" x14ac:dyDescent="0.25">
      <c r="D145" s="380"/>
      <c r="E145" s="381"/>
      <c r="F145" s="382"/>
      <c r="G145" s="382" t="s">
        <v>2417</v>
      </c>
      <c r="H145" s="383"/>
      <c r="I145" s="383">
        <f>extracto_banco_mes11[[#This Row],[NETO]]*0.21</f>
        <v>0</v>
      </c>
      <c r="J145" s="383"/>
      <c r="K145" s="383"/>
      <c r="L145" s="383"/>
      <c r="M145" s="383"/>
    </row>
    <row r="146" spans="4:13" x14ac:dyDescent="0.25">
      <c r="D146" s="380"/>
      <c r="E146" s="381"/>
      <c r="F146" s="382"/>
      <c r="G146" s="382" t="s">
        <v>2418</v>
      </c>
      <c r="H146" s="81"/>
      <c r="I146" s="81">
        <f>extracto_banco_mes11[[#This Row],[NETO]]*0.21</f>
        <v>0</v>
      </c>
      <c r="J146" s="81"/>
      <c r="K146" s="81"/>
      <c r="L146" s="81"/>
      <c r="M146" s="81"/>
    </row>
    <row r="147" spans="4:13" x14ac:dyDescent="0.25">
      <c r="D147" s="50"/>
      <c r="E147" s="80"/>
      <c r="F147" s="80"/>
      <c r="G147" s="80" t="s">
        <v>2419</v>
      </c>
      <c r="H147" s="81"/>
      <c r="I147" s="81">
        <f>extracto_banco_mes11[[#This Row],[NETO]]*0.21</f>
        <v>0</v>
      </c>
      <c r="J147" s="81"/>
      <c r="K147" s="81"/>
      <c r="L147" s="81"/>
      <c r="M147" s="81"/>
    </row>
    <row r="148" spans="4:13" x14ac:dyDescent="0.25">
      <c r="D148" s="82" t="s">
        <v>110</v>
      </c>
      <c r="E148" s="80"/>
      <c r="F148" s="80"/>
      <c r="G148" s="80"/>
      <c r="H148" s="83">
        <f>SUBTOTAL(109,extracto_banco_mes11[NETO])</f>
        <v>0</v>
      </c>
      <c r="I148" s="83">
        <f>SUBTOTAL(109,extracto_banco_mes11[IVA 21%])</f>
        <v>0</v>
      </c>
      <c r="J148" s="83">
        <f>SUBTOTAL(109,extracto_banco_mes11[IVA 10,5%])</f>
        <v>0</v>
      </c>
      <c r="K148" s="83">
        <f>SUBTOTAL(109,extracto_banco_mes11[RET IIBB CABA])</f>
        <v>0</v>
      </c>
      <c r="L148" s="83">
        <f>SUBTOTAL(109,extracto_banco_mes11[PERC IVA])</f>
        <v>0</v>
      </c>
      <c r="M148" s="83">
        <f>SUBTOTAL(109,extracto_banco_mes11[PERC IIBB])</f>
        <v>0</v>
      </c>
    </row>
    <row r="152" spans="4:13" ht="21" x14ac:dyDescent="0.25">
      <c r="D152" s="618" t="s">
        <v>25</v>
      </c>
      <c r="E152" s="618"/>
      <c r="F152" s="618"/>
      <c r="G152" s="618"/>
      <c r="H152" s="618"/>
      <c r="I152" s="618"/>
      <c r="J152" s="618"/>
      <c r="K152" s="618"/>
    </row>
    <row r="153" spans="4:13" x14ac:dyDescent="0.25">
      <c r="D153" s="51" t="s">
        <v>0</v>
      </c>
      <c r="E153" s="51" t="s">
        <v>2</v>
      </c>
      <c r="F153" s="51" t="s">
        <v>74</v>
      </c>
      <c r="G153" s="51" t="s">
        <v>3</v>
      </c>
      <c r="H153" s="51" t="s">
        <v>4</v>
      </c>
      <c r="I153" s="52" t="s">
        <v>10</v>
      </c>
      <c r="J153" s="51" t="s">
        <v>13</v>
      </c>
      <c r="K153" s="51" t="s">
        <v>38</v>
      </c>
    </row>
    <row r="154" spans="4:13" x14ac:dyDescent="0.25">
      <c r="D154" s="50"/>
      <c r="E154" s="42"/>
      <c r="F154" s="43"/>
      <c r="G154" s="44">
        <v>20421434450</v>
      </c>
      <c r="H154" s="53" t="str">
        <f>IFERROR(IF(factura_c_mes11[[#This Row],[CUIT]]="","-",VLOOKUP(factura_c_mes11[[#This Row],[CUIT]],Lista_CUIT[#All],2,0)),"CUIT NO CARGADO")</f>
        <v>GALTIERI WALTER QUIMEY</v>
      </c>
      <c r="I154" s="81">
        <v>260000</v>
      </c>
      <c r="J154" s="54" t="str">
        <f>IFERROR(IF(factura_c_mes11[[#This Row],[CUIT]]="","-",VLOOKUP(factura_c_mes11[[#This Row],[CUIT]],Lista_CUIT[#All],3,0)),"CUIT NO CARGADO")</f>
        <v>GTOS ADMINISTRATIVOS</v>
      </c>
      <c r="K154" s="54">
        <f>IFERROR(IF(factura_c_mes11[[#This Row],[CUIT]]="","-",VLOOKUP(factura_c_mes11[[#This Row],[CUIT]],Lista_CUIT[#All],4,0)),"CUIT NO CARGADO")</f>
        <v>0</v>
      </c>
    </row>
    <row r="155" spans="4:13" x14ac:dyDescent="0.25">
      <c r="D155" s="50"/>
      <c r="E155" s="42"/>
      <c r="F155" s="43"/>
      <c r="G155" s="44">
        <v>27380284052</v>
      </c>
      <c r="H155" s="267" t="str">
        <f>IFERROR(IF(factura_c_mes11[[#This Row],[CUIT]]="","-",VLOOKUP(factura_c_mes11[[#This Row],[CUIT]],Lista_CUIT[#All],2,0)),"CUIT NO CARGADO")</f>
        <v>CIVALE PAULA</v>
      </c>
      <c r="I155" s="268">
        <v>4335000</v>
      </c>
      <c r="J155" s="269" t="str">
        <f>IFERROR(IF(factura_c_mes11[[#This Row],[CUIT]]="","-",VLOOKUP(factura_c_mes11[[#This Row],[CUIT]],Lista_CUIT[#All],3,0)),"CUIT NO CARGADO")</f>
        <v>GTOS ADMINISTRATIVOS</v>
      </c>
      <c r="K155" s="269">
        <f>IFERROR(IF(factura_c_mes11[[#This Row],[CUIT]]="","-",VLOOKUP(factura_c_mes11[[#This Row],[CUIT]],Lista_CUIT[#All],4,0)),"CUIT NO CARGADO")</f>
        <v>0</v>
      </c>
    </row>
    <row r="156" spans="4:13" x14ac:dyDescent="0.25">
      <c r="D156" s="50"/>
      <c r="E156" s="42"/>
      <c r="F156" s="43"/>
      <c r="G156" s="44">
        <v>27955236861</v>
      </c>
      <c r="H156" s="267" t="str">
        <f>IFERROR(IF(factura_c_mes11[[#This Row],[CUIT]]="","-",VLOOKUP(factura_c_mes11[[#This Row],[CUIT]],Lista_CUIT[#All],2,0)),"CUIT NO CARGADO")</f>
        <v>OPORTO ZELAYA ANA CECILIA</v>
      </c>
      <c r="I156" s="268">
        <v>100000</v>
      </c>
      <c r="J156" s="269" t="str">
        <f>IFERROR(IF(factura_c_mes11[[#This Row],[CUIT]]="","-",VLOOKUP(factura_c_mes11[[#This Row],[CUIT]],Lista_CUIT[#All],3,0)),"CUIT NO CARGADO")</f>
        <v>Gastos Varios</v>
      </c>
      <c r="K156" s="269">
        <f>IFERROR(IF(factura_c_mes11[[#This Row],[CUIT]]="","-",VLOOKUP(factura_c_mes11[[#This Row],[CUIT]],Lista_CUIT[#All],4,0)),"CUIT NO CARGADO")</f>
        <v>0</v>
      </c>
    </row>
    <row r="157" spans="4:13" x14ac:dyDescent="0.25">
      <c r="D157" s="50"/>
      <c r="E157" s="42"/>
      <c r="F157" s="43"/>
      <c r="G157" s="44">
        <v>27443612713</v>
      </c>
      <c r="H157" s="267" t="str">
        <f>IFERROR(IF(factura_c_mes11[[#This Row],[CUIT]]="","-",VLOOKUP(factura_c_mes11[[#This Row],[CUIT]],Lista_CUIT[#All],2,0)),"CUIT NO CARGADO")</f>
        <v>MIGOYA MORIONDO SOFIA</v>
      </c>
      <c r="I157" s="268">
        <v>870000</v>
      </c>
      <c r="J157" s="269" t="str">
        <f>IFERROR(IF(factura_c_mes11[[#This Row],[CUIT]]="","-",VLOOKUP(factura_c_mes11[[#This Row],[CUIT]],Lista_CUIT[#All],3,0)),"CUIT NO CARGADO")</f>
        <v>GTOS ADMINISTRATIVOS</v>
      </c>
      <c r="K157" s="269">
        <f>IFERROR(IF(factura_c_mes11[[#This Row],[CUIT]]="","-",VLOOKUP(factura_c_mes11[[#This Row],[CUIT]],Lista_CUIT[#All],4,0)),"CUIT NO CARGADO")</f>
        <v>0</v>
      </c>
    </row>
    <row r="158" spans="4:13" x14ac:dyDescent="0.25">
      <c r="D158" s="50"/>
      <c r="E158" s="42"/>
      <c r="F158" s="43"/>
      <c r="G158" s="44">
        <v>27443612705</v>
      </c>
      <c r="H158" s="267" t="str">
        <f>IFERROR(IF(factura_c_mes11[[#This Row],[CUIT]]="","-",VLOOKUP(factura_c_mes11[[#This Row],[CUIT]],Lista_CUIT[#All],2,0)),"CUIT NO CARGADO")</f>
        <v>MIGOYA MORIONDO MARIA INES</v>
      </c>
      <c r="I158" s="268">
        <v>900000</v>
      </c>
      <c r="J158" s="269" t="str">
        <f>IFERROR(IF(factura_c_mes11[[#This Row],[CUIT]]="","-",VLOOKUP(factura_c_mes11[[#This Row],[CUIT]],Lista_CUIT[#All],3,0)),"CUIT NO CARGADO")</f>
        <v>GTOS ADMINISTRATIVOS</v>
      </c>
      <c r="K158" s="269">
        <f>IFERROR(IF(factura_c_mes11[[#This Row],[CUIT]]="","-",VLOOKUP(factura_c_mes11[[#This Row],[CUIT]],Lista_CUIT[#All],4,0)),"CUIT NO CARGADO")</f>
        <v>0</v>
      </c>
    </row>
    <row r="159" spans="4:13" x14ac:dyDescent="0.25">
      <c r="D159" s="50"/>
      <c r="E159" s="42"/>
      <c r="F159" s="43"/>
      <c r="G159" s="44">
        <v>23281233084</v>
      </c>
      <c r="H159" s="267" t="str">
        <f>IFERROR(IF(factura_c_mes11[[#This Row],[CUIT]]="","-",VLOOKUP(factura_c_mes11[[#This Row],[CUIT]],Lista_CUIT[#All],2,0)),"CUIT NO CARGADO")</f>
        <v>DRUETTA ANDREA MARIEL</v>
      </c>
      <c r="I159" s="268">
        <v>300000</v>
      </c>
      <c r="J159" s="269" t="str">
        <f>IFERROR(IF(factura_c_mes11[[#This Row],[CUIT]]="","-",VLOOKUP(factura_c_mes11[[#This Row],[CUIT]],Lista_CUIT[#All],3,0)),"CUIT NO CARGADO")</f>
        <v>TECNICO</v>
      </c>
      <c r="K159" s="269">
        <f>IFERROR(IF(factura_c_mes11[[#This Row],[CUIT]]="","-",VLOOKUP(factura_c_mes11[[#This Row],[CUIT]],Lista_CUIT[#All],4,0)),"CUIT NO CARGADO")</f>
        <v>0</v>
      </c>
    </row>
    <row r="160" spans="4:13" x14ac:dyDescent="0.25">
      <c r="D160" s="50"/>
      <c r="E160" s="42"/>
      <c r="F160" s="43"/>
      <c r="G160" s="44">
        <v>27338342840</v>
      </c>
      <c r="H160" s="267" t="str">
        <f>IFERROR(IF(factura_c_mes11[[#This Row],[CUIT]]="","-",VLOOKUP(factura_c_mes11[[#This Row],[CUIT]],Lista_CUIT[#All],2,0)),"CUIT NO CARGADO")</f>
        <v>CANCINO PAMELA RITA</v>
      </c>
      <c r="I160" s="268">
        <v>165000</v>
      </c>
      <c r="J160" s="269" t="str">
        <f>IFERROR(IF(factura_c_mes11[[#This Row],[CUIT]]="","-",VLOOKUP(factura_c_mes11[[#This Row],[CUIT]],Lista_CUIT[#All],3,0)),"CUIT NO CARGADO")</f>
        <v>PROVEEDOR</v>
      </c>
      <c r="K160" s="269">
        <f>IFERROR(IF(factura_c_mes11[[#This Row],[CUIT]]="","-",VLOOKUP(factura_c_mes11[[#This Row],[CUIT]],Lista_CUIT[#All],4,0)),"CUIT NO CARGADO")</f>
        <v>0</v>
      </c>
    </row>
    <row r="161" spans="2:18" x14ac:dyDescent="0.25">
      <c r="D161" s="50"/>
      <c r="E161" s="42"/>
      <c r="F161" s="43"/>
      <c r="G161" s="44">
        <v>20310489930</v>
      </c>
      <c r="H161" s="267" t="str">
        <f>IFERROR(IF(factura_c_mes11[[#This Row],[CUIT]]="","-",VLOOKUP(factura_c_mes11[[#This Row],[CUIT]],Lista_CUIT[#All],2,0)),"CUIT NO CARGADO")</f>
        <v>OVIEDO LUIS ALBERTO</v>
      </c>
      <c r="I161" s="268">
        <v>383580</v>
      </c>
      <c r="J161" s="269" t="str">
        <f>IFERROR(IF(factura_c_mes11[[#This Row],[CUIT]]="","-",VLOOKUP(factura_c_mes11[[#This Row],[CUIT]],Lista_CUIT[#All],3,0)),"CUIT NO CARGADO")</f>
        <v>Insumos</v>
      </c>
      <c r="K161" s="269">
        <f>IFERROR(IF(factura_c_mes11[[#This Row],[CUIT]]="","-",VLOOKUP(factura_c_mes11[[#This Row],[CUIT]],Lista_CUIT[#All],4,0)),"CUIT NO CARGADO")</f>
        <v>0</v>
      </c>
    </row>
    <row r="162" spans="2:18" x14ac:dyDescent="0.25">
      <c r="D162" s="50"/>
      <c r="E162" s="42"/>
      <c r="F162" s="43"/>
      <c r="G162" s="44">
        <v>27344304551</v>
      </c>
      <c r="H162" s="267" t="str">
        <f>IFERROR(IF(factura_c_mes11[[#This Row],[CUIT]]="","-",VLOOKUP(factura_c_mes11[[#This Row],[CUIT]],Lista_CUIT[#All],2,0)),"CUIT NO CARGADO")</f>
        <v>BOCCACCI MARIA FLORENCIA</v>
      </c>
      <c r="I162" s="268">
        <v>850000</v>
      </c>
      <c r="J162" s="269" t="str">
        <f>IFERROR(IF(factura_c_mes11[[#This Row],[CUIT]]="","-",VLOOKUP(factura_c_mes11[[#This Row],[CUIT]],Lista_CUIT[#All],3,0)),"CUIT NO CARGADO")</f>
        <v>Servicios</v>
      </c>
      <c r="K162" s="269">
        <f>IFERROR(IF(factura_c_mes11[[#This Row],[CUIT]]="","-",VLOOKUP(factura_c_mes11[[#This Row],[CUIT]],Lista_CUIT[#All],4,0)),"CUIT NO CARGADO")</f>
        <v>0</v>
      </c>
    </row>
    <row r="163" spans="2:18" x14ac:dyDescent="0.25">
      <c r="D163" s="50"/>
      <c r="E163" s="42"/>
      <c r="F163" s="43"/>
      <c r="G163" s="44">
        <v>27315710508</v>
      </c>
      <c r="H163" s="267" t="str">
        <f>IFERROR(IF(factura_c_mes11[[#This Row],[CUIT]]="","-",VLOOKUP(factura_c_mes11[[#This Row],[CUIT]],Lista_CUIT[#All],2,0)),"CUIT NO CARGADO")</f>
        <v>RIVERO GABRIELA ROCIO</v>
      </c>
      <c r="I163" s="268">
        <v>60000</v>
      </c>
      <c r="J163" s="269" t="str">
        <f>IFERROR(IF(factura_c_mes11[[#This Row],[CUIT]]="","-",VLOOKUP(factura_c_mes11[[#This Row],[CUIT]],Lista_CUIT[#All],3,0)),"CUIT NO CARGADO")</f>
        <v>Serv. Informaticos</v>
      </c>
      <c r="K163" s="269">
        <f>IFERROR(IF(factura_c_mes11[[#This Row],[CUIT]]="","-",VLOOKUP(factura_c_mes11[[#This Row],[CUIT]],Lista_CUIT[#All],4,0)),"CUIT NO CARGADO")</f>
        <v>0</v>
      </c>
    </row>
    <row r="164" spans="2:18" x14ac:dyDescent="0.25">
      <c r="D164" s="50"/>
      <c r="E164" s="42"/>
      <c r="F164" s="43"/>
      <c r="G164" s="44">
        <v>27265832178</v>
      </c>
      <c r="H164" s="267" t="str">
        <f>IFERROR(IF(factura_c_mes11[[#This Row],[CUIT]]="","-",VLOOKUP(factura_c_mes11[[#This Row],[CUIT]],Lista_CUIT[#All],2,0)),"CUIT NO CARGADO")</f>
        <v>BLASCO MARIA GUADALUPE</v>
      </c>
      <c r="I164" s="268">
        <v>3200000</v>
      </c>
      <c r="J164" s="269" t="str">
        <f>IFERROR(IF(factura_c_mes11[[#This Row],[CUIT]]="","-",VLOOKUP(factura_c_mes11[[#This Row],[CUIT]],Lista_CUIT[#All],3,0)),"CUIT NO CARGADO")</f>
        <v>PROVEEDOR</v>
      </c>
      <c r="K164" s="269">
        <f>IFERROR(IF(factura_c_mes11[[#This Row],[CUIT]]="","-",VLOOKUP(factura_c_mes11[[#This Row],[CUIT]],Lista_CUIT[#All],4,0)),"CUIT NO CARGADO")</f>
        <v>0</v>
      </c>
    </row>
    <row r="165" spans="2:18" x14ac:dyDescent="0.25">
      <c r="D165" s="50"/>
      <c r="E165" s="42"/>
      <c r="F165" s="43"/>
      <c r="G165" s="44">
        <v>20247881957</v>
      </c>
      <c r="H165" s="267" t="str">
        <f>IFERROR(IF(factura_c_mes11[[#This Row],[CUIT]]="","-",VLOOKUP(factura_c_mes11[[#This Row],[CUIT]],Lista_CUIT[#All],2,0)),"CUIT NO CARGADO")</f>
        <v>CAMPA DANIEL JORGE</v>
      </c>
      <c r="I165" s="268">
        <v>9700</v>
      </c>
      <c r="J165" s="269" t="str">
        <f>IFERROR(IF(factura_c_mes11[[#This Row],[CUIT]]="","-",VLOOKUP(factura_c_mes11[[#This Row],[CUIT]],Lista_CUIT[#All],3,0)),"CUIT NO CARGADO")</f>
        <v>Gastos Varios</v>
      </c>
      <c r="K165" s="269">
        <f>IFERROR(IF(factura_c_mes11[[#This Row],[CUIT]]="","-",VLOOKUP(factura_c_mes11[[#This Row],[CUIT]],Lista_CUIT[#All],4,0)),"CUIT NO CARGADO")</f>
        <v>0</v>
      </c>
    </row>
    <row r="166" spans="2:18" x14ac:dyDescent="0.25">
      <c r="D166" s="50"/>
      <c r="E166" s="42"/>
      <c r="F166" s="43"/>
      <c r="G166" s="44">
        <v>20247881957</v>
      </c>
      <c r="H166" s="267" t="str">
        <f>IFERROR(IF(factura_c_mes11[[#This Row],[CUIT]]="","-",VLOOKUP(factura_c_mes11[[#This Row],[CUIT]],Lista_CUIT[#All],2,0)),"CUIT NO CARGADO")</f>
        <v>CAMPA DANIEL JORGE</v>
      </c>
      <c r="I166" s="268">
        <v>8500</v>
      </c>
      <c r="J166" s="269" t="str">
        <f>IFERROR(IF(factura_c_mes11[[#This Row],[CUIT]]="","-",VLOOKUP(factura_c_mes11[[#This Row],[CUIT]],Lista_CUIT[#All],3,0)),"CUIT NO CARGADO")</f>
        <v>Gastos Varios</v>
      </c>
      <c r="K166" s="269">
        <f>IFERROR(IF(factura_c_mes11[[#This Row],[CUIT]]="","-",VLOOKUP(factura_c_mes11[[#This Row],[CUIT]],Lista_CUIT[#All],4,0)),"CUIT NO CARGADO")</f>
        <v>0</v>
      </c>
    </row>
    <row r="167" spans="2:18" x14ac:dyDescent="0.25">
      <c r="D167" s="50"/>
      <c r="E167" s="42"/>
      <c r="F167" s="43"/>
      <c r="G167" s="44">
        <v>20310489930</v>
      </c>
      <c r="H167" s="267" t="str">
        <f>IFERROR(IF(factura_c_mes11[[#This Row],[CUIT]]="","-",VLOOKUP(factura_c_mes11[[#This Row],[CUIT]],Lista_CUIT[#All],2,0)),"CUIT NO CARGADO")</f>
        <v>OVIEDO LUIS ALBERTO</v>
      </c>
      <c r="I167" s="268">
        <v>540580</v>
      </c>
      <c r="J167" s="269" t="str">
        <f>IFERROR(IF(factura_c_mes11[[#This Row],[CUIT]]="","-",VLOOKUP(factura_c_mes11[[#This Row],[CUIT]],Lista_CUIT[#All],3,0)),"CUIT NO CARGADO")</f>
        <v>Insumos</v>
      </c>
      <c r="K167" s="269">
        <f>IFERROR(IF(factura_c_mes11[[#This Row],[CUIT]]="","-",VLOOKUP(factura_c_mes11[[#This Row],[CUIT]],Lista_CUIT[#All],4,0)),"CUIT NO CARGADO")</f>
        <v>0</v>
      </c>
    </row>
    <row r="168" spans="2:18" x14ac:dyDescent="0.25">
      <c r="D168" s="50"/>
      <c r="E168" s="42"/>
      <c r="F168" s="43"/>
      <c r="G168" s="44">
        <v>20086277523</v>
      </c>
      <c r="H168" s="267" t="str">
        <f>IFERROR(IF(factura_c_mes11[[#This Row],[CUIT]]="","-",VLOOKUP(factura_c_mes11[[#This Row],[CUIT]],Lista_CUIT[#All],2,0)),"CUIT NO CARGADO")</f>
        <v>BOTINDARI JUAN CARLOS</v>
      </c>
      <c r="I168" s="268">
        <v>300000</v>
      </c>
      <c r="J168" s="269" t="str">
        <f>IFERROR(IF(factura_c_mes11[[#This Row],[CUIT]]="","-",VLOOKUP(factura_c_mes11[[#This Row],[CUIT]],Lista_CUIT[#All],3,0)),"CUIT NO CARGADO")</f>
        <v>HONORARIOS</v>
      </c>
      <c r="K168" s="269">
        <f>IFERROR(IF(factura_c_mes11[[#This Row],[CUIT]]="","-",VLOOKUP(factura_c_mes11[[#This Row],[CUIT]],Lista_CUIT[#All],4,0)),"CUIT NO CARGADO")</f>
        <v>0</v>
      </c>
    </row>
    <row r="169" spans="2:18" x14ac:dyDescent="0.25">
      <c r="D169" s="50"/>
      <c r="E169" s="42"/>
      <c r="F169" s="43"/>
      <c r="G169" s="44">
        <v>20233248283</v>
      </c>
      <c r="H169" s="267" t="str">
        <f>IFERROR(IF(factura_c_mes11[[#This Row],[CUIT]]="","-",VLOOKUP(factura_c_mes11[[#This Row],[CUIT]],Lista_CUIT[#All],2,0)),"CUIT NO CARGADO")</f>
        <v>CORRAO HECTOR RUBEN</v>
      </c>
      <c r="I169" s="268">
        <v>525000</v>
      </c>
      <c r="J169" s="269" t="str">
        <f>IFERROR(IF(factura_c_mes11[[#This Row],[CUIT]]="","-",VLOOKUP(factura_c_mes11[[#This Row],[CUIT]],Lista_CUIT[#All],3,0)),"CUIT NO CARGADO")</f>
        <v>PROVEEDOR</v>
      </c>
      <c r="K169" s="269">
        <f>IFERROR(IF(factura_c_mes11[[#This Row],[CUIT]]="","-",VLOOKUP(factura_c_mes11[[#This Row],[CUIT]],Lista_CUIT[#All],4,0)),"CUIT NO CARGADO")</f>
        <v>0</v>
      </c>
    </row>
    <row r="170" spans="2:18" x14ac:dyDescent="0.25">
      <c r="D170" s="50"/>
      <c r="E170" s="42"/>
      <c r="F170" s="43"/>
      <c r="G170" s="44"/>
      <c r="H170" s="267" t="str">
        <f>IFERROR(IF(factura_c_mes11[[#This Row],[CUIT]]="","-",VLOOKUP(factura_c_mes11[[#This Row],[CUIT]],Lista_CUIT[#All],2,0)),"CUIT NO CARGADO")</f>
        <v>-</v>
      </c>
      <c r="I170" s="268"/>
      <c r="J170" s="269" t="str">
        <f>IFERROR(IF(factura_c_mes11[[#This Row],[CUIT]]="","-",VLOOKUP(factura_c_mes11[[#This Row],[CUIT]],Lista_CUIT[#All],3,0)),"CUIT NO CARGADO")</f>
        <v>-</v>
      </c>
      <c r="K170" s="269" t="str">
        <f>IFERROR(IF(factura_c_mes11[[#This Row],[CUIT]]="","-",VLOOKUP(factura_c_mes11[[#This Row],[CUIT]],Lista_CUIT[#All],4,0)),"CUIT NO CARGADO")</f>
        <v>-</v>
      </c>
    </row>
    <row r="171" spans="2:18" x14ac:dyDescent="0.25">
      <c r="D171" s="50"/>
      <c r="E171" s="42"/>
      <c r="F171" s="43"/>
      <c r="G171" s="44"/>
      <c r="H171" s="267" t="str">
        <f>IFERROR(IF(factura_c_mes11[[#This Row],[CUIT]]="","-",VLOOKUP(factura_c_mes11[[#This Row],[CUIT]],Lista_CUIT[#All],2,0)),"CUIT NO CARGADO")</f>
        <v>-</v>
      </c>
      <c r="I171" s="268"/>
      <c r="J171" s="269" t="str">
        <f>IFERROR(IF(factura_c_mes11[[#This Row],[CUIT]]="","-",VLOOKUP(factura_c_mes11[[#This Row],[CUIT]],Lista_CUIT[#All],3,0)),"CUIT NO CARGADO")</f>
        <v>-</v>
      </c>
      <c r="K171" s="269" t="str">
        <f>IFERROR(IF(factura_c_mes11[[#This Row],[CUIT]]="","-",VLOOKUP(factura_c_mes11[[#This Row],[CUIT]],Lista_CUIT[#All],4,0)),"CUIT NO CARGADO")</f>
        <v>-</v>
      </c>
    </row>
    <row r="172" spans="2:18" x14ac:dyDescent="0.25">
      <c r="D172" s="50"/>
      <c r="E172" s="42"/>
      <c r="F172" s="43"/>
      <c r="G172" s="44"/>
      <c r="H172" s="53" t="str">
        <f>IFERROR(IF(factura_c_mes11[[#This Row],[CUIT]]="","-",VLOOKUP(factura_c_mes11[[#This Row],[CUIT]],Lista_CUIT[#All],2,0)),"CUIT NO CARGADO")</f>
        <v>-</v>
      </c>
      <c r="I172" s="81"/>
      <c r="J172" s="54" t="str">
        <f>IFERROR(IF(factura_c_mes11[[#This Row],[CUIT]]="","-",VLOOKUP(factura_c_mes11[[#This Row],[CUIT]],Lista_CUIT[#All],3,0)),"CUIT NO CARGADO")</f>
        <v>-</v>
      </c>
      <c r="K172" s="54" t="str">
        <f>IFERROR(IF(factura_c_mes11[[#This Row],[CUIT]]="","-",VLOOKUP(factura_c_mes11[[#This Row],[CUIT]],Lista_CUIT[#All],4,0)),"CUIT NO CARGADO")</f>
        <v>-</v>
      </c>
    </row>
    <row r="173" spans="2:18" x14ac:dyDescent="0.25">
      <c r="D173" s="50"/>
      <c r="E173" s="42"/>
      <c r="F173" s="43"/>
      <c r="G173" s="44"/>
      <c r="H173" s="53" t="str">
        <f>IFERROR(IF(factura_c_mes11[[#This Row],[CUIT]]="","-",VLOOKUP(factura_c_mes11[[#This Row],[CUIT]],Lista_CUIT[#All],2,0)),"CUIT NO CARGADO")</f>
        <v>-</v>
      </c>
      <c r="I173" s="81"/>
      <c r="J173" s="54" t="str">
        <f>IFERROR(IF(factura_c_mes11[[#This Row],[CUIT]]="","-",VLOOKUP(factura_c_mes11[[#This Row],[CUIT]],Lista_CUIT[#All],3,0)),"CUIT NO CARGADO")</f>
        <v>-</v>
      </c>
      <c r="K173" s="54" t="str">
        <f>IFERROR(IF(factura_c_mes11[[#This Row],[CUIT]]="","-",VLOOKUP(factura_c_mes11[[#This Row],[CUIT]],Lista_CUIT[#All],4,0)),"CUIT NO CARGADO")</f>
        <v>-</v>
      </c>
    </row>
    <row r="174" spans="2:18" x14ac:dyDescent="0.25">
      <c r="D174" s="50"/>
      <c r="E174" s="42"/>
      <c r="F174" s="164"/>
      <c r="G174" s="118"/>
      <c r="H174" s="53" t="str">
        <f>IFERROR(IF(factura_c_mes11[[#This Row],[CUIT]]="","-",VLOOKUP(factura_c_mes11[[#This Row],[CUIT]],Lista_CUIT[#All],2,0)),"CUIT NO CARGADO")</f>
        <v>-</v>
      </c>
      <c r="I174" s="165"/>
      <c r="J174" s="54" t="str">
        <f>IFERROR(IF(factura_c_mes11[[#This Row],[CUIT]]="","-",VLOOKUP(factura_c_mes11[[#This Row],[CUIT]],Lista_CUIT[#All],3,0)),"CUIT NO CARGADO")</f>
        <v>-</v>
      </c>
      <c r="K174" s="54" t="str">
        <f>IFERROR(IF(factura_c_mes11[[#This Row],[CUIT]]="","-",VLOOKUP(factura_c_mes11[[#This Row],[CUIT]],Lista_CUIT[#All],4,0)),"CUIT NO CARGADO")</f>
        <v>-</v>
      </c>
    </row>
    <row r="175" spans="2:18" x14ac:dyDescent="0.25">
      <c r="B175" s="56"/>
      <c r="C175" s="56"/>
      <c r="D175" s="50"/>
      <c r="E175" s="42"/>
      <c r="F175" s="164"/>
      <c r="G175" s="118"/>
      <c r="H175" s="53" t="str">
        <f>IFERROR(IF(factura_c_mes11[[#This Row],[CUIT]]="","-",VLOOKUP(factura_c_mes11[[#This Row],[CUIT]],Lista_CUIT[#All],2,0)),"CUIT NO CARGADO")</f>
        <v>-</v>
      </c>
      <c r="I175" s="165"/>
      <c r="J175" s="54" t="str">
        <f>IFERROR(IF(factura_c_mes11[[#This Row],[CUIT]]="","-",VLOOKUP(factura_c_mes11[[#This Row],[CUIT]],Lista_CUIT[#All],3,0)),"CUIT NO CARGADO")</f>
        <v>-</v>
      </c>
      <c r="K175" s="54" t="str">
        <f>IFERROR(IF(factura_c_mes11[[#This Row],[CUIT]]="","-",VLOOKUP(factura_c_mes11[[#This Row],[CUIT]],Lista_CUIT[#All],4,0)),"CUIT NO CARGADO")</f>
        <v>-</v>
      </c>
      <c r="L175" s="56"/>
      <c r="M175" s="56"/>
      <c r="N175" s="56"/>
      <c r="O175" s="56"/>
      <c r="P175" s="56"/>
      <c r="Q175" s="56"/>
      <c r="R175" s="56"/>
    </row>
    <row r="176" spans="2:18" x14ac:dyDescent="0.25">
      <c r="D176" s="50"/>
      <c r="E176" s="42"/>
      <c r="F176" s="164"/>
      <c r="G176" s="118"/>
      <c r="H176" s="53" t="str">
        <f>IFERROR(IF(factura_c_mes11[[#This Row],[CUIT]]="","-",VLOOKUP(factura_c_mes11[[#This Row],[CUIT]],Lista_CUIT[#All],2,0)),"CUIT NO CARGADO")</f>
        <v>-</v>
      </c>
      <c r="I176" s="165"/>
      <c r="J176" s="54" t="str">
        <f>IFERROR(IF(factura_c_mes11[[#This Row],[CUIT]]="","-",VLOOKUP(factura_c_mes11[[#This Row],[CUIT]],Lista_CUIT[#All],3,0)),"CUIT NO CARGADO")</f>
        <v>-</v>
      </c>
      <c r="K176" s="54" t="str">
        <f>IFERROR(IF(factura_c_mes11[[#This Row],[CUIT]]="","-",VLOOKUP(factura_c_mes11[[#This Row],[CUIT]],Lista_CUIT[#All],4,0)),"CUIT NO CARGADO")</f>
        <v>-</v>
      </c>
    </row>
    <row r="177" spans="2:13" x14ac:dyDescent="0.25">
      <c r="D177" s="50"/>
      <c r="E177" s="42"/>
      <c r="F177" s="164"/>
      <c r="G177" s="118"/>
      <c r="H177" s="53" t="str">
        <f>IFERROR(IF(factura_c_mes11[[#This Row],[CUIT]]="","-",VLOOKUP(factura_c_mes11[[#This Row],[CUIT]],Lista_CUIT[#All],2,0)),"CUIT NO CARGADO")</f>
        <v>-</v>
      </c>
      <c r="I177" s="165"/>
      <c r="J177" s="54" t="str">
        <f>IFERROR(IF(factura_c_mes11[[#This Row],[CUIT]]="","-",VLOOKUP(factura_c_mes11[[#This Row],[CUIT]],Lista_CUIT[#All],3,0)),"CUIT NO CARGADO")</f>
        <v>-</v>
      </c>
      <c r="K177" s="54" t="str">
        <f>IFERROR(IF(factura_c_mes11[[#This Row],[CUIT]]="","-",VLOOKUP(factura_c_mes11[[#This Row],[CUIT]],Lista_CUIT[#All],4,0)),"CUIT NO CARGADO")</f>
        <v>-</v>
      </c>
    </row>
    <row r="178" spans="2:13" x14ac:dyDescent="0.25">
      <c r="D178" s="50"/>
      <c r="E178" s="42"/>
      <c r="F178" s="164"/>
      <c r="G178" s="118"/>
      <c r="H178" s="53" t="str">
        <f>IFERROR(IF(factura_c_mes11[[#This Row],[CUIT]]="","-",VLOOKUP(factura_c_mes11[[#This Row],[CUIT]],Lista_CUIT[#All],2,0)),"CUIT NO CARGADO")</f>
        <v>-</v>
      </c>
      <c r="I178" s="165"/>
      <c r="J178" s="54" t="str">
        <f>IFERROR(IF(factura_c_mes11[[#This Row],[CUIT]]="","-",VLOOKUP(factura_c_mes11[[#This Row],[CUIT]],Lista_CUIT[#All],3,0)),"CUIT NO CARGADO")</f>
        <v>-</v>
      </c>
      <c r="K178" s="54" t="str">
        <f>IFERROR(IF(factura_c_mes11[[#This Row],[CUIT]]="","-",VLOOKUP(factura_c_mes11[[#This Row],[CUIT]],Lista_CUIT[#All],4,0)),"CUIT NO CARGADO")</f>
        <v>-</v>
      </c>
    </row>
    <row r="179" spans="2:13" x14ac:dyDescent="0.25">
      <c r="D179" s="55" t="s">
        <v>110</v>
      </c>
      <c r="E179" s="55"/>
      <c r="F179" s="55"/>
      <c r="G179" s="55"/>
      <c r="H179" s="57"/>
      <c r="I179" s="58">
        <f>SUBTOTAL(109,factura_c_mes11[TOTAL])</f>
        <v>12807360</v>
      </c>
      <c r="J179" s="55"/>
      <c r="K179" s="55"/>
    </row>
    <row r="180" spans="2:13" ht="26.25" x14ac:dyDescent="0.25">
      <c r="B180" s="629" t="s">
        <v>29</v>
      </c>
      <c r="C180" s="629"/>
      <c r="D180" s="629"/>
      <c r="E180" s="629"/>
      <c r="F180" s="629"/>
      <c r="G180" s="629"/>
      <c r="H180" s="629"/>
      <c r="I180" s="629"/>
      <c r="J180" s="629"/>
      <c r="K180" s="630">
        <f>N1</f>
        <v>45962</v>
      </c>
      <c r="L180" s="630"/>
      <c r="M180" s="630"/>
    </row>
    <row r="182" spans="2:13" ht="21" x14ac:dyDescent="0.25">
      <c r="B182" s="631" t="s">
        <v>30</v>
      </c>
      <c r="C182" s="631"/>
    </row>
    <row r="183" spans="2:13" ht="31.5" x14ac:dyDescent="0.25">
      <c r="B183" s="60" t="s">
        <v>0</v>
      </c>
      <c r="C183" s="61" t="s">
        <v>1</v>
      </c>
      <c r="D183" s="61" t="s">
        <v>21</v>
      </c>
      <c r="E183" s="61" t="s">
        <v>22</v>
      </c>
      <c r="F183" s="61" t="s">
        <v>3</v>
      </c>
      <c r="G183" s="61" t="s">
        <v>4</v>
      </c>
      <c r="H183" s="61" t="s">
        <v>23</v>
      </c>
      <c r="I183" s="61" t="s">
        <v>17</v>
      </c>
      <c r="J183" s="61" t="s">
        <v>7</v>
      </c>
      <c r="K183" s="61" t="s">
        <v>24</v>
      </c>
      <c r="L183" s="61" t="s">
        <v>10</v>
      </c>
      <c r="M183" s="62" t="s">
        <v>38</v>
      </c>
    </row>
    <row r="184" spans="2:13" x14ac:dyDescent="0.25">
      <c r="B184" s="40"/>
      <c r="C184" s="41"/>
      <c r="D184" s="42"/>
      <c r="E184" s="43"/>
      <c r="F184" s="44"/>
      <c r="G184" s="98" t="str">
        <f>IFERROR(IF(venta_a_mes11[[#This Row],[CUIT]]="","-",VLOOKUP(venta_a_mes11[[#This Row],[CUIT]],Lista_CUIT[#All],2,0)),"CUIT NO CARGADO")</f>
        <v>-</v>
      </c>
      <c r="H184" s="99"/>
      <c r="I184" s="100">
        <f>venta_a_mes11[[#This Row],[IMPORTE NETO]]*0.21</f>
        <v>0</v>
      </c>
      <c r="J184" s="65"/>
      <c r="K184" s="65"/>
      <c r="L184" s="65">
        <f>SUM(venta_a_mes11[[#This Row],[IMPORTE NETO]:[EXENTO]])</f>
        <v>0</v>
      </c>
      <c r="M184" s="59"/>
    </row>
    <row r="185" spans="2:13" x14ac:dyDescent="0.25">
      <c r="B185" s="281"/>
      <c r="C185" s="41"/>
      <c r="D185" s="282"/>
      <c r="E185" s="283"/>
      <c r="F185" s="284"/>
      <c r="G185" s="285" t="str">
        <f>IFERROR(IF(venta_a_mes11[[#This Row],[CUIT]]="","-",VLOOKUP(venta_a_mes11[[#This Row],[CUIT]],Lista_CUIT[#All],2,0)),"CUIT NO CARGADO")</f>
        <v>-</v>
      </c>
      <c r="H185" s="99"/>
      <c r="I185" s="286">
        <f>venta_a_mes11[[#This Row],[IMPORTE NETO]]*0.21</f>
        <v>0</v>
      </c>
      <c r="J185" s="287"/>
      <c r="K185" s="287"/>
      <c r="L185" s="287">
        <f>SUM(venta_a_mes11[[#This Row],[IMPORTE NETO]:[EXENTO]])</f>
        <v>0</v>
      </c>
      <c r="M185" s="280"/>
    </row>
    <row r="186" spans="2:13" x14ac:dyDescent="0.25">
      <c r="B186" s="281"/>
      <c r="C186" s="41"/>
      <c r="D186" s="282"/>
      <c r="E186" s="283"/>
      <c r="F186" s="284"/>
      <c r="G186" s="285" t="str">
        <f>IFERROR(IF(venta_a_mes11[[#This Row],[CUIT]]="","-",VLOOKUP(venta_a_mes11[[#This Row],[CUIT]],Lista_CUIT[#All],2,0)),"CUIT NO CARGADO")</f>
        <v>-</v>
      </c>
      <c r="H186" s="99"/>
      <c r="I186" s="286">
        <f>venta_a_mes11[[#This Row],[IMPORTE NETO]]*0.21</f>
        <v>0</v>
      </c>
      <c r="J186" s="287"/>
      <c r="K186" s="287"/>
      <c r="L186" s="287">
        <f>SUM(venta_a_mes11[[#This Row],[IMPORTE NETO]:[EXENTO]])</f>
        <v>0</v>
      </c>
      <c r="M186" s="280"/>
    </row>
    <row r="187" spans="2:13" x14ac:dyDescent="0.25">
      <c r="B187" s="281"/>
      <c r="C187" s="41"/>
      <c r="D187" s="282"/>
      <c r="E187" s="283"/>
      <c r="F187" s="284"/>
      <c r="G187" s="285" t="str">
        <f>IFERROR(IF(venta_a_mes11[[#This Row],[CUIT]]="","-",VLOOKUP(venta_a_mes11[[#This Row],[CUIT]],Lista_CUIT[#All],2,0)),"CUIT NO CARGADO")</f>
        <v>-</v>
      </c>
      <c r="H187" s="99"/>
      <c r="I187" s="286">
        <f>venta_a_mes11[[#This Row],[IMPORTE NETO]]*0.21</f>
        <v>0</v>
      </c>
      <c r="J187" s="287"/>
      <c r="K187" s="287"/>
      <c r="L187" s="287">
        <f>SUM(venta_a_mes11[[#This Row],[IMPORTE NETO]:[EXENTO]])</f>
        <v>0</v>
      </c>
      <c r="M187" s="280"/>
    </row>
    <row r="188" spans="2:13" x14ac:dyDescent="0.25">
      <c r="B188" s="281"/>
      <c r="C188" s="41"/>
      <c r="D188" s="282"/>
      <c r="E188" s="283"/>
      <c r="F188" s="284"/>
      <c r="G188" s="285" t="str">
        <f>IFERROR(IF(venta_a_mes11[[#This Row],[CUIT]]="","-",VLOOKUP(venta_a_mes11[[#This Row],[CUIT]],Lista_CUIT[#All],2,0)),"CUIT NO CARGADO")</f>
        <v>-</v>
      </c>
      <c r="H188" s="99"/>
      <c r="I188" s="286">
        <f>venta_a_mes11[[#This Row],[IMPORTE NETO]]*0.21</f>
        <v>0</v>
      </c>
      <c r="J188" s="287"/>
      <c r="K188" s="287"/>
      <c r="L188" s="287">
        <f>SUM(venta_a_mes11[[#This Row],[IMPORTE NETO]:[EXENTO]])</f>
        <v>0</v>
      </c>
      <c r="M188" s="280"/>
    </row>
    <row r="189" spans="2:13" x14ac:dyDescent="0.25">
      <c r="B189" s="108"/>
      <c r="C189" s="109"/>
      <c r="D189" s="110"/>
      <c r="E189" s="111"/>
      <c r="F189" s="112"/>
      <c r="G189" s="98" t="str">
        <f>IFERROR(IF(venta_a_mes11[[#This Row],[CUIT]]="","-",VLOOKUP(venta_a_mes11[[#This Row],[CUIT]],Lista_CUIT[#All],2,0)),"CUIT NO CARGADO")</f>
        <v>-</v>
      </c>
      <c r="H189" s="99"/>
      <c r="I189" s="100">
        <f>venta_a_mes11[[#This Row],[IMPORTE NETO]]*0.21</f>
        <v>0</v>
      </c>
      <c r="J189" s="65"/>
      <c r="K189" s="65"/>
      <c r="L189" s="65">
        <f>SUM(venta_a_mes11[[#This Row],[IMPORTE NETO]:[EXENTO]])</f>
        <v>0</v>
      </c>
      <c r="M189" s="59"/>
    </row>
    <row r="190" spans="2:13" x14ac:dyDescent="0.25">
      <c r="B190" s="66" t="s">
        <v>110</v>
      </c>
      <c r="C190" s="67"/>
      <c r="D190" s="67"/>
      <c r="E190" s="67"/>
      <c r="F190" s="67"/>
      <c r="G190" s="67"/>
      <c r="H190" s="69">
        <f>SUBTOTAL(109,venta_a_mes11[IMPORTE NETO])</f>
        <v>0</v>
      </c>
      <c r="I190" s="70">
        <f>SUBTOTAL(109,venta_a_mes11[IVA 21%])</f>
        <v>0</v>
      </c>
      <c r="J190" s="71">
        <f>SUBTOTAL(109,venta_a_mes11[IVA 10,5%])</f>
        <v>0</v>
      </c>
      <c r="K190" s="71">
        <f>SUBTOTAL(109,venta_a_mes11[EXENTO])</f>
        <v>0</v>
      </c>
      <c r="L190" s="71">
        <f>SUBTOTAL(109,venta_a_mes11[TOTAL])</f>
        <v>0</v>
      </c>
      <c r="M190" s="68">
        <f>SUBTOTAL(103,venta_a_mes11[Provincia])</f>
        <v>0</v>
      </c>
    </row>
    <row r="193" spans="2:13" ht="21" x14ac:dyDescent="0.25">
      <c r="B193" s="631" t="s">
        <v>31</v>
      </c>
      <c r="C193" s="631"/>
    </row>
    <row r="194" spans="2:13" ht="31.5" x14ac:dyDescent="0.25">
      <c r="B194" s="60" t="s">
        <v>0</v>
      </c>
      <c r="C194" s="61" t="s">
        <v>1</v>
      </c>
      <c r="D194" s="61" t="s">
        <v>21</v>
      </c>
      <c r="E194" s="61" t="s">
        <v>22</v>
      </c>
      <c r="F194" s="61" t="s">
        <v>3</v>
      </c>
      <c r="G194" s="61" t="s">
        <v>4</v>
      </c>
      <c r="H194" s="61" t="s">
        <v>23</v>
      </c>
      <c r="I194" s="61" t="s">
        <v>17</v>
      </c>
      <c r="J194" s="61" t="s">
        <v>7</v>
      </c>
      <c r="K194" s="61" t="s">
        <v>24</v>
      </c>
      <c r="L194" s="61" t="s">
        <v>10</v>
      </c>
      <c r="M194" s="62" t="s">
        <v>38</v>
      </c>
    </row>
    <row r="195" spans="2:13" x14ac:dyDescent="0.25">
      <c r="B195" s="40"/>
      <c r="C195" s="41"/>
      <c r="D195" s="42"/>
      <c r="E195" s="43"/>
      <c r="F195" s="44"/>
      <c r="G195" s="1" t="str">
        <f>IFERROR(IF(ventas_b_mes11[[#This Row],[CUIT]]="","-",VLOOKUP(ventas_b_mes11[[#This Row],[CUIT]],Lista_CUIT[#All],2,0)),"CUIT NO CARGADO")</f>
        <v>-</v>
      </c>
      <c r="H195" s="64"/>
      <c r="I195" s="64"/>
      <c r="J195" s="64"/>
      <c r="K195" s="64"/>
      <c r="L195" s="64">
        <f>SUM(ventas_b_mes11[[#This Row],[IMPORTE NETO]:[EXENTO]])</f>
        <v>0</v>
      </c>
      <c r="M195" s="59"/>
    </row>
    <row r="196" spans="2:13" x14ac:dyDescent="0.25">
      <c r="B196" s="271"/>
      <c r="C196" s="41"/>
      <c r="D196" s="273"/>
      <c r="E196" s="274"/>
      <c r="F196" s="275"/>
      <c r="G196" s="276" t="str">
        <f>IFERROR(IF(ventas_b_mes11[[#This Row],[CUIT]]="","-",VLOOKUP(ventas_b_mes11[[#This Row],[CUIT]],Lista_CUIT[#All],2,0)),"CUIT NO CARGADO")</f>
        <v>-</v>
      </c>
      <c r="H196" s="277"/>
      <c r="I196" s="278"/>
      <c r="J196" s="279"/>
      <c r="K196" s="279"/>
      <c r="L196" s="279">
        <f>SUM(ventas_b_mes11[[#This Row],[IMPORTE NETO]:[EXENTO]])</f>
        <v>0</v>
      </c>
      <c r="M196" s="280"/>
    </row>
    <row r="197" spans="2:13" x14ac:dyDescent="0.25">
      <c r="B197" s="271"/>
      <c r="C197" s="41"/>
      <c r="D197" s="273"/>
      <c r="E197" s="274"/>
      <c r="F197" s="275"/>
      <c r="G197" s="276" t="str">
        <f>IFERROR(IF(ventas_b_mes11[[#This Row],[CUIT]]="","-",VLOOKUP(ventas_b_mes11[[#This Row],[CUIT]],Lista_CUIT[#All],2,0)),"CUIT NO CARGADO")</f>
        <v>-</v>
      </c>
      <c r="H197" s="277"/>
      <c r="I197" s="278"/>
      <c r="J197" s="279"/>
      <c r="K197" s="279"/>
      <c r="L197" s="279">
        <f>SUM(ventas_b_mes11[[#This Row],[IMPORTE NETO]:[EXENTO]])</f>
        <v>0</v>
      </c>
      <c r="M197" s="280"/>
    </row>
    <row r="198" spans="2:13" x14ac:dyDescent="0.25">
      <c r="B198" s="271"/>
      <c r="C198" s="41"/>
      <c r="D198" s="273"/>
      <c r="E198" s="274"/>
      <c r="F198" s="275"/>
      <c r="G198" s="276" t="str">
        <f>IFERROR(IF(ventas_b_mes11[[#This Row],[CUIT]]="","-",VLOOKUP(ventas_b_mes11[[#This Row],[CUIT]],Lista_CUIT[#All],2,0)),"CUIT NO CARGADO")</f>
        <v>-</v>
      </c>
      <c r="H198" s="277"/>
      <c r="I198" s="278"/>
      <c r="J198" s="279"/>
      <c r="K198" s="279"/>
      <c r="L198" s="279">
        <f>SUM(ventas_b_mes11[[#This Row],[IMPORTE NETO]:[EXENTO]])</f>
        <v>0</v>
      </c>
      <c r="M198" s="280"/>
    </row>
    <row r="199" spans="2:13" x14ac:dyDescent="0.25">
      <c r="B199" s="271"/>
      <c r="C199" s="41"/>
      <c r="D199" s="273"/>
      <c r="E199" s="274"/>
      <c r="F199" s="275"/>
      <c r="G199" s="276" t="str">
        <f>IFERROR(IF(ventas_b_mes11[[#This Row],[CUIT]]="","-",VLOOKUP(ventas_b_mes11[[#This Row],[CUIT]],Lista_CUIT[#All],2,0)),"CUIT NO CARGADO")</f>
        <v>-</v>
      </c>
      <c r="H199" s="277"/>
      <c r="I199" s="278"/>
      <c r="J199" s="279"/>
      <c r="K199" s="279"/>
      <c r="L199" s="279">
        <f>SUM(ventas_b_mes11[[#This Row],[IMPORTE NETO]:[EXENTO]])</f>
        <v>0</v>
      </c>
      <c r="M199" s="280"/>
    </row>
    <row r="200" spans="2:13" x14ac:dyDescent="0.25">
      <c r="B200" s="271"/>
      <c r="C200" s="41"/>
      <c r="D200" s="273"/>
      <c r="E200" s="274"/>
      <c r="F200" s="275"/>
      <c r="G200" s="276" t="str">
        <f>IFERROR(IF(ventas_b_mes11[[#This Row],[CUIT]]="","-",VLOOKUP(ventas_b_mes11[[#This Row],[CUIT]],Lista_CUIT[#All],2,0)),"CUIT NO CARGADO")</f>
        <v>-</v>
      </c>
      <c r="H200" s="277"/>
      <c r="I200" s="278"/>
      <c r="J200" s="279"/>
      <c r="K200" s="279"/>
      <c r="L200" s="279">
        <f>SUM(ventas_b_mes11[[#This Row],[IMPORTE NETO]:[EXENTO]])</f>
        <v>0</v>
      </c>
      <c r="M200" s="280"/>
    </row>
    <row r="201" spans="2:13" x14ac:dyDescent="0.25">
      <c r="B201" s="271"/>
      <c r="C201" s="41"/>
      <c r="D201" s="273"/>
      <c r="E201" s="274"/>
      <c r="F201" s="275"/>
      <c r="G201" s="276" t="str">
        <f>IFERROR(IF(ventas_b_mes11[[#This Row],[CUIT]]="","-",VLOOKUP(ventas_b_mes11[[#This Row],[CUIT]],Lista_CUIT[#All],2,0)),"CUIT NO CARGADO")</f>
        <v>-</v>
      </c>
      <c r="H201" s="277"/>
      <c r="I201" s="278"/>
      <c r="J201" s="279"/>
      <c r="K201" s="279"/>
      <c r="L201" s="279">
        <f>SUM(ventas_b_mes11[[#This Row],[IMPORTE NETO]:[EXENTO]])</f>
        <v>0</v>
      </c>
      <c r="M201" s="280"/>
    </row>
    <row r="202" spans="2:13" x14ac:dyDescent="0.25">
      <c r="B202" s="271"/>
      <c r="C202" s="41"/>
      <c r="D202" s="273"/>
      <c r="E202" s="274"/>
      <c r="F202" s="275"/>
      <c r="G202" s="276" t="str">
        <f>IFERROR(IF(ventas_b_mes11[[#This Row],[CUIT]]="","-",VLOOKUP(ventas_b_mes11[[#This Row],[CUIT]],Lista_CUIT[#All],2,0)),"CUIT NO CARGADO")</f>
        <v>-</v>
      </c>
      <c r="H202" s="277"/>
      <c r="I202" s="278"/>
      <c r="J202" s="279"/>
      <c r="K202" s="279"/>
      <c r="L202" s="279">
        <f>SUM(ventas_b_mes11[[#This Row],[IMPORTE NETO]:[EXENTO]])</f>
        <v>0</v>
      </c>
      <c r="M202" s="280"/>
    </row>
    <row r="203" spans="2:13" x14ac:dyDescent="0.25">
      <c r="B203" s="271"/>
      <c r="C203" s="41"/>
      <c r="D203" s="273"/>
      <c r="E203" s="274"/>
      <c r="F203" s="275"/>
      <c r="G203" s="276" t="str">
        <f>IFERROR(IF(ventas_b_mes11[[#This Row],[CUIT]]="","-",VLOOKUP(ventas_b_mes11[[#This Row],[CUIT]],Lista_CUIT[#All],2,0)),"CUIT NO CARGADO")</f>
        <v>-</v>
      </c>
      <c r="H203" s="277"/>
      <c r="I203" s="278"/>
      <c r="J203" s="279"/>
      <c r="K203" s="279"/>
      <c r="L203" s="279">
        <f>SUM(ventas_b_mes11[[#This Row],[IMPORTE NETO]:[EXENTO]])</f>
        <v>0</v>
      </c>
      <c r="M203" s="280"/>
    </row>
    <row r="204" spans="2:13" x14ac:dyDescent="0.25">
      <c r="B204" s="271"/>
      <c r="C204" s="41"/>
      <c r="D204" s="273"/>
      <c r="E204" s="274"/>
      <c r="F204" s="275"/>
      <c r="G204" s="276" t="str">
        <f>IFERROR(IF(ventas_b_mes11[[#This Row],[CUIT]]="","-",VLOOKUP(ventas_b_mes11[[#This Row],[CUIT]],Lista_CUIT[#All],2,0)),"CUIT NO CARGADO")</f>
        <v>-</v>
      </c>
      <c r="H204" s="277"/>
      <c r="I204" s="278"/>
      <c r="J204" s="279"/>
      <c r="K204" s="279"/>
      <c r="L204" s="279">
        <f>SUM(ventas_b_mes11[[#This Row],[IMPORTE NETO]:[EXENTO]])</f>
        <v>0</v>
      </c>
      <c r="M204" s="280"/>
    </row>
    <row r="205" spans="2:13" x14ac:dyDescent="0.25">
      <c r="B205" s="271"/>
      <c r="C205" s="41"/>
      <c r="D205" s="273"/>
      <c r="E205" s="274"/>
      <c r="F205" s="275"/>
      <c r="G205" s="276" t="str">
        <f>IFERROR(IF(ventas_b_mes11[[#This Row],[CUIT]]="","-",VLOOKUP(ventas_b_mes11[[#This Row],[CUIT]],Lista_CUIT[#All],2,0)),"CUIT NO CARGADO")</f>
        <v>-</v>
      </c>
      <c r="H205" s="277"/>
      <c r="I205" s="278"/>
      <c r="J205" s="279"/>
      <c r="K205" s="279"/>
      <c r="L205" s="279">
        <f>SUM(ventas_b_mes11[[#This Row],[IMPORTE NETO]:[EXENTO]])</f>
        <v>0</v>
      </c>
      <c r="M205" s="280"/>
    </row>
    <row r="206" spans="2:13" x14ac:dyDescent="0.25">
      <c r="B206" s="271"/>
      <c r="C206" s="41"/>
      <c r="D206" s="273"/>
      <c r="E206" s="274"/>
      <c r="F206" s="275"/>
      <c r="G206" s="276" t="str">
        <f>IFERROR(IF(ventas_b_mes11[[#This Row],[CUIT]]="","-",VLOOKUP(ventas_b_mes11[[#This Row],[CUIT]],Lista_CUIT[#All],2,0)),"CUIT NO CARGADO")</f>
        <v>-</v>
      </c>
      <c r="H206" s="277"/>
      <c r="I206" s="278"/>
      <c r="J206" s="279"/>
      <c r="K206" s="279"/>
      <c r="L206" s="279">
        <f>SUM(ventas_b_mes11[[#This Row],[IMPORTE NETO]:[EXENTO]])</f>
        <v>0</v>
      </c>
      <c r="M206" s="280"/>
    </row>
    <row r="207" spans="2:13" x14ac:dyDescent="0.25">
      <c r="B207" s="271"/>
      <c r="C207" s="41"/>
      <c r="D207" s="273"/>
      <c r="E207" s="274"/>
      <c r="F207" s="275"/>
      <c r="G207" s="276" t="str">
        <f>IFERROR(IF(ventas_b_mes11[[#This Row],[CUIT]]="","-",VLOOKUP(ventas_b_mes11[[#This Row],[CUIT]],Lista_CUIT[#All],2,0)),"CUIT NO CARGADO")</f>
        <v>-</v>
      </c>
      <c r="H207" s="277"/>
      <c r="I207" s="278"/>
      <c r="J207" s="279"/>
      <c r="K207" s="279"/>
      <c r="L207" s="279">
        <f>SUM(ventas_b_mes11[[#This Row],[IMPORTE NETO]:[EXENTO]])</f>
        <v>0</v>
      </c>
      <c r="M207" s="280"/>
    </row>
    <row r="208" spans="2:13" x14ac:dyDescent="0.25">
      <c r="B208" s="271"/>
      <c r="C208" s="41"/>
      <c r="D208" s="273"/>
      <c r="E208" s="274"/>
      <c r="F208" s="275"/>
      <c r="G208" s="276" t="str">
        <f>IFERROR(IF(ventas_b_mes11[[#This Row],[CUIT]]="","-",VLOOKUP(ventas_b_mes11[[#This Row],[CUIT]],Lista_CUIT[#All],2,0)),"CUIT NO CARGADO")</f>
        <v>-</v>
      </c>
      <c r="H208" s="277"/>
      <c r="I208" s="278"/>
      <c r="J208" s="279"/>
      <c r="K208" s="279"/>
      <c r="L208" s="279">
        <f>SUM(ventas_b_mes11[[#This Row],[IMPORTE NETO]:[EXENTO]])</f>
        <v>0</v>
      </c>
      <c r="M208" s="280"/>
    </row>
    <row r="209" spans="2:13" x14ac:dyDescent="0.25">
      <c r="B209" s="271"/>
      <c r="C209" s="41"/>
      <c r="D209" s="273"/>
      <c r="E209" s="274"/>
      <c r="F209" s="275"/>
      <c r="G209" s="276" t="str">
        <f>IFERROR(IF(ventas_b_mes11[[#This Row],[CUIT]]="","-",VLOOKUP(ventas_b_mes11[[#This Row],[CUIT]],Lista_CUIT[#All],2,0)),"CUIT NO CARGADO")</f>
        <v>-</v>
      </c>
      <c r="H209" s="277"/>
      <c r="I209" s="278"/>
      <c r="J209" s="279"/>
      <c r="K209" s="279"/>
      <c r="L209" s="279">
        <f>SUM(ventas_b_mes11[[#This Row],[IMPORTE NETO]:[EXENTO]])</f>
        <v>0</v>
      </c>
      <c r="M209" s="280"/>
    </row>
    <row r="210" spans="2:13" x14ac:dyDescent="0.25">
      <c r="B210" s="271"/>
      <c r="C210" s="41"/>
      <c r="D210" s="273"/>
      <c r="E210" s="274"/>
      <c r="F210" s="275"/>
      <c r="G210" s="276" t="str">
        <f>IFERROR(IF(ventas_b_mes11[[#This Row],[CUIT]]="","-",VLOOKUP(ventas_b_mes11[[#This Row],[CUIT]],Lista_CUIT[#All],2,0)),"CUIT NO CARGADO")</f>
        <v>-</v>
      </c>
      <c r="H210" s="277"/>
      <c r="I210" s="278"/>
      <c r="J210" s="279"/>
      <c r="K210" s="279"/>
      <c r="L210" s="279">
        <f>SUM(ventas_b_mes11[[#This Row],[IMPORTE NETO]:[EXENTO]])</f>
        <v>0</v>
      </c>
      <c r="M210" s="280"/>
    </row>
    <row r="211" spans="2:13" x14ac:dyDescent="0.25">
      <c r="B211" s="271"/>
      <c r="C211" s="41"/>
      <c r="D211" s="273"/>
      <c r="E211" s="274"/>
      <c r="F211" s="275"/>
      <c r="G211" s="276" t="str">
        <f>IFERROR(IF(ventas_b_mes11[[#This Row],[CUIT]]="","-",VLOOKUP(ventas_b_mes11[[#This Row],[CUIT]],Lista_CUIT[#All],2,0)),"CUIT NO CARGADO")</f>
        <v>-</v>
      </c>
      <c r="H211" s="277"/>
      <c r="I211" s="278"/>
      <c r="J211" s="279"/>
      <c r="K211" s="279"/>
      <c r="L211" s="279">
        <f>SUM(ventas_b_mes11[[#This Row],[IMPORTE NETO]:[EXENTO]])</f>
        <v>0</v>
      </c>
      <c r="M211" s="280"/>
    </row>
    <row r="212" spans="2:13" x14ac:dyDescent="0.25">
      <c r="B212" s="271"/>
      <c r="C212" s="41"/>
      <c r="D212" s="273"/>
      <c r="E212" s="274"/>
      <c r="F212" s="275"/>
      <c r="G212" s="276" t="str">
        <f>IFERROR(IF(ventas_b_mes11[[#This Row],[CUIT]]="","-",VLOOKUP(ventas_b_mes11[[#This Row],[CUIT]],Lista_CUIT[#All],2,0)),"CUIT NO CARGADO")</f>
        <v>-</v>
      </c>
      <c r="H212" s="277"/>
      <c r="I212" s="278"/>
      <c r="J212" s="279"/>
      <c r="K212" s="279"/>
      <c r="L212" s="279">
        <f>SUM(ventas_b_mes11[[#This Row],[IMPORTE NETO]:[EXENTO]])</f>
        <v>0</v>
      </c>
      <c r="M212" s="280"/>
    </row>
    <row r="213" spans="2:13" x14ac:dyDescent="0.25">
      <c r="B213" s="271"/>
      <c r="C213" s="41"/>
      <c r="D213" s="273"/>
      <c r="E213" s="274"/>
      <c r="F213" s="275"/>
      <c r="G213" s="276" t="str">
        <f>IFERROR(IF(ventas_b_mes11[[#This Row],[CUIT]]="","-",VLOOKUP(ventas_b_mes11[[#This Row],[CUIT]],Lista_CUIT[#All],2,0)),"CUIT NO CARGADO")</f>
        <v>-</v>
      </c>
      <c r="H213" s="277"/>
      <c r="I213" s="278"/>
      <c r="J213" s="279"/>
      <c r="K213" s="279"/>
      <c r="L213" s="279">
        <f>SUM(ventas_b_mes11[[#This Row],[IMPORTE NETO]:[EXENTO]])</f>
        <v>0</v>
      </c>
      <c r="M213" s="280"/>
    </row>
    <row r="214" spans="2:13" x14ac:dyDescent="0.25">
      <c r="B214" s="40"/>
      <c r="C214" s="41"/>
      <c r="D214" s="42"/>
      <c r="E214" s="43"/>
      <c r="F214" s="44"/>
      <c r="G214" s="1"/>
      <c r="H214" s="64"/>
      <c r="I214" s="64"/>
      <c r="J214" s="64"/>
      <c r="K214" s="64"/>
      <c r="L214" s="64">
        <f>SUM(ventas_b_mes11[[#This Row],[IMPORTE NETO]:[EXENTO]])</f>
        <v>0</v>
      </c>
      <c r="M214" s="59"/>
    </row>
    <row r="215" spans="2:13" x14ac:dyDescent="0.25">
      <c r="B215" s="40"/>
      <c r="C215" s="41"/>
      <c r="D215" s="42"/>
      <c r="E215" s="43"/>
      <c r="F215" s="44"/>
      <c r="G215" s="1"/>
      <c r="H215" s="64"/>
      <c r="I215" s="64"/>
      <c r="J215" s="64"/>
      <c r="K215" s="64"/>
      <c r="L215" s="64">
        <f>SUM(ventas_b_mes11[[#This Row],[IMPORTE NETO]:[EXENTO]])</f>
        <v>0</v>
      </c>
      <c r="M215" s="59"/>
    </row>
    <row r="216" spans="2:13" x14ac:dyDescent="0.25">
      <c r="B216" s="40"/>
      <c r="C216" s="41"/>
      <c r="D216" s="42"/>
      <c r="E216" s="43"/>
      <c r="F216" s="44"/>
      <c r="G216" s="1"/>
      <c r="H216" s="64"/>
      <c r="I216" s="64"/>
      <c r="J216" s="64"/>
      <c r="K216" s="64"/>
      <c r="L216" s="64">
        <f>SUM(ventas_b_mes11[[#This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1"/>
      <c r="H217" s="64"/>
      <c r="I217" s="64"/>
      <c r="J217" s="64"/>
      <c r="K217" s="64"/>
      <c r="L217" s="64">
        <f>SUM(ventas_b_mes11[[#This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1"/>
      <c r="H218" s="64"/>
      <c r="I218" s="64"/>
      <c r="J218" s="64"/>
      <c r="K218" s="64"/>
      <c r="L218" s="64">
        <f>SUM(ventas_b_mes11[[#This Row],[IMPORTE NETO]:[EXENTO]])</f>
        <v>0</v>
      </c>
      <c r="M218" s="59"/>
    </row>
    <row r="219" spans="2:13" x14ac:dyDescent="0.25">
      <c r="B219" s="271"/>
      <c r="C219" s="41"/>
      <c r="D219" s="273"/>
      <c r="E219" s="274"/>
      <c r="F219" s="275"/>
      <c r="G219" s="276" t="str">
        <f>IFERROR(IF(ventas_b_mes11[[#This Row],[CUIT]]="","-",VLOOKUP(ventas_b_mes11[[#This Row],[CUIT]],Lista_CUIT[#All],2,0)),"CUIT NO CARGADO")</f>
        <v>-</v>
      </c>
      <c r="H219" s="277"/>
      <c r="I219" s="278"/>
      <c r="J219" s="279"/>
      <c r="K219" s="279"/>
      <c r="L219" s="279">
        <f>SUM(ventas_b_mes11[[#This Row],[IMPORTE NETO]:[EXENTO]])</f>
        <v>0</v>
      </c>
      <c r="M219" s="280"/>
    </row>
    <row r="220" spans="2:13" x14ac:dyDescent="0.25">
      <c r="B220" s="271"/>
      <c r="C220" s="41"/>
      <c r="D220" s="273"/>
      <c r="E220" s="274"/>
      <c r="F220" s="275"/>
      <c r="G220" s="276" t="str">
        <f>IFERROR(IF(ventas_b_mes11[[#This Row],[CUIT]]="","-",VLOOKUP(ventas_b_mes11[[#This Row],[CUIT]],Lista_CUIT[#All],2,0)),"CUIT NO CARGADO")</f>
        <v>-</v>
      </c>
      <c r="H220" s="277"/>
      <c r="I220" s="278"/>
      <c r="J220" s="279"/>
      <c r="K220" s="279"/>
      <c r="L220" s="279">
        <f>SUM(ventas_b_mes11[[#This Row],[IMPORTE NETO]:[EXENTO]])</f>
        <v>0</v>
      </c>
      <c r="M220" s="280"/>
    </row>
    <row r="221" spans="2:13" x14ac:dyDescent="0.25">
      <c r="B221" s="271"/>
      <c r="C221" s="41"/>
      <c r="D221" s="273"/>
      <c r="E221" s="274"/>
      <c r="F221" s="275"/>
      <c r="G221" s="276" t="str">
        <f>IFERROR(IF(ventas_b_mes11[[#This Row],[CUIT]]="","-",VLOOKUP(ventas_b_mes11[[#This Row],[CUIT]],Lista_CUIT[#All],2,0)),"CUIT NO CARGADO")</f>
        <v>-</v>
      </c>
      <c r="H221" s="277"/>
      <c r="I221" s="278"/>
      <c r="J221" s="279"/>
      <c r="K221" s="279"/>
      <c r="L221" s="279">
        <f>SUM(ventas_b_mes11[[#This Row],[IMPORTE NETO]:[EXENTO]])</f>
        <v>0</v>
      </c>
      <c r="M221" s="280"/>
    </row>
    <row r="222" spans="2:13" x14ac:dyDescent="0.25">
      <c r="B222" s="271"/>
      <c r="C222" s="41"/>
      <c r="D222" s="273"/>
      <c r="E222" s="274"/>
      <c r="F222" s="275"/>
      <c r="G222" s="276" t="str">
        <f>IFERROR(IF(ventas_b_mes11[[#This Row],[CUIT]]="","-",VLOOKUP(ventas_b_mes11[[#This Row],[CUIT]],Lista_CUIT[#All],2,0)),"CUIT NO CARGADO")</f>
        <v>-</v>
      </c>
      <c r="H222" s="277"/>
      <c r="I222" s="278"/>
      <c r="J222" s="279"/>
      <c r="K222" s="279"/>
      <c r="L222" s="279">
        <f>SUM(ventas_b_mes11[[#This Row],[IMPORTE NETO]:[EXENTO]])</f>
        <v>0</v>
      </c>
      <c r="M222" s="280"/>
    </row>
    <row r="223" spans="2:13" x14ac:dyDescent="0.25">
      <c r="B223" s="271"/>
      <c r="C223" s="41"/>
      <c r="D223" s="273"/>
      <c r="E223" s="274"/>
      <c r="F223" s="275"/>
      <c r="G223" s="276" t="str">
        <f>IFERROR(IF(ventas_b_mes11[[#This Row],[CUIT]]="","-",VLOOKUP(ventas_b_mes11[[#This Row],[CUIT]],Lista_CUIT[#All],2,0)),"CUIT NO CARGADO")</f>
        <v>-</v>
      </c>
      <c r="H223" s="277"/>
      <c r="I223" s="278"/>
      <c r="J223" s="279"/>
      <c r="K223" s="279"/>
      <c r="L223" s="279">
        <f>SUM(ventas_b_mes11[[#This Row],[IMPORTE NETO]:[EXENTO]])</f>
        <v>0</v>
      </c>
      <c r="M223" s="280"/>
    </row>
    <row r="224" spans="2:13" x14ac:dyDescent="0.25">
      <c r="B224" s="271"/>
      <c r="C224" s="41"/>
      <c r="D224" s="273"/>
      <c r="E224" s="274"/>
      <c r="F224" s="275"/>
      <c r="G224" s="276" t="str">
        <f>IFERROR(IF(ventas_b_mes11[[#This Row],[CUIT]]="","-",VLOOKUP(ventas_b_mes11[[#This Row],[CUIT]],Lista_CUIT[#All],2,0)),"CUIT NO CARGADO")</f>
        <v>-</v>
      </c>
      <c r="H224" s="277"/>
      <c r="I224" s="278"/>
      <c r="J224" s="279"/>
      <c r="K224" s="279"/>
      <c r="L224" s="279">
        <f>SUM(ventas_b_mes11[[#This Row],[IMPORTE NETO]:[EXENTO]])</f>
        <v>0</v>
      </c>
      <c r="M224" s="280"/>
    </row>
    <row r="225" spans="2:13" x14ac:dyDescent="0.25">
      <c r="B225" s="271"/>
      <c r="C225" s="41"/>
      <c r="D225" s="273"/>
      <c r="E225" s="274"/>
      <c r="F225" s="275"/>
      <c r="G225" s="276" t="str">
        <f>IFERROR(IF(ventas_b_mes11[[#This Row],[CUIT]]="","-",VLOOKUP(ventas_b_mes11[[#This Row],[CUIT]],Lista_CUIT[#All],2,0)),"CUIT NO CARGADO")</f>
        <v>-</v>
      </c>
      <c r="H225" s="277"/>
      <c r="I225" s="278"/>
      <c r="J225" s="279"/>
      <c r="K225" s="279"/>
      <c r="L225" s="279">
        <f>SUM(ventas_b_mes11[[#This Row],[IMPORTE NETO]:[EXENTO]])</f>
        <v>0</v>
      </c>
      <c r="M225" s="280"/>
    </row>
    <row r="226" spans="2:13" x14ac:dyDescent="0.25">
      <c r="B226" s="271"/>
      <c r="C226" s="41"/>
      <c r="D226" s="273"/>
      <c r="E226" s="274"/>
      <c r="F226" s="275"/>
      <c r="G226" s="276" t="str">
        <f>IFERROR(IF(ventas_b_mes11[[#This Row],[CUIT]]="","-",VLOOKUP(ventas_b_mes11[[#This Row],[CUIT]],Lista_CUIT[#All],2,0)),"CUIT NO CARGADO")</f>
        <v>-</v>
      </c>
      <c r="H226" s="277"/>
      <c r="I226" s="278"/>
      <c r="J226" s="279"/>
      <c r="K226" s="279"/>
      <c r="L226" s="279">
        <f>SUM(ventas_b_mes11[[#This Row],[IMPORTE NETO]:[EXENTO]])</f>
        <v>0</v>
      </c>
      <c r="M226" s="280"/>
    </row>
    <row r="227" spans="2:13" x14ac:dyDescent="0.25">
      <c r="B227" s="271"/>
      <c r="C227" s="41"/>
      <c r="D227" s="273"/>
      <c r="E227" s="274"/>
      <c r="F227" s="275"/>
      <c r="G227" s="276" t="str">
        <f>IFERROR(IF(ventas_b_mes11[[#This Row],[CUIT]]="","-",VLOOKUP(ventas_b_mes11[[#This Row],[CUIT]],Lista_CUIT[#All],2,0)),"CUIT NO CARGADO")</f>
        <v>-</v>
      </c>
      <c r="H227" s="277"/>
      <c r="I227" s="278"/>
      <c r="J227" s="279"/>
      <c r="K227" s="279"/>
      <c r="L227" s="279">
        <f>SUM(ventas_b_mes11[[#This Row],[IMPORTE NETO]:[EXENTO]])</f>
        <v>0</v>
      </c>
      <c r="M227" s="280"/>
    </row>
    <row r="228" spans="2:13" x14ac:dyDescent="0.25">
      <c r="B228" s="271"/>
      <c r="C228" s="41"/>
      <c r="D228" s="273"/>
      <c r="E228" s="274"/>
      <c r="F228" s="275"/>
      <c r="G228" s="276" t="str">
        <f>IFERROR(IF(ventas_b_mes11[[#This Row],[CUIT]]="","-",VLOOKUP(ventas_b_mes11[[#This Row],[CUIT]],Lista_CUIT[#All],2,0)),"CUIT NO CARGADO")</f>
        <v>-</v>
      </c>
      <c r="H228" s="277"/>
      <c r="I228" s="278"/>
      <c r="J228" s="279"/>
      <c r="K228" s="279"/>
      <c r="L228" s="279">
        <f>SUM(ventas_b_mes11[[#This Row],[IMPORTE NETO]:[EXENTO]])</f>
        <v>0</v>
      </c>
      <c r="M228" s="280"/>
    </row>
    <row r="229" spans="2:13" x14ac:dyDescent="0.25">
      <c r="B229" s="271"/>
      <c r="C229" s="41"/>
      <c r="D229" s="273"/>
      <c r="E229" s="274"/>
      <c r="F229" s="275"/>
      <c r="G229" s="276" t="str">
        <f>IFERROR(IF(ventas_b_mes11[[#This Row],[CUIT]]="","-",VLOOKUP(ventas_b_mes11[[#This Row],[CUIT]],Lista_CUIT[#All],2,0)),"CUIT NO CARGADO")</f>
        <v>-</v>
      </c>
      <c r="H229" s="277"/>
      <c r="I229" s="278"/>
      <c r="J229" s="279"/>
      <c r="K229" s="279"/>
      <c r="L229" s="279">
        <f>SUM(ventas_b_mes11[[#This Row],[IMPORTE NETO]:[EXENTO]])</f>
        <v>0</v>
      </c>
      <c r="M229" s="280"/>
    </row>
    <row r="230" spans="2:13" x14ac:dyDescent="0.25">
      <c r="B230" s="271"/>
      <c r="C230" s="41"/>
      <c r="D230" s="273"/>
      <c r="E230" s="274"/>
      <c r="F230" s="275"/>
      <c r="G230" s="276" t="str">
        <f>IFERROR(IF(ventas_b_mes11[[#This Row],[CUIT]]="","-",VLOOKUP(ventas_b_mes11[[#This Row],[CUIT]],Lista_CUIT[#All],2,0)),"CUIT NO CARGADO")</f>
        <v>-</v>
      </c>
      <c r="H230" s="277"/>
      <c r="I230" s="278"/>
      <c r="J230" s="279"/>
      <c r="K230" s="279"/>
      <c r="L230" s="279">
        <f>SUM(ventas_b_mes11[[#This Row],[IMPORTE NETO]:[EXENTO]])</f>
        <v>0</v>
      </c>
      <c r="M230" s="280"/>
    </row>
    <row r="231" spans="2:13" x14ac:dyDescent="0.25">
      <c r="B231" s="271"/>
      <c r="C231" s="41"/>
      <c r="D231" s="273"/>
      <c r="E231" s="274"/>
      <c r="F231" s="275"/>
      <c r="G231" s="276" t="str">
        <f>IFERROR(IF(ventas_b_mes11[[#This Row],[CUIT]]="","-",VLOOKUP(ventas_b_mes11[[#This Row],[CUIT]],Lista_CUIT[#All],2,0)),"CUIT NO CARGADO")</f>
        <v>-</v>
      </c>
      <c r="H231" s="277"/>
      <c r="I231" s="278"/>
      <c r="J231" s="279"/>
      <c r="K231" s="279"/>
      <c r="L231" s="279">
        <f>SUM(ventas_b_mes11[[#This Row],[IMPORTE NETO]:[EXENTO]])</f>
        <v>0</v>
      </c>
      <c r="M231" s="280"/>
    </row>
    <row r="232" spans="2:13" x14ac:dyDescent="0.25">
      <c r="B232" s="271"/>
      <c r="C232" s="41"/>
      <c r="D232" s="273"/>
      <c r="E232" s="274"/>
      <c r="F232" s="275"/>
      <c r="G232" s="276" t="str">
        <f>IFERROR(IF(ventas_b_mes11[[#This Row],[CUIT]]="","-",VLOOKUP(ventas_b_mes11[[#This Row],[CUIT]],Lista_CUIT[#All],2,0)),"CUIT NO CARGADO")</f>
        <v>-</v>
      </c>
      <c r="H232" s="277"/>
      <c r="I232" s="278"/>
      <c r="J232" s="279"/>
      <c r="K232" s="279"/>
      <c r="L232" s="279">
        <f>SUM(ventas_b_mes11[[#This Row],[IMPORTE NETO]:[EXENTO]])</f>
        <v>0</v>
      </c>
      <c r="M232" s="280"/>
    </row>
    <row r="233" spans="2:13" x14ac:dyDescent="0.25">
      <c r="B233" s="271"/>
      <c r="C233" s="41"/>
      <c r="D233" s="273"/>
      <c r="E233" s="274"/>
      <c r="F233" s="275"/>
      <c r="G233" s="276" t="str">
        <f>IFERROR(IF(ventas_b_mes11[[#This Row],[CUIT]]="","-",VLOOKUP(ventas_b_mes11[[#This Row],[CUIT]],Lista_CUIT[#All],2,0)),"CUIT NO CARGADO")</f>
        <v>-</v>
      </c>
      <c r="H233" s="277"/>
      <c r="I233" s="278"/>
      <c r="J233" s="279"/>
      <c r="K233" s="279"/>
      <c r="L233" s="279">
        <f>SUM(ventas_b_mes11[[#This Row],[IMPORTE NETO]:[EXENTO]])</f>
        <v>0</v>
      </c>
      <c r="M233" s="280"/>
    </row>
    <row r="234" spans="2:13" x14ac:dyDescent="0.25">
      <c r="B234" s="271"/>
      <c r="C234" s="41"/>
      <c r="D234" s="273"/>
      <c r="E234" s="274"/>
      <c r="F234" s="275"/>
      <c r="G234" s="276" t="str">
        <f>IFERROR(IF(ventas_b_mes11[[#This Row],[CUIT]]="","-",VLOOKUP(ventas_b_mes11[[#This Row],[CUIT]],Lista_CUIT[#All],2,0)),"CUIT NO CARGADO")</f>
        <v>-</v>
      </c>
      <c r="H234" s="277"/>
      <c r="I234" s="278"/>
      <c r="J234" s="279"/>
      <c r="K234" s="279"/>
      <c r="L234" s="279">
        <f>SUM(ventas_b_mes11[[#This Row],[IMPORTE NETO]:[EXENTO]])</f>
        <v>0</v>
      </c>
      <c r="M234" s="280"/>
    </row>
    <row r="235" spans="2:13" x14ac:dyDescent="0.25">
      <c r="B235" s="271"/>
      <c r="C235" s="41"/>
      <c r="D235" s="273"/>
      <c r="E235" s="274"/>
      <c r="F235" s="275"/>
      <c r="G235" s="276" t="str">
        <f>IFERROR(IF(ventas_b_mes11[[#This Row],[CUIT]]="","-",VLOOKUP(ventas_b_mes11[[#This Row],[CUIT]],Lista_CUIT[#All],2,0)),"CUIT NO CARGADO")</f>
        <v>-</v>
      </c>
      <c r="H235" s="277"/>
      <c r="I235" s="278"/>
      <c r="J235" s="279"/>
      <c r="K235" s="279"/>
      <c r="L235" s="279">
        <f>SUM(ventas_b_mes11[[#This Row],[IMPORTE NETO]:[EXENTO]])</f>
        <v>0</v>
      </c>
      <c r="M235" s="280"/>
    </row>
    <row r="236" spans="2:13" x14ac:dyDescent="0.25">
      <c r="B236" s="271"/>
      <c r="C236" s="41"/>
      <c r="D236" s="273"/>
      <c r="E236" s="274"/>
      <c r="F236" s="275"/>
      <c r="G236" s="276" t="str">
        <f>IFERROR(IF(ventas_b_mes11[[#This Row],[CUIT]]="","-",VLOOKUP(ventas_b_mes11[[#This Row],[CUIT]],Lista_CUIT[#All],2,0)),"CUIT NO CARGADO")</f>
        <v>-</v>
      </c>
      <c r="H236" s="277"/>
      <c r="I236" s="278"/>
      <c r="J236" s="279"/>
      <c r="K236" s="279"/>
      <c r="L236" s="279">
        <f>SUM(ventas_b_mes11[[#This Row],[IMPORTE NETO]:[EXENTO]])</f>
        <v>0</v>
      </c>
      <c r="M236" s="280"/>
    </row>
    <row r="237" spans="2:13" x14ac:dyDescent="0.25">
      <c r="B237" s="271"/>
      <c r="C237" s="41"/>
      <c r="D237" s="273"/>
      <c r="E237" s="274"/>
      <c r="F237" s="275"/>
      <c r="G237" s="276" t="str">
        <f>IFERROR(IF(ventas_b_mes11[[#This Row],[CUIT]]="","-",VLOOKUP(ventas_b_mes11[[#This Row],[CUIT]],Lista_CUIT[#All],2,0)),"CUIT NO CARGADO")</f>
        <v>-</v>
      </c>
      <c r="H237" s="277"/>
      <c r="I237" s="278"/>
      <c r="J237" s="279"/>
      <c r="K237" s="279"/>
      <c r="L237" s="279">
        <f>SUM(ventas_b_mes11[[#This Row],[IMPORTE NETO]:[EXENTO]])</f>
        <v>0</v>
      </c>
      <c r="M237" s="280"/>
    </row>
    <row r="238" spans="2:13" x14ac:dyDescent="0.25">
      <c r="B238" s="271"/>
      <c r="C238" s="41"/>
      <c r="D238" s="273"/>
      <c r="E238" s="274"/>
      <c r="F238" s="275"/>
      <c r="G238" s="276" t="str">
        <f>IFERROR(IF(ventas_b_mes11[[#This Row],[CUIT]]="","-",VLOOKUP(ventas_b_mes11[[#This Row],[CUIT]],Lista_CUIT[#All],2,0)),"CUIT NO CARGADO")</f>
        <v>-</v>
      </c>
      <c r="H238" s="277"/>
      <c r="I238" s="278"/>
      <c r="J238" s="279"/>
      <c r="K238" s="279"/>
      <c r="L238" s="279">
        <f>SUM(ventas_b_mes11[[#This Row],[IMPORTE NETO]:[EXENTO]])</f>
        <v>0</v>
      </c>
      <c r="M238" s="280"/>
    </row>
    <row r="239" spans="2:13" x14ac:dyDescent="0.25">
      <c r="B239" s="271"/>
      <c r="C239" s="41"/>
      <c r="D239" s="273"/>
      <c r="E239" s="274"/>
      <c r="F239" s="275"/>
      <c r="G239" s="276" t="str">
        <f>IFERROR(IF(ventas_b_mes11[[#This Row],[CUIT]]="","-",VLOOKUP(ventas_b_mes11[[#This Row],[CUIT]],Lista_CUIT[#All],2,0)),"CUIT NO CARGADO")</f>
        <v>-</v>
      </c>
      <c r="H239" s="277"/>
      <c r="I239" s="278"/>
      <c r="J239" s="279"/>
      <c r="K239" s="279"/>
      <c r="L239" s="279">
        <f>SUM(ventas_b_mes11[[#This Row],[IMPORTE NETO]:[EXENTO]])</f>
        <v>0</v>
      </c>
      <c r="M239" s="280"/>
    </row>
    <row r="240" spans="2:13" x14ac:dyDescent="0.25">
      <c r="B240" s="271"/>
      <c r="C240" s="41"/>
      <c r="D240" s="273"/>
      <c r="E240" s="274"/>
      <c r="F240" s="275"/>
      <c r="G240" s="276" t="str">
        <f>IFERROR(IF(ventas_b_mes11[[#This Row],[CUIT]]="","-",VLOOKUP(ventas_b_mes11[[#This Row],[CUIT]],Lista_CUIT[#All],2,0)),"CUIT NO CARGADO")</f>
        <v>-</v>
      </c>
      <c r="H240" s="277"/>
      <c r="I240" s="278"/>
      <c r="J240" s="279"/>
      <c r="K240" s="279"/>
      <c r="L240" s="279">
        <f>SUM(ventas_b_mes11[[#This Row],[IMPORTE NETO]:[EXENTO]])</f>
        <v>0</v>
      </c>
      <c r="M240" s="280"/>
    </row>
    <row r="241" spans="2:13" x14ac:dyDescent="0.25">
      <c r="B241" s="271"/>
      <c r="C241" s="41"/>
      <c r="D241" s="273"/>
      <c r="E241" s="274"/>
      <c r="F241" s="275"/>
      <c r="G241" s="276" t="str">
        <f>IFERROR(IF(ventas_b_mes11[[#This Row],[CUIT]]="","-",VLOOKUP(ventas_b_mes11[[#This Row],[CUIT]],Lista_CUIT[#All],2,0)),"CUIT NO CARGADO")</f>
        <v>-</v>
      </c>
      <c r="H241" s="277"/>
      <c r="I241" s="278"/>
      <c r="J241" s="279"/>
      <c r="K241" s="279"/>
      <c r="L241" s="279">
        <f>SUM(ventas_b_mes11[[#This Row],[IMPORTE NETO]:[EXENTO]])</f>
        <v>0</v>
      </c>
      <c r="M241" s="280"/>
    </row>
    <row r="242" spans="2:13" x14ac:dyDescent="0.25">
      <c r="B242" s="271"/>
      <c r="C242" s="41"/>
      <c r="D242" s="273"/>
      <c r="E242" s="274"/>
      <c r="F242" s="275"/>
      <c r="G242" s="276" t="str">
        <f>IFERROR(IF(ventas_b_mes11[[#This Row],[CUIT]]="","-",VLOOKUP(ventas_b_mes11[[#This Row],[CUIT]],Lista_CUIT[#All],2,0)),"CUIT NO CARGADO")</f>
        <v>-</v>
      </c>
      <c r="H242" s="277"/>
      <c r="I242" s="278"/>
      <c r="J242" s="279"/>
      <c r="K242" s="279"/>
      <c r="L242" s="279">
        <f>SUM(ventas_b_mes11[[#This Row],[IMPORTE NETO]:[EXENTO]])</f>
        <v>0</v>
      </c>
      <c r="M242" s="280"/>
    </row>
    <row r="243" spans="2:13" x14ac:dyDescent="0.25">
      <c r="B243" s="271"/>
      <c r="C243" s="41"/>
      <c r="D243" s="273"/>
      <c r="E243" s="274"/>
      <c r="F243" s="275"/>
      <c r="G243" s="276" t="str">
        <f>IFERROR(IF(ventas_b_mes11[[#This Row],[CUIT]]="","-",VLOOKUP(ventas_b_mes11[[#This Row],[CUIT]],Lista_CUIT[#All],2,0)),"CUIT NO CARGADO")</f>
        <v>-</v>
      </c>
      <c r="H243" s="277"/>
      <c r="I243" s="278"/>
      <c r="J243" s="279"/>
      <c r="K243" s="279"/>
      <c r="L243" s="279">
        <f>SUM(ventas_b_mes11[[#This Row],[IMPORTE NETO]:[EXENTO]])</f>
        <v>0</v>
      </c>
      <c r="M243" s="280"/>
    </row>
    <row r="244" spans="2:13" x14ac:dyDescent="0.25">
      <c r="B244" s="271"/>
      <c r="C244" s="41"/>
      <c r="D244" s="273"/>
      <c r="E244" s="274"/>
      <c r="F244" s="275"/>
      <c r="G244" s="276" t="str">
        <f>IFERROR(IF(ventas_b_mes11[[#This Row],[CUIT]]="","-",VLOOKUP(ventas_b_mes11[[#This Row],[CUIT]],Lista_CUIT[#All],2,0)),"CUIT NO CARGADO")</f>
        <v>-</v>
      </c>
      <c r="H244" s="277"/>
      <c r="I244" s="278"/>
      <c r="J244" s="279"/>
      <c r="K244" s="279"/>
      <c r="L244" s="279">
        <f>SUM(ventas_b_mes11[[#This Row],[IMPORTE NETO]:[EXENTO]])</f>
        <v>0</v>
      </c>
      <c r="M244" s="280"/>
    </row>
    <row r="245" spans="2:13" x14ac:dyDescent="0.25">
      <c r="B245" s="271"/>
      <c r="C245" s="41"/>
      <c r="D245" s="273"/>
      <c r="E245" s="274"/>
      <c r="F245" s="275"/>
      <c r="G245" s="276" t="str">
        <f>IFERROR(IF(ventas_b_mes11[[#This Row],[CUIT]]="","-",VLOOKUP(ventas_b_mes11[[#This Row],[CUIT]],Lista_CUIT[#All],2,0)),"CUIT NO CARGADO")</f>
        <v>-</v>
      </c>
      <c r="H245" s="277"/>
      <c r="I245" s="278"/>
      <c r="J245" s="279"/>
      <c r="K245" s="279"/>
      <c r="L245" s="279">
        <f>SUM(ventas_b_mes11[[#This Row],[IMPORTE NETO]:[EXENTO]])</f>
        <v>0</v>
      </c>
      <c r="M245" s="280"/>
    </row>
    <row r="246" spans="2:13" x14ac:dyDescent="0.25">
      <c r="B246" s="271"/>
      <c r="C246" s="41"/>
      <c r="D246" s="273"/>
      <c r="E246" s="274"/>
      <c r="F246" s="275"/>
      <c r="G246" s="276" t="str">
        <f>IFERROR(IF(ventas_b_mes11[[#This Row],[CUIT]]="","-",VLOOKUP(ventas_b_mes11[[#This Row],[CUIT]],Lista_CUIT[#All],2,0)),"CUIT NO CARGADO")</f>
        <v>-</v>
      </c>
      <c r="H246" s="277"/>
      <c r="I246" s="278"/>
      <c r="J246" s="279"/>
      <c r="K246" s="279"/>
      <c r="L246" s="279">
        <f>SUM(ventas_b_mes11[[#This Row],[IMPORTE NETO]:[EXENTO]])</f>
        <v>0</v>
      </c>
      <c r="M246" s="280"/>
    </row>
    <row r="247" spans="2:13" x14ac:dyDescent="0.25">
      <c r="B247" s="271"/>
      <c r="C247" s="41"/>
      <c r="D247" s="273"/>
      <c r="E247" s="274"/>
      <c r="F247" s="275"/>
      <c r="G247" s="276" t="str">
        <f>IFERROR(IF(ventas_b_mes11[[#This Row],[CUIT]]="","-",VLOOKUP(ventas_b_mes11[[#This Row],[CUIT]],Lista_CUIT[#All],2,0)),"CUIT NO CARGADO")</f>
        <v>-</v>
      </c>
      <c r="H247" s="277"/>
      <c r="I247" s="278"/>
      <c r="J247" s="279"/>
      <c r="K247" s="279"/>
      <c r="L247" s="279">
        <f>SUM(ventas_b_mes11[[#This Row],[IMPORTE NETO]:[EXENTO]])</f>
        <v>0</v>
      </c>
      <c r="M247" s="280"/>
    </row>
    <row r="248" spans="2:13" x14ac:dyDescent="0.25">
      <c r="B248" s="271"/>
      <c r="C248" s="41"/>
      <c r="D248" s="273"/>
      <c r="E248" s="274"/>
      <c r="F248" s="275"/>
      <c r="G248" s="276" t="str">
        <f>IFERROR(IF(ventas_b_mes11[[#This Row],[CUIT]]="","-",VLOOKUP(ventas_b_mes11[[#This Row],[CUIT]],Lista_CUIT[#All],2,0)),"CUIT NO CARGADO")</f>
        <v>-</v>
      </c>
      <c r="H248" s="277"/>
      <c r="I248" s="278"/>
      <c r="J248" s="279"/>
      <c r="K248" s="279"/>
      <c r="L248" s="279">
        <f>SUM(ventas_b_mes11[[#This Row],[IMPORTE NETO]:[EXENTO]])</f>
        <v>0</v>
      </c>
      <c r="M248" s="280"/>
    </row>
    <row r="249" spans="2:13" x14ac:dyDescent="0.25">
      <c r="B249" s="271"/>
      <c r="C249" s="41"/>
      <c r="D249" s="273"/>
      <c r="E249" s="274"/>
      <c r="F249" s="275"/>
      <c r="G249" s="276" t="str">
        <f>IFERROR(IF(ventas_b_mes11[[#This Row],[CUIT]]="","-",VLOOKUP(ventas_b_mes11[[#This Row],[CUIT]],Lista_CUIT[#All],2,0)),"CUIT NO CARGADO")</f>
        <v>-</v>
      </c>
      <c r="H249" s="277"/>
      <c r="I249" s="278"/>
      <c r="J249" s="279"/>
      <c r="K249" s="279"/>
      <c r="L249" s="279">
        <f>SUM(ventas_b_mes11[[#This Row],[IMPORTE NETO]:[EXENTO]])</f>
        <v>0</v>
      </c>
      <c r="M249" s="280"/>
    </row>
    <row r="250" spans="2:13" x14ac:dyDescent="0.25">
      <c r="B250" s="271"/>
      <c r="C250" s="41"/>
      <c r="D250" s="273"/>
      <c r="E250" s="274"/>
      <c r="F250" s="275"/>
      <c r="G250" s="276" t="str">
        <f>IFERROR(IF(ventas_b_mes11[[#This Row],[CUIT]]="","-",VLOOKUP(ventas_b_mes11[[#This Row],[CUIT]],Lista_CUIT[#All],2,0)),"CUIT NO CARGADO")</f>
        <v>-</v>
      </c>
      <c r="H250" s="277"/>
      <c r="I250" s="278"/>
      <c r="J250" s="279"/>
      <c r="K250" s="279"/>
      <c r="L250" s="279">
        <f>SUM(ventas_b_mes11[[#This Row],[IMPORTE NETO]:[EXENTO]])</f>
        <v>0</v>
      </c>
      <c r="M250" s="280"/>
    </row>
    <row r="251" spans="2:13" x14ac:dyDescent="0.25">
      <c r="B251" s="271"/>
      <c r="C251" s="41"/>
      <c r="D251" s="273"/>
      <c r="E251" s="274"/>
      <c r="F251" s="275"/>
      <c r="G251" s="276" t="str">
        <f>IFERROR(IF(ventas_b_mes11[[#This Row],[CUIT]]="","-",VLOOKUP(ventas_b_mes11[[#This Row],[CUIT]],Lista_CUIT[#All],2,0)),"CUIT NO CARGADO")</f>
        <v>-</v>
      </c>
      <c r="H251" s="277"/>
      <c r="I251" s="278"/>
      <c r="J251" s="279"/>
      <c r="K251" s="279"/>
      <c r="L251" s="279">
        <f>SUM(ventas_b_mes11[[#This Row],[IMPORTE NETO]:[EXENTO]])</f>
        <v>0</v>
      </c>
      <c r="M251" s="280"/>
    </row>
    <row r="252" spans="2:13" x14ac:dyDescent="0.25">
      <c r="B252" s="271"/>
      <c r="C252" s="41"/>
      <c r="D252" s="273"/>
      <c r="E252" s="274"/>
      <c r="F252" s="275"/>
      <c r="G252" s="276" t="str">
        <f>IFERROR(IF(ventas_b_mes11[[#This Row],[CUIT]]="","-",VLOOKUP(ventas_b_mes11[[#This Row],[CUIT]],Lista_CUIT[#All],2,0)),"CUIT NO CARGADO")</f>
        <v>-</v>
      </c>
      <c r="H252" s="277"/>
      <c r="I252" s="278"/>
      <c r="J252" s="279"/>
      <c r="K252" s="279"/>
      <c r="L252" s="279">
        <f>SUM(ventas_b_mes11[[#This Row],[IMPORTE NETO]:[EXENTO]])</f>
        <v>0</v>
      </c>
      <c r="M252" s="280"/>
    </row>
    <row r="253" spans="2:13" x14ac:dyDescent="0.25">
      <c r="B253" s="271"/>
      <c r="C253" s="41"/>
      <c r="D253" s="273"/>
      <c r="E253" s="274"/>
      <c r="F253" s="275"/>
      <c r="G253" s="276" t="str">
        <f>IFERROR(IF(ventas_b_mes11[[#This Row],[CUIT]]="","-",VLOOKUP(ventas_b_mes11[[#This Row],[CUIT]],Lista_CUIT[#All],2,0)),"CUIT NO CARGADO")</f>
        <v>-</v>
      </c>
      <c r="H253" s="277"/>
      <c r="I253" s="278"/>
      <c r="J253" s="279"/>
      <c r="K253" s="279"/>
      <c r="L253" s="279">
        <f>SUM(ventas_b_mes11[[#This Row],[IMPORTE NETO]:[EXENTO]])</f>
        <v>0</v>
      </c>
      <c r="M253" s="280"/>
    </row>
    <row r="254" spans="2:13" x14ac:dyDescent="0.25">
      <c r="B254" s="271"/>
      <c r="C254" s="41"/>
      <c r="D254" s="273"/>
      <c r="E254" s="274"/>
      <c r="F254" s="275"/>
      <c r="G254" s="276" t="str">
        <f>IFERROR(IF(ventas_b_mes11[[#This Row],[CUIT]]="","-",VLOOKUP(ventas_b_mes11[[#This Row],[CUIT]],Lista_CUIT[#All],2,0)),"CUIT NO CARGADO")</f>
        <v>-</v>
      </c>
      <c r="H254" s="277"/>
      <c r="I254" s="278"/>
      <c r="J254" s="279"/>
      <c r="K254" s="279"/>
      <c r="L254" s="279">
        <f>SUM(ventas_b_mes11[[#This Row],[IMPORTE NETO]:[EXENTO]])</f>
        <v>0</v>
      </c>
      <c r="M254" s="280"/>
    </row>
    <row r="255" spans="2:13" x14ac:dyDescent="0.25">
      <c r="B255" s="271"/>
      <c r="C255" s="41"/>
      <c r="D255" s="273"/>
      <c r="E255" s="274"/>
      <c r="F255" s="275"/>
      <c r="G255" s="276" t="str">
        <f>IFERROR(IF(ventas_b_mes11[[#This Row],[CUIT]]="","-",VLOOKUP(ventas_b_mes11[[#This Row],[CUIT]],Lista_CUIT[#All],2,0)),"CUIT NO CARGADO")</f>
        <v>-</v>
      </c>
      <c r="H255" s="277"/>
      <c r="I255" s="278"/>
      <c r="J255" s="279"/>
      <c r="K255" s="279"/>
      <c r="L255" s="279">
        <f>SUM(ventas_b_mes11[[#This Row],[IMPORTE NETO]:[EXENTO]])</f>
        <v>0</v>
      </c>
      <c r="M255" s="280"/>
    </row>
    <row r="256" spans="2:13" x14ac:dyDescent="0.25">
      <c r="B256" s="271"/>
      <c r="C256" s="41"/>
      <c r="D256" s="273"/>
      <c r="E256" s="274"/>
      <c r="F256" s="275"/>
      <c r="G256" s="276" t="str">
        <f>IFERROR(IF(ventas_b_mes11[[#This Row],[CUIT]]="","-",VLOOKUP(ventas_b_mes11[[#This Row],[CUIT]],Lista_CUIT[#All],2,0)),"CUIT NO CARGADO")</f>
        <v>-</v>
      </c>
      <c r="H256" s="277"/>
      <c r="I256" s="278"/>
      <c r="J256" s="279"/>
      <c r="K256" s="279"/>
      <c r="L256" s="279">
        <f>SUM(ventas_b_mes11[[#This Row],[IMPORTE NETO]:[EXENTO]])</f>
        <v>0</v>
      </c>
      <c r="M256" s="280"/>
    </row>
    <row r="257" spans="2:13" x14ac:dyDescent="0.25">
      <c r="B257" s="271"/>
      <c r="C257" s="41"/>
      <c r="D257" s="273"/>
      <c r="E257" s="274"/>
      <c r="F257" s="275"/>
      <c r="G257" s="276" t="str">
        <f>IFERROR(IF(ventas_b_mes11[[#This Row],[CUIT]]="","-",VLOOKUP(ventas_b_mes11[[#This Row],[CUIT]],Lista_CUIT[#All],2,0)),"CUIT NO CARGADO")</f>
        <v>-</v>
      </c>
      <c r="H257" s="277"/>
      <c r="I257" s="278"/>
      <c r="J257" s="279"/>
      <c r="K257" s="279"/>
      <c r="L257" s="279">
        <f>SUM(ventas_b_mes11[[#This Row],[IMPORTE NETO]:[EXENTO]])</f>
        <v>0</v>
      </c>
      <c r="M257" s="280"/>
    </row>
    <row r="258" spans="2:13" x14ac:dyDescent="0.25">
      <c r="B258" s="271"/>
      <c r="C258" s="41"/>
      <c r="D258" s="273"/>
      <c r="E258" s="274"/>
      <c r="F258" s="275"/>
      <c r="G258" s="276" t="str">
        <f>IFERROR(IF(ventas_b_mes11[[#This Row],[CUIT]]="","-",VLOOKUP(ventas_b_mes11[[#This Row],[CUIT]],Lista_CUIT[#All],2,0)),"CUIT NO CARGADO")</f>
        <v>-</v>
      </c>
      <c r="H258" s="277"/>
      <c r="I258" s="278"/>
      <c r="J258" s="279"/>
      <c r="K258" s="279"/>
      <c r="L258" s="279">
        <f>SUM(ventas_b_mes11[[#This Row],[IMPORTE NETO]:[EXENTO]])</f>
        <v>0</v>
      </c>
      <c r="M258" s="280"/>
    </row>
    <row r="259" spans="2:13" x14ac:dyDescent="0.25">
      <c r="B259" s="271"/>
      <c r="C259" s="41"/>
      <c r="D259" s="273"/>
      <c r="E259" s="274"/>
      <c r="F259" s="275"/>
      <c r="G259" s="276" t="str">
        <f>IFERROR(IF(ventas_b_mes11[[#This Row],[CUIT]]="","-",VLOOKUP(ventas_b_mes11[[#This Row],[CUIT]],Lista_CUIT[#All],2,0)),"CUIT NO CARGADO")</f>
        <v>-</v>
      </c>
      <c r="H259" s="277"/>
      <c r="I259" s="278"/>
      <c r="J259" s="279"/>
      <c r="K259" s="279"/>
      <c r="L259" s="279">
        <f>SUM(ventas_b_mes11[[#This Row],[IMPORTE NETO]:[EXENTO]])</f>
        <v>0</v>
      </c>
      <c r="M259" s="280"/>
    </row>
    <row r="260" spans="2:13" x14ac:dyDescent="0.25">
      <c r="B260" s="271"/>
      <c r="C260" s="41"/>
      <c r="D260" s="273"/>
      <c r="E260" s="274"/>
      <c r="F260" s="275"/>
      <c r="G260" s="276" t="str">
        <f>IFERROR(IF(ventas_b_mes11[[#This Row],[CUIT]]="","-",VLOOKUP(ventas_b_mes11[[#This Row],[CUIT]],Lista_CUIT[#All],2,0)),"CUIT NO CARGADO")</f>
        <v>-</v>
      </c>
      <c r="H260" s="277"/>
      <c r="I260" s="278"/>
      <c r="J260" s="279"/>
      <c r="K260" s="279"/>
      <c r="L260" s="279">
        <f>SUM(ventas_b_mes11[[#This Row],[IMPORTE NETO]:[EXENTO]])</f>
        <v>0</v>
      </c>
      <c r="M260" s="280"/>
    </row>
    <row r="261" spans="2:13" x14ac:dyDescent="0.25">
      <c r="B261" s="271"/>
      <c r="C261" s="41"/>
      <c r="D261" s="273"/>
      <c r="E261" s="274"/>
      <c r="F261" s="275"/>
      <c r="G261" s="276" t="str">
        <f>IFERROR(IF(ventas_b_mes11[[#This Row],[CUIT]]="","-",VLOOKUP(ventas_b_mes11[[#This Row],[CUIT]],Lista_CUIT[#All],2,0)),"CUIT NO CARGADO")</f>
        <v>-</v>
      </c>
      <c r="H261" s="277"/>
      <c r="I261" s="278"/>
      <c r="J261" s="279"/>
      <c r="K261" s="279"/>
      <c r="L261" s="279">
        <f>SUM(ventas_b_mes11[[#This Row],[IMPORTE NETO]:[EXENTO]])</f>
        <v>0</v>
      </c>
      <c r="M261" s="280"/>
    </row>
    <row r="262" spans="2:13" x14ac:dyDescent="0.25">
      <c r="B262" s="271"/>
      <c r="C262" s="41"/>
      <c r="D262" s="273"/>
      <c r="E262" s="274"/>
      <c r="F262" s="275"/>
      <c r="G262" s="276" t="str">
        <f>IFERROR(IF(ventas_b_mes11[[#This Row],[CUIT]]="","-",VLOOKUP(ventas_b_mes11[[#This Row],[CUIT]],Lista_CUIT[#All],2,0)),"CUIT NO CARGADO")</f>
        <v>-</v>
      </c>
      <c r="H262" s="277"/>
      <c r="I262" s="278"/>
      <c r="J262" s="279"/>
      <c r="K262" s="279"/>
      <c r="L262" s="279">
        <f>SUM(ventas_b_mes11[[#This Row],[IMPORTE NETO]:[EXENTO]])</f>
        <v>0</v>
      </c>
      <c r="M262" s="280"/>
    </row>
    <row r="263" spans="2:13" x14ac:dyDescent="0.25">
      <c r="B263" s="271"/>
      <c r="C263" s="41"/>
      <c r="D263" s="273"/>
      <c r="E263" s="274"/>
      <c r="F263" s="275"/>
      <c r="G263" s="276" t="str">
        <f>IFERROR(IF(ventas_b_mes11[[#This Row],[CUIT]]="","-",VLOOKUP(ventas_b_mes11[[#This Row],[CUIT]],Lista_CUIT[#All],2,0)),"CUIT NO CARGADO")</f>
        <v>-</v>
      </c>
      <c r="H263" s="277"/>
      <c r="I263" s="278"/>
      <c r="J263" s="279"/>
      <c r="K263" s="279"/>
      <c r="L263" s="279">
        <f>SUM(ventas_b_mes11[[#This Row],[IMPORTE NETO]:[EXENTO]])</f>
        <v>0</v>
      </c>
      <c r="M263" s="280"/>
    </row>
    <row r="264" spans="2:13" x14ac:dyDescent="0.25">
      <c r="B264" s="271"/>
      <c r="C264" s="41"/>
      <c r="D264" s="273"/>
      <c r="E264" s="274"/>
      <c r="F264" s="275"/>
      <c r="G264" s="276" t="str">
        <f>IFERROR(IF(ventas_b_mes11[[#This Row],[CUIT]]="","-",VLOOKUP(ventas_b_mes11[[#This Row],[CUIT]],Lista_CUIT[#All],2,0)),"CUIT NO CARGADO")</f>
        <v>-</v>
      </c>
      <c r="H264" s="277"/>
      <c r="I264" s="278"/>
      <c r="J264" s="279"/>
      <c r="K264" s="279"/>
      <c r="L264" s="279">
        <f>SUM(ventas_b_mes11[[#This Row],[IMPORTE NETO]:[EXENTO]])</f>
        <v>0</v>
      </c>
      <c r="M264" s="280"/>
    </row>
    <row r="265" spans="2:13" x14ac:dyDescent="0.25">
      <c r="B265" s="271"/>
      <c r="C265" s="41"/>
      <c r="D265" s="273"/>
      <c r="E265" s="274"/>
      <c r="F265" s="275"/>
      <c r="G265" s="276" t="str">
        <f>IFERROR(IF(ventas_b_mes11[[#This Row],[CUIT]]="","-",VLOOKUP(ventas_b_mes11[[#This Row],[CUIT]],Lista_CUIT[#All],2,0)),"CUIT NO CARGADO")</f>
        <v>-</v>
      </c>
      <c r="H265" s="277"/>
      <c r="I265" s="278"/>
      <c r="J265" s="279"/>
      <c r="K265" s="279"/>
      <c r="L265" s="279">
        <f>SUM(ventas_b_mes11[[#This Row],[IMPORTE NETO]:[EXENTO]])</f>
        <v>0</v>
      </c>
      <c r="M265" s="280"/>
    </row>
    <row r="266" spans="2:13" x14ac:dyDescent="0.25">
      <c r="B266" s="271"/>
      <c r="C266" s="41"/>
      <c r="D266" s="273"/>
      <c r="E266" s="274"/>
      <c r="F266" s="275"/>
      <c r="G266" s="276" t="str">
        <f>IFERROR(IF(ventas_b_mes11[[#This Row],[CUIT]]="","-",VLOOKUP(ventas_b_mes11[[#This Row],[CUIT]],Lista_CUIT[#All],2,0)),"CUIT NO CARGADO")</f>
        <v>-</v>
      </c>
      <c r="H266" s="277"/>
      <c r="I266" s="278"/>
      <c r="J266" s="279"/>
      <c r="K266" s="279"/>
      <c r="L266" s="279">
        <f>SUM(ventas_b_mes11[[#This Row],[IMPORTE NETO]:[EXENTO]])</f>
        <v>0</v>
      </c>
      <c r="M266" s="280"/>
    </row>
    <row r="267" spans="2:13" x14ac:dyDescent="0.25">
      <c r="B267" s="271"/>
      <c r="C267" s="41"/>
      <c r="D267" s="273"/>
      <c r="E267" s="274"/>
      <c r="F267" s="275"/>
      <c r="G267" s="276" t="str">
        <f>IFERROR(IF(ventas_b_mes11[[#This Row],[CUIT]]="","-",VLOOKUP(ventas_b_mes11[[#This Row],[CUIT]],Lista_CUIT[#All],2,0)),"CUIT NO CARGADO")</f>
        <v>-</v>
      </c>
      <c r="H267" s="277"/>
      <c r="I267" s="278"/>
      <c r="J267" s="279"/>
      <c r="K267" s="279"/>
      <c r="L267" s="279">
        <f>SUM(ventas_b_mes11[[#This Row],[IMPORTE NETO]:[EXENTO]])</f>
        <v>0</v>
      </c>
      <c r="M267" s="280"/>
    </row>
    <row r="268" spans="2:13" x14ac:dyDescent="0.25">
      <c r="B268" s="271"/>
      <c r="C268" s="41"/>
      <c r="D268" s="273"/>
      <c r="E268" s="274"/>
      <c r="F268" s="275"/>
      <c r="G268" s="276" t="str">
        <f>IFERROR(IF(ventas_b_mes11[[#This Row],[CUIT]]="","-",VLOOKUP(ventas_b_mes11[[#This Row],[CUIT]],Lista_CUIT[#All],2,0)),"CUIT NO CARGADO")</f>
        <v>-</v>
      </c>
      <c r="H268" s="277"/>
      <c r="I268" s="278"/>
      <c r="J268" s="279"/>
      <c r="K268" s="279"/>
      <c r="L268" s="279">
        <f>SUM(ventas_b_mes11[[#This Row],[IMPORTE NETO]:[EXENTO]])</f>
        <v>0</v>
      </c>
      <c r="M268" s="280"/>
    </row>
    <row r="269" spans="2:13" x14ac:dyDescent="0.25">
      <c r="B269" s="271"/>
      <c r="C269" s="41"/>
      <c r="D269" s="273"/>
      <c r="E269" s="274"/>
      <c r="F269" s="275"/>
      <c r="G269" s="276" t="str">
        <f>IFERROR(IF(ventas_b_mes11[[#This Row],[CUIT]]="","-",VLOOKUP(ventas_b_mes11[[#This Row],[CUIT]],Lista_CUIT[#All],2,0)),"CUIT NO CARGADO")</f>
        <v>-</v>
      </c>
      <c r="H269" s="277"/>
      <c r="I269" s="278"/>
      <c r="J269" s="279"/>
      <c r="K269" s="279"/>
      <c r="L269" s="279">
        <f>SUM(ventas_b_mes11[[#This Row],[IMPORTE NETO]:[EXENTO]])</f>
        <v>0</v>
      </c>
      <c r="M269" s="280"/>
    </row>
    <row r="270" spans="2:13" x14ac:dyDescent="0.25">
      <c r="B270" s="271"/>
      <c r="C270" s="41"/>
      <c r="D270" s="273"/>
      <c r="E270" s="274"/>
      <c r="F270" s="275"/>
      <c r="G270" s="276" t="str">
        <f>IFERROR(IF(ventas_b_mes11[[#This Row],[CUIT]]="","-",VLOOKUP(ventas_b_mes11[[#This Row],[CUIT]],Lista_CUIT[#All],2,0)),"CUIT NO CARGADO")</f>
        <v>-</v>
      </c>
      <c r="H270" s="277"/>
      <c r="I270" s="278"/>
      <c r="J270" s="279"/>
      <c r="K270" s="279"/>
      <c r="L270" s="279">
        <f>SUM(ventas_b_mes11[[#This Row],[IMPORTE NETO]:[EXENTO]])</f>
        <v>0</v>
      </c>
      <c r="M270" s="280"/>
    </row>
    <row r="271" spans="2:13" x14ac:dyDescent="0.25">
      <c r="B271" s="271"/>
      <c r="C271" s="41"/>
      <c r="D271" s="273"/>
      <c r="E271" s="274"/>
      <c r="F271" s="275"/>
      <c r="G271" s="276" t="str">
        <f>IFERROR(IF(ventas_b_mes11[[#This Row],[CUIT]]="","-",VLOOKUP(ventas_b_mes11[[#This Row],[CUIT]],Lista_CUIT[#All],2,0)),"CUIT NO CARGADO")</f>
        <v>-</v>
      </c>
      <c r="H271" s="277"/>
      <c r="I271" s="278"/>
      <c r="J271" s="279"/>
      <c r="K271" s="279"/>
      <c r="L271" s="279">
        <f>SUM(ventas_b_mes11[[#This Row],[IMPORTE NETO]:[EXENTO]])</f>
        <v>0</v>
      </c>
      <c r="M271" s="280"/>
    </row>
    <row r="272" spans="2:13" x14ac:dyDescent="0.25">
      <c r="B272" s="271"/>
      <c r="C272" s="41"/>
      <c r="D272" s="273"/>
      <c r="E272" s="274"/>
      <c r="F272" s="275"/>
      <c r="G272" s="276" t="str">
        <f>IFERROR(IF(ventas_b_mes11[[#This Row],[CUIT]]="","-",VLOOKUP(ventas_b_mes11[[#This Row],[CUIT]],Lista_CUIT[#All],2,0)),"CUIT NO CARGADO")</f>
        <v>-</v>
      </c>
      <c r="H272" s="277"/>
      <c r="I272" s="278"/>
      <c r="J272" s="279"/>
      <c r="K272" s="279"/>
      <c r="L272" s="279">
        <f>SUM(ventas_b_mes11[[#This Row],[IMPORTE NETO]:[EXENTO]])</f>
        <v>0</v>
      </c>
      <c r="M272" s="280"/>
    </row>
    <row r="273" spans="2:13" x14ac:dyDescent="0.25">
      <c r="B273" s="271"/>
      <c r="C273" s="41"/>
      <c r="D273" s="273"/>
      <c r="E273" s="274"/>
      <c r="F273" s="275"/>
      <c r="G273" s="276" t="str">
        <f>IFERROR(IF(ventas_b_mes11[[#This Row],[CUIT]]="","-",VLOOKUP(ventas_b_mes11[[#This Row],[CUIT]],Lista_CUIT[#All],2,0)),"CUIT NO CARGADO")</f>
        <v>-</v>
      </c>
      <c r="H273" s="277"/>
      <c r="I273" s="278"/>
      <c r="J273" s="279"/>
      <c r="K273" s="279"/>
      <c r="L273" s="279">
        <f>SUM(ventas_b_mes11[[#This Row],[IMPORTE NETO]:[EXENTO]])</f>
        <v>0</v>
      </c>
      <c r="M273" s="280"/>
    </row>
    <row r="274" spans="2:13" x14ac:dyDescent="0.25">
      <c r="B274" s="271"/>
      <c r="C274" s="41"/>
      <c r="D274" s="273"/>
      <c r="E274" s="274"/>
      <c r="F274" s="275"/>
      <c r="G274" s="276" t="str">
        <f>IFERROR(IF(ventas_b_mes11[[#This Row],[CUIT]]="","-",VLOOKUP(ventas_b_mes11[[#This Row],[CUIT]],Lista_CUIT[#All],2,0)),"CUIT NO CARGADO")</f>
        <v>-</v>
      </c>
      <c r="H274" s="277"/>
      <c r="I274" s="278"/>
      <c r="J274" s="279"/>
      <c r="K274" s="279"/>
      <c r="L274" s="279">
        <f>SUM(ventas_b_mes11[[#This Row],[IMPORTE NETO]:[EXENTO]])</f>
        <v>0</v>
      </c>
      <c r="M274" s="280"/>
    </row>
    <row r="275" spans="2:13" x14ac:dyDescent="0.25">
      <c r="B275" s="271"/>
      <c r="C275" s="41"/>
      <c r="D275" s="273"/>
      <c r="E275" s="274"/>
      <c r="F275" s="275"/>
      <c r="G275" s="276" t="str">
        <f>IFERROR(IF(ventas_b_mes11[[#This Row],[CUIT]]="","-",VLOOKUP(ventas_b_mes11[[#This Row],[CUIT]],Lista_CUIT[#All],2,0)),"CUIT NO CARGADO")</f>
        <v>-</v>
      </c>
      <c r="H275" s="277"/>
      <c r="I275" s="278"/>
      <c r="J275" s="279"/>
      <c r="K275" s="279"/>
      <c r="L275" s="279">
        <f>SUM(ventas_b_mes11[[#This Row],[IMPORTE NETO]:[EXENTO]])</f>
        <v>0</v>
      </c>
      <c r="M275" s="280"/>
    </row>
    <row r="276" spans="2:13" x14ac:dyDescent="0.25">
      <c r="B276" s="271"/>
      <c r="C276" s="41"/>
      <c r="D276" s="273"/>
      <c r="E276" s="274"/>
      <c r="F276" s="275"/>
      <c r="G276" s="276" t="str">
        <f>IFERROR(IF(ventas_b_mes11[[#This Row],[CUIT]]="","-",VLOOKUP(ventas_b_mes11[[#This Row],[CUIT]],Lista_CUIT[#All],2,0)),"CUIT NO CARGADO")</f>
        <v>-</v>
      </c>
      <c r="H276" s="277"/>
      <c r="I276" s="278"/>
      <c r="J276" s="279"/>
      <c r="K276" s="279"/>
      <c r="L276" s="279">
        <f>SUM(ventas_b_mes11[[#This Row],[IMPORTE NETO]:[EXENTO]])</f>
        <v>0</v>
      </c>
      <c r="M276" s="280"/>
    </row>
    <row r="277" spans="2:13" x14ac:dyDescent="0.25">
      <c r="B277" s="271"/>
      <c r="C277" s="41"/>
      <c r="D277" s="273"/>
      <c r="E277" s="274"/>
      <c r="F277" s="275"/>
      <c r="G277" s="276" t="str">
        <f>IFERROR(IF(ventas_b_mes11[[#This Row],[CUIT]]="","-",VLOOKUP(ventas_b_mes11[[#This Row],[CUIT]],Lista_CUIT[#All],2,0)),"CUIT NO CARGADO")</f>
        <v>-</v>
      </c>
      <c r="H277" s="277"/>
      <c r="I277" s="278"/>
      <c r="J277" s="279"/>
      <c r="K277" s="279"/>
      <c r="L277" s="279">
        <f>SUM(ventas_b_mes11[[#This Row],[IMPORTE NETO]:[EXENTO]])</f>
        <v>0</v>
      </c>
      <c r="M277" s="280"/>
    </row>
    <row r="278" spans="2:13" x14ac:dyDescent="0.25">
      <c r="B278" s="271"/>
      <c r="C278" s="41"/>
      <c r="D278" s="273"/>
      <c r="E278" s="274"/>
      <c r="F278" s="275"/>
      <c r="G278" s="276" t="str">
        <f>IFERROR(IF(ventas_b_mes11[[#This Row],[CUIT]]="","-",VLOOKUP(ventas_b_mes11[[#This Row],[CUIT]],Lista_CUIT[#All],2,0)),"CUIT NO CARGADO")</f>
        <v>-</v>
      </c>
      <c r="H278" s="277"/>
      <c r="I278" s="278"/>
      <c r="J278" s="279"/>
      <c r="K278" s="279"/>
      <c r="L278" s="279">
        <f>SUM(ventas_b_mes11[[#This Row],[IMPORTE NETO]:[EXENTO]])</f>
        <v>0</v>
      </c>
      <c r="M278" s="280"/>
    </row>
    <row r="279" spans="2:13" x14ac:dyDescent="0.25">
      <c r="B279" s="271"/>
      <c r="C279" s="41"/>
      <c r="D279" s="273"/>
      <c r="E279" s="274"/>
      <c r="F279" s="275"/>
      <c r="G279" s="276" t="str">
        <f>IFERROR(IF(ventas_b_mes11[[#This Row],[CUIT]]="","-",VLOOKUP(ventas_b_mes11[[#This Row],[CUIT]],Lista_CUIT[#All],2,0)),"CUIT NO CARGADO")</f>
        <v>-</v>
      </c>
      <c r="H279" s="277"/>
      <c r="I279" s="278"/>
      <c r="J279" s="279"/>
      <c r="K279" s="279"/>
      <c r="L279" s="279">
        <f>SUM(ventas_b_mes11[[#This Row],[IMPORTE NETO]:[EXENTO]])</f>
        <v>0</v>
      </c>
      <c r="M279" s="280"/>
    </row>
    <row r="280" spans="2:13" x14ac:dyDescent="0.25">
      <c r="B280" s="271"/>
      <c r="C280" s="41"/>
      <c r="D280" s="273"/>
      <c r="E280" s="274"/>
      <c r="F280" s="275"/>
      <c r="G280" s="276" t="str">
        <f>IFERROR(IF(ventas_b_mes11[[#This Row],[CUIT]]="","-",VLOOKUP(ventas_b_mes11[[#This Row],[CUIT]],Lista_CUIT[#All],2,0)),"CUIT NO CARGADO")</f>
        <v>-</v>
      </c>
      <c r="H280" s="277"/>
      <c r="I280" s="278"/>
      <c r="J280" s="279"/>
      <c r="K280" s="279"/>
      <c r="L280" s="279">
        <f>SUM(ventas_b_mes11[[#This Row],[IMPORTE NETO]:[EXENTO]])</f>
        <v>0</v>
      </c>
      <c r="M280" s="280"/>
    </row>
    <row r="281" spans="2:13" x14ac:dyDescent="0.25">
      <c r="B281" s="271"/>
      <c r="C281" s="41"/>
      <c r="D281" s="273"/>
      <c r="E281" s="274"/>
      <c r="F281" s="275"/>
      <c r="G281" s="276" t="str">
        <f>IFERROR(IF(ventas_b_mes11[[#This Row],[CUIT]]="","-",VLOOKUP(ventas_b_mes11[[#This Row],[CUIT]],Lista_CUIT[#All],2,0)),"CUIT NO CARGADO")</f>
        <v>-</v>
      </c>
      <c r="H281" s="277"/>
      <c r="I281" s="278"/>
      <c r="J281" s="279"/>
      <c r="K281" s="279"/>
      <c r="L281" s="279">
        <f>SUM(ventas_b_mes11[[#This Row],[IMPORTE NETO]:[EXENTO]])</f>
        <v>0</v>
      </c>
      <c r="M281" s="280"/>
    </row>
    <row r="282" spans="2:13" x14ac:dyDescent="0.25">
      <c r="B282" s="271"/>
      <c r="C282" s="41"/>
      <c r="D282" s="273"/>
      <c r="E282" s="274"/>
      <c r="F282" s="275"/>
      <c r="G282" s="276" t="str">
        <f>IFERROR(IF(ventas_b_mes11[[#This Row],[CUIT]]="","-",VLOOKUP(ventas_b_mes11[[#This Row],[CUIT]],Lista_CUIT[#All],2,0)),"CUIT NO CARGADO")</f>
        <v>-</v>
      </c>
      <c r="H282" s="277"/>
      <c r="I282" s="278"/>
      <c r="J282" s="279"/>
      <c r="K282" s="279"/>
      <c r="L282" s="279">
        <f>SUM(ventas_b_mes11[[#This Row],[IMPORTE NETO]:[EXENTO]])</f>
        <v>0</v>
      </c>
      <c r="M282" s="280"/>
    </row>
    <row r="283" spans="2:13" x14ac:dyDescent="0.25">
      <c r="B283" s="271"/>
      <c r="C283" s="41"/>
      <c r="D283" s="273"/>
      <c r="E283" s="274"/>
      <c r="F283" s="275"/>
      <c r="G283" s="276" t="str">
        <f>IFERROR(IF(ventas_b_mes11[[#This Row],[CUIT]]="","-",VLOOKUP(ventas_b_mes11[[#This Row],[CUIT]],Lista_CUIT[#All],2,0)),"CUIT NO CARGADO")</f>
        <v>-</v>
      </c>
      <c r="H283" s="277"/>
      <c r="I283" s="278"/>
      <c r="J283" s="279"/>
      <c r="K283" s="279"/>
      <c r="L283" s="279">
        <f>SUM(ventas_b_mes11[[#This Row],[IMPORTE NETO]:[EXENTO]])</f>
        <v>0</v>
      </c>
      <c r="M283" s="280"/>
    </row>
    <row r="284" spans="2:13" x14ac:dyDescent="0.25">
      <c r="B284" s="271"/>
      <c r="C284" s="41"/>
      <c r="D284" s="273"/>
      <c r="E284" s="274"/>
      <c r="F284" s="275"/>
      <c r="G284" s="276" t="str">
        <f>IFERROR(IF(ventas_b_mes11[[#This Row],[CUIT]]="","-",VLOOKUP(ventas_b_mes11[[#This Row],[CUIT]],Lista_CUIT[#All],2,0)),"CUIT NO CARGADO")</f>
        <v>-</v>
      </c>
      <c r="H284" s="277"/>
      <c r="I284" s="278"/>
      <c r="J284" s="279"/>
      <c r="K284" s="279"/>
      <c r="L284" s="279">
        <f>SUM(ventas_b_mes11[[#This Row],[IMPORTE NETO]:[EXENTO]])</f>
        <v>0</v>
      </c>
      <c r="M284" s="280"/>
    </row>
    <row r="285" spans="2:13" x14ac:dyDescent="0.25">
      <c r="B285" s="271"/>
      <c r="C285" s="41"/>
      <c r="D285" s="273"/>
      <c r="E285" s="274"/>
      <c r="F285" s="275"/>
      <c r="G285" s="276" t="str">
        <f>IFERROR(IF(ventas_b_mes11[[#This Row],[CUIT]]="","-",VLOOKUP(ventas_b_mes11[[#This Row],[CUIT]],Lista_CUIT[#All],2,0)),"CUIT NO CARGADO")</f>
        <v>-</v>
      </c>
      <c r="H285" s="277"/>
      <c r="I285" s="278"/>
      <c r="J285" s="279"/>
      <c r="K285" s="279"/>
      <c r="L285" s="279">
        <f>SUM(ventas_b_mes11[[#This Row],[IMPORTE NETO]:[EXENTO]])</f>
        <v>0</v>
      </c>
      <c r="M285" s="280"/>
    </row>
    <row r="286" spans="2:13" x14ac:dyDescent="0.25">
      <c r="B286" s="271"/>
      <c r="C286" s="41"/>
      <c r="D286" s="273"/>
      <c r="E286" s="274"/>
      <c r="F286" s="275"/>
      <c r="G286" s="276" t="str">
        <f>IFERROR(IF(ventas_b_mes11[[#This Row],[CUIT]]="","-",VLOOKUP(ventas_b_mes11[[#This Row],[CUIT]],Lista_CUIT[#All],2,0)),"CUIT NO CARGADO")</f>
        <v>-</v>
      </c>
      <c r="H286" s="277"/>
      <c r="I286" s="278"/>
      <c r="J286" s="279"/>
      <c r="K286" s="279"/>
      <c r="L286" s="279">
        <f>SUM(ventas_b_mes11[[#This Row],[IMPORTE NETO]:[EXENTO]])</f>
        <v>0</v>
      </c>
      <c r="M286" s="280"/>
    </row>
    <row r="287" spans="2:13" x14ac:dyDescent="0.25">
      <c r="B287" s="271"/>
      <c r="C287" s="41"/>
      <c r="D287" s="273"/>
      <c r="E287" s="274"/>
      <c r="F287" s="275"/>
      <c r="G287" s="276" t="str">
        <f>IFERROR(IF(ventas_b_mes11[[#This Row],[CUIT]]="","-",VLOOKUP(ventas_b_mes11[[#This Row],[CUIT]],Lista_CUIT[#All],2,0)),"CUIT NO CARGADO")</f>
        <v>-</v>
      </c>
      <c r="H287" s="277"/>
      <c r="I287" s="278"/>
      <c r="J287" s="279"/>
      <c r="K287" s="279"/>
      <c r="L287" s="279">
        <f>SUM(ventas_b_mes11[[#This Row],[IMPORTE NETO]:[EXENTO]])</f>
        <v>0</v>
      </c>
      <c r="M287" s="280"/>
    </row>
    <row r="288" spans="2:13" x14ac:dyDescent="0.25">
      <c r="B288" s="271"/>
      <c r="C288" s="41"/>
      <c r="D288" s="273"/>
      <c r="E288" s="274"/>
      <c r="F288" s="275"/>
      <c r="G288" s="276" t="str">
        <f>IFERROR(IF(ventas_b_mes11[[#This Row],[CUIT]]="","-",VLOOKUP(ventas_b_mes11[[#This Row],[CUIT]],Lista_CUIT[#All],2,0)),"CUIT NO CARGADO")</f>
        <v>-</v>
      </c>
      <c r="H288" s="277"/>
      <c r="I288" s="278"/>
      <c r="J288" s="279"/>
      <c r="K288" s="279"/>
      <c r="L288" s="279">
        <f>SUM(ventas_b_mes11[[#This Row],[IMPORTE NETO]:[EXENTO]])</f>
        <v>0</v>
      </c>
      <c r="M288" s="280"/>
    </row>
    <row r="289" spans="2:13" x14ac:dyDescent="0.25">
      <c r="B289" s="271"/>
      <c r="C289" s="41"/>
      <c r="D289" s="273"/>
      <c r="E289" s="274"/>
      <c r="F289" s="275"/>
      <c r="G289" s="276" t="str">
        <f>IFERROR(IF(ventas_b_mes11[[#This Row],[CUIT]]="","-",VLOOKUP(ventas_b_mes11[[#This Row],[CUIT]],Lista_CUIT[#All],2,0)),"CUIT NO CARGADO")</f>
        <v>-</v>
      </c>
      <c r="H289" s="277"/>
      <c r="I289" s="278"/>
      <c r="J289" s="279"/>
      <c r="K289" s="279"/>
      <c r="L289" s="279">
        <f>SUM(ventas_b_mes11[[#This Row],[IMPORTE NETO]:[EXENTO]])</f>
        <v>0</v>
      </c>
      <c r="M289" s="280"/>
    </row>
    <row r="290" spans="2:13" x14ac:dyDescent="0.25">
      <c r="B290" s="271"/>
      <c r="C290" s="41"/>
      <c r="D290" s="273"/>
      <c r="E290" s="274"/>
      <c r="F290" s="275"/>
      <c r="G290" s="276" t="str">
        <f>IFERROR(IF(ventas_b_mes11[[#This Row],[CUIT]]="","-",VLOOKUP(ventas_b_mes11[[#This Row],[CUIT]],Lista_CUIT[#All],2,0)),"CUIT NO CARGADO")</f>
        <v>-</v>
      </c>
      <c r="H290" s="277"/>
      <c r="I290" s="278"/>
      <c r="J290" s="279"/>
      <c r="K290" s="279"/>
      <c r="L290" s="279">
        <f>SUM(ventas_b_mes11[[#This Row],[IMPORTE NETO]:[EXENTO]])</f>
        <v>0</v>
      </c>
      <c r="M290" s="280"/>
    </row>
    <row r="291" spans="2:13" x14ac:dyDescent="0.25">
      <c r="B291" s="271"/>
      <c r="C291" s="41"/>
      <c r="D291" s="273"/>
      <c r="E291" s="274"/>
      <c r="F291" s="275"/>
      <c r="G291" s="276" t="str">
        <f>IFERROR(IF(ventas_b_mes11[[#This Row],[CUIT]]="","-",VLOOKUP(ventas_b_mes11[[#This Row],[CUIT]],Lista_CUIT[#All],2,0)),"CUIT NO CARGADO")</f>
        <v>-</v>
      </c>
      <c r="H291" s="277"/>
      <c r="I291" s="278"/>
      <c r="J291" s="279"/>
      <c r="K291" s="279"/>
      <c r="L291" s="279">
        <f>SUM(ventas_b_mes11[[#This Row],[IMPORTE NETO]:[EXENTO]])</f>
        <v>0</v>
      </c>
      <c r="M291" s="280"/>
    </row>
    <row r="292" spans="2:13" x14ac:dyDescent="0.25">
      <c r="B292" s="271"/>
      <c r="C292" s="41"/>
      <c r="D292" s="273"/>
      <c r="E292" s="274"/>
      <c r="F292" s="275"/>
      <c r="G292" s="276" t="str">
        <f>IFERROR(IF(ventas_b_mes11[[#This Row],[CUIT]]="","-",VLOOKUP(ventas_b_mes11[[#This Row],[CUIT]],Lista_CUIT[#All],2,0)),"CUIT NO CARGADO")</f>
        <v>-</v>
      </c>
      <c r="H292" s="277"/>
      <c r="I292" s="278"/>
      <c r="J292" s="279"/>
      <c r="K292" s="279"/>
      <c r="L292" s="279">
        <f>SUM(ventas_b_mes11[[#This Row],[IMPORTE NETO]:[EXENTO]])</f>
        <v>0</v>
      </c>
      <c r="M292" s="280"/>
    </row>
    <row r="293" spans="2:13" x14ac:dyDescent="0.25">
      <c r="B293" s="271"/>
      <c r="C293" s="41"/>
      <c r="D293" s="273"/>
      <c r="E293" s="274"/>
      <c r="F293" s="275"/>
      <c r="G293" s="276" t="str">
        <f>IFERROR(IF(ventas_b_mes11[[#This Row],[CUIT]]="","-",VLOOKUP(ventas_b_mes11[[#This Row],[CUIT]],Lista_CUIT[#All],2,0)),"CUIT NO CARGADO")</f>
        <v>-</v>
      </c>
      <c r="H293" s="277"/>
      <c r="I293" s="278"/>
      <c r="J293" s="279"/>
      <c r="K293" s="279"/>
      <c r="L293" s="279">
        <f>SUM(ventas_b_mes11[[#This Row],[IMPORTE NETO]:[EXENTO]])</f>
        <v>0</v>
      </c>
      <c r="M293" s="280"/>
    </row>
    <row r="294" spans="2:13" x14ac:dyDescent="0.25">
      <c r="B294" s="271"/>
      <c r="C294" s="41"/>
      <c r="D294" s="273"/>
      <c r="E294" s="274"/>
      <c r="F294" s="275"/>
      <c r="G294" s="276" t="str">
        <f>IFERROR(IF(ventas_b_mes11[[#This Row],[CUIT]]="","-",VLOOKUP(ventas_b_mes11[[#This Row],[CUIT]],Lista_CUIT[#All],2,0)),"CUIT NO CARGADO")</f>
        <v>-</v>
      </c>
      <c r="H294" s="277"/>
      <c r="I294" s="278"/>
      <c r="J294" s="279"/>
      <c r="K294" s="279"/>
      <c r="L294" s="279">
        <f>SUM(ventas_b_mes11[[#This Row],[IMPORTE NETO]:[EXENTO]])</f>
        <v>0</v>
      </c>
      <c r="M294" s="280"/>
    </row>
    <row r="295" spans="2:13" x14ac:dyDescent="0.25">
      <c r="B295" s="271"/>
      <c r="C295" s="41"/>
      <c r="D295" s="273"/>
      <c r="E295" s="274"/>
      <c r="F295" s="275"/>
      <c r="G295" s="276" t="str">
        <f>IFERROR(IF(ventas_b_mes11[[#This Row],[CUIT]]="","-",VLOOKUP(ventas_b_mes11[[#This Row],[CUIT]],Lista_CUIT[#All],2,0)),"CUIT NO CARGADO")</f>
        <v>-</v>
      </c>
      <c r="H295" s="277"/>
      <c r="I295" s="278"/>
      <c r="J295" s="279"/>
      <c r="K295" s="279"/>
      <c r="L295" s="279">
        <f>SUM(ventas_b_mes11[[#This Row],[IMPORTE NETO]:[EXENTO]])</f>
        <v>0</v>
      </c>
      <c r="M295" s="280"/>
    </row>
    <row r="296" spans="2:13" x14ac:dyDescent="0.25">
      <c r="B296" s="271"/>
      <c r="C296" s="41"/>
      <c r="D296" s="273"/>
      <c r="E296" s="274"/>
      <c r="F296" s="275"/>
      <c r="G296" s="276" t="str">
        <f>IFERROR(IF(ventas_b_mes11[[#This Row],[CUIT]]="","-",VLOOKUP(ventas_b_mes11[[#This Row],[CUIT]],Lista_CUIT[#All],2,0)),"CUIT NO CARGADO")</f>
        <v>-</v>
      </c>
      <c r="H296" s="277"/>
      <c r="I296" s="278"/>
      <c r="J296" s="279"/>
      <c r="K296" s="279"/>
      <c r="L296" s="279">
        <f>SUM(ventas_b_mes11[[#This Row],[IMPORTE NETO]:[EXENTO]])</f>
        <v>0</v>
      </c>
      <c r="M296" s="280"/>
    </row>
    <row r="297" spans="2:13" x14ac:dyDescent="0.25">
      <c r="B297" s="271"/>
      <c r="C297" s="41"/>
      <c r="D297" s="273"/>
      <c r="E297" s="274"/>
      <c r="F297" s="275"/>
      <c r="G297" s="276" t="str">
        <f>IFERROR(IF(ventas_b_mes11[[#This Row],[CUIT]]="","-",VLOOKUP(ventas_b_mes11[[#This Row],[CUIT]],Lista_CUIT[#All],2,0)),"CUIT NO CARGADO")</f>
        <v>-</v>
      </c>
      <c r="H297" s="277"/>
      <c r="I297" s="278"/>
      <c r="J297" s="279"/>
      <c r="K297" s="279"/>
      <c r="L297" s="279">
        <f>SUM(ventas_b_mes11[[#This Row],[IMPORTE NETO]:[EXENTO]])</f>
        <v>0</v>
      </c>
      <c r="M297" s="280"/>
    </row>
    <row r="298" spans="2:13" x14ac:dyDescent="0.25">
      <c r="B298" s="271"/>
      <c r="C298" s="41"/>
      <c r="D298" s="273"/>
      <c r="E298" s="274"/>
      <c r="F298" s="275"/>
      <c r="G298" s="276" t="str">
        <f>IFERROR(IF(ventas_b_mes11[[#This Row],[CUIT]]="","-",VLOOKUP(ventas_b_mes11[[#This Row],[CUIT]],Lista_CUIT[#All],2,0)),"CUIT NO CARGADO")</f>
        <v>-</v>
      </c>
      <c r="H298" s="277"/>
      <c r="I298" s="278"/>
      <c r="J298" s="279"/>
      <c r="K298" s="279"/>
      <c r="L298" s="279">
        <f>SUM(ventas_b_mes11[[#This Row],[IMPORTE NETO]:[EXENTO]])</f>
        <v>0</v>
      </c>
      <c r="M298" s="280"/>
    </row>
    <row r="299" spans="2:13" x14ac:dyDescent="0.25">
      <c r="B299" s="271"/>
      <c r="C299" s="41"/>
      <c r="D299" s="273"/>
      <c r="E299" s="274"/>
      <c r="F299" s="275"/>
      <c r="G299" s="276" t="str">
        <f>IFERROR(IF(ventas_b_mes11[[#This Row],[CUIT]]="","-",VLOOKUP(ventas_b_mes11[[#This Row],[CUIT]],Lista_CUIT[#All],2,0)),"CUIT NO CARGADO")</f>
        <v>-</v>
      </c>
      <c r="H299" s="277"/>
      <c r="I299" s="278"/>
      <c r="J299" s="279"/>
      <c r="K299" s="279"/>
      <c r="L299" s="279">
        <f>SUM(ventas_b_mes11[[#This Row],[IMPORTE NETO]:[EXENTO]])</f>
        <v>0</v>
      </c>
      <c r="M299" s="280"/>
    </row>
    <row r="300" spans="2:13" x14ac:dyDescent="0.25">
      <c r="B300" s="271"/>
      <c r="C300" s="41"/>
      <c r="D300" s="273"/>
      <c r="E300" s="274"/>
      <c r="F300" s="275"/>
      <c r="G300" s="276" t="str">
        <f>IFERROR(IF(ventas_b_mes11[[#This Row],[CUIT]]="","-",VLOOKUP(ventas_b_mes11[[#This Row],[CUIT]],Lista_CUIT[#All],2,0)),"CUIT NO CARGADO")</f>
        <v>-</v>
      </c>
      <c r="H300" s="277"/>
      <c r="I300" s="278"/>
      <c r="J300" s="279"/>
      <c r="K300" s="279"/>
      <c r="L300" s="279">
        <f>SUM(ventas_b_mes11[[#This Row],[IMPORTE NETO]:[EXENTO]])</f>
        <v>0</v>
      </c>
      <c r="M300" s="280"/>
    </row>
    <row r="301" spans="2:13" x14ac:dyDescent="0.25">
      <c r="B301" s="271"/>
      <c r="C301" s="41"/>
      <c r="D301" s="273"/>
      <c r="E301" s="274"/>
      <c r="F301" s="275"/>
      <c r="G301" s="276" t="str">
        <f>IFERROR(IF(ventas_b_mes11[[#This Row],[CUIT]]="","-",VLOOKUP(ventas_b_mes11[[#This Row],[CUIT]],Lista_CUIT[#All],2,0)),"CUIT NO CARGADO")</f>
        <v>-</v>
      </c>
      <c r="H301" s="277"/>
      <c r="I301" s="278"/>
      <c r="J301" s="279"/>
      <c r="K301" s="279"/>
      <c r="L301" s="279">
        <f>SUM(ventas_b_mes11[[#This Row],[IMPORTE NETO]:[EXENTO]])</f>
        <v>0</v>
      </c>
      <c r="M301" s="280"/>
    </row>
    <row r="302" spans="2:13" x14ac:dyDescent="0.25">
      <c r="B302" s="271"/>
      <c r="C302" s="41"/>
      <c r="D302" s="273"/>
      <c r="E302" s="274"/>
      <c r="F302" s="275"/>
      <c r="G302" s="276" t="str">
        <f>IFERROR(IF(ventas_b_mes11[[#This Row],[CUIT]]="","-",VLOOKUP(ventas_b_mes11[[#This Row],[CUIT]],Lista_CUIT[#All],2,0)),"CUIT NO CARGADO")</f>
        <v>-</v>
      </c>
      <c r="H302" s="277"/>
      <c r="I302" s="278"/>
      <c r="J302" s="279"/>
      <c r="K302" s="279"/>
      <c r="L302" s="279">
        <f>SUM(ventas_b_mes11[[#This Row],[IMPORTE NETO]:[EXENTO]])</f>
        <v>0</v>
      </c>
      <c r="M302" s="280"/>
    </row>
    <row r="303" spans="2:13" x14ac:dyDescent="0.25">
      <c r="B303" s="271"/>
      <c r="C303" s="41"/>
      <c r="D303" s="273"/>
      <c r="E303" s="274"/>
      <c r="F303" s="275"/>
      <c r="G303" s="276" t="str">
        <f>IFERROR(IF(ventas_b_mes11[[#This Row],[CUIT]]="","-",VLOOKUP(ventas_b_mes11[[#This Row],[CUIT]],Lista_CUIT[#All],2,0)),"CUIT NO CARGADO")</f>
        <v>-</v>
      </c>
      <c r="H303" s="277"/>
      <c r="I303" s="278"/>
      <c r="J303" s="279"/>
      <c r="K303" s="279"/>
      <c r="L303" s="279">
        <f>SUM(ventas_b_mes11[[#This Row],[IMPORTE NETO]:[EXENTO]])</f>
        <v>0</v>
      </c>
      <c r="M303" s="280"/>
    </row>
    <row r="304" spans="2:13" x14ac:dyDescent="0.25">
      <c r="B304" s="271"/>
      <c r="C304" s="41"/>
      <c r="D304" s="273"/>
      <c r="E304" s="274"/>
      <c r="F304" s="275"/>
      <c r="G304" s="276" t="str">
        <f>IFERROR(IF(ventas_b_mes11[[#This Row],[CUIT]]="","-",VLOOKUP(ventas_b_mes11[[#This Row],[CUIT]],Lista_CUIT[#All],2,0)),"CUIT NO CARGADO")</f>
        <v>-</v>
      </c>
      <c r="H304" s="277"/>
      <c r="I304" s="278"/>
      <c r="J304" s="279"/>
      <c r="K304" s="279"/>
      <c r="L304" s="279">
        <f>SUM(ventas_b_mes11[[#This Row],[IMPORTE NETO]:[EXENTO]])</f>
        <v>0</v>
      </c>
      <c r="M304" s="280"/>
    </row>
    <row r="305" spans="2:13" x14ac:dyDescent="0.25">
      <c r="B305" s="271"/>
      <c r="C305" s="41"/>
      <c r="D305" s="273"/>
      <c r="E305" s="274"/>
      <c r="F305" s="275"/>
      <c r="G305" s="276" t="str">
        <f>IFERROR(IF(ventas_b_mes11[[#This Row],[CUIT]]="","-",VLOOKUP(ventas_b_mes11[[#This Row],[CUIT]],Lista_CUIT[#All],2,0)),"CUIT NO CARGADO")</f>
        <v>-</v>
      </c>
      <c r="H305" s="277"/>
      <c r="I305" s="278"/>
      <c r="J305" s="279"/>
      <c r="K305" s="279"/>
      <c r="L305" s="279">
        <f>SUM(ventas_b_mes11[[#This Row],[IMPORTE NETO]:[EXENTO]])</f>
        <v>0</v>
      </c>
      <c r="M305" s="280"/>
    </row>
    <row r="306" spans="2:13" x14ac:dyDescent="0.25">
      <c r="B306" s="271"/>
      <c r="C306" s="41"/>
      <c r="D306" s="273"/>
      <c r="E306" s="274"/>
      <c r="F306" s="275"/>
      <c r="G306" s="276" t="str">
        <f>IFERROR(IF(ventas_b_mes11[[#This Row],[CUIT]]="","-",VLOOKUP(ventas_b_mes11[[#This Row],[CUIT]],Lista_CUIT[#All],2,0)),"CUIT NO CARGADO")</f>
        <v>-</v>
      </c>
      <c r="H306" s="277"/>
      <c r="I306" s="278"/>
      <c r="J306" s="279"/>
      <c r="K306" s="279"/>
      <c r="L306" s="279">
        <f>SUM(ventas_b_mes11[[#This Row],[IMPORTE NETO]:[EXENTO]])</f>
        <v>0</v>
      </c>
      <c r="M306" s="280"/>
    </row>
    <row r="307" spans="2:13" x14ac:dyDescent="0.25">
      <c r="B307" s="271"/>
      <c r="C307" s="41"/>
      <c r="D307" s="273"/>
      <c r="E307" s="274"/>
      <c r="F307" s="275"/>
      <c r="G307" s="276" t="str">
        <f>IFERROR(IF(ventas_b_mes11[[#This Row],[CUIT]]="","-",VLOOKUP(ventas_b_mes11[[#This Row],[CUIT]],Lista_CUIT[#All],2,0)),"CUIT NO CARGADO")</f>
        <v>-</v>
      </c>
      <c r="H307" s="277"/>
      <c r="I307" s="278"/>
      <c r="J307" s="279"/>
      <c r="K307" s="279"/>
      <c r="L307" s="279">
        <f>SUM(ventas_b_mes11[[#This Row],[IMPORTE NETO]:[EXENTO]])</f>
        <v>0</v>
      </c>
      <c r="M307" s="280"/>
    </row>
    <row r="308" spans="2:13" x14ac:dyDescent="0.25">
      <c r="B308" s="271"/>
      <c r="C308" s="41"/>
      <c r="D308" s="273"/>
      <c r="E308" s="274"/>
      <c r="F308" s="275"/>
      <c r="G308" s="276" t="str">
        <f>IFERROR(IF(ventas_b_mes11[[#This Row],[CUIT]]="","-",VLOOKUP(ventas_b_mes11[[#This Row],[CUIT]],Lista_CUIT[#All],2,0)),"CUIT NO CARGADO")</f>
        <v>-</v>
      </c>
      <c r="H308" s="277"/>
      <c r="I308" s="278"/>
      <c r="J308" s="279"/>
      <c r="K308" s="279"/>
      <c r="L308" s="279">
        <f>SUM(ventas_b_mes11[[#This Row],[IMPORTE NETO]:[EXENTO]])</f>
        <v>0</v>
      </c>
      <c r="M308" s="280"/>
    </row>
    <row r="309" spans="2:13" x14ac:dyDescent="0.25">
      <c r="B309" s="271"/>
      <c r="C309" s="41"/>
      <c r="D309" s="273"/>
      <c r="E309" s="274"/>
      <c r="F309" s="275"/>
      <c r="G309" s="276" t="str">
        <f>IFERROR(IF(ventas_b_mes11[[#This Row],[CUIT]]="","-",VLOOKUP(ventas_b_mes11[[#This Row],[CUIT]],Lista_CUIT[#All],2,0)),"CUIT NO CARGADO")</f>
        <v>-</v>
      </c>
      <c r="H309" s="277"/>
      <c r="I309" s="278"/>
      <c r="J309" s="279"/>
      <c r="K309" s="279"/>
      <c r="L309" s="279">
        <f>SUM(ventas_b_mes11[[#This Row],[IMPORTE NETO]:[EXENTO]])</f>
        <v>0</v>
      </c>
      <c r="M309" s="280"/>
    </row>
    <row r="310" spans="2:13" x14ac:dyDescent="0.25">
      <c r="B310" s="271"/>
      <c r="C310" s="41"/>
      <c r="D310" s="273"/>
      <c r="E310" s="274"/>
      <c r="F310" s="275"/>
      <c r="G310" s="276" t="str">
        <f>IFERROR(IF(ventas_b_mes11[[#This Row],[CUIT]]="","-",VLOOKUP(ventas_b_mes11[[#This Row],[CUIT]],Lista_CUIT[#All],2,0)),"CUIT NO CARGADO")</f>
        <v>-</v>
      </c>
      <c r="H310" s="277"/>
      <c r="I310" s="278"/>
      <c r="J310" s="279"/>
      <c r="K310" s="279"/>
      <c r="L310" s="279">
        <f>SUM(ventas_b_mes11[[#This Row],[IMPORTE NETO]:[EXENTO]])</f>
        <v>0</v>
      </c>
      <c r="M310" s="280"/>
    </row>
    <row r="311" spans="2:13" x14ac:dyDescent="0.25">
      <c r="B311" s="271"/>
      <c r="C311" s="41"/>
      <c r="D311" s="273"/>
      <c r="E311" s="274"/>
      <c r="F311" s="275"/>
      <c r="G311" s="276" t="str">
        <f>IFERROR(IF(ventas_b_mes11[[#This Row],[CUIT]]="","-",VLOOKUP(ventas_b_mes11[[#This Row],[CUIT]],Lista_CUIT[#All],2,0)),"CUIT NO CARGADO")</f>
        <v>-</v>
      </c>
      <c r="H311" s="277"/>
      <c r="I311" s="278"/>
      <c r="J311" s="279"/>
      <c r="K311" s="279"/>
      <c r="L311" s="279">
        <f>SUM(ventas_b_mes11[[#This Row],[IMPORTE NETO]:[EXENTO]])</f>
        <v>0</v>
      </c>
      <c r="M311" s="280"/>
    </row>
    <row r="312" spans="2:13" x14ac:dyDescent="0.25">
      <c r="B312" s="271"/>
      <c r="C312" s="41"/>
      <c r="D312" s="273"/>
      <c r="E312" s="274"/>
      <c r="F312" s="275"/>
      <c r="G312" s="276" t="str">
        <f>IFERROR(IF(ventas_b_mes11[[#This Row],[CUIT]]="","-",VLOOKUP(ventas_b_mes11[[#This Row],[CUIT]],Lista_CUIT[#All],2,0)),"CUIT NO CARGADO")</f>
        <v>-</v>
      </c>
      <c r="H312" s="277"/>
      <c r="I312" s="278"/>
      <c r="J312" s="279"/>
      <c r="K312" s="279"/>
      <c r="L312" s="279">
        <f>SUM(ventas_b_mes11[[#This Row],[IMPORTE NETO]:[EXENTO]])</f>
        <v>0</v>
      </c>
      <c r="M312" s="280"/>
    </row>
    <row r="313" spans="2:13" x14ac:dyDescent="0.25">
      <c r="B313" s="271"/>
      <c r="C313" s="41"/>
      <c r="D313" s="273"/>
      <c r="E313" s="274"/>
      <c r="F313" s="275"/>
      <c r="G313" s="276" t="str">
        <f>IFERROR(IF(ventas_b_mes11[[#This Row],[CUIT]]="","-",VLOOKUP(ventas_b_mes11[[#This Row],[CUIT]],Lista_CUIT[#All],2,0)),"CUIT NO CARGADO")</f>
        <v>-</v>
      </c>
      <c r="H313" s="277"/>
      <c r="I313" s="278"/>
      <c r="J313" s="279"/>
      <c r="K313" s="279"/>
      <c r="L313" s="279">
        <f>SUM(ventas_b_mes11[[#This Row],[IMPORTE NETO]:[EXENTO]])</f>
        <v>0</v>
      </c>
      <c r="M313" s="280"/>
    </row>
    <row r="314" spans="2:13" x14ac:dyDescent="0.25">
      <c r="B314" s="271"/>
      <c r="C314" s="41"/>
      <c r="D314" s="273"/>
      <c r="E314" s="274"/>
      <c r="F314" s="275"/>
      <c r="G314" s="276" t="str">
        <f>IFERROR(IF(ventas_b_mes11[[#This Row],[CUIT]]="","-",VLOOKUP(ventas_b_mes11[[#This Row],[CUIT]],Lista_CUIT[#All],2,0)),"CUIT NO CARGADO")</f>
        <v>-</v>
      </c>
      <c r="H314" s="277"/>
      <c r="I314" s="278"/>
      <c r="J314" s="279"/>
      <c r="K314" s="279"/>
      <c r="L314" s="279">
        <f>SUM(ventas_b_mes11[[#This Row],[IMPORTE NETO]:[EXENTO]])</f>
        <v>0</v>
      </c>
      <c r="M314" s="280"/>
    </row>
    <row r="315" spans="2:13" x14ac:dyDescent="0.25">
      <c r="B315" s="271"/>
      <c r="C315" s="41"/>
      <c r="D315" s="273"/>
      <c r="E315" s="274"/>
      <c r="F315" s="275"/>
      <c r="G315" s="276" t="str">
        <f>IFERROR(IF(ventas_b_mes11[[#This Row],[CUIT]]="","-",VLOOKUP(ventas_b_mes11[[#This Row],[CUIT]],Lista_CUIT[#All],2,0)),"CUIT NO CARGADO")</f>
        <v>-</v>
      </c>
      <c r="H315" s="277"/>
      <c r="I315" s="278"/>
      <c r="J315" s="279"/>
      <c r="K315" s="279"/>
      <c r="L315" s="279">
        <f>SUM(ventas_b_mes11[[#This Row],[IMPORTE NETO]:[EXENTO]])</f>
        <v>0</v>
      </c>
      <c r="M315" s="280"/>
    </row>
    <row r="316" spans="2:13" x14ac:dyDescent="0.25">
      <c r="B316" s="271"/>
      <c r="C316" s="41"/>
      <c r="D316" s="273"/>
      <c r="E316" s="274"/>
      <c r="F316" s="275"/>
      <c r="G316" s="276" t="str">
        <f>IFERROR(IF(ventas_b_mes11[[#This Row],[CUIT]]="","-",VLOOKUP(ventas_b_mes11[[#This Row],[CUIT]],Lista_CUIT[#All],2,0)),"CUIT NO CARGADO")</f>
        <v>-</v>
      </c>
      <c r="H316" s="277"/>
      <c r="I316" s="278"/>
      <c r="J316" s="279"/>
      <c r="K316" s="279"/>
      <c r="L316" s="279">
        <f>SUM(ventas_b_mes11[[#This Row],[IMPORTE NETO]:[EXENTO]])</f>
        <v>0</v>
      </c>
      <c r="M316" s="280"/>
    </row>
    <row r="317" spans="2:13" x14ac:dyDescent="0.25">
      <c r="B317" s="271"/>
      <c r="C317" s="41"/>
      <c r="D317" s="273"/>
      <c r="E317" s="274"/>
      <c r="F317" s="275"/>
      <c r="G317" s="276" t="str">
        <f>IFERROR(IF(ventas_b_mes11[[#This Row],[CUIT]]="","-",VLOOKUP(ventas_b_mes11[[#This Row],[CUIT]],Lista_CUIT[#All],2,0)),"CUIT NO CARGADO")</f>
        <v>-</v>
      </c>
      <c r="H317" s="277"/>
      <c r="I317" s="278"/>
      <c r="J317" s="279"/>
      <c r="K317" s="279"/>
      <c r="L317" s="279">
        <f>SUM(ventas_b_mes11[[#This Row],[IMPORTE NETO]:[EXENTO]])</f>
        <v>0</v>
      </c>
      <c r="M317" s="280"/>
    </row>
    <row r="318" spans="2:13" x14ac:dyDescent="0.25">
      <c r="B318" s="271"/>
      <c r="C318" s="41"/>
      <c r="D318" s="273"/>
      <c r="E318" s="274"/>
      <c r="F318" s="275"/>
      <c r="G318" s="276" t="str">
        <f>IFERROR(IF(ventas_b_mes11[[#This Row],[CUIT]]="","-",VLOOKUP(ventas_b_mes11[[#This Row],[CUIT]],Lista_CUIT[#All],2,0)),"CUIT NO CARGADO")</f>
        <v>-</v>
      </c>
      <c r="H318" s="277"/>
      <c r="I318" s="278"/>
      <c r="J318" s="279"/>
      <c r="K318" s="279"/>
      <c r="L318" s="279">
        <f>SUM(ventas_b_mes11[[#This Row],[IMPORTE NETO]:[EXENTO]])</f>
        <v>0</v>
      </c>
      <c r="M318" s="280"/>
    </row>
    <row r="319" spans="2:13" x14ac:dyDescent="0.25">
      <c r="B319" s="271"/>
      <c r="C319" s="41"/>
      <c r="D319" s="273"/>
      <c r="E319" s="274"/>
      <c r="F319" s="275"/>
      <c r="G319" s="276" t="str">
        <f>IFERROR(IF(ventas_b_mes11[[#This Row],[CUIT]]="","-",VLOOKUP(ventas_b_mes11[[#This Row],[CUIT]],Lista_CUIT[#All],2,0)),"CUIT NO CARGADO")</f>
        <v>-</v>
      </c>
      <c r="H319" s="277"/>
      <c r="I319" s="278"/>
      <c r="J319" s="279"/>
      <c r="K319" s="279"/>
      <c r="L319" s="279">
        <f>SUM(ventas_b_mes11[[#This Row],[IMPORTE NETO]:[EXENTO]])</f>
        <v>0</v>
      </c>
      <c r="M319" s="280"/>
    </row>
    <row r="320" spans="2:13" x14ac:dyDescent="0.25">
      <c r="B320" s="271"/>
      <c r="C320" s="41"/>
      <c r="D320" s="273"/>
      <c r="E320" s="274"/>
      <c r="F320" s="275"/>
      <c r="G320" s="276" t="str">
        <f>IFERROR(IF(ventas_b_mes11[[#This Row],[CUIT]]="","-",VLOOKUP(ventas_b_mes11[[#This Row],[CUIT]],Lista_CUIT[#All],2,0)),"CUIT NO CARGADO")</f>
        <v>-</v>
      </c>
      <c r="H320" s="277"/>
      <c r="I320" s="278"/>
      <c r="J320" s="279"/>
      <c r="K320" s="279"/>
      <c r="L320" s="279">
        <f>SUM(ventas_b_mes11[[#This Row],[IMPORTE NETO]:[EXENTO]])</f>
        <v>0</v>
      </c>
      <c r="M320" s="280"/>
    </row>
    <row r="321" spans="2:13" x14ac:dyDescent="0.25">
      <c r="B321" s="271"/>
      <c r="C321" s="41"/>
      <c r="D321" s="273"/>
      <c r="E321" s="274"/>
      <c r="F321" s="275"/>
      <c r="G321" s="276" t="str">
        <f>IFERROR(IF(ventas_b_mes11[[#This Row],[CUIT]]="","-",VLOOKUP(ventas_b_mes11[[#This Row],[CUIT]],Lista_CUIT[#All],2,0)),"CUIT NO CARGADO")</f>
        <v>-</v>
      </c>
      <c r="H321" s="277"/>
      <c r="I321" s="278"/>
      <c r="J321" s="279"/>
      <c r="K321" s="279"/>
      <c r="L321" s="279">
        <f>SUM(ventas_b_mes11[[#This Row],[IMPORTE NETO]:[EXENTO]])</f>
        <v>0</v>
      </c>
      <c r="M321" s="280"/>
    </row>
    <row r="322" spans="2:13" x14ac:dyDescent="0.25">
      <c r="B322" s="271"/>
      <c r="C322" s="41"/>
      <c r="D322" s="273"/>
      <c r="E322" s="274"/>
      <c r="F322" s="275"/>
      <c r="G322" s="276" t="str">
        <f>IFERROR(IF(ventas_b_mes11[[#This Row],[CUIT]]="","-",VLOOKUP(ventas_b_mes11[[#This Row],[CUIT]],Lista_CUIT[#All],2,0)),"CUIT NO CARGADO")</f>
        <v>-</v>
      </c>
      <c r="H322" s="277"/>
      <c r="I322" s="278"/>
      <c r="J322" s="279"/>
      <c r="K322" s="279"/>
      <c r="L322" s="279">
        <f>SUM(ventas_b_mes11[[#This Row],[IMPORTE NETO]:[EXENTO]])</f>
        <v>0</v>
      </c>
      <c r="M322" s="280"/>
    </row>
    <row r="323" spans="2:13" x14ac:dyDescent="0.25">
      <c r="B323" s="271"/>
      <c r="C323" s="41"/>
      <c r="D323" s="273"/>
      <c r="E323" s="274"/>
      <c r="F323" s="275"/>
      <c r="G323" s="276" t="str">
        <f>IFERROR(IF(ventas_b_mes11[[#This Row],[CUIT]]="","-",VLOOKUP(ventas_b_mes11[[#This Row],[CUIT]],Lista_CUIT[#All],2,0)),"CUIT NO CARGADO")</f>
        <v>-</v>
      </c>
      <c r="H323" s="277"/>
      <c r="I323" s="278"/>
      <c r="J323" s="279"/>
      <c r="K323" s="279"/>
      <c r="L323" s="279">
        <f>SUM(ventas_b_mes11[[#This Row],[IMPORTE NETO]:[EXENTO]])</f>
        <v>0</v>
      </c>
      <c r="M323" s="280"/>
    </row>
    <row r="324" spans="2:13" x14ac:dyDescent="0.25">
      <c r="B324" s="271"/>
      <c r="C324" s="41"/>
      <c r="D324" s="273"/>
      <c r="E324" s="274"/>
      <c r="F324" s="275"/>
      <c r="G324" s="276" t="str">
        <f>IFERROR(IF(ventas_b_mes11[[#This Row],[CUIT]]="","-",VLOOKUP(ventas_b_mes11[[#This Row],[CUIT]],Lista_CUIT[#All],2,0)),"CUIT NO CARGADO")</f>
        <v>-</v>
      </c>
      <c r="H324" s="277"/>
      <c r="I324" s="278"/>
      <c r="J324" s="279"/>
      <c r="K324" s="279"/>
      <c r="L324" s="279">
        <f>SUM(ventas_b_mes11[[#This Row],[IMPORTE NETO]:[EXENTO]])</f>
        <v>0</v>
      </c>
      <c r="M324" s="280"/>
    </row>
    <row r="325" spans="2:13" x14ac:dyDescent="0.25">
      <c r="B325" s="271"/>
      <c r="C325" s="41"/>
      <c r="D325" s="273"/>
      <c r="E325" s="274"/>
      <c r="F325" s="275"/>
      <c r="G325" s="276" t="str">
        <f>IFERROR(IF(ventas_b_mes11[[#This Row],[CUIT]]="","-",VLOOKUP(ventas_b_mes11[[#This Row],[CUIT]],Lista_CUIT[#All],2,0)),"CUIT NO CARGADO")</f>
        <v>-</v>
      </c>
      <c r="H325" s="277"/>
      <c r="I325" s="278"/>
      <c r="J325" s="279"/>
      <c r="K325" s="279"/>
      <c r="L325" s="279">
        <f>SUM(ventas_b_mes11[[#This Row],[IMPORTE NETO]:[EXENTO]])</f>
        <v>0</v>
      </c>
      <c r="M325" s="280"/>
    </row>
    <row r="326" spans="2:13" x14ac:dyDescent="0.25">
      <c r="B326" s="271"/>
      <c r="C326" s="41"/>
      <c r="D326" s="273"/>
      <c r="E326" s="274"/>
      <c r="F326" s="275"/>
      <c r="G326" s="276" t="str">
        <f>IFERROR(IF(ventas_b_mes11[[#This Row],[CUIT]]="","-",VLOOKUP(ventas_b_mes11[[#This Row],[CUIT]],Lista_CUIT[#All],2,0)),"CUIT NO CARGADO")</f>
        <v>-</v>
      </c>
      <c r="H326" s="277"/>
      <c r="I326" s="278"/>
      <c r="J326" s="279"/>
      <c r="K326" s="279"/>
      <c r="L326" s="279">
        <f>SUM(ventas_b_mes11[[#This Row],[IMPORTE NETO]:[EXENTO]])</f>
        <v>0</v>
      </c>
      <c r="M326" s="280"/>
    </row>
    <row r="327" spans="2:13" x14ac:dyDescent="0.25">
      <c r="B327" s="271"/>
      <c r="C327" s="41"/>
      <c r="D327" s="273"/>
      <c r="E327" s="274"/>
      <c r="F327" s="275"/>
      <c r="G327" s="276" t="str">
        <f>IFERROR(IF(ventas_b_mes11[[#This Row],[CUIT]]="","-",VLOOKUP(ventas_b_mes11[[#This Row],[CUIT]],Lista_CUIT[#All],2,0)),"CUIT NO CARGADO")</f>
        <v>-</v>
      </c>
      <c r="H327" s="277"/>
      <c r="I327" s="278"/>
      <c r="J327" s="279"/>
      <c r="K327" s="279"/>
      <c r="L327" s="279">
        <f>SUM(ventas_b_mes11[[#This Row],[IMPORTE NETO]:[EXENTO]])</f>
        <v>0</v>
      </c>
      <c r="M327" s="280"/>
    </row>
    <row r="328" spans="2:13" x14ac:dyDescent="0.25">
      <c r="B328" s="271"/>
      <c r="C328" s="41"/>
      <c r="D328" s="273"/>
      <c r="E328" s="274"/>
      <c r="F328" s="275"/>
      <c r="G328" s="276" t="str">
        <f>IFERROR(IF(ventas_b_mes11[[#This Row],[CUIT]]="","-",VLOOKUP(ventas_b_mes11[[#This Row],[CUIT]],Lista_CUIT[#All],2,0)),"CUIT NO CARGADO")</f>
        <v>-</v>
      </c>
      <c r="H328" s="277"/>
      <c r="I328" s="278"/>
      <c r="J328" s="279"/>
      <c r="K328" s="279"/>
      <c r="L328" s="279">
        <f>SUM(ventas_b_mes11[[#This Row],[IMPORTE NETO]:[EXENTO]])</f>
        <v>0</v>
      </c>
      <c r="M328" s="280"/>
    </row>
    <row r="329" spans="2:13" x14ac:dyDescent="0.25">
      <c r="B329" s="271"/>
      <c r="C329" s="41"/>
      <c r="D329" s="273"/>
      <c r="E329" s="274"/>
      <c r="F329" s="275"/>
      <c r="G329" s="276" t="str">
        <f>IFERROR(IF(ventas_b_mes11[[#This Row],[CUIT]]="","-",VLOOKUP(ventas_b_mes11[[#This Row],[CUIT]],Lista_CUIT[#All],2,0)),"CUIT NO CARGADO")</f>
        <v>-</v>
      </c>
      <c r="H329" s="277"/>
      <c r="I329" s="278"/>
      <c r="J329" s="279"/>
      <c r="K329" s="279"/>
      <c r="L329" s="279">
        <f>SUM(ventas_b_mes11[[#This Row],[IMPORTE NETO]:[EXENTO]])</f>
        <v>0</v>
      </c>
      <c r="M329" s="280"/>
    </row>
    <row r="330" spans="2:13" x14ac:dyDescent="0.25">
      <c r="B330" s="271"/>
      <c r="C330" s="41"/>
      <c r="D330" s="273"/>
      <c r="E330" s="274"/>
      <c r="F330" s="275"/>
      <c r="G330" s="276" t="str">
        <f>IFERROR(IF(ventas_b_mes11[[#This Row],[CUIT]]="","-",VLOOKUP(ventas_b_mes11[[#This Row],[CUIT]],Lista_CUIT[#All],2,0)),"CUIT NO CARGADO")</f>
        <v>-</v>
      </c>
      <c r="H330" s="277"/>
      <c r="I330" s="278"/>
      <c r="J330" s="279"/>
      <c r="K330" s="279"/>
      <c r="L330" s="279">
        <f>SUM(ventas_b_mes11[[#This Row],[IMPORTE NETO]:[EXENTO]])</f>
        <v>0</v>
      </c>
      <c r="M330" s="280"/>
    </row>
    <row r="331" spans="2:13" x14ac:dyDescent="0.25">
      <c r="B331" s="271"/>
      <c r="C331" s="41"/>
      <c r="D331" s="273"/>
      <c r="E331" s="274"/>
      <c r="F331" s="275"/>
      <c r="G331" s="276" t="str">
        <f>IFERROR(IF(ventas_b_mes11[[#This Row],[CUIT]]="","-",VLOOKUP(ventas_b_mes11[[#This Row],[CUIT]],Lista_CUIT[#All],2,0)),"CUIT NO CARGADO")</f>
        <v>-</v>
      </c>
      <c r="H331" s="277"/>
      <c r="I331" s="278"/>
      <c r="J331" s="279"/>
      <c r="K331" s="279"/>
      <c r="L331" s="279">
        <f>SUM(ventas_b_mes11[[#This Row],[IMPORTE NETO]:[EXENTO]])</f>
        <v>0</v>
      </c>
      <c r="M331" s="280"/>
    </row>
    <row r="332" spans="2:13" x14ac:dyDescent="0.25">
      <c r="B332" s="271"/>
      <c r="C332" s="41"/>
      <c r="D332" s="273"/>
      <c r="E332" s="274"/>
      <c r="F332" s="275"/>
      <c r="G332" s="276" t="str">
        <f>IFERROR(IF(ventas_b_mes11[[#This Row],[CUIT]]="","-",VLOOKUP(ventas_b_mes11[[#This Row],[CUIT]],Lista_CUIT[#All],2,0)),"CUIT NO CARGADO")</f>
        <v>-</v>
      </c>
      <c r="H332" s="277"/>
      <c r="I332" s="278"/>
      <c r="J332" s="279"/>
      <c r="K332" s="279"/>
      <c r="L332" s="279">
        <f>SUM(ventas_b_mes11[[#This Row],[IMPORTE NETO]:[EXENTO]])</f>
        <v>0</v>
      </c>
      <c r="M332" s="280"/>
    </row>
    <row r="333" spans="2:13" x14ac:dyDescent="0.25">
      <c r="B333" s="271"/>
      <c r="C333" s="41"/>
      <c r="D333" s="273"/>
      <c r="E333" s="274"/>
      <c r="F333" s="275"/>
      <c r="G333" s="276" t="str">
        <f>IFERROR(IF(ventas_b_mes11[[#This Row],[CUIT]]="","-",VLOOKUP(ventas_b_mes11[[#This Row],[CUIT]],Lista_CUIT[#All],2,0)),"CUIT NO CARGADO")</f>
        <v>-</v>
      </c>
      <c r="H333" s="277"/>
      <c r="I333" s="278"/>
      <c r="J333" s="279"/>
      <c r="K333" s="279"/>
      <c r="L333" s="279">
        <f>SUM(ventas_b_mes11[[#This Row],[IMPORTE NETO]:[EXENTO]])</f>
        <v>0</v>
      </c>
      <c r="M333" s="280"/>
    </row>
    <row r="334" spans="2:13" x14ac:dyDescent="0.25">
      <c r="B334" s="271"/>
      <c r="C334" s="41"/>
      <c r="D334" s="273"/>
      <c r="E334" s="274"/>
      <c r="F334" s="275"/>
      <c r="G334" s="276" t="str">
        <f>IFERROR(IF(ventas_b_mes11[[#This Row],[CUIT]]="","-",VLOOKUP(ventas_b_mes11[[#This Row],[CUIT]],Lista_CUIT[#All],2,0)),"CUIT NO CARGADO")</f>
        <v>-</v>
      </c>
      <c r="H334" s="277"/>
      <c r="I334" s="278"/>
      <c r="J334" s="279"/>
      <c r="K334" s="279"/>
      <c r="L334" s="279">
        <f>SUM(ventas_b_mes11[[#This Row],[IMPORTE NETO]:[EXENTO]])</f>
        <v>0</v>
      </c>
      <c r="M334" s="280"/>
    </row>
    <row r="335" spans="2:13" x14ac:dyDescent="0.25">
      <c r="B335" s="271"/>
      <c r="C335" s="41"/>
      <c r="D335" s="273"/>
      <c r="E335" s="274"/>
      <c r="F335" s="275"/>
      <c r="G335" s="276" t="str">
        <f>IFERROR(IF(ventas_b_mes11[[#This Row],[CUIT]]="","-",VLOOKUP(ventas_b_mes11[[#This Row],[CUIT]],Lista_CUIT[#All],2,0)),"CUIT NO CARGADO")</f>
        <v>-</v>
      </c>
      <c r="H335" s="277"/>
      <c r="I335" s="278"/>
      <c r="J335" s="279"/>
      <c r="K335" s="279"/>
      <c r="L335" s="279">
        <f>SUM(ventas_b_mes11[[#This Row],[IMPORTE NETO]:[EXENTO]])</f>
        <v>0</v>
      </c>
      <c r="M335" s="280"/>
    </row>
    <row r="336" spans="2:13" x14ac:dyDescent="0.25">
      <c r="B336" s="271"/>
      <c r="C336" s="41"/>
      <c r="D336" s="273"/>
      <c r="E336" s="274"/>
      <c r="F336" s="275"/>
      <c r="G336" s="276" t="str">
        <f>IFERROR(IF(ventas_b_mes11[[#This Row],[CUIT]]="","-",VLOOKUP(ventas_b_mes11[[#This Row],[CUIT]],Lista_CUIT[#All],2,0)),"CUIT NO CARGADO")</f>
        <v>-</v>
      </c>
      <c r="H336" s="277"/>
      <c r="I336" s="278"/>
      <c r="J336" s="279"/>
      <c r="K336" s="279"/>
      <c r="L336" s="279">
        <f>SUM(ventas_b_mes11[[#This Row],[IMPORTE NETO]:[EXENTO]])</f>
        <v>0</v>
      </c>
      <c r="M336" s="280"/>
    </row>
    <row r="337" spans="2:13" x14ac:dyDescent="0.25">
      <c r="B337" s="271"/>
      <c r="C337" s="41"/>
      <c r="D337" s="273"/>
      <c r="E337" s="274"/>
      <c r="F337" s="275"/>
      <c r="G337" s="276" t="str">
        <f>IFERROR(IF(ventas_b_mes11[[#This Row],[CUIT]]="","-",VLOOKUP(ventas_b_mes11[[#This Row],[CUIT]],Lista_CUIT[#All],2,0)),"CUIT NO CARGADO")</f>
        <v>-</v>
      </c>
      <c r="H337" s="277"/>
      <c r="I337" s="278"/>
      <c r="J337" s="279"/>
      <c r="K337" s="279"/>
      <c r="L337" s="279">
        <f>SUM(ventas_b_mes11[[#This Row],[IMPORTE NETO]:[EXENTO]])</f>
        <v>0</v>
      </c>
      <c r="M337" s="280"/>
    </row>
    <row r="338" spans="2:13" x14ac:dyDescent="0.25">
      <c r="B338" s="271"/>
      <c r="C338" s="41"/>
      <c r="D338" s="273"/>
      <c r="E338" s="274"/>
      <c r="F338" s="275"/>
      <c r="G338" s="276" t="str">
        <f>IFERROR(IF(ventas_b_mes11[[#This Row],[CUIT]]="","-",VLOOKUP(ventas_b_mes11[[#This Row],[CUIT]],Lista_CUIT[#All],2,0)),"CUIT NO CARGADO")</f>
        <v>-</v>
      </c>
      <c r="H338" s="277"/>
      <c r="I338" s="278"/>
      <c r="J338" s="279"/>
      <c r="K338" s="279"/>
      <c r="L338" s="279">
        <f>SUM(ventas_b_mes11[[#This Row],[IMPORTE NETO]:[EXENTO]])</f>
        <v>0</v>
      </c>
      <c r="M338" s="280"/>
    </row>
    <row r="339" spans="2:13" x14ac:dyDescent="0.25">
      <c r="B339" s="271"/>
      <c r="C339" s="41"/>
      <c r="D339" s="273"/>
      <c r="E339" s="274"/>
      <c r="F339" s="275"/>
      <c r="G339" s="276" t="str">
        <f>IFERROR(IF(ventas_b_mes11[[#This Row],[CUIT]]="","-",VLOOKUP(ventas_b_mes11[[#This Row],[CUIT]],Lista_CUIT[#All],2,0)),"CUIT NO CARGADO")</f>
        <v>-</v>
      </c>
      <c r="H339" s="277"/>
      <c r="I339" s="278"/>
      <c r="J339" s="279"/>
      <c r="K339" s="279"/>
      <c r="L339" s="279">
        <f>SUM(ventas_b_mes11[[#This Row],[IMPORTE NETO]:[EXENTO]])</f>
        <v>0</v>
      </c>
      <c r="M339" s="280"/>
    </row>
    <row r="340" spans="2:13" x14ac:dyDescent="0.25">
      <c r="B340" s="271"/>
      <c r="C340" s="41"/>
      <c r="D340" s="273"/>
      <c r="E340" s="274"/>
      <c r="F340" s="275"/>
      <c r="G340" s="276" t="str">
        <f>IFERROR(IF(ventas_b_mes11[[#This Row],[CUIT]]="","-",VLOOKUP(ventas_b_mes11[[#This Row],[CUIT]],Lista_CUIT[#All],2,0)),"CUIT NO CARGADO")</f>
        <v>-</v>
      </c>
      <c r="H340" s="277"/>
      <c r="I340" s="278"/>
      <c r="J340" s="279"/>
      <c r="K340" s="279"/>
      <c r="L340" s="279">
        <f>SUM(ventas_b_mes11[[#This Row],[IMPORTE NETO]:[EXENTO]])</f>
        <v>0</v>
      </c>
      <c r="M340" s="280"/>
    </row>
    <row r="341" spans="2:13" x14ac:dyDescent="0.25">
      <c r="B341" s="271"/>
      <c r="C341" s="41"/>
      <c r="D341" s="273"/>
      <c r="E341" s="274"/>
      <c r="F341" s="275"/>
      <c r="G341" s="276" t="str">
        <f>IFERROR(IF(ventas_b_mes11[[#This Row],[CUIT]]="","-",VLOOKUP(ventas_b_mes11[[#This Row],[CUIT]],Lista_CUIT[#All],2,0)),"CUIT NO CARGADO")</f>
        <v>-</v>
      </c>
      <c r="H341" s="277"/>
      <c r="I341" s="278"/>
      <c r="J341" s="279"/>
      <c r="K341" s="279"/>
      <c r="L341" s="279">
        <f>SUM(ventas_b_mes11[[#This Row],[IMPORTE NETO]:[EXENTO]])</f>
        <v>0</v>
      </c>
      <c r="M341" s="280"/>
    </row>
    <row r="342" spans="2:13" x14ac:dyDescent="0.25">
      <c r="B342" s="271"/>
      <c r="C342" s="41"/>
      <c r="D342" s="273"/>
      <c r="E342" s="274"/>
      <c r="F342" s="275"/>
      <c r="G342" s="276" t="str">
        <f>IFERROR(IF(ventas_b_mes11[[#This Row],[CUIT]]="","-",VLOOKUP(ventas_b_mes11[[#This Row],[CUIT]],Lista_CUIT[#All],2,0)),"CUIT NO CARGADO")</f>
        <v>-</v>
      </c>
      <c r="H342" s="277"/>
      <c r="I342" s="278"/>
      <c r="J342" s="279"/>
      <c r="K342" s="279"/>
      <c r="L342" s="279">
        <f>SUM(ventas_b_mes11[[#This Row],[IMPORTE NETO]:[EXENTO]])</f>
        <v>0</v>
      </c>
      <c r="M342" s="280"/>
    </row>
    <row r="343" spans="2:13" x14ac:dyDescent="0.25">
      <c r="B343" s="271"/>
      <c r="C343" s="41"/>
      <c r="D343" s="273"/>
      <c r="E343" s="274"/>
      <c r="F343" s="275"/>
      <c r="G343" s="276" t="str">
        <f>IFERROR(IF(ventas_b_mes11[[#This Row],[CUIT]]="","-",VLOOKUP(ventas_b_mes11[[#This Row],[CUIT]],Lista_CUIT[#All],2,0)),"CUIT NO CARGADO")</f>
        <v>-</v>
      </c>
      <c r="H343" s="277"/>
      <c r="I343" s="278"/>
      <c r="J343" s="279"/>
      <c r="K343" s="279"/>
      <c r="L343" s="279">
        <f>SUM(ventas_b_mes11[[#This Row],[IMPORTE NETO]:[EXENTO]])</f>
        <v>0</v>
      </c>
      <c r="M343" s="280"/>
    </row>
    <row r="344" spans="2:13" x14ac:dyDescent="0.25">
      <c r="B344" s="271"/>
      <c r="C344" s="41"/>
      <c r="D344" s="273"/>
      <c r="E344" s="274"/>
      <c r="F344" s="275"/>
      <c r="G344" s="276" t="str">
        <f>IFERROR(IF(ventas_b_mes11[[#This Row],[CUIT]]="","-",VLOOKUP(ventas_b_mes11[[#This Row],[CUIT]],Lista_CUIT[#All],2,0)),"CUIT NO CARGADO")</f>
        <v>-</v>
      </c>
      <c r="H344" s="277"/>
      <c r="I344" s="278"/>
      <c r="J344" s="279"/>
      <c r="K344" s="279"/>
      <c r="L344" s="279">
        <f>SUM(ventas_b_mes11[[#This Row],[IMPORTE NETO]:[EXENTO]])</f>
        <v>0</v>
      </c>
      <c r="M344" s="280"/>
    </row>
    <row r="345" spans="2:13" x14ac:dyDescent="0.25">
      <c r="B345" s="271"/>
      <c r="C345" s="41"/>
      <c r="D345" s="273"/>
      <c r="E345" s="274"/>
      <c r="F345" s="275"/>
      <c r="G345" s="276" t="str">
        <f>IFERROR(IF(ventas_b_mes11[[#This Row],[CUIT]]="","-",VLOOKUP(ventas_b_mes11[[#This Row],[CUIT]],Lista_CUIT[#All],2,0)),"CUIT NO CARGADO")</f>
        <v>-</v>
      </c>
      <c r="H345" s="277"/>
      <c r="I345" s="278"/>
      <c r="J345" s="279"/>
      <c r="K345" s="279"/>
      <c r="L345" s="279">
        <f>SUM(ventas_b_mes11[[#This Row],[IMPORTE NETO]:[EXENTO]])</f>
        <v>0</v>
      </c>
      <c r="M345" s="280"/>
    </row>
    <row r="346" spans="2:13" x14ac:dyDescent="0.25">
      <c r="B346" s="271"/>
      <c r="C346" s="41"/>
      <c r="D346" s="273"/>
      <c r="E346" s="274"/>
      <c r="F346" s="275"/>
      <c r="G346" s="276" t="str">
        <f>IFERROR(IF(ventas_b_mes11[[#This Row],[CUIT]]="","-",VLOOKUP(ventas_b_mes11[[#This Row],[CUIT]],Lista_CUIT[#All],2,0)),"CUIT NO CARGADO")</f>
        <v>-</v>
      </c>
      <c r="H346" s="277"/>
      <c r="I346" s="278"/>
      <c r="J346" s="279"/>
      <c r="K346" s="279"/>
      <c r="L346" s="279">
        <f>SUM(ventas_b_mes11[[#This Row],[IMPORTE NETO]:[EXENTO]])</f>
        <v>0</v>
      </c>
      <c r="M346" s="280"/>
    </row>
    <row r="347" spans="2:13" x14ac:dyDescent="0.25">
      <c r="B347" s="271"/>
      <c r="C347" s="41"/>
      <c r="D347" s="273"/>
      <c r="E347" s="274"/>
      <c r="F347" s="275"/>
      <c r="G347" s="276" t="str">
        <f>IFERROR(IF(ventas_b_mes11[[#This Row],[CUIT]]="","-",VLOOKUP(ventas_b_mes11[[#This Row],[CUIT]],Lista_CUIT[#All],2,0)),"CUIT NO CARGADO")</f>
        <v>-</v>
      </c>
      <c r="H347" s="277"/>
      <c r="I347" s="278"/>
      <c r="J347" s="279"/>
      <c r="K347" s="279"/>
      <c r="L347" s="279">
        <f>SUM(ventas_b_mes11[[#This Row],[IMPORTE NETO]:[EXENTO]])</f>
        <v>0</v>
      </c>
      <c r="M347" s="280"/>
    </row>
    <row r="348" spans="2:13" x14ac:dyDescent="0.25">
      <c r="B348" s="271"/>
      <c r="C348" s="41"/>
      <c r="D348" s="273"/>
      <c r="E348" s="274"/>
      <c r="F348" s="275"/>
      <c r="G348" s="276" t="str">
        <f>IFERROR(IF(ventas_b_mes11[[#This Row],[CUIT]]="","-",VLOOKUP(ventas_b_mes11[[#This Row],[CUIT]],Lista_CUIT[#All],2,0)),"CUIT NO CARGADO")</f>
        <v>-</v>
      </c>
      <c r="H348" s="277"/>
      <c r="I348" s="278"/>
      <c r="J348" s="279"/>
      <c r="K348" s="279"/>
      <c r="L348" s="279">
        <f>SUM(ventas_b_mes11[[#This Row],[IMPORTE NETO]:[EXENTO]])</f>
        <v>0</v>
      </c>
      <c r="M348" s="280"/>
    </row>
    <row r="349" spans="2:13" x14ac:dyDescent="0.25">
      <c r="B349" s="271"/>
      <c r="C349" s="41"/>
      <c r="D349" s="273"/>
      <c r="E349" s="274"/>
      <c r="F349" s="275"/>
      <c r="G349" s="276" t="str">
        <f>IFERROR(IF(ventas_b_mes11[[#This Row],[CUIT]]="","-",VLOOKUP(ventas_b_mes11[[#This Row],[CUIT]],Lista_CUIT[#All],2,0)),"CUIT NO CARGADO")</f>
        <v>-</v>
      </c>
      <c r="H349" s="277"/>
      <c r="I349" s="278"/>
      <c r="J349" s="279"/>
      <c r="K349" s="279"/>
      <c r="L349" s="279">
        <f>SUM(ventas_b_mes11[[#This Row],[IMPORTE NETO]:[EXENTO]])</f>
        <v>0</v>
      </c>
      <c r="M349" s="280"/>
    </row>
    <row r="350" spans="2:13" x14ac:dyDescent="0.25">
      <c r="B350" s="271"/>
      <c r="C350" s="41"/>
      <c r="D350" s="273"/>
      <c r="E350" s="274"/>
      <c r="F350" s="275"/>
      <c r="G350" s="276" t="str">
        <f>IFERROR(IF(ventas_b_mes11[[#This Row],[CUIT]]="","-",VLOOKUP(ventas_b_mes11[[#This Row],[CUIT]],Lista_CUIT[#All],2,0)),"CUIT NO CARGADO")</f>
        <v>-</v>
      </c>
      <c r="H350" s="277"/>
      <c r="I350" s="278"/>
      <c r="J350" s="279"/>
      <c r="K350" s="279"/>
      <c r="L350" s="279">
        <f>SUM(ventas_b_mes11[[#This Row],[IMPORTE NETO]:[EXENTO]])</f>
        <v>0</v>
      </c>
      <c r="M350" s="280"/>
    </row>
    <row r="351" spans="2:13" x14ac:dyDescent="0.25">
      <c r="B351" s="271"/>
      <c r="C351" s="41"/>
      <c r="D351" s="273"/>
      <c r="E351" s="274"/>
      <c r="F351" s="275"/>
      <c r="G351" s="276" t="str">
        <f>IFERROR(IF(ventas_b_mes11[[#This Row],[CUIT]]="","-",VLOOKUP(ventas_b_mes11[[#This Row],[CUIT]],Lista_CUIT[#All],2,0)),"CUIT NO CARGADO")</f>
        <v>-</v>
      </c>
      <c r="H351" s="277"/>
      <c r="I351" s="278"/>
      <c r="J351" s="279"/>
      <c r="K351" s="279"/>
      <c r="L351" s="279">
        <f>SUM(ventas_b_mes11[[#This Row],[IMPORTE NETO]:[EXENTO]])</f>
        <v>0</v>
      </c>
      <c r="M351" s="280"/>
    </row>
    <row r="352" spans="2:13" x14ac:dyDescent="0.25">
      <c r="B352" s="271"/>
      <c r="C352" s="41"/>
      <c r="D352" s="273"/>
      <c r="E352" s="274"/>
      <c r="F352" s="275"/>
      <c r="G352" s="276" t="str">
        <f>IFERROR(IF(ventas_b_mes11[[#This Row],[CUIT]]="","-",VLOOKUP(ventas_b_mes11[[#This Row],[CUIT]],Lista_CUIT[#All],2,0)),"CUIT NO CARGADO")</f>
        <v>-</v>
      </c>
      <c r="H352" s="277"/>
      <c r="I352" s="278"/>
      <c r="J352" s="279"/>
      <c r="K352" s="279"/>
      <c r="L352" s="279">
        <f>SUM(ventas_b_mes11[[#This Row],[IMPORTE NETO]:[EXENTO]])</f>
        <v>0</v>
      </c>
      <c r="M352" s="280"/>
    </row>
    <row r="353" spans="2:13" x14ac:dyDescent="0.25">
      <c r="B353" s="271"/>
      <c r="C353" s="41"/>
      <c r="D353" s="273"/>
      <c r="E353" s="274"/>
      <c r="F353" s="275"/>
      <c r="G353" s="276" t="str">
        <f>IFERROR(IF(ventas_b_mes11[[#This Row],[CUIT]]="","-",VLOOKUP(ventas_b_mes11[[#This Row],[CUIT]],Lista_CUIT[#All],2,0)),"CUIT NO CARGADO")</f>
        <v>-</v>
      </c>
      <c r="H353" s="277"/>
      <c r="I353" s="278"/>
      <c r="J353" s="279"/>
      <c r="K353" s="279"/>
      <c r="L353" s="279">
        <f>SUM(ventas_b_mes11[[#This Row],[IMPORTE NETO]:[EXENTO]])</f>
        <v>0</v>
      </c>
      <c r="M353" s="280"/>
    </row>
    <row r="354" spans="2:13" x14ac:dyDescent="0.25">
      <c r="B354" s="271"/>
      <c r="C354" s="41"/>
      <c r="D354" s="273"/>
      <c r="E354" s="274"/>
      <c r="F354" s="275"/>
      <c r="G354" s="276" t="str">
        <f>IFERROR(IF(ventas_b_mes11[[#This Row],[CUIT]]="","-",VLOOKUP(ventas_b_mes11[[#This Row],[CUIT]],Lista_CUIT[#All],2,0)),"CUIT NO CARGADO")</f>
        <v>-</v>
      </c>
      <c r="H354" s="277"/>
      <c r="I354" s="278"/>
      <c r="J354" s="279"/>
      <c r="K354" s="279"/>
      <c r="L354" s="279">
        <f>SUM(ventas_b_mes11[[#This Row],[IMPORTE NETO]:[EXENTO]])</f>
        <v>0</v>
      </c>
      <c r="M354" s="280"/>
    </row>
    <row r="355" spans="2:13" x14ac:dyDescent="0.25">
      <c r="B355" s="271"/>
      <c r="C355" s="41"/>
      <c r="D355" s="273"/>
      <c r="E355" s="274"/>
      <c r="F355" s="275"/>
      <c r="G355" s="276" t="str">
        <f>IFERROR(IF(ventas_b_mes11[[#This Row],[CUIT]]="","-",VLOOKUP(ventas_b_mes11[[#This Row],[CUIT]],Lista_CUIT[#All],2,0)),"CUIT NO CARGADO")</f>
        <v>-</v>
      </c>
      <c r="H355" s="277"/>
      <c r="I355" s="278"/>
      <c r="J355" s="279"/>
      <c r="K355" s="279"/>
      <c r="L355" s="279">
        <f>SUM(ventas_b_mes11[[#This Row],[IMPORTE NETO]:[EXENTO]])</f>
        <v>0</v>
      </c>
      <c r="M355" s="280"/>
    </row>
    <row r="356" spans="2:13" x14ac:dyDescent="0.25">
      <c r="B356" s="271"/>
      <c r="C356" s="41"/>
      <c r="D356" s="273"/>
      <c r="E356" s="274"/>
      <c r="F356" s="275"/>
      <c r="G356" s="276" t="str">
        <f>IFERROR(IF(ventas_b_mes11[[#This Row],[CUIT]]="","-",VLOOKUP(ventas_b_mes11[[#This Row],[CUIT]],Lista_CUIT[#All],2,0)),"CUIT NO CARGADO")</f>
        <v>-</v>
      </c>
      <c r="H356" s="277"/>
      <c r="I356" s="278"/>
      <c r="J356" s="279"/>
      <c r="K356" s="279"/>
      <c r="L356" s="279">
        <f>SUM(ventas_b_mes11[[#This Row],[IMPORTE NETO]:[EXENTO]])</f>
        <v>0</v>
      </c>
      <c r="M356" s="280"/>
    </row>
    <row r="357" spans="2:13" x14ac:dyDescent="0.25">
      <c r="B357" s="271"/>
      <c r="C357" s="41"/>
      <c r="D357" s="273"/>
      <c r="E357" s="274"/>
      <c r="F357" s="275"/>
      <c r="G357" s="276" t="str">
        <f>IFERROR(IF(ventas_b_mes11[[#This Row],[CUIT]]="","-",VLOOKUP(ventas_b_mes11[[#This Row],[CUIT]],Lista_CUIT[#All],2,0)),"CUIT NO CARGADO")</f>
        <v>-</v>
      </c>
      <c r="H357" s="277"/>
      <c r="I357" s="278"/>
      <c r="J357" s="279"/>
      <c r="K357" s="279"/>
      <c r="L357" s="279">
        <f>SUM(ventas_b_mes11[[#This Row],[IMPORTE NETO]:[EXENTO]])</f>
        <v>0</v>
      </c>
      <c r="M357" s="280"/>
    </row>
    <row r="358" spans="2:13" x14ac:dyDescent="0.25">
      <c r="B358" s="271"/>
      <c r="C358" s="41"/>
      <c r="D358" s="273"/>
      <c r="E358" s="274"/>
      <c r="F358" s="275"/>
      <c r="G358" s="276" t="str">
        <f>IFERROR(IF(ventas_b_mes11[[#This Row],[CUIT]]="","-",VLOOKUP(ventas_b_mes11[[#This Row],[CUIT]],Lista_CUIT[#All],2,0)),"CUIT NO CARGADO")</f>
        <v>-</v>
      </c>
      <c r="H358" s="277"/>
      <c r="I358" s="278"/>
      <c r="J358" s="279"/>
      <c r="K358" s="279"/>
      <c r="L358" s="279">
        <f>SUM(ventas_b_mes11[[#This Row],[IMPORTE NETO]:[EXENTO]])</f>
        <v>0</v>
      </c>
      <c r="M358" s="280"/>
    </row>
    <row r="359" spans="2:13" x14ac:dyDescent="0.25">
      <c r="B359" s="271"/>
      <c r="C359" s="41"/>
      <c r="D359" s="273"/>
      <c r="E359" s="274"/>
      <c r="F359" s="275"/>
      <c r="G359" s="276" t="str">
        <f>IFERROR(IF(ventas_b_mes11[[#This Row],[CUIT]]="","-",VLOOKUP(ventas_b_mes11[[#This Row],[CUIT]],Lista_CUIT[#All],2,0)),"CUIT NO CARGADO")</f>
        <v>-</v>
      </c>
      <c r="H359" s="277"/>
      <c r="I359" s="278"/>
      <c r="J359" s="279"/>
      <c r="K359" s="279"/>
      <c r="L359" s="279">
        <f>SUM(ventas_b_mes11[[#This Row],[IMPORTE NETO]:[EXENTO]])</f>
        <v>0</v>
      </c>
      <c r="M359" s="280"/>
    </row>
    <row r="360" spans="2:13" x14ac:dyDescent="0.25">
      <c r="B360" s="271"/>
      <c r="C360" s="41"/>
      <c r="D360" s="273"/>
      <c r="E360" s="274"/>
      <c r="F360" s="275"/>
      <c r="G360" s="276" t="str">
        <f>IFERROR(IF(ventas_b_mes11[[#This Row],[CUIT]]="","-",VLOOKUP(ventas_b_mes11[[#This Row],[CUIT]],Lista_CUIT[#All],2,0)),"CUIT NO CARGADO")</f>
        <v>-</v>
      </c>
      <c r="H360" s="277"/>
      <c r="I360" s="278"/>
      <c r="J360" s="279"/>
      <c r="K360" s="279"/>
      <c r="L360" s="279">
        <f>SUM(ventas_b_mes11[[#This Row],[IMPORTE NETO]:[EXENTO]])</f>
        <v>0</v>
      </c>
      <c r="M360" s="280"/>
    </row>
    <row r="361" spans="2:13" x14ac:dyDescent="0.25">
      <c r="B361" s="271"/>
      <c r="C361" s="41"/>
      <c r="D361" s="273"/>
      <c r="E361" s="274"/>
      <c r="F361" s="275"/>
      <c r="G361" s="276" t="str">
        <f>IFERROR(IF(ventas_b_mes11[[#This Row],[CUIT]]="","-",VLOOKUP(ventas_b_mes11[[#This Row],[CUIT]],Lista_CUIT[#All],2,0)),"CUIT NO CARGADO")</f>
        <v>-</v>
      </c>
      <c r="H361" s="277"/>
      <c r="I361" s="278"/>
      <c r="J361" s="279"/>
      <c r="K361" s="279"/>
      <c r="L361" s="279">
        <f>SUM(ventas_b_mes11[[#This Row],[IMPORTE NETO]:[EXENTO]])</f>
        <v>0</v>
      </c>
      <c r="M361" s="280"/>
    </row>
    <row r="362" spans="2:13" x14ac:dyDescent="0.25">
      <c r="B362" s="271"/>
      <c r="C362" s="41"/>
      <c r="D362" s="273"/>
      <c r="E362" s="274"/>
      <c r="F362" s="275"/>
      <c r="G362" s="276" t="str">
        <f>IFERROR(IF(ventas_b_mes11[[#This Row],[CUIT]]="","-",VLOOKUP(ventas_b_mes11[[#This Row],[CUIT]],Lista_CUIT[#All],2,0)),"CUIT NO CARGADO")</f>
        <v>-</v>
      </c>
      <c r="H362" s="277"/>
      <c r="I362" s="278"/>
      <c r="J362" s="279"/>
      <c r="K362" s="279"/>
      <c r="L362" s="279">
        <f>SUM(ventas_b_mes11[[#This Row],[IMPORTE NETO]:[EXENTO]])</f>
        <v>0</v>
      </c>
      <c r="M362" s="280"/>
    </row>
    <row r="363" spans="2:13" x14ac:dyDescent="0.25">
      <c r="B363" s="271"/>
      <c r="C363" s="41"/>
      <c r="D363" s="273"/>
      <c r="E363" s="274"/>
      <c r="F363" s="275"/>
      <c r="G363" s="276" t="str">
        <f>IFERROR(IF(ventas_b_mes11[[#This Row],[CUIT]]="","-",VLOOKUP(ventas_b_mes11[[#This Row],[CUIT]],Lista_CUIT[#All],2,0)),"CUIT NO CARGADO")</f>
        <v>-</v>
      </c>
      <c r="H363" s="277"/>
      <c r="I363" s="278"/>
      <c r="J363" s="279"/>
      <c r="K363" s="279"/>
      <c r="L363" s="279">
        <f>SUM(ventas_b_mes11[[#This Row],[IMPORTE NETO]:[EXENTO]])</f>
        <v>0</v>
      </c>
      <c r="M363" s="280"/>
    </row>
    <row r="364" spans="2:13" x14ac:dyDescent="0.25">
      <c r="B364" s="271"/>
      <c r="C364" s="41"/>
      <c r="D364" s="273"/>
      <c r="E364" s="274"/>
      <c r="F364" s="275"/>
      <c r="G364" s="276" t="str">
        <f>IFERROR(IF(ventas_b_mes11[[#This Row],[CUIT]]="","-",VLOOKUP(ventas_b_mes11[[#This Row],[CUIT]],Lista_CUIT[#All],2,0)),"CUIT NO CARGADO")</f>
        <v>-</v>
      </c>
      <c r="H364" s="277"/>
      <c r="I364" s="278"/>
      <c r="J364" s="279"/>
      <c r="K364" s="279"/>
      <c r="L364" s="279">
        <f>SUM(ventas_b_mes11[[#This Row],[IMPORTE NETO]:[EXENTO]])</f>
        <v>0</v>
      </c>
      <c r="M364" s="280"/>
    </row>
    <row r="365" spans="2:13" x14ac:dyDescent="0.25">
      <c r="B365" s="271"/>
      <c r="C365" s="41"/>
      <c r="D365" s="273"/>
      <c r="E365" s="274"/>
      <c r="F365" s="275"/>
      <c r="G365" s="276" t="str">
        <f>IFERROR(IF(ventas_b_mes11[[#This Row],[CUIT]]="","-",VLOOKUP(ventas_b_mes11[[#This Row],[CUIT]],Lista_CUIT[#All],2,0)),"CUIT NO CARGADO")</f>
        <v>-</v>
      </c>
      <c r="H365" s="277"/>
      <c r="I365" s="278"/>
      <c r="J365" s="279"/>
      <c r="K365" s="279"/>
      <c r="L365" s="279">
        <f>SUM(ventas_b_mes11[[#This Row],[IMPORTE NETO]:[EXENTO]])</f>
        <v>0</v>
      </c>
      <c r="M365" s="280"/>
    </row>
    <row r="366" spans="2:13" x14ac:dyDescent="0.25">
      <c r="B366" s="271"/>
      <c r="C366" s="41"/>
      <c r="D366" s="273"/>
      <c r="E366" s="274"/>
      <c r="F366" s="275"/>
      <c r="G366" s="276" t="str">
        <f>IFERROR(IF(ventas_b_mes11[[#This Row],[CUIT]]="","-",VLOOKUP(ventas_b_mes11[[#This Row],[CUIT]],Lista_CUIT[#All],2,0)),"CUIT NO CARGADO")</f>
        <v>-</v>
      </c>
      <c r="H366" s="277"/>
      <c r="I366" s="278"/>
      <c r="J366" s="279"/>
      <c r="K366" s="279"/>
      <c r="L366" s="279">
        <f>SUM(ventas_b_mes11[[#This Row],[IMPORTE NETO]:[EXENTO]])</f>
        <v>0</v>
      </c>
      <c r="M366" s="280"/>
    </row>
    <row r="367" spans="2:13" x14ac:dyDescent="0.25">
      <c r="B367" s="271"/>
      <c r="C367" s="41"/>
      <c r="D367" s="273"/>
      <c r="E367" s="274"/>
      <c r="F367" s="275"/>
      <c r="G367" s="276" t="str">
        <f>IFERROR(IF(ventas_b_mes11[[#This Row],[CUIT]]="","-",VLOOKUP(ventas_b_mes11[[#This Row],[CUIT]],Lista_CUIT[#All],2,0)),"CUIT NO CARGADO")</f>
        <v>-</v>
      </c>
      <c r="H367" s="277"/>
      <c r="I367" s="278"/>
      <c r="J367" s="279"/>
      <c r="K367" s="279"/>
      <c r="L367" s="279">
        <f>SUM(ventas_b_mes11[[#This Row],[IMPORTE NETO]:[EXENTO]])</f>
        <v>0</v>
      </c>
      <c r="M367" s="280"/>
    </row>
    <row r="368" spans="2:13" x14ac:dyDescent="0.25">
      <c r="B368" s="271"/>
      <c r="C368" s="41"/>
      <c r="D368" s="273"/>
      <c r="E368" s="274"/>
      <c r="F368" s="275"/>
      <c r="G368" s="276" t="str">
        <f>IFERROR(IF(ventas_b_mes11[[#This Row],[CUIT]]="","-",VLOOKUP(ventas_b_mes11[[#This Row],[CUIT]],Lista_CUIT[#All],2,0)),"CUIT NO CARGADO")</f>
        <v>-</v>
      </c>
      <c r="H368" s="277"/>
      <c r="I368" s="278"/>
      <c r="J368" s="279"/>
      <c r="K368" s="279"/>
      <c r="L368" s="279">
        <f>SUM(ventas_b_mes11[[#This Row],[IMPORTE NETO]:[EXENTO]])</f>
        <v>0</v>
      </c>
      <c r="M368" s="280"/>
    </row>
    <row r="369" spans="2:13" x14ac:dyDescent="0.25">
      <c r="B369" s="271"/>
      <c r="C369" s="41"/>
      <c r="D369" s="273"/>
      <c r="E369" s="274"/>
      <c r="F369" s="275"/>
      <c r="G369" s="276" t="str">
        <f>IFERROR(IF(ventas_b_mes11[[#This Row],[CUIT]]="","-",VLOOKUP(ventas_b_mes11[[#This Row],[CUIT]],Lista_CUIT[#All],2,0)),"CUIT NO CARGADO")</f>
        <v>-</v>
      </c>
      <c r="H369" s="277"/>
      <c r="I369" s="278"/>
      <c r="J369" s="279"/>
      <c r="K369" s="279"/>
      <c r="L369" s="279">
        <f>SUM(ventas_b_mes11[[#This Row],[IMPORTE NETO]:[EXENTO]])</f>
        <v>0</v>
      </c>
      <c r="M369" s="280"/>
    </row>
    <row r="370" spans="2:13" x14ac:dyDescent="0.25">
      <c r="B370" s="271"/>
      <c r="C370" s="41"/>
      <c r="D370" s="273"/>
      <c r="E370" s="274"/>
      <c r="F370" s="275"/>
      <c r="G370" s="276" t="str">
        <f>IFERROR(IF(ventas_b_mes11[[#This Row],[CUIT]]="","-",VLOOKUP(ventas_b_mes11[[#This Row],[CUIT]],Lista_CUIT[#All],2,0)),"CUIT NO CARGADO")</f>
        <v>-</v>
      </c>
      <c r="H370" s="277"/>
      <c r="I370" s="278"/>
      <c r="J370" s="279"/>
      <c r="K370" s="279"/>
      <c r="L370" s="279">
        <f>SUM(ventas_b_mes11[[#This Row],[IMPORTE NETO]:[EXENTO]])</f>
        <v>0</v>
      </c>
      <c r="M370" s="280"/>
    </row>
    <row r="371" spans="2:13" x14ac:dyDescent="0.25">
      <c r="B371" s="271"/>
      <c r="C371" s="41"/>
      <c r="D371" s="273"/>
      <c r="E371" s="274"/>
      <c r="F371" s="275"/>
      <c r="G371" s="276" t="str">
        <f>IFERROR(IF(ventas_b_mes11[[#This Row],[CUIT]]="","-",VLOOKUP(ventas_b_mes11[[#This Row],[CUIT]],Lista_CUIT[#All],2,0)),"CUIT NO CARGADO")</f>
        <v>-</v>
      </c>
      <c r="H371" s="277"/>
      <c r="I371" s="278"/>
      <c r="J371" s="279"/>
      <c r="K371" s="279"/>
      <c r="L371" s="279">
        <f>SUM(ventas_b_mes11[[#This Row],[IMPORTE NETO]:[EXENTO]])</f>
        <v>0</v>
      </c>
      <c r="M371" s="280"/>
    </row>
    <row r="372" spans="2:13" x14ac:dyDescent="0.25">
      <c r="B372" s="271"/>
      <c r="C372" s="41"/>
      <c r="D372" s="273"/>
      <c r="E372" s="274"/>
      <c r="F372" s="275"/>
      <c r="G372" s="276" t="str">
        <f>IFERROR(IF(ventas_b_mes11[[#This Row],[CUIT]]="","-",VLOOKUP(ventas_b_mes11[[#This Row],[CUIT]],Lista_CUIT[#All],2,0)),"CUIT NO CARGADO")</f>
        <v>-</v>
      </c>
      <c r="H372" s="277"/>
      <c r="I372" s="278"/>
      <c r="J372" s="279"/>
      <c r="K372" s="279"/>
      <c r="L372" s="279">
        <f>SUM(ventas_b_mes11[[#This Row],[IMPORTE NETO]:[EXENTO]])</f>
        <v>0</v>
      </c>
      <c r="M372" s="280"/>
    </row>
    <row r="373" spans="2:13" x14ac:dyDescent="0.25">
      <c r="B373" s="271"/>
      <c r="C373" s="41"/>
      <c r="D373" s="273"/>
      <c r="E373" s="274"/>
      <c r="F373" s="275"/>
      <c r="G373" s="276" t="str">
        <f>IFERROR(IF(ventas_b_mes11[[#This Row],[CUIT]]="","-",VLOOKUP(ventas_b_mes11[[#This Row],[CUIT]],Lista_CUIT[#All],2,0)),"CUIT NO CARGADO")</f>
        <v>-</v>
      </c>
      <c r="H373" s="277"/>
      <c r="I373" s="278"/>
      <c r="J373" s="279"/>
      <c r="K373" s="279"/>
      <c r="L373" s="279">
        <f>SUM(ventas_b_mes11[[#This Row],[IMPORTE NETO]:[EXENTO]])</f>
        <v>0</v>
      </c>
      <c r="M373" s="280"/>
    </row>
    <row r="374" spans="2:13" x14ac:dyDescent="0.25">
      <c r="B374" s="271"/>
      <c r="C374" s="41"/>
      <c r="D374" s="273"/>
      <c r="E374" s="274"/>
      <c r="F374" s="275"/>
      <c r="G374" s="276" t="str">
        <f>IFERROR(IF(ventas_b_mes11[[#This Row],[CUIT]]="","-",VLOOKUP(ventas_b_mes11[[#This Row],[CUIT]],Lista_CUIT[#All],2,0)),"CUIT NO CARGADO")</f>
        <v>-</v>
      </c>
      <c r="H374" s="277"/>
      <c r="I374" s="278"/>
      <c r="J374" s="279"/>
      <c r="K374" s="279"/>
      <c r="L374" s="279">
        <f>SUM(ventas_b_mes11[[#This Row],[IMPORTE NETO]:[EXENTO]])</f>
        <v>0</v>
      </c>
      <c r="M374" s="280"/>
    </row>
    <row r="375" spans="2:13" x14ac:dyDescent="0.25">
      <c r="B375" s="271"/>
      <c r="C375" s="41"/>
      <c r="D375" s="273"/>
      <c r="E375" s="274"/>
      <c r="F375" s="275"/>
      <c r="G375" s="276" t="str">
        <f>IFERROR(IF(ventas_b_mes11[[#This Row],[CUIT]]="","-",VLOOKUP(ventas_b_mes11[[#This Row],[CUIT]],Lista_CUIT[#All],2,0)),"CUIT NO CARGADO")</f>
        <v>-</v>
      </c>
      <c r="H375" s="277"/>
      <c r="I375" s="278"/>
      <c r="J375" s="279"/>
      <c r="K375" s="279"/>
      <c r="L375" s="279">
        <f>SUM(ventas_b_mes11[[#This Row],[IMPORTE NETO]:[EXENTO]])</f>
        <v>0</v>
      </c>
      <c r="M375" s="280"/>
    </row>
    <row r="376" spans="2:13" x14ac:dyDescent="0.25">
      <c r="B376" s="271"/>
      <c r="C376" s="41"/>
      <c r="D376" s="273"/>
      <c r="E376" s="274"/>
      <c r="F376" s="275"/>
      <c r="G376" s="276" t="str">
        <f>IFERROR(IF(ventas_b_mes11[[#This Row],[CUIT]]="","-",VLOOKUP(ventas_b_mes11[[#This Row],[CUIT]],Lista_CUIT[#All],2,0)),"CUIT NO CARGADO")</f>
        <v>-</v>
      </c>
      <c r="H376" s="277"/>
      <c r="I376" s="278"/>
      <c r="J376" s="279"/>
      <c r="K376" s="279"/>
      <c r="L376" s="279">
        <f>SUM(ventas_b_mes11[[#This Row],[IMPORTE NETO]:[EXENTO]])</f>
        <v>0</v>
      </c>
      <c r="M376" s="280"/>
    </row>
    <row r="377" spans="2:13" x14ac:dyDescent="0.25">
      <c r="B377" s="271"/>
      <c r="C377" s="41"/>
      <c r="D377" s="273"/>
      <c r="E377" s="274"/>
      <c r="F377" s="275"/>
      <c r="G377" s="276" t="str">
        <f>IFERROR(IF(ventas_b_mes11[[#This Row],[CUIT]]="","-",VLOOKUP(ventas_b_mes11[[#This Row],[CUIT]],Lista_CUIT[#All],2,0)),"CUIT NO CARGADO")</f>
        <v>-</v>
      </c>
      <c r="H377" s="277"/>
      <c r="I377" s="278"/>
      <c r="J377" s="279"/>
      <c r="K377" s="279"/>
      <c r="L377" s="279">
        <f>SUM(ventas_b_mes11[[#This Row],[IMPORTE NETO]:[EXENTO]])</f>
        <v>0</v>
      </c>
      <c r="M377" s="280"/>
    </row>
    <row r="378" spans="2:13" x14ac:dyDescent="0.25">
      <c r="B378" s="271"/>
      <c r="C378" s="41"/>
      <c r="D378" s="273"/>
      <c r="E378" s="274"/>
      <c r="F378" s="275"/>
      <c r="G378" s="276" t="str">
        <f>IFERROR(IF(ventas_b_mes11[[#This Row],[CUIT]]="","-",VLOOKUP(ventas_b_mes11[[#This Row],[CUIT]],Lista_CUIT[#All],2,0)),"CUIT NO CARGADO")</f>
        <v>-</v>
      </c>
      <c r="H378" s="277"/>
      <c r="I378" s="278"/>
      <c r="J378" s="279"/>
      <c r="K378" s="279"/>
      <c r="L378" s="279">
        <f>SUM(ventas_b_mes11[[#This Row],[IMPORTE NETO]:[EXENTO]])</f>
        <v>0</v>
      </c>
      <c r="M378" s="280"/>
    </row>
    <row r="379" spans="2:13" x14ac:dyDescent="0.25">
      <c r="B379" s="271"/>
      <c r="C379" s="41"/>
      <c r="D379" s="273"/>
      <c r="E379" s="274"/>
      <c r="F379" s="275"/>
      <c r="G379" s="276" t="str">
        <f>IFERROR(IF(ventas_b_mes11[[#This Row],[CUIT]]="","-",VLOOKUP(ventas_b_mes11[[#This Row],[CUIT]],Lista_CUIT[#All],2,0)),"CUIT NO CARGADO")</f>
        <v>-</v>
      </c>
      <c r="H379" s="277"/>
      <c r="I379" s="278"/>
      <c r="J379" s="279"/>
      <c r="K379" s="279"/>
      <c r="L379" s="279">
        <f>SUM(ventas_b_mes11[[#This Row],[IMPORTE NETO]:[EXENTO]])</f>
        <v>0</v>
      </c>
      <c r="M379" s="280"/>
    </row>
    <row r="380" spans="2:13" x14ac:dyDescent="0.25">
      <c r="B380" s="271"/>
      <c r="C380" s="41"/>
      <c r="D380" s="273"/>
      <c r="E380" s="274"/>
      <c r="F380" s="275"/>
      <c r="G380" s="276" t="str">
        <f>IFERROR(IF(ventas_b_mes11[[#This Row],[CUIT]]="","-",VLOOKUP(ventas_b_mes11[[#This Row],[CUIT]],Lista_CUIT[#All],2,0)),"CUIT NO CARGADO")</f>
        <v>-</v>
      </c>
      <c r="H380" s="277"/>
      <c r="I380" s="278"/>
      <c r="J380" s="279"/>
      <c r="K380" s="279"/>
      <c r="L380" s="279">
        <f>SUM(ventas_b_mes11[[#This Row],[IMPORTE NETO]:[EXENTO]])</f>
        <v>0</v>
      </c>
      <c r="M380" s="280"/>
    </row>
    <row r="381" spans="2:13" x14ac:dyDescent="0.25">
      <c r="B381" s="271"/>
      <c r="C381" s="41"/>
      <c r="D381" s="273"/>
      <c r="E381" s="274"/>
      <c r="F381" s="275"/>
      <c r="G381" s="276" t="str">
        <f>IFERROR(IF(ventas_b_mes11[[#This Row],[CUIT]]="","-",VLOOKUP(ventas_b_mes11[[#This Row],[CUIT]],Lista_CUIT[#All],2,0)),"CUIT NO CARGADO")</f>
        <v>-</v>
      </c>
      <c r="H381" s="277"/>
      <c r="I381" s="278"/>
      <c r="J381" s="279"/>
      <c r="K381" s="279"/>
      <c r="L381" s="279">
        <f>SUM(ventas_b_mes11[[#This Row],[IMPORTE NETO]:[EXENTO]])</f>
        <v>0</v>
      </c>
      <c r="M381" s="280"/>
    </row>
    <row r="382" spans="2:13" x14ac:dyDescent="0.25">
      <c r="B382" s="271"/>
      <c r="C382" s="41"/>
      <c r="D382" s="273"/>
      <c r="E382" s="274"/>
      <c r="F382" s="275"/>
      <c r="G382" s="276" t="str">
        <f>IFERROR(IF(ventas_b_mes11[[#This Row],[CUIT]]="","-",VLOOKUP(ventas_b_mes11[[#This Row],[CUIT]],Lista_CUIT[#All],2,0)),"CUIT NO CARGADO")</f>
        <v>-</v>
      </c>
      <c r="H382" s="277"/>
      <c r="I382" s="278"/>
      <c r="J382" s="279"/>
      <c r="K382" s="279"/>
      <c r="L382" s="279">
        <f>SUM(ventas_b_mes11[[#This Row],[IMPORTE NETO]:[EXENTO]])</f>
        <v>0</v>
      </c>
      <c r="M382" s="280"/>
    </row>
    <row r="383" spans="2:13" x14ac:dyDescent="0.25">
      <c r="B383" s="271"/>
      <c r="C383" s="41"/>
      <c r="D383" s="273"/>
      <c r="E383" s="274"/>
      <c r="F383" s="275"/>
      <c r="G383" s="276" t="str">
        <f>IFERROR(IF(ventas_b_mes11[[#This Row],[CUIT]]="","-",VLOOKUP(ventas_b_mes11[[#This Row],[CUIT]],Lista_CUIT[#All],2,0)),"CUIT NO CARGADO")</f>
        <v>-</v>
      </c>
      <c r="H383" s="277"/>
      <c r="I383" s="278"/>
      <c r="J383" s="279"/>
      <c r="K383" s="279"/>
      <c r="L383" s="279">
        <f>SUM(ventas_b_mes11[[#This Row],[IMPORTE NETO]:[EXENTO]])</f>
        <v>0</v>
      </c>
      <c r="M383" s="280"/>
    </row>
    <row r="384" spans="2:13" x14ac:dyDescent="0.25">
      <c r="B384" s="271"/>
      <c r="C384" s="41"/>
      <c r="D384" s="273"/>
      <c r="E384" s="274"/>
      <c r="F384" s="275"/>
      <c r="G384" s="276" t="str">
        <f>IFERROR(IF(ventas_b_mes11[[#This Row],[CUIT]]="","-",VLOOKUP(ventas_b_mes11[[#This Row],[CUIT]],Lista_CUIT[#All],2,0)),"CUIT NO CARGADO")</f>
        <v>-</v>
      </c>
      <c r="H384" s="277"/>
      <c r="I384" s="278"/>
      <c r="J384" s="279"/>
      <c r="K384" s="279"/>
      <c r="L384" s="279">
        <f>SUM(ventas_b_mes11[[#This Row],[IMPORTE NETO]:[EXENTO]])</f>
        <v>0</v>
      </c>
      <c r="M384" s="280"/>
    </row>
    <row r="385" spans="2:13" x14ac:dyDescent="0.25">
      <c r="B385" s="271"/>
      <c r="C385" s="41"/>
      <c r="D385" s="273"/>
      <c r="E385" s="274"/>
      <c r="F385" s="275"/>
      <c r="G385" s="276" t="str">
        <f>IFERROR(IF(ventas_b_mes11[[#This Row],[CUIT]]="","-",VLOOKUP(ventas_b_mes11[[#This Row],[CUIT]],Lista_CUIT[#All],2,0)),"CUIT NO CARGADO")</f>
        <v>-</v>
      </c>
      <c r="H385" s="277"/>
      <c r="I385" s="278"/>
      <c r="J385" s="279"/>
      <c r="K385" s="279"/>
      <c r="L385" s="279">
        <f>SUM(ventas_b_mes11[[#This Row],[IMPORTE NETO]:[EXENTO]])</f>
        <v>0</v>
      </c>
      <c r="M385" s="280"/>
    </row>
    <row r="386" spans="2:13" x14ac:dyDescent="0.25">
      <c r="B386" s="271"/>
      <c r="C386" s="41"/>
      <c r="D386" s="273"/>
      <c r="E386" s="274"/>
      <c r="F386" s="275"/>
      <c r="G386" s="276" t="str">
        <f>IFERROR(IF(ventas_b_mes11[[#This Row],[CUIT]]="","-",VLOOKUP(ventas_b_mes11[[#This Row],[CUIT]],Lista_CUIT[#All],2,0)),"CUIT NO CARGADO")</f>
        <v>-</v>
      </c>
      <c r="H386" s="277"/>
      <c r="I386" s="278"/>
      <c r="J386" s="279"/>
      <c r="K386" s="279"/>
      <c r="L386" s="279">
        <f>SUM(ventas_b_mes11[[#This Row],[IMPORTE NETO]:[EXENTO]])</f>
        <v>0</v>
      </c>
      <c r="M386" s="280"/>
    </row>
    <row r="387" spans="2:13" x14ac:dyDescent="0.25">
      <c r="B387" s="271"/>
      <c r="C387" s="41"/>
      <c r="D387" s="273"/>
      <c r="E387" s="274"/>
      <c r="F387" s="275"/>
      <c r="G387" s="276" t="str">
        <f>IFERROR(IF(ventas_b_mes11[[#This Row],[CUIT]]="","-",VLOOKUP(ventas_b_mes11[[#This Row],[CUIT]],Lista_CUIT[#All],2,0)),"CUIT NO CARGADO")</f>
        <v>-</v>
      </c>
      <c r="H387" s="277"/>
      <c r="I387" s="278"/>
      <c r="J387" s="279"/>
      <c r="K387" s="279"/>
      <c r="L387" s="279">
        <f>SUM(ventas_b_mes11[[#This Row],[IMPORTE NETO]:[EXENTO]])</f>
        <v>0</v>
      </c>
      <c r="M387" s="280"/>
    </row>
    <row r="388" spans="2:13" x14ac:dyDescent="0.25">
      <c r="B388" s="271"/>
      <c r="C388" s="41"/>
      <c r="D388" s="273"/>
      <c r="E388" s="274"/>
      <c r="F388" s="275"/>
      <c r="G388" s="276" t="str">
        <f>IFERROR(IF(ventas_b_mes11[[#This Row],[CUIT]]="","-",VLOOKUP(ventas_b_mes11[[#This Row],[CUIT]],Lista_CUIT[#All],2,0)),"CUIT NO CARGADO")</f>
        <v>-</v>
      </c>
      <c r="H388" s="277"/>
      <c r="I388" s="278"/>
      <c r="J388" s="279"/>
      <c r="K388" s="279"/>
      <c r="L388" s="279">
        <f>SUM(ventas_b_mes11[[#This Row],[IMPORTE NETO]:[EXENTO]])</f>
        <v>0</v>
      </c>
      <c r="M388" s="280"/>
    </row>
    <row r="389" spans="2:13" x14ac:dyDescent="0.25">
      <c r="B389" s="271"/>
      <c r="C389" s="41"/>
      <c r="D389" s="273"/>
      <c r="E389" s="274"/>
      <c r="F389" s="275"/>
      <c r="G389" s="276" t="str">
        <f>IFERROR(IF(ventas_b_mes11[[#This Row],[CUIT]]="","-",VLOOKUP(ventas_b_mes11[[#This Row],[CUIT]],Lista_CUIT[#All],2,0)),"CUIT NO CARGADO")</f>
        <v>-</v>
      </c>
      <c r="H389" s="277"/>
      <c r="I389" s="278"/>
      <c r="J389" s="279"/>
      <c r="K389" s="279"/>
      <c r="L389" s="279">
        <f>SUM(ventas_b_mes11[[#This Row],[IMPORTE NETO]:[EXENTO]])</f>
        <v>0</v>
      </c>
      <c r="M389" s="280"/>
    </row>
    <row r="390" spans="2:13" x14ac:dyDescent="0.25">
      <c r="B390" s="271"/>
      <c r="C390" s="41"/>
      <c r="D390" s="273"/>
      <c r="E390" s="274"/>
      <c r="F390" s="275"/>
      <c r="G390" s="276" t="str">
        <f>IFERROR(IF(ventas_b_mes11[[#This Row],[CUIT]]="","-",VLOOKUP(ventas_b_mes11[[#This Row],[CUIT]],Lista_CUIT[#All],2,0)),"CUIT NO CARGADO")</f>
        <v>-</v>
      </c>
      <c r="H390" s="277"/>
      <c r="I390" s="278"/>
      <c r="J390" s="279"/>
      <c r="K390" s="279"/>
      <c r="L390" s="279">
        <f>SUM(ventas_b_mes11[[#This Row],[IMPORTE NETO]:[EXENTO]])</f>
        <v>0</v>
      </c>
      <c r="M390" s="280"/>
    </row>
    <row r="391" spans="2:13" x14ac:dyDescent="0.25">
      <c r="B391" s="271"/>
      <c r="C391" s="41"/>
      <c r="D391" s="273"/>
      <c r="E391" s="274"/>
      <c r="F391" s="275"/>
      <c r="G391" s="276" t="str">
        <f>IFERROR(IF(ventas_b_mes11[[#This Row],[CUIT]]="","-",VLOOKUP(ventas_b_mes11[[#This Row],[CUIT]],Lista_CUIT[#All],2,0)),"CUIT NO CARGADO")</f>
        <v>-</v>
      </c>
      <c r="H391" s="277"/>
      <c r="I391" s="278"/>
      <c r="J391" s="279"/>
      <c r="K391" s="279"/>
      <c r="L391" s="279">
        <f>SUM(ventas_b_mes11[[#This Row],[IMPORTE NETO]:[EXENTO]])</f>
        <v>0</v>
      </c>
      <c r="M391" s="280"/>
    </row>
    <row r="392" spans="2:13" x14ac:dyDescent="0.25">
      <c r="B392" s="271"/>
      <c r="C392" s="41"/>
      <c r="D392" s="273"/>
      <c r="E392" s="274"/>
      <c r="F392" s="275"/>
      <c r="G392" s="276" t="str">
        <f>IFERROR(IF(ventas_b_mes11[[#This Row],[CUIT]]="","-",VLOOKUP(ventas_b_mes11[[#This Row],[CUIT]],Lista_CUIT[#All],2,0)),"CUIT NO CARGADO")</f>
        <v>-</v>
      </c>
      <c r="H392" s="277"/>
      <c r="I392" s="278"/>
      <c r="J392" s="279"/>
      <c r="K392" s="279"/>
      <c r="L392" s="279">
        <f>SUM(ventas_b_mes11[[#This Row],[IMPORTE NETO]:[EXENTO]])</f>
        <v>0</v>
      </c>
      <c r="M392" s="280"/>
    </row>
    <row r="393" spans="2:13" x14ac:dyDescent="0.25">
      <c r="B393" s="271"/>
      <c r="C393" s="41"/>
      <c r="D393" s="273"/>
      <c r="E393" s="274"/>
      <c r="F393" s="275"/>
      <c r="G393" s="276" t="str">
        <f>IFERROR(IF(ventas_b_mes11[[#This Row],[CUIT]]="","-",VLOOKUP(ventas_b_mes11[[#This Row],[CUIT]],Lista_CUIT[#All],2,0)),"CUIT NO CARGADO")</f>
        <v>-</v>
      </c>
      <c r="H393" s="277"/>
      <c r="I393" s="278"/>
      <c r="J393" s="279"/>
      <c r="K393" s="279"/>
      <c r="L393" s="279">
        <f>SUM(ventas_b_mes11[[#This Row],[IMPORTE NETO]:[EXENTO]])</f>
        <v>0</v>
      </c>
      <c r="M393" s="280"/>
    </row>
    <row r="394" spans="2:13" x14ac:dyDescent="0.25">
      <c r="B394" s="271"/>
      <c r="C394" s="41"/>
      <c r="D394" s="273"/>
      <c r="E394" s="274"/>
      <c r="F394" s="275"/>
      <c r="G394" s="276" t="str">
        <f>IFERROR(IF(ventas_b_mes11[[#This Row],[CUIT]]="","-",VLOOKUP(ventas_b_mes11[[#This Row],[CUIT]],Lista_CUIT[#All],2,0)),"CUIT NO CARGADO")</f>
        <v>-</v>
      </c>
      <c r="H394" s="277"/>
      <c r="I394" s="278"/>
      <c r="J394" s="279"/>
      <c r="K394" s="279"/>
      <c r="L394" s="279">
        <f>SUM(ventas_b_mes11[[#This Row],[IMPORTE NETO]:[EXENTO]])</f>
        <v>0</v>
      </c>
      <c r="M394" s="280"/>
    </row>
    <row r="395" spans="2:13" x14ac:dyDescent="0.25">
      <c r="B395" s="271"/>
      <c r="C395" s="41"/>
      <c r="D395" s="273"/>
      <c r="E395" s="274"/>
      <c r="F395" s="275"/>
      <c r="G395" s="276" t="str">
        <f>IFERROR(IF(ventas_b_mes11[[#This Row],[CUIT]]="","-",VLOOKUP(ventas_b_mes11[[#This Row],[CUIT]],Lista_CUIT[#All],2,0)),"CUIT NO CARGADO")</f>
        <v>-</v>
      </c>
      <c r="H395" s="277"/>
      <c r="I395" s="278"/>
      <c r="J395" s="279"/>
      <c r="K395" s="279"/>
      <c r="L395" s="279">
        <f>SUM(ventas_b_mes11[[#This Row],[IMPORTE NETO]:[EXENTO]])</f>
        <v>0</v>
      </c>
      <c r="M395" s="280"/>
    </row>
    <row r="396" spans="2:13" x14ac:dyDescent="0.25">
      <c r="B396" s="271"/>
      <c r="C396" s="41"/>
      <c r="D396" s="273"/>
      <c r="E396" s="274"/>
      <c r="F396" s="275"/>
      <c r="G396" s="276" t="str">
        <f>IFERROR(IF(ventas_b_mes11[[#This Row],[CUIT]]="","-",VLOOKUP(ventas_b_mes11[[#This Row],[CUIT]],Lista_CUIT[#All],2,0)),"CUIT NO CARGADO")</f>
        <v>-</v>
      </c>
      <c r="H396" s="277"/>
      <c r="I396" s="278"/>
      <c r="J396" s="279"/>
      <c r="K396" s="279"/>
      <c r="L396" s="279">
        <f>SUM(ventas_b_mes11[[#This Row],[IMPORTE NETO]:[EXENTO]])</f>
        <v>0</v>
      </c>
      <c r="M396" s="280"/>
    </row>
    <row r="397" spans="2:13" x14ac:dyDescent="0.25">
      <c r="B397" s="271"/>
      <c r="C397" s="41"/>
      <c r="D397" s="273"/>
      <c r="E397" s="274"/>
      <c r="F397" s="275"/>
      <c r="G397" s="276" t="str">
        <f>IFERROR(IF(ventas_b_mes11[[#This Row],[CUIT]]="","-",VLOOKUP(ventas_b_mes11[[#This Row],[CUIT]],Lista_CUIT[#All],2,0)),"CUIT NO CARGADO")</f>
        <v>-</v>
      </c>
      <c r="H397" s="277"/>
      <c r="I397" s="278"/>
      <c r="J397" s="279"/>
      <c r="K397" s="279"/>
      <c r="L397" s="279">
        <f>SUM(ventas_b_mes11[[#This Row],[IMPORTE NETO]:[EXENTO]])</f>
        <v>0</v>
      </c>
      <c r="M397" s="280"/>
    </row>
    <row r="398" spans="2:13" x14ac:dyDescent="0.25">
      <c r="B398" s="271"/>
      <c r="C398" s="41"/>
      <c r="D398" s="273"/>
      <c r="E398" s="274"/>
      <c r="F398" s="275"/>
      <c r="G398" s="276" t="str">
        <f>IFERROR(IF(ventas_b_mes11[[#This Row],[CUIT]]="","-",VLOOKUP(ventas_b_mes11[[#This Row],[CUIT]],Lista_CUIT[#All],2,0)),"CUIT NO CARGADO")</f>
        <v>-</v>
      </c>
      <c r="H398" s="277"/>
      <c r="I398" s="278"/>
      <c r="J398" s="279"/>
      <c r="K398" s="279"/>
      <c r="L398" s="279">
        <f>SUM(ventas_b_mes11[[#This Row],[IMPORTE NETO]:[EXENTO]])</f>
        <v>0</v>
      </c>
      <c r="M398" s="280"/>
    </row>
    <row r="399" spans="2:13" x14ac:dyDescent="0.25">
      <c r="B399" s="271"/>
      <c r="C399" s="41"/>
      <c r="D399" s="273"/>
      <c r="E399" s="274"/>
      <c r="F399" s="275"/>
      <c r="G399" s="276" t="str">
        <f>IFERROR(IF(ventas_b_mes11[[#This Row],[CUIT]]="","-",VLOOKUP(ventas_b_mes11[[#This Row],[CUIT]],Lista_CUIT[#All],2,0)),"CUIT NO CARGADO")</f>
        <v>-</v>
      </c>
      <c r="H399" s="277"/>
      <c r="I399" s="278"/>
      <c r="J399" s="279"/>
      <c r="K399" s="279"/>
      <c r="L399" s="279">
        <f>SUM(ventas_b_mes11[[#This Row],[IMPORTE NETO]:[EXENTO]])</f>
        <v>0</v>
      </c>
      <c r="M399" s="280"/>
    </row>
    <row r="400" spans="2:13" x14ac:dyDescent="0.25">
      <c r="B400" s="271"/>
      <c r="C400" s="41"/>
      <c r="D400" s="273"/>
      <c r="E400" s="274"/>
      <c r="F400" s="275"/>
      <c r="G400" s="276" t="str">
        <f>IFERROR(IF(ventas_b_mes11[[#This Row],[CUIT]]="","-",VLOOKUP(ventas_b_mes11[[#This Row],[CUIT]],Lista_CUIT[#All],2,0)),"CUIT NO CARGADO")</f>
        <v>-</v>
      </c>
      <c r="H400" s="277"/>
      <c r="I400" s="278"/>
      <c r="J400" s="279"/>
      <c r="K400" s="279"/>
      <c r="L400" s="279">
        <f>SUM(ventas_b_mes11[[#This Row],[IMPORTE NETO]:[EXENTO]])</f>
        <v>0</v>
      </c>
      <c r="M400" s="280"/>
    </row>
    <row r="401" spans="2:13" x14ac:dyDescent="0.25">
      <c r="B401" s="271"/>
      <c r="C401" s="41"/>
      <c r="D401" s="273"/>
      <c r="E401" s="274"/>
      <c r="F401" s="275"/>
      <c r="G401" s="276" t="str">
        <f>IFERROR(IF(ventas_b_mes11[[#This Row],[CUIT]]="","-",VLOOKUP(ventas_b_mes11[[#This Row],[CUIT]],Lista_CUIT[#All],2,0)),"CUIT NO CARGADO")</f>
        <v>-</v>
      </c>
      <c r="H401" s="277"/>
      <c r="I401" s="278"/>
      <c r="J401" s="279"/>
      <c r="K401" s="279"/>
      <c r="L401" s="279">
        <f>SUM(ventas_b_mes11[[#This Row],[IMPORTE NETO]:[EXENTO]])</f>
        <v>0</v>
      </c>
      <c r="M401" s="280"/>
    </row>
    <row r="402" spans="2:13" x14ac:dyDescent="0.25">
      <c r="B402" s="271"/>
      <c r="C402" s="41"/>
      <c r="D402" s="273"/>
      <c r="E402" s="274"/>
      <c r="F402" s="275"/>
      <c r="G402" s="276" t="str">
        <f>IFERROR(IF(ventas_b_mes11[[#This Row],[CUIT]]="","-",VLOOKUP(ventas_b_mes11[[#This Row],[CUIT]],Lista_CUIT[#All],2,0)),"CUIT NO CARGADO")</f>
        <v>-</v>
      </c>
      <c r="H402" s="277"/>
      <c r="I402" s="278"/>
      <c r="J402" s="279"/>
      <c r="K402" s="279"/>
      <c r="L402" s="279">
        <f>SUM(ventas_b_mes11[[#This Row],[IMPORTE NETO]:[EXENTO]])</f>
        <v>0</v>
      </c>
      <c r="M402" s="280"/>
    </row>
    <row r="403" spans="2:13" x14ac:dyDescent="0.25">
      <c r="B403" s="271"/>
      <c r="C403" s="41"/>
      <c r="D403" s="273"/>
      <c r="E403" s="274"/>
      <c r="F403" s="275"/>
      <c r="G403" s="276" t="str">
        <f>IFERROR(IF(ventas_b_mes11[[#This Row],[CUIT]]="","-",VLOOKUP(ventas_b_mes11[[#This Row],[CUIT]],Lista_CUIT[#All],2,0)),"CUIT NO CARGADO")</f>
        <v>-</v>
      </c>
      <c r="H403" s="277"/>
      <c r="I403" s="278"/>
      <c r="J403" s="279"/>
      <c r="K403" s="279"/>
      <c r="L403" s="279">
        <f>SUM(ventas_b_mes11[[#This Row],[IMPORTE NETO]:[EXENTO]])</f>
        <v>0</v>
      </c>
      <c r="M403" s="280"/>
    </row>
    <row r="404" spans="2:13" x14ac:dyDescent="0.25">
      <c r="B404" s="271"/>
      <c r="C404" s="41"/>
      <c r="D404" s="273"/>
      <c r="E404" s="274"/>
      <c r="F404" s="275"/>
      <c r="G404" s="276" t="str">
        <f>IFERROR(IF(ventas_b_mes11[[#This Row],[CUIT]]="","-",VLOOKUP(ventas_b_mes11[[#This Row],[CUIT]],Lista_CUIT[#All],2,0)),"CUIT NO CARGADO")</f>
        <v>-</v>
      </c>
      <c r="H404" s="277"/>
      <c r="I404" s="278"/>
      <c r="J404" s="279"/>
      <c r="K404" s="279"/>
      <c r="L404" s="279">
        <f>SUM(ventas_b_mes11[[#This Row],[IMPORTE NETO]:[EXENTO]])</f>
        <v>0</v>
      </c>
      <c r="M404" s="280"/>
    </row>
    <row r="405" spans="2:13" x14ac:dyDescent="0.25">
      <c r="B405" s="271"/>
      <c r="C405" s="41"/>
      <c r="D405" s="273"/>
      <c r="E405" s="274"/>
      <c r="F405" s="275"/>
      <c r="G405" s="276" t="str">
        <f>IFERROR(IF(ventas_b_mes11[[#This Row],[CUIT]]="","-",VLOOKUP(ventas_b_mes11[[#This Row],[CUIT]],Lista_CUIT[#All],2,0)),"CUIT NO CARGADO")</f>
        <v>-</v>
      </c>
      <c r="H405" s="277"/>
      <c r="I405" s="278"/>
      <c r="J405" s="279"/>
      <c r="K405" s="279"/>
      <c r="L405" s="279">
        <f>SUM(ventas_b_mes11[[#This Row],[IMPORTE NETO]:[EXENTO]])</f>
        <v>0</v>
      </c>
      <c r="M405" s="280"/>
    </row>
    <row r="406" spans="2:13" x14ac:dyDescent="0.25">
      <c r="B406" s="271"/>
      <c r="C406" s="41"/>
      <c r="D406" s="273"/>
      <c r="E406" s="274"/>
      <c r="F406" s="275"/>
      <c r="G406" s="276" t="str">
        <f>IFERROR(IF(ventas_b_mes11[[#This Row],[CUIT]]="","-",VLOOKUP(ventas_b_mes11[[#This Row],[CUIT]],Lista_CUIT[#All],2,0)),"CUIT NO CARGADO")</f>
        <v>-</v>
      </c>
      <c r="H406" s="277"/>
      <c r="I406" s="278"/>
      <c r="J406" s="279"/>
      <c r="K406" s="279"/>
      <c r="L406" s="279">
        <f>SUM(ventas_b_mes11[[#This Row],[IMPORTE NETO]:[EXENTO]])</f>
        <v>0</v>
      </c>
      <c r="M406" s="280"/>
    </row>
    <row r="407" spans="2:13" x14ac:dyDescent="0.25">
      <c r="B407" s="271"/>
      <c r="C407" s="41"/>
      <c r="D407" s="273"/>
      <c r="E407" s="274"/>
      <c r="F407" s="275"/>
      <c r="G407" s="276" t="str">
        <f>IFERROR(IF(ventas_b_mes11[[#This Row],[CUIT]]="","-",VLOOKUP(ventas_b_mes11[[#This Row],[CUIT]],Lista_CUIT[#All],2,0)),"CUIT NO CARGADO")</f>
        <v>-</v>
      </c>
      <c r="H407" s="277"/>
      <c r="I407" s="278"/>
      <c r="J407" s="279"/>
      <c r="K407" s="279"/>
      <c r="L407" s="279">
        <f>SUM(ventas_b_mes11[[#This Row],[IMPORTE NETO]:[EXENTO]])</f>
        <v>0</v>
      </c>
      <c r="M407" s="280"/>
    </row>
    <row r="408" spans="2:13" x14ac:dyDescent="0.25">
      <c r="B408" s="271"/>
      <c r="C408" s="41"/>
      <c r="D408" s="273"/>
      <c r="E408" s="274"/>
      <c r="F408" s="275"/>
      <c r="G408" s="276" t="str">
        <f>IFERROR(IF(ventas_b_mes11[[#This Row],[CUIT]]="","-",VLOOKUP(ventas_b_mes11[[#This Row],[CUIT]],Lista_CUIT[#All],2,0)),"CUIT NO CARGADO")</f>
        <v>-</v>
      </c>
      <c r="H408" s="277"/>
      <c r="I408" s="278"/>
      <c r="J408" s="279"/>
      <c r="K408" s="279"/>
      <c r="L408" s="279">
        <f>SUM(ventas_b_mes11[[#This Row],[IMPORTE NETO]:[EXENTO]])</f>
        <v>0</v>
      </c>
      <c r="M408" s="280"/>
    </row>
    <row r="409" spans="2:13" x14ac:dyDescent="0.25">
      <c r="B409" s="271"/>
      <c r="C409" s="41"/>
      <c r="D409" s="273"/>
      <c r="E409" s="274"/>
      <c r="F409" s="275"/>
      <c r="G409" s="276" t="str">
        <f>IFERROR(IF(ventas_b_mes11[[#This Row],[CUIT]]="","-",VLOOKUP(ventas_b_mes11[[#This Row],[CUIT]],Lista_CUIT[#All],2,0)),"CUIT NO CARGADO")</f>
        <v>-</v>
      </c>
      <c r="H409" s="277"/>
      <c r="I409" s="278"/>
      <c r="J409" s="279"/>
      <c r="K409" s="279"/>
      <c r="L409" s="279">
        <f>SUM(ventas_b_mes11[[#This Row],[IMPORTE NETO]:[EXENTO]])</f>
        <v>0</v>
      </c>
      <c r="M409" s="280"/>
    </row>
    <row r="410" spans="2:13" x14ac:dyDescent="0.25">
      <c r="B410" s="271"/>
      <c r="C410" s="41"/>
      <c r="D410" s="273"/>
      <c r="E410" s="274"/>
      <c r="F410" s="275"/>
      <c r="G410" s="276" t="str">
        <f>IFERROR(IF(ventas_b_mes11[[#This Row],[CUIT]]="","-",VLOOKUP(ventas_b_mes11[[#This Row],[CUIT]],Lista_CUIT[#All],2,0)),"CUIT NO CARGADO")</f>
        <v>-</v>
      </c>
      <c r="H410" s="277"/>
      <c r="I410" s="278"/>
      <c r="J410" s="279"/>
      <c r="K410" s="279"/>
      <c r="L410" s="279">
        <f>SUM(ventas_b_mes11[[#This Row],[IMPORTE NETO]:[EXENTO]])</f>
        <v>0</v>
      </c>
      <c r="M410" s="280"/>
    </row>
    <row r="411" spans="2:13" x14ac:dyDescent="0.25">
      <c r="B411" s="271"/>
      <c r="C411" s="41"/>
      <c r="D411" s="273"/>
      <c r="E411" s="274"/>
      <c r="F411" s="275"/>
      <c r="G411" s="276" t="str">
        <f>IFERROR(IF(ventas_b_mes11[[#This Row],[CUIT]]="","-",VLOOKUP(ventas_b_mes11[[#This Row],[CUIT]],Lista_CUIT[#All],2,0)),"CUIT NO CARGADO")</f>
        <v>-</v>
      </c>
      <c r="H411" s="277"/>
      <c r="I411" s="278"/>
      <c r="J411" s="279"/>
      <c r="K411" s="279"/>
      <c r="L411" s="279">
        <f>SUM(ventas_b_mes11[[#This Row],[IMPORTE NETO]:[EXENTO]])</f>
        <v>0</v>
      </c>
      <c r="M411" s="280"/>
    </row>
    <row r="412" spans="2:13" x14ac:dyDescent="0.25">
      <c r="B412" s="271"/>
      <c r="C412" s="41"/>
      <c r="D412" s="273"/>
      <c r="E412" s="274"/>
      <c r="F412" s="275"/>
      <c r="G412" s="276" t="str">
        <f>IFERROR(IF(ventas_b_mes11[[#This Row],[CUIT]]="","-",VLOOKUP(ventas_b_mes11[[#This Row],[CUIT]],Lista_CUIT[#All],2,0)),"CUIT NO CARGADO")</f>
        <v>-</v>
      </c>
      <c r="H412" s="277"/>
      <c r="I412" s="278"/>
      <c r="J412" s="279"/>
      <c r="K412" s="279"/>
      <c r="L412" s="279">
        <f>SUM(ventas_b_mes11[[#This Row],[IMPORTE NETO]:[EXENTO]])</f>
        <v>0</v>
      </c>
      <c r="M412" s="280"/>
    </row>
    <row r="413" spans="2:13" x14ac:dyDescent="0.25">
      <c r="B413" s="271"/>
      <c r="C413" s="41"/>
      <c r="D413" s="273"/>
      <c r="E413" s="274"/>
      <c r="F413" s="275"/>
      <c r="G413" s="276" t="str">
        <f>IFERROR(IF(ventas_b_mes11[[#This Row],[CUIT]]="","-",VLOOKUP(ventas_b_mes11[[#This Row],[CUIT]],Lista_CUIT[#All],2,0)),"CUIT NO CARGADO")</f>
        <v>-</v>
      </c>
      <c r="H413" s="277"/>
      <c r="I413" s="278"/>
      <c r="J413" s="279"/>
      <c r="K413" s="279"/>
      <c r="L413" s="279">
        <f>SUM(ventas_b_mes11[[#This Row],[IMPORTE NETO]:[EXENTO]])</f>
        <v>0</v>
      </c>
      <c r="M413" s="280"/>
    </row>
    <row r="414" spans="2:13" x14ac:dyDescent="0.25">
      <c r="B414" s="271"/>
      <c r="C414" s="41"/>
      <c r="D414" s="273"/>
      <c r="E414" s="274"/>
      <c r="F414" s="275"/>
      <c r="G414" s="276" t="str">
        <f>IFERROR(IF(ventas_b_mes11[[#This Row],[CUIT]]="","-",VLOOKUP(ventas_b_mes11[[#This Row],[CUIT]],Lista_CUIT[#All],2,0)),"CUIT NO CARGADO")</f>
        <v>-</v>
      </c>
      <c r="H414" s="277"/>
      <c r="I414" s="278"/>
      <c r="J414" s="279"/>
      <c r="K414" s="279"/>
      <c r="L414" s="279">
        <f>SUM(ventas_b_mes11[[#This Row],[IMPORTE NETO]:[EXENTO]])</f>
        <v>0</v>
      </c>
      <c r="M414" s="280"/>
    </row>
    <row r="415" spans="2:13" x14ac:dyDescent="0.25">
      <c r="B415" s="271"/>
      <c r="C415" s="41"/>
      <c r="D415" s="273"/>
      <c r="E415" s="274"/>
      <c r="F415" s="275"/>
      <c r="G415" s="276" t="str">
        <f>IFERROR(IF(ventas_b_mes11[[#This Row],[CUIT]]="","-",VLOOKUP(ventas_b_mes11[[#This Row],[CUIT]],Lista_CUIT[#All],2,0)),"CUIT NO CARGADO")</f>
        <v>-</v>
      </c>
      <c r="H415" s="277"/>
      <c r="I415" s="278"/>
      <c r="J415" s="279"/>
      <c r="K415" s="279"/>
      <c r="L415" s="279">
        <f>SUM(ventas_b_mes11[[#This Row],[IMPORTE NETO]:[EXENTO]])</f>
        <v>0</v>
      </c>
      <c r="M415" s="280"/>
    </row>
    <row r="416" spans="2:13" x14ac:dyDescent="0.25">
      <c r="B416" s="271"/>
      <c r="C416" s="41"/>
      <c r="D416" s="273"/>
      <c r="E416" s="274"/>
      <c r="F416" s="275"/>
      <c r="G416" s="276" t="str">
        <f>IFERROR(IF(ventas_b_mes11[[#This Row],[CUIT]]="","-",VLOOKUP(ventas_b_mes11[[#This Row],[CUIT]],Lista_CUIT[#All],2,0)),"CUIT NO CARGADO")</f>
        <v>-</v>
      </c>
      <c r="H416" s="277"/>
      <c r="I416" s="278"/>
      <c r="J416" s="279"/>
      <c r="K416" s="279"/>
      <c r="L416" s="279">
        <f>SUM(ventas_b_mes11[[#This Row],[IMPORTE NETO]:[EXENTO]])</f>
        <v>0</v>
      </c>
      <c r="M416" s="280"/>
    </row>
    <row r="417" spans="2:13" x14ac:dyDescent="0.25">
      <c r="B417" s="271"/>
      <c r="C417" s="41"/>
      <c r="D417" s="273"/>
      <c r="E417" s="274"/>
      <c r="F417" s="275"/>
      <c r="G417" s="276" t="str">
        <f>IFERROR(IF(ventas_b_mes11[[#This Row],[CUIT]]="","-",VLOOKUP(ventas_b_mes11[[#This Row],[CUIT]],Lista_CUIT[#All],2,0)),"CUIT NO CARGADO")</f>
        <v>-</v>
      </c>
      <c r="H417" s="277"/>
      <c r="I417" s="278"/>
      <c r="J417" s="279"/>
      <c r="K417" s="279"/>
      <c r="L417" s="279">
        <f>SUM(ventas_b_mes11[[#This Row],[IMPORTE NETO]:[EXENTO]])</f>
        <v>0</v>
      </c>
      <c r="M417" s="280"/>
    </row>
    <row r="418" spans="2:13" x14ac:dyDescent="0.25">
      <c r="B418" s="271"/>
      <c r="C418" s="41"/>
      <c r="D418" s="273"/>
      <c r="E418" s="274"/>
      <c r="F418" s="275"/>
      <c r="G418" s="276" t="str">
        <f>IFERROR(IF(ventas_b_mes11[[#This Row],[CUIT]]="","-",VLOOKUP(ventas_b_mes11[[#This Row],[CUIT]],Lista_CUIT[#All],2,0)),"CUIT NO CARGADO")</f>
        <v>-</v>
      </c>
      <c r="H418" s="277"/>
      <c r="I418" s="278"/>
      <c r="J418" s="279"/>
      <c r="K418" s="279"/>
      <c r="L418" s="279">
        <f>SUM(ventas_b_mes11[[#This Row],[IMPORTE NETO]:[EXENTO]])</f>
        <v>0</v>
      </c>
      <c r="M418" s="280"/>
    </row>
    <row r="419" spans="2:13" x14ac:dyDescent="0.25">
      <c r="B419" s="271"/>
      <c r="C419" s="41"/>
      <c r="D419" s="273"/>
      <c r="E419" s="274"/>
      <c r="F419" s="275"/>
      <c r="G419" s="276" t="str">
        <f>IFERROR(IF(ventas_b_mes11[[#This Row],[CUIT]]="","-",VLOOKUP(ventas_b_mes11[[#This Row],[CUIT]],Lista_CUIT[#All],2,0)),"CUIT NO CARGADO")</f>
        <v>-</v>
      </c>
      <c r="H419" s="277"/>
      <c r="I419" s="278"/>
      <c r="J419" s="279"/>
      <c r="K419" s="279"/>
      <c r="L419" s="279">
        <f>SUM(ventas_b_mes11[[#This Row],[IMPORTE NETO]:[EXENTO]])</f>
        <v>0</v>
      </c>
      <c r="M419" s="280"/>
    </row>
    <row r="420" spans="2:13" x14ac:dyDescent="0.25">
      <c r="B420" s="271"/>
      <c r="C420" s="41"/>
      <c r="D420" s="273"/>
      <c r="E420" s="274"/>
      <c r="F420" s="275"/>
      <c r="G420" s="276" t="str">
        <f>IFERROR(IF(ventas_b_mes11[[#This Row],[CUIT]]="","-",VLOOKUP(ventas_b_mes11[[#This Row],[CUIT]],Lista_CUIT[#All],2,0)),"CUIT NO CARGADO")</f>
        <v>-</v>
      </c>
      <c r="H420" s="277"/>
      <c r="I420" s="278"/>
      <c r="J420" s="279"/>
      <c r="K420" s="279"/>
      <c r="L420" s="279">
        <f>SUM(ventas_b_mes11[[#This Row],[IMPORTE NETO]:[EXENTO]])</f>
        <v>0</v>
      </c>
      <c r="M420" s="280"/>
    </row>
    <row r="421" spans="2:13" x14ac:dyDescent="0.25">
      <c r="B421" s="271"/>
      <c r="C421" s="41"/>
      <c r="D421" s="273"/>
      <c r="E421" s="274"/>
      <c r="F421" s="275"/>
      <c r="G421" s="276" t="str">
        <f>IFERROR(IF(ventas_b_mes11[[#This Row],[CUIT]]="","-",VLOOKUP(ventas_b_mes11[[#This Row],[CUIT]],Lista_CUIT[#All],2,0)),"CUIT NO CARGADO")</f>
        <v>-</v>
      </c>
      <c r="H421" s="277"/>
      <c r="I421" s="278"/>
      <c r="J421" s="279"/>
      <c r="K421" s="279"/>
      <c r="L421" s="279">
        <f>SUM(ventas_b_mes11[[#This Row],[IMPORTE NETO]:[EXENTO]])</f>
        <v>0</v>
      </c>
      <c r="M421" s="280"/>
    </row>
    <row r="422" spans="2:13" x14ac:dyDescent="0.25">
      <c r="B422" s="271"/>
      <c r="C422" s="41"/>
      <c r="D422" s="273"/>
      <c r="E422" s="274"/>
      <c r="F422" s="275"/>
      <c r="G422" s="276" t="str">
        <f>IFERROR(IF(ventas_b_mes11[[#This Row],[CUIT]]="","-",VLOOKUP(ventas_b_mes11[[#This Row],[CUIT]],Lista_CUIT[#All],2,0)),"CUIT NO CARGADO")</f>
        <v>-</v>
      </c>
      <c r="H422" s="277"/>
      <c r="I422" s="278"/>
      <c r="J422" s="279"/>
      <c r="K422" s="279"/>
      <c r="L422" s="279">
        <f>SUM(ventas_b_mes11[[#This Row],[IMPORTE NETO]:[EXENTO]])</f>
        <v>0</v>
      </c>
      <c r="M422" s="280"/>
    </row>
    <row r="423" spans="2:13" x14ac:dyDescent="0.25">
      <c r="B423" s="271"/>
      <c r="C423" s="41"/>
      <c r="D423" s="273"/>
      <c r="E423" s="274"/>
      <c r="F423" s="275"/>
      <c r="G423" s="276" t="str">
        <f>IFERROR(IF(ventas_b_mes11[[#This Row],[CUIT]]="","-",VLOOKUP(ventas_b_mes11[[#This Row],[CUIT]],Lista_CUIT[#All],2,0)),"CUIT NO CARGADO")</f>
        <v>-</v>
      </c>
      <c r="H423" s="277"/>
      <c r="I423" s="278"/>
      <c r="J423" s="279"/>
      <c r="K423" s="279"/>
      <c r="L423" s="279">
        <f>SUM(ventas_b_mes11[[#This Row],[IMPORTE NETO]:[EXENTO]])</f>
        <v>0</v>
      </c>
      <c r="M423" s="280"/>
    </row>
    <row r="424" spans="2:13" x14ac:dyDescent="0.25">
      <c r="B424" s="271"/>
      <c r="C424" s="41"/>
      <c r="D424" s="273"/>
      <c r="E424" s="274"/>
      <c r="F424" s="275"/>
      <c r="G424" s="276" t="str">
        <f>IFERROR(IF(ventas_b_mes11[[#This Row],[CUIT]]="","-",VLOOKUP(ventas_b_mes11[[#This Row],[CUIT]],Lista_CUIT[#All],2,0)),"CUIT NO CARGADO")</f>
        <v>-</v>
      </c>
      <c r="H424" s="277"/>
      <c r="I424" s="278"/>
      <c r="J424" s="279"/>
      <c r="K424" s="279"/>
      <c r="L424" s="279">
        <f>SUM(ventas_b_mes11[[#This Row],[IMPORTE NETO]:[EXENTO]])</f>
        <v>0</v>
      </c>
      <c r="M424" s="280"/>
    </row>
    <row r="425" spans="2:13" x14ac:dyDescent="0.25">
      <c r="B425" s="271"/>
      <c r="C425" s="272"/>
      <c r="D425" s="273"/>
      <c r="E425" s="274"/>
      <c r="F425" s="275"/>
      <c r="G425" s="276" t="str">
        <f>IFERROR(IF(ventas_b_mes11[[#This Row],[CUIT]]="","-",VLOOKUP(ventas_b_mes11[[#This Row],[CUIT]],Lista_CUIT[#All],2,0)),"CUIT NO CARGADO")</f>
        <v>-</v>
      </c>
      <c r="H425" s="277"/>
      <c r="I425" s="278"/>
      <c r="J425" s="279"/>
      <c r="K425" s="279"/>
      <c r="L425" s="279">
        <f>SUM(ventas_b_mes11[[#This Row],[IMPORTE NETO]:[EXENTO]])</f>
        <v>0</v>
      </c>
      <c r="M425" s="280"/>
    </row>
    <row r="426" spans="2:13" x14ac:dyDescent="0.25">
      <c r="B426" s="271"/>
      <c r="C426" s="272"/>
      <c r="D426" s="273"/>
      <c r="E426" s="274"/>
      <c r="F426" s="275"/>
      <c r="G426" s="276" t="str">
        <f>IFERROR(IF(ventas_b_mes11[[#This Row],[CUIT]]="","-",VLOOKUP(ventas_b_mes11[[#This Row],[CUIT]],Lista_CUIT[#All],2,0)),"CUIT NO CARGADO")</f>
        <v>-</v>
      </c>
      <c r="H426" s="277"/>
      <c r="I426" s="278"/>
      <c r="J426" s="279"/>
      <c r="K426" s="279"/>
      <c r="L426" s="279">
        <f>SUM(ventas_b_mes11[[#This Row],[IMPORTE NETO]:[EXENTO]])</f>
        <v>0</v>
      </c>
      <c r="M426" s="280"/>
    </row>
    <row r="427" spans="2:13" x14ac:dyDescent="0.25">
      <c r="B427" s="271"/>
      <c r="C427" s="272"/>
      <c r="D427" s="273"/>
      <c r="E427" s="274"/>
      <c r="F427" s="275"/>
      <c r="G427" s="276" t="str">
        <f>IFERROR(IF(ventas_b_mes11[[#This Row],[CUIT]]="","-",VLOOKUP(ventas_b_mes11[[#This Row],[CUIT]],Lista_CUIT[#All],2,0)),"CUIT NO CARGADO")</f>
        <v>-</v>
      </c>
      <c r="H427" s="277"/>
      <c r="I427" s="278"/>
      <c r="J427" s="279"/>
      <c r="K427" s="279"/>
      <c r="L427" s="279">
        <f>SUM(ventas_b_mes11[[#This Row],[IMPORTE NETO]:[EXENTO]])</f>
        <v>0</v>
      </c>
      <c r="M427" s="280"/>
    </row>
    <row r="428" spans="2:13" ht="15.75" thickBot="1" x14ac:dyDescent="0.3">
      <c r="B428" s="66" t="s">
        <v>110</v>
      </c>
      <c r="C428" s="67"/>
      <c r="D428" s="67"/>
      <c r="E428" s="67"/>
      <c r="F428" s="67"/>
      <c r="G428" s="67"/>
      <c r="H428" s="77">
        <f>SUBTOTAL(109,ventas_b_mes11[IMPORTE NETO])</f>
        <v>0</v>
      </c>
      <c r="I428" s="77">
        <f>SUBTOTAL(109,ventas_b_mes11[IVA 21%])</f>
        <v>0</v>
      </c>
      <c r="J428" s="78">
        <f>SUBTOTAL(109,ventas_b_mes11[IVA 10,5%])</f>
        <v>0</v>
      </c>
      <c r="K428" s="78">
        <f>SUBTOTAL(109,ventas_b_mes11[EXENTO])</f>
        <v>0</v>
      </c>
      <c r="L428" s="78">
        <f>SUBTOTAL(109,ventas_b_mes11[TOTAL])</f>
        <v>0</v>
      </c>
      <c r="M428" s="68">
        <f>SUBTOTAL(103,ventas_b_mes11[Provincia])</f>
        <v>0</v>
      </c>
    </row>
    <row r="429" spans="2:13" ht="15.75" thickTop="1" x14ac:dyDescent="0.25">
      <c r="C429" s="625" t="s">
        <v>66</v>
      </c>
      <c r="D429" s="625"/>
      <c r="E429" s="625"/>
      <c r="F429" s="625"/>
      <c r="G429" s="625"/>
      <c r="H429" s="32"/>
      <c r="I429" s="32"/>
      <c r="J429" s="32"/>
    </row>
    <row r="430" spans="2:13" ht="15.75" x14ac:dyDescent="0.25">
      <c r="C430" s="113" t="s">
        <v>67</v>
      </c>
      <c r="D430" s="114" t="s">
        <v>68</v>
      </c>
      <c r="E430" s="114" t="s">
        <v>112</v>
      </c>
      <c r="F430" s="114" t="s">
        <v>3</v>
      </c>
      <c r="G430" s="114" t="s">
        <v>4</v>
      </c>
      <c r="H430" s="115" t="s">
        <v>69</v>
      </c>
      <c r="I430" s="115" t="s">
        <v>70</v>
      </c>
      <c r="J430" s="115" t="s">
        <v>71</v>
      </c>
      <c r="K430" s="115" t="s">
        <v>72</v>
      </c>
      <c r="L430" s="115" t="s">
        <v>73</v>
      </c>
    </row>
    <row r="431" spans="2:13" x14ac:dyDescent="0.25">
      <c r="C431" s="116"/>
      <c r="D431" s="117"/>
      <c r="E431" s="117"/>
      <c r="F431" s="118"/>
      <c r="G431" s="53" t="str">
        <f>IFERROR(IF(Retenciones_mes11[[#This Row],[CUIT]]="","-",VLOOKUP(Retenciones_mes11[[#This Row],[CUIT]],Lista_CUIT[#All],2,0)),"CUIT NO CARGADO")</f>
        <v>-</v>
      </c>
      <c r="H431" s="119"/>
      <c r="I431" s="119"/>
      <c r="J431" s="119"/>
      <c r="K431" s="119"/>
      <c r="L431" s="119"/>
    </row>
    <row r="432" spans="2:13" x14ac:dyDescent="0.25">
      <c r="C432" s="116"/>
      <c r="D432" s="117"/>
      <c r="E432" s="117"/>
      <c r="F432" s="118"/>
      <c r="G432" s="53" t="str">
        <f>IFERROR(IF(Retenciones_mes11[[#This Row],[CUIT]]="","-",VLOOKUP(Retenciones_mes11[[#This Row],[CUIT]],Lista_CUIT[#All],2,0)),"CUIT NO CARGADO")</f>
        <v>-</v>
      </c>
      <c r="H432" s="119"/>
      <c r="I432" s="119"/>
      <c r="J432" s="119"/>
      <c r="K432" s="119"/>
      <c r="L432" s="119"/>
    </row>
    <row r="433" spans="3:12" x14ac:dyDescent="0.25">
      <c r="C433" s="116"/>
      <c r="D433" s="117"/>
      <c r="E433" s="117"/>
      <c r="F433" s="118"/>
      <c r="G433" s="53" t="str">
        <f>IFERROR(IF(Retenciones_mes11[[#This Row],[CUIT]]="","-",VLOOKUP(Retenciones_mes11[[#This Row],[CUIT]],Lista_CUIT[#All],2,0)),"CUIT NO CARGADO")</f>
        <v>-</v>
      </c>
      <c r="H433" s="119"/>
      <c r="I433" s="119"/>
      <c r="J433" s="119"/>
      <c r="K433" s="119"/>
      <c r="L433" s="119"/>
    </row>
    <row r="434" spans="3:12" x14ac:dyDescent="0.25">
      <c r="C434" s="116"/>
      <c r="D434" s="117"/>
      <c r="E434" s="117"/>
      <c r="F434" s="118"/>
      <c r="G434" s="53" t="str">
        <f>IFERROR(IF(Retenciones_mes11[[#This Row],[CUIT]]="","-",VLOOKUP(Retenciones_mes11[[#This Row],[CUIT]],Lista_CUIT[#All],2,0)),"CUIT NO CARGADO")</f>
        <v>-</v>
      </c>
      <c r="H434" s="119"/>
      <c r="I434" s="119"/>
      <c r="J434" s="119"/>
      <c r="K434" s="119"/>
      <c r="L434" s="119"/>
    </row>
    <row r="435" spans="3:12" x14ac:dyDescent="0.25">
      <c r="D435" s="117"/>
      <c r="E435" s="117"/>
      <c r="G435" s="53" t="str">
        <f>IFERROR(IF(Retenciones_mes11[[#This Row],[CUIT]]="","-",VLOOKUP(Retenciones_mes11[[#This Row],[CUIT]],Lista_CUIT[#All],2,0)),"CUIT NO CARGADO")</f>
        <v>-</v>
      </c>
    </row>
    <row r="436" spans="3:12" x14ac:dyDescent="0.25">
      <c r="C436" s="33"/>
    </row>
  </sheetData>
  <mergeCells count="20">
    <mergeCell ref="C429:G429"/>
    <mergeCell ref="B4:E4"/>
    <mergeCell ref="G4:H4"/>
    <mergeCell ref="J4:K4"/>
    <mergeCell ref="M4:N4"/>
    <mergeCell ref="D152:K152"/>
    <mergeCell ref="B180:J180"/>
    <mergeCell ref="K180:M180"/>
    <mergeCell ref="B182:C182"/>
    <mergeCell ref="B193:C193"/>
    <mergeCell ref="P4:R4"/>
    <mergeCell ref="D141:L14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195:D427 D184:D189 D9:D135 E154:E178" xr:uid="{00000000-0002-0000-0B00-000000000000}">
      <formula1>1</formula1>
      <formula2>9999</formula2>
    </dataValidation>
    <dataValidation type="whole" allowBlank="1" showInputMessage="1" showErrorMessage="1" sqref="E195:E427 E184:E189 E9:E135 F154:F178" xr:uid="{00000000-0002-0000-0B00-000001000000}">
      <formula1>1</formula1>
      <formula2>99999999</formula2>
    </dataValidation>
    <dataValidation type="whole" allowBlank="1" showInputMessage="1" showErrorMessage="1" sqref="F184:F189 F195:F427 F9:F135 G154:G178" xr:uid="{00000000-0002-0000-0B00-000002000000}">
      <formula1>20000000000</formula1>
      <formula2>33999999999</formula2>
    </dataValidation>
    <dataValidation type="date" allowBlank="1" showInputMessage="1" showErrorMessage="1" sqref="D154:D178 B137:B140 B195:B427 B184:B189 B9:B135 D143:D145 D147" xr:uid="{00000000-0002-0000-0B00-000003000000}">
      <formula1>40179</formula1>
      <formula2>TODAY()</formula2>
    </dataValidation>
    <dataValidation type="whole" allowBlank="1" showInputMessage="1" showErrorMessage="1" sqref="C137:C140 C184:C189 C9:C135" xr:uid="{00000000-0002-0000-0B00-000004000000}">
      <formula1>1</formula1>
      <formula2>3</formula2>
    </dataValidation>
    <dataValidation type="custom" allowBlank="1" showInputMessage="1" showErrorMessage="1" sqref="L184:L188" xr:uid="{00000000-0002-0000-0B00-000005000000}">
      <formula1>IF($C9=3,L9&lt;0,L9&gt;=0)</formula1>
    </dataValidation>
    <dataValidation type="whole" allowBlank="1" showInputMessage="1" showErrorMessage="1" sqref="C195:C427" xr:uid="{00000000-0002-0000-0B00-000006000000}">
      <formula1>6</formula1>
      <formula2>8</formula2>
    </dataValidation>
    <dataValidation type="custom" allowBlank="1" showInputMessage="1" showErrorMessage="1" sqref="H195:L427" xr:uid="{00000000-0002-0000-0B00-000007000000}">
      <formula1>IF($C195=8,H195&lt;0,H195&gt;=0)</formula1>
    </dataValidation>
    <dataValidation type="custom" allowBlank="1" showInputMessage="1" showErrorMessage="1" sqref="H184:K188" xr:uid="{00000000-0002-0000-0B00-000008000000}">
      <formula1>IF($C184=3,H184&lt;0,H184&gt;=0)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5" xr:uid="{00000000-0002-0000-0B00-000009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</sheetPr>
  <dimension ref="A1:Z215"/>
  <sheetViews>
    <sheetView showGridLines="0" tabSelected="1" topLeftCell="E7" zoomScale="70" zoomScaleNormal="70" workbookViewId="0">
      <selection activeCell="I48" sqref="I48"/>
    </sheetView>
  </sheetViews>
  <sheetFormatPr baseColWidth="10" defaultColWidth="0" defaultRowHeight="15" x14ac:dyDescent="0.25"/>
  <cols>
    <col min="1" max="1" width="1.7109375" customWidth="1"/>
    <col min="2" max="2" width="11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3" customWidth="1"/>
    <col min="11" max="11" width="13.42578125" customWidth="1"/>
    <col min="12" max="12" width="12.85546875" customWidth="1"/>
    <col min="13" max="13" width="12.42578125" customWidth="1"/>
    <col min="14" max="14" width="16.28515625" customWidth="1"/>
    <col min="15" max="15" width="13.42578125" customWidth="1"/>
    <col min="16" max="16" width="23.140625" customWidth="1"/>
    <col min="17" max="17" width="12.7109375" customWidth="1"/>
    <col min="18" max="18" width="10" customWidth="1"/>
    <col min="19" max="19" width="11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619" t="s">
        <v>28</v>
      </c>
      <c r="C1" s="619"/>
      <c r="D1" s="619"/>
      <c r="E1" s="619"/>
      <c r="F1" s="619"/>
      <c r="G1" s="620" t="str">
        <f>'Ene-25'!G1:M1</f>
        <v>ORTOPEDIA GEMINIS S.A.</v>
      </c>
      <c r="H1" s="620"/>
      <c r="I1" s="620"/>
      <c r="J1" s="620"/>
      <c r="K1" s="620"/>
      <c r="L1" s="620"/>
      <c r="M1" s="620"/>
      <c r="N1" s="621">
        <f>EDATE('Ene-25'!N1,11)</f>
        <v>45992</v>
      </c>
      <c r="O1" s="621"/>
      <c r="P1" s="621"/>
      <c r="Q1" s="621"/>
      <c r="R1" s="621"/>
    </row>
    <row r="2" spans="1:26" ht="15" customHeight="1" x14ac:dyDescent="0.25"/>
    <row r="3" spans="1:26" ht="26.45" customHeight="1" x14ac:dyDescent="0.25">
      <c r="B3" s="622" t="s">
        <v>65</v>
      </c>
      <c r="C3" s="622"/>
      <c r="D3" s="622"/>
      <c r="E3" s="622"/>
      <c r="F3" s="38"/>
      <c r="G3" s="622" t="s">
        <v>37</v>
      </c>
      <c r="H3" s="622"/>
      <c r="I3" s="38"/>
      <c r="J3" s="623" t="s">
        <v>14</v>
      </c>
      <c r="K3" s="623"/>
      <c r="L3" s="38"/>
      <c r="M3" s="623" t="s">
        <v>12</v>
      </c>
      <c r="N3" s="623"/>
      <c r="O3" s="38"/>
      <c r="P3" s="624" t="s">
        <v>109</v>
      </c>
      <c r="Q3" s="624"/>
      <c r="R3" s="624"/>
    </row>
    <row r="4" spans="1:26" ht="25.15" customHeight="1" x14ac:dyDescent="0.35">
      <c r="B4" s="626">
        <f>SUM(compras_mes12[[#Totals],[NETO GRAVADO]])+extracto_banco_mes12[[#Totals],[NETO]]</f>
        <v>68956799.630000025</v>
      </c>
      <c r="C4" s="626"/>
      <c r="D4" s="626"/>
      <c r="E4" s="626"/>
      <c r="F4" s="39"/>
      <c r="G4" s="633">
        <f>compras_mes12[[#Totals],[IVA 21 %]]+compras_mes12[[#Totals],[IVA 27%]]+compras_mes12[[#Totals],[IVA 10,5%]]+extracto_banco_mes12[[#Totals],[IVA 21%]]+extracto_banco_mes12[[#Totals],[IVA 10,5%]]</f>
        <v>14008058.2875</v>
      </c>
      <c r="H4" s="633"/>
      <c r="I4" s="39"/>
      <c r="J4" s="628">
        <f>venta_a_mes12[[#Totals],[IMPORTE NETO]]+ventas_b_mes12[[#Totals],[IMPORTE NETO]]</f>
        <v>0</v>
      </c>
      <c r="K4" s="628"/>
      <c r="L4" s="39"/>
      <c r="M4" s="628">
        <f>venta_a_mes12[[#Totals],[IVA 21%]]+venta_a_mes12[[#Totals],[IVA 10,5%]]+ventas_b_mes12[[#Totals],[IVA 21%]]+ventas_b_mes12[[#Totals],[IVA 10,5%]]</f>
        <v>0</v>
      </c>
      <c r="N4" s="628"/>
      <c r="O4" s="39"/>
      <c r="P4" s="616">
        <f>G4-M4</f>
        <v>14008058.2875</v>
      </c>
      <c r="Q4" s="617"/>
      <c r="R4" s="617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59"/>
      <c r="C9" s="270"/>
      <c r="D9" s="260"/>
      <c r="E9" s="261"/>
      <c r="F9" s="262">
        <v>30718946995</v>
      </c>
      <c r="G9" s="263" t="str">
        <f>IFERROR(IF(compras_mes12[[#This Row],[CUIT]]="","-",VLOOKUP(compras_mes12[[#This Row],[CUIT]],Lista_CUIT[#All],2,0)),"CUIT NO CARGADO")</f>
        <v>AMOBLAMIENTOS J3 SRL</v>
      </c>
      <c r="H9" s="264">
        <v>500000</v>
      </c>
      <c r="I9" s="513">
        <f>IF(compras_mes12[[#This Row],[NETO GRAVADO]]="","",compras_mes12[[#This Row],[NETO GRAVADO]]*0.21)</f>
        <v>105000</v>
      </c>
      <c r="J9" s="513"/>
      <c r="K9" s="513"/>
      <c r="L9" s="513">
        <v>0</v>
      </c>
      <c r="M9" s="513"/>
      <c r="N9" s="513">
        <v>0</v>
      </c>
      <c r="O9" s="513">
        <v>0</v>
      </c>
      <c r="P9" s="514">
        <f>SUM(compras_mes12[[#This Row],[NETO GRAVADO]:[Otros / No Grav.]])</f>
        <v>605000</v>
      </c>
      <c r="Q9" s="515" t="str">
        <f>IFERROR(IF(compras_mes12[[#This Row],[CUIT]]="","-",VLOOKUP(compras_mes12[[#This Row],[CUIT]],Lista_CUIT[#All],3,0)),"CUIT NO CARGADO")</f>
        <v>Insumos</v>
      </c>
      <c r="R9" s="515">
        <f>IFERROR(IF(compras_mes12[[#This Row],[CUIT]]="","-",VLOOKUP(compras_mes12[[#This Row],[CUIT]],Lista_CUIT[#All],4,0)),"CUIT NO CARGADO")</f>
        <v>0</v>
      </c>
    </row>
    <row r="10" spans="1:26" x14ac:dyDescent="0.25">
      <c r="B10" s="259"/>
      <c r="C10" s="270"/>
      <c r="D10" s="260"/>
      <c r="E10" s="261"/>
      <c r="F10" s="262">
        <v>30718946995</v>
      </c>
      <c r="G10" s="263" t="str">
        <f>IFERROR(IF(compras_mes12[[#This Row],[CUIT]]="","-",VLOOKUP(compras_mes12[[#This Row],[CUIT]],Lista_CUIT[#All],2,0)),"CUIT NO CARGADO")</f>
        <v>AMOBLAMIENTOS J3 SRL</v>
      </c>
      <c r="H10" s="264">
        <v>548000</v>
      </c>
      <c r="I10" s="513">
        <f>IF(compras_mes12[[#This Row],[NETO GRAVADO]]="","",compras_mes12[[#This Row],[NETO GRAVADO]]*0.21)</f>
        <v>115080</v>
      </c>
      <c r="J10" s="513"/>
      <c r="K10" s="513"/>
      <c r="L10" s="513">
        <v>0</v>
      </c>
      <c r="M10" s="513"/>
      <c r="N10" s="513">
        <v>0</v>
      </c>
      <c r="O10" s="513">
        <v>0</v>
      </c>
      <c r="P10" s="514">
        <f>SUM(compras_mes12[[#This Row],[NETO GRAVADO]:[Otros / No Grav.]])</f>
        <v>663080</v>
      </c>
      <c r="Q10" s="515" t="str">
        <f>IFERROR(IF(compras_mes12[[#This Row],[CUIT]]="","-",VLOOKUP(compras_mes12[[#This Row],[CUIT]],Lista_CUIT[#All],3,0)),"CUIT NO CARGADO")</f>
        <v>Insumos</v>
      </c>
      <c r="R10" s="515">
        <f>IFERROR(IF(compras_mes12[[#This Row],[CUIT]]="","-",VLOOKUP(compras_mes12[[#This Row],[CUIT]],Lista_CUIT[#All],4,0)),"CUIT NO CARGADO")</f>
        <v>0</v>
      </c>
    </row>
    <row r="11" spans="1:26" x14ac:dyDescent="0.25">
      <c r="B11" s="259"/>
      <c r="C11" s="270"/>
      <c r="D11" s="260"/>
      <c r="E11" s="261"/>
      <c r="F11" s="262">
        <v>30718946995</v>
      </c>
      <c r="G11" s="263" t="str">
        <f>IFERROR(IF(compras_mes12[[#This Row],[CUIT]]="","-",VLOOKUP(compras_mes12[[#This Row],[CUIT]],Lista_CUIT[#All],2,0)),"CUIT NO CARGADO")</f>
        <v>AMOBLAMIENTOS J3 SRL</v>
      </c>
      <c r="H11" s="264">
        <v>580000</v>
      </c>
      <c r="I11" s="513">
        <f>IF(compras_mes12[[#This Row],[NETO GRAVADO]]="","",compras_mes12[[#This Row],[NETO GRAVADO]]*0.21)</f>
        <v>121800</v>
      </c>
      <c r="J11" s="513"/>
      <c r="K11" s="513"/>
      <c r="L11" s="513">
        <v>0</v>
      </c>
      <c r="M11" s="513"/>
      <c r="N11" s="513">
        <v>0</v>
      </c>
      <c r="O11" s="513">
        <v>0</v>
      </c>
      <c r="P11" s="48">
        <f>SUM(compras_mes12[[#This Row],[NETO GRAVADO]:[Otros / No Grav.]])</f>
        <v>701800</v>
      </c>
      <c r="Q11" s="49" t="str">
        <f>IFERROR(IF(compras_mes12[[#This Row],[CUIT]]="","-",VLOOKUP(compras_mes12[[#This Row],[CUIT]],Lista_CUIT[#All],3,0)),"CUIT NO CARGADO")</f>
        <v>Insumos</v>
      </c>
      <c r="R11" s="49">
        <f>IFERROR(IF(compras_mes12[[#This Row],[CUIT]]="","-",VLOOKUP(compras_mes12[[#This Row],[CUIT]],Lista_CUIT[#All],4,0)),"CUIT NO CARGADO")</f>
        <v>0</v>
      </c>
    </row>
    <row r="12" spans="1:26" x14ac:dyDescent="0.25">
      <c r="B12" s="259"/>
      <c r="C12" s="270"/>
      <c r="D12" s="260"/>
      <c r="E12" s="261"/>
      <c r="F12" s="262">
        <v>30718946995</v>
      </c>
      <c r="G12" s="263" t="str">
        <f>IFERROR(IF(compras_mes12[[#This Row],[CUIT]]="","-",VLOOKUP(compras_mes12[[#This Row],[CUIT]],Lista_CUIT[#All],2,0)),"CUIT NO CARGADO")</f>
        <v>AMOBLAMIENTOS J3 SRL</v>
      </c>
      <c r="H12" s="264">
        <v>38000</v>
      </c>
      <c r="I12" s="513">
        <f>IF(compras_mes12[[#This Row],[NETO GRAVADO]]="","",compras_mes12[[#This Row],[NETO GRAVADO]]*0.21)</f>
        <v>7980</v>
      </c>
      <c r="J12" s="513"/>
      <c r="K12" s="513"/>
      <c r="L12" s="513">
        <v>0</v>
      </c>
      <c r="M12" s="513"/>
      <c r="N12" s="513">
        <v>0</v>
      </c>
      <c r="O12" s="513">
        <v>0</v>
      </c>
      <c r="P12" s="514">
        <f>SUM(compras_mes12[[#This Row],[NETO GRAVADO]:[Otros / No Grav.]])</f>
        <v>45980</v>
      </c>
      <c r="Q12" s="515" t="str">
        <f>IFERROR(IF(compras_mes12[[#This Row],[CUIT]]="","-",VLOOKUP(compras_mes12[[#This Row],[CUIT]],Lista_CUIT[#All],3,0)),"CUIT NO CARGADO")</f>
        <v>Insumos</v>
      </c>
      <c r="R12" s="515">
        <f>IFERROR(IF(compras_mes12[[#This Row],[CUIT]]="","-",VLOOKUP(compras_mes12[[#This Row],[CUIT]],Lista_CUIT[#All],4,0)),"CUIT NO CARGADO")</f>
        <v>0</v>
      </c>
    </row>
    <row r="13" spans="1:26" x14ac:dyDescent="0.25">
      <c r="B13" s="259"/>
      <c r="C13" s="270"/>
      <c r="D13" s="260"/>
      <c r="E13" s="261"/>
      <c r="F13" s="262">
        <v>30715141201</v>
      </c>
      <c r="G13" s="263" t="str">
        <f>IFERROR(IF(compras_mes12[[#This Row],[CUIT]]="","-",VLOOKUP(compras_mes12[[#This Row],[CUIT]],Lista_CUIT[#All],2,0)),"CUIT NO CARGADO")</f>
        <v>REHAB SRL</v>
      </c>
      <c r="H13" s="264">
        <v>1772212.51</v>
      </c>
      <c r="I13" s="513">
        <f>IF(compras_mes12[[#This Row],[NETO GRAVADO]]="","",compras_mes12[[#This Row],[NETO GRAVADO]]*0.21)</f>
        <v>372164.62709999998</v>
      </c>
      <c r="J13" s="513"/>
      <c r="K13" s="513"/>
      <c r="L13" s="513">
        <v>0</v>
      </c>
      <c r="M13" s="513"/>
      <c r="N13" s="513">
        <v>0</v>
      </c>
      <c r="O13" s="513">
        <v>0</v>
      </c>
      <c r="P13" s="514">
        <f>SUM(compras_mes12[[#This Row],[NETO GRAVADO]:[Otros / No Grav.]])</f>
        <v>2144377.1370999999</v>
      </c>
      <c r="Q13" s="515" t="str">
        <f>IFERROR(IF(compras_mes12[[#This Row],[CUIT]]="","-",VLOOKUP(compras_mes12[[#This Row],[CUIT]],Lista_CUIT[#All],3,0)),"CUIT NO CARGADO")</f>
        <v>INSUMO</v>
      </c>
      <c r="R13" s="515">
        <f>IFERROR(IF(compras_mes12[[#This Row],[CUIT]]="","-",VLOOKUP(compras_mes12[[#This Row],[CUIT]],Lista_CUIT[#All],4,0)),"CUIT NO CARGADO")</f>
        <v>0</v>
      </c>
    </row>
    <row r="14" spans="1:26" x14ac:dyDescent="0.25">
      <c r="B14" s="259"/>
      <c r="C14" s="270"/>
      <c r="D14" s="260"/>
      <c r="E14" s="261"/>
      <c r="F14" s="262">
        <v>30714864269</v>
      </c>
      <c r="G14" s="263" t="str">
        <f>IFERROR(IF(compras_mes12[[#This Row],[CUIT]]="","-",VLOOKUP(compras_mes12[[#This Row],[CUIT]],Lista_CUIT[#All],2,0)),"CUIT NO CARGADO")</f>
        <v>CONTABILIUM S.A. S. A.</v>
      </c>
      <c r="H14" s="264">
        <v>184800</v>
      </c>
      <c r="I14" s="513">
        <f>IF(compras_mes12[[#This Row],[NETO GRAVADO]]="","",compras_mes12[[#This Row],[NETO GRAVADO]]*0.21)</f>
        <v>38808</v>
      </c>
      <c r="J14" s="513"/>
      <c r="K14" s="513"/>
      <c r="L14" s="513">
        <v>0</v>
      </c>
      <c r="M14" s="513"/>
      <c r="N14" s="513">
        <v>0</v>
      </c>
      <c r="O14" s="513">
        <v>0</v>
      </c>
      <c r="P14" s="48">
        <f>SUM(compras_mes12[[#This Row],[NETO GRAVADO]:[Otros / No Grav.]])</f>
        <v>223608</v>
      </c>
      <c r="Q14" s="49" t="str">
        <f>IFERROR(IF(compras_mes12[[#This Row],[CUIT]]="","-",VLOOKUP(compras_mes12[[#This Row],[CUIT]],Lista_CUIT[#All],3,0)),"CUIT NO CARGADO")</f>
        <v>USUARIO CONTABLE</v>
      </c>
      <c r="R14" s="49">
        <f>IFERROR(IF(compras_mes12[[#This Row],[CUIT]]="","-",VLOOKUP(compras_mes12[[#This Row],[CUIT]],Lista_CUIT[#All],4,0)),"CUIT NO CARGADO")</f>
        <v>0</v>
      </c>
    </row>
    <row r="15" spans="1:26" x14ac:dyDescent="0.25">
      <c r="B15" s="259"/>
      <c r="C15" s="270"/>
      <c r="D15" s="260"/>
      <c r="E15" s="261"/>
      <c r="F15" s="262">
        <v>33716307749</v>
      </c>
      <c r="G15" s="263" t="str">
        <f>IFERROR(IF(compras_mes12[[#This Row],[CUIT]]="","-",VLOOKUP(compras_mes12[[#This Row],[CUIT]],Lista_CUIT[#All],2,0)),"CUIT NO CARGADO")</f>
        <v>VERISURE ARGENTINA MONITOREO DE ALARMAS SA</v>
      </c>
      <c r="H15" s="264">
        <v>62349.01</v>
      </c>
      <c r="I15" s="513">
        <f>IF(compras_mes12[[#This Row],[NETO GRAVADO]]="","",compras_mes12[[#This Row],[NETO GRAVADO]]*0.21)</f>
        <v>13093.292100000001</v>
      </c>
      <c r="J15" s="513"/>
      <c r="K15" s="513"/>
      <c r="L15" s="513">
        <v>0</v>
      </c>
      <c r="M15" s="513"/>
      <c r="N15" s="513">
        <v>0</v>
      </c>
      <c r="O15" s="513">
        <v>0</v>
      </c>
      <c r="P15" s="48">
        <f>SUM(compras_mes12[[#This Row],[NETO GRAVADO]:[Otros / No Grav.]])</f>
        <v>75442.302100000001</v>
      </c>
      <c r="Q15" s="49" t="str">
        <f>IFERROR(IF(compras_mes12[[#This Row],[CUIT]]="","-",VLOOKUP(compras_mes12[[#This Row],[CUIT]],Lista_CUIT[#All],3,0)),"CUIT NO CARGADO")</f>
        <v>Serv. Seguridad</v>
      </c>
      <c r="R15" s="49">
        <f>IFERROR(IF(compras_mes12[[#This Row],[CUIT]]="","-",VLOOKUP(compras_mes12[[#This Row],[CUIT]],Lista_CUIT[#All],4,0)),"CUIT NO CARGADO")</f>
        <v>0</v>
      </c>
    </row>
    <row r="16" spans="1:26" x14ac:dyDescent="0.25">
      <c r="B16" s="259"/>
      <c r="C16" s="270"/>
      <c r="D16" s="260"/>
      <c r="E16" s="261"/>
      <c r="F16" s="262">
        <v>27243660535</v>
      </c>
      <c r="G16" s="263" t="str">
        <f>IFERROR(IF(compras_mes12[[#This Row],[CUIT]]="","-",VLOOKUP(compras_mes12[[#This Row],[CUIT]],Lista_CUIT[#All],2,0)),"CUIT NO CARGADO")</f>
        <v>BARD MARISA SILVIA</v>
      </c>
      <c r="H16" s="264">
        <v>489161.16</v>
      </c>
      <c r="I16" s="513">
        <f>IF(compras_mes12[[#This Row],[NETO GRAVADO]]="","",compras_mes12[[#This Row],[NETO GRAVADO]]*0.21)</f>
        <v>102723.84359999999</v>
      </c>
      <c r="J16" s="513"/>
      <c r="K16" s="513"/>
      <c r="L16" s="513">
        <v>0</v>
      </c>
      <c r="M16" s="513"/>
      <c r="N16" s="513">
        <v>0</v>
      </c>
      <c r="O16" s="513">
        <v>0</v>
      </c>
      <c r="P16" s="514">
        <f>SUM(compras_mes12[[#This Row],[NETO GRAVADO]:[Otros / No Grav.]])</f>
        <v>591885.00359999994</v>
      </c>
      <c r="Q16" s="515" t="str">
        <f>IFERROR(IF(compras_mes12[[#This Row],[CUIT]]="","-",VLOOKUP(compras_mes12[[#This Row],[CUIT]],Lista_CUIT[#All],3,0)),"CUIT NO CARGADO")</f>
        <v>Insumos</v>
      </c>
      <c r="R16" s="515">
        <f>IFERROR(IF(compras_mes12[[#This Row],[CUIT]]="","-",VLOOKUP(compras_mes12[[#This Row],[CUIT]],Lista_CUIT[#All],4,0)),"CUIT NO CARGADO")</f>
        <v>0</v>
      </c>
    </row>
    <row r="17" spans="2:18" x14ac:dyDescent="0.25">
      <c r="B17" s="259"/>
      <c r="C17" s="270"/>
      <c r="D17" s="260"/>
      <c r="E17" s="261"/>
      <c r="F17" s="262">
        <v>30605344352</v>
      </c>
      <c r="G17" s="263" t="str">
        <f>IFERROR(IF(compras_mes12[[#This Row],[CUIT]]="","-",VLOOKUP(compras_mes12[[#This Row],[CUIT]],Lista_CUIT[#All],2,0)),"CUIT NO CARGADO")</f>
        <v>CONSORCIO BARTOLME MITRE 2466</v>
      </c>
      <c r="H17" s="264">
        <v>2298858.1800000002</v>
      </c>
      <c r="I17" s="513">
        <f>IF(compras_mes12[[#This Row],[NETO GRAVADO]]="","",compras_mes12[[#This Row],[NETO GRAVADO]]*0.21)</f>
        <v>482760.21780000004</v>
      </c>
      <c r="J17" s="513"/>
      <c r="K17" s="513"/>
      <c r="L17" s="513">
        <v>0</v>
      </c>
      <c r="M17" s="513"/>
      <c r="N17" s="513">
        <v>0</v>
      </c>
      <c r="O17" s="513">
        <v>0</v>
      </c>
      <c r="P17" s="514">
        <f>SUM(compras_mes12[[#This Row],[NETO GRAVADO]:[Otros / No Grav.]])</f>
        <v>2781618.3978000004</v>
      </c>
      <c r="Q17" s="515" t="str">
        <f>IFERROR(IF(compras_mes12[[#This Row],[CUIT]]="","-",VLOOKUP(compras_mes12[[#This Row],[CUIT]],Lista_CUIT[#All],3,0)),"CUIT NO CARGADO")</f>
        <v>ALQUILER LOCAL</v>
      </c>
      <c r="R17" s="515">
        <f>IFERROR(IF(compras_mes12[[#This Row],[CUIT]]="","-",VLOOKUP(compras_mes12[[#This Row],[CUIT]],Lista_CUIT[#All],4,0)),"CUIT NO CARGADO")</f>
        <v>0</v>
      </c>
    </row>
    <row r="18" spans="2:18" x14ac:dyDescent="0.25">
      <c r="B18" s="40"/>
      <c r="C18" s="270"/>
      <c r="D18" s="42"/>
      <c r="E18" s="43"/>
      <c r="F18" s="44">
        <v>20272865869</v>
      </c>
      <c r="G18" s="45" t="str">
        <f>IFERROR(IF(compras_mes12[[#This Row],[CUIT]]="","-",VLOOKUP(compras_mes12[[#This Row],[CUIT]],Lista_CUIT[#All],2,0)),"CUIT NO CARGADO")</f>
        <v>DI FEO MARTIN EZEQUIEL</v>
      </c>
      <c r="H18" s="46">
        <v>96500</v>
      </c>
      <c r="I18" s="513">
        <f>IF(compras_mes12[[#This Row],[NETO GRAVADO]]="","",compras_mes12[[#This Row],[NETO GRAVADO]]*0.21)</f>
        <v>20265</v>
      </c>
      <c r="J18" s="85"/>
      <c r="K18" s="85"/>
      <c r="L18" s="85">
        <v>0</v>
      </c>
      <c r="M18" s="85"/>
      <c r="N18" s="85">
        <v>0</v>
      </c>
      <c r="O18" s="85">
        <v>0</v>
      </c>
      <c r="P18" s="48">
        <f>SUM(compras_mes12[[#This Row],[NETO GRAVADO]:[Otros / No Grav.]])</f>
        <v>116765</v>
      </c>
      <c r="Q18" s="49" t="str">
        <f>IFERROR(IF(compras_mes12[[#This Row],[CUIT]]="","-",VLOOKUP(compras_mes12[[#This Row],[CUIT]],Lista_CUIT[#All],3,0)),"CUIT NO CARGADO")</f>
        <v>INSUMOS</v>
      </c>
      <c r="R18" s="49">
        <f>IFERROR(IF(compras_mes12[[#This Row],[CUIT]]="","-",VLOOKUP(compras_mes12[[#This Row],[CUIT]],Lista_CUIT[#All],4,0)),"CUIT NO CARGADO")</f>
        <v>0</v>
      </c>
    </row>
    <row r="19" spans="2:18" x14ac:dyDescent="0.25">
      <c r="B19" s="259"/>
      <c r="C19" s="270"/>
      <c r="D19" s="260"/>
      <c r="E19" s="261"/>
      <c r="F19" s="262">
        <v>20272865869</v>
      </c>
      <c r="G19" s="263" t="str">
        <f>IFERROR(IF(compras_mes12[[#This Row],[CUIT]]="","-",VLOOKUP(compras_mes12[[#This Row],[CUIT]],Lista_CUIT[#All],2,0)),"CUIT NO CARGADO")</f>
        <v>DI FEO MARTIN EZEQUIEL</v>
      </c>
      <c r="H19" s="264">
        <v>213700</v>
      </c>
      <c r="I19" s="513">
        <f>IF(compras_mes12[[#This Row],[NETO GRAVADO]]="","",compras_mes12[[#This Row],[NETO GRAVADO]]*0.21)</f>
        <v>44877</v>
      </c>
      <c r="J19" s="513"/>
      <c r="K19" s="513"/>
      <c r="L19" s="513">
        <v>0</v>
      </c>
      <c r="M19" s="513"/>
      <c r="N19" s="513">
        <v>0</v>
      </c>
      <c r="O19" s="513">
        <v>0</v>
      </c>
      <c r="P19" s="514">
        <f>SUM(compras_mes12[[#This Row],[NETO GRAVADO]:[Otros / No Grav.]])</f>
        <v>258577</v>
      </c>
      <c r="Q19" s="515" t="str">
        <f>IFERROR(IF(compras_mes12[[#This Row],[CUIT]]="","-",VLOOKUP(compras_mes12[[#This Row],[CUIT]],Lista_CUIT[#All],3,0)),"CUIT NO CARGADO")</f>
        <v>INSUMOS</v>
      </c>
      <c r="R19" s="515">
        <f>IFERROR(IF(compras_mes12[[#This Row],[CUIT]]="","-",VLOOKUP(compras_mes12[[#This Row],[CUIT]],Lista_CUIT[#All],4,0)),"CUIT NO CARGADO")</f>
        <v>0</v>
      </c>
    </row>
    <row r="20" spans="2:18" x14ac:dyDescent="0.25">
      <c r="B20" s="259"/>
      <c r="C20" s="270"/>
      <c r="D20" s="260"/>
      <c r="E20" s="261"/>
      <c r="F20" s="262">
        <v>20272865869</v>
      </c>
      <c r="G20" s="263" t="str">
        <f>IFERROR(IF(compras_mes12[[#This Row],[CUIT]]="","-",VLOOKUP(compras_mes12[[#This Row],[CUIT]],Lista_CUIT[#All],2,0)),"CUIT NO CARGADO")</f>
        <v>DI FEO MARTIN EZEQUIEL</v>
      </c>
      <c r="H20" s="264">
        <v>349000</v>
      </c>
      <c r="I20" s="513">
        <f>IF(compras_mes12[[#This Row],[NETO GRAVADO]]="","",compras_mes12[[#This Row],[NETO GRAVADO]]*0.21)</f>
        <v>73290</v>
      </c>
      <c r="J20" s="513"/>
      <c r="K20" s="513"/>
      <c r="L20" s="513">
        <v>0</v>
      </c>
      <c r="M20" s="513"/>
      <c r="N20" s="513">
        <v>0</v>
      </c>
      <c r="O20" s="513">
        <v>0</v>
      </c>
      <c r="P20" s="514">
        <f>SUM(compras_mes12[[#This Row],[NETO GRAVADO]:[Otros / No Grav.]])</f>
        <v>422290</v>
      </c>
      <c r="Q20" s="515" t="str">
        <f>IFERROR(IF(compras_mes12[[#This Row],[CUIT]]="","-",VLOOKUP(compras_mes12[[#This Row],[CUIT]],Lista_CUIT[#All],3,0)),"CUIT NO CARGADO")</f>
        <v>INSUMOS</v>
      </c>
      <c r="R20" s="515">
        <f>IFERROR(IF(compras_mes12[[#This Row],[CUIT]]="","-",VLOOKUP(compras_mes12[[#This Row],[CUIT]],Lista_CUIT[#All],4,0)),"CUIT NO CARGADO")</f>
        <v>0</v>
      </c>
    </row>
    <row r="21" spans="2:18" x14ac:dyDescent="0.25">
      <c r="B21" s="259"/>
      <c r="C21" s="270"/>
      <c r="D21" s="260"/>
      <c r="E21" s="261"/>
      <c r="F21" s="262">
        <v>20272865869</v>
      </c>
      <c r="G21" s="263" t="str">
        <f>IFERROR(IF(compras_mes12[[#This Row],[CUIT]]="","-",VLOOKUP(compras_mes12[[#This Row],[CUIT]],Lista_CUIT[#All],2,0)),"CUIT NO CARGADO")</f>
        <v>DI FEO MARTIN EZEQUIEL</v>
      </c>
      <c r="H21" s="264">
        <v>159700</v>
      </c>
      <c r="I21" s="513">
        <f>IF(compras_mes12[[#This Row],[NETO GRAVADO]]="","",compras_mes12[[#This Row],[NETO GRAVADO]]*0.21)</f>
        <v>33537</v>
      </c>
      <c r="J21" s="513"/>
      <c r="K21" s="513"/>
      <c r="L21" s="513">
        <v>0</v>
      </c>
      <c r="M21" s="513"/>
      <c r="N21" s="513">
        <v>0</v>
      </c>
      <c r="O21" s="513">
        <v>0</v>
      </c>
      <c r="P21" s="514">
        <f>SUM(compras_mes12[[#This Row],[NETO GRAVADO]:[Otros / No Grav.]])</f>
        <v>193237</v>
      </c>
      <c r="Q21" s="515" t="str">
        <f>IFERROR(IF(compras_mes12[[#This Row],[CUIT]]="","-",VLOOKUP(compras_mes12[[#This Row],[CUIT]],Lista_CUIT[#All],3,0)),"CUIT NO CARGADO")</f>
        <v>INSUMOS</v>
      </c>
      <c r="R21" s="515">
        <f>IFERROR(IF(compras_mes12[[#This Row],[CUIT]]="","-",VLOOKUP(compras_mes12[[#This Row],[CUIT]],Lista_CUIT[#All],4,0)),"CUIT NO CARGADO")</f>
        <v>0</v>
      </c>
    </row>
    <row r="22" spans="2:18" x14ac:dyDescent="0.25">
      <c r="B22" s="259"/>
      <c r="C22" s="270"/>
      <c r="D22" s="260"/>
      <c r="E22" s="261"/>
      <c r="F22" s="262">
        <v>20272865869</v>
      </c>
      <c r="G22" s="263" t="str">
        <f>IFERROR(IF(compras_mes12[[#This Row],[CUIT]]="","-",VLOOKUP(compras_mes12[[#This Row],[CUIT]],Lista_CUIT[#All],2,0)),"CUIT NO CARGADO")</f>
        <v>DI FEO MARTIN EZEQUIEL</v>
      </c>
      <c r="H22" s="264">
        <v>22600</v>
      </c>
      <c r="I22" s="513">
        <f>IF(compras_mes12[[#This Row],[NETO GRAVADO]]="","",compras_mes12[[#This Row],[NETO GRAVADO]]*0.21)</f>
        <v>4746</v>
      </c>
      <c r="J22" s="513"/>
      <c r="K22" s="513"/>
      <c r="L22" s="513">
        <v>0</v>
      </c>
      <c r="M22" s="513"/>
      <c r="N22" s="513">
        <v>0</v>
      </c>
      <c r="O22" s="513">
        <v>0</v>
      </c>
      <c r="P22" s="514">
        <f>SUM(compras_mes12[[#This Row],[NETO GRAVADO]:[Otros / No Grav.]])</f>
        <v>27346</v>
      </c>
      <c r="Q22" s="515" t="str">
        <f>IFERROR(IF(compras_mes12[[#This Row],[CUIT]]="","-",VLOOKUP(compras_mes12[[#This Row],[CUIT]],Lista_CUIT[#All],3,0)),"CUIT NO CARGADO")</f>
        <v>INSUMOS</v>
      </c>
      <c r="R22" s="515">
        <f>IFERROR(IF(compras_mes12[[#This Row],[CUIT]]="","-",VLOOKUP(compras_mes12[[#This Row],[CUIT]],Lista_CUIT[#All],4,0)),"CUIT NO CARGADO")</f>
        <v>0</v>
      </c>
    </row>
    <row r="23" spans="2:18" x14ac:dyDescent="0.25">
      <c r="B23" s="259"/>
      <c r="C23" s="270"/>
      <c r="D23" s="260"/>
      <c r="E23" s="261"/>
      <c r="F23" s="262">
        <v>20272865869</v>
      </c>
      <c r="G23" s="263" t="str">
        <f>IFERROR(IF(compras_mes12[[#This Row],[CUIT]]="","-",VLOOKUP(compras_mes12[[#This Row],[CUIT]],Lista_CUIT[#All],2,0)),"CUIT NO CARGADO")</f>
        <v>DI FEO MARTIN EZEQUIEL</v>
      </c>
      <c r="H23" s="264">
        <v>33000</v>
      </c>
      <c r="I23" s="513">
        <f>IF(compras_mes12[[#This Row],[NETO GRAVADO]]="","",compras_mes12[[#This Row],[NETO GRAVADO]]*0.21)</f>
        <v>6930</v>
      </c>
      <c r="J23" s="513"/>
      <c r="K23" s="513"/>
      <c r="L23" s="513">
        <v>0</v>
      </c>
      <c r="M23" s="513"/>
      <c r="N23" s="513">
        <v>0</v>
      </c>
      <c r="O23" s="513">
        <v>0</v>
      </c>
      <c r="P23" s="514">
        <f>SUM(compras_mes12[[#This Row],[NETO GRAVADO]:[Otros / No Grav.]])</f>
        <v>39930</v>
      </c>
      <c r="Q23" s="515" t="str">
        <f>IFERROR(IF(compras_mes12[[#This Row],[CUIT]]="","-",VLOOKUP(compras_mes12[[#This Row],[CUIT]],Lista_CUIT[#All],3,0)),"CUIT NO CARGADO")</f>
        <v>INSUMOS</v>
      </c>
      <c r="R23" s="515">
        <f>IFERROR(IF(compras_mes12[[#This Row],[CUIT]]="","-",VLOOKUP(compras_mes12[[#This Row],[CUIT]],Lista_CUIT[#All],4,0)),"CUIT NO CARGADO")</f>
        <v>0</v>
      </c>
    </row>
    <row r="24" spans="2:18" x14ac:dyDescent="0.25">
      <c r="B24" s="259"/>
      <c r="C24" s="270"/>
      <c r="D24" s="260"/>
      <c r="E24" s="261"/>
      <c r="F24" s="262">
        <v>20272865869</v>
      </c>
      <c r="G24" s="263" t="str">
        <f>IFERROR(IF(compras_mes12[[#This Row],[CUIT]]="","-",VLOOKUP(compras_mes12[[#This Row],[CUIT]],Lista_CUIT[#All],2,0)),"CUIT NO CARGADO")</f>
        <v>DI FEO MARTIN EZEQUIEL</v>
      </c>
      <c r="H24" s="264">
        <v>18200</v>
      </c>
      <c r="I24" s="513">
        <f>IF(compras_mes12[[#This Row],[NETO GRAVADO]]="","",compras_mes12[[#This Row],[NETO GRAVADO]]*0.21)</f>
        <v>3822</v>
      </c>
      <c r="J24" s="513"/>
      <c r="K24" s="513"/>
      <c r="L24" s="513">
        <v>0</v>
      </c>
      <c r="M24" s="513"/>
      <c r="N24" s="513">
        <v>0</v>
      </c>
      <c r="O24" s="513">
        <v>0</v>
      </c>
      <c r="P24" s="48">
        <f>SUM(compras_mes12[[#This Row],[NETO GRAVADO]:[Otros / No Grav.]])</f>
        <v>22022</v>
      </c>
      <c r="Q24" s="49" t="str">
        <f>IFERROR(IF(compras_mes12[[#This Row],[CUIT]]="","-",VLOOKUP(compras_mes12[[#This Row],[CUIT]],Lista_CUIT[#All],3,0)),"CUIT NO CARGADO")</f>
        <v>INSUMOS</v>
      </c>
      <c r="R24" s="49">
        <f>IFERROR(IF(compras_mes12[[#This Row],[CUIT]]="","-",VLOOKUP(compras_mes12[[#This Row],[CUIT]],Lista_CUIT[#All],4,0)),"CUIT NO CARGADO")</f>
        <v>0</v>
      </c>
    </row>
    <row r="25" spans="2:18" x14ac:dyDescent="0.25">
      <c r="B25" s="259"/>
      <c r="C25" s="270"/>
      <c r="D25" s="260"/>
      <c r="E25" s="261"/>
      <c r="F25" s="262">
        <v>20272865869</v>
      </c>
      <c r="G25" s="263" t="str">
        <f>IFERROR(IF(compras_mes12[[#This Row],[CUIT]]="","-",VLOOKUP(compras_mes12[[#This Row],[CUIT]],Lista_CUIT[#All],2,0)),"CUIT NO CARGADO")</f>
        <v>DI FEO MARTIN EZEQUIEL</v>
      </c>
      <c r="H25" s="264">
        <v>17000</v>
      </c>
      <c r="I25" s="513">
        <f>IF(compras_mes12[[#This Row],[NETO GRAVADO]]="","",compras_mes12[[#This Row],[NETO GRAVADO]]*0.21)</f>
        <v>3570</v>
      </c>
      <c r="J25" s="513"/>
      <c r="K25" s="513"/>
      <c r="L25" s="513">
        <v>0</v>
      </c>
      <c r="M25" s="513"/>
      <c r="N25" s="513">
        <v>0</v>
      </c>
      <c r="O25" s="513">
        <v>0</v>
      </c>
      <c r="P25" s="48">
        <f>SUM(compras_mes12[[#This Row],[NETO GRAVADO]:[Otros / No Grav.]])</f>
        <v>20570</v>
      </c>
      <c r="Q25" s="49" t="str">
        <f>IFERROR(IF(compras_mes12[[#This Row],[CUIT]]="","-",VLOOKUP(compras_mes12[[#This Row],[CUIT]],Lista_CUIT[#All],3,0)),"CUIT NO CARGADO")</f>
        <v>INSUMOS</v>
      </c>
      <c r="R25" s="49">
        <f>IFERROR(IF(compras_mes12[[#This Row],[CUIT]]="","-",VLOOKUP(compras_mes12[[#This Row],[CUIT]],Lista_CUIT[#All],4,0)),"CUIT NO CARGADO")</f>
        <v>0</v>
      </c>
    </row>
    <row r="26" spans="2:18" x14ac:dyDescent="0.25">
      <c r="B26" s="259"/>
      <c r="C26" s="270"/>
      <c r="D26" s="260"/>
      <c r="E26" s="261"/>
      <c r="F26" s="262">
        <v>20272865869</v>
      </c>
      <c r="G26" s="263" t="str">
        <f>IFERROR(IF(compras_mes12[[#This Row],[CUIT]]="","-",VLOOKUP(compras_mes12[[#This Row],[CUIT]],Lista_CUIT[#All],2,0)),"CUIT NO CARGADO")</f>
        <v>DI FEO MARTIN EZEQUIEL</v>
      </c>
      <c r="H26" s="264">
        <v>29100</v>
      </c>
      <c r="I26" s="513">
        <f>IF(compras_mes12[[#This Row],[NETO GRAVADO]]="","",compras_mes12[[#This Row],[NETO GRAVADO]]*0.21)</f>
        <v>6111</v>
      </c>
      <c r="J26" s="513"/>
      <c r="K26" s="513"/>
      <c r="L26" s="513">
        <v>0</v>
      </c>
      <c r="M26" s="513"/>
      <c r="N26" s="513">
        <v>0</v>
      </c>
      <c r="O26" s="513">
        <v>0</v>
      </c>
      <c r="P26" s="48">
        <f>SUM(compras_mes12[[#This Row],[NETO GRAVADO]:[Otros / No Grav.]])</f>
        <v>35211</v>
      </c>
      <c r="Q26" s="49" t="str">
        <f>IFERROR(IF(compras_mes12[[#This Row],[CUIT]]="","-",VLOOKUP(compras_mes12[[#This Row],[CUIT]],Lista_CUIT[#All],3,0)),"CUIT NO CARGADO")</f>
        <v>INSUMOS</v>
      </c>
      <c r="R26" s="49">
        <f>IFERROR(IF(compras_mes12[[#This Row],[CUIT]]="","-",VLOOKUP(compras_mes12[[#This Row],[CUIT]],Lista_CUIT[#All],4,0)),"CUIT NO CARGADO")</f>
        <v>0</v>
      </c>
    </row>
    <row r="27" spans="2:18" x14ac:dyDescent="0.25">
      <c r="B27" s="259"/>
      <c r="C27" s="270"/>
      <c r="D27" s="260"/>
      <c r="E27" s="261"/>
      <c r="F27" s="262">
        <v>30718329805</v>
      </c>
      <c r="G27" s="263" t="str">
        <f>IFERROR(IF(compras_mes12[[#This Row],[CUIT]]="","-",VLOOKUP(compras_mes12[[#This Row],[CUIT]],Lista_CUIT[#All],2,0)),"CUIT NO CARGADO")</f>
        <v>CIEN POR CIENTO FOLLETOS SRL</v>
      </c>
      <c r="H27" s="264">
        <v>73057.850000000006</v>
      </c>
      <c r="I27" s="513">
        <f>IF(compras_mes12[[#This Row],[NETO GRAVADO]]="","",compras_mes12[[#This Row],[NETO GRAVADO]]*0.21)</f>
        <v>15342.148500000001</v>
      </c>
      <c r="J27" s="513"/>
      <c r="K27" s="513"/>
      <c r="L27" s="513">
        <v>0</v>
      </c>
      <c r="M27" s="513"/>
      <c r="N27" s="513">
        <v>0</v>
      </c>
      <c r="O27" s="513">
        <v>0</v>
      </c>
      <c r="P27" s="48">
        <f>SUM(compras_mes12[[#This Row],[NETO GRAVADO]:[Otros / No Grav.]])</f>
        <v>88399.998500000002</v>
      </c>
      <c r="Q27" s="515" t="str">
        <f>IFERROR(IF(compras_mes12[[#This Row],[CUIT]]="","-",VLOOKUP(compras_mes12[[#This Row],[CUIT]],Lista_CUIT[#All],3,0)),"CUIT NO CARGADO")</f>
        <v>Papeleria</v>
      </c>
      <c r="R27" s="515">
        <f>IFERROR(IF(compras_mes12[[#This Row],[CUIT]]="","-",VLOOKUP(compras_mes12[[#This Row],[CUIT]],Lista_CUIT[#All],4,0)),"CUIT NO CARGADO")</f>
        <v>0</v>
      </c>
    </row>
    <row r="28" spans="2:18" x14ac:dyDescent="0.25">
      <c r="B28" s="259"/>
      <c r="C28" s="270"/>
      <c r="D28" s="260"/>
      <c r="E28" s="261"/>
      <c r="F28" s="262">
        <v>30714331082</v>
      </c>
      <c r="G28" s="263" t="str">
        <f>IFERROR(IF(compras_mes12[[#This Row],[CUIT]]="","-",VLOOKUP(compras_mes12[[#This Row],[CUIT]],Lista_CUIT[#All],2,0)),"CUIT NO CARGADO")</f>
        <v>ORTOPEDIA CASA ESCALADA SRL</v>
      </c>
      <c r="H28" s="264">
        <v>599241.12</v>
      </c>
      <c r="I28" s="513">
        <f>IF(compras_mes12[[#This Row],[NETO GRAVADO]]="","",compras_mes12[[#This Row],[NETO GRAVADO]]*0.21)</f>
        <v>125840.63519999999</v>
      </c>
      <c r="J28" s="513"/>
      <c r="K28" s="513"/>
      <c r="L28" s="513">
        <v>0</v>
      </c>
      <c r="M28" s="513"/>
      <c r="N28" s="513">
        <v>0</v>
      </c>
      <c r="O28" s="513">
        <v>0</v>
      </c>
      <c r="P28" s="514">
        <f>SUM(compras_mes12[[#This Row],[NETO GRAVADO]:[Otros / No Grav.]])</f>
        <v>725081.75520000001</v>
      </c>
      <c r="Q28" s="515" t="str">
        <f>IFERROR(IF(compras_mes12[[#This Row],[CUIT]]="","-",VLOOKUP(compras_mes12[[#This Row],[CUIT]],Lista_CUIT[#All],3,0)),"CUIT NO CARGADO")</f>
        <v>INSUMO</v>
      </c>
      <c r="R28" s="515">
        <f>IFERROR(IF(compras_mes12[[#This Row],[CUIT]]="","-",VLOOKUP(compras_mes12[[#This Row],[CUIT]],Lista_CUIT[#All],4,0)),"CUIT NO CARGADO")</f>
        <v>0</v>
      </c>
    </row>
    <row r="29" spans="2:18" x14ac:dyDescent="0.25">
      <c r="B29" s="259"/>
      <c r="C29" s="270"/>
      <c r="D29" s="260"/>
      <c r="E29" s="261"/>
      <c r="F29" s="262">
        <v>27202892936</v>
      </c>
      <c r="G29" s="263" t="str">
        <f>IFERROR(IF(compras_mes12[[#This Row],[CUIT]]="","-",VLOOKUP(compras_mes12[[#This Row],[CUIT]],Lista_CUIT[#All],2,0)),"CUIT NO CARGADO")</f>
        <v>Moriondo, Adriana Ines</v>
      </c>
      <c r="H29" s="264">
        <v>16528925.619999999</v>
      </c>
      <c r="I29" s="513">
        <f>IF(compras_mes12[[#This Row],[NETO GRAVADO]]="","",compras_mes12[[#This Row],[NETO GRAVADO]]*0.21)</f>
        <v>3471074.3801999995</v>
      </c>
      <c r="J29" s="513"/>
      <c r="K29" s="513"/>
      <c r="L29" s="513">
        <v>0</v>
      </c>
      <c r="M29" s="513"/>
      <c r="N29" s="513">
        <v>0</v>
      </c>
      <c r="O29" s="513">
        <v>0</v>
      </c>
      <c r="P29" s="48">
        <f>SUM(compras_mes12[[#This Row],[NETO GRAVADO]:[Otros / No Grav.]])</f>
        <v>20000000.0002</v>
      </c>
      <c r="Q29" s="49" t="str">
        <f>IFERROR(IF(compras_mes12[[#This Row],[CUIT]]="","-",VLOOKUP(compras_mes12[[#This Row],[CUIT]],Lista_CUIT[#All],3,0)),"CUIT NO CARGADO")</f>
        <v>SERVICIOS</v>
      </c>
      <c r="R29" s="49">
        <f>IFERROR(IF(compras_mes12[[#This Row],[CUIT]]="","-",VLOOKUP(compras_mes12[[#This Row],[CUIT]],Lista_CUIT[#All],4,0)),"CUIT NO CARGADO")</f>
        <v>0</v>
      </c>
    </row>
    <row r="30" spans="2:18" x14ac:dyDescent="0.25">
      <c r="B30" s="259"/>
      <c r="C30" s="270"/>
      <c r="D30" s="260"/>
      <c r="E30" s="261"/>
      <c r="F30" s="262">
        <v>20239207325</v>
      </c>
      <c r="G30" s="263" t="str">
        <f>IFERROR(IF(compras_mes12[[#This Row],[CUIT]]="","-",VLOOKUP(compras_mes12[[#This Row],[CUIT]],Lista_CUIT[#All],2,0)),"CUIT NO CARGADO")</f>
        <v>RIVERA MARCELO RAUL</v>
      </c>
      <c r="H30" s="264">
        <v>93073.68</v>
      </c>
      <c r="I30" s="513">
        <f>IF(compras_mes12[[#This Row],[NETO GRAVADO]]="","",compras_mes12[[#This Row],[NETO GRAVADO]]*0.21)</f>
        <v>19545.4728</v>
      </c>
      <c r="J30" s="513"/>
      <c r="K30" s="513"/>
      <c r="L30" s="513">
        <v>0</v>
      </c>
      <c r="M30" s="513"/>
      <c r="N30" s="513">
        <v>0</v>
      </c>
      <c r="O30" s="513">
        <v>0</v>
      </c>
      <c r="P30" s="48">
        <f>SUM(compras_mes12[[#This Row],[NETO GRAVADO]:[Otros / No Grav.]])</f>
        <v>112619.1528</v>
      </c>
      <c r="Q30" s="49" t="str">
        <f>IFERROR(IF(compras_mes12[[#This Row],[CUIT]]="","-",VLOOKUP(compras_mes12[[#This Row],[CUIT]],Lista_CUIT[#All],3,0)),"CUIT NO CARGADO")</f>
        <v>Insumos</v>
      </c>
      <c r="R30" s="49">
        <f>IFERROR(IF(compras_mes12[[#This Row],[CUIT]]="","-",VLOOKUP(compras_mes12[[#This Row],[CUIT]],Lista_CUIT[#All],4,0)),"CUIT NO CARGADO")</f>
        <v>0</v>
      </c>
    </row>
    <row r="31" spans="2:18" x14ac:dyDescent="0.25">
      <c r="B31" s="259"/>
      <c r="C31" s="270"/>
      <c r="D31" s="260"/>
      <c r="E31" s="261"/>
      <c r="F31" s="262">
        <v>30714224723</v>
      </c>
      <c r="G31" s="263" t="str">
        <f>IFERROR(IF(compras_mes12[[#This Row],[CUIT]]="","-",VLOOKUP(compras_mes12[[#This Row],[CUIT]],Lista_CUIT[#All],2,0)),"CUIT NO CARGADO")</f>
        <v>MAEYVY GROUPS SRL</v>
      </c>
      <c r="H31" s="264">
        <v>60000</v>
      </c>
      <c r="I31" s="513">
        <f>IF(compras_mes12[[#This Row],[NETO GRAVADO]]="","",compras_mes12[[#This Row],[NETO GRAVADO]]*0.21)</f>
        <v>12600</v>
      </c>
      <c r="J31" s="513"/>
      <c r="K31" s="513"/>
      <c r="L31" s="513">
        <v>0</v>
      </c>
      <c r="M31" s="513"/>
      <c r="N31" s="513">
        <v>0</v>
      </c>
      <c r="O31" s="513">
        <v>0</v>
      </c>
      <c r="P31" s="514">
        <f>SUM(compras_mes12[[#This Row],[NETO GRAVADO]:[Otros / No Grav.]])</f>
        <v>72600</v>
      </c>
      <c r="Q31" s="515" t="str">
        <f>IFERROR(IF(compras_mes12[[#This Row],[CUIT]]="","-",VLOOKUP(compras_mes12[[#This Row],[CUIT]],Lista_CUIT[#All],3,0)),"CUIT NO CARGADO")</f>
        <v>Insumos</v>
      </c>
      <c r="R31" s="515">
        <f>IFERROR(IF(compras_mes12[[#This Row],[CUIT]]="","-",VLOOKUP(compras_mes12[[#This Row],[CUIT]],Lista_CUIT[#All],4,0)),"CUIT NO CARGADO")</f>
        <v>0</v>
      </c>
    </row>
    <row r="32" spans="2:18" x14ac:dyDescent="0.25">
      <c r="B32" s="259"/>
      <c r="C32" s="270"/>
      <c r="D32" s="260"/>
      <c r="E32" s="261"/>
      <c r="F32" s="262">
        <v>23225449449</v>
      </c>
      <c r="G32" s="263" t="str">
        <f>IFERROR(IF(compras_mes12[[#This Row],[CUIT]]="","-",VLOOKUP(compras_mes12[[#This Row],[CUIT]],Lista_CUIT[#All],2,0)),"CUIT NO CARGADO")</f>
        <v>BEATTI HERNAN</v>
      </c>
      <c r="H32" s="264">
        <v>25454.57</v>
      </c>
      <c r="I32" s="513">
        <f>IF(compras_mes12[[#This Row],[NETO GRAVADO]]="","",compras_mes12[[#This Row],[NETO GRAVADO]]*0.21)</f>
        <v>5345.4596999999994</v>
      </c>
      <c r="J32" s="513"/>
      <c r="K32" s="513"/>
      <c r="L32" s="513">
        <v>0</v>
      </c>
      <c r="M32" s="513"/>
      <c r="N32" s="513">
        <v>0</v>
      </c>
      <c r="O32" s="513">
        <v>0</v>
      </c>
      <c r="P32" s="514">
        <f>SUM(compras_mes12[[#This Row],[NETO GRAVADO]:[Otros / No Grav.]])</f>
        <v>30800.029699999999</v>
      </c>
      <c r="Q32" s="515" t="str">
        <f>IFERROR(IF(compras_mes12[[#This Row],[CUIT]]="","-",VLOOKUP(compras_mes12[[#This Row],[CUIT]],Lista_CUIT[#All],3,0)),"CUIT NO CARGADO")</f>
        <v>Papeleria</v>
      </c>
      <c r="R32" s="515">
        <f>IFERROR(IF(compras_mes12[[#This Row],[CUIT]]="","-",VLOOKUP(compras_mes12[[#This Row],[CUIT]],Lista_CUIT[#All],4,0)),"CUIT NO CARGADO")</f>
        <v>0</v>
      </c>
    </row>
    <row r="33" spans="2:18" x14ac:dyDescent="0.25">
      <c r="B33" s="259"/>
      <c r="C33" s="270"/>
      <c r="D33" s="260"/>
      <c r="E33" s="261"/>
      <c r="F33" s="262">
        <v>20186310005</v>
      </c>
      <c r="G33" s="263" t="str">
        <f>IFERROR(IF(compras_mes12[[#This Row],[CUIT]]="","-",VLOOKUP(compras_mes12[[#This Row],[CUIT]],Lista_CUIT[#All],2,0)),"CUIT NO CARGADO")</f>
        <v>SALEME CARAM</v>
      </c>
      <c r="H33" s="264">
        <v>30991.75</v>
      </c>
      <c r="I33" s="513">
        <f>IF(compras_mes12[[#This Row],[NETO GRAVADO]]="","",compras_mes12[[#This Row],[NETO GRAVADO]]*0.21)</f>
        <v>6508.2674999999999</v>
      </c>
      <c r="J33" s="513"/>
      <c r="K33" s="513"/>
      <c r="L33" s="513">
        <v>0</v>
      </c>
      <c r="M33" s="513"/>
      <c r="N33" s="513">
        <v>0</v>
      </c>
      <c r="O33" s="513">
        <v>0</v>
      </c>
      <c r="P33" s="514">
        <f>SUM(compras_mes12[[#This Row],[NETO GRAVADO]:[Otros / No Grav.]])</f>
        <v>37500.017500000002</v>
      </c>
      <c r="Q33" s="515" t="str">
        <f>IFERROR(IF(compras_mes12[[#This Row],[CUIT]]="","-",VLOOKUP(compras_mes12[[#This Row],[CUIT]],Lista_CUIT[#All],3,0)),"CUIT NO CARGADO")</f>
        <v>Gastos Varios</v>
      </c>
      <c r="R33" s="515">
        <f>IFERROR(IF(compras_mes12[[#This Row],[CUIT]]="","-",VLOOKUP(compras_mes12[[#This Row],[CUIT]],Lista_CUIT[#All],4,0)),"CUIT NO CARGADO")</f>
        <v>0</v>
      </c>
    </row>
    <row r="34" spans="2:18" x14ac:dyDescent="0.25">
      <c r="B34" s="259"/>
      <c r="C34" s="270"/>
      <c r="D34" s="260"/>
      <c r="E34" s="261"/>
      <c r="F34" s="262">
        <v>20131208236</v>
      </c>
      <c r="G34" s="263" t="str">
        <f>IFERROR(IF(compras_mes12[[#This Row],[CUIT]]="","-",VLOOKUP(compras_mes12[[#This Row],[CUIT]],Lista_CUIT[#All],2,0)),"CUIT NO CARGADO")</f>
        <v>AUDINO DANIEL NATALIO</v>
      </c>
      <c r="H34" s="264">
        <v>30991.75</v>
      </c>
      <c r="I34" s="513">
        <f>IF(compras_mes12[[#This Row],[NETO GRAVADO]]="","",compras_mes12[[#This Row],[NETO GRAVADO]]*0.21)</f>
        <v>6508.2674999999999</v>
      </c>
      <c r="J34" s="513"/>
      <c r="K34" s="513"/>
      <c r="L34" s="513">
        <v>0</v>
      </c>
      <c r="M34" s="513"/>
      <c r="N34" s="513">
        <v>0</v>
      </c>
      <c r="O34" s="513">
        <v>0</v>
      </c>
      <c r="P34" s="514">
        <f>SUM(compras_mes12[[#This Row],[NETO GRAVADO]:[Otros / No Grav.]])</f>
        <v>37500.017500000002</v>
      </c>
      <c r="Q34" s="515" t="str">
        <f>IFERROR(IF(compras_mes12[[#This Row],[CUIT]]="","-",VLOOKUP(compras_mes12[[#This Row],[CUIT]],Lista_CUIT[#All],3,0)),"CUIT NO CARGADO")</f>
        <v>Mantenimiento</v>
      </c>
      <c r="R34" s="515">
        <f>IFERROR(IF(compras_mes12[[#This Row],[CUIT]]="","-",VLOOKUP(compras_mes12[[#This Row],[CUIT]],Lista_CUIT[#All],4,0)),"CUIT NO CARGADO")</f>
        <v>0</v>
      </c>
    </row>
    <row r="35" spans="2:18" x14ac:dyDescent="0.25">
      <c r="B35" s="259"/>
      <c r="C35" s="270"/>
      <c r="D35" s="260"/>
      <c r="E35" s="261"/>
      <c r="F35" s="262">
        <v>20182721787</v>
      </c>
      <c r="G35" s="263" t="str">
        <f>IFERROR(IF(compras_mes12[[#This Row],[CUIT]]="","-",VLOOKUP(compras_mes12[[#This Row],[CUIT]],Lista_CUIT[#All],2,0)),"CUIT NO CARGADO")</f>
        <v>CARLOS DANIEL QUIROZ</v>
      </c>
      <c r="H35" s="264">
        <v>55785.120000000003</v>
      </c>
      <c r="I35" s="513">
        <f>IF(compras_mes12[[#This Row],[NETO GRAVADO]]="","",compras_mes12[[#This Row],[NETO GRAVADO]]*0.21)</f>
        <v>11714.8752</v>
      </c>
      <c r="J35" s="513"/>
      <c r="K35" s="513"/>
      <c r="L35" s="513">
        <v>0</v>
      </c>
      <c r="M35" s="513"/>
      <c r="N35" s="513">
        <v>0</v>
      </c>
      <c r="O35" s="513">
        <v>0</v>
      </c>
      <c r="P35" s="514">
        <f>SUM(compras_mes12[[#This Row],[NETO GRAVADO]:[Otros / No Grav.]])</f>
        <v>67499.995200000005</v>
      </c>
      <c r="Q35" s="515" t="str">
        <f>IFERROR(IF(compras_mes12[[#This Row],[CUIT]]="","-",VLOOKUP(compras_mes12[[#This Row],[CUIT]],Lista_CUIT[#All],3,0)),"CUIT NO CARGADO")</f>
        <v>INSUMO</v>
      </c>
      <c r="R35" s="515">
        <f>IFERROR(IF(compras_mes12[[#This Row],[CUIT]]="","-",VLOOKUP(compras_mes12[[#This Row],[CUIT]],Lista_CUIT[#All],4,0)),"CUIT NO CARGADO")</f>
        <v>0</v>
      </c>
    </row>
    <row r="36" spans="2:18" x14ac:dyDescent="0.25">
      <c r="B36" s="259"/>
      <c r="C36" s="270"/>
      <c r="D36" s="260"/>
      <c r="E36" s="261"/>
      <c r="F36" s="262">
        <v>33708218699</v>
      </c>
      <c r="G36" s="263" t="str">
        <f>IFERROR(IF(compras_mes12[[#This Row],[CUIT]]="","-",VLOOKUP(compras_mes12[[#This Row],[CUIT]],Lista_CUIT[#All],2,0)),"CUIT NO CARGADO")</f>
        <v>MANGGINI PABLO Y MANGGINI ULISES SOC. DE HECHO.</v>
      </c>
      <c r="H36" s="264">
        <v>90000</v>
      </c>
      <c r="I36" s="513">
        <f>IF(compras_mes12[[#This Row],[NETO GRAVADO]]="","",compras_mes12[[#This Row],[NETO GRAVADO]]*0.21)</f>
        <v>18900</v>
      </c>
      <c r="J36" s="513"/>
      <c r="K36" s="513"/>
      <c r="L36" s="513">
        <v>0</v>
      </c>
      <c r="M36" s="513"/>
      <c r="N36" s="513">
        <v>0</v>
      </c>
      <c r="O36" s="513">
        <v>0</v>
      </c>
      <c r="P36" s="514">
        <f>SUM(compras_mes12[[#This Row],[NETO GRAVADO]:[Otros / No Grav.]])</f>
        <v>108900</v>
      </c>
      <c r="Q36" s="515" t="str">
        <f>IFERROR(IF(compras_mes12[[#This Row],[CUIT]]="","-",VLOOKUP(compras_mes12[[#This Row],[CUIT]],Lista_CUIT[#All],3,0)),"CUIT NO CARGADO")</f>
        <v>SERVICIO</v>
      </c>
      <c r="R36" s="515">
        <f>IFERROR(IF(compras_mes12[[#This Row],[CUIT]]="","-",VLOOKUP(compras_mes12[[#This Row],[CUIT]],Lista_CUIT[#All],4,0)),"CUIT NO CARGADO")</f>
        <v>0</v>
      </c>
    </row>
    <row r="37" spans="2:18" x14ac:dyDescent="0.25">
      <c r="B37" s="259"/>
      <c r="C37" s="270"/>
      <c r="D37" s="260"/>
      <c r="E37" s="261"/>
      <c r="F37" s="262">
        <v>33708218699</v>
      </c>
      <c r="G37" s="263" t="str">
        <f>IFERROR(IF(compras_mes12[[#This Row],[CUIT]]="","-",VLOOKUP(compras_mes12[[#This Row],[CUIT]],Lista_CUIT[#All],2,0)),"CUIT NO CARGADO")</f>
        <v>MANGGINI PABLO Y MANGGINI ULISES SOC. DE HECHO.</v>
      </c>
      <c r="H37" s="264">
        <v>45000</v>
      </c>
      <c r="I37" s="513">
        <f>IF(compras_mes12[[#This Row],[NETO GRAVADO]]="","",compras_mes12[[#This Row],[NETO GRAVADO]]*0.21)</f>
        <v>9450</v>
      </c>
      <c r="J37" s="513"/>
      <c r="K37" s="513"/>
      <c r="L37" s="513">
        <v>0</v>
      </c>
      <c r="M37" s="513"/>
      <c r="N37" s="513">
        <v>0</v>
      </c>
      <c r="O37" s="513">
        <v>0</v>
      </c>
      <c r="P37" s="48">
        <f>SUM(compras_mes12[[#This Row],[NETO GRAVADO]:[Otros / No Grav.]])</f>
        <v>54450</v>
      </c>
      <c r="Q37" s="49" t="str">
        <f>IFERROR(IF(compras_mes12[[#This Row],[CUIT]]="","-",VLOOKUP(compras_mes12[[#This Row],[CUIT]],Lista_CUIT[#All],3,0)),"CUIT NO CARGADO")</f>
        <v>SERVICIO</v>
      </c>
      <c r="R37" s="49">
        <f>IFERROR(IF(compras_mes12[[#This Row],[CUIT]]="","-",VLOOKUP(compras_mes12[[#This Row],[CUIT]],Lista_CUIT[#All],4,0)),"CUIT NO CARGADO")</f>
        <v>0</v>
      </c>
    </row>
    <row r="38" spans="2:18" x14ac:dyDescent="0.25">
      <c r="B38" s="259"/>
      <c r="C38" s="270"/>
      <c r="D38" s="260"/>
      <c r="E38" s="261"/>
      <c r="F38" s="262">
        <v>30711454388</v>
      </c>
      <c r="G38" s="263" t="str">
        <f>IFERROR(IF(compras_mes12[[#This Row],[CUIT]]="","-",VLOOKUP(compras_mes12[[#This Row],[CUIT]],Lista_CUIT[#All],2,0)),"CUIT NO CARGADO")</f>
        <v>LIPROT S.R.L.</v>
      </c>
      <c r="H38" s="264">
        <v>63090</v>
      </c>
      <c r="I38" s="513">
        <f>IF(compras_mes12[[#This Row],[NETO GRAVADO]]="","",compras_mes12[[#This Row],[NETO GRAVADO]]*0.21)</f>
        <v>13248.9</v>
      </c>
      <c r="J38" s="513"/>
      <c r="K38" s="513"/>
      <c r="L38" s="513">
        <v>0</v>
      </c>
      <c r="M38" s="513"/>
      <c r="N38" s="513">
        <v>0</v>
      </c>
      <c r="O38" s="513">
        <v>0</v>
      </c>
      <c r="P38" s="514">
        <f>SUM(compras_mes12[[#This Row],[NETO GRAVADO]:[Otros / No Grav.]])</f>
        <v>76338.899999999994</v>
      </c>
      <c r="Q38" s="515" t="str">
        <f>IFERROR(IF(compras_mes12[[#This Row],[CUIT]]="","-",VLOOKUP(compras_mes12[[#This Row],[CUIT]],Lista_CUIT[#All],3,0)),"CUIT NO CARGADO")</f>
        <v>textil</v>
      </c>
      <c r="R38" s="515">
        <f>IFERROR(IF(compras_mes12[[#This Row],[CUIT]]="","-",VLOOKUP(compras_mes12[[#This Row],[CUIT]],Lista_CUIT[#All],4,0)),"CUIT NO CARGADO")</f>
        <v>0</v>
      </c>
    </row>
    <row r="39" spans="2:18" x14ac:dyDescent="0.25">
      <c r="B39" s="259"/>
      <c r="C39" s="270"/>
      <c r="D39" s="260"/>
      <c r="E39" s="261"/>
      <c r="F39" s="262">
        <v>30712019359</v>
      </c>
      <c r="G39" s="263" t="str">
        <f>IFERROR(IF(compras_mes12[[#This Row],[CUIT]]="","-",VLOOKUP(compras_mes12[[#This Row],[CUIT]],Lista_CUIT[#All],2,0)),"CUIT NO CARGADO")</f>
        <v>LINKEDSTORE ARGENTINA SRL</v>
      </c>
      <c r="H39" s="264">
        <v>17767.77</v>
      </c>
      <c r="I39" s="513">
        <f>IF(compras_mes12[[#This Row],[NETO GRAVADO]]="","",compras_mes12[[#This Row],[NETO GRAVADO]]*0.21)</f>
        <v>3731.2316999999998</v>
      </c>
      <c r="J39" s="513"/>
      <c r="K39" s="513"/>
      <c r="L39" s="513">
        <v>0</v>
      </c>
      <c r="M39" s="513"/>
      <c r="N39" s="513">
        <v>0</v>
      </c>
      <c r="O39" s="513">
        <v>710.72</v>
      </c>
      <c r="P39" s="48">
        <f>SUM(compras_mes12[[#This Row],[NETO GRAVADO]:[Otros / No Grav.]])</f>
        <v>22209.721700000002</v>
      </c>
      <c r="Q39" s="49" t="str">
        <f>IFERROR(IF(compras_mes12[[#This Row],[CUIT]]="","-",VLOOKUP(compras_mes12[[#This Row],[CUIT]],Lista_CUIT[#All],3,0)),"CUIT NO CARGADO")</f>
        <v>pROVEEDOR</v>
      </c>
      <c r="R39" s="49">
        <f>IFERROR(IF(compras_mes12[[#This Row],[CUIT]]="","-",VLOOKUP(compras_mes12[[#This Row],[CUIT]],Lista_CUIT[#All],4,0)),"CUIT NO CARGADO")</f>
        <v>0</v>
      </c>
    </row>
    <row r="40" spans="2:18" x14ac:dyDescent="0.25">
      <c r="B40" s="607"/>
      <c r="C40" s="597"/>
      <c r="D40" s="608"/>
      <c r="E40" s="609"/>
      <c r="F40" s="610">
        <v>20317488476</v>
      </c>
      <c r="G40" s="611" t="str">
        <f>IFERROR(IF(compras_mes12[[#This Row],[CUIT]]="","-",VLOOKUP(compras_mes12[[#This Row],[CUIT]],Lista_CUIT[#All],2,0)),"CUIT NO CARGADO")</f>
        <v>MIGUEL ANGEL VILLALBA</v>
      </c>
      <c r="H40" s="612">
        <v>1920000</v>
      </c>
      <c r="I40" s="613">
        <f>IF(compras_mes12[[#This Row],[NETO GRAVADO]]="","",compras_mes12[[#This Row],[NETO GRAVADO]]*0.21)</f>
        <v>403200</v>
      </c>
      <c r="J40" s="613"/>
      <c r="K40" s="613"/>
      <c r="L40" s="613">
        <v>0</v>
      </c>
      <c r="M40" s="613"/>
      <c r="N40" s="613">
        <v>0</v>
      </c>
      <c r="O40" s="613">
        <v>0</v>
      </c>
      <c r="P40" s="593">
        <f>SUM(compras_mes12[[#This Row],[NETO GRAVADO]:[Otros / No Grav.]])</f>
        <v>2323200</v>
      </c>
      <c r="Q40" s="562" t="s">
        <v>2515</v>
      </c>
      <c r="R40" s="562">
        <f>IFERROR(IF(compras_mes12[[#This Row],[CUIT]]="","-",VLOOKUP(compras_mes12[[#This Row],[CUIT]],Lista_CUIT[#All],4,0)),"CUIT NO CARGADO")</f>
        <v>0</v>
      </c>
    </row>
    <row r="41" spans="2:18" x14ac:dyDescent="0.25">
      <c r="B41" s="607"/>
      <c r="C41" s="597"/>
      <c r="D41" s="608"/>
      <c r="E41" s="609"/>
      <c r="F41" s="610">
        <v>20317488476</v>
      </c>
      <c r="G41" s="611" t="str">
        <f>IFERROR(IF(compras_mes12[[#This Row],[CUIT]]="","-",VLOOKUP(compras_mes12[[#This Row],[CUIT]],Lista_CUIT[#All],2,0)),"CUIT NO CARGADO")</f>
        <v>MIGUEL ANGEL VILLALBA</v>
      </c>
      <c r="H41" s="612">
        <v>900000</v>
      </c>
      <c r="I41" s="613">
        <f>IF(compras_mes12[[#This Row],[NETO GRAVADO]]="","",compras_mes12[[#This Row],[NETO GRAVADO]]*0.21)</f>
        <v>189000</v>
      </c>
      <c r="J41" s="613"/>
      <c r="K41" s="613"/>
      <c r="L41" s="613">
        <v>0</v>
      </c>
      <c r="M41" s="613"/>
      <c r="N41" s="613">
        <v>0</v>
      </c>
      <c r="O41" s="613">
        <v>0</v>
      </c>
      <c r="P41" s="614">
        <f>SUM(compras_mes12[[#This Row],[NETO GRAVADO]:[Otros / No Grav.]])</f>
        <v>1089000</v>
      </c>
      <c r="Q41" s="562" t="s">
        <v>2515</v>
      </c>
      <c r="R41" s="615">
        <f>IFERROR(IF(compras_mes12[[#This Row],[CUIT]]="","-",VLOOKUP(compras_mes12[[#This Row],[CUIT]],Lista_CUIT[#All],4,0)),"CUIT NO CARGADO")</f>
        <v>0</v>
      </c>
    </row>
    <row r="42" spans="2:18" x14ac:dyDescent="0.25">
      <c r="B42" s="259"/>
      <c r="C42" s="270"/>
      <c r="D42" s="260"/>
      <c r="E42" s="261"/>
      <c r="F42" s="262">
        <v>30712305513</v>
      </c>
      <c r="G42" s="263" t="str">
        <f>IFERROR(IF(compras_mes12[[#This Row],[CUIT]]="","-",VLOOKUP(compras_mes12[[#This Row],[CUIT]],Lista_CUIT[#All],2,0)),"CUIT NO CARGADO")</f>
        <v>TRINIDAD INSUMOS SRL</v>
      </c>
      <c r="H42" s="264">
        <v>490410</v>
      </c>
      <c r="I42" s="513">
        <f>IF(compras_mes12[[#This Row],[NETO GRAVADO]]="","",compras_mes12[[#This Row],[NETO GRAVADO]]*0.21)</f>
        <v>102986.09999999999</v>
      </c>
      <c r="J42" s="513"/>
      <c r="K42" s="513"/>
      <c r="L42" s="513">
        <v>0</v>
      </c>
      <c r="M42" s="513"/>
      <c r="N42" s="513">
        <v>0</v>
      </c>
      <c r="O42" s="513">
        <v>0</v>
      </c>
      <c r="P42" s="514">
        <f>SUM(compras_mes12[[#This Row],[NETO GRAVADO]:[Otros / No Grav.]])</f>
        <v>593396.1</v>
      </c>
      <c r="Q42" s="515" t="str">
        <f>IFERROR(IF(compras_mes12[[#This Row],[CUIT]]="","-",VLOOKUP(compras_mes12[[#This Row],[CUIT]],Lista_CUIT[#All],3,0)),"CUIT NO CARGADO")</f>
        <v>SERVICIOS</v>
      </c>
      <c r="R42" s="515">
        <f>IFERROR(IF(compras_mes12[[#This Row],[CUIT]]="","-",VLOOKUP(compras_mes12[[#This Row],[CUIT]],Lista_CUIT[#All],4,0)),"CUIT NO CARGADO")</f>
        <v>0</v>
      </c>
    </row>
    <row r="43" spans="2:18" x14ac:dyDescent="0.25">
      <c r="B43" s="259"/>
      <c r="C43" s="270"/>
      <c r="D43" s="260"/>
      <c r="E43" s="261"/>
      <c r="F43" s="262">
        <v>30712305513</v>
      </c>
      <c r="G43" s="263" t="str">
        <f>IFERROR(IF(compras_mes12[[#This Row],[CUIT]]="","-",VLOOKUP(compras_mes12[[#This Row],[CUIT]],Lista_CUIT[#All],2,0)),"CUIT NO CARGADO")</f>
        <v>TRINIDAD INSUMOS SRL</v>
      </c>
      <c r="H43" s="264">
        <v>450000</v>
      </c>
      <c r="I43" s="513">
        <f>IF(compras_mes12[[#This Row],[NETO GRAVADO]]="","",compras_mes12[[#This Row],[NETO GRAVADO]]*0.21)</f>
        <v>94500</v>
      </c>
      <c r="J43" s="513"/>
      <c r="K43" s="513"/>
      <c r="L43" s="513">
        <v>0</v>
      </c>
      <c r="M43" s="513"/>
      <c r="N43" s="513">
        <v>0</v>
      </c>
      <c r="O43" s="513">
        <v>0</v>
      </c>
      <c r="P43" s="514">
        <f>SUM(compras_mes12[[#This Row],[NETO GRAVADO]:[Otros / No Grav.]])</f>
        <v>544500</v>
      </c>
      <c r="Q43" s="515" t="str">
        <f>IFERROR(IF(compras_mes12[[#This Row],[CUIT]]="","-",VLOOKUP(compras_mes12[[#This Row],[CUIT]],Lista_CUIT[#All],3,0)),"CUIT NO CARGADO")</f>
        <v>SERVICIOS</v>
      </c>
      <c r="R43" s="515">
        <f>IFERROR(IF(compras_mes12[[#This Row],[CUIT]]="","-",VLOOKUP(compras_mes12[[#This Row],[CUIT]],Lista_CUIT[#All],4,0)),"CUIT NO CARGADO")</f>
        <v>0</v>
      </c>
    </row>
    <row r="44" spans="2:18" x14ac:dyDescent="0.25">
      <c r="B44" s="259"/>
      <c r="C44" s="270"/>
      <c r="D44" s="260"/>
      <c r="E44" s="261"/>
      <c r="F44" s="262">
        <v>30712305513</v>
      </c>
      <c r="G44" s="263" t="str">
        <f>IFERROR(IF(compras_mes12[[#This Row],[CUIT]]="","-",VLOOKUP(compras_mes12[[#This Row],[CUIT]],Lista_CUIT[#All],2,0)),"CUIT NO CARGADO")</f>
        <v>TRINIDAD INSUMOS SRL</v>
      </c>
      <c r="H44" s="264">
        <v>3634350</v>
      </c>
      <c r="I44" s="513">
        <f>IF(compras_mes12[[#This Row],[NETO GRAVADO]]="","",compras_mes12[[#This Row],[NETO GRAVADO]]*0.21)</f>
        <v>763213.5</v>
      </c>
      <c r="J44" s="513"/>
      <c r="K44" s="513"/>
      <c r="L44" s="513">
        <v>0</v>
      </c>
      <c r="M44" s="513"/>
      <c r="N44" s="513">
        <v>0</v>
      </c>
      <c r="O44" s="513">
        <v>0</v>
      </c>
      <c r="P44" s="514">
        <f>SUM(compras_mes12[[#This Row],[NETO GRAVADO]:[Otros / No Grav.]])</f>
        <v>4397563.5</v>
      </c>
      <c r="Q44" s="515" t="str">
        <f>IFERROR(IF(compras_mes12[[#This Row],[CUIT]]="","-",VLOOKUP(compras_mes12[[#This Row],[CUIT]],Lista_CUIT[#All],3,0)),"CUIT NO CARGADO")</f>
        <v>SERVICIOS</v>
      </c>
      <c r="R44" s="515">
        <f>IFERROR(IF(compras_mes12[[#This Row],[CUIT]]="","-",VLOOKUP(compras_mes12[[#This Row],[CUIT]],Lista_CUIT[#All],4,0)),"CUIT NO CARGADO")</f>
        <v>0</v>
      </c>
    </row>
    <row r="45" spans="2:18" x14ac:dyDescent="0.25">
      <c r="B45" s="259"/>
      <c r="C45" s="270"/>
      <c r="D45" s="260"/>
      <c r="E45" s="261"/>
      <c r="F45" s="262">
        <v>30715196030</v>
      </c>
      <c r="G45" s="263" t="str">
        <f>IFERROR(IF(compras_mes12[[#This Row],[CUIT]]="","-",VLOOKUP(compras_mes12[[#This Row],[CUIT]],Lista_CUIT[#All],2,0)),"CUIT NO CARGADO")</f>
        <v>DROGUERIA BIOS SA</v>
      </c>
      <c r="H45" s="264">
        <v>60480</v>
      </c>
      <c r="I45" s="513">
        <f>IF(compras_mes12[[#This Row],[NETO GRAVADO]]="","",compras_mes12[[#This Row],[NETO GRAVADO]]*0.21)</f>
        <v>12700.8</v>
      </c>
      <c r="J45" s="513"/>
      <c r="K45" s="513"/>
      <c r="L45" s="513">
        <v>0</v>
      </c>
      <c r="M45" s="513"/>
      <c r="N45" s="513">
        <v>0</v>
      </c>
      <c r="O45" s="513">
        <v>0</v>
      </c>
      <c r="P45" s="48">
        <f>SUM(compras_mes12[[#This Row],[NETO GRAVADO]:[Otros / No Grav.]])</f>
        <v>73180.800000000003</v>
      </c>
      <c r="Q45" s="49" t="str">
        <f>IFERROR(IF(compras_mes12[[#This Row],[CUIT]]="","-",VLOOKUP(compras_mes12[[#This Row],[CUIT]],Lista_CUIT[#All],3,0)),"CUIT NO CARGADO")</f>
        <v>Gastos Varios</v>
      </c>
      <c r="R45" s="49">
        <f>IFERROR(IF(compras_mes12[[#This Row],[CUIT]]="","-",VLOOKUP(compras_mes12[[#This Row],[CUIT]],Lista_CUIT[#All],4,0)),"CUIT NO CARGADO")</f>
        <v>0</v>
      </c>
    </row>
    <row r="46" spans="2:18" x14ac:dyDescent="0.25">
      <c r="B46" s="259"/>
      <c r="C46" s="270"/>
      <c r="D46" s="260"/>
      <c r="E46" s="261"/>
      <c r="F46" s="262">
        <v>20289111329</v>
      </c>
      <c r="G46" s="263" t="str">
        <f>IFERROR(IF(compras_mes12[[#This Row],[CUIT]]="","-",VLOOKUP(compras_mes12[[#This Row],[CUIT]],Lista_CUIT[#All],2,0)),"CUIT NO CARGADO")</f>
        <v>R. N. LEDESMA</v>
      </c>
      <c r="H46" s="264">
        <v>3420473.64</v>
      </c>
      <c r="I46" s="513">
        <f>IF(compras_mes12[[#This Row],[NETO GRAVADO]]="","",compras_mes12[[#This Row],[NETO GRAVADO]]*0.21)</f>
        <v>718299.46440000006</v>
      </c>
      <c r="J46" s="513"/>
      <c r="K46" s="513"/>
      <c r="L46" s="513">
        <v>0</v>
      </c>
      <c r="M46" s="513"/>
      <c r="N46" s="513">
        <v>0</v>
      </c>
      <c r="O46" s="513">
        <v>0</v>
      </c>
      <c r="P46" s="48">
        <f>SUM(compras_mes12[[#This Row],[NETO GRAVADO]:[Otros / No Grav.]])</f>
        <v>4138773.1044000001</v>
      </c>
      <c r="Q46" s="49" t="str">
        <f>IFERROR(IF(compras_mes12[[#This Row],[CUIT]]="","-",VLOOKUP(compras_mes12[[#This Row],[CUIT]],Lista_CUIT[#All],3,0)),"CUIT NO CARGADO")</f>
        <v>Insumo</v>
      </c>
      <c r="R46" s="49">
        <f>IFERROR(IF(compras_mes12[[#This Row],[CUIT]]="","-",VLOOKUP(compras_mes12[[#This Row],[CUIT]],Lista_CUIT[#All],4,0)),"CUIT NO CARGADO")</f>
        <v>0</v>
      </c>
    </row>
    <row r="47" spans="2:18" x14ac:dyDescent="0.25">
      <c r="B47" s="259"/>
      <c r="C47" s="270"/>
      <c r="D47" s="260"/>
      <c r="E47" s="261"/>
      <c r="F47" s="262">
        <v>20929183143</v>
      </c>
      <c r="G47" s="263" t="str">
        <f>IFERROR(IF(compras_mes12[[#This Row],[CUIT]]="","-",VLOOKUP(compras_mes12[[#This Row],[CUIT]],Lista_CUIT[#All],2,0)),"CUIT NO CARGADO")</f>
        <v>MA JUN</v>
      </c>
      <c r="H47" s="264">
        <v>110000</v>
      </c>
      <c r="I47" s="513">
        <f>IF(compras_mes12[[#This Row],[NETO GRAVADO]]="","",compras_mes12[[#This Row],[NETO GRAVADO]]*0.21)</f>
        <v>23100</v>
      </c>
      <c r="J47" s="513"/>
      <c r="K47" s="513"/>
      <c r="L47" s="513">
        <v>0</v>
      </c>
      <c r="M47" s="513"/>
      <c r="N47" s="513">
        <v>0</v>
      </c>
      <c r="O47" s="513">
        <v>0</v>
      </c>
      <c r="P47" s="514">
        <f>SUM(compras_mes12[[#This Row],[NETO GRAVADO]:[Otros / No Grav.]])</f>
        <v>133100</v>
      </c>
      <c r="Q47" s="515" t="str">
        <f>IFERROR(IF(compras_mes12[[#This Row],[CUIT]]="","-",VLOOKUP(compras_mes12[[#This Row],[CUIT]],Lista_CUIT[#All],3,0)),"CUIT NO CARGADO")</f>
        <v>Gastos Varios</v>
      </c>
      <c r="R47" s="515">
        <f>IFERROR(IF(compras_mes12[[#This Row],[CUIT]]="","-",VLOOKUP(compras_mes12[[#This Row],[CUIT]],Lista_CUIT[#All],4,0)),"CUIT NO CARGADO")</f>
        <v>0</v>
      </c>
    </row>
    <row r="48" spans="2:18" x14ac:dyDescent="0.25">
      <c r="B48" s="259"/>
      <c r="C48" s="270"/>
      <c r="D48" s="260"/>
      <c r="E48" s="261"/>
      <c r="F48" s="262">
        <v>20299008976</v>
      </c>
      <c r="G48" s="263" t="str">
        <f>IFERROR(IF(compras_mes12[[#This Row],[CUIT]]="","-",VLOOKUP(compras_mes12[[#This Row],[CUIT]],Lista_CUIT[#All],2,0)),"CUIT NO CARGADO")</f>
        <v>DEL DIESTRO FERNANDO</v>
      </c>
      <c r="H48" s="264">
        <v>92580</v>
      </c>
      <c r="I48" s="513">
        <f>IF(compras_mes12[[#This Row],[NETO GRAVADO]]="","",compras_mes12[[#This Row],[NETO GRAVADO]]*0.21)</f>
        <v>19441.8</v>
      </c>
      <c r="J48" s="513"/>
      <c r="K48" s="513"/>
      <c r="L48" s="513">
        <v>0</v>
      </c>
      <c r="M48" s="513"/>
      <c r="N48" s="513">
        <v>0</v>
      </c>
      <c r="O48" s="513">
        <v>0</v>
      </c>
      <c r="P48" s="48">
        <f>SUM(compras_mes12[[#This Row],[NETO GRAVADO]:[Otros / No Grav.]])</f>
        <v>112021.8</v>
      </c>
      <c r="Q48" s="515" t="str">
        <f>IFERROR(IF(compras_mes12[[#This Row],[CUIT]]="","-",VLOOKUP(compras_mes12[[#This Row],[CUIT]],Lista_CUIT[#All],3,0)),"CUIT NO CARGADO")</f>
        <v>Insumos</v>
      </c>
      <c r="R48" s="515">
        <f>IFERROR(IF(compras_mes12[[#This Row],[CUIT]]="","-",VLOOKUP(compras_mes12[[#This Row],[CUIT]],Lista_CUIT[#All],4,0)),"CUIT NO CARGADO")</f>
        <v>0</v>
      </c>
    </row>
    <row r="49" spans="2:18" x14ac:dyDescent="0.25">
      <c r="B49" s="259"/>
      <c r="C49" s="270"/>
      <c r="D49" s="260"/>
      <c r="E49" s="261"/>
      <c r="F49" s="262">
        <v>20239207325</v>
      </c>
      <c r="G49" s="263" t="str">
        <f>IFERROR(IF(compras_mes12[[#This Row],[CUIT]]="","-",VLOOKUP(compras_mes12[[#This Row],[CUIT]],Lista_CUIT[#All],2,0)),"CUIT NO CARGADO")</f>
        <v>RIVERA MARCELO RAUL</v>
      </c>
      <c r="H49" s="264">
        <v>1271088</v>
      </c>
      <c r="I49" s="513">
        <f>IF(compras_mes12[[#This Row],[NETO GRAVADO]]="","",compras_mes12[[#This Row],[NETO GRAVADO]]*0.21)</f>
        <v>266928.48</v>
      </c>
      <c r="J49" s="513"/>
      <c r="K49" s="513"/>
      <c r="L49" s="513">
        <v>0</v>
      </c>
      <c r="M49" s="513"/>
      <c r="N49" s="513">
        <v>0</v>
      </c>
      <c r="O49" s="513">
        <v>0</v>
      </c>
      <c r="P49" s="48">
        <f>SUM(compras_mes12[[#This Row],[NETO GRAVADO]:[Otros / No Grav.]])</f>
        <v>1538016.48</v>
      </c>
      <c r="Q49" s="49" t="str">
        <f>IFERROR(IF(compras_mes12[[#This Row],[CUIT]]="","-",VLOOKUP(compras_mes12[[#This Row],[CUIT]],Lista_CUIT[#All],3,0)),"CUIT NO CARGADO")</f>
        <v>Insumos</v>
      </c>
      <c r="R49" s="49">
        <f>IFERROR(IF(compras_mes12[[#This Row],[CUIT]]="","-",VLOOKUP(compras_mes12[[#This Row],[CUIT]],Lista_CUIT[#All],4,0)),"CUIT NO CARGADO")</f>
        <v>0</v>
      </c>
    </row>
    <row r="50" spans="2:18" x14ac:dyDescent="0.25">
      <c r="B50" s="259"/>
      <c r="C50" s="270"/>
      <c r="D50" s="260"/>
      <c r="E50" s="261"/>
      <c r="F50" s="262">
        <v>30712155945</v>
      </c>
      <c r="G50" s="263" t="str">
        <f>IFERROR(IF(compras_mes12[[#This Row],[CUIT]]="","-",VLOOKUP(compras_mes12[[#This Row],[CUIT]],Lista_CUIT[#All],2,0)),"CUIT NO CARGADO")</f>
        <v>BM MEDICINE SRL</v>
      </c>
      <c r="H50" s="264">
        <v>1022570</v>
      </c>
      <c r="I50" s="513">
        <f>IF(compras_mes12[[#This Row],[NETO GRAVADO]]="","",compras_mes12[[#This Row],[NETO GRAVADO]]*0.21)</f>
        <v>214739.69999999998</v>
      </c>
      <c r="J50" s="513"/>
      <c r="K50" s="513"/>
      <c r="L50" s="513">
        <v>0</v>
      </c>
      <c r="M50" s="513"/>
      <c r="N50" s="513">
        <v>0</v>
      </c>
      <c r="O50" s="513">
        <v>0</v>
      </c>
      <c r="P50" s="514">
        <f>SUM(compras_mes12[[#This Row],[NETO GRAVADO]:[Otros / No Grav.]])</f>
        <v>1237309.7</v>
      </c>
      <c r="Q50" s="515" t="str">
        <f>IFERROR(IF(compras_mes12[[#This Row],[CUIT]]="","-",VLOOKUP(compras_mes12[[#This Row],[CUIT]],Lista_CUIT[#All],3,0)),"CUIT NO CARGADO")</f>
        <v>Prod. Ortopedicos</v>
      </c>
      <c r="R50" s="515">
        <f>IFERROR(IF(compras_mes12[[#This Row],[CUIT]]="","-",VLOOKUP(compras_mes12[[#This Row],[CUIT]],Lista_CUIT[#All],4,0)),"CUIT NO CARGADO")</f>
        <v>0</v>
      </c>
    </row>
    <row r="51" spans="2:18" x14ac:dyDescent="0.25">
      <c r="B51" s="259"/>
      <c r="C51" s="270"/>
      <c r="D51" s="260"/>
      <c r="E51" s="261"/>
      <c r="F51" s="262">
        <v>27265302225</v>
      </c>
      <c r="G51" s="263" t="str">
        <f>IFERROR(IF(compras_mes12[[#This Row],[CUIT]]="","-",VLOOKUP(compras_mes12[[#This Row],[CUIT]],Lista_CUIT[#All],2,0)),"CUIT NO CARGADO")</f>
        <v>PRADO MARISOL</v>
      </c>
      <c r="H51" s="264">
        <v>1600000</v>
      </c>
      <c r="I51" s="513">
        <f>IF(compras_mes12[[#This Row],[NETO GRAVADO]]="","",compras_mes12[[#This Row],[NETO GRAVADO]]*0.21)</f>
        <v>336000</v>
      </c>
      <c r="J51" s="513"/>
      <c r="K51" s="513"/>
      <c r="L51" s="513">
        <v>0</v>
      </c>
      <c r="M51" s="513"/>
      <c r="N51" s="513">
        <v>0</v>
      </c>
      <c r="O51" s="513">
        <v>0</v>
      </c>
      <c r="P51" s="48">
        <f>SUM(compras_mes12[[#This Row],[NETO GRAVADO]:[Otros / No Grav.]])</f>
        <v>1936000</v>
      </c>
      <c r="Q51" s="49" t="str">
        <f>IFERROR(IF(compras_mes12[[#This Row],[CUIT]]="","-",VLOOKUP(compras_mes12[[#This Row],[CUIT]],Lista_CUIT[#All],3,0)),"CUIT NO CARGADO")</f>
        <v>INSUMO</v>
      </c>
      <c r="R51" s="49">
        <f>IFERROR(IF(compras_mes12[[#This Row],[CUIT]]="","-",VLOOKUP(compras_mes12[[#This Row],[CUIT]],Lista_CUIT[#All],4,0)),"CUIT NO CARGADO")</f>
        <v>0</v>
      </c>
    </row>
    <row r="52" spans="2:18" x14ac:dyDescent="0.25">
      <c r="B52" s="259"/>
      <c r="C52" s="270"/>
      <c r="D52" s="260"/>
      <c r="E52" s="261"/>
      <c r="F52" s="262">
        <v>27265302225</v>
      </c>
      <c r="G52" s="263" t="str">
        <f>IFERROR(IF(compras_mes12[[#This Row],[CUIT]]="","-",VLOOKUP(compras_mes12[[#This Row],[CUIT]],Lista_CUIT[#All],2,0)),"CUIT NO CARGADO")</f>
        <v>PRADO MARISOL</v>
      </c>
      <c r="H52" s="264">
        <v>1150000</v>
      </c>
      <c r="I52" s="513">
        <f>IF(compras_mes12[[#This Row],[NETO GRAVADO]]="","",compras_mes12[[#This Row],[NETO GRAVADO]]*0.21)</f>
        <v>241500</v>
      </c>
      <c r="J52" s="513"/>
      <c r="K52" s="513"/>
      <c r="L52" s="513">
        <v>0</v>
      </c>
      <c r="M52" s="513"/>
      <c r="N52" s="513">
        <v>0</v>
      </c>
      <c r="O52" s="513">
        <v>0</v>
      </c>
      <c r="P52" s="48">
        <f>SUM(compras_mes12[[#This Row],[NETO GRAVADO]:[Otros / No Grav.]])</f>
        <v>1391500</v>
      </c>
      <c r="Q52" s="515" t="str">
        <f>IFERROR(IF(compras_mes12[[#This Row],[CUIT]]="","-",VLOOKUP(compras_mes12[[#This Row],[CUIT]],Lista_CUIT[#All],3,0)),"CUIT NO CARGADO")</f>
        <v>INSUMO</v>
      </c>
      <c r="R52" s="515">
        <f>IFERROR(IF(compras_mes12[[#This Row],[CUIT]]="","-",VLOOKUP(compras_mes12[[#This Row],[CUIT]],Lista_CUIT[#All],4,0)),"CUIT NO CARGADO")</f>
        <v>0</v>
      </c>
    </row>
    <row r="53" spans="2:18" x14ac:dyDescent="0.25">
      <c r="B53" s="259"/>
      <c r="C53" s="270"/>
      <c r="D53" s="260"/>
      <c r="E53" s="261"/>
      <c r="F53" s="262">
        <v>20205861204</v>
      </c>
      <c r="G53" s="263" t="str">
        <f>IFERROR(IF(compras_mes12[[#This Row],[CUIT]]="","-",VLOOKUP(compras_mes12[[#This Row],[CUIT]],Lista_CUIT[#All],2,0)),"CUIT NO CARGADO")</f>
        <v>FISCHER GUILLERMO JAVIER</v>
      </c>
      <c r="H53" s="264">
        <v>7272.73</v>
      </c>
      <c r="I53" s="513">
        <f>IF(compras_mes12[[#This Row],[NETO GRAVADO]]="","",compras_mes12[[#This Row],[NETO GRAVADO]]*0.21)</f>
        <v>1527.2732999999998</v>
      </c>
      <c r="J53" s="513"/>
      <c r="K53" s="513"/>
      <c r="L53" s="513">
        <v>0</v>
      </c>
      <c r="M53" s="513"/>
      <c r="N53" s="513">
        <v>0</v>
      </c>
      <c r="O53" s="513">
        <v>0</v>
      </c>
      <c r="P53" s="48">
        <f>SUM(compras_mes12[[#This Row],[NETO GRAVADO]:[Otros / No Grav.]])</f>
        <v>8800.0033000000003</v>
      </c>
      <c r="Q53" s="515" t="str">
        <f>IFERROR(IF(compras_mes12[[#This Row],[CUIT]]="","-",VLOOKUP(compras_mes12[[#This Row],[CUIT]],Lista_CUIT[#All],3,0)),"CUIT NO CARGADO")</f>
        <v>Mantenimiento</v>
      </c>
      <c r="R53" s="515">
        <f>IFERROR(IF(compras_mes12[[#This Row],[CUIT]]="","-",VLOOKUP(compras_mes12[[#This Row],[CUIT]],Lista_CUIT[#All],4,0)),"CUIT NO CARGADO")</f>
        <v>0</v>
      </c>
    </row>
    <row r="54" spans="2:18" x14ac:dyDescent="0.25">
      <c r="B54" s="259"/>
      <c r="C54" s="270"/>
      <c r="D54" s="260"/>
      <c r="E54" s="261"/>
      <c r="F54" s="262">
        <v>30707267077</v>
      </c>
      <c r="G54" s="263" t="str">
        <f>IFERROR(IF(compras_mes12[[#This Row],[CUIT]]="","-",VLOOKUP(compras_mes12[[#This Row],[CUIT]],Lista_CUIT[#All],2,0)),"CUIT NO CARGADO")</f>
        <v>BARBARO SOCIEDAD COLECTIVA</v>
      </c>
      <c r="H54" s="264">
        <v>1370000</v>
      </c>
      <c r="I54" s="513">
        <f>IF(compras_mes12[[#This Row],[NETO GRAVADO]]="","",compras_mes12[[#This Row],[NETO GRAVADO]]*0.21)</f>
        <v>287700</v>
      </c>
      <c r="J54" s="513"/>
      <c r="K54" s="513"/>
      <c r="L54" s="513">
        <v>0</v>
      </c>
      <c r="M54" s="513"/>
      <c r="N54" s="513">
        <v>0</v>
      </c>
      <c r="O54" s="513">
        <v>0</v>
      </c>
      <c r="P54" s="514">
        <f>SUM(compras_mes12[[#This Row],[NETO GRAVADO]:[Otros / No Grav.]])</f>
        <v>1657700</v>
      </c>
      <c r="Q54" s="515" t="str">
        <f>IFERROR(IF(compras_mes12[[#This Row],[CUIT]]="","-",VLOOKUP(compras_mes12[[#This Row],[CUIT]],Lista_CUIT[#All],3,0)),"CUIT NO CARGADO")</f>
        <v>MERCADERIA</v>
      </c>
      <c r="R54" s="515">
        <f>IFERROR(IF(compras_mes12[[#This Row],[CUIT]]="","-",VLOOKUP(compras_mes12[[#This Row],[CUIT]],Lista_CUIT[#All],4,0)),"CUIT NO CARGADO")</f>
        <v>0</v>
      </c>
    </row>
    <row r="55" spans="2:18" x14ac:dyDescent="0.25">
      <c r="B55" s="259"/>
      <c r="C55" s="270"/>
      <c r="D55" s="260"/>
      <c r="E55" s="261"/>
      <c r="F55" s="262">
        <v>30711454388</v>
      </c>
      <c r="G55" s="263" t="str">
        <f>IFERROR(IF(compras_mes12[[#This Row],[CUIT]]="","-",VLOOKUP(compras_mes12[[#This Row],[CUIT]],Lista_CUIT[#All],2,0)),"CUIT NO CARGADO")</f>
        <v>LIPROT S.R.L.</v>
      </c>
      <c r="H55" s="264">
        <v>518183</v>
      </c>
      <c r="I55" s="513">
        <f>IF(compras_mes12[[#This Row],[NETO GRAVADO]]="","",compras_mes12[[#This Row],[NETO GRAVADO]]*0.21)</f>
        <v>108818.43</v>
      </c>
      <c r="J55" s="513"/>
      <c r="K55" s="513"/>
      <c r="L55" s="513">
        <v>0</v>
      </c>
      <c r="M55" s="513"/>
      <c r="N55" s="513">
        <v>0</v>
      </c>
      <c r="O55" s="513" t="s">
        <v>2449</v>
      </c>
      <c r="P55" s="514">
        <f>SUM(compras_mes12[[#This Row],[NETO GRAVADO]:[Otros / No Grav.]])</f>
        <v>627001.42999999993</v>
      </c>
      <c r="Q55" s="515" t="str">
        <f>IFERROR(IF(compras_mes12[[#This Row],[CUIT]]="","-",VLOOKUP(compras_mes12[[#This Row],[CUIT]],Lista_CUIT[#All],3,0)),"CUIT NO CARGADO")</f>
        <v>textil</v>
      </c>
      <c r="R55" s="515">
        <f>IFERROR(IF(compras_mes12[[#This Row],[CUIT]]="","-",VLOOKUP(compras_mes12[[#This Row],[CUIT]],Lista_CUIT[#All],4,0)),"CUIT NO CARGADO")</f>
        <v>0</v>
      </c>
    </row>
    <row r="56" spans="2:18" x14ac:dyDescent="0.25">
      <c r="B56" s="259"/>
      <c r="C56" s="270"/>
      <c r="D56" s="260"/>
      <c r="E56" s="261"/>
      <c r="F56" s="262">
        <v>30598960093</v>
      </c>
      <c r="G56" s="263" t="str">
        <f>IFERROR(IF(compras_mes12[[#This Row],[CUIT]]="","-",VLOOKUP(compras_mes12[[#This Row],[CUIT]],Lista_CUIT[#All],2,0)),"CUIT NO CARGADO")</f>
        <v>SILVESTRIN FABRIS SRL</v>
      </c>
      <c r="H56" s="264">
        <v>371835</v>
      </c>
      <c r="I56" s="513">
        <f>IF(compras_mes12[[#This Row],[NETO GRAVADO]]="","",compras_mes12[[#This Row],[NETO GRAVADO]]*0.21)</f>
        <v>78085.349999999991</v>
      </c>
      <c r="J56" s="513"/>
      <c r="K56" s="513"/>
      <c r="L56" s="513">
        <v>0</v>
      </c>
      <c r="M56" s="513"/>
      <c r="N56" s="513">
        <v>14873.4</v>
      </c>
      <c r="O56" s="513">
        <v>0</v>
      </c>
      <c r="P56" s="514">
        <f>SUM(compras_mes12[[#This Row],[NETO GRAVADO]:[Otros / No Grav.]])</f>
        <v>464793.75</v>
      </c>
      <c r="Q56" s="515" t="str">
        <f>IFERROR(IF(compras_mes12[[#This Row],[CUIT]]="","-",VLOOKUP(compras_mes12[[#This Row],[CUIT]],Lista_CUIT[#All],3,0)),"CUIT NO CARGADO")</f>
        <v>INSUMO</v>
      </c>
      <c r="R56" s="515">
        <f>IFERROR(IF(compras_mes12[[#This Row],[CUIT]]="","-",VLOOKUP(compras_mes12[[#This Row],[CUIT]],Lista_CUIT[#All],4,0)),"CUIT NO CARGADO")</f>
        <v>0</v>
      </c>
    </row>
    <row r="57" spans="2:18" x14ac:dyDescent="0.25">
      <c r="B57" s="259"/>
      <c r="C57" s="270"/>
      <c r="D57" s="260"/>
      <c r="E57" s="261"/>
      <c r="F57" s="262">
        <v>30598960093</v>
      </c>
      <c r="G57" s="263" t="str">
        <f>IFERROR(IF(compras_mes12[[#This Row],[CUIT]]="","-",VLOOKUP(compras_mes12[[#This Row],[CUIT]],Lista_CUIT[#All],2,0)),"CUIT NO CARGADO")</f>
        <v>SILVESTRIN FABRIS SRL</v>
      </c>
      <c r="H57" s="264">
        <v>145621</v>
      </c>
      <c r="I57" s="513">
        <f>IF(compras_mes12[[#This Row],[NETO GRAVADO]]="","",compras_mes12[[#This Row],[NETO GRAVADO]]*0.21)</f>
        <v>30580.41</v>
      </c>
      <c r="J57" s="513"/>
      <c r="K57" s="513"/>
      <c r="L57" s="513">
        <v>0</v>
      </c>
      <c r="M57" s="513"/>
      <c r="N57" s="513">
        <v>0</v>
      </c>
      <c r="O57" s="513">
        <v>5824.84</v>
      </c>
      <c r="P57" s="514">
        <f>SUM(compras_mes12[[#This Row],[NETO GRAVADO]:[Otros / No Grav.]])</f>
        <v>182026.25</v>
      </c>
      <c r="Q57" s="515" t="str">
        <f>IFERROR(IF(compras_mes12[[#This Row],[CUIT]]="","-",VLOOKUP(compras_mes12[[#This Row],[CUIT]],Lista_CUIT[#All],3,0)),"CUIT NO CARGADO")</f>
        <v>INSUMO</v>
      </c>
      <c r="R57" s="515">
        <f>IFERROR(IF(compras_mes12[[#This Row],[CUIT]]="","-",VLOOKUP(compras_mes12[[#This Row],[CUIT]],Lista_CUIT[#All],4,0)),"CUIT NO CARGADO")</f>
        <v>0</v>
      </c>
    </row>
    <row r="58" spans="2:18" x14ac:dyDescent="0.25">
      <c r="B58" s="259"/>
      <c r="C58" s="270"/>
      <c r="D58" s="260"/>
      <c r="E58" s="261"/>
      <c r="F58" s="262">
        <v>30598960093</v>
      </c>
      <c r="G58" s="263" t="str">
        <f>IFERROR(IF(compras_mes12[[#This Row],[CUIT]]="","-",VLOOKUP(compras_mes12[[#This Row],[CUIT]],Lista_CUIT[#All],2,0)),"CUIT NO CARGADO")</f>
        <v>SILVESTRIN FABRIS SRL</v>
      </c>
      <c r="H58" s="264">
        <v>421289.9</v>
      </c>
      <c r="I58" s="513">
        <f>IF(compras_mes12[[#This Row],[NETO GRAVADO]]="","",compras_mes12[[#This Row],[NETO GRAVADO]]*0.21)</f>
        <v>88470.879000000001</v>
      </c>
      <c r="J58" s="513"/>
      <c r="K58" s="513"/>
      <c r="L58" s="513">
        <v>0</v>
      </c>
      <c r="M58" s="513"/>
      <c r="N58" s="513">
        <v>16851.599999999999</v>
      </c>
      <c r="O58" s="513">
        <v>0</v>
      </c>
      <c r="P58" s="48">
        <f>SUM(compras_mes12[[#This Row],[NETO GRAVADO]:[Otros / No Grav.]])</f>
        <v>526612.37900000007</v>
      </c>
      <c r="Q58" s="49" t="str">
        <f>IFERROR(IF(compras_mes12[[#This Row],[CUIT]]="","-",VLOOKUP(compras_mes12[[#This Row],[CUIT]],Lista_CUIT[#All],3,0)),"CUIT NO CARGADO")</f>
        <v>INSUMO</v>
      </c>
      <c r="R58" s="49">
        <f>IFERROR(IF(compras_mes12[[#This Row],[CUIT]]="","-",VLOOKUP(compras_mes12[[#This Row],[CUIT]],Lista_CUIT[#All],4,0)),"CUIT NO CARGADO")</f>
        <v>0</v>
      </c>
    </row>
    <row r="59" spans="2:18" x14ac:dyDescent="0.25">
      <c r="B59" s="259"/>
      <c r="C59" s="270"/>
      <c r="D59" s="260"/>
      <c r="E59" s="261"/>
      <c r="F59" s="262">
        <v>30598960093</v>
      </c>
      <c r="G59" s="263" t="str">
        <f>IFERROR(IF(compras_mes12[[#This Row],[CUIT]]="","-",VLOOKUP(compras_mes12[[#This Row],[CUIT]],Lista_CUIT[#All],2,0)),"CUIT NO CARGADO")</f>
        <v>SILVESTRIN FABRIS SRL</v>
      </c>
      <c r="H59" s="264">
        <v>2979667.45</v>
      </c>
      <c r="I59" s="513">
        <f>IF(compras_mes12[[#This Row],[NETO GRAVADO]]="","",compras_mes12[[#This Row],[NETO GRAVADO]]*0.21)</f>
        <v>625730.16450000007</v>
      </c>
      <c r="J59" s="513"/>
      <c r="K59" s="513"/>
      <c r="L59" s="513">
        <v>0</v>
      </c>
      <c r="M59" s="513"/>
      <c r="N59" s="513">
        <v>0</v>
      </c>
      <c r="O59" s="513">
        <v>119186.7</v>
      </c>
      <c r="P59" s="514">
        <f>SUM(compras_mes12[[#This Row],[NETO GRAVADO]:[Otros / No Grav.]])</f>
        <v>3724584.3145000003</v>
      </c>
      <c r="Q59" s="515" t="str">
        <f>IFERROR(IF(compras_mes12[[#This Row],[CUIT]]="","-",VLOOKUP(compras_mes12[[#This Row],[CUIT]],Lista_CUIT[#All],3,0)),"CUIT NO CARGADO")</f>
        <v>INSUMO</v>
      </c>
      <c r="R59" s="515">
        <f>IFERROR(IF(compras_mes12[[#This Row],[CUIT]]="","-",VLOOKUP(compras_mes12[[#This Row],[CUIT]],Lista_CUIT[#All],4,0)),"CUIT NO CARGADO")</f>
        <v>0</v>
      </c>
    </row>
    <row r="60" spans="2:18" x14ac:dyDescent="0.25">
      <c r="B60" s="259"/>
      <c r="C60" s="270"/>
      <c r="D60" s="260"/>
      <c r="E60" s="261"/>
      <c r="F60" s="262">
        <v>30702652975</v>
      </c>
      <c r="G60" s="263" t="str">
        <f>IFERROR(IF(compras_mes12[[#This Row],[CUIT]]="","-",VLOOKUP(compras_mes12[[#This Row],[CUIT]],Lista_CUIT[#All],2,0)),"CUIT NO CARGADO")</f>
        <v>NSS SA</v>
      </c>
      <c r="H60" s="264">
        <v>41188.17</v>
      </c>
      <c r="I60" s="513">
        <f>IF(compras_mes12[[#This Row],[NETO GRAVADO]]="","",compras_mes12[[#This Row],[NETO GRAVADO]]*0.21)</f>
        <v>8649.5156999999999</v>
      </c>
      <c r="J60" s="513"/>
      <c r="K60" s="513"/>
      <c r="L60" s="513">
        <v>0</v>
      </c>
      <c r="M60" s="513"/>
      <c r="N60" s="513">
        <v>1647.53</v>
      </c>
      <c r="O60" s="513">
        <v>0</v>
      </c>
      <c r="P60" s="514">
        <f>SUM(compras_mes12[[#This Row],[NETO GRAVADO]:[Otros / No Grav.]])</f>
        <v>51485.215700000001</v>
      </c>
      <c r="Q60" s="515" t="str">
        <f>IFERROR(IF(compras_mes12[[#This Row],[CUIT]]="","-",VLOOKUP(compras_mes12[[#This Row],[CUIT]],Lista_CUIT[#All],3,0)),"CUIT NO CARGADO")</f>
        <v>SERVICIOS</v>
      </c>
      <c r="R60" s="515">
        <f>IFERROR(IF(compras_mes12[[#This Row],[CUIT]]="","-",VLOOKUP(compras_mes12[[#This Row],[CUIT]],Lista_CUIT[#All],4,0)),"CUIT NO CARGADO")</f>
        <v>0</v>
      </c>
    </row>
    <row r="61" spans="2:18" x14ac:dyDescent="0.25">
      <c r="B61" s="259"/>
      <c r="C61" s="270"/>
      <c r="D61" s="260"/>
      <c r="E61" s="261"/>
      <c r="F61" s="262">
        <v>30711610096</v>
      </c>
      <c r="G61" s="263" t="str">
        <f>IFERROR(IF(compras_mes12[[#This Row],[CUIT]]="","-",VLOOKUP(compras_mes12[[#This Row],[CUIT]],Lista_CUIT[#All],2,0)),"CUIT NO CARGADO")</f>
        <v>46 SPEED S.A.</v>
      </c>
      <c r="H61" s="264">
        <v>3022064</v>
      </c>
      <c r="I61" s="513"/>
      <c r="J61" s="513"/>
      <c r="K61" s="513">
        <f>compras_mes12[[#This Row],[NETO GRAVADO]]*0.105</f>
        <v>317316.71999999997</v>
      </c>
      <c r="L61" s="513">
        <v>0</v>
      </c>
      <c r="M61" s="513"/>
      <c r="N61" s="513">
        <v>0</v>
      </c>
      <c r="O61" s="513">
        <v>0</v>
      </c>
      <c r="P61" s="514">
        <f>SUM(compras_mes12[[#This Row],[NETO GRAVADO]:[Otros / No Grav.]])</f>
        <v>3339380.7199999997</v>
      </c>
      <c r="Q61" s="515" t="str">
        <f>IFERROR(IF(compras_mes12[[#This Row],[CUIT]]="","-",VLOOKUP(compras_mes12[[#This Row],[CUIT]],Lista_CUIT[#All],3,0)),"CUIT NO CARGADO")</f>
        <v>Insumos</v>
      </c>
      <c r="R61" s="515">
        <f>IFERROR(IF(compras_mes12[[#This Row],[CUIT]]="","-",VLOOKUP(compras_mes12[[#This Row],[CUIT]],Lista_CUIT[#All],4,0)),"CUIT NO CARGADO")</f>
        <v>0</v>
      </c>
    </row>
    <row r="62" spans="2:18" x14ac:dyDescent="0.25">
      <c r="B62" s="259"/>
      <c r="C62" s="270"/>
      <c r="D62" s="260"/>
      <c r="E62" s="261"/>
      <c r="F62" s="262">
        <v>30711610096</v>
      </c>
      <c r="G62" s="263" t="str">
        <f>IFERROR(IF(compras_mes12[[#This Row],[CUIT]]="","-",VLOOKUP(compras_mes12[[#This Row],[CUIT]],Lista_CUIT[#All],2,0)),"CUIT NO CARGADO")</f>
        <v>46 SPEED S.A.</v>
      </c>
      <c r="H62" s="264">
        <v>440250</v>
      </c>
      <c r="I62" s="513">
        <f>IF(compras_mes12[[#This Row],[NETO GRAVADO]]="","",compras_mes12[[#This Row],[NETO GRAVADO]]*0.21)</f>
        <v>92452.5</v>
      </c>
      <c r="J62" s="513"/>
      <c r="K62" s="513"/>
      <c r="L62" s="513">
        <v>0</v>
      </c>
      <c r="M62" s="513"/>
      <c r="N62" s="513">
        <v>0</v>
      </c>
      <c r="O62" s="513">
        <v>0</v>
      </c>
      <c r="P62" s="48">
        <f>SUM(compras_mes12[[#This Row],[NETO GRAVADO]:[Otros / No Grav.]])</f>
        <v>532702.5</v>
      </c>
      <c r="Q62" s="49" t="str">
        <f>IFERROR(IF(compras_mes12[[#This Row],[CUIT]]="","-",VLOOKUP(compras_mes12[[#This Row],[CUIT]],Lista_CUIT[#All],3,0)),"CUIT NO CARGADO")</f>
        <v>Insumos</v>
      </c>
      <c r="R62" s="49">
        <f>IFERROR(IF(compras_mes12[[#This Row],[CUIT]]="","-",VLOOKUP(compras_mes12[[#This Row],[CUIT]],Lista_CUIT[#All],4,0)),"CUIT NO CARGADO")</f>
        <v>0</v>
      </c>
    </row>
    <row r="63" spans="2:18" x14ac:dyDescent="0.25">
      <c r="B63" s="259"/>
      <c r="C63" s="270"/>
      <c r="D63" s="260"/>
      <c r="E63" s="261"/>
      <c r="F63" s="262">
        <v>30711610096</v>
      </c>
      <c r="G63" s="263" t="str">
        <f>IFERROR(IF(compras_mes12[[#This Row],[CUIT]]="","-",VLOOKUP(compras_mes12[[#This Row],[CUIT]],Lista_CUIT[#All],2,0)),"CUIT NO CARGADO")</f>
        <v>46 SPEED S.A.</v>
      </c>
      <c r="H63" s="264">
        <v>1371337</v>
      </c>
      <c r="I63" s="513">
        <f>IF(compras_mes12[[#This Row],[NETO GRAVADO]]="","",compras_mes12[[#This Row],[NETO GRAVADO]]*0.21)</f>
        <v>287980.76999999996</v>
      </c>
      <c r="J63" s="513"/>
      <c r="K63" s="513"/>
      <c r="L63" s="513">
        <v>0</v>
      </c>
      <c r="M63" s="513"/>
      <c r="N63" s="513">
        <v>0</v>
      </c>
      <c r="O63" s="513">
        <v>0</v>
      </c>
      <c r="P63" s="514">
        <f>SUM(compras_mes12[[#This Row],[NETO GRAVADO]:[Otros / No Grav.]])</f>
        <v>1659317.77</v>
      </c>
      <c r="Q63" s="515" t="str">
        <f>IFERROR(IF(compras_mes12[[#This Row],[CUIT]]="","-",VLOOKUP(compras_mes12[[#This Row],[CUIT]],Lista_CUIT[#All],3,0)),"CUIT NO CARGADO")</f>
        <v>Insumos</v>
      </c>
      <c r="R63" s="515">
        <f>IFERROR(IF(compras_mes12[[#This Row],[CUIT]]="","-",VLOOKUP(compras_mes12[[#This Row],[CUIT]],Lista_CUIT[#All],4,0)),"CUIT NO CARGADO")</f>
        <v>0</v>
      </c>
    </row>
    <row r="64" spans="2:18" x14ac:dyDescent="0.25">
      <c r="B64" s="259"/>
      <c r="C64" s="270"/>
      <c r="D64" s="260"/>
      <c r="E64" s="261"/>
      <c r="F64" s="262">
        <v>20247225243</v>
      </c>
      <c r="G64" s="263" t="str">
        <f>IFERROR(IF(compras_mes12[[#This Row],[CUIT]]="","-",VLOOKUP(compras_mes12[[#This Row],[CUIT]],Lista_CUIT[#All],2,0)),"CUIT NO CARGADO")</f>
        <v>VENTO HUGO GABRIEL</v>
      </c>
      <c r="H64" s="264">
        <v>154736</v>
      </c>
      <c r="I64" s="513">
        <f>IF(compras_mes12[[#This Row],[NETO GRAVADO]]="","",compras_mes12[[#This Row],[NETO GRAVADO]]*0.21)</f>
        <v>32494.559999999998</v>
      </c>
      <c r="J64" s="513"/>
      <c r="K64" s="513"/>
      <c r="L64" s="513">
        <v>0</v>
      </c>
      <c r="M64" s="513"/>
      <c r="N64" s="513">
        <v>0</v>
      </c>
      <c r="O64" s="513">
        <v>0</v>
      </c>
      <c r="P64" s="514">
        <f>SUM(compras_mes12[[#This Row],[NETO GRAVADO]:[Otros / No Grav.]])</f>
        <v>187230.56</v>
      </c>
      <c r="Q64" s="515" t="str">
        <f>IFERROR(IF(compras_mes12[[#This Row],[CUIT]]="","-",VLOOKUP(compras_mes12[[#This Row],[CUIT]],Lista_CUIT[#All],3,0)),"CUIT NO CARGADO")</f>
        <v>INSUMO</v>
      </c>
      <c r="R64" s="515">
        <f>IFERROR(IF(compras_mes12[[#This Row],[CUIT]]="","-",VLOOKUP(compras_mes12[[#This Row],[CUIT]],Lista_CUIT[#All],4,0)),"CUIT NO CARGADO")</f>
        <v>0</v>
      </c>
    </row>
    <row r="65" spans="2:18" x14ac:dyDescent="0.25">
      <c r="B65" s="259"/>
      <c r="C65" s="270"/>
      <c r="D65" s="260"/>
      <c r="E65" s="261"/>
      <c r="F65" s="262">
        <v>20247225243</v>
      </c>
      <c r="G65" s="263" t="str">
        <f>IFERROR(IF(compras_mes12[[#This Row],[CUIT]]="","-",VLOOKUP(compras_mes12[[#This Row],[CUIT]],Lista_CUIT[#All],2,0)),"CUIT NO CARGADO")</f>
        <v>VENTO HUGO GABRIEL</v>
      </c>
      <c r="H65" s="264">
        <v>78272</v>
      </c>
      <c r="I65" s="513"/>
      <c r="J65" s="513">
        <f>compras_mes12[[#This Row],[NETO GRAVADO]]*0.27</f>
        <v>21133.440000000002</v>
      </c>
      <c r="K65" s="513"/>
      <c r="L65" s="513">
        <v>0</v>
      </c>
      <c r="M65" s="513"/>
      <c r="N65" s="513">
        <v>0</v>
      </c>
      <c r="O65" s="513">
        <v>0</v>
      </c>
      <c r="P65" s="514">
        <f>SUM(compras_mes12[[#This Row],[NETO GRAVADO]:[Otros / No Grav.]])</f>
        <v>99405.440000000002</v>
      </c>
      <c r="Q65" s="515" t="str">
        <f>IFERROR(IF(compras_mes12[[#This Row],[CUIT]]="","-",VLOOKUP(compras_mes12[[#This Row],[CUIT]],Lista_CUIT[#All],3,0)),"CUIT NO CARGADO")</f>
        <v>INSUMO</v>
      </c>
      <c r="R65" s="515">
        <f>IFERROR(IF(compras_mes12[[#This Row],[CUIT]]="","-",VLOOKUP(compras_mes12[[#This Row],[CUIT]],Lista_CUIT[#All],4,0)),"CUIT NO CARGADO")</f>
        <v>0</v>
      </c>
    </row>
    <row r="66" spans="2:18" x14ac:dyDescent="0.25">
      <c r="B66" s="259"/>
      <c r="C66" s="270"/>
      <c r="D66" s="260"/>
      <c r="E66" s="261"/>
      <c r="F66" s="262">
        <v>30716815710</v>
      </c>
      <c r="G66" s="263" t="str">
        <f>IFERROR(IF(compras_mes12[[#This Row],[CUIT]]="","-",VLOOKUP(compras_mes12[[#This Row],[CUIT]],Lista_CUIT[#All],2,0)),"CUIT NO CARGADO")</f>
        <v>PAPELERA GEOPEL SRL</v>
      </c>
      <c r="H66" s="264">
        <v>11500</v>
      </c>
      <c r="I66" s="513">
        <f>IF(compras_mes12[[#This Row],[NETO GRAVADO]]="","",compras_mes12[[#This Row],[NETO GRAVADO]]*0.21)</f>
        <v>2415</v>
      </c>
      <c r="J66" s="513"/>
      <c r="K66" s="513"/>
      <c r="L66" s="513">
        <v>0</v>
      </c>
      <c r="M66" s="513"/>
      <c r="N66" s="513">
        <v>0</v>
      </c>
      <c r="O66" s="513">
        <v>0</v>
      </c>
      <c r="P66" s="48">
        <f>SUM(compras_mes12[[#This Row],[NETO GRAVADO]:[Otros / No Grav.]])</f>
        <v>13915</v>
      </c>
      <c r="Q66" s="49" t="str">
        <f>IFERROR(IF(compras_mes12[[#This Row],[CUIT]]="","-",VLOOKUP(compras_mes12[[#This Row],[CUIT]],Lista_CUIT[#All],3,0)),"CUIT NO CARGADO")</f>
        <v>librería</v>
      </c>
      <c r="R66" s="49">
        <f>IFERROR(IF(compras_mes12[[#This Row],[CUIT]]="","-",VLOOKUP(compras_mes12[[#This Row],[CUIT]],Lista_CUIT[#All],4,0)),"CUIT NO CARGADO")</f>
        <v>0</v>
      </c>
    </row>
    <row r="67" spans="2:18" x14ac:dyDescent="0.25">
      <c r="B67" s="259"/>
      <c r="C67" s="270"/>
      <c r="D67" s="260"/>
      <c r="E67" s="261"/>
      <c r="F67" s="262">
        <v>30711553564</v>
      </c>
      <c r="G67" s="263" t="str">
        <f>IFERROR(IF(compras_mes12[[#This Row],[CUIT]]="","-",VLOOKUP(compras_mes12[[#This Row],[CUIT]],Lista_CUIT[#All],2,0)),"CUIT NO CARGADO")</f>
        <v>SALUD TEX S.A</v>
      </c>
      <c r="H67" s="264">
        <v>728162</v>
      </c>
      <c r="I67" s="513">
        <f>IF(compras_mes12[[#This Row],[NETO GRAVADO]]="","",compras_mes12[[#This Row],[NETO GRAVADO]]*0.21)</f>
        <v>152914.01999999999</v>
      </c>
      <c r="J67" s="513"/>
      <c r="K67" s="513"/>
      <c r="L67" s="513">
        <v>0</v>
      </c>
      <c r="M67" s="513"/>
      <c r="N67" s="513">
        <v>0</v>
      </c>
      <c r="O67" s="513">
        <v>0</v>
      </c>
      <c r="P67" s="514">
        <f>SUM(compras_mes12[[#This Row],[NETO GRAVADO]:[Otros / No Grav.]])</f>
        <v>881076.02</v>
      </c>
      <c r="Q67" s="515" t="str">
        <f>IFERROR(IF(compras_mes12[[#This Row],[CUIT]]="","-",VLOOKUP(compras_mes12[[#This Row],[CUIT]],Lista_CUIT[#All],3,0)),"CUIT NO CARGADO")</f>
        <v>INSUMO</v>
      </c>
      <c r="R67" s="515">
        <f>IFERROR(IF(compras_mes12[[#This Row],[CUIT]]="","-",VLOOKUP(compras_mes12[[#This Row],[CUIT]],Lista_CUIT[#All],4,0)),"CUIT NO CARGADO")</f>
        <v>0</v>
      </c>
    </row>
    <row r="68" spans="2:18" x14ac:dyDescent="0.25">
      <c r="B68" s="259"/>
      <c r="C68" s="270"/>
      <c r="D68" s="260"/>
      <c r="E68" s="261"/>
      <c r="F68" s="262">
        <v>30717186490</v>
      </c>
      <c r="G68" s="263" t="str">
        <f>IFERROR(IF(compras_mes12[[#This Row],[CUIT]]="","-",VLOOKUP(compras_mes12[[#This Row],[CUIT]],Lista_CUIT[#All],2,0)),"CUIT NO CARGADO")</f>
        <v>MUSSELINA SA</v>
      </c>
      <c r="H68" s="264">
        <v>760000</v>
      </c>
      <c r="I68" s="513">
        <f>IF(compras_mes12[[#This Row],[NETO GRAVADO]]="","",compras_mes12[[#This Row],[NETO GRAVADO]]*0.21)</f>
        <v>159600</v>
      </c>
      <c r="J68" s="513"/>
      <c r="K68" s="513"/>
      <c r="L68" s="513">
        <v>0</v>
      </c>
      <c r="M68" s="513"/>
      <c r="N68" s="513">
        <v>0</v>
      </c>
      <c r="O68" s="513">
        <v>0</v>
      </c>
      <c r="P68" s="514">
        <f>SUM(compras_mes12[[#This Row],[NETO GRAVADO]:[Otros / No Grav.]])</f>
        <v>919600</v>
      </c>
      <c r="Q68" s="515" t="str">
        <f>IFERROR(IF(compras_mes12[[#This Row],[CUIT]]="","-",VLOOKUP(compras_mes12[[#This Row],[CUIT]],Lista_CUIT[#All],3,0)),"CUIT NO CARGADO")</f>
        <v>Catering</v>
      </c>
      <c r="R68" s="515">
        <f>IFERROR(IF(compras_mes12[[#This Row],[CUIT]]="","-",VLOOKUP(compras_mes12[[#This Row],[CUIT]],Lista_CUIT[#All],4,0)),"CUIT NO CARGADO")</f>
        <v>0</v>
      </c>
    </row>
    <row r="69" spans="2:18" x14ac:dyDescent="0.25">
      <c r="B69" s="259"/>
      <c r="C69" s="270"/>
      <c r="D69" s="260"/>
      <c r="E69" s="261"/>
      <c r="F69" s="262">
        <v>30709214078</v>
      </c>
      <c r="G69" s="263" t="str">
        <f>IFERROR(IF(compras_mes12[[#This Row],[CUIT]]="","-",VLOOKUP(compras_mes12[[#This Row],[CUIT]],Lista_CUIT[#All],2,0)),"CUIT NO CARGADO")</f>
        <v>REHAVITA S.A</v>
      </c>
      <c r="H69" s="264">
        <v>-875740</v>
      </c>
      <c r="I69" s="513"/>
      <c r="J69" s="513"/>
      <c r="K69" s="513">
        <f>compras_mes12[[#This Row],[NETO GRAVADO]]*0.105</f>
        <v>-91952.7</v>
      </c>
      <c r="L69" s="513">
        <v>0</v>
      </c>
      <c r="M69" s="513"/>
      <c r="N69" s="513">
        <v>0</v>
      </c>
      <c r="O69" s="513">
        <v>0</v>
      </c>
      <c r="P69" s="514">
        <f>SUM(compras_mes12[[#This Row],[NETO GRAVADO]:[Otros / No Grav.]])</f>
        <v>-967692.7</v>
      </c>
      <c r="Q69" s="515" t="str">
        <f>IFERROR(IF(compras_mes12[[#This Row],[CUIT]]="","-",VLOOKUP(compras_mes12[[#This Row],[CUIT]],Lista_CUIT[#All],3,0)),"CUIT NO CARGADO")</f>
        <v>INSUMO</v>
      </c>
      <c r="R69" s="515">
        <f>IFERROR(IF(compras_mes12[[#This Row],[CUIT]]="","-",VLOOKUP(compras_mes12[[#This Row],[CUIT]],Lista_CUIT[#All],4,0)),"CUIT NO CARGADO")</f>
        <v>0</v>
      </c>
    </row>
    <row r="70" spans="2:18" x14ac:dyDescent="0.25">
      <c r="B70" s="259"/>
      <c r="C70" s="270"/>
      <c r="D70" s="260"/>
      <c r="E70" s="261"/>
      <c r="F70" s="262">
        <v>20131067446</v>
      </c>
      <c r="G70" s="263" t="str">
        <f>IFERROR(IF(compras_mes12[[#This Row],[CUIT]]="","-",VLOOKUP(compras_mes12[[#This Row],[CUIT]],Lista_CUIT[#All],2,0)),"CUIT NO CARGADO")</f>
        <v>TRIVEÑO ROMA RAMON</v>
      </c>
      <c r="H70" s="264">
        <v>377764.9</v>
      </c>
      <c r="I70" s="513">
        <f>IF(compras_mes12[[#This Row],[NETO GRAVADO]]="","",compras_mes12[[#This Row],[NETO GRAVADO]]*0.21)</f>
        <v>79330.629000000001</v>
      </c>
      <c r="J70" s="513"/>
      <c r="K70" s="513"/>
      <c r="L70" s="513">
        <v>0</v>
      </c>
      <c r="M70" s="513"/>
      <c r="N70" s="513">
        <v>0</v>
      </c>
      <c r="O70" s="513">
        <v>0</v>
      </c>
      <c r="P70" s="48">
        <f>SUM(compras_mes12[[#This Row],[NETO GRAVADO]:[Otros / No Grav.]])</f>
        <v>457095.52900000004</v>
      </c>
      <c r="Q70" s="49" t="str">
        <f>IFERROR(IF(compras_mes12[[#This Row],[CUIT]]="","-",VLOOKUP(compras_mes12[[#This Row],[CUIT]],Lista_CUIT[#All],3,0)),"CUIT NO CARGADO")</f>
        <v>Gastos Varios</v>
      </c>
      <c r="R70" s="49">
        <f>IFERROR(IF(compras_mes12[[#This Row],[CUIT]]="","-",VLOOKUP(compras_mes12[[#This Row],[CUIT]],Lista_CUIT[#All],4,0)),"CUIT NO CARGADO")</f>
        <v>0</v>
      </c>
    </row>
    <row r="71" spans="2:18" x14ac:dyDescent="0.25">
      <c r="B71" s="259"/>
      <c r="C71" s="270"/>
      <c r="D71" s="260"/>
      <c r="E71" s="261"/>
      <c r="F71" s="262">
        <v>30709214078</v>
      </c>
      <c r="G71" s="263" t="str">
        <f>IFERROR(IF(compras_mes12[[#This Row],[CUIT]]="","-",VLOOKUP(compras_mes12[[#This Row],[CUIT]],Lista_CUIT[#All],2,0)),"CUIT NO CARGADO")</f>
        <v>REHAVITA S.A</v>
      </c>
      <c r="H71" s="264">
        <v>875840</v>
      </c>
      <c r="I71" s="513"/>
      <c r="J71" s="513"/>
      <c r="K71" s="513">
        <f>compras_mes12[[#This Row],[NETO GRAVADO]]*0.105</f>
        <v>91963.199999999997</v>
      </c>
      <c r="L71" s="513">
        <v>0</v>
      </c>
      <c r="M71" s="513"/>
      <c r="N71" s="513">
        <v>0</v>
      </c>
      <c r="O71" s="513">
        <v>0</v>
      </c>
      <c r="P71" s="514">
        <f>SUM(compras_mes12[[#This Row],[NETO GRAVADO]:[Otros / No Grav.]])</f>
        <v>967803.2</v>
      </c>
      <c r="Q71" s="515" t="str">
        <f>IFERROR(IF(compras_mes12[[#This Row],[CUIT]]="","-",VLOOKUP(compras_mes12[[#This Row],[CUIT]],Lista_CUIT[#All],3,0)),"CUIT NO CARGADO")</f>
        <v>INSUMO</v>
      </c>
      <c r="R71" s="515">
        <f>IFERROR(IF(compras_mes12[[#This Row],[CUIT]]="","-",VLOOKUP(compras_mes12[[#This Row],[CUIT]],Lista_CUIT[#All],4,0)),"CUIT NO CARGADO")</f>
        <v>0</v>
      </c>
    </row>
    <row r="72" spans="2:18" x14ac:dyDescent="0.25">
      <c r="B72" s="259"/>
      <c r="C72" s="270"/>
      <c r="D72" s="260"/>
      <c r="E72" s="261"/>
      <c r="F72" s="262">
        <v>30709214078</v>
      </c>
      <c r="G72" s="263" t="str">
        <f>IFERROR(IF(compras_mes12[[#This Row],[CUIT]]="","-",VLOOKUP(compras_mes12[[#This Row],[CUIT]],Lista_CUIT[#All],2,0)),"CUIT NO CARGADO")</f>
        <v>REHAVITA S.A</v>
      </c>
      <c r="H72" s="264">
        <v>875840</v>
      </c>
      <c r="I72" s="513"/>
      <c r="J72" s="513"/>
      <c r="K72" s="513">
        <f>compras_mes12[[#This Row],[NETO GRAVADO]]*0.105</f>
        <v>91963.199999999997</v>
      </c>
      <c r="L72" s="513">
        <v>0</v>
      </c>
      <c r="M72" s="513"/>
      <c r="N72" s="513">
        <v>0</v>
      </c>
      <c r="O72" s="513">
        <v>0</v>
      </c>
      <c r="P72" s="514">
        <f>SUM(compras_mes12[[#This Row],[NETO GRAVADO]:[Otros / No Grav.]])</f>
        <v>967803.2</v>
      </c>
      <c r="Q72" s="515" t="str">
        <f>IFERROR(IF(compras_mes12[[#This Row],[CUIT]]="","-",VLOOKUP(compras_mes12[[#This Row],[CUIT]],Lista_CUIT[#All],3,0)),"CUIT NO CARGADO")</f>
        <v>INSUMO</v>
      </c>
      <c r="R72" s="515">
        <f>IFERROR(IF(compras_mes12[[#This Row],[CUIT]]="","-",VLOOKUP(compras_mes12[[#This Row],[CUIT]],Lista_CUIT[#All],4,0)),"CUIT NO CARGADO")</f>
        <v>0</v>
      </c>
    </row>
    <row r="73" spans="2:18" x14ac:dyDescent="0.25">
      <c r="B73" s="259"/>
      <c r="C73" s="270"/>
      <c r="D73" s="260"/>
      <c r="E73" s="261"/>
      <c r="F73" s="262">
        <v>30643518364</v>
      </c>
      <c r="G73" s="263" t="str">
        <f>IFERROR(IF(compras_mes12[[#This Row],[CUIT]]="","-",VLOOKUP(compras_mes12[[#This Row],[CUIT]],Lista_CUIT[#All],2,0)),"CUIT NO CARGADO")</f>
        <v>FARMACIA DE MEDRANO SCS</v>
      </c>
      <c r="H73" s="264">
        <v>440904.5</v>
      </c>
      <c r="I73" s="513">
        <f>IF(compras_mes12[[#This Row],[NETO GRAVADO]]="","",compras_mes12[[#This Row],[NETO GRAVADO]]*0.21)</f>
        <v>92589.944999999992</v>
      </c>
      <c r="J73" s="513"/>
      <c r="K73" s="513"/>
      <c r="L73" s="513">
        <v>0</v>
      </c>
      <c r="M73" s="513"/>
      <c r="N73" s="513">
        <v>0</v>
      </c>
      <c r="O73" s="513">
        <v>0</v>
      </c>
      <c r="P73" s="514">
        <f>SUM(compras_mes12[[#This Row],[NETO GRAVADO]:[Otros / No Grav.]])</f>
        <v>533494.44499999995</v>
      </c>
      <c r="Q73" s="515" t="str">
        <f>IFERROR(IF(compras_mes12[[#This Row],[CUIT]]="","-",VLOOKUP(compras_mes12[[#This Row],[CUIT]],Lista_CUIT[#All],3,0)),"CUIT NO CARGADO")</f>
        <v>INSUMO</v>
      </c>
      <c r="R73" s="515">
        <f>IFERROR(IF(compras_mes12[[#This Row],[CUIT]]="","-",VLOOKUP(compras_mes12[[#This Row],[CUIT]],Lista_CUIT[#All],4,0)),"CUIT NO CARGADO")</f>
        <v>0</v>
      </c>
    </row>
    <row r="74" spans="2:18" x14ac:dyDescent="0.25">
      <c r="B74" s="259"/>
      <c r="C74" s="270"/>
      <c r="D74" s="260"/>
      <c r="E74" s="261"/>
      <c r="F74" s="262">
        <v>30643518364</v>
      </c>
      <c r="G74" s="263" t="str">
        <f>IFERROR(IF(compras_mes12[[#This Row],[CUIT]]="","-",VLOOKUP(compras_mes12[[#This Row],[CUIT]],Lista_CUIT[#All],2,0)),"CUIT NO CARGADO")</f>
        <v>FARMACIA DE MEDRANO SCS</v>
      </c>
      <c r="H74" s="264">
        <v>110565</v>
      </c>
      <c r="I74" s="513">
        <f>IF(compras_mes12[[#This Row],[NETO GRAVADO]]="","",compras_mes12[[#This Row],[NETO GRAVADO]]*0.21)</f>
        <v>23218.649999999998</v>
      </c>
      <c r="J74" s="513"/>
      <c r="K74" s="513"/>
      <c r="L74" s="513">
        <v>0</v>
      </c>
      <c r="M74" s="513"/>
      <c r="N74" s="513">
        <v>0</v>
      </c>
      <c r="O74" s="513">
        <v>0</v>
      </c>
      <c r="P74" s="48">
        <f>SUM(compras_mes12[[#This Row],[NETO GRAVADO]:[Otros / No Grav.]])</f>
        <v>133783.65</v>
      </c>
      <c r="Q74" s="49" t="str">
        <f>IFERROR(IF(compras_mes12[[#This Row],[CUIT]]="","-",VLOOKUP(compras_mes12[[#This Row],[CUIT]],Lista_CUIT[#All],3,0)),"CUIT NO CARGADO")</f>
        <v>INSUMO</v>
      </c>
      <c r="R74" s="49">
        <f>IFERROR(IF(compras_mes12[[#This Row],[CUIT]]="","-",VLOOKUP(compras_mes12[[#This Row],[CUIT]],Lista_CUIT[#All],4,0)),"CUIT NO CARGADO")</f>
        <v>0</v>
      </c>
    </row>
    <row r="75" spans="2:18" x14ac:dyDescent="0.25">
      <c r="B75" s="259"/>
      <c r="C75" s="270"/>
      <c r="D75" s="260"/>
      <c r="E75" s="261"/>
      <c r="F75" s="262">
        <v>30708973501</v>
      </c>
      <c r="G75" s="263" t="str">
        <f>IFERROR(IF(compras_mes12[[#This Row],[CUIT]]="","-",VLOOKUP(compras_mes12[[#This Row],[CUIT]],Lista_CUIT[#All],2,0)),"CUIT NO CARGADO")</f>
        <v>ASIAL SRL</v>
      </c>
      <c r="H75" s="264">
        <v>609210</v>
      </c>
      <c r="I75" s="513">
        <f>IF(compras_mes12[[#This Row],[NETO GRAVADO]]="","",compras_mes12[[#This Row],[NETO GRAVADO]]*0.21)</f>
        <v>127934.09999999999</v>
      </c>
      <c r="J75" s="513"/>
      <c r="K75" s="513"/>
      <c r="L75" s="513">
        <v>0</v>
      </c>
      <c r="M75" s="513"/>
      <c r="N75" s="513">
        <v>0</v>
      </c>
      <c r="O75" s="513">
        <v>0</v>
      </c>
      <c r="P75" s="514">
        <f>SUM(compras_mes12[[#This Row],[NETO GRAVADO]:[Otros / No Grav.]])</f>
        <v>737144.1</v>
      </c>
      <c r="Q75" s="515" t="str">
        <f>IFERROR(IF(compras_mes12[[#This Row],[CUIT]]="","-",VLOOKUP(compras_mes12[[#This Row],[CUIT]],Lista_CUIT[#All],3,0)),"CUIT NO CARGADO")</f>
        <v>INSUMO</v>
      </c>
      <c r="R75" s="515">
        <f>IFERROR(IF(compras_mes12[[#This Row],[CUIT]]="","-",VLOOKUP(compras_mes12[[#This Row],[CUIT]],Lista_CUIT[#All],4,0)),"CUIT NO CARGADO")</f>
        <v>0</v>
      </c>
    </row>
    <row r="76" spans="2:18" x14ac:dyDescent="0.25">
      <c r="B76" s="259"/>
      <c r="C76" s="270"/>
      <c r="D76" s="260"/>
      <c r="E76" s="261"/>
      <c r="F76" s="262">
        <v>23218831184</v>
      </c>
      <c r="G76" s="263" t="str">
        <f>IFERROR(IF(compras_mes12[[#This Row],[CUIT]]="","-",VLOOKUP(compras_mes12[[#This Row],[CUIT]],Lista_CUIT[#All],2,0)),"CUIT NO CARGADO")</f>
        <v>RIPOLL LAURA ARACELI</v>
      </c>
      <c r="H76" s="264">
        <v>3719.01</v>
      </c>
      <c r="I76" s="513">
        <f>IF(compras_mes12[[#This Row],[NETO GRAVADO]]="","",compras_mes12[[#This Row],[NETO GRAVADO]]*0.21)</f>
        <v>780.99210000000005</v>
      </c>
      <c r="J76" s="513"/>
      <c r="K76" s="513"/>
      <c r="L76" s="513">
        <v>0</v>
      </c>
      <c r="M76" s="513"/>
      <c r="N76" s="513">
        <v>0</v>
      </c>
      <c r="O76" s="513">
        <v>0</v>
      </c>
      <c r="P76" s="514">
        <f>SUM(compras_mes12[[#This Row],[NETO GRAVADO]:[Otros / No Grav.]])</f>
        <v>4500.0021000000006</v>
      </c>
      <c r="Q76" s="515" t="str">
        <f>IFERROR(IF(compras_mes12[[#This Row],[CUIT]]="","-",VLOOKUP(compras_mes12[[#This Row],[CUIT]],Lista_CUIT[#All],3,0)),"CUIT NO CARGADO")</f>
        <v>Catering</v>
      </c>
      <c r="R76" s="515">
        <f>IFERROR(IF(compras_mes12[[#This Row],[CUIT]]="","-",VLOOKUP(compras_mes12[[#This Row],[CUIT]],Lista_CUIT[#All],4,0)),"CUIT NO CARGADO")</f>
        <v>0</v>
      </c>
    </row>
    <row r="77" spans="2:18" x14ac:dyDescent="0.25">
      <c r="B77" s="259"/>
      <c r="C77" s="270"/>
      <c r="D77" s="260"/>
      <c r="E77" s="261"/>
      <c r="F77" s="262">
        <v>20242126158</v>
      </c>
      <c r="G77" s="263" t="str">
        <f>IFERROR(IF(compras_mes12[[#This Row],[CUIT]]="","-",VLOOKUP(compras_mes12[[#This Row],[CUIT]],Lista_CUIT[#All],2,0)),"CUIT NO CARGADO")</f>
        <v>IALLONARDO SERGIO</v>
      </c>
      <c r="H77" s="264">
        <v>1582410</v>
      </c>
      <c r="I77" s="513">
        <f>910650*0.21</f>
        <v>191236.5</v>
      </c>
      <c r="J77" s="513"/>
      <c r="K77" s="513">
        <f>671760*0.105</f>
        <v>70534.8</v>
      </c>
      <c r="L77" s="513">
        <v>0</v>
      </c>
      <c r="M77" s="513"/>
      <c r="N77" s="513">
        <v>0</v>
      </c>
      <c r="O77" s="513">
        <v>0</v>
      </c>
      <c r="P77" s="48">
        <f>SUM(compras_mes12[[#This Row],[NETO GRAVADO]:[Otros / No Grav.]])</f>
        <v>1844181.3</v>
      </c>
      <c r="Q77" s="49" t="str">
        <f>IFERROR(IF(compras_mes12[[#This Row],[CUIT]]="","-",VLOOKUP(compras_mes12[[#This Row],[CUIT]],Lista_CUIT[#All],3,0)),"CUIT NO CARGADO")</f>
        <v>PROVEEDOR</v>
      </c>
      <c r="R77" s="49">
        <f>IFERROR(IF(compras_mes12[[#This Row],[CUIT]]="","-",VLOOKUP(compras_mes12[[#This Row],[CUIT]],Lista_CUIT[#All],4,0)),"CUIT NO CARGADO")</f>
        <v>0</v>
      </c>
    </row>
    <row r="78" spans="2:18" x14ac:dyDescent="0.25">
      <c r="B78" s="259"/>
      <c r="C78" s="270"/>
      <c r="D78" s="260"/>
      <c r="E78" s="261"/>
      <c r="F78" s="262">
        <v>20242126158</v>
      </c>
      <c r="G78" s="263" t="str">
        <f>IFERROR(IF(compras_mes12[[#This Row],[CUIT]]="","-",VLOOKUP(compras_mes12[[#This Row],[CUIT]],Lista_CUIT[#All],2,0)),"CUIT NO CARGADO")</f>
        <v>IALLONARDO SERGIO</v>
      </c>
      <c r="H78" s="264">
        <v>4038575</v>
      </c>
      <c r="I78" s="513">
        <f>IF(compras_mes12[[#This Row],[NETO GRAVADO]]="","",compras_mes12[[#This Row],[NETO GRAVADO]]*0.21)</f>
        <v>848100.75</v>
      </c>
      <c r="J78" s="513"/>
      <c r="K78" s="513"/>
      <c r="L78" s="513">
        <v>0</v>
      </c>
      <c r="M78" s="513"/>
      <c r="N78" s="513">
        <v>0</v>
      </c>
      <c r="O78" s="513">
        <v>0</v>
      </c>
      <c r="P78" s="48">
        <f>SUM(compras_mes12[[#This Row],[NETO GRAVADO]:[Otros / No Grav.]])</f>
        <v>4886675.75</v>
      </c>
      <c r="Q78" s="49" t="str">
        <f>IFERROR(IF(compras_mes12[[#This Row],[CUIT]]="","-",VLOOKUP(compras_mes12[[#This Row],[CUIT]],Lista_CUIT[#All],3,0)),"CUIT NO CARGADO")</f>
        <v>PROVEEDOR</v>
      </c>
      <c r="R78" s="49">
        <f>IFERROR(IF(compras_mes12[[#This Row],[CUIT]]="","-",VLOOKUP(compras_mes12[[#This Row],[CUIT]],Lista_CUIT[#All],4,0)),"CUIT NO CARGADO")</f>
        <v>0</v>
      </c>
    </row>
    <row r="79" spans="2:18" x14ac:dyDescent="0.25">
      <c r="B79" s="259"/>
      <c r="C79" s="270"/>
      <c r="D79" s="260"/>
      <c r="E79" s="261"/>
      <c r="F79" s="262">
        <v>33715594949</v>
      </c>
      <c r="G79" s="263" t="str">
        <f>IFERROR(IF(compras_mes12[[#This Row],[CUIT]]="","-",VLOOKUP(compras_mes12[[#This Row],[CUIT]],Lista_CUIT[#All],2,0)),"CUIT NO CARGADO")</f>
        <v>SOMOS ENERGIA SA</v>
      </c>
      <c r="H79" s="264">
        <v>110624.52</v>
      </c>
      <c r="I79" s="513">
        <f>IF(compras_mes12[[#This Row],[NETO GRAVADO]]="","",compras_mes12[[#This Row],[NETO GRAVADO]]*0.21)</f>
        <v>23231.1492</v>
      </c>
      <c r="J79" s="513"/>
      <c r="K79" s="513"/>
      <c r="L79" s="513">
        <v>0</v>
      </c>
      <c r="M79" s="513"/>
      <c r="N79" s="513">
        <v>0</v>
      </c>
      <c r="O79" s="513">
        <v>16969.310000000001</v>
      </c>
      <c r="P79" s="48">
        <f>SUM(compras_mes12[[#This Row],[NETO GRAVADO]:[Otros / No Grav.]])</f>
        <v>150824.9792</v>
      </c>
      <c r="Q79" s="515" t="str">
        <f>IFERROR(IF(compras_mes12[[#This Row],[CUIT]]="","-",VLOOKUP(compras_mes12[[#This Row],[CUIT]],Lista_CUIT[#All],3,0)),"CUIT NO CARGADO")</f>
        <v>COMBUSTIBLE</v>
      </c>
      <c r="R79" s="515">
        <f>IFERROR(IF(compras_mes12[[#This Row],[CUIT]]="","-",VLOOKUP(compras_mes12[[#This Row],[CUIT]],Lista_CUIT[#All],4,0)),"CUIT NO CARGADO")</f>
        <v>0</v>
      </c>
    </row>
    <row r="80" spans="2:18" x14ac:dyDescent="0.25">
      <c r="B80" s="259"/>
      <c r="C80" s="270"/>
      <c r="D80" s="260"/>
      <c r="E80" s="261"/>
      <c r="F80" s="262">
        <v>30711091552</v>
      </c>
      <c r="G80" s="263" t="str">
        <f>IFERROR(IF(compras_mes12[[#This Row],[CUIT]]="","-",VLOOKUP(compras_mes12[[#This Row],[CUIT]],Lista_CUIT[#All],2,0)),"CUIT NO CARGADO")</f>
        <v>BIGBOX S.A.</v>
      </c>
      <c r="H80" s="264">
        <v>102479.34</v>
      </c>
      <c r="I80" s="513">
        <f>IF(compras_mes12[[#This Row],[NETO GRAVADO]]="","",compras_mes12[[#This Row],[NETO GRAVADO]]*0.21)</f>
        <v>21520.661399999997</v>
      </c>
      <c r="J80" s="513"/>
      <c r="K80" s="513"/>
      <c r="L80" s="513">
        <v>0</v>
      </c>
      <c r="M80" s="513"/>
      <c r="N80" s="513">
        <v>0</v>
      </c>
      <c r="O80" s="513">
        <v>0</v>
      </c>
      <c r="P80" s="514">
        <f>SUM(compras_mes12[[#This Row],[NETO GRAVADO]:[Otros / No Grav.]])</f>
        <v>124000.00139999999</v>
      </c>
      <c r="Q80" s="515" t="str">
        <f>IFERROR(IF(compras_mes12[[#This Row],[CUIT]]="","-",VLOOKUP(compras_mes12[[#This Row],[CUIT]],Lista_CUIT[#All],3,0)),"CUIT NO CARGADO")</f>
        <v>INSUMO</v>
      </c>
      <c r="R80" s="515">
        <f>IFERROR(IF(compras_mes12[[#This Row],[CUIT]]="","-",VLOOKUP(compras_mes12[[#This Row],[CUIT]],Lista_CUIT[#All],4,0)),"CUIT NO CARGADO")</f>
        <v>0</v>
      </c>
    </row>
    <row r="81" spans="2:18" x14ac:dyDescent="0.25">
      <c r="B81" s="259"/>
      <c r="C81" s="270"/>
      <c r="D81" s="260"/>
      <c r="E81" s="261"/>
      <c r="F81" s="262">
        <v>30526582884</v>
      </c>
      <c r="G81" s="263" t="str">
        <f>IFERROR(IF(compras_mes12[[#This Row],[CUIT]]="","-",VLOOKUP(compras_mes12[[#This Row],[CUIT]],Lista_CUIT[#All],2,0)),"CUIT NO CARGADO")</f>
        <v>EXPRESO MAR DEL PLATA S.A.</v>
      </c>
      <c r="H81" s="264">
        <v>70743.8</v>
      </c>
      <c r="I81" s="513">
        <f>IF(compras_mes12[[#This Row],[NETO GRAVADO]]="","",compras_mes12[[#This Row],[NETO GRAVADO]]*0.21)</f>
        <v>14856.198</v>
      </c>
      <c r="J81" s="513"/>
      <c r="K81" s="513"/>
      <c r="L81" s="513">
        <v>0</v>
      </c>
      <c r="M81" s="513"/>
      <c r="N81" s="513">
        <v>0</v>
      </c>
      <c r="O81" s="513">
        <v>0</v>
      </c>
      <c r="P81" s="514">
        <f>SUM(compras_mes12[[#This Row],[NETO GRAVADO]:[Otros / No Grav.]])</f>
        <v>85599.998000000007</v>
      </c>
      <c r="Q81" s="515" t="str">
        <f>IFERROR(IF(compras_mes12[[#This Row],[CUIT]]="","-",VLOOKUP(compras_mes12[[#This Row],[CUIT]],Lista_CUIT[#All],3,0)),"CUIT NO CARGADO")</f>
        <v>SERVICIOS</v>
      </c>
      <c r="R81" s="515">
        <f>IFERROR(IF(compras_mes12[[#This Row],[CUIT]]="","-",VLOOKUP(compras_mes12[[#This Row],[CUIT]],Lista_CUIT[#All],4,0)),"CUIT NO CARGADO")</f>
        <v>0</v>
      </c>
    </row>
    <row r="82" spans="2:18" x14ac:dyDescent="0.25">
      <c r="B82" s="259"/>
      <c r="C82" s="270"/>
      <c r="D82" s="260"/>
      <c r="E82" s="261"/>
      <c r="F82" s="262">
        <v>30526582884</v>
      </c>
      <c r="G82" s="263" t="str">
        <f>IFERROR(IF(compras_mes12[[#This Row],[CUIT]]="","-",VLOOKUP(compras_mes12[[#This Row],[CUIT]],Lista_CUIT[#All],2,0)),"CUIT NO CARGADO")</f>
        <v>EXPRESO MAR DEL PLATA S.A.</v>
      </c>
      <c r="H82" s="264">
        <v>102892.56</v>
      </c>
      <c r="I82" s="513">
        <f>IF(compras_mes12[[#This Row],[NETO GRAVADO]]="","",compras_mes12[[#This Row],[NETO GRAVADO]]*0.21)</f>
        <v>21607.437599999997</v>
      </c>
      <c r="J82" s="513"/>
      <c r="K82" s="513"/>
      <c r="L82" s="513">
        <v>0</v>
      </c>
      <c r="M82" s="513"/>
      <c r="N82" s="513">
        <v>0</v>
      </c>
      <c r="O82" s="513">
        <v>0</v>
      </c>
      <c r="P82" s="514">
        <f>SUM(compras_mes12[[#This Row],[NETO GRAVADO]:[Otros / No Grav.]])</f>
        <v>124499.9976</v>
      </c>
      <c r="Q82" s="515" t="str">
        <f>IFERROR(IF(compras_mes12[[#This Row],[CUIT]]="","-",VLOOKUP(compras_mes12[[#This Row],[CUIT]],Lista_CUIT[#All],3,0)),"CUIT NO CARGADO")</f>
        <v>SERVICIOS</v>
      </c>
      <c r="R82" s="515">
        <f>IFERROR(IF(compras_mes12[[#This Row],[CUIT]]="","-",VLOOKUP(compras_mes12[[#This Row],[CUIT]],Lista_CUIT[#All],4,0)),"CUIT NO CARGADO")</f>
        <v>0</v>
      </c>
    </row>
    <row r="83" spans="2:18" x14ac:dyDescent="0.25">
      <c r="B83" s="259"/>
      <c r="C83" s="270"/>
      <c r="D83" s="260"/>
      <c r="E83" s="261"/>
      <c r="F83" s="262">
        <v>30711764921</v>
      </c>
      <c r="G83" s="263" t="str">
        <f>IFERROR(IF(compras_mes12[[#This Row],[CUIT]]="","-",VLOOKUP(compras_mes12[[#This Row],[CUIT]],Lista_CUIT[#All],2,0)),"CUIT NO CARGADO")</f>
        <v>RELIEF CENTER SRL</v>
      </c>
      <c r="H83" s="264">
        <v>179760</v>
      </c>
      <c r="I83" s="513">
        <f>IF(compras_mes12[[#This Row],[NETO GRAVADO]]="","",compras_mes12[[#This Row],[NETO GRAVADO]]*0.21)</f>
        <v>37749.599999999999</v>
      </c>
      <c r="J83" s="513"/>
      <c r="K83" s="513"/>
      <c r="L83" s="513">
        <v>0</v>
      </c>
      <c r="M83" s="513"/>
      <c r="N83" s="513">
        <v>0</v>
      </c>
      <c r="O83" s="513">
        <v>0</v>
      </c>
      <c r="P83" s="514">
        <f>SUM(compras_mes12[[#This Row],[NETO GRAVADO]:[Otros / No Grav.]])</f>
        <v>217509.6</v>
      </c>
      <c r="Q83" s="515" t="str">
        <f>IFERROR(IF(compras_mes12[[#This Row],[CUIT]]="","-",VLOOKUP(compras_mes12[[#This Row],[CUIT]],Lista_CUIT[#All],3,0)),"CUIT NO CARGADO")</f>
        <v>INSUMO</v>
      </c>
      <c r="R83" s="515">
        <f>IFERROR(IF(compras_mes12[[#This Row],[CUIT]]="","-",VLOOKUP(compras_mes12[[#This Row],[CUIT]],Lista_CUIT[#All],4,0)),"CUIT NO CARGADO")</f>
        <v>0</v>
      </c>
    </row>
    <row r="84" spans="2:18" x14ac:dyDescent="0.25">
      <c r="B84" s="259"/>
      <c r="C84" s="270"/>
      <c r="D84" s="260"/>
      <c r="E84" s="261"/>
      <c r="F84" s="262">
        <v>30711764921</v>
      </c>
      <c r="G84" s="263" t="str">
        <f>IFERROR(IF(compras_mes12[[#This Row],[CUIT]]="","-",VLOOKUP(compras_mes12[[#This Row],[CUIT]],Lista_CUIT[#All],2,0)),"CUIT NO CARGADO")</f>
        <v>RELIEF CENTER SRL</v>
      </c>
      <c r="H84" s="264">
        <v>42840</v>
      </c>
      <c r="I84" s="513">
        <f>IF(compras_mes12[[#This Row],[NETO GRAVADO]]="","",compras_mes12[[#This Row],[NETO GRAVADO]]*0.21)</f>
        <v>8996.4</v>
      </c>
      <c r="J84" s="513"/>
      <c r="K84" s="513"/>
      <c r="L84" s="513">
        <v>0</v>
      </c>
      <c r="M84" s="513"/>
      <c r="N84" s="513">
        <v>0</v>
      </c>
      <c r="O84" s="513">
        <v>0</v>
      </c>
      <c r="P84" s="514">
        <f>SUM(compras_mes12[[#This Row],[NETO GRAVADO]:[Otros / No Grav.]])</f>
        <v>51836.4</v>
      </c>
      <c r="Q84" s="515" t="str">
        <f>IFERROR(IF(compras_mes12[[#This Row],[CUIT]]="","-",VLOOKUP(compras_mes12[[#This Row],[CUIT]],Lista_CUIT[#All],3,0)),"CUIT NO CARGADO")</f>
        <v>INSUMO</v>
      </c>
      <c r="R84" s="515">
        <f>IFERROR(IF(compras_mes12[[#This Row],[CUIT]]="","-",VLOOKUP(compras_mes12[[#This Row],[CUIT]],Lista_CUIT[#All],4,0)),"CUIT NO CARGADO")</f>
        <v>0</v>
      </c>
    </row>
    <row r="85" spans="2:18" x14ac:dyDescent="0.25">
      <c r="B85" s="259"/>
      <c r="C85" s="270"/>
      <c r="D85" s="260"/>
      <c r="E85" s="261"/>
      <c r="F85" s="262">
        <v>30685116657</v>
      </c>
      <c r="G85" s="263" t="str">
        <f>IFERROR(IF(compras_mes12[[#This Row],[CUIT]]="","-",VLOOKUP(compras_mes12[[#This Row],[CUIT]],Lista_CUIT[#All],2,0)),"CUIT NO CARGADO")</f>
        <v>MIRVAR SA</v>
      </c>
      <c r="H85" s="264">
        <v>80493.2</v>
      </c>
      <c r="I85" s="513">
        <f>IF(compras_mes12[[#This Row],[NETO GRAVADO]]="","",compras_mes12[[#This Row],[NETO GRAVADO]]*0.21)</f>
        <v>16903.572</v>
      </c>
      <c r="J85" s="513"/>
      <c r="K85" s="513"/>
      <c r="L85" s="513">
        <v>0</v>
      </c>
      <c r="M85" s="513"/>
      <c r="N85" s="513">
        <v>0</v>
      </c>
      <c r="O85" s="513">
        <v>12608.45</v>
      </c>
      <c r="P85" s="514">
        <f>SUM(compras_mes12[[#This Row],[NETO GRAVADO]:[Otros / No Grav.]])</f>
        <v>110005.22199999999</v>
      </c>
      <c r="Q85" s="515" t="str">
        <f>IFERROR(IF(compras_mes12[[#This Row],[CUIT]]="","-",VLOOKUP(compras_mes12[[#This Row],[CUIT]],Lista_CUIT[#All],3,0)),"CUIT NO CARGADO")</f>
        <v>COMBUSTIBLE</v>
      </c>
      <c r="R85" s="515">
        <f>IFERROR(IF(compras_mes12[[#This Row],[CUIT]]="","-",VLOOKUP(compras_mes12[[#This Row],[CUIT]],Lista_CUIT[#All],4,0)),"CUIT NO CARGADO")</f>
        <v>0</v>
      </c>
    </row>
    <row r="86" spans="2:18" x14ac:dyDescent="0.25">
      <c r="B86" s="259"/>
      <c r="C86" s="270"/>
      <c r="D86" s="260"/>
      <c r="E86" s="261"/>
      <c r="F86" s="262">
        <v>30685116657</v>
      </c>
      <c r="G86" s="263" t="str">
        <f>IFERROR(IF(compras_mes12[[#This Row],[CUIT]]="","-",VLOOKUP(compras_mes12[[#This Row],[CUIT]],Lista_CUIT[#All],2,0)),"CUIT NO CARGADO")</f>
        <v>MIRVAR SA</v>
      </c>
      <c r="H86" s="264">
        <v>56360.74</v>
      </c>
      <c r="I86" s="513">
        <f>IF(compras_mes12[[#This Row],[NETO GRAVADO]]="","",compras_mes12[[#This Row],[NETO GRAVADO]]*0.21)</f>
        <v>11835.7554</v>
      </c>
      <c r="J86" s="513"/>
      <c r="K86" s="513"/>
      <c r="L86" s="513">
        <v>0</v>
      </c>
      <c r="M86" s="513"/>
      <c r="N86" s="513">
        <v>0</v>
      </c>
      <c r="O86" s="513">
        <v>12808.5</v>
      </c>
      <c r="P86" s="514">
        <f>SUM(compras_mes12[[#This Row],[NETO GRAVADO]:[Otros / No Grav.]])</f>
        <v>81004.9954</v>
      </c>
      <c r="Q86" s="515" t="str">
        <f>IFERROR(IF(compras_mes12[[#This Row],[CUIT]]="","-",VLOOKUP(compras_mes12[[#This Row],[CUIT]],Lista_CUIT[#All],3,0)),"CUIT NO CARGADO")</f>
        <v>COMBUSTIBLE</v>
      </c>
      <c r="R86" s="515">
        <f>IFERROR(IF(compras_mes12[[#This Row],[CUIT]]="","-",VLOOKUP(compras_mes12[[#This Row],[CUIT]],Lista_CUIT[#All],4,0)),"CUIT NO CARGADO")</f>
        <v>0</v>
      </c>
    </row>
    <row r="87" spans="2:18" x14ac:dyDescent="0.25">
      <c r="B87" s="259"/>
      <c r="C87" s="270"/>
      <c r="D87" s="260"/>
      <c r="E87" s="261"/>
      <c r="F87" s="262">
        <v>30661143610</v>
      </c>
      <c r="G87" s="263" t="str">
        <f>IFERROR(IF(compras_mes12[[#This Row],[CUIT]]="","-",VLOOKUP(compras_mes12[[#This Row],[CUIT]],Lista_CUIT[#All],2,0)),"CUIT NO CARGADO")</f>
        <v>ORTOPEDIA BERNAT SRL</v>
      </c>
      <c r="H87" s="264">
        <v>36327.269999999997</v>
      </c>
      <c r="I87" s="513">
        <f>IF(compras_mes12[[#This Row],[NETO GRAVADO]]="","",compras_mes12[[#This Row],[NETO GRAVADO]]*0.21)</f>
        <v>7628.7266999999993</v>
      </c>
      <c r="J87" s="513"/>
      <c r="K87" s="513"/>
      <c r="L87" s="513">
        <v>0</v>
      </c>
      <c r="M87" s="513"/>
      <c r="N87" s="513">
        <v>0</v>
      </c>
      <c r="O87" s="513">
        <v>0</v>
      </c>
      <c r="P87" s="514">
        <f>SUM(compras_mes12[[#This Row],[NETO GRAVADO]:[Otros / No Grav.]])</f>
        <v>43955.996699999996</v>
      </c>
      <c r="Q87" s="515" t="str">
        <f>IFERROR(IF(compras_mes12[[#This Row],[CUIT]]="","-",VLOOKUP(compras_mes12[[#This Row],[CUIT]],Lista_CUIT[#All],3,0)),"CUIT NO CARGADO")</f>
        <v>INSUMO</v>
      </c>
      <c r="R87" s="515">
        <f>IFERROR(IF(compras_mes12[[#This Row],[CUIT]]="","-",VLOOKUP(compras_mes12[[#This Row],[CUIT]],Lista_CUIT[#All],4,0)),"CUIT NO CARGADO")</f>
        <v>0</v>
      </c>
    </row>
    <row r="88" spans="2:18" x14ac:dyDescent="0.25">
      <c r="B88" s="259"/>
      <c r="C88" s="270"/>
      <c r="D88" s="260"/>
      <c r="E88" s="261"/>
      <c r="F88" s="262">
        <v>30708847247</v>
      </c>
      <c r="G88" s="263" t="str">
        <f>IFERROR(IF(compras_mes12[[#This Row],[CUIT]]="","-",VLOOKUP(compras_mes12[[#This Row],[CUIT]],Lista_CUIT[#All],2,0)),"CUIT NO CARGADO")</f>
        <v>TOAGRA SRL</v>
      </c>
      <c r="H88" s="264">
        <v>69366.649999999994</v>
      </c>
      <c r="I88" s="513">
        <f>IF(compras_mes12[[#This Row],[NETO GRAVADO]]="","",compras_mes12[[#This Row],[NETO GRAVADO]]*0.21)</f>
        <v>14566.996499999997</v>
      </c>
      <c r="J88" s="513"/>
      <c r="K88" s="513"/>
      <c r="L88" s="513">
        <v>0</v>
      </c>
      <c r="M88" s="513"/>
      <c r="N88" s="513">
        <v>0</v>
      </c>
      <c r="O88" s="513">
        <v>2774.67</v>
      </c>
      <c r="P88" s="514">
        <f>SUM(compras_mes12[[#This Row],[NETO GRAVADO]:[Otros / No Grav.]])</f>
        <v>86708.316499999986</v>
      </c>
      <c r="Q88" s="515" t="str">
        <f>IFERROR(IF(compras_mes12[[#This Row],[CUIT]]="","-",VLOOKUP(compras_mes12[[#This Row],[CUIT]],Lista_CUIT[#All],3,0)),"CUIT NO CARGADO")</f>
        <v>FLETE</v>
      </c>
      <c r="R88" s="515">
        <f>IFERROR(IF(compras_mes12[[#This Row],[CUIT]]="","-",VLOOKUP(compras_mes12[[#This Row],[CUIT]],Lista_CUIT[#All],4,0)),"CUIT NO CARGADO")</f>
        <v>0</v>
      </c>
    </row>
    <row r="89" spans="2:18" x14ac:dyDescent="0.25">
      <c r="B89" s="259"/>
      <c r="C89" s="270"/>
      <c r="D89" s="260"/>
      <c r="E89" s="261"/>
      <c r="F89" s="262">
        <v>30708847247</v>
      </c>
      <c r="G89" s="263" t="str">
        <f>IFERROR(IF(compras_mes12[[#This Row],[CUIT]]="","-",VLOOKUP(compras_mes12[[#This Row],[CUIT]],Lista_CUIT[#All],2,0)),"CUIT NO CARGADO")</f>
        <v>TOAGRA SRL</v>
      </c>
      <c r="H89" s="264">
        <v>103827.81</v>
      </c>
      <c r="I89" s="513">
        <f>IF(compras_mes12[[#This Row],[NETO GRAVADO]]="","",compras_mes12[[#This Row],[NETO GRAVADO]]*0.21)</f>
        <v>21803.840099999998</v>
      </c>
      <c r="J89" s="513"/>
      <c r="K89" s="513"/>
      <c r="L89" s="513">
        <v>0</v>
      </c>
      <c r="M89" s="513"/>
      <c r="N89" s="513">
        <v>0</v>
      </c>
      <c r="O89" s="513">
        <v>4153.1099999999997</v>
      </c>
      <c r="P89" s="514">
        <f>SUM(compras_mes12[[#This Row],[NETO GRAVADO]:[Otros / No Grav.]])</f>
        <v>129784.7601</v>
      </c>
      <c r="Q89" s="515" t="str">
        <f>IFERROR(IF(compras_mes12[[#This Row],[CUIT]]="","-",VLOOKUP(compras_mes12[[#This Row],[CUIT]],Lista_CUIT[#All],3,0)),"CUIT NO CARGADO")</f>
        <v>FLETE</v>
      </c>
      <c r="R89" s="515">
        <f>IFERROR(IF(compras_mes12[[#This Row],[CUIT]]="","-",VLOOKUP(compras_mes12[[#This Row],[CUIT]],Lista_CUIT[#All],4,0)),"CUIT NO CARGADO")</f>
        <v>0</v>
      </c>
    </row>
    <row r="90" spans="2:18" x14ac:dyDescent="0.25">
      <c r="B90" s="259"/>
      <c r="C90" s="270"/>
      <c r="D90" s="260"/>
      <c r="E90" s="261"/>
      <c r="F90" s="262">
        <v>30714112836</v>
      </c>
      <c r="G90" s="263" t="str">
        <f>IFERROR(IF(compras_mes12[[#This Row],[CUIT]]="","-",VLOOKUP(compras_mes12[[#This Row],[CUIT]],Lista_CUIT[#All],2,0)),"CUIT NO CARGADO")</f>
        <v>AUTOPISTAS DE BUENOS AIRES (AUBASA) SA</v>
      </c>
      <c r="H90" s="264">
        <v>7571.47</v>
      </c>
      <c r="I90" s="513">
        <f>IF(compras_mes12[[#This Row],[NETO GRAVADO]]="","",compras_mes12[[#This Row],[NETO GRAVADO]]*0.21)</f>
        <v>1590.0087000000001</v>
      </c>
      <c r="J90" s="513"/>
      <c r="K90" s="513"/>
      <c r="L90" s="513">
        <v>227.14</v>
      </c>
      <c r="M90" s="513"/>
      <c r="N90" s="513">
        <v>0</v>
      </c>
      <c r="O90" s="513">
        <v>0</v>
      </c>
      <c r="P90" s="514">
        <f>SUM(compras_mes12[[#This Row],[NETO GRAVADO]:[Otros / No Grav.]])</f>
        <v>9388.6186999999991</v>
      </c>
      <c r="Q90" s="515" t="str">
        <f>IFERROR(IF(compras_mes12[[#This Row],[CUIT]]="","-",VLOOKUP(compras_mes12[[#This Row],[CUIT]],Lista_CUIT[#All],3,0)),"CUIT NO CARGADO")</f>
        <v>Autopista</v>
      </c>
      <c r="R90" s="515">
        <f>IFERROR(IF(compras_mes12[[#This Row],[CUIT]]="","-",VLOOKUP(compras_mes12[[#This Row],[CUIT]],Lista_CUIT[#All],4,0)),"CUIT NO CARGADO")</f>
        <v>0</v>
      </c>
    </row>
    <row r="91" spans="2:18" x14ac:dyDescent="0.25">
      <c r="B91" s="40"/>
      <c r="C91" s="41"/>
      <c r="D91" s="42"/>
      <c r="E91" s="43"/>
      <c r="F91" s="44">
        <v>30541849307</v>
      </c>
      <c r="G91" s="45" t="str">
        <f>IFERROR(IF(compras_mes12[[#This Row],[CUIT]]="","-",VLOOKUP(compras_mes12[[#This Row],[CUIT]],Lista_CUIT[#All],2,0)),"CUIT NO CARGADO")</f>
        <v>GUILLERMO DIETRICH SA.</v>
      </c>
      <c r="H91" s="46">
        <v>2511123.9700000002</v>
      </c>
      <c r="I91" s="85">
        <f>IF(compras_mes12[[#This Row],[NETO GRAVADO]]="","",compras_mes12[[#This Row],[NETO GRAVADO]]*0.21)</f>
        <v>527336.03370000003</v>
      </c>
      <c r="J91" s="85"/>
      <c r="K91" s="85"/>
      <c r="L91" s="85">
        <v>0</v>
      </c>
      <c r="M91" s="85"/>
      <c r="N91" s="85">
        <v>100444.96</v>
      </c>
      <c r="O91" s="85">
        <v>0</v>
      </c>
      <c r="P91" s="48">
        <f>SUM(compras_mes12[[#This Row],[NETO GRAVADO]:[Otros / No Grav.]])</f>
        <v>3138904.9637000002</v>
      </c>
      <c r="Q91" s="49" t="str">
        <f>IFERROR(IF(compras_mes12[[#This Row],[CUIT]]="","-",VLOOKUP(compras_mes12[[#This Row],[CUIT]],Lista_CUIT[#All],3,0)),"CUIT NO CARGADO")</f>
        <v>INSUMO</v>
      </c>
      <c r="R91" s="49">
        <f>IFERROR(IF(compras_mes12[[#This Row],[CUIT]]="","-",VLOOKUP(compras_mes12[[#This Row],[CUIT]],Lista_CUIT[#All],4,0)),"CUIT NO CARGADO")</f>
        <v>0</v>
      </c>
    </row>
    <row r="92" spans="2:18" x14ac:dyDescent="0.25">
      <c r="B92" s="40"/>
      <c r="C92" s="41"/>
      <c r="D92" s="42"/>
      <c r="E92" s="43"/>
      <c r="F92" s="44">
        <v>30703088534</v>
      </c>
      <c r="G92" s="45" t="str">
        <f>IFERROR(IF(compras_mes12[[#This Row],[CUIT]]="","-",VLOOKUP(compras_mes12[[#This Row],[CUIT]],Lista_CUIT[#All],2,0)),"CUIT NO CARGADO")</f>
        <v>MERCADO LIBRE SRL</v>
      </c>
      <c r="H92" s="46">
        <v>150069.1</v>
      </c>
      <c r="I92" s="85">
        <f>IF(compras_mes12[[#This Row],[NETO GRAVADO]]="","",compras_mes12[[#This Row],[NETO GRAVADO]]*0.21)</f>
        <v>31514.510999999999</v>
      </c>
      <c r="J92" s="85"/>
      <c r="K92" s="85"/>
      <c r="L92" s="85">
        <v>4502.07</v>
      </c>
      <c r="M92" s="85"/>
      <c r="N92" s="85">
        <v>6002.76</v>
      </c>
      <c r="O92" s="85">
        <v>0</v>
      </c>
      <c r="P92" s="48">
        <f>SUM(compras_mes12[[#This Row],[NETO GRAVADO]:[Otros / No Grav.]])</f>
        <v>192088.44100000002</v>
      </c>
      <c r="Q92" s="49" t="str">
        <f>IFERROR(IF(compras_mes12[[#This Row],[CUIT]]="","-",VLOOKUP(compras_mes12[[#This Row],[CUIT]],Lista_CUIT[#All],3,0)),"CUIT NO CARGADO")</f>
        <v>PLATAFORMA ONLINE</v>
      </c>
      <c r="R92" s="49">
        <f>IFERROR(IF(compras_mes12[[#This Row],[CUIT]]="","-",VLOOKUP(compras_mes12[[#This Row],[CUIT]],Lista_CUIT[#All],4,0)),"CUIT NO CARGADO")</f>
        <v>0</v>
      </c>
    </row>
    <row r="93" spans="2:18" x14ac:dyDescent="0.25">
      <c r="B93" s="40"/>
      <c r="C93" s="41"/>
      <c r="D93" s="42"/>
      <c r="E93" s="43"/>
      <c r="F93" s="44">
        <v>30715804812</v>
      </c>
      <c r="G93" s="45" t="str">
        <f>IFERROR(IF(compras_mes12[[#This Row],[CUIT]]="","-",VLOOKUP(compras_mes12[[#This Row],[CUIT]],Lista_CUIT[#All],2,0)),"CUIT NO CARGADO")</f>
        <v>CORREDORES VIALES SOCIEDAD ANONIMA</v>
      </c>
      <c r="H93" s="46">
        <v>2079.9699999999998</v>
      </c>
      <c r="I93" s="85">
        <f>IF(compras_mes12[[#This Row],[NETO GRAVADO]]="","",compras_mes12[[#This Row],[NETO GRAVADO]]*0.21)</f>
        <v>436.79369999999994</v>
      </c>
      <c r="J93" s="85"/>
      <c r="K93" s="85"/>
      <c r="L93" s="85">
        <v>0</v>
      </c>
      <c r="M93" s="85"/>
      <c r="N93" s="85">
        <v>0</v>
      </c>
      <c r="O93" s="85">
        <v>83.2</v>
      </c>
      <c r="P93" s="48">
        <f>SUM(compras_mes12[[#This Row],[NETO GRAVADO]:[Otros / No Grav.]])</f>
        <v>2599.9636999999993</v>
      </c>
      <c r="Q93" s="49" t="str">
        <f>IFERROR(IF(compras_mes12[[#This Row],[CUIT]]="","-",VLOOKUP(compras_mes12[[#This Row],[CUIT]],Lista_CUIT[#All],3,0)),"CUIT NO CARGADO")</f>
        <v>Autopista</v>
      </c>
      <c r="R93" s="49">
        <f>IFERROR(IF(compras_mes12[[#This Row],[CUIT]]="","-",VLOOKUP(compras_mes12[[#This Row],[CUIT]],Lista_CUIT[#All],4,0)),"CUIT NO CARGADO")</f>
        <v>0</v>
      </c>
    </row>
    <row r="94" spans="2:18" x14ac:dyDescent="0.25">
      <c r="B94" s="40"/>
      <c r="C94" s="41"/>
      <c r="D94" s="42"/>
      <c r="E94" s="43"/>
      <c r="F94" s="44">
        <v>30587197215</v>
      </c>
      <c r="G94" s="45" t="str">
        <f>IFERROR(IF(compras_mes12[[#This Row],[CUIT]]="","-",VLOOKUP(compras_mes12[[#This Row],[CUIT]],Lista_CUIT[#All],2,0)),"CUIT NO CARGADO")</f>
        <v>PANATEL SOCIEDAD ANONIMA</v>
      </c>
      <c r="H94" s="46">
        <v>148760.32999999999</v>
      </c>
      <c r="I94" s="85">
        <f>IF(compras_mes12[[#This Row],[NETO GRAVADO]]="","",compras_mes12[[#This Row],[NETO GRAVADO]]*0.21)</f>
        <v>31239.669299999998</v>
      </c>
      <c r="J94" s="85"/>
      <c r="K94" s="85"/>
      <c r="L94" s="85">
        <v>0</v>
      </c>
      <c r="M94" s="85"/>
      <c r="N94" s="85">
        <v>5690.41</v>
      </c>
      <c r="O94" s="85">
        <v>0</v>
      </c>
      <c r="P94" s="48">
        <f>SUM(compras_mes12[[#This Row],[NETO GRAVADO]:[Otros / No Grav.]])</f>
        <v>185690.4093</v>
      </c>
      <c r="Q94" s="49" t="str">
        <f>IFERROR(IF(compras_mes12[[#This Row],[CUIT]]="","-",VLOOKUP(compras_mes12[[#This Row],[CUIT]],Lista_CUIT[#All],3,0)),"CUIT NO CARGADO")</f>
        <v>SERVICIOS DE ALOJAMIENTO EN HOTELES</v>
      </c>
      <c r="R94" s="49">
        <f>IFERROR(IF(compras_mes12[[#This Row],[CUIT]]="","-",VLOOKUP(compras_mes12[[#This Row],[CUIT]],Lista_CUIT[#All],4,0)),"CUIT NO CARGADO")</f>
        <v>0</v>
      </c>
    </row>
    <row r="95" spans="2:18" x14ac:dyDescent="0.25">
      <c r="B95" s="40"/>
      <c r="C95" s="41"/>
      <c r="D95" s="42"/>
      <c r="E95" s="43"/>
      <c r="F95" s="44">
        <v>30577207190</v>
      </c>
      <c r="G95" s="45" t="str">
        <f>IFERROR(IF(compras_mes12[[#This Row],[CUIT]]="","-",VLOOKUP(compras_mes12[[#This Row],[CUIT]],Lista_CUIT[#All],2,0)),"CUIT NO CARGADO")</f>
        <v>COORDINACION ECOLOGICA AREA METROPOLITANA SOCIEDAD DEL ESTADO</v>
      </c>
      <c r="H95" s="46">
        <v>4958.68</v>
      </c>
      <c r="I95" s="85">
        <f>IF(compras_mes12[[#This Row],[NETO GRAVADO]]="","",compras_mes12[[#This Row],[NETO GRAVADO]]*0.21)</f>
        <v>1041.3227999999999</v>
      </c>
      <c r="J95" s="85"/>
      <c r="K95" s="85"/>
      <c r="L95" s="85">
        <v>0</v>
      </c>
      <c r="M95" s="85"/>
      <c r="N95" s="85">
        <v>0</v>
      </c>
      <c r="O95" s="85">
        <v>148.76</v>
      </c>
      <c r="P95" s="48">
        <f>SUM(compras_mes12[[#This Row],[NETO GRAVADO]:[Otros / No Grav.]])</f>
        <v>6148.7628000000004</v>
      </c>
      <c r="Q95" s="49" t="str">
        <f>IFERROR(IF(compras_mes12[[#This Row],[CUIT]]="","-",VLOOKUP(compras_mes12[[#This Row],[CUIT]],Lista_CUIT[#All],3,0)),"CUIT NO CARGADO")</f>
        <v>gastos varios</v>
      </c>
      <c r="R95" s="49">
        <f>IFERROR(IF(compras_mes12[[#This Row],[CUIT]]="","-",VLOOKUP(compras_mes12[[#This Row],[CUIT]],Lista_CUIT[#All],4,0)),"CUIT NO CARGADO")</f>
        <v>0</v>
      </c>
    </row>
    <row r="96" spans="2:18" x14ac:dyDescent="0.25">
      <c r="B96" s="40"/>
      <c r="C96" s="41"/>
      <c r="D96" s="42"/>
      <c r="E96" s="43"/>
      <c r="F96" s="44">
        <v>30654118767</v>
      </c>
      <c r="G96" s="45" t="str">
        <f>IFERROR(IF(compras_mes12[[#This Row],[CUIT]]="","-",VLOOKUP(compras_mes12[[#This Row],[CUIT]],Lista_CUIT[#All],2,0)),"CUIT NO CARGADO")</f>
        <v>SOLUCIONES MULTIMEDIA SA</v>
      </c>
      <c r="H96" s="46">
        <v>179495.52</v>
      </c>
      <c r="I96" s="85">
        <f>IF(compras_mes12[[#This Row],[NETO GRAVADO]]="","",compras_mes12[[#This Row],[NETO GRAVADO]]*0.21)</f>
        <v>37694.059199999996</v>
      </c>
      <c r="J96" s="85"/>
      <c r="K96" s="85"/>
      <c r="L96" s="85">
        <v>0</v>
      </c>
      <c r="M96" s="85"/>
      <c r="N96" s="85">
        <v>7179.82</v>
      </c>
      <c r="O96" s="85">
        <v>0</v>
      </c>
      <c r="P96" s="48">
        <f>SUM(compras_mes12[[#This Row],[NETO GRAVADO]:[Otros / No Grav.]])</f>
        <v>224369.39919999999</v>
      </c>
      <c r="Q96" s="49" t="str">
        <f>IFERROR(IF(compras_mes12[[#This Row],[CUIT]]="","-",VLOOKUP(compras_mes12[[#This Row],[CUIT]],Lista_CUIT[#All],3,0)),"CUIT NO CARGADO")</f>
        <v>gastos varios</v>
      </c>
      <c r="R96" s="49">
        <f>IFERROR(IF(compras_mes12[[#This Row],[CUIT]]="","-",VLOOKUP(compras_mes12[[#This Row],[CUIT]],Lista_CUIT[#All],4,0)),"CUIT NO CARGADO")</f>
        <v>0</v>
      </c>
    </row>
    <row r="97" spans="2:18" x14ac:dyDescent="0.25">
      <c r="B97" s="40"/>
      <c r="C97" s="41"/>
      <c r="D97" s="42"/>
      <c r="E97" s="43"/>
      <c r="F97" s="44">
        <v>30663498513</v>
      </c>
      <c r="G97" s="45" t="str">
        <f>IFERROR(IF(compras_mes12[[#This Row],[CUIT]]="","-",VLOOKUP(compras_mes12[[#This Row],[CUIT]],Lista_CUIT[#All],2,0)),"CUIT NO CARGADO")</f>
        <v>GRUPO CONCES. DEL OESTE SA</v>
      </c>
      <c r="H97" s="46">
        <v>1271.0899999999999</v>
      </c>
      <c r="I97" s="85">
        <f>IF(compras_mes12[[#This Row],[NETO GRAVADO]]="","",compras_mes12[[#This Row],[NETO GRAVADO]]*0.21)</f>
        <v>266.9289</v>
      </c>
      <c r="J97" s="85"/>
      <c r="K97" s="85"/>
      <c r="L97" s="85">
        <v>0</v>
      </c>
      <c r="M97" s="85"/>
      <c r="N97" s="85">
        <v>50.84</v>
      </c>
      <c r="O97" s="85">
        <v>0</v>
      </c>
      <c r="P97" s="48">
        <f>SUM(compras_mes12[[#This Row],[NETO GRAVADO]:[Otros / No Grav.]])</f>
        <v>1588.8588999999999</v>
      </c>
      <c r="Q97" s="49" t="str">
        <f>IFERROR(IF(compras_mes12[[#This Row],[CUIT]]="","-",VLOOKUP(compras_mes12[[#This Row],[CUIT]],Lista_CUIT[#All],3,0)),"CUIT NO CARGADO")</f>
        <v>Autopista</v>
      </c>
      <c r="R97" s="49">
        <f>IFERROR(IF(compras_mes12[[#This Row],[CUIT]]="","-",VLOOKUP(compras_mes12[[#This Row],[CUIT]],Lista_CUIT[#All],4,0)),"CUIT NO CARGADO")</f>
        <v>0</v>
      </c>
    </row>
    <row r="98" spans="2:18" x14ac:dyDescent="0.25">
      <c r="B98" s="40"/>
      <c r="C98" s="41"/>
      <c r="D98" s="42"/>
      <c r="E98" s="43"/>
      <c r="F98" s="44">
        <v>30663498513</v>
      </c>
      <c r="G98" s="45" t="str">
        <f>IFERROR(IF(compras_mes12[[#This Row],[CUIT]]="","-",VLOOKUP(compras_mes12[[#This Row],[CUIT]],Lista_CUIT[#All],2,0)),"CUIT NO CARGADO")</f>
        <v>GRUPO CONCES. DEL OESTE SA</v>
      </c>
      <c r="H98" s="46">
        <v>8319.8700000000008</v>
      </c>
      <c r="I98" s="85">
        <f>IF(compras_mes12[[#This Row],[NETO GRAVADO]]="","",compras_mes12[[#This Row],[NETO GRAVADO]]*0.21)</f>
        <v>1747.1727000000001</v>
      </c>
      <c r="J98" s="85"/>
      <c r="K98" s="85"/>
      <c r="L98" s="85">
        <v>0</v>
      </c>
      <c r="M98" s="85"/>
      <c r="N98" s="85">
        <v>332.79</v>
      </c>
      <c r="O98" s="85">
        <v>0</v>
      </c>
      <c r="P98" s="48">
        <f>SUM(compras_mes12[[#This Row],[NETO GRAVADO]:[Otros / No Grav.]])</f>
        <v>10399.832700000003</v>
      </c>
      <c r="Q98" s="49" t="str">
        <f>IFERROR(IF(compras_mes12[[#This Row],[CUIT]]="","-",VLOOKUP(compras_mes12[[#This Row],[CUIT]],Lista_CUIT[#All],3,0)),"CUIT NO CARGADO")</f>
        <v>Autopista</v>
      </c>
      <c r="R98" s="49">
        <f>IFERROR(IF(compras_mes12[[#This Row],[CUIT]]="","-",VLOOKUP(compras_mes12[[#This Row],[CUIT]],Lista_CUIT[#All],4,0)),"CUIT NO CARGADO")</f>
        <v>0</v>
      </c>
    </row>
    <row r="99" spans="2:18" x14ac:dyDescent="0.25">
      <c r="B99" s="40"/>
      <c r="C99" s="41"/>
      <c r="D99" s="42"/>
      <c r="E99" s="43"/>
      <c r="F99" s="44">
        <v>30715804812</v>
      </c>
      <c r="G99" s="45" t="str">
        <f>IFERROR(IF(compras_mes12[[#This Row],[CUIT]]="","-",VLOOKUP(compras_mes12[[#This Row],[CUIT]],Lista_CUIT[#All],2,0)),"CUIT NO CARGADO")</f>
        <v>CORREDORES VIALES SOCIEDAD ANONIMA</v>
      </c>
      <c r="H99" s="46">
        <v>8111.87</v>
      </c>
      <c r="I99" s="85">
        <f>IF(compras_mes12[[#This Row],[NETO GRAVADO]]="","",compras_mes12[[#This Row],[NETO GRAVADO]]*0.21)</f>
        <v>1703.4927</v>
      </c>
      <c r="J99" s="85"/>
      <c r="K99" s="85"/>
      <c r="L99" s="85">
        <v>0</v>
      </c>
      <c r="M99" s="85"/>
      <c r="N99" s="85">
        <v>324.47000000000003</v>
      </c>
      <c r="O99" s="85">
        <v>0</v>
      </c>
      <c r="P99" s="48">
        <f>SUM(compras_mes12[[#This Row],[NETO GRAVADO]:[Otros / No Grav.]])</f>
        <v>10139.832699999999</v>
      </c>
      <c r="Q99" s="49" t="str">
        <f>IFERROR(IF(compras_mes12[[#This Row],[CUIT]]="","-",VLOOKUP(compras_mes12[[#This Row],[CUIT]],Lista_CUIT[#All],3,0)),"CUIT NO CARGADO")</f>
        <v>Autopista</v>
      </c>
      <c r="R99" s="49">
        <f>IFERROR(IF(compras_mes12[[#This Row],[CUIT]]="","-",VLOOKUP(compras_mes12[[#This Row],[CUIT]],Lista_CUIT[#All],4,0)),"CUIT NO CARGADO")</f>
        <v>0</v>
      </c>
    </row>
    <row r="100" spans="2:18" x14ac:dyDescent="0.25">
      <c r="B100" s="40"/>
      <c r="C100" s="41"/>
      <c r="D100" s="42"/>
      <c r="E100" s="43"/>
      <c r="F100" s="44">
        <v>30715804812</v>
      </c>
      <c r="G100" s="45" t="str">
        <f>IFERROR(IF(compras_mes12[[#This Row],[CUIT]]="","-",VLOOKUP(compras_mes12[[#This Row],[CUIT]],Lista_CUIT[#All],2,0)),"CUIT NO CARGADO")</f>
        <v>CORREDORES VIALES SOCIEDAD ANONIMA</v>
      </c>
      <c r="H100" s="46">
        <v>7695.85</v>
      </c>
      <c r="I100" s="85">
        <f>IF(compras_mes12[[#This Row],[NETO GRAVADO]]="","",compras_mes12[[#This Row],[NETO GRAVADO]]*0.21)</f>
        <v>1616.1285</v>
      </c>
      <c r="J100" s="85"/>
      <c r="K100" s="85"/>
      <c r="L100" s="85">
        <v>0</v>
      </c>
      <c r="M100" s="85"/>
      <c r="N100" s="85">
        <v>307.83</v>
      </c>
      <c r="O100" s="85">
        <v>0</v>
      </c>
      <c r="P100" s="48">
        <f>SUM(compras_mes12[[#This Row],[NETO GRAVADO]:[Otros / No Grav.]])</f>
        <v>9619.808500000001</v>
      </c>
      <c r="Q100" s="49" t="str">
        <f>IFERROR(IF(compras_mes12[[#This Row],[CUIT]]="","-",VLOOKUP(compras_mes12[[#This Row],[CUIT]],Lista_CUIT[#All],3,0)),"CUIT NO CARGADO")</f>
        <v>Autopista</v>
      </c>
      <c r="R100" s="49">
        <f>IFERROR(IF(compras_mes12[[#This Row],[CUIT]]="","-",VLOOKUP(compras_mes12[[#This Row],[CUIT]],Lista_CUIT[#All],4,0)),"CUIT NO CARGADO")</f>
        <v>0</v>
      </c>
    </row>
    <row r="101" spans="2:18" x14ac:dyDescent="0.25">
      <c r="B101" s="259"/>
      <c r="C101" s="270"/>
      <c r="D101" s="260"/>
      <c r="E101" s="261"/>
      <c r="F101" s="262">
        <v>30677237119</v>
      </c>
      <c r="G101" s="263" t="str">
        <f>IFERROR(IF(compras_mes12[[#This Row],[CUIT]]="","-",VLOOKUP(compras_mes12[[#This Row],[CUIT]],Lista_CUIT[#All],2,0)),"CUIT NO CARGADO")</f>
        <v>AUTOPISTAS DEL SOL SA</v>
      </c>
      <c r="H101" s="264">
        <v>7857.59</v>
      </c>
      <c r="I101" s="513">
        <f>IF(compras_mes12[[#This Row],[NETO GRAVADO]]="","",compras_mes12[[#This Row],[NETO GRAVADO]]*0.21)</f>
        <v>1650.0939000000001</v>
      </c>
      <c r="J101" s="513"/>
      <c r="K101" s="513"/>
      <c r="L101" s="513">
        <v>235.73</v>
      </c>
      <c r="M101" s="513"/>
      <c r="N101" s="513">
        <v>314.3</v>
      </c>
      <c r="O101" s="513">
        <v>0</v>
      </c>
      <c r="P101" s="514">
        <f>SUM(compras_mes12[[#This Row],[NETO GRAVADO]:[Otros / No Grav.]])</f>
        <v>10057.713899999999</v>
      </c>
      <c r="Q101" s="515" t="str">
        <f>IFERROR(IF(compras_mes12[[#This Row],[CUIT]]="","-",VLOOKUP(compras_mes12[[#This Row],[CUIT]],Lista_CUIT[#All],3,0)),"CUIT NO CARGADO")</f>
        <v>Autopista</v>
      </c>
      <c r="R101" s="515">
        <f>IFERROR(IF(compras_mes12[[#This Row],[CUIT]]="","-",VLOOKUP(compras_mes12[[#This Row],[CUIT]],Lista_CUIT[#All],4,0)),"CUIT NO CARGADO")</f>
        <v>0</v>
      </c>
    </row>
    <row r="102" spans="2:18" x14ac:dyDescent="0.25">
      <c r="B102" s="259"/>
      <c r="C102" s="270"/>
      <c r="D102" s="260"/>
      <c r="E102" s="261"/>
      <c r="F102" s="262">
        <v>30677237119</v>
      </c>
      <c r="G102" s="263" t="str">
        <f>IFERROR(IF(compras_mes12[[#This Row],[CUIT]]="","-",VLOOKUP(compras_mes12[[#This Row],[CUIT]],Lista_CUIT[#All],2,0)),"CUIT NO CARGADO")</f>
        <v>AUTOPISTAS DEL SOL SA</v>
      </c>
      <c r="H102" s="264">
        <v>4506.6000000000004</v>
      </c>
      <c r="I102" s="513">
        <f>IF(compras_mes12[[#This Row],[NETO GRAVADO]]="","",compras_mes12[[#This Row],[NETO GRAVADO]]*0.21)</f>
        <v>946.38600000000008</v>
      </c>
      <c r="J102" s="513"/>
      <c r="K102" s="513"/>
      <c r="L102" s="513">
        <v>135.19999999999999</v>
      </c>
      <c r="M102" s="513"/>
      <c r="N102" s="513">
        <v>180.26</v>
      </c>
      <c r="O102" s="513">
        <v>0</v>
      </c>
      <c r="P102" s="514">
        <f>SUM(compras_mes12[[#This Row],[NETO GRAVADO]:[Otros / No Grav.]])</f>
        <v>5768.4460000000008</v>
      </c>
      <c r="Q102" s="515" t="str">
        <f>IFERROR(IF(compras_mes12[[#This Row],[CUIT]]="","-",VLOOKUP(compras_mes12[[#This Row],[CUIT]],Lista_CUIT[#All],3,0)),"CUIT NO CARGADO")</f>
        <v>Autopista</v>
      </c>
      <c r="R102" s="515">
        <f>IFERROR(IF(compras_mes12[[#This Row],[CUIT]]="","-",VLOOKUP(compras_mes12[[#This Row],[CUIT]],Lista_CUIT[#All],4,0)),"CUIT NO CARGADO")</f>
        <v>0</v>
      </c>
    </row>
    <row r="103" spans="2:18" x14ac:dyDescent="0.25">
      <c r="B103" s="259"/>
      <c r="C103" s="270"/>
      <c r="D103" s="260"/>
      <c r="E103" s="261"/>
      <c r="F103" s="262">
        <v>30707370552</v>
      </c>
      <c r="G103" s="263" t="str">
        <f>IFERROR(IF(compras_mes12[[#This Row],[CUIT]]="","-",VLOOKUP(compras_mes12[[#This Row],[CUIT]],Lista_CUIT[#All],2,0)),"CUIT NO CARGADO")</f>
        <v>RAKE SA</v>
      </c>
      <c r="H103" s="264">
        <v>2532736.36</v>
      </c>
      <c r="I103" s="513">
        <f>IF(compras_mes12[[#This Row],[NETO GRAVADO]]="","",compras_mes12[[#This Row],[NETO GRAVADO]]*0.21)</f>
        <v>531874.63559999992</v>
      </c>
      <c r="J103" s="513"/>
      <c r="K103" s="513"/>
      <c r="L103" s="513">
        <v>0</v>
      </c>
      <c r="M103" s="513"/>
      <c r="N103" s="513">
        <v>0</v>
      </c>
      <c r="O103" s="513">
        <v>0</v>
      </c>
      <c r="P103" s="514">
        <f>SUM(compras_mes12[[#This Row],[NETO GRAVADO]:[Otros / No Grav.]])</f>
        <v>3064610.9956</v>
      </c>
      <c r="Q103" s="515" t="str">
        <f>IFERROR(IF(compras_mes12[[#This Row],[CUIT]]="","-",VLOOKUP(compras_mes12[[#This Row],[CUIT]],Lista_CUIT[#All],3,0)),"CUIT NO CARGADO")</f>
        <v>GASTOS VARIOS</v>
      </c>
      <c r="R103" s="515">
        <f>IFERROR(IF(compras_mes12[[#This Row],[CUIT]]="","-",VLOOKUP(compras_mes12[[#This Row],[CUIT]],Lista_CUIT[#All],4,0)),"CUIT NO CARGADO")</f>
        <v>0</v>
      </c>
    </row>
    <row r="104" spans="2:18" x14ac:dyDescent="0.25">
      <c r="B104" s="259"/>
      <c r="C104" s="270"/>
      <c r="D104" s="260"/>
      <c r="E104" s="261"/>
      <c r="F104" s="262">
        <v>30685849751</v>
      </c>
      <c r="G104" s="263" t="str">
        <f>IFERROR(IF(compras_mes12[[#This Row],[CUIT]]="","-",VLOOKUP(compras_mes12[[#This Row],[CUIT]],Lista_CUIT[#All],2,0)),"CUIT NO CARGADO")</f>
        <v>DIA ARGENTINA S.A.</v>
      </c>
      <c r="H104" s="264">
        <v>5702.48</v>
      </c>
      <c r="I104" s="513">
        <f>IF(compras_mes12[[#This Row],[NETO GRAVADO]]="","",compras_mes12[[#This Row],[NETO GRAVADO]]*0.21)</f>
        <v>1197.5207999999998</v>
      </c>
      <c r="J104" s="513"/>
      <c r="K104" s="513"/>
      <c r="L104" s="513">
        <v>0</v>
      </c>
      <c r="M104" s="513"/>
      <c r="N104" s="513">
        <v>0</v>
      </c>
      <c r="O104" s="513">
        <v>228.1</v>
      </c>
      <c r="P104" s="514">
        <f>SUM(compras_mes12[[#This Row],[NETO GRAVADO]:[Otros / No Grav.]])</f>
        <v>7128.1008000000002</v>
      </c>
      <c r="Q104" s="515" t="str">
        <f>IFERROR(IF(compras_mes12[[#This Row],[CUIT]]="","-",VLOOKUP(compras_mes12[[#This Row],[CUIT]],Lista_CUIT[#All],3,0)),"CUIT NO CARGADO")</f>
        <v>MERCADERIA</v>
      </c>
      <c r="R104" s="515">
        <f>IFERROR(IF(compras_mes12[[#This Row],[CUIT]]="","-",VLOOKUP(compras_mes12[[#This Row],[CUIT]],Lista_CUIT[#All],4,0)),"CUIT NO CARGADO")</f>
        <v>0</v>
      </c>
    </row>
    <row r="105" spans="2:18" x14ac:dyDescent="0.25">
      <c r="B105" s="259"/>
      <c r="C105" s="270"/>
      <c r="D105" s="260"/>
      <c r="E105" s="261"/>
      <c r="F105" s="262">
        <v>30685849751</v>
      </c>
      <c r="G105" s="263" t="str">
        <f>IFERROR(IF(compras_mes12[[#This Row],[CUIT]]="","-",VLOOKUP(compras_mes12[[#This Row],[CUIT]],Lista_CUIT[#All],2,0)),"CUIT NO CARGADO")</f>
        <v>DIA ARGENTINA S.A.</v>
      </c>
      <c r="H105" s="264">
        <v>9548.76</v>
      </c>
      <c r="I105" s="513">
        <f>IF(compras_mes12[[#This Row],[NETO GRAVADO]]="","",compras_mes12[[#This Row],[NETO GRAVADO]]*0.21)</f>
        <v>2005.2395999999999</v>
      </c>
      <c r="J105" s="513"/>
      <c r="K105" s="513"/>
      <c r="L105" s="513">
        <v>0</v>
      </c>
      <c r="M105" s="513"/>
      <c r="N105" s="513">
        <v>0</v>
      </c>
      <c r="O105" s="513">
        <v>381.95</v>
      </c>
      <c r="P105" s="514">
        <f>SUM(compras_mes12[[#This Row],[NETO GRAVADO]:[Otros / No Grav.]])</f>
        <v>11935.9496</v>
      </c>
      <c r="Q105" s="515" t="str">
        <f>IFERROR(IF(compras_mes12[[#This Row],[CUIT]]="","-",VLOOKUP(compras_mes12[[#This Row],[CUIT]],Lista_CUIT[#All],3,0)),"CUIT NO CARGADO")</f>
        <v>MERCADERIA</v>
      </c>
      <c r="R105" s="515">
        <f>IFERROR(IF(compras_mes12[[#This Row],[CUIT]]="","-",VLOOKUP(compras_mes12[[#This Row],[CUIT]],Lista_CUIT[#All],4,0)),"CUIT NO CARGADO")</f>
        <v>0</v>
      </c>
    </row>
    <row r="106" spans="2:18" x14ac:dyDescent="0.25">
      <c r="B106" s="259"/>
      <c r="C106" s="270"/>
      <c r="D106" s="260"/>
      <c r="E106" s="261"/>
      <c r="F106" s="262">
        <v>30685849751</v>
      </c>
      <c r="G106" s="263" t="str">
        <f>IFERROR(IF(compras_mes12[[#This Row],[CUIT]]="","-",VLOOKUP(compras_mes12[[#This Row],[CUIT]],Lista_CUIT[#All],2,0)),"CUIT NO CARGADO")</f>
        <v>DIA ARGENTINA S.A.</v>
      </c>
      <c r="H106" s="264">
        <v>6190.08</v>
      </c>
      <c r="I106" s="513">
        <f>IF(compras_mes12[[#This Row],[NETO GRAVADO]]="","",compras_mes12[[#This Row],[NETO GRAVADO]]*0.21)</f>
        <v>1299.9168</v>
      </c>
      <c r="J106" s="513"/>
      <c r="K106" s="513"/>
      <c r="L106" s="513">
        <v>0</v>
      </c>
      <c r="M106" s="513"/>
      <c r="N106" s="513">
        <v>0</v>
      </c>
      <c r="O106" s="513">
        <v>247.6</v>
      </c>
      <c r="P106" s="514">
        <f>SUM(compras_mes12[[#This Row],[NETO GRAVADO]:[Otros / No Grav.]])</f>
        <v>7737.5968000000003</v>
      </c>
      <c r="Q106" s="515" t="str">
        <f>IFERROR(IF(compras_mes12[[#This Row],[CUIT]]="","-",VLOOKUP(compras_mes12[[#This Row],[CUIT]],Lista_CUIT[#All],3,0)),"CUIT NO CARGADO")</f>
        <v>MERCADERIA</v>
      </c>
      <c r="R106" s="515">
        <f>IFERROR(IF(compras_mes12[[#This Row],[CUIT]]="","-",VLOOKUP(compras_mes12[[#This Row],[CUIT]],Lista_CUIT[#All],4,0)),"CUIT NO CARGADO")</f>
        <v>0</v>
      </c>
    </row>
    <row r="107" spans="2:18" x14ac:dyDescent="0.25">
      <c r="B107" s="259"/>
      <c r="C107" s="270"/>
      <c r="D107" s="260"/>
      <c r="E107" s="261"/>
      <c r="F107" s="262">
        <v>30685849751</v>
      </c>
      <c r="G107" s="263" t="str">
        <f>IFERROR(IF(compras_mes12[[#This Row],[CUIT]]="","-",VLOOKUP(compras_mes12[[#This Row],[CUIT]],Lista_CUIT[#All],2,0)),"CUIT NO CARGADO")</f>
        <v>DIA ARGENTINA S.A.</v>
      </c>
      <c r="H107" s="264">
        <v>1818.18</v>
      </c>
      <c r="I107" s="513">
        <f>IF(compras_mes12[[#This Row],[NETO GRAVADO]]="","",compras_mes12[[#This Row],[NETO GRAVADO]]*0.21)</f>
        <v>381.81779999999998</v>
      </c>
      <c r="J107" s="513"/>
      <c r="K107" s="513"/>
      <c r="L107" s="513">
        <v>0</v>
      </c>
      <c r="M107" s="513"/>
      <c r="N107" s="513">
        <v>0</v>
      </c>
      <c r="O107" s="513">
        <v>0</v>
      </c>
      <c r="P107" s="514">
        <f>SUM(compras_mes12[[#This Row],[NETO GRAVADO]:[Otros / No Grav.]])</f>
        <v>2199.9978000000001</v>
      </c>
      <c r="Q107" s="515" t="str">
        <f>IFERROR(IF(compras_mes12[[#This Row],[CUIT]]="","-",VLOOKUP(compras_mes12[[#This Row],[CUIT]],Lista_CUIT[#All],3,0)),"CUIT NO CARGADO")</f>
        <v>MERCADERIA</v>
      </c>
      <c r="R107" s="515">
        <f>IFERROR(IF(compras_mes12[[#This Row],[CUIT]]="","-",VLOOKUP(compras_mes12[[#This Row],[CUIT]],Lista_CUIT[#All],4,0)),"CUIT NO CARGADO")</f>
        <v>0</v>
      </c>
    </row>
    <row r="108" spans="2:18" x14ac:dyDescent="0.25">
      <c r="B108" s="259"/>
      <c r="C108" s="270"/>
      <c r="D108" s="260"/>
      <c r="E108" s="261"/>
      <c r="F108" s="262">
        <v>30685849751</v>
      </c>
      <c r="G108" s="263" t="str">
        <f>IFERROR(IF(compras_mes12[[#This Row],[CUIT]]="","-",VLOOKUP(compras_mes12[[#This Row],[CUIT]],Lista_CUIT[#All],2,0)),"CUIT NO CARGADO")</f>
        <v>DIA ARGENTINA S.A.</v>
      </c>
      <c r="H108" s="264">
        <v>7024.79</v>
      </c>
      <c r="I108" s="513">
        <f>IF(compras_mes12[[#This Row],[NETO GRAVADO]]="","",compras_mes12[[#This Row],[NETO GRAVADO]]*0.21)</f>
        <v>1475.2058999999999</v>
      </c>
      <c r="J108" s="513"/>
      <c r="K108" s="513"/>
      <c r="L108" s="513">
        <v>0</v>
      </c>
      <c r="M108" s="513"/>
      <c r="N108" s="513">
        <v>0</v>
      </c>
      <c r="O108" s="513">
        <v>280.99</v>
      </c>
      <c r="P108" s="514">
        <f>SUM(compras_mes12[[#This Row],[NETO GRAVADO]:[Otros / No Grav.]])</f>
        <v>8780.9858999999997</v>
      </c>
      <c r="Q108" s="515" t="str">
        <f>IFERROR(IF(compras_mes12[[#This Row],[CUIT]]="","-",VLOOKUP(compras_mes12[[#This Row],[CUIT]],Lista_CUIT[#All],3,0)),"CUIT NO CARGADO")</f>
        <v>MERCADERIA</v>
      </c>
      <c r="R108" s="515">
        <f>IFERROR(IF(compras_mes12[[#This Row],[CUIT]]="","-",VLOOKUP(compras_mes12[[#This Row],[CUIT]],Lista_CUIT[#All],4,0)),"CUIT NO CARGADO")</f>
        <v>0</v>
      </c>
    </row>
    <row r="109" spans="2:18" x14ac:dyDescent="0.25">
      <c r="B109" s="259"/>
      <c r="C109" s="270"/>
      <c r="D109" s="260"/>
      <c r="E109" s="261"/>
      <c r="F109" s="262">
        <v>30516186670</v>
      </c>
      <c r="G109" s="263" t="str">
        <f>IFERROR(IF(compras_mes12[[#This Row],[CUIT]]="","-",VLOOKUP(compras_mes12[[#This Row],[CUIT]],Lista_CUIT[#All],2,0)),"CUIT NO CARGADO")</f>
        <v>DEHEZA SAICF E I</v>
      </c>
      <c r="H109" s="264">
        <v>55475.83</v>
      </c>
      <c r="I109" s="513">
        <f>IF(compras_mes12[[#This Row],[NETO GRAVADO]]="","",compras_mes12[[#This Row],[NETO GRAVADO]]*0.21)</f>
        <v>11649.924300000001</v>
      </c>
      <c r="J109" s="513"/>
      <c r="K109" s="513"/>
      <c r="L109" s="513">
        <v>0</v>
      </c>
      <c r="M109" s="513"/>
      <c r="N109" s="513">
        <v>0</v>
      </c>
      <c r="O109" s="513">
        <v>17507.41</v>
      </c>
      <c r="P109" s="514">
        <f>SUM(compras_mes12[[#This Row],[NETO GRAVADO]:[Otros / No Grav.]])</f>
        <v>84633.164300000004</v>
      </c>
      <c r="Q109" s="515" t="str">
        <f>IFERROR(IF(compras_mes12[[#This Row],[CUIT]]="","-",VLOOKUP(compras_mes12[[#This Row],[CUIT]],Lista_CUIT[#All],3,0)),"CUIT NO CARGADO")</f>
        <v>COMBUSTIBLE</v>
      </c>
      <c r="R109" s="515">
        <f>IFERROR(IF(compras_mes12[[#This Row],[CUIT]]="","-",VLOOKUP(compras_mes12[[#This Row],[CUIT]],Lista_CUIT[#All],4,0)),"CUIT NO CARGADO")</f>
        <v>0</v>
      </c>
    </row>
    <row r="110" spans="2:18" x14ac:dyDescent="0.25">
      <c r="B110" s="259"/>
      <c r="C110" s="270"/>
      <c r="D110" s="260"/>
      <c r="E110" s="261"/>
      <c r="F110" s="262">
        <v>30516186670</v>
      </c>
      <c r="G110" s="263" t="str">
        <f>IFERROR(IF(compras_mes12[[#This Row],[CUIT]]="","-",VLOOKUP(compras_mes12[[#This Row],[CUIT]],Lista_CUIT[#All],2,0)),"CUIT NO CARGADO")</f>
        <v>DEHEZA SAICF E I</v>
      </c>
      <c r="H110" s="264">
        <v>28934.65</v>
      </c>
      <c r="I110" s="513">
        <f>IF(compras_mes12[[#This Row],[NETO GRAVADO]]="","",compras_mes12[[#This Row],[NETO GRAVADO]]*0.21)</f>
        <v>6076.2764999999999</v>
      </c>
      <c r="J110" s="513"/>
      <c r="K110" s="513"/>
      <c r="L110" s="513">
        <v>0</v>
      </c>
      <c r="M110" s="513"/>
      <c r="N110" s="513">
        <v>0</v>
      </c>
      <c r="O110" s="513">
        <v>7190.9</v>
      </c>
      <c r="P110" s="514">
        <f>SUM(compras_mes12[[#This Row],[NETO GRAVADO]:[Otros / No Grav.]])</f>
        <v>42201.826500000003</v>
      </c>
      <c r="Q110" s="515" t="str">
        <f>IFERROR(IF(compras_mes12[[#This Row],[CUIT]]="","-",VLOOKUP(compras_mes12[[#This Row],[CUIT]],Lista_CUIT[#All],3,0)),"CUIT NO CARGADO")</f>
        <v>COMBUSTIBLE</v>
      </c>
      <c r="R110" s="515">
        <f>IFERROR(IF(compras_mes12[[#This Row],[CUIT]]="","-",VLOOKUP(compras_mes12[[#This Row],[CUIT]],Lista_CUIT[#All],4,0)),"CUIT NO CARGADO")</f>
        <v>0</v>
      </c>
    </row>
    <row r="111" spans="2:18" x14ac:dyDescent="0.25">
      <c r="B111" s="259"/>
      <c r="C111" s="270"/>
      <c r="D111" s="260"/>
      <c r="E111" s="261"/>
      <c r="F111" s="262">
        <v>30548083156</v>
      </c>
      <c r="G111" s="263" t="str">
        <f>IFERROR(IF(compras_mes12[[#This Row],[CUIT]]="","-",VLOOKUP(compras_mes12[[#This Row],[CUIT]],Lista_CUIT[#All],2,0)),"CUIT NO CARGADO")</f>
        <v>COTO CICSA</v>
      </c>
      <c r="H111" s="264">
        <v>21125.86</v>
      </c>
      <c r="I111" s="513">
        <f>9392.84*0.21</f>
        <v>1972.4964</v>
      </c>
      <c r="J111" s="513"/>
      <c r="K111" s="513">
        <f>11733.02*0.105</f>
        <v>1231.9671000000001</v>
      </c>
      <c r="L111" s="513">
        <v>457.79</v>
      </c>
      <c r="M111" s="513"/>
      <c r="N111" s="513">
        <v>0</v>
      </c>
      <c r="O111" s="513">
        <v>375.71</v>
      </c>
      <c r="P111" s="514">
        <f>SUM(compras_mes12[[#This Row],[NETO GRAVADO]:[Otros / No Grav.]])</f>
        <v>25163.823500000002</v>
      </c>
      <c r="Q111" s="515" t="str">
        <f>IFERROR(IF(compras_mes12[[#This Row],[CUIT]]="","-",VLOOKUP(compras_mes12[[#This Row],[CUIT]],Lista_CUIT[#All],3,0)),"CUIT NO CARGADO")</f>
        <v>Gastos Varios</v>
      </c>
      <c r="R111" s="515">
        <f>IFERROR(IF(compras_mes12[[#This Row],[CUIT]]="","-",VLOOKUP(compras_mes12[[#This Row],[CUIT]],Lista_CUIT[#All],4,0)),"CUIT NO CARGADO")</f>
        <v>0</v>
      </c>
    </row>
    <row r="112" spans="2:18" x14ac:dyDescent="0.25">
      <c r="B112" s="259"/>
      <c r="C112" s="270"/>
      <c r="D112" s="260"/>
      <c r="E112" s="261"/>
      <c r="F112" s="262">
        <v>30548083156</v>
      </c>
      <c r="G112" s="263" t="str">
        <f>IFERROR(IF(compras_mes12[[#This Row],[CUIT]]="","-",VLOOKUP(compras_mes12[[#This Row],[CUIT]],Lista_CUIT[#All],2,0)),"CUIT NO CARGADO")</f>
        <v>COTO CICSA</v>
      </c>
      <c r="H112" s="264">
        <v>3873.96</v>
      </c>
      <c r="I112" s="513">
        <f>IF(compras_mes12[[#This Row],[NETO GRAVADO]]="","",compras_mes12[[#This Row],[NETO GRAVADO]]*0.21)</f>
        <v>813.53160000000003</v>
      </c>
      <c r="J112" s="513"/>
      <c r="K112" s="513"/>
      <c r="L112" s="513" t="s">
        <v>2449</v>
      </c>
      <c r="M112" s="513"/>
      <c r="N112" s="513">
        <v>0</v>
      </c>
      <c r="O112" s="513">
        <v>271.18</v>
      </c>
      <c r="P112" s="514">
        <f>SUM(compras_mes12[[#This Row],[NETO GRAVADO]:[Otros / No Grav.]])</f>
        <v>4958.6716000000006</v>
      </c>
      <c r="Q112" s="515" t="str">
        <f>IFERROR(IF(compras_mes12[[#This Row],[CUIT]]="","-",VLOOKUP(compras_mes12[[#This Row],[CUIT]],Lista_CUIT[#All],3,0)),"CUIT NO CARGADO")</f>
        <v>Gastos Varios</v>
      </c>
      <c r="R112" s="515">
        <f>IFERROR(IF(compras_mes12[[#This Row],[CUIT]]="","-",VLOOKUP(compras_mes12[[#This Row],[CUIT]],Lista_CUIT[#All],4,0)),"CUIT NO CARGADO")</f>
        <v>0</v>
      </c>
    </row>
    <row r="113" spans="2:18" x14ac:dyDescent="0.25">
      <c r="B113" s="259"/>
      <c r="C113" s="270"/>
      <c r="D113" s="260"/>
      <c r="E113" s="261"/>
      <c r="F113" s="262">
        <v>30548083156</v>
      </c>
      <c r="G113" s="263" t="str">
        <f>IFERROR(IF(compras_mes12[[#This Row],[CUIT]]="","-",VLOOKUP(compras_mes12[[#This Row],[CUIT]],Lista_CUIT[#All],2,0)),"CUIT NO CARGADO")</f>
        <v>COTO CICSA</v>
      </c>
      <c r="H113" s="264">
        <v>17182.39</v>
      </c>
      <c r="I113" s="513">
        <f>IF(compras_mes12[[#This Row],[NETO GRAVADO]]="","",compras_mes12[[#This Row],[NETO GRAVADO]]*0.21)</f>
        <v>3608.3018999999999</v>
      </c>
      <c r="J113" s="513"/>
      <c r="K113" s="513"/>
      <c r="L113" s="513">
        <v>0</v>
      </c>
      <c r="M113" s="513"/>
      <c r="N113" s="513">
        <v>515.47</v>
      </c>
      <c r="O113" s="513">
        <v>646.44000000000005</v>
      </c>
      <c r="P113" s="514">
        <f>SUM(compras_mes12[[#This Row],[NETO GRAVADO]:[Otros / No Grav.]])</f>
        <v>21952.601899999998</v>
      </c>
      <c r="Q113" s="515" t="str">
        <f>IFERROR(IF(compras_mes12[[#This Row],[CUIT]]="","-",VLOOKUP(compras_mes12[[#This Row],[CUIT]],Lista_CUIT[#All],3,0)),"CUIT NO CARGADO")</f>
        <v>Gastos Varios</v>
      </c>
      <c r="R113" s="515">
        <f>IFERROR(IF(compras_mes12[[#This Row],[CUIT]]="","-",VLOOKUP(compras_mes12[[#This Row],[CUIT]],Lista_CUIT[#All],4,0)),"CUIT NO CARGADO")</f>
        <v>0</v>
      </c>
    </row>
    <row r="114" spans="2:18" x14ac:dyDescent="0.25">
      <c r="B114" s="259"/>
      <c r="C114" s="270"/>
      <c r="D114" s="260"/>
      <c r="E114" s="261"/>
      <c r="F114" s="262">
        <v>30548083156</v>
      </c>
      <c r="G114" s="263" t="str">
        <f>IFERROR(IF(compras_mes12[[#This Row],[CUIT]]="","-",VLOOKUP(compras_mes12[[#This Row],[CUIT]],Lista_CUIT[#All],2,0)),"CUIT NO CARGADO")</f>
        <v>COTO CICSA</v>
      </c>
      <c r="H114" s="264">
        <v>55938.41</v>
      </c>
      <c r="I114" s="513">
        <f>IF(compras_mes12[[#This Row],[NETO GRAVADO]]="","",compras_mes12[[#This Row],[NETO GRAVADO]]*0.21)</f>
        <v>11747.0661</v>
      </c>
      <c r="J114" s="513"/>
      <c r="K114" s="513"/>
      <c r="L114" s="513">
        <v>1678.15</v>
      </c>
      <c r="M114" s="513"/>
      <c r="N114" s="513">
        <v>0</v>
      </c>
      <c r="O114" s="513">
        <v>2237.54</v>
      </c>
      <c r="P114" s="514">
        <f>SUM(compras_mes12[[#This Row],[NETO GRAVADO]:[Otros / No Grav.]])</f>
        <v>71601.166099999988</v>
      </c>
      <c r="Q114" s="515" t="str">
        <f>IFERROR(IF(compras_mes12[[#This Row],[CUIT]]="","-",VLOOKUP(compras_mes12[[#This Row],[CUIT]],Lista_CUIT[#All],3,0)),"CUIT NO CARGADO")</f>
        <v>Gastos Varios</v>
      </c>
      <c r="R114" s="515">
        <f>IFERROR(IF(compras_mes12[[#This Row],[CUIT]]="","-",VLOOKUP(compras_mes12[[#This Row],[CUIT]],Lista_CUIT[#All],4,0)),"CUIT NO CARGADO")</f>
        <v>0</v>
      </c>
    </row>
    <row r="115" spans="2:18" x14ac:dyDescent="0.25">
      <c r="B115" s="259"/>
      <c r="C115" s="270"/>
      <c r="D115" s="260"/>
      <c r="E115" s="261"/>
      <c r="F115" s="262">
        <v>30548083156</v>
      </c>
      <c r="G115" s="263" t="str">
        <f>IFERROR(IF(compras_mes12[[#This Row],[CUIT]]="","-",VLOOKUP(compras_mes12[[#This Row],[CUIT]],Lista_CUIT[#All],2,0)),"CUIT NO CARGADO")</f>
        <v>COTO CICSA</v>
      </c>
      <c r="H115" s="264">
        <v>9268.02</v>
      </c>
      <c r="I115" s="513"/>
      <c r="J115" s="513"/>
      <c r="K115" s="513">
        <f>compras_mes12[[#This Row],[NETO GRAVADO]]*0.105</f>
        <v>973.14210000000003</v>
      </c>
      <c r="L115" s="513">
        <v>0</v>
      </c>
      <c r="M115" s="513"/>
      <c r="N115" s="513">
        <v>0</v>
      </c>
      <c r="O115" s="513">
        <v>139.02000000000001</v>
      </c>
      <c r="P115" s="514">
        <f>SUM(compras_mes12[[#This Row],[NETO GRAVADO]:[Otros / No Grav.]])</f>
        <v>10380.182100000002</v>
      </c>
      <c r="Q115" s="515" t="str">
        <f>IFERROR(IF(compras_mes12[[#This Row],[CUIT]]="","-",VLOOKUP(compras_mes12[[#This Row],[CUIT]],Lista_CUIT[#All],3,0)),"CUIT NO CARGADO")</f>
        <v>Gastos Varios</v>
      </c>
      <c r="R115" s="515">
        <f>IFERROR(IF(compras_mes12[[#This Row],[CUIT]]="","-",VLOOKUP(compras_mes12[[#This Row],[CUIT]],Lista_CUIT[#All],4,0)),"CUIT NO CARGADO")</f>
        <v>0</v>
      </c>
    </row>
    <row r="116" spans="2:18" x14ac:dyDescent="0.25">
      <c r="B116" s="259"/>
      <c r="C116" s="270"/>
      <c r="D116" s="260"/>
      <c r="E116" s="261"/>
      <c r="F116" s="262">
        <v>30548083156</v>
      </c>
      <c r="G116" s="263" t="str">
        <f>IFERROR(IF(compras_mes12[[#This Row],[CUIT]]="","-",VLOOKUP(compras_mes12[[#This Row],[CUIT]],Lista_CUIT[#All],2,0)),"CUIT NO CARGADO")</f>
        <v>COTO CICSA</v>
      </c>
      <c r="H116" s="264">
        <v>46122.68</v>
      </c>
      <c r="I116" s="513">
        <f>9926.84*0.21</f>
        <v>2084.6363999999999</v>
      </c>
      <c r="J116" s="513"/>
      <c r="K116" s="513">
        <f>36195.84*0.105</f>
        <v>3800.5631999999996</v>
      </c>
      <c r="L116" s="513">
        <v>840.75</v>
      </c>
      <c r="M116" s="513"/>
      <c r="N116" s="513">
        <v>0</v>
      </c>
      <c r="O116" s="513">
        <v>467.4</v>
      </c>
      <c r="P116" s="514">
        <f>SUM(compras_mes12[[#This Row],[NETO GRAVADO]:[Otros / No Grav.]])</f>
        <v>53316.029600000002</v>
      </c>
      <c r="Q116" s="515" t="str">
        <f>IFERROR(IF(compras_mes12[[#This Row],[CUIT]]="","-",VLOOKUP(compras_mes12[[#This Row],[CUIT]],Lista_CUIT[#All],3,0)),"CUIT NO CARGADO")</f>
        <v>Gastos Varios</v>
      </c>
      <c r="R116" s="515">
        <f>IFERROR(IF(compras_mes12[[#This Row],[CUIT]]="","-",VLOOKUP(compras_mes12[[#This Row],[CUIT]],Lista_CUIT[#All],4,0)),"CUIT NO CARGADO")</f>
        <v>0</v>
      </c>
    </row>
    <row r="117" spans="2:18" x14ac:dyDescent="0.25">
      <c r="B117" s="259"/>
      <c r="C117" s="270"/>
      <c r="D117" s="260"/>
      <c r="E117" s="261"/>
      <c r="F117" s="262">
        <v>30678814357</v>
      </c>
      <c r="G117" s="263" t="str">
        <f>IFERROR(IF(compras_mes12[[#This Row],[CUIT]]="","-",VLOOKUP(compras_mes12[[#This Row],[CUIT]],Lista_CUIT[#All],2,0)),"CUIT NO CARGADO")</f>
        <v>TELEFONICA MOVILES ARG SA</v>
      </c>
      <c r="H117" s="264">
        <v>71561</v>
      </c>
      <c r="I117" s="513"/>
      <c r="J117" s="513">
        <f>compras_mes12[[#This Row],[NETO GRAVADO]]*0.27</f>
        <v>19321.47</v>
      </c>
      <c r="K117" s="513"/>
      <c r="L117" s="513">
        <v>2146.83</v>
      </c>
      <c r="M117" s="513"/>
      <c r="N117" s="513">
        <v>3013.09</v>
      </c>
      <c r="O117" s="513">
        <v>3766.33</v>
      </c>
      <c r="P117" s="514">
        <f>SUM(compras_mes12[[#This Row],[NETO GRAVADO]:[Otros / No Grav.]])</f>
        <v>99808.72</v>
      </c>
      <c r="Q117" s="515" t="str">
        <f>IFERROR(IF(compras_mes12[[#This Row],[CUIT]]="","-",VLOOKUP(compras_mes12[[#This Row],[CUIT]],Lista_CUIT[#All],3,0)),"CUIT NO CARGADO")</f>
        <v>SERVICIO</v>
      </c>
      <c r="R117" s="515">
        <f>IFERROR(IF(compras_mes12[[#This Row],[CUIT]]="","-",VLOOKUP(compras_mes12[[#This Row],[CUIT]],Lista_CUIT[#All],4,0)),"CUIT NO CARGADO")</f>
        <v>0</v>
      </c>
    </row>
    <row r="118" spans="2:18" x14ac:dyDescent="0.25">
      <c r="B118" s="259"/>
      <c r="C118" s="270"/>
      <c r="D118" s="260"/>
      <c r="E118" s="261"/>
      <c r="F118" s="262">
        <v>30678814357</v>
      </c>
      <c r="G118" s="263" t="str">
        <f>IFERROR(IF(compras_mes12[[#This Row],[CUIT]]="","-",VLOOKUP(compras_mes12[[#This Row],[CUIT]],Lista_CUIT[#All],2,0)),"CUIT NO CARGADO")</f>
        <v>TELEFONICA MOVILES ARG SA</v>
      </c>
      <c r="H118" s="264">
        <v>66187.960000000006</v>
      </c>
      <c r="I118" s="513"/>
      <c r="J118" s="513">
        <f>compras_mes12[[#This Row],[NETO GRAVADO]]*0.27</f>
        <v>17870.749200000002</v>
      </c>
      <c r="K118" s="513"/>
      <c r="L118" s="513">
        <v>1985.64</v>
      </c>
      <c r="M118" s="513"/>
      <c r="N118" s="513">
        <v>2647.52</v>
      </c>
      <c r="O118" s="513">
        <v>0</v>
      </c>
      <c r="P118" s="514">
        <f>SUM(compras_mes12[[#This Row],[NETO GRAVADO]:[Otros / No Grav.]])</f>
        <v>88691.869200000016</v>
      </c>
      <c r="Q118" s="515" t="str">
        <f>IFERROR(IF(compras_mes12[[#This Row],[CUIT]]="","-",VLOOKUP(compras_mes12[[#This Row],[CUIT]],Lista_CUIT[#All],3,0)),"CUIT NO CARGADO")</f>
        <v>SERVICIO</v>
      </c>
      <c r="R118" s="515">
        <f>IFERROR(IF(compras_mes12[[#This Row],[CUIT]]="","-",VLOOKUP(compras_mes12[[#This Row],[CUIT]],Lista_CUIT[#All],4,0)),"CUIT NO CARGADO")</f>
        <v>0</v>
      </c>
    </row>
    <row r="119" spans="2:18" x14ac:dyDescent="0.25">
      <c r="B119" s="259"/>
      <c r="C119" s="270"/>
      <c r="D119" s="260"/>
      <c r="E119" s="261"/>
      <c r="F119" s="262">
        <v>30574876474</v>
      </c>
      <c r="G119" s="263" t="str">
        <f>IFERROR(IF(compras_mes12[[#This Row],[CUIT]]="","-",VLOOKUP(compras_mes12[[#This Row],[CUIT]],Lista_CUIT[#All],2,0)),"CUIT NO CARGADO")</f>
        <v>AUTOP. URBANAS SA</v>
      </c>
      <c r="H119" s="264">
        <v>6396.34</v>
      </c>
      <c r="I119" s="513">
        <f>IF(compras_mes12[[#This Row],[NETO GRAVADO]]="","",compras_mes12[[#This Row],[NETO GRAVADO]]*0.21)</f>
        <v>1343.2313999999999</v>
      </c>
      <c r="J119" s="513"/>
      <c r="K119" s="513"/>
      <c r="L119" s="513">
        <v>0</v>
      </c>
      <c r="M119" s="513"/>
      <c r="N119" s="513">
        <v>0</v>
      </c>
      <c r="O119" s="513">
        <v>831.52</v>
      </c>
      <c r="P119" s="514">
        <f>SUM(compras_mes12[[#This Row],[NETO GRAVADO]:[Otros / No Grav.]])</f>
        <v>8571.0913999999993</v>
      </c>
      <c r="Q119" s="515" t="str">
        <f>IFERROR(IF(compras_mes12[[#This Row],[CUIT]]="","-",VLOOKUP(compras_mes12[[#This Row],[CUIT]],Lista_CUIT[#All],3,0)),"CUIT NO CARGADO")</f>
        <v>PEAJE</v>
      </c>
      <c r="R119" s="515">
        <f>IFERROR(IF(compras_mes12[[#This Row],[CUIT]]="","-",VLOOKUP(compras_mes12[[#This Row],[CUIT]],Lista_CUIT[#All],4,0)),"CUIT NO CARGADO")</f>
        <v>0</v>
      </c>
    </row>
    <row r="120" spans="2:18" x14ac:dyDescent="0.25">
      <c r="B120" s="259"/>
      <c r="C120" s="270"/>
      <c r="D120" s="260"/>
      <c r="E120" s="261"/>
      <c r="F120" s="262">
        <v>30574876474</v>
      </c>
      <c r="G120" s="263" t="str">
        <f>IFERROR(IF(compras_mes12[[#This Row],[CUIT]]="","-",VLOOKUP(compras_mes12[[#This Row],[CUIT]],Lista_CUIT[#All],2,0)),"CUIT NO CARGADO")</f>
        <v>AUTOP. URBANAS SA</v>
      </c>
      <c r="H120" s="264">
        <v>29259.78</v>
      </c>
      <c r="I120" s="513">
        <f>IF(compras_mes12[[#This Row],[NETO GRAVADO]]="","",compras_mes12[[#This Row],[NETO GRAVADO]]*0.21)</f>
        <v>6144.5537999999997</v>
      </c>
      <c r="J120" s="513"/>
      <c r="K120" s="513"/>
      <c r="L120" s="513">
        <v>877.79</v>
      </c>
      <c r="M120" s="513"/>
      <c r="N120" s="513">
        <v>0</v>
      </c>
      <c r="O120" s="513">
        <v>2924.97</v>
      </c>
      <c r="P120" s="514">
        <f>SUM(compras_mes12[[#This Row],[NETO GRAVADO]:[Otros / No Grav.]])</f>
        <v>39207.093800000002</v>
      </c>
      <c r="Q120" s="515" t="str">
        <f>IFERROR(IF(compras_mes12[[#This Row],[CUIT]]="","-",VLOOKUP(compras_mes12[[#This Row],[CUIT]],Lista_CUIT[#All],3,0)),"CUIT NO CARGADO")</f>
        <v>PEAJE</v>
      </c>
      <c r="R120" s="515">
        <f>IFERROR(IF(compras_mes12[[#This Row],[CUIT]]="","-",VLOOKUP(compras_mes12[[#This Row],[CUIT]],Lista_CUIT[#All],4,0)),"CUIT NO CARGADO")</f>
        <v>0</v>
      </c>
    </row>
    <row r="121" spans="2:18" x14ac:dyDescent="0.25">
      <c r="B121" s="259"/>
      <c r="C121" s="270"/>
      <c r="D121" s="260"/>
      <c r="E121" s="261"/>
      <c r="F121" s="262">
        <v>30574876474</v>
      </c>
      <c r="G121" s="263" t="str">
        <f>IFERROR(IF(compras_mes12[[#This Row],[CUIT]]="","-",VLOOKUP(compras_mes12[[#This Row],[CUIT]],Lista_CUIT[#All],2,0)),"CUIT NO CARGADO")</f>
        <v>AUTOP. URBANAS SA</v>
      </c>
      <c r="H121" s="264">
        <v>28645.94</v>
      </c>
      <c r="I121" s="513">
        <f>IF(compras_mes12[[#This Row],[NETO GRAVADO]]="","",compras_mes12[[#This Row],[NETO GRAVADO]]*0.21)</f>
        <v>6015.6473999999998</v>
      </c>
      <c r="J121" s="513"/>
      <c r="K121" s="513"/>
      <c r="L121" s="513">
        <v>859.38</v>
      </c>
      <c r="M121" s="513"/>
      <c r="N121" s="513">
        <v>0</v>
      </c>
      <c r="O121" s="513">
        <v>2864.6</v>
      </c>
      <c r="P121" s="514">
        <f>SUM(compras_mes12[[#This Row],[NETO GRAVADO]:[Otros / No Grav.]])</f>
        <v>38385.567399999993</v>
      </c>
      <c r="Q121" s="515" t="str">
        <f>IFERROR(IF(compras_mes12[[#This Row],[CUIT]]="","-",VLOOKUP(compras_mes12[[#This Row],[CUIT]],Lista_CUIT[#All],3,0)),"CUIT NO CARGADO")</f>
        <v>PEAJE</v>
      </c>
      <c r="R121" s="515">
        <f>IFERROR(IF(compras_mes12[[#This Row],[CUIT]]="","-",VLOOKUP(compras_mes12[[#This Row],[CUIT]],Lista_CUIT[#All],4,0)),"CUIT NO CARGADO")</f>
        <v>0</v>
      </c>
    </row>
    <row r="122" spans="2:18" x14ac:dyDescent="0.25">
      <c r="B122" s="259"/>
      <c r="C122" s="270"/>
      <c r="D122" s="260"/>
      <c r="E122" s="261"/>
      <c r="F122" s="262">
        <v>30574876474</v>
      </c>
      <c r="G122" s="263" t="str">
        <f>IFERROR(IF(compras_mes12[[#This Row],[CUIT]]="","-",VLOOKUP(compras_mes12[[#This Row],[CUIT]],Lista_CUIT[#All],2,0)),"CUIT NO CARGADO")</f>
        <v>AUTOP. URBANAS SA</v>
      </c>
      <c r="H122" s="264">
        <v>9528.36</v>
      </c>
      <c r="I122" s="513">
        <f>IF(compras_mes12[[#This Row],[NETO GRAVADO]]="","",compras_mes12[[#This Row],[NETO GRAVADO]]*0.21)</f>
        <v>2000.9556</v>
      </c>
      <c r="J122" s="513"/>
      <c r="K122" s="513"/>
      <c r="L122" s="513">
        <v>285.85000000000002</v>
      </c>
      <c r="M122" s="513"/>
      <c r="N122" s="513">
        <v>0</v>
      </c>
      <c r="O122" s="513">
        <v>952.84</v>
      </c>
      <c r="P122" s="514">
        <f>SUM(compras_mes12[[#This Row],[NETO GRAVADO]:[Otros / No Grav.]])</f>
        <v>12768.0056</v>
      </c>
      <c r="Q122" s="515" t="str">
        <f>IFERROR(IF(compras_mes12[[#This Row],[CUIT]]="","-",VLOOKUP(compras_mes12[[#This Row],[CUIT]],Lista_CUIT[#All],3,0)),"CUIT NO CARGADO")</f>
        <v>PEAJE</v>
      </c>
      <c r="R122" s="515">
        <f>IFERROR(IF(compras_mes12[[#This Row],[CUIT]]="","-",VLOOKUP(compras_mes12[[#This Row],[CUIT]],Lista_CUIT[#All],4,0)),"CUIT NO CARGADO")</f>
        <v>0</v>
      </c>
    </row>
    <row r="123" spans="2:18" x14ac:dyDescent="0.25">
      <c r="B123" s="259"/>
      <c r="C123" s="270"/>
      <c r="D123" s="260"/>
      <c r="E123" s="261"/>
      <c r="F123" s="262">
        <v>30687310434</v>
      </c>
      <c r="G123" s="263" t="str">
        <f>IFERROR(IF(compras_mes12[[#This Row],[CUIT]]="","-",VLOOKUP(compras_mes12[[#This Row],[CUIT]],Lista_CUIT[#All],2,0)),"CUIT NO CARGADO")</f>
        <v>INC SA</v>
      </c>
      <c r="H123" s="264">
        <v>230746.34</v>
      </c>
      <c r="I123" s="513">
        <f>IF(compras_mes12[[#This Row],[NETO GRAVADO]]="","",compras_mes12[[#This Row],[NETO GRAVADO]]*0.21)</f>
        <v>48456.731399999997</v>
      </c>
      <c r="J123" s="513"/>
      <c r="K123" s="513"/>
      <c r="L123" s="513">
        <v>6922.39</v>
      </c>
      <c r="M123" s="513"/>
      <c r="N123" s="513">
        <v>9348.77</v>
      </c>
      <c r="O123" s="513">
        <v>0</v>
      </c>
      <c r="P123" s="514">
        <f>SUM(compras_mes12[[#This Row],[NETO GRAVADO]:[Otros / No Grav.]])</f>
        <v>295474.23140000005</v>
      </c>
      <c r="Q123" s="515" t="str">
        <f>IFERROR(IF(compras_mes12[[#This Row],[CUIT]]="","-",VLOOKUP(compras_mes12[[#This Row],[CUIT]],Lista_CUIT[#All],3,0)),"CUIT NO CARGADO")</f>
        <v>Gastos Varios</v>
      </c>
      <c r="R123" s="515">
        <f>IFERROR(IF(compras_mes12[[#This Row],[CUIT]]="","-",VLOOKUP(compras_mes12[[#This Row],[CUIT]],Lista_CUIT[#All],4,0)),"CUIT NO CARGADO")</f>
        <v>0</v>
      </c>
    </row>
    <row r="124" spans="2:18" x14ac:dyDescent="0.25">
      <c r="B124" s="259"/>
      <c r="C124" s="270"/>
      <c r="D124" s="260"/>
      <c r="E124" s="261"/>
      <c r="F124" s="262">
        <v>30685849751</v>
      </c>
      <c r="G124" s="263" t="str">
        <f>IFERROR(IF(compras_mes12[[#This Row],[CUIT]]="","-",VLOOKUP(compras_mes12[[#This Row],[CUIT]],Lista_CUIT[#All],2,0)),"CUIT NO CARGADO")</f>
        <v>DIA ARGENTINA S.A.</v>
      </c>
      <c r="H124" s="264">
        <v>14181.82</v>
      </c>
      <c r="I124" s="513">
        <f>IF(compras_mes12[[#This Row],[NETO GRAVADO]]="","",compras_mes12[[#This Row],[NETO GRAVADO]]*0.21)</f>
        <v>2978.1821999999997</v>
      </c>
      <c r="J124" s="513"/>
      <c r="K124" s="513"/>
      <c r="L124" s="513">
        <v>0</v>
      </c>
      <c r="M124" s="513"/>
      <c r="N124" s="513">
        <v>0</v>
      </c>
      <c r="O124" s="513">
        <v>567.27</v>
      </c>
      <c r="P124" s="514">
        <f>SUM(compras_mes12[[#This Row],[NETO GRAVADO]:[Otros / No Grav.]])</f>
        <v>17727.272199999999</v>
      </c>
      <c r="Q124" s="515" t="str">
        <f>IFERROR(IF(compras_mes12[[#This Row],[CUIT]]="","-",VLOOKUP(compras_mes12[[#This Row],[CUIT]],Lista_CUIT[#All],3,0)),"CUIT NO CARGADO")</f>
        <v>MERCADERIA</v>
      </c>
      <c r="R124" s="515">
        <f>IFERROR(IF(compras_mes12[[#This Row],[CUIT]]="","-",VLOOKUP(compras_mes12[[#This Row],[CUIT]],Lista_CUIT[#All],4,0)),"CUIT NO CARGADO")</f>
        <v>0</v>
      </c>
    </row>
    <row r="125" spans="2:18" x14ac:dyDescent="0.25">
      <c r="B125" s="531"/>
      <c r="C125" s="532"/>
      <c r="D125" s="533"/>
      <c r="E125" s="534"/>
      <c r="F125" s="535">
        <v>30716036894</v>
      </c>
      <c r="G125" s="536" t="str">
        <f>IFERROR(IF(compras_mes12[[#This Row],[CUIT]]="","-",VLOOKUP(compras_mes12[[#This Row],[CUIT]],Lista_CUIT[#All],2,0)),"CUIT NO CARGADO")</f>
        <v>MS GLOBAL LINK S.A.</v>
      </c>
      <c r="H125" s="537">
        <v>-406.21</v>
      </c>
      <c r="I125" s="513">
        <f>IF(compras_mes12[[#This Row],[NETO GRAVADO]]="","",compras_mes12[[#This Row],[NETO GRAVADO]]*0.21)</f>
        <v>-85.304099999999991</v>
      </c>
      <c r="J125" s="538"/>
      <c r="K125" s="538"/>
      <c r="L125" s="538">
        <v>0</v>
      </c>
      <c r="M125" s="538"/>
      <c r="N125" s="538">
        <v>0</v>
      </c>
      <c r="O125" s="538">
        <v>0</v>
      </c>
      <c r="P125" s="539">
        <f>SUM(compras_mes12[[#This Row],[NETO GRAVADO]:[Otros / No Grav.]])</f>
        <v>-491.51409999999998</v>
      </c>
      <c r="Q125" s="540" t="str">
        <f>IFERROR(IF(compras_mes12[[#This Row],[CUIT]]="","-",VLOOKUP(compras_mes12[[#This Row],[CUIT]],Lista_CUIT[#All],3,0)),"CUIT NO CARGADO")</f>
        <v>INSUMOS</v>
      </c>
      <c r="R125" s="540">
        <f>IFERROR(IF(compras_mes12[[#This Row],[CUIT]]="","-",VLOOKUP(compras_mes12[[#This Row],[CUIT]],Lista_CUIT[#All],4,0)),"CUIT NO CARGADO")</f>
        <v>0</v>
      </c>
    </row>
    <row r="126" spans="2:18" x14ac:dyDescent="0.25">
      <c r="B126" s="531"/>
      <c r="C126" s="532"/>
      <c r="D126" s="533"/>
      <c r="E126" s="534"/>
      <c r="F126" s="535">
        <v>30703088534</v>
      </c>
      <c r="G126" s="536" t="str">
        <f>IFERROR(IF(compras_mes12[[#This Row],[CUIT]]="","-",VLOOKUP(compras_mes12[[#This Row],[CUIT]],Lista_CUIT[#All],2,0)),"CUIT NO CARGADO")</f>
        <v>MERCADO LIBRE SRL</v>
      </c>
      <c r="H126" s="537">
        <v>-2880.17</v>
      </c>
      <c r="I126" s="513">
        <f>IF(compras_mes12[[#This Row],[NETO GRAVADO]]="","",compras_mes12[[#This Row],[NETO GRAVADO]]*0.21)</f>
        <v>-604.83569999999997</v>
      </c>
      <c r="J126" s="538"/>
      <c r="K126" s="538"/>
      <c r="L126" s="538">
        <v>0</v>
      </c>
      <c r="M126" s="538"/>
      <c r="N126" s="538">
        <v>0</v>
      </c>
      <c r="O126" s="538">
        <v>-86.41</v>
      </c>
      <c r="P126" s="539">
        <f>SUM(compras_mes12[[#This Row],[NETO GRAVADO]:[Otros / No Grav.]])</f>
        <v>-3571.4157</v>
      </c>
      <c r="Q126" s="540" t="str">
        <f>IFERROR(IF(compras_mes12[[#This Row],[CUIT]]="","-",VLOOKUP(compras_mes12[[#This Row],[CUIT]],Lista_CUIT[#All],3,0)),"CUIT NO CARGADO")</f>
        <v>PLATAFORMA ONLINE</v>
      </c>
      <c r="R126" s="540">
        <f>IFERROR(IF(compras_mes12[[#This Row],[CUIT]]="","-",VLOOKUP(compras_mes12[[#This Row],[CUIT]],Lista_CUIT[#All],4,0)),"CUIT NO CARGADO")</f>
        <v>0</v>
      </c>
    </row>
    <row r="127" spans="2:18" x14ac:dyDescent="0.25">
      <c r="B127" s="40"/>
      <c r="C127" s="41"/>
      <c r="D127" s="42"/>
      <c r="E127" s="43"/>
      <c r="F127" s="44">
        <v>30703088534</v>
      </c>
      <c r="G127" s="45" t="str">
        <f>IFERROR(IF(compras_mes12[[#This Row],[CUIT]]="","-",VLOOKUP(compras_mes12[[#This Row],[CUIT]],Lista_CUIT[#All],2,0)),"CUIT NO CARGADO")</f>
        <v>MERCADO LIBRE SRL</v>
      </c>
      <c r="H127" s="46">
        <v>-2880.17</v>
      </c>
      <c r="I127" s="513">
        <f>IF(compras_mes12[[#This Row],[NETO GRAVADO]]="","",compras_mes12[[#This Row],[NETO GRAVADO]]*0.21)</f>
        <v>-604.83569999999997</v>
      </c>
      <c r="J127" s="85"/>
      <c r="K127" s="85"/>
      <c r="L127" s="85">
        <v>-86.41</v>
      </c>
      <c r="M127" s="85"/>
      <c r="N127" s="85">
        <v>0</v>
      </c>
      <c r="O127" s="85">
        <v>0</v>
      </c>
      <c r="P127" s="48">
        <f>SUM(compras_mes12[[#This Row],[NETO GRAVADO]:[Otros / No Grav.]])</f>
        <v>-3571.4157</v>
      </c>
      <c r="Q127" s="49" t="str">
        <f>IFERROR(IF(compras_mes12[[#This Row],[CUIT]]="","-",VLOOKUP(compras_mes12[[#This Row],[CUIT]],Lista_CUIT[#All],3,0)),"CUIT NO CARGADO")</f>
        <v>PLATAFORMA ONLINE</v>
      </c>
      <c r="R127" s="49">
        <f>IFERROR(IF(compras_mes12[[#This Row],[CUIT]]="","-",VLOOKUP(compras_mes12[[#This Row],[CUIT]],Lista_CUIT[#All],4,0)),"CUIT NO CARGADO")</f>
        <v>0</v>
      </c>
    </row>
    <row r="128" spans="2:18" x14ac:dyDescent="0.25">
      <c r="B128" s="531"/>
      <c r="C128" s="532"/>
      <c r="D128" s="533"/>
      <c r="E128" s="534"/>
      <c r="F128" s="535"/>
      <c r="G128" s="536" t="str">
        <f>IFERROR(IF(compras_mes12[[#This Row],[CUIT]]="","-",VLOOKUP(compras_mes12[[#This Row],[CUIT]],Lista_CUIT[#All],2,0)),"CUIT NO CARGADO")</f>
        <v>-</v>
      </c>
      <c r="H128" s="537"/>
      <c r="I128" s="513" t="str">
        <f>IF(compras_mes12[[#This Row],[NETO GRAVADO]]="","",compras_mes12[[#This Row],[NETO GRAVADO]]*0.21)</f>
        <v/>
      </c>
      <c r="J128" s="538"/>
      <c r="K128" s="538"/>
      <c r="L128" s="538"/>
      <c r="M128" s="538"/>
      <c r="N128" s="538"/>
      <c r="O128" s="538"/>
      <c r="P128" s="539">
        <f>SUM(compras_mes12[[#This Row],[NETO GRAVADO]:[Otros / No Grav.]])</f>
        <v>0</v>
      </c>
      <c r="Q128" s="540" t="str">
        <f>IFERROR(IF(compras_mes12[[#This Row],[CUIT]]="","-",VLOOKUP(compras_mes12[[#This Row],[CUIT]],Lista_CUIT[#All],3,0)),"CUIT NO CARGADO")</f>
        <v>-</v>
      </c>
      <c r="R128" s="540" t="str">
        <f>IFERROR(IF(compras_mes12[[#This Row],[CUIT]]="","-",VLOOKUP(compras_mes12[[#This Row],[CUIT]],Lista_CUIT[#All],4,0)),"CUIT NO CARGADO")</f>
        <v>-</v>
      </c>
    </row>
    <row r="129" spans="2:18" x14ac:dyDescent="0.25">
      <c r="B129" s="95" t="s">
        <v>110</v>
      </c>
      <c r="C129" s="95"/>
      <c r="D129" s="95"/>
      <c r="E129" s="95"/>
      <c r="F129" s="95"/>
      <c r="G129" s="96"/>
      <c r="H129" s="97">
        <f>SUBTOTAL(109,compras_mes12[NETO GRAVADO])</f>
        <v>68956799.630000025</v>
      </c>
      <c r="I129" s="97">
        <f>SUBTOTAL(109,compras_mes12[IVA 21 %])</f>
        <v>13463901.7359</v>
      </c>
      <c r="J129" s="97">
        <f>SUBTOTAL(109,compras_mes12[IVA 27%])</f>
        <v>58325.659200000009</v>
      </c>
      <c r="K129" s="97">
        <f>SUBTOTAL(109,compras_mes12[IVA 10,5%])</f>
        <v>485830.89239999995</v>
      </c>
      <c r="L129" s="97">
        <f>SUBTOTAL(109,compras_mes12[PERC. IVA])</f>
        <v>21068.3</v>
      </c>
      <c r="M129" s="97">
        <f>SUBTOTAL(109,compras_mes12[PERC IIBB 
BS AS])</f>
        <v>0</v>
      </c>
      <c r="N129" s="97">
        <f>SUBTOTAL(109,compras_mes12[PERC. IIBB CABA])</f>
        <v>169725.81999999998</v>
      </c>
      <c r="O129" s="97">
        <f>SUBTOTAL(109,compras_mes12[Otros / No Grav.])</f>
        <v>217063.62</v>
      </c>
      <c r="P129" s="97">
        <f>SUBTOTAL(109,compras_mes12[TOTAL])</f>
        <v>83372715.657499954</v>
      </c>
      <c r="Q129" s="95"/>
      <c r="R129" s="95"/>
    </row>
    <row r="130" spans="2:18" x14ac:dyDescent="0.25">
      <c r="B130" s="40"/>
      <c r="C130" s="41"/>
      <c r="D130" s="42"/>
      <c r="E130" s="43"/>
      <c r="F130" s="44"/>
      <c r="G130" s="45"/>
      <c r="H130" s="46"/>
      <c r="I130" s="47"/>
      <c r="J130" s="47"/>
      <c r="K130" s="47"/>
      <c r="L130" s="47"/>
      <c r="M130" s="47"/>
      <c r="N130" s="47"/>
      <c r="O130" s="47"/>
      <c r="P130" s="48"/>
      <c r="Q130" s="49"/>
      <c r="R130" s="49"/>
    </row>
    <row r="131" spans="2:18" x14ac:dyDescent="0.25">
      <c r="B131" s="40"/>
      <c r="C131" s="41"/>
      <c r="D131" s="42"/>
      <c r="E131" s="43"/>
      <c r="F131" s="44"/>
      <c r="G131" s="45"/>
      <c r="H131" s="46"/>
      <c r="I131" s="47"/>
      <c r="J131" s="47"/>
      <c r="K131" s="47"/>
      <c r="L131" s="47"/>
      <c r="M131" s="47"/>
      <c r="N131" s="47"/>
      <c r="O131" s="47"/>
      <c r="P131" s="48"/>
      <c r="Q131" s="49"/>
      <c r="R131" s="49"/>
    </row>
    <row r="132" spans="2:18" x14ac:dyDescent="0.25">
      <c r="B132" s="40"/>
      <c r="C132" s="41"/>
      <c r="D132" s="42"/>
      <c r="E132" s="43"/>
      <c r="F132" s="44"/>
      <c r="G132" s="45"/>
      <c r="H132" s="46"/>
      <c r="I132" s="47"/>
      <c r="J132" s="47"/>
      <c r="K132" s="47"/>
      <c r="L132" s="47"/>
      <c r="M132" s="47"/>
      <c r="N132" s="47"/>
      <c r="O132" s="47"/>
      <c r="P132" s="48"/>
      <c r="Q132" s="49"/>
      <c r="R132" s="49"/>
    </row>
    <row r="133" spans="2:18" x14ac:dyDescent="0.25">
      <c r="B133" s="40"/>
      <c r="C133" s="41"/>
      <c r="D133" s="42"/>
      <c r="E133" s="43"/>
      <c r="F133" s="44"/>
      <c r="G133" s="45"/>
      <c r="H133" s="46"/>
      <c r="I133" s="47"/>
      <c r="J133" s="47"/>
      <c r="K133" s="47"/>
      <c r="L133" s="47"/>
    </row>
    <row r="134" spans="2:18" ht="21" x14ac:dyDescent="0.25">
      <c r="D134" s="618" t="s">
        <v>15</v>
      </c>
      <c r="E134" s="618"/>
      <c r="F134" s="618"/>
      <c r="G134" s="618"/>
      <c r="H134" s="618"/>
      <c r="I134" s="618"/>
      <c r="J134" s="618"/>
      <c r="K134" s="618"/>
      <c r="L134" s="618"/>
    </row>
    <row r="135" spans="2:18" ht="15.75" x14ac:dyDescent="0.25">
      <c r="D135" s="73" t="s">
        <v>0</v>
      </c>
      <c r="E135" s="74" t="s">
        <v>26</v>
      </c>
      <c r="F135" s="74" t="s">
        <v>16</v>
      </c>
      <c r="G135" s="74" t="s">
        <v>5</v>
      </c>
      <c r="H135" s="74" t="s">
        <v>17</v>
      </c>
      <c r="I135" s="74" t="s">
        <v>7</v>
      </c>
      <c r="J135" s="75" t="s">
        <v>18</v>
      </c>
      <c r="K135" s="75" t="s">
        <v>19</v>
      </c>
      <c r="L135" s="76" t="s">
        <v>20</v>
      </c>
    </row>
    <row r="136" spans="2:18" x14ac:dyDescent="0.25">
      <c r="D136" s="50"/>
      <c r="E136" s="80"/>
      <c r="F136" s="80"/>
      <c r="G136" s="81"/>
      <c r="H136" s="81">
        <f>extracto_banco_mes12[[#This Row],[NETO]]*21/100</f>
        <v>0</v>
      </c>
      <c r="I136" s="81"/>
      <c r="J136" s="249"/>
      <c r="K136" s="249"/>
      <c r="L136" s="81"/>
    </row>
    <row r="137" spans="2:18" x14ac:dyDescent="0.25">
      <c r="D137" s="50"/>
      <c r="E137" s="80"/>
      <c r="F137" s="80"/>
      <c r="G137" s="81"/>
      <c r="H137" s="81">
        <f>extracto_banco_mes12[[#This Row],[NETO]]*21/100</f>
        <v>0</v>
      </c>
      <c r="I137" s="81"/>
      <c r="J137" s="81"/>
      <c r="K137" s="81"/>
      <c r="L137" s="81"/>
    </row>
    <row r="138" spans="2:18" x14ac:dyDescent="0.25">
      <c r="D138" s="50"/>
      <c r="E138" s="79"/>
      <c r="F138" s="80"/>
      <c r="G138" s="81"/>
      <c r="H138" s="81">
        <f>extracto_banco_mes12[[#This Row],[NETO]]*21/100</f>
        <v>0</v>
      </c>
      <c r="I138" s="81"/>
      <c r="J138" s="81"/>
      <c r="K138" s="81"/>
      <c r="L138" s="81"/>
    </row>
    <row r="139" spans="2:18" x14ac:dyDescent="0.25">
      <c r="D139" s="384" t="s">
        <v>110</v>
      </c>
      <c r="E139" s="382"/>
      <c r="F139" s="382"/>
      <c r="G139" s="385">
        <f>SUBTOTAL(109,extracto_banco_mes12[NETO])</f>
        <v>0</v>
      </c>
      <c r="H139" s="385">
        <f>SUBTOTAL(109,extracto_banco_mes12[IVA 21%])</f>
        <v>0</v>
      </c>
      <c r="I139" s="385">
        <f>SUBTOTAL(109,extracto_banco_mes12[IVA 10,5%])</f>
        <v>0</v>
      </c>
      <c r="J139" s="385">
        <f>SUBTOTAL(109,extracto_banco_mes12[RET IIBB CABA])</f>
        <v>0</v>
      </c>
      <c r="K139" s="385">
        <f>SUBTOTAL(109,extracto_banco_mes12[PERC IVA])</f>
        <v>0</v>
      </c>
      <c r="L139" s="385">
        <f>SUBTOTAL(109,extracto_banco_mes12[PERC IIBB])</f>
        <v>0</v>
      </c>
    </row>
    <row r="140" spans="2:18" x14ac:dyDescent="0.25">
      <c r="F140">
        <v>30571421352</v>
      </c>
    </row>
    <row r="141" spans="2:18" x14ac:dyDescent="0.25">
      <c r="F141">
        <v>30500006613</v>
      </c>
    </row>
    <row r="143" spans="2:18" ht="18" customHeight="1" x14ac:dyDescent="0.25">
      <c r="D143" s="618" t="s">
        <v>25</v>
      </c>
      <c r="E143" s="618"/>
      <c r="F143" s="618"/>
      <c r="G143" s="618"/>
      <c r="H143" s="618"/>
      <c r="I143" s="618"/>
      <c r="J143" s="618"/>
      <c r="K143" s="618"/>
    </row>
    <row r="144" spans="2:18" x14ac:dyDescent="0.25">
      <c r="D144" s="51" t="s">
        <v>0</v>
      </c>
      <c r="E144" s="51" t="s">
        <v>2</v>
      </c>
      <c r="F144" s="51" t="s">
        <v>74</v>
      </c>
      <c r="G144" s="51" t="s">
        <v>3</v>
      </c>
      <c r="H144" s="51" t="s">
        <v>4</v>
      </c>
      <c r="I144" s="52" t="s">
        <v>10</v>
      </c>
      <c r="J144" s="51" t="s">
        <v>13</v>
      </c>
      <c r="K144" s="51" t="s">
        <v>38</v>
      </c>
    </row>
    <row r="145" spans="4:11" x14ac:dyDescent="0.25">
      <c r="D145" s="50"/>
      <c r="E145" s="42"/>
      <c r="F145" s="265"/>
      <c r="G145" s="266">
        <v>20421434450</v>
      </c>
      <c r="H145" s="267" t="str">
        <f>IFERROR(IF(factura_c_mes12[[#This Row],[CUIT]]="","-",VLOOKUP(factura_c_mes12[[#This Row],[CUIT]],Lista_CUIT[#All],2,0)),"CUIT NO CARGADO")</f>
        <v>GALTIERI WALTER QUIMEY</v>
      </c>
      <c r="I145" s="268">
        <v>525000</v>
      </c>
      <c r="J145" s="269" t="str">
        <f>IFERROR(IF(factura_c_mes12[[#This Row],[CUIT]]="","-",VLOOKUP(factura_c_mes12[[#This Row],[CUIT]],Lista_CUIT[#All],3,0)),"CUIT NO CARGADO")</f>
        <v>GTOS ADMINISTRATIVOS</v>
      </c>
      <c r="K145" s="269">
        <f>IFERROR(IF(factura_c_mes12[[#This Row],[CUIT]]="","-",VLOOKUP(factura_c_mes12[[#This Row],[CUIT]],Lista_CUIT[#All],4,0)),"CUIT NO CARGADO")</f>
        <v>0</v>
      </c>
    </row>
    <row r="146" spans="4:11" x14ac:dyDescent="0.25">
      <c r="D146" s="50"/>
      <c r="E146" s="42"/>
      <c r="F146" s="265"/>
      <c r="G146" s="266">
        <v>27380284052</v>
      </c>
      <c r="H146" s="267" t="str">
        <f>IFERROR(IF(factura_c_mes12[[#This Row],[CUIT]]="","-",VLOOKUP(factura_c_mes12[[#This Row],[CUIT]],Lista_CUIT[#All],2,0)),"CUIT NO CARGADO")</f>
        <v>CIVALE PAULA</v>
      </c>
      <c r="I146" s="268">
        <v>4335000</v>
      </c>
      <c r="J146" s="269" t="str">
        <f>IFERROR(IF(factura_c_mes12[[#This Row],[CUIT]]="","-",VLOOKUP(factura_c_mes12[[#This Row],[CUIT]],Lista_CUIT[#All],3,0)),"CUIT NO CARGADO")</f>
        <v>GTOS ADMINISTRATIVOS</v>
      </c>
      <c r="K146" s="269">
        <f>IFERROR(IF(factura_c_mes12[[#This Row],[CUIT]]="","-",VLOOKUP(factura_c_mes12[[#This Row],[CUIT]],Lista_CUIT[#All],4,0)),"CUIT NO CARGADO")</f>
        <v>0</v>
      </c>
    </row>
    <row r="147" spans="4:11" x14ac:dyDescent="0.25">
      <c r="D147" s="50"/>
      <c r="E147" s="42"/>
      <c r="F147" s="265"/>
      <c r="G147" s="266">
        <v>27443612713</v>
      </c>
      <c r="H147" s="267" t="str">
        <f>IFERROR(IF(factura_c_mes12[[#This Row],[CUIT]]="","-",VLOOKUP(factura_c_mes12[[#This Row],[CUIT]],Lista_CUIT[#All],2,0)),"CUIT NO CARGADO")</f>
        <v>MIGOYA MORIONDO SOFIA</v>
      </c>
      <c r="I147" s="268">
        <v>870000</v>
      </c>
      <c r="J147" s="269" t="str">
        <f>IFERROR(IF(factura_c_mes12[[#This Row],[CUIT]]="","-",VLOOKUP(factura_c_mes12[[#This Row],[CUIT]],Lista_CUIT[#All],3,0)),"CUIT NO CARGADO")</f>
        <v>GTOS ADMINISTRATIVOS</v>
      </c>
      <c r="K147" s="269">
        <f>IFERROR(IF(factura_c_mes12[[#This Row],[CUIT]]="","-",VLOOKUP(factura_c_mes12[[#This Row],[CUIT]],Lista_CUIT[#All],4,0)),"CUIT NO CARGADO")</f>
        <v>0</v>
      </c>
    </row>
    <row r="148" spans="4:11" x14ac:dyDescent="0.25">
      <c r="D148" s="50"/>
      <c r="E148" s="42"/>
      <c r="F148" s="265"/>
      <c r="G148" s="266">
        <v>27443612705</v>
      </c>
      <c r="H148" s="267" t="str">
        <f>IFERROR(IF(factura_c_mes12[[#This Row],[CUIT]]="","-",VLOOKUP(factura_c_mes12[[#This Row],[CUIT]],Lista_CUIT[#All],2,0)),"CUIT NO CARGADO")</f>
        <v>MIGOYA MORIONDO MARIA INES</v>
      </c>
      <c r="I148" s="268">
        <v>3000000</v>
      </c>
      <c r="J148" s="269" t="str">
        <f>IFERROR(IF(factura_c_mes12[[#This Row],[CUIT]]="","-",VLOOKUP(factura_c_mes12[[#This Row],[CUIT]],Lista_CUIT[#All],3,0)),"CUIT NO CARGADO")</f>
        <v>GTOS ADMINISTRATIVOS</v>
      </c>
      <c r="K148" s="269">
        <f>IFERROR(IF(factura_c_mes12[[#This Row],[CUIT]]="","-",VLOOKUP(factura_c_mes12[[#This Row],[CUIT]],Lista_CUIT[#All],4,0)),"CUIT NO CARGADO")</f>
        <v>0</v>
      </c>
    </row>
    <row r="149" spans="4:11" x14ac:dyDescent="0.25">
      <c r="D149" s="50"/>
      <c r="E149" s="42"/>
      <c r="F149" s="265"/>
      <c r="G149" s="266">
        <v>20311855671</v>
      </c>
      <c r="H149" s="267" t="str">
        <f>IFERROR(IF(factura_c_mes12[[#This Row],[CUIT]]="","-",VLOOKUP(factura_c_mes12[[#This Row],[CUIT]],Lista_CUIT[#All],2,0)),"CUIT NO CARGADO")</f>
        <v>GUASCH HECTOR RAUL</v>
      </c>
      <c r="I149" s="268">
        <v>530000</v>
      </c>
      <c r="J149" s="269" t="str">
        <f>IFERROR(IF(factura_c_mes12[[#This Row],[CUIT]]="","-",VLOOKUP(factura_c_mes12[[#This Row],[CUIT]],Lista_CUIT[#All],3,0)),"CUIT NO CARGADO")</f>
        <v>Insumos</v>
      </c>
      <c r="K149" s="269">
        <f>IFERROR(IF(factura_c_mes12[[#This Row],[CUIT]]="","-",VLOOKUP(factura_c_mes12[[#This Row],[CUIT]],Lista_CUIT[#All],4,0)),"CUIT NO CARGADO")</f>
        <v>0</v>
      </c>
    </row>
    <row r="150" spans="4:11" x14ac:dyDescent="0.25">
      <c r="D150" s="50"/>
      <c r="E150" s="42"/>
      <c r="F150" s="265"/>
      <c r="G150" s="266">
        <v>23281233084</v>
      </c>
      <c r="H150" s="267" t="str">
        <f>IFERROR(IF(factura_c_mes12[[#This Row],[CUIT]]="","-",VLOOKUP(factura_c_mes12[[#This Row],[CUIT]],Lista_CUIT[#All],2,0)),"CUIT NO CARGADO")</f>
        <v>DRUETTA ANDREA MARIEL</v>
      </c>
      <c r="I150" s="268">
        <v>300000</v>
      </c>
      <c r="J150" s="269" t="str">
        <f>IFERROR(IF(factura_c_mes12[[#This Row],[CUIT]]="","-",VLOOKUP(factura_c_mes12[[#This Row],[CUIT]],Lista_CUIT[#All],3,0)),"CUIT NO CARGADO")</f>
        <v>TECNICO</v>
      </c>
      <c r="K150" s="269">
        <f>IFERROR(IF(factura_c_mes12[[#This Row],[CUIT]]="","-",VLOOKUP(factura_c_mes12[[#This Row],[CUIT]],Lista_CUIT[#All],4,0)),"CUIT NO CARGADO")</f>
        <v>0</v>
      </c>
    </row>
    <row r="151" spans="4:11" x14ac:dyDescent="0.25">
      <c r="D151" s="50"/>
      <c r="E151" s="42"/>
      <c r="F151" s="265"/>
      <c r="G151" s="266">
        <v>27338342840</v>
      </c>
      <c r="H151" s="267" t="str">
        <f>IFERROR(IF(factura_c_mes12[[#This Row],[CUIT]]="","-",VLOOKUP(factura_c_mes12[[#This Row],[CUIT]],Lista_CUIT[#All],2,0)),"CUIT NO CARGADO")</f>
        <v>CANCINO PAMELA RITA</v>
      </c>
      <c r="I151" s="268">
        <v>535000</v>
      </c>
      <c r="J151" s="269" t="str">
        <f>IFERROR(IF(factura_c_mes12[[#This Row],[CUIT]]="","-",VLOOKUP(factura_c_mes12[[#This Row],[CUIT]],Lista_CUIT[#All],3,0)),"CUIT NO CARGADO")</f>
        <v>PROVEEDOR</v>
      </c>
      <c r="K151" s="269">
        <f>IFERROR(IF(factura_c_mes12[[#This Row],[CUIT]]="","-",VLOOKUP(factura_c_mes12[[#This Row],[CUIT]],Lista_CUIT[#All],4,0)),"CUIT NO CARGADO")</f>
        <v>0</v>
      </c>
    </row>
    <row r="152" spans="4:11" x14ac:dyDescent="0.25">
      <c r="D152" s="50"/>
      <c r="E152" s="42"/>
      <c r="F152" s="265"/>
      <c r="G152" s="266">
        <v>20247881957</v>
      </c>
      <c r="H152" s="267" t="str">
        <f>IFERROR(IF(factura_c_mes12[[#This Row],[CUIT]]="","-",VLOOKUP(factura_c_mes12[[#This Row],[CUIT]],Lista_CUIT[#All],2,0)),"CUIT NO CARGADO")</f>
        <v>CAMPA DANIEL JORGE</v>
      </c>
      <c r="I152" s="268">
        <v>2500</v>
      </c>
      <c r="J152" s="269" t="str">
        <f>IFERROR(IF(factura_c_mes12[[#This Row],[CUIT]]="","-",VLOOKUP(factura_c_mes12[[#This Row],[CUIT]],Lista_CUIT[#All],3,0)),"CUIT NO CARGADO")</f>
        <v>Gastos Varios</v>
      </c>
      <c r="K152" s="269">
        <f>IFERROR(IF(factura_c_mes12[[#This Row],[CUIT]]="","-",VLOOKUP(factura_c_mes12[[#This Row],[CUIT]],Lista_CUIT[#All],4,0)),"CUIT NO CARGADO")</f>
        <v>0</v>
      </c>
    </row>
    <row r="153" spans="4:11" x14ac:dyDescent="0.25">
      <c r="D153" s="50"/>
      <c r="E153" s="42"/>
      <c r="F153" s="265"/>
      <c r="G153" s="266">
        <v>27344304551</v>
      </c>
      <c r="H153" s="267" t="str">
        <f>IFERROR(IF(factura_c_mes12[[#This Row],[CUIT]]="","-",VLOOKUP(factura_c_mes12[[#This Row],[CUIT]],Lista_CUIT[#All],2,0)),"CUIT NO CARGADO")</f>
        <v>BOCCACCI MARIA FLORENCIA</v>
      </c>
      <c r="I153" s="268">
        <v>425000</v>
      </c>
      <c r="J153" s="269" t="str">
        <f>IFERROR(IF(factura_c_mes12[[#This Row],[CUIT]]="","-",VLOOKUP(factura_c_mes12[[#This Row],[CUIT]],Lista_CUIT[#All],3,0)),"CUIT NO CARGADO")</f>
        <v>Servicios</v>
      </c>
      <c r="K153" s="269">
        <f>IFERROR(IF(factura_c_mes12[[#This Row],[CUIT]]="","-",VLOOKUP(factura_c_mes12[[#This Row],[CUIT]],Lista_CUIT[#All],4,0)),"CUIT NO CARGADO")</f>
        <v>0</v>
      </c>
    </row>
    <row r="154" spans="4:11" x14ac:dyDescent="0.25">
      <c r="D154" s="50"/>
      <c r="E154" s="42"/>
      <c r="F154" s="265"/>
      <c r="G154" s="266">
        <v>27315710508</v>
      </c>
      <c r="H154" s="267" t="str">
        <f>IFERROR(IF(factura_c_mes12[[#This Row],[CUIT]]="","-",VLOOKUP(factura_c_mes12[[#This Row],[CUIT]],Lista_CUIT[#All],2,0)),"CUIT NO CARGADO")</f>
        <v>RIVERO GABRIELA ROCIO</v>
      </c>
      <c r="I154" s="268">
        <v>60000</v>
      </c>
      <c r="J154" s="269" t="str">
        <f>IFERROR(IF(factura_c_mes12[[#This Row],[CUIT]]="","-",VLOOKUP(factura_c_mes12[[#This Row],[CUIT]],Lista_CUIT[#All],3,0)),"CUIT NO CARGADO")</f>
        <v>Serv. Informaticos</v>
      </c>
      <c r="K154" s="269">
        <f>IFERROR(IF(factura_c_mes12[[#This Row],[CUIT]]="","-",VLOOKUP(factura_c_mes12[[#This Row],[CUIT]],Lista_CUIT[#All],4,0)),"CUIT NO CARGADO")</f>
        <v>0</v>
      </c>
    </row>
    <row r="155" spans="4:11" x14ac:dyDescent="0.25">
      <c r="D155" s="50"/>
      <c r="E155" s="42"/>
      <c r="F155" s="265"/>
      <c r="G155" s="266">
        <v>27233748205</v>
      </c>
      <c r="H155" s="267" t="str">
        <f>IFERROR(IF(factura_c_mes12[[#This Row],[CUIT]]="","-",VLOOKUP(factura_c_mes12[[#This Row],[CUIT]],Lista_CUIT[#All],2,0)),"CUIT NO CARGADO")</f>
        <v>RADRIZZANI GABRIELA ALEJANDRA</v>
      </c>
      <c r="I155" s="268">
        <v>250000</v>
      </c>
      <c r="J155" s="269" t="str">
        <f>IFERROR(IF(factura_c_mes12[[#This Row],[CUIT]]="","-",VLOOKUP(factura_c_mes12[[#This Row],[CUIT]],Lista_CUIT[#All],3,0)),"CUIT NO CARGADO")</f>
        <v>HONORARIOS CONTABLES</v>
      </c>
      <c r="K155" s="269">
        <f>IFERROR(IF(factura_c_mes12[[#This Row],[CUIT]]="","-",VLOOKUP(factura_c_mes12[[#This Row],[CUIT]],Lista_CUIT[#All],4,0)),"CUIT NO CARGADO")</f>
        <v>0</v>
      </c>
    </row>
    <row r="156" spans="4:11" x14ac:dyDescent="0.25">
      <c r="D156" s="50"/>
      <c r="E156" s="42"/>
      <c r="F156" s="265"/>
      <c r="G156" s="266">
        <v>27233748205</v>
      </c>
      <c r="H156" s="267" t="str">
        <f>IFERROR(IF(factura_c_mes12[[#This Row],[CUIT]]="","-",VLOOKUP(factura_c_mes12[[#This Row],[CUIT]],Lista_CUIT[#All],2,0)),"CUIT NO CARGADO")</f>
        <v>RADRIZZANI GABRIELA ALEJANDRA</v>
      </c>
      <c r="I156" s="268">
        <v>180000</v>
      </c>
      <c r="J156" s="269" t="str">
        <f>IFERROR(IF(factura_c_mes12[[#This Row],[CUIT]]="","-",VLOOKUP(factura_c_mes12[[#This Row],[CUIT]],Lista_CUIT[#All],3,0)),"CUIT NO CARGADO")</f>
        <v>HONORARIOS CONTABLES</v>
      </c>
      <c r="K156" s="269">
        <f>IFERROR(IF(factura_c_mes12[[#This Row],[CUIT]]="","-",VLOOKUP(factura_c_mes12[[#This Row],[CUIT]],Lista_CUIT[#All],4,0)),"CUIT NO CARGADO")</f>
        <v>0</v>
      </c>
    </row>
    <row r="157" spans="4:11" x14ac:dyDescent="0.25">
      <c r="D157" s="50"/>
      <c r="E157" s="42"/>
      <c r="F157" s="265"/>
      <c r="G157" s="266">
        <v>27265832178</v>
      </c>
      <c r="H157" s="267" t="str">
        <f>IFERROR(IF(factura_c_mes12[[#This Row],[CUIT]]="","-",VLOOKUP(factura_c_mes12[[#This Row],[CUIT]],Lista_CUIT[#All],2,0)),"CUIT NO CARGADO")</f>
        <v>BLASCO MARIA GUADALUPE</v>
      </c>
      <c r="I157" s="268">
        <v>3200000</v>
      </c>
      <c r="J157" s="269" t="str">
        <f>IFERROR(IF(factura_c_mes12[[#This Row],[CUIT]]="","-",VLOOKUP(factura_c_mes12[[#This Row],[CUIT]],Lista_CUIT[#All],3,0)),"CUIT NO CARGADO")</f>
        <v>PROVEEDOR</v>
      </c>
      <c r="K157" s="269">
        <f>IFERROR(IF(factura_c_mes12[[#This Row],[CUIT]]="","-",VLOOKUP(factura_c_mes12[[#This Row],[CUIT]],Lista_CUIT[#All],4,0)),"CUIT NO CARGADO")</f>
        <v>0</v>
      </c>
    </row>
    <row r="158" spans="4:11" x14ac:dyDescent="0.25">
      <c r="D158" s="50"/>
      <c r="E158" s="42"/>
      <c r="F158" s="265"/>
      <c r="G158" s="266">
        <v>20310489930</v>
      </c>
      <c r="H158" s="267" t="str">
        <f>IFERROR(IF(factura_c_mes12[[#This Row],[CUIT]]="","-",VLOOKUP(factura_c_mes12[[#This Row],[CUIT]],Lista_CUIT[#All],2,0)),"CUIT NO CARGADO")</f>
        <v>OVIEDO LUIS ALBERTO</v>
      </c>
      <c r="I158" s="268">
        <v>514580</v>
      </c>
      <c r="J158" s="269" t="str">
        <f>IFERROR(IF(factura_c_mes12[[#This Row],[CUIT]]="","-",VLOOKUP(factura_c_mes12[[#This Row],[CUIT]],Lista_CUIT[#All],3,0)),"CUIT NO CARGADO")</f>
        <v>Insumos</v>
      </c>
      <c r="K158" s="269">
        <f>IFERROR(IF(factura_c_mes12[[#This Row],[CUIT]]="","-",VLOOKUP(factura_c_mes12[[#This Row],[CUIT]],Lista_CUIT[#All],4,0)),"CUIT NO CARGADO")</f>
        <v>0</v>
      </c>
    </row>
    <row r="159" spans="4:11" x14ac:dyDescent="0.25">
      <c r="D159" s="50"/>
      <c r="E159" s="42"/>
      <c r="F159" s="265"/>
      <c r="G159" s="266">
        <v>20122963501</v>
      </c>
      <c r="H159" s="267" t="str">
        <f>IFERROR(IF(factura_c_mes12[[#This Row],[CUIT]]="","-",VLOOKUP(factura_c_mes12[[#This Row],[CUIT]],Lista_CUIT[#All],2,0)),"CUIT NO CARGADO")</f>
        <v>VALLEJOS JUAN ALBINO</v>
      </c>
      <c r="I159" s="268">
        <v>1505000</v>
      </c>
      <c r="J159" s="269" t="str">
        <f>IFERROR(IF(factura_c_mes12[[#This Row],[CUIT]]="","-",VLOOKUP(factura_c_mes12[[#This Row],[CUIT]],Lista_CUIT[#All],3,0)),"CUIT NO CARGADO")</f>
        <v>Insumos</v>
      </c>
      <c r="K159" s="269">
        <f>IFERROR(IF(factura_c_mes12[[#This Row],[CUIT]]="","-",VLOOKUP(factura_c_mes12[[#This Row],[CUIT]],Lista_CUIT[#All],4,0)),"CUIT NO CARGADO")</f>
        <v>0</v>
      </c>
    </row>
    <row r="160" spans="4:11" x14ac:dyDescent="0.25">
      <c r="D160" s="50"/>
      <c r="E160" s="42"/>
      <c r="F160" s="265"/>
      <c r="G160" s="266">
        <v>20086277523</v>
      </c>
      <c r="H160" s="267" t="str">
        <f>IFERROR(IF(factura_c_mes12[[#This Row],[CUIT]]="","-",VLOOKUP(factura_c_mes12[[#This Row],[CUIT]],Lista_CUIT[#All],2,0)),"CUIT NO CARGADO")</f>
        <v>BOTINDARI JUAN CARLOS</v>
      </c>
      <c r="I160" s="268">
        <v>320000</v>
      </c>
      <c r="J160" s="269" t="str">
        <f>IFERROR(IF(factura_c_mes12[[#This Row],[CUIT]]="","-",VLOOKUP(factura_c_mes12[[#This Row],[CUIT]],Lista_CUIT[#All],3,0)),"CUIT NO CARGADO")</f>
        <v>HONORARIOS</v>
      </c>
      <c r="K160" s="269">
        <f>IFERROR(IF(factura_c_mes12[[#This Row],[CUIT]]="","-",VLOOKUP(factura_c_mes12[[#This Row],[CUIT]],Lista_CUIT[#All],4,0)),"CUIT NO CARGADO")</f>
        <v>0</v>
      </c>
    </row>
    <row r="161" spans="2:18" x14ac:dyDescent="0.25">
      <c r="D161" s="50"/>
      <c r="E161" s="42"/>
      <c r="F161" s="265"/>
      <c r="G161" s="266">
        <v>23946257664</v>
      </c>
      <c r="H161" s="267" t="str">
        <f>IFERROR(IF(factura_c_mes12[[#This Row],[CUIT]]="","-",VLOOKUP(factura_c_mes12[[#This Row],[CUIT]],Lista_CUIT[#All],2,0)),"CUIT NO CARGADO")</f>
        <v>ROSALES CAMPOS ESMERALDA LUCIA</v>
      </c>
      <c r="I161" s="268">
        <v>1260000</v>
      </c>
      <c r="J161" s="269" t="str">
        <f>IFERROR(IF(factura_c_mes12[[#This Row],[CUIT]]="","-",VLOOKUP(factura_c_mes12[[#This Row],[CUIT]],Lista_CUIT[#All],3,0)),"CUIT NO CARGADO")</f>
        <v>Insumos</v>
      </c>
      <c r="K161" s="269">
        <f>IFERROR(IF(factura_c_mes12[[#This Row],[CUIT]]="","-",VLOOKUP(factura_c_mes12[[#This Row],[CUIT]],Lista_CUIT[#All],4,0)),"CUIT NO CARGADO")</f>
        <v>0</v>
      </c>
    </row>
    <row r="162" spans="2:18" x14ac:dyDescent="0.25">
      <c r="D162" s="50"/>
      <c r="E162" s="42"/>
      <c r="F162" s="265"/>
      <c r="G162" s="266">
        <v>20233248283</v>
      </c>
      <c r="H162" s="267" t="str">
        <f>IFERROR(IF(factura_c_mes12[[#This Row],[CUIT]]="","-",VLOOKUP(factura_c_mes12[[#This Row],[CUIT]],Lista_CUIT[#All],2,0)),"CUIT NO CARGADO")</f>
        <v>CORRAO HECTOR RUBEN</v>
      </c>
      <c r="I162" s="268">
        <v>570000</v>
      </c>
      <c r="J162" s="269" t="str">
        <f>IFERROR(IF(factura_c_mes12[[#This Row],[CUIT]]="","-",VLOOKUP(factura_c_mes12[[#This Row],[CUIT]],Lista_CUIT[#All],3,0)),"CUIT NO CARGADO")</f>
        <v>PROVEEDOR</v>
      </c>
      <c r="K162" s="269">
        <f>IFERROR(IF(factura_c_mes12[[#This Row],[CUIT]]="","-",VLOOKUP(factura_c_mes12[[#This Row],[CUIT]],Lista_CUIT[#All],4,0)),"CUIT NO CARGADO")</f>
        <v>0</v>
      </c>
    </row>
    <row r="163" spans="2:18" x14ac:dyDescent="0.25">
      <c r="D163" s="50"/>
      <c r="E163" s="42"/>
      <c r="F163" s="265"/>
      <c r="G163" s="266">
        <v>20233248283</v>
      </c>
      <c r="H163" s="267" t="str">
        <f>IFERROR(IF(factura_c_mes12[[#This Row],[CUIT]]="","-",VLOOKUP(factura_c_mes12[[#This Row],[CUIT]],Lista_CUIT[#All],2,0)),"CUIT NO CARGADO")</f>
        <v>CORRAO HECTOR RUBEN</v>
      </c>
      <c r="I163" s="268">
        <v>1400000</v>
      </c>
      <c r="J163" s="269" t="str">
        <f>IFERROR(IF(factura_c_mes12[[#This Row],[CUIT]]="","-",VLOOKUP(factura_c_mes12[[#This Row],[CUIT]],Lista_CUIT[#All],3,0)),"CUIT NO CARGADO")</f>
        <v>PROVEEDOR</v>
      </c>
      <c r="K163" s="269">
        <f>IFERROR(IF(factura_c_mes12[[#This Row],[CUIT]]="","-",VLOOKUP(factura_c_mes12[[#This Row],[CUIT]],Lista_CUIT[#All],4,0)),"CUIT NO CARGADO")</f>
        <v>0</v>
      </c>
    </row>
    <row r="164" spans="2:18" x14ac:dyDescent="0.25">
      <c r="D164" s="50"/>
      <c r="E164" s="42"/>
      <c r="F164" s="265"/>
      <c r="G164" s="266">
        <v>20233248283</v>
      </c>
      <c r="H164" s="267" t="str">
        <f>IFERROR(IF(factura_c_mes12[[#This Row],[CUIT]]="","-",VLOOKUP(factura_c_mes12[[#This Row],[CUIT]],Lista_CUIT[#All],2,0)),"CUIT NO CARGADO")</f>
        <v>CORRAO HECTOR RUBEN</v>
      </c>
      <c r="I164" s="268">
        <v>595000</v>
      </c>
      <c r="J164" s="269" t="str">
        <f>IFERROR(IF(factura_c_mes12[[#This Row],[CUIT]]="","-",VLOOKUP(factura_c_mes12[[#This Row],[CUIT]],Lista_CUIT[#All],3,0)),"CUIT NO CARGADO")</f>
        <v>PROVEEDOR</v>
      </c>
      <c r="K164" s="269">
        <f>IFERROR(IF(factura_c_mes12[[#This Row],[CUIT]]="","-",VLOOKUP(factura_c_mes12[[#This Row],[CUIT]],Lista_CUIT[#All],4,0)),"CUIT NO CARGADO")</f>
        <v>0</v>
      </c>
    </row>
    <row r="165" spans="2:18" x14ac:dyDescent="0.25">
      <c r="D165" s="50"/>
      <c r="E165" s="42"/>
      <c r="F165" s="265"/>
      <c r="G165" s="266">
        <v>20233248283</v>
      </c>
      <c r="H165" s="267" t="str">
        <f>IFERROR(IF(factura_c_mes12[[#This Row],[CUIT]]="","-",VLOOKUP(factura_c_mes12[[#This Row],[CUIT]],Lista_CUIT[#All],2,0)),"CUIT NO CARGADO")</f>
        <v>CORRAO HECTOR RUBEN</v>
      </c>
      <c r="I165" s="268">
        <v>660000</v>
      </c>
      <c r="J165" s="269" t="str">
        <f>IFERROR(IF(factura_c_mes12[[#This Row],[CUIT]]="","-",VLOOKUP(factura_c_mes12[[#This Row],[CUIT]],Lista_CUIT[#All],3,0)),"CUIT NO CARGADO")</f>
        <v>PROVEEDOR</v>
      </c>
      <c r="K165" s="269">
        <f>IFERROR(IF(factura_c_mes12[[#This Row],[CUIT]]="","-",VLOOKUP(factura_c_mes12[[#This Row],[CUIT]],Lista_CUIT[#All],4,0)),"CUIT NO CARGADO")</f>
        <v>0</v>
      </c>
    </row>
    <row r="166" spans="2:18" x14ac:dyDescent="0.25">
      <c r="D166" s="50"/>
      <c r="E166" s="42"/>
      <c r="F166" s="43"/>
      <c r="G166" s="44">
        <v>27062343449</v>
      </c>
      <c r="H166" s="53" t="str">
        <f>IFERROR(IF(factura_c_mes12[[#This Row],[CUIT]]="","-",VLOOKUP(factura_c_mes12[[#This Row],[CUIT]],Lista_CUIT[#All],2,0)),"CUIT NO CARGADO")</f>
        <v>FERREIRS LILISNS INES</v>
      </c>
      <c r="I166" s="81">
        <v>2800000</v>
      </c>
      <c r="J166" s="54" t="str">
        <f>IFERROR(IF(factura_c_mes12[[#This Row],[CUIT]]="","-",VLOOKUP(factura_c_mes12[[#This Row],[CUIT]],Lista_CUIT[#All],3,0)),"CUIT NO CARGADO")</f>
        <v>FLETE</v>
      </c>
      <c r="K166" s="54">
        <f>IFERROR(IF(factura_c_mes12[[#This Row],[CUIT]]="","-",VLOOKUP(factura_c_mes12[[#This Row],[CUIT]],Lista_CUIT[#All],4,0)),"CUIT NO CARGADO")</f>
        <v>0</v>
      </c>
    </row>
    <row r="167" spans="2:18" x14ac:dyDescent="0.25">
      <c r="D167" s="50"/>
      <c r="E167" s="42"/>
      <c r="F167" s="43"/>
      <c r="G167" s="44"/>
      <c r="H167" s="53" t="str">
        <f>IFERROR(IF(factura_c_mes12[[#This Row],[CUIT]]="","-",VLOOKUP(factura_c_mes12[[#This Row],[CUIT]],Lista_CUIT[#All],2,0)),"CUIT NO CARGADO")</f>
        <v>-</v>
      </c>
      <c r="I167" s="81"/>
      <c r="J167" s="54" t="str">
        <f>IFERROR(IF(factura_c_mes12[[#This Row],[CUIT]]="","-",VLOOKUP(factura_c_mes12[[#This Row],[CUIT]],Lista_CUIT[#All],3,0)),"CUIT NO CARGADO")</f>
        <v>-</v>
      </c>
      <c r="K167" s="54" t="str">
        <f>IFERROR(IF(factura_c_mes12[[#This Row],[CUIT]]="","-",VLOOKUP(factura_c_mes12[[#This Row],[CUIT]],Lista_CUIT[#All],4,0)),"CUIT NO CARGADO")</f>
        <v>-</v>
      </c>
    </row>
    <row r="168" spans="2:18" x14ac:dyDescent="0.25">
      <c r="D168" s="50"/>
      <c r="E168" s="42"/>
      <c r="F168" s="43"/>
      <c r="G168" s="44"/>
      <c r="H168" s="53" t="str">
        <f>IFERROR(IF(factura_c_mes12[[#This Row],[CUIT]]="","-",VLOOKUP(factura_c_mes12[[#This Row],[CUIT]],Lista_CUIT[#All],2,0)),"CUIT NO CARGADO")</f>
        <v>-</v>
      </c>
      <c r="I168" s="81"/>
      <c r="J168" s="54" t="str">
        <f>IFERROR(IF(factura_c_mes12[[#This Row],[CUIT]]="","-",VLOOKUP(factura_c_mes12[[#This Row],[CUIT]],Lista_CUIT[#All],3,0)),"CUIT NO CARGADO")</f>
        <v>-</v>
      </c>
      <c r="K168" s="54" t="str">
        <f>IFERROR(IF(factura_c_mes12[[#This Row],[CUIT]]="","-",VLOOKUP(factura_c_mes12[[#This Row],[CUIT]],Lista_CUIT[#All],4,0)),"CUIT NO CARGADO")</f>
        <v>-</v>
      </c>
    </row>
    <row r="169" spans="2:18" x14ac:dyDescent="0.25">
      <c r="D169" s="50"/>
      <c r="E169" s="42"/>
      <c r="F169" s="43"/>
      <c r="G169" s="44"/>
      <c r="H169" s="53" t="str">
        <f>IFERROR(IF(factura_c_mes12[[#This Row],[CUIT]]="","-",VLOOKUP(factura_c_mes12[[#This Row],[CUIT]],Lista_CUIT[#All],2,0)),"CUIT NO CARGADO")</f>
        <v>-</v>
      </c>
      <c r="I169" s="81"/>
      <c r="J169" s="54" t="str">
        <f>IFERROR(IF(factura_c_mes12[[#This Row],[CUIT]]="","-",VLOOKUP(factura_c_mes12[[#This Row],[CUIT]],Lista_CUIT[#All],3,0)),"CUIT NO CARGADO")</f>
        <v>-</v>
      </c>
      <c r="K169" s="54" t="str">
        <f>IFERROR(IF(factura_c_mes12[[#This Row],[CUIT]]="","-",VLOOKUP(factura_c_mes12[[#This Row],[CUIT]],Lista_CUIT[#All],4,0)),"CUIT NO CARGADO")</f>
        <v>-</v>
      </c>
    </row>
    <row r="170" spans="2:18" x14ac:dyDescent="0.25">
      <c r="D170" s="50"/>
      <c r="E170" s="42"/>
      <c r="F170" s="265"/>
      <c r="G170" s="266"/>
      <c r="H170" s="267" t="str">
        <f>IFERROR(IF(factura_c_mes12[[#This Row],[CUIT]]="","-",VLOOKUP(factura_c_mes12[[#This Row],[CUIT]],Lista_CUIT[#All],2,0)),"CUIT NO CARGADO")</f>
        <v>-</v>
      </c>
      <c r="I170" s="268"/>
      <c r="J170" s="269" t="str">
        <f>IFERROR(IF(factura_c_mes12[[#This Row],[CUIT]]="","-",VLOOKUP(factura_c_mes12[[#This Row],[CUIT]],Lista_CUIT[#All],3,0)),"CUIT NO CARGADO")</f>
        <v>-</v>
      </c>
      <c r="K170" s="269" t="str">
        <f>IFERROR(IF(factura_c_mes12[[#This Row],[CUIT]]="","-",VLOOKUP(factura_c_mes12[[#This Row],[CUIT]],Lista_CUIT[#All],4,0)),"CUIT NO CARGADO")</f>
        <v>-</v>
      </c>
    </row>
    <row r="171" spans="2:18" x14ac:dyDescent="0.25">
      <c r="B171" s="56"/>
      <c r="C171" s="56"/>
      <c r="D171" s="55" t="s">
        <v>110</v>
      </c>
      <c r="E171" s="55"/>
      <c r="F171" s="55"/>
      <c r="G171" s="55"/>
      <c r="H171" s="57"/>
      <c r="I171" s="58">
        <f>SUBTOTAL(109,factura_c_mes12[TOTAL])</f>
        <v>23837080</v>
      </c>
      <c r="J171" s="55"/>
      <c r="K171" s="55"/>
      <c r="L171" s="56"/>
      <c r="M171" s="56"/>
      <c r="N171" s="56"/>
      <c r="O171" s="56"/>
      <c r="P171" s="56"/>
      <c r="Q171" s="56"/>
      <c r="R171" s="56"/>
    </row>
    <row r="176" spans="2:18" ht="26.25" x14ac:dyDescent="0.25">
      <c r="B176" s="629" t="s">
        <v>29</v>
      </c>
      <c r="C176" s="629"/>
      <c r="D176" s="629"/>
      <c r="E176" s="629"/>
      <c r="F176" s="629"/>
      <c r="G176" s="629"/>
      <c r="H176" s="629"/>
      <c r="I176" s="629"/>
      <c r="J176" s="629"/>
      <c r="K176" s="630">
        <f>N1</f>
        <v>45992</v>
      </c>
      <c r="L176" s="630"/>
      <c r="M176" s="630"/>
    </row>
    <row r="178" spans="2:13" ht="21" x14ac:dyDescent="0.25">
      <c r="B178" s="631" t="s">
        <v>30</v>
      </c>
      <c r="C178" s="631"/>
    </row>
    <row r="179" spans="2:13" ht="15.75" x14ac:dyDescent="0.25">
      <c r="B179" s="60" t="s">
        <v>0</v>
      </c>
      <c r="C179" s="61" t="s">
        <v>1</v>
      </c>
      <c r="D179" s="61" t="s">
        <v>21</v>
      </c>
      <c r="E179" s="61" t="s">
        <v>22</v>
      </c>
      <c r="F179" s="61" t="s">
        <v>3</v>
      </c>
      <c r="G179" s="61" t="s">
        <v>4</v>
      </c>
      <c r="H179" s="61" t="s">
        <v>23</v>
      </c>
      <c r="I179" s="61" t="s">
        <v>17</v>
      </c>
      <c r="J179" s="61" t="s">
        <v>7</v>
      </c>
      <c r="K179" s="61" t="s">
        <v>24</v>
      </c>
      <c r="L179" s="61" t="s">
        <v>10</v>
      </c>
      <c r="M179" s="62" t="s">
        <v>38</v>
      </c>
    </row>
    <row r="180" spans="2:13" x14ac:dyDescent="0.25">
      <c r="B180" s="40"/>
      <c r="C180" s="41"/>
      <c r="D180" s="42"/>
      <c r="E180" s="43"/>
      <c r="F180" s="44"/>
      <c r="G180" s="98" t="str">
        <f>IFERROR(IF(venta_a_mes12[[#This Row],[CUIT]]="","-",VLOOKUP(venta_a_mes12[[#This Row],[CUIT]],Lista_CUIT[#All],2,0)),"CUIT NO CARGADO")</f>
        <v>-</v>
      </c>
      <c r="H180" s="99"/>
      <c r="I180" s="100">
        <f>venta_a_mes12[[#This Row],[IMPORTE NETO]]*0.21</f>
        <v>0</v>
      </c>
      <c r="J180" s="65"/>
      <c r="K180" s="65"/>
      <c r="L180" s="65">
        <f>SUM(venta_a_mes12[[#This Row],[IMPORTE NETO]:[EXENTO]])</f>
        <v>0</v>
      </c>
      <c r="M180" s="59"/>
    </row>
    <row r="181" spans="2:13" x14ac:dyDescent="0.25">
      <c r="B181" s="40"/>
      <c r="C181" s="41"/>
      <c r="D181" s="42"/>
      <c r="E181" s="43"/>
      <c r="F181" s="44"/>
      <c r="G181" s="98" t="str">
        <f>IFERROR(IF(venta_a_mes12[[#This Row],[CUIT]]="","-",VLOOKUP(venta_a_mes12[[#This Row],[CUIT]],Lista_CUIT[#All],2,0)),"CUIT NO CARGADO")</f>
        <v>-</v>
      </c>
      <c r="H181" s="99"/>
      <c r="I181" s="100">
        <f>venta_a_mes12[[#This Row],[IMPORTE NETO]]*0.21</f>
        <v>0</v>
      </c>
      <c r="J181" s="65"/>
      <c r="K181" s="65"/>
      <c r="L181" s="65">
        <f>SUM(venta_a_mes12[[#This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8" t="str">
        <f>IFERROR(IF(venta_a_mes12[[#This Row],[CUIT]]="","-",VLOOKUP(venta_a_mes12[[#This Row],[CUIT]],Lista_CUIT[#All],2,0)),"CUIT NO CARGADO")</f>
        <v>-</v>
      </c>
      <c r="H182" s="99"/>
      <c r="I182" s="100">
        <f>venta_a_mes12[[#This Row],[IMPORTE NETO]]*0.21</f>
        <v>0</v>
      </c>
      <c r="J182" s="65"/>
      <c r="K182" s="65"/>
      <c r="L182" s="65">
        <f>SUM(venta_a_mes12[[#This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8" t="str">
        <f>IFERROR(IF(venta_a_mes12[[#This Row],[CUIT]]="","-",VLOOKUP(venta_a_mes12[[#This Row],[CUIT]],Lista_CUIT[#All],2,0)),"CUIT NO CARGADO")</f>
        <v>-</v>
      </c>
      <c r="H183" s="99"/>
      <c r="I183" s="100">
        <f>venta_a_mes12[[#This Row],[IMPORTE NETO]]*0.21</f>
        <v>0</v>
      </c>
      <c r="J183" s="65"/>
      <c r="K183" s="65"/>
      <c r="L183" s="65">
        <f>SUM(venta_a_mes12[[#This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98" t="str">
        <f>IFERROR(IF(venta_a_mes12[[#This Row],[CUIT]]="","-",VLOOKUP(venta_a_mes12[[#This Row],[CUIT]],Lista_CUIT[#All],2,0)),"CUIT NO CARGADO")</f>
        <v>-</v>
      </c>
      <c r="H184" s="99"/>
      <c r="I184" s="100">
        <f>venta_a_mes12[[#This Row],[IMPORTE NETO]]*0.21</f>
        <v>0</v>
      </c>
      <c r="J184" s="65"/>
      <c r="K184" s="65"/>
      <c r="L184" s="65">
        <f>SUM(venta_a_mes12[[#This Row],[IMPORTE NETO]:[EXENTO]])</f>
        <v>0</v>
      </c>
      <c r="M184" s="59"/>
    </row>
    <row r="185" spans="2:13" x14ac:dyDescent="0.25">
      <c r="B185" s="40"/>
      <c r="C185" s="41"/>
      <c r="D185" s="42"/>
      <c r="E185" s="43"/>
      <c r="F185" s="44"/>
      <c r="G185" s="98" t="str">
        <f>IFERROR(IF(venta_a_mes12[[#This Row],[CUIT]]="","-",VLOOKUP(venta_a_mes12[[#This Row],[CUIT]],Lista_CUIT[#All],2,0)),"CUIT NO CARGADO")</f>
        <v>-</v>
      </c>
      <c r="H185" s="99"/>
      <c r="I185" s="100">
        <f>venta_a_mes12[[#This Row],[IMPORTE NETO]]*0.21</f>
        <v>0</v>
      </c>
      <c r="J185" s="65"/>
      <c r="K185" s="65"/>
      <c r="L185" s="65">
        <f>SUM(venta_a_mes12[[#This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98" t="str">
        <f>IFERROR(IF(venta_a_mes12[[#This Row],[CUIT]]="","-",VLOOKUP(venta_a_mes12[[#This Row],[CUIT]],Lista_CUIT[#All],2,0)),"CUIT NO CARGADO")</f>
        <v>-</v>
      </c>
      <c r="H186" s="99"/>
      <c r="I186" s="100">
        <f>venta_a_mes12[[#This Row],[IMPORTE NETO]]*0.21</f>
        <v>0</v>
      </c>
      <c r="J186" s="65"/>
      <c r="K186" s="65"/>
      <c r="L186" s="65">
        <f>SUM(venta_a_mes12[[#This Row],[IMPORTE NETO]:[EXENTO]])</f>
        <v>0</v>
      </c>
      <c r="M186" s="63"/>
    </row>
    <row r="187" spans="2:13" x14ac:dyDescent="0.25">
      <c r="B187" s="101"/>
      <c r="C187" s="102"/>
      <c r="D187" s="103"/>
      <c r="E187" s="104"/>
      <c r="F187" s="105"/>
      <c r="G187" s="98" t="str">
        <f>IFERROR(IF(venta_a_mes12[[#This Row],[CUIT]]="","-",VLOOKUP(venta_a_mes12[[#This Row],[CUIT]],Lista_CUIT[#All],2,0)),"CUIT NO CARGADO")</f>
        <v>-</v>
      </c>
      <c r="H187" s="106"/>
      <c r="I187" s="107">
        <f>venta_a_mes12[[#This Row],[IMPORTE NETO]]*0.21</f>
        <v>0</v>
      </c>
      <c r="J187" s="72"/>
      <c r="K187" s="72"/>
      <c r="L187" s="72">
        <f>SUM(venta_a_mes12[[#This Row],[IMPORTE NETO]:[EXENTO]])</f>
        <v>0</v>
      </c>
      <c r="M187" s="63"/>
    </row>
    <row r="188" spans="2:13" x14ac:dyDescent="0.25">
      <c r="B188" s="108"/>
      <c r="C188" s="109"/>
      <c r="D188" s="110"/>
      <c r="E188" s="111"/>
      <c r="F188" s="112"/>
      <c r="G188" s="98" t="str">
        <f>IFERROR(IF(venta_a_mes12[[#This Row],[CUIT]]="","-",VLOOKUP(venta_a_mes12[[#This Row],[CUIT]],Lista_CUIT[#All],2,0)),"CUIT NO CARGADO")</f>
        <v>-</v>
      </c>
      <c r="H188" s="99"/>
      <c r="I188" s="100">
        <f>venta_a_mes12[[#This Row],[IMPORTE NETO]]*0.21</f>
        <v>0</v>
      </c>
      <c r="J188" s="65"/>
      <c r="K188" s="65"/>
      <c r="L188" s="65">
        <f>SUM(venta_a_mes12[[#This Row],[IMPORTE NETO]:[EXENTO]])</f>
        <v>0</v>
      </c>
      <c r="M188" s="59"/>
    </row>
    <row r="189" spans="2:13" x14ac:dyDescent="0.25">
      <c r="B189" s="66" t="s">
        <v>110</v>
      </c>
      <c r="C189" s="67"/>
      <c r="D189" s="67"/>
      <c r="E189" s="67"/>
      <c r="F189" s="67"/>
      <c r="G189" s="67"/>
      <c r="H189" s="69">
        <f>SUBTOTAL(109,venta_a_mes12[IMPORTE NETO])</f>
        <v>0</v>
      </c>
      <c r="I189" s="70">
        <f>SUBTOTAL(109,venta_a_mes12[IVA 21%])</f>
        <v>0</v>
      </c>
      <c r="J189" s="71">
        <f>SUBTOTAL(109,venta_a_mes12[IVA 10,5%])</f>
        <v>0</v>
      </c>
      <c r="K189" s="71">
        <f>SUBTOTAL(109,venta_a_mes12[EXENTO])</f>
        <v>0</v>
      </c>
      <c r="L189" s="71">
        <f>SUBTOTAL(109,venta_a_mes12[TOTAL])</f>
        <v>0</v>
      </c>
      <c r="M189" s="68">
        <f>SUBTOTAL(103,venta_a_mes12[Provincia])</f>
        <v>0</v>
      </c>
    </row>
    <row r="192" spans="2:13" ht="21" x14ac:dyDescent="0.25">
      <c r="B192" s="631" t="s">
        <v>31</v>
      </c>
      <c r="C192" s="631"/>
    </row>
    <row r="193" spans="2:13" ht="15.75" x14ac:dyDescent="0.25">
      <c r="B193" s="60" t="s">
        <v>0</v>
      </c>
      <c r="C193" s="61" t="s">
        <v>1</v>
      </c>
      <c r="D193" s="61" t="s">
        <v>21</v>
      </c>
      <c r="E193" s="61" t="s">
        <v>22</v>
      </c>
      <c r="F193" s="61" t="s">
        <v>3</v>
      </c>
      <c r="G193" s="61" t="s">
        <v>4</v>
      </c>
      <c r="H193" s="61" t="s">
        <v>23</v>
      </c>
      <c r="I193" s="61" t="s">
        <v>17</v>
      </c>
      <c r="J193" s="61" t="s">
        <v>7</v>
      </c>
      <c r="K193" s="61" t="s">
        <v>24</v>
      </c>
      <c r="L193" s="61" t="s">
        <v>10</v>
      </c>
      <c r="M193" s="62" t="s">
        <v>38</v>
      </c>
    </row>
    <row r="194" spans="2:13" x14ac:dyDescent="0.25">
      <c r="B194" s="40"/>
      <c r="C194" s="41"/>
      <c r="D194" s="42"/>
      <c r="E194" s="43"/>
      <c r="F194" s="44"/>
      <c r="G194" s="1" t="str">
        <f>IFERROR(IF(ventas_b_mes12[[#This Row],[CUIT]]="","-",VLOOKUP(ventas_b_mes12[[#This Row],[CUIT]],Lista_CUIT[#All],2,0)),"CUIT NO CARGADO")</f>
        <v>-</v>
      </c>
      <c r="H194" s="64"/>
      <c r="I194" s="64"/>
      <c r="J194" s="64"/>
      <c r="K194" s="64"/>
      <c r="L194" s="64">
        <f>SUM(ventas_b_mes12[[#This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SUM(ventas_b_mes12[[#This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SUM(ventas_b_mes12[[#This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SUM(ventas_b_mes12[[#This Row],[IMPORTE NETO]:[EXENTO]])</f>
        <v>0</v>
      </c>
      <c r="M197" s="59"/>
    </row>
    <row r="198" spans="2:13" x14ac:dyDescent="0.25">
      <c r="B198" s="40"/>
      <c r="C198" s="41"/>
      <c r="D198" s="42"/>
      <c r="E198" s="43"/>
      <c r="F198" s="44"/>
      <c r="G198" s="1"/>
      <c r="H198" s="64"/>
      <c r="I198" s="64"/>
      <c r="J198" s="64"/>
      <c r="K198" s="64"/>
      <c r="L198" s="64">
        <f>SUM(ventas_b_mes12[[#This Row],[IMPORTE NETO]:[EXENTO]])</f>
        <v>0</v>
      </c>
      <c r="M198" s="59"/>
    </row>
    <row r="199" spans="2:13" x14ac:dyDescent="0.25">
      <c r="B199" s="40"/>
      <c r="C199" s="41"/>
      <c r="D199" s="42"/>
      <c r="E199" s="43"/>
      <c r="F199" s="44"/>
      <c r="G199" s="1"/>
      <c r="H199" s="64"/>
      <c r="I199" s="64"/>
      <c r="J199" s="64"/>
      <c r="K199" s="64"/>
      <c r="L199" s="64">
        <f>SUM(ventas_b_mes12[[#This Row],[IMPORTE NETO]:[EXENTO]])</f>
        <v>0</v>
      </c>
      <c r="M199" s="59"/>
    </row>
    <row r="200" spans="2:13" x14ac:dyDescent="0.25">
      <c r="B200" s="66" t="s">
        <v>110</v>
      </c>
      <c r="C200" s="67"/>
      <c r="D200" s="67"/>
      <c r="E200" s="67"/>
      <c r="F200" s="67"/>
      <c r="G200" s="67"/>
      <c r="H200" s="77">
        <f>SUBTOTAL(109,ventas_b_mes12[IMPORTE NETO])</f>
        <v>0</v>
      </c>
      <c r="I200" s="77">
        <f>SUBTOTAL(109,ventas_b_mes12[IVA 21%])</f>
        <v>0</v>
      </c>
      <c r="J200" s="78">
        <f>SUBTOTAL(109,ventas_b_mes12[IVA 10,5%])</f>
        <v>0</v>
      </c>
      <c r="K200" s="78">
        <f>SUBTOTAL(109,ventas_b_mes12[EXENTO])</f>
        <v>0</v>
      </c>
      <c r="L200" s="78">
        <f>SUBTOTAL(109,ventas_b_mes12[TOTAL])</f>
        <v>0</v>
      </c>
      <c r="M200" s="68">
        <f>SUBTOTAL(103,ventas_b_mes12[Provincia])</f>
        <v>0</v>
      </c>
    </row>
    <row r="207" spans="2:13" ht="15.75" thickBot="1" x14ac:dyDescent="0.3"/>
    <row r="208" spans="2:13" ht="15.75" thickTop="1" x14ac:dyDescent="0.25">
      <c r="C208" s="625" t="s">
        <v>66</v>
      </c>
      <c r="D208" s="625"/>
      <c r="E208" s="625"/>
      <c r="F208" s="625"/>
      <c r="G208" s="625"/>
      <c r="H208" s="32"/>
      <c r="I208" s="32"/>
      <c r="J208" s="32"/>
    </row>
    <row r="209" spans="3:12" ht="15.75" x14ac:dyDescent="0.25">
      <c r="C209" s="113" t="s">
        <v>67</v>
      </c>
      <c r="D209" s="114" t="s">
        <v>68</v>
      </c>
      <c r="E209" s="114" t="s">
        <v>112</v>
      </c>
      <c r="F209" s="114" t="s">
        <v>3</v>
      </c>
      <c r="G209" s="114" t="s">
        <v>4</v>
      </c>
      <c r="H209" s="115" t="s">
        <v>69</v>
      </c>
      <c r="I209" s="115" t="s">
        <v>70</v>
      </c>
      <c r="J209" s="115" t="s">
        <v>71</v>
      </c>
      <c r="K209" s="115" t="s">
        <v>72</v>
      </c>
      <c r="L209" s="115" t="s">
        <v>73</v>
      </c>
    </row>
    <row r="210" spans="3:12" x14ac:dyDescent="0.25">
      <c r="C210" s="116"/>
      <c r="D210" s="117"/>
      <c r="E210" s="117"/>
      <c r="F210" s="118"/>
      <c r="G210" s="53" t="str">
        <f>IFERROR(IF(Retenciones_mes12[[#This Row],[CUIT]]="","-",VLOOKUP(Retenciones_mes12[[#This Row],[CUIT]],Lista_CUIT[#All],2,0)),"CUIT NO CARGADO")</f>
        <v>-</v>
      </c>
      <c r="H210" s="119"/>
      <c r="I210" s="119"/>
      <c r="J210" s="119"/>
      <c r="K210" s="119"/>
      <c r="L210" s="119"/>
    </row>
    <row r="211" spans="3:12" x14ac:dyDescent="0.25">
      <c r="C211" s="116"/>
      <c r="D211" s="117"/>
      <c r="E211" s="117"/>
      <c r="F211" s="118"/>
      <c r="G211" s="53" t="str">
        <f>IFERROR(IF(Retenciones_mes12[[#This Row],[CUIT]]="","-",VLOOKUP(Retenciones_mes12[[#This Row],[CUIT]],Lista_CUIT[#All],2,0)),"CUIT NO CARGADO")</f>
        <v>-</v>
      </c>
      <c r="H211" s="119"/>
      <c r="I211" s="119"/>
      <c r="J211" s="119"/>
      <c r="K211" s="119"/>
      <c r="L211" s="119"/>
    </row>
    <row r="212" spans="3:12" x14ac:dyDescent="0.25">
      <c r="C212" s="116"/>
      <c r="D212" s="117"/>
      <c r="E212" s="117"/>
      <c r="F212" s="118"/>
      <c r="G212" s="53" t="str">
        <f>IFERROR(IF(Retenciones_mes12[[#This Row],[CUIT]]="","-",VLOOKUP(Retenciones_mes12[[#This Row],[CUIT]],Lista_CUIT[#All],2,0)),"CUIT NO CARGADO")</f>
        <v>-</v>
      </c>
      <c r="H212" s="119"/>
      <c r="I212" s="119"/>
      <c r="J212" s="119"/>
      <c r="K212" s="119"/>
      <c r="L212" s="119"/>
    </row>
    <row r="213" spans="3:12" x14ac:dyDescent="0.25">
      <c r="C213" s="116"/>
      <c r="D213" s="117"/>
      <c r="E213" s="117"/>
      <c r="F213" s="118"/>
      <c r="G213" s="53" t="str">
        <f>IFERROR(IF(Retenciones_mes12[[#This Row],[CUIT]]="","-",VLOOKUP(Retenciones_mes12[[#This Row],[CUIT]],Lista_CUIT[#All],2,0)),"CUIT NO CARGADO")</f>
        <v>-</v>
      </c>
      <c r="H213" s="119"/>
      <c r="I213" s="119"/>
      <c r="J213" s="119"/>
      <c r="K213" s="119"/>
      <c r="L213" s="119"/>
    </row>
    <row r="214" spans="3:12" x14ac:dyDescent="0.25">
      <c r="D214" s="117"/>
      <c r="E214" s="117"/>
      <c r="G214" s="53" t="str">
        <f>IFERROR(IF(Retenciones_mes12[[#This Row],[CUIT]]="","-",VLOOKUP(Retenciones_mes12[[#This Row],[CUIT]],Lista_CUIT[#All],2,0)),"CUIT NO CARGADO")</f>
        <v>-</v>
      </c>
    </row>
    <row r="215" spans="3:12" x14ac:dyDescent="0.25">
      <c r="C215" s="33"/>
    </row>
  </sheetData>
  <mergeCells count="20">
    <mergeCell ref="C208:G208"/>
    <mergeCell ref="B4:E4"/>
    <mergeCell ref="G4:H4"/>
    <mergeCell ref="J4:K4"/>
    <mergeCell ref="M4:N4"/>
    <mergeCell ref="D143:K143"/>
    <mergeCell ref="B176:J176"/>
    <mergeCell ref="K176:M176"/>
    <mergeCell ref="B178:C178"/>
    <mergeCell ref="B192:C192"/>
    <mergeCell ref="P4:R4"/>
    <mergeCell ref="D134:L13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94:L199" xr:uid="{00000000-0002-0000-0C00-000000000000}">
      <formula1>IF($C194=8,H194&lt;0,H194&gt;=0)</formula1>
    </dataValidation>
    <dataValidation type="custom" allowBlank="1" showInputMessage="1" showErrorMessage="1" sqref="L182:L184" xr:uid="{00000000-0002-0000-0C00-000001000000}">
      <formula1>IF(#REF!=3,#REF!&lt;0,#REF!&gt;=0)</formula1>
    </dataValidation>
    <dataValidation type="custom" allowBlank="1" showInputMessage="1" showErrorMessage="1" sqref="L180:L181" xr:uid="{00000000-0002-0000-0C00-000002000000}">
      <formula1>IF($C9=3,L9&lt;0,L9&gt;=0)</formula1>
    </dataValidation>
    <dataValidation type="whole" allowBlank="1" showInputMessage="1" showErrorMessage="1" sqref="C194:C199" xr:uid="{00000000-0002-0000-0C00-000003000000}">
      <formula1>6</formula1>
      <formula2>8</formula2>
    </dataValidation>
    <dataValidation type="custom" allowBlank="1" showInputMessage="1" showErrorMessage="1" sqref="H180:K180 H182:K182 H184:K184 H186:K186" xr:uid="{00000000-0002-0000-0C00-000004000000}">
      <formula1>IF($C180=3,H180&lt;0,H180&gt;=0)</formula1>
    </dataValidation>
    <dataValidation type="whole" allowBlank="1" showInputMessage="1" showErrorMessage="1" sqref="C130:C133 C180:C188 C9:C128" xr:uid="{00000000-0002-0000-0C00-000005000000}">
      <formula1>1</formula1>
      <formula2>3</formula2>
    </dataValidation>
    <dataValidation type="date" allowBlank="1" showInputMessage="1" showErrorMessage="1" sqref="D136:D138 B180:B188 D145:D170 B130:B133 B194:B199 B9:B128" xr:uid="{00000000-0002-0000-0C00-000006000000}">
      <formula1>40179</formula1>
      <formula2>TODAY()</formula2>
    </dataValidation>
    <dataValidation type="whole" allowBlank="1" showInputMessage="1" showErrorMessage="1" sqref="G145:G170 F180:F188 F194:F199 F9:F128" xr:uid="{00000000-0002-0000-0C00-000007000000}">
      <formula1>20000000000</formula1>
      <formula2>33999999999</formula2>
    </dataValidation>
    <dataValidation type="whole" allowBlank="1" showInputMessage="1" showErrorMessage="1" sqref="F145:F170 E180:E188 E194:E199 E9:E128" xr:uid="{00000000-0002-0000-0C00-000008000000}">
      <formula1>1</formula1>
      <formula2>99999999</formula2>
    </dataValidation>
    <dataValidation type="whole" allowBlank="1" showInputMessage="1" showErrorMessage="1" sqref="E145:E170 D180:D188 D194:D199 D9:D128" xr:uid="{00000000-0002-0000-0C00-000009000000}">
      <formula1>1</formula1>
      <formula2>9999</formula2>
    </dataValidation>
    <dataValidation type="custom" allowBlank="1" showInputMessage="1" showErrorMessage="1" sqref="L185:L186" xr:uid="{00000000-0002-0000-0C00-00000A000000}">
      <formula1>IF($C129=3,L129&lt;0,L129&gt;=0)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28" xr:uid="{00000000-0002-0000-0C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ColWidth="11.5703125" defaultRowHeight="15" x14ac:dyDescent="0.2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 x14ac:dyDescent="0.25">
      <c r="B2" s="639" t="s">
        <v>59</v>
      </c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</row>
    <row r="3" spans="2:17" ht="10.9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635">
        <f>'Ene-25'!N1</f>
        <v>45658</v>
      </c>
      <c r="C4" s="636"/>
      <c r="D4" s="636"/>
      <c r="E4" s="637"/>
      <c r="F4" s="3"/>
      <c r="G4" s="635">
        <f>EDATE($B$4,1)</f>
        <v>45689</v>
      </c>
      <c r="H4" s="636"/>
      <c r="I4" s="636"/>
      <c r="J4" s="637"/>
      <c r="K4" s="3"/>
      <c r="L4" s="635">
        <f>EDATE($G$4,1)</f>
        <v>45717</v>
      </c>
      <c r="M4" s="636"/>
      <c r="N4" s="636"/>
      <c r="O4" s="637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 x14ac:dyDescent="0.25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638" t="s">
        <v>54</v>
      </c>
      <c r="C28" s="638"/>
      <c r="D28" s="638"/>
      <c r="E28" s="8">
        <v>0</v>
      </c>
      <c r="F28" s="3"/>
      <c r="G28" s="638" t="s">
        <v>55</v>
      </c>
      <c r="H28" s="638"/>
      <c r="I28" s="638"/>
      <c r="J28" s="8">
        <v>0</v>
      </c>
      <c r="K28" s="3"/>
      <c r="L28" s="638" t="s">
        <v>56</v>
      </c>
      <c r="M28" s="638"/>
      <c r="N28" s="638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635">
        <f>EDATE($L$4,1)</f>
        <v>45748</v>
      </c>
      <c r="C30" s="636"/>
      <c r="D30" s="636"/>
      <c r="E30" s="637"/>
      <c r="F30" s="3"/>
      <c r="G30" s="635">
        <f>EDATE($B$30,1)</f>
        <v>45778</v>
      </c>
      <c r="H30" s="636"/>
      <c r="I30" s="636"/>
      <c r="J30" s="637"/>
      <c r="K30" s="3"/>
      <c r="L30" s="635">
        <f>EDATE($G$30,1)</f>
        <v>45809</v>
      </c>
      <c r="M30" s="636"/>
      <c r="N30" s="636"/>
      <c r="O30" s="637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638"/>
      <c r="C54" s="638"/>
      <c r="D54" s="638"/>
      <c r="E54" s="8">
        <v>0</v>
      </c>
      <c r="F54" s="3"/>
      <c r="G54" s="638"/>
      <c r="H54" s="638"/>
      <c r="I54" s="638"/>
      <c r="J54" s="8">
        <v>0</v>
      </c>
      <c r="K54" s="3"/>
      <c r="L54" s="638"/>
      <c r="M54" s="638"/>
      <c r="N54" s="638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635">
        <f>EDATE($L$30,1)</f>
        <v>45839</v>
      </c>
      <c r="C56" s="636"/>
      <c r="D56" s="636"/>
      <c r="E56" s="637"/>
      <c r="F56" s="3"/>
      <c r="G56" s="635">
        <f>EDATE($B$56,1)</f>
        <v>45870</v>
      </c>
      <c r="H56" s="636"/>
      <c r="I56" s="636"/>
      <c r="J56" s="637"/>
      <c r="K56" s="3"/>
      <c r="L56" s="635">
        <f>EDATE($G$56,1)</f>
        <v>45901</v>
      </c>
      <c r="M56" s="636"/>
      <c r="N56" s="636"/>
      <c r="O56" s="637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638"/>
      <c r="C80" s="638"/>
      <c r="D80" s="638"/>
      <c r="E80" s="8">
        <v>0</v>
      </c>
      <c r="F80" s="3"/>
      <c r="G80" s="638"/>
      <c r="H80" s="638"/>
      <c r="I80" s="638"/>
      <c r="J80" s="8">
        <v>0</v>
      </c>
      <c r="K80" s="3"/>
      <c r="L80" s="638"/>
      <c r="M80" s="638"/>
      <c r="N80" s="638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635">
        <f>EDATE($L$56,1)</f>
        <v>45931</v>
      </c>
      <c r="C82" s="636"/>
      <c r="D82" s="636"/>
      <c r="E82" s="637"/>
      <c r="F82" s="3"/>
      <c r="G82" s="635">
        <f>EDATE($B$82,1)</f>
        <v>45962</v>
      </c>
      <c r="H82" s="636"/>
      <c r="I82" s="636"/>
      <c r="J82" s="637"/>
      <c r="K82" s="3"/>
      <c r="L82" s="635">
        <f>EDATE($G$82,1)</f>
        <v>45992</v>
      </c>
      <c r="M82" s="636"/>
      <c r="N82" s="636"/>
      <c r="O82" s="637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638"/>
      <c r="C106" s="638"/>
      <c r="D106" s="638"/>
      <c r="E106" s="8">
        <v>0</v>
      </c>
      <c r="F106" s="3"/>
      <c r="G106" s="638"/>
      <c r="H106" s="638"/>
      <c r="I106" s="638"/>
      <c r="J106" s="8">
        <v>0</v>
      </c>
      <c r="K106" s="3"/>
      <c r="L106" s="638"/>
      <c r="M106" s="638"/>
      <c r="N106" s="638"/>
      <c r="O106" s="8">
        <v>0</v>
      </c>
    </row>
    <row r="107" spans="2:15" x14ac:dyDescent="0.25">
      <c r="B107" s="3"/>
      <c r="C107" s="3"/>
      <c r="D107" s="3"/>
      <c r="E107" s="3"/>
      <c r="L107" s="634"/>
      <c r="M107" s="634"/>
      <c r="N107" s="634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topLeftCell="A32" workbookViewId="0">
      <selection activeCell="H51" sqref="H50:H51"/>
    </sheetView>
  </sheetViews>
  <sheetFormatPr baseColWidth="10" defaultColWidth="0" defaultRowHeight="15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639" t="s">
        <v>60</v>
      </c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635">
        <f>'Ene-25'!N1</f>
        <v>45658</v>
      </c>
      <c r="C4" s="636"/>
      <c r="D4" s="636"/>
      <c r="E4" s="637"/>
      <c r="F4" s="3"/>
      <c r="G4" s="635">
        <f>EDATE($B$4,1)</f>
        <v>45689</v>
      </c>
      <c r="H4" s="636"/>
      <c r="I4" s="636"/>
      <c r="J4" s="637"/>
      <c r="K4" s="3"/>
      <c r="L4" s="635">
        <f>EDATE($B$4,2)</f>
        <v>45717</v>
      </c>
      <c r="M4" s="636"/>
      <c r="N4" s="636"/>
      <c r="O4" s="637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635">
        <f>EDATE($B$4,3)</f>
        <v>45748</v>
      </c>
      <c r="C11" s="636"/>
      <c r="D11" s="636"/>
      <c r="E11" s="637"/>
      <c r="F11" s="3"/>
      <c r="G11" s="635">
        <f>EDATE($B$4,4)</f>
        <v>45778</v>
      </c>
      <c r="H11" s="636"/>
      <c r="I11" s="636"/>
      <c r="J11" s="637"/>
      <c r="K11" s="3"/>
      <c r="L11" s="635">
        <f>EDATE($B$4,5)</f>
        <v>45809</v>
      </c>
      <c r="M11" s="636"/>
      <c r="N11" s="636"/>
      <c r="O11" s="637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635">
        <f>EDATE($B$4,6)</f>
        <v>45839</v>
      </c>
      <c r="C18" s="636"/>
      <c r="D18" s="636"/>
      <c r="E18" s="637"/>
      <c r="F18" s="3"/>
      <c r="G18" s="635">
        <f>EDATE($B$4,7)</f>
        <v>45870</v>
      </c>
      <c r="H18" s="636"/>
      <c r="I18" s="636"/>
      <c r="J18" s="637"/>
      <c r="K18" s="3"/>
      <c r="L18" s="635">
        <f>EDATE($B$4,8)</f>
        <v>45901</v>
      </c>
      <c r="M18" s="636"/>
      <c r="N18" s="636"/>
      <c r="O18" s="637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635">
        <f>EDATE($B$4,9)</f>
        <v>45931</v>
      </c>
      <c r="C25" s="636"/>
      <c r="D25" s="636"/>
      <c r="E25" s="637"/>
      <c r="F25" s="3"/>
      <c r="G25" s="635">
        <f>EDATE($B$4,10)</f>
        <v>45962</v>
      </c>
      <c r="H25" s="636"/>
      <c r="I25" s="636"/>
      <c r="J25" s="637"/>
      <c r="K25" s="3"/>
      <c r="L25" s="635">
        <f>EDATE($B$4,11)</f>
        <v>45992</v>
      </c>
      <c r="M25" s="636"/>
      <c r="N25" s="636"/>
      <c r="O25" s="637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1:J22"/>
  <sheetViews>
    <sheetView workbookViewId="0">
      <selection activeCell="G19" sqref="G19"/>
    </sheetView>
  </sheetViews>
  <sheetFormatPr baseColWidth="10" defaultColWidth="11.5703125" defaultRowHeight="15" x14ac:dyDescent="0.25"/>
  <sheetData>
    <row r="1" spans="1:10" x14ac:dyDescent="0.25">
      <c r="A1" t="s">
        <v>5</v>
      </c>
      <c r="B1" t="s">
        <v>2420</v>
      </c>
      <c r="C1" t="s">
        <v>19</v>
      </c>
      <c r="D1" t="s">
        <v>2421</v>
      </c>
      <c r="F1" t="s">
        <v>2238</v>
      </c>
    </row>
    <row r="2" spans="1:10" x14ac:dyDescent="0.25">
      <c r="A2">
        <v>125</v>
      </c>
      <c r="B2">
        <f>A2*21/100</f>
        <v>26.25</v>
      </c>
      <c r="C2">
        <v>63</v>
      </c>
      <c r="D2">
        <v>1400</v>
      </c>
      <c r="G2" t="s">
        <v>5</v>
      </c>
      <c r="H2" t="s">
        <v>2420</v>
      </c>
      <c r="I2" t="s">
        <v>19</v>
      </c>
      <c r="J2" t="s">
        <v>2421</v>
      </c>
    </row>
    <row r="3" spans="1:10" x14ac:dyDescent="0.25">
      <c r="A3">
        <v>2100</v>
      </c>
      <c r="B3">
        <f t="shared" ref="B3:B21" si="0">A3*21/100</f>
        <v>441</v>
      </c>
      <c r="C3">
        <v>1050</v>
      </c>
      <c r="G3">
        <v>24</v>
      </c>
      <c r="H3">
        <f>G3*21/100</f>
        <v>5.04</v>
      </c>
      <c r="I3">
        <v>285</v>
      </c>
      <c r="J3">
        <v>380</v>
      </c>
    </row>
    <row r="4" spans="1:10" x14ac:dyDescent="0.25">
      <c r="A4">
        <v>50</v>
      </c>
      <c r="B4">
        <f t="shared" si="0"/>
        <v>10.5</v>
      </c>
      <c r="G4">
        <v>5</v>
      </c>
      <c r="H4">
        <f t="shared" ref="H4:H21" si="1">G4*21/100</f>
        <v>1.05</v>
      </c>
    </row>
    <row r="5" spans="1:10" x14ac:dyDescent="0.25">
      <c r="A5">
        <v>35000</v>
      </c>
      <c r="B5">
        <f t="shared" si="0"/>
        <v>7350</v>
      </c>
      <c r="G5">
        <v>150</v>
      </c>
      <c r="H5">
        <f t="shared" si="1"/>
        <v>31.5</v>
      </c>
    </row>
    <row r="6" spans="1:10" x14ac:dyDescent="0.25">
      <c r="A6">
        <v>50</v>
      </c>
      <c r="B6">
        <f t="shared" si="0"/>
        <v>10.5</v>
      </c>
      <c r="G6">
        <v>300</v>
      </c>
      <c r="H6">
        <f t="shared" si="1"/>
        <v>63</v>
      </c>
    </row>
    <row r="7" spans="1:10" x14ac:dyDescent="0.25">
      <c r="B7">
        <f t="shared" si="0"/>
        <v>0</v>
      </c>
      <c r="G7">
        <v>200</v>
      </c>
      <c r="H7">
        <f t="shared" si="1"/>
        <v>42</v>
      </c>
    </row>
    <row r="8" spans="1:10" x14ac:dyDescent="0.25">
      <c r="B8">
        <f t="shared" si="0"/>
        <v>0</v>
      </c>
      <c r="G8">
        <v>300</v>
      </c>
      <c r="H8">
        <f t="shared" si="1"/>
        <v>63</v>
      </c>
    </row>
    <row r="9" spans="1:10" x14ac:dyDescent="0.25">
      <c r="B9">
        <f t="shared" si="0"/>
        <v>0</v>
      </c>
      <c r="G9">
        <v>25</v>
      </c>
      <c r="H9">
        <f t="shared" si="1"/>
        <v>5.25</v>
      </c>
    </row>
    <row r="10" spans="1:10" x14ac:dyDescent="0.25">
      <c r="B10">
        <f t="shared" si="0"/>
        <v>0</v>
      </c>
      <c r="G10">
        <v>300</v>
      </c>
      <c r="H10">
        <f t="shared" si="1"/>
        <v>63</v>
      </c>
    </row>
    <row r="11" spans="1:10" x14ac:dyDescent="0.25">
      <c r="B11">
        <f t="shared" si="0"/>
        <v>0</v>
      </c>
      <c r="G11">
        <v>150</v>
      </c>
      <c r="H11">
        <f t="shared" si="1"/>
        <v>31.5</v>
      </c>
    </row>
    <row r="12" spans="1:10" x14ac:dyDescent="0.25">
      <c r="B12">
        <f t="shared" si="0"/>
        <v>0</v>
      </c>
      <c r="G12">
        <v>175</v>
      </c>
      <c r="H12">
        <f t="shared" si="1"/>
        <v>36.75</v>
      </c>
    </row>
    <row r="13" spans="1:10" x14ac:dyDescent="0.25">
      <c r="B13">
        <f t="shared" si="0"/>
        <v>0</v>
      </c>
      <c r="G13">
        <v>175</v>
      </c>
      <c r="H13">
        <f t="shared" si="1"/>
        <v>36.75</v>
      </c>
    </row>
    <row r="14" spans="1:10" x14ac:dyDescent="0.25">
      <c r="B14">
        <f t="shared" si="0"/>
        <v>0</v>
      </c>
      <c r="G14">
        <v>800</v>
      </c>
      <c r="H14">
        <f t="shared" si="1"/>
        <v>168</v>
      </c>
    </row>
    <row r="15" spans="1:10" x14ac:dyDescent="0.25">
      <c r="B15">
        <f t="shared" si="0"/>
        <v>0</v>
      </c>
      <c r="G15">
        <v>150</v>
      </c>
      <c r="H15">
        <f t="shared" si="1"/>
        <v>31.5</v>
      </c>
    </row>
    <row r="16" spans="1:10" x14ac:dyDescent="0.25">
      <c r="B16">
        <f t="shared" si="0"/>
        <v>0</v>
      </c>
      <c r="G16">
        <v>150</v>
      </c>
      <c r="H16">
        <f t="shared" si="1"/>
        <v>31.5</v>
      </c>
    </row>
    <row r="17" spans="1:10" x14ac:dyDescent="0.25">
      <c r="B17">
        <f t="shared" si="0"/>
        <v>0</v>
      </c>
      <c r="G17">
        <v>9500</v>
      </c>
      <c r="H17">
        <f t="shared" si="1"/>
        <v>1995</v>
      </c>
    </row>
    <row r="18" spans="1:10" x14ac:dyDescent="0.25">
      <c r="B18">
        <f t="shared" si="0"/>
        <v>0</v>
      </c>
      <c r="G18">
        <v>25</v>
      </c>
      <c r="H18">
        <f t="shared" si="1"/>
        <v>5.25</v>
      </c>
    </row>
    <row r="19" spans="1:10" x14ac:dyDescent="0.25">
      <c r="B19">
        <f t="shared" ref="B19" si="2">A19*21/100</f>
        <v>0</v>
      </c>
      <c r="H19">
        <f t="shared" ref="H19" si="3">G19*21/100</f>
        <v>0</v>
      </c>
    </row>
    <row r="20" spans="1:10" x14ac:dyDescent="0.25">
      <c r="B20">
        <f t="shared" ref="B20" si="4">A20*21/100</f>
        <v>0</v>
      </c>
      <c r="H20">
        <f t="shared" ref="H20" si="5">G20*21/100</f>
        <v>0</v>
      </c>
    </row>
    <row r="21" spans="1:10" x14ac:dyDescent="0.25">
      <c r="B21">
        <f t="shared" si="0"/>
        <v>0</v>
      </c>
      <c r="H21">
        <f t="shared" si="1"/>
        <v>0</v>
      </c>
    </row>
    <row r="22" spans="1:10" x14ac:dyDescent="0.25">
      <c r="A22">
        <f>SUM(A2:A21)</f>
        <v>37325</v>
      </c>
      <c r="B22">
        <f>SUM(B2:B21)</f>
        <v>7838.25</v>
      </c>
      <c r="C22">
        <f t="shared" ref="C22:D22" si="6">SUM(C2:C21)</f>
        <v>1113</v>
      </c>
      <c r="D22">
        <f t="shared" si="6"/>
        <v>1400</v>
      </c>
      <c r="G22">
        <f>SUM(G3:G21)</f>
        <v>12429</v>
      </c>
      <c r="H22">
        <f t="shared" ref="H22:J22" si="7">SUM(H3:H21)</f>
        <v>2610.09</v>
      </c>
      <c r="I22">
        <f t="shared" si="7"/>
        <v>285</v>
      </c>
      <c r="J22">
        <f t="shared" si="7"/>
        <v>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Ene-25</vt:lpstr>
      <vt:lpstr>Feb-25</vt:lpstr>
      <vt:lpstr>Mar-25</vt:lpstr>
      <vt:lpstr>Abr-25</vt:lpstr>
      <vt:lpstr>May-25</vt:lpstr>
      <vt:lpstr>Jun-25</vt:lpstr>
      <vt:lpstr>Jul-25</vt:lpstr>
      <vt:lpstr>Ago-25</vt:lpstr>
      <vt:lpstr>Sep-25</vt:lpstr>
      <vt:lpstr>Oct-25</vt:lpstr>
      <vt:lpstr>Nov-25</vt:lpstr>
      <vt:lpstr>Dic-25</vt:lpstr>
      <vt:lpstr>Asto-Cpras</vt:lpstr>
      <vt:lpstr>Asto-Vtas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Gaspar Gullo</cp:lastModifiedBy>
  <dcterms:created xsi:type="dcterms:W3CDTF">2006-09-16T00:00:00Z</dcterms:created>
  <dcterms:modified xsi:type="dcterms:W3CDTF">2026-04-28T16:46:05Z</dcterms:modified>
</cp:coreProperties>
</file>