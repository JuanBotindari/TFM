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Administrativos Estudio\EST-GASPAR\COPIATIVOS CORITEC\"/>
    </mc:Choice>
  </mc:AlternateContent>
  <xr:revisionPtr revIDLastSave="0" documentId="13_ncr:1_{EAAC27D9-2E28-4AB9-8BE9-CB177CB00FBD}" xr6:coauthVersionLast="47" xr6:coauthVersionMax="47" xr10:uidLastSave="{00000000-0000-0000-0000-000000000000}"/>
  <bookViews>
    <workbookView xWindow="30" yWindow="45" windowWidth="14790" windowHeight="15405" xr2:uid="{664DFFA7-E947-44C3-B8C6-130DE49C5EC3}"/>
  </bookViews>
  <sheets>
    <sheet name="Hoja1" sheetId="1" r:id="rId1"/>
  </sheets>
  <definedNames>
    <definedName name="_xlnm.Print_Area" localSheetId="0">Hoja1!$A$1:$W$893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90" i="1" l="1"/>
  <c r="O890" i="1"/>
  <c r="N890" i="1"/>
  <c r="M890" i="1"/>
  <c r="L890" i="1"/>
  <c r="K890" i="1"/>
  <c r="J890" i="1"/>
  <c r="I890" i="1"/>
  <c r="H890" i="1"/>
  <c r="G890" i="1"/>
  <c r="Q889" i="1"/>
  <c r="Q890" i="1" s="1"/>
  <c r="P853" i="1"/>
  <c r="O853" i="1"/>
  <c r="N853" i="1"/>
  <c r="M853" i="1"/>
  <c r="L853" i="1"/>
  <c r="K853" i="1"/>
  <c r="J853" i="1"/>
  <c r="I853" i="1"/>
  <c r="H853" i="1"/>
  <c r="G853" i="1"/>
  <c r="Q852" i="1"/>
  <c r="Q851" i="1"/>
  <c r="Q850" i="1"/>
  <c r="Q849" i="1"/>
  <c r="Q810" i="1"/>
  <c r="P810" i="1"/>
  <c r="O810" i="1"/>
  <c r="N810" i="1"/>
  <c r="M810" i="1"/>
  <c r="L810" i="1"/>
  <c r="K810" i="1"/>
  <c r="J810" i="1"/>
  <c r="I810" i="1"/>
  <c r="H810" i="1"/>
  <c r="I811" i="1" s="1"/>
  <c r="G810" i="1"/>
  <c r="P765" i="1"/>
  <c r="O765" i="1"/>
  <c r="N765" i="1"/>
  <c r="M765" i="1"/>
  <c r="L765" i="1"/>
  <c r="K765" i="1"/>
  <c r="J765" i="1"/>
  <c r="I765" i="1"/>
  <c r="H765" i="1"/>
  <c r="G765" i="1"/>
  <c r="Q764" i="1"/>
  <c r="Q763" i="1"/>
  <c r="Q762" i="1"/>
  <c r="Q761" i="1"/>
  <c r="Q760" i="1"/>
  <c r="Q759" i="1"/>
  <c r="Q758" i="1"/>
  <c r="Q757" i="1"/>
  <c r="P721" i="1"/>
  <c r="O721" i="1"/>
  <c r="N721" i="1"/>
  <c r="M721" i="1"/>
  <c r="L721" i="1"/>
  <c r="K721" i="1"/>
  <c r="J721" i="1"/>
  <c r="I721" i="1"/>
  <c r="H721" i="1"/>
  <c r="I722" i="1" s="1"/>
  <c r="G721" i="1"/>
  <c r="Q720" i="1"/>
  <c r="Q719" i="1"/>
  <c r="Q718" i="1"/>
  <c r="Q721" i="1" s="1"/>
  <c r="P684" i="1"/>
  <c r="O684" i="1"/>
  <c r="N684" i="1"/>
  <c r="M684" i="1"/>
  <c r="L684" i="1"/>
  <c r="K684" i="1"/>
  <c r="J684" i="1"/>
  <c r="I684" i="1"/>
  <c r="H684" i="1"/>
  <c r="G684" i="1"/>
  <c r="Q683" i="1"/>
  <c r="Q682" i="1"/>
  <c r="Q684" i="1" s="1"/>
  <c r="P629" i="1"/>
  <c r="O629" i="1"/>
  <c r="N629" i="1"/>
  <c r="M629" i="1"/>
  <c r="L629" i="1"/>
  <c r="K629" i="1"/>
  <c r="J629" i="1"/>
  <c r="I629" i="1"/>
  <c r="H629" i="1"/>
  <c r="G629" i="1"/>
  <c r="Q628" i="1"/>
  <c r="Q627" i="1"/>
  <c r="Q626" i="1"/>
  <c r="P586" i="1"/>
  <c r="O586" i="1"/>
  <c r="N586" i="1"/>
  <c r="M586" i="1"/>
  <c r="L586" i="1"/>
  <c r="K586" i="1"/>
  <c r="J586" i="1"/>
  <c r="I586" i="1"/>
  <c r="H586" i="1"/>
  <c r="G586" i="1"/>
  <c r="Q585" i="1"/>
  <c r="Q584" i="1"/>
  <c r="P549" i="1"/>
  <c r="O549" i="1"/>
  <c r="N549" i="1"/>
  <c r="M549" i="1"/>
  <c r="L549" i="1"/>
  <c r="K549" i="1"/>
  <c r="J549" i="1"/>
  <c r="I549" i="1"/>
  <c r="H549" i="1"/>
  <c r="G549" i="1"/>
  <c r="Q548" i="1"/>
  <c r="Q547" i="1"/>
  <c r="Q546" i="1"/>
  <c r="Q545" i="1"/>
  <c r="P503" i="1"/>
  <c r="O503" i="1"/>
  <c r="N503" i="1"/>
  <c r="M503" i="1"/>
  <c r="L503" i="1"/>
  <c r="K503" i="1"/>
  <c r="J503" i="1"/>
  <c r="I503" i="1"/>
  <c r="H503" i="1"/>
  <c r="G503" i="1"/>
  <c r="Q502" i="1"/>
  <c r="Q501" i="1"/>
  <c r="Q500" i="1"/>
  <c r="Q499" i="1"/>
  <c r="P462" i="1"/>
  <c r="O462" i="1"/>
  <c r="N462" i="1"/>
  <c r="M462" i="1"/>
  <c r="L462" i="1"/>
  <c r="K462" i="1"/>
  <c r="J462" i="1"/>
  <c r="I462" i="1"/>
  <c r="H462" i="1"/>
  <c r="G462" i="1"/>
  <c r="Q461" i="1"/>
  <c r="Q460" i="1"/>
  <c r="Q459" i="1"/>
  <c r="Q458" i="1"/>
  <c r="Q457" i="1"/>
  <c r="P395" i="1"/>
  <c r="O395" i="1"/>
  <c r="N395" i="1"/>
  <c r="M395" i="1"/>
  <c r="L395" i="1"/>
  <c r="K395" i="1"/>
  <c r="J395" i="1"/>
  <c r="I395" i="1"/>
  <c r="H395" i="1"/>
  <c r="G395" i="1"/>
  <c r="Q394" i="1"/>
  <c r="Q393" i="1"/>
  <c r="Q392" i="1"/>
  <c r="Q391" i="1"/>
  <c r="Q390" i="1"/>
  <c r="P355" i="1"/>
  <c r="O355" i="1"/>
  <c r="N355" i="1"/>
  <c r="M355" i="1"/>
  <c r="L355" i="1"/>
  <c r="K355" i="1"/>
  <c r="J355" i="1"/>
  <c r="I355" i="1"/>
  <c r="H355" i="1"/>
  <c r="G355" i="1"/>
  <c r="Q354" i="1"/>
  <c r="Q353" i="1"/>
  <c r="Q352" i="1"/>
  <c r="P308" i="1"/>
  <c r="O308" i="1"/>
  <c r="N308" i="1"/>
  <c r="M308" i="1"/>
  <c r="L308" i="1"/>
  <c r="K308" i="1"/>
  <c r="J308" i="1"/>
  <c r="I308" i="1"/>
  <c r="H308" i="1"/>
  <c r="G308" i="1"/>
  <c r="Q307" i="1"/>
  <c r="Q306" i="1"/>
  <c r="Q305" i="1"/>
  <c r="Q304" i="1"/>
  <c r="Q303" i="1"/>
  <c r="Q260" i="1"/>
  <c r="P260" i="1"/>
  <c r="O260" i="1"/>
  <c r="N260" i="1"/>
  <c r="M260" i="1"/>
  <c r="L260" i="1"/>
  <c r="K260" i="1"/>
  <c r="J260" i="1"/>
  <c r="I260" i="1"/>
  <c r="H260" i="1"/>
  <c r="G260" i="1"/>
  <c r="Q192" i="1"/>
  <c r="P192" i="1"/>
  <c r="O192" i="1"/>
  <c r="N192" i="1"/>
  <c r="M192" i="1"/>
  <c r="L192" i="1"/>
  <c r="K192" i="1"/>
  <c r="J192" i="1"/>
  <c r="I192" i="1"/>
  <c r="H192" i="1"/>
  <c r="G192" i="1"/>
  <c r="Q113" i="1"/>
  <c r="P113" i="1"/>
  <c r="O113" i="1"/>
  <c r="N113" i="1"/>
  <c r="M113" i="1"/>
  <c r="L113" i="1"/>
  <c r="K113" i="1"/>
  <c r="J113" i="1"/>
  <c r="I113" i="1"/>
  <c r="H113" i="1"/>
  <c r="G113" i="1"/>
  <c r="Q45" i="1"/>
  <c r="P45" i="1"/>
  <c r="O45" i="1"/>
  <c r="N45" i="1"/>
  <c r="M45" i="1"/>
  <c r="L45" i="1"/>
  <c r="K45" i="1"/>
  <c r="J45" i="1"/>
  <c r="I45" i="1"/>
  <c r="H45" i="1"/>
  <c r="G45" i="1"/>
  <c r="I193" i="1" l="1"/>
  <c r="Q355" i="1"/>
  <c r="I356" i="1"/>
  <c r="I261" i="1"/>
  <c r="I309" i="1"/>
  <c r="I396" i="1"/>
  <c r="Q503" i="1"/>
  <c r="Q586" i="1"/>
  <c r="I685" i="1"/>
  <c r="Q853" i="1"/>
  <c r="I854" i="1"/>
  <c r="Q462" i="1"/>
  <c r="I630" i="1"/>
  <c r="I114" i="1"/>
  <c r="Q308" i="1"/>
  <c r="Q395" i="1"/>
  <c r="Q549" i="1"/>
  <c r="I463" i="1"/>
  <c r="I550" i="1"/>
  <c r="Q629" i="1"/>
  <c r="I46" i="1"/>
  <c r="I504" i="1"/>
  <c r="I587" i="1"/>
  <c r="Q765" i="1"/>
  <c r="I766" i="1"/>
  <c r="I891" i="1"/>
</calcChain>
</file>

<file path=xl/sharedStrings.xml><?xml version="1.0" encoding="utf-8"?>
<sst xmlns="http://schemas.openxmlformats.org/spreadsheetml/2006/main" count="1108" uniqueCount="297">
  <si>
    <t>LIBRO COMPRAS</t>
  </si>
  <si>
    <t>FECHA</t>
  </si>
  <si>
    <t>TIPO</t>
  </si>
  <si>
    <t>PTO VTA</t>
  </si>
  <si>
    <t>FC NRO</t>
  </si>
  <si>
    <t>CUIT</t>
  </si>
  <si>
    <t>RAZON SOCIAL</t>
  </si>
  <si>
    <t>NETO</t>
  </si>
  <si>
    <t xml:space="preserve">IVA 21 </t>
  </si>
  <si>
    <t>IVA 27%</t>
  </si>
  <si>
    <t>IVA 10,5%</t>
  </si>
  <si>
    <t>No Gravado</t>
  </si>
  <si>
    <t>Exento</t>
  </si>
  <si>
    <t>PERC. IVA</t>
  </si>
  <si>
    <t>PERC IIBB BS AS</t>
  </si>
  <si>
    <t>PERC. IIBB CABA</t>
  </si>
  <si>
    <t>Otros</t>
  </si>
  <si>
    <t>TOTAL</t>
  </si>
  <si>
    <t>SATDJIAN GUSTAVO ARTURO</t>
  </si>
  <si>
    <t>FEDERICI NICOLAS JOSE</t>
  </si>
  <si>
    <t>ROVLAN S.A.</t>
  </si>
  <si>
    <t>ORLANDO MARTIN ELIAS</t>
  </si>
  <si>
    <t>LOMIR SA</t>
  </si>
  <si>
    <t>ROLLS Y EMPANADAS SA</t>
  </si>
  <si>
    <t>COSTA DIEGO ALEJANDRO</t>
  </si>
  <si>
    <t>RIO 265 SRL</t>
  </si>
  <si>
    <t>SEMICONDUC. Y COMPON. SRL</t>
  </si>
  <si>
    <t>TREJO MARTIN DANIEL</t>
  </si>
  <si>
    <t>PINTURERIAS MAFER SOCIEDAD ANONIMA</t>
  </si>
  <si>
    <t>ELECTRODESCUENTO S.A.</t>
  </si>
  <si>
    <t>TERFICO SA</t>
  </si>
  <si>
    <t>LEPORT SH DE PORTELA JORGE FERNANDO Y LEAL JORGE ANGEL</t>
  </si>
  <si>
    <t>DONATO ALFREDO ENRIQUE Y PENSEL FRANCISCO JAVIER SH</t>
  </si>
  <si>
    <t>TAU DANIELA LEONOR</t>
  </si>
  <si>
    <t>NORFRIG SRL</t>
  </si>
  <si>
    <t>FEDERAL EXPRESS CORPORATION</t>
  </si>
  <si>
    <t>GRIDEL WALTER DIEGO</t>
  </si>
  <si>
    <t>FAMIQ SRL</t>
  </si>
  <si>
    <t>ELECTRONICA ELEMON SA</t>
  </si>
  <si>
    <t>CITILAN ARGENTINA SA</t>
  </si>
  <si>
    <t>Telefonica Moviles Argentina SA</t>
  </si>
  <si>
    <t>DHL EXPRESS ARG SA</t>
  </si>
  <si>
    <t>LINKEDSTORE ARGENTINA S.R.L.</t>
  </si>
  <si>
    <t>BANCO CREDICOOP</t>
  </si>
  <si>
    <t>SMUTT ERICA FERNANDA</t>
  </si>
  <si>
    <t>FIVELEV S.R.L.</t>
  </si>
  <si>
    <t>BIKE GROUP SA</t>
  </si>
  <si>
    <t>CURA BERNARDO</t>
  </si>
  <si>
    <t>UBINET S.A.</t>
  </si>
  <si>
    <t>Roberto A Caffaro</t>
  </si>
  <si>
    <t>MR DOG GROUP S.A.</t>
  </si>
  <si>
    <t>GRAFICA Y FOTOGRABADOS LA PLAZA SRL</t>
  </si>
  <si>
    <t>VINOLOGOS S.A.</t>
  </si>
  <si>
    <t>BERTOLINA SPORTS SOCIEDAD POR ACCIONES SIMPLIFICADA</t>
  </si>
  <si>
    <t>ALDERETE GUILLERMO RAUL</t>
  </si>
  <si>
    <t>STORAGE COMPAT S.A.</t>
  </si>
  <si>
    <t>VESCOVO CARLOS EDUARDO</t>
  </si>
  <si>
    <t>D WINSTOCK SRL</t>
  </si>
  <si>
    <t>OPER. DE EST. DE SERV. SA</t>
  </si>
  <si>
    <t>PLIN METAL SA</t>
  </si>
  <si>
    <t>MURIEGA CECILIA SOLEDAD</t>
  </si>
  <si>
    <t>SERVICIO INTEGRAL DE LIMPIEZA SRL</t>
  </si>
  <si>
    <t>DISTRI AIRES SRL</t>
  </si>
  <si>
    <t>MAQUINAS E INSUMOS S.R.L.</t>
  </si>
  <si>
    <t>BAGUI S.A.</t>
  </si>
  <si>
    <t>ASM MOTOS SRL</t>
  </si>
  <si>
    <t>NORCEL STORE SRL</t>
  </si>
  <si>
    <t>CARLOS ANDRETICH SA</t>
  </si>
  <si>
    <t>HZ ELECTRICIDAD SRL</t>
  </si>
  <si>
    <t>HERRAMIENTAS DEL SUR S.A.</t>
  </si>
  <si>
    <t>COMEX MARIA SA</t>
  </si>
  <si>
    <t>RIOS GOMEZ JOSE ANTONIO</t>
  </si>
  <si>
    <t>LASERTEC INGENIERIA S.R.L.</t>
  </si>
  <si>
    <t>FUNK MATIAS NICOLAS</t>
  </si>
  <si>
    <t>TITAN SELLER S.R.L.</t>
  </si>
  <si>
    <t xml:space="preserve">ALISSING </t>
  </si>
  <si>
    <t>JORVICAL ACEROS SA</t>
  </si>
  <si>
    <t>KURIABE S. A.</t>
  </si>
  <si>
    <t>FERNANDEZ NATALIA S. Y FERNANDEZ HERNAN P. S.H.</t>
  </si>
  <si>
    <t>DIGAS SRL</t>
  </si>
  <si>
    <t xml:space="preserve">SUMINISTROS Y TUBERIAS </t>
  </si>
  <si>
    <t>BUREAU VERITAS ARGENTINA SA</t>
  </si>
  <si>
    <t>DURAN MARCELO ALEJANDRO Y FIOROTTO AMERICO ANTONIO SH</t>
  </si>
  <si>
    <t>HIPERCOM SRL</t>
  </si>
  <si>
    <t>COMPONENTES ELECTRICOS SA</t>
  </si>
  <si>
    <t>MALAGA GROUP SRL</t>
  </si>
  <si>
    <t>AGUJUL SRL</t>
  </si>
  <si>
    <t>GRUPO COLORADO SA</t>
  </si>
  <si>
    <t>PINTOS SHMIDT ALDANA MARCELA Y SACK ADRIANA CRISTINA SH</t>
  </si>
  <si>
    <t>TC TIENDAS AR S.R.L.</t>
  </si>
  <si>
    <t>ELECTROCOMPONENTES SA</t>
  </si>
  <si>
    <t>VAZQUEZ DANIEL OSCAR</t>
  </si>
  <si>
    <t>BULONERA SUR S.A.</t>
  </si>
  <si>
    <t>EVALUACION MEDIOAMBIENTAL S.R.L.</t>
  </si>
  <si>
    <t>COMERCIAL MGM SRL</t>
  </si>
  <si>
    <t>TERGEN SRL</t>
  </si>
  <si>
    <t>MOROLDO EMILIANO DANIEL</t>
  </si>
  <si>
    <t>D LED SOCIEDAD DE HECHO DE DIEGO NICOLAS BARSKY Y DAMIAN DANEL SPIVAK</t>
  </si>
  <si>
    <t>EMELINT S.R.L.</t>
  </si>
  <si>
    <t>BIRD COMERCIALIZACION IMPORTACION Y SERVICIOS S.R.L.</t>
  </si>
  <si>
    <t>RIO 265 S.R.L.</t>
  </si>
  <si>
    <t>GOMEZ FERNANDO ALBERTO</t>
  </si>
  <si>
    <t>SIRTAUTAS ALBERTO IVAN</t>
  </si>
  <si>
    <t>FIGUEIRAS KARINA BEATRIZ</t>
  </si>
  <si>
    <t>REA PABLO</t>
  </si>
  <si>
    <t>PONCE JUAN MANUEL</t>
  </si>
  <si>
    <t>HERRERO ANZORENA MATIAS</t>
  </si>
  <si>
    <t>DUAITEK SRL</t>
  </si>
  <si>
    <t>DHL EXPRESS (ARGENTINA) S.A.</t>
  </si>
  <si>
    <t>PINTOS SCHMIDT ALDANA MARCELA Y SACK ADRIANA CRISTINA SH</t>
  </si>
  <si>
    <t>OLIVEAR S. R. L.</t>
  </si>
  <si>
    <t>J Y M COMPONENTES ELECTRICOS S.A.</t>
  </si>
  <si>
    <t>LAZZARIN LIMA MARTIN IGNACIO</t>
  </si>
  <si>
    <t>INDUSTRIAS FEMAN S.R.L.</t>
  </si>
  <si>
    <t>ALAMTEC SRL</t>
  </si>
  <si>
    <t>PAZ CLAUDIA SILVIA</t>
  </si>
  <si>
    <t>TELEFONICA MOVILES ARG</t>
  </si>
  <si>
    <t>CITILAN ARGENTINA S.A.</t>
  </si>
  <si>
    <t>SUTEL SRL</t>
  </si>
  <si>
    <t>BRACCO ROSANA</t>
  </si>
  <si>
    <t>LITORAL TRADING SAS</t>
  </si>
  <si>
    <t>MAV GROUP S.A.</t>
  </si>
  <si>
    <t>GIOVO JUAN SEBASTIAN Y GIOVO JORGE DIEGO SOC. DE HECHO</t>
  </si>
  <si>
    <t>POTENZA SHOP S.A.S.</t>
  </si>
  <si>
    <t>MEIJOMIN PABLO MARTIN</t>
  </si>
  <si>
    <t>SPOT VISION S.A.S.</t>
  </si>
  <si>
    <t>BROCATTO SRL</t>
  </si>
  <si>
    <t>GLOBANS S.R.L.</t>
  </si>
  <si>
    <t>IMPORTADORA FOTOGRAFICA SOCIEDAD ANONIMA</t>
  </si>
  <si>
    <t>SUMINISTROS WHITE S.A.</t>
  </si>
  <si>
    <t>ELECTRONICA ELEMON S A</t>
  </si>
  <si>
    <t>JORVICAL ACEROS S A</t>
  </si>
  <si>
    <t>ACPLIND SRL</t>
  </si>
  <si>
    <t>ADATTO MARCELO ADRIAN</t>
  </si>
  <si>
    <t>BOHERDI ELECTRONICA S R L</t>
  </si>
  <si>
    <t>BULONERA VIETRI SOCIEDAD DE RESPONSABILIDAD LIMITADA</t>
  </si>
  <si>
    <t>DABUL NICOLAS ADRIAN</t>
  </si>
  <si>
    <t>WARD IVAN NICOLAS</t>
  </si>
  <si>
    <t/>
  </si>
  <si>
    <t>AM STUDIOS SRL</t>
  </si>
  <si>
    <t>ELECTROMINGO S.R.L.</t>
  </si>
  <si>
    <t>LA JUNIO SRL</t>
  </si>
  <si>
    <t>MASTER LEADER MUNDIAL S.A.</t>
  </si>
  <si>
    <t>SAENZ GERMAN</t>
  </si>
  <si>
    <t>SERCAP INSUMOS S.R.L.</t>
  </si>
  <si>
    <t>ULTRALIGHT SRL</t>
  </si>
  <si>
    <t>ACACIA Y LENGA S R L</t>
  </si>
  <si>
    <t>ELINDAR SRL</t>
  </si>
  <si>
    <t>PAN AMERICAN ENERGY LLC</t>
  </si>
  <si>
    <t>NEUMATICOS CORRAL S.A.</t>
  </si>
  <si>
    <t>SOMMARIO TURONI GUSTAVO</t>
  </si>
  <si>
    <t>ORTUÑO ALVAREZ HECTOR MANUEL</t>
  </si>
  <si>
    <t>STENFAR S. A. U.</t>
  </si>
  <si>
    <t>MAESTROJUAN DEL VILLAR MAXIMILIANO</t>
  </si>
  <si>
    <t>CAMAUER GUSTAVO MAXIMILIANO</t>
  </si>
  <si>
    <t>CINT BROC S A</t>
  </si>
  <si>
    <t>BLUE STAR ONLINE S.R.L.</t>
  </si>
  <si>
    <t>UNIMACO S.A.</t>
  </si>
  <si>
    <t>PUGLIESE GUSTAVO HERNAN</t>
  </si>
  <si>
    <t>AGUILAR DIANA ANGELA</t>
  </si>
  <si>
    <t>LO PRIMO S A</t>
  </si>
  <si>
    <t>LAKAUT S.A.</t>
  </si>
  <si>
    <t>INTERCONTINENTAL CARGAS SRL</t>
  </si>
  <si>
    <t>CASATI ENRIQUE ARIEL</t>
  </si>
  <si>
    <t>SAFIT SPORT S.R.L.</t>
  </si>
  <si>
    <t>ACCESORIOS Y HERRAMIENTAS SRL</t>
  </si>
  <si>
    <t>AQUADELTA OUTDOORS S.R.L.</t>
  </si>
  <si>
    <t>CASELLA TRADING SRL</t>
  </si>
  <si>
    <t>100000 LAMPARAS SRL</t>
  </si>
  <si>
    <t>PINALLI PABLO GABRIEL</t>
  </si>
  <si>
    <t>ALFEST S.R.L.</t>
  </si>
  <si>
    <t>ALGABO SA</t>
  </si>
  <si>
    <t>MTB A TODO EL PAIS SRL</t>
  </si>
  <si>
    <t>GIFEL SRL</t>
  </si>
  <si>
    <t>CONVERTI HNOS  S R L</t>
  </si>
  <si>
    <t>HONRE S.A</t>
  </si>
  <si>
    <t>FRANCISCO JAVIER LEAL FUENTES</t>
  </si>
  <si>
    <t>LAVADERO BLANCANIEVES</t>
  </si>
  <si>
    <t>PINTURERIAS YANINA SA</t>
  </si>
  <si>
    <t>HOGAR ACTUAL SRL</t>
  </si>
  <si>
    <t>ALLISING</t>
  </si>
  <si>
    <t>SIMPLEX VILLI SA</t>
  </si>
  <si>
    <t>FARMACIA GRAN FERRARI SA</t>
  </si>
  <si>
    <t>NGA SRL</t>
  </si>
  <si>
    <t>GALLEGO ANDRES MARIANO</t>
  </si>
  <si>
    <t>BATERIAS PRO-BAT</t>
  </si>
  <si>
    <t>TEBY SRL</t>
  </si>
  <si>
    <t>D WEINSTOCK S R L</t>
  </si>
  <si>
    <t>SYTE S.A.</t>
  </si>
  <si>
    <t>SPENA FERNANDO ARIEL</t>
  </si>
  <si>
    <t>VAZQUEZ CABRAL WANDA MILENA</t>
  </si>
  <si>
    <t>MICROELECTRONICA COMPONENTES S.R.L.</t>
  </si>
  <si>
    <t>LASARTE HNOS SRL</t>
  </si>
  <si>
    <t>MERCURIUS S.A.S.</t>
  </si>
  <si>
    <t>ESPACIO MARKETING S.R.L.</t>
  </si>
  <si>
    <t>NUBBEO S.R.L.</t>
  </si>
  <si>
    <t>FRACCHIA GRACIELA LILIANA</t>
  </si>
  <si>
    <t>IMPRENTA24 S.R.L.</t>
  </si>
  <si>
    <t>GONZALEZ MATIAS LIONEL</t>
  </si>
  <si>
    <t>ASENSIO E HIJO Y PULLEY SOCIEDAD DE RESP</t>
  </si>
  <si>
    <t>GUSU S A</t>
  </si>
  <si>
    <t>MORINIGO ESTELA MERCEDE</t>
  </si>
  <si>
    <t>AEROPUERTOS ARGENTINA 2000 S A</t>
  </si>
  <si>
    <t>LIBECOM S.R.L</t>
  </si>
  <si>
    <t>LOS TRILLIZOS PERAZOLI S.R.L.</t>
  </si>
  <si>
    <t>ACCESORIOS TEO SRL</t>
  </si>
  <si>
    <t>BOJORGE ROMINA VALERIA</t>
  </si>
  <si>
    <t>ARCHMAR S.R.L.</t>
  </si>
  <si>
    <t>D'ALBENAS PEYRONEL SILVANA ELISABET</t>
  </si>
  <si>
    <t>ABAC S R L</t>
  </si>
  <si>
    <t>MOCOROA SOCIEDAD ANONIMA</t>
  </si>
  <si>
    <t>01/12/2023</t>
  </si>
  <si>
    <t>04/12/2023</t>
  </si>
  <si>
    <t>COMERCIAL MGM S.R.L</t>
  </si>
  <si>
    <t>11/12/2023</t>
  </si>
  <si>
    <t>12/12/2023</t>
  </si>
  <si>
    <t>SANTA FE COMERCIAL SOCIEDAD DE RESPONSABILIDAD LIMITADA</t>
  </si>
  <si>
    <t>13/12/2023</t>
  </si>
  <si>
    <t>14/12/2023</t>
  </si>
  <si>
    <t>SANCHEZ DI MARE DANIEL FERNANDO</t>
  </si>
  <si>
    <t>15/12/2023</t>
  </si>
  <si>
    <t>16/12/2023</t>
  </si>
  <si>
    <t>ELECTRICIDAD AREV S R L</t>
  </si>
  <si>
    <t>18/12/2023</t>
  </si>
  <si>
    <t>O A FERNANDEZ E HIJOS SRL</t>
  </si>
  <si>
    <t>19/12/2023</t>
  </si>
  <si>
    <t>CDP AUTOMATION  S.R.L.</t>
  </si>
  <si>
    <t>20/12/2023</t>
  </si>
  <si>
    <t>DESSINS CARTELERIA S.R.L.</t>
  </si>
  <si>
    <t>21/12/2023</t>
  </si>
  <si>
    <t>SK DISTRIBUTORS S.R.L.</t>
  </si>
  <si>
    <t>27/12/2023</t>
  </si>
  <si>
    <t>29/12/2023</t>
  </si>
  <si>
    <t>30/12/2023</t>
  </si>
  <si>
    <t>AMERICAN EXPRESS</t>
  </si>
  <si>
    <t>VISA SA</t>
  </si>
  <si>
    <t>GARCIA JUAN IGNACIO</t>
  </si>
  <si>
    <t>GRILLI ROMINA WANDA</t>
  </si>
  <si>
    <t>HAPPY BUY ARGENTINA S.R.L.</t>
  </si>
  <si>
    <t>SOSTRE FERNANDO</t>
  </si>
  <si>
    <t>IT BROKERS S.A.</t>
  </si>
  <si>
    <t>2001 GRUPO ELECTRO S.R.L.</t>
  </si>
  <si>
    <t>DE GISI ANTONIO LUIS</t>
  </si>
  <si>
    <t>N2M SOCIEDAD DE RESPONSABILIDAD LIMITADA</t>
  </si>
  <si>
    <t>FIDALGO LA FALCE EZEQUIEL ERNESTO</t>
  </si>
  <si>
    <t>KAVCIC SRL</t>
  </si>
  <si>
    <t>SYS IMPORTACIONES S.R.L.</t>
  </si>
  <si>
    <t>VICDA ARGENTINA S R L</t>
  </si>
  <si>
    <t>POSITIF PLANIFIER S.A.</t>
  </si>
  <si>
    <t>RAIMONDI FACUNDO ALBERTO</t>
  </si>
  <si>
    <t>MAGGESE JORGE LUIS</t>
  </si>
  <si>
    <t>MITSUKO ARGENTINA S R L</t>
  </si>
  <si>
    <t>ACOSTA MARIA EUGENIA</t>
  </si>
  <si>
    <t>LASERTEC INGENIERIA SOCIEDAD ANONIMA</t>
  </si>
  <si>
    <t>WORLD ONE TRADE</t>
  </si>
  <si>
    <t>INSUMOS SERVICOMP S.A.</t>
  </si>
  <si>
    <t>MOTORES ELECTROMECANICA ATLAS S.A.</t>
  </si>
  <si>
    <t>BAGUI S A</t>
  </si>
  <si>
    <t>ELECTRO IND S.R.L</t>
  </si>
  <si>
    <t>POLINORTE S A</t>
  </si>
  <si>
    <t>DISTRI AIRES S.R.L</t>
  </si>
  <si>
    <t>STENDEL ELIANA JUDITH</t>
  </si>
  <si>
    <t>K Y G MILENIUM S.R.L.</t>
  </si>
  <si>
    <t>BONFIGLI ARMANDO DANIEL</t>
  </si>
  <si>
    <t>IGNISMOTORREDUCTORES S. A.</t>
  </si>
  <si>
    <t>ASTRONIC SRL</t>
  </si>
  <si>
    <t>AVENIDA MAIPU 4199 S C S</t>
  </si>
  <si>
    <t>ALDO MOVILE S. CAP I SECC IV</t>
  </si>
  <si>
    <t>BULONERA SUR SA</t>
  </si>
  <si>
    <t>AGROCENTRAL SRL</t>
  </si>
  <si>
    <t>ANZUATTE ARIADNA GINETTE</t>
  </si>
  <si>
    <t>FERNANDEZ MARCELA ELIZABETH</t>
  </si>
  <si>
    <t>02/04/2024</t>
  </si>
  <si>
    <t>07/04/2024</t>
  </si>
  <si>
    <t>LOKER MARISA TERESITA</t>
  </si>
  <si>
    <t>08/04/2024</t>
  </si>
  <si>
    <t>11/04/2024</t>
  </si>
  <si>
    <t>22/04/2024</t>
  </si>
  <si>
    <t>POLYTECH S A</t>
  </si>
  <si>
    <t>24/04/2024</t>
  </si>
  <si>
    <t>29/04/2024</t>
  </si>
  <si>
    <t>SANTORO FRANCO TOMAS</t>
  </si>
  <si>
    <t>GRAZIANO TAMARA NATALIA</t>
  </si>
  <si>
    <t>MALATEX S.R.L.</t>
  </si>
  <si>
    <t>MATECH IMPORT ARGENTINA SAS</t>
  </si>
  <si>
    <t>LA MADRILEÑA SOCIEDAD ANONIMA COMERCIAL INDUSTRIAL AGROPECUARIA  FINANCIERA E INMOBILIARIA</t>
  </si>
  <si>
    <t>PREVENSIS S.R.L.</t>
  </si>
  <si>
    <t>SIFEGA COMPANY</t>
  </si>
  <si>
    <t>HERRAJES VEIGA</t>
  </si>
  <si>
    <t>HERRAMIENTAS DALI SRL</t>
  </si>
  <si>
    <t>MAQUINAS Y CONSUMIBLES S.A.</t>
  </si>
  <si>
    <t>HEREDIA LEONARDO ADRIAN</t>
  </si>
  <si>
    <t>DECOR ALUM SRL</t>
  </si>
  <si>
    <t>VICTOR MASSON TRANSPORTES CRUZ DEL SUR S A</t>
  </si>
  <si>
    <t>QUIROGA ARIEL ALEJANDRO</t>
  </si>
  <si>
    <t>PERFU FAN S.R.L</t>
  </si>
  <si>
    <t>FIVELEC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</si>
</sst>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00"/>
    <numFmt numFmtId="165" formatCode="0000"/>
    <numFmt numFmtId="166" formatCode="00000000"/>
    <numFmt numFmtId="167" formatCode="##\-########\-#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3" fontId="0" fillId="0" borderId="0" xfId="1" applyFont="1"/>
    <xf numFmtId="43" fontId="0" fillId="0" borderId="0" xfId="1" applyFont="1" applyFill="1"/>
    <xf numFmtId="43" fontId="2" fillId="0" borderId="0" xfId="1" applyFont="1" applyFill="1" applyBorder="1" applyAlignment="1">
      <alignment vertical="top"/>
    </xf>
    <xf numFmtId="0" fontId="3" fillId="0" borderId="0" xfId="0" applyFont="1"/>
    <xf numFmtId="43" fontId="3" fillId="0" borderId="0" xfId="1" applyFont="1"/>
    <xf numFmtId="0" fontId="4" fillId="2" borderId="2" xfId="0" applyFont="1" applyFill="1" applyBorder="1" applyAlignment="1">
      <alignment horizontal="center"/>
    </xf>
    <xf numFmtId="43" fontId="4" fillId="2" borderId="2" xfId="1" applyFont="1" applyFill="1" applyBorder="1" applyAlignment="1">
      <alignment horizontal="center"/>
    </xf>
    <xf numFmtId="14" fontId="5" fillId="0" borderId="3" xfId="0" applyNumberFormat="1" applyFont="1" applyBorder="1"/>
    <xf numFmtId="164" fontId="6" fillId="0" borderId="3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3" fontId="5" fillId="0" borderId="3" xfId="1" applyFont="1" applyBorder="1"/>
    <xf numFmtId="0" fontId="5" fillId="0" borderId="0" xfId="0" applyFont="1"/>
    <xf numFmtId="43" fontId="5" fillId="0" borderId="0" xfId="1" applyFont="1"/>
    <xf numFmtId="43" fontId="7" fillId="3" borderId="4" xfId="1" applyFont="1" applyFill="1" applyBorder="1"/>
    <xf numFmtId="43" fontId="7" fillId="3" borderId="5" xfId="1" applyFont="1" applyFill="1" applyBorder="1" applyAlignment="1">
      <alignment vertical="top"/>
    </xf>
    <xf numFmtId="43" fontId="7" fillId="3" borderId="6" xfId="1" applyFont="1" applyFill="1" applyBorder="1" applyAlignment="1">
      <alignment vertical="top"/>
    </xf>
    <xf numFmtId="43" fontId="7" fillId="3" borderId="7" xfId="1" applyFont="1" applyFill="1" applyBorder="1" applyAlignment="1">
      <alignment vertical="top"/>
    </xf>
    <xf numFmtId="0" fontId="9" fillId="0" borderId="0" xfId="0" applyFont="1"/>
    <xf numFmtId="43" fontId="9" fillId="0" borderId="0" xfId="1" applyFont="1"/>
    <xf numFmtId="14" fontId="7" fillId="3" borderId="4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17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2DAF-72F1-4B53-967A-0F224E072FE7}">
  <dimension ref="A5:W892"/>
  <sheetViews>
    <sheetView tabSelected="1" view="pageBreakPreview" zoomScale="60" zoomScaleNormal="80" workbookViewId="0">
      <selection activeCell="A3" sqref="A3"/>
    </sheetView>
  </sheetViews>
  <sheetFormatPr baseColWidth="10" defaultRowHeight="15" x14ac:dyDescent="0.25"/>
  <cols>
    <col min="1" max="1" width="15" customWidth="1"/>
    <col min="4" max="4" width="14.7109375" customWidth="1"/>
    <col min="5" max="5" width="19.85546875" customWidth="1"/>
    <col min="6" max="6" width="37.7109375" customWidth="1"/>
    <col min="7" max="7" width="24.85546875" style="1" customWidth="1"/>
    <col min="8" max="8" width="25" style="1" customWidth="1"/>
    <col min="9" max="9" width="23.85546875" style="1" customWidth="1"/>
    <col min="10" max="10" width="20" style="1" customWidth="1"/>
    <col min="11" max="11" width="18" style="1" customWidth="1"/>
    <col min="12" max="12" width="17.5703125" style="1" customWidth="1"/>
    <col min="13" max="13" width="23.140625" style="1" customWidth="1"/>
    <col min="14" max="14" width="23.7109375" style="1" customWidth="1"/>
    <col min="15" max="15" width="24.140625" style="1" customWidth="1"/>
    <col min="16" max="16" width="22.140625" style="1" customWidth="1"/>
    <col min="17" max="17" width="25.28515625" style="1" customWidth="1"/>
    <col min="22" max="22" width="0.42578125" customWidth="1"/>
    <col min="23" max="23" width="11.42578125" hidden="1" customWidth="1"/>
  </cols>
  <sheetData>
    <row r="5" spans="1:18" ht="29.25" thickBot="1" x14ac:dyDescent="0.5">
      <c r="A5" s="24" t="s">
        <v>0</v>
      </c>
      <c r="B5" s="24"/>
      <c r="C5" s="24"/>
      <c r="D5" s="24"/>
      <c r="E5" s="24"/>
      <c r="F5" s="21"/>
      <c r="G5" s="22"/>
      <c r="H5" s="22"/>
      <c r="I5" s="22"/>
      <c r="J5" s="22"/>
      <c r="K5" s="22"/>
      <c r="L5" s="22"/>
      <c r="M5" s="22"/>
      <c r="N5" s="22"/>
      <c r="O5" s="25">
        <v>44927</v>
      </c>
      <c r="P5" s="26"/>
      <c r="Q5" s="26"/>
    </row>
    <row r="6" spans="1:18" ht="18.75" customHeight="1" x14ac:dyDescent="0.3">
      <c r="A6" s="6" t="s">
        <v>1</v>
      </c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7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14</v>
      </c>
      <c r="O6" s="7" t="s">
        <v>15</v>
      </c>
      <c r="P6" s="7" t="s">
        <v>16</v>
      </c>
      <c r="Q6" s="7" t="s">
        <v>17</v>
      </c>
    </row>
    <row r="7" spans="1:18" ht="18.75" customHeight="1" x14ac:dyDescent="0.3">
      <c r="A7" s="8">
        <v>44950</v>
      </c>
      <c r="B7" s="9">
        <v>1</v>
      </c>
      <c r="C7" s="10">
        <v>15</v>
      </c>
      <c r="D7" s="11">
        <v>137</v>
      </c>
      <c r="E7" s="12">
        <v>20241271235</v>
      </c>
      <c r="F7" s="13" t="s">
        <v>18</v>
      </c>
      <c r="G7" s="14">
        <v>12537.19</v>
      </c>
      <c r="H7" s="14">
        <v>2632.8099000000002</v>
      </c>
      <c r="I7" s="14"/>
      <c r="J7" s="14"/>
      <c r="K7" s="14"/>
      <c r="L7" s="14"/>
      <c r="M7" s="14"/>
      <c r="N7" s="14"/>
      <c r="O7" s="14"/>
      <c r="P7" s="14"/>
      <c r="Q7" s="14">
        <v>15169.999900000001</v>
      </c>
      <c r="R7" s="1"/>
    </row>
    <row r="8" spans="1:18" ht="18.75" customHeight="1" x14ac:dyDescent="0.3">
      <c r="A8" s="8">
        <v>44957</v>
      </c>
      <c r="B8" s="9">
        <v>1</v>
      </c>
      <c r="C8" s="10">
        <v>15</v>
      </c>
      <c r="D8" s="11">
        <v>148</v>
      </c>
      <c r="E8" s="12">
        <v>20241271235</v>
      </c>
      <c r="F8" s="13" t="s">
        <v>18</v>
      </c>
      <c r="G8" s="14">
        <v>12537.19</v>
      </c>
      <c r="H8" s="14">
        <v>2632.8099000000002</v>
      </c>
      <c r="I8" s="14"/>
      <c r="J8" s="14"/>
      <c r="K8" s="14"/>
      <c r="L8" s="14"/>
      <c r="M8" s="14"/>
      <c r="N8" s="14"/>
      <c r="O8" s="14"/>
      <c r="P8" s="14"/>
      <c r="Q8" s="14">
        <v>15169.999900000001</v>
      </c>
      <c r="R8" s="1"/>
    </row>
    <row r="9" spans="1:18" ht="18.75" customHeight="1" x14ac:dyDescent="0.3">
      <c r="A9" s="8">
        <v>44928</v>
      </c>
      <c r="B9" s="9">
        <v>1</v>
      </c>
      <c r="C9" s="10">
        <v>2</v>
      </c>
      <c r="D9" s="11">
        <v>157</v>
      </c>
      <c r="E9" s="12">
        <v>20125142851</v>
      </c>
      <c r="F9" s="13" t="s">
        <v>19</v>
      </c>
      <c r="G9" s="14">
        <v>30973.040000000001</v>
      </c>
      <c r="H9" s="14">
        <v>6504.3383999999996</v>
      </c>
      <c r="I9" s="14"/>
      <c r="J9" s="14"/>
      <c r="K9" s="14"/>
      <c r="L9" s="14"/>
      <c r="M9" s="14"/>
      <c r="N9" s="14"/>
      <c r="O9" s="14"/>
      <c r="P9" s="14"/>
      <c r="Q9" s="14">
        <v>37477.378400000001</v>
      </c>
      <c r="R9" s="1"/>
    </row>
    <row r="10" spans="1:18" ht="18.75" customHeight="1" x14ac:dyDescent="0.3">
      <c r="A10" s="8">
        <v>44935</v>
      </c>
      <c r="B10" s="9">
        <v>1</v>
      </c>
      <c r="C10" s="10">
        <v>2</v>
      </c>
      <c r="D10" s="11">
        <v>158</v>
      </c>
      <c r="E10" s="12">
        <v>20125142851</v>
      </c>
      <c r="F10" s="13" t="s">
        <v>19</v>
      </c>
      <c r="G10" s="14">
        <v>77025.06</v>
      </c>
      <c r="H10" s="14">
        <v>16175.262599999998</v>
      </c>
      <c r="I10" s="14"/>
      <c r="J10" s="14"/>
      <c r="K10" s="14"/>
      <c r="L10" s="14"/>
      <c r="M10" s="14"/>
      <c r="N10" s="14"/>
      <c r="O10" s="14"/>
      <c r="P10" s="14"/>
      <c r="Q10" s="14">
        <v>93200.3226</v>
      </c>
      <c r="R10" s="1"/>
    </row>
    <row r="11" spans="1:18" ht="18.75" customHeight="1" x14ac:dyDescent="0.3">
      <c r="A11" s="8">
        <v>44951</v>
      </c>
      <c r="B11" s="9">
        <v>1</v>
      </c>
      <c r="C11" s="10">
        <v>1090</v>
      </c>
      <c r="D11" s="11">
        <v>297</v>
      </c>
      <c r="E11" s="12">
        <v>30711379521</v>
      </c>
      <c r="F11" s="13" t="s">
        <v>20</v>
      </c>
      <c r="G11" s="14">
        <v>7707.44</v>
      </c>
      <c r="H11" s="14">
        <v>1618.5623999999998</v>
      </c>
      <c r="I11" s="14"/>
      <c r="J11" s="14"/>
      <c r="K11" s="14"/>
      <c r="L11" s="14"/>
      <c r="M11" s="14"/>
      <c r="N11" s="14"/>
      <c r="O11" s="14"/>
      <c r="P11" s="14"/>
      <c r="Q11" s="14">
        <v>9326.0023999999994</v>
      </c>
      <c r="R11" s="1"/>
    </row>
    <row r="12" spans="1:18" ht="18.75" customHeight="1" x14ac:dyDescent="0.3">
      <c r="A12" s="8">
        <v>44957</v>
      </c>
      <c r="B12" s="9">
        <v>1</v>
      </c>
      <c r="C12" s="10">
        <v>3</v>
      </c>
      <c r="D12" s="11">
        <v>320</v>
      </c>
      <c r="E12" s="12">
        <v>20318964557</v>
      </c>
      <c r="F12" s="13" t="s">
        <v>21</v>
      </c>
      <c r="G12" s="14">
        <v>9090.08</v>
      </c>
      <c r="H12" s="14">
        <v>1908.9168</v>
      </c>
      <c r="I12" s="14"/>
      <c r="J12" s="14"/>
      <c r="K12" s="14"/>
      <c r="L12" s="14"/>
      <c r="M12" s="14"/>
      <c r="N12" s="14"/>
      <c r="O12" s="14"/>
      <c r="P12" s="14"/>
      <c r="Q12" s="14">
        <v>10998.996800000001</v>
      </c>
      <c r="R12" s="1"/>
    </row>
    <row r="13" spans="1:18" ht="18.75" customHeight="1" x14ac:dyDescent="0.3">
      <c r="A13" s="8">
        <v>44957</v>
      </c>
      <c r="B13" s="9">
        <v>1</v>
      </c>
      <c r="C13" s="10">
        <v>15</v>
      </c>
      <c r="D13" s="11">
        <v>511</v>
      </c>
      <c r="E13" s="12">
        <v>30708003316</v>
      </c>
      <c r="F13" s="13" t="s">
        <v>22</v>
      </c>
      <c r="G13" s="14">
        <v>2395.04</v>
      </c>
      <c r="H13" s="14">
        <v>502.95839999999998</v>
      </c>
      <c r="I13" s="14"/>
      <c r="J13" s="14"/>
      <c r="K13" s="14"/>
      <c r="L13" s="14"/>
      <c r="M13" s="14"/>
      <c r="N13" s="14"/>
      <c r="O13" s="14"/>
      <c r="P13" s="14"/>
      <c r="Q13" s="14">
        <v>2897.9983999999999</v>
      </c>
      <c r="R13" s="1"/>
    </row>
    <row r="14" spans="1:18" ht="18.75" customHeight="1" x14ac:dyDescent="0.3">
      <c r="A14" s="8">
        <v>44957</v>
      </c>
      <c r="B14" s="9">
        <v>1</v>
      </c>
      <c r="C14" s="10">
        <v>1</v>
      </c>
      <c r="D14" s="11">
        <v>561</v>
      </c>
      <c r="E14" s="12">
        <v>30715048066</v>
      </c>
      <c r="F14" s="13" t="s">
        <v>23</v>
      </c>
      <c r="G14" s="14">
        <v>100370</v>
      </c>
      <c r="H14" s="14">
        <v>21077.7</v>
      </c>
      <c r="I14" s="14"/>
      <c r="J14" s="14"/>
      <c r="K14" s="14"/>
      <c r="L14" s="14"/>
      <c r="M14" s="14"/>
      <c r="N14" s="14"/>
      <c r="O14" s="14"/>
      <c r="P14" s="14"/>
      <c r="Q14" s="14">
        <v>121447.7</v>
      </c>
      <c r="R14" s="1"/>
    </row>
    <row r="15" spans="1:18" ht="18.75" customHeight="1" x14ac:dyDescent="0.3">
      <c r="A15" s="8">
        <v>44937</v>
      </c>
      <c r="B15" s="9">
        <v>1</v>
      </c>
      <c r="C15" s="10">
        <v>2</v>
      </c>
      <c r="D15" s="11">
        <v>585</v>
      </c>
      <c r="E15" s="12">
        <v>20296550184</v>
      </c>
      <c r="F15" s="13" t="s">
        <v>24</v>
      </c>
      <c r="G15" s="14">
        <v>19535</v>
      </c>
      <c r="H15" s="14">
        <v>4102.3499999999995</v>
      </c>
      <c r="I15" s="14"/>
      <c r="J15" s="14"/>
      <c r="K15" s="14"/>
      <c r="L15" s="14"/>
      <c r="M15" s="14"/>
      <c r="N15" s="14"/>
      <c r="O15" s="14"/>
      <c r="P15" s="14"/>
      <c r="Q15" s="14">
        <v>23637.35</v>
      </c>
      <c r="R15" s="1"/>
    </row>
    <row r="16" spans="1:18" ht="18.75" customHeight="1" x14ac:dyDescent="0.3">
      <c r="A16" s="8">
        <v>44927</v>
      </c>
      <c r="B16" s="9">
        <v>1</v>
      </c>
      <c r="C16" s="10">
        <v>3</v>
      </c>
      <c r="D16" s="11">
        <v>605</v>
      </c>
      <c r="E16" s="12">
        <v>30715402765</v>
      </c>
      <c r="F16" s="13" t="s">
        <v>25</v>
      </c>
      <c r="G16" s="14">
        <v>9173.5499999999993</v>
      </c>
      <c r="H16" s="14">
        <v>1926.4454999999998</v>
      </c>
      <c r="I16" s="14"/>
      <c r="J16" s="14"/>
      <c r="K16" s="14"/>
      <c r="L16" s="14"/>
      <c r="M16" s="14"/>
      <c r="N16" s="14"/>
      <c r="O16" s="14"/>
      <c r="P16" s="14"/>
      <c r="Q16" s="14">
        <v>11099.995499999999</v>
      </c>
      <c r="R16" s="1"/>
    </row>
    <row r="17" spans="1:18" ht="18.75" customHeight="1" x14ac:dyDescent="0.3">
      <c r="A17" s="8">
        <v>44938</v>
      </c>
      <c r="B17" s="9">
        <v>1</v>
      </c>
      <c r="C17" s="10">
        <v>9</v>
      </c>
      <c r="D17" s="11">
        <v>1466</v>
      </c>
      <c r="E17" s="12">
        <v>30631047145</v>
      </c>
      <c r="F17" s="13" t="s">
        <v>26</v>
      </c>
      <c r="G17" s="14">
        <v>47564</v>
      </c>
      <c r="H17" s="14"/>
      <c r="I17" s="14"/>
      <c r="J17" s="14">
        <v>4994.22</v>
      </c>
      <c r="K17" s="14"/>
      <c r="L17" s="14"/>
      <c r="M17" s="14"/>
      <c r="N17" s="14"/>
      <c r="O17" s="14"/>
      <c r="P17" s="14"/>
      <c r="Q17" s="14">
        <v>52558.22</v>
      </c>
      <c r="R17" s="1"/>
    </row>
    <row r="18" spans="1:18" ht="18.75" customHeight="1" x14ac:dyDescent="0.3">
      <c r="A18" s="8">
        <v>44956</v>
      </c>
      <c r="B18" s="9">
        <v>1</v>
      </c>
      <c r="C18" s="10">
        <v>11</v>
      </c>
      <c r="D18" s="11">
        <v>1702</v>
      </c>
      <c r="E18" s="12">
        <v>20226753355</v>
      </c>
      <c r="F18" s="13" t="s">
        <v>27</v>
      </c>
      <c r="G18" s="14">
        <v>12891.74</v>
      </c>
      <c r="H18" s="14">
        <v>2707.2653999999998</v>
      </c>
      <c r="I18" s="14"/>
      <c r="J18" s="14"/>
      <c r="K18" s="14"/>
      <c r="L18" s="14"/>
      <c r="M18" s="14"/>
      <c r="N18" s="14"/>
      <c r="O18" s="14"/>
      <c r="P18" s="14"/>
      <c r="Q18" s="14">
        <v>15599.0054</v>
      </c>
      <c r="R18" s="1"/>
    </row>
    <row r="19" spans="1:18" ht="18.75" customHeight="1" x14ac:dyDescent="0.3">
      <c r="A19" s="8">
        <v>44951</v>
      </c>
      <c r="B19" s="9">
        <v>1</v>
      </c>
      <c r="C19" s="10">
        <v>12</v>
      </c>
      <c r="D19" s="11">
        <v>1854</v>
      </c>
      <c r="E19" s="12">
        <v>30553547942</v>
      </c>
      <c r="F19" s="13" t="s">
        <v>28</v>
      </c>
      <c r="G19" s="14">
        <v>7842.15</v>
      </c>
      <c r="H19" s="14">
        <v>1646.8514999999998</v>
      </c>
      <c r="I19" s="14"/>
      <c r="J19" s="14"/>
      <c r="K19" s="14"/>
      <c r="L19" s="14"/>
      <c r="M19" s="14"/>
      <c r="N19" s="14"/>
      <c r="O19" s="14"/>
      <c r="P19" s="14"/>
      <c r="Q19" s="14">
        <v>9489.0014999999985</v>
      </c>
      <c r="R19" s="1"/>
    </row>
    <row r="20" spans="1:18" ht="18.75" customHeight="1" x14ac:dyDescent="0.3">
      <c r="A20" s="8">
        <v>44953</v>
      </c>
      <c r="B20" s="9">
        <v>1</v>
      </c>
      <c r="C20" s="10">
        <v>8</v>
      </c>
      <c r="D20" s="11">
        <v>1906</v>
      </c>
      <c r="E20" s="12">
        <v>30711930899</v>
      </c>
      <c r="F20" s="13" t="s">
        <v>29</v>
      </c>
      <c r="G20" s="14">
        <v>6785.62</v>
      </c>
      <c r="H20" s="14">
        <v>1424.9802</v>
      </c>
      <c r="I20" s="14"/>
      <c r="J20" s="14"/>
      <c r="K20" s="14"/>
      <c r="L20" s="14"/>
      <c r="M20" s="14"/>
      <c r="N20" s="14"/>
      <c r="O20" s="14"/>
      <c r="P20" s="14"/>
      <c r="Q20" s="14">
        <v>8210.6002000000008</v>
      </c>
      <c r="R20" s="1"/>
    </row>
    <row r="21" spans="1:18" ht="18.75" customHeight="1" x14ac:dyDescent="0.3">
      <c r="A21" s="8">
        <v>44937</v>
      </c>
      <c r="B21" s="9">
        <v>3</v>
      </c>
      <c r="C21" s="10">
        <v>10</v>
      </c>
      <c r="D21" s="11">
        <v>2445</v>
      </c>
      <c r="E21" s="12">
        <v>30710759061</v>
      </c>
      <c r="F21" s="13" t="s">
        <v>30</v>
      </c>
      <c r="G21" s="14">
        <v>-76200</v>
      </c>
      <c r="H21" s="14">
        <v>-16002</v>
      </c>
      <c r="I21" s="14"/>
      <c r="J21" s="14"/>
      <c r="K21" s="14"/>
      <c r="L21" s="14"/>
      <c r="M21" s="14"/>
      <c r="N21" s="14"/>
      <c r="O21" s="14"/>
      <c r="P21" s="14"/>
      <c r="Q21" s="14">
        <v>-92202</v>
      </c>
      <c r="R21" s="1"/>
    </row>
    <row r="22" spans="1:18" ht="18.75" customHeight="1" x14ac:dyDescent="0.3">
      <c r="A22" s="8">
        <v>44939</v>
      </c>
      <c r="B22" s="9">
        <v>3</v>
      </c>
      <c r="C22" s="10">
        <v>10</v>
      </c>
      <c r="D22" s="11">
        <v>2449</v>
      </c>
      <c r="E22" s="12">
        <v>30710759061</v>
      </c>
      <c r="F22" s="13" t="s">
        <v>30</v>
      </c>
      <c r="G22" s="14">
        <v>-11400</v>
      </c>
      <c r="H22" s="14">
        <v>-2394</v>
      </c>
      <c r="I22" s="14"/>
      <c r="J22" s="14"/>
      <c r="K22" s="14"/>
      <c r="L22" s="14"/>
      <c r="M22" s="14"/>
      <c r="N22" s="14"/>
      <c r="O22" s="14"/>
      <c r="P22" s="14"/>
      <c r="Q22" s="14">
        <v>-13794</v>
      </c>
      <c r="R22" s="1"/>
    </row>
    <row r="23" spans="1:18" ht="18.75" customHeight="1" x14ac:dyDescent="0.3">
      <c r="A23" s="8">
        <v>44939</v>
      </c>
      <c r="B23" s="9">
        <v>3</v>
      </c>
      <c r="C23" s="10">
        <v>10</v>
      </c>
      <c r="D23" s="11">
        <v>2450</v>
      </c>
      <c r="E23" s="12">
        <v>30710759061</v>
      </c>
      <c r="F23" s="13" t="s">
        <v>30</v>
      </c>
      <c r="G23" s="14">
        <v>-166400</v>
      </c>
      <c r="H23" s="14">
        <v>-34944</v>
      </c>
      <c r="I23" s="14"/>
      <c r="J23" s="14"/>
      <c r="K23" s="14"/>
      <c r="L23" s="14"/>
      <c r="M23" s="14"/>
      <c r="N23" s="14"/>
      <c r="O23" s="14"/>
      <c r="P23" s="14"/>
      <c r="Q23" s="14">
        <v>-201344</v>
      </c>
      <c r="R23" s="1"/>
    </row>
    <row r="24" spans="1:18" ht="18.75" customHeight="1" x14ac:dyDescent="0.3">
      <c r="A24" s="8">
        <v>44943</v>
      </c>
      <c r="B24" s="9">
        <v>1</v>
      </c>
      <c r="C24" s="10">
        <v>2</v>
      </c>
      <c r="D24" s="11">
        <v>9956</v>
      </c>
      <c r="E24" s="12">
        <v>30712179909</v>
      </c>
      <c r="F24" s="13" t="s">
        <v>31</v>
      </c>
      <c r="G24" s="14">
        <v>89906</v>
      </c>
      <c r="H24" s="14">
        <v>18880.259999999998</v>
      </c>
      <c r="I24" s="14"/>
      <c r="J24" s="14"/>
      <c r="K24" s="14"/>
      <c r="L24" s="14"/>
      <c r="M24" s="14"/>
      <c r="N24" s="14"/>
      <c r="O24" s="14"/>
      <c r="P24" s="14"/>
      <c r="Q24" s="14">
        <v>108786.26</v>
      </c>
      <c r="R24" s="1"/>
    </row>
    <row r="25" spans="1:18" ht="18.75" customHeight="1" x14ac:dyDescent="0.3">
      <c r="A25" s="8">
        <v>44952</v>
      </c>
      <c r="B25" s="9">
        <v>1</v>
      </c>
      <c r="C25" s="10">
        <v>4</v>
      </c>
      <c r="D25" s="11">
        <v>16277</v>
      </c>
      <c r="E25" s="12">
        <v>30714712604</v>
      </c>
      <c r="F25" s="13" t="s">
        <v>32</v>
      </c>
      <c r="G25" s="14">
        <v>17354.55</v>
      </c>
      <c r="H25" s="14">
        <v>3644.4554999999996</v>
      </c>
      <c r="I25" s="14"/>
      <c r="J25" s="14"/>
      <c r="K25" s="14"/>
      <c r="L25" s="14"/>
      <c r="M25" s="14"/>
      <c r="N25" s="14"/>
      <c r="O25" s="14"/>
      <c r="P25" s="14"/>
      <c r="Q25" s="14">
        <v>20999.005499999999</v>
      </c>
      <c r="R25" s="1"/>
    </row>
    <row r="26" spans="1:18" ht="18.75" customHeight="1" x14ac:dyDescent="0.3">
      <c r="A26" s="8">
        <v>44931</v>
      </c>
      <c r="B26" s="9">
        <v>1</v>
      </c>
      <c r="C26" s="10">
        <v>10</v>
      </c>
      <c r="D26" s="11">
        <v>18076</v>
      </c>
      <c r="E26" s="12">
        <v>30710759061</v>
      </c>
      <c r="F26" s="13" t="s">
        <v>30</v>
      </c>
      <c r="G26" s="14">
        <v>254000</v>
      </c>
      <c r="H26" s="14">
        <v>53340</v>
      </c>
      <c r="I26" s="14"/>
      <c r="J26" s="14"/>
      <c r="K26" s="14"/>
      <c r="L26" s="14"/>
      <c r="M26" s="14"/>
      <c r="N26" s="14"/>
      <c r="O26" s="14"/>
      <c r="P26" s="14"/>
      <c r="Q26" s="14">
        <v>307340</v>
      </c>
      <c r="R26" s="1"/>
    </row>
    <row r="27" spans="1:18" ht="18.75" customHeight="1" x14ac:dyDescent="0.3">
      <c r="A27" s="8">
        <v>44957</v>
      </c>
      <c r="B27" s="9">
        <v>1</v>
      </c>
      <c r="C27" s="10">
        <v>10</v>
      </c>
      <c r="D27" s="11">
        <v>26386</v>
      </c>
      <c r="E27" s="12">
        <v>27268654017</v>
      </c>
      <c r="F27" s="13" t="s">
        <v>33</v>
      </c>
      <c r="G27" s="14">
        <v>1914.05</v>
      </c>
      <c r="H27" s="14">
        <v>401.95049999999998</v>
      </c>
      <c r="I27" s="14"/>
      <c r="J27" s="14"/>
      <c r="K27" s="14"/>
      <c r="L27" s="14"/>
      <c r="M27" s="14"/>
      <c r="N27" s="14"/>
      <c r="O27" s="14"/>
      <c r="P27" s="14"/>
      <c r="Q27" s="14">
        <v>2316.0005000000001</v>
      </c>
      <c r="R27" s="1"/>
    </row>
    <row r="28" spans="1:18" ht="18.75" customHeight="1" x14ac:dyDescent="0.3">
      <c r="A28" s="8">
        <v>44952</v>
      </c>
      <c r="B28" s="9">
        <v>1</v>
      </c>
      <c r="C28" s="10">
        <v>1</v>
      </c>
      <c r="D28" s="11">
        <v>32182</v>
      </c>
      <c r="E28" s="12">
        <v>30715891154</v>
      </c>
      <c r="F28" s="13" t="s">
        <v>34</v>
      </c>
      <c r="G28" s="14">
        <v>7677.69</v>
      </c>
      <c r="H28" s="14">
        <v>1612.3148999999999</v>
      </c>
      <c r="I28" s="14"/>
      <c r="J28" s="14"/>
      <c r="K28" s="14"/>
      <c r="L28" s="14"/>
      <c r="M28" s="14"/>
      <c r="N28" s="14"/>
      <c r="O28" s="14"/>
      <c r="P28" s="14"/>
      <c r="Q28" s="14">
        <v>9290.0048999999999</v>
      </c>
      <c r="R28" s="1"/>
    </row>
    <row r="29" spans="1:18" ht="18.75" customHeight="1" x14ac:dyDescent="0.3">
      <c r="A29" s="8">
        <v>44953</v>
      </c>
      <c r="B29" s="9">
        <v>3</v>
      </c>
      <c r="C29" s="10">
        <v>122</v>
      </c>
      <c r="D29" s="11">
        <v>43651</v>
      </c>
      <c r="E29" s="12">
        <v>30594494187</v>
      </c>
      <c r="F29" s="13" t="s">
        <v>35</v>
      </c>
      <c r="G29" s="14">
        <v>-11062.2</v>
      </c>
      <c r="H29" s="14">
        <v>-2323.0619999999999</v>
      </c>
      <c r="I29" s="14"/>
      <c r="J29" s="14"/>
      <c r="K29" s="14"/>
      <c r="L29" s="14"/>
      <c r="M29" s="14"/>
      <c r="N29" s="14"/>
      <c r="O29" s="14"/>
      <c r="P29" s="14">
        <v>-30238.52</v>
      </c>
      <c r="Q29" s="14">
        <v>-43623.781999999999</v>
      </c>
      <c r="R29" s="1"/>
    </row>
    <row r="30" spans="1:18" ht="18.75" customHeight="1" x14ac:dyDescent="0.3">
      <c r="A30" s="8">
        <v>44951</v>
      </c>
      <c r="B30" s="9">
        <v>1</v>
      </c>
      <c r="C30" s="10">
        <v>7</v>
      </c>
      <c r="D30" s="11">
        <v>53454</v>
      </c>
      <c r="E30" s="12">
        <v>20181426846</v>
      </c>
      <c r="F30" s="13" t="s">
        <v>36</v>
      </c>
      <c r="G30" s="14">
        <v>3297.52</v>
      </c>
      <c r="H30" s="14">
        <v>692.47919999999999</v>
      </c>
      <c r="I30" s="14"/>
      <c r="J30" s="14"/>
      <c r="K30" s="14"/>
      <c r="L30" s="14"/>
      <c r="M30" s="14"/>
      <c r="N30" s="14"/>
      <c r="O30" s="14"/>
      <c r="P30" s="14"/>
      <c r="Q30" s="14">
        <v>3989.9992000000002</v>
      </c>
      <c r="R30" s="1"/>
    </row>
    <row r="31" spans="1:18" ht="18.75" customHeight="1" x14ac:dyDescent="0.3">
      <c r="A31" s="8">
        <v>44957</v>
      </c>
      <c r="B31" s="9">
        <v>2</v>
      </c>
      <c r="C31" s="10">
        <v>1001</v>
      </c>
      <c r="D31" s="11">
        <v>83036</v>
      </c>
      <c r="E31" s="12">
        <v>30538068841</v>
      </c>
      <c r="F31" s="13" t="s">
        <v>37</v>
      </c>
      <c r="G31" s="14">
        <v>32735.23</v>
      </c>
      <c r="H31" s="14">
        <v>6874.3982999999998</v>
      </c>
      <c r="I31" s="14"/>
      <c r="J31" s="14"/>
      <c r="K31" s="14"/>
      <c r="L31" s="14"/>
      <c r="M31" s="14"/>
      <c r="N31" s="14"/>
      <c r="O31" s="14"/>
      <c r="P31" s="14"/>
      <c r="Q31" s="14">
        <v>39609.628299999997</v>
      </c>
      <c r="R31" s="1"/>
    </row>
    <row r="32" spans="1:18" ht="18.75" customHeight="1" x14ac:dyDescent="0.3">
      <c r="A32" s="8">
        <v>44935</v>
      </c>
      <c r="B32" s="9">
        <v>1</v>
      </c>
      <c r="C32" s="10">
        <v>4</v>
      </c>
      <c r="D32" s="11">
        <v>92020</v>
      </c>
      <c r="E32" s="12">
        <v>30559932236</v>
      </c>
      <c r="F32" s="13" t="s">
        <v>38</v>
      </c>
      <c r="G32" s="14">
        <v>129680.75</v>
      </c>
      <c r="H32" s="14">
        <v>11346.76</v>
      </c>
      <c r="I32" s="14"/>
      <c r="J32" s="14">
        <v>7943.1</v>
      </c>
      <c r="K32" s="14"/>
      <c r="L32" s="14"/>
      <c r="M32" s="14"/>
      <c r="N32" s="14"/>
      <c r="O32" s="14"/>
      <c r="P32" s="14"/>
      <c r="Q32" s="14">
        <v>148970.61000000002</v>
      </c>
      <c r="R32" s="1"/>
    </row>
    <row r="33" spans="1:18" ht="18.75" customHeight="1" x14ac:dyDescent="0.3">
      <c r="A33" s="8">
        <v>44927</v>
      </c>
      <c r="B33" s="9">
        <v>1</v>
      </c>
      <c r="C33" s="10">
        <v>3</v>
      </c>
      <c r="D33" s="11">
        <v>178978</v>
      </c>
      <c r="E33" s="12">
        <v>30707135596</v>
      </c>
      <c r="F33" s="13" t="s">
        <v>39</v>
      </c>
      <c r="G33" s="14">
        <v>4382.3</v>
      </c>
      <c r="H33" s="14">
        <v>920.28300000000002</v>
      </c>
      <c r="I33" s="14"/>
      <c r="J33" s="14"/>
      <c r="K33" s="14"/>
      <c r="L33" s="14"/>
      <c r="M33" s="14"/>
      <c r="N33" s="14"/>
      <c r="O33" s="14"/>
      <c r="P33" s="14"/>
      <c r="Q33" s="14">
        <v>5302.5830000000005</v>
      </c>
      <c r="R33" s="1"/>
    </row>
    <row r="34" spans="1:18" ht="18.75" customHeight="1" x14ac:dyDescent="0.3">
      <c r="A34" s="8">
        <v>44950</v>
      </c>
      <c r="B34" s="9">
        <v>1</v>
      </c>
      <c r="C34" s="10">
        <v>122</v>
      </c>
      <c r="D34" s="11">
        <v>265177</v>
      </c>
      <c r="E34" s="12">
        <v>30594494187</v>
      </c>
      <c r="F34" s="13" t="s">
        <v>35</v>
      </c>
      <c r="G34" s="14">
        <v>11062.2</v>
      </c>
      <c r="H34" s="14">
        <v>2323.0619999999999</v>
      </c>
      <c r="I34" s="14"/>
      <c r="J34" s="14"/>
      <c r="K34" s="14"/>
      <c r="L34" s="14"/>
      <c r="M34" s="14"/>
      <c r="N34" s="14"/>
      <c r="O34" s="14"/>
      <c r="P34" s="14">
        <v>30238.52</v>
      </c>
      <c r="Q34" s="14">
        <v>43623.781999999999</v>
      </c>
      <c r="R34" s="1"/>
    </row>
    <row r="35" spans="1:18" ht="18.75" customHeight="1" x14ac:dyDescent="0.3">
      <c r="A35" s="8">
        <v>44937</v>
      </c>
      <c r="B35" s="9">
        <v>1</v>
      </c>
      <c r="C35" s="10">
        <v>2466</v>
      </c>
      <c r="D35" s="11">
        <v>459431</v>
      </c>
      <c r="E35" s="12">
        <v>30678814357</v>
      </c>
      <c r="F35" s="13" t="s">
        <v>40</v>
      </c>
      <c r="G35" s="14">
        <v>18081.04</v>
      </c>
      <c r="H35" s="14"/>
      <c r="I35" s="14">
        <v>4881.88</v>
      </c>
      <c r="J35" s="14"/>
      <c r="K35" s="14">
        <v>542.42999999999995</v>
      </c>
      <c r="L35" s="14"/>
      <c r="M35" s="14"/>
      <c r="N35" s="14"/>
      <c r="O35" s="14"/>
      <c r="P35" s="14">
        <v>182.37</v>
      </c>
      <c r="Q35" s="14">
        <v>23687.72</v>
      </c>
      <c r="R35" s="1"/>
    </row>
    <row r="36" spans="1:18" ht="18.75" customHeight="1" x14ac:dyDescent="0.3">
      <c r="A36" s="8">
        <v>44935</v>
      </c>
      <c r="B36" s="9">
        <v>1</v>
      </c>
      <c r="C36" s="10">
        <v>700</v>
      </c>
      <c r="D36" s="11">
        <v>473166</v>
      </c>
      <c r="E36" s="12">
        <v>30580111315</v>
      </c>
      <c r="F36" s="13" t="s">
        <v>41</v>
      </c>
      <c r="G36" s="14">
        <v>2507.625</v>
      </c>
      <c r="H36" s="14">
        <v>526.60124999999994</v>
      </c>
      <c r="I36" s="14"/>
      <c r="J36" s="14"/>
      <c r="K36" s="14"/>
      <c r="L36" s="14"/>
      <c r="M36" s="14"/>
      <c r="N36" s="14"/>
      <c r="O36" s="14"/>
      <c r="P36" s="14">
        <v>101815.14750000001</v>
      </c>
      <c r="Q36" s="14">
        <v>104849.37375</v>
      </c>
      <c r="R36" s="1"/>
    </row>
    <row r="37" spans="1:18" ht="18.75" customHeight="1" x14ac:dyDescent="0.3">
      <c r="A37" s="8">
        <v>44935</v>
      </c>
      <c r="B37" s="9">
        <v>1</v>
      </c>
      <c r="C37" s="10">
        <v>700</v>
      </c>
      <c r="D37" s="11">
        <v>473957</v>
      </c>
      <c r="E37" s="12">
        <v>30580111315</v>
      </c>
      <c r="F37" s="13" t="s">
        <v>41</v>
      </c>
      <c r="G37" s="14">
        <v>0</v>
      </c>
      <c r="H37" s="14">
        <v>0</v>
      </c>
      <c r="I37" s="14"/>
      <c r="J37" s="14"/>
      <c r="K37" s="14"/>
      <c r="L37" s="14"/>
      <c r="M37" s="14"/>
      <c r="N37" s="14"/>
      <c r="O37" s="14"/>
      <c r="P37" s="14">
        <v>28128.122500000001</v>
      </c>
      <c r="Q37" s="14">
        <v>28128.122500000001</v>
      </c>
      <c r="R37" s="1"/>
    </row>
    <row r="38" spans="1:18" ht="18.75" customHeight="1" x14ac:dyDescent="0.3">
      <c r="A38" s="8">
        <v>44949</v>
      </c>
      <c r="B38" s="9">
        <v>1</v>
      </c>
      <c r="C38" s="10">
        <v>700</v>
      </c>
      <c r="D38" s="11">
        <v>478407</v>
      </c>
      <c r="E38" s="12">
        <v>30580111315</v>
      </c>
      <c r="F38" s="13" t="s">
        <v>41</v>
      </c>
      <c r="G38" s="14">
        <v>2656.5</v>
      </c>
      <c r="H38" s="14">
        <v>557.86500000000001</v>
      </c>
      <c r="I38" s="14"/>
      <c r="J38" s="14"/>
      <c r="K38" s="14"/>
      <c r="L38" s="14"/>
      <c r="M38" s="14"/>
      <c r="N38" s="14"/>
      <c r="O38" s="14"/>
      <c r="P38" s="14">
        <v>61708.597499999996</v>
      </c>
      <c r="Q38" s="14">
        <v>64922.962499999994</v>
      </c>
      <c r="R38" s="1"/>
    </row>
    <row r="39" spans="1:18" ht="18.75" customHeight="1" x14ac:dyDescent="0.3">
      <c r="A39" s="8">
        <v>44956</v>
      </c>
      <c r="B39" s="9">
        <v>1</v>
      </c>
      <c r="C39" s="10">
        <v>700</v>
      </c>
      <c r="D39" s="11">
        <v>480580</v>
      </c>
      <c r="E39" s="12">
        <v>30580111315</v>
      </c>
      <c r="F39" s="13" t="s">
        <v>41</v>
      </c>
      <c r="G39" s="14">
        <v>2691.5</v>
      </c>
      <c r="H39" s="14">
        <v>565.21500000000003</v>
      </c>
      <c r="I39" s="14"/>
      <c r="J39" s="14"/>
      <c r="K39" s="14"/>
      <c r="L39" s="14"/>
      <c r="M39" s="14"/>
      <c r="N39" s="14"/>
      <c r="O39" s="14"/>
      <c r="P39" s="14">
        <v>54946.972500000003</v>
      </c>
      <c r="Q39" s="14">
        <v>58203.6875</v>
      </c>
      <c r="R39" s="1"/>
    </row>
    <row r="40" spans="1:18" ht="18.75" customHeight="1" x14ac:dyDescent="0.3">
      <c r="A40" s="8">
        <v>44928</v>
      </c>
      <c r="B40" s="9">
        <v>1</v>
      </c>
      <c r="C40" s="10">
        <v>106</v>
      </c>
      <c r="D40" s="11">
        <v>595879</v>
      </c>
      <c r="E40" s="12">
        <v>30594494187</v>
      </c>
      <c r="F40" s="13" t="s">
        <v>35</v>
      </c>
      <c r="G40" s="14">
        <v>0</v>
      </c>
      <c r="H40" s="14">
        <v>0</v>
      </c>
      <c r="I40" s="14"/>
      <c r="J40" s="14"/>
      <c r="K40" s="14"/>
      <c r="L40" s="14"/>
      <c r="M40" s="14"/>
      <c r="N40" s="14"/>
      <c r="O40" s="14"/>
      <c r="P40" s="14">
        <v>37480.120000000003</v>
      </c>
      <c r="Q40" s="14">
        <v>37480.120000000003</v>
      </c>
      <c r="R40" s="1"/>
    </row>
    <row r="41" spans="1:18" ht="18.75" customHeight="1" x14ac:dyDescent="0.3">
      <c r="A41" s="8">
        <v>44928</v>
      </c>
      <c r="B41" s="9">
        <v>1</v>
      </c>
      <c r="C41" s="10">
        <v>1006</v>
      </c>
      <c r="D41" s="11">
        <v>804846</v>
      </c>
      <c r="E41" s="12">
        <v>30538068841</v>
      </c>
      <c r="F41" s="13" t="s">
        <v>37</v>
      </c>
      <c r="G41" s="14">
        <v>2399491.9925000002</v>
      </c>
      <c r="H41" s="14">
        <v>503893.318425</v>
      </c>
      <c r="I41" s="14"/>
      <c r="J41" s="14"/>
      <c r="K41" s="14"/>
      <c r="L41" s="14"/>
      <c r="M41" s="14"/>
      <c r="N41" s="14"/>
      <c r="O41" s="14"/>
      <c r="P41" s="14"/>
      <c r="Q41" s="14">
        <v>2903385.3109250003</v>
      </c>
      <c r="R41" s="1"/>
    </row>
    <row r="42" spans="1:18" ht="18.75" customHeight="1" x14ac:dyDescent="0.3">
      <c r="A42" s="8">
        <v>44956</v>
      </c>
      <c r="B42" s="9">
        <v>1</v>
      </c>
      <c r="C42" s="10">
        <v>3</v>
      </c>
      <c r="D42" s="11">
        <v>1263434</v>
      </c>
      <c r="E42" s="12">
        <v>30712019359</v>
      </c>
      <c r="F42" s="13" t="s">
        <v>42</v>
      </c>
      <c r="G42" s="14">
        <v>4461.9799999999996</v>
      </c>
      <c r="H42" s="14">
        <v>937.0157999999999</v>
      </c>
      <c r="I42" s="14"/>
      <c r="J42" s="14"/>
      <c r="K42" s="14"/>
      <c r="L42" s="14"/>
      <c r="M42" s="14"/>
      <c r="N42" s="14"/>
      <c r="O42" s="14"/>
      <c r="P42" s="14"/>
      <c r="Q42" s="14">
        <v>5398.9957999999997</v>
      </c>
      <c r="R42" s="1"/>
    </row>
    <row r="43" spans="1:18" ht="18.75" customHeight="1" x14ac:dyDescent="0.3">
      <c r="A43" s="8">
        <v>44930</v>
      </c>
      <c r="B43" s="9">
        <v>99</v>
      </c>
      <c r="C43" s="10">
        <v>1</v>
      </c>
      <c r="D43" s="11">
        <v>1012415</v>
      </c>
      <c r="E43" s="12">
        <v>30571421352</v>
      </c>
      <c r="F43" s="13" t="s">
        <v>43</v>
      </c>
      <c r="G43" s="14">
        <v>20373.400000000001</v>
      </c>
      <c r="H43" s="14">
        <v>4278.41</v>
      </c>
      <c r="I43" s="14"/>
      <c r="J43" s="14"/>
      <c r="K43" s="14"/>
      <c r="L43" s="14"/>
      <c r="M43" s="14">
        <v>611.20000000000005</v>
      </c>
      <c r="N43" s="14"/>
      <c r="O43" s="14"/>
      <c r="P43" s="14"/>
      <c r="Q43" s="14">
        <v>25263.010000000002</v>
      </c>
    </row>
    <row r="44" spans="1:18" ht="18.75" customHeight="1" x14ac:dyDescent="0.3">
      <c r="A44" s="8">
        <v>44928</v>
      </c>
      <c r="B44" s="9">
        <v>99</v>
      </c>
      <c r="C44" s="10">
        <v>1</v>
      </c>
      <c r="D44" s="11">
        <v>617502104</v>
      </c>
      <c r="E44" s="12">
        <v>30571421352</v>
      </c>
      <c r="F44" s="13" t="s">
        <v>43</v>
      </c>
      <c r="G44" s="14">
        <v>4466.5</v>
      </c>
      <c r="H44" s="14">
        <v>937.96</v>
      </c>
      <c r="I44" s="14"/>
      <c r="J44" s="14"/>
      <c r="K44" s="14"/>
      <c r="L44" s="14"/>
      <c r="M44" s="14">
        <v>134</v>
      </c>
      <c r="N44" s="14"/>
      <c r="O44" s="14"/>
      <c r="P44" s="14"/>
      <c r="Q44" s="14">
        <v>5538.47</v>
      </c>
    </row>
    <row r="45" spans="1:18" ht="18.75" customHeight="1" thickBot="1" x14ac:dyDescent="0.35">
      <c r="A45" s="23" t="s">
        <v>17</v>
      </c>
      <c r="B45" s="23"/>
      <c r="C45" s="23"/>
      <c r="D45" s="23"/>
      <c r="E45" s="23"/>
      <c r="F45" s="23"/>
      <c r="G45" s="17">
        <f>SUM(G7:G44)</f>
        <v>3098105.7275</v>
      </c>
      <c r="H45" s="17">
        <f t="shared" ref="H45:Q45" si="0">SUM(H7:H44)</f>
        <v>620930.53787500004</v>
      </c>
      <c r="I45" s="17">
        <f t="shared" si="0"/>
        <v>4881.88</v>
      </c>
      <c r="J45" s="17">
        <f t="shared" si="0"/>
        <v>12937.32</v>
      </c>
      <c r="K45" s="17">
        <f t="shared" si="0"/>
        <v>542.42999999999995</v>
      </c>
      <c r="L45" s="17">
        <f t="shared" si="0"/>
        <v>0</v>
      </c>
      <c r="M45" s="17">
        <f t="shared" si="0"/>
        <v>745.2</v>
      </c>
      <c r="N45" s="17">
        <f t="shared" si="0"/>
        <v>0</v>
      </c>
      <c r="O45" s="17">
        <f t="shared" si="0"/>
        <v>0</v>
      </c>
      <c r="P45" s="17">
        <f t="shared" si="0"/>
        <v>284261.33</v>
      </c>
      <c r="Q45" s="17">
        <f t="shared" si="0"/>
        <v>4022404.4353750004</v>
      </c>
    </row>
    <row r="46" spans="1:18" ht="18.75" customHeight="1" thickBot="1" x14ac:dyDescent="0.35">
      <c r="A46" s="15"/>
      <c r="B46" s="15"/>
      <c r="C46" s="15"/>
      <c r="D46" s="15"/>
      <c r="E46" s="15"/>
      <c r="F46" s="15"/>
      <c r="G46" s="16"/>
      <c r="H46" s="18"/>
      <c r="I46" s="19">
        <f>SUM(H45:J45)</f>
        <v>638749.73787499999</v>
      </c>
      <c r="J46" s="20"/>
      <c r="K46" s="16"/>
      <c r="L46" s="16"/>
      <c r="M46" s="16"/>
      <c r="N46" s="16"/>
      <c r="O46" s="16"/>
      <c r="P46" s="16"/>
      <c r="Q46" s="16"/>
    </row>
    <row r="47" spans="1:18" ht="18.95" customHeight="1" x14ac:dyDescent="0.25">
      <c r="G47" s="2"/>
      <c r="H47" s="3"/>
      <c r="I47" s="3"/>
      <c r="J47" s="3"/>
      <c r="K47" s="2"/>
    </row>
    <row r="48" spans="1:18" x14ac:dyDescent="0.25">
      <c r="G48" s="2"/>
      <c r="H48" s="3"/>
      <c r="I48" s="3"/>
      <c r="J48" s="3"/>
      <c r="K48" s="2"/>
    </row>
    <row r="49" spans="1:18" x14ac:dyDescent="0.25">
      <c r="G49" s="2"/>
      <c r="H49" s="3"/>
      <c r="I49" s="3"/>
      <c r="J49" s="3"/>
      <c r="K49" s="2"/>
    </row>
    <row r="50" spans="1:18" x14ac:dyDescent="0.25">
      <c r="G50" s="2"/>
      <c r="H50" s="3"/>
      <c r="I50" s="3"/>
      <c r="J50" s="3"/>
      <c r="K50" s="2"/>
    </row>
    <row r="51" spans="1:18" x14ac:dyDescent="0.25">
      <c r="G51" s="2"/>
      <c r="H51" s="2"/>
      <c r="I51" s="2"/>
      <c r="J51" s="2"/>
      <c r="K51" s="2"/>
    </row>
    <row r="53" spans="1:18" ht="29.25" thickBot="1" x14ac:dyDescent="0.5">
      <c r="A53" s="24" t="s">
        <v>0</v>
      </c>
      <c r="B53" s="24"/>
      <c r="C53" s="24"/>
      <c r="D53" s="24"/>
      <c r="E53" s="24"/>
      <c r="F53" s="21"/>
      <c r="G53" s="22"/>
      <c r="H53" s="22"/>
      <c r="I53" s="22"/>
      <c r="J53" s="22"/>
      <c r="K53" s="22"/>
      <c r="L53" s="22"/>
      <c r="M53" s="22"/>
      <c r="N53" s="22"/>
      <c r="O53" s="25">
        <v>44958</v>
      </c>
      <c r="P53" s="26"/>
      <c r="Q53" s="26"/>
    </row>
    <row r="54" spans="1:18" ht="18.75" customHeight="1" x14ac:dyDescent="0.3">
      <c r="A54" s="6" t="s">
        <v>1</v>
      </c>
      <c r="B54" s="6" t="s">
        <v>2</v>
      </c>
      <c r="C54" s="6" t="s">
        <v>3</v>
      </c>
      <c r="D54" s="6" t="s">
        <v>4</v>
      </c>
      <c r="E54" s="6" t="s">
        <v>5</v>
      </c>
      <c r="F54" s="6" t="s">
        <v>6</v>
      </c>
      <c r="G54" s="7" t="s">
        <v>7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14</v>
      </c>
      <c r="O54" s="7" t="s">
        <v>15</v>
      </c>
      <c r="P54" s="7" t="s">
        <v>16</v>
      </c>
      <c r="Q54" s="7" t="s">
        <v>17</v>
      </c>
    </row>
    <row r="55" spans="1:18" ht="18.75" customHeight="1" x14ac:dyDescent="0.3">
      <c r="A55" s="8">
        <v>44985</v>
      </c>
      <c r="B55" s="9">
        <v>1</v>
      </c>
      <c r="C55" s="10">
        <v>6</v>
      </c>
      <c r="D55" s="11">
        <v>5</v>
      </c>
      <c r="E55" s="12">
        <v>30715048066</v>
      </c>
      <c r="F55" s="13" t="s">
        <v>23</v>
      </c>
      <c r="G55" s="14">
        <v>109440</v>
      </c>
      <c r="H55" s="14">
        <v>22982.399999999998</v>
      </c>
      <c r="I55" s="14"/>
      <c r="J55" s="14"/>
      <c r="K55" s="14"/>
      <c r="L55" s="14"/>
      <c r="M55" s="14"/>
      <c r="N55" s="14"/>
      <c r="O55" s="14"/>
      <c r="P55" s="14"/>
      <c r="Q55" s="14">
        <v>132422.39999999999</v>
      </c>
      <c r="R55" s="1"/>
    </row>
    <row r="56" spans="1:18" ht="18.75" customHeight="1" x14ac:dyDescent="0.3">
      <c r="A56" s="8">
        <v>44966</v>
      </c>
      <c r="B56" s="9">
        <v>1</v>
      </c>
      <c r="C56" s="10">
        <v>31</v>
      </c>
      <c r="D56" s="11">
        <v>48</v>
      </c>
      <c r="E56" s="12">
        <v>27207466080</v>
      </c>
      <c r="F56" s="13" t="s">
        <v>44</v>
      </c>
      <c r="G56" s="14">
        <v>4785.1099999999997</v>
      </c>
      <c r="H56" s="14">
        <v>1004.8730999999999</v>
      </c>
      <c r="I56" s="14"/>
      <c r="J56" s="14"/>
      <c r="K56" s="14"/>
      <c r="L56" s="14"/>
      <c r="M56" s="14"/>
      <c r="N56" s="14"/>
      <c r="O56" s="14"/>
      <c r="P56" s="14"/>
      <c r="Q56" s="14">
        <v>5789.9830999999995</v>
      </c>
      <c r="R56" s="1"/>
    </row>
    <row r="57" spans="1:18" ht="18.75" customHeight="1" x14ac:dyDescent="0.3">
      <c r="A57" s="8">
        <v>44969</v>
      </c>
      <c r="B57" s="9">
        <v>1</v>
      </c>
      <c r="C57" s="10">
        <v>2</v>
      </c>
      <c r="D57" s="11">
        <v>159</v>
      </c>
      <c r="E57" s="12">
        <v>20125142851</v>
      </c>
      <c r="F57" s="13" t="s">
        <v>19</v>
      </c>
      <c r="G57" s="14">
        <v>63372.9</v>
      </c>
      <c r="H57" s="14">
        <v>13308.308999999999</v>
      </c>
      <c r="I57" s="14"/>
      <c r="J57" s="14"/>
      <c r="K57" s="14"/>
      <c r="L57" s="14"/>
      <c r="M57" s="14"/>
      <c r="N57" s="14"/>
      <c r="O57" s="14"/>
      <c r="P57" s="14"/>
      <c r="Q57" s="14">
        <v>76681.209000000003</v>
      </c>
      <c r="R57" s="1"/>
    </row>
    <row r="58" spans="1:18" ht="18.75" customHeight="1" x14ac:dyDescent="0.3">
      <c r="A58" s="8">
        <v>44969</v>
      </c>
      <c r="B58" s="9">
        <v>1</v>
      </c>
      <c r="C58" s="10">
        <v>2</v>
      </c>
      <c r="D58" s="11">
        <v>160</v>
      </c>
      <c r="E58" s="12">
        <v>20125142851</v>
      </c>
      <c r="F58" s="13" t="s">
        <v>19</v>
      </c>
      <c r="G58" s="14">
        <v>78169.600000000006</v>
      </c>
      <c r="H58" s="14">
        <v>16415.616000000002</v>
      </c>
      <c r="I58" s="14"/>
      <c r="J58" s="14"/>
      <c r="K58" s="14"/>
      <c r="L58" s="14"/>
      <c r="M58" s="14"/>
      <c r="N58" s="14"/>
      <c r="O58" s="14"/>
      <c r="P58" s="14"/>
      <c r="Q58" s="14">
        <v>94585.216000000015</v>
      </c>
      <c r="R58" s="1"/>
    </row>
    <row r="59" spans="1:18" ht="18.75" customHeight="1" x14ac:dyDescent="0.3">
      <c r="A59" s="8">
        <v>44971</v>
      </c>
      <c r="B59" s="9">
        <v>1</v>
      </c>
      <c r="C59" s="10">
        <v>2</v>
      </c>
      <c r="D59" s="11">
        <v>161</v>
      </c>
      <c r="E59" s="12">
        <v>20125142851</v>
      </c>
      <c r="F59" s="13" t="s">
        <v>19</v>
      </c>
      <c r="G59" s="14">
        <v>50698.32</v>
      </c>
      <c r="H59" s="14">
        <v>10646.647199999999</v>
      </c>
      <c r="I59" s="14"/>
      <c r="J59" s="14"/>
      <c r="K59" s="14"/>
      <c r="L59" s="14"/>
      <c r="M59" s="14"/>
      <c r="N59" s="14"/>
      <c r="O59" s="14"/>
      <c r="P59" s="14"/>
      <c r="Q59" s="14">
        <v>61344.967199999999</v>
      </c>
      <c r="R59" s="1"/>
    </row>
    <row r="60" spans="1:18" ht="18.75" customHeight="1" x14ac:dyDescent="0.3">
      <c r="A60" s="8">
        <v>44971</v>
      </c>
      <c r="B60" s="9">
        <v>1</v>
      </c>
      <c r="C60" s="10">
        <v>2</v>
      </c>
      <c r="D60" s="11">
        <v>162</v>
      </c>
      <c r="E60" s="12">
        <v>20125142851</v>
      </c>
      <c r="F60" s="13" t="s">
        <v>19</v>
      </c>
      <c r="G60" s="14">
        <v>62535.68</v>
      </c>
      <c r="H60" s="14">
        <v>13132.4928</v>
      </c>
      <c r="I60" s="14"/>
      <c r="J60" s="14"/>
      <c r="K60" s="14"/>
      <c r="L60" s="14"/>
      <c r="M60" s="14"/>
      <c r="N60" s="14"/>
      <c r="O60" s="14"/>
      <c r="P60" s="14"/>
      <c r="Q60" s="14">
        <v>75668.1728</v>
      </c>
      <c r="R60" s="1"/>
    </row>
    <row r="61" spans="1:18" ht="18.75" customHeight="1" x14ac:dyDescent="0.3">
      <c r="A61" s="8">
        <v>44985</v>
      </c>
      <c r="B61" s="9">
        <v>3</v>
      </c>
      <c r="C61" s="10">
        <v>4</v>
      </c>
      <c r="D61" s="11">
        <v>242</v>
      </c>
      <c r="E61" s="12">
        <v>33710719549</v>
      </c>
      <c r="F61" s="13" t="s">
        <v>45</v>
      </c>
      <c r="G61" s="14">
        <v>-8132</v>
      </c>
      <c r="H61" s="14">
        <v>-1707.72</v>
      </c>
      <c r="I61" s="14"/>
      <c r="J61" s="14"/>
      <c r="K61" s="14"/>
      <c r="L61" s="14"/>
      <c r="M61" s="14"/>
      <c r="N61" s="14"/>
      <c r="O61" s="14"/>
      <c r="P61" s="14"/>
      <c r="Q61" s="14">
        <v>-9839.7199999999993</v>
      </c>
      <c r="R61" s="1"/>
    </row>
    <row r="62" spans="1:18" ht="18.75" customHeight="1" x14ac:dyDescent="0.3">
      <c r="A62" s="8">
        <v>44984</v>
      </c>
      <c r="B62" s="9">
        <v>1</v>
      </c>
      <c r="C62" s="10">
        <v>28</v>
      </c>
      <c r="D62" s="11">
        <v>246</v>
      </c>
      <c r="E62" s="12">
        <v>30707097465</v>
      </c>
      <c r="F62" s="13" t="s">
        <v>46</v>
      </c>
      <c r="G62" s="14">
        <v>10256.19</v>
      </c>
      <c r="H62" s="14">
        <v>2153.7999</v>
      </c>
      <c r="I62" s="14"/>
      <c r="J62" s="14"/>
      <c r="K62" s="14"/>
      <c r="L62" s="14"/>
      <c r="M62" s="14"/>
      <c r="N62" s="14"/>
      <c r="O62" s="14"/>
      <c r="P62" s="14"/>
      <c r="Q62" s="14">
        <v>12409.9899</v>
      </c>
      <c r="R62" s="1"/>
    </row>
    <row r="63" spans="1:18" ht="18.75" customHeight="1" x14ac:dyDescent="0.3">
      <c r="A63" s="8">
        <v>44965</v>
      </c>
      <c r="B63" s="9">
        <v>3</v>
      </c>
      <c r="C63" s="10">
        <v>5</v>
      </c>
      <c r="D63" s="11">
        <v>470</v>
      </c>
      <c r="E63" s="12">
        <v>20233336735</v>
      </c>
      <c r="F63" s="13" t="s">
        <v>47</v>
      </c>
      <c r="G63" s="14">
        <v>-14983.45</v>
      </c>
      <c r="H63" s="14">
        <v>-3146.5245</v>
      </c>
      <c r="I63" s="14"/>
      <c r="J63" s="14"/>
      <c r="K63" s="14"/>
      <c r="L63" s="14"/>
      <c r="M63" s="14"/>
      <c r="N63" s="14"/>
      <c r="O63" s="14"/>
      <c r="P63" s="14"/>
      <c r="Q63" s="14">
        <v>-18129.9745</v>
      </c>
      <c r="R63" s="1"/>
    </row>
    <row r="64" spans="1:18" ht="18.75" customHeight="1" x14ac:dyDescent="0.3">
      <c r="A64" s="8">
        <v>44985</v>
      </c>
      <c r="B64" s="9">
        <v>1</v>
      </c>
      <c r="C64" s="10">
        <v>15</v>
      </c>
      <c r="D64" s="11">
        <v>473</v>
      </c>
      <c r="E64" s="12">
        <v>30709653578</v>
      </c>
      <c r="F64" s="13" t="s">
        <v>48</v>
      </c>
      <c r="G64" s="14">
        <v>8925.6299999999992</v>
      </c>
      <c r="H64" s="14">
        <v>1874.3822999999998</v>
      </c>
      <c r="I64" s="14"/>
      <c r="J64" s="14"/>
      <c r="K64" s="14"/>
      <c r="L64" s="14"/>
      <c r="M64" s="14"/>
      <c r="N64" s="14"/>
      <c r="O64" s="14"/>
      <c r="P64" s="14"/>
      <c r="Q64" s="14">
        <v>10800.012299999999</v>
      </c>
      <c r="R64" s="1"/>
    </row>
    <row r="65" spans="1:18" ht="18.75" customHeight="1" x14ac:dyDescent="0.3">
      <c r="A65" s="8">
        <v>44958</v>
      </c>
      <c r="B65" s="9">
        <v>1</v>
      </c>
      <c r="C65" s="10">
        <v>3</v>
      </c>
      <c r="D65" s="11">
        <v>615</v>
      </c>
      <c r="E65" s="12">
        <v>30715402765</v>
      </c>
      <c r="F65" s="13" t="s">
        <v>25</v>
      </c>
      <c r="G65" s="14">
        <v>11404.96</v>
      </c>
      <c r="H65" s="14">
        <v>2395.0415999999996</v>
      </c>
      <c r="I65" s="14"/>
      <c r="J65" s="14"/>
      <c r="K65" s="14"/>
      <c r="L65" s="14"/>
      <c r="M65" s="14"/>
      <c r="N65" s="14"/>
      <c r="O65" s="14"/>
      <c r="P65" s="14"/>
      <c r="Q65" s="14">
        <v>13800.0016</v>
      </c>
      <c r="R65" s="1"/>
    </row>
    <row r="66" spans="1:18" ht="18.75" customHeight="1" x14ac:dyDescent="0.3">
      <c r="A66" s="8">
        <v>44980</v>
      </c>
      <c r="B66" s="9">
        <v>1</v>
      </c>
      <c r="C66" s="10">
        <v>5</v>
      </c>
      <c r="D66" s="11">
        <v>950</v>
      </c>
      <c r="E66" s="12">
        <v>20141343700</v>
      </c>
      <c r="F66" s="13" t="s">
        <v>49</v>
      </c>
      <c r="G66" s="14">
        <v>2002.93</v>
      </c>
      <c r="H66" s="14">
        <v>420.61529999999999</v>
      </c>
      <c r="I66" s="14"/>
      <c r="J66" s="14"/>
      <c r="K66" s="14"/>
      <c r="L66" s="14"/>
      <c r="M66" s="14"/>
      <c r="N66" s="14"/>
      <c r="O66" s="14"/>
      <c r="P66" s="14"/>
      <c r="Q66" s="14">
        <v>2423.5453000000002</v>
      </c>
      <c r="R66" s="1"/>
    </row>
    <row r="67" spans="1:18" ht="18.75" customHeight="1" x14ac:dyDescent="0.3">
      <c r="A67" s="8">
        <v>44970</v>
      </c>
      <c r="B67" s="9">
        <v>1</v>
      </c>
      <c r="C67" s="10">
        <v>8</v>
      </c>
      <c r="D67" s="11">
        <v>1110</v>
      </c>
      <c r="E67" s="12">
        <v>30717419924</v>
      </c>
      <c r="F67" s="13" t="s">
        <v>50</v>
      </c>
      <c r="G67" s="14">
        <v>7355.38</v>
      </c>
      <c r="H67" s="14">
        <v>1544.6297999999999</v>
      </c>
      <c r="I67" s="14"/>
      <c r="J67" s="14"/>
      <c r="K67" s="14"/>
      <c r="L67" s="14"/>
      <c r="M67" s="14"/>
      <c r="N67" s="14"/>
      <c r="O67" s="14"/>
      <c r="P67" s="14"/>
      <c r="Q67" s="14">
        <v>8900.0097999999998</v>
      </c>
      <c r="R67" s="1"/>
    </row>
    <row r="68" spans="1:18" ht="18.75" customHeight="1" x14ac:dyDescent="0.3">
      <c r="A68" s="8">
        <v>44980</v>
      </c>
      <c r="B68" s="9">
        <v>1</v>
      </c>
      <c r="C68" s="10">
        <v>5</v>
      </c>
      <c r="D68" s="11">
        <v>1120</v>
      </c>
      <c r="E68" s="12">
        <v>30707397256</v>
      </c>
      <c r="F68" s="13" t="s">
        <v>51</v>
      </c>
      <c r="G68" s="14">
        <v>396450.4</v>
      </c>
      <c r="H68" s="14">
        <v>83254.584000000003</v>
      </c>
      <c r="I68" s="14"/>
      <c r="J68" s="14"/>
      <c r="K68" s="14"/>
      <c r="L68" s="14"/>
      <c r="M68" s="14"/>
      <c r="N68" s="14"/>
      <c r="O68" s="14"/>
      <c r="P68" s="14"/>
      <c r="Q68" s="14">
        <v>479704.98400000005</v>
      </c>
      <c r="R68" s="1"/>
    </row>
    <row r="69" spans="1:18" ht="18.75" customHeight="1" x14ac:dyDescent="0.3">
      <c r="A69" s="8">
        <v>44967</v>
      </c>
      <c r="B69" s="9">
        <v>1</v>
      </c>
      <c r="C69" s="10">
        <v>1</v>
      </c>
      <c r="D69" s="11">
        <v>1357</v>
      </c>
      <c r="E69" s="12">
        <v>30716831848</v>
      </c>
      <c r="F69" s="13" t="s">
        <v>52</v>
      </c>
      <c r="G69" s="14">
        <v>11380.17</v>
      </c>
      <c r="H69" s="14">
        <v>2389.8357000000001</v>
      </c>
      <c r="I69" s="14"/>
      <c r="J69" s="14"/>
      <c r="K69" s="14"/>
      <c r="L69" s="14"/>
      <c r="M69" s="14"/>
      <c r="N69" s="14"/>
      <c r="O69" s="14"/>
      <c r="P69" s="14"/>
      <c r="Q69" s="14">
        <v>13770.0057</v>
      </c>
      <c r="R69" s="1"/>
    </row>
    <row r="70" spans="1:18" ht="18.75" customHeight="1" x14ac:dyDescent="0.3">
      <c r="A70" s="8">
        <v>44978</v>
      </c>
      <c r="B70" s="9">
        <v>1</v>
      </c>
      <c r="C70" s="10">
        <v>3</v>
      </c>
      <c r="D70" s="11">
        <v>1382</v>
      </c>
      <c r="E70" s="12">
        <v>30716193280</v>
      </c>
      <c r="F70" s="13" t="s">
        <v>53</v>
      </c>
      <c r="G70" s="14">
        <v>8391.19</v>
      </c>
      <c r="H70" s="14">
        <v>1762.1499000000001</v>
      </c>
      <c r="I70" s="14"/>
      <c r="J70" s="14"/>
      <c r="K70" s="14"/>
      <c r="L70" s="14"/>
      <c r="M70" s="14"/>
      <c r="N70" s="14"/>
      <c r="O70" s="14"/>
      <c r="P70" s="14"/>
      <c r="Q70" s="14">
        <v>10153.339900000001</v>
      </c>
      <c r="R70" s="1"/>
    </row>
    <row r="71" spans="1:18" ht="18.75" customHeight="1" x14ac:dyDescent="0.3">
      <c r="A71" s="8">
        <v>44980</v>
      </c>
      <c r="B71" s="9">
        <v>1</v>
      </c>
      <c r="C71" s="10">
        <v>3</v>
      </c>
      <c r="D71" s="11">
        <v>1389</v>
      </c>
      <c r="E71" s="12">
        <v>30716193280</v>
      </c>
      <c r="F71" s="13" t="s">
        <v>53</v>
      </c>
      <c r="G71" s="14">
        <v>8391.19</v>
      </c>
      <c r="H71" s="14">
        <v>1762.1499000000001</v>
      </c>
      <c r="I71" s="14"/>
      <c r="J71" s="14"/>
      <c r="K71" s="14"/>
      <c r="L71" s="14"/>
      <c r="M71" s="14"/>
      <c r="N71" s="14"/>
      <c r="O71" s="14"/>
      <c r="P71" s="14"/>
      <c r="Q71" s="14">
        <v>10153.339900000001</v>
      </c>
      <c r="R71" s="1"/>
    </row>
    <row r="72" spans="1:18" ht="18.75" customHeight="1" x14ac:dyDescent="0.3">
      <c r="A72" s="8">
        <v>44983</v>
      </c>
      <c r="B72" s="9">
        <v>1</v>
      </c>
      <c r="C72" s="10">
        <v>3</v>
      </c>
      <c r="D72" s="11">
        <v>1406</v>
      </c>
      <c r="E72" s="12">
        <v>30716193280</v>
      </c>
      <c r="F72" s="13" t="s">
        <v>53</v>
      </c>
      <c r="G72" s="14">
        <v>1632.23</v>
      </c>
      <c r="H72" s="14">
        <v>342.76830000000001</v>
      </c>
      <c r="I72" s="14"/>
      <c r="J72" s="14"/>
      <c r="K72" s="14"/>
      <c r="L72" s="14"/>
      <c r="M72" s="14"/>
      <c r="N72" s="14"/>
      <c r="O72" s="14"/>
      <c r="P72" s="14"/>
      <c r="Q72" s="14">
        <v>1974.9983</v>
      </c>
      <c r="R72" s="1"/>
    </row>
    <row r="73" spans="1:18" ht="18.75" customHeight="1" x14ac:dyDescent="0.3">
      <c r="A73" s="8">
        <v>44960</v>
      </c>
      <c r="B73" s="9">
        <v>1</v>
      </c>
      <c r="C73" s="10">
        <v>9</v>
      </c>
      <c r="D73" s="11">
        <v>1485</v>
      </c>
      <c r="E73" s="12">
        <v>30631047145</v>
      </c>
      <c r="F73" s="13" t="s">
        <v>26</v>
      </c>
      <c r="G73" s="14">
        <v>99504.33</v>
      </c>
      <c r="H73" s="14">
        <v>15706.54</v>
      </c>
      <c r="I73" s="14"/>
      <c r="J73" s="14">
        <v>2594.69</v>
      </c>
      <c r="K73" s="14"/>
      <c r="L73" s="14"/>
      <c r="M73" s="14"/>
      <c r="N73" s="14"/>
      <c r="O73" s="14"/>
      <c r="P73" s="14"/>
      <c r="Q73" s="14">
        <v>117805.56</v>
      </c>
      <c r="R73" s="1"/>
    </row>
    <row r="74" spans="1:18" ht="18.75" customHeight="1" x14ac:dyDescent="0.3">
      <c r="A74" s="8">
        <v>44980</v>
      </c>
      <c r="B74" s="9">
        <v>1</v>
      </c>
      <c r="C74" s="10">
        <v>5</v>
      </c>
      <c r="D74" s="11">
        <v>3196</v>
      </c>
      <c r="E74" s="12">
        <v>20309473869</v>
      </c>
      <c r="F74" s="13" t="s">
        <v>54</v>
      </c>
      <c r="G74" s="14">
        <v>33883.47</v>
      </c>
      <c r="H74" s="14">
        <v>7115.5286999999998</v>
      </c>
      <c r="I74" s="14"/>
      <c r="J74" s="14"/>
      <c r="K74" s="14"/>
      <c r="L74" s="14"/>
      <c r="M74" s="14"/>
      <c r="N74" s="14"/>
      <c r="O74" s="14"/>
      <c r="P74" s="14"/>
      <c r="Q74" s="14">
        <v>40998.998700000004</v>
      </c>
      <c r="R74" s="1"/>
    </row>
    <row r="75" spans="1:18" ht="18.75" customHeight="1" x14ac:dyDescent="0.3">
      <c r="A75" s="8">
        <v>44970</v>
      </c>
      <c r="B75" s="9">
        <v>1</v>
      </c>
      <c r="C75" s="10">
        <v>7</v>
      </c>
      <c r="D75" s="11">
        <v>5862</v>
      </c>
      <c r="E75" s="12">
        <v>30711871485</v>
      </c>
      <c r="F75" s="13" t="s">
        <v>55</v>
      </c>
      <c r="G75" s="14">
        <v>18130</v>
      </c>
      <c r="H75" s="14">
        <v>3807.2999999999997</v>
      </c>
      <c r="I75" s="14"/>
      <c r="J75" s="14"/>
      <c r="K75" s="14"/>
      <c r="L75" s="14"/>
      <c r="M75" s="14"/>
      <c r="N75" s="14"/>
      <c r="O75" s="14"/>
      <c r="P75" s="14"/>
      <c r="Q75" s="14">
        <v>21937.3</v>
      </c>
      <c r="R75" s="1"/>
    </row>
    <row r="76" spans="1:18" ht="18.75" customHeight="1" x14ac:dyDescent="0.3">
      <c r="A76" s="8">
        <v>44970</v>
      </c>
      <c r="B76" s="9">
        <v>1</v>
      </c>
      <c r="C76" s="10">
        <v>7</v>
      </c>
      <c r="D76" s="11">
        <v>5863</v>
      </c>
      <c r="E76" s="12">
        <v>30711871485</v>
      </c>
      <c r="F76" s="13" t="s">
        <v>55</v>
      </c>
      <c r="G76" s="14">
        <v>12116.36</v>
      </c>
      <c r="H76" s="14">
        <v>2544.4356000000002</v>
      </c>
      <c r="I76" s="14"/>
      <c r="J76" s="14"/>
      <c r="K76" s="14"/>
      <c r="L76" s="14"/>
      <c r="M76" s="14"/>
      <c r="N76" s="14"/>
      <c r="O76" s="14"/>
      <c r="P76" s="14"/>
      <c r="Q76" s="14">
        <v>14660.795600000001</v>
      </c>
      <c r="R76" s="1"/>
    </row>
    <row r="77" spans="1:18" ht="18.75" customHeight="1" x14ac:dyDescent="0.3">
      <c r="A77" s="8">
        <v>44973</v>
      </c>
      <c r="B77" s="9">
        <v>1</v>
      </c>
      <c r="C77" s="10">
        <v>7</v>
      </c>
      <c r="D77" s="11">
        <v>5932</v>
      </c>
      <c r="E77" s="12">
        <v>30711871485</v>
      </c>
      <c r="F77" s="13" t="s">
        <v>55</v>
      </c>
      <c r="G77" s="14">
        <v>7183.64</v>
      </c>
      <c r="H77" s="14">
        <v>1508.5644</v>
      </c>
      <c r="I77" s="14"/>
      <c r="J77" s="14"/>
      <c r="K77" s="14"/>
      <c r="L77" s="14"/>
      <c r="M77" s="14"/>
      <c r="N77" s="14"/>
      <c r="O77" s="14"/>
      <c r="P77" s="14"/>
      <c r="Q77" s="14">
        <v>8692.2044000000005</v>
      </c>
      <c r="R77" s="1"/>
    </row>
    <row r="78" spans="1:18" ht="18.75" customHeight="1" x14ac:dyDescent="0.3">
      <c r="A78" s="8">
        <v>44973</v>
      </c>
      <c r="B78" s="9">
        <v>1</v>
      </c>
      <c r="C78" s="10">
        <v>7</v>
      </c>
      <c r="D78" s="11">
        <v>5933</v>
      </c>
      <c r="E78" s="12">
        <v>30711871485</v>
      </c>
      <c r="F78" s="13" t="s">
        <v>55</v>
      </c>
      <c r="G78" s="14">
        <v>7183.64</v>
      </c>
      <c r="H78" s="14">
        <v>1508.5644</v>
      </c>
      <c r="I78" s="14"/>
      <c r="J78" s="14"/>
      <c r="K78" s="14"/>
      <c r="L78" s="14"/>
      <c r="M78" s="14"/>
      <c r="N78" s="14"/>
      <c r="O78" s="14"/>
      <c r="P78" s="14"/>
      <c r="Q78" s="14">
        <v>8692.2044000000005</v>
      </c>
      <c r="R78" s="1"/>
    </row>
    <row r="79" spans="1:18" ht="18.75" customHeight="1" x14ac:dyDescent="0.3">
      <c r="A79" s="8">
        <v>44973</v>
      </c>
      <c r="B79" s="9">
        <v>1</v>
      </c>
      <c r="C79" s="10">
        <v>7</v>
      </c>
      <c r="D79" s="11">
        <v>5934</v>
      </c>
      <c r="E79" s="12">
        <v>30711871485</v>
      </c>
      <c r="F79" s="13" t="s">
        <v>55</v>
      </c>
      <c r="G79" s="14">
        <v>18130</v>
      </c>
      <c r="H79" s="14">
        <v>3807.2999999999997</v>
      </c>
      <c r="I79" s="14"/>
      <c r="J79" s="14"/>
      <c r="K79" s="14"/>
      <c r="L79" s="14"/>
      <c r="M79" s="14"/>
      <c r="N79" s="14"/>
      <c r="O79" s="14"/>
      <c r="P79" s="14"/>
      <c r="Q79" s="14">
        <v>21937.3</v>
      </c>
      <c r="R79" s="1"/>
    </row>
    <row r="80" spans="1:18" ht="18.75" customHeight="1" x14ac:dyDescent="0.3">
      <c r="A80" s="8">
        <v>44958</v>
      </c>
      <c r="B80" s="9">
        <v>1</v>
      </c>
      <c r="C80" s="10">
        <v>3</v>
      </c>
      <c r="D80" s="11">
        <v>6311</v>
      </c>
      <c r="E80" s="12">
        <v>20141343700</v>
      </c>
      <c r="F80" s="13" t="s">
        <v>49</v>
      </c>
      <c r="G80" s="14">
        <v>5748.1</v>
      </c>
      <c r="H80" s="14">
        <v>1207.1010000000001</v>
      </c>
      <c r="I80" s="14"/>
      <c r="J80" s="14"/>
      <c r="K80" s="14"/>
      <c r="L80" s="14"/>
      <c r="M80" s="14"/>
      <c r="N80" s="14"/>
      <c r="O80" s="14"/>
      <c r="P80" s="14"/>
      <c r="Q80" s="14">
        <v>6955.2010000000009</v>
      </c>
      <c r="R80" s="1"/>
    </row>
    <row r="81" spans="1:18" ht="18.75" customHeight="1" x14ac:dyDescent="0.3">
      <c r="A81" s="8">
        <v>44984</v>
      </c>
      <c r="B81" s="9">
        <v>1</v>
      </c>
      <c r="C81" s="10">
        <v>4</v>
      </c>
      <c r="D81" s="11">
        <v>6880</v>
      </c>
      <c r="E81" s="12">
        <v>20206742845</v>
      </c>
      <c r="F81" s="13" t="s">
        <v>56</v>
      </c>
      <c r="G81" s="14">
        <v>8504.1299999999992</v>
      </c>
      <c r="H81" s="14">
        <v>1785.8672999999997</v>
      </c>
      <c r="I81" s="14"/>
      <c r="J81" s="14"/>
      <c r="K81" s="14"/>
      <c r="L81" s="14"/>
      <c r="M81" s="14"/>
      <c r="N81" s="14"/>
      <c r="O81" s="14"/>
      <c r="P81" s="14"/>
      <c r="Q81" s="14">
        <v>10289.997299999999</v>
      </c>
      <c r="R81" s="1"/>
    </row>
    <row r="82" spans="1:18" ht="18.75" customHeight="1" x14ac:dyDescent="0.3">
      <c r="A82" s="8">
        <v>44967</v>
      </c>
      <c r="B82" s="9">
        <v>1</v>
      </c>
      <c r="C82" s="10">
        <v>10</v>
      </c>
      <c r="D82" s="11">
        <v>7907</v>
      </c>
      <c r="E82" s="12">
        <v>30528214483</v>
      </c>
      <c r="F82" s="13" t="s">
        <v>57</v>
      </c>
      <c r="G82" s="14">
        <v>8511.57</v>
      </c>
      <c r="H82" s="14">
        <v>1787.4296999999999</v>
      </c>
      <c r="I82" s="14"/>
      <c r="J82" s="14"/>
      <c r="K82" s="14"/>
      <c r="L82" s="14"/>
      <c r="M82" s="14"/>
      <c r="N82" s="14"/>
      <c r="O82" s="14"/>
      <c r="P82" s="14"/>
      <c r="Q82" s="14">
        <v>10298.9997</v>
      </c>
      <c r="R82" s="1"/>
    </row>
    <row r="83" spans="1:18" ht="18.75" customHeight="1" x14ac:dyDescent="0.3">
      <c r="A83" s="8">
        <v>44967</v>
      </c>
      <c r="B83" s="9">
        <v>1</v>
      </c>
      <c r="C83" s="10">
        <v>10</v>
      </c>
      <c r="D83" s="11">
        <v>7909</v>
      </c>
      <c r="E83" s="12">
        <v>30528214483</v>
      </c>
      <c r="F83" s="13" t="s">
        <v>57</v>
      </c>
      <c r="G83" s="14">
        <v>1701.65</v>
      </c>
      <c r="H83" s="14">
        <v>357.34649999999999</v>
      </c>
      <c r="I83" s="14"/>
      <c r="J83" s="14"/>
      <c r="K83" s="14"/>
      <c r="L83" s="14"/>
      <c r="M83" s="14"/>
      <c r="N83" s="14"/>
      <c r="O83" s="14"/>
      <c r="P83" s="14"/>
      <c r="Q83" s="14">
        <v>2058.9965000000002</v>
      </c>
      <c r="R83" s="1"/>
    </row>
    <row r="84" spans="1:18" ht="18.75" customHeight="1" x14ac:dyDescent="0.3">
      <c r="A84" s="8">
        <v>44970</v>
      </c>
      <c r="B84" s="9">
        <v>1</v>
      </c>
      <c r="C84" s="10">
        <v>7002</v>
      </c>
      <c r="D84" s="11">
        <v>7987</v>
      </c>
      <c r="E84" s="12">
        <v>30678774495</v>
      </c>
      <c r="F84" s="13" t="s">
        <v>58</v>
      </c>
      <c r="G84" s="14">
        <v>6563.22</v>
      </c>
      <c r="H84" s="14">
        <v>1378.2762</v>
      </c>
      <c r="I84" s="14"/>
      <c r="J84" s="14"/>
      <c r="K84" s="14"/>
      <c r="L84" s="14"/>
      <c r="M84" s="14"/>
      <c r="N84" s="14"/>
      <c r="O84" s="14"/>
      <c r="P84" s="14">
        <v>1459.4</v>
      </c>
      <c r="Q84" s="14">
        <v>9400.896200000001</v>
      </c>
      <c r="R84" s="1"/>
    </row>
    <row r="85" spans="1:18" ht="18.75" customHeight="1" x14ac:dyDescent="0.3">
      <c r="A85" s="8">
        <v>44985</v>
      </c>
      <c r="B85" s="9">
        <v>1</v>
      </c>
      <c r="C85" s="10">
        <v>17</v>
      </c>
      <c r="D85" s="11">
        <v>9341</v>
      </c>
      <c r="E85" s="12">
        <v>30534051049</v>
      </c>
      <c r="F85" s="13" t="s">
        <v>59</v>
      </c>
      <c r="G85" s="14">
        <v>94337</v>
      </c>
      <c r="H85" s="14">
        <v>19810.77</v>
      </c>
      <c r="I85" s="14"/>
      <c r="J85" s="14"/>
      <c r="K85" s="14"/>
      <c r="L85" s="14"/>
      <c r="M85" s="14"/>
      <c r="N85" s="14"/>
      <c r="O85" s="14"/>
      <c r="P85" s="14"/>
      <c r="Q85" s="14">
        <v>114147.77</v>
      </c>
      <c r="R85" s="1"/>
    </row>
    <row r="86" spans="1:18" ht="18.75" customHeight="1" x14ac:dyDescent="0.3">
      <c r="A86" s="8">
        <v>44980</v>
      </c>
      <c r="B86" s="9">
        <v>1</v>
      </c>
      <c r="C86" s="10">
        <v>4</v>
      </c>
      <c r="D86" s="11">
        <v>10662</v>
      </c>
      <c r="E86" s="12">
        <v>27287501396</v>
      </c>
      <c r="F86" s="13" t="s">
        <v>60</v>
      </c>
      <c r="G86" s="14">
        <v>2847.3</v>
      </c>
      <c r="H86" s="14">
        <v>597.93299999999999</v>
      </c>
      <c r="I86" s="14"/>
      <c r="J86" s="14"/>
      <c r="K86" s="14"/>
      <c r="L86" s="14"/>
      <c r="M86" s="14"/>
      <c r="N86" s="14"/>
      <c r="O86" s="14"/>
      <c r="P86" s="14"/>
      <c r="Q86" s="14">
        <v>3445.2330000000002</v>
      </c>
      <c r="R86" s="1"/>
    </row>
    <row r="87" spans="1:18" ht="18.75" customHeight="1" x14ac:dyDescent="0.3">
      <c r="A87" s="8">
        <v>44984</v>
      </c>
      <c r="B87" s="9">
        <v>1</v>
      </c>
      <c r="C87" s="10">
        <v>4</v>
      </c>
      <c r="D87" s="11">
        <v>10882</v>
      </c>
      <c r="E87" s="12">
        <v>33710719549</v>
      </c>
      <c r="F87" s="13" t="s">
        <v>45</v>
      </c>
      <c r="G87" s="14">
        <v>8132</v>
      </c>
      <c r="H87" s="14">
        <v>1707.72</v>
      </c>
      <c r="I87" s="14"/>
      <c r="J87" s="14"/>
      <c r="K87" s="14"/>
      <c r="L87" s="14"/>
      <c r="M87" s="14"/>
      <c r="N87" s="14"/>
      <c r="O87" s="14"/>
      <c r="P87" s="14"/>
      <c r="Q87" s="14">
        <v>9839.7199999999993</v>
      </c>
      <c r="R87" s="1"/>
    </row>
    <row r="88" spans="1:18" ht="18.75" customHeight="1" x14ac:dyDescent="0.3">
      <c r="A88" s="8">
        <v>44984</v>
      </c>
      <c r="B88" s="9">
        <v>1</v>
      </c>
      <c r="C88" s="10">
        <v>4</v>
      </c>
      <c r="D88" s="11">
        <v>10883</v>
      </c>
      <c r="E88" s="12">
        <v>33710719549</v>
      </c>
      <c r="F88" s="13" t="s">
        <v>45</v>
      </c>
      <c r="G88" s="14">
        <v>11914.07</v>
      </c>
      <c r="H88" s="14">
        <v>2501.9546999999998</v>
      </c>
      <c r="I88" s="14"/>
      <c r="J88" s="14"/>
      <c r="K88" s="14"/>
      <c r="L88" s="14"/>
      <c r="M88" s="14"/>
      <c r="N88" s="14"/>
      <c r="O88" s="14"/>
      <c r="P88" s="14"/>
      <c r="Q88" s="14">
        <v>14416.0247</v>
      </c>
      <c r="R88" s="1"/>
    </row>
    <row r="89" spans="1:18" ht="18.75" customHeight="1" x14ac:dyDescent="0.3">
      <c r="A89" s="8">
        <v>44985</v>
      </c>
      <c r="B89" s="9">
        <v>1</v>
      </c>
      <c r="C89" s="10">
        <v>6</v>
      </c>
      <c r="D89" s="11">
        <v>11089</v>
      </c>
      <c r="E89" s="12">
        <v>30707756434</v>
      </c>
      <c r="F89" s="13" t="s">
        <v>61</v>
      </c>
      <c r="G89" s="14">
        <v>20700</v>
      </c>
      <c r="H89" s="14">
        <v>4347</v>
      </c>
      <c r="I89" s="14"/>
      <c r="J89" s="14"/>
      <c r="K89" s="14"/>
      <c r="L89" s="14"/>
      <c r="M89" s="14"/>
      <c r="N89" s="14"/>
      <c r="O89" s="14"/>
      <c r="P89" s="14"/>
      <c r="Q89" s="14">
        <v>25047</v>
      </c>
      <c r="R89" s="1"/>
    </row>
    <row r="90" spans="1:18" ht="18.75" customHeight="1" x14ac:dyDescent="0.3">
      <c r="A90" s="8">
        <v>44959</v>
      </c>
      <c r="B90" s="9">
        <v>1</v>
      </c>
      <c r="C90" s="10">
        <v>6992</v>
      </c>
      <c r="D90" s="11">
        <v>12676</v>
      </c>
      <c r="E90" s="12">
        <v>30678774495</v>
      </c>
      <c r="F90" s="13" t="s">
        <v>58</v>
      </c>
      <c r="G90" s="14">
        <v>5934.89</v>
      </c>
      <c r="H90" s="14">
        <v>1246.3269</v>
      </c>
      <c r="I90" s="14"/>
      <c r="J90" s="14"/>
      <c r="K90" s="14"/>
      <c r="L90" s="14"/>
      <c r="M90" s="14"/>
      <c r="N90" s="14"/>
      <c r="O90" s="14"/>
      <c r="P90" s="14">
        <v>1319.68</v>
      </c>
      <c r="Q90" s="14">
        <v>8500.8968999999997</v>
      </c>
      <c r="R90" s="1"/>
    </row>
    <row r="91" spans="1:18" ht="18.75" customHeight="1" x14ac:dyDescent="0.3">
      <c r="A91" s="8">
        <v>44958</v>
      </c>
      <c r="B91" s="9">
        <v>1</v>
      </c>
      <c r="C91" s="10">
        <v>5</v>
      </c>
      <c r="D91" s="11">
        <v>13455</v>
      </c>
      <c r="E91" s="12">
        <v>20233336735</v>
      </c>
      <c r="F91" s="13" t="s">
        <v>47</v>
      </c>
      <c r="G91" s="14">
        <v>14983.45</v>
      </c>
      <c r="H91" s="14">
        <v>3146.5245</v>
      </c>
      <c r="I91" s="14"/>
      <c r="J91" s="14"/>
      <c r="K91" s="14"/>
      <c r="L91" s="14"/>
      <c r="M91" s="14"/>
      <c r="N91" s="14"/>
      <c r="O91" s="14"/>
      <c r="P91" s="14"/>
      <c r="Q91" s="14">
        <v>18129.9745</v>
      </c>
      <c r="R91" s="1"/>
    </row>
    <row r="92" spans="1:18" ht="18.75" customHeight="1" x14ac:dyDescent="0.3">
      <c r="A92" s="8">
        <v>44967</v>
      </c>
      <c r="B92" s="9">
        <v>1</v>
      </c>
      <c r="C92" s="10">
        <v>6</v>
      </c>
      <c r="D92" s="11">
        <v>14554</v>
      </c>
      <c r="E92" s="12">
        <v>30715819461</v>
      </c>
      <c r="F92" s="13" t="s">
        <v>62</v>
      </c>
      <c r="G92" s="14">
        <v>4821.07</v>
      </c>
      <c r="H92" s="14">
        <v>1012.4246999999999</v>
      </c>
      <c r="I92" s="14"/>
      <c r="J92" s="14"/>
      <c r="K92" s="14"/>
      <c r="L92" s="14"/>
      <c r="M92" s="14"/>
      <c r="N92" s="14"/>
      <c r="O92" s="14"/>
      <c r="P92" s="14"/>
      <c r="Q92" s="14">
        <v>5833.4946999999993</v>
      </c>
      <c r="R92" s="1"/>
    </row>
    <row r="93" spans="1:18" ht="18.75" customHeight="1" x14ac:dyDescent="0.3">
      <c r="A93" s="8">
        <v>44981</v>
      </c>
      <c r="B93" s="9">
        <v>1</v>
      </c>
      <c r="C93" s="10">
        <v>5</v>
      </c>
      <c r="D93" s="11">
        <v>19822</v>
      </c>
      <c r="E93" s="12">
        <v>30707555404</v>
      </c>
      <c r="F93" s="13" t="s">
        <v>63</v>
      </c>
      <c r="G93" s="14">
        <v>7214.88</v>
      </c>
      <c r="H93" s="14">
        <v>1515.1248000000001</v>
      </c>
      <c r="I93" s="14"/>
      <c r="J93" s="14"/>
      <c r="K93" s="14"/>
      <c r="L93" s="14"/>
      <c r="M93" s="14"/>
      <c r="N93" s="14"/>
      <c r="O93" s="14"/>
      <c r="P93" s="14"/>
      <c r="Q93" s="14">
        <v>8730.0048000000006</v>
      </c>
      <c r="R93" s="1"/>
    </row>
    <row r="94" spans="1:18" ht="18.75" customHeight="1" x14ac:dyDescent="0.3">
      <c r="A94" s="8">
        <v>44985</v>
      </c>
      <c r="B94" s="9">
        <v>1</v>
      </c>
      <c r="C94" s="10">
        <v>5</v>
      </c>
      <c r="D94" s="11">
        <v>61028</v>
      </c>
      <c r="E94" s="12">
        <v>30692857611</v>
      </c>
      <c r="F94" s="13" t="s">
        <v>64</v>
      </c>
      <c r="G94" s="14">
        <v>638170.88</v>
      </c>
      <c r="H94" s="14">
        <v>134015.8848</v>
      </c>
      <c r="I94" s="14"/>
      <c r="J94" s="14"/>
      <c r="K94" s="14"/>
      <c r="L94" s="14"/>
      <c r="M94" s="14"/>
      <c r="N94" s="14"/>
      <c r="O94" s="14"/>
      <c r="P94" s="14"/>
      <c r="Q94" s="14">
        <v>772186.7648</v>
      </c>
      <c r="R94" s="1"/>
    </row>
    <row r="95" spans="1:18" ht="18.75" customHeight="1" x14ac:dyDescent="0.3">
      <c r="A95" s="8">
        <v>44958</v>
      </c>
      <c r="B95" s="9">
        <v>1</v>
      </c>
      <c r="C95" s="10">
        <v>3</v>
      </c>
      <c r="D95" s="11">
        <v>180257</v>
      </c>
      <c r="E95" s="12">
        <v>30707135596</v>
      </c>
      <c r="F95" s="13" t="s">
        <v>39</v>
      </c>
      <c r="G95" s="14">
        <v>4362.55</v>
      </c>
      <c r="H95" s="14">
        <v>916.13549999999998</v>
      </c>
      <c r="I95" s="14"/>
      <c r="J95" s="14"/>
      <c r="K95" s="14"/>
      <c r="L95" s="14"/>
      <c r="M95" s="14"/>
      <c r="N95" s="14"/>
      <c r="O95" s="14"/>
      <c r="P95" s="14"/>
      <c r="Q95" s="14">
        <v>5278.6855000000005</v>
      </c>
      <c r="R95" s="1"/>
    </row>
    <row r="96" spans="1:18" ht="18.75" customHeight="1" x14ac:dyDescent="0.3">
      <c r="A96" s="8">
        <v>44968</v>
      </c>
      <c r="B96" s="9">
        <v>1</v>
      </c>
      <c r="C96" s="10">
        <v>2466</v>
      </c>
      <c r="D96" s="11">
        <v>471716</v>
      </c>
      <c r="E96" s="12">
        <v>30678814357</v>
      </c>
      <c r="F96" s="13" t="s">
        <v>40</v>
      </c>
      <c r="G96" s="14">
        <v>10000.790000000001</v>
      </c>
      <c r="H96" s="14"/>
      <c r="I96" s="14">
        <v>2700.2133000000003</v>
      </c>
      <c r="J96" s="14"/>
      <c r="K96" s="14">
        <v>300.02</v>
      </c>
      <c r="L96" s="14"/>
      <c r="M96" s="14"/>
      <c r="N96" s="14"/>
      <c r="O96" s="14"/>
      <c r="P96" s="14">
        <v>200.98</v>
      </c>
      <c r="Q96" s="14">
        <v>13202.0033</v>
      </c>
      <c r="R96" s="1"/>
    </row>
    <row r="97" spans="1:18" ht="18.75" customHeight="1" x14ac:dyDescent="0.3">
      <c r="A97" s="8">
        <v>44963</v>
      </c>
      <c r="B97" s="9">
        <v>1</v>
      </c>
      <c r="C97" s="10">
        <v>700</v>
      </c>
      <c r="D97" s="11">
        <v>484775</v>
      </c>
      <c r="E97" s="12">
        <v>30580111315</v>
      </c>
      <c r="F97" s="13" t="s">
        <v>41</v>
      </c>
      <c r="G97" s="14">
        <v>0</v>
      </c>
      <c r="H97" s="14">
        <v>0</v>
      </c>
      <c r="I97" s="14"/>
      <c r="J97" s="14"/>
      <c r="K97" s="14"/>
      <c r="L97" s="14"/>
      <c r="M97" s="14"/>
      <c r="N97" s="14"/>
      <c r="O97" s="14"/>
      <c r="P97" s="14">
        <v>39232.050000000003</v>
      </c>
      <c r="Q97" s="14">
        <v>39232.050000000003</v>
      </c>
      <c r="R97" s="1"/>
    </row>
    <row r="98" spans="1:18" ht="18.75" customHeight="1" x14ac:dyDescent="0.3">
      <c r="A98" s="8">
        <v>44970</v>
      </c>
      <c r="B98" s="9">
        <v>1</v>
      </c>
      <c r="C98" s="10">
        <v>700</v>
      </c>
      <c r="D98" s="11">
        <v>485982</v>
      </c>
      <c r="E98" s="12">
        <v>30580111315</v>
      </c>
      <c r="F98" s="13" t="s">
        <v>41</v>
      </c>
      <c r="G98" s="14">
        <v>2761.5</v>
      </c>
      <c r="H98" s="14">
        <v>579.91499999999996</v>
      </c>
      <c r="I98" s="14"/>
      <c r="J98" s="14"/>
      <c r="K98" s="14"/>
      <c r="L98" s="14"/>
      <c r="M98" s="14"/>
      <c r="N98" s="14"/>
      <c r="O98" s="14"/>
      <c r="P98" s="14">
        <v>70708.207500000004</v>
      </c>
      <c r="Q98" s="14">
        <v>74049.622499999998</v>
      </c>
      <c r="R98" s="1"/>
    </row>
    <row r="99" spans="1:18" ht="18.75" customHeight="1" x14ac:dyDescent="0.3">
      <c r="A99" s="8">
        <v>44984</v>
      </c>
      <c r="B99" s="9">
        <v>1</v>
      </c>
      <c r="C99" s="10">
        <v>700</v>
      </c>
      <c r="D99" s="11">
        <v>491159</v>
      </c>
      <c r="E99" s="12">
        <v>30580111315</v>
      </c>
      <c r="F99" s="13" t="s">
        <v>41</v>
      </c>
      <c r="G99" s="14">
        <v>2831.5</v>
      </c>
      <c r="H99" s="14">
        <v>594.61500000000001</v>
      </c>
      <c r="I99" s="14"/>
      <c r="J99" s="14"/>
      <c r="K99" s="14"/>
      <c r="L99" s="14"/>
      <c r="M99" s="14"/>
      <c r="N99" s="14"/>
      <c r="O99" s="14"/>
      <c r="P99" s="14">
        <v>56965.735000000008</v>
      </c>
      <c r="Q99" s="14">
        <v>60391.850000000006</v>
      </c>
      <c r="R99" s="1"/>
    </row>
    <row r="100" spans="1:18" ht="18.75" customHeight="1" x14ac:dyDescent="0.3">
      <c r="A100" s="8">
        <v>44958</v>
      </c>
      <c r="B100" s="9">
        <v>1</v>
      </c>
      <c r="C100" s="10">
        <v>106</v>
      </c>
      <c r="D100" s="11">
        <v>604727</v>
      </c>
      <c r="E100" s="12">
        <v>30594494187</v>
      </c>
      <c r="F100" s="13" t="s">
        <v>35</v>
      </c>
      <c r="G100" s="14">
        <v>13878</v>
      </c>
      <c r="H100" s="14">
        <v>2914.38</v>
      </c>
      <c r="I100" s="14"/>
      <c r="J100" s="14"/>
      <c r="K100" s="14"/>
      <c r="L100" s="14"/>
      <c r="M100" s="14"/>
      <c r="N100" s="14"/>
      <c r="O100" s="14"/>
      <c r="P100" s="14">
        <v>30238.52</v>
      </c>
      <c r="Q100" s="14">
        <v>47030.9</v>
      </c>
      <c r="R100" s="1"/>
    </row>
    <row r="101" spans="1:18" ht="18.75" customHeight="1" x14ac:dyDescent="0.3">
      <c r="A101" s="8">
        <v>44981</v>
      </c>
      <c r="B101" s="9">
        <v>1</v>
      </c>
      <c r="C101" s="10">
        <v>3</v>
      </c>
      <c r="D101" s="11">
        <v>1305125</v>
      </c>
      <c r="E101" s="12">
        <v>30712019359</v>
      </c>
      <c r="F101" s="13" t="s">
        <v>42</v>
      </c>
      <c r="G101" s="14">
        <v>4461.9799999999996</v>
      </c>
      <c r="H101" s="14">
        <v>937.0157999999999</v>
      </c>
      <c r="I101" s="14"/>
      <c r="J101" s="14"/>
      <c r="K101" s="14"/>
      <c r="L101" s="14"/>
      <c r="M101" s="14"/>
      <c r="N101" s="14"/>
      <c r="O101" s="14"/>
      <c r="P101" s="14"/>
      <c r="Q101" s="14">
        <v>5398.9957999999997</v>
      </c>
      <c r="R101" s="1"/>
    </row>
    <row r="102" spans="1:18" ht="18.75" customHeight="1" x14ac:dyDescent="0.3">
      <c r="A102" s="8">
        <v>44943</v>
      </c>
      <c r="B102" s="9">
        <v>1</v>
      </c>
      <c r="C102" s="10">
        <v>280</v>
      </c>
      <c r="D102" s="11">
        <v>1410627</v>
      </c>
      <c r="E102" s="12">
        <v>30580111315</v>
      </c>
      <c r="F102" s="13" t="s">
        <v>41</v>
      </c>
      <c r="G102" s="14">
        <v>192217.356</v>
      </c>
      <c r="H102" s="14">
        <v>40365.644759999996</v>
      </c>
      <c r="I102" s="14"/>
      <c r="J102" s="14"/>
      <c r="K102" s="14"/>
      <c r="L102" s="14"/>
      <c r="M102" s="14"/>
      <c r="N102" s="14"/>
      <c r="O102" s="14"/>
      <c r="P102" s="14">
        <v>-156934.326</v>
      </c>
      <c r="Q102" s="14">
        <v>75648.674759999994</v>
      </c>
      <c r="R102" s="1"/>
    </row>
    <row r="103" spans="1:18" ht="18.75" customHeight="1" x14ac:dyDescent="0.3">
      <c r="A103" s="8">
        <v>44949</v>
      </c>
      <c r="B103" s="9">
        <v>1</v>
      </c>
      <c r="C103" s="10">
        <v>280</v>
      </c>
      <c r="D103" s="11">
        <v>1411897</v>
      </c>
      <c r="E103" s="12">
        <v>30580111315</v>
      </c>
      <c r="F103" s="13" t="s">
        <v>41</v>
      </c>
      <c r="G103" s="14">
        <v>190437.61050000001</v>
      </c>
      <c r="H103" s="14">
        <v>39991.898204999998</v>
      </c>
      <c r="I103" s="14"/>
      <c r="J103" s="14"/>
      <c r="K103" s="14"/>
      <c r="L103" s="14"/>
      <c r="M103" s="14"/>
      <c r="N103" s="14"/>
      <c r="O103" s="14"/>
      <c r="P103" s="14">
        <v>-155407.83300000001</v>
      </c>
      <c r="Q103" s="14">
        <v>75021.675705000001</v>
      </c>
      <c r="R103" s="1"/>
    </row>
    <row r="104" spans="1:18" ht="18.75" customHeight="1" x14ac:dyDescent="0.3">
      <c r="A104" s="8">
        <v>44968</v>
      </c>
      <c r="B104" s="9">
        <v>1</v>
      </c>
      <c r="C104" s="10">
        <v>280</v>
      </c>
      <c r="D104" s="11">
        <v>1414435</v>
      </c>
      <c r="E104" s="12">
        <v>30580111315</v>
      </c>
      <c r="F104" s="13" t="s">
        <v>41</v>
      </c>
      <c r="G104" s="14">
        <v>221795.55220000001</v>
      </c>
      <c r="H104" s="14">
        <v>45463.306400000001</v>
      </c>
      <c r="I104" s="14"/>
      <c r="J104" s="14">
        <v>556.28920000000005</v>
      </c>
      <c r="K104" s="14"/>
      <c r="L104" s="14"/>
      <c r="M104" s="14"/>
      <c r="N104" s="14"/>
      <c r="O104" s="14"/>
      <c r="P104" s="14">
        <v>-179090.83059999999</v>
      </c>
      <c r="Q104" s="14">
        <v>88724.317200000049</v>
      </c>
      <c r="R104" s="1"/>
    </row>
    <row r="105" spans="1:18" ht="18.75" customHeight="1" x14ac:dyDescent="0.3">
      <c r="A105" s="8">
        <v>44981</v>
      </c>
      <c r="B105" s="9">
        <v>1</v>
      </c>
      <c r="C105" s="10">
        <v>280</v>
      </c>
      <c r="D105" s="11">
        <v>1416847</v>
      </c>
      <c r="E105" s="12">
        <v>30580111315</v>
      </c>
      <c r="F105" s="13" t="s">
        <v>41</v>
      </c>
      <c r="G105" s="14">
        <v>207610.6238</v>
      </c>
      <c r="H105" s="14">
        <v>43598.230997999999</v>
      </c>
      <c r="I105" s="14"/>
      <c r="J105" s="14"/>
      <c r="K105" s="14"/>
      <c r="L105" s="14"/>
      <c r="M105" s="14"/>
      <c r="N105" s="14"/>
      <c r="O105" s="14"/>
      <c r="P105" s="14">
        <v>-169538.84</v>
      </c>
      <c r="Q105" s="14">
        <v>81670.014798000018</v>
      </c>
      <c r="R105" s="1"/>
    </row>
    <row r="106" spans="1:18" ht="18.75" customHeight="1" x14ac:dyDescent="0.3">
      <c r="A106" s="8">
        <v>44958</v>
      </c>
      <c r="B106" s="9">
        <v>99</v>
      </c>
      <c r="C106" s="10">
        <v>1</v>
      </c>
      <c r="D106" s="11">
        <v>617505358</v>
      </c>
      <c r="E106" s="12">
        <v>30571421352</v>
      </c>
      <c r="F106" s="13" t="s">
        <v>43</v>
      </c>
      <c r="G106" s="14">
        <v>21505</v>
      </c>
      <c r="H106" s="14">
        <v>4516.05</v>
      </c>
      <c r="I106" s="14"/>
      <c r="J106" s="14"/>
      <c r="K106" s="14"/>
      <c r="L106" s="14"/>
      <c r="M106" s="14">
        <v>645.15</v>
      </c>
      <c r="N106" s="14"/>
      <c r="O106" s="14"/>
      <c r="P106" s="14"/>
      <c r="Q106" s="14">
        <v>26666.2</v>
      </c>
    </row>
    <row r="107" spans="1:18" ht="18.75" customHeight="1" x14ac:dyDescent="0.3">
      <c r="A107" s="8">
        <v>44960</v>
      </c>
      <c r="B107" s="9">
        <v>99</v>
      </c>
      <c r="C107" s="10">
        <v>1</v>
      </c>
      <c r="D107" s="11">
        <v>101812</v>
      </c>
      <c r="E107" s="12">
        <v>30571421352</v>
      </c>
      <c r="F107" s="13" t="s">
        <v>43</v>
      </c>
      <c r="G107" s="14">
        <v>4700.5</v>
      </c>
      <c r="H107" s="14">
        <v>987.11</v>
      </c>
      <c r="I107" s="14"/>
      <c r="J107" s="14"/>
      <c r="K107" s="14"/>
      <c r="L107" s="14"/>
      <c r="M107" s="14">
        <v>141.02000000000001</v>
      </c>
      <c r="N107" s="14"/>
      <c r="O107" s="14"/>
      <c r="P107" s="14"/>
      <c r="Q107" s="14">
        <v>5828.63</v>
      </c>
    </row>
    <row r="108" spans="1:18" ht="18.75" customHeight="1" x14ac:dyDescent="0.3">
      <c r="A108" s="8">
        <v>44960</v>
      </c>
      <c r="B108" s="9">
        <v>99</v>
      </c>
      <c r="C108" s="10">
        <v>1</v>
      </c>
      <c r="D108" s="11">
        <v>101812</v>
      </c>
      <c r="E108" s="12">
        <v>30571421352</v>
      </c>
      <c r="F108" s="13" t="s">
        <v>43</v>
      </c>
      <c r="G108" s="14">
        <v>4700.5</v>
      </c>
      <c r="H108" s="14">
        <v>987.11</v>
      </c>
      <c r="I108" s="14"/>
      <c r="J108" s="14"/>
      <c r="K108" s="14"/>
      <c r="L108" s="14"/>
      <c r="M108" s="14">
        <v>141.02000000000001</v>
      </c>
      <c r="N108" s="14"/>
      <c r="O108" s="14"/>
      <c r="P108" s="14"/>
      <c r="Q108" s="14">
        <v>5828.63</v>
      </c>
    </row>
    <row r="109" spans="1:18" ht="18.75" customHeight="1" x14ac:dyDescent="0.3">
      <c r="A109" s="8">
        <v>44960</v>
      </c>
      <c r="B109" s="9">
        <v>99</v>
      </c>
      <c r="C109" s="10">
        <v>1</v>
      </c>
      <c r="D109" s="11">
        <v>101812</v>
      </c>
      <c r="E109" s="12">
        <v>30571421352</v>
      </c>
      <c r="F109" s="13" t="s">
        <v>43</v>
      </c>
      <c r="G109" s="14">
        <v>4700.5</v>
      </c>
      <c r="H109" s="14">
        <v>987.11</v>
      </c>
      <c r="I109" s="14"/>
      <c r="J109" s="14"/>
      <c r="K109" s="14"/>
      <c r="L109" s="14"/>
      <c r="M109" s="14">
        <v>141.02000000000001</v>
      </c>
      <c r="N109" s="14"/>
      <c r="O109" s="14"/>
      <c r="P109" s="14"/>
      <c r="Q109" s="14">
        <v>5828.63</v>
      </c>
    </row>
    <row r="110" spans="1:18" ht="18.75" customHeight="1" x14ac:dyDescent="0.3">
      <c r="A110" s="8">
        <v>44985</v>
      </c>
      <c r="B110" s="9">
        <v>99</v>
      </c>
      <c r="C110" s="10">
        <v>1</v>
      </c>
      <c r="D110" s="11">
        <v>230231</v>
      </c>
      <c r="E110" s="12">
        <v>30571421352</v>
      </c>
      <c r="F110" s="13" t="s">
        <v>43</v>
      </c>
      <c r="G110" s="14">
        <v>170</v>
      </c>
      <c r="H110" s="14">
        <v>35.700000000000003</v>
      </c>
      <c r="I110" s="14"/>
      <c r="J110" s="14"/>
      <c r="K110" s="14"/>
      <c r="L110" s="14"/>
      <c r="M110" s="14">
        <v>1.78</v>
      </c>
      <c r="N110" s="14"/>
      <c r="O110" s="14"/>
      <c r="P110" s="14"/>
      <c r="Q110" s="14">
        <v>207.48</v>
      </c>
    </row>
    <row r="111" spans="1:18" ht="18.75" customHeight="1" x14ac:dyDescent="0.3">
      <c r="A111" s="8">
        <v>44985</v>
      </c>
      <c r="B111" s="9">
        <v>99</v>
      </c>
      <c r="C111" s="10">
        <v>1</v>
      </c>
      <c r="D111" s="11">
        <v>825845406</v>
      </c>
      <c r="E111" s="12">
        <v>30571421352</v>
      </c>
      <c r="F111" s="13" t="s">
        <v>43</v>
      </c>
      <c r="G111" s="14">
        <v>14760.75</v>
      </c>
      <c r="H111" s="14">
        <v>3099.76</v>
      </c>
      <c r="I111" s="14"/>
      <c r="J111" s="14"/>
      <c r="K111" s="14"/>
      <c r="L111" s="14"/>
      <c r="M111" s="14">
        <v>442.82</v>
      </c>
      <c r="N111" s="14"/>
      <c r="O111" s="14"/>
      <c r="P111" s="14"/>
      <c r="Q111" s="14">
        <v>18303.330000000002</v>
      </c>
    </row>
    <row r="112" spans="1:18" ht="18.75" customHeight="1" x14ac:dyDescent="0.3">
      <c r="A112" s="8">
        <v>44985</v>
      </c>
      <c r="B112" s="9">
        <v>99</v>
      </c>
      <c r="C112" s="10">
        <v>1</v>
      </c>
      <c r="D112" s="11">
        <v>233102</v>
      </c>
      <c r="E112" s="12">
        <v>30571421352</v>
      </c>
      <c r="F112" s="13" t="s">
        <v>43</v>
      </c>
      <c r="G112" s="14">
        <v>4810.0200000000004</v>
      </c>
      <c r="H112" s="14">
        <v>1010.1</v>
      </c>
      <c r="I112" s="14"/>
      <c r="J112" s="14"/>
      <c r="K112" s="14"/>
      <c r="L112" s="14"/>
      <c r="M112" s="14">
        <v>96</v>
      </c>
      <c r="N112" s="14"/>
      <c r="O112" s="14"/>
      <c r="P112" s="14"/>
      <c r="Q112" s="14">
        <v>5916.12</v>
      </c>
    </row>
    <row r="113" spans="1:18" ht="18.75" customHeight="1" thickBot="1" x14ac:dyDescent="0.35">
      <c r="A113" s="23" t="s">
        <v>17</v>
      </c>
      <c r="B113" s="23"/>
      <c r="C113" s="23"/>
      <c r="D113" s="23"/>
      <c r="E113" s="23"/>
      <c r="F113" s="23"/>
      <c r="G113" s="17">
        <f>SUM(G55:G112)</f>
        <v>2753996.8124999995</v>
      </c>
      <c r="H113" s="17">
        <f t="shared" ref="H113:Q113" si="1">SUM(H55:H112)</f>
        <v>569936.04916299973</v>
      </c>
      <c r="I113" s="17">
        <f t="shared" si="1"/>
        <v>2700.2133000000003</v>
      </c>
      <c r="J113" s="17">
        <f t="shared" si="1"/>
        <v>3150.9792000000002</v>
      </c>
      <c r="K113" s="17">
        <f t="shared" si="1"/>
        <v>300.02</v>
      </c>
      <c r="L113" s="17">
        <f t="shared" si="1"/>
        <v>0</v>
      </c>
      <c r="M113" s="17">
        <f t="shared" si="1"/>
        <v>1608.81</v>
      </c>
      <c r="N113" s="17">
        <f t="shared" si="1"/>
        <v>0</v>
      </c>
      <c r="O113" s="17">
        <f t="shared" si="1"/>
        <v>0</v>
      </c>
      <c r="P113" s="17">
        <f t="shared" si="1"/>
        <v>-460847.25709999993</v>
      </c>
      <c r="Q113" s="17">
        <f t="shared" si="1"/>
        <v>2870845.6270630001</v>
      </c>
    </row>
    <row r="114" spans="1:18" ht="18.75" customHeight="1" thickBot="1" x14ac:dyDescent="0.35">
      <c r="A114" s="15"/>
      <c r="B114" s="15"/>
      <c r="C114" s="15"/>
      <c r="D114" s="15"/>
      <c r="E114" s="15"/>
      <c r="F114" s="15"/>
      <c r="G114" s="16"/>
      <c r="H114" s="18"/>
      <c r="I114" s="19">
        <f>SUM(H113:J113)</f>
        <v>575787.24166299962</v>
      </c>
      <c r="J114" s="20"/>
      <c r="K114" s="16"/>
      <c r="L114" s="16"/>
      <c r="M114" s="16"/>
      <c r="N114" s="16"/>
      <c r="O114" s="16"/>
      <c r="P114" s="16"/>
      <c r="Q114" s="16"/>
    </row>
    <row r="120" spans="1:18" ht="29.25" thickBot="1" x14ac:dyDescent="0.5">
      <c r="A120" s="24" t="s">
        <v>0</v>
      </c>
      <c r="B120" s="24"/>
      <c r="C120" s="24"/>
      <c r="D120" s="24"/>
      <c r="E120" s="24"/>
      <c r="F120" s="21"/>
      <c r="G120" s="22"/>
      <c r="H120" s="22"/>
      <c r="I120" s="22"/>
      <c r="J120" s="22"/>
      <c r="K120" s="22"/>
      <c r="L120" s="22"/>
      <c r="M120" s="22"/>
      <c r="N120" s="22"/>
      <c r="O120" s="25">
        <v>44986</v>
      </c>
      <c r="P120" s="26"/>
      <c r="Q120" s="26"/>
    </row>
    <row r="121" spans="1:18" ht="18.75" customHeight="1" x14ac:dyDescent="0.3">
      <c r="A121" s="6" t="s">
        <v>1</v>
      </c>
      <c r="B121" s="6" t="s">
        <v>2</v>
      </c>
      <c r="C121" s="6" t="s">
        <v>3</v>
      </c>
      <c r="D121" s="6" t="s">
        <v>4</v>
      </c>
      <c r="E121" s="6" t="s">
        <v>5</v>
      </c>
      <c r="F121" s="6" t="s">
        <v>6</v>
      </c>
      <c r="G121" s="7" t="s">
        <v>7</v>
      </c>
      <c r="H121" s="7" t="s">
        <v>8</v>
      </c>
      <c r="I121" s="7" t="s">
        <v>9</v>
      </c>
      <c r="J121" s="7" t="s">
        <v>10</v>
      </c>
      <c r="K121" s="7" t="s">
        <v>11</v>
      </c>
      <c r="L121" s="7" t="s">
        <v>12</v>
      </c>
      <c r="M121" s="7" t="s">
        <v>13</v>
      </c>
      <c r="N121" s="7" t="s">
        <v>14</v>
      </c>
      <c r="O121" s="7" t="s">
        <v>15</v>
      </c>
      <c r="P121" s="7" t="s">
        <v>16</v>
      </c>
      <c r="Q121" s="7" t="s">
        <v>17</v>
      </c>
    </row>
    <row r="122" spans="1:18" ht="18.75" customHeight="1" x14ac:dyDescent="0.3">
      <c r="A122" s="8">
        <v>44980</v>
      </c>
      <c r="B122" s="9">
        <v>1</v>
      </c>
      <c r="C122" s="10">
        <v>17</v>
      </c>
      <c r="D122" s="11">
        <v>3160</v>
      </c>
      <c r="E122" s="12">
        <v>30708422300</v>
      </c>
      <c r="F122" s="13" t="s">
        <v>65</v>
      </c>
      <c r="G122" s="14">
        <v>2942.14</v>
      </c>
      <c r="H122" s="14">
        <v>617.84939999999995</v>
      </c>
      <c r="I122" s="14"/>
      <c r="J122" s="14"/>
      <c r="K122" s="14"/>
      <c r="L122" s="14"/>
      <c r="M122" s="14"/>
      <c r="N122" s="14"/>
      <c r="O122" s="14"/>
      <c r="P122" s="14"/>
      <c r="Q122" s="14">
        <v>3559.9893999999999</v>
      </c>
      <c r="R122" s="1"/>
    </row>
    <row r="123" spans="1:18" ht="18.75" customHeight="1" x14ac:dyDescent="0.3">
      <c r="A123" s="8">
        <v>44986</v>
      </c>
      <c r="B123" s="9">
        <v>1</v>
      </c>
      <c r="C123" s="10">
        <v>3</v>
      </c>
      <c r="D123" s="11">
        <v>183165</v>
      </c>
      <c r="E123" s="12">
        <v>30707135596</v>
      </c>
      <c r="F123" s="13" t="s">
        <v>39</v>
      </c>
      <c r="G123" s="14">
        <v>4362.76</v>
      </c>
      <c r="H123" s="14">
        <v>916.17960000000005</v>
      </c>
      <c r="I123" s="14"/>
      <c r="J123" s="14"/>
      <c r="K123" s="14"/>
      <c r="L123" s="14"/>
      <c r="M123" s="14"/>
      <c r="N123" s="14"/>
      <c r="O123" s="14"/>
      <c r="P123" s="14"/>
      <c r="Q123" s="14">
        <v>5278.9396000000006</v>
      </c>
      <c r="R123" s="1"/>
    </row>
    <row r="124" spans="1:18" ht="18.75" customHeight="1" x14ac:dyDescent="0.3">
      <c r="A124" s="8">
        <v>44986</v>
      </c>
      <c r="B124" s="9">
        <v>1</v>
      </c>
      <c r="C124" s="10">
        <v>3</v>
      </c>
      <c r="D124" s="11">
        <v>626</v>
      </c>
      <c r="E124" s="12">
        <v>30715402765</v>
      </c>
      <c r="F124" s="13" t="s">
        <v>25</v>
      </c>
      <c r="G124" s="14">
        <v>11404.96</v>
      </c>
      <c r="H124" s="14">
        <v>2395.0415999999996</v>
      </c>
      <c r="I124" s="14"/>
      <c r="J124" s="14"/>
      <c r="K124" s="14"/>
      <c r="L124" s="14"/>
      <c r="M124" s="14"/>
      <c r="N124" s="14"/>
      <c r="O124" s="14"/>
      <c r="P124" s="14"/>
      <c r="Q124" s="14">
        <v>13800.0016</v>
      </c>
      <c r="R124" s="1"/>
    </row>
    <row r="125" spans="1:18" ht="18.75" customHeight="1" x14ac:dyDescent="0.3">
      <c r="A125" s="8">
        <v>44987</v>
      </c>
      <c r="B125" s="9">
        <v>1</v>
      </c>
      <c r="C125" s="10">
        <v>1</v>
      </c>
      <c r="D125" s="11">
        <v>569</v>
      </c>
      <c r="E125" s="12">
        <v>30715048066</v>
      </c>
      <c r="F125" s="13" t="s">
        <v>23</v>
      </c>
      <c r="G125" s="14">
        <v>109440</v>
      </c>
      <c r="H125" s="14">
        <v>22982.399999999998</v>
      </c>
      <c r="I125" s="14"/>
      <c r="J125" s="14"/>
      <c r="K125" s="14"/>
      <c r="L125" s="14"/>
      <c r="M125" s="14"/>
      <c r="N125" s="14"/>
      <c r="O125" s="14"/>
      <c r="P125" s="14"/>
      <c r="Q125" s="14">
        <v>132422.39999999999</v>
      </c>
      <c r="R125" s="1"/>
    </row>
    <row r="126" spans="1:18" ht="18.75" customHeight="1" x14ac:dyDescent="0.3">
      <c r="A126" s="8">
        <v>44987</v>
      </c>
      <c r="B126" s="9">
        <v>3</v>
      </c>
      <c r="C126" s="10">
        <v>1</v>
      </c>
      <c r="D126" s="11">
        <v>27</v>
      </c>
      <c r="E126" s="12">
        <v>30715048066</v>
      </c>
      <c r="F126" s="13" t="s">
        <v>23</v>
      </c>
      <c r="G126" s="14">
        <v>-109440</v>
      </c>
      <c r="H126" s="14">
        <v>-22982.399999999998</v>
      </c>
      <c r="I126" s="14"/>
      <c r="J126" s="14"/>
      <c r="K126" s="14"/>
      <c r="L126" s="14"/>
      <c r="M126" s="14"/>
      <c r="N126" s="14"/>
      <c r="O126" s="14"/>
      <c r="P126" s="14"/>
      <c r="Q126" s="14">
        <v>-132422.39999999999</v>
      </c>
      <c r="R126" s="1"/>
    </row>
    <row r="127" spans="1:18" ht="18.75" customHeight="1" x14ac:dyDescent="0.3">
      <c r="A127" s="8">
        <v>44988</v>
      </c>
      <c r="B127" s="9">
        <v>1</v>
      </c>
      <c r="C127" s="10">
        <v>280</v>
      </c>
      <c r="D127" s="11">
        <v>1418054</v>
      </c>
      <c r="E127" s="12">
        <v>30580111315</v>
      </c>
      <c r="F127" s="13" t="s">
        <v>41</v>
      </c>
      <c r="G127" s="14">
        <v>58555.669099999999</v>
      </c>
      <c r="H127" s="14"/>
      <c r="I127" s="14"/>
      <c r="J127" s="14">
        <v>6147.82</v>
      </c>
      <c r="K127" s="14"/>
      <c r="L127" s="14"/>
      <c r="M127" s="14"/>
      <c r="N127" s="14"/>
      <c r="O127" s="14"/>
      <c r="P127" s="14">
        <v>-58555.67</v>
      </c>
      <c r="Q127" s="14">
        <v>6147.8191000000006</v>
      </c>
      <c r="R127" s="1"/>
    </row>
    <row r="128" spans="1:18" ht="18.75" customHeight="1" x14ac:dyDescent="0.3">
      <c r="A128" s="8">
        <v>44991</v>
      </c>
      <c r="B128" s="9">
        <v>1</v>
      </c>
      <c r="C128" s="10">
        <v>1</v>
      </c>
      <c r="D128" s="11">
        <v>16559</v>
      </c>
      <c r="E128" s="12">
        <v>30715606808</v>
      </c>
      <c r="F128" s="13" t="s">
        <v>66</v>
      </c>
      <c r="G128" s="14">
        <v>1748.96</v>
      </c>
      <c r="H128" s="14">
        <v>367.28159999999997</v>
      </c>
      <c r="I128" s="14"/>
      <c r="J128" s="14"/>
      <c r="K128" s="14"/>
      <c r="L128" s="14"/>
      <c r="M128" s="14"/>
      <c r="N128" s="14"/>
      <c r="O128" s="14"/>
      <c r="P128" s="14"/>
      <c r="Q128" s="14">
        <v>2116.2415999999998</v>
      </c>
      <c r="R128" s="1"/>
    </row>
    <row r="129" spans="1:18" ht="18.75" customHeight="1" x14ac:dyDescent="0.3">
      <c r="A129" s="8">
        <v>44991</v>
      </c>
      <c r="B129" s="9">
        <v>1</v>
      </c>
      <c r="C129" s="10">
        <v>7002</v>
      </c>
      <c r="D129" s="11">
        <v>8454</v>
      </c>
      <c r="E129" s="12">
        <v>30678774495</v>
      </c>
      <c r="F129" s="13" t="s">
        <v>58</v>
      </c>
      <c r="G129" s="14">
        <v>7424.7</v>
      </c>
      <c r="H129" s="14">
        <v>1559.1869999999999</v>
      </c>
      <c r="I129" s="14"/>
      <c r="J129" s="14"/>
      <c r="K129" s="14"/>
      <c r="L129" s="14"/>
      <c r="M129" s="14"/>
      <c r="N129" s="14"/>
      <c r="O129" s="14"/>
      <c r="P129" s="14">
        <v>1576</v>
      </c>
      <c r="Q129" s="14">
        <v>10559.886999999999</v>
      </c>
      <c r="R129" s="1"/>
    </row>
    <row r="130" spans="1:18" ht="18.75" customHeight="1" x14ac:dyDescent="0.3">
      <c r="A130" s="8">
        <v>44992</v>
      </c>
      <c r="B130" s="9">
        <v>1</v>
      </c>
      <c r="C130" s="10">
        <v>26</v>
      </c>
      <c r="D130" s="11">
        <v>14090</v>
      </c>
      <c r="E130" s="12">
        <v>30684416096</v>
      </c>
      <c r="F130" s="13" t="s">
        <v>67</v>
      </c>
      <c r="G130" s="14">
        <v>6276.62</v>
      </c>
      <c r="H130" s="14">
        <v>1318.0901999999999</v>
      </c>
      <c r="I130" s="14"/>
      <c r="J130" s="14"/>
      <c r="K130" s="14"/>
      <c r="L130" s="14"/>
      <c r="M130" s="14"/>
      <c r="N130" s="14"/>
      <c r="O130" s="14"/>
      <c r="P130" s="14"/>
      <c r="Q130" s="14">
        <v>7594.7101999999995</v>
      </c>
      <c r="R130" s="1"/>
    </row>
    <row r="131" spans="1:18" ht="18.75" customHeight="1" x14ac:dyDescent="0.3">
      <c r="A131" s="8">
        <v>44993</v>
      </c>
      <c r="B131" s="9">
        <v>1</v>
      </c>
      <c r="C131" s="10">
        <v>3</v>
      </c>
      <c r="D131" s="11">
        <v>7232</v>
      </c>
      <c r="E131" s="12">
        <v>30710552726</v>
      </c>
      <c r="F131" s="13" t="s">
        <v>68</v>
      </c>
      <c r="G131" s="14">
        <v>10599.19</v>
      </c>
      <c r="H131" s="14">
        <v>2225.8299000000002</v>
      </c>
      <c r="I131" s="14"/>
      <c r="J131" s="14"/>
      <c r="K131" s="14"/>
      <c r="L131" s="14"/>
      <c r="M131" s="14"/>
      <c r="N131" s="14"/>
      <c r="O131" s="14"/>
      <c r="P131" s="14"/>
      <c r="Q131" s="14">
        <v>12825.019900000001</v>
      </c>
      <c r="R131" s="1"/>
    </row>
    <row r="132" spans="1:18" ht="18.75" customHeight="1" x14ac:dyDescent="0.3">
      <c r="A132" s="8">
        <v>44993</v>
      </c>
      <c r="B132" s="9">
        <v>1</v>
      </c>
      <c r="C132" s="10">
        <v>5</v>
      </c>
      <c r="D132" s="11">
        <v>2614</v>
      </c>
      <c r="E132" s="12">
        <v>30712273174</v>
      </c>
      <c r="F132" s="13" t="s">
        <v>69</v>
      </c>
      <c r="G132" s="14">
        <v>65970.25</v>
      </c>
      <c r="H132" s="14">
        <v>13853.752499999999</v>
      </c>
      <c r="I132" s="14"/>
      <c r="J132" s="14"/>
      <c r="K132" s="14"/>
      <c r="L132" s="14"/>
      <c r="M132" s="14"/>
      <c r="N132" s="14"/>
      <c r="O132" s="14"/>
      <c r="P132" s="14"/>
      <c r="Q132" s="14">
        <v>79824.002500000002</v>
      </c>
      <c r="R132" s="1"/>
    </row>
    <row r="133" spans="1:18" ht="18.75" customHeight="1" x14ac:dyDescent="0.3">
      <c r="A133" s="8">
        <v>44993</v>
      </c>
      <c r="B133" s="9">
        <v>1</v>
      </c>
      <c r="C133" s="10">
        <v>1</v>
      </c>
      <c r="D133" s="11">
        <v>33</v>
      </c>
      <c r="E133" s="12">
        <v>30717261042</v>
      </c>
      <c r="F133" s="13" t="s">
        <v>70</v>
      </c>
      <c r="G133" s="14">
        <v>73950</v>
      </c>
      <c r="H133" s="14">
        <v>15529.5</v>
      </c>
      <c r="I133" s="14"/>
      <c r="J133" s="14"/>
      <c r="K133" s="14"/>
      <c r="L133" s="14"/>
      <c r="M133" s="14"/>
      <c r="N133" s="14"/>
      <c r="O133" s="14"/>
      <c r="P133" s="14">
        <v>1800</v>
      </c>
      <c r="Q133" s="14">
        <v>91279.5</v>
      </c>
      <c r="R133" s="1"/>
    </row>
    <row r="134" spans="1:18" ht="18.75" customHeight="1" x14ac:dyDescent="0.3">
      <c r="A134" s="8">
        <v>44993</v>
      </c>
      <c r="B134" s="9">
        <v>1</v>
      </c>
      <c r="C134" s="10">
        <v>3</v>
      </c>
      <c r="D134" s="11">
        <v>276</v>
      </c>
      <c r="E134" s="12">
        <v>20921575743</v>
      </c>
      <c r="F134" s="13" t="s">
        <v>71</v>
      </c>
      <c r="G134" s="14">
        <v>509600</v>
      </c>
      <c r="H134" s="14">
        <v>107016</v>
      </c>
      <c r="I134" s="14"/>
      <c r="J134" s="14"/>
      <c r="K134" s="14"/>
      <c r="L134" s="14"/>
      <c r="M134" s="14"/>
      <c r="N134" s="14"/>
      <c r="O134" s="14"/>
      <c r="P134" s="14"/>
      <c r="Q134" s="14">
        <v>616616</v>
      </c>
      <c r="R134" s="1"/>
    </row>
    <row r="135" spans="1:18" ht="18.75" customHeight="1" x14ac:dyDescent="0.3">
      <c r="A135" s="8">
        <v>44993</v>
      </c>
      <c r="B135" s="9">
        <v>1</v>
      </c>
      <c r="C135" s="10">
        <v>3</v>
      </c>
      <c r="D135" s="11">
        <v>18696</v>
      </c>
      <c r="E135" s="12">
        <v>30707468161</v>
      </c>
      <c r="F135" s="13" t="s">
        <v>72</v>
      </c>
      <c r="G135" s="14">
        <v>112406.25</v>
      </c>
      <c r="H135" s="14">
        <v>23605.3125</v>
      </c>
      <c r="I135" s="14"/>
      <c r="J135" s="14"/>
      <c r="K135" s="14"/>
      <c r="L135" s="14"/>
      <c r="M135" s="14"/>
      <c r="N135" s="14"/>
      <c r="O135" s="14"/>
      <c r="P135" s="14"/>
      <c r="Q135" s="14">
        <v>136011.5625</v>
      </c>
      <c r="R135" s="1"/>
    </row>
    <row r="136" spans="1:18" ht="18.75" customHeight="1" x14ac:dyDescent="0.3">
      <c r="A136" s="8">
        <v>44993</v>
      </c>
      <c r="B136" s="9">
        <v>1</v>
      </c>
      <c r="C136" s="10">
        <v>3</v>
      </c>
      <c r="D136" s="11">
        <v>18697</v>
      </c>
      <c r="E136" s="12">
        <v>30707468161</v>
      </c>
      <c r="F136" s="13" t="s">
        <v>72</v>
      </c>
      <c r="G136" s="14">
        <v>112406.25</v>
      </c>
      <c r="H136" s="14">
        <v>23605.3125</v>
      </c>
      <c r="I136" s="14"/>
      <c r="J136" s="14"/>
      <c r="K136" s="14"/>
      <c r="L136" s="14"/>
      <c r="M136" s="14"/>
      <c r="N136" s="14"/>
      <c r="O136" s="14"/>
      <c r="P136" s="14"/>
      <c r="Q136" s="14">
        <v>136011.5625</v>
      </c>
      <c r="R136" s="1"/>
    </row>
    <row r="137" spans="1:18" ht="18.75" customHeight="1" x14ac:dyDescent="0.3">
      <c r="A137" s="8">
        <v>44994</v>
      </c>
      <c r="B137" s="9">
        <v>1</v>
      </c>
      <c r="C137" s="10">
        <v>1</v>
      </c>
      <c r="D137" s="11">
        <v>34</v>
      </c>
      <c r="E137" s="12">
        <v>30717261042</v>
      </c>
      <c r="F137" s="13" t="s">
        <v>70</v>
      </c>
      <c r="G137" s="14">
        <v>0</v>
      </c>
      <c r="H137" s="14">
        <v>0</v>
      </c>
      <c r="I137" s="14"/>
      <c r="J137" s="14"/>
      <c r="K137" s="14"/>
      <c r="L137" s="14"/>
      <c r="M137" s="14"/>
      <c r="N137" s="14"/>
      <c r="O137" s="14"/>
      <c r="P137" s="14">
        <v>108786.26</v>
      </c>
      <c r="Q137" s="14">
        <v>108786.26</v>
      </c>
      <c r="R137" s="1"/>
    </row>
    <row r="138" spans="1:18" ht="18.75" customHeight="1" x14ac:dyDescent="0.3">
      <c r="A138" s="8">
        <v>44994</v>
      </c>
      <c r="B138" s="9">
        <v>1</v>
      </c>
      <c r="C138" s="10">
        <v>3</v>
      </c>
      <c r="D138" s="11">
        <v>53</v>
      </c>
      <c r="E138" s="12">
        <v>20297899830</v>
      </c>
      <c r="F138" s="13" t="s">
        <v>73</v>
      </c>
      <c r="G138" s="14">
        <v>1139315.0999999999</v>
      </c>
      <c r="H138" s="14">
        <v>239256.17099999997</v>
      </c>
      <c r="I138" s="14"/>
      <c r="J138" s="14"/>
      <c r="K138" s="14"/>
      <c r="L138" s="14"/>
      <c r="M138" s="14"/>
      <c r="N138" s="14"/>
      <c r="O138" s="14"/>
      <c r="P138" s="14"/>
      <c r="Q138" s="14">
        <v>1378571.2709999997</v>
      </c>
      <c r="R138" s="1"/>
    </row>
    <row r="139" spans="1:18" ht="18.75" customHeight="1" x14ac:dyDescent="0.3">
      <c r="A139" s="8">
        <v>44995</v>
      </c>
      <c r="B139" s="9">
        <v>1</v>
      </c>
      <c r="C139" s="10">
        <v>2</v>
      </c>
      <c r="D139" s="11">
        <v>208</v>
      </c>
      <c r="E139" s="12">
        <v>30717855805</v>
      </c>
      <c r="F139" s="13" t="s">
        <v>74</v>
      </c>
      <c r="G139" s="14">
        <v>52231.4</v>
      </c>
      <c r="H139" s="14">
        <v>10968.593999999999</v>
      </c>
      <c r="I139" s="14"/>
      <c r="J139" s="14"/>
      <c r="K139" s="14"/>
      <c r="L139" s="14"/>
      <c r="M139" s="14"/>
      <c r="N139" s="14"/>
      <c r="O139" s="14"/>
      <c r="P139" s="14"/>
      <c r="Q139" s="14">
        <v>63199.993999999999</v>
      </c>
      <c r="R139" s="1"/>
    </row>
    <row r="140" spans="1:18" ht="18.75" customHeight="1" x14ac:dyDescent="0.3">
      <c r="A140" s="8">
        <v>44995</v>
      </c>
      <c r="B140" s="9">
        <v>1</v>
      </c>
      <c r="C140" s="10">
        <v>280</v>
      </c>
      <c r="D140" s="11">
        <v>1419195</v>
      </c>
      <c r="E140" s="12">
        <v>30580111315</v>
      </c>
      <c r="F140" s="13" t="s">
        <v>41</v>
      </c>
      <c r="G140" s="14">
        <v>207228.34080000001</v>
      </c>
      <c r="H140" s="14">
        <v>43517.951567999997</v>
      </c>
      <c r="I140" s="14"/>
      <c r="J140" s="14"/>
      <c r="K140" s="14"/>
      <c r="L140" s="14"/>
      <c r="M140" s="14"/>
      <c r="N140" s="14"/>
      <c r="O140" s="14"/>
      <c r="P140" s="14">
        <v>-169089.81479999999</v>
      </c>
      <c r="Q140" s="14">
        <v>81656.477568000002</v>
      </c>
      <c r="R140" s="1"/>
    </row>
    <row r="141" spans="1:18" ht="18.75" customHeight="1" x14ac:dyDescent="0.3">
      <c r="A141" s="8">
        <v>44996</v>
      </c>
      <c r="B141" s="9">
        <v>1</v>
      </c>
      <c r="C141" s="10">
        <v>2466</v>
      </c>
      <c r="D141" s="11">
        <v>483927</v>
      </c>
      <c r="E141" s="12">
        <v>30678814357</v>
      </c>
      <c r="F141" s="13" t="s">
        <v>40</v>
      </c>
      <c r="G141" s="14">
        <v>3465</v>
      </c>
      <c r="H141" s="14"/>
      <c r="I141" s="14">
        <v>935.55</v>
      </c>
      <c r="J141" s="14"/>
      <c r="K141" s="14">
        <v>103.95</v>
      </c>
      <c r="L141" s="14"/>
      <c r="M141" s="14"/>
      <c r="N141" s="14"/>
      <c r="O141" s="14"/>
      <c r="P141" s="14">
        <v>182.37</v>
      </c>
      <c r="Q141" s="14">
        <v>4686.87</v>
      </c>
      <c r="R141" s="1"/>
    </row>
    <row r="142" spans="1:18" ht="18.75" customHeight="1" x14ac:dyDescent="0.3">
      <c r="A142" s="8">
        <v>44998</v>
      </c>
      <c r="B142" s="9">
        <v>1</v>
      </c>
      <c r="C142" s="10">
        <v>700</v>
      </c>
      <c r="D142" s="11">
        <v>496342</v>
      </c>
      <c r="E142" s="12">
        <v>30580111315</v>
      </c>
      <c r="F142" s="13" t="s">
        <v>41</v>
      </c>
      <c r="G142" s="14">
        <v>2898</v>
      </c>
      <c r="H142" s="14">
        <v>608.57999999999993</v>
      </c>
      <c r="I142" s="14"/>
      <c r="J142" s="14"/>
      <c r="K142" s="14"/>
      <c r="L142" s="14"/>
      <c r="M142" s="14"/>
      <c r="N142" s="14"/>
      <c r="O142" s="14"/>
      <c r="P142" s="14">
        <v>65747.34</v>
      </c>
      <c r="Q142" s="14">
        <v>69253.919999999998</v>
      </c>
      <c r="R142" s="1"/>
    </row>
    <row r="143" spans="1:18" ht="18.75" customHeight="1" x14ac:dyDescent="0.3">
      <c r="A143" s="8">
        <v>44999</v>
      </c>
      <c r="B143" s="9">
        <v>1</v>
      </c>
      <c r="C143" s="10">
        <v>1006</v>
      </c>
      <c r="D143" s="11">
        <v>818712</v>
      </c>
      <c r="E143" s="12">
        <v>30538068841</v>
      </c>
      <c r="F143" s="13" t="s">
        <v>37</v>
      </c>
      <c r="G143" s="14">
        <v>1971965.0649999999</v>
      </c>
      <c r="H143" s="14">
        <v>414112.66364999994</v>
      </c>
      <c r="I143" s="14"/>
      <c r="J143" s="14"/>
      <c r="K143" s="14"/>
      <c r="L143" s="14"/>
      <c r="M143" s="14"/>
      <c r="N143" s="14"/>
      <c r="O143" s="14"/>
      <c r="P143" s="14"/>
      <c r="Q143" s="14">
        <v>2386077.7286499999</v>
      </c>
      <c r="R143" s="1"/>
    </row>
    <row r="144" spans="1:18" ht="18.75" customHeight="1" x14ac:dyDescent="0.3">
      <c r="A144" s="8">
        <v>44999</v>
      </c>
      <c r="B144" s="9">
        <v>1</v>
      </c>
      <c r="C144" s="10">
        <v>122</v>
      </c>
      <c r="D144" s="11">
        <v>269214</v>
      </c>
      <c r="E144" s="12">
        <v>30594494187</v>
      </c>
      <c r="F144" s="13" t="s">
        <v>35</v>
      </c>
      <c r="G144" s="14">
        <v>11707.88</v>
      </c>
      <c r="H144" s="14">
        <v>2458.6547999999998</v>
      </c>
      <c r="I144" s="14"/>
      <c r="J144" s="14"/>
      <c r="K144" s="14"/>
      <c r="L144" s="14"/>
      <c r="M144" s="14"/>
      <c r="N144" s="14"/>
      <c r="O144" s="14"/>
      <c r="P144" s="14">
        <v>9378.42</v>
      </c>
      <c r="Q144" s="14">
        <v>23544.9548</v>
      </c>
      <c r="R144" s="1"/>
    </row>
    <row r="145" spans="1:18" ht="18.75" customHeight="1" x14ac:dyDescent="0.3">
      <c r="A145" s="8">
        <v>44999</v>
      </c>
      <c r="B145" s="9">
        <v>1</v>
      </c>
      <c r="C145" s="10">
        <v>4</v>
      </c>
      <c r="D145" s="11">
        <v>93424</v>
      </c>
      <c r="E145" s="12">
        <v>30559932236</v>
      </c>
      <c r="F145" s="13" t="s">
        <v>38</v>
      </c>
      <c r="G145" s="14">
        <v>473237.8</v>
      </c>
      <c r="H145" s="14">
        <v>78941.600000000006</v>
      </c>
      <c r="I145" s="14"/>
      <c r="J145" s="14">
        <v>10219.17</v>
      </c>
      <c r="K145" s="14"/>
      <c r="L145" s="14"/>
      <c r="M145" s="14"/>
      <c r="N145" s="14"/>
      <c r="O145" s="14"/>
      <c r="P145" s="14"/>
      <c r="Q145" s="14">
        <v>562398.57000000007</v>
      </c>
      <c r="R145" s="1"/>
    </row>
    <row r="146" spans="1:18" ht="18.75" customHeight="1" x14ac:dyDescent="0.3">
      <c r="A146" s="8">
        <v>45000</v>
      </c>
      <c r="B146" s="9">
        <v>3</v>
      </c>
      <c r="C146" s="10">
        <v>122</v>
      </c>
      <c r="D146" s="11">
        <v>44532</v>
      </c>
      <c r="E146" s="12">
        <v>30594494187</v>
      </c>
      <c r="F146" s="13" t="s">
        <v>35</v>
      </c>
      <c r="G146" s="14">
        <v>-11707.88</v>
      </c>
      <c r="H146" s="14">
        <v>-2458.6547999999998</v>
      </c>
      <c r="I146" s="14"/>
      <c r="J146" s="14"/>
      <c r="K146" s="14"/>
      <c r="L146" s="14"/>
      <c r="M146" s="14"/>
      <c r="N146" s="14"/>
      <c r="O146" s="14"/>
      <c r="P146" s="14">
        <v>-9378.42</v>
      </c>
      <c r="Q146" s="14">
        <v>-23544.9548</v>
      </c>
      <c r="R146" s="1"/>
    </row>
    <row r="147" spans="1:18" ht="18.75" customHeight="1" x14ac:dyDescent="0.3">
      <c r="A147" s="8">
        <v>45001</v>
      </c>
      <c r="B147" s="9">
        <v>1</v>
      </c>
      <c r="C147" s="10">
        <v>5</v>
      </c>
      <c r="D147" s="11">
        <v>1598</v>
      </c>
      <c r="E147" s="12">
        <v>30716006391</v>
      </c>
      <c r="F147" s="13" t="s">
        <v>75</v>
      </c>
      <c r="G147" s="14">
        <v>6895.87</v>
      </c>
      <c r="H147" s="14">
        <v>1448.1326999999999</v>
      </c>
      <c r="I147" s="14"/>
      <c r="J147" s="14"/>
      <c r="K147" s="14"/>
      <c r="L147" s="14"/>
      <c r="M147" s="14"/>
      <c r="N147" s="14"/>
      <c r="O147" s="14"/>
      <c r="P147" s="14"/>
      <c r="Q147" s="14">
        <v>8344.0026999999991</v>
      </c>
      <c r="R147" s="1"/>
    </row>
    <row r="148" spans="1:18" ht="18.75" customHeight="1" x14ac:dyDescent="0.3">
      <c r="A148" s="8">
        <v>45001</v>
      </c>
      <c r="B148" s="9">
        <v>1</v>
      </c>
      <c r="C148" s="10">
        <v>8</v>
      </c>
      <c r="D148" s="11">
        <v>162500</v>
      </c>
      <c r="E148" s="12">
        <v>33606484599</v>
      </c>
      <c r="F148" s="13" t="s">
        <v>76</v>
      </c>
      <c r="G148" s="14">
        <v>1395982.9</v>
      </c>
      <c r="H148" s="14">
        <v>293156.40899999999</v>
      </c>
      <c r="I148" s="14"/>
      <c r="J148" s="14"/>
      <c r="K148" s="14"/>
      <c r="L148" s="14"/>
      <c r="M148" s="14"/>
      <c r="N148" s="14"/>
      <c r="O148" s="14"/>
      <c r="P148" s="14"/>
      <c r="Q148" s="14">
        <v>1689139.3089999999</v>
      </c>
      <c r="R148" s="1"/>
    </row>
    <row r="149" spans="1:18" ht="18.75" customHeight="1" x14ac:dyDescent="0.3">
      <c r="A149" s="8">
        <v>45001</v>
      </c>
      <c r="B149" s="9">
        <v>1</v>
      </c>
      <c r="C149" s="10">
        <v>3</v>
      </c>
      <c r="D149" s="11">
        <v>22424</v>
      </c>
      <c r="E149" s="12">
        <v>30709511846</v>
      </c>
      <c r="F149" s="13" t="s">
        <v>77</v>
      </c>
      <c r="G149" s="14">
        <v>8030.76</v>
      </c>
      <c r="H149" s="14"/>
      <c r="I149" s="14"/>
      <c r="J149" s="14">
        <v>843.23</v>
      </c>
      <c r="K149" s="14"/>
      <c r="L149" s="14"/>
      <c r="M149" s="14"/>
      <c r="N149" s="14"/>
      <c r="O149" s="14"/>
      <c r="P149" s="14"/>
      <c r="Q149" s="14">
        <v>8873.99</v>
      </c>
      <c r="R149" s="1"/>
    </row>
    <row r="150" spans="1:18" ht="18.75" customHeight="1" x14ac:dyDescent="0.3">
      <c r="A150" s="8">
        <v>45001</v>
      </c>
      <c r="B150" s="9">
        <v>1</v>
      </c>
      <c r="C150" s="10">
        <v>3</v>
      </c>
      <c r="D150" s="11">
        <v>2183</v>
      </c>
      <c r="E150" s="12">
        <v>30712387722</v>
      </c>
      <c r="F150" s="13" t="s">
        <v>78</v>
      </c>
      <c r="G150" s="14">
        <v>2986.42</v>
      </c>
      <c r="H150" s="14"/>
      <c r="I150" s="14"/>
      <c r="J150" s="14">
        <v>313.57</v>
      </c>
      <c r="K150" s="14"/>
      <c r="L150" s="14"/>
      <c r="M150" s="14"/>
      <c r="N150" s="14"/>
      <c r="O150" s="14"/>
      <c r="P150" s="14"/>
      <c r="Q150" s="14">
        <v>3299.9900000000002</v>
      </c>
      <c r="R150" s="1"/>
    </row>
    <row r="151" spans="1:18" ht="18.75" customHeight="1" x14ac:dyDescent="0.3">
      <c r="A151" s="8">
        <v>45002</v>
      </c>
      <c r="B151" s="9">
        <v>1</v>
      </c>
      <c r="C151" s="10">
        <v>2</v>
      </c>
      <c r="D151" s="11">
        <v>163</v>
      </c>
      <c r="E151" s="12">
        <v>20125142851</v>
      </c>
      <c r="F151" s="13" t="s">
        <v>19</v>
      </c>
      <c r="G151" s="14">
        <v>114071.24</v>
      </c>
      <c r="H151" s="14">
        <v>23954.9604</v>
      </c>
      <c r="I151" s="14"/>
      <c r="J151" s="14"/>
      <c r="K151" s="14"/>
      <c r="L151" s="14"/>
      <c r="M151" s="14"/>
      <c r="N151" s="14"/>
      <c r="O151" s="14"/>
      <c r="P151" s="14"/>
      <c r="Q151" s="14">
        <v>138026.2004</v>
      </c>
      <c r="R151" s="1"/>
    </row>
    <row r="152" spans="1:18" ht="18.75" customHeight="1" x14ac:dyDescent="0.3">
      <c r="A152" s="8">
        <v>45002</v>
      </c>
      <c r="B152" s="9">
        <v>1</v>
      </c>
      <c r="C152" s="10">
        <v>2</v>
      </c>
      <c r="D152" s="11">
        <v>2361</v>
      </c>
      <c r="E152" s="12">
        <v>30709131733</v>
      </c>
      <c r="F152" s="13" t="s">
        <v>79</v>
      </c>
      <c r="G152" s="14">
        <v>556484</v>
      </c>
      <c r="H152" s="14">
        <v>116861.64</v>
      </c>
      <c r="I152" s="14"/>
      <c r="J152" s="14"/>
      <c r="K152" s="14"/>
      <c r="L152" s="14"/>
      <c r="M152" s="14"/>
      <c r="N152" s="14"/>
      <c r="O152" s="14"/>
      <c r="P152" s="14"/>
      <c r="Q152" s="14">
        <v>673345.64</v>
      </c>
      <c r="R152" s="1"/>
    </row>
    <row r="153" spans="1:18" ht="18.75" customHeight="1" x14ac:dyDescent="0.3">
      <c r="A153" s="8">
        <v>45002</v>
      </c>
      <c r="B153" s="9">
        <v>1</v>
      </c>
      <c r="C153" s="10">
        <v>3</v>
      </c>
      <c r="D153" s="11">
        <v>22442</v>
      </c>
      <c r="E153" s="12">
        <v>30709511846</v>
      </c>
      <c r="F153" s="13" t="s">
        <v>77</v>
      </c>
      <c r="G153" s="14">
        <v>3906.78</v>
      </c>
      <c r="H153" s="14"/>
      <c r="I153" s="14"/>
      <c r="J153" s="14">
        <v>410.21</v>
      </c>
      <c r="K153" s="14"/>
      <c r="L153" s="14"/>
      <c r="M153" s="14"/>
      <c r="N153" s="14"/>
      <c r="O153" s="14"/>
      <c r="P153" s="14"/>
      <c r="Q153" s="14">
        <v>4316.99</v>
      </c>
      <c r="R153" s="1"/>
    </row>
    <row r="154" spans="1:18" ht="18.75" customHeight="1" x14ac:dyDescent="0.3">
      <c r="A154" s="8">
        <v>45002</v>
      </c>
      <c r="B154" s="9">
        <v>1</v>
      </c>
      <c r="C154" s="10">
        <v>7</v>
      </c>
      <c r="D154" s="11">
        <v>9178</v>
      </c>
      <c r="E154" s="12">
        <v>30690966790</v>
      </c>
      <c r="F154" s="13" t="s">
        <v>80</v>
      </c>
      <c r="G154" s="14">
        <v>1344274.56</v>
      </c>
      <c r="H154" s="14">
        <v>282297.65759999998</v>
      </c>
      <c r="I154" s="14"/>
      <c r="J154" s="14"/>
      <c r="K154" s="14"/>
      <c r="L154" s="14"/>
      <c r="M154" s="14"/>
      <c r="N154" s="14"/>
      <c r="O154" s="14"/>
      <c r="P154" s="14"/>
      <c r="Q154" s="14">
        <v>1626572.2176000001</v>
      </c>
      <c r="R154" s="1"/>
    </row>
    <row r="155" spans="1:18" ht="18.75" customHeight="1" x14ac:dyDescent="0.3">
      <c r="A155" s="8">
        <v>45002</v>
      </c>
      <c r="B155" s="9">
        <v>1</v>
      </c>
      <c r="C155" s="10">
        <v>3</v>
      </c>
      <c r="D155" s="11">
        <v>216346</v>
      </c>
      <c r="E155" s="12">
        <v>33658043779</v>
      </c>
      <c r="F155" s="13" t="s">
        <v>81</v>
      </c>
      <c r="G155" s="14">
        <v>148000</v>
      </c>
      <c r="H155" s="14">
        <v>31080</v>
      </c>
      <c r="I155" s="14"/>
      <c r="J155" s="14"/>
      <c r="K155" s="14"/>
      <c r="L155" s="14"/>
      <c r="M155" s="14"/>
      <c r="N155" s="14"/>
      <c r="O155" s="14"/>
      <c r="P155" s="14"/>
      <c r="Q155" s="14">
        <v>179080</v>
      </c>
      <c r="R155" s="1"/>
    </row>
    <row r="156" spans="1:18" ht="18.75" customHeight="1" x14ac:dyDescent="0.3">
      <c r="A156" s="8">
        <v>45002</v>
      </c>
      <c r="B156" s="9">
        <v>1</v>
      </c>
      <c r="C156" s="10">
        <v>2</v>
      </c>
      <c r="D156" s="11">
        <v>164</v>
      </c>
      <c r="E156" s="12">
        <v>20125142851</v>
      </c>
      <c r="F156" s="13" t="s">
        <v>19</v>
      </c>
      <c r="G156" s="14">
        <v>149990.38</v>
      </c>
      <c r="H156" s="14">
        <v>31497.979800000001</v>
      </c>
      <c r="I156" s="14"/>
      <c r="J156" s="14"/>
      <c r="K156" s="14"/>
      <c r="L156" s="14"/>
      <c r="M156" s="14"/>
      <c r="N156" s="14"/>
      <c r="O156" s="14"/>
      <c r="P156" s="14"/>
      <c r="Q156" s="14">
        <v>181488.35980000001</v>
      </c>
      <c r="R156" s="1"/>
    </row>
    <row r="157" spans="1:18" ht="18.75" customHeight="1" x14ac:dyDescent="0.3">
      <c r="A157" s="8">
        <v>45002</v>
      </c>
      <c r="B157" s="9">
        <v>1</v>
      </c>
      <c r="C157" s="10">
        <v>11</v>
      </c>
      <c r="D157" s="11">
        <v>2837</v>
      </c>
      <c r="E157" s="12">
        <v>30695446426</v>
      </c>
      <c r="F157" s="13" t="s">
        <v>82</v>
      </c>
      <c r="G157" s="14">
        <v>6290.29</v>
      </c>
      <c r="H157" s="14">
        <v>1320.9609</v>
      </c>
      <c r="I157" s="14"/>
      <c r="J157" s="14"/>
      <c r="K157" s="14"/>
      <c r="L157" s="14"/>
      <c r="M157" s="14"/>
      <c r="N157" s="14"/>
      <c r="O157" s="14"/>
      <c r="P157" s="14"/>
      <c r="Q157" s="14">
        <v>7611.2509</v>
      </c>
      <c r="R157" s="1"/>
    </row>
    <row r="158" spans="1:18" ht="18.75" customHeight="1" x14ac:dyDescent="0.3">
      <c r="A158" s="8">
        <v>45002</v>
      </c>
      <c r="B158" s="9">
        <v>1</v>
      </c>
      <c r="C158" s="10">
        <v>280</v>
      </c>
      <c r="D158" s="11">
        <v>1420545</v>
      </c>
      <c r="E158" s="12">
        <v>30580111315</v>
      </c>
      <c r="F158" s="13" t="s">
        <v>41</v>
      </c>
      <c r="G158" s="14">
        <v>196549.41940000001</v>
      </c>
      <c r="H158" s="14">
        <v>36508.906000000003</v>
      </c>
      <c r="I158" s="14"/>
      <c r="J158" s="14">
        <v>2382.5156000000002</v>
      </c>
      <c r="K158" s="14"/>
      <c r="L158" s="14"/>
      <c r="M158" s="14"/>
      <c r="N158" s="14"/>
      <c r="O158" s="14"/>
      <c r="P158" s="14">
        <v>-161611.269</v>
      </c>
      <c r="Q158" s="14">
        <v>73829.572000000044</v>
      </c>
      <c r="R158" s="1"/>
    </row>
    <row r="159" spans="1:18" ht="18.75" customHeight="1" x14ac:dyDescent="0.3">
      <c r="A159" s="8">
        <v>45005</v>
      </c>
      <c r="B159" s="9">
        <v>1</v>
      </c>
      <c r="C159" s="10">
        <v>4</v>
      </c>
      <c r="D159" s="11">
        <v>4174</v>
      </c>
      <c r="E159" s="12">
        <v>30715865889</v>
      </c>
      <c r="F159" s="13" t="s">
        <v>83</v>
      </c>
      <c r="G159" s="14">
        <v>3500.83</v>
      </c>
      <c r="H159" s="14">
        <v>735.1742999999999</v>
      </c>
      <c r="I159" s="14"/>
      <c r="J159" s="14"/>
      <c r="K159" s="14"/>
      <c r="L159" s="14"/>
      <c r="M159" s="14"/>
      <c r="N159" s="14"/>
      <c r="O159" s="14"/>
      <c r="P159" s="14"/>
      <c r="Q159" s="14">
        <v>4236.0042999999996</v>
      </c>
      <c r="R159" s="1"/>
    </row>
    <row r="160" spans="1:18" ht="18.75" customHeight="1" x14ac:dyDescent="0.3">
      <c r="A160" s="8">
        <v>45005</v>
      </c>
      <c r="B160" s="9">
        <v>1</v>
      </c>
      <c r="C160" s="10">
        <v>3</v>
      </c>
      <c r="D160" s="11">
        <v>22468</v>
      </c>
      <c r="E160" s="12">
        <v>30709511846</v>
      </c>
      <c r="F160" s="13" t="s">
        <v>77</v>
      </c>
      <c r="G160" s="14">
        <v>1753.84</v>
      </c>
      <c r="H160" s="14"/>
      <c r="I160" s="14"/>
      <c r="J160" s="14">
        <v>184.15</v>
      </c>
      <c r="K160" s="14"/>
      <c r="L160" s="14"/>
      <c r="M160" s="14"/>
      <c r="N160" s="14"/>
      <c r="O160" s="14"/>
      <c r="P160" s="14"/>
      <c r="Q160" s="14">
        <v>1937.99</v>
      </c>
      <c r="R160" s="1"/>
    </row>
    <row r="161" spans="1:18" ht="18.75" customHeight="1" x14ac:dyDescent="0.3">
      <c r="A161" s="8">
        <v>45005</v>
      </c>
      <c r="B161" s="9">
        <v>1</v>
      </c>
      <c r="C161" s="10">
        <v>3</v>
      </c>
      <c r="D161" s="11">
        <v>7007</v>
      </c>
      <c r="E161" s="12">
        <v>30710212127</v>
      </c>
      <c r="F161" s="13" t="s">
        <v>84</v>
      </c>
      <c r="G161" s="14">
        <v>1701208.45</v>
      </c>
      <c r="H161" s="14">
        <v>357253.7745</v>
      </c>
      <c r="I161" s="14"/>
      <c r="J161" s="14"/>
      <c r="K161" s="14"/>
      <c r="L161" s="14"/>
      <c r="M161" s="14"/>
      <c r="N161" s="14"/>
      <c r="O161" s="14"/>
      <c r="P161" s="14"/>
      <c r="Q161" s="14">
        <v>2058462.2245</v>
      </c>
      <c r="R161" s="1"/>
    </row>
    <row r="162" spans="1:18" ht="18.75" customHeight="1" x14ac:dyDescent="0.3">
      <c r="A162" s="8">
        <v>45005</v>
      </c>
      <c r="B162" s="9">
        <v>1</v>
      </c>
      <c r="C162" s="10">
        <v>700</v>
      </c>
      <c r="D162" s="11">
        <v>499696</v>
      </c>
      <c r="E162" s="12">
        <v>30580111315</v>
      </c>
      <c r="F162" s="13" t="s">
        <v>41</v>
      </c>
      <c r="G162" s="14">
        <v>0</v>
      </c>
      <c r="H162" s="14">
        <v>0</v>
      </c>
      <c r="I162" s="14"/>
      <c r="J162" s="14"/>
      <c r="K162" s="14"/>
      <c r="L162" s="14"/>
      <c r="M162" s="14"/>
      <c r="N162" s="14"/>
      <c r="O162" s="14"/>
      <c r="P162" s="14">
        <v>24813.599999999999</v>
      </c>
      <c r="Q162" s="14">
        <v>24813.599999999999</v>
      </c>
      <c r="R162" s="1"/>
    </row>
    <row r="163" spans="1:18" ht="18.75" customHeight="1" x14ac:dyDescent="0.3">
      <c r="A163" s="8">
        <v>45005</v>
      </c>
      <c r="B163" s="9">
        <v>1</v>
      </c>
      <c r="C163" s="10">
        <v>700</v>
      </c>
      <c r="D163" s="11">
        <v>500713</v>
      </c>
      <c r="E163" s="12">
        <v>30580111315</v>
      </c>
      <c r="F163" s="13" t="s">
        <v>41</v>
      </c>
      <c r="G163" s="14">
        <v>2940</v>
      </c>
      <c r="H163" s="14">
        <v>617.4</v>
      </c>
      <c r="I163" s="14"/>
      <c r="J163" s="14"/>
      <c r="K163" s="14"/>
      <c r="L163" s="14"/>
      <c r="M163" s="14"/>
      <c r="N163" s="14"/>
      <c r="O163" s="14"/>
      <c r="P163" s="14">
        <v>91177.8</v>
      </c>
      <c r="Q163" s="14">
        <v>94735.2</v>
      </c>
      <c r="R163" s="1"/>
    </row>
    <row r="164" spans="1:18" ht="18.75" customHeight="1" x14ac:dyDescent="0.3">
      <c r="A164" s="8">
        <v>45005</v>
      </c>
      <c r="B164" s="9">
        <v>3</v>
      </c>
      <c r="C164" s="10">
        <v>4</v>
      </c>
      <c r="D164" s="11">
        <v>8042</v>
      </c>
      <c r="E164" s="12">
        <v>30559932236</v>
      </c>
      <c r="F164" s="13" t="s">
        <v>38</v>
      </c>
      <c r="G164" s="14">
        <v>-51751.71</v>
      </c>
      <c r="H164" s="14"/>
      <c r="I164" s="14"/>
      <c r="J164" s="14">
        <v>-5433.93</v>
      </c>
      <c r="K164" s="14"/>
      <c r="L164" s="14"/>
      <c r="M164" s="14"/>
      <c r="N164" s="14"/>
      <c r="O164" s="14"/>
      <c r="P164" s="14"/>
      <c r="Q164" s="14">
        <v>-57185.64</v>
      </c>
      <c r="R164" s="1"/>
    </row>
    <row r="165" spans="1:18" ht="18.75" customHeight="1" x14ac:dyDescent="0.3">
      <c r="A165" s="8">
        <v>45006</v>
      </c>
      <c r="B165" s="9">
        <v>1</v>
      </c>
      <c r="C165" s="10">
        <v>1</v>
      </c>
      <c r="D165" s="11">
        <v>146</v>
      </c>
      <c r="E165" s="12">
        <v>30715713272</v>
      </c>
      <c r="F165" s="13" t="s">
        <v>85</v>
      </c>
      <c r="G165" s="14">
        <v>52479.33</v>
      </c>
      <c r="H165" s="14">
        <v>11020.659299999999</v>
      </c>
      <c r="I165" s="14"/>
      <c r="J165" s="14"/>
      <c r="K165" s="14"/>
      <c r="L165" s="14"/>
      <c r="M165" s="14"/>
      <c r="N165" s="14"/>
      <c r="O165" s="14"/>
      <c r="P165" s="14"/>
      <c r="Q165" s="14">
        <v>63499.989300000001</v>
      </c>
      <c r="R165" s="1"/>
    </row>
    <row r="166" spans="1:18" ht="18.75" customHeight="1" x14ac:dyDescent="0.3">
      <c r="A166" s="8">
        <v>45006</v>
      </c>
      <c r="B166" s="9">
        <v>1</v>
      </c>
      <c r="C166" s="10">
        <v>3</v>
      </c>
      <c r="D166" s="11">
        <v>3160</v>
      </c>
      <c r="E166" s="12">
        <v>30716578077</v>
      </c>
      <c r="F166" s="13" t="s">
        <v>86</v>
      </c>
      <c r="G166" s="14">
        <v>7397.12</v>
      </c>
      <c r="H166" s="14">
        <v>168.95</v>
      </c>
      <c r="I166" s="14"/>
      <c r="J166" s="14">
        <v>692.22</v>
      </c>
      <c r="K166" s="14"/>
      <c r="L166" s="14"/>
      <c r="M166" s="14"/>
      <c r="N166" s="14"/>
      <c r="O166" s="14"/>
      <c r="P166" s="14"/>
      <c r="Q166" s="14">
        <v>8258.2899999999991</v>
      </c>
      <c r="R166" s="1"/>
    </row>
    <row r="167" spans="1:18" ht="18.75" customHeight="1" x14ac:dyDescent="0.3">
      <c r="A167" s="8">
        <v>45006</v>
      </c>
      <c r="B167" s="9">
        <v>1</v>
      </c>
      <c r="C167" s="10">
        <v>5</v>
      </c>
      <c r="D167" s="11">
        <v>5301</v>
      </c>
      <c r="E167" s="12">
        <v>30715353934</v>
      </c>
      <c r="F167" s="13" t="s">
        <v>87</v>
      </c>
      <c r="G167" s="14">
        <v>6929.44</v>
      </c>
      <c r="H167" s="14">
        <v>1455.1823999999999</v>
      </c>
      <c r="I167" s="14"/>
      <c r="J167" s="14"/>
      <c r="K167" s="14"/>
      <c r="L167" s="14"/>
      <c r="M167" s="14"/>
      <c r="N167" s="14"/>
      <c r="O167" s="14"/>
      <c r="P167" s="14"/>
      <c r="Q167" s="14">
        <v>8384.6224000000002</v>
      </c>
      <c r="R167" s="1"/>
    </row>
    <row r="168" spans="1:18" ht="18.75" customHeight="1" x14ac:dyDescent="0.3">
      <c r="A168" s="8">
        <v>45007</v>
      </c>
      <c r="B168" s="9">
        <v>1</v>
      </c>
      <c r="C168" s="10">
        <v>6</v>
      </c>
      <c r="D168" s="11">
        <v>15436</v>
      </c>
      <c r="E168" s="12">
        <v>30714971782</v>
      </c>
      <c r="F168" s="13" t="s">
        <v>88</v>
      </c>
      <c r="G168" s="14">
        <v>6533.05</v>
      </c>
      <c r="H168" s="14">
        <v>1371.9404999999999</v>
      </c>
      <c r="I168" s="14"/>
      <c r="J168" s="14"/>
      <c r="K168" s="14"/>
      <c r="L168" s="14"/>
      <c r="M168" s="14"/>
      <c r="N168" s="14"/>
      <c r="O168" s="14"/>
      <c r="P168" s="14"/>
      <c r="Q168" s="14">
        <v>7904.9904999999999</v>
      </c>
      <c r="R168" s="1"/>
    </row>
    <row r="169" spans="1:18" ht="18.75" customHeight="1" x14ac:dyDescent="0.3">
      <c r="A169" s="8">
        <v>45007</v>
      </c>
      <c r="B169" s="9">
        <v>1</v>
      </c>
      <c r="C169" s="10">
        <v>6</v>
      </c>
      <c r="D169" s="11">
        <v>15435</v>
      </c>
      <c r="E169" s="12">
        <v>30714971782</v>
      </c>
      <c r="F169" s="13" t="s">
        <v>88</v>
      </c>
      <c r="G169" s="14">
        <v>13719.01</v>
      </c>
      <c r="H169" s="14">
        <v>2880.9920999999999</v>
      </c>
      <c r="I169" s="14"/>
      <c r="J169" s="14"/>
      <c r="K169" s="14"/>
      <c r="L169" s="14"/>
      <c r="M169" s="14"/>
      <c r="N169" s="14"/>
      <c r="O169" s="14"/>
      <c r="P169" s="14"/>
      <c r="Q169" s="14">
        <v>16600.002100000002</v>
      </c>
      <c r="R169" s="1"/>
    </row>
    <row r="170" spans="1:18" ht="18.75" customHeight="1" x14ac:dyDescent="0.3">
      <c r="A170" s="8">
        <v>45008</v>
      </c>
      <c r="B170" s="9">
        <v>1</v>
      </c>
      <c r="C170" s="10">
        <v>3</v>
      </c>
      <c r="D170" s="11">
        <v>1349479</v>
      </c>
      <c r="E170" s="12">
        <v>30712019359</v>
      </c>
      <c r="F170" s="13" t="s">
        <v>42</v>
      </c>
      <c r="G170" s="14">
        <v>4461.9799999999996</v>
      </c>
      <c r="H170" s="14">
        <v>937.0157999999999</v>
      </c>
      <c r="I170" s="14"/>
      <c r="J170" s="14"/>
      <c r="K170" s="14"/>
      <c r="L170" s="14"/>
      <c r="M170" s="14"/>
      <c r="N170" s="14"/>
      <c r="O170" s="14"/>
      <c r="P170" s="14"/>
      <c r="Q170" s="14">
        <v>5398.9957999999997</v>
      </c>
      <c r="R170" s="1"/>
    </row>
    <row r="171" spans="1:18" ht="18.75" customHeight="1" x14ac:dyDescent="0.3">
      <c r="A171" s="8">
        <v>45008</v>
      </c>
      <c r="B171" s="9">
        <v>1</v>
      </c>
      <c r="C171" s="10">
        <v>106</v>
      </c>
      <c r="D171" s="11">
        <v>617258</v>
      </c>
      <c r="E171" s="12">
        <v>30594494187</v>
      </c>
      <c r="F171" s="13" t="s">
        <v>35</v>
      </c>
      <c r="G171" s="14">
        <v>12238</v>
      </c>
      <c r="H171" s="14">
        <v>2569.98</v>
      </c>
      <c r="I171" s="14"/>
      <c r="J171" s="14"/>
      <c r="K171" s="14"/>
      <c r="L171" s="14"/>
      <c r="M171" s="14"/>
      <c r="N171" s="14"/>
      <c r="O171" s="14"/>
      <c r="P171" s="14">
        <v>9378.42</v>
      </c>
      <c r="Q171" s="14">
        <v>24186.400000000001</v>
      </c>
      <c r="R171" s="1"/>
    </row>
    <row r="172" spans="1:18" ht="18.75" customHeight="1" x14ac:dyDescent="0.3">
      <c r="A172" s="8">
        <v>45010</v>
      </c>
      <c r="B172" s="9">
        <v>1</v>
      </c>
      <c r="C172" s="10">
        <v>122</v>
      </c>
      <c r="D172" s="11">
        <v>270392</v>
      </c>
      <c r="E172" s="12">
        <v>30594494187</v>
      </c>
      <c r="F172" s="13" t="s">
        <v>35</v>
      </c>
      <c r="G172" s="14">
        <v>11935.24</v>
      </c>
      <c r="H172" s="14">
        <v>2506.4004</v>
      </c>
      <c r="I172" s="14"/>
      <c r="J172" s="14"/>
      <c r="K172" s="14"/>
      <c r="L172" s="14"/>
      <c r="M172" s="14"/>
      <c r="N172" s="14"/>
      <c r="O172" s="14"/>
      <c r="P172" s="14">
        <v>4648.57</v>
      </c>
      <c r="Q172" s="14">
        <v>19090.2104</v>
      </c>
      <c r="R172" s="1"/>
    </row>
    <row r="173" spans="1:18" ht="18.75" customHeight="1" x14ac:dyDescent="0.3">
      <c r="A173" s="8">
        <v>45010</v>
      </c>
      <c r="B173" s="9">
        <v>1</v>
      </c>
      <c r="C173" s="10">
        <v>5</v>
      </c>
      <c r="D173" s="11">
        <v>14066</v>
      </c>
      <c r="E173" s="12">
        <v>30716711621</v>
      </c>
      <c r="F173" s="13" t="s">
        <v>89</v>
      </c>
      <c r="G173" s="14">
        <v>58465.96</v>
      </c>
      <c r="H173" s="14">
        <v>5360.39</v>
      </c>
      <c r="I173" s="14"/>
      <c r="J173" s="14">
        <v>3458.73</v>
      </c>
      <c r="K173" s="14"/>
      <c r="L173" s="14"/>
      <c r="M173" s="14"/>
      <c r="N173" s="14"/>
      <c r="O173" s="14"/>
      <c r="P173" s="14"/>
      <c r="Q173" s="14">
        <v>67285.08</v>
      </c>
      <c r="R173" s="1"/>
    </row>
    <row r="174" spans="1:18" ht="18.75" customHeight="1" x14ac:dyDescent="0.3">
      <c r="A174" s="8">
        <v>45011</v>
      </c>
      <c r="B174" s="9">
        <v>1</v>
      </c>
      <c r="C174" s="10">
        <v>280</v>
      </c>
      <c r="D174" s="11">
        <v>1422302</v>
      </c>
      <c r="E174" s="12">
        <v>30580111315</v>
      </c>
      <c r="F174" s="13" t="s">
        <v>41</v>
      </c>
      <c r="G174" s="14">
        <v>207819.27979999999</v>
      </c>
      <c r="H174" s="14">
        <v>43642.048757999997</v>
      </c>
      <c r="I174" s="14"/>
      <c r="J174" s="14"/>
      <c r="K174" s="14"/>
      <c r="L174" s="14"/>
      <c r="M174" s="14"/>
      <c r="N174" s="14"/>
      <c r="O174" s="14"/>
      <c r="P174" s="14">
        <v>-169451.59</v>
      </c>
      <c r="Q174" s="14">
        <v>82009.738557999983</v>
      </c>
      <c r="R174" s="1"/>
    </row>
    <row r="175" spans="1:18" ht="18.75" customHeight="1" x14ac:dyDescent="0.3">
      <c r="A175" s="8">
        <v>45012</v>
      </c>
      <c r="B175" s="9">
        <v>1</v>
      </c>
      <c r="C175" s="10">
        <v>18</v>
      </c>
      <c r="D175" s="11">
        <v>9421</v>
      </c>
      <c r="E175" s="12">
        <v>30582605021</v>
      </c>
      <c r="F175" s="13" t="s">
        <v>90</v>
      </c>
      <c r="G175" s="14">
        <v>10514.08</v>
      </c>
      <c r="H175" s="14">
        <v>1076.05</v>
      </c>
      <c r="I175" s="14"/>
      <c r="J175" s="14">
        <v>565.95000000000005</v>
      </c>
      <c r="K175" s="14"/>
      <c r="L175" s="14"/>
      <c r="M175" s="14"/>
      <c r="N175" s="14"/>
      <c r="O175" s="14"/>
      <c r="P175" s="14"/>
      <c r="Q175" s="14">
        <v>12156.08</v>
      </c>
      <c r="R175" s="1"/>
    </row>
    <row r="176" spans="1:18" ht="18.75" customHeight="1" x14ac:dyDescent="0.3">
      <c r="A176" s="8">
        <v>45012</v>
      </c>
      <c r="B176" s="9">
        <v>1</v>
      </c>
      <c r="C176" s="10">
        <v>700</v>
      </c>
      <c r="D176" s="11">
        <v>502898</v>
      </c>
      <c r="E176" s="12">
        <v>30580111315</v>
      </c>
      <c r="F176" s="13" t="s">
        <v>41</v>
      </c>
      <c r="G176" s="14">
        <v>0</v>
      </c>
      <c r="H176" s="14">
        <v>0</v>
      </c>
      <c r="I176" s="14"/>
      <c r="J176" s="14"/>
      <c r="K176" s="14"/>
      <c r="L176" s="14"/>
      <c r="M176" s="14"/>
      <c r="N176" s="14"/>
      <c r="O176" s="14"/>
      <c r="P176" s="14">
        <v>59920.75</v>
      </c>
      <c r="Q176" s="14">
        <v>59920.75</v>
      </c>
      <c r="R176" s="1"/>
    </row>
    <row r="177" spans="1:18" ht="18.75" customHeight="1" x14ac:dyDescent="0.3">
      <c r="A177" s="8">
        <v>45012</v>
      </c>
      <c r="B177" s="9">
        <v>1</v>
      </c>
      <c r="C177" s="10">
        <v>4</v>
      </c>
      <c r="D177" s="11">
        <v>13611</v>
      </c>
      <c r="E177" s="12">
        <v>23113854499</v>
      </c>
      <c r="F177" s="13" t="s">
        <v>91</v>
      </c>
      <c r="G177" s="14">
        <v>7438</v>
      </c>
      <c r="H177" s="14">
        <v>1561.98</v>
      </c>
      <c r="I177" s="14"/>
      <c r="J177" s="14"/>
      <c r="K177" s="14"/>
      <c r="L177" s="14"/>
      <c r="M177" s="14"/>
      <c r="N177" s="14"/>
      <c r="O177" s="14"/>
      <c r="P177" s="14"/>
      <c r="Q177" s="14">
        <v>8999.98</v>
      </c>
      <c r="R177" s="1"/>
    </row>
    <row r="178" spans="1:18" ht="18.75" customHeight="1" x14ac:dyDescent="0.3">
      <c r="A178" s="8">
        <v>45013</v>
      </c>
      <c r="B178" s="9">
        <v>3</v>
      </c>
      <c r="C178" s="10">
        <v>122</v>
      </c>
      <c r="D178" s="11">
        <v>44870</v>
      </c>
      <c r="E178" s="12">
        <v>30594494187</v>
      </c>
      <c r="F178" s="13" t="s">
        <v>35</v>
      </c>
      <c r="G178" s="14">
        <v>-11935.24</v>
      </c>
      <c r="H178" s="14">
        <v>-2506.4004</v>
      </c>
      <c r="I178" s="14"/>
      <c r="J178" s="14"/>
      <c r="K178" s="14"/>
      <c r="L178" s="14"/>
      <c r="M178" s="14"/>
      <c r="N178" s="14"/>
      <c r="O178" s="14"/>
      <c r="P178" s="14">
        <v>-4648.57</v>
      </c>
      <c r="Q178" s="14">
        <v>-19090.2104</v>
      </c>
      <c r="R178" s="1"/>
    </row>
    <row r="179" spans="1:18" ht="18.75" customHeight="1" x14ac:dyDescent="0.3">
      <c r="A179" s="8">
        <v>45014</v>
      </c>
      <c r="B179" s="9">
        <v>1</v>
      </c>
      <c r="C179" s="10">
        <v>3</v>
      </c>
      <c r="D179" s="11">
        <v>46383</v>
      </c>
      <c r="E179" s="12">
        <v>30715863916</v>
      </c>
      <c r="F179" s="13" t="s">
        <v>92</v>
      </c>
      <c r="G179" s="14">
        <v>6165.29</v>
      </c>
      <c r="H179" s="14">
        <v>1294.7109</v>
      </c>
      <c r="I179" s="14"/>
      <c r="J179" s="14"/>
      <c r="K179" s="14"/>
      <c r="L179" s="14"/>
      <c r="M179" s="14"/>
      <c r="N179" s="14"/>
      <c r="O179" s="14"/>
      <c r="P179" s="14"/>
      <c r="Q179" s="14">
        <v>7460.0009</v>
      </c>
      <c r="R179" s="1"/>
    </row>
    <row r="180" spans="1:18" ht="18.75" customHeight="1" x14ac:dyDescent="0.3">
      <c r="A180" s="8">
        <v>45016</v>
      </c>
      <c r="B180" s="9">
        <v>1</v>
      </c>
      <c r="C180" s="10">
        <v>700</v>
      </c>
      <c r="D180" s="11">
        <v>505800</v>
      </c>
      <c r="E180" s="12">
        <v>30580111315</v>
      </c>
      <c r="F180" s="13" t="s">
        <v>41</v>
      </c>
      <c r="G180" s="14">
        <v>3017</v>
      </c>
      <c r="H180" s="14">
        <v>633.56999999999994</v>
      </c>
      <c r="I180" s="14"/>
      <c r="J180" s="14"/>
      <c r="K180" s="14"/>
      <c r="L180" s="14"/>
      <c r="M180" s="14"/>
      <c r="N180" s="14"/>
      <c r="O180" s="14"/>
      <c r="P180" s="14">
        <v>68447.11</v>
      </c>
      <c r="Q180" s="14">
        <v>72097.679999999993</v>
      </c>
      <c r="R180" s="1"/>
    </row>
    <row r="181" spans="1:18" ht="18.75" customHeight="1" x14ac:dyDescent="0.3">
      <c r="A181" s="8">
        <v>45016</v>
      </c>
      <c r="B181" s="9">
        <v>1</v>
      </c>
      <c r="C181" s="10">
        <v>5</v>
      </c>
      <c r="D181" s="11">
        <v>1183</v>
      </c>
      <c r="E181" s="12">
        <v>30707397256</v>
      </c>
      <c r="F181" s="13" t="s">
        <v>51</v>
      </c>
      <c r="G181" s="14">
        <v>495563</v>
      </c>
      <c r="H181" s="14">
        <v>104068.23</v>
      </c>
      <c r="I181" s="14"/>
      <c r="J181" s="14"/>
      <c r="K181" s="14"/>
      <c r="L181" s="14"/>
      <c r="M181" s="14"/>
      <c r="N181" s="14"/>
      <c r="O181" s="14"/>
      <c r="P181" s="14"/>
      <c r="Q181" s="14">
        <v>599631.23</v>
      </c>
      <c r="R181" s="1"/>
    </row>
    <row r="182" spans="1:18" ht="18.75" customHeight="1" x14ac:dyDescent="0.3">
      <c r="A182" s="8">
        <v>45016</v>
      </c>
      <c r="B182" s="9">
        <v>1</v>
      </c>
      <c r="C182" s="10">
        <v>1</v>
      </c>
      <c r="D182" s="11">
        <v>579</v>
      </c>
      <c r="E182" s="12">
        <v>30715048066</v>
      </c>
      <c r="F182" s="13" t="s">
        <v>23</v>
      </c>
      <c r="G182" s="14">
        <v>109650</v>
      </c>
      <c r="H182" s="14">
        <v>23026.5</v>
      </c>
      <c r="I182" s="14"/>
      <c r="J182" s="14"/>
      <c r="K182" s="14"/>
      <c r="L182" s="14"/>
      <c r="M182" s="14"/>
      <c r="N182" s="14"/>
      <c r="O182" s="14"/>
      <c r="P182" s="14"/>
      <c r="Q182" s="14">
        <v>132676.5</v>
      </c>
      <c r="R182" s="1"/>
    </row>
    <row r="183" spans="1:18" ht="18.75" customHeight="1" x14ac:dyDescent="0.3">
      <c r="A183" s="8">
        <v>45016</v>
      </c>
      <c r="B183" s="9">
        <v>1</v>
      </c>
      <c r="C183" s="10">
        <v>8</v>
      </c>
      <c r="D183" s="11">
        <v>90</v>
      </c>
      <c r="E183" s="12">
        <v>30716172011</v>
      </c>
      <c r="F183" s="13" t="s">
        <v>93</v>
      </c>
      <c r="G183" s="14">
        <v>45372</v>
      </c>
      <c r="H183" s="14">
        <v>9528.119999999999</v>
      </c>
      <c r="I183" s="14"/>
      <c r="J183" s="14"/>
      <c r="K183" s="14"/>
      <c r="L183" s="14"/>
      <c r="M183" s="14"/>
      <c r="N183" s="14"/>
      <c r="O183" s="14"/>
      <c r="P183" s="14"/>
      <c r="Q183" s="14">
        <v>54900.119999999995</v>
      </c>
      <c r="R183" s="1"/>
    </row>
    <row r="184" spans="1:18" ht="18.75" customHeight="1" x14ac:dyDescent="0.3">
      <c r="A184" s="8">
        <v>45016</v>
      </c>
      <c r="B184" s="9">
        <v>1</v>
      </c>
      <c r="C184" s="10">
        <v>6</v>
      </c>
      <c r="D184" s="11">
        <v>11336</v>
      </c>
      <c r="E184" s="12">
        <v>30707756434</v>
      </c>
      <c r="F184" s="13" t="s">
        <v>61</v>
      </c>
      <c r="G184" s="14">
        <v>36500</v>
      </c>
      <c r="H184" s="14">
        <v>7665</v>
      </c>
      <c r="I184" s="14"/>
      <c r="J184" s="14"/>
      <c r="K184" s="14"/>
      <c r="L184" s="14"/>
      <c r="M184" s="14"/>
      <c r="N184" s="14"/>
      <c r="O184" s="14"/>
      <c r="P184" s="14"/>
      <c r="Q184" s="14">
        <v>44165</v>
      </c>
      <c r="R184" s="1"/>
    </row>
    <row r="185" spans="1:18" ht="18.75" customHeight="1" x14ac:dyDescent="0.3">
      <c r="A185" s="8">
        <v>45016</v>
      </c>
      <c r="B185" s="9">
        <v>1</v>
      </c>
      <c r="C185" s="10">
        <v>2</v>
      </c>
      <c r="D185" s="11">
        <v>608</v>
      </c>
      <c r="E185" s="12">
        <v>20296550184</v>
      </c>
      <c r="F185" s="13" t="s">
        <v>24</v>
      </c>
      <c r="G185" s="14">
        <v>119780</v>
      </c>
      <c r="H185" s="14">
        <v>25153.8</v>
      </c>
      <c r="I185" s="14"/>
      <c r="J185" s="14"/>
      <c r="K185" s="14"/>
      <c r="L185" s="14"/>
      <c r="M185" s="14"/>
      <c r="N185" s="14"/>
      <c r="O185" s="14"/>
      <c r="P185" s="14"/>
      <c r="Q185" s="14">
        <v>144933.79999999999</v>
      </c>
      <c r="R185" s="1"/>
    </row>
    <row r="186" spans="1:18" ht="18.75" customHeight="1" x14ac:dyDescent="0.3">
      <c r="A186" s="8">
        <v>45016</v>
      </c>
      <c r="B186" s="9">
        <v>1</v>
      </c>
      <c r="C186" s="10">
        <v>15</v>
      </c>
      <c r="D186" s="11">
        <v>1004</v>
      </c>
      <c r="E186" s="12">
        <v>30708003316</v>
      </c>
      <c r="F186" s="13" t="s">
        <v>22</v>
      </c>
      <c r="G186" s="14">
        <v>13008.35</v>
      </c>
      <c r="H186" s="14">
        <v>2731.7534999999998</v>
      </c>
      <c r="I186" s="14"/>
      <c r="J186" s="14"/>
      <c r="K186" s="14"/>
      <c r="L186" s="14"/>
      <c r="M186" s="14"/>
      <c r="N186" s="14"/>
      <c r="O186" s="14"/>
      <c r="P186" s="14"/>
      <c r="Q186" s="14">
        <v>15740.103500000001</v>
      </c>
      <c r="R186" s="1"/>
    </row>
    <row r="187" spans="1:18" ht="18.75" customHeight="1" x14ac:dyDescent="0.3">
      <c r="A187" s="8">
        <v>45016</v>
      </c>
      <c r="B187" s="9">
        <v>1</v>
      </c>
      <c r="C187" s="10">
        <v>1</v>
      </c>
      <c r="D187" s="11">
        <v>3703</v>
      </c>
      <c r="E187" s="12">
        <v>30716872463</v>
      </c>
      <c r="F187" s="13" t="s">
        <v>94</v>
      </c>
      <c r="G187" s="14">
        <v>10289.26</v>
      </c>
      <c r="H187" s="14">
        <v>2160.7446</v>
      </c>
      <c r="I187" s="14"/>
      <c r="J187" s="14"/>
      <c r="K187" s="14"/>
      <c r="L187" s="14"/>
      <c r="M187" s="14"/>
      <c r="N187" s="14"/>
      <c r="O187" s="14"/>
      <c r="P187" s="14"/>
      <c r="Q187" s="14">
        <v>12450.0046</v>
      </c>
      <c r="R187" s="1"/>
    </row>
    <row r="188" spans="1:18" ht="18.75" customHeight="1" x14ac:dyDescent="0.3">
      <c r="A188" s="8">
        <v>44988</v>
      </c>
      <c r="B188" s="9">
        <v>99</v>
      </c>
      <c r="C188" s="10">
        <v>1</v>
      </c>
      <c r="D188" s="11">
        <v>858845933</v>
      </c>
      <c r="E188" s="12">
        <v>30571421352</v>
      </c>
      <c r="F188" s="13" t="s">
        <v>43</v>
      </c>
      <c r="G188" s="14">
        <v>14840.24</v>
      </c>
      <c r="H188" s="14">
        <v>3116.45</v>
      </c>
      <c r="I188" s="14"/>
      <c r="J188" s="14"/>
      <c r="K188" s="14"/>
      <c r="L188" s="14"/>
      <c r="M188" s="14">
        <v>445.21</v>
      </c>
      <c r="N188" s="14"/>
      <c r="O188" s="14"/>
      <c r="P188" s="14"/>
      <c r="Q188" s="14">
        <v>18401.900000000001</v>
      </c>
      <c r="R188" s="1"/>
    </row>
    <row r="189" spans="1:18" ht="18.75" customHeight="1" x14ac:dyDescent="0.3">
      <c r="A189" s="8">
        <v>44992</v>
      </c>
      <c r="B189" s="9">
        <v>99</v>
      </c>
      <c r="C189" s="10">
        <v>1</v>
      </c>
      <c r="D189" s="11">
        <v>6175088</v>
      </c>
      <c r="E189" s="12">
        <v>30571421352</v>
      </c>
      <c r="F189" s="13" t="s">
        <v>43</v>
      </c>
      <c r="G189" s="14">
        <v>22963.19</v>
      </c>
      <c r="H189" s="14">
        <v>4822.2700000000004</v>
      </c>
      <c r="I189" s="14"/>
      <c r="J189" s="14"/>
      <c r="K189" s="14"/>
      <c r="L189" s="14"/>
      <c r="M189" s="14">
        <v>688.9</v>
      </c>
      <c r="N189" s="14"/>
      <c r="O189" s="14"/>
      <c r="P189" s="14"/>
      <c r="Q189" s="14">
        <v>28474.36</v>
      </c>
    </row>
    <row r="190" spans="1:18" ht="18.75" customHeight="1" x14ac:dyDescent="0.3">
      <c r="A190" s="8">
        <v>45008</v>
      </c>
      <c r="B190" s="9">
        <v>99</v>
      </c>
      <c r="C190" s="10">
        <v>1</v>
      </c>
      <c r="D190" s="11">
        <v>52909</v>
      </c>
      <c r="E190" s="12">
        <v>30571421352</v>
      </c>
      <c r="F190" s="13" t="s">
        <v>43</v>
      </c>
      <c r="G190" s="14">
        <v>170</v>
      </c>
      <c r="H190" s="14">
        <v>35.700000000000003</v>
      </c>
      <c r="I190" s="14"/>
      <c r="J190" s="14"/>
      <c r="K190" s="14"/>
      <c r="L190" s="14"/>
      <c r="M190" s="14">
        <v>5.84</v>
      </c>
      <c r="N190" s="14"/>
      <c r="O190" s="14"/>
      <c r="P190" s="14"/>
      <c r="Q190" s="14">
        <v>211.54</v>
      </c>
    </row>
    <row r="191" spans="1:18" ht="18.75" customHeight="1" x14ac:dyDescent="0.3">
      <c r="A191" s="8">
        <v>45016</v>
      </c>
      <c r="B191" s="9">
        <v>99</v>
      </c>
      <c r="C191" s="10">
        <v>1</v>
      </c>
      <c r="D191" s="11">
        <v>31032023</v>
      </c>
      <c r="E191" s="12">
        <v>30571421352</v>
      </c>
      <c r="F191" s="13" t="s">
        <v>43</v>
      </c>
      <c r="G191" s="14">
        <v>5523.14</v>
      </c>
      <c r="H191" s="14">
        <v>1159.8599999999999</v>
      </c>
      <c r="I191" s="14"/>
      <c r="J191" s="14"/>
      <c r="K191" s="14"/>
      <c r="L191" s="14"/>
      <c r="M191" s="14"/>
      <c r="N191" s="14"/>
      <c r="O191" s="14"/>
      <c r="P191" s="14"/>
      <c r="Q191" s="14">
        <v>6683</v>
      </c>
    </row>
    <row r="192" spans="1:18" ht="18.75" customHeight="1" thickBot="1" x14ac:dyDescent="0.35">
      <c r="A192" s="23" t="s">
        <v>17</v>
      </c>
      <c r="B192" s="23"/>
      <c r="C192" s="23"/>
      <c r="D192" s="23"/>
      <c r="E192" s="23"/>
      <c r="F192" s="23"/>
      <c r="G192" s="17">
        <f>SUM(G122:G191)</f>
        <v>11689939.204099996</v>
      </c>
      <c r="H192" s="17">
        <f t="shared" ref="H192:Q192" si="2">SUM(H122:H191)</f>
        <v>2414589.7900759997</v>
      </c>
      <c r="I192" s="17">
        <f t="shared" si="2"/>
        <v>935.55</v>
      </c>
      <c r="J192" s="17">
        <f t="shared" si="2"/>
        <v>19783.635600000001</v>
      </c>
      <c r="K192" s="17">
        <f t="shared" si="2"/>
        <v>103.95</v>
      </c>
      <c r="L192" s="17">
        <f t="shared" si="2"/>
        <v>0</v>
      </c>
      <c r="M192" s="17">
        <f t="shared" si="2"/>
        <v>1139.9499999999998</v>
      </c>
      <c r="N192" s="17">
        <f t="shared" si="2"/>
        <v>0</v>
      </c>
      <c r="O192" s="17">
        <f t="shared" si="2"/>
        <v>0</v>
      </c>
      <c r="P192" s="17">
        <f t="shared" si="2"/>
        <v>-126878.69379999999</v>
      </c>
      <c r="Q192" s="17">
        <f t="shared" si="2"/>
        <v>13999613.385975998</v>
      </c>
    </row>
    <row r="193" spans="1:18" ht="18.75" customHeight="1" thickBot="1" x14ac:dyDescent="0.35">
      <c r="A193" s="15"/>
      <c r="B193" s="15"/>
      <c r="C193" s="15"/>
      <c r="D193" s="15"/>
      <c r="E193" s="15"/>
      <c r="F193" s="15"/>
      <c r="G193" s="16"/>
      <c r="H193" s="18"/>
      <c r="I193" s="19">
        <f>SUM(H192:J192)</f>
        <v>2435308.9756759997</v>
      </c>
      <c r="J193" s="20"/>
      <c r="K193" s="16"/>
      <c r="L193" s="16"/>
      <c r="M193" s="16"/>
      <c r="N193" s="16"/>
      <c r="O193" s="16"/>
      <c r="P193" s="16"/>
      <c r="Q193" s="16"/>
    </row>
    <row r="201" spans="1:18" ht="29.25" thickBot="1" x14ac:dyDescent="0.5">
      <c r="A201" s="24" t="s">
        <v>0</v>
      </c>
      <c r="B201" s="24"/>
      <c r="C201" s="24"/>
      <c r="D201" s="24"/>
      <c r="E201" s="24"/>
      <c r="F201" s="21"/>
      <c r="G201" s="22"/>
      <c r="H201" s="22"/>
      <c r="I201" s="22"/>
      <c r="J201" s="22"/>
      <c r="K201" s="22"/>
      <c r="L201" s="22"/>
      <c r="M201" s="22"/>
      <c r="N201" s="22"/>
      <c r="O201" s="25">
        <v>45017</v>
      </c>
      <c r="P201" s="26"/>
      <c r="Q201" s="26"/>
    </row>
    <row r="202" spans="1:18" ht="18.75" customHeight="1" x14ac:dyDescent="0.3">
      <c r="A202" s="6" t="s">
        <v>1</v>
      </c>
      <c r="B202" s="6" t="s">
        <v>2</v>
      </c>
      <c r="C202" s="6" t="s">
        <v>3</v>
      </c>
      <c r="D202" s="6" t="s">
        <v>4</v>
      </c>
      <c r="E202" s="6" t="s">
        <v>5</v>
      </c>
      <c r="F202" s="6" t="s">
        <v>6</v>
      </c>
      <c r="G202" s="7" t="s">
        <v>7</v>
      </c>
      <c r="H202" s="7" t="s">
        <v>8</v>
      </c>
      <c r="I202" s="7" t="s">
        <v>9</v>
      </c>
      <c r="J202" s="7" t="s">
        <v>10</v>
      </c>
      <c r="K202" s="7" t="s">
        <v>11</v>
      </c>
      <c r="L202" s="7" t="s">
        <v>12</v>
      </c>
      <c r="M202" s="7" t="s">
        <v>13</v>
      </c>
      <c r="N202" s="7" t="s">
        <v>14</v>
      </c>
      <c r="O202" s="7" t="s">
        <v>15</v>
      </c>
      <c r="P202" s="7" t="s">
        <v>16</v>
      </c>
      <c r="Q202" s="7" t="s">
        <v>17</v>
      </c>
    </row>
    <row r="203" spans="1:18" ht="18.75" x14ac:dyDescent="0.3">
      <c r="A203" s="8">
        <v>45044</v>
      </c>
      <c r="B203" s="9">
        <v>1</v>
      </c>
      <c r="C203" s="10">
        <v>1</v>
      </c>
      <c r="D203" s="11">
        <v>593</v>
      </c>
      <c r="E203" s="12">
        <v>30715048066</v>
      </c>
      <c r="F203" s="13" t="s">
        <v>23</v>
      </c>
      <c r="G203" s="14">
        <v>105615</v>
      </c>
      <c r="H203" s="14">
        <v>22179.149999999998</v>
      </c>
      <c r="I203" s="14"/>
      <c r="J203" s="14"/>
      <c r="K203" s="14"/>
      <c r="L203" s="14"/>
      <c r="M203" s="14"/>
      <c r="N203" s="14"/>
      <c r="O203" s="14"/>
      <c r="P203" s="14"/>
      <c r="Q203" s="14">
        <v>127794.15</v>
      </c>
      <c r="R203" s="1"/>
    </row>
    <row r="204" spans="1:18" ht="18.75" x14ac:dyDescent="0.3">
      <c r="A204" s="8">
        <v>45017</v>
      </c>
      <c r="B204" s="9">
        <v>1</v>
      </c>
      <c r="C204" s="10">
        <v>11</v>
      </c>
      <c r="D204" s="11">
        <v>10726</v>
      </c>
      <c r="E204" s="12">
        <v>30708622423</v>
      </c>
      <c r="F204" s="13" t="s">
        <v>95</v>
      </c>
      <c r="G204" s="14">
        <v>7921.33</v>
      </c>
      <c r="H204" s="14">
        <v>1663.4793</v>
      </c>
      <c r="I204" s="14"/>
      <c r="J204" s="14"/>
      <c r="K204" s="14"/>
      <c r="L204" s="14"/>
      <c r="M204" s="14"/>
      <c r="N204" s="14"/>
      <c r="O204" s="14"/>
      <c r="P204" s="14">
        <v>1816.21</v>
      </c>
      <c r="Q204" s="14">
        <v>11401.0193</v>
      </c>
      <c r="R204" s="1"/>
    </row>
    <row r="205" spans="1:18" ht="18.75" x14ac:dyDescent="0.3">
      <c r="A205" s="8">
        <v>45032</v>
      </c>
      <c r="B205" s="9">
        <v>1</v>
      </c>
      <c r="C205" s="10">
        <v>12</v>
      </c>
      <c r="D205" s="11">
        <v>7602</v>
      </c>
      <c r="E205" s="12">
        <v>30708622423</v>
      </c>
      <c r="F205" s="13" t="s">
        <v>95</v>
      </c>
      <c r="G205" s="14">
        <v>7954.67</v>
      </c>
      <c r="H205" s="14">
        <v>1670.4806999999998</v>
      </c>
      <c r="I205" s="14"/>
      <c r="J205" s="14"/>
      <c r="K205" s="14"/>
      <c r="L205" s="14"/>
      <c r="M205" s="14"/>
      <c r="N205" s="14"/>
      <c r="O205" s="14"/>
      <c r="P205" s="14">
        <v>1675.53</v>
      </c>
      <c r="Q205" s="14">
        <v>11300.680700000001</v>
      </c>
      <c r="R205" s="1"/>
    </row>
    <row r="206" spans="1:18" ht="18.75" x14ac:dyDescent="0.3">
      <c r="A206" s="8">
        <v>45019</v>
      </c>
      <c r="B206" s="9">
        <v>1</v>
      </c>
      <c r="C206" s="10">
        <v>2</v>
      </c>
      <c r="D206" s="11">
        <v>261</v>
      </c>
      <c r="E206" s="12">
        <v>20284880049</v>
      </c>
      <c r="F206" s="13" t="s">
        <v>96</v>
      </c>
      <c r="G206" s="14">
        <v>2361.4</v>
      </c>
      <c r="H206" s="14">
        <v>77.790000000000006</v>
      </c>
      <c r="I206" s="14"/>
      <c r="J206" s="14">
        <v>209.05</v>
      </c>
      <c r="K206" s="14"/>
      <c r="L206" s="14"/>
      <c r="M206" s="14"/>
      <c r="N206" s="14"/>
      <c r="O206" s="14"/>
      <c r="P206" s="14"/>
      <c r="Q206" s="14">
        <v>2648.2400000000002</v>
      </c>
      <c r="R206" s="1"/>
    </row>
    <row r="207" spans="1:18" ht="18.75" x14ac:dyDescent="0.3">
      <c r="A207" s="8">
        <v>45020</v>
      </c>
      <c r="B207" s="9">
        <v>1</v>
      </c>
      <c r="C207" s="10">
        <v>50</v>
      </c>
      <c r="D207" s="11">
        <v>27861</v>
      </c>
      <c r="E207" s="12">
        <v>30710730845</v>
      </c>
      <c r="F207" s="13" t="s">
        <v>97</v>
      </c>
      <c r="G207" s="14">
        <v>3059.55</v>
      </c>
      <c r="H207" s="14">
        <v>642.50549999999998</v>
      </c>
      <c r="I207" s="14"/>
      <c r="J207" s="14"/>
      <c r="K207" s="14"/>
      <c r="L207" s="14"/>
      <c r="M207" s="14"/>
      <c r="N207" s="14"/>
      <c r="O207" s="14"/>
      <c r="P207" s="14"/>
      <c r="Q207" s="14">
        <v>3702.0555000000004</v>
      </c>
      <c r="R207" s="1"/>
    </row>
    <row r="208" spans="1:18" ht="18.75" x14ac:dyDescent="0.3">
      <c r="A208" s="8">
        <v>45021</v>
      </c>
      <c r="B208" s="9">
        <v>1</v>
      </c>
      <c r="C208" s="10">
        <v>7</v>
      </c>
      <c r="D208" s="11">
        <v>3972</v>
      </c>
      <c r="E208" s="12">
        <v>30709788635</v>
      </c>
      <c r="F208" s="13" t="s">
        <v>98</v>
      </c>
      <c r="G208" s="14">
        <v>7230.05</v>
      </c>
      <c r="H208" s="14"/>
      <c r="I208" s="14"/>
      <c r="J208" s="14">
        <v>759.16</v>
      </c>
      <c r="K208" s="14"/>
      <c r="L208" s="14"/>
      <c r="M208" s="14"/>
      <c r="N208" s="14"/>
      <c r="O208" s="14"/>
      <c r="P208" s="14"/>
      <c r="Q208" s="14">
        <v>7989.21</v>
      </c>
      <c r="R208" s="1"/>
    </row>
    <row r="209" spans="1:18" ht="18.75" x14ac:dyDescent="0.3">
      <c r="A209" s="8">
        <v>45046</v>
      </c>
      <c r="B209" s="9">
        <v>1</v>
      </c>
      <c r="C209" s="10">
        <v>1</v>
      </c>
      <c r="D209" s="11">
        <v>308</v>
      </c>
      <c r="E209" s="12">
        <v>30715060759</v>
      </c>
      <c r="F209" s="13" t="s">
        <v>99</v>
      </c>
      <c r="G209" s="14">
        <v>5650.43</v>
      </c>
      <c r="H209" s="14">
        <v>1186.5903000000001</v>
      </c>
      <c r="I209" s="14"/>
      <c r="J209" s="14"/>
      <c r="K209" s="14"/>
      <c r="L209" s="14"/>
      <c r="M209" s="14"/>
      <c r="N209" s="14"/>
      <c r="O209" s="14"/>
      <c r="P209" s="14"/>
      <c r="Q209" s="14">
        <v>6837.0203000000001</v>
      </c>
      <c r="R209" s="1"/>
    </row>
    <row r="210" spans="1:18" ht="18.75" x14ac:dyDescent="0.3">
      <c r="A210" s="8">
        <v>45017</v>
      </c>
      <c r="B210" s="9">
        <v>1</v>
      </c>
      <c r="C210" s="10">
        <v>3</v>
      </c>
      <c r="D210" s="11">
        <v>635</v>
      </c>
      <c r="E210" s="12">
        <v>30715402765</v>
      </c>
      <c r="F210" s="13" t="s">
        <v>100</v>
      </c>
      <c r="G210" s="14">
        <v>12809.9</v>
      </c>
      <c r="H210" s="14">
        <v>2690.0789999999997</v>
      </c>
      <c r="I210" s="14"/>
      <c r="J210" s="14"/>
      <c r="K210" s="14"/>
      <c r="L210" s="14"/>
      <c r="M210" s="14"/>
      <c r="N210" s="14"/>
      <c r="O210" s="14"/>
      <c r="P210" s="14"/>
      <c r="Q210" s="14">
        <v>15499.978999999999</v>
      </c>
      <c r="R210" s="1"/>
    </row>
    <row r="211" spans="1:18" ht="18.75" x14ac:dyDescent="0.3">
      <c r="A211" s="8">
        <v>45019</v>
      </c>
      <c r="B211" s="9">
        <v>1</v>
      </c>
      <c r="C211" s="10">
        <v>5</v>
      </c>
      <c r="D211" s="11">
        <v>1990</v>
      </c>
      <c r="E211" s="12">
        <v>20309151489</v>
      </c>
      <c r="F211" s="13" t="s">
        <v>101</v>
      </c>
      <c r="G211" s="14">
        <v>1206.6099999999999</v>
      </c>
      <c r="H211" s="14">
        <v>253.38809999999998</v>
      </c>
      <c r="I211" s="14"/>
      <c r="J211" s="14"/>
      <c r="K211" s="14"/>
      <c r="L211" s="14"/>
      <c r="M211" s="14"/>
      <c r="N211" s="14"/>
      <c r="O211" s="14"/>
      <c r="P211" s="14"/>
      <c r="Q211" s="14">
        <v>1459.9980999999998</v>
      </c>
      <c r="R211" s="1"/>
    </row>
    <row r="212" spans="1:18" ht="18.75" x14ac:dyDescent="0.3">
      <c r="A212" s="8">
        <v>45019</v>
      </c>
      <c r="B212" s="9">
        <v>1</v>
      </c>
      <c r="C212" s="10">
        <v>1</v>
      </c>
      <c r="D212" s="11">
        <v>2045</v>
      </c>
      <c r="E212" s="12">
        <v>20299039367</v>
      </c>
      <c r="F212" s="13" t="s">
        <v>102</v>
      </c>
      <c r="G212" s="14">
        <v>11860.53</v>
      </c>
      <c r="H212" s="14">
        <v>2263.02</v>
      </c>
      <c r="I212" s="14"/>
      <c r="J212" s="14">
        <v>113.85</v>
      </c>
      <c r="K212" s="14"/>
      <c r="L212" s="14"/>
      <c r="M212" s="14"/>
      <c r="N212" s="14"/>
      <c r="O212" s="14"/>
      <c r="P212" s="14"/>
      <c r="Q212" s="14">
        <v>14237.400000000001</v>
      </c>
      <c r="R212" s="1"/>
    </row>
    <row r="213" spans="1:18" ht="18.75" x14ac:dyDescent="0.3">
      <c r="A213" s="8">
        <v>45020</v>
      </c>
      <c r="B213" s="9">
        <v>1</v>
      </c>
      <c r="C213" s="10">
        <v>5</v>
      </c>
      <c r="D213" s="11">
        <v>4539</v>
      </c>
      <c r="E213" s="12">
        <v>27217954369</v>
      </c>
      <c r="F213" s="13" t="s">
        <v>103</v>
      </c>
      <c r="G213" s="14">
        <v>1287.5999999999999</v>
      </c>
      <c r="H213" s="14">
        <v>270.39599999999996</v>
      </c>
      <c r="I213" s="14"/>
      <c r="J213" s="14"/>
      <c r="K213" s="14"/>
      <c r="L213" s="14"/>
      <c r="M213" s="14"/>
      <c r="N213" s="14"/>
      <c r="O213" s="14"/>
      <c r="P213" s="14"/>
      <c r="Q213" s="14">
        <v>1557.9959999999999</v>
      </c>
      <c r="R213" s="1"/>
    </row>
    <row r="214" spans="1:18" ht="18.75" x14ac:dyDescent="0.3">
      <c r="A214" s="8">
        <v>45020</v>
      </c>
      <c r="B214" s="9">
        <v>1</v>
      </c>
      <c r="C214" s="10">
        <v>3</v>
      </c>
      <c r="D214" s="11">
        <v>22637</v>
      </c>
      <c r="E214" s="12">
        <v>30709511846</v>
      </c>
      <c r="F214" s="13" t="s">
        <v>77</v>
      </c>
      <c r="G214" s="14">
        <v>8196.39</v>
      </c>
      <c r="H214" s="14"/>
      <c r="I214" s="14"/>
      <c r="J214" s="14">
        <v>860.62</v>
      </c>
      <c r="K214" s="14"/>
      <c r="L214" s="14"/>
      <c r="M214" s="14"/>
      <c r="N214" s="14"/>
      <c r="O214" s="14"/>
      <c r="P214" s="14"/>
      <c r="Q214" s="14">
        <v>9057.01</v>
      </c>
      <c r="R214" s="1"/>
    </row>
    <row r="215" spans="1:18" ht="18.75" x14ac:dyDescent="0.3">
      <c r="A215" s="8">
        <v>45020</v>
      </c>
      <c r="B215" s="9">
        <v>1</v>
      </c>
      <c r="C215" s="10">
        <v>3</v>
      </c>
      <c r="D215" s="11">
        <v>2360</v>
      </c>
      <c r="E215" s="12">
        <v>20319700081</v>
      </c>
      <c r="F215" s="13" t="s">
        <v>104</v>
      </c>
      <c r="G215" s="14">
        <v>10037.19</v>
      </c>
      <c r="H215" s="14"/>
      <c r="I215" s="14"/>
      <c r="J215" s="14">
        <v>1053.9100000000001</v>
      </c>
      <c r="K215" s="14"/>
      <c r="L215" s="14"/>
      <c r="M215" s="14"/>
      <c r="N215" s="14"/>
      <c r="O215" s="14"/>
      <c r="P215" s="14"/>
      <c r="Q215" s="14">
        <v>11091.1</v>
      </c>
      <c r="R215" s="1"/>
    </row>
    <row r="216" spans="1:18" ht="18.75" x14ac:dyDescent="0.3">
      <c r="A216" s="8">
        <v>45023</v>
      </c>
      <c r="B216" s="9">
        <v>1</v>
      </c>
      <c r="C216" s="10">
        <v>7</v>
      </c>
      <c r="D216" s="11">
        <v>1727</v>
      </c>
      <c r="E216" s="12">
        <v>20278028810</v>
      </c>
      <c r="F216" s="13" t="s">
        <v>105</v>
      </c>
      <c r="G216" s="14">
        <v>1454.55</v>
      </c>
      <c r="H216" s="14">
        <v>305.45549999999997</v>
      </c>
      <c r="I216" s="14"/>
      <c r="J216" s="14"/>
      <c r="K216" s="14"/>
      <c r="L216" s="14"/>
      <c r="M216" s="14"/>
      <c r="N216" s="14"/>
      <c r="O216" s="14"/>
      <c r="P216" s="14"/>
      <c r="Q216" s="14">
        <v>1760.0055</v>
      </c>
      <c r="R216" s="1"/>
    </row>
    <row r="217" spans="1:18" ht="18.75" x14ac:dyDescent="0.3">
      <c r="A217" s="8">
        <v>45028</v>
      </c>
      <c r="B217" s="9">
        <v>1</v>
      </c>
      <c r="C217" s="10">
        <v>5</v>
      </c>
      <c r="D217" s="11">
        <v>312</v>
      </c>
      <c r="E217" s="12">
        <v>20247551337</v>
      </c>
      <c r="F217" s="13" t="s">
        <v>106</v>
      </c>
      <c r="G217" s="14">
        <v>705.65</v>
      </c>
      <c r="H217" s="14">
        <v>148.1865</v>
      </c>
      <c r="I217" s="14"/>
      <c r="J217" s="14"/>
      <c r="K217" s="14"/>
      <c r="L217" s="14"/>
      <c r="M217" s="14"/>
      <c r="N217" s="14"/>
      <c r="O217" s="14"/>
      <c r="P217" s="14"/>
      <c r="Q217" s="14">
        <v>853.8365</v>
      </c>
      <c r="R217" s="1"/>
    </row>
    <row r="218" spans="1:18" ht="18.75" x14ac:dyDescent="0.3">
      <c r="A218" s="8">
        <v>45029</v>
      </c>
      <c r="B218" s="9">
        <v>1</v>
      </c>
      <c r="C218" s="10">
        <v>9</v>
      </c>
      <c r="D218" s="11">
        <v>73503</v>
      </c>
      <c r="E218" s="12">
        <v>33715571639</v>
      </c>
      <c r="F218" s="13" t="s">
        <v>107</v>
      </c>
      <c r="G218" s="14">
        <v>4463.62</v>
      </c>
      <c r="H218" s="14">
        <v>94.13</v>
      </c>
      <c r="I218" s="14"/>
      <c r="J218" s="14">
        <v>421.61</v>
      </c>
      <c r="K218" s="14"/>
      <c r="L218" s="14"/>
      <c r="M218" s="14"/>
      <c r="N218" s="14"/>
      <c r="O218" s="14"/>
      <c r="P218" s="14"/>
      <c r="Q218" s="14">
        <v>4979.3599999999997</v>
      </c>
      <c r="R218" s="1"/>
    </row>
    <row r="219" spans="1:18" ht="18.75" x14ac:dyDescent="0.3">
      <c r="A219" s="8">
        <v>45038</v>
      </c>
      <c r="B219" s="9">
        <v>1</v>
      </c>
      <c r="C219" s="10">
        <v>3</v>
      </c>
      <c r="D219" s="11">
        <v>1394130</v>
      </c>
      <c r="E219" s="12">
        <v>30712019359</v>
      </c>
      <c r="F219" s="13" t="s">
        <v>42</v>
      </c>
      <c r="G219" s="14">
        <v>6032.23</v>
      </c>
      <c r="H219" s="14">
        <v>1266.7683</v>
      </c>
      <c r="I219" s="14"/>
      <c r="J219" s="14"/>
      <c r="K219" s="14"/>
      <c r="L219" s="14"/>
      <c r="M219" s="14"/>
      <c r="N219" s="14"/>
      <c r="O219" s="14"/>
      <c r="P219" s="14"/>
      <c r="Q219" s="14">
        <v>7298.9982999999993</v>
      </c>
      <c r="R219" s="1"/>
    </row>
    <row r="220" spans="1:18" ht="18.75" x14ac:dyDescent="0.3">
      <c r="A220" s="8">
        <v>45019</v>
      </c>
      <c r="B220" s="9">
        <v>1</v>
      </c>
      <c r="C220" s="10">
        <v>106</v>
      </c>
      <c r="D220" s="11">
        <v>620759</v>
      </c>
      <c r="E220" s="12">
        <v>30594494187</v>
      </c>
      <c r="F220" s="13" t="s">
        <v>35</v>
      </c>
      <c r="G220" s="14">
        <v>12441</v>
      </c>
      <c r="H220" s="14">
        <v>2612.61</v>
      </c>
      <c r="I220" s="14"/>
      <c r="J220" s="14"/>
      <c r="K220" s="14"/>
      <c r="L220" s="14"/>
      <c r="M220" s="14"/>
      <c r="N220" s="14"/>
      <c r="O220" s="14"/>
      <c r="P220" s="14">
        <v>4648.57</v>
      </c>
      <c r="Q220" s="14">
        <v>19702.18</v>
      </c>
      <c r="R220" s="1"/>
    </row>
    <row r="221" spans="1:18" ht="18.75" x14ac:dyDescent="0.3">
      <c r="A221" s="8">
        <v>45025</v>
      </c>
      <c r="B221" s="9">
        <v>1</v>
      </c>
      <c r="C221" s="10">
        <v>280</v>
      </c>
      <c r="D221" s="11">
        <v>1424766</v>
      </c>
      <c r="E221" s="12">
        <v>30580111315</v>
      </c>
      <c r="F221" s="13" t="s">
        <v>108</v>
      </c>
      <c r="G221" s="14">
        <v>228954.0312</v>
      </c>
      <c r="H221" s="14">
        <v>48080.346551999995</v>
      </c>
      <c r="I221" s="14"/>
      <c r="J221" s="14"/>
      <c r="K221" s="14"/>
      <c r="L221" s="14"/>
      <c r="M221" s="14"/>
      <c r="N221" s="14"/>
      <c r="O221" s="14"/>
      <c r="P221" s="14">
        <v>-187073.32</v>
      </c>
      <c r="Q221" s="14">
        <v>89961.057751999993</v>
      </c>
      <c r="R221" s="1"/>
    </row>
    <row r="222" spans="1:18" ht="18.75" x14ac:dyDescent="0.3">
      <c r="A222" s="8">
        <v>45026</v>
      </c>
      <c r="B222" s="9">
        <v>1</v>
      </c>
      <c r="C222" s="10">
        <v>700</v>
      </c>
      <c r="D222" s="11">
        <v>508046</v>
      </c>
      <c r="E222" s="12">
        <v>30580111315</v>
      </c>
      <c r="F222" s="13" t="s">
        <v>108</v>
      </c>
      <c r="G222" s="14">
        <v>0</v>
      </c>
      <c r="H222" s="14">
        <v>0</v>
      </c>
      <c r="I222" s="14"/>
      <c r="J222" s="14"/>
      <c r="K222" s="14"/>
      <c r="L222" s="14"/>
      <c r="M222" s="14"/>
      <c r="N222" s="14"/>
      <c r="O222" s="14"/>
      <c r="P222" s="14">
        <v>41814.345000000001</v>
      </c>
      <c r="Q222" s="14">
        <v>41814.345000000001</v>
      </c>
      <c r="R222" s="1"/>
    </row>
    <row r="223" spans="1:18" ht="18.75" x14ac:dyDescent="0.3">
      <c r="A223" s="8">
        <v>45033</v>
      </c>
      <c r="B223" s="9">
        <v>1</v>
      </c>
      <c r="C223" s="10">
        <v>700</v>
      </c>
      <c r="D223" s="11">
        <v>510209</v>
      </c>
      <c r="E223" s="12">
        <v>30580111315</v>
      </c>
      <c r="F223" s="13" t="s">
        <v>108</v>
      </c>
      <c r="G223" s="14">
        <v>3094</v>
      </c>
      <c r="H223" s="14">
        <v>649.74</v>
      </c>
      <c r="I223" s="14"/>
      <c r="J223" s="14"/>
      <c r="K223" s="14"/>
      <c r="L223" s="14"/>
      <c r="M223" s="14"/>
      <c r="N223" s="14"/>
      <c r="O223" s="14"/>
      <c r="P223" s="14">
        <v>92435.459999999992</v>
      </c>
      <c r="Q223" s="14">
        <v>96179.199999999997</v>
      </c>
      <c r="R223" s="1"/>
    </row>
    <row r="224" spans="1:18" ht="18.75" x14ac:dyDescent="0.3">
      <c r="A224" s="8">
        <v>45033</v>
      </c>
      <c r="B224" s="9">
        <v>1</v>
      </c>
      <c r="C224" s="10">
        <v>280</v>
      </c>
      <c r="D224" s="11">
        <v>1425945</v>
      </c>
      <c r="E224" s="12">
        <v>30580111315</v>
      </c>
      <c r="F224" s="13" t="s">
        <v>108</v>
      </c>
      <c r="G224" s="14">
        <v>229044.93299999999</v>
      </c>
      <c r="H224" s="14">
        <v>48099.43593</v>
      </c>
      <c r="I224" s="14"/>
      <c r="J224" s="14"/>
      <c r="K224" s="14"/>
      <c r="L224" s="14"/>
      <c r="M224" s="14"/>
      <c r="N224" s="14"/>
      <c r="O224" s="14"/>
      <c r="P224" s="14">
        <v>-187050.96</v>
      </c>
      <c r="Q224" s="14">
        <v>90093.408930000005</v>
      </c>
      <c r="R224" s="1"/>
    </row>
    <row r="225" spans="1:18" ht="18.75" x14ac:dyDescent="0.3">
      <c r="A225" s="8">
        <v>45037</v>
      </c>
      <c r="B225" s="9">
        <v>1</v>
      </c>
      <c r="C225" s="10">
        <v>106</v>
      </c>
      <c r="D225" s="11">
        <v>625357</v>
      </c>
      <c r="E225" s="12">
        <v>30594494187</v>
      </c>
      <c r="F225" s="13" t="s">
        <v>35</v>
      </c>
      <c r="G225" s="14">
        <v>16092</v>
      </c>
      <c r="H225" s="14">
        <v>3379.3199999999997</v>
      </c>
      <c r="I225" s="14"/>
      <c r="J225" s="14"/>
      <c r="K225" s="14"/>
      <c r="L225" s="14"/>
      <c r="M225" s="14"/>
      <c r="N225" s="14"/>
      <c r="O225" s="14"/>
      <c r="P225" s="14">
        <v>81504.98</v>
      </c>
      <c r="Q225" s="14">
        <v>100976.29999999999</v>
      </c>
      <c r="R225" s="1"/>
    </row>
    <row r="226" spans="1:18" ht="18.75" x14ac:dyDescent="0.3">
      <c r="A226" s="8">
        <v>45040</v>
      </c>
      <c r="B226" s="9">
        <v>1</v>
      </c>
      <c r="C226" s="10">
        <v>700</v>
      </c>
      <c r="D226" s="11">
        <v>512833</v>
      </c>
      <c r="E226" s="12">
        <v>30580111315</v>
      </c>
      <c r="F226" s="13" t="s">
        <v>108</v>
      </c>
      <c r="G226" s="14">
        <v>3150</v>
      </c>
      <c r="H226" s="14">
        <v>661.5</v>
      </c>
      <c r="I226" s="14"/>
      <c r="J226" s="14"/>
      <c r="K226" s="14"/>
      <c r="L226" s="14"/>
      <c r="M226" s="14"/>
      <c r="N226" s="14"/>
      <c r="O226" s="14"/>
      <c r="P226" s="14">
        <v>155160</v>
      </c>
      <c r="Q226" s="14">
        <v>158971.5</v>
      </c>
      <c r="R226" s="1"/>
    </row>
    <row r="227" spans="1:18" ht="18.75" customHeight="1" x14ac:dyDescent="0.3">
      <c r="A227" s="8">
        <v>45040</v>
      </c>
      <c r="B227" s="9">
        <v>1</v>
      </c>
      <c r="C227" s="10">
        <v>280</v>
      </c>
      <c r="D227" s="11">
        <v>1427245</v>
      </c>
      <c r="E227" s="12">
        <v>30580111315</v>
      </c>
      <c r="F227" s="13" t="s">
        <v>108</v>
      </c>
      <c r="G227" s="14">
        <v>241504.0589</v>
      </c>
      <c r="H227" s="14">
        <v>50715.852369</v>
      </c>
      <c r="I227" s="14"/>
      <c r="J227" s="14"/>
      <c r="K227" s="14"/>
      <c r="L227" s="14"/>
      <c r="M227" s="14"/>
      <c r="N227" s="14"/>
      <c r="O227" s="14"/>
      <c r="P227" s="14">
        <v>-197435.30220000001</v>
      </c>
      <c r="Q227" s="14">
        <v>94784.609069000027</v>
      </c>
      <c r="R227" s="1"/>
    </row>
    <row r="228" spans="1:18" ht="18.75" x14ac:dyDescent="0.3">
      <c r="A228" s="8">
        <v>45046</v>
      </c>
      <c r="B228" s="9">
        <v>1</v>
      </c>
      <c r="C228" s="10">
        <v>700</v>
      </c>
      <c r="D228" s="11">
        <v>516705</v>
      </c>
      <c r="E228" s="12">
        <v>30580111315</v>
      </c>
      <c r="F228" s="13" t="s">
        <v>108</v>
      </c>
      <c r="G228" s="14">
        <v>3206</v>
      </c>
      <c r="H228" s="14">
        <v>673.26</v>
      </c>
      <c r="I228" s="14"/>
      <c r="J228" s="14"/>
      <c r="K228" s="14"/>
      <c r="L228" s="14"/>
      <c r="M228" s="14"/>
      <c r="N228" s="14"/>
      <c r="O228" s="14"/>
      <c r="P228" s="14">
        <v>128574.34000000001</v>
      </c>
      <c r="Q228" s="14">
        <v>132453.6</v>
      </c>
      <c r="R228" s="1"/>
    </row>
    <row r="229" spans="1:18" ht="18.75" x14ac:dyDescent="0.3">
      <c r="A229" s="8">
        <v>45022</v>
      </c>
      <c r="B229" s="9">
        <v>1</v>
      </c>
      <c r="C229" s="10">
        <v>6</v>
      </c>
      <c r="D229" s="11">
        <v>16511</v>
      </c>
      <c r="E229" s="12">
        <v>30714971782</v>
      </c>
      <c r="F229" s="13" t="s">
        <v>109</v>
      </c>
      <c r="G229" s="14">
        <v>1119.82</v>
      </c>
      <c r="H229" s="14">
        <v>235.16219999999998</v>
      </c>
      <c r="I229" s="14"/>
      <c r="J229" s="14"/>
      <c r="K229" s="14"/>
      <c r="L229" s="14"/>
      <c r="M229" s="14"/>
      <c r="N229" s="14"/>
      <c r="O229" s="14"/>
      <c r="P229" s="14"/>
      <c r="Q229" s="14">
        <v>1354.9821999999999</v>
      </c>
      <c r="R229" s="1"/>
    </row>
    <row r="230" spans="1:18" ht="18.75" x14ac:dyDescent="0.3">
      <c r="A230" s="8">
        <v>45027</v>
      </c>
      <c r="B230" s="9">
        <v>1</v>
      </c>
      <c r="C230" s="10">
        <v>2</v>
      </c>
      <c r="D230" s="11">
        <v>2385</v>
      </c>
      <c r="E230" s="12">
        <v>30709131733</v>
      </c>
      <c r="F230" s="13" t="s">
        <v>79</v>
      </c>
      <c r="G230" s="14">
        <v>585234</v>
      </c>
      <c r="H230" s="14">
        <v>122899.14</v>
      </c>
      <c r="I230" s="14"/>
      <c r="J230" s="14"/>
      <c r="K230" s="14"/>
      <c r="L230" s="14"/>
      <c r="M230" s="14"/>
      <c r="N230" s="14"/>
      <c r="O230" s="14"/>
      <c r="P230" s="14"/>
      <c r="Q230" s="14">
        <v>708133.14</v>
      </c>
      <c r="R230" s="1"/>
    </row>
    <row r="231" spans="1:18" ht="18.75" x14ac:dyDescent="0.3">
      <c r="A231" s="8">
        <v>45027</v>
      </c>
      <c r="B231" s="9">
        <v>1</v>
      </c>
      <c r="C231" s="10">
        <v>9</v>
      </c>
      <c r="D231" s="11">
        <v>1554</v>
      </c>
      <c r="E231" s="12">
        <v>30631047145</v>
      </c>
      <c r="F231" s="13" t="s">
        <v>26</v>
      </c>
      <c r="G231" s="14">
        <v>164230</v>
      </c>
      <c r="H231" s="14">
        <v>9632.7000000000007</v>
      </c>
      <c r="I231" s="14"/>
      <c r="J231" s="14">
        <v>12427.8</v>
      </c>
      <c r="K231" s="14"/>
      <c r="L231" s="14"/>
      <c r="M231" s="14"/>
      <c r="N231" s="14"/>
      <c r="O231" s="14"/>
      <c r="P231" s="14"/>
      <c r="Q231" s="14">
        <v>186290.5</v>
      </c>
      <c r="R231" s="1"/>
    </row>
    <row r="232" spans="1:18" ht="18.75" x14ac:dyDescent="0.3">
      <c r="A232" s="8">
        <v>45028</v>
      </c>
      <c r="B232" s="9">
        <v>1</v>
      </c>
      <c r="C232" s="10">
        <v>2</v>
      </c>
      <c r="D232" s="11">
        <v>165</v>
      </c>
      <c r="E232" s="12">
        <v>20125142851</v>
      </c>
      <c r="F232" s="13" t="s">
        <v>19</v>
      </c>
      <c r="G232" s="14">
        <v>10150.81</v>
      </c>
      <c r="H232" s="14">
        <v>2131.6700999999998</v>
      </c>
      <c r="I232" s="14"/>
      <c r="J232" s="14"/>
      <c r="K232" s="14"/>
      <c r="L232" s="14"/>
      <c r="M232" s="14"/>
      <c r="N232" s="14"/>
      <c r="O232" s="14"/>
      <c r="P232" s="14"/>
      <c r="Q232" s="14">
        <v>12282.480099999999</v>
      </c>
      <c r="R232" s="1"/>
    </row>
    <row r="233" spans="1:18" ht="18.75" x14ac:dyDescent="0.3">
      <c r="A233" s="8">
        <v>45028</v>
      </c>
      <c r="B233" s="9">
        <v>1</v>
      </c>
      <c r="C233" s="10">
        <v>2</v>
      </c>
      <c r="D233" s="11">
        <v>555</v>
      </c>
      <c r="E233" s="12">
        <v>30717334384</v>
      </c>
      <c r="F233" s="13" t="s">
        <v>110</v>
      </c>
      <c r="G233" s="14">
        <v>11320.66</v>
      </c>
      <c r="H233" s="14">
        <v>2377.3386</v>
      </c>
      <c r="I233" s="14"/>
      <c r="J233" s="14"/>
      <c r="K233" s="14"/>
      <c r="L233" s="14"/>
      <c r="M233" s="14"/>
      <c r="N233" s="14"/>
      <c r="O233" s="14"/>
      <c r="P233" s="14"/>
      <c r="Q233" s="14">
        <v>13697.998599999999</v>
      </c>
      <c r="R233" s="1"/>
    </row>
    <row r="234" spans="1:18" ht="18.75" x14ac:dyDescent="0.3">
      <c r="A234" s="8">
        <v>45035</v>
      </c>
      <c r="B234" s="9">
        <v>1</v>
      </c>
      <c r="C234" s="10">
        <v>2</v>
      </c>
      <c r="D234" s="11">
        <v>166</v>
      </c>
      <c r="E234" s="12">
        <v>20125142851</v>
      </c>
      <c r="F234" s="13" t="s">
        <v>19</v>
      </c>
      <c r="G234" s="14">
        <v>42633.38</v>
      </c>
      <c r="H234" s="14">
        <v>8953.0097999999998</v>
      </c>
      <c r="I234" s="14"/>
      <c r="J234" s="14"/>
      <c r="K234" s="14"/>
      <c r="L234" s="14"/>
      <c r="M234" s="14"/>
      <c r="N234" s="14"/>
      <c r="O234" s="14"/>
      <c r="P234" s="14"/>
      <c r="Q234" s="14">
        <v>51586.389799999997</v>
      </c>
      <c r="R234" s="1"/>
    </row>
    <row r="235" spans="1:18" ht="18.75" x14ac:dyDescent="0.3">
      <c r="A235" s="8">
        <v>45037</v>
      </c>
      <c r="B235" s="9">
        <v>1</v>
      </c>
      <c r="C235" s="10">
        <v>3</v>
      </c>
      <c r="D235" s="11">
        <v>7060</v>
      </c>
      <c r="E235" s="12">
        <v>30710212127</v>
      </c>
      <c r="F235" s="13" t="s">
        <v>111</v>
      </c>
      <c r="G235" s="14">
        <v>1810569.85</v>
      </c>
      <c r="H235" s="14">
        <v>380219.66850000003</v>
      </c>
      <c r="I235" s="14"/>
      <c r="J235" s="14"/>
      <c r="K235" s="14"/>
      <c r="L235" s="14"/>
      <c r="M235" s="14"/>
      <c r="N235" s="14"/>
      <c r="O235" s="14"/>
      <c r="P235" s="14"/>
      <c r="Q235" s="14">
        <v>2190789.5185000002</v>
      </c>
      <c r="R235" s="1"/>
    </row>
    <row r="236" spans="1:18" ht="18.75" x14ac:dyDescent="0.3">
      <c r="A236" s="8">
        <v>45041</v>
      </c>
      <c r="B236" s="9">
        <v>1</v>
      </c>
      <c r="C236" s="10">
        <v>2</v>
      </c>
      <c r="D236" s="11">
        <v>167</v>
      </c>
      <c r="E236" s="12">
        <v>20125142851</v>
      </c>
      <c r="F236" s="13" t="s">
        <v>19</v>
      </c>
      <c r="G236" s="14">
        <v>66779.86</v>
      </c>
      <c r="H236" s="14">
        <v>14023.7706</v>
      </c>
      <c r="I236" s="14"/>
      <c r="J236" s="14"/>
      <c r="K236" s="14"/>
      <c r="L236" s="14"/>
      <c r="M236" s="14"/>
      <c r="N236" s="14"/>
      <c r="O236" s="14"/>
      <c r="P236" s="14"/>
      <c r="Q236" s="14">
        <v>80803.630600000004</v>
      </c>
      <c r="R236" s="1"/>
    </row>
    <row r="237" spans="1:18" ht="18.75" x14ac:dyDescent="0.3">
      <c r="A237" s="8">
        <v>45041</v>
      </c>
      <c r="B237" s="9">
        <v>1</v>
      </c>
      <c r="C237" s="10">
        <v>2</v>
      </c>
      <c r="D237" s="11">
        <v>168</v>
      </c>
      <c r="E237" s="12">
        <v>20125142851</v>
      </c>
      <c r="F237" s="13" t="s">
        <v>19</v>
      </c>
      <c r="G237" s="14">
        <v>72262</v>
      </c>
      <c r="H237" s="14">
        <v>15175.019999999999</v>
      </c>
      <c r="I237" s="14"/>
      <c r="J237" s="14"/>
      <c r="K237" s="14"/>
      <c r="L237" s="14"/>
      <c r="M237" s="14"/>
      <c r="N237" s="14"/>
      <c r="O237" s="14"/>
      <c r="P237" s="14"/>
      <c r="Q237" s="14">
        <v>87437.02</v>
      </c>
      <c r="R237" s="1"/>
    </row>
    <row r="238" spans="1:18" ht="18.75" x14ac:dyDescent="0.3">
      <c r="A238" s="8">
        <v>45041</v>
      </c>
      <c r="B238" s="9">
        <v>1</v>
      </c>
      <c r="C238" s="10">
        <v>2</v>
      </c>
      <c r="D238" s="11">
        <v>169</v>
      </c>
      <c r="E238" s="12">
        <v>20125142851</v>
      </c>
      <c r="F238" s="13" t="s">
        <v>19</v>
      </c>
      <c r="G238" s="14">
        <v>31467.48</v>
      </c>
      <c r="H238" s="14">
        <v>6608.1707999999999</v>
      </c>
      <c r="I238" s="14"/>
      <c r="J238" s="14"/>
      <c r="K238" s="14"/>
      <c r="L238" s="14"/>
      <c r="M238" s="14"/>
      <c r="N238" s="14"/>
      <c r="O238" s="14"/>
      <c r="P238" s="14"/>
      <c r="Q238" s="14">
        <v>38075.650800000003</v>
      </c>
      <c r="R238" s="1"/>
    </row>
    <row r="239" spans="1:18" ht="18.75" x14ac:dyDescent="0.3">
      <c r="A239" s="8">
        <v>45017</v>
      </c>
      <c r="B239" s="9">
        <v>1</v>
      </c>
      <c r="C239" s="10">
        <v>8</v>
      </c>
      <c r="D239" s="11">
        <v>3130</v>
      </c>
      <c r="E239" s="12">
        <v>20304940019</v>
      </c>
      <c r="F239" s="13" t="s">
        <v>112</v>
      </c>
      <c r="G239" s="14">
        <v>5525.91</v>
      </c>
      <c r="H239" s="14">
        <v>77.790000000000006</v>
      </c>
      <c r="I239" s="14"/>
      <c r="J239" s="14">
        <v>541.32000000000005</v>
      </c>
      <c r="K239" s="14"/>
      <c r="L239" s="14"/>
      <c r="M239" s="14"/>
      <c r="N239" s="14"/>
      <c r="O239" s="14"/>
      <c r="P239" s="14"/>
      <c r="Q239" s="14">
        <v>6145.0199999999995</v>
      </c>
      <c r="R239" s="1"/>
    </row>
    <row r="240" spans="1:18" ht="18.75" x14ac:dyDescent="0.3">
      <c r="A240" s="8">
        <v>45044</v>
      </c>
      <c r="B240" s="9">
        <v>1</v>
      </c>
      <c r="C240" s="10">
        <v>6</v>
      </c>
      <c r="D240" s="11">
        <v>11583</v>
      </c>
      <c r="E240" s="12">
        <v>30707756434</v>
      </c>
      <c r="F240" s="13" t="s">
        <v>61</v>
      </c>
      <c r="G240" s="14">
        <v>30400</v>
      </c>
      <c r="H240" s="14">
        <v>6384</v>
      </c>
      <c r="I240" s="14"/>
      <c r="J240" s="14"/>
      <c r="K240" s="14"/>
      <c r="L240" s="14"/>
      <c r="M240" s="14"/>
      <c r="N240" s="14"/>
      <c r="O240" s="14"/>
      <c r="P240" s="14"/>
      <c r="Q240" s="14">
        <v>36784</v>
      </c>
      <c r="R240" s="1"/>
    </row>
    <row r="241" spans="1:18" ht="18.75" x14ac:dyDescent="0.3">
      <c r="A241" s="8">
        <v>45020</v>
      </c>
      <c r="B241" s="9">
        <v>1</v>
      </c>
      <c r="C241" s="10">
        <v>18</v>
      </c>
      <c r="D241" s="11">
        <v>9497</v>
      </c>
      <c r="E241" s="12">
        <v>30582605021</v>
      </c>
      <c r="F241" s="13" t="s">
        <v>90</v>
      </c>
      <c r="G241" s="14">
        <v>32614.94</v>
      </c>
      <c r="H241" s="14">
        <v>6849.1373999999996</v>
      </c>
      <c r="I241" s="14"/>
      <c r="J241" s="14"/>
      <c r="K241" s="14"/>
      <c r="L241" s="14"/>
      <c r="M241" s="14"/>
      <c r="N241" s="14"/>
      <c r="O241" s="14"/>
      <c r="P241" s="14"/>
      <c r="Q241" s="14">
        <v>39464.077399999995</v>
      </c>
      <c r="R241" s="1"/>
    </row>
    <row r="242" spans="1:18" ht="18.75" x14ac:dyDescent="0.3">
      <c r="A242" s="8">
        <v>45027</v>
      </c>
      <c r="B242" s="9">
        <v>1</v>
      </c>
      <c r="C242" s="10">
        <v>3</v>
      </c>
      <c r="D242" s="11">
        <v>4905</v>
      </c>
      <c r="E242" s="12">
        <v>30709665967</v>
      </c>
      <c r="F242" s="13" t="s">
        <v>113</v>
      </c>
      <c r="G242" s="14">
        <v>185954</v>
      </c>
      <c r="H242" s="14">
        <v>39050.339999999997</v>
      </c>
      <c r="I242" s="14"/>
      <c r="J242" s="14"/>
      <c r="K242" s="14"/>
      <c r="L242" s="14"/>
      <c r="M242" s="14"/>
      <c r="N242" s="14"/>
      <c r="O242" s="14"/>
      <c r="P242" s="14"/>
      <c r="Q242" s="14">
        <v>225004.34</v>
      </c>
      <c r="R242" s="1"/>
    </row>
    <row r="243" spans="1:18" ht="18.75" x14ac:dyDescent="0.3">
      <c r="A243" s="8">
        <v>45035</v>
      </c>
      <c r="B243" s="9">
        <v>1</v>
      </c>
      <c r="C243" s="10">
        <v>2</v>
      </c>
      <c r="D243" s="11">
        <v>612</v>
      </c>
      <c r="E243" s="12">
        <v>20296550184</v>
      </c>
      <c r="F243" s="13" t="s">
        <v>24</v>
      </c>
      <c r="G243" s="14">
        <v>172040</v>
      </c>
      <c r="H243" s="14">
        <v>36128.400000000001</v>
      </c>
      <c r="I243" s="14"/>
      <c r="J243" s="14"/>
      <c r="K243" s="14"/>
      <c r="L243" s="14"/>
      <c r="M243" s="14"/>
      <c r="N243" s="14"/>
      <c r="O243" s="14"/>
      <c r="P243" s="14"/>
      <c r="Q243" s="14">
        <v>208168.4</v>
      </c>
      <c r="R243" s="1"/>
    </row>
    <row r="244" spans="1:18" ht="18.75" x14ac:dyDescent="0.3">
      <c r="A244" s="8">
        <v>45046</v>
      </c>
      <c r="B244" s="9">
        <v>1</v>
      </c>
      <c r="C244" s="10">
        <v>5</v>
      </c>
      <c r="D244" s="11">
        <v>1230</v>
      </c>
      <c r="E244" s="12">
        <v>30707397256</v>
      </c>
      <c r="F244" s="13" t="s">
        <v>51</v>
      </c>
      <c r="G244" s="14">
        <v>347670</v>
      </c>
      <c r="H244" s="14">
        <v>73010.7</v>
      </c>
      <c r="I244" s="14"/>
      <c r="J244" s="14"/>
      <c r="K244" s="14"/>
      <c r="L244" s="14"/>
      <c r="M244" s="14"/>
      <c r="N244" s="14"/>
      <c r="O244" s="14"/>
      <c r="P244" s="14"/>
      <c r="Q244" s="14">
        <v>420680.7</v>
      </c>
      <c r="R244" s="1"/>
    </row>
    <row r="245" spans="1:18" ht="18.75" x14ac:dyDescent="0.3">
      <c r="A245" s="8">
        <v>45037</v>
      </c>
      <c r="B245" s="9">
        <v>1</v>
      </c>
      <c r="C245" s="10">
        <v>24</v>
      </c>
      <c r="D245" s="11">
        <v>2624</v>
      </c>
      <c r="E245" s="12">
        <v>30535770294</v>
      </c>
      <c r="F245" s="13" t="s">
        <v>114</v>
      </c>
      <c r="G245" s="14">
        <v>6694.23</v>
      </c>
      <c r="H245" s="14">
        <v>1405.7882999999999</v>
      </c>
      <c r="I245" s="14"/>
      <c r="J245" s="14"/>
      <c r="K245" s="14"/>
      <c r="L245" s="14"/>
      <c r="M245" s="14"/>
      <c r="N245" s="14"/>
      <c r="O245" s="14"/>
      <c r="P245" s="14"/>
      <c r="Q245" s="14">
        <v>8100.0182999999997</v>
      </c>
      <c r="R245" s="1"/>
    </row>
    <row r="246" spans="1:18" ht="18.75" x14ac:dyDescent="0.3">
      <c r="A246" s="8">
        <v>45043</v>
      </c>
      <c r="B246" s="9">
        <v>1</v>
      </c>
      <c r="C246" s="10">
        <v>2</v>
      </c>
      <c r="D246" s="11">
        <v>4396</v>
      </c>
      <c r="E246" s="12">
        <v>27148854764</v>
      </c>
      <c r="F246" s="13" t="s">
        <v>115</v>
      </c>
      <c r="G246" s="14">
        <v>1512.38</v>
      </c>
      <c r="H246" s="14">
        <v>317.59980000000002</v>
      </c>
      <c r="I246" s="14"/>
      <c r="J246" s="14"/>
      <c r="K246" s="14"/>
      <c r="L246" s="14"/>
      <c r="M246" s="14"/>
      <c r="N246" s="14"/>
      <c r="O246" s="14"/>
      <c r="P246" s="14"/>
      <c r="Q246" s="14">
        <v>1829.9798000000001</v>
      </c>
      <c r="R246" s="1"/>
    </row>
    <row r="247" spans="1:18" ht="18.75" x14ac:dyDescent="0.3">
      <c r="A247" s="8">
        <v>45043</v>
      </c>
      <c r="B247" s="9">
        <v>1</v>
      </c>
      <c r="C247" s="10">
        <v>2</v>
      </c>
      <c r="D247" s="11">
        <v>4397</v>
      </c>
      <c r="E247" s="12">
        <v>27148854764</v>
      </c>
      <c r="F247" s="13" t="s">
        <v>115</v>
      </c>
      <c r="G247" s="14">
        <v>4190.1000000000004</v>
      </c>
      <c r="H247" s="14">
        <v>879.92100000000005</v>
      </c>
      <c r="I247" s="14"/>
      <c r="J247" s="14"/>
      <c r="K247" s="14"/>
      <c r="L247" s="14"/>
      <c r="M247" s="14"/>
      <c r="N247" s="14"/>
      <c r="O247" s="14"/>
      <c r="P247" s="14"/>
      <c r="Q247" s="14">
        <v>5070.0210000000006</v>
      </c>
      <c r="R247" s="1"/>
    </row>
    <row r="248" spans="1:18" ht="18.75" x14ac:dyDescent="0.3">
      <c r="A248" s="8">
        <v>45027</v>
      </c>
      <c r="B248" s="9">
        <v>1</v>
      </c>
      <c r="C248" s="10">
        <v>2466</v>
      </c>
      <c r="D248" s="11">
        <v>495978</v>
      </c>
      <c r="E248" s="12">
        <v>30678814357</v>
      </c>
      <c r="F248" s="13" t="s">
        <v>116</v>
      </c>
      <c r="G248" s="14">
        <v>4078</v>
      </c>
      <c r="H248" s="14"/>
      <c r="I248" s="14">
        <v>1101.06</v>
      </c>
      <c r="J248" s="14"/>
      <c r="K248" s="14">
        <v>122.34</v>
      </c>
      <c r="L248" s="14"/>
      <c r="M248" s="14"/>
      <c r="N248" s="14"/>
      <c r="O248" s="14"/>
      <c r="P248" s="14">
        <v>214.63</v>
      </c>
      <c r="Q248" s="14">
        <v>5516.03</v>
      </c>
      <c r="R248" s="1"/>
    </row>
    <row r="249" spans="1:18" ht="18.75" x14ac:dyDescent="0.3">
      <c r="A249" s="8">
        <v>45017</v>
      </c>
      <c r="B249" s="9">
        <v>1</v>
      </c>
      <c r="C249" s="10">
        <v>3</v>
      </c>
      <c r="D249" s="11">
        <v>187694</v>
      </c>
      <c r="E249" s="12">
        <v>30707135596</v>
      </c>
      <c r="F249" s="13" t="s">
        <v>117</v>
      </c>
      <c r="G249" s="14">
        <v>5123.55</v>
      </c>
      <c r="H249" s="14">
        <v>1075.9455</v>
      </c>
      <c r="I249" s="14"/>
      <c r="J249" s="14"/>
      <c r="K249" s="14"/>
      <c r="L249" s="14"/>
      <c r="M249" s="14"/>
      <c r="N249" s="14"/>
      <c r="O249" s="14"/>
      <c r="P249" s="14"/>
      <c r="Q249" s="14">
        <v>6199.4955</v>
      </c>
      <c r="R249" s="1"/>
    </row>
    <row r="250" spans="1:18" ht="18.75" x14ac:dyDescent="0.3">
      <c r="A250" s="8">
        <v>45019</v>
      </c>
      <c r="B250" s="9">
        <v>99</v>
      </c>
      <c r="C250" s="10">
        <v>1</v>
      </c>
      <c r="D250" s="11">
        <v>1027024</v>
      </c>
      <c r="E250" s="12">
        <v>30571421352</v>
      </c>
      <c r="F250" s="13" t="s">
        <v>43</v>
      </c>
      <c r="G250" s="14">
        <v>5259.25</v>
      </c>
      <c r="H250" s="14">
        <v>1104.4424999999999</v>
      </c>
      <c r="I250" s="14"/>
      <c r="J250" s="14"/>
      <c r="K250" s="14"/>
      <c r="L250" s="14"/>
      <c r="M250" s="14">
        <v>157.78</v>
      </c>
      <c r="N250" s="14"/>
      <c r="O250" s="14"/>
      <c r="P250" s="14"/>
      <c r="Q250" s="14">
        <v>6521.4724999999999</v>
      </c>
    </row>
    <row r="251" spans="1:18" ht="18.75" x14ac:dyDescent="0.3">
      <c r="A251" s="8">
        <v>45027</v>
      </c>
      <c r="B251" s="9">
        <v>99</v>
      </c>
      <c r="C251" s="10">
        <v>1</v>
      </c>
      <c r="D251" s="11">
        <v>1028143</v>
      </c>
      <c r="E251" s="12">
        <v>30571421352</v>
      </c>
      <c r="F251" s="13" t="s">
        <v>43</v>
      </c>
      <c r="G251" s="14">
        <v>5344</v>
      </c>
      <c r="H251" s="14">
        <v>1122.24</v>
      </c>
      <c r="I251" s="14"/>
      <c r="J251" s="14"/>
      <c r="K251" s="14"/>
      <c r="L251" s="14"/>
      <c r="M251" s="14">
        <v>160.32</v>
      </c>
      <c r="N251" s="14"/>
      <c r="O251" s="14"/>
      <c r="P251" s="14"/>
      <c r="Q251" s="14">
        <v>6626.5599999999995</v>
      </c>
    </row>
    <row r="252" spans="1:18" ht="18.75" x14ac:dyDescent="0.3">
      <c r="A252" s="8">
        <v>45026</v>
      </c>
      <c r="B252" s="9">
        <v>99</v>
      </c>
      <c r="C252" s="10">
        <v>1</v>
      </c>
      <c r="D252" s="11">
        <v>825849174</v>
      </c>
      <c r="E252" s="12">
        <v>30571421352</v>
      </c>
      <c r="F252" s="13" t="s">
        <v>43</v>
      </c>
      <c r="G252" s="14">
        <v>15841.5</v>
      </c>
      <c r="H252" s="14">
        <v>3326.7149999999997</v>
      </c>
      <c r="I252" s="14"/>
      <c r="J252" s="14"/>
      <c r="K252" s="14"/>
      <c r="L252" s="14"/>
      <c r="M252" s="14">
        <v>475.25</v>
      </c>
      <c r="N252" s="14"/>
      <c r="O252" s="14"/>
      <c r="P252" s="14"/>
      <c r="Q252" s="14">
        <v>19643.465</v>
      </c>
    </row>
    <row r="253" spans="1:18" ht="18.75" x14ac:dyDescent="0.3">
      <c r="A253" s="8">
        <v>45008</v>
      </c>
      <c r="B253" s="9">
        <v>99</v>
      </c>
      <c r="C253" s="10">
        <v>1</v>
      </c>
      <c r="D253" s="11">
        <v>825847664</v>
      </c>
      <c r="E253" s="12">
        <v>30571421352</v>
      </c>
      <c r="F253" s="13" t="s">
        <v>43</v>
      </c>
      <c r="G253" s="14">
        <v>15403.5</v>
      </c>
      <c r="H253" s="14">
        <v>3234.7349999999997</v>
      </c>
      <c r="I253" s="14"/>
      <c r="J253" s="14"/>
      <c r="K253" s="14"/>
      <c r="L253" s="14"/>
      <c r="M253" s="14">
        <v>462.11</v>
      </c>
      <c r="N253" s="14"/>
      <c r="O253" s="14"/>
      <c r="P253" s="14"/>
      <c r="Q253" s="14">
        <v>19100.345000000001</v>
      </c>
    </row>
    <row r="254" spans="1:18" ht="18.75" x14ac:dyDescent="0.3">
      <c r="A254" s="8">
        <v>45008</v>
      </c>
      <c r="B254" s="9">
        <v>99</v>
      </c>
      <c r="C254" s="10">
        <v>1</v>
      </c>
      <c r="D254" s="11">
        <v>825847663</v>
      </c>
      <c r="E254" s="12">
        <v>30571421352</v>
      </c>
      <c r="F254" s="13" t="s">
        <v>43</v>
      </c>
      <c r="G254" s="14">
        <v>3080.7</v>
      </c>
      <c r="H254" s="14">
        <v>646.94699999999989</v>
      </c>
      <c r="I254" s="14"/>
      <c r="J254" s="14"/>
      <c r="K254" s="14"/>
      <c r="L254" s="14"/>
      <c r="M254" s="14">
        <v>92.42</v>
      </c>
      <c r="N254" s="14"/>
      <c r="O254" s="14"/>
      <c r="P254" s="14"/>
      <c r="Q254" s="14">
        <v>3820.067</v>
      </c>
    </row>
    <row r="255" spans="1:18" ht="18.75" x14ac:dyDescent="0.3">
      <c r="A255" s="8">
        <v>45006</v>
      </c>
      <c r="B255" s="9">
        <v>99</v>
      </c>
      <c r="C255" s="10">
        <v>1</v>
      </c>
      <c r="D255" s="11">
        <v>1025742</v>
      </c>
      <c r="E255" s="12">
        <v>30571421352</v>
      </c>
      <c r="F255" s="13" t="s">
        <v>43</v>
      </c>
      <c r="G255" s="14">
        <v>5125.5</v>
      </c>
      <c r="H255" s="14">
        <v>1076.355</v>
      </c>
      <c r="I255" s="14"/>
      <c r="J255" s="14"/>
      <c r="K255" s="14"/>
      <c r="L255" s="14"/>
      <c r="M255" s="14">
        <v>153.77000000000001</v>
      </c>
      <c r="N255" s="14"/>
      <c r="O255" s="14"/>
      <c r="P255" s="14"/>
      <c r="Q255" s="14">
        <v>6355.625</v>
      </c>
    </row>
    <row r="256" spans="1:18" ht="18.75" x14ac:dyDescent="0.3">
      <c r="A256" s="8">
        <v>45000</v>
      </c>
      <c r="B256" s="9">
        <v>99</v>
      </c>
      <c r="C256" s="10">
        <v>1</v>
      </c>
      <c r="D256" s="11">
        <v>1024812</v>
      </c>
      <c r="E256" s="12">
        <v>30571421352</v>
      </c>
      <c r="F256" s="13" t="s">
        <v>43</v>
      </c>
      <c r="G256" s="14">
        <v>5064</v>
      </c>
      <c r="H256" s="14">
        <v>1063.44</v>
      </c>
      <c r="I256" s="14"/>
      <c r="J256" s="14"/>
      <c r="K256" s="14"/>
      <c r="L256" s="14"/>
      <c r="M256" s="14">
        <v>151.91999999999999</v>
      </c>
      <c r="N256" s="14"/>
      <c r="O256" s="14"/>
      <c r="P256" s="14"/>
      <c r="Q256" s="14">
        <v>6279.3600000000006</v>
      </c>
    </row>
    <row r="257" spans="1:18" ht="18.75" x14ac:dyDescent="0.3">
      <c r="A257" s="8">
        <v>45035</v>
      </c>
      <c r="B257" s="9">
        <v>99</v>
      </c>
      <c r="C257" s="10">
        <v>1</v>
      </c>
      <c r="D257" s="11">
        <v>53345</v>
      </c>
      <c r="E257" s="12">
        <v>30571421352</v>
      </c>
      <c r="F257" s="13" t="s">
        <v>43</v>
      </c>
      <c r="G257" s="14">
        <v>170</v>
      </c>
      <c r="H257" s="14">
        <v>35.699999999999996</v>
      </c>
      <c r="I257" s="14"/>
      <c r="J257" s="14"/>
      <c r="K257" s="14"/>
      <c r="L257" s="14"/>
      <c r="M257" s="14"/>
      <c r="N257" s="14"/>
      <c r="O257" s="14"/>
      <c r="P257" s="14"/>
      <c r="Q257" s="14">
        <v>205.7</v>
      </c>
    </row>
    <row r="258" spans="1:18" ht="18.75" x14ac:dyDescent="0.3">
      <c r="A258" s="8">
        <v>45044</v>
      </c>
      <c r="B258" s="9">
        <v>99</v>
      </c>
      <c r="C258" s="10">
        <v>1</v>
      </c>
      <c r="D258" s="11">
        <v>280423</v>
      </c>
      <c r="E258" s="12">
        <v>30571421352</v>
      </c>
      <c r="F258" s="13" t="s">
        <v>43</v>
      </c>
      <c r="G258" s="14">
        <v>8057.26</v>
      </c>
      <c r="H258" s="14">
        <v>1692.0246</v>
      </c>
      <c r="I258" s="14"/>
      <c r="J258" s="14"/>
      <c r="K258" s="14"/>
      <c r="L258" s="14"/>
      <c r="M258" s="14">
        <v>123.71</v>
      </c>
      <c r="N258" s="14"/>
      <c r="O258" s="14"/>
      <c r="P258" s="14"/>
      <c r="Q258" s="14">
        <v>9872.9946</v>
      </c>
    </row>
    <row r="259" spans="1:18" ht="18.75" x14ac:dyDescent="0.3">
      <c r="A259" s="8">
        <v>45008</v>
      </c>
      <c r="B259" s="9">
        <v>99</v>
      </c>
      <c r="C259" s="10">
        <v>1</v>
      </c>
      <c r="D259" s="11">
        <v>825847487</v>
      </c>
      <c r="E259" s="12">
        <v>30571421352</v>
      </c>
      <c r="F259" s="13" t="s">
        <v>43</v>
      </c>
      <c r="G259" s="14">
        <v>15403.5</v>
      </c>
      <c r="H259" s="14">
        <v>3234.7349999999997</v>
      </c>
      <c r="I259" s="14"/>
      <c r="J259" s="14"/>
      <c r="K259" s="14"/>
      <c r="L259" s="14"/>
      <c r="M259" s="14">
        <v>462.11</v>
      </c>
      <c r="N259" s="14"/>
      <c r="O259" s="14"/>
      <c r="P259" s="14"/>
      <c r="Q259" s="14">
        <v>19100.345000000001</v>
      </c>
    </row>
    <row r="260" spans="1:18" ht="19.5" thickBot="1" x14ac:dyDescent="0.35">
      <c r="A260" s="23" t="s">
        <v>17</v>
      </c>
      <c r="B260" s="23"/>
      <c r="C260" s="23"/>
      <c r="D260" s="23"/>
      <c r="E260" s="23"/>
      <c r="F260" s="23"/>
      <c r="G260" s="17">
        <f>SUM(G203:G259)</f>
        <v>4605652.9030999998</v>
      </c>
      <c r="H260" s="17">
        <f t="shared" ref="H260:Q260" si="3">SUM(H203:H259)</f>
        <v>933556.09075099987</v>
      </c>
      <c r="I260" s="17">
        <f t="shared" si="3"/>
        <v>1101.06</v>
      </c>
      <c r="J260" s="17">
        <f t="shared" si="3"/>
        <v>16387.32</v>
      </c>
      <c r="K260" s="17">
        <f t="shared" si="3"/>
        <v>122.34</v>
      </c>
      <c r="L260" s="17">
        <f t="shared" si="3"/>
        <v>0</v>
      </c>
      <c r="M260" s="17">
        <f t="shared" si="3"/>
        <v>2239.3900000000003</v>
      </c>
      <c r="N260" s="17">
        <f t="shared" si="3"/>
        <v>0</v>
      </c>
      <c r="O260" s="17">
        <f t="shared" si="3"/>
        <v>0</v>
      </c>
      <c r="P260" s="17">
        <f t="shared" si="3"/>
        <v>-63715.517199999995</v>
      </c>
      <c r="Q260" s="17">
        <f t="shared" si="3"/>
        <v>5495343.5866509983</v>
      </c>
    </row>
    <row r="261" spans="1:18" ht="19.5" thickBot="1" x14ac:dyDescent="0.35">
      <c r="A261" s="15"/>
      <c r="B261" s="15"/>
      <c r="C261" s="15"/>
      <c r="D261" s="15"/>
      <c r="E261" s="15"/>
      <c r="F261" s="15"/>
      <c r="G261" s="16"/>
      <c r="H261" s="18"/>
      <c r="I261" s="19">
        <f>SUM(H260:J260)</f>
        <v>951044.47075099987</v>
      </c>
      <c r="J261" s="20"/>
      <c r="K261" s="16"/>
      <c r="L261" s="16"/>
      <c r="M261" s="16"/>
      <c r="N261" s="16"/>
      <c r="O261" s="16"/>
      <c r="P261" s="16"/>
      <c r="Q261" s="16"/>
    </row>
    <row r="268" spans="1:18" ht="29.25" thickBot="1" x14ac:dyDescent="0.5">
      <c r="A268" s="24" t="s">
        <v>0</v>
      </c>
      <c r="B268" s="24"/>
      <c r="C268" s="24"/>
      <c r="D268" s="24"/>
      <c r="E268" s="24"/>
      <c r="F268" s="21"/>
      <c r="G268" s="22"/>
      <c r="H268" s="22"/>
      <c r="I268" s="22"/>
      <c r="J268" s="22"/>
      <c r="K268" s="22"/>
      <c r="L268" s="22"/>
      <c r="M268" s="22"/>
      <c r="N268" s="22"/>
      <c r="O268" s="25">
        <v>45047</v>
      </c>
      <c r="P268" s="26"/>
      <c r="Q268" s="26"/>
    </row>
    <row r="269" spans="1:18" ht="18.75" x14ac:dyDescent="0.3">
      <c r="A269" s="6" t="s">
        <v>1</v>
      </c>
      <c r="B269" s="6" t="s">
        <v>2</v>
      </c>
      <c r="C269" s="6" t="s">
        <v>3</v>
      </c>
      <c r="D269" s="6" t="s">
        <v>4</v>
      </c>
      <c r="E269" s="6" t="s">
        <v>5</v>
      </c>
      <c r="F269" s="6" t="s">
        <v>6</v>
      </c>
      <c r="G269" s="7" t="s">
        <v>7</v>
      </c>
      <c r="H269" s="7" t="s">
        <v>8</v>
      </c>
      <c r="I269" s="7" t="s">
        <v>9</v>
      </c>
      <c r="J269" s="7" t="s">
        <v>10</v>
      </c>
      <c r="K269" s="7" t="s">
        <v>11</v>
      </c>
      <c r="L269" s="7" t="s">
        <v>12</v>
      </c>
      <c r="M269" s="7" t="s">
        <v>13</v>
      </c>
      <c r="N269" s="7" t="s">
        <v>14</v>
      </c>
      <c r="O269" s="7" t="s">
        <v>15</v>
      </c>
      <c r="P269" s="7" t="s">
        <v>16</v>
      </c>
      <c r="Q269" s="7" t="s">
        <v>17</v>
      </c>
    </row>
    <row r="270" spans="1:18" ht="18.75" x14ac:dyDescent="0.3">
      <c r="A270" s="8">
        <v>45063</v>
      </c>
      <c r="B270" s="9">
        <v>1</v>
      </c>
      <c r="C270" s="10">
        <v>2</v>
      </c>
      <c r="D270" s="11">
        <v>8665</v>
      </c>
      <c r="E270" s="12">
        <v>30707835563</v>
      </c>
      <c r="F270" s="13" t="s">
        <v>118</v>
      </c>
      <c r="G270" s="14">
        <v>35796.69</v>
      </c>
      <c r="H270" s="14">
        <v>7517.3049000000001</v>
      </c>
      <c r="I270" s="14"/>
      <c r="J270" s="14"/>
      <c r="K270" s="14"/>
      <c r="L270" s="14"/>
      <c r="M270" s="14"/>
      <c r="N270" s="14"/>
      <c r="O270" s="14"/>
      <c r="P270" s="14"/>
      <c r="Q270" s="14">
        <v>43313.994900000005</v>
      </c>
      <c r="R270" s="1"/>
    </row>
    <row r="271" spans="1:18" ht="18.75" x14ac:dyDescent="0.3">
      <c r="A271" s="8">
        <v>45064</v>
      </c>
      <c r="B271" s="9">
        <v>1</v>
      </c>
      <c r="C271" s="10">
        <v>2</v>
      </c>
      <c r="D271" s="11">
        <v>3885</v>
      </c>
      <c r="E271" s="12">
        <v>27271779289</v>
      </c>
      <c r="F271" s="13" t="s">
        <v>119</v>
      </c>
      <c r="G271" s="14">
        <v>9600</v>
      </c>
      <c r="H271" s="14">
        <v>2016</v>
      </c>
      <c r="I271" s="14"/>
      <c r="J271" s="14"/>
      <c r="K271" s="14"/>
      <c r="L271" s="14"/>
      <c r="M271" s="14"/>
      <c r="N271" s="14"/>
      <c r="O271" s="14"/>
      <c r="P271" s="14">
        <v>8832.23</v>
      </c>
      <c r="Q271" s="14">
        <v>20448.23</v>
      </c>
      <c r="R271" s="1"/>
    </row>
    <row r="272" spans="1:18" ht="18.75" x14ac:dyDescent="0.3">
      <c r="A272" s="8">
        <v>45064</v>
      </c>
      <c r="B272" s="9">
        <v>1</v>
      </c>
      <c r="C272" s="10">
        <v>2</v>
      </c>
      <c r="D272" s="11">
        <v>11550</v>
      </c>
      <c r="E272" s="12">
        <v>30717014754</v>
      </c>
      <c r="F272" s="13" t="s">
        <v>120</v>
      </c>
      <c r="G272" s="14">
        <v>4633.59</v>
      </c>
      <c r="H272" s="14">
        <v>973.0539</v>
      </c>
      <c r="I272" s="14"/>
      <c r="J272" s="14"/>
      <c r="K272" s="14"/>
      <c r="L272" s="14"/>
      <c r="M272" s="14"/>
      <c r="N272" s="14"/>
      <c r="O272" s="14"/>
      <c r="P272" s="14"/>
      <c r="Q272" s="14">
        <v>5606.6439</v>
      </c>
      <c r="R272" s="1"/>
    </row>
    <row r="273" spans="1:18" ht="18.75" x14ac:dyDescent="0.3">
      <c r="A273" s="8">
        <v>45072</v>
      </c>
      <c r="B273" s="9">
        <v>1</v>
      </c>
      <c r="C273" s="10">
        <v>2</v>
      </c>
      <c r="D273" s="11">
        <v>8037</v>
      </c>
      <c r="E273" s="12">
        <v>30711726019</v>
      </c>
      <c r="F273" s="13" t="s">
        <v>121</v>
      </c>
      <c r="G273" s="14">
        <v>100050</v>
      </c>
      <c r="H273" s="14">
        <v>21010.5</v>
      </c>
      <c r="I273" s="14"/>
      <c r="J273" s="14"/>
      <c r="K273" s="14"/>
      <c r="L273" s="14"/>
      <c r="M273" s="14"/>
      <c r="N273" s="14"/>
      <c r="O273" s="14"/>
      <c r="P273" s="14">
        <v>138310.26</v>
      </c>
      <c r="Q273" s="14">
        <v>259370.76</v>
      </c>
      <c r="R273" s="1"/>
    </row>
    <row r="274" spans="1:18" ht="18.75" x14ac:dyDescent="0.3">
      <c r="A274" s="8">
        <v>45072</v>
      </c>
      <c r="B274" s="9">
        <v>1</v>
      </c>
      <c r="C274" s="10">
        <v>11</v>
      </c>
      <c r="D274" s="11">
        <v>670</v>
      </c>
      <c r="E274" s="12">
        <v>30711782997</v>
      </c>
      <c r="F274" s="13" t="s">
        <v>122</v>
      </c>
      <c r="G274" s="14">
        <v>14875.21</v>
      </c>
      <c r="H274" s="14">
        <v>3123.7940999999996</v>
      </c>
      <c r="I274" s="14"/>
      <c r="J274" s="14"/>
      <c r="K274" s="14"/>
      <c r="L274" s="14"/>
      <c r="M274" s="14"/>
      <c r="N274" s="14"/>
      <c r="O274" s="14"/>
      <c r="P274" s="14"/>
      <c r="Q274" s="14">
        <v>17999.004099999998</v>
      </c>
      <c r="R274" s="1"/>
    </row>
    <row r="275" spans="1:18" ht="18.75" x14ac:dyDescent="0.3">
      <c r="A275" s="8">
        <v>45073</v>
      </c>
      <c r="B275" s="9">
        <v>1</v>
      </c>
      <c r="C275" s="10">
        <v>3</v>
      </c>
      <c r="D275" s="11">
        <v>199</v>
      </c>
      <c r="E275" s="12">
        <v>30716036711</v>
      </c>
      <c r="F275" s="13" t="s">
        <v>123</v>
      </c>
      <c r="G275" s="14">
        <v>10735.54</v>
      </c>
      <c r="H275" s="14">
        <v>2254.4634000000001</v>
      </c>
      <c r="I275" s="14"/>
      <c r="J275" s="14"/>
      <c r="K275" s="14"/>
      <c r="L275" s="14"/>
      <c r="M275" s="14"/>
      <c r="N275" s="14"/>
      <c r="O275" s="14"/>
      <c r="P275" s="14"/>
      <c r="Q275" s="14">
        <v>12990.003400000001</v>
      </c>
      <c r="R275" s="1"/>
    </row>
    <row r="276" spans="1:18" ht="18.75" x14ac:dyDescent="0.3">
      <c r="A276" s="8">
        <v>45073</v>
      </c>
      <c r="B276" s="9">
        <v>1</v>
      </c>
      <c r="C276" s="10">
        <v>5</v>
      </c>
      <c r="D276" s="11">
        <v>977</v>
      </c>
      <c r="E276" s="12">
        <v>23287538839</v>
      </c>
      <c r="F276" s="13" t="s">
        <v>124</v>
      </c>
      <c r="G276" s="14">
        <v>7914.05</v>
      </c>
      <c r="H276" s="14">
        <v>1661.9504999999999</v>
      </c>
      <c r="I276" s="14"/>
      <c r="J276" s="14"/>
      <c r="K276" s="14"/>
      <c r="L276" s="14"/>
      <c r="M276" s="14"/>
      <c r="N276" s="14"/>
      <c r="O276" s="14"/>
      <c r="P276" s="14"/>
      <c r="Q276" s="14">
        <v>9576.0005000000001</v>
      </c>
      <c r="R276" s="1"/>
    </row>
    <row r="277" spans="1:18" ht="18.75" x14ac:dyDescent="0.3">
      <c r="A277" s="8">
        <v>45074</v>
      </c>
      <c r="B277" s="9">
        <v>1</v>
      </c>
      <c r="C277" s="10">
        <v>7</v>
      </c>
      <c r="D277" s="11">
        <v>1503</v>
      </c>
      <c r="E277" s="12">
        <v>30716401525</v>
      </c>
      <c r="F277" s="13" t="s">
        <v>125</v>
      </c>
      <c r="G277" s="14">
        <v>40380.17</v>
      </c>
      <c r="H277" s="14">
        <v>8479.8356999999996</v>
      </c>
      <c r="I277" s="14"/>
      <c r="J277" s="14"/>
      <c r="K277" s="14"/>
      <c r="L277" s="14"/>
      <c r="M277" s="14"/>
      <c r="N277" s="14"/>
      <c r="O277" s="14"/>
      <c r="P277" s="14"/>
      <c r="Q277" s="14">
        <v>48860.005699999994</v>
      </c>
      <c r="R277" s="1"/>
    </row>
    <row r="278" spans="1:18" ht="18.75" x14ac:dyDescent="0.3">
      <c r="A278" s="8">
        <v>45075</v>
      </c>
      <c r="B278" s="9">
        <v>1</v>
      </c>
      <c r="C278" s="10">
        <v>4</v>
      </c>
      <c r="D278" s="11">
        <v>496</v>
      </c>
      <c r="E278" s="12">
        <v>30716809893</v>
      </c>
      <c r="F278" s="13" t="s">
        <v>126</v>
      </c>
      <c r="G278" s="14">
        <v>6444.63</v>
      </c>
      <c r="H278" s="14">
        <v>1353.3723</v>
      </c>
      <c r="I278" s="14"/>
      <c r="J278" s="14"/>
      <c r="K278" s="14"/>
      <c r="L278" s="14"/>
      <c r="M278" s="14"/>
      <c r="N278" s="14"/>
      <c r="O278" s="14"/>
      <c r="P278" s="14"/>
      <c r="Q278" s="14">
        <v>7798.0023000000001</v>
      </c>
      <c r="R278" s="1"/>
    </row>
    <row r="279" spans="1:18" ht="18.75" x14ac:dyDescent="0.3">
      <c r="A279" s="8">
        <v>45077</v>
      </c>
      <c r="B279" s="9">
        <v>1</v>
      </c>
      <c r="C279" s="10">
        <v>1</v>
      </c>
      <c r="D279" s="11">
        <v>635</v>
      </c>
      <c r="E279" s="12">
        <v>30717405680</v>
      </c>
      <c r="F279" s="13" t="s">
        <v>127</v>
      </c>
      <c r="G279" s="14">
        <v>4806.1099999999997</v>
      </c>
      <c r="H279" s="14">
        <v>1009.2830999999999</v>
      </c>
      <c r="I279" s="14"/>
      <c r="J279" s="14"/>
      <c r="K279" s="14"/>
      <c r="L279" s="14"/>
      <c r="M279" s="14"/>
      <c r="N279" s="14"/>
      <c r="O279" s="14"/>
      <c r="P279" s="14"/>
      <c r="Q279" s="14">
        <v>5815.3930999999993</v>
      </c>
      <c r="R279" s="1"/>
    </row>
    <row r="280" spans="1:18" ht="18.75" x14ac:dyDescent="0.3">
      <c r="A280" s="8">
        <v>45062</v>
      </c>
      <c r="B280" s="9">
        <v>1</v>
      </c>
      <c r="C280" s="10">
        <v>2</v>
      </c>
      <c r="D280" s="11">
        <v>10325</v>
      </c>
      <c r="E280" s="12">
        <v>30712179909</v>
      </c>
      <c r="F280" s="13" t="s">
        <v>31</v>
      </c>
      <c r="G280" s="14">
        <v>110306</v>
      </c>
      <c r="H280" s="14">
        <v>23164.26</v>
      </c>
      <c r="I280" s="14"/>
      <c r="J280" s="14"/>
      <c r="K280" s="14"/>
      <c r="L280" s="14"/>
      <c r="M280" s="14"/>
      <c r="N280" s="14"/>
      <c r="O280" s="14"/>
      <c r="P280" s="14"/>
      <c r="Q280" s="14">
        <v>133470.26</v>
      </c>
      <c r="R280" s="1"/>
    </row>
    <row r="281" spans="1:18" ht="18.75" x14ac:dyDescent="0.3">
      <c r="A281" s="8">
        <v>45054</v>
      </c>
      <c r="B281" s="9">
        <v>1</v>
      </c>
      <c r="C281" s="10">
        <v>12</v>
      </c>
      <c r="D281" s="11">
        <v>21890</v>
      </c>
      <c r="E281" s="12">
        <v>30604942051</v>
      </c>
      <c r="F281" s="13" t="s">
        <v>128</v>
      </c>
      <c r="G281" s="14">
        <v>52065.43</v>
      </c>
      <c r="H281" s="14">
        <v>10933.740299999999</v>
      </c>
      <c r="I281" s="14"/>
      <c r="J281" s="14"/>
      <c r="K281" s="14"/>
      <c r="L281" s="14"/>
      <c r="M281" s="14"/>
      <c r="N281" s="14"/>
      <c r="O281" s="14"/>
      <c r="P281" s="14"/>
      <c r="Q281" s="14">
        <v>62999.170299999998</v>
      </c>
      <c r="R281" s="1"/>
    </row>
    <row r="282" spans="1:18" ht="18.75" x14ac:dyDescent="0.3">
      <c r="A282" s="8">
        <v>45047</v>
      </c>
      <c r="B282" s="9">
        <v>1</v>
      </c>
      <c r="C282" s="10">
        <v>3</v>
      </c>
      <c r="D282" s="11">
        <v>644</v>
      </c>
      <c r="E282" s="12">
        <v>30715402765</v>
      </c>
      <c r="F282" s="13" t="s">
        <v>100</v>
      </c>
      <c r="G282" s="14">
        <v>12809.92</v>
      </c>
      <c r="H282" s="14">
        <v>2690.0832</v>
      </c>
      <c r="I282" s="14"/>
      <c r="J282" s="14"/>
      <c r="K282" s="14"/>
      <c r="L282" s="14"/>
      <c r="M282" s="14"/>
      <c r="N282" s="14"/>
      <c r="O282" s="14"/>
      <c r="P282" s="14"/>
      <c r="Q282" s="14">
        <v>15500.003199999999</v>
      </c>
      <c r="R282" s="1"/>
    </row>
    <row r="283" spans="1:18" ht="18.75" x14ac:dyDescent="0.3">
      <c r="A283" s="8">
        <v>45065</v>
      </c>
      <c r="B283" s="9">
        <v>1</v>
      </c>
      <c r="C283" s="10">
        <v>5</v>
      </c>
      <c r="D283" s="11">
        <v>22491</v>
      </c>
      <c r="E283" s="12">
        <v>30708166673</v>
      </c>
      <c r="F283" s="13" t="s">
        <v>129</v>
      </c>
      <c r="G283" s="14">
        <v>4725.45</v>
      </c>
      <c r="H283" s="14">
        <v>992.34449999999993</v>
      </c>
      <c r="I283" s="14"/>
      <c r="J283" s="14"/>
      <c r="K283" s="14"/>
      <c r="L283" s="14"/>
      <c r="M283" s="14"/>
      <c r="N283" s="14"/>
      <c r="O283" s="14"/>
      <c r="P283" s="14"/>
      <c r="Q283" s="14">
        <v>5717.7945</v>
      </c>
      <c r="R283" s="1"/>
    </row>
    <row r="284" spans="1:18" ht="18.75" x14ac:dyDescent="0.3">
      <c r="A284" s="8">
        <v>45077</v>
      </c>
      <c r="B284" s="9">
        <v>1</v>
      </c>
      <c r="C284" s="10">
        <v>3</v>
      </c>
      <c r="D284" s="11">
        <v>1449227</v>
      </c>
      <c r="E284" s="12">
        <v>30712019359</v>
      </c>
      <c r="F284" s="13" t="s">
        <v>42</v>
      </c>
      <c r="G284" s="14">
        <v>6032.23</v>
      </c>
      <c r="H284" s="14">
        <v>1266.7683</v>
      </c>
      <c r="I284" s="14"/>
      <c r="J284" s="14"/>
      <c r="K284" s="14"/>
      <c r="L284" s="14"/>
      <c r="M284" s="14"/>
      <c r="N284" s="14"/>
      <c r="O284" s="14"/>
      <c r="P284" s="14"/>
      <c r="Q284" s="14">
        <v>7298.9982999999993</v>
      </c>
      <c r="R284" s="1"/>
    </row>
    <row r="285" spans="1:18" ht="18.75" x14ac:dyDescent="0.3">
      <c r="A285" s="8">
        <v>45048</v>
      </c>
      <c r="B285" s="9">
        <v>1</v>
      </c>
      <c r="C285" s="10">
        <v>106</v>
      </c>
      <c r="D285" s="11">
        <v>627952</v>
      </c>
      <c r="E285" s="12">
        <v>30594494187</v>
      </c>
      <c r="F285" s="13" t="s">
        <v>35</v>
      </c>
      <c r="G285" s="14">
        <v>0</v>
      </c>
      <c r="H285" s="14">
        <v>0</v>
      </c>
      <c r="I285" s="14"/>
      <c r="J285" s="14"/>
      <c r="K285" s="14"/>
      <c r="L285" s="14"/>
      <c r="M285" s="14"/>
      <c r="N285" s="14"/>
      <c r="O285" s="14"/>
      <c r="P285" s="14">
        <v>95430.75</v>
      </c>
      <c r="Q285" s="14">
        <v>95430.75</v>
      </c>
      <c r="R285" s="1"/>
    </row>
    <row r="286" spans="1:18" ht="18.75" x14ac:dyDescent="0.3">
      <c r="A286" s="8">
        <v>45065</v>
      </c>
      <c r="B286" s="9">
        <v>1</v>
      </c>
      <c r="C286" s="10">
        <v>280</v>
      </c>
      <c r="D286" s="11">
        <v>1432129</v>
      </c>
      <c r="E286" s="12">
        <v>30580111315</v>
      </c>
      <c r="F286" s="13" t="s">
        <v>108</v>
      </c>
      <c r="G286" s="14">
        <v>77059.520999999993</v>
      </c>
      <c r="H286" s="14">
        <v>16182.499409999999</v>
      </c>
      <c r="I286" s="14"/>
      <c r="J286" s="14"/>
      <c r="K286" s="14"/>
      <c r="L286" s="14"/>
      <c r="M286" s="14"/>
      <c r="N286" s="14"/>
      <c r="O286" s="14"/>
      <c r="P286" s="14">
        <v>-58904.659</v>
      </c>
      <c r="Q286" s="14">
        <v>34337.361409999998</v>
      </c>
      <c r="R286" s="1"/>
    </row>
    <row r="287" spans="1:18" ht="18.75" x14ac:dyDescent="0.3">
      <c r="A287" s="8">
        <v>45067</v>
      </c>
      <c r="B287" s="9">
        <v>1</v>
      </c>
      <c r="C287" s="10">
        <v>280</v>
      </c>
      <c r="D287" s="11">
        <v>1432518</v>
      </c>
      <c r="E287" s="12">
        <v>30580111315</v>
      </c>
      <c r="F287" s="13" t="s">
        <v>108</v>
      </c>
      <c r="G287" s="14">
        <v>262672.34000000003</v>
      </c>
      <c r="H287" s="14">
        <v>55161.191400000003</v>
      </c>
      <c r="I287" s="14"/>
      <c r="J287" s="14"/>
      <c r="K287" s="14"/>
      <c r="L287" s="14"/>
      <c r="M287" s="14"/>
      <c r="N287" s="14"/>
      <c r="O287" s="14"/>
      <c r="P287" s="14">
        <v>-214865.49</v>
      </c>
      <c r="Q287" s="14">
        <v>102968.04140000005</v>
      </c>
      <c r="R287" s="1"/>
    </row>
    <row r="288" spans="1:18" ht="18.75" x14ac:dyDescent="0.3">
      <c r="A288" s="8">
        <v>45075</v>
      </c>
      <c r="B288" s="9">
        <v>2</v>
      </c>
      <c r="C288" s="10">
        <v>755</v>
      </c>
      <c r="D288" s="11">
        <v>2616</v>
      </c>
      <c r="E288" s="12">
        <v>30580111315</v>
      </c>
      <c r="F288" s="13" t="s">
        <v>108</v>
      </c>
      <c r="G288" s="14">
        <v>0</v>
      </c>
      <c r="H288" s="14">
        <v>0</v>
      </c>
      <c r="I288" s="14"/>
      <c r="J288" s="14"/>
      <c r="K288" s="14"/>
      <c r="L288" s="14"/>
      <c r="M288" s="14"/>
      <c r="N288" s="14"/>
      <c r="O288" s="14"/>
      <c r="P288" s="14">
        <v>3680.16</v>
      </c>
      <c r="Q288" s="14">
        <v>3680.16</v>
      </c>
      <c r="R288" s="1"/>
    </row>
    <row r="289" spans="1:18" ht="18.75" x14ac:dyDescent="0.3">
      <c r="A289" s="8">
        <v>45050</v>
      </c>
      <c r="B289" s="9">
        <v>1</v>
      </c>
      <c r="C289" s="10">
        <v>2</v>
      </c>
      <c r="D289" s="11">
        <v>171</v>
      </c>
      <c r="E289" s="12">
        <v>20125142851</v>
      </c>
      <c r="F289" s="13" t="s">
        <v>19</v>
      </c>
      <c r="G289" s="14">
        <v>73963.520000000004</v>
      </c>
      <c r="H289" s="14">
        <v>15532.3392</v>
      </c>
      <c r="I289" s="14"/>
      <c r="J289" s="14"/>
      <c r="K289" s="14"/>
      <c r="L289" s="14"/>
      <c r="M289" s="14"/>
      <c r="N289" s="14"/>
      <c r="O289" s="14"/>
      <c r="P289" s="14"/>
      <c r="Q289" s="14">
        <v>89495.859200000006</v>
      </c>
      <c r="R289" s="1"/>
    </row>
    <row r="290" spans="1:18" ht="18.75" x14ac:dyDescent="0.3">
      <c r="A290" s="8">
        <v>45050</v>
      </c>
      <c r="B290" s="9">
        <v>1</v>
      </c>
      <c r="C290" s="10">
        <v>2</v>
      </c>
      <c r="D290" s="11">
        <v>170</v>
      </c>
      <c r="E290" s="12">
        <v>20125142851</v>
      </c>
      <c r="F290" s="13" t="s">
        <v>19</v>
      </c>
      <c r="G290" s="14">
        <v>66779.86</v>
      </c>
      <c r="H290" s="14">
        <v>14023.7706</v>
      </c>
      <c r="I290" s="14"/>
      <c r="J290" s="14"/>
      <c r="K290" s="14"/>
      <c r="L290" s="14"/>
      <c r="M290" s="14"/>
      <c r="N290" s="14"/>
      <c r="O290" s="14"/>
      <c r="P290" s="14"/>
      <c r="Q290" s="14">
        <v>80803.630600000004</v>
      </c>
      <c r="R290" s="1"/>
    </row>
    <row r="291" spans="1:18" ht="18.75" x14ac:dyDescent="0.3">
      <c r="A291" s="8">
        <v>45077</v>
      </c>
      <c r="B291" s="9">
        <v>1</v>
      </c>
      <c r="C291" s="10">
        <v>9</v>
      </c>
      <c r="D291" s="11">
        <v>1615</v>
      </c>
      <c r="E291" s="12">
        <v>30631047145</v>
      </c>
      <c r="F291" s="13" t="s">
        <v>26</v>
      </c>
      <c r="G291" s="14">
        <v>271680.84999999998</v>
      </c>
      <c r="H291" s="14">
        <v>56034.25</v>
      </c>
      <c r="I291" s="14"/>
      <c r="J291" s="14">
        <v>509.37</v>
      </c>
      <c r="K291" s="14"/>
      <c r="L291" s="14"/>
      <c r="M291" s="14"/>
      <c r="N291" s="14"/>
      <c r="O291" s="14"/>
      <c r="P291" s="14"/>
      <c r="Q291" s="14">
        <v>328224.46999999997</v>
      </c>
      <c r="R291" s="1"/>
    </row>
    <row r="292" spans="1:18" ht="18.75" x14ac:dyDescent="0.3">
      <c r="A292" s="8">
        <v>45077</v>
      </c>
      <c r="B292" s="9">
        <v>3</v>
      </c>
      <c r="C292" s="10">
        <v>9</v>
      </c>
      <c r="D292" s="11">
        <v>77</v>
      </c>
      <c r="E292" s="12">
        <v>30631047145</v>
      </c>
      <c r="F292" s="13" t="s">
        <v>26</v>
      </c>
      <c r="G292" s="14">
        <v>-39600</v>
      </c>
      <c r="H292" s="14">
        <v>-8316</v>
      </c>
      <c r="I292" s="14"/>
      <c r="J292" s="14"/>
      <c r="K292" s="14"/>
      <c r="L292" s="14"/>
      <c r="M292" s="14"/>
      <c r="N292" s="14"/>
      <c r="O292" s="14"/>
      <c r="P292" s="14"/>
      <c r="Q292" s="14">
        <v>-47916</v>
      </c>
      <c r="R292" s="1"/>
    </row>
    <row r="293" spans="1:18" ht="18.75" x14ac:dyDescent="0.3">
      <c r="A293" s="8">
        <v>45077</v>
      </c>
      <c r="B293" s="9">
        <v>1</v>
      </c>
      <c r="C293" s="10">
        <v>6</v>
      </c>
      <c r="D293" s="11">
        <v>11830</v>
      </c>
      <c r="E293" s="12">
        <v>30707756434</v>
      </c>
      <c r="F293" s="13" t="s">
        <v>61</v>
      </c>
      <c r="G293" s="14">
        <v>42000</v>
      </c>
      <c r="H293" s="14">
        <v>8820</v>
      </c>
      <c r="I293" s="14"/>
      <c r="J293" s="14"/>
      <c r="K293" s="14"/>
      <c r="L293" s="14"/>
      <c r="M293" s="14"/>
      <c r="N293" s="14"/>
      <c r="O293" s="14"/>
      <c r="P293" s="14"/>
      <c r="Q293" s="14">
        <v>50820</v>
      </c>
      <c r="R293" s="1"/>
    </row>
    <row r="294" spans="1:18" ht="18.75" x14ac:dyDescent="0.3">
      <c r="A294" s="8">
        <v>45049</v>
      </c>
      <c r="B294" s="9">
        <v>1</v>
      </c>
      <c r="C294" s="10">
        <v>4</v>
      </c>
      <c r="D294" s="11">
        <v>94579</v>
      </c>
      <c r="E294" s="12">
        <v>30559932236</v>
      </c>
      <c r="F294" s="13" t="s">
        <v>130</v>
      </c>
      <c r="G294" s="14">
        <v>31720.85</v>
      </c>
      <c r="H294" s="14">
        <v>2111.4899999999998</v>
      </c>
      <c r="I294" s="14"/>
      <c r="J294" s="14">
        <v>2274.94</v>
      </c>
      <c r="K294" s="14"/>
      <c r="L294" s="14"/>
      <c r="M294" s="14"/>
      <c r="N294" s="14"/>
      <c r="O294" s="14"/>
      <c r="P294" s="14"/>
      <c r="Q294" s="14">
        <v>36107.279999999999</v>
      </c>
      <c r="R294" s="1"/>
    </row>
    <row r="295" spans="1:18" ht="18.75" x14ac:dyDescent="0.3">
      <c r="A295" s="8">
        <v>45056</v>
      </c>
      <c r="B295" s="9">
        <v>1</v>
      </c>
      <c r="C295" s="10">
        <v>8</v>
      </c>
      <c r="D295" s="11">
        <v>163931</v>
      </c>
      <c r="E295" s="12">
        <v>33606484599</v>
      </c>
      <c r="F295" s="13" t="s">
        <v>131</v>
      </c>
      <c r="G295" s="14">
        <v>1493646.05</v>
      </c>
      <c r="H295" s="14">
        <v>313665.67050000001</v>
      </c>
      <c r="I295" s="14"/>
      <c r="J295" s="14"/>
      <c r="K295" s="14"/>
      <c r="L295" s="14"/>
      <c r="M295" s="14"/>
      <c r="N295" s="14"/>
      <c r="O295" s="14"/>
      <c r="P295" s="14"/>
      <c r="Q295" s="14">
        <v>1807311.7205000001</v>
      </c>
      <c r="R295" s="1"/>
    </row>
    <row r="296" spans="1:18" ht="18.75" x14ac:dyDescent="0.3">
      <c r="A296" s="8">
        <v>45065</v>
      </c>
      <c r="B296" s="9">
        <v>1</v>
      </c>
      <c r="C296" s="10">
        <v>3</v>
      </c>
      <c r="D296" s="11">
        <v>9291</v>
      </c>
      <c r="E296" s="12">
        <v>30715864262</v>
      </c>
      <c r="F296" s="13" t="s">
        <v>132</v>
      </c>
      <c r="G296" s="14">
        <v>15080</v>
      </c>
      <c r="H296" s="14">
        <v>3166.7999999999997</v>
      </c>
      <c r="I296" s="14"/>
      <c r="J296" s="14"/>
      <c r="K296" s="14"/>
      <c r="L296" s="14"/>
      <c r="M296" s="14"/>
      <c r="N296" s="14"/>
      <c r="O296" s="14"/>
      <c r="P296" s="14"/>
      <c r="Q296" s="14">
        <v>18246.8</v>
      </c>
      <c r="R296" s="1"/>
    </row>
    <row r="297" spans="1:18" ht="18.75" x14ac:dyDescent="0.3">
      <c r="A297" s="8">
        <v>45075</v>
      </c>
      <c r="B297" s="9">
        <v>1</v>
      </c>
      <c r="C297" s="10">
        <v>2</v>
      </c>
      <c r="D297" s="11">
        <v>625</v>
      </c>
      <c r="E297" s="12">
        <v>20296550184</v>
      </c>
      <c r="F297" s="13" t="s">
        <v>24</v>
      </c>
      <c r="G297" s="14">
        <v>58460</v>
      </c>
      <c r="H297" s="14">
        <v>12276.6</v>
      </c>
      <c r="I297" s="14"/>
      <c r="J297" s="14"/>
      <c r="K297" s="14"/>
      <c r="L297" s="14"/>
      <c r="M297" s="14"/>
      <c r="N297" s="14"/>
      <c r="O297" s="14"/>
      <c r="P297" s="14"/>
      <c r="Q297" s="14">
        <v>70736.600000000006</v>
      </c>
      <c r="R297" s="1"/>
    </row>
    <row r="298" spans="1:18" ht="18.75" x14ac:dyDescent="0.3">
      <c r="A298" s="8">
        <v>45077</v>
      </c>
      <c r="B298" s="9">
        <v>1</v>
      </c>
      <c r="C298" s="10">
        <v>5</v>
      </c>
      <c r="D298" s="11">
        <v>1274</v>
      </c>
      <c r="E298" s="12">
        <v>30707397256</v>
      </c>
      <c r="F298" s="13" t="s">
        <v>51</v>
      </c>
      <c r="G298" s="14">
        <v>463560</v>
      </c>
      <c r="H298" s="14">
        <v>97347.599999999991</v>
      </c>
      <c r="I298" s="14"/>
      <c r="J298" s="14"/>
      <c r="K298" s="14"/>
      <c r="L298" s="14"/>
      <c r="M298" s="14"/>
      <c r="N298" s="14"/>
      <c r="O298" s="14"/>
      <c r="P298" s="14"/>
      <c r="Q298" s="14">
        <v>560907.6</v>
      </c>
      <c r="R298" s="1"/>
    </row>
    <row r="299" spans="1:18" ht="18.75" x14ac:dyDescent="0.3">
      <c r="A299" s="8">
        <v>45064</v>
      </c>
      <c r="B299" s="9">
        <v>1</v>
      </c>
      <c r="C299" s="10">
        <v>3</v>
      </c>
      <c r="D299" s="11">
        <v>280</v>
      </c>
      <c r="E299" s="12">
        <v>20921575743</v>
      </c>
      <c r="F299" s="13" t="s">
        <v>71</v>
      </c>
      <c r="G299" s="14">
        <v>595708</v>
      </c>
      <c r="H299" s="14">
        <v>125098.68</v>
      </c>
      <c r="I299" s="14"/>
      <c r="J299" s="14"/>
      <c r="K299" s="14"/>
      <c r="L299" s="14"/>
      <c r="M299" s="14"/>
      <c r="N299" s="14"/>
      <c r="O299" s="14"/>
      <c r="P299" s="14"/>
      <c r="Q299" s="14">
        <v>720806.67999999993</v>
      </c>
      <c r="R299" s="1"/>
    </row>
    <row r="300" spans="1:18" ht="18.75" x14ac:dyDescent="0.3">
      <c r="A300" s="8">
        <v>45055</v>
      </c>
      <c r="B300" s="9">
        <v>1</v>
      </c>
      <c r="C300" s="10">
        <v>3</v>
      </c>
      <c r="D300" s="11">
        <v>65</v>
      </c>
      <c r="E300" s="12">
        <v>20297899830</v>
      </c>
      <c r="F300" s="13" t="s">
        <v>73</v>
      </c>
      <c r="G300" s="14">
        <v>1389803.25</v>
      </c>
      <c r="H300" s="14">
        <v>291858.6825</v>
      </c>
      <c r="I300" s="14"/>
      <c r="J300" s="14"/>
      <c r="K300" s="14"/>
      <c r="L300" s="14"/>
      <c r="M300" s="14"/>
      <c r="N300" s="14"/>
      <c r="O300" s="14"/>
      <c r="P300" s="14"/>
      <c r="Q300" s="14">
        <v>1681661.9325000001</v>
      </c>
      <c r="R300" s="1"/>
    </row>
    <row r="301" spans="1:18" ht="18.75" x14ac:dyDescent="0.3">
      <c r="A301" s="8">
        <v>45057</v>
      </c>
      <c r="B301" s="9">
        <v>1</v>
      </c>
      <c r="C301" s="10">
        <v>2466</v>
      </c>
      <c r="D301" s="11">
        <v>507853</v>
      </c>
      <c r="E301" s="12">
        <v>30678814357</v>
      </c>
      <c r="F301" s="13" t="s">
        <v>116</v>
      </c>
      <c r="G301" s="14">
        <v>4343</v>
      </c>
      <c r="H301" s="14"/>
      <c r="I301" s="14">
        <v>1172.6099999999999</v>
      </c>
      <c r="J301" s="14"/>
      <c r="K301" s="14">
        <v>130.29</v>
      </c>
      <c r="L301" s="14"/>
      <c r="M301" s="14"/>
      <c r="N301" s="14"/>
      <c r="O301" s="14"/>
      <c r="P301" s="14">
        <v>228.58</v>
      </c>
      <c r="Q301" s="14">
        <v>5874.48</v>
      </c>
      <c r="R301" s="1"/>
    </row>
    <row r="302" spans="1:18" ht="18.75" x14ac:dyDescent="0.3">
      <c r="A302" s="8">
        <v>45047</v>
      </c>
      <c r="B302" s="9">
        <v>1</v>
      </c>
      <c r="C302" s="10">
        <v>3</v>
      </c>
      <c r="D302" s="11">
        <v>189273</v>
      </c>
      <c r="E302" s="12">
        <v>30707135596</v>
      </c>
      <c r="F302" s="13" t="s">
        <v>117</v>
      </c>
      <c r="G302" s="14">
        <v>5115</v>
      </c>
      <c r="H302" s="14">
        <v>1074.1499999999999</v>
      </c>
      <c r="I302" s="14"/>
      <c r="J302" s="14"/>
      <c r="K302" s="14"/>
      <c r="L302" s="14"/>
      <c r="M302" s="14"/>
      <c r="N302" s="14"/>
      <c r="O302" s="14"/>
      <c r="P302" s="14"/>
      <c r="Q302" s="14">
        <v>6189.15</v>
      </c>
      <c r="R302" s="1"/>
    </row>
    <row r="303" spans="1:18" ht="18.75" x14ac:dyDescent="0.3">
      <c r="A303" s="8">
        <v>45068</v>
      </c>
      <c r="B303" s="9">
        <v>99</v>
      </c>
      <c r="C303" s="10">
        <v>1</v>
      </c>
      <c r="D303" s="11">
        <v>1033148</v>
      </c>
      <c r="E303" s="12">
        <v>30571421352</v>
      </c>
      <c r="F303" s="13" t="s">
        <v>43</v>
      </c>
      <c r="G303" s="14">
        <v>5858.75</v>
      </c>
      <c r="H303" s="14">
        <v>1230.3374999999999</v>
      </c>
      <c r="I303" s="14"/>
      <c r="J303" s="14"/>
      <c r="K303" s="14"/>
      <c r="L303" s="14"/>
      <c r="M303" s="14">
        <v>175.76</v>
      </c>
      <c r="N303" s="14"/>
      <c r="O303" s="14"/>
      <c r="P303" s="14"/>
      <c r="Q303" s="14">
        <f>SUM(G303:P303)</f>
        <v>7264.8474999999999</v>
      </c>
    </row>
    <row r="304" spans="1:18" ht="18.75" x14ac:dyDescent="0.3">
      <c r="A304" s="8">
        <v>45063</v>
      </c>
      <c r="B304" s="9">
        <v>99</v>
      </c>
      <c r="C304" s="10">
        <v>1</v>
      </c>
      <c r="D304" s="11">
        <v>17547987</v>
      </c>
      <c r="E304" s="12">
        <v>30571421352</v>
      </c>
      <c r="F304" s="13" t="s">
        <v>43</v>
      </c>
      <c r="G304" s="14">
        <v>26576.523809523809</v>
      </c>
      <c r="H304" s="14">
        <v>5581.07</v>
      </c>
      <c r="I304" s="14"/>
      <c r="J304" s="14"/>
      <c r="K304" s="14"/>
      <c r="L304" s="14"/>
      <c r="M304" s="14">
        <v>797.3</v>
      </c>
      <c r="N304" s="14"/>
      <c r="O304" s="14"/>
      <c r="P304" s="14"/>
      <c r="Q304" s="14">
        <f t="shared" ref="Q304:Q307" si="4">SUM(G304:P304)</f>
        <v>32954.893809523812</v>
      </c>
    </row>
    <row r="305" spans="1:18" ht="18.75" x14ac:dyDescent="0.3">
      <c r="A305" s="8">
        <v>45069</v>
      </c>
      <c r="B305" s="9">
        <v>99</v>
      </c>
      <c r="C305" s="10">
        <v>1</v>
      </c>
      <c r="D305" s="11">
        <v>18708657</v>
      </c>
      <c r="E305" s="12">
        <v>30571421352</v>
      </c>
      <c r="F305" s="13" t="s">
        <v>43</v>
      </c>
      <c r="G305" s="14">
        <v>61606.857142857145</v>
      </c>
      <c r="H305" s="14">
        <v>12937.44</v>
      </c>
      <c r="I305" s="14"/>
      <c r="J305" s="14"/>
      <c r="K305" s="14"/>
      <c r="L305" s="14"/>
      <c r="M305" s="14">
        <v>1848.21</v>
      </c>
      <c r="N305" s="14"/>
      <c r="O305" s="14"/>
      <c r="P305" s="14"/>
      <c r="Q305" s="14">
        <f t="shared" si="4"/>
        <v>76392.507142857154</v>
      </c>
    </row>
    <row r="306" spans="1:18" ht="18.75" x14ac:dyDescent="0.3">
      <c r="A306" s="8">
        <v>45055</v>
      </c>
      <c r="B306" s="9">
        <v>99</v>
      </c>
      <c r="C306" s="10">
        <v>1</v>
      </c>
      <c r="D306" s="11">
        <v>230509</v>
      </c>
      <c r="E306" s="12">
        <v>30571421352</v>
      </c>
      <c r="F306" s="13" t="s">
        <v>43</v>
      </c>
      <c r="G306" s="14">
        <v>17590.5</v>
      </c>
      <c r="H306" s="14">
        <v>3694.0049999999997</v>
      </c>
      <c r="I306" s="14"/>
      <c r="J306" s="14"/>
      <c r="K306" s="14"/>
      <c r="L306" s="14"/>
      <c r="M306" s="14"/>
      <c r="N306" s="14"/>
      <c r="O306" s="14"/>
      <c r="P306" s="14"/>
      <c r="Q306" s="14">
        <f t="shared" si="4"/>
        <v>21284.505000000001</v>
      </c>
    </row>
    <row r="307" spans="1:18" ht="18.75" x14ac:dyDescent="0.3">
      <c r="A307" s="8">
        <v>45070</v>
      </c>
      <c r="B307" s="9">
        <v>99</v>
      </c>
      <c r="C307" s="10">
        <v>1</v>
      </c>
      <c r="D307" s="11">
        <v>240523</v>
      </c>
      <c r="E307" s="12">
        <v>30571421352</v>
      </c>
      <c r="F307" s="13" t="s">
        <v>43</v>
      </c>
      <c r="G307" s="14">
        <v>170</v>
      </c>
      <c r="H307" s="14">
        <v>35.699999999999996</v>
      </c>
      <c r="I307" s="14"/>
      <c r="J307" s="14"/>
      <c r="K307" s="14"/>
      <c r="L307" s="14"/>
      <c r="M307" s="14"/>
      <c r="N307" s="14"/>
      <c r="O307" s="14"/>
      <c r="P307" s="14"/>
      <c r="Q307" s="14">
        <f t="shared" si="4"/>
        <v>205.7</v>
      </c>
    </row>
    <row r="308" spans="1:18" ht="19.5" thickBot="1" x14ac:dyDescent="0.35">
      <c r="A308" s="23" t="s">
        <v>17</v>
      </c>
      <c r="B308" s="23"/>
      <c r="C308" s="23"/>
      <c r="D308" s="23"/>
      <c r="E308" s="23"/>
      <c r="F308" s="23"/>
      <c r="G308" s="17">
        <f>SUM(G270:G307)</f>
        <v>5344969.8919523815</v>
      </c>
      <c r="H308" s="17">
        <f t="shared" ref="H308:Q308" si="5">SUM(H270:H307)</f>
        <v>1115963.0303099998</v>
      </c>
      <c r="I308" s="17">
        <f t="shared" si="5"/>
        <v>1172.6099999999999</v>
      </c>
      <c r="J308" s="17">
        <f t="shared" si="5"/>
        <v>2784.31</v>
      </c>
      <c r="K308" s="17">
        <f t="shared" si="5"/>
        <v>130.29</v>
      </c>
      <c r="L308" s="17">
        <f t="shared" si="5"/>
        <v>0</v>
      </c>
      <c r="M308" s="17">
        <f t="shared" si="5"/>
        <v>2821.27</v>
      </c>
      <c r="N308" s="17">
        <f t="shared" si="5"/>
        <v>0</v>
      </c>
      <c r="O308" s="17">
        <f t="shared" si="5"/>
        <v>0</v>
      </c>
      <c r="P308" s="17">
        <f t="shared" si="5"/>
        <v>-27288.168999999983</v>
      </c>
      <c r="Q308" s="17">
        <f t="shared" si="5"/>
        <v>6440553.2332623815</v>
      </c>
    </row>
    <row r="309" spans="1:18" ht="19.5" thickBot="1" x14ac:dyDescent="0.35">
      <c r="A309" s="15"/>
      <c r="B309" s="15"/>
      <c r="C309" s="15"/>
      <c r="D309" s="15"/>
      <c r="E309" s="15"/>
      <c r="F309" s="15"/>
      <c r="G309" s="16"/>
      <c r="H309" s="18"/>
      <c r="I309" s="19">
        <f>SUM(H308:J308)</f>
        <v>1119919.95031</v>
      </c>
      <c r="J309" s="20"/>
      <c r="K309" s="16"/>
      <c r="L309" s="16"/>
      <c r="M309" s="16"/>
      <c r="N309" s="16"/>
      <c r="O309" s="16"/>
      <c r="P309" s="16"/>
      <c r="Q309" s="16"/>
    </row>
    <row r="315" spans="1:18" ht="29.25" thickBot="1" x14ac:dyDescent="0.5">
      <c r="A315" s="24" t="s">
        <v>0</v>
      </c>
      <c r="B315" s="24"/>
      <c r="C315" s="24"/>
      <c r="D315" s="24"/>
      <c r="E315" s="24"/>
      <c r="F315" s="21"/>
      <c r="G315" s="22"/>
      <c r="H315" s="22"/>
      <c r="I315" s="22"/>
      <c r="J315" s="22"/>
      <c r="K315" s="22"/>
      <c r="L315" s="22"/>
      <c r="M315" s="22"/>
      <c r="N315" s="22"/>
      <c r="O315" s="25">
        <v>45078</v>
      </c>
      <c r="P315" s="26"/>
      <c r="Q315" s="26"/>
    </row>
    <row r="316" spans="1:18" ht="18.75" x14ac:dyDescent="0.3">
      <c r="A316" s="6" t="s">
        <v>1</v>
      </c>
      <c r="B316" s="6" t="s">
        <v>2</v>
      </c>
      <c r="C316" s="6" t="s">
        <v>3</v>
      </c>
      <c r="D316" s="6" t="s">
        <v>4</v>
      </c>
      <c r="E316" s="6" t="s">
        <v>5</v>
      </c>
      <c r="F316" s="6" t="s">
        <v>6</v>
      </c>
      <c r="G316" s="7" t="s">
        <v>7</v>
      </c>
      <c r="H316" s="7" t="s">
        <v>8</v>
      </c>
      <c r="I316" s="7" t="s">
        <v>9</v>
      </c>
      <c r="J316" s="7" t="s">
        <v>10</v>
      </c>
      <c r="K316" s="7" t="s">
        <v>11</v>
      </c>
      <c r="L316" s="7" t="s">
        <v>12</v>
      </c>
      <c r="M316" s="7" t="s">
        <v>13</v>
      </c>
      <c r="N316" s="7" t="s">
        <v>14</v>
      </c>
      <c r="O316" s="7" t="s">
        <v>15</v>
      </c>
      <c r="P316" s="7" t="s">
        <v>16</v>
      </c>
      <c r="Q316" s="7" t="s">
        <v>17</v>
      </c>
    </row>
    <row r="317" spans="1:18" ht="18.75" x14ac:dyDescent="0.3">
      <c r="A317" s="8">
        <v>45106</v>
      </c>
      <c r="B317" s="9">
        <v>1</v>
      </c>
      <c r="C317" s="10">
        <v>7</v>
      </c>
      <c r="D317" s="11">
        <v>12133</v>
      </c>
      <c r="E317" s="12">
        <v>20261680298</v>
      </c>
      <c r="F317" s="13" t="s">
        <v>133</v>
      </c>
      <c r="G317" s="14">
        <v>4282.12</v>
      </c>
      <c r="H317" s="14">
        <v>170.08</v>
      </c>
      <c r="I317" s="14"/>
      <c r="J317" s="14">
        <v>364.79</v>
      </c>
      <c r="K317" s="14"/>
      <c r="L317" s="14"/>
      <c r="M317" s="14"/>
      <c r="N317" s="14"/>
      <c r="O317" s="14"/>
      <c r="P317" s="14"/>
      <c r="Q317" s="14">
        <v>4816.99</v>
      </c>
      <c r="R317" s="1"/>
    </row>
    <row r="318" spans="1:18" ht="18.75" x14ac:dyDescent="0.3">
      <c r="A318" s="8">
        <v>45107</v>
      </c>
      <c r="B318" s="9">
        <v>1</v>
      </c>
      <c r="C318" s="10">
        <v>3</v>
      </c>
      <c r="D318" s="11">
        <v>2641</v>
      </c>
      <c r="E318" s="12">
        <v>33644262249</v>
      </c>
      <c r="F318" s="13" t="s">
        <v>134</v>
      </c>
      <c r="G318" s="14">
        <v>519675</v>
      </c>
      <c r="H318" s="14">
        <v>109131.75</v>
      </c>
      <c r="I318" s="14"/>
      <c r="J318" s="14"/>
      <c r="K318" s="14"/>
      <c r="L318" s="14"/>
      <c r="M318" s="14"/>
      <c r="N318" s="14"/>
      <c r="O318" s="14"/>
      <c r="P318" s="14"/>
      <c r="Q318" s="14">
        <v>628806.75</v>
      </c>
      <c r="R318" s="1"/>
    </row>
    <row r="319" spans="1:18" ht="18.75" x14ac:dyDescent="0.3">
      <c r="A319" s="8">
        <v>45079</v>
      </c>
      <c r="B319" s="9">
        <v>1</v>
      </c>
      <c r="C319" s="10">
        <v>7</v>
      </c>
      <c r="D319" s="11">
        <v>12365</v>
      </c>
      <c r="E319" s="12">
        <v>30604413482</v>
      </c>
      <c r="F319" s="13" t="s">
        <v>135</v>
      </c>
      <c r="G319" s="14">
        <v>60285</v>
      </c>
      <c r="H319" s="14">
        <v>12659.85</v>
      </c>
      <c r="I319" s="14"/>
      <c r="J319" s="14"/>
      <c r="K319" s="14"/>
      <c r="L319" s="14"/>
      <c r="M319" s="14"/>
      <c r="N319" s="14"/>
      <c r="O319" s="14"/>
      <c r="P319" s="14"/>
      <c r="Q319" s="14">
        <v>72944.850000000006</v>
      </c>
      <c r="R319" s="1"/>
    </row>
    <row r="320" spans="1:18" ht="18.75" x14ac:dyDescent="0.3">
      <c r="A320" s="8">
        <v>45079</v>
      </c>
      <c r="B320" s="9">
        <v>1</v>
      </c>
      <c r="C320" s="10">
        <v>5</v>
      </c>
      <c r="D320" s="11">
        <v>1185</v>
      </c>
      <c r="E320" s="12">
        <v>20324025430</v>
      </c>
      <c r="F320" s="13" t="s">
        <v>136</v>
      </c>
      <c r="G320" s="14">
        <v>93387.6</v>
      </c>
      <c r="H320" s="14">
        <v>19611.396000000001</v>
      </c>
      <c r="I320" s="14"/>
      <c r="J320" s="14"/>
      <c r="K320" s="14"/>
      <c r="L320" s="14"/>
      <c r="M320" s="14"/>
      <c r="N320" s="14"/>
      <c r="O320" s="14"/>
      <c r="P320" s="14"/>
      <c r="Q320" s="14">
        <v>112998.99600000001</v>
      </c>
      <c r="R320" s="1"/>
    </row>
    <row r="321" spans="1:18" ht="18.75" x14ac:dyDescent="0.3">
      <c r="A321" s="8">
        <v>45084</v>
      </c>
      <c r="B321" s="9">
        <v>1</v>
      </c>
      <c r="C321" s="10">
        <v>10</v>
      </c>
      <c r="D321" s="11">
        <v>193</v>
      </c>
      <c r="E321" s="12">
        <v>20388544539</v>
      </c>
      <c r="F321" s="13" t="s">
        <v>137</v>
      </c>
      <c r="G321" s="14">
        <v>12578.51</v>
      </c>
      <c r="H321" s="14">
        <v>2641.4870999999998</v>
      </c>
      <c r="I321" s="14"/>
      <c r="J321" s="14"/>
      <c r="K321" s="14"/>
      <c r="L321" s="14"/>
      <c r="M321" s="14"/>
      <c r="N321" s="14"/>
      <c r="O321" s="14"/>
      <c r="P321" s="14"/>
      <c r="Q321" s="14">
        <v>15219.997100000001</v>
      </c>
      <c r="R321" s="1"/>
    </row>
    <row r="322" spans="1:18" ht="18.75" x14ac:dyDescent="0.3">
      <c r="A322" s="8">
        <v>45078</v>
      </c>
      <c r="B322" s="9">
        <v>1</v>
      </c>
      <c r="C322" s="10">
        <v>1</v>
      </c>
      <c r="D322" s="11">
        <v>613</v>
      </c>
      <c r="E322" s="12">
        <v>30715048066</v>
      </c>
      <c r="F322" s="13" t="s">
        <v>23</v>
      </c>
      <c r="G322" s="14">
        <v>128860</v>
      </c>
      <c r="H322" s="14">
        <v>27060.6</v>
      </c>
      <c r="I322" s="14"/>
      <c r="J322" s="14"/>
      <c r="K322" s="14"/>
      <c r="L322" s="14"/>
      <c r="M322" s="14"/>
      <c r="N322" s="14"/>
      <c r="O322" s="14"/>
      <c r="P322" s="14"/>
      <c r="Q322" s="14">
        <v>155920.6</v>
      </c>
      <c r="R322" s="1"/>
    </row>
    <row r="323" spans="1:18" ht="18.75" x14ac:dyDescent="0.3">
      <c r="A323" s="8">
        <v>45099</v>
      </c>
      <c r="B323" s="9">
        <v>1</v>
      </c>
      <c r="C323" s="10">
        <v>1</v>
      </c>
      <c r="D323" s="11">
        <v>631</v>
      </c>
      <c r="E323" s="12">
        <v>30715048066</v>
      </c>
      <c r="F323" s="13" t="s">
        <v>23</v>
      </c>
      <c r="G323" s="14">
        <v>134985</v>
      </c>
      <c r="H323" s="14">
        <v>28346.85</v>
      </c>
      <c r="I323" s="14"/>
      <c r="J323" s="14"/>
      <c r="K323" s="14"/>
      <c r="L323" s="14"/>
      <c r="M323" s="14"/>
      <c r="N323" s="14"/>
      <c r="O323" s="14"/>
      <c r="P323" s="14"/>
      <c r="Q323" s="14">
        <v>163331.85</v>
      </c>
      <c r="R323" s="1"/>
    </row>
    <row r="324" spans="1:18" ht="18.75" x14ac:dyDescent="0.3">
      <c r="A324" s="8">
        <v>45090</v>
      </c>
      <c r="B324" s="9">
        <v>1</v>
      </c>
      <c r="C324" s="10">
        <v>6992</v>
      </c>
      <c r="D324" s="11">
        <v>15386</v>
      </c>
      <c r="E324" s="12">
        <v>30678774495</v>
      </c>
      <c r="F324" s="13" t="s">
        <v>58</v>
      </c>
      <c r="G324" s="14">
        <v>7965.86</v>
      </c>
      <c r="H324" s="14">
        <v>1672.8305999999998</v>
      </c>
      <c r="I324" s="14"/>
      <c r="J324" s="14"/>
      <c r="K324" s="14"/>
      <c r="L324" s="14"/>
      <c r="M324" s="14"/>
      <c r="N324" s="14"/>
      <c r="O324" s="14"/>
      <c r="P324" s="14">
        <v>1463.11</v>
      </c>
      <c r="Q324" s="14">
        <v>11101.8006</v>
      </c>
      <c r="R324" s="1"/>
    </row>
    <row r="325" spans="1:18" ht="18.75" x14ac:dyDescent="0.3">
      <c r="A325" s="8">
        <v>45100</v>
      </c>
      <c r="B325" s="9">
        <v>1</v>
      </c>
      <c r="C325" s="10">
        <v>3</v>
      </c>
      <c r="D325" s="11">
        <v>1493657</v>
      </c>
      <c r="E325" s="12">
        <v>30712019359</v>
      </c>
      <c r="F325" s="13" t="s">
        <v>42</v>
      </c>
      <c r="G325" s="14">
        <v>6032.23</v>
      </c>
      <c r="H325" s="14">
        <v>1266.7683</v>
      </c>
      <c r="I325" s="14"/>
      <c r="J325" s="14"/>
      <c r="K325" s="14"/>
      <c r="L325" s="14"/>
      <c r="M325" s="14"/>
      <c r="N325" s="14"/>
      <c r="O325" s="14"/>
      <c r="P325" s="14"/>
      <c r="Q325" s="14">
        <v>7298.9982999999993</v>
      </c>
      <c r="R325" s="1"/>
    </row>
    <row r="326" spans="1:18" ht="18.75" x14ac:dyDescent="0.3">
      <c r="A326" s="8">
        <v>45078</v>
      </c>
      <c r="B326" s="9">
        <v>1</v>
      </c>
      <c r="C326" s="10">
        <v>3</v>
      </c>
      <c r="D326" s="11">
        <v>652</v>
      </c>
      <c r="E326" s="12">
        <v>30715402765</v>
      </c>
      <c r="F326" s="13" t="s">
        <v>100</v>
      </c>
      <c r="G326" s="14">
        <v>14462.81</v>
      </c>
      <c r="H326" s="14">
        <v>3037.1900999999998</v>
      </c>
      <c r="I326" s="14"/>
      <c r="J326" s="14"/>
      <c r="K326" s="14"/>
      <c r="L326" s="14"/>
      <c r="M326" s="14"/>
      <c r="N326" s="14"/>
      <c r="O326" s="14"/>
      <c r="P326" s="14"/>
      <c r="Q326" s="14">
        <v>17500.000099999997</v>
      </c>
      <c r="R326" s="1"/>
    </row>
    <row r="327" spans="1:18" ht="18.75" x14ac:dyDescent="0.3">
      <c r="A327" s="8">
        <v>45099</v>
      </c>
      <c r="B327" s="9">
        <v>2</v>
      </c>
      <c r="C327" s="10">
        <v>755</v>
      </c>
      <c r="D327" s="11">
        <v>3366</v>
      </c>
      <c r="E327" s="12">
        <v>30580111315</v>
      </c>
      <c r="F327" s="13" t="s">
        <v>108</v>
      </c>
      <c r="G327" s="14"/>
      <c r="H327" s="14" t="s">
        <v>138</v>
      </c>
      <c r="I327" s="14"/>
      <c r="J327" s="14"/>
      <c r="K327" s="14"/>
      <c r="L327" s="14"/>
      <c r="M327" s="14"/>
      <c r="N327" s="14"/>
      <c r="O327" s="14"/>
      <c r="P327" s="14">
        <v>12011.18</v>
      </c>
      <c r="Q327" s="14">
        <v>12011.18</v>
      </c>
      <c r="R327" s="1"/>
    </row>
    <row r="328" spans="1:18" ht="18.75" x14ac:dyDescent="0.3">
      <c r="A328" s="8">
        <v>45082</v>
      </c>
      <c r="B328" s="9">
        <v>1</v>
      </c>
      <c r="C328" s="10">
        <v>700</v>
      </c>
      <c r="D328" s="11">
        <v>530115</v>
      </c>
      <c r="E328" s="12">
        <v>30580111315</v>
      </c>
      <c r="F328" s="13" t="s">
        <v>108</v>
      </c>
      <c r="G328" s="14">
        <v>3507</v>
      </c>
      <c r="H328" s="14">
        <v>736.47</v>
      </c>
      <c r="I328" s="14"/>
      <c r="J328" s="14"/>
      <c r="K328" s="14"/>
      <c r="L328" s="14"/>
      <c r="M328" s="14"/>
      <c r="N328" s="14"/>
      <c r="O328" s="14"/>
      <c r="P328" s="14">
        <v>139753.95000000001</v>
      </c>
      <c r="Q328" s="14">
        <v>143997.42000000001</v>
      </c>
      <c r="R328" s="1"/>
    </row>
    <row r="329" spans="1:18" ht="18.75" x14ac:dyDescent="0.3">
      <c r="A329" s="8">
        <v>45096</v>
      </c>
      <c r="B329" s="9">
        <v>1</v>
      </c>
      <c r="C329" s="10">
        <v>700</v>
      </c>
      <c r="D329" s="11">
        <v>535871</v>
      </c>
      <c r="E329" s="12">
        <v>30580111315</v>
      </c>
      <c r="F329" s="13" t="s">
        <v>108</v>
      </c>
      <c r="G329" s="14"/>
      <c r="H329" s="14" t="s">
        <v>138</v>
      </c>
      <c r="I329" s="14"/>
      <c r="J329" s="14"/>
      <c r="K329" s="14"/>
      <c r="L329" s="14"/>
      <c r="M329" s="14"/>
      <c r="N329" s="14"/>
      <c r="O329" s="14"/>
      <c r="P329" s="14">
        <v>17213.14</v>
      </c>
      <c r="Q329" s="14">
        <v>17213.14</v>
      </c>
      <c r="R329" s="1"/>
    </row>
    <row r="330" spans="1:18" ht="18.75" x14ac:dyDescent="0.3">
      <c r="A330" s="8">
        <v>45078</v>
      </c>
      <c r="B330" s="9">
        <v>1</v>
      </c>
      <c r="C330" s="10">
        <v>280</v>
      </c>
      <c r="D330" s="11">
        <v>1434438</v>
      </c>
      <c r="E330" s="12">
        <v>30580111315</v>
      </c>
      <c r="F330" s="13" t="s">
        <v>108</v>
      </c>
      <c r="G330" s="14">
        <v>266573.08</v>
      </c>
      <c r="H330" s="14">
        <v>55980.346799999999</v>
      </c>
      <c r="I330" s="14"/>
      <c r="J330" s="14"/>
      <c r="K330" s="14"/>
      <c r="L330" s="14"/>
      <c r="M330" s="14"/>
      <c r="N330" s="14"/>
      <c r="O330" s="14"/>
      <c r="P330" s="14">
        <v>-217973.74</v>
      </c>
      <c r="Q330" s="14">
        <v>104579.68680000002</v>
      </c>
      <c r="R330" s="1"/>
    </row>
    <row r="331" spans="1:18" ht="18.75" x14ac:dyDescent="0.3">
      <c r="A331" s="8">
        <v>45078</v>
      </c>
      <c r="B331" s="9">
        <v>1</v>
      </c>
      <c r="C331" s="10">
        <v>280</v>
      </c>
      <c r="D331" s="11">
        <v>1435509</v>
      </c>
      <c r="E331" s="12">
        <v>30580111315</v>
      </c>
      <c r="F331" s="13" t="s">
        <v>108</v>
      </c>
      <c r="G331" s="14">
        <v>259322.22500000001</v>
      </c>
      <c r="H331" s="14">
        <v>54457.667249999999</v>
      </c>
      <c r="I331" s="14"/>
      <c r="J331" s="14"/>
      <c r="K331" s="14"/>
      <c r="L331" s="14"/>
      <c r="M331" s="14"/>
      <c r="N331" s="14"/>
      <c r="O331" s="14"/>
      <c r="P331" s="14">
        <v>-211804.35</v>
      </c>
      <c r="Q331" s="14">
        <v>101975.54225000003</v>
      </c>
      <c r="R331" s="1"/>
    </row>
    <row r="332" spans="1:18" ht="18.75" x14ac:dyDescent="0.3">
      <c r="A332" s="8">
        <v>45093</v>
      </c>
      <c r="B332" s="9">
        <v>1</v>
      </c>
      <c r="C332" s="10">
        <v>106</v>
      </c>
      <c r="D332" s="11">
        <v>641207</v>
      </c>
      <c r="E332" s="12">
        <v>30594494187</v>
      </c>
      <c r="F332" s="13" t="s">
        <v>35</v>
      </c>
      <c r="G332" s="14">
        <v>0</v>
      </c>
      <c r="H332" s="14">
        <v>0</v>
      </c>
      <c r="I332" s="14"/>
      <c r="J332" s="14"/>
      <c r="K332" s="14"/>
      <c r="L332" s="14"/>
      <c r="M332" s="14"/>
      <c r="N332" s="14"/>
      <c r="O332" s="14"/>
      <c r="P332" s="14">
        <v>83121.39</v>
      </c>
      <c r="Q332" s="14">
        <v>83121.39</v>
      </c>
      <c r="R332" s="1"/>
    </row>
    <row r="333" spans="1:18" ht="18.75" x14ac:dyDescent="0.3">
      <c r="A333" s="8">
        <v>45096</v>
      </c>
      <c r="B333" s="9">
        <v>1</v>
      </c>
      <c r="C333" s="10">
        <v>1</v>
      </c>
      <c r="D333" s="11">
        <v>171</v>
      </c>
      <c r="E333" s="12">
        <v>30707153142</v>
      </c>
      <c r="F333" s="13" t="s">
        <v>139</v>
      </c>
      <c r="G333" s="14">
        <v>30821.72</v>
      </c>
      <c r="H333" s="14"/>
      <c r="I333" s="14"/>
      <c r="J333" s="14">
        <v>3236.28</v>
      </c>
      <c r="K333" s="14"/>
      <c r="L333" s="14"/>
      <c r="M333" s="14"/>
      <c r="N333" s="14"/>
      <c r="O333" s="14"/>
      <c r="P333" s="14"/>
      <c r="Q333" s="14">
        <v>34058</v>
      </c>
      <c r="R333" s="1"/>
    </row>
    <row r="334" spans="1:18" ht="18.75" x14ac:dyDescent="0.3">
      <c r="A334" s="8">
        <v>45086</v>
      </c>
      <c r="B334" s="9">
        <v>1</v>
      </c>
      <c r="C334" s="10">
        <v>5</v>
      </c>
      <c r="D334" s="11">
        <v>5957</v>
      </c>
      <c r="E334" s="12">
        <v>33711557119</v>
      </c>
      <c r="F334" s="13" t="s">
        <v>140</v>
      </c>
      <c r="G334" s="14">
        <v>1452.48</v>
      </c>
      <c r="H334" s="14">
        <v>305.02080000000001</v>
      </c>
      <c r="I334" s="14"/>
      <c r="J334" s="14"/>
      <c r="K334" s="14"/>
      <c r="L334" s="14"/>
      <c r="M334" s="14"/>
      <c r="N334" s="14"/>
      <c r="O334" s="14"/>
      <c r="P334" s="14"/>
      <c r="Q334" s="14">
        <v>1757.5008</v>
      </c>
      <c r="R334" s="1"/>
    </row>
    <row r="335" spans="1:18" ht="18.75" x14ac:dyDescent="0.3">
      <c r="A335" s="8">
        <v>45090</v>
      </c>
      <c r="B335" s="9">
        <v>1</v>
      </c>
      <c r="C335" s="10">
        <v>5</v>
      </c>
      <c r="D335" s="11">
        <v>5982</v>
      </c>
      <c r="E335" s="12">
        <v>33711557119</v>
      </c>
      <c r="F335" s="13" t="s">
        <v>140</v>
      </c>
      <c r="G335" s="14">
        <v>3075.45</v>
      </c>
      <c r="H335" s="14">
        <v>313.23</v>
      </c>
      <c r="I335" s="14"/>
      <c r="J335" s="14">
        <v>166.29</v>
      </c>
      <c r="K335" s="14"/>
      <c r="L335" s="14"/>
      <c r="M335" s="14"/>
      <c r="N335" s="14"/>
      <c r="O335" s="14"/>
      <c r="P335" s="14"/>
      <c r="Q335" s="14">
        <v>3554.97</v>
      </c>
      <c r="R335" s="1"/>
    </row>
    <row r="336" spans="1:18" ht="18.75" x14ac:dyDescent="0.3">
      <c r="A336" s="8">
        <v>45089</v>
      </c>
      <c r="B336" s="9">
        <v>1</v>
      </c>
      <c r="C336" s="10">
        <v>2</v>
      </c>
      <c r="D336" s="11">
        <v>173</v>
      </c>
      <c r="E336" s="12">
        <v>20125142851</v>
      </c>
      <c r="F336" s="13" t="s">
        <v>19</v>
      </c>
      <c r="G336" s="14">
        <v>100169.76</v>
      </c>
      <c r="H336" s="14">
        <v>21035.649599999997</v>
      </c>
      <c r="I336" s="14"/>
      <c r="J336" s="14"/>
      <c r="K336" s="14"/>
      <c r="L336" s="14"/>
      <c r="M336" s="14"/>
      <c r="N336" s="14"/>
      <c r="O336" s="14"/>
      <c r="P336" s="14"/>
      <c r="Q336" s="14">
        <v>121205.40959999998</v>
      </c>
      <c r="R336" s="1"/>
    </row>
    <row r="337" spans="1:18" ht="18.75" x14ac:dyDescent="0.3">
      <c r="A337" s="8">
        <v>45089</v>
      </c>
      <c r="B337" s="9">
        <v>1</v>
      </c>
      <c r="C337" s="10">
        <v>2</v>
      </c>
      <c r="D337" s="11">
        <v>174</v>
      </c>
      <c r="E337" s="12">
        <v>20125142851</v>
      </c>
      <c r="F337" s="13" t="s">
        <v>19</v>
      </c>
      <c r="G337" s="14">
        <v>123030.24</v>
      </c>
      <c r="H337" s="14">
        <v>25836.350399999999</v>
      </c>
      <c r="I337" s="14"/>
      <c r="J337" s="14"/>
      <c r="K337" s="14"/>
      <c r="L337" s="14"/>
      <c r="M337" s="14"/>
      <c r="N337" s="14"/>
      <c r="O337" s="14"/>
      <c r="P337" s="14"/>
      <c r="Q337" s="14">
        <v>148866.59040000002</v>
      </c>
      <c r="R337" s="1"/>
    </row>
    <row r="338" spans="1:18" ht="18.75" x14ac:dyDescent="0.3">
      <c r="A338" s="8">
        <v>45092</v>
      </c>
      <c r="B338" s="9">
        <v>1</v>
      </c>
      <c r="C338" s="10">
        <v>2</v>
      </c>
      <c r="D338" s="11">
        <v>175</v>
      </c>
      <c r="E338" s="12">
        <v>20125142851</v>
      </c>
      <c r="F338" s="13" t="s">
        <v>19</v>
      </c>
      <c r="G338" s="14">
        <v>66779.839999999997</v>
      </c>
      <c r="H338" s="14">
        <v>14023.766399999999</v>
      </c>
      <c r="I338" s="14"/>
      <c r="J338" s="14"/>
      <c r="K338" s="14"/>
      <c r="L338" s="14"/>
      <c r="M338" s="14"/>
      <c r="N338" s="14"/>
      <c r="O338" s="14"/>
      <c r="P338" s="14"/>
      <c r="Q338" s="14">
        <v>80803.60639999999</v>
      </c>
      <c r="R338" s="1"/>
    </row>
    <row r="339" spans="1:18" ht="18.75" x14ac:dyDescent="0.3">
      <c r="A339" s="8">
        <v>45092</v>
      </c>
      <c r="B339" s="9">
        <v>1</v>
      </c>
      <c r="C339" s="10">
        <v>2</v>
      </c>
      <c r="D339" s="11">
        <v>176</v>
      </c>
      <c r="E339" s="12">
        <v>20125142851</v>
      </c>
      <c r="F339" s="13" t="s">
        <v>19</v>
      </c>
      <c r="G339" s="14">
        <v>82020.160000000003</v>
      </c>
      <c r="H339" s="14">
        <v>17224.2336</v>
      </c>
      <c r="I339" s="14"/>
      <c r="J339" s="14"/>
      <c r="K339" s="14"/>
      <c r="L339" s="14"/>
      <c r="M339" s="14"/>
      <c r="N339" s="14"/>
      <c r="O339" s="14"/>
      <c r="P339" s="14"/>
      <c r="Q339" s="14">
        <v>99244.39360000001</v>
      </c>
      <c r="R339" s="1"/>
    </row>
    <row r="340" spans="1:18" ht="18.75" x14ac:dyDescent="0.3">
      <c r="A340" s="8">
        <v>45102</v>
      </c>
      <c r="B340" s="9">
        <v>1</v>
      </c>
      <c r="C340" s="10">
        <v>2</v>
      </c>
      <c r="D340" s="11">
        <v>177</v>
      </c>
      <c r="E340" s="12">
        <v>20125142851</v>
      </c>
      <c r="F340" s="13" t="s">
        <v>19</v>
      </c>
      <c r="G340" s="14">
        <v>69483</v>
      </c>
      <c r="H340" s="14">
        <v>14591.43</v>
      </c>
      <c r="I340" s="14"/>
      <c r="J340" s="14"/>
      <c r="K340" s="14"/>
      <c r="L340" s="14"/>
      <c r="M340" s="14"/>
      <c r="N340" s="14"/>
      <c r="O340" s="14"/>
      <c r="P340" s="14"/>
      <c r="Q340" s="14">
        <v>84074.43</v>
      </c>
      <c r="R340" s="1"/>
    </row>
    <row r="341" spans="1:18" ht="18.75" x14ac:dyDescent="0.3">
      <c r="A341" s="8">
        <v>45104</v>
      </c>
      <c r="B341" s="9">
        <v>1</v>
      </c>
      <c r="C341" s="10">
        <v>6</v>
      </c>
      <c r="D341" s="11">
        <v>19055</v>
      </c>
      <c r="E341" s="12">
        <v>30709459399</v>
      </c>
      <c r="F341" s="13" t="s">
        <v>141</v>
      </c>
      <c r="G341" s="14">
        <v>30010.86</v>
      </c>
      <c r="H341" s="14"/>
      <c r="I341" s="14"/>
      <c r="J341" s="14">
        <v>3151.14</v>
      </c>
      <c r="K341" s="14"/>
      <c r="L341" s="14"/>
      <c r="M341" s="14"/>
      <c r="N341" s="14"/>
      <c r="O341" s="14"/>
      <c r="P341" s="14"/>
      <c r="Q341" s="14">
        <v>33162</v>
      </c>
      <c r="R341" s="1"/>
    </row>
    <row r="342" spans="1:18" ht="18.75" x14ac:dyDescent="0.3">
      <c r="A342" s="8">
        <v>45104</v>
      </c>
      <c r="B342" s="9">
        <v>1</v>
      </c>
      <c r="C342" s="10">
        <v>4</v>
      </c>
      <c r="D342" s="11">
        <v>2928</v>
      </c>
      <c r="E342" s="12">
        <v>30715002848</v>
      </c>
      <c r="F342" s="13" t="s">
        <v>142</v>
      </c>
      <c r="G342" s="14">
        <v>8243.7999999999993</v>
      </c>
      <c r="H342" s="14">
        <v>1731.1979999999999</v>
      </c>
      <c r="I342" s="14"/>
      <c r="J342" s="14"/>
      <c r="K342" s="14"/>
      <c r="L342" s="14"/>
      <c r="M342" s="14"/>
      <c r="N342" s="14"/>
      <c r="O342" s="14"/>
      <c r="P342" s="14"/>
      <c r="Q342" s="14">
        <v>9974.9979999999996</v>
      </c>
      <c r="R342" s="1"/>
    </row>
    <row r="343" spans="1:18" ht="18.75" x14ac:dyDescent="0.3">
      <c r="A343" s="8">
        <v>45082</v>
      </c>
      <c r="B343" s="9">
        <v>1</v>
      </c>
      <c r="C343" s="10">
        <v>5</v>
      </c>
      <c r="D343" s="11">
        <v>4100</v>
      </c>
      <c r="E343" s="12">
        <v>20348111478</v>
      </c>
      <c r="F343" s="13" t="s">
        <v>143</v>
      </c>
      <c r="G343" s="14">
        <v>11161.98</v>
      </c>
      <c r="H343" s="14">
        <v>2344.0157999999997</v>
      </c>
      <c r="I343" s="14"/>
      <c r="J343" s="14"/>
      <c r="K343" s="14"/>
      <c r="L343" s="14"/>
      <c r="M343" s="14"/>
      <c r="N343" s="14"/>
      <c r="O343" s="14"/>
      <c r="P343" s="14"/>
      <c r="Q343" s="14">
        <v>13505.995799999999</v>
      </c>
      <c r="R343" s="1"/>
    </row>
    <row r="344" spans="1:18" ht="18.75" x14ac:dyDescent="0.3">
      <c r="A344" s="8">
        <v>45098</v>
      </c>
      <c r="B344" s="9">
        <v>1</v>
      </c>
      <c r="C344" s="10">
        <v>15</v>
      </c>
      <c r="D344" s="11">
        <v>9453</v>
      </c>
      <c r="E344" s="12">
        <v>33708907869</v>
      </c>
      <c r="F344" s="13" t="s">
        <v>144</v>
      </c>
      <c r="G344" s="14">
        <v>14932.13</v>
      </c>
      <c r="H344" s="14"/>
      <c r="I344" s="14"/>
      <c r="J344" s="14">
        <v>1567.87</v>
      </c>
      <c r="K344" s="14"/>
      <c r="L344" s="14"/>
      <c r="M344" s="14"/>
      <c r="N344" s="14"/>
      <c r="O344" s="14"/>
      <c r="P344" s="14"/>
      <c r="Q344" s="14">
        <v>16500</v>
      </c>
      <c r="R344" s="1"/>
    </row>
    <row r="345" spans="1:18" ht="18.75" x14ac:dyDescent="0.3">
      <c r="A345" s="8">
        <v>45096</v>
      </c>
      <c r="B345" s="9">
        <v>1</v>
      </c>
      <c r="C345" s="10">
        <v>42</v>
      </c>
      <c r="D345" s="11">
        <v>6635</v>
      </c>
      <c r="E345" s="12">
        <v>30662533072</v>
      </c>
      <c r="F345" s="13" t="s">
        <v>145</v>
      </c>
      <c r="G345" s="14">
        <v>15701.65</v>
      </c>
      <c r="H345" s="14">
        <v>3297.3464999999997</v>
      </c>
      <c r="I345" s="14"/>
      <c r="J345" s="14"/>
      <c r="K345" s="14"/>
      <c r="L345" s="14"/>
      <c r="M345" s="14"/>
      <c r="N345" s="14"/>
      <c r="O345" s="14"/>
      <c r="P345" s="14"/>
      <c r="Q345" s="14">
        <v>18998.996500000001</v>
      </c>
      <c r="R345" s="1"/>
    </row>
    <row r="346" spans="1:18" ht="18.75" x14ac:dyDescent="0.3">
      <c r="A346" s="8">
        <v>45107</v>
      </c>
      <c r="B346" s="9">
        <v>1</v>
      </c>
      <c r="C346" s="10">
        <v>6</v>
      </c>
      <c r="D346" s="11">
        <v>12077</v>
      </c>
      <c r="E346" s="12">
        <v>30707756434</v>
      </c>
      <c r="F346" s="13" t="s">
        <v>61</v>
      </c>
      <c r="G346" s="14">
        <v>33600</v>
      </c>
      <c r="H346" s="14">
        <v>7056</v>
      </c>
      <c r="I346" s="14"/>
      <c r="J346" s="14"/>
      <c r="K346" s="14"/>
      <c r="L346" s="14"/>
      <c r="M346" s="14"/>
      <c r="N346" s="14"/>
      <c r="O346" s="14"/>
      <c r="P346" s="14"/>
      <c r="Q346" s="14">
        <v>40656</v>
      </c>
      <c r="R346" s="1"/>
    </row>
    <row r="347" spans="1:18" ht="18.75" x14ac:dyDescent="0.3">
      <c r="A347" s="8">
        <v>45099</v>
      </c>
      <c r="B347" s="9">
        <v>1</v>
      </c>
      <c r="C347" s="10">
        <v>4</v>
      </c>
      <c r="D347" s="11">
        <v>95972</v>
      </c>
      <c r="E347" s="12">
        <v>30559932236</v>
      </c>
      <c r="F347" s="13" t="s">
        <v>130</v>
      </c>
      <c r="G347" s="14">
        <v>49153.13</v>
      </c>
      <c r="H347" s="14">
        <v>10322.157299999999</v>
      </c>
      <c r="I347" s="14"/>
      <c r="J347" s="14"/>
      <c r="K347" s="14"/>
      <c r="L347" s="14"/>
      <c r="M347" s="14"/>
      <c r="N347" s="14"/>
      <c r="O347" s="14"/>
      <c r="P347" s="14"/>
      <c r="Q347" s="14">
        <v>59475.287299999996</v>
      </c>
      <c r="R347" s="1"/>
    </row>
    <row r="348" spans="1:18" ht="18.75" x14ac:dyDescent="0.3">
      <c r="A348" s="8">
        <v>45105</v>
      </c>
      <c r="B348" s="9">
        <v>1</v>
      </c>
      <c r="C348" s="10">
        <v>2</v>
      </c>
      <c r="D348" s="11">
        <v>1360</v>
      </c>
      <c r="E348" s="12">
        <v>30709045632</v>
      </c>
      <c r="F348" s="13" t="s">
        <v>146</v>
      </c>
      <c r="G348" s="14">
        <v>7932.22</v>
      </c>
      <c r="H348" s="14">
        <v>1665.7662</v>
      </c>
      <c r="I348" s="14"/>
      <c r="J348" s="14"/>
      <c r="K348" s="14"/>
      <c r="L348" s="14"/>
      <c r="M348" s="14"/>
      <c r="N348" s="14"/>
      <c r="O348" s="14"/>
      <c r="P348" s="14"/>
      <c r="Q348" s="14">
        <v>9597.9861999999994</v>
      </c>
      <c r="R348" s="1"/>
    </row>
    <row r="349" spans="1:18" ht="18.75" x14ac:dyDescent="0.3">
      <c r="A349" s="8">
        <v>45104</v>
      </c>
      <c r="B349" s="9">
        <v>1</v>
      </c>
      <c r="C349" s="10">
        <v>4</v>
      </c>
      <c r="D349" s="11">
        <v>15482</v>
      </c>
      <c r="E349" s="12">
        <v>30709362875</v>
      </c>
      <c r="F349" s="13" t="s">
        <v>147</v>
      </c>
      <c r="G349" s="14">
        <v>9375.7199999999993</v>
      </c>
      <c r="H349" s="14"/>
      <c r="I349" s="14"/>
      <c r="J349" s="14">
        <v>984.45</v>
      </c>
      <c r="K349" s="14"/>
      <c r="L349" s="14"/>
      <c r="M349" s="14"/>
      <c r="N349" s="14"/>
      <c r="O349" s="14"/>
      <c r="P349" s="14"/>
      <c r="Q349" s="14">
        <v>10360.17</v>
      </c>
      <c r="R349" s="1"/>
    </row>
    <row r="350" spans="1:18" ht="18.75" x14ac:dyDescent="0.3">
      <c r="A350" s="8">
        <v>45088</v>
      </c>
      <c r="B350" s="9">
        <v>1</v>
      </c>
      <c r="C350" s="10">
        <v>2466</v>
      </c>
      <c r="D350" s="11">
        <v>519676</v>
      </c>
      <c r="E350" s="12">
        <v>30678814357</v>
      </c>
      <c r="F350" s="13" t="s">
        <v>116</v>
      </c>
      <c r="G350" s="14">
        <v>4481</v>
      </c>
      <c r="H350" s="14"/>
      <c r="I350" s="14">
        <v>1209.8699999999999</v>
      </c>
      <c r="J350" s="14"/>
      <c r="K350" s="14">
        <v>134.43</v>
      </c>
      <c r="L350" s="14"/>
      <c r="M350" s="14"/>
      <c r="N350" s="14"/>
      <c r="O350" s="14"/>
      <c r="P350" s="14">
        <v>235.84</v>
      </c>
      <c r="Q350" s="14">
        <v>6061.14</v>
      </c>
      <c r="R350" s="1"/>
    </row>
    <row r="351" spans="1:18" ht="18.75" x14ac:dyDescent="0.3">
      <c r="A351" s="8">
        <v>45078</v>
      </c>
      <c r="B351" s="9">
        <v>1</v>
      </c>
      <c r="C351" s="10">
        <v>3</v>
      </c>
      <c r="D351" s="11">
        <v>191879</v>
      </c>
      <c r="E351" s="12">
        <v>30707135596</v>
      </c>
      <c r="F351" s="13" t="s">
        <v>117</v>
      </c>
      <c r="G351" s="14">
        <v>5133.87</v>
      </c>
      <c r="H351" s="14">
        <v>1078.1126999999999</v>
      </c>
      <c r="I351" s="14"/>
      <c r="J351" s="14"/>
      <c r="K351" s="14"/>
      <c r="L351" s="14"/>
      <c r="M351" s="14"/>
      <c r="N351" s="14"/>
      <c r="O351" s="14"/>
      <c r="P351" s="14"/>
      <c r="Q351" s="14">
        <v>6211.9826999999996</v>
      </c>
      <c r="R351" s="1"/>
    </row>
    <row r="352" spans="1:18" ht="18.75" x14ac:dyDescent="0.3">
      <c r="A352" s="8">
        <v>45079</v>
      </c>
      <c r="B352" s="9">
        <v>99</v>
      </c>
      <c r="C352" s="10">
        <v>1</v>
      </c>
      <c r="D352" s="11">
        <v>103467</v>
      </c>
      <c r="E352" s="12">
        <v>30571421352</v>
      </c>
      <c r="F352" s="13" t="s">
        <v>43</v>
      </c>
      <c r="G352" s="14">
        <v>6021.25</v>
      </c>
      <c r="H352" s="14">
        <v>1264.4624999999999</v>
      </c>
      <c r="I352" s="14"/>
      <c r="J352" s="14"/>
      <c r="K352" s="14"/>
      <c r="L352" s="14"/>
      <c r="M352" s="14">
        <v>180.64</v>
      </c>
      <c r="N352" s="14"/>
      <c r="O352" s="14"/>
      <c r="P352" s="14"/>
      <c r="Q352" s="14">
        <f>SUM(G352:P352)</f>
        <v>7466.3525</v>
      </c>
    </row>
    <row r="353" spans="1:18" ht="18.75" x14ac:dyDescent="0.3">
      <c r="A353" s="8">
        <v>45107</v>
      </c>
      <c r="B353" s="9">
        <v>99</v>
      </c>
      <c r="C353" s="10">
        <v>1</v>
      </c>
      <c r="D353" s="11">
        <v>300623</v>
      </c>
      <c r="E353" s="12">
        <v>30571421352</v>
      </c>
      <c r="F353" s="13" t="s">
        <v>43</v>
      </c>
      <c r="G353" s="14">
        <v>23306.54</v>
      </c>
      <c r="H353" s="14">
        <v>4894.3734000000004</v>
      </c>
      <c r="I353" s="14"/>
      <c r="J353" s="14"/>
      <c r="K353" s="14"/>
      <c r="L353" s="14"/>
      <c r="M353" s="14">
        <v>678.8</v>
      </c>
      <c r="N353" s="14"/>
      <c r="O353" s="14"/>
      <c r="P353" s="14"/>
      <c r="Q353" s="14">
        <f t="shared" ref="Q353:Q354" si="6">SUM(G353:P353)</f>
        <v>28879.713400000001</v>
      </c>
    </row>
    <row r="354" spans="1:18" ht="18.75" x14ac:dyDescent="0.3">
      <c r="A354" s="8">
        <v>45106</v>
      </c>
      <c r="B354" s="9">
        <v>99</v>
      </c>
      <c r="C354" s="10">
        <v>1</v>
      </c>
      <c r="D354" s="11">
        <v>1037971</v>
      </c>
      <c r="E354" s="12">
        <v>30571421352</v>
      </c>
      <c r="F354" s="13" t="s">
        <v>43</v>
      </c>
      <c r="G354" s="14">
        <v>2562</v>
      </c>
      <c r="H354" s="14">
        <v>538.02</v>
      </c>
      <c r="I354" s="14"/>
      <c r="J354" s="14"/>
      <c r="K354" s="14"/>
      <c r="L354" s="14"/>
      <c r="M354" s="14">
        <v>76.86</v>
      </c>
      <c r="N354" s="14"/>
      <c r="O354" s="14"/>
      <c r="P354" s="14"/>
      <c r="Q354" s="14">
        <f t="shared" si="6"/>
        <v>3176.88</v>
      </c>
    </row>
    <row r="355" spans="1:18" ht="19.5" thickBot="1" x14ac:dyDescent="0.35">
      <c r="A355" s="23" t="s">
        <v>17</v>
      </c>
      <c r="B355" s="23"/>
      <c r="C355" s="23"/>
      <c r="D355" s="23"/>
      <c r="E355" s="23"/>
      <c r="F355" s="23"/>
      <c r="G355" s="17">
        <f>SUM(G317:G354)</f>
        <v>2210365.2350000003</v>
      </c>
      <c r="H355" s="17">
        <f t="shared" ref="H355:Q355" si="7">SUM(H317:H354)</f>
        <v>444294.41934999998</v>
      </c>
      <c r="I355" s="17">
        <f t="shared" si="7"/>
        <v>1209.8699999999999</v>
      </c>
      <c r="J355" s="17">
        <f t="shared" si="7"/>
        <v>9470.82</v>
      </c>
      <c r="K355" s="17">
        <f t="shared" si="7"/>
        <v>134.43</v>
      </c>
      <c r="L355" s="17">
        <f t="shared" si="7"/>
        <v>0</v>
      </c>
      <c r="M355" s="17">
        <f t="shared" si="7"/>
        <v>936.3</v>
      </c>
      <c r="N355" s="17">
        <f t="shared" si="7"/>
        <v>0</v>
      </c>
      <c r="O355" s="17">
        <f t="shared" si="7"/>
        <v>0</v>
      </c>
      <c r="P355" s="17">
        <f t="shared" si="7"/>
        <v>-175979.48</v>
      </c>
      <c r="Q355" s="17">
        <f t="shared" si="7"/>
        <v>2490431.5943499999</v>
      </c>
    </row>
    <row r="356" spans="1:18" ht="19.5" thickBot="1" x14ac:dyDescent="0.35">
      <c r="A356" s="15"/>
      <c r="B356" s="15"/>
      <c r="C356" s="15"/>
      <c r="D356" s="15"/>
      <c r="E356" s="15"/>
      <c r="F356" s="15"/>
      <c r="G356" s="16"/>
      <c r="H356" s="18"/>
      <c r="I356" s="19">
        <f>SUM(H355:J355)</f>
        <v>454975.10934999998</v>
      </c>
      <c r="J356" s="20"/>
      <c r="K356" s="16"/>
      <c r="L356" s="16"/>
      <c r="M356" s="16"/>
      <c r="N356" s="16"/>
      <c r="O356" s="16"/>
      <c r="P356" s="16"/>
      <c r="Q356" s="16"/>
    </row>
    <row r="362" spans="1:18" ht="29.25" thickBot="1" x14ac:dyDescent="0.5">
      <c r="A362" s="24" t="s">
        <v>0</v>
      </c>
      <c r="B362" s="24"/>
      <c r="C362" s="24"/>
      <c r="D362" s="24"/>
      <c r="E362" s="24"/>
      <c r="F362" s="21"/>
      <c r="G362" s="22"/>
      <c r="H362" s="22"/>
      <c r="I362" s="22"/>
      <c r="J362" s="22"/>
      <c r="K362" s="22"/>
      <c r="L362" s="22"/>
      <c r="M362" s="22"/>
      <c r="N362" s="22"/>
      <c r="O362" s="25">
        <v>45108</v>
      </c>
      <c r="P362" s="26"/>
      <c r="Q362" s="26"/>
    </row>
    <row r="363" spans="1:18" ht="18.75" x14ac:dyDescent="0.3">
      <c r="A363" s="6" t="s">
        <v>1</v>
      </c>
      <c r="B363" s="6" t="s">
        <v>2</v>
      </c>
      <c r="C363" s="6" t="s">
        <v>3</v>
      </c>
      <c r="D363" s="6" t="s">
        <v>4</v>
      </c>
      <c r="E363" s="6" t="s">
        <v>5</v>
      </c>
      <c r="F363" s="6" t="s">
        <v>6</v>
      </c>
      <c r="G363" s="7" t="s">
        <v>7</v>
      </c>
      <c r="H363" s="7" t="s">
        <v>8</v>
      </c>
      <c r="I363" s="7" t="s">
        <v>9</v>
      </c>
      <c r="J363" s="7" t="s">
        <v>10</v>
      </c>
      <c r="K363" s="7" t="s">
        <v>11</v>
      </c>
      <c r="L363" s="7" t="s">
        <v>12</v>
      </c>
      <c r="M363" s="7" t="s">
        <v>13</v>
      </c>
      <c r="N363" s="7" t="s">
        <v>14</v>
      </c>
      <c r="O363" s="7" t="s">
        <v>15</v>
      </c>
      <c r="P363" s="7" t="s">
        <v>16</v>
      </c>
      <c r="Q363" s="7" t="s">
        <v>17</v>
      </c>
    </row>
    <row r="364" spans="1:18" ht="18.75" x14ac:dyDescent="0.3">
      <c r="A364" s="8">
        <v>45108</v>
      </c>
      <c r="B364" s="9">
        <v>1</v>
      </c>
      <c r="C364" s="10">
        <v>3</v>
      </c>
      <c r="D364" s="11">
        <v>661</v>
      </c>
      <c r="E364" s="12">
        <v>30715402765</v>
      </c>
      <c r="F364" s="13" t="s">
        <v>100</v>
      </c>
      <c r="G364" s="14">
        <v>14462.81</v>
      </c>
      <c r="H364" s="14">
        <v>3037.1900999999998</v>
      </c>
      <c r="I364" s="14"/>
      <c r="J364" s="14"/>
      <c r="K364" s="14"/>
      <c r="L364" s="14"/>
      <c r="M364" s="14"/>
      <c r="N364" s="14"/>
      <c r="O364" s="14"/>
      <c r="P364" s="14"/>
      <c r="Q364" s="14">
        <v>17500.000099999997</v>
      </c>
      <c r="R364" s="1"/>
    </row>
    <row r="365" spans="1:18" ht="18.75" x14ac:dyDescent="0.3">
      <c r="A365" s="8">
        <v>45108</v>
      </c>
      <c r="B365" s="9">
        <v>1</v>
      </c>
      <c r="C365" s="10">
        <v>3</v>
      </c>
      <c r="D365" s="11">
        <v>194793</v>
      </c>
      <c r="E365" s="12">
        <v>30707135596</v>
      </c>
      <c r="F365" s="13" t="s">
        <v>117</v>
      </c>
      <c r="G365" s="14">
        <v>6217.25</v>
      </c>
      <c r="H365" s="14">
        <v>1305.6224999999999</v>
      </c>
      <c r="I365" s="14"/>
      <c r="J365" s="14"/>
      <c r="K365" s="14"/>
      <c r="L365" s="14"/>
      <c r="M365" s="14"/>
      <c r="N365" s="14"/>
      <c r="O365" s="14"/>
      <c r="P365" s="14"/>
      <c r="Q365" s="14">
        <v>7522.8724999999995</v>
      </c>
      <c r="R365" s="1"/>
    </row>
    <row r="366" spans="1:18" ht="18.75" x14ac:dyDescent="0.3">
      <c r="A366" s="8">
        <v>45110</v>
      </c>
      <c r="B366" s="9">
        <v>1</v>
      </c>
      <c r="C366" s="10">
        <v>2</v>
      </c>
      <c r="D366" s="11">
        <v>2453</v>
      </c>
      <c r="E366" s="12">
        <v>30709131733</v>
      </c>
      <c r="F366" s="13" t="s">
        <v>79</v>
      </c>
      <c r="G366" s="14">
        <v>857437</v>
      </c>
      <c r="H366" s="14">
        <v>180061.77</v>
      </c>
      <c r="I366" s="14"/>
      <c r="J366" s="14"/>
      <c r="K366" s="14"/>
      <c r="L366" s="14"/>
      <c r="M366" s="14"/>
      <c r="N366" s="14"/>
      <c r="O366" s="14"/>
      <c r="P366" s="14"/>
      <c r="Q366" s="14">
        <v>1037498.77</v>
      </c>
      <c r="R366" s="1"/>
    </row>
    <row r="367" spans="1:18" ht="18.75" x14ac:dyDescent="0.3">
      <c r="A367" s="8">
        <v>45112</v>
      </c>
      <c r="B367" s="9">
        <v>1</v>
      </c>
      <c r="C367" s="10">
        <v>2</v>
      </c>
      <c r="D367" s="11">
        <v>178</v>
      </c>
      <c r="E367" s="12">
        <v>20125142851</v>
      </c>
      <c r="F367" s="13" t="s">
        <v>19</v>
      </c>
      <c r="G367" s="14">
        <v>74359</v>
      </c>
      <c r="H367" s="14">
        <v>15615.39</v>
      </c>
      <c r="I367" s="14"/>
      <c r="J367" s="14"/>
      <c r="K367" s="14"/>
      <c r="L367" s="14"/>
      <c r="M367" s="14"/>
      <c r="N367" s="14"/>
      <c r="O367" s="14"/>
      <c r="P367" s="14"/>
      <c r="Q367" s="14">
        <v>89974.39</v>
      </c>
      <c r="R367" s="1"/>
    </row>
    <row r="368" spans="1:18" ht="18.75" x14ac:dyDescent="0.3">
      <c r="A368" s="8">
        <v>45117</v>
      </c>
      <c r="B368" s="9">
        <v>1</v>
      </c>
      <c r="C368" s="10">
        <v>2</v>
      </c>
      <c r="D368" s="11">
        <v>179</v>
      </c>
      <c r="E368" s="12">
        <v>20125142851</v>
      </c>
      <c r="F368" s="13" t="s">
        <v>19</v>
      </c>
      <c r="G368" s="14">
        <v>55769.25</v>
      </c>
      <c r="H368" s="14">
        <v>11711.5425</v>
      </c>
      <c r="I368" s="14"/>
      <c r="J368" s="14"/>
      <c r="K368" s="14"/>
      <c r="L368" s="14"/>
      <c r="M368" s="14"/>
      <c r="N368" s="14"/>
      <c r="O368" s="14"/>
      <c r="P368" s="14"/>
      <c r="Q368" s="14">
        <v>67480.792499999996</v>
      </c>
      <c r="R368" s="1"/>
    </row>
    <row r="369" spans="1:18" ht="18.75" x14ac:dyDescent="0.3">
      <c r="A369" s="8">
        <v>45117</v>
      </c>
      <c r="B369" s="9">
        <v>1</v>
      </c>
      <c r="C369" s="10">
        <v>5122</v>
      </c>
      <c r="D369" s="11">
        <v>14557</v>
      </c>
      <c r="E369" s="12">
        <v>30695542476</v>
      </c>
      <c r="F369" s="13" t="s">
        <v>148</v>
      </c>
      <c r="G369" s="14">
        <v>7938.88</v>
      </c>
      <c r="H369" s="14">
        <v>1667.1648</v>
      </c>
      <c r="I369" s="14"/>
      <c r="J369" s="14"/>
      <c r="K369" s="14"/>
      <c r="L369" s="14"/>
      <c r="M369" s="14"/>
      <c r="N369" s="14"/>
      <c r="O369" s="14"/>
      <c r="P369" s="14">
        <v>1499.62</v>
      </c>
      <c r="Q369" s="14">
        <v>11105.664799999999</v>
      </c>
      <c r="R369" s="1"/>
    </row>
    <row r="370" spans="1:18" ht="18.75" x14ac:dyDescent="0.3">
      <c r="A370" s="8">
        <v>45118</v>
      </c>
      <c r="B370" s="9">
        <v>1</v>
      </c>
      <c r="C370" s="10">
        <v>295</v>
      </c>
      <c r="D370" s="11">
        <v>2343</v>
      </c>
      <c r="E370" s="12">
        <v>30709173401</v>
      </c>
      <c r="F370" s="13" t="s">
        <v>149</v>
      </c>
      <c r="G370" s="14">
        <v>12396.69</v>
      </c>
      <c r="H370" s="14">
        <v>2603.3049000000001</v>
      </c>
      <c r="I370" s="14"/>
      <c r="J370" s="14"/>
      <c r="K370" s="14"/>
      <c r="L370" s="14"/>
      <c r="M370" s="14"/>
      <c r="N370" s="14"/>
      <c r="O370" s="14"/>
      <c r="P370" s="14"/>
      <c r="Q370" s="14">
        <v>14999.994900000002</v>
      </c>
      <c r="R370" s="1"/>
    </row>
    <row r="371" spans="1:18" ht="18.75" x14ac:dyDescent="0.3">
      <c r="A371" s="8">
        <v>45118</v>
      </c>
      <c r="B371" s="9">
        <v>1</v>
      </c>
      <c r="C371" s="10">
        <v>7</v>
      </c>
      <c r="D371" s="11">
        <v>1514</v>
      </c>
      <c r="E371" s="12">
        <v>20352108635</v>
      </c>
      <c r="F371" s="13" t="s">
        <v>150</v>
      </c>
      <c r="G371" s="14">
        <v>14272.73</v>
      </c>
      <c r="H371" s="14">
        <v>2997.2732999999998</v>
      </c>
      <c r="I371" s="14"/>
      <c r="J371" s="14"/>
      <c r="K371" s="14"/>
      <c r="L371" s="14"/>
      <c r="M371" s="14"/>
      <c r="N371" s="14"/>
      <c r="O371" s="14"/>
      <c r="P371" s="14"/>
      <c r="Q371" s="14">
        <v>17270.0033</v>
      </c>
      <c r="R371" s="1"/>
    </row>
    <row r="372" spans="1:18" ht="18.75" x14ac:dyDescent="0.3">
      <c r="A372" s="8">
        <v>45118</v>
      </c>
      <c r="B372" s="9">
        <v>1</v>
      </c>
      <c r="C372" s="10">
        <v>2466</v>
      </c>
      <c r="D372" s="11">
        <v>531478</v>
      </c>
      <c r="E372" s="12">
        <v>30678814357</v>
      </c>
      <c r="F372" s="13" t="s">
        <v>116</v>
      </c>
      <c r="G372" s="14">
        <v>6358.32</v>
      </c>
      <c r="H372" s="14"/>
      <c r="I372" s="14">
        <v>1716.75</v>
      </c>
      <c r="J372" s="14"/>
      <c r="K372" s="14">
        <v>190.75</v>
      </c>
      <c r="L372" s="14"/>
      <c r="M372" s="14"/>
      <c r="N372" s="14"/>
      <c r="O372" s="14"/>
      <c r="P372" s="14">
        <v>281.64999999999998</v>
      </c>
      <c r="Q372" s="14">
        <v>8547.4699999999993</v>
      </c>
      <c r="R372" s="1"/>
    </row>
    <row r="373" spans="1:18" ht="18.75" x14ac:dyDescent="0.3">
      <c r="A373" s="8">
        <v>45119</v>
      </c>
      <c r="B373" s="9">
        <v>1</v>
      </c>
      <c r="C373" s="10">
        <v>5</v>
      </c>
      <c r="D373" s="11">
        <v>1588</v>
      </c>
      <c r="E373" s="12">
        <v>20294907174</v>
      </c>
      <c r="F373" s="13" t="s">
        <v>151</v>
      </c>
      <c r="G373" s="14">
        <v>6603.31</v>
      </c>
      <c r="H373" s="14">
        <v>1386.6951000000001</v>
      </c>
      <c r="I373" s="14"/>
      <c r="J373" s="14"/>
      <c r="K373" s="14"/>
      <c r="L373" s="14"/>
      <c r="M373" s="14"/>
      <c r="N373" s="14"/>
      <c r="O373" s="14"/>
      <c r="P373" s="14"/>
      <c r="Q373" s="14">
        <v>7990.0051000000003</v>
      </c>
      <c r="R373" s="1"/>
    </row>
    <row r="374" spans="1:18" ht="18.75" x14ac:dyDescent="0.3">
      <c r="A374" s="8">
        <v>45119</v>
      </c>
      <c r="B374" s="9">
        <v>1</v>
      </c>
      <c r="C374" s="10">
        <v>14</v>
      </c>
      <c r="D374" s="11">
        <v>98092</v>
      </c>
      <c r="E374" s="12">
        <v>30516336885</v>
      </c>
      <c r="F374" s="13" t="s">
        <v>152</v>
      </c>
      <c r="G374" s="14">
        <v>20721.400000000001</v>
      </c>
      <c r="H374" s="14">
        <v>4351.4940000000006</v>
      </c>
      <c r="I374" s="14"/>
      <c r="J374" s="14"/>
      <c r="K374" s="14">
        <v>621.64</v>
      </c>
      <c r="L374" s="14"/>
      <c r="M374" s="14">
        <v>1243.28</v>
      </c>
      <c r="N374" s="14"/>
      <c r="O374" s="14"/>
      <c r="P374" s="14"/>
      <c r="Q374" s="14">
        <v>26937.813999999998</v>
      </c>
      <c r="R374" s="1"/>
    </row>
    <row r="375" spans="1:18" ht="18.75" x14ac:dyDescent="0.3">
      <c r="A375" s="8">
        <v>45121</v>
      </c>
      <c r="B375" s="9">
        <v>1</v>
      </c>
      <c r="C375" s="10">
        <v>3</v>
      </c>
      <c r="D375" s="11">
        <v>2206</v>
      </c>
      <c r="E375" s="12">
        <v>20265834958</v>
      </c>
      <c r="F375" s="13" t="s">
        <v>153</v>
      </c>
      <c r="G375" s="14">
        <v>20130.330000000002</v>
      </c>
      <c r="H375" s="14">
        <v>4227.3693000000003</v>
      </c>
      <c r="I375" s="14"/>
      <c r="J375" s="14"/>
      <c r="K375" s="14"/>
      <c r="L375" s="14"/>
      <c r="M375" s="14"/>
      <c r="N375" s="14"/>
      <c r="O375" s="14"/>
      <c r="P375" s="14"/>
      <c r="Q375" s="14">
        <v>24357.6993</v>
      </c>
      <c r="R375" s="1"/>
    </row>
    <row r="376" spans="1:18" ht="18.75" x14ac:dyDescent="0.3">
      <c r="A376" s="8">
        <v>45125</v>
      </c>
      <c r="B376" s="9">
        <v>1</v>
      </c>
      <c r="C376" s="10">
        <v>11</v>
      </c>
      <c r="D376" s="11">
        <v>12215</v>
      </c>
      <c r="E376" s="12">
        <v>20233272222</v>
      </c>
      <c r="F376" s="13" t="s">
        <v>154</v>
      </c>
      <c r="G376" s="14">
        <v>9834.7099999999991</v>
      </c>
      <c r="H376" s="14">
        <v>2065.2891</v>
      </c>
      <c r="I376" s="14"/>
      <c r="J376" s="14"/>
      <c r="K376" s="14"/>
      <c r="L376" s="14"/>
      <c r="M376" s="14"/>
      <c r="N376" s="14"/>
      <c r="O376" s="14"/>
      <c r="P376" s="14"/>
      <c r="Q376" s="14">
        <v>11899.999099999999</v>
      </c>
      <c r="R376" s="1"/>
    </row>
    <row r="377" spans="1:18" ht="18.75" x14ac:dyDescent="0.3">
      <c r="A377" s="8">
        <v>45125</v>
      </c>
      <c r="B377" s="9">
        <v>1</v>
      </c>
      <c r="C377" s="10">
        <v>4</v>
      </c>
      <c r="D377" s="11">
        <v>96632</v>
      </c>
      <c r="E377" s="12">
        <v>30559932236</v>
      </c>
      <c r="F377" s="13" t="s">
        <v>130</v>
      </c>
      <c r="G377" s="14">
        <v>118683.13</v>
      </c>
      <c r="H377" s="14">
        <v>20144.650000000001</v>
      </c>
      <c r="I377" s="14"/>
      <c r="J377" s="14">
        <v>2389.4</v>
      </c>
      <c r="K377" s="14"/>
      <c r="L377" s="14"/>
      <c r="M377" s="14"/>
      <c r="N377" s="14"/>
      <c r="O377" s="14"/>
      <c r="P377" s="14"/>
      <c r="Q377" s="14">
        <v>141217.18</v>
      </c>
      <c r="R377" s="1"/>
    </row>
    <row r="378" spans="1:18" ht="18.75" x14ac:dyDescent="0.3">
      <c r="A378" s="8">
        <v>45125</v>
      </c>
      <c r="B378" s="9">
        <v>1</v>
      </c>
      <c r="C378" s="10">
        <v>280</v>
      </c>
      <c r="D378" s="11">
        <v>1443824</v>
      </c>
      <c r="E378" s="12">
        <v>30580111315</v>
      </c>
      <c r="F378" s="13" t="s">
        <v>108</v>
      </c>
      <c r="G378" s="14">
        <v>10742.022499999999</v>
      </c>
      <c r="H378" s="14">
        <v>2255.8247249999999</v>
      </c>
      <c r="I378" s="14"/>
      <c r="J378" s="14"/>
      <c r="K378" s="14"/>
      <c r="L378" s="14"/>
      <c r="M378" s="14"/>
      <c r="N378" s="14"/>
      <c r="O378" s="14"/>
      <c r="P378" s="14">
        <v>-8877.44</v>
      </c>
      <c r="Q378" s="14">
        <v>4120.407224999999</v>
      </c>
      <c r="R378" s="1"/>
    </row>
    <row r="379" spans="1:18" ht="18.75" x14ac:dyDescent="0.3">
      <c r="A379" s="8">
        <v>45128</v>
      </c>
      <c r="B379" s="9">
        <v>1</v>
      </c>
      <c r="C379" s="10">
        <v>2</v>
      </c>
      <c r="D379" s="11">
        <v>2478</v>
      </c>
      <c r="E379" s="12">
        <v>30709131733</v>
      </c>
      <c r="F379" s="13" t="s">
        <v>79</v>
      </c>
      <c r="G379" s="14">
        <v>897280</v>
      </c>
      <c r="H379" s="14">
        <v>188428.79999999999</v>
      </c>
      <c r="I379" s="14"/>
      <c r="J379" s="14"/>
      <c r="K379" s="14"/>
      <c r="L379" s="14"/>
      <c r="M379" s="14"/>
      <c r="N379" s="14"/>
      <c r="O379" s="14"/>
      <c r="P379" s="14"/>
      <c r="Q379" s="14">
        <v>1085708.8</v>
      </c>
      <c r="R379" s="1"/>
    </row>
    <row r="380" spans="1:18" ht="18.75" x14ac:dyDescent="0.3">
      <c r="A380" s="8">
        <v>45128</v>
      </c>
      <c r="B380" s="9">
        <v>1</v>
      </c>
      <c r="C380" s="10">
        <v>3</v>
      </c>
      <c r="D380" s="11">
        <v>1540003</v>
      </c>
      <c r="E380" s="12">
        <v>30712019359</v>
      </c>
      <c r="F380" s="13" t="s">
        <v>42</v>
      </c>
      <c r="G380" s="14">
        <v>8759.5</v>
      </c>
      <c r="H380" s="14">
        <v>1839.4949999999999</v>
      </c>
      <c r="I380" s="14"/>
      <c r="J380" s="14"/>
      <c r="K380" s="14"/>
      <c r="L380" s="14"/>
      <c r="M380" s="14"/>
      <c r="N380" s="14"/>
      <c r="O380" s="14"/>
      <c r="P380" s="14"/>
      <c r="Q380" s="14">
        <v>10598.994999999999</v>
      </c>
      <c r="R380" s="1"/>
    </row>
    <row r="381" spans="1:18" ht="18.75" x14ac:dyDescent="0.3">
      <c r="A381" s="8">
        <v>45131</v>
      </c>
      <c r="B381" s="9">
        <v>1</v>
      </c>
      <c r="C381" s="10">
        <v>700</v>
      </c>
      <c r="D381" s="11">
        <v>548718</v>
      </c>
      <c r="E381" s="12">
        <v>30580111315</v>
      </c>
      <c r="F381" s="13" t="s">
        <v>108</v>
      </c>
      <c r="G381" s="14">
        <v>3941</v>
      </c>
      <c r="H381" s="14">
        <v>827.61</v>
      </c>
      <c r="I381" s="14"/>
      <c r="J381" s="14"/>
      <c r="K381" s="14"/>
      <c r="L381" s="14"/>
      <c r="M381" s="14"/>
      <c r="N381" s="14"/>
      <c r="O381" s="14"/>
      <c r="P381" s="14">
        <v>181235.33000000002</v>
      </c>
      <c r="Q381" s="14">
        <v>186003.94</v>
      </c>
      <c r="R381" s="1"/>
    </row>
    <row r="382" spans="1:18" ht="18.75" x14ac:dyDescent="0.3">
      <c r="A382" s="8">
        <v>45131</v>
      </c>
      <c r="B382" s="9">
        <v>1</v>
      </c>
      <c r="C382" s="10">
        <v>3</v>
      </c>
      <c r="D382" s="11">
        <v>18418</v>
      </c>
      <c r="E382" s="12">
        <v>30560477836</v>
      </c>
      <c r="F382" s="13" t="s">
        <v>155</v>
      </c>
      <c r="G382" s="14">
        <v>30186.76</v>
      </c>
      <c r="H382" s="14">
        <v>6339.2195999999994</v>
      </c>
      <c r="I382" s="14"/>
      <c r="J382" s="14"/>
      <c r="K382" s="14"/>
      <c r="L382" s="14"/>
      <c r="M382" s="14"/>
      <c r="N382" s="14"/>
      <c r="O382" s="14"/>
      <c r="P382" s="14"/>
      <c r="Q382" s="14">
        <v>36525.979599999999</v>
      </c>
      <c r="R382" s="1"/>
    </row>
    <row r="383" spans="1:18" ht="18.75" x14ac:dyDescent="0.3">
      <c r="A383" s="8">
        <v>45131</v>
      </c>
      <c r="B383" s="9">
        <v>1</v>
      </c>
      <c r="C383" s="10">
        <v>3</v>
      </c>
      <c r="D383" s="11">
        <v>7053</v>
      </c>
      <c r="E383" s="12">
        <v>30715544837</v>
      </c>
      <c r="F383" s="13" t="s">
        <v>156</v>
      </c>
      <c r="G383" s="14">
        <v>7103.17</v>
      </c>
      <c r="H383" s="14"/>
      <c r="I383" s="14"/>
      <c r="J383" s="14">
        <v>745.83</v>
      </c>
      <c r="K383" s="14"/>
      <c r="L383" s="14"/>
      <c r="M383" s="14"/>
      <c r="N383" s="14"/>
      <c r="O383" s="14"/>
      <c r="P383" s="14"/>
      <c r="Q383" s="14">
        <v>7849</v>
      </c>
      <c r="R383" s="1"/>
    </row>
    <row r="384" spans="1:18" ht="18.75" x14ac:dyDescent="0.3">
      <c r="A384" s="8">
        <v>45132</v>
      </c>
      <c r="B384" s="9">
        <v>1</v>
      </c>
      <c r="C384" s="10">
        <v>922</v>
      </c>
      <c r="D384" s="11">
        <v>21</v>
      </c>
      <c r="E384" s="12">
        <v>30708992301</v>
      </c>
      <c r="F384" s="13" t="s">
        <v>157</v>
      </c>
      <c r="G384" s="14">
        <v>421540.91</v>
      </c>
      <c r="H384" s="14">
        <v>88523.591099999991</v>
      </c>
      <c r="I384" s="14"/>
      <c r="J384" s="14"/>
      <c r="K384" s="14"/>
      <c r="L384" s="14"/>
      <c r="M384" s="14"/>
      <c r="N384" s="14"/>
      <c r="O384" s="14"/>
      <c r="P384" s="14"/>
      <c r="Q384" s="14">
        <v>510064.50109999999</v>
      </c>
      <c r="R384" s="1"/>
    </row>
    <row r="385" spans="1:18" ht="18.75" x14ac:dyDescent="0.3">
      <c r="A385" s="8">
        <v>45134</v>
      </c>
      <c r="B385" s="9">
        <v>1</v>
      </c>
      <c r="C385" s="10">
        <v>3</v>
      </c>
      <c r="D385" s="11">
        <v>109660</v>
      </c>
      <c r="E385" s="12">
        <v>20239395822</v>
      </c>
      <c r="F385" s="13" t="s">
        <v>158</v>
      </c>
      <c r="G385" s="14">
        <v>27609.919999999998</v>
      </c>
      <c r="H385" s="14">
        <v>5798.0831999999991</v>
      </c>
      <c r="I385" s="14"/>
      <c r="J385" s="14"/>
      <c r="K385" s="14"/>
      <c r="L385" s="14"/>
      <c r="M385" s="14"/>
      <c r="N385" s="14"/>
      <c r="O385" s="14"/>
      <c r="P385" s="14"/>
      <c r="Q385" s="14">
        <v>33408.003199999999</v>
      </c>
      <c r="R385" s="1"/>
    </row>
    <row r="386" spans="1:18" ht="18.75" x14ac:dyDescent="0.3">
      <c r="A386" s="8">
        <v>45134</v>
      </c>
      <c r="B386" s="9">
        <v>1</v>
      </c>
      <c r="C386" s="10">
        <v>4</v>
      </c>
      <c r="D386" s="11">
        <v>21386</v>
      </c>
      <c r="E386" s="12">
        <v>23059002414</v>
      </c>
      <c r="F386" s="13" t="s">
        <v>159</v>
      </c>
      <c r="G386" s="14">
        <v>9681.82</v>
      </c>
      <c r="H386" s="14">
        <v>2033.1822</v>
      </c>
      <c r="I386" s="14"/>
      <c r="J386" s="14"/>
      <c r="K386" s="14"/>
      <c r="L386" s="14"/>
      <c r="M386" s="14"/>
      <c r="N386" s="14"/>
      <c r="O386" s="14"/>
      <c r="P386" s="14"/>
      <c r="Q386" s="14">
        <v>11715.002199999999</v>
      </c>
      <c r="R386" s="1"/>
    </row>
    <row r="387" spans="1:18" ht="18.75" x14ac:dyDescent="0.3">
      <c r="A387" s="8">
        <v>45135</v>
      </c>
      <c r="B387" s="9">
        <v>1</v>
      </c>
      <c r="C387" s="10">
        <v>6</v>
      </c>
      <c r="D387" s="11">
        <v>12323</v>
      </c>
      <c r="E387" s="12">
        <v>30707756434</v>
      </c>
      <c r="F387" s="13" t="s">
        <v>61</v>
      </c>
      <c r="G387" s="14">
        <v>39600</v>
      </c>
      <c r="H387" s="14">
        <v>8316</v>
      </c>
      <c r="I387" s="14"/>
      <c r="J387" s="14"/>
      <c r="K387" s="14"/>
      <c r="L387" s="14"/>
      <c r="M387" s="14"/>
      <c r="N387" s="14"/>
      <c r="O387" s="14"/>
      <c r="P387" s="14"/>
      <c r="Q387" s="14">
        <v>47916</v>
      </c>
      <c r="R387" s="1"/>
    </row>
    <row r="388" spans="1:18" ht="18.75" x14ac:dyDescent="0.3">
      <c r="A388" s="8">
        <v>45138</v>
      </c>
      <c r="B388" s="9">
        <v>1</v>
      </c>
      <c r="C388" s="10">
        <v>4</v>
      </c>
      <c r="D388" s="11">
        <v>45913</v>
      </c>
      <c r="E388" s="12">
        <v>30625482522</v>
      </c>
      <c r="F388" s="13" t="s">
        <v>160</v>
      </c>
      <c r="G388" s="14">
        <v>228800</v>
      </c>
      <c r="H388" s="14">
        <v>48048</v>
      </c>
      <c r="I388" s="14"/>
      <c r="J388" s="14"/>
      <c r="K388" s="14"/>
      <c r="L388" s="14"/>
      <c r="M388" s="14"/>
      <c r="N388" s="14"/>
      <c r="O388" s="14"/>
      <c r="P388" s="14"/>
      <c r="Q388" s="14">
        <v>276848</v>
      </c>
      <c r="R388" s="1"/>
    </row>
    <row r="389" spans="1:18" ht="18.75" x14ac:dyDescent="0.3">
      <c r="A389" s="8">
        <v>45138</v>
      </c>
      <c r="B389" s="9">
        <v>1</v>
      </c>
      <c r="C389" s="10">
        <v>40</v>
      </c>
      <c r="D389" s="11">
        <v>2402343</v>
      </c>
      <c r="E389" s="12">
        <v>30710964277</v>
      </c>
      <c r="F389" s="13" t="s">
        <v>161</v>
      </c>
      <c r="G389" s="14">
        <v>6308.38</v>
      </c>
      <c r="H389" s="14">
        <v>1324.7598</v>
      </c>
      <c r="I389" s="14"/>
      <c r="J389" s="14"/>
      <c r="K389" s="14"/>
      <c r="L389" s="14"/>
      <c r="M389" s="14"/>
      <c r="N389" s="14"/>
      <c r="O389" s="14"/>
      <c r="P389" s="14"/>
      <c r="Q389" s="14">
        <v>7633.1397999999999</v>
      </c>
      <c r="R389" s="1"/>
    </row>
    <row r="390" spans="1:18" ht="18.75" x14ac:dyDescent="0.3">
      <c r="A390" s="8">
        <v>45135</v>
      </c>
      <c r="B390" s="9">
        <v>99</v>
      </c>
      <c r="C390" s="10">
        <v>1</v>
      </c>
      <c r="D390" s="11">
        <v>647501</v>
      </c>
      <c r="E390" s="12">
        <v>30571421352</v>
      </c>
      <c r="F390" s="13" t="s">
        <v>43</v>
      </c>
      <c r="G390" s="14">
        <v>6842.5</v>
      </c>
      <c r="H390" s="14">
        <v>1436.925</v>
      </c>
      <c r="I390" s="14"/>
      <c r="J390" s="14"/>
      <c r="K390" s="14"/>
      <c r="L390" s="14"/>
      <c r="M390" s="14">
        <v>205.28</v>
      </c>
      <c r="N390" s="14"/>
      <c r="O390" s="14"/>
      <c r="P390" s="14"/>
      <c r="Q390" s="14">
        <f>SUM(G390:P390)</f>
        <v>8484.7049999999999</v>
      </c>
    </row>
    <row r="391" spans="1:18" ht="18.75" x14ac:dyDescent="0.3">
      <c r="A391" s="8">
        <v>45124</v>
      </c>
      <c r="B391" s="9">
        <v>99</v>
      </c>
      <c r="C391" s="10">
        <v>1</v>
      </c>
      <c r="D391" s="11">
        <v>645643</v>
      </c>
      <c r="E391" s="12">
        <v>30571421352</v>
      </c>
      <c r="F391" s="13" t="s">
        <v>43</v>
      </c>
      <c r="G391" s="14">
        <v>6668.75</v>
      </c>
      <c r="H391" s="14">
        <v>1400.4375</v>
      </c>
      <c r="I391" s="14"/>
      <c r="J391" s="14"/>
      <c r="K391" s="14"/>
      <c r="L391" s="14"/>
      <c r="M391" s="14">
        <v>200.06</v>
      </c>
      <c r="N391" s="14"/>
      <c r="O391" s="14"/>
      <c r="P391" s="14"/>
      <c r="Q391" s="14">
        <f t="shared" ref="Q391:Q394" si="8">SUM(G391:P391)</f>
        <v>8269.2474999999995</v>
      </c>
    </row>
    <row r="392" spans="1:18" ht="18.75" x14ac:dyDescent="0.3">
      <c r="A392" s="8">
        <v>45133</v>
      </c>
      <c r="B392" s="9">
        <v>99</v>
      </c>
      <c r="C392" s="10">
        <v>1</v>
      </c>
      <c r="D392" s="11">
        <v>26072023</v>
      </c>
      <c r="E392" s="12">
        <v>30571421352</v>
      </c>
      <c r="F392" s="13" t="s">
        <v>43</v>
      </c>
      <c r="G392" s="14">
        <v>9666</v>
      </c>
      <c r="H392" s="14">
        <v>2029.86</v>
      </c>
      <c r="I392" s="14"/>
      <c r="J392" s="14"/>
      <c r="K392" s="14"/>
      <c r="L392" s="14"/>
      <c r="M392" s="14">
        <v>191.37</v>
      </c>
      <c r="N392" s="14"/>
      <c r="O392" s="14"/>
      <c r="P392" s="14"/>
      <c r="Q392" s="14">
        <f t="shared" si="8"/>
        <v>11887.230000000001</v>
      </c>
    </row>
    <row r="393" spans="1:18" ht="18.75" x14ac:dyDescent="0.3">
      <c r="A393" s="8">
        <v>45134</v>
      </c>
      <c r="B393" s="9">
        <v>99</v>
      </c>
      <c r="C393" s="10">
        <v>1</v>
      </c>
      <c r="D393" s="11">
        <v>30010412</v>
      </c>
      <c r="E393" s="12">
        <v>30571421352</v>
      </c>
      <c r="F393" s="13" t="s">
        <v>43</v>
      </c>
      <c r="G393" s="14"/>
      <c r="H393" s="14">
        <v>3200090.125</v>
      </c>
      <c r="I393" s="14"/>
      <c r="J393" s="14"/>
      <c r="K393" s="14"/>
      <c r="L393" s="14"/>
      <c r="M393" s="14">
        <v>3047705.4</v>
      </c>
      <c r="N393" s="14"/>
      <c r="O393" s="14"/>
      <c r="P393" s="14"/>
      <c r="Q393" s="14">
        <f t="shared" si="8"/>
        <v>6247795.5250000004</v>
      </c>
    </row>
    <row r="394" spans="1:18" ht="18.75" x14ac:dyDescent="0.3">
      <c r="A394" s="8">
        <v>45138</v>
      </c>
      <c r="B394" s="9">
        <v>99</v>
      </c>
      <c r="C394" s="10">
        <v>1</v>
      </c>
      <c r="D394" s="11"/>
      <c r="E394" s="12">
        <v>30571421352</v>
      </c>
      <c r="F394" s="13" t="s">
        <v>43</v>
      </c>
      <c r="G394" s="14">
        <v>28902.46</v>
      </c>
      <c r="H394" s="14">
        <v>6069.5165999999999</v>
      </c>
      <c r="I394" s="14"/>
      <c r="J394" s="14"/>
      <c r="K394" s="14"/>
      <c r="L394" s="14"/>
      <c r="M394" s="14">
        <v>191.37</v>
      </c>
      <c r="N394" s="14"/>
      <c r="O394" s="14"/>
      <c r="P394" s="14"/>
      <c r="Q394" s="14">
        <f t="shared" si="8"/>
        <v>35163.346600000004</v>
      </c>
    </row>
    <row r="395" spans="1:18" ht="19.5" thickBot="1" x14ac:dyDescent="0.35">
      <c r="A395" s="23" t="s">
        <v>17</v>
      </c>
      <c r="B395" s="23"/>
      <c r="C395" s="23"/>
      <c r="D395" s="23"/>
      <c r="E395" s="23"/>
      <c r="F395" s="23"/>
      <c r="G395" s="17">
        <f>SUM(G364:G394)</f>
        <v>2968818.0024999995</v>
      </c>
      <c r="H395" s="17">
        <f t="shared" ref="H395:Q395" si="9">SUM(H364:H394)</f>
        <v>3815936.185325</v>
      </c>
      <c r="I395" s="17">
        <f t="shared" si="9"/>
        <v>1716.75</v>
      </c>
      <c r="J395" s="17">
        <f t="shared" si="9"/>
        <v>3135.23</v>
      </c>
      <c r="K395" s="17">
        <f t="shared" si="9"/>
        <v>812.39</v>
      </c>
      <c r="L395" s="17">
        <f t="shared" si="9"/>
        <v>0</v>
      </c>
      <c r="M395" s="17">
        <f t="shared" si="9"/>
        <v>3049736.7600000002</v>
      </c>
      <c r="N395" s="17">
        <f t="shared" si="9"/>
        <v>0</v>
      </c>
      <c r="O395" s="17">
        <f t="shared" si="9"/>
        <v>0</v>
      </c>
      <c r="P395" s="17">
        <f t="shared" si="9"/>
        <v>174139.16</v>
      </c>
      <c r="Q395" s="17">
        <f t="shared" si="9"/>
        <v>10014294.477825001</v>
      </c>
    </row>
    <row r="396" spans="1:18" ht="19.5" thickBot="1" x14ac:dyDescent="0.35">
      <c r="A396" s="15"/>
      <c r="B396" s="15"/>
      <c r="C396" s="15"/>
      <c r="D396" s="15"/>
      <c r="E396" s="15"/>
      <c r="F396" s="15"/>
      <c r="G396" s="16"/>
      <c r="H396" s="18"/>
      <c r="I396" s="19">
        <f>SUM(H395:J395)</f>
        <v>3820788.165325</v>
      </c>
      <c r="J396" s="20"/>
      <c r="K396" s="16"/>
      <c r="L396" s="16"/>
      <c r="M396" s="16"/>
      <c r="N396" s="16"/>
      <c r="O396" s="16"/>
      <c r="P396" s="16"/>
      <c r="Q396" s="16"/>
    </row>
    <row r="402" spans="1:18" ht="29.25" thickBot="1" x14ac:dyDescent="0.5">
      <c r="A402" s="24" t="s">
        <v>0</v>
      </c>
      <c r="B402" s="24"/>
      <c r="C402" s="24"/>
      <c r="D402" s="24"/>
      <c r="E402" s="24"/>
      <c r="F402" s="21"/>
      <c r="G402" s="22"/>
      <c r="H402" s="22"/>
      <c r="I402" s="22"/>
      <c r="J402" s="22"/>
      <c r="K402" s="22"/>
      <c r="L402" s="22"/>
      <c r="M402" s="22"/>
      <c r="N402" s="22"/>
      <c r="O402" s="25">
        <v>45139</v>
      </c>
      <c r="P402" s="26"/>
      <c r="Q402" s="26"/>
    </row>
    <row r="403" spans="1:18" ht="18.75" x14ac:dyDescent="0.3">
      <c r="A403" s="6" t="s">
        <v>1</v>
      </c>
      <c r="B403" s="6" t="s">
        <v>2</v>
      </c>
      <c r="C403" s="6" t="s">
        <v>3</v>
      </c>
      <c r="D403" s="6" t="s">
        <v>4</v>
      </c>
      <c r="E403" s="6" t="s">
        <v>5</v>
      </c>
      <c r="F403" s="6" t="s">
        <v>6</v>
      </c>
      <c r="G403" s="7" t="s">
        <v>7</v>
      </c>
      <c r="H403" s="7" t="s">
        <v>8</v>
      </c>
      <c r="I403" s="7" t="s">
        <v>9</v>
      </c>
      <c r="J403" s="7" t="s">
        <v>10</v>
      </c>
      <c r="K403" s="7" t="s">
        <v>11</v>
      </c>
      <c r="L403" s="7" t="s">
        <v>12</v>
      </c>
      <c r="M403" s="7" t="s">
        <v>13</v>
      </c>
      <c r="N403" s="7" t="s">
        <v>14</v>
      </c>
      <c r="O403" s="7" t="s">
        <v>15</v>
      </c>
      <c r="P403" s="7" t="s">
        <v>16</v>
      </c>
      <c r="Q403" s="7" t="s">
        <v>17</v>
      </c>
    </row>
    <row r="404" spans="1:18" ht="18.75" x14ac:dyDescent="0.3">
      <c r="A404" s="8">
        <v>45139</v>
      </c>
      <c r="B404" s="9">
        <v>1</v>
      </c>
      <c r="C404" s="10">
        <v>3</v>
      </c>
      <c r="D404" s="11">
        <v>80</v>
      </c>
      <c r="E404" s="12">
        <v>20297899830</v>
      </c>
      <c r="F404" s="13" t="s">
        <v>73</v>
      </c>
      <c r="G404" s="14">
        <v>1685895.75</v>
      </c>
      <c r="H404" s="14">
        <v>354038.10749999998</v>
      </c>
      <c r="I404" s="14"/>
      <c r="J404" s="14"/>
      <c r="K404" s="14"/>
      <c r="L404" s="14"/>
      <c r="M404" s="14"/>
      <c r="N404" s="14"/>
      <c r="O404" s="14"/>
      <c r="P404" s="14"/>
      <c r="Q404" s="14">
        <v>2039933.8574999999</v>
      </c>
      <c r="R404" s="1"/>
    </row>
    <row r="405" spans="1:18" ht="18.75" x14ac:dyDescent="0.3">
      <c r="A405" s="8">
        <v>45139</v>
      </c>
      <c r="B405" s="9">
        <v>1</v>
      </c>
      <c r="C405" s="10">
        <v>3</v>
      </c>
      <c r="D405" s="11">
        <v>669</v>
      </c>
      <c r="E405" s="12">
        <v>30715402765</v>
      </c>
      <c r="F405" s="13" t="s">
        <v>100</v>
      </c>
      <c r="G405" s="14">
        <v>16528.93</v>
      </c>
      <c r="H405" s="14">
        <v>3471.0753</v>
      </c>
      <c r="I405" s="14"/>
      <c r="J405" s="14"/>
      <c r="K405" s="14"/>
      <c r="L405" s="14"/>
      <c r="M405" s="14"/>
      <c r="N405" s="14"/>
      <c r="O405" s="14"/>
      <c r="P405" s="14"/>
      <c r="Q405" s="14">
        <v>20000.005300000001</v>
      </c>
      <c r="R405" s="1"/>
    </row>
    <row r="406" spans="1:18" ht="18.75" x14ac:dyDescent="0.3">
      <c r="A406" s="8">
        <v>45139</v>
      </c>
      <c r="B406" s="9">
        <v>1</v>
      </c>
      <c r="C406" s="10">
        <v>3</v>
      </c>
      <c r="D406" s="11">
        <v>200405</v>
      </c>
      <c r="E406" s="12">
        <v>30707135596</v>
      </c>
      <c r="F406" s="13" t="s">
        <v>117</v>
      </c>
      <c r="G406" s="14">
        <v>6213.09</v>
      </c>
      <c r="H406" s="14">
        <v>1304.7489</v>
      </c>
      <c r="I406" s="14"/>
      <c r="J406" s="14"/>
      <c r="K406" s="14"/>
      <c r="L406" s="14"/>
      <c r="M406" s="14"/>
      <c r="N406" s="14"/>
      <c r="O406" s="14"/>
      <c r="P406" s="14"/>
      <c r="Q406" s="14">
        <v>7517.8389000000006</v>
      </c>
      <c r="R406" s="1"/>
    </row>
    <row r="407" spans="1:18" ht="18.75" x14ac:dyDescent="0.3">
      <c r="A407" s="8">
        <v>45140</v>
      </c>
      <c r="B407" s="9">
        <v>1</v>
      </c>
      <c r="C407" s="10">
        <v>4</v>
      </c>
      <c r="D407" s="11">
        <v>7508</v>
      </c>
      <c r="E407" s="12">
        <v>30620415606</v>
      </c>
      <c r="F407" s="13" t="s">
        <v>162</v>
      </c>
      <c r="G407" s="14">
        <v>362582.07</v>
      </c>
      <c r="H407" s="14">
        <v>76142.234700000001</v>
      </c>
      <c r="I407" s="14"/>
      <c r="J407" s="14"/>
      <c r="K407" s="14"/>
      <c r="L407" s="14"/>
      <c r="M407" s="14"/>
      <c r="N407" s="14"/>
      <c r="O407" s="14"/>
      <c r="P407" s="14">
        <v>495788.33</v>
      </c>
      <c r="Q407" s="14">
        <v>934512.63470000005</v>
      </c>
      <c r="R407" s="1"/>
    </row>
    <row r="408" spans="1:18" ht="18.75" x14ac:dyDescent="0.3">
      <c r="A408" s="8">
        <v>45141</v>
      </c>
      <c r="B408" s="9">
        <v>1</v>
      </c>
      <c r="C408" s="10">
        <v>3</v>
      </c>
      <c r="D408" s="11">
        <v>7182</v>
      </c>
      <c r="E408" s="12">
        <v>30710212127</v>
      </c>
      <c r="F408" s="13" t="s">
        <v>111</v>
      </c>
      <c r="G408" s="14">
        <v>519299.9</v>
      </c>
      <c r="H408" s="14">
        <v>109052.97900000001</v>
      </c>
      <c r="I408" s="14"/>
      <c r="J408" s="14"/>
      <c r="K408" s="14"/>
      <c r="L408" s="14"/>
      <c r="M408" s="14"/>
      <c r="N408" s="14"/>
      <c r="O408" s="14"/>
      <c r="P408" s="14"/>
      <c r="Q408" s="14">
        <v>628352.87900000007</v>
      </c>
      <c r="R408" s="1"/>
    </row>
    <row r="409" spans="1:18" ht="18.75" x14ac:dyDescent="0.3">
      <c r="A409" s="8">
        <v>45141</v>
      </c>
      <c r="B409" s="9">
        <v>1</v>
      </c>
      <c r="C409" s="10">
        <v>2</v>
      </c>
      <c r="D409" s="11">
        <v>14117</v>
      </c>
      <c r="E409" s="12">
        <v>20103565309</v>
      </c>
      <c r="F409" s="13" t="s">
        <v>163</v>
      </c>
      <c r="G409" s="14">
        <v>42170</v>
      </c>
      <c r="H409" s="14">
        <v>8855.6999999999989</v>
      </c>
      <c r="I409" s="14"/>
      <c r="J409" s="14"/>
      <c r="K409" s="14"/>
      <c r="L409" s="14"/>
      <c r="M409" s="14"/>
      <c r="N409" s="14"/>
      <c r="O409" s="14"/>
      <c r="P409" s="14"/>
      <c r="Q409" s="14">
        <v>51025.7</v>
      </c>
      <c r="R409" s="1"/>
    </row>
    <row r="410" spans="1:18" ht="18.75" x14ac:dyDescent="0.3">
      <c r="A410" s="8">
        <v>45142</v>
      </c>
      <c r="B410" s="9">
        <v>1</v>
      </c>
      <c r="C410" s="10">
        <v>3</v>
      </c>
      <c r="D410" s="11">
        <v>102</v>
      </c>
      <c r="E410" s="12">
        <v>30717406512</v>
      </c>
      <c r="F410" s="13" t="s">
        <v>164</v>
      </c>
      <c r="G410" s="14">
        <v>5776.86</v>
      </c>
      <c r="H410" s="14">
        <v>1213.1405999999999</v>
      </c>
      <c r="I410" s="14"/>
      <c r="J410" s="14"/>
      <c r="K410" s="14"/>
      <c r="L410" s="14"/>
      <c r="M410" s="14"/>
      <c r="N410" s="14"/>
      <c r="O410" s="14"/>
      <c r="P410" s="14"/>
      <c r="Q410" s="14">
        <v>6990.0005999999994</v>
      </c>
      <c r="R410" s="1"/>
    </row>
    <row r="411" spans="1:18" ht="18.75" x14ac:dyDescent="0.3">
      <c r="A411" s="8">
        <v>45142</v>
      </c>
      <c r="B411" s="9">
        <v>1</v>
      </c>
      <c r="C411" s="10">
        <v>1</v>
      </c>
      <c r="D411" s="11">
        <v>651</v>
      </c>
      <c r="E411" s="12">
        <v>30715048066</v>
      </c>
      <c r="F411" s="13" t="s">
        <v>23</v>
      </c>
      <c r="G411" s="14">
        <v>143025</v>
      </c>
      <c r="H411" s="14">
        <v>30035.25</v>
      </c>
      <c r="I411" s="14"/>
      <c r="J411" s="14"/>
      <c r="K411" s="14"/>
      <c r="L411" s="14"/>
      <c r="M411" s="14"/>
      <c r="N411" s="14"/>
      <c r="O411" s="14"/>
      <c r="P411" s="14"/>
      <c r="Q411" s="14">
        <v>173060.25</v>
      </c>
      <c r="R411" s="1"/>
    </row>
    <row r="412" spans="1:18" ht="18.75" x14ac:dyDescent="0.3">
      <c r="A412" s="8">
        <v>45142</v>
      </c>
      <c r="B412" s="9">
        <v>1</v>
      </c>
      <c r="C412" s="10">
        <v>101</v>
      </c>
      <c r="D412" s="11">
        <v>10106</v>
      </c>
      <c r="E412" s="12">
        <v>30711816212</v>
      </c>
      <c r="F412" s="13" t="s">
        <v>165</v>
      </c>
      <c r="G412" s="14">
        <v>148107.24</v>
      </c>
      <c r="H412" s="14"/>
      <c r="I412" s="14"/>
      <c r="J412" s="14">
        <v>15551.260199999999</v>
      </c>
      <c r="K412" s="14"/>
      <c r="L412" s="14"/>
      <c r="M412" s="14"/>
      <c r="N412" s="14"/>
      <c r="O412" s="14"/>
      <c r="P412" s="14"/>
      <c r="Q412" s="14">
        <v>163658.50019999998</v>
      </c>
      <c r="R412" s="1"/>
    </row>
    <row r="413" spans="1:18" ht="18.75" x14ac:dyDescent="0.3">
      <c r="A413" s="8">
        <v>45143</v>
      </c>
      <c r="B413" s="9">
        <v>1</v>
      </c>
      <c r="C413" s="10">
        <v>4</v>
      </c>
      <c r="D413" s="11">
        <v>797</v>
      </c>
      <c r="E413" s="12">
        <v>30717393445</v>
      </c>
      <c r="F413" s="13" t="s">
        <v>166</v>
      </c>
      <c r="G413" s="14">
        <v>6182.64</v>
      </c>
      <c r="H413" s="14">
        <v>1298.3543999999999</v>
      </c>
      <c r="I413" s="14"/>
      <c r="J413" s="14"/>
      <c r="K413" s="14"/>
      <c r="L413" s="14"/>
      <c r="M413" s="14"/>
      <c r="N413" s="14"/>
      <c r="O413" s="14"/>
      <c r="P413" s="14"/>
      <c r="Q413" s="14">
        <v>7480.9944000000005</v>
      </c>
      <c r="R413" s="1"/>
    </row>
    <row r="414" spans="1:18" ht="18.75" x14ac:dyDescent="0.3">
      <c r="A414" s="8">
        <v>45145</v>
      </c>
      <c r="B414" s="9">
        <v>1</v>
      </c>
      <c r="C414" s="10">
        <v>1006</v>
      </c>
      <c r="D414" s="11">
        <v>849985</v>
      </c>
      <c r="E414" s="12">
        <v>30538068841</v>
      </c>
      <c r="F414" s="13" t="s">
        <v>37</v>
      </c>
      <c r="G414" s="14">
        <v>1163662.44</v>
      </c>
      <c r="H414" s="14">
        <v>244369.11239999998</v>
      </c>
      <c r="I414" s="14"/>
      <c r="J414" s="14"/>
      <c r="K414" s="14"/>
      <c r="L414" s="14"/>
      <c r="M414" s="14"/>
      <c r="N414" s="14"/>
      <c r="O414" s="14"/>
      <c r="P414" s="14"/>
      <c r="Q414" s="14">
        <v>1408031.5523999999</v>
      </c>
      <c r="R414" s="1"/>
    </row>
    <row r="415" spans="1:18" ht="18.75" x14ac:dyDescent="0.3">
      <c r="A415" s="8">
        <v>45146</v>
      </c>
      <c r="B415" s="9">
        <v>1</v>
      </c>
      <c r="C415" s="10">
        <v>3</v>
      </c>
      <c r="D415" s="11">
        <v>7189</v>
      </c>
      <c r="E415" s="12">
        <v>30710212127</v>
      </c>
      <c r="F415" s="13" t="s">
        <v>111</v>
      </c>
      <c r="G415" s="14">
        <v>205100</v>
      </c>
      <c r="H415" s="14">
        <v>43071</v>
      </c>
      <c r="I415" s="14"/>
      <c r="J415" s="14"/>
      <c r="K415" s="14"/>
      <c r="L415" s="14"/>
      <c r="M415" s="14"/>
      <c r="N415" s="14"/>
      <c r="O415" s="14"/>
      <c r="P415" s="14"/>
      <c r="Q415" s="14">
        <v>248171</v>
      </c>
      <c r="R415" s="1"/>
    </row>
    <row r="416" spans="1:18" ht="18.75" x14ac:dyDescent="0.3">
      <c r="A416" s="8">
        <v>45146</v>
      </c>
      <c r="B416" s="9">
        <v>1</v>
      </c>
      <c r="C416" s="10">
        <v>280</v>
      </c>
      <c r="D416" s="11">
        <v>1448143</v>
      </c>
      <c r="E416" s="12">
        <v>30580111315</v>
      </c>
      <c r="F416" s="13" t="s">
        <v>108</v>
      </c>
      <c r="G416" s="14">
        <v>37869.504000000001</v>
      </c>
      <c r="H416" s="14">
        <v>7952.59584</v>
      </c>
      <c r="I416" s="14"/>
      <c r="J416" s="14"/>
      <c r="K416" s="14"/>
      <c r="L416" s="14"/>
      <c r="M416" s="14"/>
      <c r="N416" s="14"/>
      <c r="O416" s="14"/>
      <c r="P416" s="14">
        <v>-24683.712</v>
      </c>
      <c r="Q416" s="14">
        <v>21138.387840000003</v>
      </c>
      <c r="R416" s="1"/>
    </row>
    <row r="417" spans="1:18" ht="18.75" x14ac:dyDescent="0.3">
      <c r="A417" s="8">
        <v>45147</v>
      </c>
      <c r="B417" s="9">
        <v>1</v>
      </c>
      <c r="C417" s="10">
        <v>8</v>
      </c>
      <c r="D417" s="11">
        <v>6060</v>
      </c>
      <c r="E417" s="12">
        <v>30708693010</v>
      </c>
      <c r="F417" s="13" t="s">
        <v>167</v>
      </c>
      <c r="G417" s="14">
        <v>2855.35</v>
      </c>
      <c r="H417" s="14">
        <v>599.62349999999992</v>
      </c>
      <c r="I417" s="14"/>
      <c r="J417" s="14"/>
      <c r="K417" s="14"/>
      <c r="L417" s="14"/>
      <c r="M417" s="14"/>
      <c r="N417" s="14"/>
      <c r="O417" s="14"/>
      <c r="P417" s="14"/>
      <c r="Q417" s="14">
        <v>3454.9735000000001</v>
      </c>
      <c r="R417" s="1"/>
    </row>
    <row r="418" spans="1:18" ht="18.75" x14ac:dyDescent="0.3">
      <c r="A418" s="8">
        <v>45147</v>
      </c>
      <c r="B418" s="9">
        <v>1</v>
      </c>
      <c r="C418" s="10">
        <v>11</v>
      </c>
      <c r="D418" s="11">
        <v>8121</v>
      </c>
      <c r="E418" s="12">
        <v>30575019524</v>
      </c>
      <c r="F418" s="13" t="s">
        <v>168</v>
      </c>
      <c r="G418" s="14">
        <v>2065.29</v>
      </c>
      <c r="H418" s="14">
        <v>433.71089999999998</v>
      </c>
      <c r="I418" s="14"/>
      <c r="J418" s="14"/>
      <c r="K418" s="14"/>
      <c r="L418" s="14"/>
      <c r="M418" s="14"/>
      <c r="N418" s="14"/>
      <c r="O418" s="14"/>
      <c r="P418" s="14"/>
      <c r="Q418" s="14">
        <v>2499.0009</v>
      </c>
      <c r="R418" s="1"/>
    </row>
    <row r="419" spans="1:18" ht="18.75" x14ac:dyDescent="0.3">
      <c r="A419" s="8">
        <v>45147</v>
      </c>
      <c r="B419" s="9">
        <v>1</v>
      </c>
      <c r="C419" s="10">
        <v>280</v>
      </c>
      <c r="D419" s="11">
        <v>1448306</v>
      </c>
      <c r="E419" s="12">
        <v>30580111315</v>
      </c>
      <c r="F419" s="13" t="s">
        <v>108</v>
      </c>
      <c r="G419" s="14">
        <v>330203.45400000003</v>
      </c>
      <c r="H419" s="14">
        <v>69342.725340000005</v>
      </c>
      <c r="I419" s="14"/>
      <c r="J419" s="14"/>
      <c r="K419" s="14"/>
      <c r="L419" s="14"/>
      <c r="M419" s="14"/>
      <c r="N419" s="14"/>
      <c r="O419" s="14"/>
      <c r="P419" s="14">
        <v>-266130.56400000001</v>
      </c>
      <c r="Q419" s="14">
        <v>133415.61534000002</v>
      </c>
      <c r="R419" s="1"/>
    </row>
    <row r="420" spans="1:18" ht="18.75" x14ac:dyDescent="0.3">
      <c r="A420" s="8">
        <v>45148</v>
      </c>
      <c r="B420" s="9">
        <v>1</v>
      </c>
      <c r="C420" s="10">
        <v>5</v>
      </c>
      <c r="D420" s="11">
        <v>12260</v>
      </c>
      <c r="E420" s="12">
        <v>23221796209</v>
      </c>
      <c r="F420" s="13" t="s">
        <v>169</v>
      </c>
      <c r="G420" s="14">
        <v>3305.79</v>
      </c>
      <c r="H420" s="14">
        <v>694.21589999999992</v>
      </c>
      <c r="I420" s="14"/>
      <c r="J420" s="14"/>
      <c r="K420" s="14"/>
      <c r="L420" s="14"/>
      <c r="M420" s="14"/>
      <c r="N420" s="14"/>
      <c r="O420" s="14"/>
      <c r="P420" s="14"/>
      <c r="Q420" s="14">
        <v>4000.0059000000001</v>
      </c>
      <c r="R420" s="1"/>
    </row>
    <row r="421" spans="1:18" ht="18.75" x14ac:dyDescent="0.3">
      <c r="A421" s="8">
        <v>45149</v>
      </c>
      <c r="B421" s="9">
        <v>1</v>
      </c>
      <c r="C421" s="10">
        <v>4</v>
      </c>
      <c r="D421" s="11">
        <v>2387</v>
      </c>
      <c r="E421" s="12">
        <v>30714977152</v>
      </c>
      <c r="F421" s="13" t="s">
        <v>170</v>
      </c>
      <c r="G421" s="14">
        <v>1404.96</v>
      </c>
      <c r="H421" s="14">
        <v>295.04160000000002</v>
      </c>
      <c r="I421" s="14"/>
      <c r="J421" s="14"/>
      <c r="K421" s="14"/>
      <c r="L421" s="14"/>
      <c r="M421" s="14"/>
      <c r="N421" s="14"/>
      <c r="O421" s="14"/>
      <c r="P421" s="14"/>
      <c r="Q421" s="14">
        <v>1700.0016000000001</v>
      </c>
      <c r="R421" s="1"/>
    </row>
    <row r="422" spans="1:18" ht="18.75" x14ac:dyDescent="0.3">
      <c r="A422" s="8">
        <v>45149</v>
      </c>
      <c r="B422" s="9">
        <v>1</v>
      </c>
      <c r="C422" s="10">
        <v>17</v>
      </c>
      <c r="D422" s="11">
        <v>6194</v>
      </c>
      <c r="E422" s="12">
        <v>30633765827</v>
      </c>
      <c r="F422" s="13" t="s">
        <v>171</v>
      </c>
      <c r="G422" s="14">
        <v>403.51</v>
      </c>
      <c r="H422" s="14">
        <v>84.737099999999998</v>
      </c>
      <c r="I422" s="14"/>
      <c r="J422" s="14"/>
      <c r="K422" s="14"/>
      <c r="L422" s="14"/>
      <c r="M422" s="14"/>
      <c r="N422" s="14"/>
      <c r="O422" s="14"/>
      <c r="P422" s="14"/>
      <c r="Q422" s="14">
        <v>488.24709999999999</v>
      </c>
      <c r="R422" s="1"/>
    </row>
    <row r="423" spans="1:18" ht="18.75" x14ac:dyDescent="0.3">
      <c r="A423" s="8">
        <v>45149</v>
      </c>
      <c r="B423" s="9">
        <v>1</v>
      </c>
      <c r="C423" s="10">
        <v>2466</v>
      </c>
      <c r="D423" s="11">
        <v>543211</v>
      </c>
      <c r="E423" s="12">
        <v>30678814357</v>
      </c>
      <c r="F423" s="13" t="s">
        <v>116</v>
      </c>
      <c r="G423" s="14">
        <v>4850</v>
      </c>
      <c r="H423" s="14"/>
      <c r="I423" s="14">
        <v>1309.5</v>
      </c>
      <c r="J423" s="14"/>
      <c r="K423" s="14">
        <v>145.5</v>
      </c>
      <c r="L423" s="14"/>
      <c r="M423" s="14"/>
      <c r="N423" s="14"/>
      <c r="O423" s="14"/>
      <c r="P423" s="14">
        <v>255.26</v>
      </c>
      <c r="Q423" s="14">
        <v>6560.26</v>
      </c>
      <c r="R423" s="1"/>
    </row>
    <row r="424" spans="1:18" ht="18.75" x14ac:dyDescent="0.3">
      <c r="A424" s="8">
        <v>45151</v>
      </c>
      <c r="B424" s="9">
        <v>1</v>
      </c>
      <c r="C424" s="10">
        <v>2</v>
      </c>
      <c r="D424" s="11">
        <v>180</v>
      </c>
      <c r="E424" s="12">
        <v>20125142851</v>
      </c>
      <c r="F424" s="13" t="s">
        <v>19</v>
      </c>
      <c r="G424" s="14">
        <v>83474.8</v>
      </c>
      <c r="H424" s="14">
        <v>17529.707999999999</v>
      </c>
      <c r="I424" s="14"/>
      <c r="J424" s="14"/>
      <c r="K424" s="14"/>
      <c r="L424" s="14"/>
      <c r="M424" s="14"/>
      <c r="N424" s="14"/>
      <c r="O424" s="14"/>
      <c r="P424" s="14"/>
      <c r="Q424" s="14">
        <v>101004.508</v>
      </c>
      <c r="R424" s="1"/>
    </row>
    <row r="425" spans="1:18" ht="18.75" x14ac:dyDescent="0.3">
      <c r="A425" s="8">
        <v>45151</v>
      </c>
      <c r="B425" s="9">
        <v>1</v>
      </c>
      <c r="C425" s="10">
        <v>2</v>
      </c>
      <c r="D425" s="11">
        <v>181</v>
      </c>
      <c r="E425" s="12">
        <v>20125142851</v>
      </c>
      <c r="F425" s="13" t="s">
        <v>19</v>
      </c>
      <c r="G425" s="14">
        <v>118849.5</v>
      </c>
      <c r="H425" s="14">
        <v>24958.395</v>
      </c>
      <c r="I425" s="14"/>
      <c r="J425" s="14"/>
      <c r="K425" s="14"/>
      <c r="L425" s="14"/>
      <c r="M425" s="14"/>
      <c r="N425" s="14"/>
      <c r="O425" s="14"/>
      <c r="P425" s="14"/>
      <c r="Q425" s="14">
        <v>143807.89499999999</v>
      </c>
      <c r="R425" s="1"/>
    </row>
    <row r="426" spans="1:18" ht="18.75" x14ac:dyDescent="0.3">
      <c r="A426" s="8">
        <v>45152</v>
      </c>
      <c r="B426" s="9">
        <v>1</v>
      </c>
      <c r="C426" s="10">
        <v>6</v>
      </c>
      <c r="D426" s="11">
        <v>2697</v>
      </c>
      <c r="E426" s="12">
        <v>30715216368</v>
      </c>
      <c r="F426" s="13" t="s">
        <v>172</v>
      </c>
      <c r="G426" s="14">
        <v>20867.77</v>
      </c>
      <c r="H426" s="14">
        <v>4382.2317000000003</v>
      </c>
      <c r="I426" s="14"/>
      <c r="J426" s="14"/>
      <c r="K426" s="14"/>
      <c r="L426" s="14"/>
      <c r="M426" s="14"/>
      <c r="N426" s="14"/>
      <c r="O426" s="14"/>
      <c r="P426" s="14"/>
      <c r="Q426" s="14">
        <v>25250.001700000001</v>
      </c>
      <c r="R426" s="1"/>
    </row>
    <row r="427" spans="1:18" ht="18.75" x14ac:dyDescent="0.3">
      <c r="A427" s="8">
        <v>45155</v>
      </c>
      <c r="B427" s="9">
        <v>1</v>
      </c>
      <c r="C427" s="10">
        <v>7</v>
      </c>
      <c r="D427" s="11">
        <v>4005</v>
      </c>
      <c r="E427" s="12">
        <v>20278028810</v>
      </c>
      <c r="F427" s="13" t="s">
        <v>105</v>
      </c>
      <c r="G427" s="14">
        <v>2107.44</v>
      </c>
      <c r="H427" s="14">
        <v>442.56239999999997</v>
      </c>
      <c r="I427" s="14"/>
      <c r="J427" s="14"/>
      <c r="K427" s="14"/>
      <c r="L427" s="14"/>
      <c r="M427" s="14"/>
      <c r="N427" s="14"/>
      <c r="O427" s="14"/>
      <c r="P427" s="14"/>
      <c r="Q427" s="14">
        <v>2550.0023999999999</v>
      </c>
      <c r="R427" s="1"/>
    </row>
    <row r="428" spans="1:18" ht="18.75" x14ac:dyDescent="0.3">
      <c r="A428" s="8">
        <v>45155</v>
      </c>
      <c r="B428" s="9">
        <v>1</v>
      </c>
      <c r="C428" s="10">
        <v>31</v>
      </c>
      <c r="D428" s="11">
        <v>21580</v>
      </c>
      <c r="E428" s="12">
        <v>30715209833</v>
      </c>
      <c r="F428" s="13" t="s">
        <v>173</v>
      </c>
      <c r="G428" s="14">
        <v>14909.09</v>
      </c>
      <c r="H428" s="14">
        <v>3130.9088999999999</v>
      </c>
      <c r="I428" s="14"/>
      <c r="J428" s="14"/>
      <c r="K428" s="14"/>
      <c r="L428" s="14"/>
      <c r="M428" s="14"/>
      <c r="N428" s="14"/>
      <c r="O428" s="14"/>
      <c r="P428" s="14"/>
      <c r="Q428" s="14">
        <v>18039.998899999999</v>
      </c>
      <c r="R428" s="1"/>
    </row>
    <row r="429" spans="1:18" ht="18.75" x14ac:dyDescent="0.3">
      <c r="A429" s="8">
        <v>45156</v>
      </c>
      <c r="B429" s="9">
        <v>1</v>
      </c>
      <c r="C429" s="10">
        <v>3</v>
      </c>
      <c r="D429" s="11">
        <v>410</v>
      </c>
      <c r="E429" s="12">
        <v>30699144327</v>
      </c>
      <c r="F429" s="13" t="s">
        <v>174</v>
      </c>
      <c r="G429" s="14">
        <v>4093</v>
      </c>
      <c r="H429" s="14">
        <v>859.53</v>
      </c>
      <c r="I429" s="14"/>
      <c r="J429" s="14"/>
      <c r="K429" s="14"/>
      <c r="L429" s="14"/>
      <c r="M429" s="14"/>
      <c r="N429" s="14"/>
      <c r="O429" s="14"/>
      <c r="P429" s="14"/>
      <c r="Q429" s="14">
        <v>4952.53</v>
      </c>
      <c r="R429" s="1"/>
    </row>
    <row r="430" spans="1:18" ht="18.75" x14ac:dyDescent="0.3">
      <c r="A430" s="8">
        <v>45156</v>
      </c>
      <c r="B430" s="9">
        <v>1</v>
      </c>
      <c r="C430" s="10">
        <v>15</v>
      </c>
      <c r="D430" s="11">
        <v>2471</v>
      </c>
      <c r="E430" s="12">
        <v>30708003316</v>
      </c>
      <c r="F430" s="13" t="s">
        <v>22</v>
      </c>
      <c r="G430" s="14">
        <v>14541.5</v>
      </c>
      <c r="H430" s="14">
        <v>3053.7149999999997</v>
      </c>
      <c r="I430" s="14"/>
      <c r="J430" s="14"/>
      <c r="K430" s="14"/>
      <c r="L430" s="14"/>
      <c r="M430" s="14"/>
      <c r="N430" s="14"/>
      <c r="O430" s="14"/>
      <c r="P430" s="14"/>
      <c r="Q430" s="14">
        <v>17595.215</v>
      </c>
      <c r="R430" s="1"/>
    </row>
    <row r="431" spans="1:18" ht="18.75" x14ac:dyDescent="0.3">
      <c r="A431" s="8">
        <v>45156</v>
      </c>
      <c r="B431" s="9">
        <v>1</v>
      </c>
      <c r="C431" s="10">
        <v>9</v>
      </c>
      <c r="D431" s="11">
        <v>3241</v>
      </c>
      <c r="E431" s="12">
        <v>30709953482</v>
      </c>
      <c r="F431" s="13" t="s">
        <v>175</v>
      </c>
      <c r="G431" s="14">
        <v>9139.93</v>
      </c>
      <c r="H431" s="14">
        <v>1919.3852999999999</v>
      </c>
      <c r="I431" s="14"/>
      <c r="J431" s="14"/>
      <c r="K431" s="14"/>
      <c r="L431" s="14"/>
      <c r="M431" s="14"/>
      <c r="N431" s="14"/>
      <c r="O431" s="14"/>
      <c r="P431" s="14"/>
      <c r="Q431" s="14">
        <v>11059.3153</v>
      </c>
      <c r="R431" s="1"/>
    </row>
    <row r="432" spans="1:18" ht="18.75" x14ac:dyDescent="0.3">
      <c r="A432" s="8">
        <v>45156</v>
      </c>
      <c r="B432" s="9">
        <v>1</v>
      </c>
      <c r="C432" s="10">
        <v>8</v>
      </c>
      <c r="D432" s="11">
        <v>9591</v>
      </c>
      <c r="E432" s="12">
        <v>30709953482</v>
      </c>
      <c r="F432" s="13" t="s">
        <v>175</v>
      </c>
      <c r="G432" s="14">
        <v>2958.47</v>
      </c>
      <c r="H432" s="14">
        <v>621.27869999999996</v>
      </c>
      <c r="I432" s="14"/>
      <c r="J432" s="14"/>
      <c r="K432" s="14"/>
      <c r="L432" s="14"/>
      <c r="M432" s="14"/>
      <c r="N432" s="14"/>
      <c r="O432" s="14"/>
      <c r="P432" s="14"/>
      <c r="Q432" s="14">
        <v>3579.7486999999996</v>
      </c>
      <c r="R432" s="1"/>
    </row>
    <row r="433" spans="1:18" ht="18.75" x14ac:dyDescent="0.3">
      <c r="A433" s="8">
        <v>45156</v>
      </c>
      <c r="B433" s="9">
        <v>1</v>
      </c>
      <c r="C433" s="10">
        <v>5</v>
      </c>
      <c r="D433" s="11">
        <v>60015</v>
      </c>
      <c r="E433" s="12">
        <v>23957768849</v>
      </c>
      <c r="F433" s="13" t="s">
        <v>176</v>
      </c>
      <c r="G433" s="14">
        <v>2160.3200000000002</v>
      </c>
      <c r="H433" s="14">
        <v>453.66720000000004</v>
      </c>
      <c r="I433" s="14"/>
      <c r="J433" s="14"/>
      <c r="K433" s="14"/>
      <c r="L433" s="14"/>
      <c r="M433" s="14"/>
      <c r="N433" s="14"/>
      <c r="O433" s="14"/>
      <c r="P433" s="14"/>
      <c r="Q433" s="14">
        <v>2613.9872</v>
      </c>
      <c r="R433" s="1"/>
    </row>
    <row r="434" spans="1:18" ht="18.75" x14ac:dyDescent="0.3">
      <c r="A434" s="8">
        <v>45158</v>
      </c>
      <c r="B434" s="9">
        <v>1</v>
      </c>
      <c r="C434" s="10">
        <v>3</v>
      </c>
      <c r="D434" s="11">
        <v>1589832</v>
      </c>
      <c r="E434" s="12">
        <v>30712019359</v>
      </c>
      <c r="F434" s="13" t="s">
        <v>42</v>
      </c>
      <c r="G434" s="14">
        <v>8759.5</v>
      </c>
      <c r="H434" s="14">
        <v>1839.4949999999999</v>
      </c>
      <c r="I434" s="14"/>
      <c r="J434" s="14"/>
      <c r="K434" s="14"/>
      <c r="L434" s="14"/>
      <c r="M434" s="14"/>
      <c r="N434" s="14"/>
      <c r="O434" s="14"/>
      <c r="P434" s="14"/>
      <c r="Q434" s="14">
        <v>10598.994999999999</v>
      </c>
      <c r="R434" s="1"/>
    </row>
    <row r="435" spans="1:18" ht="18.75" x14ac:dyDescent="0.3">
      <c r="A435" s="8">
        <v>45159</v>
      </c>
      <c r="B435" s="9">
        <v>1</v>
      </c>
      <c r="C435" s="10">
        <v>2</v>
      </c>
      <c r="D435" s="11">
        <v>182</v>
      </c>
      <c r="E435" s="12">
        <v>20125142851</v>
      </c>
      <c r="F435" s="13" t="s">
        <v>19</v>
      </c>
      <c r="G435" s="14">
        <v>66779.839999999997</v>
      </c>
      <c r="H435" s="14">
        <v>14023.766399999999</v>
      </c>
      <c r="I435" s="14"/>
      <c r="J435" s="14"/>
      <c r="K435" s="14"/>
      <c r="L435" s="14"/>
      <c r="M435" s="14"/>
      <c r="N435" s="14"/>
      <c r="O435" s="14"/>
      <c r="P435" s="14"/>
      <c r="Q435" s="14">
        <v>80803.60639999999</v>
      </c>
      <c r="R435" s="1"/>
    </row>
    <row r="436" spans="1:18" ht="18.75" x14ac:dyDescent="0.3">
      <c r="A436" s="8">
        <v>45159</v>
      </c>
      <c r="B436" s="9">
        <v>1</v>
      </c>
      <c r="C436" s="10">
        <v>2</v>
      </c>
      <c r="D436" s="11">
        <v>183</v>
      </c>
      <c r="E436" s="12">
        <v>20125142851</v>
      </c>
      <c r="F436" s="13" t="s">
        <v>19</v>
      </c>
      <c r="G436" s="14">
        <v>116341.75999999999</v>
      </c>
      <c r="H436" s="14">
        <v>24431.7696</v>
      </c>
      <c r="I436" s="14"/>
      <c r="J436" s="14"/>
      <c r="K436" s="14"/>
      <c r="L436" s="14"/>
      <c r="M436" s="14"/>
      <c r="N436" s="14"/>
      <c r="O436" s="14"/>
      <c r="P436" s="14"/>
      <c r="Q436" s="14">
        <v>140773.52960000001</v>
      </c>
      <c r="R436" s="1"/>
    </row>
    <row r="437" spans="1:18" ht="18.75" x14ac:dyDescent="0.3">
      <c r="A437" s="8">
        <v>45161</v>
      </c>
      <c r="B437" s="9">
        <v>1</v>
      </c>
      <c r="C437" s="10">
        <v>10</v>
      </c>
      <c r="D437" s="11">
        <v>2161</v>
      </c>
      <c r="E437" s="12">
        <v>20357275882</v>
      </c>
      <c r="F437" s="13" t="s">
        <v>177</v>
      </c>
      <c r="G437" s="14">
        <v>7766.12</v>
      </c>
      <c r="H437" s="14">
        <v>1630.8851999999999</v>
      </c>
      <c r="I437" s="14"/>
      <c r="J437" s="14"/>
      <c r="K437" s="14"/>
      <c r="L437" s="14"/>
      <c r="M437" s="14"/>
      <c r="N437" s="14"/>
      <c r="O437" s="14"/>
      <c r="P437" s="14"/>
      <c r="Q437" s="14">
        <v>9397.0051999999996</v>
      </c>
      <c r="R437" s="1"/>
    </row>
    <row r="438" spans="1:18" ht="18.75" x14ac:dyDescent="0.3">
      <c r="A438" s="8">
        <v>45161</v>
      </c>
      <c r="B438" s="9">
        <v>1</v>
      </c>
      <c r="C438" s="10">
        <v>1</v>
      </c>
      <c r="D438" s="11">
        <v>3222</v>
      </c>
      <c r="E438" s="12">
        <v>30716831198</v>
      </c>
      <c r="F438" s="13" t="s">
        <v>178</v>
      </c>
      <c r="G438" s="14">
        <v>15799.5</v>
      </c>
      <c r="H438" s="14">
        <v>3317.895</v>
      </c>
      <c r="I438" s="14"/>
      <c r="J438" s="14"/>
      <c r="K438" s="14"/>
      <c r="L438" s="14"/>
      <c r="M438" s="14"/>
      <c r="N438" s="14"/>
      <c r="O438" s="14"/>
      <c r="P438" s="14"/>
      <c r="Q438" s="14">
        <v>19117.395</v>
      </c>
      <c r="R438" s="1"/>
    </row>
    <row r="439" spans="1:18" ht="18.75" x14ac:dyDescent="0.3">
      <c r="A439" s="8">
        <v>45161</v>
      </c>
      <c r="B439" s="9">
        <v>1</v>
      </c>
      <c r="C439" s="10">
        <v>1</v>
      </c>
      <c r="D439" s="11">
        <v>3223</v>
      </c>
      <c r="E439" s="12">
        <v>30716831198</v>
      </c>
      <c r="F439" s="13" t="s">
        <v>178</v>
      </c>
      <c r="G439" s="14">
        <v>2551.84</v>
      </c>
      <c r="H439" s="14">
        <v>535.88639999999998</v>
      </c>
      <c r="I439" s="14"/>
      <c r="J439" s="14"/>
      <c r="K439" s="14"/>
      <c r="L439" s="14"/>
      <c r="M439" s="14"/>
      <c r="N439" s="14"/>
      <c r="O439" s="14"/>
      <c r="P439" s="14"/>
      <c r="Q439" s="14">
        <v>3087.7264</v>
      </c>
      <c r="R439" s="1"/>
    </row>
    <row r="440" spans="1:18" ht="18.75" x14ac:dyDescent="0.3">
      <c r="A440" s="8">
        <v>45162</v>
      </c>
      <c r="B440" s="9">
        <v>1</v>
      </c>
      <c r="C440" s="10">
        <v>755</v>
      </c>
      <c r="D440" s="11">
        <v>5623</v>
      </c>
      <c r="E440" s="12">
        <v>30580111315</v>
      </c>
      <c r="F440" s="13" t="s">
        <v>108</v>
      </c>
      <c r="G440" s="14"/>
      <c r="H440" s="14" t="s">
        <v>138</v>
      </c>
      <c r="I440" s="14"/>
      <c r="J440" s="14"/>
      <c r="K440" s="14"/>
      <c r="L440" s="14"/>
      <c r="M440" s="14"/>
      <c r="N440" s="14"/>
      <c r="O440" s="14"/>
      <c r="P440" s="14">
        <v>11496.8</v>
      </c>
      <c r="Q440" s="14">
        <v>11496.8</v>
      </c>
      <c r="R440" s="1"/>
    </row>
    <row r="441" spans="1:18" ht="18.75" x14ac:dyDescent="0.3">
      <c r="A441" s="8">
        <v>45162</v>
      </c>
      <c r="B441" s="9">
        <v>1</v>
      </c>
      <c r="C441" s="10">
        <v>5</v>
      </c>
      <c r="D441" s="11">
        <v>6568</v>
      </c>
      <c r="E441" s="12">
        <v>33711557119</v>
      </c>
      <c r="F441" s="13" t="s">
        <v>140</v>
      </c>
      <c r="G441" s="14">
        <v>29795.87</v>
      </c>
      <c r="H441" s="14">
        <v>6257.1326999999992</v>
      </c>
      <c r="I441" s="14"/>
      <c r="J441" s="14"/>
      <c r="K441" s="14"/>
      <c r="L441" s="14"/>
      <c r="M441" s="14"/>
      <c r="N441" s="14"/>
      <c r="O441" s="14"/>
      <c r="P441" s="14"/>
      <c r="Q441" s="14">
        <v>36053.002699999997</v>
      </c>
      <c r="R441" s="1"/>
    </row>
    <row r="442" spans="1:18" ht="18.75" x14ac:dyDescent="0.3">
      <c r="A442" s="8">
        <v>45162</v>
      </c>
      <c r="B442" s="9">
        <v>1</v>
      </c>
      <c r="C442" s="10">
        <v>5</v>
      </c>
      <c r="D442" s="11">
        <v>28776</v>
      </c>
      <c r="E442" s="12">
        <v>30710571801</v>
      </c>
      <c r="F442" s="13" t="s">
        <v>179</v>
      </c>
      <c r="G442" s="14">
        <v>19000</v>
      </c>
      <c r="H442" s="14">
        <v>3990</v>
      </c>
      <c r="I442" s="14"/>
      <c r="J442" s="14"/>
      <c r="K442" s="14"/>
      <c r="L442" s="14"/>
      <c r="M442" s="14"/>
      <c r="N442" s="14"/>
      <c r="O442" s="14"/>
      <c r="P442" s="14"/>
      <c r="Q442" s="14">
        <v>22990</v>
      </c>
      <c r="R442" s="1"/>
    </row>
    <row r="443" spans="1:18" ht="18.75" x14ac:dyDescent="0.3">
      <c r="A443" s="8">
        <v>45163</v>
      </c>
      <c r="B443" s="9">
        <v>1</v>
      </c>
      <c r="C443" s="10">
        <v>2</v>
      </c>
      <c r="D443" s="11">
        <v>10703</v>
      </c>
      <c r="E443" s="12">
        <v>30712179909</v>
      </c>
      <c r="F443" s="13" t="s">
        <v>31</v>
      </c>
      <c r="G443" s="14">
        <v>167970</v>
      </c>
      <c r="H443" s="14">
        <v>35273.699999999997</v>
      </c>
      <c r="I443" s="14"/>
      <c r="J443" s="14"/>
      <c r="K443" s="14"/>
      <c r="L443" s="14"/>
      <c r="M443" s="14"/>
      <c r="N443" s="14"/>
      <c r="O443" s="14"/>
      <c r="P443" s="14"/>
      <c r="Q443" s="14">
        <v>203243.7</v>
      </c>
      <c r="R443" s="1"/>
    </row>
    <row r="444" spans="1:18" ht="18.75" x14ac:dyDescent="0.3">
      <c r="A444" s="8">
        <v>45166</v>
      </c>
      <c r="B444" s="9">
        <v>1</v>
      </c>
      <c r="C444" s="10">
        <v>5</v>
      </c>
      <c r="D444" s="11">
        <v>2906</v>
      </c>
      <c r="E444" s="12">
        <v>30716006391</v>
      </c>
      <c r="F444" s="13" t="s">
        <v>180</v>
      </c>
      <c r="G444" s="14">
        <v>10920.66</v>
      </c>
      <c r="H444" s="14">
        <v>2293.3386</v>
      </c>
      <c r="I444" s="14"/>
      <c r="J444" s="14"/>
      <c r="K444" s="14"/>
      <c r="L444" s="14"/>
      <c r="M444" s="14"/>
      <c r="N444" s="14"/>
      <c r="O444" s="14"/>
      <c r="P444" s="14"/>
      <c r="Q444" s="14">
        <v>13213.998599999999</v>
      </c>
      <c r="R444" s="1"/>
    </row>
    <row r="445" spans="1:18" ht="18.75" x14ac:dyDescent="0.3">
      <c r="A445" s="8">
        <v>45166</v>
      </c>
      <c r="B445" s="9">
        <v>1</v>
      </c>
      <c r="C445" s="10">
        <v>2</v>
      </c>
      <c r="D445" s="11">
        <v>91813</v>
      </c>
      <c r="E445" s="12">
        <v>30714928577</v>
      </c>
      <c r="F445" s="13" t="s">
        <v>181</v>
      </c>
      <c r="G445" s="14">
        <v>1096.69</v>
      </c>
      <c r="H445" s="14">
        <v>230.3049</v>
      </c>
      <c r="I445" s="14"/>
      <c r="J445" s="14"/>
      <c r="K445" s="14"/>
      <c r="L445" s="14"/>
      <c r="M445" s="14"/>
      <c r="N445" s="14"/>
      <c r="O445" s="14"/>
      <c r="P445" s="14"/>
      <c r="Q445" s="14">
        <v>1326.9949000000001</v>
      </c>
      <c r="R445" s="1"/>
    </row>
    <row r="446" spans="1:18" ht="18.75" x14ac:dyDescent="0.3">
      <c r="A446" s="8">
        <v>45166</v>
      </c>
      <c r="B446" s="9">
        <v>1</v>
      </c>
      <c r="C446" s="10">
        <v>106</v>
      </c>
      <c r="D446" s="11">
        <v>663151</v>
      </c>
      <c r="E446" s="12">
        <v>30594494187</v>
      </c>
      <c r="F446" s="13" t="s">
        <v>35</v>
      </c>
      <c r="G446" s="14"/>
      <c r="H446" s="14" t="s">
        <v>138</v>
      </c>
      <c r="I446" s="14"/>
      <c r="J446" s="14"/>
      <c r="K446" s="14"/>
      <c r="L446" s="14"/>
      <c r="M446" s="14"/>
      <c r="N446" s="14"/>
      <c r="O446" s="14"/>
      <c r="P446" s="14">
        <v>68341.19</v>
      </c>
      <c r="Q446" s="14">
        <v>68341.19</v>
      </c>
      <c r="R446" s="1"/>
    </row>
    <row r="447" spans="1:18" ht="18.75" x14ac:dyDescent="0.3">
      <c r="A447" s="8">
        <v>45167</v>
      </c>
      <c r="B447" s="9">
        <v>1</v>
      </c>
      <c r="C447" s="10">
        <v>31</v>
      </c>
      <c r="D447" s="11">
        <v>671</v>
      </c>
      <c r="E447" s="12">
        <v>30556911890</v>
      </c>
      <c r="F447" s="13" t="s">
        <v>182</v>
      </c>
      <c r="G447" s="14">
        <v>5598.65</v>
      </c>
      <c r="H447" s="14">
        <v>1175.7164999999998</v>
      </c>
      <c r="I447" s="14"/>
      <c r="J447" s="14"/>
      <c r="K447" s="14"/>
      <c r="L447" s="14"/>
      <c r="M447" s="14"/>
      <c r="N447" s="14"/>
      <c r="O447" s="14"/>
      <c r="P447" s="14"/>
      <c r="Q447" s="14">
        <v>6774.3664999999992</v>
      </c>
      <c r="R447" s="1"/>
    </row>
    <row r="448" spans="1:18" ht="18.75" x14ac:dyDescent="0.3">
      <c r="A448" s="8">
        <v>45167</v>
      </c>
      <c r="B448" s="9">
        <v>1</v>
      </c>
      <c r="C448" s="10">
        <v>5</v>
      </c>
      <c r="D448" s="11">
        <v>6632</v>
      </c>
      <c r="E448" s="12">
        <v>33711557119</v>
      </c>
      <c r="F448" s="13" t="s">
        <v>140</v>
      </c>
      <c r="G448" s="14">
        <v>2541.3200000000002</v>
      </c>
      <c r="H448" s="14">
        <v>533.67719999999997</v>
      </c>
      <c r="I448" s="14"/>
      <c r="J448" s="14"/>
      <c r="K448" s="14"/>
      <c r="L448" s="14"/>
      <c r="M448" s="14"/>
      <c r="N448" s="14"/>
      <c r="O448" s="14"/>
      <c r="P448" s="14"/>
      <c r="Q448" s="14">
        <v>3074.9972000000002</v>
      </c>
      <c r="R448" s="1"/>
    </row>
    <row r="449" spans="1:18" ht="18.75" x14ac:dyDescent="0.3">
      <c r="A449" s="8">
        <v>45167</v>
      </c>
      <c r="B449" s="9">
        <v>1</v>
      </c>
      <c r="C449" s="10">
        <v>8</v>
      </c>
      <c r="D449" s="11">
        <v>9958</v>
      </c>
      <c r="E449" s="12">
        <v>30709953482</v>
      </c>
      <c r="F449" s="13" t="s">
        <v>175</v>
      </c>
      <c r="G449" s="14">
        <v>2315.77</v>
      </c>
      <c r="H449" s="14">
        <v>486.31169999999997</v>
      </c>
      <c r="I449" s="14"/>
      <c r="J449" s="14"/>
      <c r="K449" s="14"/>
      <c r="L449" s="14"/>
      <c r="M449" s="14"/>
      <c r="N449" s="14"/>
      <c r="O449" s="14"/>
      <c r="P449" s="14"/>
      <c r="Q449" s="14">
        <v>2802.0816999999997</v>
      </c>
      <c r="R449" s="1"/>
    </row>
    <row r="450" spans="1:18" ht="18.75" x14ac:dyDescent="0.3">
      <c r="A450" s="8">
        <v>45167</v>
      </c>
      <c r="B450" s="9">
        <v>1</v>
      </c>
      <c r="C450" s="10">
        <v>13</v>
      </c>
      <c r="D450" s="11">
        <v>44812</v>
      </c>
      <c r="E450" s="12">
        <v>30709256420</v>
      </c>
      <c r="F450" s="13" t="s">
        <v>183</v>
      </c>
      <c r="G450" s="14">
        <v>8715.42</v>
      </c>
      <c r="H450" s="14">
        <v>1830.2382</v>
      </c>
      <c r="I450" s="14"/>
      <c r="J450" s="14"/>
      <c r="K450" s="14"/>
      <c r="L450" s="14"/>
      <c r="M450" s="14"/>
      <c r="N450" s="14"/>
      <c r="O450" s="14"/>
      <c r="P450" s="14"/>
      <c r="Q450" s="14">
        <v>10545.6582</v>
      </c>
      <c r="R450" s="1"/>
    </row>
    <row r="451" spans="1:18" ht="18.75" x14ac:dyDescent="0.3">
      <c r="A451" s="8">
        <v>45167</v>
      </c>
      <c r="B451" s="9">
        <v>1</v>
      </c>
      <c r="C451" s="10">
        <v>13</v>
      </c>
      <c r="D451" s="11">
        <v>44813</v>
      </c>
      <c r="E451" s="12">
        <v>30709256420</v>
      </c>
      <c r="F451" s="13" t="s">
        <v>183</v>
      </c>
      <c r="G451" s="14">
        <v>2583.5500000000002</v>
      </c>
      <c r="H451" s="14">
        <v>542.54550000000006</v>
      </c>
      <c r="I451" s="14"/>
      <c r="J451" s="14"/>
      <c r="K451" s="14"/>
      <c r="L451" s="14"/>
      <c r="M451" s="14"/>
      <c r="N451" s="14"/>
      <c r="O451" s="14"/>
      <c r="P451" s="14"/>
      <c r="Q451" s="14">
        <v>3126.0955000000004</v>
      </c>
      <c r="R451" s="1"/>
    </row>
    <row r="452" spans="1:18" ht="18.75" x14ac:dyDescent="0.3">
      <c r="A452" s="8">
        <v>45169</v>
      </c>
      <c r="B452" s="9">
        <v>1</v>
      </c>
      <c r="C452" s="10">
        <v>4</v>
      </c>
      <c r="D452" s="11">
        <v>237</v>
      </c>
      <c r="E452" s="12">
        <v>23236786609</v>
      </c>
      <c r="F452" s="13" t="s">
        <v>184</v>
      </c>
      <c r="G452" s="14">
        <v>3152.88</v>
      </c>
      <c r="H452" s="14">
        <v>662.10479999999995</v>
      </c>
      <c r="I452" s="14"/>
      <c r="J452" s="14"/>
      <c r="K452" s="14"/>
      <c r="L452" s="14"/>
      <c r="M452" s="14"/>
      <c r="N452" s="14"/>
      <c r="O452" s="14"/>
      <c r="P452" s="14"/>
      <c r="Q452" s="14">
        <v>3814.9848000000002</v>
      </c>
      <c r="R452" s="1"/>
    </row>
    <row r="453" spans="1:18" ht="18.75" x14ac:dyDescent="0.3">
      <c r="A453" s="8">
        <v>45169</v>
      </c>
      <c r="B453" s="9">
        <v>1</v>
      </c>
      <c r="C453" s="10">
        <v>1</v>
      </c>
      <c r="D453" s="11">
        <v>658</v>
      </c>
      <c r="E453" s="12">
        <v>30715048066</v>
      </c>
      <c r="F453" s="13" t="s">
        <v>23</v>
      </c>
      <c r="G453" s="14">
        <v>150975</v>
      </c>
      <c r="H453" s="14">
        <v>31704.75</v>
      </c>
      <c r="I453" s="14"/>
      <c r="J453" s="14"/>
      <c r="K453" s="14"/>
      <c r="L453" s="14"/>
      <c r="M453" s="14"/>
      <c r="N453" s="14"/>
      <c r="O453" s="14"/>
      <c r="P453" s="14"/>
      <c r="Q453" s="14">
        <v>182679.75</v>
      </c>
      <c r="R453" s="1"/>
    </row>
    <row r="454" spans="1:18" ht="18.75" x14ac:dyDescent="0.3">
      <c r="A454" s="8">
        <v>45169</v>
      </c>
      <c r="B454" s="9">
        <v>1</v>
      </c>
      <c r="C454" s="10">
        <v>5</v>
      </c>
      <c r="D454" s="11">
        <v>7213</v>
      </c>
      <c r="E454" s="12">
        <v>23174046379</v>
      </c>
      <c r="F454" s="13" t="s">
        <v>185</v>
      </c>
      <c r="G454" s="14">
        <v>17760.330000000002</v>
      </c>
      <c r="H454" s="14">
        <v>3729.6693</v>
      </c>
      <c r="I454" s="14"/>
      <c r="J454" s="14"/>
      <c r="K454" s="14"/>
      <c r="L454" s="14"/>
      <c r="M454" s="14"/>
      <c r="N454" s="14"/>
      <c r="O454" s="14"/>
      <c r="P454" s="14"/>
      <c r="Q454" s="14">
        <v>21489.999300000003</v>
      </c>
      <c r="R454" s="1"/>
    </row>
    <row r="455" spans="1:18" ht="18.75" x14ac:dyDescent="0.3">
      <c r="A455" s="8">
        <v>45169</v>
      </c>
      <c r="B455" s="9">
        <v>1</v>
      </c>
      <c r="C455" s="10">
        <v>6</v>
      </c>
      <c r="D455" s="11">
        <v>12573</v>
      </c>
      <c r="E455" s="12">
        <v>30707756434</v>
      </c>
      <c r="F455" s="13" t="s">
        <v>61</v>
      </c>
      <c r="G455" s="14">
        <v>57000</v>
      </c>
      <c r="H455" s="14">
        <v>11970</v>
      </c>
      <c r="I455" s="14"/>
      <c r="J455" s="14"/>
      <c r="K455" s="14"/>
      <c r="L455" s="14"/>
      <c r="M455" s="14"/>
      <c r="N455" s="14"/>
      <c r="O455" s="14"/>
      <c r="P455" s="14"/>
      <c r="Q455" s="14">
        <v>68970</v>
      </c>
      <c r="R455" s="1"/>
    </row>
    <row r="456" spans="1:18" ht="18.75" x14ac:dyDescent="0.3">
      <c r="A456" s="8">
        <v>45169</v>
      </c>
      <c r="B456" s="9">
        <v>1</v>
      </c>
      <c r="C456" s="10">
        <v>700</v>
      </c>
      <c r="D456" s="11">
        <v>564687</v>
      </c>
      <c r="E456" s="12">
        <v>30580111315</v>
      </c>
      <c r="F456" s="13" t="s">
        <v>108</v>
      </c>
      <c r="G456" s="14">
        <v>0</v>
      </c>
      <c r="H456" s="14">
        <v>0</v>
      </c>
      <c r="I456" s="14"/>
      <c r="J456" s="14"/>
      <c r="K456" s="14"/>
      <c r="L456" s="14"/>
      <c r="M456" s="14"/>
      <c r="N456" s="14"/>
      <c r="O456" s="14"/>
      <c r="P456" s="14">
        <v>40230.584999999999</v>
      </c>
      <c r="Q456" s="14">
        <v>40230.584999999999</v>
      </c>
      <c r="R456" s="1"/>
    </row>
    <row r="457" spans="1:18" ht="18.75" x14ac:dyDescent="0.3">
      <c r="A457" s="8">
        <v>45145</v>
      </c>
      <c r="B457" s="9">
        <v>99</v>
      </c>
      <c r="C457" s="10">
        <v>1</v>
      </c>
      <c r="D457" s="11">
        <v>1042161</v>
      </c>
      <c r="E457" s="12">
        <v>30571421352</v>
      </c>
      <c r="F457" s="13" t="s">
        <v>43</v>
      </c>
      <c r="G457" s="14">
        <v>7080</v>
      </c>
      <c r="H457" s="14">
        <v>1486.8</v>
      </c>
      <c r="I457" s="14"/>
      <c r="J457" s="14"/>
      <c r="K457" s="14"/>
      <c r="L457" s="14"/>
      <c r="M457" s="14">
        <v>212.4</v>
      </c>
      <c r="N457" s="14"/>
      <c r="O457" s="14"/>
      <c r="P457" s="14"/>
      <c r="Q457" s="14">
        <f>SUM(G457:P457)</f>
        <v>8779.1999999999989</v>
      </c>
    </row>
    <row r="458" spans="1:18" ht="18.75" x14ac:dyDescent="0.3">
      <c r="A458" s="8">
        <v>45140</v>
      </c>
      <c r="B458" s="9">
        <v>99</v>
      </c>
      <c r="C458" s="10">
        <v>1</v>
      </c>
      <c r="D458" s="11">
        <v>977212</v>
      </c>
      <c r="E458" s="12">
        <v>30571421352</v>
      </c>
      <c r="F458" s="13" t="s">
        <v>43</v>
      </c>
      <c r="G458" s="14">
        <v>6935</v>
      </c>
      <c r="H458" s="14">
        <v>1456.35</v>
      </c>
      <c r="I458" s="14"/>
      <c r="J458" s="14"/>
      <c r="K458" s="14"/>
      <c r="L458" s="14"/>
      <c r="M458" s="14">
        <v>208.05</v>
      </c>
      <c r="N458" s="14"/>
      <c r="O458" s="14"/>
      <c r="P458" s="14"/>
      <c r="Q458" s="14">
        <f t="shared" ref="Q458:Q461" si="10">SUM(G458:P458)</f>
        <v>8599.4</v>
      </c>
    </row>
    <row r="459" spans="1:18" ht="18.75" x14ac:dyDescent="0.3">
      <c r="A459" s="8">
        <v>45140</v>
      </c>
      <c r="B459" s="9">
        <v>99</v>
      </c>
      <c r="C459" s="10">
        <v>1</v>
      </c>
      <c r="D459" s="11">
        <v>825858913</v>
      </c>
      <c r="E459" s="12">
        <v>30571421352</v>
      </c>
      <c r="F459" s="13" t="s">
        <v>43</v>
      </c>
      <c r="G459" s="14">
        <v>20711.25</v>
      </c>
      <c r="H459" s="14">
        <v>4349.3625000000002</v>
      </c>
      <c r="I459" s="14"/>
      <c r="J459" s="14"/>
      <c r="K459" s="14"/>
      <c r="L459" s="14"/>
      <c r="M459" s="14">
        <v>621.34</v>
      </c>
      <c r="N459" s="14"/>
      <c r="O459" s="14"/>
      <c r="P459" s="14"/>
      <c r="Q459" s="14">
        <f t="shared" si="10"/>
        <v>25681.952499999999</v>
      </c>
    </row>
    <row r="460" spans="1:18" ht="18.75" x14ac:dyDescent="0.3">
      <c r="A460" s="8">
        <v>45169</v>
      </c>
      <c r="B460" s="9">
        <v>99</v>
      </c>
      <c r="C460" s="10">
        <v>1</v>
      </c>
      <c r="D460" s="11">
        <v>31082023</v>
      </c>
      <c r="E460" s="12">
        <v>30571421352</v>
      </c>
      <c r="F460" s="13" t="s">
        <v>43</v>
      </c>
      <c r="G460" s="14">
        <v>18082.400000000001</v>
      </c>
      <c r="H460" s="14">
        <v>3797.3040000000001</v>
      </c>
      <c r="I460" s="14"/>
      <c r="J460" s="14"/>
      <c r="K460" s="14"/>
      <c r="L460" s="14"/>
      <c r="M460" s="14">
        <v>335.88</v>
      </c>
      <c r="N460" s="14"/>
      <c r="O460" s="14"/>
      <c r="P460" s="14"/>
      <c r="Q460" s="14">
        <f t="shared" si="10"/>
        <v>22215.584000000003</v>
      </c>
    </row>
    <row r="461" spans="1:18" ht="18.75" x14ac:dyDescent="0.3">
      <c r="A461" s="8">
        <v>45169</v>
      </c>
      <c r="B461" s="9">
        <v>99</v>
      </c>
      <c r="C461" s="10">
        <v>1</v>
      </c>
      <c r="D461" s="11">
        <v>20230831</v>
      </c>
      <c r="E461" s="12">
        <v>30571421352</v>
      </c>
      <c r="F461" s="13" t="s">
        <v>43</v>
      </c>
      <c r="G461" s="14">
        <v>170</v>
      </c>
      <c r="H461" s="14">
        <v>35.699999999999996</v>
      </c>
      <c r="I461" s="14"/>
      <c r="J461" s="14"/>
      <c r="K461" s="14"/>
      <c r="L461" s="14"/>
      <c r="M461" s="14"/>
      <c r="N461" s="14"/>
      <c r="O461" s="14"/>
      <c r="P461" s="14"/>
      <c r="Q461" s="14">
        <f t="shared" si="10"/>
        <v>205.7</v>
      </c>
    </row>
    <row r="462" spans="1:18" ht="19.5" thickBot="1" x14ac:dyDescent="0.35">
      <c r="A462" s="23" t="s">
        <v>17</v>
      </c>
      <c r="B462" s="23"/>
      <c r="C462" s="23"/>
      <c r="D462" s="23"/>
      <c r="E462" s="23"/>
      <c r="F462" s="23"/>
      <c r="G462" s="17">
        <f>SUM(G404:G461)</f>
        <v>5711006.9479999989</v>
      </c>
      <c r="H462" s="17">
        <f t="shared" ref="H462:Q462" si="11">SUM(H404:H461)</f>
        <v>1167190.4386799999</v>
      </c>
      <c r="I462" s="17">
        <f t="shared" si="11"/>
        <v>1309.5</v>
      </c>
      <c r="J462" s="17">
        <f t="shared" si="11"/>
        <v>15551.260199999999</v>
      </c>
      <c r="K462" s="17">
        <f t="shared" si="11"/>
        <v>145.5</v>
      </c>
      <c r="L462" s="17">
        <f t="shared" si="11"/>
        <v>0</v>
      </c>
      <c r="M462" s="17">
        <f t="shared" si="11"/>
        <v>1377.67</v>
      </c>
      <c r="N462" s="17">
        <f t="shared" si="11"/>
        <v>0</v>
      </c>
      <c r="O462" s="17">
        <f t="shared" si="11"/>
        <v>0</v>
      </c>
      <c r="P462" s="17">
        <f t="shared" si="11"/>
        <v>325297.88900000002</v>
      </c>
      <c r="Q462" s="17">
        <f t="shared" si="11"/>
        <v>7221879.2058800021</v>
      </c>
    </row>
    <row r="463" spans="1:18" ht="19.5" thickBot="1" x14ac:dyDescent="0.35">
      <c r="A463" s="15"/>
      <c r="B463" s="15"/>
      <c r="C463" s="15"/>
      <c r="D463" s="15"/>
      <c r="E463" s="15"/>
      <c r="F463" s="15"/>
      <c r="G463" s="16"/>
      <c r="H463" s="18"/>
      <c r="I463" s="19">
        <f>SUM(H462:J462)</f>
        <v>1184051.1988799998</v>
      </c>
      <c r="J463" s="20"/>
      <c r="K463" s="16"/>
      <c r="L463" s="16"/>
      <c r="M463" s="16"/>
      <c r="N463" s="16"/>
      <c r="O463" s="16"/>
      <c r="P463" s="16"/>
      <c r="Q463" s="16"/>
    </row>
    <row r="469" spans="1:18" ht="29.25" thickBot="1" x14ac:dyDescent="0.5">
      <c r="A469" s="24" t="s">
        <v>0</v>
      </c>
      <c r="B469" s="24"/>
      <c r="C469" s="24"/>
      <c r="D469" s="24"/>
      <c r="E469" s="24"/>
      <c r="F469" s="21"/>
      <c r="G469" s="22"/>
      <c r="H469" s="22"/>
      <c r="I469" s="22"/>
      <c r="J469" s="22"/>
      <c r="K469" s="22"/>
      <c r="L469" s="22"/>
      <c r="M469" s="22"/>
      <c r="N469" s="22"/>
      <c r="O469" s="25">
        <v>45170</v>
      </c>
      <c r="P469" s="26"/>
      <c r="Q469" s="26"/>
    </row>
    <row r="470" spans="1:18" ht="18.75" x14ac:dyDescent="0.3">
      <c r="A470" s="6" t="s">
        <v>1</v>
      </c>
      <c r="B470" s="6" t="s">
        <v>2</v>
      </c>
      <c r="C470" s="6" t="s">
        <v>3</v>
      </c>
      <c r="D470" s="6" t="s">
        <v>4</v>
      </c>
      <c r="E470" s="6" t="s">
        <v>5</v>
      </c>
      <c r="F470" s="6" t="s">
        <v>6</v>
      </c>
      <c r="G470" s="7" t="s">
        <v>7</v>
      </c>
      <c r="H470" s="7" t="s">
        <v>8</v>
      </c>
      <c r="I470" s="7" t="s">
        <v>9</v>
      </c>
      <c r="J470" s="7" t="s">
        <v>10</v>
      </c>
      <c r="K470" s="7" t="s">
        <v>11</v>
      </c>
      <c r="L470" s="7" t="s">
        <v>12</v>
      </c>
      <c r="M470" s="7" t="s">
        <v>13</v>
      </c>
      <c r="N470" s="7" t="s">
        <v>14</v>
      </c>
      <c r="O470" s="7" t="s">
        <v>15</v>
      </c>
      <c r="P470" s="7" t="s">
        <v>16</v>
      </c>
      <c r="Q470" s="7" t="s">
        <v>17</v>
      </c>
    </row>
    <row r="471" spans="1:18" ht="18.75" x14ac:dyDescent="0.3">
      <c r="A471" s="8">
        <v>45170</v>
      </c>
      <c r="B471" s="9">
        <v>1</v>
      </c>
      <c r="C471" s="10">
        <v>3</v>
      </c>
      <c r="D471" s="11">
        <v>202477</v>
      </c>
      <c r="E471" s="12">
        <v>30707135596</v>
      </c>
      <c r="F471" s="13" t="s">
        <v>117</v>
      </c>
      <c r="G471" s="14">
        <v>6238.84</v>
      </c>
      <c r="H471" s="14">
        <v>1310.1564000000001</v>
      </c>
      <c r="I471" s="14"/>
      <c r="J471" s="14"/>
      <c r="K471" s="14"/>
      <c r="L471" s="14"/>
      <c r="M471" s="14"/>
      <c r="N471" s="14"/>
      <c r="O471" s="14"/>
      <c r="P471" s="14"/>
      <c r="Q471" s="14">
        <v>7548.9964</v>
      </c>
      <c r="R471" s="1"/>
    </row>
    <row r="472" spans="1:18" ht="18.75" x14ac:dyDescent="0.3">
      <c r="A472" s="8">
        <v>45170</v>
      </c>
      <c r="B472" s="9">
        <v>1</v>
      </c>
      <c r="C472" s="10">
        <v>2</v>
      </c>
      <c r="D472" s="11">
        <v>656</v>
      </c>
      <c r="E472" s="12">
        <v>20296550184</v>
      </c>
      <c r="F472" s="13" t="s">
        <v>24</v>
      </c>
      <c r="G472" s="14">
        <v>126200</v>
      </c>
      <c r="H472" s="14">
        <v>26502</v>
      </c>
      <c r="I472" s="14"/>
      <c r="J472" s="14"/>
      <c r="K472" s="14"/>
      <c r="L472" s="14"/>
      <c r="M472" s="14"/>
      <c r="N472" s="14"/>
      <c r="O472" s="14"/>
      <c r="P472" s="14"/>
      <c r="Q472" s="14">
        <v>152702</v>
      </c>
      <c r="R472" s="1"/>
    </row>
    <row r="473" spans="1:18" ht="18.75" x14ac:dyDescent="0.3">
      <c r="A473" s="8">
        <v>45170</v>
      </c>
      <c r="B473" s="9">
        <v>1</v>
      </c>
      <c r="C473" s="10">
        <v>2</v>
      </c>
      <c r="D473" s="11">
        <v>3259</v>
      </c>
      <c r="E473" s="12">
        <v>30710878974</v>
      </c>
      <c r="F473" s="13" t="s">
        <v>186</v>
      </c>
      <c r="G473" s="14">
        <v>1029500</v>
      </c>
      <c r="H473" s="14">
        <v>216195</v>
      </c>
      <c r="I473" s="14"/>
      <c r="J473" s="14"/>
      <c r="K473" s="14"/>
      <c r="L473" s="14"/>
      <c r="M473" s="14"/>
      <c r="N473" s="14"/>
      <c r="O473" s="14"/>
      <c r="P473" s="14"/>
      <c r="Q473" s="14">
        <v>1245695</v>
      </c>
      <c r="R473" s="1"/>
    </row>
    <row r="474" spans="1:18" ht="18.75" x14ac:dyDescent="0.3">
      <c r="A474" s="8">
        <v>45170</v>
      </c>
      <c r="B474" s="9">
        <v>1</v>
      </c>
      <c r="C474" s="10">
        <v>3</v>
      </c>
      <c r="D474" s="11">
        <v>678</v>
      </c>
      <c r="E474" s="12">
        <v>30715402765</v>
      </c>
      <c r="F474" s="13" t="s">
        <v>100</v>
      </c>
      <c r="G474" s="14">
        <v>16528.95</v>
      </c>
      <c r="H474" s="14">
        <v>3471.0794999999998</v>
      </c>
      <c r="I474" s="14"/>
      <c r="J474" s="14"/>
      <c r="K474" s="14"/>
      <c r="L474" s="14"/>
      <c r="M474" s="14"/>
      <c r="N474" s="14"/>
      <c r="O474" s="14"/>
      <c r="P474" s="14"/>
      <c r="Q474" s="14">
        <v>20000.029500000001</v>
      </c>
      <c r="R474" s="1"/>
    </row>
    <row r="475" spans="1:18" ht="18.75" x14ac:dyDescent="0.3">
      <c r="A475" s="8">
        <v>45170</v>
      </c>
      <c r="B475" s="9"/>
      <c r="C475" s="10">
        <v>280</v>
      </c>
      <c r="D475" s="11">
        <v>1452735</v>
      </c>
      <c r="E475" s="12">
        <v>30580111315</v>
      </c>
      <c r="F475" s="13" t="s">
        <v>108</v>
      </c>
      <c r="G475" s="14">
        <v>366586.5</v>
      </c>
      <c r="H475" s="14">
        <v>76983.164999999994</v>
      </c>
      <c r="I475" s="14"/>
      <c r="J475" s="14"/>
      <c r="K475" s="14"/>
      <c r="L475" s="14"/>
      <c r="M475" s="14"/>
      <c r="N475" s="14"/>
      <c r="O475" s="14"/>
      <c r="P475" s="14">
        <v>-293345.5</v>
      </c>
      <c r="Q475" s="14">
        <v>150224.16499999998</v>
      </c>
      <c r="R475" s="1"/>
    </row>
    <row r="476" spans="1:18" ht="18.75" x14ac:dyDescent="0.3">
      <c r="A476" s="8">
        <v>45173</v>
      </c>
      <c r="B476" s="9">
        <v>1</v>
      </c>
      <c r="C476" s="10">
        <v>5</v>
      </c>
      <c r="D476" s="11">
        <v>6699</v>
      </c>
      <c r="E476" s="12">
        <v>33711557119</v>
      </c>
      <c r="F476" s="13" t="s">
        <v>140</v>
      </c>
      <c r="G476" s="14">
        <v>2989.75</v>
      </c>
      <c r="H476" s="14">
        <v>627.84749999999997</v>
      </c>
      <c r="I476" s="14"/>
      <c r="J476" s="14"/>
      <c r="K476" s="14"/>
      <c r="L476" s="14"/>
      <c r="M476" s="14"/>
      <c r="N476" s="14"/>
      <c r="O476" s="14"/>
      <c r="P476" s="14"/>
      <c r="Q476" s="14">
        <v>3617.5974999999999</v>
      </c>
      <c r="R476" s="1"/>
    </row>
    <row r="477" spans="1:18" ht="18.75" x14ac:dyDescent="0.3">
      <c r="A477" s="8">
        <v>45174</v>
      </c>
      <c r="B477" s="9">
        <v>1</v>
      </c>
      <c r="C477" s="10">
        <v>4</v>
      </c>
      <c r="D477" s="11">
        <v>97553</v>
      </c>
      <c r="E477" s="12">
        <v>30559932236</v>
      </c>
      <c r="F477" s="13" t="s">
        <v>130</v>
      </c>
      <c r="G477" s="14">
        <v>142354.94</v>
      </c>
      <c r="H477" s="14"/>
      <c r="I477" s="14"/>
      <c r="J477" s="14">
        <v>14947.268700000001</v>
      </c>
      <c r="K477" s="14"/>
      <c r="L477" s="14"/>
      <c r="M477" s="14"/>
      <c r="N477" s="14"/>
      <c r="O477" s="14"/>
      <c r="P477" s="14"/>
      <c r="Q477" s="14">
        <v>157302.20870000002</v>
      </c>
      <c r="R477" s="1"/>
    </row>
    <row r="478" spans="1:18" ht="18.75" x14ac:dyDescent="0.3">
      <c r="A478" s="8">
        <v>45175</v>
      </c>
      <c r="B478" s="9">
        <v>1</v>
      </c>
      <c r="C478" s="10">
        <v>10</v>
      </c>
      <c r="D478" s="11">
        <v>19032</v>
      </c>
      <c r="E478" s="12">
        <v>30528214483</v>
      </c>
      <c r="F478" s="13" t="s">
        <v>187</v>
      </c>
      <c r="G478" s="14">
        <v>14411.57</v>
      </c>
      <c r="H478" s="14">
        <v>3026.4296999999997</v>
      </c>
      <c r="I478" s="14"/>
      <c r="J478" s="14"/>
      <c r="K478" s="14"/>
      <c r="L478" s="14"/>
      <c r="M478" s="14"/>
      <c r="N478" s="14"/>
      <c r="O478" s="14"/>
      <c r="P478" s="14"/>
      <c r="Q478" s="14">
        <v>17437.9997</v>
      </c>
      <c r="R478" s="1"/>
    </row>
    <row r="479" spans="1:18" ht="15.75" customHeight="1" x14ac:dyDescent="0.3">
      <c r="A479" s="8">
        <v>45177</v>
      </c>
      <c r="B479" s="9">
        <v>1</v>
      </c>
      <c r="C479" s="10">
        <v>7</v>
      </c>
      <c r="D479" s="11">
        <v>9570</v>
      </c>
      <c r="E479" s="12">
        <v>30690966790</v>
      </c>
      <c r="F479" s="13" t="s">
        <v>188</v>
      </c>
      <c r="G479" s="14">
        <v>2732129.6399999997</v>
      </c>
      <c r="H479" s="14">
        <v>573747.22439999995</v>
      </c>
      <c r="I479" s="14"/>
      <c r="J479" s="14"/>
      <c r="K479" s="14"/>
      <c r="L479" s="14"/>
      <c r="M479" s="14"/>
      <c r="N479" s="14"/>
      <c r="O479" s="14"/>
      <c r="P479" s="14"/>
      <c r="Q479" s="14">
        <v>3305876.8643999994</v>
      </c>
      <c r="R479" s="1"/>
    </row>
    <row r="480" spans="1:18" ht="18.75" x14ac:dyDescent="0.3">
      <c r="A480" s="8">
        <v>45177</v>
      </c>
      <c r="B480" s="9">
        <v>1</v>
      </c>
      <c r="C480" s="10">
        <v>1</v>
      </c>
      <c r="D480" s="11">
        <v>56</v>
      </c>
      <c r="E480" s="12">
        <v>30717261042</v>
      </c>
      <c r="F480" s="13" t="s">
        <v>70</v>
      </c>
      <c r="G480" s="14">
        <v>124040.24</v>
      </c>
      <c r="H480" s="14">
        <v>26048.450400000002</v>
      </c>
      <c r="I480" s="14"/>
      <c r="J480" s="14"/>
      <c r="K480" s="14"/>
      <c r="L480" s="14"/>
      <c r="M480" s="14"/>
      <c r="N480" s="14"/>
      <c r="O480" s="14"/>
      <c r="P480" s="14">
        <v>206443.7</v>
      </c>
      <c r="Q480" s="14">
        <v>356532.39040000003</v>
      </c>
      <c r="R480" s="1"/>
    </row>
    <row r="481" spans="1:18" ht="18.75" x14ac:dyDescent="0.3">
      <c r="A481" s="8">
        <v>45178</v>
      </c>
      <c r="B481" s="9">
        <v>1</v>
      </c>
      <c r="C481" s="10">
        <v>5</v>
      </c>
      <c r="D481" s="11">
        <v>28692</v>
      </c>
      <c r="E481" s="12">
        <v>20316849823</v>
      </c>
      <c r="F481" s="13" t="s">
        <v>189</v>
      </c>
      <c r="G481" s="14">
        <v>14832.63</v>
      </c>
      <c r="H481" s="14">
        <v>3114.8522999999996</v>
      </c>
      <c r="I481" s="14"/>
      <c r="J481" s="14"/>
      <c r="K481" s="14"/>
      <c r="L481" s="14"/>
      <c r="M481" s="14"/>
      <c r="N481" s="14"/>
      <c r="O481" s="14"/>
      <c r="P481" s="14"/>
      <c r="Q481" s="14">
        <v>17947.4823</v>
      </c>
      <c r="R481" s="1"/>
    </row>
    <row r="482" spans="1:18" ht="18.75" x14ac:dyDescent="0.3">
      <c r="A482" s="8">
        <v>45178</v>
      </c>
      <c r="B482" s="9">
        <v>1</v>
      </c>
      <c r="C482" s="10">
        <v>7</v>
      </c>
      <c r="D482" s="11">
        <v>13726</v>
      </c>
      <c r="E482" s="12">
        <v>30604413482</v>
      </c>
      <c r="F482" s="13" t="s">
        <v>135</v>
      </c>
      <c r="G482" s="14">
        <v>142070</v>
      </c>
      <c r="H482" s="14">
        <v>29834.699999999997</v>
      </c>
      <c r="I482" s="14"/>
      <c r="J482" s="14"/>
      <c r="K482" s="14"/>
      <c r="L482" s="14"/>
      <c r="M482" s="14"/>
      <c r="N482" s="14"/>
      <c r="O482" s="14"/>
      <c r="P482" s="14"/>
      <c r="Q482" s="14">
        <v>171904.7</v>
      </c>
      <c r="R482" s="1"/>
    </row>
    <row r="483" spans="1:18" ht="18.75" x14ac:dyDescent="0.3">
      <c r="A483" s="8">
        <v>45180</v>
      </c>
      <c r="B483" s="9">
        <v>1</v>
      </c>
      <c r="C483" s="10">
        <v>3</v>
      </c>
      <c r="D483" s="11">
        <v>7234</v>
      </c>
      <c r="E483" s="12">
        <v>30710212127</v>
      </c>
      <c r="F483" s="13" t="s">
        <v>111</v>
      </c>
      <c r="G483" s="14">
        <v>913749.9</v>
      </c>
      <c r="H483" s="14">
        <v>191887.47899999999</v>
      </c>
      <c r="I483" s="14"/>
      <c r="J483" s="14"/>
      <c r="K483" s="14"/>
      <c r="L483" s="14"/>
      <c r="M483" s="14"/>
      <c r="N483" s="14"/>
      <c r="O483" s="14"/>
      <c r="P483" s="14"/>
      <c r="Q483" s="14">
        <v>1105637.379</v>
      </c>
      <c r="R483" s="1"/>
    </row>
    <row r="484" spans="1:18" ht="18.75" x14ac:dyDescent="0.3">
      <c r="A484" s="8">
        <v>45180</v>
      </c>
      <c r="B484" s="9">
        <v>1</v>
      </c>
      <c r="C484" s="10">
        <v>700</v>
      </c>
      <c r="D484" s="11">
        <v>567479</v>
      </c>
      <c r="E484" s="12">
        <v>30580111315</v>
      </c>
      <c r="F484" s="13" t="s">
        <v>108</v>
      </c>
      <c r="G484" s="14">
        <v>5117</v>
      </c>
      <c r="H484" s="14">
        <v>1074.57</v>
      </c>
      <c r="I484" s="14"/>
      <c r="J484" s="14"/>
      <c r="K484" s="14"/>
      <c r="L484" s="14"/>
      <c r="M484" s="14"/>
      <c r="N484" s="14"/>
      <c r="O484" s="14"/>
      <c r="P484" s="14">
        <v>192790.285</v>
      </c>
      <c r="Q484" s="14">
        <v>198981.85500000001</v>
      </c>
      <c r="R484" s="1"/>
    </row>
    <row r="485" spans="1:18" ht="18.75" x14ac:dyDescent="0.3">
      <c r="A485" s="8">
        <v>45180</v>
      </c>
      <c r="B485" s="9">
        <v>1</v>
      </c>
      <c r="C485" s="10">
        <v>700</v>
      </c>
      <c r="D485" s="11">
        <v>568450</v>
      </c>
      <c r="E485" s="12">
        <v>30580111315</v>
      </c>
      <c r="F485" s="13" t="s">
        <v>108</v>
      </c>
      <c r="G485" s="14">
        <v>0</v>
      </c>
      <c r="H485" s="14">
        <v>0</v>
      </c>
      <c r="I485" s="14"/>
      <c r="J485" s="14"/>
      <c r="K485" s="14"/>
      <c r="L485" s="14"/>
      <c r="M485" s="14"/>
      <c r="N485" s="14"/>
      <c r="O485" s="14"/>
      <c r="P485" s="14">
        <v>71857.3</v>
      </c>
      <c r="Q485" s="14">
        <v>71857.3</v>
      </c>
      <c r="R485" s="1"/>
    </row>
    <row r="486" spans="1:18" ht="18.75" x14ac:dyDescent="0.3">
      <c r="A486" s="8">
        <v>45180</v>
      </c>
      <c r="B486" s="9">
        <v>1</v>
      </c>
      <c r="C486" s="10">
        <v>2466</v>
      </c>
      <c r="D486" s="11">
        <v>554870</v>
      </c>
      <c r="E486" s="12">
        <v>30678814357</v>
      </c>
      <c r="F486" s="13" t="s">
        <v>116</v>
      </c>
      <c r="G486" s="14">
        <v>5230</v>
      </c>
      <c r="H486" s="14"/>
      <c r="I486" s="14">
        <v>1412.1000000000001</v>
      </c>
      <c r="J486" s="14"/>
      <c r="K486" s="14">
        <v>156.9</v>
      </c>
      <c r="L486" s="14"/>
      <c r="M486" s="14"/>
      <c r="N486" s="14"/>
      <c r="O486" s="14"/>
      <c r="P486" s="14">
        <v>275.26</v>
      </c>
      <c r="Q486" s="14">
        <v>7074.26</v>
      </c>
      <c r="R486" s="1"/>
    </row>
    <row r="487" spans="1:18" ht="18.75" x14ac:dyDescent="0.3">
      <c r="A487" s="8">
        <v>45181</v>
      </c>
      <c r="B487" s="9">
        <v>1</v>
      </c>
      <c r="C487" s="10">
        <v>3</v>
      </c>
      <c r="D487" s="11">
        <v>559</v>
      </c>
      <c r="E487" s="12">
        <v>27424730608</v>
      </c>
      <c r="F487" s="13" t="s">
        <v>190</v>
      </c>
      <c r="G487" s="14">
        <v>2314.0500000000002</v>
      </c>
      <c r="H487" s="14">
        <v>485.95050000000003</v>
      </c>
      <c r="I487" s="14"/>
      <c r="J487" s="14"/>
      <c r="K487" s="14"/>
      <c r="L487" s="14"/>
      <c r="M487" s="14"/>
      <c r="N487" s="14"/>
      <c r="O487" s="14"/>
      <c r="P487" s="14"/>
      <c r="Q487" s="14">
        <v>2800.0005000000001</v>
      </c>
      <c r="R487" s="1"/>
    </row>
    <row r="488" spans="1:18" ht="18.75" x14ac:dyDescent="0.3">
      <c r="A488" s="8">
        <v>45187</v>
      </c>
      <c r="B488" s="9">
        <v>1</v>
      </c>
      <c r="C488" s="10">
        <v>700</v>
      </c>
      <c r="D488" s="11">
        <v>571538</v>
      </c>
      <c r="E488" s="12">
        <v>30580111315</v>
      </c>
      <c r="F488" s="13" t="s">
        <v>108</v>
      </c>
      <c r="G488" s="14">
        <v>0</v>
      </c>
      <c r="H488" s="14">
        <v>0</v>
      </c>
      <c r="I488" s="14"/>
      <c r="J488" s="14"/>
      <c r="K488" s="14"/>
      <c r="L488" s="14"/>
      <c r="M488" s="14"/>
      <c r="N488" s="14"/>
      <c r="O488" s="14"/>
      <c r="P488" s="14">
        <v>32463.71</v>
      </c>
      <c r="Q488" s="14">
        <v>32463.71</v>
      </c>
      <c r="R488" s="1"/>
    </row>
    <row r="489" spans="1:18" ht="18.75" x14ac:dyDescent="0.3">
      <c r="A489" s="8">
        <v>45188</v>
      </c>
      <c r="B489" s="9">
        <v>1</v>
      </c>
      <c r="C489" s="10">
        <v>3</v>
      </c>
      <c r="D489" s="11">
        <v>296</v>
      </c>
      <c r="E489" s="12">
        <v>20921575743</v>
      </c>
      <c r="F489" s="13" t="s">
        <v>71</v>
      </c>
      <c r="G489" s="14">
        <v>1023400</v>
      </c>
      <c r="H489" s="14">
        <v>214914</v>
      </c>
      <c r="I489" s="14"/>
      <c r="J489" s="14"/>
      <c r="K489" s="14"/>
      <c r="L489" s="14"/>
      <c r="M489" s="14"/>
      <c r="N489" s="14"/>
      <c r="O489" s="14"/>
      <c r="P489" s="14"/>
      <c r="Q489" s="14">
        <v>1238314</v>
      </c>
      <c r="R489" s="1"/>
    </row>
    <row r="490" spans="1:18" ht="18.75" x14ac:dyDescent="0.3">
      <c r="A490" s="8">
        <v>45189</v>
      </c>
      <c r="B490" s="9">
        <v>1</v>
      </c>
      <c r="C490" s="10">
        <v>3</v>
      </c>
      <c r="D490" s="11">
        <v>1642205</v>
      </c>
      <c r="E490" s="12">
        <v>30712019359</v>
      </c>
      <c r="F490" s="13" t="s">
        <v>42</v>
      </c>
      <c r="G490" s="14">
        <v>8759.5</v>
      </c>
      <c r="H490" s="14">
        <v>1839.4949999999999</v>
      </c>
      <c r="I490" s="14"/>
      <c r="J490" s="14"/>
      <c r="K490" s="14"/>
      <c r="L490" s="14"/>
      <c r="M490" s="14"/>
      <c r="N490" s="14"/>
      <c r="O490" s="14"/>
      <c r="P490" s="14"/>
      <c r="Q490" s="14">
        <v>10598.994999999999</v>
      </c>
      <c r="R490" s="1"/>
    </row>
    <row r="491" spans="1:18" ht="18.75" x14ac:dyDescent="0.3">
      <c r="A491" s="8">
        <v>45194</v>
      </c>
      <c r="B491" s="9">
        <v>1</v>
      </c>
      <c r="C491" s="10">
        <v>10</v>
      </c>
      <c r="D491" s="11">
        <v>13960</v>
      </c>
      <c r="E491" s="12">
        <v>30702073657</v>
      </c>
      <c r="F491" s="13" t="s">
        <v>191</v>
      </c>
      <c r="G491" s="14">
        <v>25232.880000000001</v>
      </c>
      <c r="H491" s="14">
        <v>5298.9048000000003</v>
      </c>
      <c r="I491" s="14"/>
      <c r="J491" s="14"/>
      <c r="K491" s="14"/>
      <c r="L491" s="14"/>
      <c r="M491" s="14"/>
      <c r="N491" s="14"/>
      <c r="O491" s="14"/>
      <c r="P491" s="14"/>
      <c r="Q491" s="14">
        <v>30531.784800000001</v>
      </c>
      <c r="R491" s="1"/>
    </row>
    <row r="492" spans="1:18" ht="18.75" x14ac:dyDescent="0.3">
      <c r="A492" s="8">
        <v>45195</v>
      </c>
      <c r="B492" s="9">
        <v>1</v>
      </c>
      <c r="C492" s="10">
        <v>5</v>
      </c>
      <c r="D492" s="11">
        <v>30157</v>
      </c>
      <c r="E492" s="12">
        <v>30646938755</v>
      </c>
      <c r="F492" s="13" t="s">
        <v>192</v>
      </c>
      <c r="G492" s="14">
        <v>50000</v>
      </c>
      <c r="H492" s="14">
        <v>10500</v>
      </c>
      <c r="I492" s="14"/>
      <c r="J492" s="14"/>
      <c r="K492" s="14"/>
      <c r="L492" s="14"/>
      <c r="M492" s="14"/>
      <c r="N492" s="14"/>
      <c r="O492" s="14"/>
      <c r="P492" s="14"/>
      <c r="Q492" s="14">
        <v>60500</v>
      </c>
      <c r="R492" s="1"/>
    </row>
    <row r="493" spans="1:18" ht="18.75" x14ac:dyDescent="0.3">
      <c r="A493" s="8">
        <v>45196</v>
      </c>
      <c r="B493" s="9">
        <v>1</v>
      </c>
      <c r="C493" s="10">
        <v>2</v>
      </c>
      <c r="D493" s="11">
        <v>173</v>
      </c>
      <c r="E493" s="12">
        <v>33715793909</v>
      </c>
      <c r="F493" s="13" t="s">
        <v>193</v>
      </c>
      <c r="G493" s="14">
        <v>668104.1</v>
      </c>
      <c r="H493" s="14"/>
      <c r="I493" s="14"/>
      <c r="J493" s="14">
        <v>70150.930500000002</v>
      </c>
      <c r="K493" s="14"/>
      <c r="L493" s="14"/>
      <c r="M493" s="14"/>
      <c r="N493" s="14"/>
      <c r="O493" s="14"/>
      <c r="P493" s="14"/>
      <c r="Q493" s="14">
        <v>738255.03049999999</v>
      </c>
      <c r="R493" s="1"/>
    </row>
    <row r="494" spans="1:18" ht="18.75" x14ac:dyDescent="0.3">
      <c r="A494" s="8">
        <v>45197</v>
      </c>
      <c r="B494" s="9">
        <v>1</v>
      </c>
      <c r="C494" s="10">
        <v>3</v>
      </c>
      <c r="D494" s="11">
        <v>24817</v>
      </c>
      <c r="E494" s="12">
        <v>30709511846</v>
      </c>
      <c r="F494" s="13" t="s">
        <v>77</v>
      </c>
      <c r="G494" s="14">
        <v>15380.14</v>
      </c>
      <c r="H494" s="14">
        <v>1403.88</v>
      </c>
      <c r="I494" s="14"/>
      <c r="J494" s="14">
        <v>912.98</v>
      </c>
      <c r="K494" s="14"/>
      <c r="L494" s="14"/>
      <c r="M494" s="14"/>
      <c r="N494" s="14"/>
      <c r="O494" s="14"/>
      <c r="P494" s="14"/>
      <c r="Q494" s="14">
        <v>17697</v>
      </c>
      <c r="R494" s="1"/>
    </row>
    <row r="495" spans="1:18" ht="18.75" x14ac:dyDescent="0.3">
      <c r="A495" s="8">
        <v>45198</v>
      </c>
      <c r="B495" s="9">
        <v>1</v>
      </c>
      <c r="C495" s="10">
        <v>6</v>
      </c>
      <c r="D495" s="11">
        <v>12816</v>
      </c>
      <c r="E495" s="12">
        <v>30707756434</v>
      </c>
      <c r="F495" s="13" t="s">
        <v>61</v>
      </c>
      <c r="G495" s="14">
        <v>52000</v>
      </c>
      <c r="H495" s="14">
        <v>10920</v>
      </c>
      <c r="I495" s="14"/>
      <c r="J495" s="14"/>
      <c r="K495" s="14"/>
      <c r="L495" s="14"/>
      <c r="M495" s="14"/>
      <c r="N495" s="14"/>
      <c r="O495" s="14"/>
      <c r="P495" s="14"/>
      <c r="Q495" s="14">
        <v>62920</v>
      </c>
      <c r="R495" s="1"/>
    </row>
    <row r="496" spans="1:18" ht="18.75" x14ac:dyDescent="0.3">
      <c r="A496" s="8">
        <v>45198</v>
      </c>
      <c r="B496" s="9">
        <v>1</v>
      </c>
      <c r="C496" s="10">
        <v>18</v>
      </c>
      <c r="D496" s="11">
        <v>3046</v>
      </c>
      <c r="E496" s="12">
        <v>30712325468</v>
      </c>
      <c r="F496" s="13" t="s">
        <v>194</v>
      </c>
      <c r="G496" s="14">
        <v>31404.13</v>
      </c>
      <c r="H496" s="14">
        <v>6594.8672999999999</v>
      </c>
      <c r="I496" s="14"/>
      <c r="J496" s="14"/>
      <c r="K496" s="14"/>
      <c r="L496" s="14"/>
      <c r="M496" s="14"/>
      <c r="N496" s="14"/>
      <c r="O496" s="14"/>
      <c r="P496" s="14"/>
      <c r="Q496" s="14">
        <v>37998.997300000003</v>
      </c>
      <c r="R496" s="1"/>
    </row>
    <row r="497" spans="1:18" ht="18.75" x14ac:dyDescent="0.3">
      <c r="A497" s="8">
        <v>45198</v>
      </c>
      <c r="B497" s="9">
        <v>1</v>
      </c>
      <c r="C497" s="10">
        <v>2</v>
      </c>
      <c r="D497" s="11">
        <v>12206</v>
      </c>
      <c r="E497" s="12">
        <v>30714481513</v>
      </c>
      <c r="F497" s="13" t="s">
        <v>195</v>
      </c>
      <c r="G497" s="14">
        <v>10954.75</v>
      </c>
      <c r="H497" s="14"/>
      <c r="I497" s="14"/>
      <c r="J497" s="14">
        <v>1150.24875</v>
      </c>
      <c r="K497" s="14"/>
      <c r="L497" s="14"/>
      <c r="M497" s="14"/>
      <c r="N497" s="14"/>
      <c r="O497" s="14"/>
      <c r="P497" s="14"/>
      <c r="Q497" s="14">
        <v>12104.998750000001</v>
      </c>
      <c r="R497" s="1"/>
    </row>
    <row r="498" spans="1:18" ht="18.75" x14ac:dyDescent="0.3">
      <c r="A498" s="8">
        <v>45199</v>
      </c>
      <c r="B498" s="9">
        <v>1</v>
      </c>
      <c r="C498" s="10">
        <v>1</v>
      </c>
      <c r="D498" s="11">
        <v>677</v>
      </c>
      <c r="E498" s="12">
        <v>30715048066</v>
      </c>
      <c r="F498" s="13" t="s">
        <v>23</v>
      </c>
      <c r="G498" s="14">
        <v>205225</v>
      </c>
      <c r="H498" s="14">
        <v>43097.25</v>
      </c>
      <c r="I498" s="14"/>
      <c r="J498" s="14"/>
      <c r="K498" s="14"/>
      <c r="L498" s="14"/>
      <c r="M498" s="14"/>
      <c r="N498" s="14"/>
      <c r="O498" s="14"/>
      <c r="P498" s="14"/>
      <c r="Q498" s="14">
        <v>248322.25</v>
      </c>
      <c r="R498" s="1"/>
    </row>
    <row r="499" spans="1:18" ht="18.75" x14ac:dyDescent="0.3">
      <c r="A499" s="8">
        <v>45174</v>
      </c>
      <c r="B499" s="9">
        <v>99</v>
      </c>
      <c r="C499" s="10">
        <v>1</v>
      </c>
      <c r="D499" s="11">
        <v>977865</v>
      </c>
      <c r="E499" s="12">
        <v>30571421352</v>
      </c>
      <c r="F499" s="13" t="s">
        <v>43</v>
      </c>
      <c r="G499" s="14">
        <v>8750</v>
      </c>
      <c r="H499" s="14">
        <v>1837.5</v>
      </c>
      <c r="I499" s="14"/>
      <c r="J499" s="14"/>
      <c r="K499" s="14"/>
      <c r="L499" s="14"/>
      <c r="M499" s="14">
        <v>262.5</v>
      </c>
      <c r="N499" s="14"/>
      <c r="O499" s="14"/>
      <c r="P499" s="14"/>
      <c r="Q499" s="14">
        <f>SUM(G499:P499)</f>
        <v>10850</v>
      </c>
    </row>
    <row r="500" spans="1:18" ht="18.75" x14ac:dyDescent="0.3">
      <c r="A500" s="8">
        <v>45170</v>
      </c>
      <c r="B500" s="9">
        <v>99</v>
      </c>
      <c r="C500" s="10">
        <v>1</v>
      </c>
      <c r="D500" s="11">
        <v>1044841</v>
      </c>
      <c r="E500" s="12">
        <v>30571421352</v>
      </c>
      <c r="F500" s="13" t="s">
        <v>43</v>
      </c>
      <c r="G500" s="14">
        <v>8752.5</v>
      </c>
      <c r="H500" s="14">
        <v>1838.0249999999999</v>
      </c>
      <c r="I500" s="14"/>
      <c r="J500" s="14"/>
      <c r="K500" s="14"/>
      <c r="L500" s="14"/>
      <c r="M500" s="14">
        <v>262.58</v>
      </c>
      <c r="N500" s="14"/>
      <c r="O500" s="14"/>
      <c r="P500" s="14"/>
      <c r="Q500" s="14">
        <f t="shared" ref="Q500:Q502" si="12">SUM(G500:P500)</f>
        <v>10853.105</v>
      </c>
    </row>
    <row r="501" spans="1:18" ht="18.75" x14ac:dyDescent="0.3">
      <c r="A501" s="8">
        <v>45190</v>
      </c>
      <c r="B501" s="9">
        <v>99</v>
      </c>
      <c r="C501" s="10">
        <v>1</v>
      </c>
      <c r="D501" s="11">
        <v>21092023</v>
      </c>
      <c r="E501" s="12">
        <v>30571421352</v>
      </c>
      <c r="F501" s="13" t="s">
        <v>43</v>
      </c>
      <c r="G501" s="14">
        <v>170</v>
      </c>
      <c r="H501" s="14">
        <v>35.699999999999996</v>
      </c>
      <c r="I501" s="14"/>
      <c r="J501" s="14"/>
      <c r="K501" s="14"/>
      <c r="L501" s="14"/>
      <c r="M501" s="14"/>
      <c r="N501" s="14"/>
      <c r="O501" s="14"/>
      <c r="P501" s="14"/>
      <c r="Q501" s="14">
        <f t="shared" si="12"/>
        <v>205.7</v>
      </c>
    </row>
    <row r="502" spans="1:18" ht="18.75" x14ac:dyDescent="0.3">
      <c r="A502" s="8">
        <v>45199</v>
      </c>
      <c r="B502" s="9">
        <v>99</v>
      </c>
      <c r="C502" s="10">
        <v>1</v>
      </c>
      <c r="D502" s="11">
        <v>30092023</v>
      </c>
      <c r="E502" s="12">
        <v>30571421352</v>
      </c>
      <c r="F502" s="13" t="s">
        <v>43</v>
      </c>
      <c r="G502" s="14">
        <v>8917.25</v>
      </c>
      <c r="H502" s="14">
        <v>1872.6224999999999</v>
      </c>
      <c r="I502" s="14"/>
      <c r="J502" s="14"/>
      <c r="K502" s="14"/>
      <c r="L502" s="14"/>
      <c r="M502" s="14">
        <v>215.17000000000002</v>
      </c>
      <c r="N502" s="14"/>
      <c r="O502" s="14"/>
      <c r="P502" s="14"/>
      <c r="Q502" s="14">
        <f t="shared" si="12"/>
        <v>11005.0425</v>
      </c>
    </row>
    <row r="503" spans="1:18" ht="19.5" thickBot="1" x14ac:dyDescent="0.35">
      <c r="A503" s="23" t="s">
        <v>17</v>
      </c>
      <c r="B503" s="23"/>
      <c r="C503" s="23"/>
      <c r="D503" s="23"/>
      <c r="E503" s="23"/>
      <c r="F503" s="23"/>
      <c r="G503" s="17">
        <f>SUM(G471:G502)</f>
        <v>7761344.2599999988</v>
      </c>
      <c r="H503" s="17">
        <f t="shared" ref="H503:Q503" si="13">SUM(H471:H502)</f>
        <v>1454461.1492999997</v>
      </c>
      <c r="I503" s="17">
        <f t="shared" si="13"/>
        <v>1412.1000000000001</v>
      </c>
      <c r="J503" s="17">
        <f t="shared" si="13"/>
        <v>87161.427949999998</v>
      </c>
      <c r="K503" s="17">
        <f t="shared" si="13"/>
        <v>156.9</v>
      </c>
      <c r="L503" s="17">
        <f t="shared" si="13"/>
        <v>0</v>
      </c>
      <c r="M503" s="17">
        <f t="shared" si="13"/>
        <v>740.25</v>
      </c>
      <c r="N503" s="17">
        <f t="shared" si="13"/>
        <v>0</v>
      </c>
      <c r="O503" s="17">
        <f t="shared" si="13"/>
        <v>0</v>
      </c>
      <c r="P503" s="17">
        <f t="shared" si="13"/>
        <v>210484.75500000003</v>
      </c>
      <c r="Q503" s="17">
        <f t="shared" si="13"/>
        <v>9515760.8422499988</v>
      </c>
    </row>
    <row r="504" spans="1:18" ht="19.5" thickBot="1" x14ac:dyDescent="0.35">
      <c r="A504" s="15"/>
      <c r="B504" s="15"/>
      <c r="C504" s="15"/>
      <c r="D504" s="15"/>
      <c r="E504" s="15"/>
      <c r="F504" s="15"/>
      <c r="G504" s="16"/>
      <c r="H504" s="18"/>
      <c r="I504" s="19">
        <f>SUM(H503:J503)</f>
        <v>1543034.6772499997</v>
      </c>
      <c r="J504" s="20"/>
      <c r="K504" s="16"/>
      <c r="L504" s="16"/>
      <c r="M504" s="16"/>
      <c r="N504" s="16"/>
      <c r="O504" s="16"/>
      <c r="P504" s="16"/>
      <c r="Q504" s="16"/>
    </row>
    <row r="511" spans="1:18" ht="29.25" thickBot="1" x14ac:dyDescent="0.5">
      <c r="A511" s="24" t="s">
        <v>0</v>
      </c>
      <c r="B511" s="24"/>
      <c r="C511" s="24"/>
      <c r="D511" s="24"/>
      <c r="E511" s="24"/>
      <c r="F511" s="21"/>
      <c r="G511" s="22"/>
      <c r="H511" s="22"/>
      <c r="I511" s="22"/>
      <c r="J511" s="22"/>
      <c r="K511" s="22"/>
      <c r="L511" s="22"/>
      <c r="M511" s="22"/>
      <c r="N511" s="22"/>
      <c r="O511" s="25">
        <v>45200</v>
      </c>
      <c r="P511" s="26"/>
      <c r="Q511" s="26"/>
    </row>
    <row r="512" spans="1:18" ht="18.75" x14ac:dyDescent="0.3">
      <c r="A512" s="6" t="s">
        <v>1</v>
      </c>
      <c r="B512" s="6" t="s">
        <v>2</v>
      </c>
      <c r="C512" s="6" t="s">
        <v>3</v>
      </c>
      <c r="D512" s="6" t="s">
        <v>4</v>
      </c>
      <c r="E512" s="6" t="s">
        <v>5</v>
      </c>
      <c r="F512" s="6" t="s">
        <v>6</v>
      </c>
      <c r="G512" s="7" t="s">
        <v>7</v>
      </c>
      <c r="H512" s="7" t="s">
        <v>8</v>
      </c>
      <c r="I512" s="7" t="s">
        <v>9</v>
      </c>
      <c r="J512" s="7" t="s">
        <v>10</v>
      </c>
      <c r="K512" s="7" t="s">
        <v>11</v>
      </c>
      <c r="L512" s="7" t="s">
        <v>12</v>
      </c>
      <c r="M512" s="7" t="s">
        <v>13</v>
      </c>
      <c r="N512" s="7" t="s">
        <v>14</v>
      </c>
      <c r="O512" s="7" t="s">
        <v>15</v>
      </c>
      <c r="P512" s="7" t="s">
        <v>16</v>
      </c>
      <c r="Q512" s="7" t="s">
        <v>17</v>
      </c>
    </row>
    <row r="513" spans="1:18" ht="18.75" x14ac:dyDescent="0.3">
      <c r="A513" s="8">
        <v>45200</v>
      </c>
      <c r="B513" s="9">
        <v>1</v>
      </c>
      <c r="C513" s="10">
        <v>3</v>
      </c>
      <c r="D513" s="11">
        <v>687</v>
      </c>
      <c r="E513" s="12">
        <v>30715402765</v>
      </c>
      <c r="F513" s="13" t="s">
        <v>100</v>
      </c>
      <c r="G513" s="14">
        <v>20247.95</v>
      </c>
      <c r="H513" s="14">
        <v>4252.0694999999996</v>
      </c>
      <c r="I513" s="14"/>
      <c r="J513" s="14"/>
      <c r="K513" s="14"/>
      <c r="L513" s="14"/>
      <c r="M513" s="14"/>
      <c r="N513" s="14"/>
      <c r="O513" s="14"/>
      <c r="P513" s="14"/>
      <c r="Q513" s="14">
        <v>24500.019500000002</v>
      </c>
      <c r="R513" s="1"/>
    </row>
    <row r="514" spans="1:18" ht="18.75" x14ac:dyDescent="0.3">
      <c r="A514" s="8">
        <v>45200</v>
      </c>
      <c r="B514" s="9">
        <v>1</v>
      </c>
      <c r="C514" s="10">
        <v>3</v>
      </c>
      <c r="D514" s="11">
        <v>205355</v>
      </c>
      <c r="E514" s="12">
        <v>30707135596</v>
      </c>
      <c r="F514" s="13" t="s">
        <v>117</v>
      </c>
      <c r="G514" s="14">
        <v>7686.86</v>
      </c>
      <c r="H514" s="14">
        <v>1614.2405999999999</v>
      </c>
      <c r="I514" s="14"/>
      <c r="J514" s="14"/>
      <c r="K514" s="14"/>
      <c r="L514" s="14"/>
      <c r="M514" s="14"/>
      <c r="N514" s="14"/>
      <c r="O514" s="14"/>
      <c r="P514" s="14"/>
      <c r="Q514" s="14">
        <v>9301.1005999999998</v>
      </c>
      <c r="R514" s="1"/>
    </row>
    <row r="515" spans="1:18" ht="18.75" x14ac:dyDescent="0.3">
      <c r="A515" s="8">
        <v>45201</v>
      </c>
      <c r="B515" s="9">
        <v>1</v>
      </c>
      <c r="C515" s="10">
        <v>3</v>
      </c>
      <c r="D515" s="11">
        <v>88</v>
      </c>
      <c r="E515" s="12">
        <v>20297899830</v>
      </c>
      <c r="F515" s="13" t="s">
        <v>73</v>
      </c>
      <c r="G515" s="14">
        <v>867526.04999999993</v>
      </c>
      <c r="H515" s="14">
        <v>182180.47049999997</v>
      </c>
      <c r="I515" s="14"/>
      <c r="J515" s="14"/>
      <c r="K515" s="14"/>
      <c r="L515" s="14"/>
      <c r="M515" s="14"/>
      <c r="N515" s="14"/>
      <c r="O515" s="14"/>
      <c r="P515" s="14"/>
      <c r="Q515" s="14">
        <v>1049706.5204999999</v>
      </c>
      <c r="R515" s="1"/>
    </row>
    <row r="516" spans="1:18" ht="18.75" x14ac:dyDescent="0.3">
      <c r="A516" s="8">
        <v>45201</v>
      </c>
      <c r="B516" s="9">
        <v>1</v>
      </c>
      <c r="C516" s="10">
        <v>2</v>
      </c>
      <c r="D516" s="11">
        <v>184</v>
      </c>
      <c r="E516" s="12">
        <v>20125142851</v>
      </c>
      <c r="F516" s="13" t="s">
        <v>19</v>
      </c>
      <c r="G516" s="14">
        <v>75127.33</v>
      </c>
      <c r="H516" s="14">
        <v>15776.739299999999</v>
      </c>
      <c r="I516" s="14"/>
      <c r="J516" s="14"/>
      <c r="K516" s="14"/>
      <c r="L516" s="14"/>
      <c r="M516" s="14"/>
      <c r="N516" s="14"/>
      <c r="O516" s="14"/>
      <c r="P516" s="14"/>
      <c r="Q516" s="14">
        <v>90904.069300000003</v>
      </c>
      <c r="R516" s="1"/>
    </row>
    <row r="517" spans="1:18" ht="18.75" x14ac:dyDescent="0.3">
      <c r="A517" s="8">
        <v>45201</v>
      </c>
      <c r="B517" s="9">
        <v>1</v>
      </c>
      <c r="C517" s="10">
        <v>2</v>
      </c>
      <c r="D517" s="11">
        <v>185</v>
      </c>
      <c r="E517" s="12">
        <v>20125142851</v>
      </c>
      <c r="F517" s="13" t="s">
        <v>19</v>
      </c>
      <c r="G517" s="14">
        <v>218140.81</v>
      </c>
      <c r="H517" s="14">
        <v>45809.570099999997</v>
      </c>
      <c r="I517" s="14"/>
      <c r="J517" s="14"/>
      <c r="K517" s="14"/>
      <c r="L517" s="14"/>
      <c r="M517" s="14"/>
      <c r="N517" s="14"/>
      <c r="O517" s="14"/>
      <c r="P517" s="14"/>
      <c r="Q517" s="14">
        <v>263950.38010000001</v>
      </c>
      <c r="R517" s="1"/>
    </row>
    <row r="518" spans="1:18" ht="18.75" x14ac:dyDescent="0.3">
      <c r="A518" s="8">
        <v>45203</v>
      </c>
      <c r="B518" s="9">
        <v>1</v>
      </c>
      <c r="C518" s="10">
        <v>5</v>
      </c>
      <c r="D518" s="11">
        <v>6837</v>
      </c>
      <c r="E518" s="12">
        <v>27066610018</v>
      </c>
      <c r="F518" s="13" t="s">
        <v>196</v>
      </c>
      <c r="G518" s="14">
        <v>16681.82</v>
      </c>
      <c r="H518" s="14">
        <v>3503.1821999999997</v>
      </c>
      <c r="I518" s="14"/>
      <c r="J518" s="14"/>
      <c r="K518" s="14"/>
      <c r="L518" s="14"/>
      <c r="M518" s="14"/>
      <c r="N518" s="14"/>
      <c r="O518" s="14"/>
      <c r="P518" s="14"/>
      <c r="Q518" s="14">
        <v>20185.002199999999</v>
      </c>
      <c r="R518" s="1"/>
    </row>
    <row r="519" spans="1:18" ht="18.75" x14ac:dyDescent="0.3">
      <c r="A519" s="8">
        <v>45205</v>
      </c>
      <c r="B519" s="9">
        <v>1</v>
      </c>
      <c r="C519" s="10">
        <v>4</v>
      </c>
      <c r="D519" s="11">
        <v>1347</v>
      </c>
      <c r="E519" s="12">
        <v>30714356360</v>
      </c>
      <c r="F519" s="13" t="s">
        <v>197</v>
      </c>
      <c r="G519" s="14">
        <v>7851.24</v>
      </c>
      <c r="H519" s="14">
        <v>1648.7603999999999</v>
      </c>
      <c r="I519" s="14"/>
      <c r="J519" s="14"/>
      <c r="K519" s="14"/>
      <c r="L519" s="14"/>
      <c r="M519" s="14"/>
      <c r="N519" s="14"/>
      <c r="O519" s="14"/>
      <c r="P519" s="14"/>
      <c r="Q519" s="14">
        <v>9500.000399999999</v>
      </c>
      <c r="R519" s="1"/>
    </row>
    <row r="520" spans="1:18" ht="18.75" x14ac:dyDescent="0.3">
      <c r="A520" s="8">
        <v>45206</v>
      </c>
      <c r="B520" s="9">
        <v>1</v>
      </c>
      <c r="C520" s="10">
        <v>5</v>
      </c>
      <c r="D520" s="11">
        <v>25564</v>
      </c>
      <c r="E520" s="12">
        <v>20282837472</v>
      </c>
      <c r="F520" s="13" t="s">
        <v>198</v>
      </c>
      <c r="G520" s="14">
        <v>20209.09</v>
      </c>
      <c r="H520" s="14">
        <v>4243.9088999999994</v>
      </c>
      <c r="I520" s="14"/>
      <c r="J520" s="14"/>
      <c r="K520" s="14"/>
      <c r="L520" s="14"/>
      <c r="M520" s="14"/>
      <c r="N520" s="14"/>
      <c r="O520" s="14"/>
      <c r="P520" s="14"/>
      <c r="Q520" s="14">
        <v>24452.998899999999</v>
      </c>
      <c r="R520" s="1"/>
    </row>
    <row r="521" spans="1:18" ht="18.75" x14ac:dyDescent="0.3">
      <c r="A521" s="8">
        <v>45208</v>
      </c>
      <c r="B521" s="9">
        <v>1</v>
      </c>
      <c r="C521" s="10">
        <v>700</v>
      </c>
      <c r="D521" s="11">
        <v>578677</v>
      </c>
      <c r="E521" s="12">
        <v>30580111315</v>
      </c>
      <c r="F521" s="13" t="s">
        <v>108</v>
      </c>
      <c r="G521" s="14">
        <v>5117</v>
      </c>
      <c r="H521" s="14">
        <v>1074.57</v>
      </c>
      <c r="I521" s="14"/>
      <c r="J521" s="14"/>
      <c r="K521" s="14"/>
      <c r="L521" s="14"/>
      <c r="M521" s="14"/>
      <c r="N521" s="14"/>
      <c r="O521" s="14"/>
      <c r="P521" s="14">
        <v>152227.095</v>
      </c>
      <c r="Q521" s="14">
        <v>158418.66500000001</v>
      </c>
      <c r="R521" s="1"/>
    </row>
    <row r="522" spans="1:18" ht="18.75" x14ac:dyDescent="0.3">
      <c r="A522" s="8">
        <v>45208</v>
      </c>
      <c r="B522" s="9">
        <v>1</v>
      </c>
      <c r="C522" s="10">
        <v>106</v>
      </c>
      <c r="D522" s="11">
        <v>675411</v>
      </c>
      <c r="E522" s="12">
        <v>30594494187</v>
      </c>
      <c r="F522" s="13" t="s">
        <v>35</v>
      </c>
      <c r="G522" s="14">
        <v>62158</v>
      </c>
      <c r="H522" s="14">
        <v>13053.18</v>
      </c>
      <c r="I522" s="14"/>
      <c r="J522" s="14"/>
      <c r="K522" s="14"/>
      <c r="L522" s="14"/>
      <c r="M522" s="14"/>
      <c r="N522" s="14"/>
      <c r="O522" s="14"/>
      <c r="P522" s="14">
        <v>3653</v>
      </c>
      <c r="Q522" s="14">
        <v>78864.179999999993</v>
      </c>
      <c r="R522" s="1"/>
    </row>
    <row r="523" spans="1:18" ht="18.75" x14ac:dyDescent="0.3">
      <c r="A523" s="8">
        <v>45209</v>
      </c>
      <c r="B523" s="9">
        <v>1</v>
      </c>
      <c r="C523" s="10">
        <v>3</v>
      </c>
      <c r="D523" s="11">
        <v>90</v>
      </c>
      <c r="E523" s="12">
        <v>20297899830</v>
      </c>
      <c r="F523" s="13" t="s">
        <v>73</v>
      </c>
      <c r="G523" s="14">
        <v>2098499.4</v>
      </c>
      <c r="H523" s="14">
        <v>440684.87399999995</v>
      </c>
      <c r="I523" s="14"/>
      <c r="J523" s="14"/>
      <c r="K523" s="14"/>
      <c r="L523" s="14"/>
      <c r="M523" s="14"/>
      <c r="N523" s="14"/>
      <c r="O523" s="14"/>
      <c r="P523" s="14"/>
      <c r="Q523" s="14">
        <v>2539184.2739999997</v>
      </c>
      <c r="R523" s="1"/>
    </row>
    <row r="524" spans="1:18" ht="18.75" x14ac:dyDescent="0.3">
      <c r="A524" s="8">
        <v>45210</v>
      </c>
      <c r="B524" s="9">
        <v>1</v>
      </c>
      <c r="C524" s="10">
        <v>3</v>
      </c>
      <c r="D524" s="11">
        <v>301</v>
      </c>
      <c r="E524" s="12">
        <v>20921575743</v>
      </c>
      <c r="F524" s="13" t="s">
        <v>71</v>
      </c>
      <c r="G524" s="14">
        <v>1149278.19</v>
      </c>
      <c r="H524" s="14">
        <v>241348.41989999998</v>
      </c>
      <c r="I524" s="14"/>
      <c r="J524" s="14"/>
      <c r="K524" s="14"/>
      <c r="L524" s="14"/>
      <c r="M524" s="14"/>
      <c r="N524" s="14"/>
      <c r="O524" s="14"/>
      <c r="P524" s="14"/>
      <c r="Q524" s="14">
        <v>1390626.6099</v>
      </c>
      <c r="R524" s="1"/>
    </row>
    <row r="525" spans="1:18" ht="18.75" x14ac:dyDescent="0.3">
      <c r="A525" s="8">
        <v>45210</v>
      </c>
      <c r="B525" s="9">
        <v>1</v>
      </c>
      <c r="C525" s="10">
        <v>42</v>
      </c>
      <c r="D525" s="11">
        <v>591</v>
      </c>
      <c r="E525" s="12">
        <v>30520201048</v>
      </c>
      <c r="F525" s="13" t="s">
        <v>199</v>
      </c>
      <c r="G525" s="14">
        <v>6183.89</v>
      </c>
      <c r="H525" s="14">
        <v>1298.6169</v>
      </c>
      <c r="I525" s="14"/>
      <c r="J525" s="14"/>
      <c r="K525" s="14"/>
      <c r="L525" s="14"/>
      <c r="M525" s="14"/>
      <c r="N525" s="14"/>
      <c r="O525" s="14"/>
      <c r="P525" s="14">
        <v>271.49</v>
      </c>
      <c r="Q525" s="14">
        <v>7753.9969000000001</v>
      </c>
      <c r="R525" s="1"/>
    </row>
    <row r="526" spans="1:18" ht="18.75" x14ac:dyDescent="0.3">
      <c r="A526" s="8">
        <v>45210</v>
      </c>
      <c r="B526" s="9">
        <v>1</v>
      </c>
      <c r="C526" s="10">
        <v>42</v>
      </c>
      <c r="D526" s="11">
        <v>592</v>
      </c>
      <c r="E526" s="12">
        <v>30520201048</v>
      </c>
      <c r="F526" s="13" t="s">
        <v>199</v>
      </c>
      <c r="G526" s="14">
        <v>950.41</v>
      </c>
      <c r="H526" s="14">
        <v>199.58609999999999</v>
      </c>
      <c r="I526" s="14"/>
      <c r="J526" s="14"/>
      <c r="K526" s="14"/>
      <c r="L526" s="14"/>
      <c r="M526" s="14"/>
      <c r="N526" s="14"/>
      <c r="O526" s="14"/>
      <c r="P526" s="14"/>
      <c r="Q526" s="14">
        <v>1149.9960999999998</v>
      </c>
      <c r="R526" s="1"/>
    </row>
    <row r="527" spans="1:18" ht="18.75" x14ac:dyDescent="0.3">
      <c r="A527" s="8">
        <v>45210</v>
      </c>
      <c r="B527" s="9">
        <v>1</v>
      </c>
      <c r="C527" s="10">
        <v>122</v>
      </c>
      <c r="D527" s="11">
        <v>290372</v>
      </c>
      <c r="E527" s="12">
        <v>30594494187</v>
      </c>
      <c r="F527" s="13" t="s">
        <v>35</v>
      </c>
      <c r="G527" s="14">
        <v>29408.400000000001</v>
      </c>
      <c r="H527" s="14">
        <v>6175.7640000000001</v>
      </c>
      <c r="I527" s="14"/>
      <c r="J527" s="14"/>
      <c r="K527" s="14"/>
      <c r="L527" s="14"/>
      <c r="M527" s="14"/>
      <c r="N527" s="14"/>
      <c r="O527" s="14"/>
      <c r="P527" s="14">
        <v>153851.44</v>
      </c>
      <c r="Q527" s="14">
        <v>189435.60399999999</v>
      </c>
      <c r="R527" s="1"/>
    </row>
    <row r="528" spans="1:18" ht="18.75" x14ac:dyDescent="0.3">
      <c r="A528" s="8">
        <v>45210</v>
      </c>
      <c r="B528" s="9">
        <v>1</v>
      </c>
      <c r="C528" s="10">
        <v>2466</v>
      </c>
      <c r="D528" s="11">
        <v>566607</v>
      </c>
      <c r="E528" s="12">
        <v>30678814357</v>
      </c>
      <c r="F528" s="13" t="s">
        <v>116</v>
      </c>
      <c r="G528" s="14">
        <v>5740</v>
      </c>
      <c r="H528" s="14"/>
      <c r="I528" s="14">
        <v>1549.8</v>
      </c>
      <c r="J528" s="14"/>
      <c r="K528" s="14">
        <v>172.2</v>
      </c>
      <c r="L528" s="14"/>
      <c r="M528" s="14"/>
      <c r="N528" s="14"/>
      <c r="O528" s="14"/>
      <c r="P528" s="14">
        <v>302.10000000000002</v>
      </c>
      <c r="Q528" s="14">
        <v>7764.1</v>
      </c>
      <c r="R528" s="1"/>
    </row>
    <row r="529" spans="1:18" ht="18.75" x14ac:dyDescent="0.3">
      <c r="A529" s="8">
        <v>45211</v>
      </c>
      <c r="B529" s="9">
        <v>1</v>
      </c>
      <c r="C529" s="10">
        <v>2</v>
      </c>
      <c r="D529" s="11">
        <v>3312</v>
      </c>
      <c r="E529" s="12">
        <v>30710878974</v>
      </c>
      <c r="F529" s="13" t="s">
        <v>186</v>
      </c>
      <c r="G529" s="14">
        <v>592430</v>
      </c>
      <c r="H529" s="14">
        <v>124410.29999999999</v>
      </c>
      <c r="I529" s="14"/>
      <c r="J529" s="14"/>
      <c r="K529" s="14"/>
      <c r="L529" s="14"/>
      <c r="M529" s="14"/>
      <c r="N529" s="14"/>
      <c r="O529" s="14"/>
      <c r="P529" s="14"/>
      <c r="Q529" s="14">
        <v>716840.3</v>
      </c>
      <c r="R529" s="1"/>
    </row>
    <row r="530" spans="1:18" ht="18.75" x14ac:dyDescent="0.3">
      <c r="A530" s="8">
        <v>45211</v>
      </c>
      <c r="B530" s="9">
        <v>3</v>
      </c>
      <c r="C530" s="10">
        <v>122</v>
      </c>
      <c r="D530" s="11">
        <v>50638</v>
      </c>
      <c r="E530" s="12">
        <v>30594494187</v>
      </c>
      <c r="F530" s="13" t="s">
        <v>35</v>
      </c>
      <c r="G530" s="14">
        <v>-29408.400000000001</v>
      </c>
      <c r="H530" s="14">
        <v>-6175.7640000000001</v>
      </c>
      <c r="I530" s="14"/>
      <c r="J530" s="14"/>
      <c r="K530" s="14"/>
      <c r="L530" s="14"/>
      <c r="M530" s="14"/>
      <c r="N530" s="14"/>
      <c r="O530" s="14"/>
      <c r="P530" s="14">
        <v>-153851.44</v>
      </c>
      <c r="Q530" s="14">
        <v>-189435.60399999999</v>
      </c>
      <c r="R530" s="1"/>
    </row>
    <row r="531" spans="1:18" ht="18.75" x14ac:dyDescent="0.3">
      <c r="A531" s="8">
        <v>45216</v>
      </c>
      <c r="B531" s="9">
        <v>1</v>
      </c>
      <c r="C531" s="10">
        <v>5</v>
      </c>
      <c r="D531" s="11">
        <v>7912</v>
      </c>
      <c r="E531" s="12">
        <v>30684105597</v>
      </c>
      <c r="F531" s="13" t="s">
        <v>200</v>
      </c>
      <c r="G531" s="14">
        <v>1061570.25</v>
      </c>
      <c r="H531" s="14">
        <v>222929.7525</v>
      </c>
      <c r="I531" s="14"/>
      <c r="J531" s="14"/>
      <c r="K531" s="14"/>
      <c r="L531" s="14"/>
      <c r="M531" s="14"/>
      <c r="N531" s="14"/>
      <c r="O531" s="14"/>
      <c r="P531" s="14"/>
      <c r="Q531" s="14">
        <v>1284500.0024999999</v>
      </c>
      <c r="R531" s="1"/>
    </row>
    <row r="532" spans="1:18" ht="18.75" x14ac:dyDescent="0.3">
      <c r="A532" s="8">
        <v>45216</v>
      </c>
      <c r="B532" s="9">
        <v>1</v>
      </c>
      <c r="C532" s="10">
        <v>106</v>
      </c>
      <c r="D532" s="11">
        <v>677582</v>
      </c>
      <c r="E532" s="12">
        <v>30594494187</v>
      </c>
      <c r="F532" s="13" t="s">
        <v>35</v>
      </c>
      <c r="G532" s="14">
        <v>0</v>
      </c>
      <c r="H532" s="14">
        <v>0</v>
      </c>
      <c r="I532" s="14"/>
      <c r="J532" s="14"/>
      <c r="K532" s="14"/>
      <c r="L532" s="14"/>
      <c r="M532" s="14"/>
      <c r="N532" s="14"/>
      <c r="O532" s="14"/>
      <c r="P532" s="14">
        <v>545044.56999999995</v>
      </c>
      <c r="Q532" s="14">
        <v>545044.56999999995</v>
      </c>
      <c r="R532" s="1"/>
    </row>
    <row r="533" spans="1:18" ht="18.75" x14ac:dyDescent="0.3">
      <c r="A533" s="8">
        <v>45216</v>
      </c>
      <c r="B533" s="9">
        <v>1</v>
      </c>
      <c r="C533" s="10">
        <v>106</v>
      </c>
      <c r="D533" s="11">
        <v>678019</v>
      </c>
      <c r="E533" s="12">
        <v>30594494187</v>
      </c>
      <c r="F533" s="13" t="s">
        <v>35</v>
      </c>
      <c r="G533" s="14">
        <v>30702</v>
      </c>
      <c r="H533" s="14">
        <v>6447.42</v>
      </c>
      <c r="I533" s="14"/>
      <c r="J533" s="14"/>
      <c r="K533" s="14"/>
      <c r="L533" s="14"/>
      <c r="M533" s="14"/>
      <c r="N533" s="14"/>
      <c r="O533" s="14"/>
      <c r="P533" s="14">
        <v>153851.44</v>
      </c>
      <c r="Q533" s="14">
        <v>191000.86</v>
      </c>
      <c r="R533" s="1"/>
    </row>
    <row r="534" spans="1:18" ht="18.75" x14ac:dyDescent="0.3">
      <c r="A534" s="8">
        <v>45219</v>
      </c>
      <c r="B534" s="9">
        <v>1</v>
      </c>
      <c r="C534" s="10">
        <v>3</v>
      </c>
      <c r="D534" s="11">
        <v>1689929</v>
      </c>
      <c r="E534" s="12">
        <v>30712019359</v>
      </c>
      <c r="F534" s="13" t="s">
        <v>42</v>
      </c>
      <c r="G534" s="14">
        <v>11156.2</v>
      </c>
      <c r="H534" s="14">
        <v>2342.8020000000001</v>
      </c>
      <c r="I534" s="14"/>
      <c r="J534" s="14"/>
      <c r="K534" s="14"/>
      <c r="L534" s="14"/>
      <c r="M534" s="14"/>
      <c r="N534" s="14"/>
      <c r="O534" s="14"/>
      <c r="P534" s="14"/>
      <c r="Q534" s="14">
        <v>13499.002</v>
      </c>
      <c r="R534" s="1"/>
    </row>
    <row r="535" spans="1:18" ht="18.75" x14ac:dyDescent="0.3">
      <c r="A535" s="8">
        <v>45220</v>
      </c>
      <c r="B535" s="9">
        <v>1</v>
      </c>
      <c r="C535" s="10">
        <v>280</v>
      </c>
      <c r="D535" s="11">
        <v>1462574</v>
      </c>
      <c r="E535" s="12">
        <v>30580111315</v>
      </c>
      <c r="F535" s="13" t="s">
        <v>108</v>
      </c>
      <c r="G535" s="14">
        <v>347328.87449999998</v>
      </c>
      <c r="H535" s="14">
        <v>68362.732499999998</v>
      </c>
      <c r="I535" s="14"/>
      <c r="J535" s="14">
        <v>2285.1734999999999</v>
      </c>
      <c r="K535" s="14"/>
      <c r="L535" s="14"/>
      <c r="M535" s="14"/>
      <c r="N535" s="14"/>
      <c r="O535" s="14"/>
      <c r="P535" s="14">
        <v>-280173.46950000001</v>
      </c>
      <c r="Q535" s="14">
        <v>137803.31099999993</v>
      </c>
      <c r="R535" s="1"/>
    </row>
    <row r="536" spans="1:18" ht="18.75" x14ac:dyDescent="0.3">
      <c r="A536" s="8">
        <v>45222</v>
      </c>
      <c r="B536" s="9">
        <v>1</v>
      </c>
      <c r="C536" s="10">
        <v>1</v>
      </c>
      <c r="D536" s="11">
        <v>663</v>
      </c>
      <c r="E536" s="12">
        <v>27948597298</v>
      </c>
      <c r="F536" s="13" t="s">
        <v>201</v>
      </c>
      <c r="G536" s="14">
        <v>2644.62</v>
      </c>
      <c r="H536" s="14">
        <v>555.37019999999995</v>
      </c>
      <c r="I536" s="14"/>
      <c r="J536" s="14"/>
      <c r="K536" s="14"/>
      <c r="L536" s="14"/>
      <c r="M536" s="14"/>
      <c r="N536" s="14"/>
      <c r="O536" s="14"/>
      <c r="P536" s="14"/>
      <c r="Q536" s="14">
        <v>3199.9901999999997</v>
      </c>
      <c r="R536" s="1"/>
    </row>
    <row r="537" spans="1:18" ht="18.75" x14ac:dyDescent="0.3">
      <c r="A537" s="8">
        <v>45222</v>
      </c>
      <c r="B537" s="9">
        <v>1</v>
      </c>
      <c r="C537" s="10">
        <v>700</v>
      </c>
      <c r="D537" s="11">
        <v>584044</v>
      </c>
      <c r="E537" s="12">
        <v>30580111315</v>
      </c>
      <c r="F537" s="13" t="s">
        <v>108</v>
      </c>
      <c r="G537" s="14">
        <v>5117</v>
      </c>
      <c r="H537" s="14">
        <v>1074.57</v>
      </c>
      <c r="I537" s="14"/>
      <c r="J537" s="14"/>
      <c r="K537" s="14"/>
      <c r="L537" s="14"/>
      <c r="M537" s="14"/>
      <c r="N537" s="14"/>
      <c r="O537" s="14"/>
      <c r="P537" s="14">
        <v>202870.77499999999</v>
      </c>
      <c r="Q537" s="14">
        <v>209062.345</v>
      </c>
      <c r="R537" s="1"/>
    </row>
    <row r="538" spans="1:18" ht="18.75" x14ac:dyDescent="0.3">
      <c r="A538" s="8">
        <v>45223</v>
      </c>
      <c r="B538" s="9">
        <v>1</v>
      </c>
      <c r="C538" s="10">
        <v>2</v>
      </c>
      <c r="D538" s="11">
        <v>3322</v>
      </c>
      <c r="E538" s="12">
        <v>30710878974</v>
      </c>
      <c r="F538" s="13" t="s">
        <v>186</v>
      </c>
      <c r="G538" s="14">
        <v>102950</v>
      </c>
      <c r="H538" s="14">
        <v>21619.5</v>
      </c>
      <c r="I538" s="14"/>
      <c r="J538" s="14"/>
      <c r="K538" s="14"/>
      <c r="L538" s="14"/>
      <c r="M538" s="14"/>
      <c r="N538" s="14"/>
      <c r="O538" s="14"/>
      <c r="P538" s="14"/>
      <c r="Q538" s="14">
        <v>124569.5</v>
      </c>
      <c r="R538" s="1"/>
    </row>
    <row r="539" spans="1:18" ht="18.75" x14ac:dyDescent="0.3">
      <c r="A539" s="8">
        <v>45223</v>
      </c>
      <c r="B539" s="9">
        <v>1</v>
      </c>
      <c r="C539" s="10">
        <v>440</v>
      </c>
      <c r="D539" s="11">
        <v>1946432</v>
      </c>
      <c r="E539" s="12">
        <v>30696170580</v>
      </c>
      <c r="F539" s="13" t="s">
        <v>202</v>
      </c>
      <c r="G539" s="14">
        <v>241463.94</v>
      </c>
      <c r="H539" s="14">
        <v>50707.4274</v>
      </c>
      <c r="I539" s="14"/>
      <c r="J539" s="14"/>
      <c r="K539" s="14"/>
      <c r="L539" s="14"/>
      <c r="M539" s="14">
        <v>19317.12</v>
      </c>
      <c r="N539" s="14"/>
      <c r="O539" s="14"/>
      <c r="P539" s="14"/>
      <c r="Q539" s="14">
        <v>311488.48739999998</v>
      </c>
      <c r="R539" s="1"/>
    </row>
    <row r="540" spans="1:18" ht="18.75" x14ac:dyDescent="0.3">
      <c r="A540" s="8">
        <v>45225</v>
      </c>
      <c r="B540" s="9">
        <v>1</v>
      </c>
      <c r="C540" s="10">
        <v>9</v>
      </c>
      <c r="D540" s="11">
        <v>1754</v>
      </c>
      <c r="E540" s="12">
        <v>30631047145</v>
      </c>
      <c r="F540" s="13" t="s">
        <v>26</v>
      </c>
      <c r="G540" s="14">
        <v>216060.16</v>
      </c>
      <c r="H540" s="14">
        <v>5959.83</v>
      </c>
      <c r="I540" s="14"/>
      <c r="J540" s="14">
        <v>19706.400000000001</v>
      </c>
      <c r="K540" s="14"/>
      <c r="L540" s="14"/>
      <c r="M540" s="14"/>
      <c r="N540" s="14"/>
      <c r="O540" s="14"/>
      <c r="P540" s="14"/>
      <c r="Q540" s="14">
        <v>241726.38999999998</v>
      </c>
      <c r="R540" s="1"/>
    </row>
    <row r="541" spans="1:18" ht="18.75" x14ac:dyDescent="0.3">
      <c r="A541" s="8">
        <v>45225</v>
      </c>
      <c r="B541" s="9">
        <v>1</v>
      </c>
      <c r="C541" s="10">
        <v>40</v>
      </c>
      <c r="D541" s="11">
        <v>2478657</v>
      </c>
      <c r="E541" s="12">
        <v>30710964277</v>
      </c>
      <c r="F541" s="13" t="s">
        <v>161</v>
      </c>
      <c r="G541" s="14">
        <v>8104.82</v>
      </c>
      <c r="H541" s="14">
        <v>1702.0121999999999</v>
      </c>
      <c r="I541" s="14"/>
      <c r="J541" s="14"/>
      <c r="K541" s="14"/>
      <c r="L541" s="14"/>
      <c r="M541" s="14"/>
      <c r="N541" s="14"/>
      <c r="O541" s="14"/>
      <c r="P541" s="14"/>
      <c r="Q541" s="14">
        <v>9806.8321999999989</v>
      </c>
      <c r="R541" s="1"/>
    </row>
    <row r="542" spans="1:18" ht="18.75" x14ac:dyDescent="0.3">
      <c r="A542" s="8">
        <v>45229</v>
      </c>
      <c r="B542" s="9">
        <v>1</v>
      </c>
      <c r="C542" s="10">
        <v>2</v>
      </c>
      <c r="D542" s="11">
        <v>186</v>
      </c>
      <c r="E542" s="12">
        <v>20125142851</v>
      </c>
      <c r="F542" s="13" t="s">
        <v>19</v>
      </c>
      <c r="G542" s="14">
        <v>11846.81</v>
      </c>
      <c r="H542" s="14">
        <v>2487.8300999999997</v>
      </c>
      <c r="I542" s="14"/>
      <c r="J542" s="14"/>
      <c r="K542" s="14"/>
      <c r="L542" s="14"/>
      <c r="M542" s="14"/>
      <c r="N542" s="14"/>
      <c r="O542" s="14"/>
      <c r="P542" s="14"/>
      <c r="Q542" s="14">
        <v>14334.640099999999</v>
      </c>
      <c r="R542" s="1"/>
    </row>
    <row r="543" spans="1:18" ht="18.75" x14ac:dyDescent="0.3">
      <c r="A543" s="8">
        <v>45229</v>
      </c>
      <c r="B543" s="9">
        <v>1</v>
      </c>
      <c r="C543" s="10">
        <v>10</v>
      </c>
      <c r="D543" s="11">
        <v>7823</v>
      </c>
      <c r="E543" s="12">
        <v>30715357255</v>
      </c>
      <c r="F543" s="13" t="s">
        <v>203</v>
      </c>
      <c r="G543" s="14">
        <v>15383.71</v>
      </c>
      <c r="H543" s="14"/>
      <c r="I543" s="14"/>
      <c r="J543" s="14">
        <v>1615.29</v>
      </c>
      <c r="K543" s="14"/>
      <c r="L543" s="14"/>
      <c r="M543" s="14"/>
      <c r="N543" s="14"/>
      <c r="O543" s="14"/>
      <c r="P543" s="14"/>
      <c r="Q543" s="14">
        <v>16999</v>
      </c>
      <c r="R543" s="1"/>
    </row>
    <row r="544" spans="1:18" ht="18.75" x14ac:dyDescent="0.3">
      <c r="A544" s="8">
        <v>45230</v>
      </c>
      <c r="B544" s="9">
        <v>1</v>
      </c>
      <c r="C544" s="10">
        <v>6</v>
      </c>
      <c r="D544" s="11">
        <v>13068</v>
      </c>
      <c r="E544" s="12">
        <v>30707756434</v>
      </c>
      <c r="F544" s="13" t="s">
        <v>61</v>
      </c>
      <c r="G544" s="14">
        <v>52000</v>
      </c>
      <c r="H544" s="14">
        <v>10920</v>
      </c>
      <c r="I544" s="14"/>
      <c r="J544" s="14"/>
      <c r="K544" s="14"/>
      <c r="L544" s="14"/>
      <c r="M544" s="14"/>
      <c r="N544" s="14"/>
      <c r="O544" s="14"/>
      <c r="P544" s="14"/>
      <c r="Q544" s="14">
        <v>62920</v>
      </c>
      <c r="R544" s="1"/>
    </row>
    <row r="545" spans="1:18" ht="18.75" x14ac:dyDescent="0.3">
      <c r="A545" s="8">
        <v>45223</v>
      </c>
      <c r="B545" s="9">
        <v>99</v>
      </c>
      <c r="C545" s="10">
        <v>1</v>
      </c>
      <c r="D545" s="11">
        <v>105034</v>
      </c>
      <c r="E545" s="12">
        <v>30571421352</v>
      </c>
      <c r="F545" s="13" t="s">
        <v>43</v>
      </c>
      <c r="G545" s="14">
        <v>8748.75</v>
      </c>
      <c r="H545" s="14">
        <v>1837.2375</v>
      </c>
      <c r="I545" s="14"/>
      <c r="J545" s="14"/>
      <c r="K545" s="14"/>
      <c r="L545" s="14"/>
      <c r="M545" s="14">
        <v>222.46</v>
      </c>
      <c r="N545" s="14"/>
      <c r="O545" s="14"/>
      <c r="P545" s="14"/>
      <c r="Q545" s="14">
        <f>SUM(G545:P545)</f>
        <v>10808.447499999998</v>
      </c>
    </row>
    <row r="546" spans="1:18" ht="18.75" x14ac:dyDescent="0.3">
      <c r="A546" s="8">
        <v>45218</v>
      </c>
      <c r="B546" s="9">
        <v>99</v>
      </c>
      <c r="C546" s="10">
        <v>1</v>
      </c>
      <c r="D546" s="11">
        <v>660095</v>
      </c>
      <c r="E546" s="12">
        <v>30571421352</v>
      </c>
      <c r="F546" s="13" t="s">
        <v>43</v>
      </c>
      <c r="G546" s="14">
        <v>8748.75</v>
      </c>
      <c r="H546" s="14">
        <v>1837.2375</v>
      </c>
      <c r="I546" s="14"/>
      <c r="J546" s="14"/>
      <c r="K546" s="14"/>
      <c r="L546" s="14"/>
      <c r="M546" s="14">
        <v>262.45999999999998</v>
      </c>
      <c r="N546" s="14"/>
      <c r="O546" s="14"/>
      <c r="P546" s="14"/>
      <c r="Q546" s="14">
        <f t="shared" ref="Q546:Q548" si="14">SUM(G546:P546)</f>
        <v>10848.447499999998</v>
      </c>
    </row>
    <row r="547" spans="1:18" ht="18.75" x14ac:dyDescent="0.3">
      <c r="A547" s="8">
        <v>45230</v>
      </c>
      <c r="B547" s="9">
        <v>99</v>
      </c>
      <c r="C547" s="10">
        <v>1</v>
      </c>
      <c r="D547" s="11">
        <v>31102023</v>
      </c>
      <c r="E547" s="12">
        <v>30571421352</v>
      </c>
      <c r="F547" s="13" t="s">
        <v>43</v>
      </c>
      <c r="G547" s="14">
        <v>15057.74</v>
      </c>
      <c r="H547" s="14">
        <v>3162.1253999999999</v>
      </c>
      <c r="I547" s="14"/>
      <c r="J547" s="14"/>
      <c r="K547" s="14"/>
      <c r="L547" s="14"/>
      <c r="M547" s="14">
        <v>126.1</v>
      </c>
      <c r="N547" s="14"/>
      <c r="O547" s="14"/>
      <c r="P547" s="14"/>
      <c r="Q547" s="14">
        <f t="shared" si="14"/>
        <v>18345.965399999997</v>
      </c>
    </row>
    <row r="548" spans="1:18" ht="18.75" x14ac:dyDescent="0.3">
      <c r="A548" s="8">
        <v>45218</v>
      </c>
      <c r="B548" s="9">
        <v>99</v>
      </c>
      <c r="C548" s="10">
        <v>1</v>
      </c>
      <c r="D548" s="11">
        <v>19102023</v>
      </c>
      <c r="E548" s="12">
        <v>30571421352</v>
      </c>
      <c r="F548" s="13" t="s">
        <v>43</v>
      </c>
      <c r="G548" s="14">
        <v>170</v>
      </c>
      <c r="H548" s="14">
        <v>35.699999999999996</v>
      </c>
      <c r="I548" s="14"/>
      <c r="J548" s="14"/>
      <c r="K548" s="14"/>
      <c r="L548" s="14"/>
      <c r="M548" s="14"/>
      <c r="N548" s="14"/>
      <c r="O548" s="14"/>
      <c r="P548" s="14"/>
      <c r="Q548" s="14">
        <f t="shared" si="14"/>
        <v>205.7</v>
      </c>
    </row>
    <row r="549" spans="1:18" ht="19.5" thickBot="1" x14ac:dyDescent="0.35">
      <c r="A549" s="23" t="s">
        <v>17</v>
      </c>
      <c r="B549" s="23"/>
      <c r="C549" s="23"/>
      <c r="D549" s="23"/>
      <c r="E549" s="23"/>
      <c r="F549" s="23"/>
      <c r="G549" s="17">
        <f>SUM(G513:G548)</f>
        <v>7292881.6645000009</v>
      </c>
      <c r="H549" s="17">
        <f t="shared" ref="H549:Q549" si="15">SUM(H513:H548)</f>
        <v>1483080.0356999997</v>
      </c>
      <c r="I549" s="17">
        <f t="shared" si="15"/>
        <v>1549.8</v>
      </c>
      <c r="J549" s="17">
        <f t="shared" si="15"/>
        <v>23606.863500000003</v>
      </c>
      <c r="K549" s="17">
        <f t="shared" si="15"/>
        <v>172.2</v>
      </c>
      <c r="L549" s="17">
        <f t="shared" si="15"/>
        <v>0</v>
      </c>
      <c r="M549" s="17">
        <f t="shared" si="15"/>
        <v>19928.139999999996</v>
      </c>
      <c r="N549" s="17">
        <f t="shared" si="15"/>
        <v>0</v>
      </c>
      <c r="O549" s="17">
        <f t="shared" si="15"/>
        <v>0</v>
      </c>
      <c r="P549" s="17">
        <f t="shared" si="15"/>
        <v>778047.00049999985</v>
      </c>
      <c r="Q549" s="17">
        <f t="shared" si="15"/>
        <v>9599265.7041999996</v>
      </c>
    </row>
    <row r="550" spans="1:18" ht="19.5" thickBot="1" x14ac:dyDescent="0.35">
      <c r="A550" s="15"/>
      <c r="B550" s="15"/>
      <c r="C550" s="15"/>
      <c r="D550" s="15"/>
      <c r="E550" s="15"/>
      <c r="F550" s="15"/>
      <c r="G550" s="16"/>
      <c r="H550" s="18"/>
      <c r="I550" s="19">
        <f>SUM(H549:J549)</f>
        <v>1508236.6991999997</v>
      </c>
      <c r="J550" s="20"/>
      <c r="K550" s="16"/>
      <c r="L550" s="16"/>
      <c r="M550" s="16"/>
      <c r="N550" s="16"/>
      <c r="O550" s="16"/>
      <c r="P550" s="16"/>
      <c r="Q550" s="16"/>
    </row>
    <row r="551" spans="1:18" ht="15.75" x14ac:dyDescent="0.25">
      <c r="A551" s="4"/>
      <c r="B551" s="4"/>
      <c r="C551" s="4"/>
      <c r="D551" s="4"/>
      <c r="E551" s="4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6" spans="1:18" ht="29.25" thickBot="1" x14ac:dyDescent="0.5">
      <c r="A556" s="24" t="s">
        <v>0</v>
      </c>
      <c r="B556" s="24"/>
      <c r="C556" s="24"/>
      <c r="D556" s="24"/>
      <c r="E556" s="24"/>
      <c r="F556" s="21"/>
      <c r="G556" s="22"/>
      <c r="H556" s="22"/>
      <c r="I556" s="22"/>
      <c r="J556" s="22"/>
      <c r="K556" s="22"/>
      <c r="L556" s="22"/>
      <c r="M556" s="22"/>
      <c r="N556" s="22"/>
      <c r="O556" s="25">
        <v>45231</v>
      </c>
      <c r="P556" s="26"/>
      <c r="Q556" s="26"/>
    </row>
    <row r="557" spans="1:18" ht="18.75" x14ac:dyDescent="0.3">
      <c r="A557" s="6" t="s">
        <v>1</v>
      </c>
      <c r="B557" s="6" t="s">
        <v>2</v>
      </c>
      <c r="C557" s="6" t="s">
        <v>3</v>
      </c>
      <c r="D557" s="6" t="s">
        <v>4</v>
      </c>
      <c r="E557" s="6" t="s">
        <v>5</v>
      </c>
      <c r="F557" s="6" t="s">
        <v>6</v>
      </c>
      <c r="G557" s="7" t="s">
        <v>7</v>
      </c>
      <c r="H557" s="7" t="s">
        <v>8</v>
      </c>
      <c r="I557" s="7" t="s">
        <v>9</v>
      </c>
      <c r="J557" s="7" t="s">
        <v>10</v>
      </c>
      <c r="K557" s="7" t="s">
        <v>11</v>
      </c>
      <c r="L557" s="7" t="s">
        <v>12</v>
      </c>
      <c r="M557" s="7" t="s">
        <v>13</v>
      </c>
      <c r="N557" s="7" t="s">
        <v>14</v>
      </c>
      <c r="O557" s="7" t="s">
        <v>15</v>
      </c>
      <c r="P557" s="7" t="s">
        <v>16</v>
      </c>
      <c r="Q557" s="7" t="s">
        <v>17</v>
      </c>
    </row>
    <row r="558" spans="1:18" ht="18.75" x14ac:dyDescent="0.3">
      <c r="A558" s="8">
        <v>45231</v>
      </c>
      <c r="B558" s="9">
        <v>1</v>
      </c>
      <c r="C558" s="10">
        <v>3</v>
      </c>
      <c r="D558" s="11">
        <v>209388</v>
      </c>
      <c r="E558" s="12">
        <v>30707135596</v>
      </c>
      <c r="F558" s="13" t="s">
        <v>117</v>
      </c>
      <c r="G558" s="14">
        <v>7706.66</v>
      </c>
      <c r="H558" s="14">
        <v>1618.3986</v>
      </c>
      <c r="I558" s="14"/>
      <c r="J558" s="14"/>
      <c r="K558" s="14"/>
      <c r="L558" s="14"/>
      <c r="M558" s="14"/>
      <c r="N558" s="14"/>
      <c r="O558" s="14"/>
      <c r="P558" s="14"/>
      <c r="Q558" s="14">
        <v>9325.0586000000003</v>
      </c>
      <c r="R558" s="1"/>
    </row>
    <row r="559" spans="1:18" ht="18.75" x14ac:dyDescent="0.3">
      <c r="A559" s="8">
        <v>45231</v>
      </c>
      <c r="B559" s="9">
        <v>1</v>
      </c>
      <c r="C559" s="10">
        <v>4</v>
      </c>
      <c r="D559" s="11">
        <v>7571</v>
      </c>
      <c r="E559" s="12">
        <v>30620415606</v>
      </c>
      <c r="F559" s="13" t="s">
        <v>162</v>
      </c>
      <c r="G559" s="14">
        <v>312640.59999999998</v>
      </c>
      <c r="H559" s="14">
        <v>65654.525999999998</v>
      </c>
      <c r="I559" s="14"/>
      <c r="J559" s="14"/>
      <c r="K559" s="14"/>
      <c r="L559" s="14"/>
      <c r="M559" s="14"/>
      <c r="N559" s="14"/>
      <c r="O559" s="14"/>
      <c r="P559" s="14">
        <v>321295.32</v>
      </c>
      <c r="Q559" s="14">
        <v>699590.446</v>
      </c>
      <c r="R559" s="1"/>
    </row>
    <row r="560" spans="1:18" ht="18.75" x14ac:dyDescent="0.3">
      <c r="A560" s="8">
        <v>45231</v>
      </c>
      <c r="B560" s="9">
        <v>1</v>
      </c>
      <c r="C560" s="10">
        <v>3</v>
      </c>
      <c r="D560" s="11">
        <v>696</v>
      </c>
      <c r="E560" s="12">
        <v>30715402765</v>
      </c>
      <c r="F560" s="13" t="s">
        <v>100</v>
      </c>
      <c r="G560" s="14">
        <v>20247.95</v>
      </c>
      <c r="H560" s="14">
        <v>4252.0694999999996</v>
      </c>
      <c r="I560" s="14"/>
      <c r="J560" s="14"/>
      <c r="K560" s="14"/>
      <c r="L560" s="14"/>
      <c r="M560" s="14"/>
      <c r="N560" s="14"/>
      <c r="O560" s="14"/>
      <c r="P560" s="14"/>
      <c r="Q560" s="14">
        <v>24500.019500000002</v>
      </c>
      <c r="R560" s="1"/>
    </row>
    <row r="561" spans="1:18" ht="18.75" x14ac:dyDescent="0.3">
      <c r="A561" s="8">
        <v>45260</v>
      </c>
      <c r="B561" s="9">
        <v>1</v>
      </c>
      <c r="C561" s="10">
        <v>10</v>
      </c>
      <c r="D561" s="11">
        <v>25863</v>
      </c>
      <c r="E561" s="12">
        <v>30528214483</v>
      </c>
      <c r="F561" s="13" t="s">
        <v>187</v>
      </c>
      <c r="G561" s="14">
        <v>9083.4699999999993</v>
      </c>
      <c r="H561" s="14">
        <v>1907.5286999999998</v>
      </c>
      <c r="I561" s="14"/>
      <c r="J561" s="14"/>
      <c r="K561" s="14"/>
      <c r="L561" s="14"/>
      <c r="M561" s="14"/>
      <c r="N561" s="14"/>
      <c r="O561" s="14"/>
      <c r="P561" s="14"/>
      <c r="Q561" s="14">
        <v>10990.9987</v>
      </c>
      <c r="R561" s="1"/>
    </row>
    <row r="562" spans="1:18" ht="18.75" x14ac:dyDescent="0.3">
      <c r="A562" s="8">
        <v>45233</v>
      </c>
      <c r="B562" s="9">
        <v>1</v>
      </c>
      <c r="C562" s="10">
        <v>3</v>
      </c>
      <c r="D562" s="11">
        <v>630</v>
      </c>
      <c r="E562" s="12">
        <v>27424730608</v>
      </c>
      <c r="F562" s="13" t="s">
        <v>190</v>
      </c>
      <c r="G562" s="14">
        <v>6611.57</v>
      </c>
      <c r="H562" s="14">
        <v>1388.4296999999999</v>
      </c>
      <c r="I562" s="14"/>
      <c r="J562" s="14"/>
      <c r="K562" s="14"/>
      <c r="L562" s="14"/>
      <c r="M562" s="14"/>
      <c r="N562" s="14"/>
      <c r="O562" s="14"/>
      <c r="P562" s="14"/>
      <c r="Q562" s="14">
        <v>7999.9996999999994</v>
      </c>
      <c r="R562" s="1"/>
    </row>
    <row r="563" spans="1:18" ht="18.75" x14ac:dyDescent="0.3">
      <c r="A563" s="8">
        <v>45235</v>
      </c>
      <c r="B563" s="9">
        <v>1</v>
      </c>
      <c r="C563" s="10">
        <v>2</v>
      </c>
      <c r="D563" s="11">
        <v>187</v>
      </c>
      <c r="E563" s="12">
        <v>20125142851</v>
      </c>
      <c r="F563" s="13" t="s">
        <v>19</v>
      </c>
      <c r="G563" s="14">
        <v>34224.050000000003</v>
      </c>
      <c r="H563" s="14">
        <v>7187.0505000000003</v>
      </c>
      <c r="I563" s="14"/>
      <c r="J563" s="14"/>
      <c r="K563" s="14"/>
      <c r="L563" s="14"/>
      <c r="M563" s="14"/>
      <c r="N563" s="14"/>
      <c r="O563" s="14"/>
      <c r="P563" s="14"/>
      <c r="Q563" s="14">
        <v>41411.1005</v>
      </c>
      <c r="R563" s="1"/>
    </row>
    <row r="564" spans="1:18" ht="18.75" x14ac:dyDescent="0.3">
      <c r="A564" s="8">
        <v>45236</v>
      </c>
      <c r="B564" s="9">
        <v>1</v>
      </c>
      <c r="C564" s="10">
        <v>7</v>
      </c>
      <c r="D564" s="11">
        <v>27602</v>
      </c>
      <c r="E564" s="12">
        <v>30712222499</v>
      </c>
      <c r="F564" s="13" t="s">
        <v>204</v>
      </c>
      <c r="G564" s="14">
        <v>4165.29</v>
      </c>
      <c r="H564" s="14">
        <v>874.71089999999992</v>
      </c>
      <c r="I564" s="14"/>
      <c r="J564" s="14"/>
      <c r="K564" s="14"/>
      <c r="L564" s="14"/>
      <c r="M564" s="14"/>
      <c r="N564" s="14"/>
      <c r="O564" s="14"/>
      <c r="P564" s="14"/>
      <c r="Q564" s="14">
        <v>5040.0009</v>
      </c>
      <c r="R564" s="1"/>
    </row>
    <row r="565" spans="1:18" ht="18.75" x14ac:dyDescent="0.3">
      <c r="A565" s="8">
        <v>45239</v>
      </c>
      <c r="B565" s="9">
        <v>1</v>
      </c>
      <c r="C565" s="10">
        <v>2</v>
      </c>
      <c r="D565" s="11">
        <v>188</v>
      </c>
      <c r="E565" s="12">
        <v>20125142851</v>
      </c>
      <c r="F565" s="13" t="s">
        <v>19</v>
      </c>
      <c r="G565" s="14">
        <v>622242</v>
      </c>
      <c r="H565" s="14">
        <v>130670.81999999999</v>
      </c>
      <c r="I565" s="14"/>
      <c r="J565" s="14"/>
      <c r="K565" s="14"/>
      <c r="L565" s="14"/>
      <c r="M565" s="14"/>
      <c r="N565" s="14"/>
      <c r="O565" s="14"/>
      <c r="P565" s="14"/>
      <c r="Q565" s="14">
        <v>752912.82</v>
      </c>
      <c r="R565" s="1"/>
    </row>
    <row r="566" spans="1:18" ht="18.75" x14ac:dyDescent="0.3">
      <c r="A566" s="8">
        <v>45239</v>
      </c>
      <c r="B566" s="9">
        <v>1</v>
      </c>
      <c r="C566" s="10">
        <v>2</v>
      </c>
      <c r="D566" s="11">
        <v>189</v>
      </c>
      <c r="E566" s="12">
        <v>20125142851</v>
      </c>
      <c r="F566" s="13" t="s">
        <v>19</v>
      </c>
      <c r="G566" s="14">
        <v>48703.48</v>
      </c>
      <c r="H566" s="14">
        <v>10227.730800000001</v>
      </c>
      <c r="I566" s="14"/>
      <c r="J566" s="14"/>
      <c r="K566" s="14"/>
      <c r="L566" s="14"/>
      <c r="M566" s="14"/>
      <c r="N566" s="14"/>
      <c r="O566" s="14"/>
      <c r="P566" s="14"/>
      <c r="Q566" s="14">
        <v>58931.210800000001</v>
      </c>
      <c r="R566" s="1"/>
    </row>
    <row r="567" spans="1:18" ht="18.75" x14ac:dyDescent="0.3">
      <c r="A567" s="8">
        <v>45241</v>
      </c>
      <c r="B567" s="9">
        <v>1</v>
      </c>
      <c r="C567" s="10">
        <v>2466</v>
      </c>
      <c r="D567" s="11">
        <v>578177</v>
      </c>
      <c r="E567" s="12">
        <v>30678814357</v>
      </c>
      <c r="F567" s="13" t="s">
        <v>116</v>
      </c>
      <c r="G567" s="14">
        <v>6715.65</v>
      </c>
      <c r="H567" s="14"/>
      <c r="I567" s="14">
        <v>1813.23</v>
      </c>
      <c r="J567" s="14"/>
      <c r="K567" s="14">
        <v>201.47</v>
      </c>
      <c r="L567" s="14"/>
      <c r="M567" s="14"/>
      <c r="N567" s="14"/>
      <c r="O567" s="14"/>
      <c r="P567" s="14">
        <v>336.05</v>
      </c>
      <c r="Q567" s="14">
        <v>9066.3999999999978</v>
      </c>
      <c r="R567" s="1"/>
    </row>
    <row r="568" spans="1:18" ht="18.75" x14ac:dyDescent="0.3">
      <c r="A568" s="8">
        <v>45243</v>
      </c>
      <c r="B568" s="9">
        <v>1</v>
      </c>
      <c r="C568" s="10">
        <v>5</v>
      </c>
      <c r="D568" s="11">
        <v>18482</v>
      </c>
      <c r="E568" s="12">
        <v>30683088907</v>
      </c>
      <c r="F568" s="13" t="s">
        <v>205</v>
      </c>
      <c r="G568" s="14">
        <v>2644.62</v>
      </c>
      <c r="H568" s="14">
        <v>555.37019999999995</v>
      </c>
      <c r="I568" s="14"/>
      <c r="J568" s="14"/>
      <c r="K568" s="14"/>
      <c r="L568" s="14"/>
      <c r="M568" s="14"/>
      <c r="N568" s="14"/>
      <c r="O568" s="14"/>
      <c r="P568" s="14"/>
      <c r="Q568" s="14">
        <v>3199.9901999999997</v>
      </c>
      <c r="R568" s="1"/>
    </row>
    <row r="569" spans="1:18" ht="18.75" x14ac:dyDescent="0.3">
      <c r="A569" s="8">
        <v>45244</v>
      </c>
      <c r="B569" s="9">
        <v>1</v>
      </c>
      <c r="C569" s="10">
        <v>2</v>
      </c>
      <c r="D569" s="11">
        <v>190</v>
      </c>
      <c r="E569" s="12">
        <v>20125142851</v>
      </c>
      <c r="F569" s="13" t="s">
        <v>19</v>
      </c>
      <c r="G569" s="14">
        <v>59233.95</v>
      </c>
      <c r="H569" s="14">
        <v>12439.129499999999</v>
      </c>
      <c r="I569" s="14"/>
      <c r="J569" s="14"/>
      <c r="K569" s="14"/>
      <c r="L569" s="14"/>
      <c r="M569" s="14"/>
      <c r="N569" s="14"/>
      <c r="O569" s="14"/>
      <c r="P569" s="14"/>
      <c r="Q569" s="14">
        <v>71673.079499999993</v>
      </c>
      <c r="R569" s="1"/>
    </row>
    <row r="570" spans="1:18" ht="18.75" x14ac:dyDescent="0.3">
      <c r="A570" s="8">
        <v>45245</v>
      </c>
      <c r="B570" s="9">
        <v>1</v>
      </c>
      <c r="C570" s="10">
        <v>1</v>
      </c>
      <c r="D570" s="11">
        <v>39310</v>
      </c>
      <c r="E570" s="12">
        <v>27332519633</v>
      </c>
      <c r="F570" s="13" t="s">
        <v>206</v>
      </c>
      <c r="G570" s="14">
        <v>15043.44</v>
      </c>
      <c r="H570" s="14"/>
      <c r="I570" s="14"/>
      <c r="J570" s="14">
        <v>1579.56</v>
      </c>
      <c r="K570" s="14"/>
      <c r="L570" s="14"/>
      <c r="M570" s="14"/>
      <c r="N570" s="14"/>
      <c r="O570" s="14"/>
      <c r="P570" s="14"/>
      <c r="Q570" s="14">
        <v>16623</v>
      </c>
      <c r="R570" s="1"/>
    </row>
    <row r="571" spans="1:18" ht="18.75" x14ac:dyDescent="0.3">
      <c r="A571" s="8">
        <v>45246</v>
      </c>
      <c r="B571" s="9">
        <v>1</v>
      </c>
      <c r="C571" s="10">
        <v>106</v>
      </c>
      <c r="D571" s="11">
        <v>686360</v>
      </c>
      <c r="E571" s="12">
        <v>30594494187</v>
      </c>
      <c r="F571" s="13" t="s">
        <v>35</v>
      </c>
      <c r="G571" s="14">
        <v>0</v>
      </c>
      <c r="H571" s="14">
        <v>0</v>
      </c>
      <c r="I571" s="14"/>
      <c r="J571" s="14"/>
      <c r="K571" s="14"/>
      <c r="L571" s="14"/>
      <c r="M571" s="14"/>
      <c r="N571" s="14"/>
      <c r="O571" s="14"/>
      <c r="P571" s="14">
        <v>233382.72</v>
      </c>
      <c r="Q571" s="14">
        <v>233382.72</v>
      </c>
      <c r="R571" s="1"/>
    </row>
    <row r="572" spans="1:18" ht="18.75" x14ac:dyDescent="0.3">
      <c r="A572" s="8">
        <v>45247</v>
      </c>
      <c r="B572" s="9">
        <v>1</v>
      </c>
      <c r="C572" s="10">
        <v>1</v>
      </c>
      <c r="D572" s="11">
        <v>701</v>
      </c>
      <c r="E572" s="12">
        <v>30715048066</v>
      </c>
      <c r="F572" s="13" t="s">
        <v>23</v>
      </c>
      <c r="G572" s="14">
        <v>211160</v>
      </c>
      <c r="H572" s="14">
        <v>44343.6</v>
      </c>
      <c r="I572" s="14"/>
      <c r="J572" s="14"/>
      <c r="K572" s="14"/>
      <c r="L572" s="14"/>
      <c r="M572" s="14"/>
      <c r="N572" s="14"/>
      <c r="O572" s="14"/>
      <c r="P572" s="14"/>
      <c r="Q572" s="14">
        <v>255503.6</v>
      </c>
      <c r="R572" s="1"/>
    </row>
    <row r="573" spans="1:18" ht="18.75" x14ac:dyDescent="0.3">
      <c r="A573" s="8">
        <v>45248</v>
      </c>
      <c r="B573" s="9">
        <v>1</v>
      </c>
      <c r="C573" s="10">
        <v>3</v>
      </c>
      <c r="D573" s="11">
        <v>1739766</v>
      </c>
      <c r="E573" s="12">
        <v>30712019359</v>
      </c>
      <c r="F573" s="13" t="s">
        <v>42</v>
      </c>
      <c r="G573" s="14">
        <v>11156.2</v>
      </c>
      <c r="H573" s="14">
        <v>2342.8020000000001</v>
      </c>
      <c r="I573" s="14"/>
      <c r="J573" s="14"/>
      <c r="K573" s="14"/>
      <c r="L573" s="14"/>
      <c r="M573" s="14"/>
      <c r="N573" s="14"/>
      <c r="O573" s="14"/>
      <c r="P573" s="14"/>
      <c r="Q573" s="14">
        <v>13499.002</v>
      </c>
      <c r="R573" s="1"/>
    </row>
    <row r="574" spans="1:18" ht="18.75" x14ac:dyDescent="0.3">
      <c r="A574" s="8">
        <v>45248</v>
      </c>
      <c r="B574" s="9">
        <v>1</v>
      </c>
      <c r="C574" s="10">
        <v>8</v>
      </c>
      <c r="D574" s="11">
        <v>17801</v>
      </c>
      <c r="E574" s="12">
        <v>30715267450</v>
      </c>
      <c r="F574" s="13" t="s">
        <v>207</v>
      </c>
      <c r="G574" s="14">
        <v>3705.81</v>
      </c>
      <c r="H574" s="14">
        <v>778.2201</v>
      </c>
      <c r="I574" s="14"/>
      <c r="J574" s="14"/>
      <c r="K574" s="14"/>
      <c r="L574" s="14"/>
      <c r="M574" s="14"/>
      <c r="N574" s="14"/>
      <c r="O574" s="14"/>
      <c r="P574" s="14"/>
      <c r="Q574" s="14">
        <v>4484.0300999999999</v>
      </c>
      <c r="R574" s="1"/>
    </row>
    <row r="575" spans="1:18" ht="18.75" x14ac:dyDescent="0.3">
      <c r="A575" s="8">
        <v>45253</v>
      </c>
      <c r="B575" s="9">
        <v>1</v>
      </c>
      <c r="C575" s="10">
        <v>7</v>
      </c>
      <c r="D575" s="11">
        <v>8828</v>
      </c>
      <c r="E575" s="12">
        <v>27924079008</v>
      </c>
      <c r="F575" s="13" t="s">
        <v>208</v>
      </c>
      <c r="G575" s="14">
        <v>424297.52</v>
      </c>
      <c r="H575" s="14">
        <v>89102.479200000002</v>
      </c>
      <c r="I575" s="14"/>
      <c r="J575" s="14"/>
      <c r="K575" s="14"/>
      <c r="L575" s="14"/>
      <c r="M575" s="14"/>
      <c r="N575" s="14"/>
      <c r="O575" s="14"/>
      <c r="P575" s="14"/>
      <c r="Q575" s="14">
        <v>513399.99920000002</v>
      </c>
      <c r="R575" s="1"/>
    </row>
    <row r="576" spans="1:18" ht="18.75" x14ac:dyDescent="0.3">
      <c r="A576" s="8">
        <v>45254</v>
      </c>
      <c r="B576" s="9">
        <v>1</v>
      </c>
      <c r="C576" s="10">
        <v>7002</v>
      </c>
      <c r="D576" s="11">
        <v>12012</v>
      </c>
      <c r="E576" s="12">
        <v>30678774495</v>
      </c>
      <c r="F576" s="13" t="s">
        <v>58</v>
      </c>
      <c r="G576" s="14">
        <v>12871.98</v>
      </c>
      <c r="H576" s="14">
        <v>2703.1157999999996</v>
      </c>
      <c r="I576" s="14"/>
      <c r="J576" s="14"/>
      <c r="K576" s="14"/>
      <c r="L576" s="14"/>
      <c r="M576" s="14"/>
      <c r="N576" s="14"/>
      <c r="O576" s="14"/>
      <c r="P576" s="14">
        <v>1626.09</v>
      </c>
      <c r="Q576" s="14">
        <v>17201.185799999999</v>
      </c>
      <c r="R576" s="1"/>
    </row>
    <row r="577" spans="1:18" ht="18.75" x14ac:dyDescent="0.3">
      <c r="A577" s="8">
        <v>45254</v>
      </c>
      <c r="B577" s="9">
        <v>1</v>
      </c>
      <c r="C577" s="10">
        <v>5</v>
      </c>
      <c r="D577" s="11">
        <v>53761</v>
      </c>
      <c r="E577" s="12">
        <v>30609968792</v>
      </c>
      <c r="F577" s="13" t="s">
        <v>209</v>
      </c>
      <c r="G577" s="14">
        <v>127074.2</v>
      </c>
      <c r="H577" s="14">
        <v>26685.581999999999</v>
      </c>
      <c r="I577" s="14"/>
      <c r="J577" s="14"/>
      <c r="K577" s="14"/>
      <c r="L577" s="14"/>
      <c r="M577" s="14"/>
      <c r="N577" s="14"/>
      <c r="O577" s="14"/>
      <c r="P577" s="14"/>
      <c r="Q577" s="14">
        <v>153759.78200000001</v>
      </c>
      <c r="R577" s="1"/>
    </row>
    <row r="578" spans="1:18" ht="18.75" x14ac:dyDescent="0.3">
      <c r="A578" s="8">
        <v>45257</v>
      </c>
      <c r="B578" s="9">
        <v>1</v>
      </c>
      <c r="C578" s="10">
        <v>700</v>
      </c>
      <c r="D578" s="11">
        <v>597821</v>
      </c>
      <c r="E578" s="12">
        <v>30580111315</v>
      </c>
      <c r="F578" s="13" t="s">
        <v>108</v>
      </c>
      <c r="G578" s="14">
        <v>5222</v>
      </c>
      <c r="H578" s="14">
        <v>1096.6199999999999</v>
      </c>
      <c r="I578" s="14"/>
      <c r="J578" s="14"/>
      <c r="K578" s="14"/>
      <c r="L578" s="14"/>
      <c r="M578" s="14"/>
      <c r="N578" s="14"/>
      <c r="O578" s="14"/>
      <c r="P578" s="14">
        <v>208749.44999999998</v>
      </c>
      <c r="Q578" s="14">
        <v>215068.06999999998</v>
      </c>
      <c r="R578" s="1"/>
    </row>
    <row r="579" spans="1:18" ht="18.75" x14ac:dyDescent="0.3">
      <c r="A579" s="8">
        <v>45259</v>
      </c>
      <c r="B579" s="9">
        <v>1</v>
      </c>
      <c r="C579" s="10">
        <v>5</v>
      </c>
      <c r="D579" s="11">
        <v>3205</v>
      </c>
      <c r="E579" s="12">
        <v>33715587969</v>
      </c>
      <c r="F579" s="13" t="s">
        <v>210</v>
      </c>
      <c r="G579" s="14">
        <v>23370.14</v>
      </c>
      <c r="H579" s="14"/>
      <c r="I579" s="14"/>
      <c r="J579" s="14">
        <v>2453.87</v>
      </c>
      <c r="K579" s="14"/>
      <c r="L579" s="14"/>
      <c r="M579" s="14"/>
      <c r="N579" s="14"/>
      <c r="O579" s="14"/>
      <c r="P579" s="14"/>
      <c r="Q579" s="14">
        <v>25824.01</v>
      </c>
      <c r="R579" s="1"/>
    </row>
    <row r="580" spans="1:18" ht="18.75" x14ac:dyDescent="0.3">
      <c r="A580" s="8">
        <v>45260</v>
      </c>
      <c r="B580" s="9">
        <v>1</v>
      </c>
      <c r="C580" s="10">
        <v>6</v>
      </c>
      <c r="D580" s="11">
        <v>13266</v>
      </c>
      <c r="E580" s="12">
        <v>30707756434</v>
      </c>
      <c r="F580" s="13" t="s">
        <v>61</v>
      </c>
      <c r="G580" s="14">
        <v>68250</v>
      </c>
      <c r="H580" s="14">
        <v>14332.5</v>
      </c>
      <c r="I580" s="14"/>
      <c r="J580" s="14"/>
      <c r="K580" s="14"/>
      <c r="L580" s="14"/>
      <c r="M580" s="14"/>
      <c r="N580" s="14"/>
      <c r="O580" s="14"/>
      <c r="P580" s="14"/>
      <c r="Q580" s="14">
        <v>82582.5</v>
      </c>
      <c r="R580" s="1"/>
    </row>
    <row r="581" spans="1:18" ht="18.75" x14ac:dyDescent="0.3">
      <c r="A581" s="8">
        <v>45241</v>
      </c>
      <c r="B581" s="9">
        <v>1</v>
      </c>
      <c r="C581" s="10">
        <v>11</v>
      </c>
      <c r="D581" s="11">
        <v>15368</v>
      </c>
      <c r="E581" s="12">
        <v>30708622423</v>
      </c>
      <c r="F581" s="13" t="s">
        <v>95</v>
      </c>
      <c r="G581" s="14">
        <v>12040.1</v>
      </c>
      <c r="H581" s="14">
        <v>2528.4209999999998</v>
      </c>
      <c r="I581" s="14"/>
      <c r="J581" s="14"/>
      <c r="K581" s="14"/>
      <c r="L581" s="14"/>
      <c r="M581" s="14"/>
      <c r="N581" s="14"/>
      <c r="O581" s="14"/>
      <c r="P581" s="14">
        <v>1431.9</v>
      </c>
      <c r="Q581" s="14">
        <v>16000.421</v>
      </c>
      <c r="R581" s="1"/>
    </row>
    <row r="582" spans="1:18" ht="18.75" x14ac:dyDescent="0.3">
      <c r="A582" s="8">
        <v>45246</v>
      </c>
      <c r="B582" s="9">
        <v>1</v>
      </c>
      <c r="C582" s="10">
        <v>280</v>
      </c>
      <c r="D582" s="11">
        <v>1467676</v>
      </c>
      <c r="E582" s="12">
        <v>30580111315</v>
      </c>
      <c r="F582" s="13" t="s">
        <v>108</v>
      </c>
      <c r="G582" s="14">
        <v>394231.03200000001</v>
      </c>
      <c r="H582" s="14">
        <v>82788.51672</v>
      </c>
      <c r="I582" s="14"/>
      <c r="J582" s="14"/>
      <c r="K582" s="14"/>
      <c r="L582" s="14"/>
      <c r="M582" s="14"/>
      <c r="N582" s="14"/>
      <c r="O582" s="14"/>
      <c r="P582" s="14">
        <v>-322388.05949999997</v>
      </c>
      <c r="Q582" s="14">
        <v>154631.48922000005</v>
      </c>
      <c r="R582" s="1"/>
    </row>
    <row r="583" spans="1:18" ht="18.75" x14ac:dyDescent="0.3">
      <c r="A583" s="8">
        <v>45238</v>
      </c>
      <c r="B583" s="9">
        <v>3</v>
      </c>
      <c r="C583" s="10">
        <v>280</v>
      </c>
      <c r="D583" s="11">
        <v>1466028</v>
      </c>
      <c r="E583" s="12">
        <v>30580111315</v>
      </c>
      <c r="F583" s="13" t="s">
        <v>108</v>
      </c>
      <c r="G583" s="14">
        <v>293933.5</v>
      </c>
      <c r="H583" s="14">
        <v>61726.034999999996</v>
      </c>
      <c r="I583" s="14"/>
      <c r="J583" s="14"/>
      <c r="K583" s="14"/>
      <c r="L583" s="14"/>
      <c r="M583" s="14"/>
      <c r="N583" s="14"/>
      <c r="O583" s="14"/>
      <c r="P583" s="14">
        <v>-242252.5</v>
      </c>
      <c r="Q583" s="14">
        <v>113407.03499999997</v>
      </c>
      <c r="R583" s="1"/>
    </row>
    <row r="584" spans="1:18" ht="18.75" x14ac:dyDescent="0.3">
      <c r="A584" s="8">
        <v>45243</v>
      </c>
      <c r="B584" s="9">
        <v>99</v>
      </c>
      <c r="C584" s="10">
        <v>1</v>
      </c>
      <c r="D584" s="11">
        <v>1052653</v>
      </c>
      <c r="E584" s="12">
        <v>30571421352</v>
      </c>
      <c r="F584" s="13" t="s">
        <v>43</v>
      </c>
      <c r="G584" s="14">
        <v>3499.5</v>
      </c>
      <c r="H584" s="14">
        <v>734.89499999999998</v>
      </c>
      <c r="I584" s="14"/>
      <c r="J584" s="14"/>
      <c r="K584" s="14"/>
      <c r="L584" s="14"/>
      <c r="M584" s="14">
        <v>104.99</v>
      </c>
      <c r="N584" s="14"/>
      <c r="O584" s="14"/>
      <c r="P584" s="14"/>
      <c r="Q584" s="14">
        <f>SUM(G584:P584)</f>
        <v>4339.3850000000002</v>
      </c>
    </row>
    <row r="585" spans="1:18" ht="18.75" x14ac:dyDescent="0.3">
      <c r="A585" s="8">
        <v>45260</v>
      </c>
      <c r="B585" s="9">
        <v>99</v>
      </c>
      <c r="C585" s="10">
        <v>1</v>
      </c>
      <c r="D585" s="11">
        <v>30112023</v>
      </c>
      <c r="E585" s="12">
        <v>30571421352</v>
      </c>
      <c r="F585" s="13" t="s">
        <v>43</v>
      </c>
      <c r="G585" s="14">
        <v>20005.75</v>
      </c>
      <c r="H585" s="14">
        <v>4201.2074999999995</v>
      </c>
      <c r="I585" s="14"/>
      <c r="J585" s="14"/>
      <c r="K585" s="14"/>
      <c r="L585" s="14"/>
      <c r="M585" s="14">
        <v>551.72</v>
      </c>
      <c r="N585" s="14"/>
      <c r="O585" s="14"/>
      <c r="P585" s="14"/>
      <c r="Q585" s="14">
        <f>SUM(G585:P585)</f>
        <v>24758.677500000002</v>
      </c>
    </row>
    <row r="586" spans="1:18" ht="19.5" thickBot="1" x14ac:dyDescent="0.35">
      <c r="A586" s="23" t="s">
        <v>17</v>
      </c>
      <c r="B586" s="23"/>
      <c r="C586" s="23"/>
      <c r="D586" s="23"/>
      <c r="E586" s="23"/>
      <c r="F586" s="23"/>
      <c r="G586" s="17">
        <f>SUM(G558:G585)</f>
        <v>2760080.4619999998</v>
      </c>
      <c r="H586" s="17">
        <f t="shared" ref="H586:Q586" si="16">SUM(H558:H585)</f>
        <v>570139.75872000004</v>
      </c>
      <c r="I586" s="17">
        <f t="shared" si="16"/>
        <v>1813.23</v>
      </c>
      <c r="J586" s="17">
        <f t="shared" si="16"/>
        <v>4033.43</v>
      </c>
      <c r="K586" s="17">
        <f t="shared" si="16"/>
        <v>201.47</v>
      </c>
      <c r="L586" s="17">
        <f t="shared" si="16"/>
        <v>0</v>
      </c>
      <c r="M586" s="17">
        <f t="shared" si="16"/>
        <v>656.71</v>
      </c>
      <c r="N586" s="17">
        <f t="shared" si="16"/>
        <v>0</v>
      </c>
      <c r="O586" s="17">
        <f t="shared" si="16"/>
        <v>0</v>
      </c>
      <c r="P586" s="17">
        <f t="shared" si="16"/>
        <v>202180.97049999994</v>
      </c>
      <c r="Q586" s="17">
        <f t="shared" si="16"/>
        <v>3539106.0312199998</v>
      </c>
    </row>
    <row r="587" spans="1:18" ht="19.5" thickBot="1" x14ac:dyDescent="0.35">
      <c r="A587" s="15"/>
      <c r="B587" s="15"/>
      <c r="C587" s="15"/>
      <c r="D587" s="15"/>
      <c r="E587" s="15"/>
      <c r="F587" s="15"/>
      <c r="G587" s="16"/>
      <c r="H587" s="18"/>
      <c r="I587" s="19">
        <f>SUM(H586:J586)</f>
        <v>575986.41872000007</v>
      </c>
      <c r="J587" s="20"/>
      <c r="K587" s="16"/>
      <c r="L587" s="16"/>
      <c r="M587" s="16"/>
      <c r="N587" s="16"/>
      <c r="O587" s="16"/>
      <c r="P587" s="16"/>
      <c r="Q587" s="16"/>
    </row>
    <row r="588" spans="1:18" ht="15.75" x14ac:dyDescent="0.25">
      <c r="A588" s="4"/>
      <c r="B588" s="4"/>
      <c r="C588" s="4"/>
      <c r="D588" s="4"/>
      <c r="E588" s="4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93" spans="1:18" ht="29.25" thickBot="1" x14ac:dyDescent="0.5">
      <c r="A593" s="24" t="s">
        <v>0</v>
      </c>
      <c r="B593" s="24"/>
      <c r="C593" s="24"/>
      <c r="D593" s="24"/>
      <c r="E593" s="24"/>
      <c r="F593" s="21"/>
      <c r="G593" s="22"/>
      <c r="H593" s="22"/>
      <c r="I593" s="22"/>
      <c r="J593" s="22"/>
      <c r="K593" s="22"/>
      <c r="L593" s="22"/>
      <c r="M593" s="22"/>
      <c r="N593" s="22"/>
      <c r="O593" s="25">
        <v>45261</v>
      </c>
      <c r="P593" s="26"/>
      <c r="Q593" s="26"/>
    </row>
    <row r="594" spans="1:18" ht="18.75" x14ac:dyDescent="0.3">
      <c r="A594" s="6" t="s">
        <v>1</v>
      </c>
      <c r="B594" s="6" t="s">
        <v>2</v>
      </c>
      <c r="C594" s="6" t="s">
        <v>3</v>
      </c>
      <c r="D594" s="6" t="s">
        <v>4</v>
      </c>
      <c r="E594" s="6" t="s">
        <v>5</v>
      </c>
      <c r="F594" s="6" t="s">
        <v>6</v>
      </c>
      <c r="G594" s="7" t="s">
        <v>7</v>
      </c>
      <c r="H594" s="7" t="s">
        <v>8</v>
      </c>
      <c r="I594" s="7" t="s">
        <v>9</v>
      </c>
      <c r="J594" s="7" t="s">
        <v>10</v>
      </c>
      <c r="K594" s="7" t="s">
        <v>11</v>
      </c>
      <c r="L594" s="7" t="s">
        <v>12</v>
      </c>
      <c r="M594" s="7" t="s">
        <v>13</v>
      </c>
      <c r="N594" s="7" t="s">
        <v>14</v>
      </c>
      <c r="O594" s="7" t="s">
        <v>15</v>
      </c>
      <c r="P594" s="7" t="s">
        <v>16</v>
      </c>
      <c r="Q594" s="7" t="s">
        <v>17</v>
      </c>
      <c r="R594" s="4"/>
    </row>
    <row r="595" spans="1:18" ht="18.75" x14ac:dyDescent="0.3">
      <c r="A595" s="8" t="s">
        <v>211</v>
      </c>
      <c r="B595" s="9">
        <v>1</v>
      </c>
      <c r="C595" s="10">
        <v>3</v>
      </c>
      <c r="D595" s="11">
        <v>210052</v>
      </c>
      <c r="E595" s="12">
        <v>30707135596</v>
      </c>
      <c r="F595" s="13" t="s">
        <v>117</v>
      </c>
      <c r="G595" s="14">
        <v>7662.74</v>
      </c>
      <c r="H595" s="14">
        <v>1609.1753999999999</v>
      </c>
      <c r="I595" s="14"/>
      <c r="J595" s="14"/>
      <c r="K595" s="14"/>
      <c r="L595" s="14"/>
      <c r="M595" s="14"/>
      <c r="N595" s="14"/>
      <c r="O595" s="14"/>
      <c r="P595" s="14"/>
      <c r="Q595" s="14">
        <v>9271.9153999999999</v>
      </c>
      <c r="R595" s="5"/>
    </row>
    <row r="596" spans="1:18" ht="18.75" x14ac:dyDescent="0.3">
      <c r="A596" s="8" t="s">
        <v>211</v>
      </c>
      <c r="B596" s="9">
        <v>1</v>
      </c>
      <c r="C596" s="10">
        <v>3</v>
      </c>
      <c r="D596" s="11">
        <v>706</v>
      </c>
      <c r="E596" s="12">
        <v>30715402765</v>
      </c>
      <c r="F596" s="13" t="s">
        <v>100</v>
      </c>
      <c r="G596" s="14">
        <v>25371.9</v>
      </c>
      <c r="H596" s="14">
        <v>5328.0990000000002</v>
      </c>
      <c r="I596" s="14"/>
      <c r="J596" s="14"/>
      <c r="K596" s="14"/>
      <c r="L596" s="14"/>
      <c r="M596" s="14"/>
      <c r="N596" s="14"/>
      <c r="O596" s="14"/>
      <c r="P596" s="14"/>
      <c r="Q596" s="14">
        <v>30699.999000000003</v>
      </c>
      <c r="R596" s="5"/>
    </row>
    <row r="597" spans="1:18" ht="18.75" x14ac:dyDescent="0.3">
      <c r="A597" s="8" t="s">
        <v>212</v>
      </c>
      <c r="B597" s="9">
        <v>1</v>
      </c>
      <c r="C597" s="10">
        <v>1</v>
      </c>
      <c r="D597" s="11">
        <v>5720</v>
      </c>
      <c r="E597" s="12">
        <v>30716872463</v>
      </c>
      <c r="F597" s="13" t="s">
        <v>213</v>
      </c>
      <c r="G597" s="14">
        <v>11896.69</v>
      </c>
      <c r="H597" s="14">
        <v>2498.3049000000001</v>
      </c>
      <c r="I597" s="14"/>
      <c r="J597" s="14"/>
      <c r="K597" s="14"/>
      <c r="L597" s="14"/>
      <c r="M597" s="14"/>
      <c r="N597" s="14"/>
      <c r="O597" s="14"/>
      <c r="P597" s="14"/>
      <c r="Q597" s="14">
        <v>14394.994900000002</v>
      </c>
      <c r="R597" s="5"/>
    </row>
    <row r="598" spans="1:18" ht="18.75" x14ac:dyDescent="0.3">
      <c r="A598" s="8" t="s">
        <v>212</v>
      </c>
      <c r="B598" s="9">
        <v>1</v>
      </c>
      <c r="C598" s="10">
        <v>5</v>
      </c>
      <c r="D598" s="11">
        <v>8302</v>
      </c>
      <c r="E598" s="12">
        <v>27066610018</v>
      </c>
      <c r="F598" s="13" t="s">
        <v>196</v>
      </c>
      <c r="G598" s="14">
        <v>26643.64</v>
      </c>
      <c r="H598" s="14">
        <v>5595.1643999999997</v>
      </c>
      <c r="I598" s="14"/>
      <c r="J598" s="14"/>
      <c r="K598" s="14"/>
      <c r="L598" s="14"/>
      <c r="M598" s="14"/>
      <c r="N598" s="14"/>
      <c r="O598" s="14"/>
      <c r="P598" s="14"/>
      <c r="Q598" s="14">
        <v>32238.804400000001</v>
      </c>
      <c r="R598" s="5"/>
    </row>
    <row r="599" spans="1:18" ht="18.75" x14ac:dyDescent="0.3">
      <c r="A599" s="8" t="s">
        <v>214</v>
      </c>
      <c r="B599" s="9">
        <v>1</v>
      </c>
      <c r="C599" s="10">
        <v>700</v>
      </c>
      <c r="D599" s="11">
        <v>603751</v>
      </c>
      <c r="E599" s="12">
        <v>30580111315</v>
      </c>
      <c r="F599" s="13" t="s">
        <v>108</v>
      </c>
      <c r="G599" s="14">
        <v>0</v>
      </c>
      <c r="H599" s="14">
        <v>0</v>
      </c>
      <c r="I599" s="14"/>
      <c r="J599" s="14"/>
      <c r="K599" s="14"/>
      <c r="L599" s="14"/>
      <c r="M599" s="14"/>
      <c r="N599" s="14"/>
      <c r="O599" s="14"/>
      <c r="P599" s="14">
        <v>33694.064999999995</v>
      </c>
      <c r="Q599" s="14">
        <v>33694.064999999995</v>
      </c>
      <c r="R599" s="5"/>
    </row>
    <row r="600" spans="1:18" ht="18.75" x14ac:dyDescent="0.3">
      <c r="A600" s="8" t="s">
        <v>214</v>
      </c>
      <c r="B600" s="9">
        <v>1</v>
      </c>
      <c r="C600" s="10">
        <v>8</v>
      </c>
      <c r="D600" s="11">
        <v>16392</v>
      </c>
      <c r="E600" s="12">
        <v>30709953482</v>
      </c>
      <c r="F600" s="13" t="s">
        <v>175</v>
      </c>
      <c r="G600" s="14">
        <v>6097.91</v>
      </c>
      <c r="H600" s="14">
        <v>1280.5610999999999</v>
      </c>
      <c r="I600" s="14"/>
      <c r="J600" s="14"/>
      <c r="K600" s="14"/>
      <c r="L600" s="14"/>
      <c r="M600" s="14"/>
      <c r="N600" s="14"/>
      <c r="O600" s="14"/>
      <c r="P600" s="14"/>
      <c r="Q600" s="14">
        <v>7378.4710999999998</v>
      </c>
      <c r="R600" s="5"/>
    </row>
    <row r="601" spans="1:18" ht="18.75" x14ac:dyDescent="0.3">
      <c r="A601" s="8" t="s">
        <v>214</v>
      </c>
      <c r="B601" s="9">
        <v>1</v>
      </c>
      <c r="C601" s="10">
        <v>2466</v>
      </c>
      <c r="D601" s="11">
        <v>589768</v>
      </c>
      <c r="E601" s="12">
        <v>30678814357</v>
      </c>
      <c r="F601" s="13" t="s">
        <v>116</v>
      </c>
      <c r="G601" s="14">
        <v>7895.26</v>
      </c>
      <c r="H601" s="14"/>
      <c r="I601" s="14">
        <v>2131.7202000000002</v>
      </c>
      <c r="J601" s="14"/>
      <c r="K601" s="14">
        <v>236.86</v>
      </c>
      <c r="L601" s="14"/>
      <c r="M601" s="14"/>
      <c r="N601" s="14"/>
      <c r="O601" s="14"/>
      <c r="P601" s="14">
        <v>398.15</v>
      </c>
      <c r="Q601" s="14">
        <v>10661.9902</v>
      </c>
      <c r="R601" s="5"/>
    </row>
    <row r="602" spans="1:18" ht="18.75" x14ac:dyDescent="0.3">
      <c r="A602" s="8" t="s">
        <v>215</v>
      </c>
      <c r="B602" s="9">
        <v>1</v>
      </c>
      <c r="C602" s="10">
        <v>7</v>
      </c>
      <c r="D602" s="11">
        <v>9067</v>
      </c>
      <c r="E602" s="12">
        <v>27924079008</v>
      </c>
      <c r="F602" s="13" t="s">
        <v>208</v>
      </c>
      <c r="G602" s="14">
        <v>558595.04</v>
      </c>
      <c r="H602" s="14">
        <v>117304.9584</v>
      </c>
      <c r="I602" s="14"/>
      <c r="J602" s="14"/>
      <c r="K602" s="14"/>
      <c r="L602" s="14"/>
      <c r="M602" s="14"/>
      <c r="N602" s="14"/>
      <c r="O602" s="14"/>
      <c r="P602" s="14"/>
      <c r="Q602" s="14">
        <v>675899.99840000004</v>
      </c>
      <c r="R602" s="5"/>
    </row>
    <row r="603" spans="1:18" ht="18.75" x14ac:dyDescent="0.3">
      <c r="A603" s="8" t="s">
        <v>215</v>
      </c>
      <c r="B603" s="9">
        <v>1</v>
      </c>
      <c r="C603" s="10">
        <v>8</v>
      </c>
      <c r="D603" s="11">
        <v>76041</v>
      </c>
      <c r="E603" s="12">
        <v>30586172308</v>
      </c>
      <c r="F603" s="13" t="s">
        <v>216</v>
      </c>
      <c r="G603" s="14">
        <v>2066.11</v>
      </c>
      <c r="H603" s="14">
        <v>433.88310000000001</v>
      </c>
      <c r="I603" s="14"/>
      <c r="J603" s="14"/>
      <c r="K603" s="14"/>
      <c r="L603" s="14"/>
      <c r="M603" s="14"/>
      <c r="N603" s="14"/>
      <c r="O603" s="14"/>
      <c r="P603" s="14"/>
      <c r="Q603" s="14">
        <v>2499.9931000000001</v>
      </c>
      <c r="R603" s="5"/>
    </row>
    <row r="604" spans="1:18" ht="18.75" x14ac:dyDescent="0.3">
      <c r="A604" s="8" t="s">
        <v>215</v>
      </c>
      <c r="B604" s="9">
        <v>1</v>
      </c>
      <c r="C604" s="10">
        <v>2</v>
      </c>
      <c r="D604" s="11">
        <v>699</v>
      </c>
      <c r="E604" s="12">
        <v>20296550184</v>
      </c>
      <c r="F604" s="13" t="s">
        <v>24</v>
      </c>
      <c r="G604" s="14">
        <v>269010</v>
      </c>
      <c r="H604" s="14">
        <v>56492.1</v>
      </c>
      <c r="I604" s="14"/>
      <c r="J604" s="14"/>
      <c r="K604" s="14"/>
      <c r="L604" s="14"/>
      <c r="M604" s="14"/>
      <c r="N604" s="14"/>
      <c r="O604" s="14"/>
      <c r="P604" s="14"/>
      <c r="Q604" s="14">
        <v>325502.09999999998</v>
      </c>
      <c r="R604" s="5"/>
    </row>
    <row r="605" spans="1:18" ht="18.75" x14ac:dyDescent="0.3">
      <c r="A605" s="8" t="s">
        <v>217</v>
      </c>
      <c r="B605" s="9">
        <v>1</v>
      </c>
      <c r="C605" s="10">
        <v>5</v>
      </c>
      <c r="D605" s="11">
        <v>8268</v>
      </c>
      <c r="E605" s="12">
        <v>33711557119</v>
      </c>
      <c r="F605" s="13" t="s">
        <v>140</v>
      </c>
      <c r="G605" s="14">
        <v>3268.6</v>
      </c>
      <c r="H605" s="14">
        <v>686.40599999999995</v>
      </c>
      <c r="I605" s="14"/>
      <c r="J605" s="14"/>
      <c r="K605" s="14"/>
      <c r="L605" s="14"/>
      <c r="M605" s="14"/>
      <c r="N605" s="14"/>
      <c r="O605" s="14"/>
      <c r="P605" s="14"/>
      <c r="Q605" s="14">
        <v>3955.0059999999999</v>
      </c>
      <c r="R605" s="5"/>
    </row>
    <row r="606" spans="1:18" ht="18.75" x14ac:dyDescent="0.3">
      <c r="A606" s="8" t="s">
        <v>218</v>
      </c>
      <c r="B606" s="9">
        <v>1</v>
      </c>
      <c r="C606" s="10">
        <v>9</v>
      </c>
      <c r="D606" s="11">
        <v>4703</v>
      </c>
      <c r="E606" s="12">
        <v>20214656575</v>
      </c>
      <c r="F606" s="13" t="s">
        <v>219</v>
      </c>
      <c r="G606" s="14">
        <v>20962.810000000001</v>
      </c>
      <c r="H606" s="14">
        <v>4402.1900999999998</v>
      </c>
      <c r="I606" s="14"/>
      <c r="J606" s="14"/>
      <c r="K606" s="14"/>
      <c r="L606" s="14"/>
      <c r="M606" s="14"/>
      <c r="N606" s="14"/>
      <c r="O606" s="14"/>
      <c r="P606" s="14"/>
      <c r="Q606" s="14">
        <v>25365.000100000001</v>
      </c>
      <c r="R606" s="5"/>
    </row>
    <row r="607" spans="1:18" ht="18.75" x14ac:dyDescent="0.3">
      <c r="A607" s="8" t="s">
        <v>218</v>
      </c>
      <c r="B607" s="9">
        <v>1</v>
      </c>
      <c r="C607" s="10">
        <v>9</v>
      </c>
      <c r="D607" s="11">
        <v>4704</v>
      </c>
      <c r="E607" s="12">
        <v>20214656575</v>
      </c>
      <c r="F607" s="13" t="s">
        <v>219</v>
      </c>
      <c r="G607" s="14">
        <v>20923.14</v>
      </c>
      <c r="H607" s="14">
        <v>4393.8593999999994</v>
      </c>
      <c r="I607" s="14"/>
      <c r="J607" s="14"/>
      <c r="K607" s="14"/>
      <c r="L607" s="14"/>
      <c r="M607" s="14"/>
      <c r="N607" s="14"/>
      <c r="O607" s="14"/>
      <c r="P607" s="14"/>
      <c r="Q607" s="14">
        <v>25316.999400000001</v>
      </c>
      <c r="R607" s="5"/>
    </row>
    <row r="608" spans="1:18" ht="18.75" x14ac:dyDescent="0.3">
      <c r="A608" s="8" t="s">
        <v>220</v>
      </c>
      <c r="B608" s="9">
        <v>1</v>
      </c>
      <c r="C608" s="10">
        <v>2</v>
      </c>
      <c r="D608" s="11">
        <v>191</v>
      </c>
      <c r="E608" s="12">
        <v>20125142851</v>
      </c>
      <c r="F608" s="13" t="s">
        <v>19</v>
      </c>
      <c r="G608" s="14">
        <v>639266.38</v>
      </c>
      <c r="H608" s="14">
        <v>134245.93979999999</v>
      </c>
      <c r="I608" s="14"/>
      <c r="J608" s="14"/>
      <c r="K608" s="14"/>
      <c r="L608" s="14"/>
      <c r="M608" s="14"/>
      <c r="N608" s="14"/>
      <c r="O608" s="14"/>
      <c r="P608" s="14"/>
      <c r="Q608" s="14">
        <v>773512.31979999994</v>
      </c>
      <c r="R608" s="5"/>
    </row>
    <row r="609" spans="1:18" ht="18.75" x14ac:dyDescent="0.3">
      <c r="A609" s="8" t="s">
        <v>220</v>
      </c>
      <c r="B609" s="9">
        <v>1</v>
      </c>
      <c r="C609" s="10">
        <v>1</v>
      </c>
      <c r="D609" s="11">
        <v>711</v>
      </c>
      <c r="E609" s="12">
        <v>30715048066</v>
      </c>
      <c r="F609" s="13" t="s">
        <v>23</v>
      </c>
      <c r="G609" s="14">
        <v>222660</v>
      </c>
      <c r="H609" s="14">
        <v>46758.6</v>
      </c>
      <c r="I609" s="14"/>
      <c r="J609" s="14"/>
      <c r="K609" s="14"/>
      <c r="L609" s="14"/>
      <c r="M609" s="14"/>
      <c r="N609" s="14"/>
      <c r="O609" s="14"/>
      <c r="P609" s="14"/>
      <c r="Q609" s="14">
        <v>269418.59999999998</v>
      </c>
      <c r="R609" s="5"/>
    </row>
    <row r="610" spans="1:18" ht="18.75" x14ac:dyDescent="0.3">
      <c r="A610" s="8" t="s">
        <v>221</v>
      </c>
      <c r="B610" s="9">
        <v>1</v>
      </c>
      <c r="C610" s="10">
        <v>7</v>
      </c>
      <c r="D610" s="11">
        <v>55706</v>
      </c>
      <c r="E610" s="12">
        <v>30686489325</v>
      </c>
      <c r="F610" s="13" t="s">
        <v>222</v>
      </c>
      <c r="G610" s="14">
        <v>28400.04</v>
      </c>
      <c r="H610" s="14">
        <v>5964.0083999999997</v>
      </c>
      <c r="I610" s="14"/>
      <c r="J610" s="14"/>
      <c r="K610" s="14"/>
      <c r="L610" s="14"/>
      <c r="M610" s="14"/>
      <c r="N610" s="14"/>
      <c r="O610" s="14"/>
      <c r="P610" s="14"/>
      <c r="Q610" s="14">
        <v>34364.0484</v>
      </c>
      <c r="R610" s="5"/>
    </row>
    <row r="611" spans="1:18" ht="18.75" x14ac:dyDescent="0.3">
      <c r="A611" s="8" t="s">
        <v>223</v>
      </c>
      <c r="B611" s="9">
        <v>1</v>
      </c>
      <c r="C611" s="10">
        <v>50</v>
      </c>
      <c r="D611" s="11">
        <v>53459</v>
      </c>
      <c r="E611" s="12">
        <v>30710730845</v>
      </c>
      <c r="F611" s="13" t="s">
        <v>97</v>
      </c>
      <c r="G611" s="14">
        <v>22768</v>
      </c>
      <c r="H611" s="14">
        <v>4781.28</v>
      </c>
      <c r="I611" s="14"/>
      <c r="J611" s="14"/>
      <c r="K611" s="14"/>
      <c r="L611" s="14"/>
      <c r="M611" s="14"/>
      <c r="N611" s="14"/>
      <c r="O611" s="14"/>
      <c r="P611" s="14"/>
      <c r="Q611" s="14">
        <v>27549.279999999999</v>
      </c>
      <c r="R611" s="5"/>
    </row>
    <row r="612" spans="1:18" ht="18.75" x14ac:dyDescent="0.3">
      <c r="A612" s="8" t="s">
        <v>223</v>
      </c>
      <c r="B612" s="9">
        <v>1</v>
      </c>
      <c r="C612" s="10">
        <v>2</v>
      </c>
      <c r="D612" s="11">
        <v>27086</v>
      </c>
      <c r="E612" s="12">
        <v>30615304944</v>
      </c>
      <c r="F612" s="13" t="s">
        <v>224</v>
      </c>
      <c r="G612" s="14">
        <v>16149.02</v>
      </c>
      <c r="H612" s="14">
        <v>730.66</v>
      </c>
      <c r="I612" s="14"/>
      <c r="J612" s="14">
        <v>1330.32</v>
      </c>
      <c r="K612" s="14"/>
      <c r="L612" s="14"/>
      <c r="M612" s="14"/>
      <c r="N612" s="14"/>
      <c r="O612" s="14"/>
      <c r="P612" s="14"/>
      <c r="Q612" s="14">
        <v>18210</v>
      </c>
      <c r="R612" s="5"/>
    </row>
    <row r="613" spans="1:18" ht="18.75" x14ac:dyDescent="0.3">
      <c r="A613" s="8" t="s">
        <v>223</v>
      </c>
      <c r="B613" s="9">
        <v>1</v>
      </c>
      <c r="C613" s="10">
        <v>7002</v>
      </c>
      <c r="D613" s="11">
        <v>12534</v>
      </c>
      <c r="E613" s="12">
        <v>30678774495</v>
      </c>
      <c r="F613" s="13" t="s">
        <v>58</v>
      </c>
      <c r="G613" s="14">
        <v>27099.200000000001</v>
      </c>
      <c r="H613" s="14">
        <v>5690.8320000000003</v>
      </c>
      <c r="I613" s="14"/>
      <c r="J613" s="14"/>
      <c r="K613" s="14"/>
      <c r="L613" s="14"/>
      <c r="M613" s="14"/>
      <c r="N613" s="14"/>
      <c r="O613" s="14"/>
      <c r="P613" s="14">
        <v>1209.97</v>
      </c>
      <c r="Q613" s="14">
        <v>34000.002</v>
      </c>
      <c r="R613" s="5"/>
    </row>
    <row r="614" spans="1:18" ht="18.75" x14ac:dyDescent="0.3">
      <c r="A614" s="8" t="s">
        <v>223</v>
      </c>
      <c r="B614" s="9">
        <v>1</v>
      </c>
      <c r="C614" s="10">
        <v>106</v>
      </c>
      <c r="D614" s="11">
        <v>695117</v>
      </c>
      <c r="E614" s="12">
        <v>30594494187</v>
      </c>
      <c r="F614" s="13" t="s">
        <v>35</v>
      </c>
      <c r="G614" s="14">
        <v>0</v>
      </c>
      <c r="H614" s="14">
        <v>0</v>
      </c>
      <c r="I614" s="14"/>
      <c r="J614" s="14"/>
      <c r="K614" s="14"/>
      <c r="L614" s="14"/>
      <c r="M614" s="14"/>
      <c r="N614" s="14"/>
      <c r="O614" s="14"/>
      <c r="P614" s="14">
        <v>374965.89</v>
      </c>
      <c r="Q614" s="14">
        <v>374965.89</v>
      </c>
      <c r="R614" s="5"/>
    </row>
    <row r="615" spans="1:18" ht="18.75" x14ac:dyDescent="0.3">
      <c r="A615" s="8" t="s">
        <v>223</v>
      </c>
      <c r="B615" s="9">
        <v>1</v>
      </c>
      <c r="C615" s="10">
        <v>5</v>
      </c>
      <c r="D615" s="11">
        <v>8287</v>
      </c>
      <c r="E615" s="12">
        <v>33711557119</v>
      </c>
      <c r="F615" s="13" t="s">
        <v>140</v>
      </c>
      <c r="G615" s="14">
        <v>5826.45</v>
      </c>
      <c r="H615" s="14">
        <v>1223.5545</v>
      </c>
      <c r="I615" s="14"/>
      <c r="J615" s="14"/>
      <c r="K615" s="14"/>
      <c r="L615" s="14"/>
      <c r="M615" s="14"/>
      <c r="N615" s="14"/>
      <c r="O615" s="14"/>
      <c r="P615" s="14"/>
      <c r="Q615" s="14">
        <v>7050.0045</v>
      </c>
      <c r="R615" s="5"/>
    </row>
    <row r="616" spans="1:18" ht="18.75" x14ac:dyDescent="0.3">
      <c r="A616" s="8" t="s">
        <v>225</v>
      </c>
      <c r="B616" s="9">
        <v>1</v>
      </c>
      <c r="C616" s="10">
        <v>1</v>
      </c>
      <c r="D616" s="11">
        <v>198</v>
      </c>
      <c r="E616" s="12">
        <v>30717518566</v>
      </c>
      <c r="F616" s="13" t="s">
        <v>226</v>
      </c>
      <c r="G616" s="14">
        <v>13723.05</v>
      </c>
      <c r="H616" s="14">
        <v>2881.8404999999998</v>
      </c>
      <c r="I616" s="14"/>
      <c r="J616" s="14"/>
      <c r="K616" s="14"/>
      <c r="L616" s="14"/>
      <c r="M616" s="14"/>
      <c r="N616" s="14"/>
      <c r="O616" s="14"/>
      <c r="P616" s="14"/>
      <c r="Q616" s="14">
        <v>16604.890499999998</v>
      </c>
      <c r="R616" s="5"/>
    </row>
    <row r="617" spans="1:18" ht="18.75" x14ac:dyDescent="0.3">
      <c r="A617" s="8" t="s">
        <v>227</v>
      </c>
      <c r="B617" s="9">
        <v>1</v>
      </c>
      <c r="C617" s="10">
        <v>2</v>
      </c>
      <c r="D617" s="11">
        <v>704</v>
      </c>
      <c r="E617" s="12">
        <v>20296550184</v>
      </c>
      <c r="F617" s="13" t="s">
        <v>24</v>
      </c>
      <c r="G617" s="14">
        <v>255550</v>
      </c>
      <c r="H617" s="14">
        <v>53665.5</v>
      </c>
      <c r="I617" s="14"/>
      <c r="J617" s="14"/>
      <c r="K617" s="14"/>
      <c r="L617" s="14"/>
      <c r="M617" s="14"/>
      <c r="N617" s="14"/>
      <c r="O617" s="14"/>
      <c r="P617" s="14"/>
      <c r="Q617" s="14">
        <v>309215.5</v>
      </c>
      <c r="R617" s="5"/>
    </row>
    <row r="618" spans="1:18" ht="18.75" x14ac:dyDescent="0.3">
      <c r="A618" s="8" t="s">
        <v>227</v>
      </c>
      <c r="B618" s="9">
        <v>1</v>
      </c>
      <c r="C618" s="10">
        <v>2</v>
      </c>
      <c r="D618" s="11">
        <v>192</v>
      </c>
      <c r="E618" s="12">
        <v>20125142851</v>
      </c>
      <c r="F618" s="13" t="s">
        <v>19</v>
      </c>
      <c r="G618" s="14">
        <v>117628.19</v>
      </c>
      <c r="H618" s="14">
        <v>24701.919900000001</v>
      </c>
      <c r="I618" s="14"/>
      <c r="J618" s="14"/>
      <c r="K618" s="14"/>
      <c r="L618" s="14"/>
      <c r="M618" s="14"/>
      <c r="N618" s="14"/>
      <c r="O618" s="14"/>
      <c r="P618" s="14"/>
      <c r="Q618" s="14">
        <v>142330.10990000001</v>
      </c>
      <c r="R618" s="5"/>
    </row>
    <row r="619" spans="1:18" ht="18.75" x14ac:dyDescent="0.3">
      <c r="A619" s="8" t="s">
        <v>227</v>
      </c>
      <c r="B619" s="9">
        <v>1</v>
      </c>
      <c r="C619" s="10">
        <v>2</v>
      </c>
      <c r="D619" s="11">
        <v>1338</v>
      </c>
      <c r="E619" s="12">
        <v>33718184989</v>
      </c>
      <c r="F619" s="13" t="s">
        <v>228</v>
      </c>
      <c r="G619" s="14">
        <v>13305.79</v>
      </c>
      <c r="H619" s="14">
        <v>2794.2159000000001</v>
      </c>
      <c r="I619" s="14"/>
      <c r="J619" s="14"/>
      <c r="K619" s="14"/>
      <c r="L619" s="14"/>
      <c r="M619" s="14"/>
      <c r="N619" s="14"/>
      <c r="O619" s="14"/>
      <c r="P619" s="14"/>
      <c r="Q619" s="14">
        <v>16100.0059</v>
      </c>
      <c r="R619" s="5"/>
    </row>
    <row r="620" spans="1:18" ht="18.75" x14ac:dyDescent="0.3">
      <c r="A620" s="8" t="s">
        <v>227</v>
      </c>
      <c r="B620" s="9">
        <v>1</v>
      </c>
      <c r="C620" s="10">
        <v>3</v>
      </c>
      <c r="D620" s="11">
        <v>1792240</v>
      </c>
      <c r="E620" s="12">
        <v>30712019359</v>
      </c>
      <c r="F620" s="13" t="s">
        <v>42</v>
      </c>
      <c r="G620" s="14">
        <v>11156.2</v>
      </c>
      <c r="H620" s="14">
        <v>2342.8020000000001</v>
      </c>
      <c r="I620" s="14"/>
      <c r="J620" s="14"/>
      <c r="K620" s="14"/>
      <c r="L620" s="14"/>
      <c r="M620" s="14"/>
      <c r="N620" s="14"/>
      <c r="O620" s="14"/>
      <c r="P620" s="14"/>
      <c r="Q620" s="14">
        <v>13499.002</v>
      </c>
      <c r="R620" s="5"/>
    </row>
    <row r="621" spans="1:18" ht="18.75" x14ac:dyDescent="0.3">
      <c r="A621" s="8" t="s">
        <v>229</v>
      </c>
      <c r="B621" s="9">
        <v>1</v>
      </c>
      <c r="C621" s="10">
        <v>1</v>
      </c>
      <c r="D621" s="11">
        <v>9394</v>
      </c>
      <c r="E621" s="12">
        <v>30715368346</v>
      </c>
      <c r="F621" s="13" t="s">
        <v>230</v>
      </c>
      <c r="G621" s="14">
        <v>10192.56</v>
      </c>
      <c r="H621" s="14">
        <v>2140.4375999999997</v>
      </c>
      <c r="I621" s="14"/>
      <c r="J621" s="14"/>
      <c r="K621" s="14"/>
      <c r="L621" s="14"/>
      <c r="M621" s="14"/>
      <c r="N621" s="14"/>
      <c r="O621" s="14"/>
      <c r="P621" s="14"/>
      <c r="Q621" s="14">
        <v>12332.997599999999</v>
      </c>
      <c r="R621" s="5"/>
    </row>
    <row r="622" spans="1:18" ht="18.75" x14ac:dyDescent="0.3">
      <c r="A622" s="8" t="s">
        <v>229</v>
      </c>
      <c r="B622" s="9">
        <v>1</v>
      </c>
      <c r="C622" s="10">
        <v>7</v>
      </c>
      <c r="D622" s="11">
        <v>14804</v>
      </c>
      <c r="E622" s="12">
        <v>30604413482</v>
      </c>
      <c r="F622" s="13" t="s">
        <v>135</v>
      </c>
      <c r="G622" s="14">
        <v>204972</v>
      </c>
      <c r="H622" s="14">
        <v>43044.119999999995</v>
      </c>
      <c r="I622" s="14"/>
      <c r="J622" s="14"/>
      <c r="K622" s="14"/>
      <c r="L622" s="14"/>
      <c r="M622" s="14"/>
      <c r="N622" s="14"/>
      <c r="O622" s="14"/>
      <c r="P622" s="14"/>
      <c r="Q622" s="14">
        <v>248016.12</v>
      </c>
      <c r="R622" s="5"/>
    </row>
    <row r="623" spans="1:18" ht="18.75" x14ac:dyDescent="0.3">
      <c r="A623" s="8" t="s">
        <v>231</v>
      </c>
      <c r="B623" s="9">
        <v>1</v>
      </c>
      <c r="C623" s="10">
        <v>2</v>
      </c>
      <c r="D623" s="11">
        <v>11150</v>
      </c>
      <c r="E623" s="12">
        <v>30712179909</v>
      </c>
      <c r="F623" s="13" t="s">
        <v>31</v>
      </c>
      <c r="G623" s="14">
        <v>292250</v>
      </c>
      <c r="H623" s="14">
        <v>61372.5</v>
      </c>
      <c r="I623" s="14"/>
      <c r="J623" s="14"/>
      <c r="K623" s="14"/>
      <c r="L623" s="14"/>
      <c r="M623" s="14"/>
      <c r="N623" s="14"/>
      <c r="O623" s="14"/>
      <c r="P623" s="14"/>
      <c r="Q623" s="14">
        <v>353622.5</v>
      </c>
      <c r="R623" s="5"/>
    </row>
    <row r="624" spans="1:18" ht="18.75" x14ac:dyDescent="0.3">
      <c r="A624" s="8" t="s">
        <v>232</v>
      </c>
      <c r="B624" s="9">
        <v>1</v>
      </c>
      <c r="C624" s="10">
        <v>6</v>
      </c>
      <c r="D624" s="11">
        <v>13607</v>
      </c>
      <c r="E624" s="12">
        <v>30707756434</v>
      </c>
      <c r="F624" s="13" t="s">
        <v>61</v>
      </c>
      <c r="G624" s="14">
        <v>54600</v>
      </c>
      <c r="H624" s="14">
        <v>11466</v>
      </c>
      <c r="I624" s="14"/>
      <c r="J624" s="14"/>
      <c r="K624" s="14"/>
      <c r="L624" s="14"/>
      <c r="M624" s="14"/>
      <c r="N624" s="14"/>
      <c r="O624" s="14"/>
      <c r="P624" s="14"/>
      <c r="Q624" s="14">
        <v>66066</v>
      </c>
      <c r="R624" s="5"/>
    </row>
    <row r="625" spans="1:18" ht="18.75" x14ac:dyDescent="0.3">
      <c r="A625" s="8" t="s">
        <v>233</v>
      </c>
      <c r="B625" s="9">
        <v>1</v>
      </c>
      <c r="C625" s="10">
        <v>122</v>
      </c>
      <c r="D625" s="11">
        <v>299149</v>
      </c>
      <c r="E625" s="12">
        <v>30594494187</v>
      </c>
      <c r="F625" s="13" t="s">
        <v>35</v>
      </c>
      <c r="G625" s="14">
        <v>67909.8</v>
      </c>
      <c r="H625" s="14">
        <v>14261.058000000001</v>
      </c>
      <c r="I625" s="14"/>
      <c r="J625" s="14"/>
      <c r="K625" s="14"/>
      <c r="L625" s="14"/>
      <c r="M625" s="14"/>
      <c r="N625" s="14"/>
      <c r="O625" s="14"/>
      <c r="P625" s="14">
        <v>323630.63</v>
      </c>
      <c r="Q625" s="14">
        <v>405801.48800000001</v>
      </c>
      <c r="R625" s="5"/>
    </row>
    <row r="626" spans="1:18" ht="18.75" x14ac:dyDescent="0.3">
      <c r="A626" s="8">
        <v>45290</v>
      </c>
      <c r="B626" s="9">
        <v>99</v>
      </c>
      <c r="C626" s="10">
        <v>1</v>
      </c>
      <c r="D626" s="11">
        <v>31122023</v>
      </c>
      <c r="E626" s="12">
        <v>30574816870</v>
      </c>
      <c r="F626" s="13" t="s">
        <v>234</v>
      </c>
      <c r="G626" s="14">
        <v>6418.3228571428572</v>
      </c>
      <c r="H626" s="14">
        <v>1347.8478</v>
      </c>
      <c r="I626" s="14"/>
      <c r="J626" s="14"/>
      <c r="K626" s="14"/>
      <c r="L626" s="14"/>
      <c r="M626" s="14">
        <v>192.54</v>
      </c>
      <c r="N626" s="14"/>
      <c r="O626" s="14"/>
      <c r="P626" s="14"/>
      <c r="Q626" s="14">
        <f>SUM(G626:P626)</f>
        <v>7958.7106571428567</v>
      </c>
      <c r="R626" s="4"/>
    </row>
    <row r="627" spans="1:18" ht="18.75" x14ac:dyDescent="0.3">
      <c r="A627" s="8">
        <v>45290</v>
      </c>
      <c r="B627" s="9">
        <v>99</v>
      </c>
      <c r="C627" s="10">
        <v>1</v>
      </c>
      <c r="D627" s="11">
        <v>311223</v>
      </c>
      <c r="E627" s="12">
        <v>30571421352</v>
      </c>
      <c r="F627" s="13" t="s">
        <v>43</v>
      </c>
      <c r="G627" s="14">
        <v>25099.5</v>
      </c>
      <c r="H627" s="14">
        <v>5270.8949999999995</v>
      </c>
      <c r="I627" s="14"/>
      <c r="J627" s="14"/>
      <c r="K627" s="14"/>
      <c r="L627" s="14"/>
      <c r="M627" s="14">
        <v>628.19000000000005</v>
      </c>
      <c r="N627" s="14"/>
      <c r="O627" s="14"/>
      <c r="P627" s="14"/>
      <c r="Q627" s="14">
        <f t="shared" ref="Q627:Q628" si="17">SUM(G627:P627)</f>
        <v>30998.584999999999</v>
      </c>
      <c r="R627" s="4"/>
    </row>
    <row r="628" spans="1:18" ht="18.75" x14ac:dyDescent="0.3">
      <c r="A628" s="8">
        <v>45290</v>
      </c>
      <c r="B628" s="9">
        <v>99</v>
      </c>
      <c r="C628" s="10">
        <v>1</v>
      </c>
      <c r="D628" s="11">
        <v>31123</v>
      </c>
      <c r="E628" s="12">
        <v>30583887039</v>
      </c>
      <c r="F628" s="13" t="s">
        <v>235</v>
      </c>
      <c r="G628" s="14">
        <v>170</v>
      </c>
      <c r="H628" s="14">
        <v>35.699999999999996</v>
      </c>
      <c r="I628" s="14"/>
      <c r="J628" s="14"/>
      <c r="K628" s="14"/>
      <c r="L628" s="14"/>
      <c r="M628" s="14"/>
      <c r="N628" s="14"/>
      <c r="O628" s="14"/>
      <c r="P628" s="14"/>
      <c r="Q628" s="14">
        <f t="shared" si="17"/>
        <v>205.7</v>
      </c>
      <c r="R628" s="4"/>
    </row>
    <row r="629" spans="1:18" ht="19.5" thickBot="1" x14ac:dyDescent="0.35">
      <c r="A629" s="23" t="s">
        <v>17</v>
      </c>
      <c r="B629" s="23"/>
      <c r="C629" s="23"/>
      <c r="D629" s="23"/>
      <c r="E629" s="23"/>
      <c r="F629" s="23"/>
      <c r="G629" s="17">
        <f>SUM(G595:G628)</f>
        <v>2995538.3428571434</v>
      </c>
      <c r="H629" s="17">
        <f t="shared" ref="H629:Q629" si="18">SUM(H595:H628)</f>
        <v>624744.41319999995</v>
      </c>
      <c r="I629" s="17">
        <f t="shared" si="18"/>
        <v>2131.7202000000002</v>
      </c>
      <c r="J629" s="17">
        <f t="shared" si="18"/>
        <v>1330.32</v>
      </c>
      <c r="K629" s="17">
        <f t="shared" si="18"/>
        <v>236.86</v>
      </c>
      <c r="L629" s="17">
        <f t="shared" si="18"/>
        <v>0</v>
      </c>
      <c r="M629" s="17">
        <f t="shared" si="18"/>
        <v>820.73</v>
      </c>
      <c r="N629" s="17">
        <f t="shared" si="18"/>
        <v>0</v>
      </c>
      <c r="O629" s="17">
        <f t="shared" si="18"/>
        <v>0</v>
      </c>
      <c r="P629" s="17">
        <f t="shared" si="18"/>
        <v>733898.70500000007</v>
      </c>
      <c r="Q629" s="17">
        <f t="shared" si="18"/>
        <v>4358701.0912571438</v>
      </c>
      <c r="R629" s="4"/>
    </row>
    <row r="630" spans="1:18" ht="19.5" thickBot="1" x14ac:dyDescent="0.35">
      <c r="A630" s="15"/>
      <c r="B630" s="15"/>
      <c r="C630" s="15"/>
      <c r="D630" s="15"/>
      <c r="E630" s="15"/>
      <c r="F630" s="15"/>
      <c r="G630" s="16"/>
      <c r="H630" s="18"/>
      <c r="I630" s="19">
        <f>SUM(H629:J629)</f>
        <v>628206.45339999988</v>
      </c>
      <c r="J630" s="20"/>
      <c r="K630" s="16"/>
      <c r="L630" s="16"/>
      <c r="M630" s="16"/>
      <c r="N630" s="16"/>
      <c r="O630" s="16"/>
      <c r="P630" s="16"/>
      <c r="Q630" s="16"/>
      <c r="R630" s="4"/>
    </row>
    <row r="637" spans="1:18" ht="29.25" thickBot="1" x14ac:dyDescent="0.5">
      <c r="A637" s="24" t="s">
        <v>0</v>
      </c>
      <c r="B637" s="24"/>
      <c r="C637" s="24"/>
      <c r="D637" s="24"/>
      <c r="E637" s="24"/>
      <c r="F637" s="21"/>
      <c r="G637" s="22"/>
      <c r="H637" s="22"/>
      <c r="I637" s="22"/>
      <c r="J637" s="22"/>
      <c r="K637" s="22"/>
      <c r="L637" s="22"/>
      <c r="M637" s="22"/>
      <c r="N637" s="22"/>
      <c r="O637" s="25">
        <v>45292</v>
      </c>
      <c r="P637" s="26"/>
      <c r="Q637" s="26"/>
    </row>
    <row r="638" spans="1:18" ht="18.75" x14ac:dyDescent="0.3">
      <c r="A638" s="6" t="s">
        <v>1</v>
      </c>
      <c r="B638" s="6" t="s">
        <v>2</v>
      </c>
      <c r="C638" s="6" t="s">
        <v>3</v>
      </c>
      <c r="D638" s="6" t="s">
        <v>4</v>
      </c>
      <c r="E638" s="6" t="s">
        <v>5</v>
      </c>
      <c r="F638" s="6" t="s">
        <v>6</v>
      </c>
      <c r="G638" s="7" t="s">
        <v>7</v>
      </c>
      <c r="H638" s="7" t="s">
        <v>8</v>
      </c>
      <c r="I638" s="7" t="s">
        <v>9</v>
      </c>
      <c r="J638" s="7" t="s">
        <v>10</v>
      </c>
      <c r="K638" s="7" t="s">
        <v>11</v>
      </c>
      <c r="L638" s="7" t="s">
        <v>12</v>
      </c>
      <c r="M638" s="7" t="s">
        <v>13</v>
      </c>
      <c r="N638" s="7" t="s">
        <v>14</v>
      </c>
      <c r="O638" s="7" t="s">
        <v>15</v>
      </c>
      <c r="P638" s="7" t="s">
        <v>16</v>
      </c>
      <c r="Q638" s="7" t="s">
        <v>17</v>
      </c>
    </row>
    <row r="639" spans="1:18" ht="18.75" x14ac:dyDescent="0.3">
      <c r="A639" s="8">
        <v>45292</v>
      </c>
      <c r="B639" s="9">
        <v>1</v>
      </c>
      <c r="C639" s="10">
        <v>3</v>
      </c>
      <c r="D639" s="11">
        <v>214413</v>
      </c>
      <c r="E639" s="12">
        <v>30707135596</v>
      </c>
      <c r="F639" s="13" t="s">
        <v>117</v>
      </c>
      <c r="G639" s="14">
        <v>10194.379999999999</v>
      </c>
      <c r="H639" s="14">
        <v>2140.8197999999998</v>
      </c>
      <c r="I639" s="14"/>
      <c r="J639" s="14"/>
      <c r="K639" s="14"/>
      <c r="L639" s="14"/>
      <c r="M639" s="14"/>
      <c r="N639" s="14"/>
      <c r="O639" s="14"/>
      <c r="P639" s="14"/>
      <c r="Q639" s="14">
        <v>12335.199799999999</v>
      </c>
      <c r="R639" s="1"/>
    </row>
    <row r="640" spans="1:18" ht="18.75" x14ac:dyDescent="0.3">
      <c r="A640" s="8">
        <v>45292</v>
      </c>
      <c r="B640" s="9">
        <v>1</v>
      </c>
      <c r="C640" s="10">
        <v>3</v>
      </c>
      <c r="D640" s="11">
        <v>715</v>
      </c>
      <c r="E640" s="12">
        <v>30715402765</v>
      </c>
      <c r="F640" s="13" t="s">
        <v>100</v>
      </c>
      <c r="G640" s="14">
        <v>30578.52</v>
      </c>
      <c r="H640" s="14">
        <v>6421.4892</v>
      </c>
      <c r="I640" s="14"/>
      <c r="J640" s="14"/>
      <c r="K640" s="14"/>
      <c r="L640" s="14"/>
      <c r="M640" s="14"/>
      <c r="N640" s="14"/>
      <c r="O640" s="14"/>
      <c r="P640" s="14"/>
      <c r="Q640" s="14">
        <v>37000.0092</v>
      </c>
      <c r="R640" s="1"/>
    </row>
    <row r="641" spans="1:18" ht="18.75" x14ac:dyDescent="0.3">
      <c r="A641" s="8">
        <v>45292</v>
      </c>
      <c r="B641" s="9">
        <v>1</v>
      </c>
      <c r="C641" s="10">
        <v>700</v>
      </c>
      <c r="D641" s="11">
        <v>612168</v>
      </c>
      <c r="E641" s="12">
        <v>30580111315</v>
      </c>
      <c r="F641" s="13" t="s">
        <v>108</v>
      </c>
      <c r="G641" s="14">
        <v>11595.5</v>
      </c>
      <c r="H641" s="14">
        <v>2435.0549999999998</v>
      </c>
      <c r="I641" s="14"/>
      <c r="J641" s="14"/>
      <c r="K641" s="14"/>
      <c r="L641" s="14"/>
      <c r="M641" s="14"/>
      <c r="N641" s="14"/>
      <c r="O641" s="14"/>
      <c r="P641" s="14">
        <v>457815.1875</v>
      </c>
      <c r="Q641" s="14">
        <v>471845.74249999999</v>
      </c>
      <c r="R641" s="1"/>
    </row>
    <row r="642" spans="1:18" ht="18.75" x14ac:dyDescent="0.3">
      <c r="A642" s="8">
        <v>45294</v>
      </c>
      <c r="B642" s="9">
        <v>3</v>
      </c>
      <c r="C642" s="10">
        <v>122</v>
      </c>
      <c r="D642" s="11">
        <v>53102</v>
      </c>
      <c r="E642" s="12">
        <v>30594494187</v>
      </c>
      <c r="F642" s="13" t="s">
        <v>35</v>
      </c>
      <c r="G642" s="14">
        <v>-67909.8</v>
      </c>
      <c r="H642" s="14">
        <v>-14261.058000000001</v>
      </c>
      <c r="I642" s="14"/>
      <c r="J642" s="14"/>
      <c r="K642" s="14"/>
      <c r="L642" s="14"/>
      <c r="M642" s="14"/>
      <c r="N642" s="14"/>
      <c r="O642" s="14"/>
      <c r="P642" s="14">
        <v>-323630.63</v>
      </c>
      <c r="Q642" s="14">
        <v>-405801.48800000001</v>
      </c>
      <c r="R642" s="1"/>
    </row>
    <row r="643" spans="1:18" ht="18.75" x14ac:dyDescent="0.3">
      <c r="A643" s="8">
        <v>45296</v>
      </c>
      <c r="B643" s="9">
        <v>1</v>
      </c>
      <c r="C643" s="10">
        <v>4</v>
      </c>
      <c r="D643" s="11">
        <v>5403</v>
      </c>
      <c r="E643" s="12">
        <v>24273099685</v>
      </c>
      <c r="F643" s="13" t="s">
        <v>236</v>
      </c>
      <c r="G643" s="14">
        <v>14876.03</v>
      </c>
      <c r="H643" s="14">
        <v>3123.9663</v>
      </c>
      <c r="I643" s="14"/>
      <c r="J643" s="14"/>
      <c r="K643" s="14"/>
      <c r="L643" s="14"/>
      <c r="M643" s="14"/>
      <c r="N643" s="14"/>
      <c r="O643" s="14"/>
      <c r="P643" s="14"/>
      <c r="Q643" s="14">
        <v>17999.996299999999</v>
      </c>
      <c r="R643" s="1"/>
    </row>
    <row r="644" spans="1:18" ht="18.75" x14ac:dyDescent="0.3">
      <c r="A644" s="8">
        <v>45296</v>
      </c>
      <c r="B644" s="9">
        <v>1</v>
      </c>
      <c r="C644" s="10">
        <v>2</v>
      </c>
      <c r="D644" s="11">
        <v>8525</v>
      </c>
      <c r="E644" s="12">
        <v>30711726019</v>
      </c>
      <c r="F644" s="13" t="s">
        <v>121</v>
      </c>
      <c r="G644" s="14">
        <v>145200</v>
      </c>
      <c r="H644" s="14">
        <v>30492</v>
      </c>
      <c r="I644" s="14"/>
      <c r="J644" s="14"/>
      <c r="K644" s="14"/>
      <c r="L644" s="14"/>
      <c r="M644" s="14"/>
      <c r="N644" s="14"/>
      <c r="O644" s="14"/>
      <c r="P644" s="14">
        <v>363127.5</v>
      </c>
      <c r="Q644" s="14">
        <v>538819.5</v>
      </c>
      <c r="R644" s="1"/>
    </row>
    <row r="645" spans="1:18" ht="18.75" x14ac:dyDescent="0.3">
      <c r="A645" s="8">
        <v>45299</v>
      </c>
      <c r="B645" s="9">
        <v>1</v>
      </c>
      <c r="C645" s="10">
        <v>3</v>
      </c>
      <c r="D645" s="11">
        <v>1831</v>
      </c>
      <c r="E645" s="12">
        <v>27329924713</v>
      </c>
      <c r="F645" s="13" t="s">
        <v>237</v>
      </c>
      <c r="G645" s="14">
        <v>18037.189999999999</v>
      </c>
      <c r="H645" s="14">
        <v>3787.8098999999997</v>
      </c>
      <c r="I645" s="14"/>
      <c r="J645" s="14"/>
      <c r="K645" s="14"/>
      <c r="L645" s="14"/>
      <c r="M645" s="14"/>
      <c r="N645" s="14"/>
      <c r="O645" s="14"/>
      <c r="P645" s="14"/>
      <c r="Q645" s="14">
        <v>21824.999899999999</v>
      </c>
      <c r="R645" s="1"/>
    </row>
    <row r="646" spans="1:18" ht="18.75" x14ac:dyDescent="0.3">
      <c r="A646" s="8">
        <v>45299</v>
      </c>
      <c r="B646" s="9">
        <v>1</v>
      </c>
      <c r="C646" s="10">
        <v>7</v>
      </c>
      <c r="D646" s="11">
        <v>56599</v>
      </c>
      <c r="E646" s="12">
        <v>30711379246</v>
      </c>
      <c r="F646" s="13" t="s">
        <v>238</v>
      </c>
      <c r="G646" s="14">
        <v>9090.9</v>
      </c>
      <c r="H646" s="14">
        <v>1909.0889999999999</v>
      </c>
      <c r="I646" s="14"/>
      <c r="J646" s="14"/>
      <c r="K646" s="14"/>
      <c r="L646" s="14"/>
      <c r="M646" s="14"/>
      <c r="N646" s="14"/>
      <c r="O646" s="14"/>
      <c r="P646" s="14"/>
      <c r="Q646" s="14">
        <v>10999.989</v>
      </c>
      <c r="R646" s="1"/>
    </row>
    <row r="647" spans="1:18" ht="18.75" x14ac:dyDescent="0.3">
      <c r="A647" s="8">
        <v>45299</v>
      </c>
      <c r="B647" s="9">
        <v>1</v>
      </c>
      <c r="C647" s="10">
        <v>106</v>
      </c>
      <c r="D647" s="11">
        <v>700842</v>
      </c>
      <c r="E647" s="12">
        <v>30594494187</v>
      </c>
      <c r="F647" s="13" t="s">
        <v>35</v>
      </c>
      <c r="G647" s="14">
        <v>59832</v>
      </c>
      <c r="H647" s="14">
        <v>12564.72</v>
      </c>
      <c r="I647" s="14"/>
      <c r="J647" s="14"/>
      <c r="K647" s="14"/>
      <c r="L647" s="14"/>
      <c r="M647" s="14"/>
      <c r="N647" s="14"/>
      <c r="O647" s="14"/>
      <c r="P647" s="14">
        <v>323630.63</v>
      </c>
      <c r="Q647" s="14">
        <v>396027.35</v>
      </c>
      <c r="R647" s="1"/>
    </row>
    <row r="648" spans="1:18" ht="18.75" x14ac:dyDescent="0.3">
      <c r="A648" s="8">
        <v>45300</v>
      </c>
      <c r="B648" s="9">
        <v>1</v>
      </c>
      <c r="C648" s="10">
        <v>2</v>
      </c>
      <c r="D648" s="11">
        <v>3966</v>
      </c>
      <c r="E648" s="12">
        <v>27271779289</v>
      </c>
      <c r="F648" s="13" t="s">
        <v>119</v>
      </c>
      <c r="G648" s="14">
        <v>46000</v>
      </c>
      <c r="H648" s="14">
        <v>9660</v>
      </c>
      <c r="I648" s="14"/>
      <c r="J648" s="14"/>
      <c r="K648" s="14"/>
      <c r="L648" s="14"/>
      <c r="M648" s="14"/>
      <c r="N648" s="14"/>
      <c r="O648" s="14"/>
      <c r="P648" s="14">
        <v>17001.599999999999</v>
      </c>
      <c r="Q648" s="14">
        <v>72661.600000000006</v>
      </c>
      <c r="R648" s="1"/>
    </row>
    <row r="649" spans="1:18" ht="18.75" x14ac:dyDescent="0.3">
      <c r="A649" s="8">
        <v>45300</v>
      </c>
      <c r="B649" s="9">
        <v>1</v>
      </c>
      <c r="C649" s="10">
        <v>4</v>
      </c>
      <c r="D649" s="11">
        <v>9581</v>
      </c>
      <c r="E649" s="12">
        <v>20161299937</v>
      </c>
      <c r="F649" s="13" t="s">
        <v>239</v>
      </c>
      <c r="G649" s="14">
        <v>9801.85</v>
      </c>
      <c r="H649" s="14">
        <v>2058.3885</v>
      </c>
      <c r="I649" s="14"/>
      <c r="J649" s="14"/>
      <c r="K649" s="14"/>
      <c r="L649" s="14"/>
      <c r="M649" s="14"/>
      <c r="N649" s="14"/>
      <c r="O649" s="14"/>
      <c r="P649" s="14"/>
      <c r="Q649" s="14">
        <v>11860.238499999999</v>
      </c>
      <c r="R649" s="1"/>
    </row>
    <row r="650" spans="1:18" ht="18.75" x14ac:dyDescent="0.3">
      <c r="A650" s="8">
        <v>45302</v>
      </c>
      <c r="B650" s="9">
        <v>1</v>
      </c>
      <c r="C650" s="10">
        <v>2466</v>
      </c>
      <c r="D650" s="11">
        <v>601379</v>
      </c>
      <c r="E650" s="12">
        <v>30678814357</v>
      </c>
      <c r="F650" s="13" t="s">
        <v>116</v>
      </c>
      <c r="G650" s="14">
        <v>8905</v>
      </c>
      <c r="H650" s="14"/>
      <c r="I650" s="14">
        <v>2404.35</v>
      </c>
      <c r="J650" s="14"/>
      <c r="K650" s="14">
        <v>267.14999999999998</v>
      </c>
      <c r="L650" s="14"/>
      <c r="M650" s="14"/>
      <c r="N650" s="14"/>
      <c r="O650" s="14"/>
      <c r="P650" s="14">
        <v>468.68</v>
      </c>
      <c r="Q650" s="14">
        <v>12045.18</v>
      </c>
      <c r="R650" s="1"/>
    </row>
    <row r="651" spans="1:18" ht="18.75" x14ac:dyDescent="0.3">
      <c r="A651" s="8">
        <v>45302</v>
      </c>
      <c r="B651" s="9">
        <v>1</v>
      </c>
      <c r="C651" s="10">
        <v>8</v>
      </c>
      <c r="D651" s="11">
        <v>127472</v>
      </c>
      <c r="E651" s="12">
        <v>30714295957</v>
      </c>
      <c r="F651" s="13" t="s">
        <v>240</v>
      </c>
      <c r="G651" s="14">
        <v>61529.41</v>
      </c>
      <c r="H651" s="14"/>
      <c r="I651" s="14"/>
      <c r="J651" s="14">
        <v>6460.59</v>
      </c>
      <c r="K651" s="14"/>
      <c r="L651" s="14"/>
      <c r="M651" s="14"/>
      <c r="N651" s="14"/>
      <c r="O651" s="14"/>
      <c r="P651" s="14"/>
      <c r="Q651" s="14">
        <v>67990</v>
      </c>
      <c r="R651" s="1"/>
    </row>
    <row r="652" spans="1:18" ht="18.75" x14ac:dyDescent="0.3">
      <c r="A652" s="8">
        <v>45304</v>
      </c>
      <c r="B652" s="9">
        <v>1</v>
      </c>
      <c r="C652" s="10">
        <v>6992</v>
      </c>
      <c r="D652" s="11">
        <v>20553</v>
      </c>
      <c r="E652" s="12">
        <v>30678774495</v>
      </c>
      <c r="F652" s="13" t="s">
        <v>58</v>
      </c>
      <c r="G652" s="14">
        <v>30844.17</v>
      </c>
      <c r="H652" s="14">
        <v>6477.2756999999992</v>
      </c>
      <c r="I652" s="14"/>
      <c r="J652" s="14"/>
      <c r="K652" s="14"/>
      <c r="L652" s="14"/>
      <c r="M652" s="14"/>
      <c r="N652" s="14"/>
      <c r="O652" s="14"/>
      <c r="P652" s="14">
        <v>1084.53</v>
      </c>
      <c r="Q652" s="14">
        <v>38405.975699999995</v>
      </c>
      <c r="R652" s="1"/>
    </row>
    <row r="653" spans="1:18" ht="18.75" x14ac:dyDescent="0.3">
      <c r="A653" s="8">
        <v>45306</v>
      </c>
      <c r="B653" s="9">
        <v>1</v>
      </c>
      <c r="C653" s="10">
        <v>700</v>
      </c>
      <c r="D653" s="11">
        <v>616330</v>
      </c>
      <c r="E653" s="12">
        <v>30580111315</v>
      </c>
      <c r="F653" s="13" t="s">
        <v>108</v>
      </c>
      <c r="G653" s="14">
        <v>0</v>
      </c>
      <c r="H653" s="14">
        <v>0</v>
      </c>
      <c r="I653" s="14"/>
      <c r="J653" s="14"/>
      <c r="K653" s="14"/>
      <c r="L653" s="14"/>
      <c r="M653" s="14"/>
      <c r="N653" s="14"/>
      <c r="O653" s="14"/>
      <c r="P653" s="14">
        <v>97427.654999999999</v>
      </c>
      <c r="Q653" s="14">
        <v>97427.654999999999</v>
      </c>
      <c r="R653" s="1"/>
    </row>
    <row r="654" spans="1:18" ht="18.75" x14ac:dyDescent="0.3">
      <c r="A654" s="8">
        <v>45306</v>
      </c>
      <c r="B654" s="9">
        <v>1</v>
      </c>
      <c r="C654" s="10">
        <v>7</v>
      </c>
      <c r="D654" s="11">
        <v>99485</v>
      </c>
      <c r="E654" s="12">
        <v>20181426846</v>
      </c>
      <c r="F654" s="13" t="s">
        <v>36</v>
      </c>
      <c r="G654" s="14">
        <v>8176.36</v>
      </c>
      <c r="H654" s="14">
        <v>1717.0355999999999</v>
      </c>
      <c r="I654" s="14"/>
      <c r="J654" s="14"/>
      <c r="K654" s="14"/>
      <c r="L654" s="14"/>
      <c r="M654" s="14"/>
      <c r="N654" s="14"/>
      <c r="O654" s="14"/>
      <c r="P654" s="14"/>
      <c r="Q654" s="14">
        <v>9893.3955999999998</v>
      </c>
      <c r="R654" s="1"/>
    </row>
    <row r="655" spans="1:18" ht="18.75" x14ac:dyDescent="0.3">
      <c r="A655" s="8">
        <v>45307</v>
      </c>
      <c r="B655" s="9">
        <v>1</v>
      </c>
      <c r="C655" s="10">
        <v>5</v>
      </c>
      <c r="D655" s="11">
        <v>8520</v>
      </c>
      <c r="E655" s="12">
        <v>33711557119</v>
      </c>
      <c r="F655" s="13" t="s">
        <v>140</v>
      </c>
      <c r="G655" s="14">
        <v>24347.11</v>
      </c>
      <c r="H655" s="14">
        <v>5112.8931000000002</v>
      </c>
      <c r="I655" s="14"/>
      <c r="J655" s="14"/>
      <c r="K655" s="14"/>
      <c r="L655" s="14"/>
      <c r="M655" s="14"/>
      <c r="N655" s="14"/>
      <c r="O655" s="14"/>
      <c r="P655" s="14"/>
      <c r="Q655" s="14">
        <v>29460.003100000002</v>
      </c>
      <c r="R655" s="1"/>
    </row>
    <row r="656" spans="1:18" ht="18.75" x14ac:dyDescent="0.3">
      <c r="A656" s="8">
        <v>45307</v>
      </c>
      <c r="B656" s="9">
        <v>1</v>
      </c>
      <c r="C656" s="10">
        <v>3</v>
      </c>
      <c r="D656" s="11">
        <v>1849</v>
      </c>
      <c r="E656" s="12">
        <v>27329924713</v>
      </c>
      <c r="F656" s="13" t="s">
        <v>237</v>
      </c>
      <c r="G656" s="14">
        <v>18037.189999999999</v>
      </c>
      <c r="H656" s="14">
        <v>3787.8098999999997</v>
      </c>
      <c r="I656" s="14"/>
      <c r="J656" s="14"/>
      <c r="K656" s="14"/>
      <c r="L656" s="14"/>
      <c r="M656" s="14"/>
      <c r="N656" s="14"/>
      <c r="O656" s="14"/>
      <c r="P656" s="14"/>
      <c r="Q656" s="14">
        <v>21824.999899999999</v>
      </c>
      <c r="R656" s="1"/>
    </row>
    <row r="657" spans="1:18" ht="18.75" x14ac:dyDescent="0.3">
      <c r="A657" s="8">
        <v>45307</v>
      </c>
      <c r="B657" s="9">
        <v>1</v>
      </c>
      <c r="C657" s="10">
        <v>106</v>
      </c>
      <c r="D657" s="11">
        <v>703013</v>
      </c>
      <c r="E657" s="12">
        <v>30594494187</v>
      </c>
      <c r="F657" s="13" t="s">
        <v>35</v>
      </c>
      <c r="G657" s="14">
        <v>0</v>
      </c>
      <c r="H657" s="14">
        <v>0</v>
      </c>
      <c r="I657" s="14"/>
      <c r="J657" s="14"/>
      <c r="K657" s="14"/>
      <c r="L657" s="14"/>
      <c r="M657" s="14"/>
      <c r="N657" s="14"/>
      <c r="O657" s="14"/>
      <c r="P657" s="14">
        <v>132343.20000000001</v>
      </c>
      <c r="Q657" s="14">
        <v>132343.20000000001</v>
      </c>
      <c r="R657" s="1"/>
    </row>
    <row r="658" spans="1:18" ht="18.75" x14ac:dyDescent="0.3">
      <c r="A658" s="8">
        <v>45308</v>
      </c>
      <c r="B658" s="9">
        <v>1</v>
      </c>
      <c r="C658" s="10">
        <v>8</v>
      </c>
      <c r="D658" s="11">
        <v>610</v>
      </c>
      <c r="E658" s="12">
        <v>30716091216</v>
      </c>
      <c r="F658" s="13" t="s">
        <v>241</v>
      </c>
      <c r="G658" s="14">
        <v>58714.879999999997</v>
      </c>
      <c r="H658" s="14">
        <v>12330.1248</v>
      </c>
      <c r="I658" s="14"/>
      <c r="J658" s="14"/>
      <c r="K658" s="14"/>
      <c r="L658" s="14"/>
      <c r="M658" s="14"/>
      <c r="N658" s="14"/>
      <c r="O658" s="14"/>
      <c r="P658" s="14"/>
      <c r="Q658" s="14">
        <v>71045.004799999995</v>
      </c>
      <c r="R658" s="1"/>
    </row>
    <row r="659" spans="1:18" ht="18.75" x14ac:dyDescent="0.3">
      <c r="A659" s="8">
        <v>45308</v>
      </c>
      <c r="B659" s="9">
        <v>1</v>
      </c>
      <c r="C659" s="10">
        <v>3</v>
      </c>
      <c r="D659" s="11">
        <v>1838671</v>
      </c>
      <c r="E659" s="12">
        <v>30712019359</v>
      </c>
      <c r="F659" s="13" t="s">
        <v>42</v>
      </c>
      <c r="G659" s="14">
        <v>18180.990000000002</v>
      </c>
      <c r="H659" s="14">
        <v>3818.0079000000001</v>
      </c>
      <c r="I659" s="14"/>
      <c r="J659" s="14"/>
      <c r="K659" s="14"/>
      <c r="L659" s="14"/>
      <c r="M659" s="14"/>
      <c r="N659" s="14"/>
      <c r="O659" s="14"/>
      <c r="P659" s="14"/>
      <c r="Q659" s="14">
        <v>21998.997900000002</v>
      </c>
      <c r="R659" s="1"/>
    </row>
    <row r="660" spans="1:18" ht="18.75" x14ac:dyDescent="0.3">
      <c r="A660" s="8">
        <v>45309</v>
      </c>
      <c r="B660" s="9">
        <v>1</v>
      </c>
      <c r="C660" s="10">
        <v>5</v>
      </c>
      <c r="D660" s="11">
        <v>8547</v>
      </c>
      <c r="E660" s="12">
        <v>33711557119</v>
      </c>
      <c r="F660" s="13" t="s">
        <v>140</v>
      </c>
      <c r="G660" s="14">
        <v>1960.72</v>
      </c>
      <c r="H660" s="14">
        <v>169.82</v>
      </c>
      <c r="I660" s="14"/>
      <c r="J660" s="14">
        <v>120.96</v>
      </c>
      <c r="K660" s="14"/>
      <c r="L660" s="14"/>
      <c r="M660" s="14"/>
      <c r="N660" s="14"/>
      <c r="O660" s="14"/>
      <c r="P660" s="14"/>
      <c r="Q660" s="14">
        <v>2251.5</v>
      </c>
      <c r="R660" s="1"/>
    </row>
    <row r="661" spans="1:18" ht="18.75" x14ac:dyDescent="0.3">
      <c r="A661" s="8">
        <v>45309</v>
      </c>
      <c r="B661" s="9">
        <v>1</v>
      </c>
      <c r="C661" s="10">
        <v>1</v>
      </c>
      <c r="D661" s="11">
        <v>3863</v>
      </c>
      <c r="E661" s="12">
        <v>30716831198</v>
      </c>
      <c r="F661" s="13" t="s">
        <v>178</v>
      </c>
      <c r="G661" s="14">
        <v>37417.72</v>
      </c>
      <c r="H661" s="14">
        <v>7857.7212</v>
      </c>
      <c r="I661" s="14"/>
      <c r="J661" s="14"/>
      <c r="K661" s="14"/>
      <c r="L661" s="14"/>
      <c r="M661" s="14"/>
      <c r="N661" s="14"/>
      <c r="O661" s="14"/>
      <c r="P661" s="14"/>
      <c r="Q661" s="14">
        <v>45275.441200000001</v>
      </c>
      <c r="R661" s="1"/>
    </row>
    <row r="662" spans="1:18" ht="18.75" x14ac:dyDescent="0.3">
      <c r="A662" s="8">
        <v>45310</v>
      </c>
      <c r="B662" s="9">
        <v>2</v>
      </c>
      <c r="C662" s="10">
        <v>755</v>
      </c>
      <c r="D662" s="11">
        <v>11250</v>
      </c>
      <c r="E662" s="12">
        <v>30580111315</v>
      </c>
      <c r="F662" s="13" t="s">
        <v>108</v>
      </c>
      <c r="G662" s="14">
        <v>0</v>
      </c>
      <c r="H662" s="14">
        <v>0</v>
      </c>
      <c r="I662" s="14"/>
      <c r="J662" s="14"/>
      <c r="K662" s="14"/>
      <c r="L662" s="14"/>
      <c r="M662" s="14"/>
      <c r="N662" s="14"/>
      <c r="O662" s="14"/>
      <c r="P662" s="14">
        <v>36470.35</v>
      </c>
      <c r="Q662" s="14">
        <v>36470.35</v>
      </c>
      <c r="R662" s="1"/>
    </row>
    <row r="663" spans="1:18" ht="18.75" x14ac:dyDescent="0.3">
      <c r="A663" s="8">
        <v>45310</v>
      </c>
      <c r="B663" s="9">
        <v>2</v>
      </c>
      <c r="C663" s="10">
        <v>755</v>
      </c>
      <c r="D663" s="11">
        <v>11249</v>
      </c>
      <c r="E663" s="12">
        <v>30580111315</v>
      </c>
      <c r="F663" s="13" t="s">
        <v>108</v>
      </c>
      <c r="G663" s="14">
        <v>0</v>
      </c>
      <c r="H663" s="14">
        <v>0</v>
      </c>
      <c r="I663" s="14"/>
      <c r="J663" s="14"/>
      <c r="K663" s="14"/>
      <c r="L663" s="14"/>
      <c r="M663" s="14"/>
      <c r="N663" s="14"/>
      <c r="O663" s="14"/>
      <c r="P663" s="14">
        <v>265807.99</v>
      </c>
      <c r="Q663" s="14">
        <v>265807.99</v>
      </c>
      <c r="R663" s="1"/>
    </row>
    <row r="664" spans="1:18" ht="18.75" x14ac:dyDescent="0.3">
      <c r="A664" s="8">
        <v>45313</v>
      </c>
      <c r="B664" s="9">
        <v>1</v>
      </c>
      <c r="C664" s="10">
        <v>3</v>
      </c>
      <c r="D664" s="11">
        <v>25997</v>
      </c>
      <c r="E664" s="12">
        <v>30709511846</v>
      </c>
      <c r="F664" s="13" t="s">
        <v>77</v>
      </c>
      <c r="G664" s="14">
        <v>12396.38</v>
      </c>
      <c r="H664" s="14"/>
      <c r="I664" s="14"/>
      <c r="J664" s="14">
        <v>1301.6199999999999</v>
      </c>
      <c r="K664" s="14"/>
      <c r="L664" s="14"/>
      <c r="M664" s="14"/>
      <c r="N664" s="14"/>
      <c r="O664" s="14"/>
      <c r="P664" s="14"/>
      <c r="Q664" s="14">
        <v>13698</v>
      </c>
      <c r="R664" s="1"/>
    </row>
    <row r="665" spans="1:18" ht="18.75" x14ac:dyDescent="0.3">
      <c r="A665" s="8">
        <v>45313</v>
      </c>
      <c r="B665" s="9">
        <v>1</v>
      </c>
      <c r="C665" s="10">
        <v>5</v>
      </c>
      <c r="D665" s="11">
        <v>840</v>
      </c>
      <c r="E665" s="12">
        <v>23136956159</v>
      </c>
      <c r="F665" s="13" t="s">
        <v>242</v>
      </c>
      <c r="G665" s="14">
        <v>4041.07</v>
      </c>
      <c r="H665" s="14">
        <v>848.62469999999996</v>
      </c>
      <c r="I665" s="14"/>
      <c r="J665" s="14"/>
      <c r="K665" s="14"/>
      <c r="L665" s="14"/>
      <c r="M665" s="14"/>
      <c r="N665" s="14"/>
      <c r="O665" s="14"/>
      <c r="P665" s="14"/>
      <c r="Q665" s="14">
        <v>4889.6947</v>
      </c>
      <c r="R665" s="1"/>
    </row>
    <row r="666" spans="1:18" ht="18.75" x14ac:dyDescent="0.3">
      <c r="A666" s="8">
        <v>45314</v>
      </c>
      <c r="B666" s="9">
        <v>1</v>
      </c>
      <c r="C666" s="10">
        <v>2</v>
      </c>
      <c r="D666" s="11">
        <v>193</v>
      </c>
      <c r="E666" s="12">
        <v>20125142851</v>
      </c>
      <c r="F666" s="13" t="s">
        <v>19</v>
      </c>
      <c r="G666" s="14">
        <v>1202065.8999999999</v>
      </c>
      <c r="H666" s="14">
        <v>252433.83899999998</v>
      </c>
      <c r="I666" s="14"/>
      <c r="J666" s="14"/>
      <c r="K666" s="14"/>
      <c r="L666" s="14"/>
      <c r="M666" s="14"/>
      <c r="N666" s="14"/>
      <c r="O666" s="14"/>
      <c r="P666" s="14"/>
      <c r="Q666" s="14">
        <v>1454499.7389999998</v>
      </c>
      <c r="R666" s="1"/>
    </row>
    <row r="667" spans="1:18" ht="18.75" x14ac:dyDescent="0.3">
      <c r="A667" s="8">
        <v>45314</v>
      </c>
      <c r="B667" s="9">
        <v>1</v>
      </c>
      <c r="C667" s="10">
        <v>4</v>
      </c>
      <c r="D667" s="11">
        <v>12697</v>
      </c>
      <c r="E667" s="12">
        <v>33716493119</v>
      </c>
      <c r="F667" s="13" t="s">
        <v>243</v>
      </c>
      <c r="G667" s="14">
        <v>8982.64</v>
      </c>
      <c r="H667" s="14">
        <v>1886.3543999999997</v>
      </c>
      <c r="I667" s="14"/>
      <c r="J667" s="14"/>
      <c r="K667" s="14"/>
      <c r="L667" s="14"/>
      <c r="M667" s="14"/>
      <c r="N667" s="14"/>
      <c r="O667" s="14"/>
      <c r="P667" s="14"/>
      <c r="Q667" s="14">
        <v>10868.9944</v>
      </c>
      <c r="R667" s="1"/>
    </row>
    <row r="668" spans="1:18" ht="18.75" x14ac:dyDescent="0.3">
      <c r="A668" s="8">
        <v>45315</v>
      </c>
      <c r="B668" s="9">
        <v>1</v>
      </c>
      <c r="C668" s="10">
        <v>3</v>
      </c>
      <c r="D668" s="11">
        <v>764</v>
      </c>
      <c r="E668" s="12">
        <v>27424730608</v>
      </c>
      <c r="F668" s="13" t="s">
        <v>190</v>
      </c>
      <c r="G668" s="14">
        <v>23140.5</v>
      </c>
      <c r="H668" s="14">
        <v>4859.5050000000001</v>
      </c>
      <c r="I668" s="14"/>
      <c r="J668" s="14"/>
      <c r="K668" s="14"/>
      <c r="L668" s="14"/>
      <c r="M668" s="14"/>
      <c r="N668" s="14"/>
      <c r="O668" s="14"/>
      <c r="P668" s="14"/>
      <c r="Q668" s="14">
        <v>28000.005000000001</v>
      </c>
      <c r="R668" s="1"/>
    </row>
    <row r="669" spans="1:18" ht="18.75" x14ac:dyDescent="0.3">
      <c r="A669" s="8">
        <v>45315</v>
      </c>
      <c r="B669" s="9">
        <v>1</v>
      </c>
      <c r="C669" s="10">
        <v>15</v>
      </c>
      <c r="D669" s="11">
        <v>30887</v>
      </c>
      <c r="E669" s="12">
        <v>33708907869</v>
      </c>
      <c r="F669" s="13" t="s">
        <v>144</v>
      </c>
      <c r="G669" s="14">
        <v>30154.87</v>
      </c>
      <c r="H669" s="14">
        <v>497.75</v>
      </c>
      <c r="I669" s="14"/>
      <c r="J669" s="14">
        <v>2917.38</v>
      </c>
      <c r="K669" s="14"/>
      <c r="L669" s="14"/>
      <c r="M669" s="14"/>
      <c r="N669" s="14"/>
      <c r="O669" s="14"/>
      <c r="P669" s="14"/>
      <c r="Q669" s="14">
        <v>33570</v>
      </c>
      <c r="R669" s="1"/>
    </row>
    <row r="670" spans="1:18" ht="18.75" x14ac:dyDescent="0.3">
      <c r="A670" s="8">
        <v>45315</v>
      </c>
      <c r="B670" s="9">
        <v>1</v>
      </c>
      <c r="C670" s="10">
        <v>15</v>
      </c>
      <c r="D670" s="11">
        <v>7042</v>
      </c>
      <c r="E670" s="12">
        <v>30708003316</v>
      </c>
      <c r="F670" s="13" t="s">
        <v>22</v>
      </c>
      <c r="G670" s="14">
        <v>27271.9</v>
      </c>
      <c r="H670" s="14">
        <v>5727.0990000000002</v>
      </c>
      <c r="I670" s="14"/>
      <c r="J670" s="14"/>
      <c r="K670" s="14"/>
      <c r="L670" s="14"/>
      <c r="M670" s="14"/>
      <c r="N670" s="14"/>
      <c r="O670" s="14"/>
      <c r="P670" s="14"/>
      <c r="Q670" s="14">
        <v>32998.999000000003</v>
      </c>
      <c r="R670" s="1"/>
    </row>
    <row r="671" spans="1:18" ht="18.75" x14ac:dyDescent="0.3">
      <c r="A671" s="8">
        <v>45316</v>
      </c>
      <c r="B671" s="9">
        <v>1</v>
      </c>
      <c r="C671" s="10">
        <v>10</v>
      </c>
      <c r="D671" s="11">
        <v>15014</v>
      </c>
      <c r="E671" s="12">
        <v>20357254435</v>
      </c>
      <c r="F671" s="13" t="s">
        <v>244</v>
      </c>
      <c r="G671" s="14">
        <v>22440.5</v>
      </c>
      <c r="H671" s="14">
        <v>4712.5050000000001</v>
      </c>
      <c r="I671" s="14"/>
      <c r="J671" s="14"/>
      <c r="K671" s="14"/>
      <c r="L671" s="14"/>
      <c r="M671" s="14"/>
      <c r="N671" s="14"/>
      <c r="O671" s="14"/>
      <c r="P671" s="14"/>
      <c r="Q671" s="14">
        <v>27153.005000000001</v>
      </c>
      <c r="R671" s="1"/>
    </row>
    <row r="672" spans="1:18" ht="18.75" x14ac:dyDescent="0.3">
      <c r="A672" s="8">
        <v>45317</v>
      </c>
      <c r="B672" s="9">
        <v>1</v>
      </c>
      <c r="C672" s="10">
        <v>2</v>
      </c>
      <c r="D672" s="11">
        <v>931</v>
      </c>
      <c r="E672" s="12">
        <v>30500805222</v>
      </c>
      <c r="F672" s="13" t="s">
        <v>245</v>
      </c>
      <c r="G672" s="14">
        <v>2253000</v>
      </c>
      <c r="H672" s="14">
        <v>473130</v>
      </c>
      <c r="I672" s="14"/>
      <c r="J672" s="14"/>
      <c r="K672" s="14"/>
      <c r="L672" s="14"/>
      <c r="M672" s="14"/>
      <c r="N672" s="14"/>
      <c r="O672" s="14"/>
      <c r="P672" s="14"/>
      <c r="Q672" s="14">
        <v>2726130</v>
      </c>
      <c r="R672" s="1"/>
    </row>
    <row r="673" spans="1:18" ht="18.75" x14ac:dyDescent="0.3">
      <c r="A673" s="8">
        <v>45317</v>
      </c>
      <c r="B673" s="9">
        <v>1</v>
      </c>
      <c r="C673" s="10">
        <v>15</v>
      </c>
      <c r="D673" s="11">
        <v>31173</v>
      </c>
      <c r="E673" s="12">
        <v>33708907869</v>
      </c>
      <c r="F673" s="13" t="s">
        <v>144</v>
      </c>
      <c r="G673" s="14">
        <v>11851.24</v>
      </c>
      <c r="H673" s="14">
        <v>2488.7603999999997</v>
      </c>
      <c r="I673" s="14"/>
      <c r="J673" s="14"/>
      <c r="K673" s="14"/>
      <c r="L673" s="14"/>
      <c r="M673" s="14"/>
      <c r="N673" s="14"/>
      <c r="O673" s="14"/>
      <c r="P673" s="14"/>
      <c r="Q673" s="14">
        <v>14340.000399999999</v>
      </c>
      <c r="R673" s="1"/>
    </row>
    <row r="674" spans="1:18" ht="18.75" x14ac:dyDescent="0.3">
      <c r="A674" s="8">
        <v>45317</v>
      </c>
      <c r="B674" s="9">
        <v>1</v>
      </c>
      <c r="C674" s="10">
        <v>2</v>
      </c>
      <c r="D674" s="11">
        <v>2707</v>
      </c>
      <c r="E674" s="12">
        <v>30715162497</v>
      </c>
      <c r="F674" s="13" t="s">
        <v>246</v>
      </c>
      <c r="G674" s="14">
        <v>10742.98</v>
      </c>
      <c r="H674" s="14">
        <v>2256.0257999999999</v>
      </c>
      <c r="I674" s="14"/>
      <c r="J674" s="14"/>
      <c r="K674" s="14"/>
      <c r="L674" s="14"/>
      <c r="M674" s="14"/>
      <c r="N674" s="14"/>
      <c r="O674" s="14"/>
      <c r="P674" s="14"/>
      <c r="Q674" s="14">
        <v>12999.005799999999</v>
      </c>
      <c r="R674" s="1"/>
    </row>
    <row r="675" spans="1:18" ht="18.75" x14ac:dyDescent="0.3">
      <c r="A675" s="8">
        <v>45318</v>
      </c>
      <c r="B675" s="9">
        <v>1</v>
      </c>
      <c r="C675" s="10">
        <v>15</v>
      </c>
      <c r="D675" s="11">
        <v>7220</v>
      </c>
      <c r="E675" s="12">
        <v>30708003316</v>
      </c>
      <c r="F675" s="13" t="s">
        <v>22</v>
      </c>
      <c r="G675" s="14">
        <v>21485.95</v>
      </c>
      <c r="H675" s="14">
        <v>4512.0495000000001</v>
      </c>
      <c r="I675" s="14"/>
      <c r="J675" s="14"/>
      <c r="K675" s="14"/>
      <c r="L675" s="14"/>
      <c r="M675" s="14"/>
      <c r="N675" s="14"/>
      <c r="O675" s="14"/>
      <c r="P675" s="14"/>
      <c r="Q675" s="14">
        <v>25997.999500000002</v>
      </c>
      <c r="R675" s="1"/>
    </row>
    <row r="676" spans="1:18" ht="18.75" x14ac:dyDescent="0.3">
      <c r="A676" s="8">
        <v>45320</v>
      </c>
      <c r="B676" s="9">
        <v>1</v>
      </c>
      <c r="C676" s="10">
        <v>6</v>
      </c>
      <c r="D676" s="11">
        <v>3107</v>
      </c>
      <c r="E676" s="12">
        <v>30707591168</v>
      </c>
      <c r="F676" s="13" t="s">
        <v>247</v>
      </c>
      <c r="G676" s="14">
        <v>12674.045</v>
      </c>
      <c r="H676" s="14">
        <v>2661.54945</v>
      </c>
      <c r="I676" s="14"/>
      <c r="J676" s="14"/>
      <c r="K676" s="14"/>
      <c r="L676" s="14"/>
      <c r="M676" s="14"/>
      <c r="N676" s="14"/>
      <c r="O676" s="14"/>
      <c r="P676" s="14"/>
      <c r="Q676" s="14">
        <v>15335.594450000001</v>
      </c>
      <c r="R676" s="1"/>
    </row>
    <row r="677" spans="1:18" ht="18.75" x14ac:dyDescent="0.3">
      <c r="A677" s="8">
        <v>45320</v>
      </c>
      <c r="B677" s="9">
        <v>1</v>
      </c>
      <c r="C677" s="10">
        <v>9</v>
      </c>
      <c r="D677" s="11">
        <v>6096</v>
      </c>
      <c r="E677" s="12">
        <v>30709953482</v>
      </c>
      <c r="F677" s="13" t="s">
        <v>175</v>
      </c>
      <c r="G677" s="14">
        <v>24647.02</v>
      </c>
      <c r="H677" s="14">
        <v>5175.8742000000002</v>
      </c>
      <c r="I677" s="14"/>
      <c r="J677" s="14"/>
      <c r="K677" s="14"/>
      <c r="L677" s="14"/>
      <c r="M677" s="14"/>
      <c r="N677" s="14"/>
      <c r="O677" s="14"/>
      <c r="P677" s="14"/>
      <c r="Q677" s="14">
        <v>29822.894200000002</v>
      </c>
      <c r="R677" s="1"/>
    </row>
    <row r="678" spans="1:18" ht="18.75" x14ac:dyDescent="0.3">
      <c r="A678" s="8">
        <v>45321</v>
      </c>
      <c r="B678" s="9">
        <v>1</v>
      </c>
      <c r="C678" s="10">
        <v>7</v>
      </c>
      <c r="D678" s="11">
        <v>9532</v>
      </c>
      <c r="E678" s="12">
        <v>27924079008</v>
      </c>
      <c r="F678" s="13" t="s">
        <v>208</v>
      </c>
      <c r="G678" s="14">
        <v>542892.56000000006</v>
      </c>
      <c r="H678" s="14">
        <v>114007.4376</v>
      </c>
      <c r="I678" s="14"/>
      <c r="J678" s="14"/>
      <c r="K678" s="14"/>
      <c r="L678" s="14"/>
      <c r="M678" s="14"/>
      <c r="N678" s="14"/>
      <c r="O678" s="14"/>
      <c r="P678" s="14"/>
      <c r="Q678" s="14">
        <v>656899.99760000012</v>
      </c>
      <c r="R678" s="1"/>
    </row>
    <row r="679" spans="1:18" ht="18.75" x14ac:dyDescent="0.3">
      <c r="A679" s="8">
        <v>45321</v>
      </c>
      <c r="B679" s="9">
        <v>1</v>
      </c>
      <c r="C679" s="10">
        <v>3</v>
      </c>
      <c r="D679" s="11">
        <v>4469</v>
      </c>
      <c r="E679" s="12">
        <v>30710585411</v>
      </c>
      <c r="F679" s="13" t="s">
        <v>248</v>
      </c>
      <c r="G679" s="14">
        <v>22601.65</v>
      </c>
      <c r="H679" s="14">
        <v>4746.3465000000006</v>
      </c>
      <c r="I679" s="14"/>
      <c r="J679" s="14"/>
      <c r="K679" s="14"/>
      <c r="L679" s="14"/>
      <c r="M679" s="14"/>
      <c r="N679" s="14"/>
      <c r="O679" s="14"/>
      <c r="P679" s="14"/>
      <c r="Q679" s="14">
        <v>27347.996500000001</v>
      </c>
      <c r="R679" s="1"/>
    </row>
    <row r="680" spans="1:18" ht="18.75" x14ac:dyDescent="0.3">
      <c r="A680" s="8">
        <v>45322</v>
      </c>
      <c r="B680" s="9">
        <v>1</v>
      </c>
      <c r="C680" s="10">
        <v>6</v>
      </c>
      <c r="D680" s="11">
        <v>13879</v>
      </c>
      <c r="E680" s="12">
        <v>30707756434</v>
      </c>
      <c r="F680" s="13" t="s">
        <v>61</v>
      </c>
      <c r="G680" s="14">
        <v>85500</v>
      </c>
      <c r="H680" s="14">
        <v>17955</v>
      </c>
      <c r="I680" s="14"/>
      <c r="J680" s="14"/>
      <c r="K680" s="14"/>
      <c r="L680" s="14"/>
      <c r="M680" s="14"/>
      <c r="N680" s="14"/>
      <c r="O680" s="14"/>
      <c r="P680" s="14"/>
      <c r="Q680" s="14">
        <v>103455</v>
      </c>
      <c r="R680" s="1"/>
    </row>
    <row r="681" spans="1:18" ht="18.75" x14ac:dyDescent="0.3">
      <c r="A681" s="8">
        <v>45322</v>
      </c>
      <c r="B681" s="9">
        <v>1</v>
      </c>
      <c r="C681" s="10">
        <v>1</v>
      </c>
      <c r="D681" s="11">
        <v>724</v>
      </c>
      <c r="E681" s="12">
        <v>30715048066</v>
      </c>
      <c r="F681" s="13" t="s">
        <v>23</v>
      </c>
      <c r="G681" s="14">
        <v>363655</v>
      </c>
      <c r="H681" s="14">
        <v>76367.55</v>
      </c>
      <c r="I681" s="14"/>
      <c r="J681" s="14"/>
      <c r="K681" s="14"/>
      <c r="L681" s="14"/>
      <c r="M681" s="14"/>
      <c r="N681" s="14"/>
      <c r="O681" s="14"/>
      <c r="P681" s="14"/>
      <c r="Q681" s="14">
        <v>440022.55</v>
      </c>
      <c r="R681" s="1"/>
    </row>
    <row r="682" spans="1:18" ht="18.75" x14ac:dyDescent="0.3">
      <c r="A682" s="8">
        <v>45322</v>
      </c>
      <c r="B682" s="9">
        <v>99</v>
      </c>
      <c r="C682" s="10">
        <v>1</v>
      </c>
      <c r="D682" s="11">
        <v>31012024</v>
      </c>
      <c r="E682" s="12">
        <v>30571421352</v>
      </c>
      <c r="F682" s="13" t="s">
        <v>43</v>
      </c>
      <c r="G682" s="14">
        <v>21075</v>
      </c>
      <c r="H682" s="14">
        <v>4425.75</v>
      </c>
      <c r="I682" s="14"/>
      <c r="J682" s="14"/>
      <c r="K682" s="14"/>
      <c r="L682" s="14"/>
      <c r="M682" s="14">
        <v>129</v>
      </c>
      <c r="N682" s="14"/>
      <c r="O682" s="14"/>
      <c r="P682" s="14"/>
      <c r="Q682" s="14">
        <f>SUM(G682:P682)</f>
        <v>25629.75</v>
      </c>
    </row>
    <row r="683" spans="1:18" ht="18.75" x14ac:dyDescent="0.3">
      <c r="A683" s="8">
        <v>45296</v>
      </c>
      <c r="B683" s="9">
        <v>99</v>
      </c>
      <c r="C683" s="10">
        <v>1</v>
      </c>
      <c r="D683" s="11">
        <v>1058920</v>
      </c>
      <c r="E683" s="12">
        <v>30571421352</v>
      </c>
      <c r="F683" s="13" t="s">
        <v>43</v>
      </c>
      <c r="G683" s="14">
        <v>20305</v>
      </c>
      <c r="H683" s="14">
        <v>4264.05</v>
      </c>
      <c r="I683" s="14"/>
      <c r="J683" s="14"/>
      <c r="K683" s="14"/>
      <c r="L683" s="14"/>
      <c r="M683" s="14">
        <v>609.15</v>
      </c>
      <c r="N683" s="14"/>
      <c r="O683" s="14"/>
      <c r="P683" s="14"/>
      <c r="Q683" s="14">
        <f>SUM(G683:P683)</f>
        <v>25178.2</v>
      </c>
    </row>
    <row r="684" spans="1:18" ht="19.5" thickBot="1" x14ac:dyDescent="0.35">
      <c r="A684" s="23" t="s">
        <v>17</v>
      </c>
      <c r="B684" s="23"/>
      <c r="C684" s="23"/>
      <c r="D684" s="23"/>
      <c r="E684" s="23"/>
      <c r="F684" s="23"/>
      <c r="G684" s="17">
        <f>SUM(G639:G683)</f>
        <v>5276334.3250000011</v>
      </c>
      <c r="H684" s="17">
        <f t="shared" ref="H684:Q684" si="19">SUM(H639:H683)</f>
        <v>1084559.0384500001</v>
      </c>
      <c r="I684" s="17">
        <f t="shared" si="19"/>
        <v>2404.35</v>
      </c>
      <c r="J684" s="17">
        <f t="shared" si="19"/>
        <v>10800.55</v>
      </c>
      <c r="K684" s="17">
        <f t="shared" si="19"/>
        <v>267.14999999999998</v>
      </c>
      <c r="L684" s="17">
        <f t="shared" si="19"/>
        <v>0</v>
      </c>
      <c r="M684" s="17">
        <f t="shared" si="19"/>
        <v>738.15</v>
      </c>
      <c r="N684" s="17">
        <f t="shared" si="19"/>
        <v>0</v>
      </c>
      <c r="O684" s="17">
        <f t="shared" si="19"/>
        <v>0</v>
      </c>
      <c r="P684" s="17">
        <f t="shared" si="19"/>
        <v>1371546.6925000001</v>
      </c>
      <c r="Q684" s="17">
        <f t="shared" si="19"/>
        <v>7746650.2559500011</v>
      </c>
    </row>
    <row r="685" spans="1:18" ht="19.5" thickBot="1" x14ac:dyDescent="0.35">
      <c r="A685" s="15"/>
      <c r="B685" s="15"/>
      <c r="C685" s="15"/>
      <c r="D685" s="15"/>
      <c r="E685" s="15"/>
      <c r="F685" s="15"/>
      <c r="G685" s="16"/>
      <c r="H685" s="18"/>
      <c r="I685" s="19">
        <f>SUM(H684:J684)</f>
        <v>1097763.9384500002</v>
      </c>
      <c r="J685" s="20"/>
      <c r="K685" s="16"/>
      <c r="L685" s="16"/>
      <c r="M685" s="16"/>
      <c r="N685" s="16"/>
      <c r="O685" s="16"/>
      <c r="P685" s="16"/>
      <c r="Q685" s="16"/>
    </row>
    <row r="686" spans="1:18" ht="15.75" x14ac:dyDescent="0.25">
      <c r="A686" s="4"/>
      <c r="B686" s="4"/>
      <c r="C686" s="4"/>
      <c r="D686" s="4"/>
      <c r="E686" s="4"/>
      <c r="F686" s="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91" spans="1:18" ht="29.25" thickBot="1" x14ac:dyDescent="0.5">
      <c r="A691" s="24" t="s">
        <v>0</v>
      </c>
      <c r="B691" s="24"/>
      <c r="C691" s="24"/>
      <c r="D691" s="24"/>
      <c r="E691" s="24"/>
      <c r="F691" s="21"/>
      <c r="G691" s="22"/>
      <c r="H691" s="22"/>
      <c r="I691" s="22"/>
      <c r="J691" s="22"/>
      <c r="K691" s="22"/>
      <c r="L691" s="22"/>
      <c r="M691" s="22"/>
      <c r="N691" s="22"/>
      <c r="O691" s="25">
        <v>45323</v>
      </c>
      <c r="P691" s="26"/>
      <c r="Q691" s="26"/>
    </row>
    <row r="692" spans="1:18" ht="18.75" x14ac:dyDescent="0.3">
      <c r="A692" s="6" t="s">
        <v>1</v>
      </c>
      <c r="B692" s="6" t="s">
        <v>2</v>
      </c>
      <c r="C692" s="6" t="s">
        <v>3</v>
      </c>
      <c r="D692" s="6" t="s">
        <v>4</v>
      </c>
      <c r="E692" s="6" t="s">
        <v>5</v>
      </c>
      <c r="F692" s="6" t="s">
        <v>6</v>
      </c>
      <c r="G692" s="7" t="s">
        <v>7</v>
      </c>
      <c r="H692" s="7" t="s">
        <v>8</v>
      </c>
      <c r="I692" s="7" t="s">
        <v>9</v>
      </c>
      <c r="J692" s="7" t="s">
        <v>10</v>
      </c>
      <c r="K692" s="7" t="s">
        <v>11</v>
      </c>
      <c r="L692" s="7" t="s">
        <v>12</v>
      </c>
      <c r="M692" s="7" t="s">
        <v>13</v>
      </c>
      <c r="N692" s="7" t="s">
        <v>14</v>
      </c>
      <c r="O692" s="7" t="s">
        <v>15</v>
      </c>
      <c r="P692" s="7" t="s">
        <v>16</v>
      </c>
      <c r="Q692" s="7" t="s">
        <v>17</v>
      </c>
    </row>
    <row r="693" spans="1:18" ht="18.75" x14ac:dyDescent="0.3">
      <c r="A693" s="8">
        <v>45323</v>
      </c>
      <c r="B693" s="9">
        <v>1</v>
      </c>
      <c r="C693" s="10">
        <v>3</v>
      </c>
      <c r="D693" s="11">
        <v>217815</v>
      </c>
      <c r="E693" s="12">
        <v>30707135596</v>
      </c>
      <c r="F693" s="13" t="s">
        <v>117</v>
      </c>
      <c r="G693" s="14">
        <v>12400.51</v>
      </c>
      <c r="H693" s="14">
        <v>2604.1071000000002</v>
      </c>
      <c r="I693" s="14"/>
      <c r="J693" s="14"/>
      <c r="K693" s="14"/>
      <c r="L693" s="14"/>
      <c r="M693" s="14"/>
      <c r="N693" s="14"/>
      <c r="O693" s="14"/>
      <c r="P693" s="14"/>
      <c r="Q693" s="14">
        <v>15004.617099999999</v>
      </c>
      <c r="R693" s="1"/>
    </row>
    <row r="694" spans="1:18" ht="18.75" x14ac:dyDescent="0.3">
      <c r="A694" s="8">
        <v>45323</v>
      </c>
      <c r="B694" s="9">
        <v>1</v>
      </c>
      <c r="C694" s="10">
        <v>5</v>
      </c>
      <c r="D694" s="11">
        <v>4233</v>
      </c>
      <c r="E694" s="12">
        <v>23287538839</v>
      </c>
      <c r="F694" s="13" t="s">
        <v>124</v>
      </c>
      <c r="G694" s="14">
        <v>19628.099999999999</v>
      </c>
      <c r="H694" s="14">
        <v>4121.9009999999998</v>
      </c>
      <c r="I694" s="14"/>
      <c r="J694" s="14"/>
      <c r="K694" s="14"/>
      <c r="L694" s="14"/>
      <c r="M694" s="14"/>
      <c r="N694" s="14"/>
      <c r="O694" s="14"/>
      <c r="P694" s="14"/>
      <c r="Q694" s="14">
        <v>23750.000999999997</v>
      </c>
      <c r="R694" s="1"/>
    </row>
    <row r="695" spans="1:18" ht="18.75" x14ac:dyDescent="0.3">
      <c r="A695" s="8">
        <v>45323</v>
      </c>
      <c r="B695" s="9">
        <v>1</v>
      </c>
      <c r="C695" s="10">
        <v>3</v>
      </c>
      <c r="D695" s="11">
        <v>725</v>
      </c>
      <c r="E695" s="12">
        <v>30715402765</v>
      </c>
      <c r="F695" s="13" t="s">
        <v>100</v>
      </c>
      <c r="G695" s="14">
        <v>34710.76</v>
      </c>
      <c r="H695" s="14">
        <v>7289.2596000000003</v>
      </c>
      <c r="I695" s="14"/>
      <c r="J695" s="14"/>
      <c r="K695" s="14"/>
      <c r="L695" s="14"/>
      <c r="M695" s="14"/>
      <c r="N695" s="14"/>
      <c r="O695" s="14"/>
      <c r="P695" s="14"/>
      <c r="Q695" s="14">
        <v>42000.0196</v>
      </c>
      <c r="R695" s="1"/>
    </row>
    <row r="696" spans="1:18" ht="18.75" x14ac:dyDescent="0.3">
      <c r="A696" s="8">
        <v>45323</v>
      </c>
      <c r="B696" s="9">
        <v>1</v>
      </c>
      <c r="C696" s="10">
        <v>10</v>
      </c>
      <c r="D696" s="11">
        <v>17654</v>
      </c>
      <c r="E696" s="12">
        <v>20341013691</v>
      </c>
      <c r="F696" s="13" t="s">
        <v>249</v>
      </c>
      <c r="G696" s="14">
        <v>13590.9</v>
      </c>
      <c r="H696" s="14">
        <v>2854.0889999999999</v>
      </c>
      <c r="I696" s="14"/>
      <c r="J696" s="14"/>
      <c r="K696" s="14"/>
      <c r="L696" s="14"/>
      <c r="M696" s="14"/>
      <c r="N696" s="14"/>
      <c r="O696" s="14"/>
      <c r="P696" s="14"/>
      <c r="Q696" s="14">
        <v>16444.989000000001</v>
      </c>
      <c r="R696" s="1"/>
    </row>
    <row r="697" spans="1:18" ht="18.75" x14ac:dyDescent="0.3">
      <c r="A697" s="8">
        <v>45323</v>
      </c>
      <c r="B697" s="9">
        <v>1</v>
      </c>
      <c r="C697" s="10">
        <v>5</v>
      </c>
      <c r="D697" s="11">
        <v>8648</v>
      </c>
      <c r="E697" s="12">
        <v>33711557119</v>
      </c>
      <c r="F697" s="13" t="s">
        <v>140</v>
      </c>
      <c r="G697" s="14">
        <v>16735.54</v>
      </c>
      <c r="H697" s="14">
        <v>3514.4634000000001</v>
      </c>
      <c r="I697" s="14"/>
      <c r="J697" s="14"/>
      <c r="K697" s="14"/>
      <c r="L697" s="14"/>
      <c r="M697" s="14"/>
      <c r="N697" s="14"/>
      <c r="O697" s="14"/>
      <c r="P697" s="14"/>
      <c r="Q697" s="14">
        <v>20250.003400000001</v>
      </c>
      <c r="R697" s="1"/>
    </row>
    <row r="698" spans="1:18" ht="18.75" x14ac:dyDescent="0.3">
      <c r="A698" s="8">
        <v>45324</v>
      </c>
      <c r="B698" s="9">
        <v>1</v>
      </c>
      <c r="C698" s="10">
        <v>4</v>
      </c>
      <c r="D698" s="11">
        <v>46</v>
      </c>
      <c r="E698" s="12">
        <v>23205683399</v>
      </c>
      <c r="F698" s="13" t="s">
        <v>250</v>
      </c>
      <c r="G698" s="14">
        <v>24794</v>
      </c>
      <c r="H698" s="14">
        <v>5206.74</v>
      </c>
      <c r="I698" s="14"/>
      <c r="J698" s="14"/>
      <c r="K698" s="14"/>
      <c r="L698" s="14"/>
      <c r="M698" s="14"/>
      <c r="N698" s="14"/>
      <c r="O698" s="14"/>
      <c r="P698" s="14"/>
      <c r="Q698" s="14">
        <v>30000.739999999998</v>
      </c>
      <c r="R698" s="1"/>
    </row>
    <row r="699" spans="1:18" ht="18.75" x14ac:dyDescent="0.3">
      <c r="A699" s="8">
        <v>45324</v>
      </c>
      <c r="B699" s="9">
        <v>1</v>
      </c>
      <c r="C699" s="10">
        <v>2</v>
      </c>
      <c r="D699" s="11">
        <v>16362</v>
      </c>
      <c r="E699" s="12">
        <v>30624684628</v>
      </c>
      <c r="F699" s="13" t="s">
        <v>251</v>
      </c>
      <c r="G699" s="14">
        <v>563160</v>
      </c>
      <c r="H699" s="14">
        <v>118263.59999999999</v>
      </c>
      <c r="I699" s="14"/>
      <c r="J699" s="14"/>
      <c r="K699" s="14"/>
      <c r="L699" s="14"/>
      <c r="M699" s="14"/>
      <c r="N699" s="14"/>
      <c r="O699" s="14"/>
      <c r="P699" s="14"/>
      <c r="Q699" s="14">
        <v>681423.6</v>
      </c>
      <c r="R699" s="1"/>
    </row>
    <row r="700" spans="1:18" ht="18.75" x14ac:dyDescent="0.3">
      <c r="A700" s="8">
        <v>45327</v>
      </c>
      <c r="B700" s="9">
        <v>1</v>
      </c>
      <c r="C700" s="10">
        <v>6</v>
      </c>
      <c r="D700" s="11">
        <v>4083</v>
      </c>
      <c r="E700" s="12">
        <v>27325155804</v>
      </c>
      <c r="F700" s="13" t="s">
        <v>252</v>
      </c>
      <c r="G700" s="14">
        <v>51654.05</v>
      </c>
      <c r="H700" s="14">
        <v>10847.3505</v>
      </c>
      <c r="I700" s="14"/>
      <c r="J700" s="14"/>
      <c r="K700" s="14"/>
      <c r="L700" s="14"/>
      <c r="M700" s="14"/>
      <c r="N700" s="14"/>
      <c r="O700" s="14"/>
      <c r="P700" s="14"/>
      <c r="Q700" s="14">
        <v>62501.400500000003</v>
      </c>
      <c r="R700" s="1"/>
    </row>
    <row r="701" spans="1:18" ht="18.75" x14ac:dyDescent="0.3">
      <c r="A701" s="8">
        <v>45328</v>
      </c>
      <c r="B701" s="9">
        <v>1</v>
      </c>
      <c r="C701" s="10">
        <v>3</v>
      </c>
      <c r="D701" s="11">
        <v>112</v>
      </c>
      <c r="E701" s="12">
        <v>20297899830</v>
      </c>
      <c r="F701" s="13" t="s">
        <v>73</v>
      </c>
      <c r="G701" s="14">
        <v>5626199</v>
      </c>
      <c r="H701" s="14">
        <v>1181501.79</v>
      </c>
      <c r="I701" s="14"/>
      <c r="J701" s="14"/>
      <c r="K701" s="14"/>
      <c r="L701" s="14"/>
      <c r="M701" s="14"/>
      <c r="N701" s="14"/>
      <c r="O701" s="14"/>
      <c r="P701" s="14"/>
      <c r="Q701" s="14">
        <v>6807700.79</v>
      </c>
      <c r="R701" s="1"/>
    </row>
    <row r="702" spans="1:18" ht="18.75" x14ac:dyDescent="0.3">
      <c r="A702" s="8">
        <v>45333</v>
      </c>
      <c r="B702" s="9">
        <v>1</v>
      </c>
      <c r="C702" s="10">
        <v>2466</v>
      </c>
      <c r="D702" s="11">
        <v>612908</v>
      </c>
      <c r="E702" s="12">
        <v>30678814357</v>
      </c>
      <c r="F702" s="13" t="s">
        <v>116</v>
      </c>
      <c r="G702" s="14">
        <v>11567</v>
      </c>
      <c r="H702" s="14"/>
      <c r="I702" s="14">
        <v>3123.09</v>
      </c>
      <c r="J702" s="14"/>
      <c r="K702" s="14">
        <v>347.01</v>
      </c>
      <c r="L702" s="14"/>
      <c r="M702" s="14"/>
      <c r="N702" s="14"/>
      <c r="O702" s="14"/>
      <c r="P702" s="14">
        <v>608.78</v>
      </c>
      <c r="Q702" s="14">
        <v>15645.880000000001</v>
      </c>
      <c r="R702" s="1"/>
    </row>
    <row r="703" spans="1:18" ht="18.75" x14ac:dyDescent="0.3">
      <c r="A703" s="8">
        <v>45337</v>
      </c>
      <c r="B703" s="9">
        <v>1</v>
      </c>
      <c r="C703" s="10">
        <v>1090</v>
      </c>
      <c r="D703" s="11">
        <v>5653</v>
      </c>
      <c r="E703" s="12">
        <v>30711379521</v>
      </c>
      <c r="F703" s="13" t="s">
        <v>20</v>
      </c>
      <c r="G703" s="14">
        <v>46280.17</v>
      </c>
      <c r="H703" s="14">
        <v>9718.8356999999996</v>
      </c>
      <c r="I703" s="14"/>
      <c r="J703" s="14"/>
      <c r="K703" s="14"/>
      <c r="L703" s="14"/>
      <c r="M703" s="14"/>
      <c r="N703" s="14"/>
      <c r="O703" s="14"/>
      <c r="P703" s="14"/>
      <c r="Q703" s="14">
        <v>55999.005699999994</v>
      </c>
      <c r="R703" s="1"/>
    </row>
    <row r="704" spans="1:18" ht="18.75" x14ac:dyDescent="0.3">
      <c r="A704" s="8">
        <v>45338</v>
      </c>
      <c r="B704" s="9">
        <v>1</v>
      </c>
      <c r="C704" s="10">
        <v>9</v>
      </c>
      <c r="D704" s="11">
        <v>1822</v>
      </c>
      <c r="E704" s="12">
        <v>30631047145</v>
      </c>
      <c r="F704" s="13" t="s">
        <v>26</v>
      </c>
      <c r="G704" s="14">
        <v>582402.38</v>
      </c>
      <c r="H704" s="14">
        <v>17306.310000000001</v>
      </c>
      <c r="I704" s="14"/>
      <c r="J704" s="14">
        <v>52499.09</v>
      </c>
      <c r="K704" s="14"/>
      <c r="L704" s="14"/>
      <c r="M704" s="14"/>
      <c r="N704" s="14"/>
      <c r="O704" s="14"/>
      <c r="P704" s="14"/>
      <c r="Q704" s="14">
        <v>652207.78</v>
      </c>
      <c r="R704" s="1"/>
    </row>
    <row r="705" spans="1:18" ht="18.75" x14ac:dyDescent="0.3">
      <c r="A705" s="8">
        <v>45338</v>
      </c>
      <c r="B705" s="9">
        <v>1</v>
      </c>
      <c r="C705" s="10">
        <v>3</v>
      </c>
      <c r="D705" s="11">
        <v>20549</v>
      </c>
      <c r="E705" s="12">
        <v>30707468161</v>
      </c>
      <c r="F705" s="13" t="s">
        <v>253</v>
      </c>
      <c r="G705" s="14">
        <v>298725</v>
      </c>
      <c r="H705" s="14">
        <v>62732.25</v>
      </c>
      <c r="I705" s="14"/>
      <c r="J705" s="14"/>
      <c r="K705" s="14"/>
      <c r="L705" s="14"/>
      <c r="M705" s="14"/>
      <c r="N705" s="14"/>
      <c r="O705" s="14"/>
      <c r="P705" s="14"/>
      <c r="Q705" s="14">
        <v>361457.25</v>
      </c>
      <c r="R705" s="1"/>
    </row>
    <row r="706" spans="1:18" ht="18.75" x14ac:dyDescent="0.3">
      <c r="A706" s="8">
        <v>45339</v>
      </c>
      <c r="B706" s="9">
        <v>1</v>
      </c>
      <c r="C706" s="10">
        <v>5</v>
      </c>
      <c r="D706" s="11">
        <v>6421</v>
      </c>
      <c r="E706" s="12">
        <v>20294907174</v>
      </c>
      <c r="F706" s="13" t="s">
        <v>151</v>
      </c>
      <c r="G706" s="14">
        <v>21942.15</v>
      </c>
      <c r="H706" s="14">
        <v>4607.8514999999998</v>
      </c>
      <c r="I706" s="14"/>
      <c r="J706" s="14"/>
      <c r="K706" s="14"/>
      <c r="L706" s="14"/>
      <c r="M706" s="14"/>
      <c r="N706" s="14"/>
      <c r="O706" s="14"/>
      <c r="P706" s="14"/>
      <c r="Q706" s="14">
        <v>26550.001500000002</v>
      </c>
      <c r="R706" s="1"/>
    </row>
    <row r="707" spans="1:18" ht="18.75" x14ac:dyDescent="0.3">
      <c r="A707" s="8">
        <v>45341</v>
      </c>
      <c r="B707" s="9">
        <v>1</v>
      </c>
      <c r="C707" s="10">
        <v>4</v>
      </c>
      <c r="D707" s="11">
        <v>2613</v>
      </c>
      <c r="E707" s="12">
        <v>30716809893</v>
      </c>
      <c r="F707" s="13" t="s">
        <v>126</v>
      </c>
      <c r="G707" s="14">
        <v>19337.36</v>
      </c>
      <c r="H707" s="14">
        <v>4060.8456000000001</v>
      </c>
      <c r="I707" s="14"/>
      <c r="J707" s="14"/>
      <c r="K707" s="14"/>
      <c r="L707" s="14"/>
      <c r="M707" s="14"/>
      <c r="N707" s="14"/>
      <c r="O707" s="14"/>
      <c r="P707" s="14"/>
      <c r="Q707" s="14">
        <v>23398.205600000001</v>
      </c>
      <c r="R707" s="1"/>
    </row>
    <row r="708" spans="1:18" ht="18.75" x14ac:dyDescent="0.3">
      <c r="A708" s="8">
        <v>45342</v>
      </c>
      <c r="B708" s="9">
        <v>1</v>
      </c>
      <c r="C708" s="10">
        <v>4</v>
      </c>
      <c r="D708" s="11">
        <v>11474</v>
      </c>
      <c r="E708" s="12">
        <v>30717193926</v>
      </c>
      <c r="F708" s="13" t="s">
        <v>254</v>
      </c>
      <c r="G708" s="14">
        <v>19626.53</v>
      </c>
      <c r="H708" s="14">
        <v>4121.5712999999996</v>
      </c>
      <c r="I708" s="14"/>
      <c r="J708" s="14"/>
      <c r="K708" s="14"/>
      <c r="L708" s="14"/>
      <c r="M708" s="14"/>
      <c r="N708" s="14"/>
      <c r="O708" s="14"/>
      <c r="P708" s="14"/>
      <c r="Q708" s="14">
        <v>23748.101299999998</v>
      </c>
      <c r="R708" s="1"/>
    </row>
    <row r="709" spans="1:18" ht="18.75" x14ac:dyDescent="0.3">
      <c r="A709" s="8">
        <v>45343</v>
      </c>
      <c r="B709" s="9">
        <v>1</v>
      </c>
      <c r="C709" s="10">
        <v>11</v>
      </c>
      <c r="D709" s="11">
        <v>4932</v>
      </c>
      <c r="E709" s="12">
        <v>30710184816</v>
      </c>
      <c r="F709" s="13" t="s">
        <v>255</v>
      </c>
      <c r="G709" s="14">
        <v>7862.8</v>
      </c>
      <c r="H709" s="14">
        <v>1651.1879999999999</v>
      </c>
      <c r="I709" s="14"/>
      <c r="J709" s="14"/>
      <c r="K709" s="14"/>
      <c r="L709" s="14"/>
      <c r="M709" s="14"/>
      <c r="N709" s="14"/>
      <c r="O709" s="14"/>
      <c r="P709" s="14"/>
      <c r="Q709" s="14">
        <v>9513.9879999999994</v>
      </c>
      <c r="R709" s="1"/>
    </row>
    <row r="710" spans="1:18" ht="18.75" x14ac:dyDescent="0.3">
      <c r="A710" s="8">
        <v>45344</v>
      </c>
      <c r="B710" s="9">
        <v>1</v>
      </c>
      <c r="C710" s="10">
        <v>9</v>
      </c>
      <c r="D710" s="11">
        <v>2513</v>
      </c>
      <c r="E710" s="12">
        <v>33711308429</v>
      </c>
      <c r="F710" s="13" t="s">
        <v>256</v>
      </c>
      <c r="G710" s="14">
        <v>148000</v>
      </c>
      <c r="H710" s="14">
        <v>31080</v>
      </c>
      <c r="I710" s="14"/>
      <c r="J710" s="14"/>
      <c r="K710" s="14"/>
      <c r="L710" s="14"/>
      <c r="M710" s="14"/>
      <c r="N710" s="14"/>
      <c r="O710" s="14"/>
      <c r="P710" s="14"/>
      <c r="Q710" s="14">
        <v>179080</v>
      </c>
      <c r="R710" s="1"/>
    </row>
    <row r="711" spans="1:18" ht="18.75" x14ac:dyDescent="0.3">
      <c r="A711" s="8">
        <v>45344</v>
      </c>
      <c r="B711" s="9">
        <v>1</v>
      </c>
      <c r="C711" s="10">
        <v>1</v>
      </c>
      <c r="D711" s="11">
        <v>744</v>
      </c>
      <c r="E711" s="12">
        <v>30715048066</v>
      </c>
      <c r="F711" s="13" t="s">
        <v>23</v>
      </c>
      <c r="G711" s="14">
        <v>538800</v>
      </c>
      <c r="H711" s="14">
        <v>113148</v>
      </c>
      <c r="I711" s="14"/>
      <c r="J711" s="14"/>
      <c r="K711" s="14"/>
      <c r="L711" s="14"/>
      <c r="M711" s="14"/>
      <c r="N711" s="14"/>
      <c r="O711" s="14"/>
      <c r="P711" s="14"/>
      <c r="Q711" s="14">
        <v>651948</v>
      </c>
      <c r="R711" s="1"/>
    </row>
    <row r="712" spans="1:18" ht="18.75" x14ac:dyDescent="0.3">
      <c r="A712" s="8">
        <v>45345</v>
      </c>
      <c r="B712" s="9">
        <v>1</v>
      </c>
      <c r="C712" s="10">
        <v>5</v>
      </c>
      <c r="D712" s="11">
        <v>70958</v>
      </c>
      <c r="E712" s="12">
        <v>30692857611</v>
      </c>
      <c r="F712" s="13" t="s">
        <v>257</v>
      </c>
      <c r="G712" s="14">
        <v>1691409.72</v>
      </c>
      <c r="H712" s="14">
        <v>355196.04119999998</v>
      </c>
      <c r="I712" s="14"/>
      <c r="J712" s="14"/>
      <c r="K712" s="14"/>
      <c r="L712" s="14"/>
      <c r="M712" s="14"/>
      <c r="N712" s="14"/>
      <c r="O712" s="14"/>
      <c r="P712" s="14"/>
      <c r="Q712" s="14">
        <v>2046605.7612000001</v>
      </c>
      <c r="R712" s="1"/>
    </row>
    <row r="713" spans="1:18" ht="18.75" x14ac:dyDescent="0.3">
      <c r="A713" s="8">
        <v>45345</v>
      </c>
      <c r="B713" s="9">
        <v>1</v>
      </c>
      <c r="C713" s="10">
        <v>4</v>
      </c>
      <c r="D713" s="11">
        <v>100076</v>
      </c>
      <c r="E713" s="12">
        <v>30559932236</v>
      </c>
      <c r="F713" s="13" t="s">
        <v>130</v>
      </c>
      <c r="G713" s="14">
        <v>209987.24</v>
      </c>
      <c r="H713" s="14">
        <v>36065.56</v>
      </c>
      <c r="I713" s="14"/>
      <c r="J713" s="14">
        <v>4015.88</v>
      </c>
      <c r="K713" s="14"/>
      <c r="L713" s="14"/>
      <c r="M713" s="14"/>
      <c r="N713" s="14"/>
      <c r="O713" s="14"/>
      <c r="P713" s="14"/>
      <c r="Q713" s="14">
        <v>250068.68</v>
      </c>
      <c r="R713" s="1"/>
    </row>
    <row r="714" spans="1:18" ht="18.75" x14ac:dyDescent="0.3">
      <c r="A714" s="8">
        <v>45348</v>
      </c>
      <c r="B714" s="9">
        <v>1</v>
      </c>
      <c r="C714" s="10">
        <v>9456</v>
      </c>
      <c r="D714" s="11">
        <v>210</v>
      </c>
      <c r="E714" s="12">
        <v>30711569843</v>
      </c>
      <c r="F714" s="13" t="s">
        <v>258</v>
      </c>
      <c r="G714" s="14">
        <v>28471.07</v>
      </c>
      <c r="H714" s="14">
        <v>5978.9246999999996</v>
      </c>
      <c r="I714" s="14"/>
      <c r="J714" s="14"/>
      <c r="K714" s="14"/>
      <c r="L714" s="14"/>
      <c r="M714" s="14"/>
      <c r="N714" s="14"/>
      <c r="O714" s="14"/>
      <c r="P714" s="14"/>
      <c r="Q714" s="14">
        <v>34449.994699999996</v>
      </c>
      <c r="R714" s="1"/>
    </row>
    <row r="715" spans="1:18" ht="18.75" x14ac:dyDescent="0.3">
      <c r="A715" s="8">
        <v>45350</v>
      </c>
      <c r="B715" s="9">
        <v>1</v>
      </c>
      <c r="C715" s="10">
        <v>2</v>
      </c>
      <c r="D715" s="11">
        <v>194</v>
      </c>
      <c r="E715" s="12">
        <v>20125142851</v>
      </c>
      <c r="F715" s="13" t="s">
        <v>19</v>
      </c>
      <c r="G715" s="14">
        <v>235512.81</v>
      </c>
      <c r="H715" s="14">
        <v>49457.6901</v>
      </c>
      <c r="I715" s="14"/>
      <c r="J715" s="14"/>
      <c r="K715" s="14"/>
      <c r="L715" s="14"/>
      <c r="M715" s="14"/>
      <c r="N715" s="14"/>
      <c r="O715" s="14"/>
      <c r="P715" s="14"/>
      <c r="Q715" s="14">
        <v>284970.5001</v>
      </c>
      <c r="R715" s="1"/>
    </row>
    <row r="716" spans="1:18" ht="18.75" x14ac:dyDescent="0.3">
      <c r="A716" s="8">
        <v>45351</v>
      </c>
      <c r="B716" s="9">
        <v>1</v>
      </c>
      <c r="C716" s="10">
        <v>6</v>
      </c>
      <c r="D716" s="11">
        <v>14117</v>
      </c>
      <c r="E716" s="12">
        <v>30707756434</v>
      </c>
      <c r="F716" s="13" t="s">
        <v>61</v>
      </c>
      <c r="G716" s="14">
        <v>153600</v>
      </c>
      <c r="H716" s="14">
        <v>32256</v>
      </c>
      <c r="I716" s="14"/>
      <c r="J716" s="14"/>
      <c r="K716" s="14"/>
      <c r="L716" s="14"/>
      <c r="M716" s="14"/>
      <c r="N716" s="14"/>
      <c r="O716" s="14"/>
      <c r="P716" s="14"/>
      <c r="Q716" s="14">
        <v>185856</v>
      </c>
      <c r="R716" s="1"/>
    </row>
    <row r="717" spans="1:18" ht="18.75" x14ac:dyDescent="0.3">
      <c r="A717" s="8">
        <v>45351</v>
      </c>
      <c r="B717" s="9">
        <v>1</v>
      </c>
      <c r="C717" s="10">
        <v>3</v>
      </c>
      <c r="D717" s="11">
        <v>5398</v>
      </c>
      <c r="E717" s="12">
        <v>30709665967</v>
      </c>
      <c r="F717" s="13" t="s">
        <v>113</v>
      </c>
      <c r="G717" s="14">
        <v>5832800</v>
      </c>
      <c r="H717" s="14">
        <v>1224888</v>
      </c>
      <c r="I717" s="14"/>
      <c r="J717" s="14"/>
      <c r="K717" s="14"/>
      <c r="L717" s="14"/>
      <c r="M717" s="14"/>
      <c r="N717" s="14"/>
      <c r="O717" s="14"/>
      <c r="P717" s="14"/>
      <c r="Q717" s="14">
        <v>7057688</v>
      </c>
      <c r="R717" s="1"/>
    </row>
    <row r="718" spans="1:18" ht="18.75" x14ac:dyDescent="0.3">
      <c r="A718" s="8">
        <v>45351</v>
      </c>
      <c r="B718" s="9">
        <v>99</v>
      </c>
      <c r="C718" s="10">
        <v>1</v>
      </c>
      <c r="D718" s="11"/>
      <c r="E718" s="12">
        <v>30583887039</v>
      </c>
      <c r="F718" s="13" t="s">
        <v>235</v>
      </c>
      <c r="G718" s="14">
        <v>7470.2857142857147</v>
      </c>
      <c r="H718" s="14">
        <v>63</v>
      </c>
      <c r="I718" s="14"/>
      <c r="J718" s="14">
        <v>752.88</v>
      </c>
      <c r="K718" s="14"/>
      <c r="L718" s="14"/>
      <c r="M718" s="14">
        <v>107.55</v>
      </c>
      <c r="N718" s="14"/>
      <c r="O718" s="14"/>
      <c r="P718" s="14"/>
      <c r="Q718" s="14">
        <f>SUM(G718:P718)</f>
        <v>8393.7157142857141</v>
      </c>
    </row>
    <row r="719" spans="1:18" ht="18.75" x14ac:dyDescent="0.3">
      <c r="A719" s="8">
        <v>45351</v>
      </c>
      <c r="B719" s="9">
        <v>99</v>
      </c>
      <c r="C719" s="10">
        <v>1</v>
      </c>
      <c r="D719" s="11"/>
      <c r="E719" s="12">
        <v>30571421352</v>
      </c>
      <c r="F719" s="13" t="s">
        <v>43</v>
      </c>
      <c r="G719" s="14">
        <v>34821.5</v>
      </c>
      <c r="H719" s="14">
        <v>7312.5149999999994</v>
      </c>
      <c r="I719" s="14"/>
      <c r="J719" s="14"/>
      <c r="K719" s="14"/>
      <c r="L719" s="14"/>
      <c r="M719" s="14">
        <v>990.65</v>
      </c>
      <c r="N719" s="14"/>
      <c r="O719" s="14"/>
      <c r="P719" s="14"/>
      <c r="Q719" s="14">
        <f t="shared" ref="Q719:Q720" si="20">SUM(G719:P719)</f>
        <v>43124.665000000001</v>
      </c>
    </row>
    <row r="720" spans="1:18" ht="18.75" x14ac:dyDescent="0.3">
      <c r="A720" s="8">
        <v>45345</v>
      </c>
      <c r="B720" s="9">
        <v>99</v>
      </c>
      <c r="C720" s="10">
        <v>1</v>
      </c>
      <c r="D720" s="11">
        <v>825875977</v>
      </c>
      <c r="E720" s="12">
        <v>30571421352</v>
      </c>
      <c r="F720" s="13" t="s">
        <v>43</v>
      </c>
      <c r="G720" s="14">
        <v>62872.5</v>
      </c>
      <c r="H720" s="14">
        <v>13203.23</v>
      </c>
      <c r="I720" s="14"/>
      <c r="J720" s="14"/>
      <c r="K720" s="14"/>
      <c r="L720" s="14"/>
      <c r="M720" s="14"/>
      <c r="N720" s="14"/>
      <c r="O720" s="14"/>
      <c r="P720" s="14"/>
      <c r="Q720" s="14">
        <f t="shared" si="20"/>
        <v>76075.73</v>
      </c>
    </row>
    <row r="721" spans="1:18" ht="19.5" thickBot="1" x14ac:dyDescent="0.35">
      <c r="A721" s="23" t="s">
        <v>17</v>
      </c>
      <c r="B721" s="23"/>
      <c r="C721" s="23"/>
      <c r="D721" s="23"/>
      <c r="E721" s="23"/>
      <c r="F721" s="23"/>
      <c r="G721" s="17">
        <f>SUM(G693:G720)</f>
        <v>16314361.375714287</v>
      </c>
      <c r="H721" s="17">
        <f t="shared" ref="H721:Q721" si="21">SUM(H693:H720)</f>
        <v>3309051.1137000001</v>
      </c>
      <c r="I721" s="17">
        <f t="shared" si="21"/>
        <v>3123.09</v>
      </c>
      <c r="J721" s="17">
        <f t="shared" si="21"/>
        <v>57267.849999999991</v>
      </c>
      <c r="K721" s="17">
        <f t="shared" si="21"/>
        <v>347.01</v>
      </c>
      <c r="L721" s="17">
        <f t="shared" si="21"/>
        <v>0</v>
      </c>
      <c r="M721" s="17">
        <f t="shared" si="21"/>
        <v>1098.2</v>
      </c>
      <c r="N721" s="17">
        <f t="shared" si="21"/>
        <v>0</v>
      </c>
      <c r="O721" s="17">
        <f t="shared" si="21"/>
        <v>0</v>
      </c>
      <c r="P721" s="17">
        <f t="shared" si="21"/>
        <v>608.78</v>
      </c>
      <c r="Q721" s="17">
        <f t="shared" si="21"/>
        <v>19685857.419414282</v>
      </c>
    </row>
    <row r="722" spans="1:18" ht="19.5" thickBot="1" x14ac:dyDescent="0.35">
      <c r="A722" s="15"/>
      <c r="B722" s="15"/>
      <c r="C722" s="15"/>
      <c r="D722" s="15"/>
      <c r="E722" s="15"/>
      <c r="F722" s="15"/>
      <c r="G722" s="16"/>
      <c r="H722" s="18"/>
      <c r="I722" s="19">
        <f>SUM(H721:J721)</f>
        <v>3369442.0537</v>
      </c>
      <c r="J722" s="20"/>
      <c r="K722" s="16"/>
      <c r="L722" s="16"/>
      <c r="M722" s="16"/>
      <c r="N722" s="16"/>
      <c r="O722" s="16"/>
      <c r="P722" s="16"/>
      <c r="Q722" s="16"/>
    </row>
    <row r="728" spans="1:18" ht="29.25" thickBot="1" x14ac:dyDescent="0.5">
      <c r="A728" s="24" t="s">
        <v>0</v>
      </c>
      <c r="B728" s="24"/>
      <c r="C728" s="24"/>
      <c r="D728" s="24"/>
      <c r="E728" s="24"/>
      <c r="F728" s="21"/>
      <c r="G728" s="22"/>
      <c r="H728" s="22"/>
      <c r="I728" s="22"/>
      <c r="J728" s="22"/>
      <c r="K728" s="22"/>
      <c r="L728" s="22"/>
      <c r="M728" s="22"/>
      <c r="N728" s="22"/>
      <c r="O728" s="25">
        <v>45352</v>
      </c>
      <c r="P728" s="26"/>
      <c r="Q728" s="26"/>
    </row>
    <row r="729" spans="1:18" ht="18.75" x14ac:dyDescent="0.3">
      <c r="A729" s="6" t="s">
        <v>1</v>
      </c>
      <c r="B729" s="6" t="s">
        <v>2</v>
      </c>
      <c r="C729" s="6" t="s">
        <v>3</v>
      </c>
      <c r="D729" s="6" t="s">
        <v>4</v>
      </c>
      <c r="E729" s="6" t="s">
        <v>5</v>
      </c>
      <c r="F729" s="6" t="s">
        <v>6</v>
      </c>
      <c r="G729" s="7" t="s">
        <v>7</v>
      </c>
      <c r="H729" s="7" t="s">
        <v>8</v>
      </c>
      <c r="I729" s="7" t="s">
        <v>9</v>
      </c>
      <c r="J729" s="7" t="s">
        <v>10</v>
      </c>
      <c r="K729" s="7" t="s">
        <v>11</v>
      </c>
      <c r="L729" s="7" t="s">
        <v>12</v>
      </c>
      <c r="M729" s="7" t="s">
        <v>13</v>
      </c>
      <c r="N729" s="7" t="s">
        <v>14</v>
      </c>
      <c r="O729" s="7" t="s">
        <v>15</v>
      </c>
      <c r="P729" s="7" t="s">
        <v>16</v>
      </c>
      <c r="Q729" s="7" t="s">
        <v>17</v>
      </c>
      <c r="R729" s="4"/>
    </row>
    <row r="730" spans="1:18" ht="18.75" x14ac:dyDescent="0.3">
      <c r="A730" s="8">
        <v>45352</v>
      </c>
      <c r="B730" s="9">
        <v>1</v>
      </c>
      <c r="C730" s="10">
        <v>3</v>
      </c>
      <c r="D730" s="11">
        <v>221115</v>
      </c>
      <c r="E730" s="12">
        <v>30707135596</v>
      </c>
      <c r="F730" s="13" t="s">
        <v>117</v>
      </c>
      <c r="G730" s="14">
        <v>15608.06</v>
      </c>
      <c r="H730" s="14">
        <v>3277.6925999999999</v>
      </c>
      <c r="I730" s="14"/>
      <c r="J730" s="14"/>
      <c r="K730" s="14"/>
      <c r="L730" s="14"/>
      <c r="M730" s="14"/>
      <c r="N730" s="14"/>
      <c r="O730" s="14"/>
      <c r="P730" s="14"/>
      <c r="Q730" s="14">
        <v>18885.7526</v>
      </c>
      <c r="R730" s="5"/>
    </row>
    <row r="731" spans="1:18" ht="18.75" x14ac:dyDescent="0.3">
      <c r="A731" s="8">
        <v>45352</v>
      </c>
      <c r="B731" s="9">
        <v>1</v>
      </c>
      <c r="C731" s="10">
        <v>3</v>
      </c>
      <c r="D731" s="11">
        <v>735</v>
      </c>
      <c r="E731" s="12">
        <v>30715402765</v>
      </c>
      <c r="F731" s="13" t="s">
        <v>100</v>
      </c>
      <c r="G731" s="14">
        <v>38843</v>
      </c>
      <c r="H731" s="14">
        <v>8157.03</v>
      </c>
      <c r="I731" s="14"/>
      <c r="J731" s="14"/>
      <c r="K731" s="14"/>
      <c r="L731" s="14"/>
      <c r="M731" s="14"/>
      <c r="N731" s="14"/>
      <c r="O731" s="14"/>
      <c r="P731" s="14"/>
      <c r="Q731" s="14">
        <v>47000.03</v>
      </c>
      <c r="R731" s="5"/>
    </row>
    <row r="732" spans="1:18" ht="18.75" x14ac:dyDescent="0.3">
      <c r="A732" s="8">
        <v>45353</v>
      </c>
      <c r="B732" s="9">
        <v>1</v>
      </c>
      <c r="C732" s="10">
        <v>2</v>
      </c>
      <c r="D732" s="11">
        <v>195</v>
      </c>
      <c r="E732" s="12">
        <v>20125142851</v>
      </c>
      <c r="F732" s="13" t="s">
        <v>19</v>
      </c>
      <c r="G732" s="14">
        <v>1202351.05</v>
      </c>
      <c r="H732" s="14">
        <v>252493.7205</v>
      </c>
      <c r="I732" s="14"/>
      <c r="J732" s="14"/>
      <c r="K732" s="14"/>
      <c r="L732" s="14"/>
      <c r="M732" s="14"/>
      <c r="N732" s="14"/>
      <c r="O732" s="14"/>
      <c r="P732" s="14"/>
      <c r="Q732" s="14">
        <v>1454844.7705000001</v>
      </c>
      <c r="R732" s="5"/>
    </row>
    <row r="733" spans="1:18" ht="18.75" x14ac:dyDescent="0.3">
      <c r="A733" s="8">
        <v>45362</v>
      </c>
      <c r="B733" s="9">
        <v>1</v>
      </c>
      <c r="C733" s="10">
        <v>700</v>
      </c>
      <c r="D733" s="11">
        <v>633924</v>
      </c>
      <c r="E733" s="12">
        <v>30580111315</v>
      </c>
      <c r="F733" s="13" t="s">
        <v>108</v>
      </c>
      <c r="G733" s="14">
        <v>12982.5</v>
      </c>
      <c r="H733" s="14">
        <v>2726.3249999999998</v>
      </c>
      <c r="I733" s="14"/>
      <c r="J733" s="14"/>
      <c r="K733" s="14"/>
      <c r="L733" s="14"/>
      <c r="M733" s="14"/>
      <c r="N733" s="14"/>
      <c r="O733" s="14"/>
      <c r="P733" s="14">
        <v>504101.82000000007</v>
      </c>
      <c r="Q733" s="14">
        <v>519810.64500000008</v>
      </c>
      <c r="R733" s="5"/>
    </row>
    <row r="734" spans="1:18" ht="18.75" x14ac:dyDescent="0.3">
      <c r="A734" s="8">
        <v>45362</v>
      </c>
      <c r="B734" s="9">
        <v>1</v>
      </c>
      <c r="C734" s="10">
        <v>9</v>
      </c>
      <c r="D734" s="11">
        <v>20452</v>
      </c>
      <c r="E734" s="12">
        <v>30646811062</v>
      </c>
      <c r="F734" s="13" t="s">
        <v>259</v>
      </c>
      <c r="G734" s="14">
        <v>22297.52</v>
      </c>
      <c r="H734" s="14">
        <v>4682.4791999999998</v>
      </c>
      <c r="I734" s="14"/>
      <c r="J734" s="14"/>
      <c r="K734" s="14"/>
      <c r="L734" s="14"/>
      <c r="M734" s="14"/>
      <c r="N734" s="14"/>
      <c r="O734" s="14"/>
      <c r="P734" s="14"/>
      <c r="Q734" s="14">
        <v>26979.999199999998</v>
      </c>
      <c r="R734" s="5"/>
    </row>
    <row r="735" spans="1:18" ht="18.75" x14ac:dyDescent="0.3">
      <c r="A735" s="8">
        <v>45362</v>
      </c>
      <c r="B735" s="9">
        <v>1</v>
      </c>
      <c r="C735" s="10">
        <v>2466</v>
      </c>
      <c r="D735" s="11">
        <v>624384</v>
      </c>
      <c r="E735" s="12">
        <v>30678814357</v>
      </c>
      <c r="F735" s="13" t="s">
        <v>116</v>
      </c>
      <c r="G735" s="14">
        <v>14792</v>
      </c>
      <c r="H735" s="14"/>
      <c r="I735" s="14">
        <v>3993.84</v>
      </c>
      <c r="J735" s="14"/>
      <c r="K735" s="14">
        <v>446.76</v>
      </c>
      <c r="L735" s="14"/>
      <c r="M735" s="14"/>
      <c r="N735" s="14"/>
      <c r="O735" s="14"/>
      <c r="P735" s="14">
        <v>778.52</v>
      </c>
      <c r="Q735" s="14">
        <v>20011.12</v>
      </c>
      <c r="R735" s="5"/>
    </row>
    <row r="736" spans="1:18" ht="18.75" x14ac:dyDescent="0.3">
      <c r="A736" s="8">
        <v>45363</v>
      </c>
      <c r="B736" s="9">
        <v>1</v>
      </c>
      <c r="C736" s="10">
        <v>6</v>
      </c>
      <c r="D736" s="11">
        <v>20188</v>
      </c>
      <c r="E736" s="12">
        <v>30715819461</v>
      </c>
      <c r="F736" s="13" t="s">
        <v>260</v>
      </c>
      <c r="G736" s="14">
        <v>22542.15</v>
      </c>
      <c r="H736" s="14">
        <v>4733.8514999999998</v>
      </c>
      <c r="I736" s="14"/>
      <c r="J736" s="14"/>
      <c r="K736" s="14"/>
      <c r="L736" s="14"/>
      <c r="M736" s="14"/>
      <c r="N736" s="14"/>
      <c r="O736" s="14"/>
      <c r="P736" s="14"/>
      <c r="Q736" s="14">
        <v>27276.001500000002</v>
      </c>
      <c r="R736" s="5"/>
    </row>
    <row r="737" spans="1:18" ht="18.75" x14ac:dyDescent="0.3">
      <c r="A737" s="8">
        <v>45363</v>
      </c>
      <c r="B737" s="9">
        <v>1</v>
      </c>
      <c r="C737" s="10">
        <v>2</v>
      </c>
      <c r="D737" s="11">
        <v>3000</v>
      </c>
      <c r="E737" s="12">
        <v>30715162497</v>
      </c>
      <c r="F737" s="13" t="s">
        <v>246</v>
      </c>
      <c r="G737" s="14">
        <v>23138.84</v>
      </c>
      <c r="H737" s="14">
        <v>4859.1563999999998</v>
      </c>
      <c r="I737" s="14"/>
      <c r="J737" s="14"/>
      <c r="K737" s="14"/>
      <c r="L737" s="14"/>
      <c r="M737" s="14"/>
      <c r="N737" s="14"/>
      <c r="O737" s="14"/>
      <c r="P737" s="14"/>
      <c r="Q737" s="14">
        <v>27997.9964</v>
      </c>
      <c r="R737" s="5"/>
    </row>
    <row r="738" spans="1:18" ht="18.75" x14ac:dyDescent="0.3">
      <c r="A738" s="8">
        <v>45364</v>
      </c>
      <c r="B738" s="9">
        <v>1</v>
      </c>
      <c r="C738" s="10">
        <v>2</v>
      </c>
      <c r="D738" s="11">
        <v>728</v>
      </c>
      <c r="E738" s="12">
        <v>20296550184</v>
      </c>
      <c r="F738" s="13" t="s">
        <v>24</v>
      </c>
      <c r="G738" s="14">
        <v>301950</v>
      </c>
      <c r="H738" s="14">
        <v>63409.5</v>
      </c>
      <c r="I738" s="14"/>
      <c r="J738" s="14"/>
      <c r="K738" s="14"/>
      <c r="L738" s="14"/>
      <c r="M738" s="14"/>
      <c r="N738" s="14"/>
      <c r="O738" s="14"/>
      <c r="P738" s="14"/>
      <c r="Q738" s="14">
        <v>365359.5</v>
      </c>
      <c r="R738" s="5"/>
    </row>
    <row r="739" spans="1:18" ht="18.75" x14ac:dyDescent="0.3">
      <c r="A739" s="8">
        <v>45364</v>
      </c>
      <c r="B739" s="9">
        <v>1</v>
      </c>
      <c r="C739" s="10">
        <v>1</v>
      </c>
      <c r="D739" s="11">
        <v>4085</v>
      </c>
      <c r="E739" s="12">
        <v>30716831198</v>
      </c>
      <c r="F739" s="13" t="s">
        <v>178</v>
      </c>
      <c r="G739" s="14">
        <v>16105.59</v>
      </c>
      <c r="H739" s="14">
        <v>3382.1738999999998</v>
      </c>
      <c r="I739" s="14"/>
      <c r="J739" s="14"/>
      <c r="K739" s="14"/>
      <c r="L739" s="14"/>
      <c r="M739" s="14"/>
      <c r="N739" s="14"/>
      <c r="O739" s="14"/>
      <c r="P739" s="14"/>
      <c r="Q739" s="14">
        <v>19487.763899999998</v>
      </c>
      <c r="R739" s="5"/>
    </row>
    <row r="740" spans="1:18" ht="18.75" x14ac:dyDescent="0.3">
      <c r="A740" s="8">
        <v>45365</v>
      </c>
      <c r="B740" s="9">
        <v>1</v>
      </c>
      <c r="C740" s="10">
        <v>5</v>
      </c>
      <c r="D740" s="11">
        <v>5874</v>
      </c>
      <c r="E740" s="12">
        <v>27366871336</v>
      </c>
      <c r="F740" s="13" t="s">
        <v>261</v>
      </c>
      <c r="G740" s="14">
        <v>17241.990000000002</v>
      </c>
      <c r="H740" s="14">
        <v>3620.8179</v>
      </c>
      <c r="I740" s="14"/>
      <c r="J740" s="14"/>
      <c r="K740" s="14"/>
      <c r="L740" s="14"/>
      <c r="M740" s="14"/>
      <c r="N740" s="14"/>
      <c r="O740" s="14"/>
      <c r="P740" s="14"/>
      <c r="Q740" s="14">
        <v>20862.8079</v>
      </c>
      <c r="R740" s="5"/>
    </row>
    <row r="741" spans="1:18" ht="18.75" x14ac:dyDescent="0.3">
      <c r="A741" s="8">
        <v>45365</v>
      </c>
      <c r="B741" s="9">
        <v>1</v>
      </c>
      <c r="C741" s="10">
        <v>6</v>
      </c>
      <c r="D741" s="11">
        <v>631</v>
      </c>
      <c r="E741" s="12">
        <v>30716067889</v>
      </c>
      <c r="F741" s="13" t="s">
        <v>262</v>
      </c>
      <c r="G741" s="14">
        <v>19077.53</v>
      </c>
      <c r="H741" s="14">
        <v>4006.2812999999996</v>
      </c>
      <c r="I741" s="14"/>
      <c r="J741" s="14"/>
      <c r="K741" s="14"/>
      <c r="L741" s="14"/>
      <c r="M741" s="14"/>
      <c r="N741" s="14"/>
      <c r="O741" s="14"/>
      <c r="P741" s="14"/>
      <c r="Q741" s="14">
        <v>23083.811299999998</v>
      </c>
      <c r="R741" s="5"/>
    </row>
    <row r="742" spans="1:18" ht="18.75" x14ac:dyDescent="0.3">
      <c r="A742" s="8">
        <v>45366</v>
      </c>
      <c r="B742" s="9">
        <v>1</v>
      </c>
      <c r="C742" s="10">
        <v>3</v>
      </c>
      <c r="D742" s="11">
        <v>20642</v>
      </c>
      <c r="E742" s="12">
        <v>30707468161</v>
      </c>
      <c r="F742" s="13" t="s">
        <v>253</v>
      </c>
      <c r="G742" s="14">
        <v>304150</v>
      </c>
      <c r="H742" s="14">
        <v>63871.5</v>
      </c>
      <c r="I742" s="14"/>
      <c r="J742" s="14"/>
      <c r="K742" s="14"/>
      <c r="L742" s="14">
        <v>24332</v>
      </c>
      <c r="M742" s="14"/>
      <c r="N742" s="14"/>
      <c r="O742" s="14"/>
      <c r="P742" s="14"/>
      <c r="Q742" s="14">
        <v>392353.5</v>
      </c>
      <c r="R742" s="5"/>
    </row>
    <row r="743" spans="1:18" ht="18.75" x14ac:dyDescent="0.3">
      <c r="A743" s="8">
        <v>45369</v>
      </c>
      <c r="B743" s="9">
        <v>1</v>
      </c>
      <c r="C743" s="10">
        <v>106</v>
      </c>
      <c r="D743" s="11">
        <v>717604</v>
      </c>
      <c r="E743" s="12">
        <v>30594494187</v>
      </c>
      <c r="F743" s="13" t="s">
        <v>35</v>
      </c>
      <c r="G743" s="14">
        <v>0</v>
      </c>
      <c r="H743" s="14">
        <v>0</v>
      </c>
      <c r="I743" s="14"/>
      <c r="J743" s="14"/>
      <c r="K743" s="14"/>
      <c r="L743" s="14"/>
      <c r="M743" s="14"/>
      <c r="N743" s="14"/>
      <c r="O743" s="14"/>
      <c r="P743" s="14">
        <v>1211498.97</v>
      </c>
      <c r="Q743" s="14">
        <v>1211498.97</v>
      </c>
      <c r="R743" s="5"/>
    </row>
    <row r="744" spans="1:18" ht="18.75" x14ac:dyDescent="0.3">
      <c r="A744" s="8">
        <v>45372</v>
      </c>
      <c r="B744" s="9">
        <v>1</v>
      </c>
      <c r="C744" s="10">
        <v>2</v>
      </c>
      <c r="D744" s="11">
        <v>3437</v>
      </c>
      <c r="E744" s="12">
        <v>30710878974</v>
      </c>
      <c r="F744" s="13" t="s">
        <v>186</v>
      </c>
      <c r="G744" s="14">
        <v>3865845</v>
      </c>
      <c r="H744" s="14">
        <v>811827.45</v>
      </c>
      <c r="I744" s="14"/>
      <c r="J744" s="14"/>
      <c r="K744" s="14"/>
      <c r="L744" s="14"/>
      <c r="M744" s="14"/>
      <c r="N744" s="14"/>
      <c r="O744" s="14"/>
      <c r="P744" s="14"/>
      <c r="Q744" s="14">
        <v>4677672.45</v>
      </c>
      <c r="R744" s="5"/>
    </row>
    <row r="745" spans="1:18" ht="18.75" x14ac:dyDescent="0.3">
      <c r="A745" s="8">
        <v>45372</v>
      </c>
      <c r="B745" s="9">
        <v>1</v>
      </c>
      <c r="C745" s="10">
        <v>2</v>
      </c>
      <c r="D745" s="11">
        <v>2685</v>
      </c>
      <c r="E745" s="12">
        <v>30709131733</v>
      </c>
      <c r="F745" s="13" t="s">
        <v>79</v>
      </c>
      <c r="G745" s="14">
        <v>2720640</v>
      </c>
      <c r="H745" s="14">
        <v>571334.40000000002</v>
      </c>
      <c r="I745" s="14"/>
      <c r="J745" s="14"/>
      <c r="K745" s="14"/>
      <c r="L745" s="14"/>
      <c r="M745" s="14"/>
      <c r="N745" s="14"/>
      <c r="O745" s="14"/>
      <c r="P745" s="14"/>
      <c r="Q745" s="14">
        <v>3291974.4</v>
      </c>
      <c r="R745" s="5"/>
    </row>
    <row r="746" spans="1:18" ht="18.75" x14ac:dyDescent="0.3">
      <c r="A746" s="8">
        <v>45373</v>
      </c>
      <c r="B746" s="9">
        <v>1</v>
      </c>
      <c r="C746" s="10">
        <v>1</v>
      </c>
      <c r="D746" s="11">
        <v>761</v>
      </c>
      <c r="E746" s="12">
        <v>30715048066</v>
      </c>
      <c r="F746" s="13" t="s">
        <v>23</v>
      </c>
      <c r="G746" s="14">
        <v>563345</v>
      </c>
      <c r="H746" s="14">
        <v>118302.45</v>
      </c>
      <c r="I746" s="14"/>
      <c r="J746" s="14"/>
      <c r="K746" s="14"/>
      <c r="L746" s="14"/>
      <c r="M746" s="14"/>
      <c r="N746" s="14"/>
      <c r="O746" s="14"/>
      <c r="P746" s="14"/>
      <c r="Q746" s="14">
        <v>681647.45</v>
      </c>
      <c r="R746" s="5"/>
    </row>
    <row r="747" spans="1:18" ht="18.75" x14ac:dyDescent="0.3">
      <c r="A747" s="8">
        <v>45376</v>
      </c>
      <c r="B747" s="9">
        <v>1</v>
      </c>
      <c r="C747" s="10">
        <v>8</v>
      </c>
      <c r="D747" s="11">
        <v>170347</v>
      </c>
      <c r="E747" s="12">
        <v>33606484599</v>
      </c>
      <c r="F747" s="13" t="s">
        <v>131</v>
      </c>
      <c r="G747" s="14">
        <v>5486334.8799999999</v>
      </c>
      <c r="H747" s="14">
        <v>1152130.3247999998</v>
      </c>
      <c r="I747" s="14"/>
      <c r="J747" s="14"/>
      <c r="K747" s="14"/>
      <c r="L747" s="14"/>
      <c r="M747" s="14"/>
      <c r="N747" s="14"/>
      <c r="O747" s="14"/>
      <c r="P747" s="14"/>
      <c r="Q747" s="14">
        <v>6638465.2047999995</v>
      </c>
      <c r="R747" s="5"/>
    </row>
    <row r="748" spans="1:18" ht="18.75" x14ac:dyDescent="0.3">
      <c r="A748" s="8">
        <v>45376</v>
      </c>
      <c r="B748" s="9">
        <v>1</v>
      </c>
      <c r="C748" s="10">
        <v>5</v>
      </c>
      <c r="D748" s="11">
        <v>71776</v>
      </c>
      <c r="E748" s="12">
        <v>30692857611</v>
      </c>
      <c r="F748" s="13" t="s">
        <v>257</v>
      </c>
      <c r="G748" s="14">
        <v>109462.5</v>
      </c>
      <c r="H748" s="14">
        <v>22987.125</v>
      </c>
      <c r="I748" s="14"/>
      <c r="J748" s="14"/>
      <c r="K748" s="14"/>
      <c r="L748" s="14"/>
      <c r="M748" s="14"/>
      <c r="N748" s="14"/>
      <c r="O748" s="14"/>
      <c r="P748" s="14"/>
      <c r="Q748" s="14">
        <v>132449.625</v>
      </c>
      <c r="R748" s="5"/>
    </row>
    <row r="749" spans="1:18" ht="18.75" x14ac:dyDescent="0.3">
      <c r="A749" s="8">
        <v>45377</v>
      </c>
      <c r="B749" s="9">
        <v>1</v>
      </c>
      <c r="C749" s="10">
        <v>7</v>
      </c>
      <c r="D749" s="11">
        <v>1973</v>
      </c>
      <c r="E749" s="12">
        <v>20162261259</v>
      </c>
      <c r="F749" s="13" t="s">
        <v>263</v>
      </c>
      <c r="G749" s="14">
        <v>31525.59</v>
      </c>
      <c r="H749" s="14">
        <v>6620.3738999999996</v>
      </c>
      <c r="I749" s="14"/>
      <c r="J749" s="14"/>
      <c r="K749" s="14"/>
      <c r="L749" s="14"/>
      <c r="M749" s="14"/>
      <c r="N749" s="14"/>
      <c r="O749" s="14"/>
      <c r="P749" s="14"/>
      <c r="Q749" s="14">
        <v>38145.963900000002</v>
      </c>
      <c r="R749" s="5"/>
    </row>
    <row r="750" spans="1:18" ht="18.75" x14ac:dyDescent="0.3">
      <c r="A750" s="8">
        <v>45378</v>
      </c>
      <c r="B750" s="9">
        <v>1</v>
      </c>
      <c r="C750" s="10">
        <v>1</v>
      </c>
      <c r="D750" s="11">
        <v>1108</v>
      </c>
      <c r="E750" s="12">
        <v>30717763692</v>
      </c>
      <c r="F750" s="13" t="s">
        <v>264</v>
      </c>
      <c r="G750" s="14">
        <v>26281</v>
      </c>
      <c r="H750" s="14">
        <v>5519.01</v>
      </c>
      <c r="I750" s="14"/>
      <c r="J750" s="14"/>
      <c r="K750" s="14"/>
      <c r="L750" s="14"/>
      <c r="M750" s="14"/>
      <c r="N750" s="14"/>
      <c r="O750" s="14"/>
      <c r="P750" s="14"/>
      <c r="Q750" s="14">
        <v>31800.010000000002</v>
      </c>
      <c r="R750" s="5"/>
    </row>
    <row r="751" spans="1:18" ht="18.75" x14ac:dyDescent="0.3">
      <c r="A751" s="8">
        <v>45378</v>
      </c>
      <c r="B751" s="9">
        <v>1</v>
      </c>
      <c r="C751" s="10">
        <v>5</v>
      </c>
      <c r="D751" s="11">
        <v>38006</v>
      </c>
      <c r="E751" s="12">
        <v>20282837472</v>
      </c>
      <c r="F751" s="13" t="s">
        <v>198</v>
      </c>
      <c r="G751" s="14">
        <v>22877.45</v>
      </c>
      <c r="H751" s="14">
        <v>4804.2645000000002</v>
      </c>
      <c r="I751" s="14"/>
      <c r="J751" s="14"/>
      <c r="K751" s="14"/>
      <c r="L751" s="14"/>
      <c r="M751" s="14"/>
      <c r="N751" s="14"/>
      <c r="O751" s="14"/>
      <c r="P751" s="14"/>
      <c r="Q751" s="14">
        <v>27681.714500000002</v>
      </c>
      <c r="R751" s="5"/>
    </row>
    <row r="752" spans="1:18" ht="18.75" x14ac:dyDescent="0.3">
      <c r="A752" s="8">
        <v>45378</v>
      </c>
      <c r="B752" s="9">
        <v>1</v>
      </c>
      <c r="C752" s="10">
        <v>1</v>
      </c>
      <c r="D752" s="11">
        <v>2755</v>
      </c>
      <c r="E752" s="12">
        <v>30716553112</v>
      </c>
      <c r="F752" s="13" t="s">
        <v>265</v>
      </c>
      <c r="G752" s="14">
        <v>1350000</v>
      </c>
      <c r="H752" s="14"/>
      <c r="I752" s="14"/>
      <c r="J752" s="14">
        <v>141750</v>
      </c>
      <c r="K752" s="14"/>
      <c r="L752" s="14"/>
      <c r="M752" s="14"/>
      <c r="N752" s="14"/>
      <c r="O752" s="14"/>
      <c r="P752" s="14"/>
      <c r="Q752" s="14">
        <v>1491750</v>
      </c>
      <c r="R752" s="5"/>
    </row>
    <row r="753" spans="1:18" ht="18.75" x14ac:dyDescent="0.3">
      <c r="A753" s="8">
        <v>45379</v>
      </c>
      <c r="B753" s="9">
        <v>1</v>
      </c>
      <c r="C753" s="10">
        <v>6</v>
      </c>
      <c r="D753" s="11">
        <v>14358</v>
      </c>
      <c r="E753" s="12">
        <v>30707756434</v>
      </c>
      <c r="F753" s="13" t="s">
        <v>61</v>
      </c>
      <c r="G753" s="14">
        <v>169600</v>
      </c>
      <c r="H753" s="14">
        <v>35616</v>
      </c>
      <c r="I753" s="14"/>
      <c r="J753" s="14"/>
      <c r="K753" s="14"/>
      <c r="L753" s="14"/>
      <c r="M753" s="14"/>
      <c r="N753" s="14"/>
      <c r="O753" s="14"/>
      <c r="P753" s="14"/>
      <c r="Q753" s="14">
        <v>205216</v>
      </c>
      <c r="R753" s="5"/>
    </row>
    <row r="754" spans="1:18" ht="18.75" x14ac:dyDescent="0.3">
      <c r="A754" s="8">
        <v>45381</v>
      </c>
      <c r="B754" s="9">
        <v>1</v>
      </c>
      <c r="C754" s="10">
        <v>30</v>
      </c>
      <c r="D754" s="11">
        <v>127903</v>
      </c>
      <c r="E754" s="12">
        <v>30695056342</v>
      </c>
      <c r="F754" s="13" t="s">
        <v>266</v>
      </c>
      <c r="G754" s="14">
        <v>86529.75</v>
      </c>
      <c r="H754" s="14">
        <v>18171.247499999998</v>
      </c>
      <c r="I754" s="14"/>
      <c r="J754" s="14"/>
      <c r="K754" s="14"/>
      <c r="L754" s="14"/>
      <c r="M754" s="14"/>
      <c r="N754" s="14"/>
      <c r="O754" s="14"/>
      <c r="P754" s="14"/>
      <c r="Q754" s="14">
        <v>104700.9975</v>
      </c>
      <c r="R754" s="5"/>
    </row>
    <row r="755" spans="1:18" ht="18.75" x14ac:dyDescent="0.3">
      <c r="A755" s="8">
        <v>45381</v>
      </c>
      <c r="B755" s="9">
        <v>1</v>
      </c>
      <c r="C755" s="10">
        <v>6996</v>
      </c>
      <c r="D755" s="11">
        <v>23028</v>
      </c>
      <c r="E755" s="12">
        <v>30678774495</v>
      </c>
      <c r="F755" s="13" t="s">
        <v>58</v>
      </c>
      <c r="G755" s="14">
        <v>25182.87</v>
      </c>
      <c r="H755" s="14">
        <v>5288.4026999999996</v>
      </c>
      <c r="I755" s="14"/>
      <c r="J755" s="14"/>
      <c r="K755" s="14"/>
      <c r="L755" s="14"/>
      <c r="M755" s="14"/>
      <c r="N755" s="14"/>
      <c r="O755" s="14"/>
      <c r="P755" s="14">
        <v>1718.73</v>
      </c>
      <c r="Q755" s="14">
        <v>32190.002699999997</v>
      </c>
      <c r="R755" s="5"/>
    </row>
    <row r="756" spans="1:18" ht="18.75" x14ac:dyDescent="0.3">
      <c r="A756" s="8">
        <v>45382</v>
      </c>
      <c r="B756" s="9">
        <v>1</v>
      </c>
      <c r="C756" s="10">
        <v>700</v>
      </c>
      <c r="D756" s="11">
        <v>641624</v>
      </c>
      <c r="E756" s="12">
        <v>30580111315</v>
      </c>
      <c r="F756" s="13" t="s">
        <v>108</v>
      </c>
      <c r="G756" s="14">
        <v>0</v>
      </c>
      <c r="H756" s="14">
        <v>0</v>
      </c>
      <c r="I756" s="14"/>
      <c r="J756" s="14"/>
      <c r="K756" s="14"/>
      <c r="L756" s="14"/>
      <c r="M756" s="14"/>
      <c r="N756" s="14"/>
      <c r="O756" s="14"/>
      <c r="P756" s="14">
        <v>340939.2</v>
      </c>
      <c r="Q756" s="14">
        <v>340939.2</v>
      </c>
      <c r="R756" s="5"/>
    </row>
    <row r="757" spans="1:18" ht="18.75" x14ac:dyDescent="0.3">
      <c r="A757" s="8">
        <v>45366</v>
      </c>
      <c r="B757" s="9">
        <v>99</v>
      </c>
      <c r="C757" s="10">
        <v>1</v>
      </c>
      <c r="D757" s="11">
        <v>86189</v>
      </c>
      <c r="E757" s="12">
        <v>30571421352</v>
      </c>
      <c r="F757" s="13" t="s">
        <v>43</v>
      </c>
      <c r="G757" s="14">
        <v>21250</v>
      </c>
      <c r="H757" s="14">
        <v>4462.5</v>
      </c>
      <c r="I757" s="14"/>
      <c r="J757" s="14"/>
      <c r="K757" s="14"/>
      <c r="L757" s="14"/>
      <c r="M757" s="14">
        <v>637.5</v>
      </c>
      <c r="N757" s="14"/>
      <c r="O757" s="14"/>
      <c r="P757" s="14"/>
      <c r="Q757" s="14">
        <f>SUM(G757:P757)</f>
        <v>26350</v>
      </c>
      <c r="R757" s="4"/>
    </row>
    <row r="758" spans="1:18" ht="18.75" x14ac:dyDescent="0.3">
      <c r="A758" s="8">
        <v>45363</v>
      </c>
      <c r="B758" s="9">
        <v>99</v>
      </c>
      <c r="C758" s="10">
        <v>1</v>
      </c>
      <c r="D758" s="11">
        <v>87461</v>
      </c>
      <c r="E758" s="12">
        <v>30571421352</v>
      </c>
      <c r="F758" s="13" t="s">
        <v>43</v>
      </c>
      <c r="G758" s="14">
        <v>63600</v>
      </c>
      <c r="H758" s="14">
        <v>13356</v>
      </c>
      <c r="I758" s="14"/>
      <c r="J758" s="14"/>
      <c r="K758" s="14"/>
      <c r="L758" s="14"/>
      <c r="M758" s="14">
        <v>1908</v>
      </c>
      <c r="N758" s="14"/>
      <c r="O758" s="14"/>
      <c r="P758" s="14"/>
      <c r="Q758" s="14">
        <f t="shared" ref="Q758:Q764" si="22">SUM(G758:P758)</f>
        <v>78864</v>
      </c>
      <c r="R758" s="4"/>
    </row>
    <row r="759" spans="1:18" ht="18.75" x14ac:dyDescent="0.3">
      <c r="A759" s="8">
        <v>45357</v>
      </c>
      <c r="B759" s="9">
        <v>99</v>
      </c>
      <c r="C759" s="10">
        <v>1</v>
      </c>
      <c r="D759" s="11">
        <v>1066139</v>
      </c>
      <c r="E759" s="12">
        <v>30571421352</v>
      </c>
      <c r="F759" s="13" t="s">
        <v>43</v>
      </c>
      <c r="G759" s="14">
        <v>21137.5</v>
      </c>
      <c r="H759" s="14">
        <v>4438.875</v>
      </c>
      <c r="I759" s="14"/>
      <c r="J759" s="14"/>
      <c r="K759" s="14"/>
      <c r="L759" s="14"/>
      <c r="M759" s="14">
        <v>634.13</v>
      </c>
      <c r="N759" s="14"/>
      <c r="O759" s="14"/>
      <c r="P759" s="14"/>
      <c r="Q759" s="14">
        <f t="shared" si="22"/>
        <v>26210.505000000001</v>
      </c>
      <c r="R759" s="4"/>
    </row>
    <row r="760" spans="1:18" ht="18.75" x14ac:dyDescent="0.3">
      <c r="A760" s="8">
        <v>45357</v>
      </c>
      <c r="B760" s="9">
        <v>99</v>
      </c>
      <c r="C760" s="10">
        <v>1</v>
      </c>
      <c r="D760" s="11">
        <v>1066140</v>
      </c>
      <c r="E760" s="12">
        <v>30571421352</v>
      </c>
      <c r="F760" s="13" t="s">
        <v>43</v>
      </c>
      <c r="G760" s="14">
        <v>21137.5</v>
      </c>
      <c r="H760" s="14">
        <v>4438.875</v>
      </c>
      <c r="I760" s="14"/>
      <c r="J760" s="14"/>
      <c r="K760" s="14"/>
      <c r="L760" s="14"/>
      <c r="M760" s="14">
        <v>634.13</v>
      </c>
      <c r="N760" s="14"/>
      <c r="O760" s="14"/>
      <c r="P760" s="14"/>
      <c r="Q760" s="14">
        <f t="shared" si="22"/>
        <v>26210.505000000001</v>
      </c>
      <c r="R760" s="4"/>
    </row>
    <row r="761" spans="1:18" ht="18.75" x14ac:dyDescent="0.3">
      <c r="A761" s="8">
        <v>45363</v>
      </c>
      <c r="B761" s="9">
        <v>99</v>
      </c>
      <c r="C761" s="10">
        <v>1</v>
      </c>
      <c r="D761" s="11">
        <v>874610</v>
      </c>
      <c r="E761" s="12">
        <v>30571421352</v>
      </c>
      <c r="F761" s="13" t="s">
        <v>43</v>
      </c>
      <c r="G761" s="14">
        <v>63600</v>
      </c>
      <c r="H761" s="14">
        <v>13356</v>
      </c>
      <c r="I761" s="14"/>
      <c r="J761" s="14"/>
      <c r="K761" s="14"/>
      <c r="L761" s="14"/>
      <c r="M761" s="14">
        <v>1908</v>
      </c>
      <c r="N761" s="14"/>
      <c r="O761" s="14"/>
      <c r="P761" s="14"/>
      <c r="Q761" s="14">
        <f t="shared" si="22"/>
        <v>78864</v>
      </c>
      <c r="R761" s="4"/>
    </row>
    <row r="762" spans="1:18" ht="18.75" x14ac:dyDescent="0.3">
      <c r="A762" s="8">
        <v>45372</v>
      </c>
      <c r="B762" s="9">
        <v>99</v>
      </c>
      <c r="C762" s="10">
        <v>1</v>
      </c>
      <c r="D762" s="11">
        <v>60909</v>
      </c>
      <c r="E762" s="12">
        <v>30571421352</v>
      </c>
      <c r="F762" s="13" t="s">
        <v>43</v>
      </c>
      <c r="G762" s="14">
        <v>300</v>
      </c>
      <c r="H762" s="14">
        <v>63</v>
      </c>
      <c r="I762" s="14"/>
      <c r="J762" s="14"/>
      <c r="K762" s="14"/>
      <c r="L762" s="14"/>
      <c r="M762" s="14">
        <v>11.98</v>
      </c>
      <c r="N762" s="14"/>
      <c r="O762" s="14"/>
      <c r="P762" s="14"/>
      <c r="Q762" s="14">
        <f t="shared" si="22"/>
        <v>374.98</v>
      </c>
      <c r="R762" s="4"/>
    </row>
    <row r="763" spans="1:18" ht="18.75" x14ac:dyDescent="0.3">
      <c r="A763" s="8">
        <v>45357</v>
      </c>
      <c r="B763" s="9">
        <v>99</v>
      </c>
      <c r="C763" s="10">
        <v>1</v>
      </c>
      <c r="D763" s="11">
        <v>106614</v>
      </c>
      <c r="E763" s="12">
        <v>30571421352</v>
      </c>
      <c r="F763" s="13" t="s">
        <v>43</v>
      </c>
      <c r="G763" s="14">
        <v>21137.5</v>
      </c>
      <c r="H763" s="14">
        <v>4438.875</v>
      </c>
      <c r="I763" s="14"/>
      <c r="J763" s="14"/>
      <c r="K763" s="14"/>
      <c r="L763" s="14"/>
      <c r="M763" s="14">
        <v>634.13</v>
      </c>
      <c r="N763" s="14"/>
      <c r="O763" s="14"/>
      <c r="P763" s="14"/>
      <c r="Q763" s="14">
        <f t="shared" si="22"/>
        <v>26210.505000000001</v>
      </c>
      <c r="R763" s="4"/>
    </row>
    <row r="764" spans="1:18" ht="18.75" x14ac:dyDescent="0.3">
      <c r="A764" s="8">
        <v>45382</v>
      </c>
      <c r="B764" s="9">
        <v>99</v>
      </c>
      <c r="C764" s="10">
        <v>1</v>
      </c>
      <c r="D764" s="11">
        <v>1</v>
      </c>
      <c r="E764" s="12">
        <v>30571421352</v>
      </c>
      <c r="F764" s="13" t="s">
        <v>43</v>
      </c>
      <c r="G764" s="14">
        <v>49876.75</v>
      </c>
      <c r="H764" s="14">
        <v>10474.1175</v>
      </c>
      <c r="I764" s="14"/>
      <c r="J764" s="14"/>
      <c r="K764" s="14"/>
      <c r="L764" s="14"/>
      <c r="M764" s="14">
        <v>1406.3600000000001</v>
      </c>
      <c r="N764" s="14"/>
      <c r="O764" s="14"/>
      <c r="P764" s="14"/>
      <c r="Q764" s="14">
        <f t="shared" si="22"/>
        <v>61757.227500000001</v>
      </c>
      <c r="R764" s="4"/>
    </row>
    <row r="765" spans="1:18" ht="19.5" thickBot="1" x14ac:dyDescent="0.35">
      <c r="A765" s="23" t="s">
        <v>17</v>
      </c>
      <c r="B765" s="23"/>
      <c r="C765" s="23"/>
      <c r="D765" s="23"/>
      <c r="E765" s="23"/>
      <c r="F765" s="23"/>
      <c r="G765" s="17">
        <f>SUM(G730:G764)</f>
        <v>16730743.519999998</v>
      </c>
      <c r="H765" s="17">
        <f t="shared" ref="H765:Q765" si="23">SUM(H730:H764)</f>
        <v>3226849.8191999998</v>
      </c>
      <c r="I765" s="17">
        <f t="shared" si="23"/>
        <v>3993.84</v>
      </c>
      <c r="J765" s="17">
        <f t="shared" si="23"/>
        <v>141750</v>
      </c>
      <c r="K765" s="17">
        <f t="shared" si="23"/>
        <v>446.76</v>
      </c>
      <c r="L765" s="17">
        <f t="shared" si="23"/>
        <v>24332</v>
      </c>
      <c r="M765" s="17">
        <f t="shared" si="23"/>
        <v>7774.23</v>
      </c>
      <c r="N765" s="17">
        <f t="shared" si="23"/>
        <v>0</v>
      </c>
      <c r="O765" s="17">
        <f t="shared" si="23"/>
        <v>0</v>
      </c>
      <c r="P765" s="17">
        <f t="shared" si="23"/>
        <v>2059037.24</v>
      </c>
      <c r="Q765" s="17">
        <f t="shared" si="23"/>
        <v>22194927.409199994</v>
      </c>
      <c r="R765" s="4"/>
    </row>
    <row r="766" spans="1:18" ht="19.5" thickBot="1" x14ac:dyDescent="0.35">
      <c r="A766" s="15"/>
      <c r="B766" s="15"/>
      <c r="C766" s="15"/>
      <c r="D766" s="15"/>
      <c r="E766" s="15"/>
      <c r="F766" s="15"/>
      <c r="G766" s="16"/>
      <c r="H766" s="18"/>
      <c r="I766" s="19">
        <f>SUM(H765:J765)</f>
        <v>3372593.6591999996</v>
      </c>
      <c r="J766" s="20"/>
      <c r="K766" s="16"/>
      <c r="L766" s="16"/>
      <c r="M766" s="16"/>
      <c r="N766" s="16"/>
      <c r="O766" s="16"/>
      <c r="P766" s="16"/>
      <c r="Q766" s="16"/>
      <c r="R766" s="4"/>
    </row>
    <row r="773" spans="1:18" ht="29.25" thickBot="1" x14ac:dyDescent="0.5">
      <c r="A773" s="24" t="s">
        <v>0</v>
      </c>
      <c r="B773" s="24"/>
      <c r="C773" s="24"/>
      <c r="D773" s="24"/>
      <c r="E773" s="24"/>
      <c r="F773" s="21"/>
      <c r="G773" s="22"/>
      <c r="H773" s="22"/>
      <c r="I773" s="22"/>
      <c r="J773" s="22"/>
      <c r="K773" s="22"/>
      <c r="L773" s="22"/>
      <c r="M773" s="22"/>
      <c r="N773" s="22"/>
      <c r="O773" s="25">
        <v>45383</v>
      </c>
      <c r="P773" s="26"/>
      <c r="Q773" s="26"/>
    </row>
    <row r="774" spans="1:18" ht="18.75" x14ac:dyDescent="0.3">
      <c r="A774" s="6" t="s">
        <v>1</v>
      </c>
      <c r="B774" s="6" t="s">
        <v>2</v>
      </c>
      <c r="C774" s="6" t="s">
        <v>3</v>
      </c>
      <c r="D774" s="6" t="s">
        <v>4</v>
      </c>
      <c r="E774" s="6" t="s">
        <v>5</v>
      </c>
      <c r="F774" s="6" t="s">
        <v>6</v>
      </c>
      <c r="G774" s="7" t="s">
        <v>7</v>
      </c>
      <c r="H774" s="7" t="s">
        <v>8</v>
      </c>
      <c r="I774" s="7" t="s">
        <v>9</v>
      </c>
      <c r="J774" s="7" t="s">
        <v>10</v>
      </c>
      <c r="K774" s="7" t="s">
        <v>11</v>
      </c>
      <c r="L774" s="7" t="s">
        <v>12</v>
      </c>
      <c r="M774" s="7" t="s">
        <v>13</v>
      </c>
      <c r="N774" s="7" t="s">
        <v>14</v>
      </c>
      <c r="O774" s="7" t="s">
        <v>15</v>
      </c>
      <c r="P774" s="7" t="s">
        <v>16</v>
      </c>
      <c r="Q774" s="7" t="s">
        <v>17</v>
      </c>
    </row>
    <row r="775" spans="1:18" ht="18.75" x14ac:dyDescent="0.3">
      <c r="A775" s="8">
        <v>45412</v>
      </c>
      <c r="B775" s="9">
        <v>1</v>
      </c>
      <c r="C775" s="10">
        <v>6</v>
      </c>
      <c r="D775" s="11">
        <v>14602</v>
      </c>
      <c r="E775" s="12">
        <v>30707756434</v>
      </c>
      <c r="F775" s="13" t="s">
        <v>61</v>
      </c>
      <c r="G775" s="14">
        <v>204000</v>
      </c>
      <c r="H775" s="14">
        <v>42840</v>
      </c>
      <c r="I775" s="14"/>
      <c r="J775" s="14"/>
      <c r="K775" s="14"/>
      <c r="L775" s="14"/>
      <c r="M775" s="14"/>
      <c r="N775" s="14"/>
      <c r="O775" s="14"/>
      <c r="P775" s="14"/>
      <c r="Q775" s="14">
        <v>246840</v>
      </c>
      <c r="R775" s="1"/>
    </row>
    <row r="776" spans="1:18" ht="18.75" x14ac:dyDescent="0.3">
      <c r="A776" s="8">
        <v>45400</v>
      </c>
      <c r="B776" s="9">
        <v>1</v>
      </c>
      <c r="C776" s="10">
        <v>2</v>
      </c>
      <c r="D776" s="11">
        <v>197</v>
      </c>
      <c r="E776" s="12">
        <v>20125142851</v>
      </c>
      <c r="F776" s="13" t="s">
        <v>19</v>
      </c>
      <c r="G776" s="14">
        <v>319464.15000000002</v>
      </c>
      <c r="H776" s="14">
        <v>67087.4715</v>
      </c>
      <c r="I776" s="14"/>
      <c r="J776" s="14"/>
      <c r="K776" s="14"/>
      <c r="L776" s="14"/>
      <c r="M776" s="14"/>
      <c r="N776" s="14"/>
      <c r="O776" s="14"/>
      <c r="P776" s="14"/>
      <c r="Q776" s="14">
        <v>386551.62150000001</v>
      </c>
      <c r="R776" s="1"/>
    </row>
    <row r="777" spans="1:18" ht="18.75" x14ac:dyDescent="0.3">
      <c r="A777" s="8">
        <v>45400</v>
      </c>
      <c r="B777" s="9">
        <v>1</v>
      </c>
      <c r="C777" s="10">
        <v>2</v>
      </c>
      <c r="D777" s="11">
        <v>196</v>
      </c>
      <c r="E777" s="12">
        <v>20125142851</v>
      </c>
      <c r="F777" s="13" t="s">
        <v>19</v>
      </c>
      <c r="G777" s="14">
        <v>1234920.6000000001</v>
      </c>
      <c r="H777" s="14">
        <v>259333.326</v>
      </c>
      <c r="I777" s="14"/>
      <c r="J777" s="14"/>
      <c r="K777" s="14"/>
      <c r="L777" s="14"/>
      <c r="M777" s="14"/>
      <c r="N777" s="14"/>
      <c r="O777" s="14"/>
      <c r="P777" s="14"/>
      <c r="Q777" s="14">
        <v>1494253.926</v>
      </c>
      <c r="R777" s="1"/>
    </row>
    <row r="778" spans="1:18" ht="18.75" x14ac:dyDescent="0.3">
      <c r="A778" s="8">
        <v>45393</v>
      </c>
      <c r="B778" s="9">
        <v>1</v>
      </c>
      <c r="C778" s="10">
        <v>2</v>
      </c>
      <c r="D778" s="11">
        <v>2710</v>
      </c>
      <c r="E778" s="12">
        <v>30709131733</v>
      </c>
      <c r="F778" s="13" t="s">
        <v>79</v>
      </c>
      <c r="G778" s="14">
        <v>2758040</v>
      </c>
      <c r="H778" s="14">
        <v>579188.4</v>
      </c>
      <c r="I778" s="14"/>
      <c r="J778" s="14"/>
      <c r="K778" s="14"/>
      <c r="L778" s="14"/>
      <c r="M778" s="14"/>
      <c r="N778" s="14"/>
      <c r="O778" s="14"/>
      <c r="P778" s="14"/>
      <c r="Q778" s="14">
        <v>3337228.4</v>
      </c>
      <c r="R778" s="1"/>
    </row>
    <row r="779" spans="1:18" ht="18.75" x14ac:dyDescent="0.3">
      <c r="A779" s="8">
        <v>45394</v>
      </c>
      <c r="B779" s="9">
        <v>1</v>
      </c>
      <c r="C779" s="10">
        <v>2</v>
      </c>
      <c r="D779" s="11">
        <v>686</v>
      </c>
      <c r="E779" s="12">
        <v>30718019814</v>
      </c>
      <c r="F779" s="13" t="s">
        <v>267</v>
      </c>
      <c r="G779" s="14">
        <v>28224.78</v>
      </c>
      <c r="H779" s="14">
        <v>5927.2037999999993</v>
      </c>
      <c r="I779" s="14"/>
      <c r="J779" s="14"/>
      <c r="K779" s="14"/>
      <c r="L779" s="14"/>
      <c r="M779" s="14"/>
      <c r="N779" s="14"/>
      <c r="O779" s="14"/>
      <c r="P779" s="14"/>
      <c r="Q779" s="14">
        <v>34151.983800000002</v>
      </c>
      <c r="R779" s="1"/>
    </row>
    <row r="780" spans="1:18" ht="18.75" x14ac:dyDescent="0.3">
      <c r="A780" s="8">
        <v>45383</v>
      </c>
      <c r="B780" s="9">
        <v>1</v>
      </c>
      <c r="C780" s="10">
        <v>3</v>
      </c>
      <c r="D780" s="11">
        <v>223848</v>
      </c>
      <c r="E780" s="12">
        <v>30707135596</v>
      </c>
      <c r="F780" s="13" t="s">
        <v>117</v>
      </c>
      <c r="G780" s="14">
        <v>15510</v>
      </c>
      <c r="H780" s="14">
        <v>3257.1</v>
      </c>
      <c r="I780" s="14"/>
      <c r="J780" s="14"/>
      <c r="K780" s="14"/>
      <c r="L780" s="14"/>
      <c r="M780" s="14"/>
      <c r="N780" s="14"/>
      <c r="O780" s="14"/>
      <c r="P780" s="14"/>
      <c r="Q780" s="14">
        <v>18767.099999999999</v>
      </c>
      <c r="R780" s="1"/>
    </row>
    <row r="781" spans="1:18" ht="18.75" x14ac:dyDescent="0.3">
      <c r="A781" s="8">
        <v>45383</v>
      </c>
      <c r="B781" s="9">
        <v>1</v>
      </c>
      <c r="C781" s="10">
        <v>3</v>
      </c>
      <c r="D781" s="11">
        <v>744</v>
      </c>
      <c r="E781" s="12">
        <v>30715402765</v>
      </c>
      <c r="F781" s="13" t="s">
        <v>100</v>
      </c>
      <c r="G781" s="14">
        <v>43801.66</v>
      </c>
      <c r="H781" s="14">
        <v>9198.3486000000012</v>
      </c>
      <c r="I781" s="14"/>
      <c r="J781" s="14"/>
      <c r="K781" s="14"/>
      <c r="L781" s="14"/>
      <c r="M781" s="14"/>
      <c r="N781" s="14"/>
      <c r="O781" s="14"/>
      <c r="P781" s="14"/>
      <c r="Q781" s="14">
        <v>53000.008600000001</v>
      </c>
      <c r="R781" s="1"/>
    </row>
    <row r="782" spans="1:18" ht="18.75" x14ac:dyDescent="0.3">
      <c r="A782" s="8">
        <v>45391</v>
      </c>
      <c r="B782" s="9">
        <v>1</v>
      </c>
      <c r="C782" s="10">
        <v>1</v>
      </c>
      <c r="D782" s="11">
        <v>1126</v>
      </c>
      <c r="E782" s="12">
        <v>30717763692</v>
      </c>
      <c r="F782" s="13" t="s">
        <v>264</v>
      </c>
      <c r="G782" s="14">
        <v>38016.53</v>
      </c>
      <c r="H782" s="14">
        <v>7983.4712999999992</v>
      </c>
      <c r="I782" s="14"/>
      <c r="J782" s="14"/>
      <c r="K782" s="14"/>
      <c r="L782" s="14"/>
      <c r="M782" s="14"/>
      <c r="N782" s="14"/>
      <c r="O782" s="14"/>
      <c r="P782" s="14"/>
      <c r="Q782" s="14">
        <v>46000.001299999996</v>
      </c>
      <c r="R782" s="1"/>
    </row>
    <row r="783" spans="1:18" ht="18.75" x14ac:dyDescent="0.3">
      <c r="A783" s="8">
        <v>45390</v>
      </c>
      <c r="B783" s="9">
        <v>1</v>
      </c>
      <c r="C783" s="10">
        <v>3</v>
      </c>
      <c r="D783" s="11">
        <v>308</v>
      </c>
      <c r="E783" s="12">
        <v>20921575743</v>
      </c>
      <c r="F783" s="13" t="s">
        <v>71</v>
      </c>
      <c r="G783" s="14">
        <v>447500</v>
      </c>
      <c r="H783" s="14">
        <v>93975</v>
      </c>
      <c r="I783" s="14"/>
      <c r="J783" s="14"/>
      <c r="K783" s="14"/>
      <c r="L783" s="14"/>
      <c r="M783" s="14"/>
      <c r="N783" s="14"/>
      <c r="O783" s="14"/>
      <c r="P783" s="14"/>
      <c r="Q783" s="14">
        <v>541475</v>
      </c>
      <c r="R783" s="1"/>
    </row>
    <row r="784" spans="1:18" ht="18.75" x14ac:dyDescent="0.3">
      <c r="A784" s="8">
        <v>45409</v>
      </c>
      <c r="B784" s="9">
        <v>1</v>
      </c>
      <c r="C784" s="10">
        <v>31</v>
      </c>
      <c r="D784" s="11">
        <v>41586</v>
      </c>
      <c r="E784" s="12">
        <v>30715209833</v>
      </c>
      <c r="F784" s="13" t="s">
        <v>173</v>
      </c>
      <c r="G784" s="14">
        <v>52429.75</v>
      </c>
      <c r="H784" s="14">
        <v>11010.247499999999</v>
      </c>
      <c r="I784" s="14"/>
      <c r="J784" s="14"/>
      <c r="K784" s="14"/>
      <c r="L784" s="14"/>
      <c r="M784" s="14"/>
      <c r="N784" s="14"/>
      <c r="O784" s="14"/>
      <c r="P784" s="14"/>
      <c r="Q784" s="14">
        <v>63439.997499999998</v>
      </c>
      <c r="R784" s="1"/>
    </row>
    <row r="785" spans="1:18" ht="18.75" x14ac:dyDescent="0.3">
      <c r="A785" s="8">
        <v>45406</v>
      </c>
      <c r="B785" s="9">
        <v>1</v>
      </c>
      <c r="C785" s="10">
        <v>31</v>
      </c>
      <c r="D785" s="11">
        <v>41286</v>
      </c>
      <c r="E785" s="12">
        <v>30715209833</v>
      </c>
      <c r="F785" s="13" t="s">
        <v>173</v>
      </c>
      <c r="G785" s="14">
        <v>43561.98</v>
      </c>
      <c r="H785" s="14">
        <v>9148.015800000001</v>
      </c>
      <c r="I785" s="14"/>
      <c r="J785" s="14"/>
      <c r="K785" s="14"/>
      <c r="L785" s="14"/>
      <c r="M785" s="14"/>
      <c r="N785" s="14"/>
      <c r="O785" s="14"/>
      <c r="P785" s="14"/>
      <c r="Q785" s="14">
        <v>52709.995800000004</v>
      </c>
      <c r="R785" s="1"/>
    </row>
    <row r="786" spans="1:18" ht="18.75" x14ac:dyDescent="0.3">
      <c r="A786" s="8">
        <v>45404</v>
      </c>
      <c r="B786" s="9">
        <v>1</v>
      </c>
      <c r="C786" s="10">
        <v>4</v>
      </c>
      <c r="D786" s="11">
        <v>164</v>
      </c>
      <c r="E786" s="12">
        <v>30715863916</v>
      </c>
      <c r="F786" s="13" t="s">
        <v>268</v>
      </c>
      <c r="G786" s="14">
        <v>5173.55</v>
      </c>
      <c r="H786" s="14">
        <v>1086.4455</v>
      </c>
      <c r="I786" s="14"/>
      <c r="J786" s="14"/>
      <c r="K786" s="14"/>
      <c r="L786" s="14"/>
      <c r="M786" s="14"/>
      <c r="N786" s="14"/>
      <c r="O786" s="14"/>
      <c r="P786" s="14"/>
      <c r="Q786" s="14">
        <v>6259.9955</v>
      </c>
      <c r="R786" s="1"/>
    </row>
    <row r="787" spans="1:18" ht="18.75" x14ac:dyDescent="0.3">
      <c r="A787" s="8">
        <v>45392</v>
      </c>
      <c r="B787" s="9">
        <v>1</v>
      </c>
      <c r="C787" s="10">
        <v>10</v>
      </c>
      <c r="D787" s="11">
        <v>38013</v>
      </c>
      <c r="E787" s="12">
        <v>30528214483</v>
      </c>
      <c r="F787" s="13" t="s">
        <v>187</v>
      </c>
      <c r="G787" s="14">
        <v>15637.08</v>
      </c>
      <c r="H787" s="14">
        <v>3283.7867999999999</v>
      </c>
      <c r="I787" s="14"/>
      <c r="J787" s="14"/>
      <c r="K787" s="14"/>
      <c r="L787" s="14"/>
      <c r="M787" s="14"/>
      <c r="N787" s="14"/>
      <c r="O787" s="14"/>
      <c r="P787" s="14"/>
      <c r="Q787" s="14">
        <v>18920.8668</v>
      </c>
      <c r="R787" s="1"/>
    </row>
    <row r="788" spans="1:18" ht="18.75" x14ac:dyDescent="0.3">
      <c r="A788" s="8">
        <v>45391</v>
      </c>
      <c r="B788" s="9">
        <v>1</v>
      </c>
      <c r="C788" s="10">
        <v>6</v>
      </c>
      <c r="D788" s="11">
        <v>9200</v>
      </c>
      <c r="E788" s="12">
        <v>30703451310</v>
      </c>
      <c r="F788" s="13" t="s">
        <v>269</v>
      </c>
      <c r="G788" s="14">
        <v>41157.019999999997</v>
      </c>
      <c r="H788" s="14">
        <v>8642.9741999999987</v>
      </c>
      <c r="I788" s="14"/>
      <c r="J788" s="14"/>
      <c r="K788" s="14"/>
      <c r="L788" s="14"/>
      <c r="M788" s="14"/>
      <c r="N788" s="14"/>
      <c r="O788" s="14"/>
      <c r="P788" s="14"/>
      <c r="Q788" s="14">
        <v>49799.994199999994</v>
      </c>
      <c r="R788" s="1"/>
    </row>
    <row r="789" spans="1:18" ht="18.75" x14ac:dyDescent="0.3">
      <c r="A789" s="8">
        <v>45409</v>
      </c>
      <c r="B789" s="9">
        <v>1</v>
      </c>
      <c r="C789" s="10">
        <v>5</v>
      </c>
      <c r="D789" s="11">
        <v>13527</v>
      </c>
      <c r="E789" s="12">
        <v>27066610018</v>
      </c>
      <c r="F789" s="13" t="s">
        <v>196</v>
      </c>
      <c r="G789" s="14">
        <v>29602.48</v>
      </c>
      <c r="H789" s="14">
        <v>6216.5207999999993</v>
      </c>
      <c r="I789" s="14"/>
      <c r="J789" s="14"/>
      <c r="K789" s="14"/>
      <c r="L789" s="14"/>
      <c r="M789" s="14"/>
      <c r="N789" s="14"/>
      <c r="O789" s="14"/>
      <c r="P789" s="14"/>
      <c r="Q789" s="14">
        <v>35819.000800000002</v>
      </c>
      <c r="R789" s="1"/>
    </row>
    <row r="790" spans="1:18" ht="18.75" x14ac:dyDescent="0.3">
      <c r="A790" s="8">
        <v>45387</v>
      </c>
      <c r="B790" s="9">
        <v>1</v>
      </c>
      <c r="C790" s="10">
        <v>13</v>
      </c>
      <c r="D790" s="11">
        <v>62453</v>
      </c>
      <c r="E790" s="12">
        <v>30709256420</v>
      </c>
      <c r="F790" s="13" t="s">
        <v>183</v>
      </c>
      <c r="G790" s="14">
        <v>11352.89</v>
      </c>
      <c r="H790" s="14">
        <v>2384.1068999999998</v>
      </c>
      <c r="I790" s="14"/>
      <c r="J790" s="14"/>
      <c r="K790" s="14"/>
      <c r="L790" s="14"/>
      <c r="M790" s="14"/>
      <c r="N790" s="14"/>
      <c r="O790" s="14"/>
      <c r="P790" s="14"/>
      <c r="Q790" s="14">
        <v>13736.996899999998</v>
      </c>
      <c r="R790" s="1"/>
    </row>
    <row r="791" spans="1:18" ht="18.75" x14ac:dyDescent="0.3">
      <c r="A791" s="8">
        <v>45386</v>
      </c>
      <c r="B791" s="9">
        <v>1</v>
      </c>
      <c r="C791" s="10">
        <v>6</v>
      </c>
      <c r="D791" s="11">
        <v>4657</v>
      </c>
      <c r="E791" s="12">
        <v>27369025584</v>
      </c>
      <c r="F791" s="13" t="s">
        <v>270</v>
      </c>
      <c r="G791" s="14">
        <v>3297.52</v>
      </c>
      <c r="H791" s="14">
        <v>692.47919999999999</v>
      </c>
      <c r="I791" s="14"/>
      <c r="J791" s="14"/>
      <c r="K791" s="14"/>
      <c r="L791" s="14"/>
      <c r="M791" s="14"/>
      <c r="N791" s="14"/>
      <c r="O791" s="14"/>
      <c r="P791" s="14"/>
      <c r="Q791" s="14">
        <v>3989.9992000000002</v>
      </c>
      <c r="R791" s="1"/>
    </row>
    <row r="792" spans="1:18" ht="18.75" x14ac:dyDescent="0.3">
      <c r="A792" s="8">
        <v>45408</v>
      </c>
      <c r="B792" s="9">
        <v>1</v>
      </c>
      <c r="C792" s="10">
        <v>5</v>
      </c>
      <c r="D792" s="11">
        <v>47</v>
      </c>
      <c r="E792" s="12">
        <v>27224574679</v>
      </c>
      <c r="F792" s="13" t="s">
        <v>271</v>
      </c>
      <c r="G792" s="14">
        <v>18081.599999999999</v>
      </c>
      <c r="H792" s="14">
        <v>3797.1359999999995</v>
      </c>
      <c r="I792" s="14"/>
      <c r="J792" s="14"/>
      <c r="K792" s="14"/>
      <c r="L792" s="14"/>
      <c r="M792" s="14"/>
      <c r="N792" s="14"/>
      <c r="O792" s="14"/>
      <c r="P792" s="14"/>
      <c r="Q792" s="14">
        <v>21878.735999999997</v>
      </c>
      <c r="R792" s="1"/>
    </row>
    <row r="793" spans="1:18" ht="18.75" x14ac:dyDescent="0.3">
      <c r="A793" s="8" t="s">
        <v>272</v>
      </c>
      <c r="B793" s="9">
        <v>1</v>
      </c>
      <c r="C793" s="10">
        <v>30</v>
      </c>
      <c r="D793" s="11">
        <v>128138</v>
      </c>
      <c r="E793" s="12">
        <v>30695056342</v>
      </c>
      <c r="F793" s="13" t="s">
        <v>266</v>
      </c>
      <c r="G793" s="14">
        <v>18238.84</v>
      </c>
      <c r="H793" s="14">
        <v>3830.1563999999998</v>
      </c>
      <c r="I793" s="14"/>
      <c r="J793" s="14"/>
      <c r="K793" s="14"/>
      <c r="L793" s="14"/>
      <c r="M793" s="14"/>
      <c r="N793" s="14"/>
      <c r="O793" s="14"/>
      <c r="P793" s="14"/>
      <c r="Q793" s="14">
        <v>22068.9964</v>
      </c>
      <c r="R793" s="1"/>
    </row>
    <row r="794" spans="1:18" ht="18.75" x14ac:dyDescent="0.3">
      <c r="A794" s="8" t="s">
        <v>273</v>
      </c>
      <c r="B794" s="9">
        <v>1</v>
      </c>
      <c r="C794" s="10">
        <v>6</v>
      </c>
      <c r="D794" s="11">
        <v>2292</v>
      </c>
      <c r="E794" s="12">
        <v>27236006250</v>
      </c>
      <c r="F794" s="13" t="s">
        <v>274</v>
      </c>
      <c r="G794" s="14">
        <v>8047.52</v>
      </c>
      <c r="H794" s="14">
        <v>1689.9792</v>
      </c>
      <c r="I794" s="14"/>
      <c r="J794" s="14"/>
      <c r="K794" s="14"/>
      <c r="L794" s="14"/>
      <c r="M794" s="14"/>
      <c r="N794" s="14"/>
      <c r="O794" s="14"/>
      <c r="P794" s="14"/>
      <c r="Q794" s="14">
        <v>9737.4992000000002</v>
      </c>
      <c r="R794" s="1"/>
    </row>
    <row r="795" spans="1:18" ht="18.75" x14ac:dyDescent="0.3">
      <c r="A795" s="8" t="s">
        <v>275</v>
      </c>
      <c r="B795" s="9">
        <v>1</v>
      </c>
      <c r="C795" s="10">
        <v>700</v>
      </c>
      <c r="D795" s="11">
        <v>643864</v>
      </c>
      <c r="E795" s="12">
        <v>30580111315</v>
      </c>
      <c r="F795" s="13" t="s">
        <v>108</v>
      </c>
      <c r="G795" s="14">
        <v>13222.5</v>
      </c>
      <c r="H795" s="14">
        <v>2776.7249999999999</v>
      </c>
      <c r="I795" s="14"/>
      <c r="J795" s="14"/>
      <c r="K795" s="14"/>
      <c r="L795" s="14"/>
      <c r="M795" s="14"/>
      <c r="N795" s="14"/>
      <c r="O795" s="14"/>
      <c r="P795" s="14">
        <v>545154.86</v>
      </c>
      <c r="Q795" s="14">
        <v>561154.08499999996</v>
      </c>
      <c r="R795" s="1"/>
    </row>
    <row r="796" spans="1:18" ht="18.75" x14ac:dyDescent="0.3">
      <c r="A796" s="8" t="s">
        <v>276</v>
      </c>
      <c r="B796" s="9">
        <v>1</v>
      </c>
      <c r="C796" s="10">
        <v>2466</v>
      </c>
      <c r="D796" s="11">
        <v>636157</v>
      </c>
      <c r="E796" s="12">
        <v>30678814357</v>
      </c>
      <c r="F796" s="13" t="s">
        <v>116</v>
      </c>
      <c r="G796" s="14">
        <v>17540</v>
      </c>
      <c r="H796" s="14"/>
      <c r="I796" s="14">
        <v>4735.8</v>
      </c>
      <c r="J796" s="14"/>
      <c r="K796" s="14">
        <v>526.20000000000005</v>
      </c>
      <c r="L796" s="14"/>
      <c r="M796" s="14"/>
      <c r="N796" s="14"/>
      <c r="O796" s="14"/>
      <c r="P796" s="14">
        <v>923.15</v>
      </c>
      <c r="Q796" s="14">
        <v>23725.15</v>
      </c>
      <c r="R796" s="1"/>
    </row>
    <row r="797" spans="1:18" ht="18.75" x14ac:dyDescent="0.3">
      <c r="A797" s="8" t="s">
        <v>277</v>
      </c>
      <c r="B797" s="9">
        <v>1</v>
      </c>
      <c r="C797" s="10">
        <v>3</v>
      </c>
      <c r="D797" s="11">
        <v>334487</v>
      </c>
      <c r="E797" s="12">
        <v>33643358749</v>
      </c>
      <c r="F797" s="13" t="s">
        <v>278</v>
      </c>
      <c r="G797" s="14">
        <v>52487.78</v>
      </c>
      <c r="H797" s="14"/>
      <c r="I797" s="14"/>
      <c r="J797" s="14">
        <v>5511.2168999999994</v>
      </c>
      <c r="K797" s="14"/>
      <c r="L797" s="14"/>
      <c r="M797" s="14"/>
      <c r="N797" s="14"/>
      <c r="O797" s="14"/>
      <c r="P797" s="14"/>
      <c r="Q797" s="14">
        <v>57998.996899999998</v>
      </c>
      <c r="R797" s="1"/>
    </row>
    <row r="798" spans="1:18" ht="18.75" x14ac:dyDescent="0.3">
      <c r="A798" s="8" t="s">
        <v>279</v>
      </c>
      <c r="B798" s="9">
        <v>1</v>
      </c>
      <c r="C798" s="10">
        <v>3</v>
      </c>
      <c r="D798" s="11">
        <v>334743</v>
      </c>
      <c r="E798" s="12">
        <v>33643358749</v>
      </c>
      <c r="F798" s="13" t="s">
        <v>278</v>
      </c>
      <c r="G798" s="14">
        <v>45794.57</v>
      </c>
      <c r="H798" s="14"/>
      <c r="I798" s="14"/>
      <c r="J798" s="14">
        <v>4808.4298499999995</v>
      </c>
      <c r="K798" s="14"/>
      <c r="L798" s="14"/>
      <c r="M798" s="14"/>
      <c r="N798" s="14"/>
      <c r="O798" s="14"/>
      <c r="P798" s="14"/>
      <c r="Q798" s="14">
        <v>50602.99985</v>
      </c>
      <c r="R798" s="1"/>
    </row>
    <row r="799" spans="1:18" ht="18.75" x14ac:dyDescent="0.3">
      <c r="A799" s="8" t="s">
        <v>280</v>
      </c>
      <c r="B799" s="9">
        <v>1</v>
      </c>
      <c r="C799" s="10">
        <v>106</v>
      </c>
      <c r="D799" s="11">
        <v>729129</v>
      </c>
      <c r="E799" s="12">
        <v>30594494187</v>
      </c>
      <c r="F799" s="13" t="s">
        <v>35</v>
      </c>
      <c r="G799" s="14">
        <v>0</v>
      </c>
      <c r="H799" s="14">
        <v>0</v>
      </c>
      <c r="I799" s="14"/>
      <c r="J799" s="14"/>
      <c r="K799" s="14"/>
      <c r="L799" s="14"/>
      <c r="M799" s="14"/>
      <c r="N799" s="14"/>
      <c r="O799" s="14"/>
      <c r="P799" s="14"/>
      <c r="Q799" s="14">
        <v>0</v>
      </c>
      <c r="R799" s="1"/>
    </row>
    <row r="800" spans="1:18" ht="18.75" x14ac:dyDescent="0.3">
      <c r="A800" s="8" t="s">
        <v>280</v>
      </c>
      <c r="B800" s="9">
        <v>1</v>
      </c>
      <c r="C800" s="10">
        <v>3</v>
      </c>
      <c r="D800" s="11">
        <v>2022</v>
      </c>
      <c r="E800" s="12">
        <v>20401319930</v>
      </c>
      <c r="F800" s="13" t="s">
        <v>281</v>
      </c>
      <c r="G800" s="14">
        <v>23243.8</v>
      </c>
      <c r="H800" s="14">
        <v>4881.1979999999994</v>
      </c>
      <c r="I800" s="14"/>
      <c r="J800" s="14"/>
      <c r="K800" s="14"/>
      <c r="L800" s="14"/>
      <c r="M800" s="14"/>
      <c r="N800" s="14"/>
      <c r="O800" s="14"/>
      <c r="P800" s="14"/>
      <c r="Q800" s="14">
        <v>28124.998</v>
      </c>
      <c r="R800" s="1"/>
    </row>
    <row r="801" spans="1:18" ht="18.75" x14ac:dyDescent="0.3">
      <c r="A801" s="8">
        <v>45411</v>
      </c>
      <c r="B801" s="9">
        <v>1</v>
      </c>
      <c r="C801" s="10">
        <v>700</v>
      </c>
      <c r="D801" s="11">
        <v>651894</v>
      </c>
      <c r="E801" s="12">
        <v>30580111315</v>
      </c>
      <c r="F801" s="13" t="s">
        <v>108</v>
      </c>
      <c r="G801" s="14"/>
      <c r="H801" s="14">
        <v>0</v>
      </c>
      <c r="I801" s="14"/>
      <c r="J801" s="14"/>
      <c r="K801" s="14"/>
      <c r="L801" s="14"/>
      <c r="M801" s="14"/>
      <c r="N801" s="14"/>
      <c r="O801" s="14"/>
      <c r="P801" s="14">
        <v>274547.40000000002</v>
      </c>
      <c r="Q801" s="14">
        <v>274547.40000000002</v>
      </c>
      <c r="R801" s="1"/>
    </row>
    <row r="802" spans="1:18" ht="18.75" x14ac:dyDescent="0.3">
      <c r="A802" s="8">
        <v>45386</v>
      </c>
      <c r="B802" s="9">
        <v>99</v>
      </c>
      <c r="C802" s="10">
        <v>1</v>
      </c>
      <c r="D802" s="11">
        <v>1070357</v>
      </c>
      <c r="E802" s="12">
        <v>30571421352</v>
      </c>
      <c r="F802" s="13" t="s">
        <v>43</v>
      </c>
      <c r="G802" s="14">
        <v>8615</v>
      </c>
      <c r="H802" s="14">
        <v>1809.1499999999999</v>
      </c>
      <c r="I802" s="14"/>
      <c r="J802" s="14"/>
      <c r="K802" s="14"/>
      <c r="L802" s="14"/>
      <c r="M802" s="14"/>
      <c r="N802" s="14"/>
      <c r="O802" s="14"/>
      <c r="P802" s="14"/>
      <c r="Q802" s="14">
        <v>10682.6</v>
      </c>
    </row>
    <row r="803" spans="1:18" ht="18.75" x14ac:dyDescent="0.3">
      <c r="A803" s="8">
        <v>45405</v>
      </c>
      <c r="B803" s="9">
        <v>99</v>
      </c>
      <c r="C803" s="10">
        <v>1</v>
      </c>
      <c r="D803" s="11">
        <v>825879664</v>
      </c>
      <c r="E803" s="12">
        <v>30571421352</v>
      </c>
      <c r="F803" s="13" t="s">
        <v>43</v>
      </c>
      <c r="G803" s="14">
        <v>65400</v>
      </c>
      <c r="H803" s="14">
        <v>13734</v>
      </c>
      <c r="I803" s="14"/>
      <c r="J803" s="14"/>
      <c r="K803" s="14"/>
      <c r="L803" s="14"/>
      <c r="M803" s="14"/>
      <c r="N803" s="14"/>
      <c r="O803" s="14"/>
      <c r="P803" s="14"/>
      <c r="Q803" s="14">
        <v>81096</v>
      </c>
    </row>
    <row r="804" spans="1:18" ht="18.75" x14ac:dyDescent="0.3">
      <c r="A804" s="8">
        <v>45399</v>
      </c>
      <c r="B804" s="9">
        <v>99</v>
      </c>
      <c r="C804" s="10">
        <v>1</v>
      </c>
      <c r="D804" s="11">
        <v>825880947</v>
      </c>
      <c r="E804" s="12">
        <v>30571421352</v>
      </c>
      <c r="F804" s="13" t="s">
        <v>43</v>
      </c>
      <c r="G804" s="14">
        <v>65137.5</v>
      </c>
      <c r="H804" s="14">
        <v>13678.875</v>
      </c>
      <c r="I804" s="14"/>
      <c r="J804" s="14"/>
      <c r="K804" s="14"/>
      <c r="L804" s="14"/>
      <c r="M804" s="14"/>
      <c r="N804" s="14"/>
      <c r="O804" s="14"/>
      <c r="P804" s="14"/>
      <c r="Q804" s="14">
        <v>80770.505000000005</v>
      </c>
    </row>
    <row r="805" spans="1:18" ht="18.75" x14ac:dyDescent="0.3">
      <c r="A805" s="8">
        <v>45393</v>
      </c>
      <c r="B805" s="9">
        <v>99</v>
      </c>
      <c r="C805" s="10">
        <v>1</v>
      </c>
      <c r="D805" s="11">
        <v>980902</v>
      </c>
      <c r="E805" s="12">
        <v>30571421352</v>
      </c>
      <c r="F805" s="13" t="s">
        <v>43</v>
      </c>
      <c r="G805" s="14">
        <v>21637.5</v>
      </c>
      <c r="H805" s="14">
        <v>4543.875</v>
      </c>
      <c r="I805" s="14"/>
      <c r="J805" s="14"/>
      <c r="K805" s="14"/>
      <c r="L805" s="14"/>
      <c r="M805" s="14"/>
      <c r="N805" s="14"/>
      <c r="O805" s="14"/>
      <c r="P805" s="14"/>
      <c r="Q805" s="14">
        <v>26830.505000000001</v>
      </c>
    </row>
    <row r="806" spans="1:18" ht="18.75" x14ac:dyDescent="0.3">
      <c r="A806" s="8">
        <v>45394</v>
      </c>
      <c r="B806" s="9">
        <v>99</v>
      </c>
      <c r="C806" s="10">
        <v>1</v>
      </c>
      <c r="D806" s="11">
        <v>980927</v>
      </c>
      <c r="E806" s="12">
        <v>30571421352</v>
      </c>
      <c r="F806" s="13" t="s">
        <v>43</v>
      </c>
      <c r="G806" s="14">
        <v>21662.5</v>
      </c>
      <c r="H806" s="14">
        <v>4549.125</v>
      </c>
      <c r="I806" s="14"/>
      <c r="J806" s="14"/>
      <c r="K806" s="14"/>
      <c r="L806" s="14"/>
      <c r="M806" s="14"/>
      <c r="N806" s="14"/>
      <c r="O806" s="14"/>
      <c r="P806" s="14"/>
      <c r="Q806" s="14">
        <v>26861.505000000001</v>
      </c>
    </row>
    <row r="807" spans="1:18" ht="18.75" x14ac:dyDescent="0.3">
      <c r="A807" s="8">
        <v>45406</v>
      </c>
      <c r="B807" s="9">
        <v>99</v>
      </c>
      <c r="C807" s="10">
        <v>1</v>
      </c>
      <c r="D807" s="11">
        <v>1073108</v>
      </c>
      <c r="E807" s="12">
        <v>30571421352</v>
      </c>
      <c r="F807" s="13" t="s">
        <v>43</v>
      </c>
      <c r="G807" s="14">
        <v>21825</v>
      </c>
      <c r="H807" s="14">
        <v>4583.25</v>
      </c>
      <c r="I807" s="14"/>
      <c r="J807" s="14"/>
      <c r="K807" s="14"/>
      <c r="L807" s="14"/>
      <c r="M807" s="14"/>
      <c r="N807" s="14"/>
      <c r="O807" s="14"/>
      <c r="P807" s="14"/>
      <c r="Q807" s="14">
        <v>27063</v>
      </c>
    </row>
    <row r="808" spans="1:18" ht="18.75" x14ac:dyDescent="0.3">
      <c r="A808" s="8">
        <v>45412</v>
      </c>
      <c r="B808" s="9">
        <v>99</v>
      </c>
      <c r="C808" s="10">
        <v>1</v>
      </c>
      <c r="D808" s="11"/>
      <c r="E808" s="12">
        <v>30571421352</v>
      </c>
      <c r="F808" s="13" t="s">
        <v>43</v>
      </c>
      <c r="G808" s="14">
        <v>38981</v>
      </c>
      <c r="H808" s="14">
        <v>8186.0099999999993</v>
      </c>
      <c r="I808" s="14"/>
      <c r="J808" s="14"/>
      <c r="K808" s="14"/>
      <c r="L808" s="14"/>
      <c r="M808" s="14">
        <v>1036.1300000000001</v>
      </c>
      <c r="N808" s="14"/>
      <c r="O808" s="14"/>
      <c r="P808" s="14"/>
      <c r="Q808" s="14">
        <v>48203.14</v>
      </c>
    </row>
    <row r="809" spans="1:18" ht="18.75" x14ac:dyDescent="0.3">
      <c r="A809" s="8">
        <v>45412</v>
      </c>
      <c r="B809" s="9">
        <v>99</v>
      </c>
      <c r="C809" s="10">
        <v>1</v>
      </c>
      <c r="D809" s="11"/>
      <c r="E809" s="12">
        <v>30571421352</v>
      </c>
      <c r="F809" s="13" t="s">
        <v>43</v>
      </c>
      <c r="G809" s="14">
        <v>400</v>
      </c>
      <c r="H809" s="14">
        <v>84</v>
      </c>
      <c r="I809" s="14"/>
      <c r="J809" s="14"/>
      <c r="K809" s="14"/>
      <c r="L809" s="14"/>
      <c r="M809" s="14"/>
      <c r="N809" s="14"/>
      <c r="O809" s="14"/>
      <c r="P809" s="14"/>
      <c r="Q809" s="14">
        <v>537.74</v>
      </c>
    </row>
    <row r="810" spans="1:18" ht="19.5" thickBot="1" x14ac:dyDescent="0.35">
      <c r="A810" s="23" t="s">
        <v>17</v>
      </c>
      <c r="B810" s="23"/>
      <c r="C810" s="23"/>
      <c r="D810" s="23"/>
      <c r="E810" s="23"/>
      <c r="F810" s="23"/>
      <c r="G810" s="17">
        <f>SUM(G775:G809)</f>
        <v>5732005.0999999996</v>
      </c>
      <c r="H810" s="17">
        <f t="shared" ref="H810:Q810" si="24">SUM(H775:H809)</f>
        <v>1179398.3774999999</v>
      </c>
      <c r="I810" s="17">
        <f t="shared" si="24"/>
        <v>4735.8</v>
      </c>
      <c r="J810" s="17">
        <f t="shared" si="24"/>
        <v>10319.64675</v>
      </c>
      <c r="K810" s="17">
        <f t="shared" si="24"/>
        <v>526.20000000000005</v>
      </c>
      <c r="L810" s="17">
        <f t="shared" si="24"/>
        <v>0</v>
      </c>
      <c r="M810" s="17">
        <f t="shared" si="24"/>
        <v>1036.1300000000001</v>
      </c>
      <c r="N810" s="17">
        <f t="shared" si="24"/>
        <v>0</v>
      </c>
      <c r="O810" s="17">
        <f t="shared" si="24"/>
        <v>0</v>
      </c>
      <c r="P810" s="17">
        <f t="shared" si="24"/>
        <v>820625.41</v>
      </c>
      <c r="Q810" s="17">
        <f t="shared" si="24"/>
        <v>7754828.7442499967</v>
      </c>
    </row>
    <row r="811" spans="1:18" ht="19.5" thickBot="1" x14ac:dyDescent="0.35">
      <c r="A811" s="15"/>
      <c r="B811" s="15"/>
      <c r="C811" s="15"/>
      <c r="D811" s="15"/>
      <c r="E811" s="15"/>
      <c r="F811" s="15"/>
      <c r="G811" s="16"/>
      <c r="H811" s="18"/>
      <c r="I811" s="19">
        <f>SUM(H810:J810)</f>
        <v>1194453.8242500001</v>
      </c>
      <c r="J811" s="20"/>
      <c r="K811" s="16"/>
      <c r="L811" s="16"/>
      <c r="M811" s="16"/>
      <c r="N811" s="16"/>
      <c r="O811" s="16"/>
      <c r="P811" s="16"/>
      <c r="Q811" s="16"/>
    </row>
    <row r="812" spans="1:18" ht="15.75" x14ac:dyDescent="0.25">
      <c r="A812" s="4"/>
      <c r="B812" s="4"/>
      <c r="C812" s="4"/>
      <c r="D812" s="4"/>
      <c r="E812" s="4"/>
      <c r="F812" s="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7" spans="1:18" ht="29.25" thickBot="1" x14ac:dyDescent="0.5">
      <c r="A817" s="24" t="s">
        <v>0</v>
      </c>
      <c r="B817" s="24"/>
      <c r="C817" s="24"/>
      <c r="D817" s="24"/>
      <c r="E817" s="24"/>
      <c r="F817" s="21"/>
      <c r="G817" s="22"/>
      <c r="H817" s="22"/>
      <c r="I817" s="22"/>
      <c r="J817" s="22"/>
      <c r="K817" s="22"/>
      <c r="L817" s="22"/>
      <c r="M817" s="22"/>
      <c r="N817" s="22"/>
      <c r="O817" s="25">
        <v>45413</v>
      </c>
      <c r="P817" s="26"/>
      <c r="Q817" s="26"/>
    </row>
    <row r="818" spans="1:18" ht="18.75" x14ac:dyDescent="0.3">
      <c r="A818" s="6" t="s">
        <v>1</v>
      </c>
      <c r="B818" s="6" t="s">
        <v>2</v>
      </c>
      <c r="C818" s="6" t="s">
        <v>3</v>
      </c>
      <c r="D818" s="6" t="s">
        <v>4</v>
      </c>
      <c r="E818" s="6" t="s">
        <v>5</v>
      </c>
      <c r="F818" s="6" t="s">
        <v>6</v>
      </c>
      <c r="G818" s="7" t="s">
        <v>7</v>
      </c>
      <c r="H818" s="7" t="s">
        <v>8</v>
      </c>
      <c r="I818" s="7" t="s">
        <v>9</v>
      </c>
      <c r="J818" s="7" t="s">
        <v>10</v>
      </c>
      <c r="K818" s="7" t="s">
        <v>11</v>
      </c>
      <c r="L818" s="7" t="s">
        <v>12</v>
      </c>
      <c r="M818" s="7" t="s">
        <v>13</v>
      </c>
      <c r="N818" s="7" t="s">
        <v>14</v>
      </c>
      <c r="O818" s="7" t="s">
        <v>15</v>
      </c>
      <c r="P818" s="7" t="s">
        <v>16</v>
      </c>
      <c r="Q818" s="7" t="s">
        <v>17</v>
      </c>
      <c r="R818" s="4"/>
    </row>
    <row r="819" spans="1:18" ht="18.75" x14ac:dyDescent="0.3">
      <c r="A819" s="8">
        <v>45413</v>
      </c>
      <c r="B819" s="9">
        <v>1</v>
      </c>
      <c r="C819" s="10">
        <v>3</v>
      </c>
      <c r="D819" s="11">
        <v>227312</v>
      </c>
      <c r="E819" s="12">
        <v>30707135596</v>
      </c>
      <c r="F819" s="13" t="s">
        <v>117</v>
      </c>
      <c r="G819" s="14">
        <v>18742.75</v>
      </c>
      <c r="H819" s="14">
        <v>3935.9775</v>
      </c>
      <c r="I819" s="14"/>
      <c r="J819" s="14"/>
      <c r="K819" s="14"/>
      <c r="L819" s="14"/>
      <c r="M819" s="14"/>
      <c r="N819" s="14"/>
      <c r="O819" s="14"/>
      <c r="P819" s="14"/>
      <c r="Q819" s="14">
        <v>22678.727500000001</v>
      </c>
      <c r="R819" s="5"/>
    </row>
    <row r="820" spans="1:18" ht="18.75" x14ac:dyDescent="0.3">
      <c r="A820" s="8">
        <v>45413</v>
      </c>
      <c r="B820" s="9">
        <v>1</v>
      </c>
      <c r="C820" s="10">
        <v>3</v>
      </c>
      <c r="D820" s="11">
        <v>753</v>
      </c>
      <c r="E820" s="12">
        <v>30715402765</v>
      </c>
      <c r="F820" s="13" t="s">
        <v>100</v>
      </c>
      <c r="G820" s="14">
        <v>49586.76</v>
      </c>
      <c r="H820" s="14">
        <v>10413.2196</v>
      </c>
      <c r="I820" s="14"/>
      <c r="J820" s="14"/>
      <c r="K820" s="14"/>
      <c r="L820" s="14"/>
      <c r="M820" s="14"/>
      <c r="N820" s="14"/>
      <c r="O820" s="14"/>
      <c r="P820" s="14"/>
      <c r="Q820" s="14">
        <v>59999.979600000006</v>
      </c>
      <c r="R820" s="5"/>
    </row>
    <row r="821" spans="1:18" ht="18.75" x14ac:dyDescent="0.3">
      <c r="A821" s="8">
        <v>45414</v>
      </c>
      <c r="B821" s="9">
        <v>1</v>
      </c>
      <c r="C821" s="10">
        <v>4</v>
      </c>
      <c r="D821" s="11">
        <v>101074</v>
      </c>
      <c r="E821" s="12">
        <v>30559932236</v>
      </c>
      <c r="F821" s="13" t="s">
        <v>130</v>
      </c>
      <c r="G821" s="14">
        <v>44562.34</v>
      </c>
      <c r="H821" s="14">
        <v>9358.0913999999993</v>
      </c>
      <c r="I821" s="14"/>
      <c r="J821" s="14"/>
      <c r="K821" s="14"/>
      <c r="L821" s="14"/>
      <c r="M821" s="14"/>
      <c r="N821" s="14"/>
      <c r="O821" s="14"/>
      <c r="P821" s="14"/>
      <c r="Q821" s="14">
        <v>53920.431399999994</v>
      </c>
      <c r="R821" s="5"/>
    </row>
    <row r="822" spans="1:18" ht="18.75" x14ac:dyDescent="0.3">
      <c r="A822" s="8">
        <v>45414</v>
      </c>
      <c r="B822" s="9">
        <v>1</v>
      </c>
      <c r="C822" s="10">
        <v>1</v>
      </c>
      <c r="D822" s="11">
        <v>786</v>
      </c>
      <c r="E822" s="12">
        <v>30715048066</v>
      </c>
      <c r="F822" s="13" t="s">
        <v>23</v>
      </c>
      <c r="G822" s="14">
        <v>600510</v>
      </c>
      <c r="H822" s="14">
        <v>126107.09999999999</v>
      </c>
      <c r="I822" s="14"/>
      <c r="J822" s="14"/>
      <c r="K822" s="14"/>
      <c r="L822" s="14"/>
      <c r="M822" s="14"/>
      <c r="N822" s="14"/>
      <c r="O822" s="14"/>
      <c r="P822" s="14"/>
      <c r="Q822" s="14">
        <v>726617.1</v>
      </c>
      <c r="R822" s="5"/>
    </row>
    <row r="823" spans="1:18" ht="18.75" x14ac:dyDescent="0.3">
      <c r="A823" s="8">
        <v>45414</v>
      </c>
      <c r="B823" s="9">
        <v>1</v>
      </c>
      <c r="C823" s="10">
        <v>3</v>
      </c>
      <c r="D823" s="11">
        <v>124</v>
      </c>
      <c r="E823" s="12">
        <v>20297899830</v>
      </c>
      <c r="F823" s="13" t="s">
        <v>73</v>
      </c>
      <c r="G823" s="14">
        <v>5188880</v>
      </c>
      <c r="H823" s="14">
        <v>1089664.8</v>
      </c>
      <c r="I823" s="14"/>
      <c r="J823" s="14"/>
      <c r="K823" s="14"/>
      <c r="L823" s="14"/>
      <c r="M823" s="14"/>
      <c r="N823" s="14"/>
      <c r="O823" s="14"/>
      <c r="P823" s="14"/>
      <c r="Q823" s="14">
        <v>6278544.7999999998</v>
      </c>
      <c r="R823" s="5"/>
    </row>
    <row r="824" spans="1:18" ht="18.75" x14ac:dyDescent="0.3">
      <c r="A824" s="8">
        <v>45416</v>
      </c>
      <c r="B824" s="9">
        <v>1</v>
      </c>
      <c r="C824" s="10">
        <v>11</v>
      </c>
      <c r="D824" s="11">
        <v>1508</v>
      </c>
      <c r="E824" s="12">
        <v>27249663870</v>
      </c>
      <c r="F824" s="13" t="s">
        <v>282</v>
      </c>
      <c r="G824" s="14">
        <v>19981.490000000002</v>
      </c>
      <c r="H824" s="14">
        <v>4196.1129000000001</v>
      </c>
      <c r="I824" s="14"/>
      <c r="J824" s="14"/>
      <c r="K824" s="14"/>
      <c r="L824" s="14"/>
      <c r="M824" s="14"/>
      <c r="N824" s="14"/>
      <c r="O824" s="14"/>
      <c r="P824" s="14"/>
      <c r="Q824" s="14">
        <v>24177.602900000002</v>
      </c>
      <c r="R824" s="5"/>
    </row>
    <row r="825" spans="1:18" ht="18.75" x14ac:dyDescent="0.3">
      <c r="A825" s="8">
        <v>45416</v>
      </c>
      <c r="B825" s="9">
        <v>1</v>
      </c>
      <c r="C825" s="10">
        <v>8</v>
      </c>
      <c r="D825" s="11">
        <v>3167</v>
      </c>
      <c r="E825" s="12">
        <v>30715247077</v>
      </c>
      <c r="F825" s="13" t="s">
        <v>283</v>
      </c>
      <c r="G825" s="14">
        <v>27263.64</v>
      </c>
      <c r="H825" s="14">
        <v>5725.3643999999995</v>
      </c>
      <c r="I825" s="14"/>
      <c r="J825" s="14"/>
      <c r="K825" s="14"/>
      <c r="L825" s="14"/>
      <c r="M825" s="14"/>
      <c r="N825" s="14"/>
      <c r="O825" s="14"/>
      <c r="P825" s="14"/>
      <c r="Q825" s="14">
        <v>32989.004399999998</v>
      </c>
      <c r="R825" s="5"/>
    </row>
    <row r="826" spans="1:18" ht="18.75" x14ac:dyDescent="0.3">
      <c r="A826" s="8">
        <v>45418</v>
      </c>
      <c r="B826" s="9">
        <v>1</v>
      </c>
      <c r="C826" s="10">
        <v>2</v>
      </c>
      <c r="D826" s="11">
        <v>545</v>
      </c>
      <c r="E826" s="12">
        <v>30716952408</v>
      </c>
      <c r="F826" s="13" t="s">
        <v>284</v>
      </c>
      <c r="G826" s="14">
        <v>5784.3</v>
      </c>
      <c r="H826" s="14">
        <v>1214.703</v>
      </c>
      <c r="I826" s="14"/>
      <c r="J826" s="14"/>
      <c r="K826" s="14"/>
      <c r="L826" s="14"/>
      <c r="M826" s="14"/>
      <c r="N826" s="14"/>
      <c r="O826" s="14"/>
      <c r="P826" s="14"/>
      <c r="Q826" s="14">
        <v>6999.0030000000006</v>
      </c>
      <c r="R826" s="5"/>
    </row>
    <row r="827" spans="1:18" ht="18.75" x14ac:dyDescent="0.3">
      <c r="A827" s="8">
        <v>45418</v>
      </c>
      <c r="B827" s="9">
        <v>1</v>
      </c>
      <c r="C827" s="10">
        <v>100</v>
      </c>
      <c r="D827" s="11">
        <v>4344</v>
      </c>
      <c r="E827" s="12">
        <v>30562265844</v>
      </c>
      <c r="F827" s="13" t="s">
        <v>285</v>
      </c>
      <c r="G827" s="14">
        <v>69421.490000000005</v>
      </c>
      <c r="H827" s="14">
        <v>14578.5129</v>
      </c>
      <c r="I827" s="14"/>
      <c r="J827" s="14"/>
      <c r="K827" s="14"/>
      <c r="L827" s="14"/>
      <c r="M827" s="14"/>
      <c r="N827" s="14"/>
      <c r="O827" s="14"/>
      <c r="P827" s="14"/>
      <c r="Q827" s="14">
        <v>84000.002900000007</v>
      </c>
      <c r="R827" s="5"/>
    </row>
    <row r="828" spans="1:18" ht="18.75" x14ac:dyDescent="0.3">
      <c r="A828" s="8">
        <v>45418</v>
      </c>
      <c r="B828" s="9">
        <v>1</v>
      </c>
      <c r="C828" s="10">
        <v>4</v>
      </c>
      <c r="D828" s="11">
        <v>15738</v>
      </c>
      <c r="E828" s="12">
        <v>33717112119</v>
      </c>
      <c r="F828" s="13" t="s">
        <v>286</v>
      </c>
      <c r="G828" s="14">
        <v>16252.06</v>
      </c>
      <c r="H828" s="14">
        <v>3412.9325999999996</v>
      </c>
      <c r="I828" s="14"/>
      <c r="J828" s="14"/>
      <c r="K828" s="14"/>
      <c r="L828" s="14"/>
      <c r="M828" s="14"/>
      <c r="N828" s="14"/>
      <c r="O828" s="14"/>
      <c r="P828" s="14"/>
      <c r="Q828" s="14">
        <v>19664.992599999998</v>
      </c>
      <c r="R828" s="5"/>
    </row>
    <row r="829" spans="1:18" ht="18.75" x14ac:dyDescent="0.3">
      <c r="A829" s="8">
        <v>45419</v>
      </c>
      <c r="B829" s="9">
        <v>1</v>
      </c>
      <c r="C829" s="10">
        <v>3</v>
      </c>
      <c r="D829" s="11">
        <v>42639</v>
      </c>
      <c r="E829" s="12">
        <v>30715235419</v>
      </c>
      <c r="F829" s="13" t="s">
        <v>287</v>
      </c>
      <c r="G829" s="14">
        <v>27825.62</v>
      </c>
      <c r="H829" s="14">
        <v>5843.3801999999996</v>
      </c>
      <c r="I829" s="14"/>
      <c r="J829" s="14"/>
      <c r="K829" s="14"/>
      <c r="L829" s="14"/>
      <c r="M829" s="14"/>
      <c r="N829" s="14"/>
      <c r="O829" s="14"/>
      <c r="P829" s="14"/>
      <c r="Q829" s="14">
        <v>33669.000199999995</v>
      </c>
      <c r="R829" s="5"/>
    </row>
    <row r="830" spans="1:18" ht="18.75" x14ac:dyDescent="0.3">
      <c r="A830" s="8">
        <v>45420</v>
      </c>
      <c r="B830" s="9">
        <v>1</v>
      </c>
      <c r="C830" s="10">
        <v>16</v>
      </c>
      <c r="D830" s="11">
        <v>21955</v>
      </c>
      <c r="E830" s="12">
        <v>30708508221</v>
      </c>
      <c r="F830" s="13" t="s">
        <v>288</v>
      </c>
      <c r="G830" s="14">
        <v>6701.02</v>
      </c>
      <c r="H830" s="14">
        <v>1407.2142000000001</v>
      </c>
      <c r="I830" s="14"/>
      <c r="J830" s="14"/>
      <c r="K830" s="14"/>
      <c r="L830" s="14"/>
      <c r="M830" s="14"/>
      <c r="N830" s="14"/>
      <c r="O830" s="14"/>
      <c r="P830" s="14"/>
      <c r="Q830" s="14">
        <v>8108.2342000000008</v>
      </c>
      <c r="R830" s="5"/>
    </row>
    <row r="831" spans="1:18" ht="18.75" x14ac:dyDescent="0.3">
      <c r="A831" s="8">
        <v>45420</v>
      </c>
      <c r="B831" s="9">
        <v>1</v>
      </c>
      <c r="C831" s="10">
        <v>2</v>
      </c>
      <c r="D831" s="11">
        <v>11570</v>
      </c>
      <c r="E831" s="12">
        <v>30712179909</v>
      </c>
      <c r="F831" s="13" t="s">
        <v>31</v>
      </c>
      <c r="G831" s="14">
        <v>950000</v>
      </c>
      <c r="H831" s="14">
        <v>199500</v>
      </c>
      <c r="I831" s="14"/>
      <c r="J831" s="14"/>
      <c r="K831" s="14"/>
      <c r="L831" s="14"/>
      <c r="M831" s="14"/>
      <c r="N831" s="14"/>
      <c r="O831" s="14"/>
      <c r="P831" s="14"/>
      <c r="Q831" s="14">
        <v>1149500</v>
      </c>
      <c r="R831" s="5"/>
    </row>
    <row r="832" spans="1:18" ht="18.75" x14ac:dyDescent="0.3">
      <c r="A832" s="8">
        <v>45420</v>
      </c>
      <c r="B832" s="9">
        <v>1</v>
      </c>
      <c r="C832" s="10">
        <v>2</v>
      </c>
      <c r="D832" s="11">
        <v>3462</v>
      </c>
      <c r="E832" s="12">
        <v>30710878974</v>
      </c>
      <c r="F832" s="13" t="s">
        <v>186</v>
      </c>
      <c r="G832" s="14">
        <v>515446</v>
      </c>
      <c r="H832" s="14">
        <v>108243.65999999999</v>
      </c>
      <c r="I832" s="14"/>
      <c r="J832" s="14"/>
      <c r="K832" s="14"/>
      <c r="L832" s="14"/>
      <c r="M832" s="14"/>
      <c r="N832" s="14"/>
      <c r="O832" s="14"/>
      <c r="P832" s="14"/>
      <c r="Q832" s="14">
        <v>623689.66</v>
      </c>
      <c r="R832" s="5"/>
    </row>
    <row r="833" spans="1:18" ht="18.75" x14ac:dyDescent="0.3">
      <c r="A833" s="8">
        <v>45423</v>
      </c>
      <c r="B833" s="9">
        <v>1</v>
      </c>
      <c r="C833" s="10">
        <v>2466</v>
      </c>
      <c r="D833" s="11">
        <v>650742</v>
      </c>
      <c r="E833" s="12">
        <v>30678814357</v>
      </c>
      <c r="F833" s="13" t="s">
        <v>116</v>
      </c>
      <c r="G833" s="14">
        <v>22677.35</v>
      </c>
      <c r="H833" s="14"/>
      <c r="I833" s="14">
        <v>6122.8845000000001</v>
      </c>
      <c r="J833" s="14"/>
      <c r="K833" s="14">
        <v>680.32</v>
      </c>
      <c r="L833" s="14"/>
      <c r="M833" s="14"/>
      <c r="N833" s="14"/>
      <c r="O833" s="14"/>
      <c r="P833" s="14">
        <v>1138.18</v>
      </c>
      <c r="Q833" s="14">
        <v>30618.734499999999</v>
      </c>
      <c r="R833" s="5"/>
    </row>
    <row r="834" spans="1:18" ht="18.75" x14ac:dyDescent="0.3">
      <c r="A834" s="8">
        <v>45425</v>
      </c>
      <c r="B834" s="9">
        <v>1</v>
      </c>
      <c r="C834" s="10">
        <v>9</v>
      </c>
      <c r="D834" s="11">
        <v>1882</v>
      </c>
      <c r="E834" s="12">
        <v>30631047145</v>
      </c>
      <c r="F834" s="13" t="s">
        <v>26</v>
      </c>
      <c r="G834" s="14">
        <v>343140</v>
      </c>
      <c r="H834" s="14">
        <v>72059.399999999994</v>
      </c>
      <c r="I834" s="14"/>
      <c r="J834" s="14"/>
      <c r="K834" s="14"/>
      <c r="L834" s="14"/>
      <c r="M834" s="14"/>
      <c r="N834" s="14"/>
      <c r="O834" s="14"/>
      <c r="P834" s="14"/>
      <c r="Q834" s="14">
        <v>415199.4</v>
      </c>
      <c r="R834" s="5"/>
    </row>
    <row r="835" spans="1:18" ht="18.75" x14ac:dyDescent="0.3">
      <c r="A835" s="8">
        <v>45426</v>
      </c>
      <c r="B835" s="9">
        <v>1</v>
      </c>
      <c r="C835" s="10">
        <v>8</v>
      </c>
      <c r="D835" s="11">
        <v>23912</v>
      </c>
      <c r="E835" s="12">
        <v>30709953482</v>
      </c>
      <c r="F835" s="13" t="s">
        <v>175</v>
      </c>
      <c r="G835" s="14">
        <v>12298.61</v>
      </c>
      <c r="H835" s="14">
        <v>2582.7080999999998</v>
      </c>
      <c r="I835" s="14"/>
      <c r="J835" s="14"/>
      <c r="K835" s="14"/>
      <c r="L835" s="14"/>
      <c r="M835" s="14"/>
      <c r="N835" s="14"/>
      <c r="O835" s="14"/>
      <c r="P835" s="14"/>
      <c r="Q835" s="14">
        <v>14881.3181</v>
      </c>
      <c r="R835" s="5"/>
    </row>
    <row r="836" spans="1:18" ht="18.75" x14ac:dyDescent="0.3">
      <c r="A836" s="8">
        <v>45426</v>
      </c>
      <c r="B836" s="9">
        <v>1</v>
      </c>
      <c r="C836" s="10">
        <v>6</v>
      </c>
      <c r="D836" s="11">
        <v>6245</v>
      </c>
      <c r="E836" s="12">
        <v>30714743402</v>
      </c>
      <c r="F836" s="13" t="s">
        <v>289</v>
      </c>
      <c r="G836" s="14">
        <v>22512.400000000001</v>
      </c>
      <c r="H836" s="14">
        <v>4727.6040000000003</v>
      </c>
      <c r="I836" s="14"/>
      <c r="J836" s="14"/>
      <c r="K836" s="14"/>
      <c r="L836" s="14"/>
      <c r="M836" s="14"/>
      <c r="N836" s="14"/>
      <c r="O836" s="14"/>
      <c r="P836" s="14"/>
      <c r="Q836" s="14">
        <v>27240.004000000001</v>
      </c>
      <c r="R836" s="5"/>
    </row>
    <row r="837" spans="1:18" ht="18.75" x14ac:dyDescent="0.3">
      <c r="A837" s="8">
        <v>45426</v>
      </c>
      <c r="B837" s="9">
        <v>1</v>
      </c>
      <c r="C837" s="10">
        <v>3</v>
      </c>
      <c r="D837" s="11">
        <v>5725</v>
      </c>
      <c r="E837" s="12">
        <v>30710585411</v>
      </c>
      <c r="F837" s="13" t="s">
        <v>248</v>
      </c>
      <c r="G837" s="14">
        <v>49725.62</v>
      </c>
      <c r="H837" s="14">
        <v>10442.3802</v>
      </c>
      <c r="I837" s="14"/>
      <c r="J837" s="14"/>
      <c r="K837" s="14"/>
      <c r="L837" s="14"/>
      <c r="M837" s="14"/>
      <c r="N837" s="14"/>
      <c r="O837" s="14"/>
      <c r="P837" s="14"/>
      <c r="Q837" s="14">
        <v>60168.000200000002</v>
      </c>
      <c r="R837" s="5"/>
    </row>
    <row r="838" spans="1:18" ht="18.75" x14ac:dyDescent="0.3">
      <c r="A838" s="8">
        <v>45427</v>
      </c>
      <c r="B838" s="9">
        <v>1</v>
      </c>
      <c r="C838" s="10">
        <v>8</v>
      </c>
      <c r="D838" s="11">
        <v>24019</v>
      </c>
      <c r="E838" s="12">
        <v>30709953482</v>
      </c>
      <c r="F838" s="13" t="s">
        <v>175</v>
      </c>
      <c r="G838" s="14">
        <v>12298.61</v>
      </c>
      <c r="H838" s="14">
        <v>2582.7080999999998</v>
      </c>
      <c r="I838" s="14"/>
      <c r="J838" s="14"/>
      <c r="K838" s="14"/>
      <c r="L838" s="14"/>
      <c r="M838" s="14"/>
      <c r="N838" s="14"/>
      <c r="O838" s="14"/>
      <c r="P838" s="14"/>
      <c r="Q838" s="14">
        <v>14881.3181</v>
      </c>
      <c r="R838" s="5"/>
    </row>
    <row r="839" spans="1:18" ht="18.75" x14ac:dyDescent="0.3">
      <c r="A839" s="8">
        <v>45427</v>
      </c>
      <c r="B839" s="9">
        <v>1</v>
      </c>
      <c r="C839" s="10">
        <v>9</v>
      </c>
      <c r="D839" s="11">
        <v>14039</v>
      </c>
      <c r="E839" s="12">
        <v>30708600187</v>
      </c>
      <c r="F839" s="13" t="s">
        <v>290</v>
      </c>
      <c r="G839" s="14">
        <v>601160</v>
      </c>
      <c r="H839" s="14">
        <v>126243.59999999999</v>
      </c>
      <c r="I839" s="14"/>
      <c r="J839" s="14"/>
      <c r="K839" s="14"/>
      <c r="L839" s="14"/>
      <c r="M839" s="14"/>
      <c r="N839" s="14"/>
      <c r="O839" s="14"/>
      <c r="P839" s="14"/>
      <c r="Q839" s="14">
        <v>727403.6</v>
      </c>
      <c r="R839" s="5"/>
    </row>
    <row r="840" spans="1:18" ht="18.75" x14ac:dyDescent="0.3">
      <c r="A840" s="8">
        <v>45427</v>
      </c>
      <c r="B840" s="9">
        <v>3</v>
      </c>
      <c r="C840" s="10">
        <v>8</v>
      </c>
      <c r="D840" s="11">
        <v>2150</v>
      </c>
      <c r="E840" s="12">
        <v>30709953482</v>
      </c>
      <c r="F840" s="13" t="s">
        <v>175</v>
      </c>
      <c r="G840" s="14">
        <v>-12298.61</v>
      </c>
      <c r="H840" s="14">
        <v>-2582.7080999999998</v>
      </c>
      <c r="I840" s="14"/>
      <c r="J840" s="14"/>
      <c r="K840" s="14"/>
      <c r="L840" s="14"/>
      <c r="M840" s="14"/>
      <c r="N840" s="14"/>
      <c r="O840" s="14"/>
      <c r="P840" s="14"/>
      <c r="Q840" s="14">
        <v>-14881.3181</v>
      </c>
      <c r="R840" s="5"/>
    </row>
    <row r="841" spans="1:18" ht="18.75" x14ac:dyDescent="0.3">
      <c r="A841" s="8">
        <v>45428</v>
      </c>
      <c r="B841" s="9">
        <v>1</v>
      </c>
      <c r="C841" s="10">
        <v>106</v>
      </c>
      <c r="D841" s="11">
        <v>733821</v>
      </c>
      <c r="E841" s="12">
        <v>30594494187</v>
      </c>
      <c r="F841" s="13" t="s">
        <v>35</v>
      </c>
      <c r="G841" s="14">
        <v>0</v>
      </c>
      <c r="H841" s="14">
        <v>0</v>
      </c>
      <c r="I841" s="14"/>
      <c r="J841" s="14"/>
      <c r="K841" s="14"/>
      <c r="L841" s="14"/>
      <c r="M841" s="14"/>
      <c r="N841" s="14"/>
      <c r="O841" s="14"/>
      <c r="P841" s="14">
        <v>407884.79999999999</v>
      </c>
      <c r="Q841" s="14">
        <v>407884.79999999999</v>
      </c>
      <c r="R841" s="5"/>
    </row>
    <row r="842" spans="1:18" ht="18.75" x14ac:dyDescent="0.3">
      <c r="A842" s="8">
        <v>45432</v>
      </c>
      <c r="B842" s="9">
        <v>1</v>
      </c>
      <c r="C842" s="10">
        <v>6</v>
      </c>
      <c r="D842" s="11">
        <v>782</v>
      </c>
      <c r="E842" s="12">
        <v>20283509924</v>
      </c>
      <c r="F842" s="13" t="s">
        <v>291</v>
      </c>
      <c r="G842" s="14">
        <v>24518.19</v>
      </c>
      <c r="H842" s="14">
        <v>5148.8198999999995</v>
      </c>
      <c r="I842" s="14"/>
      <c r="J842" s="14"/>
      <c r="K842" s="14"/>
      <c r="L842" s="14"/>
      <c r="M842" s="14"/>
      <c r="N842" s="14"/>
      <c r="O842" s="14"/>
      <c r="P842" s="14"/>
      <c r="Q842" s="14">
        <v>29667.009899999997</v>
      </c>
      <c r="R842" s="5"/>
    </row>
    <row r="843" spans="1:18" ht="18.75" x14ac:dyDescent="0.3">
      <c r="A843" s="8">
        <v>45434</v>
      </c>
      <c r="B843" s="9">
        <v>1</v>
      </c>
      <c r="C843" s="10">
        <v>2</v>
      </c>
      <c r="D843" s="11">
        <v>8760</v>
      </c>
      <c r="E843" s="12">
        <v>30711726019</v>
      </c>
      <c r="F843" s="13" t="s">
        <v>121</v>
      </c>
      <c r="G843" s="14">
        <v>351200</v>
      </c>
      <c r="H843" s="14">
        <v>73752</v>
      </c>
      <c r="I843" s="14"/>
      <c r="J843" s="14"/>
      <c r="K843" s="14"/>
      <c r="L843" s="14"/>
      <c r="M843" s="14"/>
      <c r="N843" s="14"/>
      <c r="O843" s="14"/>
      <c r="P843" s="14"/>
      <c r="Q843" s="14">
        <v>424952</v>
      </c>
      <c r="R843" s="5"/>
    </row>
    <row r="844" spans="1:18" ht="18.75" x14ac:dyDescent="0.3">
      <c r="A844" s="8">
        <v>45436</v>
      </c>
      <c r="B844" s="9">
        <v>1</v>
      </c>
      <c r="C844" s="10">
        <v>6</v>
      </c>
      <c r="D844" s="11">
        <v>791</v>
      </c>
      <c r="E844" s="12">
        <v>20283509924</v>
      </c>
      <c r="F844" s="13" t="s">
        <v>291</v>
      </c>
      <c r="G844" s="14">
        <v>49036.38</v>
      </c>
      <c r="H844" s="14">
        <v>10297.639799999999</v>
      </c>
      <c r="I844" s="14"/>
      <c r="J844" s="14"/>
      <c r="K844" s="14"/>
      <c r="L844" s="14"/>
      <c r="M844" s="14"/>
      <c r="N844" s="14"/>
      <c r="O844" s="14"/>
      <c r="P844" s="14"/>
      <c r="Q844" s="14">
        <v>59334.019799999995</v>
      </c>
      <c r="R844" s="5"/>
    </row>
    <row r="845" spans="1:18" ht="18.75" x14ac:dyDescent="0.3">
      <c r="A845" s="8">
        <v>45439</v>
      </c>
      <c r="B845" s="9">
        <v>1</v>
      </c>
      <c r="C845" s="10">
        <v>3</v>
      </c>
      <c r="D845" s="11">
        <v>311</v>
      </c>
      <c r="E845" s="12">
        <v>20921575743</v>
      </c>
      <c r="F845" s="13" t="s">
        <v>71</v>
      </c>
      <c r="G845" s="14">
        <v>554900</v>
      </c>
      <c r="H845" s="14">
        <v>116529</v>
      </c>
      <c r="I845" s="14"/>
      <c r="J845" s="14"/>
      <c r="K845" s="14"/>
      <c r="L845" s="14"/>
      <c r="M845" s="14"/>
      <c r="N845" s="14"/>
      <c r="O845" s="14"/>
      <c r="P845" s="14"/>
      <c r="Q845" s="14">
        <v>671429</v>
      </c>
      <c r="R845" s="5"/>
    </row>
    <row r="846" spans="1:18" ht="18.75" x14ac:dyDescent="0.3">
      <c r="A846" s="8">
        <v>45440</v>
      </c>
      <c r="B846" s="9">
        <v>1</v>
      </c>
      <c r="C846" s="10">
        <v>2</v>
      </c>
      <c r="D846" s="11">
        <v>198</v>
      </c>
      <c r="E846" s="12">
        <v>20125142851</v>
      </c>
      <c r="F846" s="13" t="s">
        <v>19</v>
      </c>
      <c r="G846" s="14">
        <v>63792.76</v>
      </c>
      <c r="H846" s="14">
        <v>13396.479600000001</v>
      </c>
      <c r="I846" s="14"/>
      <c r="J846" s="14"/>
      <c r="K846" s="14"/>
      <c r="L846" s="14"/>
      <c r="M846" s="14"/>
      <c r="N846" s="14"/>
      <c r="O846" s="14"/>
      <c r="P846" s="14"/>
      <c r="Q846" s="14">
        <v>77189.239600000001</v>
      </c>
      <c r="R846" s="5"/>
    </row>
    <row r="847" spans="1:18" ht="18.75" x14ac:dyDescent="0.3">
      <c r="A847" s="8">
        <v>45442</v>
      </c>
      <c r="B847" s="9">
        <v>1</v>
      </c>
      <c r="C847" s="10">
        <v>5</v>
      </c>
      <c r="D847" s="11">
        <v>73679</v>
      </c>
      <c r="E847" s="12">
        <v>30692857611</v>
      </c>
      <c r="F847" s="13" t="s">
        <v>257</v>
      </c>
      <c r="G847" s="14">
        <v>122817.35</v>
      </c>
      <c r="H847" s="14">
        <v>25791.643500000002</v>
      </c>
      <c r="I847" s="14"/>
      <c r="J847" s="14"/>
      <c r="K847" s="14"/>
      <c r="L847" s="14"/>
      <c r="M847" s="14"/>
      <c r="N847" s="14"/>
      <c r="O847" s="14"/>
      <c r="P847" s="14"/>
      <c r="Q847" s="14">
        <v>148608.99350000001</v>
      </c>
      <c r="R847" s="5"/>
    </row>
    <row r="848" spans="1:18" ht="18.75" x14ac:dyDescent="0.3">
      <c r="A848" s="8">
        <v>45443</v>
      </c>
      <c r="B848" s="9">
        <v>1</v>
      </c>
      <c r="C848" s="10">
        <v>6</v>
      </c>
      <c r="D848" s="11">
        <v>14846</v>
      </c>
      <c r="E848" s="12">
        <v>30707756434</v>
      </c>
      <c r="F848" s="13" t="s">
        <v>61</v>
      </c>
      <c r="G848" s="14">
        <v>290000</v>
      </c>
      <c r="H848" s="14">
        <v>60900</v>
      </c>
      <c r="I848" s="14"/>
      <c r="J848" s="14"/>
      <c r="K848" s="14"/>
      <c r="L848" s="14"/>
      <c r="M848" s="14"/>
      <c r="N848" s="14"/>
      <c r="O848" s="14"/>
      <c r="P848" s="14"/>
      <c r="Q848" s="14">
        <v>350900</v>
      </c>
      <c r="R848" s="5"/>
    </row>
    <row r="849" spans="1:18" ht="18.75" x14ac:dyDescent="0.3">
      <c r="A849" s="8">
        <v>45432</v>
      </c>
      <c r="B849" s="9">
        <v>99</v>
      </c>
      <c r="C849" s="10">
        <v>1</v>
      </c>
      <c r="D849" s="11"/>
      <c r="E849" s="12">
        <v>30571421352</v>
      </c>
      <c r="F849" s="13" t="s">
        <v>43</v>
      </c>
      <c r="G849" s="14">
        <v>22212.5</v>
      </c>
      <c r="H849" s="14">
        <v>4664.625</v>
      </c>
      <c r="I849" s="14"/>
      <c r="J849" s="14"/>
      <c r="K849" s="14"/>
      <c r="L849" s="14"/>
      <c r="M849" s="14">
        <v>666.38</v>
      </c>
      <c r="N849" s="14"/>
      <c r="O849" s="14"/>
      <c r="P849" s="14"/>
      <c r="Q849" s="14">
        <f>SUM(G849:P849)</f>
        <v>27543.505000000001</v>
      </c>
      <c r="R849" s="4"/>
    </row>
    <row r="850" spans="1:18" ht="18.75" x14ac:dyDescent="0.3">
      <c r="A850" s="8">
        <v>45428</v>
      </c>
      <c r="B850" s="9">
        <v>99</v>
      </c>
      <c r="C850" s="10">
        <v>1</v>
      </c>
      <c r="D850" s="11"/>
      <c r="E850" s="12">
        <v>30571421352</v>
      </c>
      <c r="F850" s="13" t="s">
        <v>43</v>
      </c>
      <c r="G850" s="14">
        <v>22150</v>
      </c>
      <c r="H850" s="14">
        <v>4651.5</v>
      </c>
      <c r="I850" s="14"/>
      <c r="J850" s="14"/>
      <c r="K850" s="14"/>
      <c r="L850" s="14"/>
      <c r="M850" s="14">
        <v>664.5</v>
      </c>
      <c r="N850" s="14"/>
      <c r="O850" s="14"/>
      <c r="P850" s="14"/>
      <c r="Q850" s="14">
        <f t="shared" ref="Q850:Q852" si="25">SUM(G850:P850)</f>
        <v>27466</v>
      </c>
      <c r="R850" s="4"/>
    </row>
    <row r="851" spans="1:18" ht="18.75" x14ac:dyDescent="0.3">
      <c r="A851" s="8">
        <v>45443</v>
      </c>
      <c r="B851" s="9">
        <v>99</v>
      </c>
      <c r="C851" s="10">
        <v>1</v>
      </c>
      <c r="D851" s="11"/>
      <c r="E851" s="12">
        <v>30571421352</v>
      </c>
      <c r="F851" s="13" t="s">
        <v>43</v>
      </c>
      <c r="G851" s="14">
        <v>42912.25</v>
      </c>
      <c r="H851" s="14">
        <v>9011.5725000000002</v>
      </c>
      <c r="I851" s="14"/>
      <c r="J851" s="14"/>
      <c r="K851" s="14"/>
      <c r="L851" s="14"/>
      <c r="M851" s="14">
        <v>360</v>
      </c>
      <c r="N851" s="14"/>
      <c r="O851" s="14"/>
      <c r="P851" s="14"/>
      <c r="Q851" s="14">
        <f t="shared" si="25"/>
        <v>52283.822500000002</v>
      </c>
      <c r="R851" s="4"/>
    </row>
    <row r="852" spans="1:18" ht="18.75" x14ac:dyDescent="0.3">
      <c r="A852" s="8">
        <v>45443</v>
      </c>
      <c r="B852" s="9">
        <v>99</v>
      </c>
      <c r="C852" s="10">
        <v>1</v>
      </c>
      <c r="D852" s="11"/>
      <c r="E852" s="12">
        <v>30571421352</v>
      </c>
      <c r="F852" s="13" t="s">
        <v>43</v>
      </c>
      <c r="G852" s="14">
        <v>400</v>
      </c>
      <c r="H852" s="14">
        <v>84</v>
      </c>
      <c r="I852" s="14"/>
      <c r="J852" s="14"/>
      <c r="K852" s="14"/>
      <c r="L852" s="14"/>
      <c r="M852" s="14"/>
      <c r="N852" s="14"/>
      <c r="O852" s="14"/>
      <c r="P852" s="14"/>
      <c r="Q852" s="14">
        <f t="shared" si="25"/>
        <v>484</v>
      </c>
      <c r="R852" s="4"/>
    </row>
    <row r="853" spans="1:18" ht="19.5" thickBot="1" x14ac:dyDescent="0.35">
      <c r="A853" s="23" t="s">
        <v>17</v>
      </c>
      <c r="B853" s="23"/>
      <c r="C853" s="23"/>
      <c r="D853" s="23"/>
      <c r="E853" s="23"/>
      <c r="F853" s="23"/>
      <c r="G853" s="17">
        <f>SUM(G819:G852)</f>
        <v>10136410.879999999</v>
      </c>
      <c r="H853" s="17">
        <f t="shared" ref="H853:Q853" si="26">SUM(H819:H852)</f>
        <v>2123884.0412999997</v>
      </c>
      <c r="I853" s="17">
        <f t="shared" si="26"/>
        <v>6122.8845000000001</v>
      </c>
      <c r="J853" s="17">
        <f t="shared" si="26"/>
        <v>0</v>
      </c>
      <c r="K853" s="17">
        <f t="shared" si="26"/>
        <v>680.32</v>
      </c>
      <c r="L853" s="17">
        <f t="shared" si="26"/>
        <v>0</v>
      </c>
      <c r="M853" s="17">
        <f t="shared" si="26"/>
        <v>1690.88</v>
      </c>
      <c r="N853" s="17">
        <f t="shared" si="26"/>
        <v>0</v>
      </c>
      <c r="O853" s="17">
        <f t="shared" si="26"/>
        <v>0</v>
      </c>
      <c r="P853" s="17">
        <f t="shared" si="26"/>
        <v>409022.98</v>
      </c>
      <c r="Q853" s="17">
        <f t="shared" si="26"/>
        <v>12677811.985800002</v>
      </c>
      <c r="R853" s="4"/>
    </row>
    <row r="854" spans="1:18" ht="19.5" thickBot="1" x14ac:dyDescent="0.35">
      <c r="A854" s="15"/>
      <c r="B854" s="15"/>
      <c r="C854" s="15"/>
      <c r="D854" s="15"/>
      <c r="E854" s="15"/>
      <c r="F854" s="15"/>
      <c r="G854" s="16"/>
      <c r="H854" s="18"/>
      <c r="I854" s="19">
        <f>SUM(H853:J853)</f>
        <v>2130006.9257999999</v>
      </c>
      <c r="J854" s="20"/>
      <c r="K854" s="16"/>
      <c r="L854" s="16"/>
      <c r="M854" s="16"/>
      <c r="N854" s="16"/>
      <c r="O854" s="16"/>
      <c r="P854" s="16"/>
      <c r="Q854" s="16"/>
      <c r="R854" s="4"/>
    </row>
    <row r="855" spans="1:18" ht="15.75" x14ac:dyDescent="0.25">
      <c r="A855" s="4"/>
      <c r="B855" s="4"/>
      <c r="C855" s="4"/>
      <c r="D855" s="4"/>
      <c r="E855" s="4"/>
      <c r="F855" s="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4"/>
    </row>
    <row r="860" spans="1:18" ht="29.25" thickBot="1" x14ac:dyDescent="0.5">
      <c r="A860" s="24" t="s">
        <v>0</v>
      </c>
      <c r="B860" s="24"/>
      <c r="C860" s="24"/>
      <c r="D860" s="24"/>
      <c r="E860" s="24"/>
      <c r="F860" s="21"/>
      <c r="G860" s="22"/>
      <c r="H860" s="22"/>
      <c r="I860" s="22"/>
      <c r="J860" s="22"/>
      <c r="K860" s="22"/>
      <c r="L860" s="22"/>
      <c r="M860" s="22"/>
      <c r="N860" s="22"/>
      <c r="O860" s="25">
        <v>45444</v>
      </c>
      <c r="P860" s="26"/>
      <c r="Q860" s="26"/>
    </row>
    <row r="861" spans="1:18" ht="18.75" x14ac:dyDescent="0.3">
      <c r="A861" s="6" t="s">
        <v>1</v>
      </c>
      <c r="B861" s="6" t="s">
        <v>2</v>
      </c>
      <c r="C861" s="6" t="s">
        <v>3</v>
      </c>
      <c r="D861" s="6" t="s">
        <v>4</v>
      </c>
      <c r="E861" s="6" t="s">
        <v>5</v>
      </c>
      <c r="F861" s="6" t="s">
        <v>6</v>
      </c>
      <c r="G861" s="7" t="s">
        <v>7</v>
      </c>
      <c r="H861" s="7" t="s">
        <v>8</v>
      </c>
      <c r="I861" s="7" t="s">
        <v>9</v>
      </c>
      <c r="J861" s="7" t="s">
        <v>10</v>
      </c>
      <c r="K861" s="7" t="s">
        <v>11</v>
      </c>
      <c r="L861" s="7" t="s">
        <v>12</v>
      </c>
      <c r="M861" s="7" t="s">
        <v>13</v>
      </c>
      <c r="N861" s="7" t="s">
        <v>14</v>
      </c>
      <c r="O861" s="7" t="s">
        <v>15</v>
      </c>
      <c r="P861" s="7" t="s">
        <v>16</v>
      </c>
      <c r="Q861" s="7" t="s">
        <v>17</v>
      </c>
      <c r="R861" s="4"/>
    </row>
    <row r="862" spans="1:18" ht="18.75" x14ac:dyDescent="0.3">
      <c r="A862" s="8">
        <v>45444</v>
      </c>
      <c r="B862" s="9">
        <v>1</v>
      </c>
      <c r="C862" s="10">
        <v>3</v>
      </c>
      <c r="D862" s="11">
        <v>228991</v>
      </c>
      <c r="E862" s="12">
        <v>30707135596</v>
      </c>
      <c r="F862" s="13" t="s">
        <v>117</v>
      </c>
      <c r="G862" s="14">
        <v>18640</v>
      </c>
      <c r="H862" s="14">
        <v>3914.3999999999996</v>
      </c>
      <c r="I862" s="14"/>
      <c r="J862" s="14"/>
      <c r="K862" s="14"/>
      <c r="L862" s="14"/>
      <c r="M862" s="14"/>
      <c r="N862" s="14"/>
      <c r="O862" s="14"/>
      <c r="P862" s="14"/>
      <c r="Q862" s="14">
        <v>22554.400000000001</v>
      </c>
      <c r="R862" s="5"/>
    </row>
    <row r="863" spans="1:18" ht="18.75" x14ac:dyDescent="0.3">
      <c r="A863" s="8">
        <v>45444</v>
      </c>
      <c r="B863" s="9">
        <v>1</v>
      </c>
      <c r="C863" s="10">
        <v>7</v>
      </c>
      <c r="D863" s="11">
        <v>16187</v>
      </c>
      <c r="E863" s="12">
        <v>30604413482</v>
      </c>
      <c r="F863" s="13" t="s">
        <v>135</v>
      </c>
      <c r="G863" s="14">
        <v>96750</v>
      </c>
      <c r="H863" s="14">
        <v>20317.5</v>
      </c>
      <c r="I863" s="14"/>
      <c r="J863" s="14"/>
      <c r="K863" s="14"/>
      <c r="L863" s="14"/>
      <c r="M863" s="14"/>
      <c r="N863" s="14"/>
      <c r="O863" s="14"/>
      <c r="P863" s="14"/>
      <c r="Q863" s="14">
        <v>117067.5</v>
      </c>
      <c r="R863" s="5"/>
    </row>
    <row r="864" spans="1:18" ht="18.75" x14ac:dyDescent="0.3">
      <c r="A864" s="8">
        <v>45444</v>
      </c>
      <c r="B864" s="9">
        <v>1</v>
      </c>
      <c r="C864" s="10">
        <v>3</v>
      </c>
      <c r="D864" s="11">
        <v>761</v>
      </c>
      <c r="E864" s="12">
        <v>30715402765</v>
      </c>
      <c r="F864" s="13" t="s">
        <v>100</v>
      </c>
      <c r="G864" s="14">
        <v>54545.48</v>
      </c>
      <c r="H864" s="14">
        <v>11454.550800000001</v>
      </c>
      <c r="I864" s="14"/>
      <c r="J864" s="14"/>
      <c r="K864" s="14"/>
      <c r="L864" s="14"/>
      <c r="M864" s="14"/>
      <c r="N864" s="14"/>
      <c r="O864" s="14"/>
      <c r="P864" s="14"/>
      <c r="Q864" s="14">
        <v>66000.030800000008</v>
      </c>
      <c r="R864" s="5"/>
    </row>
    <row r="865" spans="1:18" ht="18.75" x14ac:dyDescent="0.3">
      <c r="A865" s="8">
        <v>45446</v>
      </c>
      <c r="B865" s="9">
        <v>1</v>
      </c>
      <c r="C865" s="10">
        <v>106</v>
      </c>
      <c r="D865" s="11">
        <v>738981</v>
      </c>
      <c r="E865" s="12">
        <v>30594494187</v>
      </c>
      <c r="F865" s="13" t="s">
        <v>35</v>
      </c>
      <c r="G865" s="14">
        <v>0</v>
      </c>
      <c r="H865" s="14">
        <v>0</v>
      </c>
      <c r="I865" s="14"/>
      <c r="J865" s="14"/>
      <c r="K865" s="14"/>
      <c r="L865" s="14"/>
      <c r="M865" s="14"/>
      <c r="N865" s="14"/>
      <c r="O865" s="14"/>
      <c r="P865" s="14">
        <v>294669.05</v>
      </c>
      <c r="Q865" s="14">
        <v>294669.05</v>
      </c>
      <c r="R865" s="5"/>
    </row>
    <row r="866" spans="1:18" ht="18.75" x14ac:dyDescent="0.3">
      <c r="A866" s="8">
        <v>45446</v>
      </c>
      <c r="B866" s="9">
        <v>1</v>
      </c>
      <c r="C866" s="10">
        <v>106</v>
      </c>
      <c r="D866" s="11">
        <v>738982</v>
      </c>
      <c r="E866" s="12">
        <v>30594494187</v>
      </c>
      <c r="F866" s="13" t="s">
        <v>35</v>
      </c>
      <c r="G866" s="14">
        <v>0</v>
      </c>
      <c r="H866" s="14">
        <v>0</v>
      </c>
      <c r="I866" s="14"/>
      <c r="J866" s="14"/>
      <c r="K866" s="14"/>
      <c r="L866" s="14"/>
      <c r="M866" s="14"/>
      <c r="N866" s="14"/>
      <c r="O866" s="14"/>
      <c r="P866" s="14">
        <v>407229.16</v>
      </c>
      <c r="Q866" s="14">
        <v>407229.16</v>
      </c>
      <c r="R866" s="5"/>
    </row>
    <row r="867" spans="1:18" ht="18.75" x14ac:dyDescent="0.3">
      <c r="A867" s="8">
        <v>45446</v>
      </c>
      <c r="B867" s="9">
        <v>1</v>
      </c>
      <c r="C867" s="10">
        <v>7</v>
      </c>
      <c r="D867" s="11">
        <v>16197</v>
      </c>
      <c r="E867" s="12">
        <v>30604413482</v>
      </c>
      <c r="F867" s="13" t="s">
        <v>135</v>
      </c>
      <c r="G867" s="14">
        <v>34800</v>
      </c>
      <c r="H867" s="14">
        <v>7308</v>
      </c>
      <c r="I867" s="14"/>
      <c r="J867" s="14"/>
      <c r="K867" s="14"/>
      <c r="L867" s="14"/>
      <c r="M867" s="14"/>
      <c r="N867" s="14"/>
      <c r="O867" s="14"/>
      <c r="P867" s="14"/>
      <c r="Q867" s="14">
        <v>42108</v>
      </c>
      <c r="R867" s="5"/>
    </row>
    <row r="868" spans="1:18" ht="18.75" x14ac:dyDescent="0.3">
      <c r="A868" s="8">
        <v>45446</v>
      </c>
      <c r="B868" s="9">
        <v>1</v>
      </c>
      <c r="C868" s="10">
        <v>2</v>
      </c>
      <c r="D868" s="11">
        <v>752</v>
      </c>
      <c r="E868" s="12">
        <v>20296550184</v>
      </c>
      <c r="F868" s="13" t="s">
        <v>24</v>
      </c>
      <c r="G868" s="14">
        <v>575800</v>
      </c>
      <c r="H868" s="14">
        <v>120918</v>
      </c>
      <c r="I868" s="14"/>
      <c r="J868" s="14"/>
      <c r="K868" s="14"/>
      <c r="L868" s="14"/>
      <c r="M868" s="14"/>
      <c r="N868" s="14"/>
      <c r="O868" s="14"/>
      <c r="P868" s="14"/>
      <c r="Q868" s="14">
        <v>696718</v>
      </c>
      <c r="R868" s="5"/>
    </row>
    <row r="869" spans="1:18" ht="18.75" x14ac:dyDescent="0.3">
      <c r="A869" s="8">
        <v>45447</v>
      </c>
      <c r="B869" s="9">
        <v>1</v>
      </c>
      <c r="C869" s="10">
        <v>12</v>
      </c>
      <c r="D869" s="11">
        <v>13219</v>
      </c>
      <c r="E869" s="12">
        <v>30694497701</v>
      </c>
      <c r="F869" s="13" t="s">
        <v>292</v>
      </c>
      <c r="G869" s="14">
        <v>58134.44</v>
      </c>
      <c r="H869" s="14">
        <v>12208.232400000001</v>
      </c>
      <c r="I869" s="14"/>
      <c r="J869" s="14"/>
      <c r="K869" s="14"/>
      <c r="L869" s="14"/>
      <c r="M869" s="14"/>
      <c r="N869" s="14"/>
      <c r="O869" s="14"/>
      <c r="P869" s="14"/>
      <c r="Q869" s="14">
        <v>70342.67240000001</v>
      </c>
      <c r="R869" s="5"/>
    </row>
    <row r="870" spans="1:18" ht="18.75" x14ac:dyDescent="0.3">
      <c r="A870" s="8">
        <v>45447</v>
      </c>
      <c r="B870" s="9">
        <v>1</v>
      </c>
      <c r="C870" s="10">
        <v>4</v>
      </c>
      <c r="D870" s="11">
        <v>101620</v>
      </c>
      <c r="E870" s="12">
        <v>30559932236</v>
      </c>
      <c r="F870" s="13" t="s">
        <v>130</v>
      </c>
      <c r="G870" s="14">
        <v>1047897.59</v>
      </c>
      <c r="H870" s="14">
        <v>180048.96</v>
      </c>
      <c r="I870" s="14"/>
      <c r="J870" s="14">
        <v>20004.766949999997</v>
      </c>
      <c r="K870" s="14"/>
      <c r="L870" s="14"/>
      <c r="M870" s="14"/>
      <c r="N870" s="14"/>
      <c r="O870" s="14"/>
      <c r="P870" s="14"/>
      <c r="Q870" s="14">
        <v>1247951.3169500001</v>
      </c>
      <c r="R870" s="5"/>
    </row>
    <row r="871" spans="1:18" ht="18.75" x14ac:dyDescent="0.3">
      <c r="A871" s="8">
        <v>45448</v>
      </c>
      <c r="B871" s="9">
        <v>1</v>
      </c>
      <c r="C871" s="10">
        <v>7</v>
      </c>
      <c r="D871" s="11">
        <v>16226</v>
      </c>
      <c r="E871" s="12">
        <v>30604413482</v>
      </c>
      <c r="F871" s="13" t="s">
        <v>135</v>
      </c>
      <c r="G871" s="14">
        <v>368972.81</v>
      </c>
      <c r="H871" s="14">
        <v>77484.290099999998</v>
      </c>
      <c r="I871" s="14"/>
      <c r="J871" s="14"/>
      <c r="K871" s="14"/>
      <c r="L871" s="14"/>
      <c r="M871" s="14"/>
      <c r="N871" s="14"/>
      <c r="O871" s="14"/>
      <c r="P871" s="14"/>
      <c r="Q871" s="14">
        <v>446457.10009999998</v>
      </c>
      <c r="R871" s="5"/>
    </row>
    <row r="872" spans="1:18" ht="18.75" x14ac:dyDescent="0.3">
      <c r="A872" s="8">
        <v>45449</v>
      </c>
      <c r="B872" s="9">
        <v>1</v>
      </c>
      <c r="C872" s="10">
        <v>1</v>
      </c>
      <c r="D872" s="11">
        <v>812</v>
      </c>
      <c r="E872" s="12">
        <v>30715048066</v>
      </c>
      <c r="F872" s="13" t="s">
        <v>23</v>
      </c>
      <c r="G872" s="14">
        <v>685860</v>
      </c>
      <c r="H872" s="14">
        <v>144030.6</v>
      </c>
      <c r="I872" s="14"/>
      <c r="J872" s="14"/>
      <c r="K872" s="14"/>
      <c r="L872" s="14"/>
      <c r="M872" s="14"/>
      <c r="N872" s="14"/>
      <c r="O872" s="14"/>
      <c r="P872" s="14"/>
      <c r="Q872" s="14">
        <v>829890.6</v>
      </c>
      <c r="R872" s="5"/>
    </row>
    <row r="873" spans="1:18" ht="18.75" x14ac:dyDescent="0.3">
      <c r="A873" s="8">
        <v>45449</v>
      </c>
      <c r="B873" s="9">
        <v>1</v>
      </c>
      <c r="C873" s="10">
        <v>1</v>
      </c>
      <c r="D873" s="11">
        <v>800</v>
      </c>
      <c r="E873" s="12">
        <v>30715048066</v>
      </c>
      <c r="F873" s="13" t="s">
        <v>23</v>
      </c>
      <c r="G873" s="14">
        <v>621040</v>
      </c>
      <c r="H873" s="14">
        <v>130418.4</v>
      </c>
      <c r="I873" s="14"/>
      <c r="J873" s="14"/>
      <c r="K873" s="14"/>
      <c r="L873" s="14"/>
      <c r="M873" s="14"/>
      <c r="N873" s="14"/>
      <c r="O873" s="14"/>
      <c r="P873" s="14"/>
      <c r="Q873" s="14">
        <v>751458.4</v>
      </c>
      <c r="R873" s="5"/>
    </row>
    <row r="874" spans="1:18" ht="18.75" x14ac:dyDescent="0.3">
      <c r="A874" s="8">
        <v>45450</v>
      </c>
      <c r="B874" s="9">
        <v>1</v>
      </c>
      <c r="C874" s="10">
        <v>327</v>
      </c>
      <c r="D874" s="11">
        <v>367</v>
      </c>
      <c r="E874" s="12">
        <v>30556565798</v>
      </c>
      <c r="F874" s="13" t="s">
        <v>293</v>
      </c>
      <c r="G874" s="14">
        <v>18042</v>
      </c>
      <c r="H874" s="14">
        <v>3788.8199999999997</v>
      </c>
      <c r="I874" s="14"/>
      <c r="J874" s="14"/>
      <c r="K874" s="14"/>
      <c r="L874" s="14"/>
      <c r="M874" s="14"/>
      <c r="N874" s="14"/>
      <c r="O874" s="14"/>
      <c r="P874" s="14"/>
      <c r="Q874" s="14">
        <v>21830.82</v>
      </c>
      <c r="R874" s="5"/>
    </row>
    <row r="875" spans="1:18" ht="18.75" x14ac:dyDescent="0.3">
      <c r="A875" s="8">
        <v>45454</v>
      </c>
      <c r="B875" s="9">
        <v>1</v>
      </c>
      <c r="C875" s="10">
        <v>2466</v>
      </c>
      <c r="D875" s="11">
        <v>656251</v>
      </c>
      <c r="E875" s="12">
        <v>30678814357</v>
      </c>
      <c r="F875" s="13" t="s">
        <v>116</v>
      </c>
      <c r="G875" s="14">
        <v>21524.65</v>
      </c>
      <c r="H875" s="14"/>
      <c r="I875" s="14">
        <v>5811.6555000000008</v>
      </c>
      <c r="J875" s="14"/>
      <c r="K875" s="14">
        <v>645.74</v>
      </c>
      <c r="L875" s="14"/>
      <c r="M875" s="14"/>
      <c r="N875" s="14"/>
      <c r="O875" s="14"/>
      <c r="P875" s="14">
        <v>1124.2</v>
      </c>
      <c r="Q875" s="14">
        <v>29106.245500000005</v>
      </c>
      <c r="R875" s="5"/>
    </row>
    <row r="876" spans="1:18" ht="18.75" x14ac:dyDescent="0.3">
      <c r="A876" s="8">
        <v>45456</v>
      </c>
      <c r="B876" s="9">
        <v>1</v>
      </c>
      <c r="C876" s="10">
        <v>3</v>
      </c>
      <c r="D876" s="11">
        <v>238092</v>
      </c>
      <c r="E876" s="12">
        <v>33658043779</v>
      </c>
      <c r="F876" s="13" t="s">
        <v>81</v>
      </c>
      <c r="G876" s="14">
        <v>440000</v>
      </c>
      <c r="H876" s="14">
        <v>92400</v>
      </c>
      <c r="I876" s="14"/>
      <c r="J876" s="14"/>
      <c r="K876" s="14"/>
      <c r="L876" s="14"/>
      <c r="M876" s="14"/>
      <c r="N876" s="14"/>
      <c r="O876" s="14"/>
      <c r="P876" s="14"/>
      <c r="Q876" s="14">
        <v>532400</v>
      </c>
      <c r="R876" s="5"/>
    </row>
    <row r="877" spans="1:18" ht="18.75" x14ac:dyDescent="0.3">
      <c r="A877" s="8">
        <v>45461</v>
      </c>
      <c r="B877" s="9">
        <v>1</v>
      </c>
      <c r="C877" s="10">
        <v>106</v>
      </c>
      <c r="D877" s="11">
        <v>743680</v>
      </c>
      <c r="E877" s="12">
        <v>30594494187</v>
      </c>
      <c r="F877" s="13" t="s">
        <v>35</v>
      </c>
      <c r="G877" s="14">
        <v>0</v>
      </c>
      <c r="H877" s="14">
        <v>0</v>
      </c>
      <c r="I877" s="14"/>
      <c r="J877" s="14"/>
      <c r="K877" s="14"/>
      <c r="L877" s="14"/>
      <c r="M877" s="14"/>
      <c r="N877" s="14"/>
      <c r="O877" s="14"/>
      <c r="P877" s="14">
        <v>398826.94</v>
      </c>
      <c r="Q877" s="14">
        <v>398826.94</v>
      </c>
      <c r="R877" s="5"/>
    </row>
    <row r="878" spans="1:18" ht="18.75" x14ac:dyDescent="0.3">
      <c r="A878" s="8">
        <v>45468</v>
      </c>
      <c r="B878" s="9">
        <v>1</v>
      </c>
      <c r="C878" s="10">
        <v>5</v>
      </c>
      <c r="D878" s="11">
        <v>11670</v>
      </c>
      <c r="E878" s="12">
        <v>30716006391</v>
      </c>
      <c r="F878" s="13" t="s">
        <v>180</v>
      </c>
      <c r="G878" s="14">
        <v>31885.95</v>
      </c>
      <c r="H878" s="14">
        <v>6696.0495000000001</v>
      </c>
      <c r="I878" s="14"/>
      <c r="J878" s="14"/>
      <c r="K878" s="14"/>
      <c r="L878" s="14"/>
      <c r="M878" s="14"/>
      <c r="N878" s="14"/>
      <c r="O878" s="14"/>
      <c r="P878" s="14"/>
      <c r="Q878" s="14">
        <v>38581.999499999998</v>
      </c>
      <c r="R878" s="5"/>
    </row>
    <row r="879" spans="1:18" ht="18.75" x14ac:dyDescent="0.3">
      <c r="A879" s="8">
        <v>45469</v>
      </c>
      <c r="B879" s="9">
        <v>1</v>
      </c>
      <c r="C879" s="10">
        <v>5</v>
      </c>
      <c r="D879" s="11">
        <v>818</v>
      </c>
      <c r="E879" s="12">
        <v>20309706197</v>
      </c>
      <c r="F879" s="13" t="s">
        <v>294</v>
      </c>
      <c r="G879" s="14">
        <v>49585.95</v>
      </c>
      <c r="H879" s="14">
        <v>10413.049499999999</v>
      </c>
      <c r="I879" s="14"/>
      <c r="J879" s="14"/>
      <c r="K879" s="14"/>
      <c r="L879" s="14"/>
      <c r="M879" s="14"/>
      <c r="N879" s="14"/>
      <c r="O879" s="14"/>
      <c r="P879" s="14"/>
      <c r="Q879" s="14">
        <v>59998.999499999998</v>
      </c>
      <c r="R879" s="5"/>
    </row>
    <row r="880" spans="1:18" ht="18.75" x14ac:dyDescent="0.3">
      <c r="A880" s="8">
        <v>45469</v>
      </c>
      <c r="B880" s="9">
        <v>1</v>
      </c>
      <c r="C880" s="10">
        <v>2</v>
      </c>
      <c r="D880" s="11">
        <v>9126</v>
      </c>
      <c r="E880" s="12">
        <v>33717240249</v>
      </c>
      <c r="F880" s="13" t="s">
        <v>295</v>
      </c>
      <c r="G880" s="14">
        <v>14238</v>
      </c>
      <c r="H880" s="14">
        <v>2989.98</v>
      </c>
      <c r="I880" s="14"/>
      <c r="J880" s="14"/>
      <c r="K880" s="14"/>
      <c r="L880" s="14"/>
      <c r="M880" s="14"/>
      <c r="N880" s="14"/>
      <c r="O880" s="14"/>
      <c r="P880" s="14"/>
      <c r="Q880" s="14">
        <v>17227.98</v>
      </c>
      <c r="R880" s="5"/>
    </row>
    <row r="881" spans="1:18" ht="18.75" x14ac:dyDescent="0.3">
      <c r="A881" s="8">
        <v>45469</v>
      </c>
      <c r="B881" s="9">
        <v>1</v>
      </c>
      <c r="C881" s="10">
        <v>3</v>
      </c>
      <c r="D881" s="11">
        <v>912</v>
      </c>
      <c r="E881" s="12">
        <v>27424730608</v>
      </c>
      <c r="F881" s="13" t="s">
        <v>190</v>
      </c>
      <c r="G881" s="14">
        <v>28132.23</v>
      </c>
      <c r="H881" s="14">
        <v>5907.7682999999997</v>
      </c>
      <c r="I881" s="14"/>
      <c r="J881" s="14"/>
      <c r="K881" s="14"/>
      <c r="L881" s="14"/>
      <c r="M881" s="14"/>
      <c r="N881" s="14"/>
      <c r="O881" s="14"/>
      <c r="P881" s="14"/>
      <c r="Q881" s="14">
        <v>34039.998299999999</v>
      </c>
      <c r="R881" s="5"/>
    </row>
    <row r="882" spans="1:18" ht="18.75" x14ac:dyDescent="0.3">
      <c r="A882" s="8">
        <v>45469</v>
      </c>
      <c r="B882" s="9">
        <v>1</v>
      </c>
      <c r="C882" s="10">
        <v>7</v>
      </c>
      <c r="D882" s="11">
        <v>132873</v>
      </c>
      <c r="E882" s="12">
        <v>20181426846</v>
      </c>
      <c r="F882" s="13" t="s">
        <v>36</v>
      </c>
      <c r="G882" s="14">
        <v>20080.169999999998</v>
      </c>
      <c r="H882" s="14">
        <v>4216.8356999999996</v>
      </c>
      <c r="I882" s="14"/>
      <c r="J882" s="14"/>
      <c r="K882" s="14"/>
      <c r="L882" s="14"/>
      <c r="M882" s="14"/>
      <c r="N882" s="14"/>
      <c r="O882" s="14"/>
      <c r="P882" s="14"/>
      <c r="Q882" s="14">
        <v>24297.005699999998</v>
      </c>
      <c r="R882" s="5"/>
    </row>
    <row r="883" spans="1:18" ht="18.75" x14ac:dyDescent="0.3">
      <c r="A883" s="8">
        <v>45469</v>
      </c>
      <c r="B883" s="9">
        <v>1</v>
      </c>
      <c r="C883" s="10">
        <v>2</v>
      </c>
      <c r="D883" s="11">
        <v>199</v>
      </c>
      <c r="E883" s="12">
        <v>20125142851</v>
      </c>
      <c r="F883" s="13" t="s">
        <v>19</v>
      </c>
      <c r="G883" s="14">
        <v>1269918</v>
      </c>
      <c r="H883" s="14">
        <v>266682.77999999997</v>
      </c>
      <c r="I883" s="14"/>
      <c r="J883" s="14"/>
      <c r="K883" s="14"/>
      <c r="L883" s="14"/>
      <c r="M883" s="14"/>
      <c r="N883" s="14"/>
      <c r="O883" s="14"/>
      <c r="P883" s="14"/>
      <c r="Q883" s="14">
        <v>1536600.78</v>
      </c>
      <c r="R883" s="5"/>
    </row>
    <row r="884" spans="1:18" ht="18.75" x14ac:dyDescent="0.3">
      <c r="A884" s="8">
        <v>45469</v>
      </c>
      <c r="B884" s="9">
        <v>1</v>
      </c>
      <c r="C884" s="10">
        <v>2</v>
      </c>
      <c r="D884" s="11">
        <v>200</v>
      </c>
      <c r="E884" s="12">
        <v>20125142851</v>
      </c>
      <c r="F884" s="13" t="s">
        <v>19</v>
      </c>
      <c r="G884" s="14">
        <v>285937.76</v>
      </c>
      <c r="H884" s="14">
        <v>60046.929600000003</v>
      </c>
      <c r="I884" s="14"/>
      <c r="J884" s="14"/>
      <c r="K884" s="14"/>
      <c r="L884" s="14"/>
      <c r="M884" s="14"/>
      <c r="N884" s="14"/>
      <c r="O884" s="14"/>
      <c r="P884" s="14"/>
      <c r="Q884" s="14">
        <v>345984.68960000004</v>
      </c>
      <c r="R884" s="5"/>
    </row>
    <row r="885" spans="1:18" ht="18.75" x14ac:dyDescent="0.3">
      <c r="A885" s="8">
        <v>45470</v>
      </c>
      <c r="B885" s="9">
        <v>1</v>
      </c>
      <c r="C885" s="10">
        <v>3</v>
      </c>
      <c r="D885" s="11">
        <v>29970</v>
      </c>
      <c r="E885" s="12">
        <v>30715002848</v>
      </c>
      <c r="F885" s="13" t="s">
        <v>142</v>
      </c>
      <c r="G885" s="14">
        <v>11730.57</v>
      </c>
      <c r="H885" s="14">
        <v>2463.4196999999999</v>
      </c>
      <c r="I885" s="14"/>
      <c r="J885" s="14"/>
      <c r="K885" s="14"/>
      <c r="L885" s="14"/>
      <c r="M885" s="14"/>
      <c r="N885" s="14"/>
      <c r="O885" s="14"/>
      <c r="P885" s="14"/>
      <c r="Q885" s="14">
        <v>14193.9897</v>
      </c>
      <c r="R885" s="5"/>
    </row>
    <row r="886" spans="1:18" ht="18.75" x14ac:dyDescent="0.3">
      <c r="A886" s="8">
        <v>45470</v>
      </c>
      <c r="B886" s="9">
        <v>1</v>
      </c>
      <c r="C886" s="10">
        <v>6</v>
      </c>
      <c r="D886" s="11">
        <v>15075</v>
      </c>
      <c r="E886" s="12">
        <v>30707756434</v>
      </c>
      <c r="F886" s="13" t="s">
        <v>61</v>
      </c>
      <c r="G886" s="14">
        <v>232000</v>
      </c>
      <c r="H886" s="14">
        <v>48720</v>
      </c>
      <c r="I886" s="14"/>
      <c r="J886" s="14"/>
      <c r="K886" s="14"/>
      <c r="L886" s="14"/>
      <c r="M886" s="14"/>
      <c r="N886" s="14"/>
      <c r="O886" s="14"/>
      <c r="P886" s="14"/>
      <c r="Q886" s="14">
        <v>280720</v>
      </c>
      <c r="R886" s="5"/>
    </row>
    <row r="887" spans="1:18" ht="18.75" x14ac:dyDescent="0.3">
      <c r="A887" s="8">
        <v>45470</v>
      </c>
      <c r="B887" s="9">
        <v>1</v>
      </c>
      <c r="C887" s="10">
        <v>4</v>
      </c>
      <c r="D887" s="11">
        <v>12711</v>
      </c>
      <c r="E887" s="12">
        <v>33710719549</v>
      </c>
      <c r="F887" s="13" t="s">
        <v>296</v>
      </c>
      <c r="G887" s="14">
        <v>34181</v>
      </c>
      <c r="H887" s="14">
        <v>7178.0099999999993</v>
      </c>
      <c r="I887" s="14"/>
      <c r="J887" s="14"/>
      <c r="K887" s="14"/>
      <c r="L887" s="14"/>
      <c r="M887" s="14"/>
      <c r="N887" s="14"/>
      <c r="O887" s="14"/>
      <c r="P887" s="14"/>
      <c r="Q887" s="14">
        <v>41359.01</v>
      </c>
      <c r="R887" s="5"/>
    </row>
    <row r="888" spans="1:18" ht="18.75" x14ac:dyDescent="0.3">
      <c r="A888" s="8">
        <v>45473</v>
      </c>
      <c r="B888" s="9">
        <v>1</v>
      </c>
      <c r="C888" s="10">
        <v>700</v>
      </c>
      <c r="D888" s="11">
        <v>675604</v>
      </c>
      <c r="E888" s="12">
        <v>30580111315</v>
      </c>
      <c r="F888" s="13" t="s">
        <v>108</v>
      </c>
      <c r="G888" s="14">
        <v>13957.5</v>
      </c>
      <c r="H888" s="14">
        <v>2931.0749999999998</v>
      </c>
      <c r="I888" s="14"/>
      <c r="J888" s="14"/>
      <c r="K888" s="14"/>
      <c r="L888" s="14"/>
      <c r="M888" s="14"/>
      <c r="N888" s="14"/>
      <c r="O888" s="14"/>
      <c r="P888" s="14">
        <v>654067.05999999994</v>
      </c>
      <c r="Q888" s="14">
        <v>670955.63499999989</v>
      </c>
      <c r="R888" s="5"/>
    </row>
    <row r="889" spans="1:18" ht="18.75" x14ac:dyDescent="0.3">
      <c r="A889" s="8">
        <v>45473</v>
      </c>
      <c r="B889" s="9">
        <v>99</v>
      </c>
      <c r="C889" s="10">
        <v>1</v>
      </c>
      <c r="D889" s="11">
        <v>30062024</v>
      </c>
      <c r="E889" s="12">
        <v>30571421352</v>
      </c>
      <c r="F889" s="13" t="s">
        <v>43</v>
      </c>
      <c r="G889" s="14">
        <v>52199.11</v>
      </c>
      <c r="H889" s="14">
        <v>10370.01</v>
      </c>
      <c r="I889" s="14"/>
      <c r="J889" s="14">
        <v>295.89999999999998</v>
      </c>
      <c r="K889" s="14"/>
      <c r="L889" s="14"/>
      <c r="M889" s="14">
        <v>1429.8</v>
      </c>
      <c r="N889" s="14"/>
      <c r="O889" s="14"/>
      <c r="P889" s="14"/>
      <c r="Q889" s="14">
        <f>SUM(G889:P889)</f>
        <v>64294.820000000007</v>
      </c>
      <c r="R889" s="4"/>
    </row>
    <row r="890" spans="1:18" ht="19.5" thickBot="1" x14ac:dyDescent="0.35">
      <c r="A890" s="23" t="s">
        <v>17</v>
      </c>
      <c r="B890" s="23"/>
      <c r="C890" s="23"/>
      <c r="D890" s="23"/>
      <c r="E890" s="23"/>
      <c r="F890" s="23"/>
      <c r="G890" s="17">
        <f>SUM(G862:G889)</f>
        <v>6085853.21</v>
      </c>
      <c r="H890" s="17">
        <f t="shared" ref="H890:Q890" si="27">SUM(H862:H889)</f>
        <v>1232907.6605999998</v>
      </c>
      <c r="I890" s="17">
        <f t="shared" si="27"/>
        <v>5811.6555000000008</v>
      </c>
      <c r="J890" s="17">
        <f t="shared" si="27"/>
        <v>20300.666949999999</v>
      </c>
      <c r="K890" s="17">
        <f t="shared" si="27"/>
        <v>645.74</v>
      </c>
      <c r="L890" s="17">
        <f t="shared" si="27"/>
        <v>0</v>
      </c>
      <c r="M890" s="17">
        <f t="shared" si="27"/>
        <v>1429.8</v>
      </c>
      <c r="N890" s="17">
        <f t="shared" si="27"/>
        <v>0</v>
      </c>
      <c r="O890" s="17">
        <f t="shared" si="27"/>
        <v>0</v>
      </c>
      <c r="P890" s="17">
        <f t="shared" si="27"/>
        <v>1755916.4099999997</v>
      </c>
      <c r="Q890" s="17">
        <f t="shared" si="27"/>
        <v>9102865.1430500019</v>
      </c>
      <c r="R890" s="4"/>
    </row>
    <row r="891" spans="1:18" ht="19.5" thickBot="1" x14ac:dyDescent="0.35">
      <c r="A891" s="15"/>
      <c r="B891" s="15"/>
      <c r="C891" s="15"/>
      <c r="D891" s="15"/>
      <c r="E891" s="15"/>
      <c r="F891" s="15"/>
      <c r="G891" s="16"/>
      <c r="H891" s="18"/>
      <c r="I891" s="19">
        <f>SUM(H890:J890)</f>
        <v>1259019.9830499999</v>
      </c>
      <c r="J891" s="20"/>
      <c r="K891" s="16"/>
      <c r="L891" s="16"/>
      <c r="M891" s="16"/>
      <c r="N891" s="16"/>
      <c r="O891" s="16"/>
      <c r="P891" s="16"/>
      <c r="Q891" s="16"/>
      <c r="R891" s="4"/>
    </row>
    <row r="892" spans="1:18" ht="15.75" x14ac:dyDescent="0.25">
      <c r="A892" s="4"/>
      <c r="B892" s="4"/>
      <c r="C892" s="4"/>
      <c r="D892" s="4"/>
      <c r="E892" s="4"/>
      <c r="F892" s="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4"/>
    </row>
  </sheetData>
  <mergeCells count="54">
    <mergeCell ref="A890:F890"/>
    <mergeCell ref="A728:E728"/>
    <mergeCell ref="O728:Q728"/>
    <mergeCell ref="A765:F765"/>
    <mergeCell ref="A773:E773"/>
    <mergeCell ref="O773:Q773"/>
    <mergeCell ref="A810:F810"/>
    <mergeCell ref="A817:E817"/>
    <mergeCell ref="O817:Q817"/>
    <mergeCell ref="A853:F853"/>
    <mergeCell ref="A860:E860"/>
    <mergeCell ref="O860:Q860"/>
    <mergeCell ref="A721:F721"/>
    <mergeCell ref="A556:E556"/>
    <mergeCell ref="O556:Q556"/>
    <mergeCell ref="A586:F586"/>
    <mergeCell ref="A593:E593"/>
    <mergeCell ref="O593:Q593"/>
    <mergeCell ref="A629:F629"/>
    <mergeCell ref="A637:E637"/>
    <mergeCell ref="O637:Q637"/>
    <mergeCell ref="A684:F684"/>
    <mergeCell ref="A691:E691"/>
    <mergeCell ref="O691:Q691"/>
    <mergeCell ref="A549:F549"/>
    <mergeCell ref="A362:E362"/>
    <mergeCell ref="O362:Q362"/>
    <mergeCell ref="A395:F395"/>
    <mergeCell ref="A402:E402"/>
    <mergeCell ref="O402:Q402"/>
    <mergeCell ref="A462:F462"/>
    <mergeCell ref="A469:E469"/>
    <mergeCell ref="O469:Q469"/>
    <mergeCell ref="A503:F503"/>
    <mergeCell ref="A511:E511"/>
    <mergeCell ref="O511:Q511"/>
    <mergeCell ref="A355:F355"/>
    <mergeCell ref="A120:E120"/>
    <mergeCell ref="O120:Q120"/>
    <mergeCell ref="A192:F192"/>
    <mergeCell ref="A201:E201"/>
    <mergeCell ref="O201:Q201"/>
    <mergeCell ref="A260:F260"/>
    <mergeCell ref="A268:E268"/>
    <mergeCell ref="O268:Q268"/>
    <mergeCell ref="A308:F308"/>
    <mergeCell ref="A315:E315"/>
    <mergeCell ref="O315:Q315"/>
    <mergeCell ref="A113:F113"/>
    <mergeCell ref="A5:E5"/>
    <mergeCell ref="O5:Q5"/>
    <mergeCell ref="A45:F45"/>
    <mergeCell ref="A53:E53"/>
    <mergeCell ref="O53:Q53"/>
  </mergeCells>
  <pageMargins left="0.7" right="0.7" top="0.75" bottom="0.75" header="0.3" footer="0.3"/>
  <pageSetup paperSize="9" scale="20" orientation="portrait" r:id="rId1"/>
  <rowBreaks count="5" manualBreakCount="5">
    <brk id="196" max="22" man="1"/>
    <brk id="358" max="22" man="1"/>
    <brk id="505" max="22" man="1"/>
    <brk id="631" max="22" man="1"/>
    <brk id="767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2024-08-20T15:00:17Z</dcterms:created>
  <dcterms:modified xsi:type="dcterms:W3CDTF">2024-08-20T17:51:38Z</dcterms:modified>
</cp:coreProperties>
</file>