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Administrativos Estudio\EST-GASPAR\COPIATIVOS CORITEC\"/>
    </mc:Choice>
  </mc:AlternateContent>
  <xr:revisionPtr revIDLastSave="0" documentId="13_ncr:1_{1F6D92F3-BB1D-4AF8-89A0-DCCACD456E20}" xr6:coauthVersionLast="47" xr6:coauthVersionMax="47" xr10:uidLastSave="{00000000-0000-0000-0000-000000000000}"/>
  <bookViews>
    <workbookView xWindow="30" yWindow="45" windowWidth="14790" windowHeight="15405" xr2:uid="{9CC4A0FA-19BC-418C-B5F3-ECDC99B91A1A}"/>
  </bookViews>
  <sheets>
    <sheet name="Hoja1" sheetId="1" r:id="rId1"/>
  </sheets>
  <definedNames>
    <definedName name="_xlnm.Print_Area" localSheetId="0">Hoja1!$A$1:$M$360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8" i="1" l="1"/>
  <c r="H357" i="1"/>
  <c r="H358" i="1" s="1"/>
  <c r="K352" i="1"/>
  <c r="J352" i="1"/>
  <c r="I352" i="1"/>
  <c r="H352" i="1"/>
  <c r="H338" i="1"/>
  <c r="E338" i="1"/>
  <c r="K318" i="1"/>
  <c r="J318" i="1"/>
  <c r="I318" i="1"/>
  <c r="H318" i="1"/>
  <c r="K311" i="1"/>
  <c r="J311" i="1"/>
  <c r="I311" i="1"/>
  <c r="I312" i="1" s="1"/>
  <c r="H311" i="1"/>
  <c r="E294" i="1"/>
  <c r="H292" i="1"/>
  <c r="H291" i="1"/>
  <c r="K286" i="1"/>
  <c r="J286" i="1"/>
  <c r="I286" i="1"/>
  <c r="H286" i="1"/>
  <c r="H276" i="1"/>
  <c r="E276" i="1"/>
  <c r="K270" i="1"/>
  <c r="J270" i="1"/>
  <c r="I270" i="1"/>
  <c r="I271" i="1" s="1"/>
  <c r="H270" i="1"/>
  <c r="E256" i="1"/>
  <c r="H255" i="1"/>
  <c r="H254" i="1"/>
  <c r="H256" i="1" s="1"/>
  <c r="K249" i="1"/>
  <c r="J249" i="1"/>
  <c r="I249" i="1"/>
  <c r="H249" i="1"/>
  <c r="K236" i="1"/>
  <c r="J236" i="1"/>
  <c r="I236" i="1"/>
  <c r="H236" i="1"/>
  <c r="E229" i="1"/>
  <c r="H228" i="1"/>
  <c r="H229" i="1" s="1"/>
  <c r="K223" i="1"/>
  <c r="J223" i="1"/>
  <c r="I223" i="1"/>
  <c r="H223" i="1"/>
  <c r="K215" i="1"/>
  <c r="J215" i="1"/>
  <c r="I215" i="1"/>
  <c r="H215" i="1"/>
  <c r="E207" i="1"/>
  <c r="H206" i="1"/>
  <c r="H205" i="1"/>
  <c r="H204" i="1"/>
  <c r="K199" i="1"/>
  <c r="J199" i="1"/>
  <c r="I199" i="1"/>
  <c r="H199" i="1"/>
  <c r="H189" i="1"/>
  <c r="E189" i="1"/>
  <c r="K183" i="1"/>
  <c r="J183" i="1"/>
  <c r="I183" i="1"/>
  <c r="I184" i="1" s="1"/>
  <c r="H183" i="1"/>
  <c r="K166" i="1"/>
  <c r="J166" i="1"/>
  <c r="I166" i="1"/>
  <c r="I167" i="1" s="1"/>
  <c r="H166" i="1"/>
  <c r="K159" i="1"/>
  <c r="J159" i="1"/>
  <c r="I159" i="1"/>
  <c r="I160" i="1" s="1"/>
  <c r="H159" i="1"/>
  <c r="H144" i="1"/>
  <c r="E144" i="1"/>
  <c r="K137" i="1"/>
  <c r="J137" i="1"/>
  <c r="I137" i="1"/>
  <c r="H137" i="1"/>
  <c r="K131" i="1"/>
  <c r="J131" i="1"/>
  <c r="I131" i="1"/>
  <c r="H131" i="1"/>
  <c r="K113" i="1"/>
  <c r="J113" i="1"/>
  <c r="I114" i="1" s="1"/>
  <c r="I113" i="1"/>
  <c r="H113" i="1"/>
  <c r="H100" i="1"/>
  <c r="E100" i="1"/>
  <c r="K92" i="1"/>
  <c r="J92" i="1"/>
  <c r="I92" i="1"/>
  <c r="I93" i="1" s="1"/>
  <c r="H92" i="1"/>
  <c r="K82" i="1"/>
  <c r="J82" i="1"/>
  <c r="I82" i="1"/>
  <c r="I83" i="1" s="1"/>
  <c r="H82" i="1"/>
  <c r="H67" i="1"/>
  <c r="E67" i="1"/>
  <c r="K61" i="1"/>
  <c r="J61" i="1"/>
  <c r="I61" i="1"/>
  <c r="H61" i="1"/>
  <c r="H46" i="1"/>
  <c r="E46" i="1"/>
  <c r="K35" i="1"/>
  <c r="J35" i="1"/>
  <c r="I35" i="1"/>
  <c r="I36" i="1" s="1"/>
  <c r="H35" i="1"/>
  <c r="K26" i="1"/>
  <c r="J26" i="1"/>
  <c r="I26" i="1"/>
  <c r="I27" i="1" s="1"/>
  <c r="H26" i="1"/>
  <c r="K14" i="1"/>
  <c r="J14" i="1"/>
  <c r="I14" i="1"/>
  <c r="H14" i="1"/>
  <c r="I15" i="1" l="1"/>
  <c r="I200" i="1"/>
  <c r="I216" i="1"/>
  <c r="I224" i="1"/>
  <c r="I353" i="1"/>
  <c r="I319" i="1"/>
  <c r="I62" i="1"/>
  <c r="I132" i="1"/>
  <c r="I138" i="1"/>
  <c r="H207" i="1"/>
  <c r="I237" i="1"/>
  <c r="I250" i="1"/>
  <c r="H294" i="1"/>
  <c r="I287" i="1"/>
</calcChain>
</file>

<file path=xl/sharedStrings.xml><?xml version="1.0" encoding="utf-8"?>
<sst xmlns="http://schemas.openxmlformats.org/spreadsheetml/2006/main" count="550" uniqueCount="50">
  <si>
    <t>LIBRO VENTAS</t>
  </si>
  <si>
    <t>FECHA</t>
  </si>
  <si>
    <t>TIPO</t>
  </si>
  <si>
    <t>PTO VTA</t>
  </si>
  <si>
    <t>N° FC</t>
  </si>
  <si>
    <t>Cod de Doc</t>
  </si>
  <si>
    <t>CUIT</t>
  </si>
  <si>
    <t>RAZON SOCIAL</t>
  </si>
  <si>
    <t>IMPORTE NETO</t>
  </si>
  <si>
    <t>IVA 21%</t>
  </si>
  <si>
    <t>IVA 10,5%</t>
  </si>
  <si>
    <t>TOTAL</t>
  </si>
  <si>
    <t>DELTA COMPRESION S.R.L</t>
  </si>
  <si>
    <t>INGENIERIA GAMAR SA</t>
  </si>
  <si>
    <t>AGIRA SA</t>
  </si>
  <si>
    <t xml:space="preserve">S    U    B     T    O    T    A    L    </t>
  </si>
  <si>
    <t>80</t>
  </si>
  <si>
    <t>ASPRO SERVICIOS PETROLEROS S.A.</t>
  </si>
  <si>
    <t>COMPRESORES SERVICIO TECNICO S A</t>
  </si>
  <si>
    <t>DIONE S.A.</t>
  </si>
  <si>
    <t>Facturas exportacion</t>
  </si>
  <si>
    <t>Nº FACTRA</t>
  </si>
  <si>
    <t>USD</t>
  </si>
  <si>
    <t>EUR</t>
  </si>
  <si>
    <t>T. CAMBIO</t>
  </si>
  <si>
    <t>AGIRA  S A</t>
  </si>
  <si>
    <t>NEXT SERVICE GNC S.R.L.</t>
  </si>
  <si>
    <t>PEREZ EMILIA EUGENIA</t>
  </si>
  <si>
    <t>INGENIERIA GAMAR SOCIEDAD ANONIMA</t>
  </si>
  <si>
    <t>DELTA COMPRESION S R L</t>
  </si>
  <si>
    <t>BRAIN S.A.</t>
  </si>
  <si>
    <t>JURO S A</t>
  </si>
  <si>
    <t>VULPIANI S.A.</t>
  </si>
  <si>
    <t>EXA COMPRESION S.R.L.</t>
  </si>
  <si>
    <t>LIBRO VENTAS B</t>
  </si>
  <si>
    <t>-</t>
  </si>
  <si>
    <t>2 IN FLOW COMPAÑIA DE SERVICIOS S. A.</t>
  </si>
  <si>
    <t>ELECTRO IND S.R.L</t>
  </si>
  <si>
    <t>COMPRESURT S.A.</t>
  </si>
  <si>
    <t>DI PALMA S.R.L.</t>
  </si>
  <si>
    <t>LUCERO MARIO ALFREDO</t>
  </si>
  <si>
    <t>04/12/2023</t>
  </si>
  <si>
    <t>05/12/2023</t>
  </si>
  <si>
    <t>BASSO HNOS S. A.</t>
  </si>
  <si>
    <t>DOMINGUEZ LAGANA GONZALO FABIAN</t>
  </si>
  <si>
    <t>05/04/2024</t>
  </si>
  <si>
    <t>11/04/2024</t>
  </si>
  <si>
    <t>17/04/2024</t>
  </si>
  <si>
    <t>29/04/2024</t>
  </si>
  <si>
    <t>MAJUBEN MDP SERVICIOS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</si>
</sst>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dd\-mm\-yy"/>
    <numFmt numFmtId="165" formatCode="000"/>
    <numFmt numFmtId="166" formatCode="0000"/>
    <numFmt numFmtId="167" formatCode="00000000"/>
    <numFmt numFmtId="168" formatCode="##\-########\-#"/>
    <numFmt numFmtId="169" formatCode="#,##0.00_ ;[Red]\-#,##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9" fontId="0" fillId="0" borderId="0" xfId="0" applyNumberForma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4" fillId="0" borderId="5" xfId="0" applyNumberFormat="1" applyFont="1" applyBorder="1"/>
    <xf numFmtId="165" fontId="4" fillId="0" borderId="5" xfId="0" applyNumberFormat="1" applyFont="1" applyBorder="1"/>
    <xf numFmtId="166" fontId="4" fillId="0" borderId="5" xfId="0" applyNumberFormat="1" applyFont="1" applyBorder="1"/>
    <xf numFmtId="167" fontId="4" fillId="0" borderId="5" xfId="0" applyNumberFormat="1" applyFont="1" applyBorder="1"/>
    <xf numFmtId="49" fontId="4" fillId="0" borderId="5" xfId="0" applyNumberFormat="1" applyFont="1" applyBorder="1" applyAlignment="1">
      <alignment horizontal="center"/>
    </xf>
    <xf numFmtId="168" fontId="4" fillId="0" borderId="5" xfId="0" applyNumberFormat="1" applyFont="1" applyBorder="1"/>
    <xf numFmtId="169" fontId="4" fillId="0" borderId="5" xfId="0" applyNumberFormat="1" applyFont="1" applyBorder="1"/>
    <xf numFmtId="164" fontId="4" fillId="0" borderId="6" xfId="0" applyNumberFormat="1" applyFont="1" applyBorder="1"/>
    <xf numFmtId="165" fontId="4" fillId="0" borderId="6" xfId="0" applyNumberFormat="1" applyFont="1" applyBorder="1"/>
    <xf numFmtId="166" fontId="4" fillId="0" borderId="6" xfId="0" applyNumberFormat="1" applyFont="1" applyBorder="1"/>
    <xf numFmtId="167" fontId="4" fillId="0" borderId="6" xfId="0" applyNumberFormat="1" applyFont="1" applyBorder="1"/>
    <xf numFmtId="49" fontId="4" fillId="0" borderId="6" xfId="0" applyNumberFormat="1" applyFont="1" applyBorder="1" applyAlignment="1">
      <alignment horizontal="center"/>
    </xf>
    <xf numFmtId="168" fontId="4" fillId="0" borderId="6" xfId="0" applyNumberFormat="1" applyFont="1" applyBorder="1"/>
    <xf numFmtId="169" fontId="4" fillId="0" borderId="6" xfId="0" applyNumberFormat="1" applyFont="1" applyBorder="1"/>
    <xf numFmtId="164" fontId="4" fillId="0" borderId="7" xfId="0" applyNumberFormat="1" applyFont="1" applyBorder="1"/>
    <xf numFmtId="165" fontId="4" fillId="0" borderId="7" xfId="0" applyNumberFormat="1" applyFont="1" applyBorder="1"/>
    <xf numFmtId="166" fontId="4" fillId="0" borderId="7" xfId="0" applyNumberFormat="1" applyFont="1" applyBorder="1"/>
    <xf numFmtId="167" fontId="4" fillId="0" borderId="7" xfId="0" applyNumberFormat="1" applyFont="1" applyBorder="1"/>
    <xf numFmtId="49" fontId="4" fillId="0" borderId="7" xfId="0" applyNumberFormat="1" applyFont="1" applyBorder="1" applyAlignment="1">
      <alignment horizontal="center"/>
    </xf>
    <xf numFmtId="0" fontId="4" fillId="0" borderId="7" xfId="0" applyFont="1" applyBorder="1"/>
    <xf numFmtId="168" fontId="4" fillId="0" borderId="7" xfId="0" applyNumberFormat="1" applyFont="1" applyBorder="1"/>
    <xf numFmtId="169" fontId="4" fillId="0" borderId="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43" fontId="4" fillId="0" borderId="6" xfId="1" applyFont="1" applyBorder="1" applyAlignment="1">
      <alignment horizontal="center"/>
    </xf>
    <xf numFmtId="43" fontId="4" fillId="0" borderId="6" xfId="1" applyFont="1" applyBorder="1"/>
    <xf numFmtId="0" fontId="5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4" fontId="3" fillId="3" borderId="10" xfId="0" applyNumberFormat="1" applyFont="1" applyFill="1" applyBorder="1"/>
    <xf numFmtId="4" fontId="3" fillId="3" borderId="16" xfId="0" applyNumberFormat="1" applyFont="1" applyFill="1" applyBorder="1" applyAlignment="1">
      <alignment horizontal="center"/>
    </xf>
    <xf numFmtId="4" fontId="3" fillId="3" borderId="17" xfId="0" applyNumberFormat="1" applyFont="1" applyFill="1" applyBorder="1" applyAlignment="1">
      <alignment horizontal="center"/>
    </xf>
    <xf numFmtId="4" fontId="3" fillId="3" borderId="18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4" fontId="3" fillId="0" borderId="11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7" fontId="9" fillId="0" borderId="1" xfId="0" applyNumberFormat="1" applyFont="1" applyBorder="1" applyAlignment="1">
      <alignment horizontal="center"/>
    </xf>
    <xf numFmtId="17" fontId="6" fillId="0" borderId="1" xfId="0" applyNumberFormat="1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1"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11B6-37B5-4DE5-8C3D-294028F02F0A}">
  <dimension ref="A4:K358"/>
  <sheetViews>
    <sheetView tabSelected="1" view="pageBreakPreview" zoomScale="60" zoomScaleNormal="80" workbookViewId="0">
      <selection activeCell="L261" sqref="L261"/>
    </sheetView>
  </sheetViews>
  <sheetFormatPr baseColWidth="10" defaultRowHeight="15" x14ac:dyDescent="0.25"/>
  <cols>
    <col min="1" max="2" width="11.7109375" bestFit="1" customWidth="1"/>
    <col min="3" max="3" width="19" customWidth="1"/>
    <col min="4" max="4" width="13.7109375" customWidth="1"/>
    <col min="5" max="5" width="14.42578125" bestFit="1" customWidth="1"/>
    <col min="6" max="6" width="20.28515625" customWidth="1"/>
    <col min="7" max="7" width="31.42578125" customWidth="1"/>
    <col min="8" max="8" width="19.5703125" customWidth="1"/>
    <col min="9" max="9" width="18" customWidth="1"/>
    <col min="10" max="10" width="17.28515625" customWidth="1"/>
    <col min="11" max="11" width="21.42578125" customWidth="1"/>
  </cols>
  <sheetData>
    <row r="4" spans="1:11" ht="24.95" customHeight="1" thickBot="1" x14ac:dyDescent="0.5">
      <c r="A4" s="51" t="s">
        <v>0</v>
      </c>
      <c r="B4" s="51"/>
      <c r="C4" s="51"/>
      <c r="D4" s="51"/>
      <c r="E4" s="38"/>
      <c r="F4" s="38"/>
      <c r="G4" s="38"/>
      <c r="H4" s="38"/>
      <c r="I4" s="38"/>
      <c r="J4" s="53">
        <v>44927</v>
      </c>
      <c r="K4" s="53"/>
    </row>
    <row r="5" spans="1:11" ht="18.75" customHeight="1" thickBot="1" x14ac:dyDescent="0.35">
      <c r="A5" s="5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7" t="s">
        <v>7</v>
      </c>
      <c r="H5" s="6" t="s">
        <v>8</v>
      </c>
      <c r="I5" s="6" t="s">
        <v>9</v>
      </c>
      <c r="J5" s="6" t="s">
        <v>10</v>
      </c>
      <c r="K5" s="6" t="s">
        <v>11</v>
      </c>
    </row>
    <row r="6" spans="1:11" ht="18.75" customHeight="1" x14ac:dyDescent="0.3">
      <c r="A6" s="8">
        <v>44928</v>
      </c>
      <c r="B6" s="9">
        <v>1</v>
      </c>
      <c r="C6" s="10">
        <v>3</v>
      </c>
      <c r="D6" s="11">
        <v>104</v>
      </c>
      <c r="E6" s="12">
        <v>80</v>
      </c>
      <c r="F6" s="13">
        <v>30638318470</v>
      </c>
      <c r="G6" s="13" t="s">
        <v>12</v>
      </c>
      <c r="H6" s="14">
        <v>360</v>
      </c>
      <c r="I6" s="14">
        <v>75.599999999999994</v>
      </c>
      <c r="J6" s="14"/>
      <c r="K6" s="14">
        <v>435.6</v>
      </c>
    </row>
    <row r="7" spans="1:11" ht="18.75" customHeight="1" x14ac:dyDescent="0.3">
      <c r="A7" s="15">
        <v>44928</v>
      </c>
      <c r="B7" s="16">
        <v>1</v>
      </c>
      <c r="C7" s="17">
        <v>3</v>
      </c>
      <c r="D7" s="18">
        <v>105</v>
      </c>
      <c r="E7" s="19">
        <v>80</v>
      </c>
      <c r="F7" s="20">
        <v>30638318470</v>
      </c>
      <c r="G7" s="20" t="s">
        <v>12</v>
      </c>
      <c r="H7" s="21">
        <v>64134</v>
      </c>
      <c r="I7" s="21">
        <v>13468.14</v>
      </c>
      <c r="J7" s="21"/>
      <c r="K7" s="21">
        <v>77602.14</v>
      </c>
    </row>
    <row r="8" spans="1:11" ht="18.75" customHeight="1" x14ac:dyDescent="0.3">
      <c r="A8" s="15">
        <v>44929</v>
      </c>
      <c r="B8" s="16">
        <v>1</v>
      </c>
      <c r="C8" s="17">
        <v>3</v>
      </c>
      <c r="D8" s="18">
        <v>106</v>
      </c>
      <c r="E8" s="19">
        <v>80</v>
      </c>
      <c r="F8" s="20">
        <v>30638318470</v>
      </c>
      <c r="G8" s="20" t="s">
        <v>12</v>
      </c>
      <c r="H8" s="21">
        <v>1458966.9640000002</v>
      </c>
      <c r="I8" s="21"/>
      <c r="J8" s="21">
        <v>202144.30600000001</v>
      </c>
      <c r="K8" s="21">
        <v>1661111.2700000003</v>
      </c>
    </row>
    <row r="9" spans="1:11" ht="18.75" customHeight="1" x14ac:dyDescent="0.3">
      <c r="A9" s="15">
        <v>44929</v>
      </c>
      <c r="B9" s="16">
        <v>1</v>
      </c>
      <c r="C9" s="17">
        <v>3</v>
      </c>
      <c r="D9" s="18">
        <v>107</v>
      </c>
      <c r="E9" s="19">
        <v>80</v>
      </c>
      <c r="F9" s="20">
        <v>30638318470</v>
      </c>
      <c r="G9" s="20" t="s">
        <v>12</v>
      </c>
      <c r="H9" s="21">
        <v>6866860.0000000009</v>
      </c>
      <c r="I9" s="21"/>
      <c r="J9" s="21">
        <v>721020.3</v>
      </c>
      <c r="K9" s="21">
        <v>7587880.3000000007</v>
      </c>
    </row>
    <row r="10" spans="1:11" ht="18.75" customHeight="1" x14ac:dyDescent="0.3">
      <c r="A10" s="15">
        <v>44929</v>
      </c>
      <c r="B10" s="16">
        <v>1</v>
      </c>
      <c r="C10" s="17">
        <v>3</v>
      </c>
      <c r="D10" s="18">
        <v>108</v>
      </c>
      <c r="E10" s="19">
        <v>80</v>
      </c>
      <c r="F10" s="20">
        <v>30638318470</v>
      </c>
      <c r="G10" s="20" t="s">
        <v>12</v>
      </c>
      <c r="H10" s="21">
        <v>862370.60000000009</v>
      </c>
      <c r="I10" s="21"/>
      <c r="J10" s="21">
        <v>101786.48480000001</v>
      </c>
      <c r="K10" s="21">
        <v>964157.08480000007</v>
      </c>
    </row>
    <row r="11" spans="1:11" ht="18.75" customHeight="1" x14ac:dyDescent="0.3">
      <c r="A11" s="15">
        <v>44938</v>
      </c>
      <c r="B11" s="16">
        <v>1</v>
      </c>
      <c r="C11" s="17">
        <v>3</v>
      </c>
      <c r="D11" s="18">
        <v>109</v>
      </c>
      <c r="E11" s="19">
        <v>80</v>
      </c>
      <c r="F11" s="20">
        <v>30708844248</v>
      </c>
      <c r="G11" s="20" t="s">
        <v>13</v>
      </c>
      <c r="H11" s="21">
        <v>229600</v>
      </c>
      <c r="I11" s="21">
        <v>48216</v>
      </c>
      <c r="J11" s="21"/>
      <c r="K11" s="21">
        <v>277816</v>
      </c>
    </row>
    <row r="12" spans="1:11" ht="18.75" customHeight="1" x14ac:dyDescent="0.3">
      <c r="A12" s="15">
        <v>44951</v>
      </c>
      <c r="B12" s="16">
        <v>1</v>
      </c>
      <c r="C12" s="17">
        <v>3</v>
      </c>
      <c r="D12" s="18">
        <v>110</v>
      </c>
      <c r="E12" s="19">
        <v>80</v>
      </c>
      <c r="F12" s="20">
        <v>30628274327</v>
      </c>
      <c r="G12" s="20" t="s">
        <v>14</v>
      </c>
      <c r="H12" s="21">
        <v>825564.3</v>
      </c>
      <c r="I12" s="21"/>
      <c r="J12" s="21">
        <v>86684.251499999998</v>
      </c>
      <c r="K12" s="21">
        <v>912248.55150000006</v>
      </c>
    </row>
    <row r="13" spans="1:11" ht="18.75" customHeight="1" thickBot="1" x14ac:dyDescent="0.35">
      <c r="A13" s="22">
        <v>44928</v>
      </c>
      <c r="B13" s="23">
        <v>3</v>
      </c>
      <c r="C13" s="24">
        <v>3</v>
      </c>
      <c r="D13" s="25">
        <v>15</v>
      </c>
      <c r="E13" s="26">
        <v>80</v>
      </c>
      <c r="F13" s="27">
        <v>30638318470</v>
      </c>
      <c r="G13" s="28" t="s">
        <v>12</v>
      </c>
      <c r="H13" s="29">
        <v>-360</v>
      </c>
      <c r="I13" s="29">
        <v>-75.599999999999994</v>
      </c>
      <c r="J13" s="29"/>
      <c r="K13" s="29">
        <v>-435.6</v>
      </c>
    </row>
    <row r="14" spans="1:11" ht="18.75" customHeight="1" thickBot="1" x14ac:dyDescent="0.35">
      <c r="A14" s="46" t="s">
        <v>15</v>
      </c>
      <c r="B14" s="47"/>
      <c r="C14" s="47"/>
      <c r="D14" s="47"/>
      <c r="E14" s="47"/>
      <c r="F14" s="47"/>
      <c r="G14" s="48"/>
      <c r="H14" s="42">
        <f>SUM(H6:H13)</f>
        <v>10307495.864000002</v>
      </c>
      <c r="I14" s="42">
        <f t="shared" ref="I14:K14" si="0">SUM(I6:I13)</f>
        <v>61684.14</v>
      </c>
      <c r="J14" s="42">
        <f t="shared" si="0"/>
        <v>1111635.3422999999</v>
      </c>
      <c r="K14" s="42">
        <f t="shared" si="0"/>
        <v>11480815.3463</v>
      </c>
    </row>
    <row r="15" spans="1:11" ht="18.75" customHeight="1" thickBot="1" x14ac:dyDescent="0.35">
      <c r="A15" s="30"/>
      <c r="B15" s="31"/>
      <c r="C15" s="30"/>
      <c r="D15" s="30"/>
      <c r="E15" s="30"/>
      <c r="F15" s="30"/>
      <c r="G15" s="30"/>
      <c r="H15" s="30"/>
      <c r="I15" s="49">
        <f>SUM(I14,J14)</f>
        <v>1173319.4822999998</v>
      </c>
      <c r="J15" s="50"/>
      <c r="K15" s="30"/>
    </row>
    <row r="16" spans="1:11" ht="18.75" customHeight="1" x14ac:dyDescent="0.25">
      <c r="B16" s="1"/>
      <c r="I16" s="2"/>
      <c r="J16" s="3"/>
    </row>
    <row r="17" spans="1:11" ht="18.75" customHeight="1" x14ac:dyDescent="0.25">
      <c r="B17" s="1"/>
      <c r="I17" s="2"/>
      <c r="J17" s="3"/>
    </row>
    <row r="18" spans="1:11" s="39" customFormat="1" ht="24.95" customHeight="1" thickBot="1" x14ac:dyDescent="0.45">
      <c r="A18" s="51" t="s">
        <v>0</v>
      </c>
      <c r="B18" s="51"/>
      <c r="C18" s="51"/>
      <c r="D18" s="51"/>
      <c r="J18" s="52">
        <v>44958</v>
      </c>
      <c r="K18" s="52"/>
    </row>
    <row r="19" spans="1:11" ht="18.75" customHeight="1" thickBot="1" x14ac:dyDescent="0.35">
      <c r="A19" s="5" t="s">
        <v>1</v>
      </c>
      <c r="B19" s="6" t="s">
        <v>2</v>
      </c>
      <c r="C19" s="6" t="s">
        <v>3</v>
      </c>
      <c r="D19" s="6" t="s">
        <v>4</v>
      </c>
      <c r="E19" s="6" t="s">
        <v>5</v>
      </c>
      <c r="F19" s="6" t="s">
        <v>6</v>
      </c>
      <c r="G19" s="7" t="s">
        <v>7</v>
      </c>
      <c r="H19" s="6" t="s">
        <v>8</v>
      </c>
      <c r="I19" s="6" t="s">
        <v>9</v>
      </c>
      <c r="J19" s="6" t="s">
        <v>10</v>
      </c>
      <c r="K19" s="6" t="s">
        <v>11</v>
      </c>
    </row>
    <row r="20" spans="1:11" ht="18.75" customHeight="1" x14ac:dyDescent="0.3">
      <c r="A20" s="15">
        <v>44959</v>
      </c>
      <c r="B20" s="16">
        <v>1</v>
      </c>
      <c r="C20" s="17">
        <v>3</v>
      </c>
      <c r="D20" s="18">
        <v>111</v>
      </c>
      <c r="E20" s="32">
        <v>80</v>
      </c>
      <c r="F20" s="20">
        <v>30628274327</v>
      </c>
      <c r="G20" s="20" t="s">
        <v>14</v>
      </c>
      <c r="H20" s="21">
        <v>837186.29999999993</v>
      </c>
      <c r="I20" s="21"/>
      <c r="J20" s="21">
        <v>87904.561499999996</v>
      </c>
      <c r="K20" s="21">
        <v>925090.86149999988</v>
      </c>
    </row>
    <row r="21" spans="1:11" ht="18.75" customHeight="1" x14ac:dyDescent="0.3">
      <c r="A21" s="15">
        <v>44965</v>
      </c>
      <c r="B21" s="16">
        <v>1</v>
      </c>
      <c r="C21" s="17">
        <v>3</v>
      </c>
      <c r="D21" s="18">
        <v>112</v>
      </c>
      <c r="E21" s="32" t="s">
        <v>16</v>
      </c>
      <c r="F21" s="20">
        <v>30715595105</v>
      </c>
      <c r="G21" s="20" t="s">
        <v>17</v>
      </c>
      <c r="H21" s="21">
        <v>663320</v>
      </c>
      <c r="I21" s="21">
        <v>139297.19999999998</v>
      </c>
      <c r="J21" s="21"/>
      <c r="K21" s="21">
        <v>802617.2</v>
      </c>
    </row>
    <row r="22" spans="1:11" ht="18.75" customHeight="1" x14ac:dyDescent="0.3">
      <c r="A22" s="15">
        <v>44965</v>
      </c>
      <c r="B22" s="16">
        <v>1</v>
      </c>
      <c r="C22" s="17">
        <v>3</v>
      </c>
      <c r="D22" s="18">
        <v>113</v>
      </c>
      <c r="E22" s="32" t="s">
        <v>16</v>
      </c>
      <c r="F22" s="20">
        <v>30638318470</v>
      </c>
      <c r="G22" s="20" t="s">
        <v>12</v>
      </c>
      <c r="H22" s="21">
        <v>239742.80000000002</v>
      </c>
      <c r="I22" s="21"/>
      <c r="J22" s="21">
        <v>25173.941600000002</v>
      </c>
      <c r="K22" s="21">
        <v>264916.74160000001</v>
      </c>
    </row>
    <row r="23" spans="1:11" ht="18.75" customHeight="1" x14ac:dyDescent="0.3">
      <c r="A23" s="15">
        <v>44965</v>
      </c>
      <c r="B23" s="16">
        <v>1</v>
      </c>
      <c r="C23" s="17">
        <v>3</v>
      </c>
      <c r="D23" s="18">
        <v>114</v>
      </c>
      <c r="E23" s="32" t="s">
        <v>16</v>
      </c>
      <c r="F23" s="20">
        <v>30638318470</v>
      </c>
      <c r="G23" s="20" t="s">
        <v>12</v>
      </c>
      <c r="H23" s="21">
        <v>7223554.8000000007</v>
      </c>
      <c r="I23" s="21"/>
      <c r="J23" s="21">
        <v>758472.30640000012</v>
      </c>
      <c r="K23" s="21">
        <v>7982027.1064000009</v>
      </c>
    </row>
    <row r="24" spans="1:11" ht="18.75" customHeight="1" x14ac:dyDescent="0.3">
      <c r="A24" s="15">
        <v>44965</v>
      </c>
      <c r="B24" s="16">
        <v>1</v>
      </c>
      <c r="C24" s="17">
        <v>3</v>
      </c>
      <c r="D24" s="18">
        <v>115</v>
      </c>
      <c r="E24" s="32" t="s">
        <v>16</v>
      </c>
      <c r="F24" s="20">
        <v>30638318470</v>
      </c>
      <c r="G24" s="20" t="s">
        <v>12</v>
      </c>
      <c r="H24" s="21">
        <v>379040</v>
      </c>
      <c r="I24" s="21">
        <v>79598.399999999994</v>
      </c>
      <c r="J24" s="21"/>
      <c r="K24" s="21">
        <v>458638.4</v>
      </c>
    </row>
    <row r="25" spans="1:11" ht="18.75" customHeight="1" x14ac:dyDescent="0.3">
      <c r="A25" s="15">
        <v>44970</v>
      </c>
      <c r="B25" s="16">
        <v>1</v>
      </c>
      <c r="C25" s="17">
        <v>3</v>
      </c>
      <c r="D25" s="18">
        <v>116</v>
      </c>
      <c r="E25" s="32" t="s">
        <v>16</v>
      </c>
      <c r="F25" s="20">
        <v>30628274327</v>
      </c>
      <c r="G25" s="20" t="s">
        <v>14</v>
      </c>
      <c r="H25" s="21">
        <v>1703159.4</v>
      </c>
      <c r="I25" s="21"/>
      <c r="J25" s="21">
        <v>178831.73699999999</v>
      </c>
      <c r="K25" s="21">
        <v>1881991.1369999999</v>
      </c>
    </row>
    <row r="26" spans="1:11" ht="18.75" customHeight="1" thickBot="1" x14ac:dyDescent="0.35">
      <c r="A26" s="46" t="s">
        <v>15</v>
      </c>
      <c r="B26" s="47"/>
      <c r="C26" s="47"/>
      <c r="D26" s="47"/>
      <c r="E26" s="47"/>
      <c r="F26" s="47"/>
      <c r="G26" s="48"/>
      <c r="H26" s="42">
        <f>SUM(H20:H25)</f>
        <v>11046003.300000001</v>
      </c>
      <c r="I26" s="42">
        <f t="shared" ref="I26:K26" si="1">SUM(I20:I25)</f>
        <v>218895.59999999998</v>
      </c>
      <c r="J26" s="42">
        <f t="shared" si="1"/>
        <v>1050382.5465000002</v>
      </c>
      <c r="K26" s="42">
        <f t="shared" si="1"/>
        <v>12315281.446500001</v>
      </c>
    </row>
    <row r="27" spans="1:11" ht="18.75" customHeight="1" thickBot="1" x14ac:dyDescent="0.35">
      <c r="A27" s="30"/>
      <c r="B27" s="31"/>
      <c r="C27" s="30"/>
      <c r="D27" s="30"/>
      <c r="E27" s="30"/>
      <c r="F27" s="30"/>
      <c r="G27" s="30"/>
      <c r="H27" s="30"/>
      <c r="I27" s="49">
        <f>SUM(I26:J26)</f>
        <v>1269278.1465000003</v>
      </c>
      <c r="J27" s="50"/>
      <c r="K27" s="30"/>
    </row>
    <row r="28" spans="1:11" ht="18.75" customHeight="1" x14ac:dyDescent="0.25">
      <c r="B28" s="1"/>
      <c r="I28" s="2"/>
      <c r="J28" s="3"/>
    </row>
    <row r="29" spans="1:11" ht="18.75" customHeight="1" x14ac:dyDescent="0.25">
      <c r="B29" s="1"/>
      <c r="I29" s="2"/>
      <c r="J29" s="3"/>
    </row>
    <row r="30" spans="1:11" s="39" customFormat="1" ht="23.1" customHeight="1" thickBot="1" x14ac:dyDescent="0.45">
      <c r="A30" s="51" t="s">
        <v>0</v>
      </c>
      <c r="B30" s="51"/>
      <c r="C30" s="51"/>
      <c r="D30" s="51"/>
      <c r="J30" s="52">
        <v>44986</v>
      </c>
      <c r="K30" s="52"/>
    </row>
    <row r="31" spans="1:11" ht="18.75" customHeight="1" thickBot="1" x14ac:dyDescent="0.35">
      <c r="A31" s="5" t="s">
        <v>1</v>
      </c>
      <c r="B31" s="6" t="s">
        <v>2</v>
      </c>
      <c r="C31" s="6" t="s">
        <v>3</v>
      </c>
      <c r="D31" s="6" t="s">
        <v>4</v>
      </c>
      <c r="E31" s="6" t="s">
        <v>5</v>
      </c>
      <c r="F31" s="6" t="s">
        <v>6</v>
      </c>
      <c r="G31" s="7" t="s">
        <v>7</v>
      </c>
      <c r="H31" s="6" t="s">
        <v>8</v>
      </c>
      <c r="I31" s="6" t="s">
        <v>9</v>
      </c>
      <c r="J31" s="6" t="s">
        <v>10</v>
      </c>
      <c r="K31" s="6" t="s">
        <v>11</v>
      </c>
    </row>
    <row r="32" spans="1:11" ht="18.75" customHeight="1" x14ac:dyDescent="0.3">
      <c r="A32" s="15">
        <v>44986</v>
      </c>
      <c r="B32" s="16">
        <v>1</v>
      </c>
      <c r="C32" s="17">
        <v>3</v>
      </c>
      <c r="D32" s="18">
        <v>117</v>
      </c>
      <c r="E32" s="19" t="s">
        <v>16</v>
      </c>
      <c r="F32" s="20">
        <v>30638318470</v>
      </c>
      <c r="G32" s="20" t="s">
        <v>12</v>
      </c>
      <c r="H32" s="21">
        <v>12341151.9</v>
      </c>
      <c r="I32" s="21">
        <v>127982.31600000001</v>
      </c>
      <c r="J32" s="21">
        <v>1231829.7915000001</v>
      </c>
      <c r="K32" s="21">
        <v>13700964.0075</v>
      </c>
    </row>
    <row r="33" spans="1:11" ht="18.75" customHeight="1" x14ac:dyDescent="0.3">
      <c r="A33" s="15">
        <v>44988</v>
      </c>
      <c r="B33" s="16">
        <v>1</v>
      </c>
      <c r="C33" s="17">
        <v>3</v>
      </c>
      <c r="D33" s="18">
        <v>118</v>
      </c>
      <c r="E33" s="19" t="s">
        <v>16</v>
      </c>
      <c r="F33" s="20">
        <v>33708467699</v>
      </c>
      <c r="G33" s="20" t="s">
        <v>18</v>
      </c>
      <c r="H33" s="21">
        <v>522750</v>
      </c>
      <c r="I33" s="21">
        <v>109777.5</v>
      </c>
      <c r="J33" s="21"/>
      <c r="K33" s="21">
        <v>632527.5</v>
      </c>
    </row>
    <row r="34" spans="1:11" ht="18.75" customHeight="1" x14ac:dyDescent="0.3">
      <c r="A34" s="15">
        <v>45014</v>
      </c>
      <c r="B34" s="16">
        <v>1</v>
      </c>
      <c r="C34" s="17">
        <v>3</v>
      </c>
      <c r="D34" s="18">
        <v>119</v>
      </c>
      <c r="E34" s="19" t="s">
        <v>16</v>
      </c>
      <c r="F34" s="20">
        <v>30711539707</v>
      </c>
      <c r="G34" s="20" t="s">
        <v>19</v>
      </c>
      <c r="H34" s="21">
        <v>100320</v>
      </c>
      <c r="I34" s="21">
        <v>21067.200000000001</v>
      </c>
      <c r="J34" s="21"/>
      <c r="K34" s="21">
        <v>121387.2</v>
      </c>
    </row>
    <row r="35" spans="1:11" ht="18.75" customHeight="1" thickBot="1" x14ac:dyDescent="0.35">
      <c r="A35" s="46" t="s">
        <v>15</v>
      </c>
      <c r="B35" s="47"/>
      <c r="C35" s="47"/>
      <c r="D35" s="47"/>
      <c r="E35" s="47"/>
      <c r="F35" s="47"/>
      <c r="G35" s="48"/>
      <c r="H35" s="42">
        <f>SUM(H32:H34)</f>
        <v>12964221.9</v>
      </c>
      <c r="I35" s="42">
        <f t="shared" ref="I35:K35" si="2">SUM(I32:I34)</f>
        <v>258827.016</v>
      </c>
      <c r="J35" s="42">
        <f t="shared" si="2"/>
        <v>1231829.7915000001</v>
      </c>
      <c r="K35" s="42">
        <f t="shared" si="2"/>
        <v>14454878.7075</v>
      </c>
    </row>
    <row r="36" spans="1:11" ht="18.75" customHeight="1" thickBot="1" x14ac:dyDescent="0.35">
      <c r="A36" s="30"/>
      <c r="B36" s="31"/>
      <c r="C36" s="30"/>
      <c r="D36" s="30"/>
      <c r="E36" s="30"/>
      <c r="F36" s="30"/>
      <c r="G36" s="30"/>
      <c r="H36" s="30"/>
      <c r="I36" s="49">
        <f>SUM(I35:J35)</f>
        <v>1490656.8075000001</v>
      </c>
      <c r="J36" s="50"/>
      <c r="K36" s="30"/>
    </row>
    <row r="37" spans="1:11" ht="18.75" customHeight="1" x14ac:dyDescent="0.25">
      <c r="B37" s="1"/>
      <c r="I37" s="2"/>
      <c r="J37" s="3"/>
    </row>
    <row r="38" spans="1:11" s="41" customFormat="1" ht="23.1" customHeight="1" thickBot="1" x14ac:dyDescent="0.4">
      <c r="A38" s="40" t="s">
        <v>20</v>
      </c>
    </row>
    <row r="39" spans="1:11" ht="18.75" customHeight="1" x14ac:dyDescent="0.3">
      <c r="A39" s="33" t="s">
        <v>1</v>
      </c>
      <c r="B39" s="34" t="s">
        <v>21</v>
      </c>
      <c r="C39" s="34" t="s">
        <v>6</v>
      </c>
      <c r="D39" s="34" t="s">
        <v>7</v>
      </c>
      <c r="E39" s="34" t="s">
        <v>22</v>
      </c>
      <c r="F39" s="34" t="s">
        <v>23</v>
      </c>
      <c r="G39" s="35" t="s">
        <v>24</v>
      </c>
      <c r="H39" s="34" t="s">
        <v>11</v>
      </c>
    </row>
    <row r="40" spans="1:11" ht="18.75" customHeight="1" x14ac:dyDescent="0.3">
      <c r="A40" s="15">
        <v>44986</v>
      </c>
      <c r="B40" s="16">
        <v>58</v>
      </c>
      <c r="C40" s="17"/>
      <c r="D40" s="18"/>
      <c r="E40" s="36">
        <v>1998.62</v>
      </c>
      <c r="F40" s="37"/>
      <c r="G40" s="37">
        <v>197.15</v>
      </c>
      <c r="H40" s="37">
        <v>394027.93299999996</v>
      </c>
    </row>
    <row r="41" spans="1:11" ht="18.75" customHeight="1" x14ac:dyDescent="0.3">
      <c r="A41" s="15">
        <v>44993</v>
      </c>
      <c r="B41" s="16">
        <v>59</v>
      </c>
      <c r="C41" s="17"/>
      <c r="D41" s="18"/>
      <c r="E41" s="36">
        <v>6020.9</v>
      </c>
      <c r="F41" s="37"/>
      <c r="G41" s="37">
        <v>199.68</v>
      </c>
      <c r="H41" s="37">
        <v>1202253.3119999999</v>
      </c>
    </row>
    <row r="42" spans="1:11" ht="18.75" customHeight="1" x14ac:dyDescent="0.3">
      <c r="A42" s="15">
        <v>44998</v>
      </c>
      <c r="B42" s="16">
        <v>60</v>
      </c>
      <c r="C42" s="17"/>
      <c r="D42" s="18"/>
      <c r="E42" s="36">
        <v>6020.9</v>
      </c>
      <c r="F42" s="37"/>
      <c r="G42" s="37">
        <v>200.73</v>
      </c>
      <c r="H42" s="37">
        <v>1208575.2569999998</v>
      </c>
    </row>
    <row r="43" spans="1:11" ht="18.75" customHeight="1" x14ac:dyDescent="0.3">
      <c r="A43" s="15">
        <v>45007</v>
      </c>
      <c r="B43" s="16">
        <v>15</v>
      </c>
      <c r="C43" s="17"/>
      <c r="D43" s="18"/>
      <c r="E43" s="36">
        <v>-6020.9</v>
      </c>
      <c r="F43" s="37"/>
      <c r="G43" s="37">
        <v>200.73</v>
      </c>
      <c r="H43" s="37">
        <v>-1208575.2569999998</v>
      </c>
    </row>
    <row r="44" spans="1:11" ht="18.75" customHeight="1" x14ac:dyDescent="0.3">
      <c r="A44" s="15">
        <v>45013</v>
      </c>
      <c r="B44" s="16">
        <v>61</v>
      </c>
      <c r="C44" s="17"/>
      <c r="D44" s="18"/>
      <c r="E44" s="36">
        <v>6363.4</v>
      </c>
      <c r="F44" s="37"/>
      <c r="G44" s="37">
        <v>205.02</v>
      </c>
      <c r="H44" s="37">
        <v>1304624.2679999999</v>
      </c>
    </row>
    <row r="45" spans="1:11" ht="18.75" customHeight="1" x14ac:dyDescent="0.3">
      <c r="A45" s="15">
        <v>44998</v>
      </c>
      <c r="B45" s="16">
        <v>62</v>
      </c>
      <c r="C45" s="17"/>
      <c r="D45" s="18"/>
      <c r="E45" s="36">
        <v>2155</v>
      </c>
      <c r="F45" s="37"/>
      <c r="G45" s="37">
        <v>207.42</v>
      </c>
      <c r="H45" s="37">
        <v>446990.1</v>
      </c>
    </row>
    <row r="46" spans="1:11" ht="18.75" customHeight="1" thickBot="1" x14ac:dyDescent="0.35">
      <c r="A46" s="43" t="s">
        <v>15</v>
      </c>
      <c r="B46" s="44"/>
      <c r="C46" s="44"/>
      <c r="D46" s="45"/>
      <c r="E46" s="42">
        <f>SUM(E40:E45)</f>
        <v>16537.919999999998</v>
      </c>
      <c r="F46" s="42"/>
      <c r="G46" s="42"/>
      <c r="H46" s="42">
        <f t="shared" ref="H46" si="3">SUM(H40:H45)</f>
        <v>3347895.6129999994</v>
      </c>
    </row>
    <row r="47" spans="1:11" ht="18.75" customHeight="1" x14ac:dyDescent="0.25"/>
    <row r="48" spans="1:11" ht="18.75" customHeight="1" x14ac:dyDescent="0.25"/>
    <row r="49" spans="1:11" ht="18.75" customHeight="1" x14ac:dyDescent="0.25"/>
    <row r="50" spans="1:11" s="39" customFormat="1" ht="23.1" customHeight="1" thickBot="1" x14ac:dyDescent="0.45">
      <c r="A50" s="51" t="s">
        <v>0</v>
      </c>
      <c r="B50" s="51"/>
      <c r="C50" s="51"/>
      <c r="D50" s="51"/>
      <c r="J50" s="52">
        <v>45017</v>
      </c>
      <c r="K50" s="52"/>
    </row>
    <row r="51" spans="1:11" ht="18.75" customHeight="1" thickBot="1" x14ac:dyDescent="0.35">
      <c r="A51" s="5" t="s">
        <v>1</v>
      </c>
      <c r="B51" s="6" t="s">
        <v>2</v>
      </c>
      <c r="C51" s="6" t="s">
        <v>3</v>
      </c>
      <c r="D51" s="6" t="s">
        <v>4</v>
      </c>
      <c r="E51" s="6" t="s">
        <v>5</v>
      </c>
      <c r="F51" s="6" t="s">
        <v>6</v>
      </c>
      <c r="G51" s="7" t="s">
        <v>7</v>
      </c>
      <c r="H51" s="6" t="s">
        <v>8</v>
      </c>
      <c r="I51" s="6" t="s">
        <v>9</v>
      </c>
      <c r="J51" s="6" t="s">
        <v>10</v>
      </c>
      <c r="K51" s="6" t="s">
        <v>11</v>
      </c>
    </row>
    <row r="52" spans="1:11" ht="18.75" customHeight="1" x14ac:dyDescent="0.3">
      <c r="A52" s="15">
        <v>45019</v>
      </c>
      <c r="B52" s="16">
        <v>1</v>
      </c>
      <c r="C52" s="17">
        <v>3</v>
      </c>
      <c r="D52" s="18">
        <v>121</v>
      </c>
      <c r="E52" s="19">
        <v>80</v>
      </c>
      <c r="F52" s="20">
        <v>30628274327</v>
      </c>
      <c r="G52" s="20" t="s">
        <v>25</v>
      </c>
      <c r="H52" s="21">
        <v>4671373.5</v>
      </c>
      <c r="I52" s="21"/>
      <c r="J52" s="21">
        <v>490494.22</v>
      </c>
      <c r="K52" s="21">
        <v>5161867.72</v>
      </c>
    </row>
    <row r="53" spans="1:11" ht="18.75" customHeight="1" x14ac:dyDescent="0.3">
      <c r="A53" s="15">
        <v>45019</v>
      </c>
      <c r="B53" s="16">
        <v>1</v>
      </c>
      <c r="C53" s="17">
        <v>3</v>
      </c>
      <c r="D53" s="18">
        <v>122</v>
      </c>
      <c r="E53" s="19">
        <v>80</v>
      </c>
      <c r="F53" s="20">
        <v>33717088269</v>
      </c>
      <c r="G53" s="20" t="s">
        <v>26</v>
      </c>
      <c r="H53" s="21">
        <v>160937.69999999998</v>
      </c>
      <c r="I53" s="21">
        <v>33796.916999999994</v>
      </c>
      <c r="J53" s="21"/>
      <c r="K53" s="21">
        <v>194734.61699999997</v>
      </c>
    </row>
    <row r="54" spans="1:11" ht="18.75" customHeight="1" x14ac:dyDescent="0.3">
      <c r="A54" s="15">
        <v>45019</v>
      </c>
      <c r="B54" s="16">
        <v>1</v>
      </c>
      <c r="C54" s="17">
        <v>3</v>
      </c>
      <c r="D54" s="18">
        <v>123</v>
      </c>
      <c r="E54" s="19">
        <v>80</v>
      </c>
      <c r="F54" s="20">
        <v>33717088269</v>
      </c>
      <c r="G54" s="20" t="s">
        <v>26</v>
      </c>
      <c r="H54" s="21">
        <v>418020</v>
      </c>
      <c r="I54" s="21">
        <v>87784.2</v>
      </c>
      <c r="J54" s="21"/>
      <c r="K54" s="21">
        <v>505804.2</v>
      </c>
    </row>
    <row r="55" spans="1:11" ht="18.75" customHeight="1" x14ac:dyDescent="0.3">
      <c r="A55" s="15">
        <v>45019</v>
      </c>
      <c r="B55" s="16">
        <v>1</v>
      </c>
      <c r="C55" s="17">
        <v>3</v>
      </c>
      <c r="D55" s="18">
        <v>124</v>
      </c>
      <c r="E55" s="19">
        <v>80</v>
      </c>
      <c r="F55" s="20">
        <v>33708467699</v>
      </c>
      <c r="G55" s="20" t="s">
        <v>18</v>
      </c>
      <c r="H55" s="21">
        <v>532975.5</v>
      </c>
      <c r="I55" s="21">
        <v>111924.855</v>
      </c>
      <c r="J55" s="21"/>
      <c r="K55" s="21">
        <v>644900.35499999998</v>
      </c>
    </row>
    <row r="56" spans="1:11" ht="18.75" customHeight="1" x14ac:dyDescent="0.3">
      <c r="A56" s="15">
        <v>45019</v>
      </c>
      <c r="B56" s="16">
        <v>1</v>
      </c>
      <c r="C56" s="17">
        <v>3</v>
      </c>
      <c r="D56" s="18">
        <v>120</v>
      </c>
      <c r="E56" s="19">
        <v>80</v>
      </c>
      <c r="F56" s="20">
        <v>30628274327</v>
      </c>
      <c r="G56" s="20" t="s">
        <v>25</v>
      </c>
      <c r="H56" s="21">
        <v>84440.04</v>
      </c>
      <c r="I56" s="21">
        <v>17732.408399999997</v>
      </c>
      <c r="J56" s="21"/>
      <c r="K56" s="21">
        <v>102172.44839999999</v>
      </c>
    </row>
    <row r="57" spans="1:11" ht="18.75" customHeight="1" x14ac:dyDescent="0.3">
      <c r="A57" s="15">
        <v>45044</v>
      </c>
      <c r="B57" s="16">
        <v>1</v>
      </c>
      <c r="C57" s="17">
        <v>3</v>
      </c>
      <c r="D57" s="18">
        <v>125</v>
      </c>
      <c r="E57" s="19">
        <v>80</v>
      </c>
      <c r="F57" s="20">
        <v>27134325327</v>
      </c>
      <c r="G57" s="20" t="s">
        <v>27</v>
      </c>
      <c r="H57" s="21">
        <v>262775</v>
      </c>
      <c r="I57" s="21">
        <v>55182.75</v>
      </c>
      <c r="J57" s="21"/>
      <c r="K57" s="21">
        <v>317957.75</v>
      </c>
    </row>
    <row r="58" spans="1:11" ht="18.75" customHeight="1" x14ac:dyDescent="0.3">
      <c r="A58" s="15">
        <v>45044</v>
      </c>
      <c r="B58" s="16">
        <v>1</v>
      </c>
      <c r="C58" s="17">
        <v>3</v>
      </c>
      <c r="D58" s="18">
        <v>126</v>
      </c>
      <c r="E58" s="19">
        <v>80</v>
      </c>
      <c r="F58" s="20">
        <v>30708844248</v>
      </c>
      <c r="G58" s="20" t="s">
        <v>28</v>
      </c>
      <c r="H58" s="21">
        <v>1713750</v>
      </c>
      <c r="I58" s="21">
        <v>359887.5</v>
      </c>
      <c r="J58" s="21"/>
      <c r="K58" s="21">
        <v>2073637.5</v>
      </c>
    </row>
    <row r="59" spans="1:11" ht="18.75" customHeight="1" x14ac:dyDescent="0.3">
      <c r="A59" s="15">
        <v>45019</v>
      </c>
      <c r="B59" s="16">
        <v>2</v>
      </c>
      <c r="C59" s="17">
        <v>3</v>
      </c>
      <c r="D59" s="18">
        <v>4</v>
      </c>
      <c r="E59" s="19">
        <v>80</v>
      </c>
      <c r="F59" s="20">
        <v>30638318470</v>
      </c>
      <c r="G59" s="20" t="s">
        <v>29</v>
      </c>
      <c r="H59" s="21">
        <v>5838667.1786999991</v>
      </c>
      <c r="I59" s="21">
        <v>1226120.1075269997</v>
      </c>
      <c r="J59" s="21"/>
      <c r="K59" s="21">
        <v>7064787.286226999</v>
      </c>
    </row>
    <row r="60" spans="1:11" ht="18.75" customHeight="1" x14ac:dyDescent="0.3">
      <c r="A60" s="15">
        <v>45036</v>
      </c>
      <c r="B60" s="16">
        <v>3</v>
      </c>
      <c r="C60" s="17">
        <v>3</v>
      </c>
      <c r="D60" s="18">
        <v>16</v>
      </c>
      <c r="E60" s="19">
        <v>80</v>
      </c>
      <c r="F60" s="20">
        <v>30628274327</v>
      </c>
      <c r="G60" s="20" t="s">
        <v>25</v>
      </c>
      <c r="H60" s="21">
        <v>-4671373.5</v>
      </c>
      <c r="I60" s="21"/>
      <c r="J60" s="21">
        <v>-490494.22</v>
      </c>
      <c r="K60" s="21">
        <v>-5161867.72</v>
      </c>
    </row>
    <row r="61" spans="1:11" ht="18.75" customHeight="1" thickBot="1" x14ac:dyDescent="0.35">
      <c r="A61" s="46" t="s">
        <v>15</v>
      </c>
      <c r="B61" s="47"/>
      <c r="C61" s="47"/>
      <c r="D61" s="47"/>
      <c r="E61" s="47"/>
      <c r="F61" s="47"/>
      <c r="G61" s="48"/>
      <c r="H61" s="42">
        <f>SUM(H52:H60)</f>
        <v>9011565.4186999984</v>
      </c>
      <c r="I61" s="42">
        <f t="shared" ref="I61:K61" si="4">SUM(I52:I60)</f>
        <v>1892428.7379269996</v>
      </c>
      <c r="J61" s="42">
        <f t="shared" si="4"/>
        <v>0</v>
      </c>
      <c r="K61" s="42">
        <f t="shared" si="4"/>
        <v>10903994.156626999</v>
      </c>
    </row>
    <row r="62" spans="1:11" ht="18.75" customHeight="1" thickBot="1" x14ac:dyDescent="0.35">
      <c r="A62" s="30"/>
      <c r="B62" s="30"/>
      <c r="C62" s="30"/>
      <c r="D62" s="30"/>
      <c r="E62" s="30"/>
      <c r="F62" s="30"/>
      <c r="G62" s="30"/>
      <c r="H62" s="30"/>
      <c r="I62" s="49">
        <f>SUM(I61:J61)</f>
        <v>1892428.7379269996</v>
      </c>
      <c r="J62" s="50"/>
      <c r="K62" s="30"/>
    </row>
    <row r="63" spans="1:11" ht="18.75" customHeight="1" x14ac:dyDescent="0.25"/>
    <row r="64" spans="1:11" s="41" customFormat="1" ht="23.1" customHeight="1" thickBot="1" x14ac:dyDescent="0.4">
      <c r="A64" s="40" t="s">
        <v>20</v>
      </c>
    </row>
    <row r="65" spans="1:11" ht="18.75" customHeight="1" x14ac:dyDescent="0.3">
      <c r="A65" s="33" t="s">
        <v>1</v>
      </c>
      <c r="B65" s="34" t="s">
        <v>21</v>
      </c>
      <c r="C65" s="34" t="s">
        <v>6</v>
      </c>
      <c r="D65" s="34" t="s">
        <v>7</v>
      </c>
      <c r="E65" s="34" t="s">
        <v>22</v>
      </c>
      <c r="F65" s="34" t="s">
        <v>23</v>
      </c>
      <c r="G65" s="35" t="s">
        <v>24</v>
      </c>
      <c r="H65" s="34" t="s">
        <v>11</v>
      </c>
    </row>
    <row r="66" spans="1:11" ht="18.75" customHeight="1" x14ac:dyDescent="0.3">
      <c r="A66" s="15">
        <v>45044</v>
      </c>
      <c r="B66" s="16">
        <v>63</v>
      </c>
      <c r="C66" s="17">
        <v>55000000050</v>
      </c>
      <c r="D66" s="18"/>
      <c r="E66" s="36">
        <v>11000</v>
      </c>
      <c r="F66" s="37"/>
      <c r="G66" s="37">
        <v>222</v>
      </c>
      <c r="H66" s="37">
        <v>2442000</v>
      </c>
    </row>
    <row r="67" spans="1:11" ht="18.75" customHeight="1" thickBot="1" x14ac:dyDescent="0.35">
      <c r="A67" s="43" t="s">
        <v>15</v>
      </c>
      <c r="B67" s="44"/>
      <c r="C67" s="44"/>
      <c r="D67" s="45"/>
      <c r="E67" s="42">
        <f>SUM(E66)</f>
        <v>11000</v>
      </c>
      <c r="F67" s="42"/>
      <c r="G67" s="42"/>
      <c r="H67" s="42">
        <f>SUM(H66)</f>
        <v>2442000</v>
      </c>
    </row>
    <row r="68" spans="1:11" ht="18.75" customHeight="1" x14ac:dyDescent="0.25"/>
    <row r="69" spans="1:11" ht="18.75" customHeight="1" x14ac:dyDescent="0.25"/>
    <row r="70" spans="1:11" ht="18.75" customHeight="1" x14ac:dyDescent="0.25"/>
    <row r="71" spans="1:11" s="39" customFormat="1" ht="23.1" customHeight="1" thickBot="1" x14ac:dyDescent="0.45">
      <c r="A71" s="51" t="s">
        <v>0</v>
      </c>
      <c r="B71" s="51"/>
      <c r="C71" s="51"/>
      <c r="D71" s="51"/>
      <c r="J71" s="52">
        <v>45047</v>
      </c>
      <c r="K71" s="52"/>
    </row>
    <row r="72" spans="1:11" ht="18.75" customHeight="1" thickBot="1" x14ac:dyDescent="0.35">
      <c r="A72" s="5" t="s">
        <v>1</v>
      </c>
      <c r="B72" s="6" t="s">
        <v>2</v>
      </c>
      <c r="C72" s="6" t="s">
        <v>3</v>
      </c>
      <c r="D72" s="6" t="s">
        <v>4</v>
      </c>
      <c r="E72" s="6" t="s">
        <v>5</v>
      </c>
      <c r="F72" s="6" t="s">
        <v>6</v>
      </c>
      <c r="G72" s="7" t="s">
        <v>7</v>
      </c>
      <c r="H72" s="6" t="s">
        <v>8</v>
      </c>
      <c r="I72" s="6" t="s">
        <v>9</v>
      </c>
      <c r="J72" s="6" t="s">
        <v>10</v>
      </c>
      <c r="K72" s="6" t="s">
        <v>11</v>
      </c>
    </row>
    <row r="73" spans="1:11" ht="18.75" customHeight="1" x14ac:dyDescent="0.3">
      <c r="A73" s="15">
        <v>45050</v>
      </c>
      <c r="B73" s="16">
        <v>1</v>
      </c>
      <c r="C73" s="17">
        <v>3</v>
      </c>
      <c r="D73" s="18">
        <v>127</v>
      </c>
      <c r="E73" s="19">
        <v>80</v>
      </c>
      <c r="F73" s="20">
        <v>30707462228</v>
      </c>
      <c r="G73" s="20" t="s">
        <v>30</v>
      </c>
      <c r="H73" s="21">
        <v>22520</v>
      </c>
      <c r="I73" s="21">
        <v>4729.2</v>
      </c>
      <c r="J73" s="21"/>
      <c r="K73" s="21">
        <v>27249.200000000001</v>
      </c>
    </row>
    <row r="74" spans="1:11" ht="18.75" customHeight="1" x14ac:dyDescent="0.3">
      <c r="A74" s="15">
        <v>45055</v>
      </c>
      <c r="B74" s="16">
        <v>1</v>
      </c>
      <c r="C74" s="17">
        <v>3</v>
      </c>
      <c r="D74" s="18">
        <v>128</v>
      </c>
      <c r="E74" s="19">
        <v>80</v>
      </c>
      <c r="F74" s="20">
        <v>30628274327</v>
      </c>
      <c r="G74" s="20" t="s">
        <v>25</v>
      </c>
      <c r="H74" s="21">
        <v>5087977.5</v>
      </c>
      <c r="I74" s="21"/>
      <c r="J74" s="21">
        <v>534237.63750000007</v>
      </c>
      <c r="K74" s="21">
        <v>5622215.1375000002</v>
      </c>
    </row>
    <row r="75" spans="1:11" ht="18.75" customHeight="1" x14ac:dyDescent="0.3">
      <c r="A75" s="15">
        <v>45063</v>
      </c>
      <c r="B75" s="16">
        <v>1</v>
      </c>
      <c r="C75" s="17">
        <v>3</v>
      </c>
      <c r="D75" s="18">
        <v>129</v>
      </c>
      <c r="E75" s="19">
        <v>80</v>
      </c>
      <c r="F75" s="20">
        <v>30673387027</v>
      </c>
      <c r="G75" s="20" t="s">
        <v>31</v>
      </c>
      <c r="H75" s="21">
        <v>5098600</v>
      </c>
      <c r="I75" s="21"/>
      <c r="J75" s="21">
        <v>535353</v>
      </c>
      <c r="K75" s="21">
        <v>5633953</v>
      </c>
    </row>
    <row r="76" spans="1:11" ht="18.75" customHeight="1" x14ac:dyDescent="0.3">
      <c r="A76" s="15">
        <v>45063</v>
      </c>
      <c r="B76" s="16">
        <v>1</v>
      </c>
      <c r="C76" s="17">
        <v>3</v>
      </c>
      <c r="D76" s="18">
        <v>130</v>
      </c>
      <c r="E76" s="19">
        <v>80</v>
      </c>
      <c r="F76" s="20">
        <v>30716244330</v>
      </c>
      <c r="G76" s="20" t="s">
        <v>32</v>
      </c>
      <c r="H76" s="21">
        <v>42087.5</v>
      </c>
      <c r="I76" s="21">
        <v>8838.375</v>
      </c>
      <c r="J76" s="21"/>
      <c r="K76" s="21">
        <v>50925.875</v>
      </c>
    </row>
    <row r="77" spans="1:11" ht="18.75" customHeight="1" x14ac:dyDescent="0.3">
      <c r="A77" s="15">
        <v>45064</v>
      </c>
      <c r="B77" s="16">
        <v>1</v>
      </c>
      <c r="C77" s="17">
        <v>3</v>
      </c>
      <c r="D77" s="18">
        <v>131</v>
      </c>
      <c r="E77" s="19">
        <v>80</v>
      </c>
      <c r="F77" s="20">
        <v>30638318470</v>
      </c>
      <c r="G77" s="20" t="s">
        <v>29</v>
      </c>
      <c r="H77" s="21">
        <v>678039.55</v>
      </c>
      <c r="I77" s="21">
        <v>142388.30550000002</v>
      </c>
      <c r="J77" s="21"/>
      <c r="K77" s="21">
        <v>820427.85550000006</v>
      </c>
    </row>
    <row r="78" spans="1:11" ht="18.75" customHeight="1" x14ac:dyDescent="0.3">
      <c r="A78" s="15">
        <v>45065</v>
      </c>
      <c r="B78" s="16">
        <v>1</v>
      </c>
      <c r="C78" s="17">
        <v>3</v>
      </c>
      <c r="D78" s="18">
        <v>132</v>
      </c>
      <c r="E78" s="19">
        <v>80</v>
      </c>
      <c r="F78" s="20">
        <v>30628274327</v>
      </c>
      <c r="G78" s="20" t="s">
        <v>25</v>
      </c>
      <c r="H78" s="21">
        <v>5786775</v>
      </c>
      <c r="I78" s="21"/>
      <c r="J78" s="21">
        <v>607611.38</v>
      </c>
      <c r="K78" s="21">
        <v>6394386.3799999999</v>
      </c>
    </row>
    <row r="79" spans="1:11" ht="18.75" customHeight="1" x14ac:dyDescent="0.3">
      <c r="A79" s="15">
        <v>45070</v>
      </c>
      <c r="B79" s="16">
        <v>1</v>
      </c>
      <c r="C79" s="17">
        <v>3</v>
      </c>
      <c r="D79" s="18">
        <v>133</v>
      </c>
      <c r="E79" s="19">
        <v>80</v>
      </c>
      <c r="F79" s="20">
        <v>33717088269</v>
      </c>
      <c r="G79" s="20" t="s">
        <v>26</v>
      </c>
      <c r="H79" s="21">
        <v>343640</v>
      </c>
      <c r="I79" s="21">
        <v>72164.399999999994</v>
      </c>
      <c r="J79" s="21"/>
      <c r="K79" s="21">
        <v>415804.4</v>
      </c>
    </row>
    <row r="80" spans="1:11" ht="18.75" customHeight="1" x14ac:dyDescent="0.3">
      <c r="A80" s="15">
        <v>45076</v>
      </c>
      <c r="B80" s="16">
        <v>1</v>
      </c>
      <c r="C80" s="17">
        <v>3</v>
      </c>
      <c r="D80" s="18">
        <v>134</v>
      </c>
      <c r="E80" s="19">
        <v>80</v>
      </c>
      <c r="F80" s="20">
        <v>30716041596</v>
      </c>
      <c r="G80" s="20" t="s">
        <v>33</v>
      </c>
      <c r="H80" s="21">
        <v>1219840</v>
      </c>
      <c r="I80" s="21">
        <v>256166.39999999999</v>
      </c>
      <c r="J80" s="21"/>
      <c r="K80" s="21">
        <v>1476006.4</v>
      </c>
    </row>
    <row r="81" spans="1:11" ht="18.75" customHeight="1" x14ac:dyDescent="0.3">
      <c r="A81" s="15">
        <v>45065</v>
      </c>
      <c r="B81" s="16">
        <v>3</v>
      </c>
      <c r="C81" s="17">
        <v>3</v>
      </c>
      <c r="D81" s="18">
        <v>17</v>
      </c>
      <c r="E81" s="19">
        <v>80</v>
      </c>
      <c r="F81" s="20">
        <v>30628274327</v>
      </c>
      <c r="G81" s="20" t="s">
        <v>25</v>
      </c>
      <c r="H81" s="21">
        <v>-5087977.5</v>
      </c>
      <c r="I81" s="21"/>
      <c r="J81" s="21">
        <v>-534237.63750000007</v>
      </c>
      <c r="K81" s="21">
        <v>-5622215.1375000002</v>
      </c>
    </row>
    <row r="82" spans="1:11" ht="18.75" customHeight="1" thickBot="1" x14ac:dyDescent="0.35">
      <c r="A82" s="46" t="s">
        <v>15</v>
      </c>
      <c r="B82" s="47"/>
      <c r="C82" s="47"/>
      <c r="D82" s="47"/>
      <c r="E82" s="47"/>
      <c r="F82" s="47"/>
      <c r="G82" s="48"/>
      <c r="H82" s="42">
        <f>SUM(H73:H81)</f>
        <v>13191502.050000001</v>
      </c>
      <c r="I82" s="42">
        <f t="shared" ref="I82:K82" si="5">SUM(I73:I81)</f>
        <v>484286.68050000002</v>
      </c>
      <c r="J82" s="42">
        <f t="shared" si="5"/>
        <v>1142964.3799999999</v>
      </c>
      <c r="K82" s="42">
        <f t="shared" si="5"/>
        <v>14818753.110499997</v>
      </c>
    </row>
    <row r="83" spans="1:11" ht="18.75" customHeight="1" thickBot="1" x14ac:dyDescent="0.35">
      <c r="A83" s="30"/>
      <c r="B83" s="30"/>
      <c r="C83" s="30"/>
      <c r="D83" s="30"/>
      <c r="E83" s="30"/>
      <c r="F83" s="30"/>
      <c r="G83" s="30"/>
      <c r="H83" s="30"/>
      <c r="I83" s="49">
        <f>SUM(I82:J82)</f>
        <v>1627251.0604999999</v>
      </c>
      <c r="J83" s="50"/>
      <c r="K83" s="30"/>
    </row>
    <row r="84" spans="1:11" ht="18.75" customHeight="1" x14ac:dyDescent="0.25"/>
    <row r="85" spans="1:11" s="39" customFormat="1" ht="23.1" customHeight="1" thickBot="1" x14ac:dyDescent="0.45">
      <c r="A85" s="51" t="s">
        <v>34</v>
      </c>
      <c r="B85" s="51"/>
      <c r="C85" s="51"/>
      <c r="D85" s="51"/>
      <c r="J85" s="52">
        <v>45047</v>
      </c>
      <c r="K85" s="52"/>
    </row>
    <row r="86" spans="1:11" ht="18.75" customHeight="1" thickBot="1" x14ac:dyDescent="0.35">
      <c r="A86" s="5" t="s">
        <v>1</v>
      </c>
      <c r="B86" s="6" t="s">
        <v>2</v>
      </c>
      <c r="C86" s="6" t="s">
        <v>3</v>
      </c>
      <c r="D86" s="6" t="s">
        <v>4</v>
      </c>
      <c r="E86" s="6" t="s">
        <v>5</v>
      </c>
      <c r="F86" s="6" t="s">
        <v>6</v>
      </c>
      <c r="G86" s="7" t="s">
        <v>7</v>
      </c>
      <c r="H86" s="6" t="s">
        <v>8</v>
      </c>
      <c r="I86" s="6" t="s">
        <v>9</v>
      </c>
      <c r="J86" s="6" t="s">
        <v>10</v>
      </c>
      <c r="K86" s="6" t="s">
        <v>11</v>
      </c>
    </row>
    <row r="87" spans="1:11" ht="18.75" customHeight="1" x14ac:dyDescent="0.3">
      <c r="A87" s="15">
        <v>45068</v>
      </c>
      <c r="B87" s="16">
        <v>6</v>
      </c>
      <c r="C87" s="17">
        <v>3</v>
      </c>
      <c r="D87" s="18">
        <v>3</v>
      </c>
      <c r="E87" s="19"/>
      <c r="F87" s="20"/>
      <c r="G87" s="20" t="s">
        <v>35</v>
      </c>
      <c r="H87" s="21">
        <v>95427.5</v>
      </c>
      <c r="I87" s="21">
        <v>20039.774999999998</v>
      </c>
      <c r="J87" s="21"/>
      <c r="K87" s="21">
        <v>115467.27499999999</v>
      </c>
    </row>
    <row r="88" spans="1:11" ht="18.75" customHeight="1" x14ac:dyDescent="0.3">
      <c r="A88" s="15">
        <v>45068</v>
      </c>
      <c r="B88" s="16">
        <v>6</v>
      </c>
      <c r="C88" s="17">
        <v>3</v>
      </c>
      <c r="D88" s="18">
        <v>5</v>
      </c>
      <c r="E88" s="19"/>
      <c r="F88" s="20"/>
      <c r="G88" s="20" t="s">
        <v>35</v>
      </c>
      <c r="H88" s="21">
        <v>95427.5</v>
      </c>
      <c r="I88" s="21">
        <v>20039.774999999998</v>
      </c>
      <c r="J88" s="21"/>
      <c r="K88" s="21">
        <v>115467.27499999999</v>
      </c>
    </row>
    <row r="89" spans="1:11" ht="18.75" customHeight="1" x14ac:dyDescent="0.3">
      <c r="A89" s="15">
        <v>45068</v>
      </c>
      <c r="B89" s="16">
        <v>6</v>
      </c>
      <c r="C89" s="17">
        <v>3</v>
      </c>
      <c r="D89" s="18">
        <v>4</v>
      </c>
      <c r="E89" s="19"/>
      <c r="F89" s="20"/>
      <c r="G89" s="20" t="s">
        <v>35</v>
      </c>
      <c r="H89" s="21">
        <v>95427.5</v>
      </c>
      <c r="I89" s="21">
        <v>20039.774999999998</v>
      </c>
      <c r="J89" s="21"/>
      <c r="K89" s="21">
        <v>115467.27499999999</v>
      </c>
    </row>
    <row r="90" spans="1:11" ht="18.75" customHeight="1" x14ac:dyDescent="0.3">
      <c r="A90" s="15">
        <v>45068</v>
      </c>
      <c r="B90" s="16">
        <v>8</v>
      </c>
      <c r="C90" s="17">
        <v>3</v>
      </c>
      <c r="D90" s="18">
        <v>2</v>
      </c>
      <c r="E90" s="19"/>
      <c r="F90" s="20"/>
      <c r="G90" s="20" t="s">
        <v>35</v>
      </c>
      <c r="H90" s="21">
        <v>-95427.5</v>
      </c>
      <c r="I90" s="21">
        <v>-20039.774999999998</v>
      </c>
      <c r="J90" s="21"/>
      <c r="K90" s="21">
        <v>-115467.27499999999</v>
      </c>
    </row>
    <row r="91" spans="1:11" ht="18.75" customHeight="1" x14ac:dyDescent="0.3">
      <c r="A91" s="15">
        <v>45068</v>
      </c>
      <c r="B91" s="16">
        <v>8</v>
      </c>
      <c r="C91" s="17">
        <v>3</v>
      </c>
      <c r="D91" s="18">
        <v>1</v>
      </c>
      <c r="E91" s="19"/>
      <c r="F91" s="20"/>
      <c r="G91" s="20" t="s">
        <v>35</v>
      </c>
      <c r="H91" s="21">
        <v>-95427.5</v>
      </c>
      <c r="I91" s="21">
        <v>-20039.774999999998</v>
      </c>
      <c r="J91" s="21"/>
      <c r="K91" s="21">
        <v>-115467.27499999999</v>
      </c>
    </row>
    <row r="92" spans="1:11" ht="18.75" customHeight="1" thickBot="1" x14ac:dyDescent="0.35">
      <c r="A92" s="46" t="s">
        <v>15</v>
      </c>
      <c r="B92" s="47"/>
      <c r="C92" s="47"/>
      <c r="D92" s="47"/>
      <c r="E92" s="47"/>
      <c r="F92" s="47"/>
      <c r="G92" s="48"/>
      <c r="H92" s="42">
        <f>SUM(H87:H91)</f>
        <v>95427.5</v>
      </c>
      <c r="I92" s="42">
        <f>SUM(I87:I91)</f>
        <v>20039.775000000005</v>
      </c>
      <c r="J92" s="42">
        <f>SUM(J87:J91)</f>
        <v>0</v>
      </c>
      <c r="K92" s="42">
        <f>SUM(K87:K91)</f>
        <v>115467.27499999997</v>
      </c>
    </row>
    <row r="93" spans="1:11" ht="18.75" customHeight="1" thickBot="1" x14ac:dyDescent="0.35">
      <c r="A93" s="30"/>
      <c r="B93" s="30"/>
      <c r="C93" s="30"/>
      <c r="D93" s="30"/>
      <c r="E93" s="30"/>
      <c r="F93" s="30"/>
      <c r="G93" s="30"/>
      <c r="H93" s="30"/>
      <c r="I93" s="49">
        <f>SUM(I92:J92)</f>
        <v>20039.775000000005</v>
      </c>
      <c r="J93" s="50"/>
      <c r="K93" s="30"/>
    </row>
    <row r="94" spans="1:11" ht="18.75" customHeight="1" x14ac:dyDescent="0.25"/>
    <row r="95" spans="1:11" s="41" customFormat="1" ht="23.1" customHeight="1" thickBot="1" x14ac:dyDescent="0.4">
      <c r="A95" s="40" t="s">
        <v>20</v>
      </c>
    </row>
    <row r="96" spans="1:11" ht="18.75" customHeight="1" x14ac:dyDescent="0.3">
      <c r="A96" s="33" t="s">
        <v>1</v>
      </c>
      <c r="B96" s="34" t="s">
        <v>21</v>
      </c>
      <c r="C96" s="34" t="s">
        <v>6</v>
      </c>
      <c r="D96" s="34" t="s">
        <v>7</v>
      </c>
      <c r="E96" s="34" t="s">
        <v>22</v>
      </c>
      <c r="F96" s="34" t="s">
        <v>23</v>
      </c>
      <c r="G96" s="35" t="s">
        <v>24</v>
      </c>
      <c r="H96" s="34" t="s">
        <v>11</v>
      </c>
    </row>
    <row r="97" spans="1:11" ht="18.75" customHeight="1" x14ac:dyDescent="0.3">
      <c r="A97" s="15">
        <v>45069</v>
      </c>
      <c r="B97" s="16">
        <v>64</v>
      </c>
      <c r="C97" s="17">
        <v>55000002223</v>
      </c>
      <c r="D97" s="18"/>
      <c r="E97" s="36">
        <v>12736</v>
      </c>
      <c r="F97" s="37"/>
      <c r="G97" s="37">
        <v>234.35</v>
      </c>
      <c r="H97" s="37">
        <v>2984681.6</v>
      </c>
      <c r="I97" s="4"/>
      <c r="J97" s="4"/>
      <c r="K97" s="4"/>
    </row>
    <row r="98" spans="1:11" ht="18.75" customHeight="1" x14ac:dyDescent="0.3">
      <c r="A98" s="15">
        <v>45069</v>
      </c>
      <c r="B98" s="16">
        <v>16</v>
      </c>
      <c r="C98" s="17">
        <v>55000002223</v>
      </c>
      <c r="D98" s="18"/>
      <c r="E98" s="36">
        <v>-12736</v>
      </c>
      <c r="F98" s="37"/>
      <c r="G98" s="37">
        <v>234.35</v>
      </c>
      <c r="H98" s="37">
        <v>-2984681.6</v>
      </c>
      <c r="I98" s="4"/>
      <c r="J98" s="4"/>
      <c r="K98" s="4"/>
    </row>
    <row r="99" spans="1:11" ht="18.75" customHeight="1" x14ac:dyDescent="0.3">
      <c r="A99" s="15">
        <v>45069</v>
      </c>
      <c r="B99" s="16">
        <v>65</v>
      </c>
      <c r="C99" s="17">
        <v>55000002223</v>
      </c>
      <c r="D99" s="18"/>
      <c r="E99" s="36">
        <v>12736</v>
      </c>
      <c r="F99" s="37"/>
      <c r="G99" s="37">
        <v>234.35</v>
      </c>
      <c r="H99" s="37">
        <v>2984681.6</v>
      </c>
      <c r="I99" s="4"/>
      <c r="J99" s="4"/>
      <c r="K99" s="4"/>
    </row>
    <row r="100" spans="1:11" ht="18.75" customHeight="1" thickBot="1" x14ac:dyDescent="0.35">
      <c r="A100" s="43" t="s">
        <v>15</v>
      </c>
      <c r="B100" s="44"/>
      <c r="C100" s="44"/>
      <c r="D100" s="45"/>
      <c r="E100" s="42">
        <f>SUM(E97:E99)</f>
        <v>12736</v>
      </c>
      <c r="F100" s="42"/>
      <c r="G100" s="42"/>
      <c r="H100" s="42">
        <f>SUM(H97:H99)</f>
        <v>2984681.6</v>
      </c>
    </row>
    <row r="101" spans="1:11" ht="18.75" customHeight="1" x14ac:dyDescent="0.25"/>
    <row r="102" spans="1:11" ht="18.75" customHeight="1" x14ac:dyDescent="0.25"/>
    <row r="103" spans="1:11" ht="18.75" customHeight="1" x14ac:dyDescent="0.25"/>
    <row r="104" spans="1:11" s="39" customFormat="1" ht="23.1" customHeight="1" thickBot="1" x14ac:dyDescent="0.45">
      <c r="A104" s="51" t="s">
        <v>0</v>
      </c>
      <c r="B104" s="51"/>
      <c r="C104" s="51"/>
      <c r="D104" s="51"/>
      <c r="J104" s="52">
        <v>45078</v>
      </c>
      <c r="K104" s="52"/>
    </row>
    <row r="105" spans="1:11" ht="18.75" customHeight="1" thickBot="1" x14ac:dyDescent="0.35">
      <c r="A105" s="5" t="s">
        <v>1</v>
      </c>
      <c r="B105" s="6" t="s">
        <v>2</v>
      </c>
      <c r="C105" s="6" t="s">
        <v>3</v>
      </c>
      <c r="D105" s="6" t="s">
        <v>4</v>
      </c>
      <c r="E105" s="6" t="s">
        <v>5</v>
      </c>
      <c r="F105" s="6" t="s">
        <v>6</v>
      </c>
      <c r="G105" s="7" t="s">
        <v>7</v>
      </c>
      <c r="H105" s="6" t="s">
        <v>8</v>
      </c>
      <c r="I105" s="6" t="s">
        <v>9</v>
      </c>
      <c r="J105" s="6" t="s">
        <v>10</v>
      </c>
      <c r="K105" s="6" t="s">
        <v>11</v>
      </c>
    </row>
    <row r="106" spans="1:11" ht="18.75" customHeight="1" x14ac:dyDescent="0.3">
      <c r="A106" s="15">
        <v>45089</v>
      </c>
      <c r="B106" s="16">
        <v>1</v>
      </c>
      <c r="C106" s="17">
        <v>3</v>
      </c>
      <c r="D106" s="18">
        <v>135</v>
      </c>
      <c r="E106" s="19" t="s">
        <v>16</v>
      </c>
      <c r="F106" s="20">
        <v>30638318470</v>
      </c>
      <c r="G106" s="20" t="s">
        <v>29</v>
      </c>
      <c r="H106" s="21">
        <v>10451980</v>
      </c>
      <c r="I106" s="21"/>
      <c r="J106" s="21">
        <v>1097457.9000000001</v>
      </c>
      <c r="K106" s="21">
        <v>11549437.9</v>
      </c>
    </row>
    <row r="107" spans="1:11" ht="18.75" customHeight="1" x14ac:dyDescent="0.3">
      <c r="A107" s="15">
        <v>45103</v>
      </c>
      <c r="B107" s="16">
        <v>1</v>
      </c>
      <c r="C107" s="17">
        <v>3</v>
      </c>
      <c r="D107" s="18">
        <v>137</v>
      </c>
      <c r="E107" s="19" t="s">
        <v>16</v>
      </c>
      <c r="F107" s="20">
        <v>30638318470</v>
      </c>
      <c r="G107" s="20" t="s">
        <v>29</v>
      </c>
      <c r="H107" s="21">
        <v>720924.5</v>
      </c>
      <c r="I107" s="21">
        <v>151394.14499999999</v>
      </c>
      <c r="J107" s="21"/>
      <c r="K107" s="21">
        <v>872318.64500000002</v>
      </c>
    </row>
    <row r="108" spans="1:11" ht="18.75" customHeight="1" x14ac:dyDescent="0.3">
      <c r="A108" s="15">
        <v>45103</v>
      </c>
      <c r="B108" s="16">
        <v>1</v>
      </c>
      <c r="C108" s="17">
        <v>3</v>
      </c>
      <c r="D108" s="18">
        <v>138</v>
      </c>
      <c r="E108" s="19" t="s">
        <v>16</v>
      </c>
      <c r="F108" s="20">
        <v>30638318470</v>
      </c>
      <c r="G108" s="20" t="s">
        <v>29</v>
      </c>
      <c r="H108" s="21">
        <v>566720</v>
      </c>
      <c r="I108" s="21">
        <v>119011.2</v>
      </c>
      <c r="J108" s="21"/>
      <c r="K108" s="21">
        <v>685731.2</v>
      </c>
    </row>
    <row r="109" spans="1:11" ht="18.75" customHeight="1" x14ac:dyDescent="0.3">
      <c r="A109" s="15">
        <v>45103</v>
      </c>
      <c r="B109" s="16">
        <v>1</v>
      </c>
      <c r="C109" s="17">
        <v>3</v>
      </c>
      <c r="D109" s="18">
        <v>136</v>
      </c>
      <c r="E109" s="19" t="s">
        <v>16</v>
      </c>
      <c r="F109" s="20">
        <v>30638318470</v>
      </c>
      <c r="G109" s="20" t="s">
        <v>29</v>
      </c>
      <c r="H109" s="21">
        <v>662202.20000000007</v>
      </c>
      <c r="I109" s="21">
        <v>139062.462</v>
      </c>
      <c r="J109" s="21"/>
      <c r="K109" s="21">
        <v>801264.66200000001</v>
      </c>
    </row>
    <row r="110" spans="1:11" ht="18.75" customHeight="1" x14ac:dyDescent="0.3">
      <c r="A110" s="15">
        <v>45103</v>
      </c>
      <c r="B110" s="16">
        <v>1</v>
      </c>
      <c r="C110" s="17">
        <v>3</v>
      </c>
      <c r="D110" s="18">
        <v>140</v>
      </c>
      <c r="E110" s="19" t="s">
        <v>16</v>
      </c>
      <c r="F110" s="20">
        <v>30638318470</v>
      </c>
      <c r="G110" s="20" t="s">
        <v>29</v>
      </c>
      <c r="H110" s="21">
        <v>454894</v>
      </c>
      <c r="I110" s="21">
        <v>95527.739999999991</v>
      </c>
      <c r="J110" s="21"/>
      <c r="K110" s="21">
        <v>550421.74</v>
      </c>
    </row>
    <row r="111" spans="1:11" ht="18.75" customHeight="1" x14ac:dyDescent="0.3">
      <c r="A111" s="15">
        <v>45103</v>
      </c>
      <c r="B111" s="16">
        <v>1</v>
      </c>
      <c r="C111" s="17">
        <v>3</v>
      </c>
      <c r="D111" s="18">
        <v>139</v>
      </c>
      <c r="E111" s="19" t="s">
        <v>16</v>
      </c>
      <c r="F111" s="20">
        <v>30638318470</v>
      </c>
      <c r="G111" s="20" t="s">
        <v>29</v>
      </c>
      <c r="H111" s="21">
        <v>543950</v>
      </c>
      <c r="I111" s="21">
        <v>114229.5</v>
      </c>
      <c r="J111" s="21"/>
      <c r="K111" s="21">
        <v>658179.5</v>
      </c>
    </row>
    <row r="112" spans="1:11" ht="18.75" customHeight="1" x14ac:dyDescent="0.3">
      <c r="A112" s="15">
        <v>45103</v>
      </c>
      <c r="B112" s="16">
        <v>2</v>
      </c>
      <c r="C112" s="17">
        <v>3</v>
      </c>
      <c r="D112" s="18">
        <v>5</v>
      </c>
      <c r="E112" s="19" t="s">
        <v>16</v>
      </c>
      <c r="F112" s="20">
        <v>30638318470</v>
      </c>
      <c r="G112" s="20" t="s">
        <v>29</v>
      </c>
      <c r="H112" s="21">
        <v>4306598.8899999997</v>
      </c>
      <c r="I112" s="21">
        <v>904385.76689999993</v>
      </c>
      <c r="J112" s="21"/>
      <c r="K112" s="21">
        <v>5210984.6568999998</v>
      </c>
    </row>
    <row r="113" spans="1:11" ht="18.75" customHeight="1" thickBot="1" x14ac:dyDescent="0.35">
      <c r="A113" s="46" t="s">
        <v>15</v>
      </c>
      <c r="B113" s="47"/>
      <c r="C113" s="47"/>
      <c r="D113" s="47"/>
      <c r="E113" s="47"/>
      <c r="F113" s="47"/>
      <c r="G113" s="48"/>
      <c r="H113" s="42">
        <f>SUM(H106:H112)</f>
        <v>17707269.59</v>
      </c>
      <c r="I113" s="42">
        <f t="shared" ref="I113:J113" si="6">SUM(I106:I112)</f>
        <v>1523610.8139</v>
      </c>
      <c r="J113" s="42">
        <f t="shared" si="6"/>
        <v>1097457.9000000001</v>
      </c>
      <c r="K113" s="42">
        <f>SUM(K106:K112)</f>
        <v>20328338.3039</v>
      </c>
    </row>
    <row r="114" spans="1:11" ht="18.75" customHeight="1" thickBot="1" x14ac:dyDescent="0.35">
      <c r="A114" s="30"/>
      <c r="B114" s="30"/>
      <c r="C114" s="30"/>
      <c r="D114" s="30"/>
      <c r="E114" s="30"/>
      <c r="F114" s="30"/>
      <c r="G114" s="30"/>
      <c r="H114" s="30"/>
      <c r="I114" s="49">
        <f>SUM(I113:J113)</f>
        <v>2621068.7138999999</v>
      </c>
      <c r="J114" s="50"/>
      <c r="K114" s="30"/>
    </row>
    <row r="115" spans="1:11" ht="18.75" customHeight="1" x14ac:dyDescent="0.25"/>
    <row r="116" spans="1:11" ht="18.75" customHeight="1" x14ac:dyDescent="0.25"/>
    <row r="117" spans="1:11" ht="18.75" customHeight="1" x14ac:dyDescent="0.25"/>
    <row r="118" spans="1:11" ht="18.75" customHeight="1" x14ac:dyDescent="0.25"/>
    <row r="119" spans="1:11" ht="18.75" customHeight="1" x14ac:dyDescent="0.25"/>
    <row r="120" spans="1:11" s="39" customFormat="1" ht="23.1" customHeight="1" thickBot="1" x14ac:dyDescent="0.45">
      <c r="A120" s="51" t="s">
        <v>0</v>
      </c>
      <c r="B120" s="51"/>
      <c r="C120" s="51"/>
      <c r="D120" s="51"/>
      <c r="J120" s="52">
        <v>45108</v>
      </c>
      <c r="K120" s="52"/>
    </row>
    <row r="121" spans="1:11" ht="18.75" customHeight="1" thickBot="1" x14ac:dyDescent="0.35">
      <c r="A121" s="5" t="s">
        <v>1</v>
      </c>
      <c r="B121" s="6" t="s">
        <v>2</v>
      </c>
      <c r="C121" s="6" t="s">
        <v>3</v>
      </c>
      <c r="D121" s="6" t="s">
        <v>4</v>
      </c>
      <c r="E121" s="6" t="s">
        <v>5</v>
      </c>
      <c r="F121" s="6" t="s">
        <v>6</v>
      </c>
      <c r="G121" s="7" t="s">
        <v>7</v>
      </c>
      <c r="H121" s="6" t="s">
        <v>8</v>
      </c>
      <c r="I121" s="6" t="s">
        <v>9</v>
      </c>
      <c r="J121" s="6" t="s">
        <v>10</v>
      </c>
      <c r="K121" s="6" t="s">
        <v>11</v>
      </c>
    </row>
    <row r="122" spans="1:11" ht="18.75" customHeight="1" x14ac:dyDescent="0.3">
      <c r="A122" s="15">
        <v>45110</v>
      </c>
      <c r="B122" s="16">
        <v>1</v>
      </c>
      <c r="C122" s="17">
        <v>3</v>
      </c>
      <c r="D122" s="18">
        <v>141</v>
      </c>
      <c r="E122" s="19">
        <v>80</v>
      </c>
      <c r="F122" s="19">
        <v>30628274327</v>
      </c>
      <c r="G122" s="20" t="s">
        <v>25</v>
      </c>
      <c r="H122" s="21">
        <v>4057874.64</v>
      </c>
      <c r="I122" s="21"/>
      <c r="J122" s="21">
        <v>426076.84</v>
      </c>
      <c r="K122" s="21">
        <v>4483951.4800000004</v>
      </c>
    </row>
    <row r="123" spans="1:11" ht="18.75" customHeight="1" x14ac:dyDescent="0.3">
      <c r="A123" s="15">
        <v>45110</v>
      </c>
      <c r="B123" s="16">
        <v>1</v>
      </c>
      <c r="C123" s="17">
        <v>3</v>
      </c>
      <c r="D123" s="18">
        <v>142</v>
      </c>
      <c r="E123" s="19">
        <v>80</v>
      </c>
      <c r="F123" s="19">
        <v>33708467699</v>
      </c>
      <c r="G123" s="20" t="s">
        <v>18</v>
      </c>
      <c r="H123" s="21">
        <v>514751.84</v>
      </c>
      <c r="I123" s="21">
        <v>108097.8864</v>
      </c>
      <c r="J123" s="21"/>
      <c r="K123" s="21">
        <v>622849.72640000004</v>
      </c>
    </row>
    <row r="124" spans="1:11" ht="18.75" customHeight="1" x14ac:dyDescent="0.3">
      <c r="A124" s="15">
        <v>45112</v>
      </c>
      <c r="B124" s="16">
        <v>1</v>
      </c>
      <c r="C124" s="17">
        <v>3</v>
      </c>
      <c r="D124" s="18">
        <v>144</v>
      </c>
      <c r="E124" s="19">
        <v>80</v>
      </c>
      <c r="F124" s="19">
        <v>33717088269</v>
      </c>
      <c r="G124" s="20" t="s">
        <v>26</v>
      </c>
      <c r="H124" s="21">
        <v>1567912.5</v>
      </c>
      <c r="I124" s="21">
        <v>329261.625</v>
      </c>
      <c r="J124" s="21"/>
      <c r="K124" s="21">
        <v>1897174.125</v>
      </c>
    </row>
    <row r="125" spans="1:11" ht="18.75" customHeight="1" x14ac:dyDescent="0.3">
      <c r="A125" s="15">
        <v>45112</v>
      </c>
      <c r="B125" s="16">
        <v>1</v>
      </c>
      <c r="C125" s="17">
        <v>3</v>
      </c>
      <c r="D125" s="18">
        <v>143</v>
      </c>
      <c r="E125" s="19">
        <v>80</v>
      </c>
      <c r="F125" s="19">
        <v>30716041596</v>
      </c>
      <c r="G125" s="20" t="s">
        <v>33</v>
      </c>
      <c r="H125" s="21">
        <v>1276050</v>
      </c>
      <c r="I125" s="21"/>
      <c r="J125" s="21">
        <v>133985.25</v>
      </c>
      <c r="K125" s="21">
        <v>1410035.25</v>
      </c>
    </row>
    <row r="126" spans="1:11" ht="18.75" customHeight="1" x14ac:dyDescent="0.3">
      <c r="A126" s="15">
        <v>45114</v>
      </c>
      <c r="B126" s="16">
        <v>1</v>
      </c>
      <c r="C126" s="17">
        <v>3</v>
      </c>
      <c r="D126" s="18">
        <v>145</v>
      </c>
      <c r="E126" s="19">
        <v>80</v>
      </c>
      <c r="F126" s="19">
        <v>30717260968</v>
      </c>
      <c r="G126" s="20" t="s">
        <v>36</v>
      </c>
      <c r="H126" s="21">
        <v>1160534.24</v>
      </c>
      <c r="I126" s="21">
        <v>243712.19039999999</v>
      </c>
      <c r="J126" s="21"/>
      <c r="K126" s="21">
        <v>1404246.4304</v>
      </c>
    </row>
    <row r="127" spans="1:11" ht="18.75" customHeight="1" x14ac:dyDescent="0.3">
      <c r="A127" s="15">
        <v>45117</v>
      </c>
      <c r="B127" s="16">
        <v>1</v>
      </c>
      <c r="C127" s="17">
        <v>3</v>
      </c>
      <c r="D127" s="18">
        <v>146</v>
      </c>
      <c r="E127" s="19">
        <v>80</v>
      </c>
      <c r="F127" s="19">
        <v>30638318470</v>
      </c>
      <c r="G127" s="20" t="s">
        <v>29</v>
      </c>
      <c r="H127" s="21">
        <v>1099593</v>
      </c>
      <c r="I127" s="21">
        <v>230914.53</v>
      </c>
      <c r="J127" s="21"/>
      <c r="K127" s="21">
        <v>1330507.53</v>
      </c>
    </row>
    <row r="128" spans="1:11" ht="18.75" customHeight="1" x14ac:dyDescent="0.3">
      <c r="A128" s="15">
        <v>45124</v>
      </c>
      <c r="B128" s="16">
        <v>1</v>
      </c>
      <c r="C128" s="17">
        <v>3</v>
      </c>
      <c r="D128" s="18">
        <v>147</v>
      </c>
      <c r="E128" s="19">
        <v>80</v>
      </c>
      <c r="F128" s="19">
        <v>30638318470</v>
      </c>
      <c r="G128" s="20" t="s">
        <v>29</v>
      </c>
      <c r="H128" s="21">
        <v>3339630</v>
      </c>
      <c r="I128" s="21">
        <v>272179.84499999997</v>
      </c>
      <c r="J128" s="21">
        <v>214571.22750000001</v>
      </c>
      <c r="K128" s="21">
        <v>3826381.0724999998</v>
      </c>
    </row>
    <row r="129" spans="1:11" ht="18.75" customHeight="1" x14ac:dyDescent="0.3">
      <c r="A129" s="15">
        <v>45135</v>
      </c>
      <c r="B129" s="16">
        <v>1</v>
      </c>
      <c r="C129" s="17">
        <v>3</v>
      </c>
      <c r="D129" s="18">
        <v>148</v>
      </c>
      <c r="E129" s="19">
        <v>80</v>
      </c>
      <c r="F129" s="19">
        <v>30638318470</v>
      </c>
      <c r="G129" s="20" t="s">
        <v>29</v>
      </c>
      <c r="H129" s="21">
        <v>7114255.0000000009</v>
      </c>
      <c r="I129" s="21">
        <v>36704.639999999999</v>
      </c>
      <c r="J129" s="21">
        <v>728644.45499999996</v>
      </c>
      <c r="K129" s="21">
        <v>7879604.0950000007</v>
      </c>
    </row>
    <row r="130" spans="1:11" ht="18.75" customHeight="1" x14ac:dyDescent="0.3">
      <c r="A130" s="15">
        <v>45132</v>
      </c>
      <c r="B130" s="16">
        <v>3</v>
      </c>
      <c r="C130" s="17">
        <v>3</v>
      </c>
      <c r="D130" s="18">
        <v>18</v>
      </c>
      <c r="E130" s="19">
        <v>80</v>
      </c>
      <c r="F130" s="19">
        <v>30717260968</v>
      </c>
      <c r="G130" s="20" t="s">
        <v>36</v>
      </c>
      <c r="H130" s="21">
        <v>-1160534.24</v>
      </c>
      <c r="I130" s="21">
        <v>-243712.19039999999</v>
      </c>
      <c r="J130" s="21"/>
      <c r="K130" s="21">
        <v>-1404246.4304</v>
      </c>
    </row>
    <row r="131" spans="1:11" ht="18.75" customHeight="1" thickBot="1" x14ac:dyDescent="0.35">
      <c r="A131" s="46" t="s">
        <v>15</v>
      </c>
      <c r="B131" s="47"/>
      <c r="C131" s="47"/>
      <c r="D131" s="47"/>
      <c r="E131" s="47"/>
      <c r="F131" s="47"/>
      <c r="G131" s="48"/>
      <c r="H131" s="42">
        <f>SUM(H122:H130)</f>
        <v>18970066.980000004</v>
      </c>
      <c r="I131" s="42">
        <f t="shared" ref="I131:K131" si="7">SUM(I122:I130)</f>
        <v>977158.52639999986</v>
      </c>
      <c r="J131" s="42">
        <f t="shared" si="7"/>
        <v>1503277.7725</v>
      </c>
      <c r="K131" s="42">
        <f t="shared" si="7"/>
        <v>21450503.278899997</v>
      </c>
    </row>
    <row r="132" spans="1:11" ht="18.75" customHeight="1" thickBot="1" x14ac:dyDescent="0.35">
      <c r="A132" s="30"/>
      <c r="B132" s="30"/>
      <c r="C132" s="30"/>
      <c r="D132" s="30"/>
      <c r="E132" s="30"/>
      <c r="F132" s="30"/>
      <c r="G132" s="30"/>
      <c r="H132" s="30"/>
      <c r="I132" s="49">
        <f>SUM(I131:J131)</f>
        <v>2480436.2988999998</v>
      </c>
      <c r="J132" s="50"/>
      <c r="K132" s="30"/>
    </row>
    <row r="133" spans="1:11" ht="18.75" customHeight="1" x14ac:dyDescent="0.25"/>
    <row r="134" spans="1:11" s="39" customFormat="1" ht="23.1" customHeight="1" thickBot="1" x14ac:dyDescent="0.45">
      <c r="A134" s="51" t="s">
        <v>34</v>
      </c>
      <c r="B134" s="51"/>
      <c r="C134" s="51"/>
      <c r="D134" s="51"/>
      <c r="J134" s="52">
        <v>45108</v>
      </c>
      <c r="K134" s="52"/>
    </row>
    <row r="135" spans="1:11" ht="18.75" customHeight="1" thickBot="1" x14ac:dyDescent="0.35">
      <c r="A135" s="5" t="s">
        <v>1</v>
      </c>
      <c r="B135" s="6" t="s">
        <v>2</v>
      </c>
      <c r="C135" s="6" t="s">
        <v>3</v>
      </c>
      <c r="D135" s="6" t="s">
        <v>4</v>
      </c>
      <c r="E135" s="6" t="s">
        <v>5</v>
      </c>
      <c r="F135" s="6" t="s">
        <v>6</v>
      </c>
      <c r="G135" s="7" t="s">
        <v>7</v>
      </c>
      <c r="H135" s="6" t="s">
        <v>8</v>
      </c>
      <c r="I135" s="6" t="s">
        <v>9</v>
      </c>
      <c r="J135" s="6" t="s">
        <v>10</v>
      </c>
      <c r="K135" s="6" t="s">
        <v>11</v>
      </c>
    </row>
    <row r="136" spans="1:11" ht="18.75" customHeight="1" x14ac:dyDescent="0.3">
      <c r="A136" s="15">
        <v>45111</v>
      </c>
      <c r="B136" s="16">
        <v>6</v>
      </c>
      <c r="C136" s="17">
        <v>3</v>
      </c>
      <c r="D136" s="18">
        <v>6</v>
      </c>
      <c r="E136" s="19"/>
      <c r="F136" s="19"/>
      <c r="G136" s="20" t="s">
        <v>35</v>
      </c>
      <c r="H136" s="21">
        <v>131054</v>
      </c>
      <c r="I136" s="21">
        <v>27521.34</v>
      </c>
      <c r="J136" s="21"/>
      <c r="K136" s="21">
        <v>158575.34</v>
      </c>
    </row>
    <row r="137" spans="1:11" ht="18.75" customHeight="1" thickBot="1" x14ac:dyDescent="0.35">
      <c r="A137" s="46" t="s">
        <v>15</v>
      </c>
      <c r="B137" s="47"/>
      <c r="C137" s="47"/>
      <c r="D137" s="47"/>
      <c r="E137" s="47"/>
      <c r="F137" s="47"/>
      <c r="G137" s="48"/>
      <c r="H137" s="42">
        <f>SUM(H136)</f>
        <v>131054</v>
      </c>
      <c r="I137" s="42">
        <f t="shared" ref="I137:K137" si="8">SUM(I136)</f>
        <v>27521.34</v>
      </c>
      <c r="J137" s="42">
        <f t="shared" si="8"/>
        <v>0</v>
      </c>
      <c r="K137" s="42">
        <f t="shared" si="8"/>
        <v>158575.34</v>
      </c>
    </row>
    <row r="138" spans="1:11" ht="18.75" customHeight="1" thickBot="1" x14ac:dyDescent="0.35">
      <c r="A138" s="30"/>
      <c r="B138" s="30"/>
      <c r="C138" s="30"/>
      <c r="D138" s="30"/>
      <c r="E138" s="30"/>
      <c r="F138" s="30"/>
      <c r="G138" s="30"/>
      <c r="H138" s="30"/>
      <c r="I138" s="49">
        <f>SUM(I137:J137)</f>
        <v>27521.34</v>
      </c>
      <c r="J138" s="50"/>
      <c r="K138" s="30"/>
    </row>
    <row r="139" spans="1:11" ht="18.75" customHeight="1" x14ac:dyDescent="0.25"/>
    <row r="140" spans="1:11" s="41" customFormat="1" ht="23.1" customHeight="1" thickBot="1" x14ac:dyDescent="0.4">
      <c r="A140" s="40" t="s">
        <v>20</v>
      </c>
    </row>
    <row r="141" spans="1:11" ht="18.75" customHeight="1" x14ac:dyDescent="0.3">
      <c r="A141" s="33" t="s">
        <v>1</v>
      </c>
      <c r="B141" s="34" t="s">
        <v>21</v>
      </c>
      <c r="C141" s="34" t="s">
        <v>6</v>
      </c>
      <c r="D141" s="34" t="s">
        <v>7</v>
      </c>
      <c r="E141" s="34" t="s">
        <v>22</v>
      </c>
      <c r="F141" s="34" t="s">
        <v>23</v>
      </c>
      <c r="G141" s="35" t="s">
        <v>24</v>
      </c>
      <c r="H141" s="34" t="s">
        <v>11</v>
      </c>
    </row>
    <row r="142" spans="1:11" ht="18.75" customHeight="1" x14ac:dyDescent="0.3">
      <c r="A142" s="15">
        <v>45135</v>
      </c>
      <c r="B142" s="16">
        <v>66</v>
      </c>
      <c r="C142" s="17"/>
      <c r="D142" s="18"/>
      <c r="E142" s="36">
        <v>2361.25</v>
      </c>
      <c r="F142" s="37"/>
      <c r="G142" s="37">
        <v>273.10000000000002</v>
      </c>
      <c r="H142" s="37">
        <v>644857.375</v>
      </c>
    </row>
    <row r="143" spans="1:11" ht="18.75" customHeight="1" x14ac:dyDescent="0.3">
      <c r="A143" s="15">
        <v>45138</v>
      </c>
      <c r="B143" s="16">
        <v>67</v>
      </c>
      <c r="C143" s="17"/>
      <c r="D143" s="18"/>
      <c r="E143" s="36">
        <v>16500</v>
      </c>
      <c r="F143" s="37"/>
      <c r="G143" s="37">
        <v>273.7</v>
      </c>
      <c r="H143" s="37">
        <v>4516050</v>
      </c>
    </row>
    <row r="144" spans="1:11" ht="18.75" customHeight="1" thickBot="1" x14ac:dyDescent="0.35">
      <c r="A144" s="43" t="s">
        <v>15</v>
      </c>
      <c r="B144" s="44"/>
      <c r="C144" s="44"/>
      <c r="D144" s="45"/>
      <c r="E144" s="42">
        <f>SUM(E142:E143)</f>
        <v>18861.25</v>
      </c>
      <c r="F144" s="42"/>
      <c r="G144" s="42"/>
      <c r="H144" s="42">
        <f>SUM(H142:H143)</f>
        <v>5160907.375</v>
      </c>
    </row>
    <row r="145" spans="1:11" ht="18.75" customHeight="1" x14ac:dyDescent="0.25"/>
    <row r="146" spans="1:11" ht="18.75" customHeight="1" x14ac:dyDescent="0.25"/>
    <row r="147" spans="1:11" ht="18.75" customHeight="1" x14ac:dyDescent="0.25"/>
    <row r="148" spans="1:11" s="39" customFormat="1" ht="23.1" customHeight="1" thickBot="1" x14ac:dyDescent="0.45">
      <c r="A148" s="51" t="s">
        <v>0</v>
      </c>
      <c r="B148" s="51"/>
      <c r="C148" s="51"/>
      <c r="D148" s="51"/>
      <c r="J148" s="52">
        <v>45139</v>
      </c>
      <c r="K148" s="52"/>
    </row>
    <row r="149" spans="1:11" ht="18.75" customHeight="1" thickBot="1" x14ac:dyDescent="0.35">
      <c r="A149" s="5" t="s">
        <v>1</v>
      </c>
      <c r="B149" s="6" t="s">
        <v>2</v>
      </c>
      <c r="C149" s="6" t="s">
        <v>3</v>
      </c>
      <c r="D149" s="6" t="s">
        <v>4</v>
      </c>
      <c r="E149" s="6" t="s">
        <v>5</v>
      </c>
      <c r="F149" s="6" t="s">
        <v>6</v>
      </c>
      <c r="G149" s="7" t="s">
        <v>7</v>
      </c>
      <c r="H149" s="6" t="s">
        <v>8</v>
      </c>
      <c r="I149" s="6" t="s">
        <v>9</v>
      </c>
      <c r="J149" s="6" t="s">
        <v>10</v>
      </c>
      <c r="K149" s="6" t="s">
        <v>11</v>
      </c>
    </row>
    <row r="150" spans="1:11" ht="18.75" customHeight="1" x14ac:dyDescent="0.3">
      <c r="A150" s="15">
        <v>45141</v>
      </c>
      <c r="B150" s="16">
        <v>1</v>
      </c>
      <c r="C150" s="17">
        <v>3</v>
      </c>
      <c r="D150" s="18">
        <v>149</v>
      </c>
      <c r="E150" s="19">
        <v>80</v>
      </c>
      <c r="F150" s="19">
        <v>30717260968</v>
      </c>
      <c r="G150" s="20" t="s">
        <v>36</v>
      </c>
      <c r="H150" s="21">
        <v>3550719.9999999995</v>
      </c>
      <c r="I150" s="21">
        <v>745651.19999999984</v>
      </c>
      <c r="J150" s="21"/>
      <c r="K150" s="21">
        <v>4296371.1999999993</v>
      </c>
    </row>
    <row r="151" spans="1:11" ht="18.75" customHeight="1" x14ac:dyDescent="0.3">
      <c r="A151" s="15">
        <v>45154</v>
      </c>
      <c r="B151" s="16">
        <v>1</v>
      </c>
      <c r="C151" s="17">
        <v>3</v>
      </c>
      <c r="D151" s="18">
        <v>150</v>
      </c>
      <c r="E151" s="19">
        <v>80</v>
      </c>
      <c r="F151" s="19">
        <v>30717260968</v>
      </c>
      <c r="G151" s="20" t="s">
        <v>36</v>
      </c>
      <c r="H151" s="21">
        <v>4479360</v>
      </c>
      <c r="I151" s="21">
        <v>940665.6</v>
      </c>
      <c r="J151" s="21"/>
      <c r="K151" s="21">
        <v>5420025.5999999996</v>
      </c>
    </row>
    <row r="152" spans="1:11" ht="18.75" customHeight="1" x14ac:dyDescent="0.3">
      <c r="A152" s="15">
        <v>45155</v>
      </c>
      <c r="B152" s="16">
        <v>1</v>
      </c>
      <c r="C152" s="17">
        <v>3</v>
      </c>
      <c r="D152" s="18">
        <v>151</v>
      </c>
      <c r="E152" s="19">
        <v>80</v>
      </c>
      <c r="F152" s="19">
        <v>30638318470</v>
      </c>
      <c r="G152" s="20" t="s">
        <v>29</v>
      </c>
      <c r="H152" s="21">
        <v>11856306</v>
      </c>
      <c r="I152" s="21"/>
      <c r="J152" s="21">
        <v>1244912.1299999999</v>
      </c>
      <c r="K152" s="21">
        <v>13101218.129999999</v>
      </c>
    </row>
    <row r="153" spans="1:11" ht="18.75" customHeight="1" x14ac:dyDescent="0.3">
      <c r="A153" s="15">
        <v>45156</v>
      </c>
      <c r="B153" s="16">
        <v>1</v>
      </c>
      <c r="C153" s="17">
        <v>3</v>
      </c>
      <c r="D153" s="18">
        <v>152</v>
      </c>
      <c r="E153" s="19">
        <v>80</v>
      </c>
      <c r="F153" s="19">
        <v>30711569843</v>
      </c>
      <c r="G153" s="20" t="s">
        <v>37</v>
      </c>
      <c r="H153" s="21">
        <v>114922.5</v>
      </c>
      <c r="I153" s="21">
        <v>24133.724999999999</v>
      </c>
      <c r="J153" s="21"/>
      <c r="K153" s="21">
        <v>139056.22500000001</v>
      </c>
    </row>
    <row r="154" spans="1:11" ht="18.75" customHeight="1" x14ac:dyDescent="0.3">
      <c r="A154" s="15">
        <v>45161</v>
      </c>
      <c r="B154" s="16">
        <v>1</v>
      </c>
      <c r="C154" s="17">
        <v>3</v>
      </c>
      <c r="D154" s="18">
        <v>153</v>
      </c>
      <c r="E154" s="19">
        <v>80</v>
      </c>
      <c r="F154" s="19">
        <v>30638318470</v>
      </c>
      <c r="G154" s="20" t="s">
        <v>29</v>
      </c>
      <c r="H154" s="21">
        <v>2075553.45</v>
      </c>
      <c r="I154" s="21">
        <v>435866.22449999995</v>
      </c>
      <c r="J154" s="21"/>
      <c r="K154" s="21">
        <v>2511419.6744999997</v>
      </c>
    </row>
    <row r="155" spans="1:11" ht="18.75" customHeight="1" x14ac:dyDescent="0.3">
      <c r="A155" s="15">
        <v>45167</v>
      </c>
      <c r="B155" s="16">
        <v>1</v>
      </c>
      <c r="C155" s="17">
        <v>3</v>
      </c>
      <c r="D155" s="18">
        <v>154</v>
      </c>
      <c r="E155" s="19">
        <v>80</v>
      </c>
      <c r="F155" s="19">
        <v>30638318470</v>
      </c>
      <c r="G155" s="20" t="s">
        <v>29</v>
      </c>
      <c r="H155" s="21">
        <v>11856306</v>
      </c>
      <c r="I155" s="21"/>
      <c r="J155" s="21">
        <v>1244912.1299999999</v>
      </c>
      <c r="K155" s="21">
        <v>13101218.129999999</v>
      </c>
    </row>
    <row r="156" spans="1:11" ht="18.75" customHeight="1" x14ac:dyDescent="0.3">
      <c r="A156" s="15">
        <v>45168</v>
      </c>
      <c r="B156" s="16">
        <v>1</v>
      </c>
      <c r="C156" s="17">
        <v>3</v>
      </c>
      <c r="D156" s="18">
        <v>155</v>
      </c>
      <c r="E156" s="19">
        <v>80</v>
      </c>
      <c r="F156" s="19">
        <v>30628274327</v>
      </c>
      <c r="G156" s="20" t="s">
        <v>25</v>
      </c>
      <c r="H156" s="21">
        <v>1564500</v>
      </c>
      <c r="I156" s="21"/>
      <c r="J156" s="21">
        <v>164272.5</v>
      </c>
      <c r="K156" s="21">
        <v>1728772.5</v>
      </c>
    </row>
    <row r="157" spans="1:11" ht="18.75" customHeight="1" x14ac:dyDescent="0.3">
      <c r="A157" s="15">
        <v>45169</v>
      </c>
      <c r="B157" s="16">
        <v>1</v>
      </c>
      <c r="C157" s="17">
        <v>3</v>
      </c>
      <c r="D157" s="18">
        <v>156</v>
      </c>
      <c r="E157" s="19">
        <v>80</v>
      </c>
      <c r="F157" s="19">
        <v>33709302839</v>
      </c>
      <c r="G157" s="20" t="s">
        <v>38</v>
      </c>
      <c r="H157" s="21">
        <v>1203527.27</v>
      </c>
      <c r="I157" s="21">
        <v>252740.7267</v>
      </c>
      <c r="J157" s="21"/>
      <c r="K157" s="21">
        <v>1456267.9967</v>
      </c>
    </row>
    <row r="158" spans="1:11" ht="18.75" customHeight="1" x14ac:dyDescent="0.3">
      <c r="A158" s="15">
        <v>45152</v>
      </c>
      <c r="B158" s="16">
        <v>3</v>
      </c>
      <c r="C158" s="17">
        <v>3</v>
      </c>
      <c r="D158" s="18">
        <v>19</v>
      </c>
      <c r="E158" s="19">
        <v>80</v>
      </c>
      <c r="F158" s="19">
        <v>30717260968</v>
      </c>
      <c r="G158" s="20" t="s">
        <v>36</v>
      </c>
      <c r="H158" s="21">
        <v>-3550720</v>
      </c>
      <c r="I158" s="21">
        <v>-745651.19999999995</v>
      </c>
      <c r="J158" s="21"/>
      <c r="K158" s="21">
        <v>-4296371.2</v>
      </c>
    </row>
    <row r="159" spans="1:11" ht="18.75" customHeight="1" thickBot="1" x14ac:dyDescent="0.35">
      <c r="A159" s="46" t="s">
        <v>15</v>
      </c>
      <c r="B159" s="47"/>
      <c r="C159" s="47"/>
      <c r="D159" s="47"/>
      <c r="E159" s="47"/>
      <c r="F159" s="47"/>
      <c r="G159" s="48"/>
      <c r="H159" s="42">
        <f>SUM(H150:H158)</f>
        <v>33150475.220000006</v>
      </c>
      <c r="I159" s="42">
        <f t="shared" ref="I159:K159" si="9">SUM(I150:I158)</f>
        <v>1653406.2762</v>
      </c>
      <c r="J159" s="42">
        <f t="shared" si="9"/>
        <v>2654096.7599999998</v>
      </c>
      <c r="K159" s="42">
        <f t="shared" si="9"/>
        <v>37457978.256200001</v>
      </c>
    </row>
    <row r="160" spans="1:11" ht="18.75" customHeight="1" thickBot="1" x14ac:dyDescent="0.35">
      <c r="A160" s="30"/>
      <c r="B160" s="30"/>
      <c r="C160" s="30"/>
      <c r="D160" s="30"/>
      <c r="E160" s="30"/>
      <c r="F160" s="30"/>
      <c r="G160" s="30"/>
      <c r="H160" s="30"/>
      <c r="I160" s="49">
        <f>SUM(I159:J159)</f>
        <v>4307503.0362</v>
      </c>
      <c r="J160" s="50"/>
      <c r="K160" s="30"/>
    </row>
    <row r="161" spans="1:11" ht="18.75" customHeight="1" x14ac:dyDescent="0.25"/>
    <row r="162" spans="1:11" s="39" customFormat="1" ht="23.1" customHeight="1" thickBot="1" x14ac:dyDescent="0.45">
      <c r="A162" s="51" t="s">
        <v>34</v>
      </c>
      <c r="B162" s="51"/>
      <c r="C162" s="51"/>
      <c r="D162" s="51"/>
      <c r="J162" s="52">
        <v>45139</v>
      </c>
      <c r="K162" s="52"/>
    </row>
    <row r="163" spans="1:11" ht="18.75" customHeight="1" thickBot="1" x14ac:dyDescent="0.35">
      <c r="A163" s="5" t="s">
        <v>1</v>
      </c>
      <c r="B163" s="6" t="s">
        <v>2</v>
      </c>
      <c r="C163" s="6" t="s">
        <v>3</v>
      </c>
      <c r="D163" s="6" t="s">
        <v>4</v>
      </c>
      <c r="E163" s="6" t="s">
        <v>5</v>
      </c>
      <c r="F163" s="6" t="s">
        <v>6</v>
      </c>
      <c r="G163" s="7" t="s">
        <v>7</v>
      </c>
      <c r="H163" s="6" t="s">
        <v>8</v>
      </c>
      <c r="I163" s="6" t="s">
        <v>9</v>
      </c>
      <c r="J163" s="6" t="s">
        <v>10</v>
      </c>
      <c r="K163" s="6" t="s">
        <v>11</v>
      </c>
    </row>
    <row r="164" spans="1:11" ht="18.75" customHeight="1" x14ac:dyDescent="0.3">
      <c r="A164" s="15">
        <v>45160</v>
      </c>
      <c r="B164" s="16">
        <v>6</v>
      </c>
      <c r="C164" s="17">
        <v>3</v>
      </c>
      <c r="D164" s="18">
        <v>7</v>
      </c>
      <c r="E164" s="19"/>
      <c r="F164" s="19"/>
      <c r="G164" s="20"/>
      <c r="H164" s="21">
        <v>103102.5</v>
      </c>
      <c r="I164" s="21">
        <v>21651.524999999998</v>
      </c>
      <c r="J164" s="21"/>
      <c r="K164" s="21">
        <v>124754.02499999999</v>
      </c>
    </row>
    <row r="165" spans="1:11" ht="18.75" customHeight="1" x14ac:dyDescent="0.3">
      <c r="A165" s="15">
        <v>45160</v>
      </c>
      <c r="B165" s="16">
        <v>6</v>
      </c>
      <c r="C165" s="17">
        <v>3</v>
      </c>
      <c r="D165" s="18">
        <v>8</v>
      </c>
      <c r="E165" s="19"/>
      <c r="F165" s="19"/>
      <c r="G165" s="20"/>
      <c r="H165" s="21">
        <v>80385</v>
      </c>
      <c r="I165" s="21">
        <v>16880.849999999999</v>
      </c>
      <c r="J165" s="21"/>
      <c r="K165" s="21">
        <v>97265.85</v>
      </c>
    </row>
    <row r="166" spans="1:11" ht="18.75" customHeight="1" thickBot="1" x14ac:dyDescent="0.35">
      <c r="A166" s="46" t="s">
        <v>15</v>
      </c>
      <c r="B166" s="47"/>
      <c r="C166" s="47"/>
      <c r="D166" s="47"/>
      <c r="E166" s="47"/>
      <c r="F166" s="47"/>
      <c r="G166" s="48"/>
      <c r="H166" s="42">
        <f>SUM(H164:H165)</f>
        <v>183487.5</v>
      </c>
      <c r="I166" s="42">
        <f t="shared" ref="I166:K166" si="10">SUM(I164:I165)</f>
        <v>38532.375</v>
      </c>
      <c r="J166" s="42">
        <f t="shared" si="10"/>
        <v>0</v>
      </c>
      <c r="K166" s="42">
        <f t="shared" si="10"/>
        <v>222019.875</v>
      </c>
    </row>
    <row r="167" spans="1:11" ht="18.75" customHeight="1" thickBot="1" x14ac:dyDescent="0.35">
      <c r="A167" s="30"/>
      <c r="B167" s="30"/>
      <c r="C167" s="30"/>
      <c r="D167" s="30"/>
      <c r="E167" s="30"/>
      <c r="F167" s="30"/>
      <c r="G167" s="30"/>
      <c r="H167" s="30"/>
      <c r="I167" s="49">
        <f>SUM(I166:J166)</f>
        <v>38532.375</v>
      </c>
      <c r="J167" s="50"/>
      <c r="K167" s="30"/>
    </row>
    <row r="168" spans="1:11" ht="18.75" customHeight="1" x14ac:dyDescent="0.25"/>
    <row r="169" spans="1:11" ht="18.75" customHeight="1" x14ac:dyDescent="0.25"/>
    <row r="170" spans="1:11" ht="18.75" customHeight="1" x14ac:dyDescent="0.25"/>
    <row r="171" spans="1:11" s="39" customFormat="1" ht="23.1" customHeight="1" thickBot="1" x14ac:dyDescent="0.45">
      <c r="A171" s="51" t="s">
        <v>0</v>
      </c>
      <c r="B171" s="51"/>
      <c r="C171" s="51"/>
      <c r="D171" s="51"/>
      <c r="J171" s="52">
        <v>45170</v>
      </c>
      <c r="K171" s="52"/>
    </row>
    <row r="172" spans="1:11" ht="18.75" customHeight="1" thickBot="1" x14ac:dyDescent="0.35">
      <c r="A172" s="5" t="s">
        <v>1</v>
      </c>
      <c r="B172" s="6" t="s">
        <v>2</v>
      </c>
      <c r="C172" s="6" t="s">
        <v>3</v>
      </c>
      <c r="D172" s="6" t="s">
        <v>4</v>
      </c>
      <c r="E172" s="6" t="s">
        <v>5</v>
      </c>
      <c r="F172" s="6" t="s">
        <v>6</v>
      </c>
      <c r="G172" s="7" t="s">
        <v>7</v>
      </c>
      <c r="H172" s="6" t="s">
        <v>8</v>
      </c>
      <c r="I172" s="6" t="s">
        <v>9</v>
      </c>
      <c r="J172" s="6" t="s">
        <v>10</v>
      </c>
      <c r="K172" s="6" t="s">
        <v>11</v>
      </c>
    </row>
    <row r="173" spans="1:11" ht="18.75" customHeight="1" x14ac:dyDescent="0.3">
      <c r="A173" s="15">
        <v>45174</v>
      </c>
      <c r="B173" s="16">
        <v>1</v>
      </c>
      <c r="C173" s="17">
        <v>3</v>
      </c>
      <c r="D173" s="18">
        <v>157</v>
      </c>
      <c r="E173" s="19">
        <v>80</v>
      </c>
      <c r="F173" s="19">
        <v>30709581011</v>
      </c>
      <c r="G173" s="20" t="s">
        <v>39</v>
      </c>
      <c r="H173" s="21">
        <v>48300</v>
      </c>
      <c r="I173" s="21">
        <v>10143</v>
      </c>
      <c r="J173" s="21"/>
      <c r="K173" s="21">
        <v>58443</v>
      </c>
    </row>
    <row r="174" spans="1:11" ht="18.75" customHeight="1" x14ac:dyDescent="0.3">
      <c r="A174" s="15">
        <v>45176</v>
      </c>
      <c r="B174" s="16">
        <v>1</v>
      </c>
      <c r="C174" s="17">
        <v>3</v>
      </c>
      <c r="D174" s="18">
        <v>6</v>
      </c>
      <c r="E174" s="19">
        <v>80</v>
      </c>
      <c r="F174" s="19">
        <v>30638318470</v>
      </c>
      <c r="G174" s="20" t="s">
        <v>29</v>
      </c>
      <c r="H174" s="21">
        <v>11437079.9</v>
      </c>
      <c r="I174" s="21">
        <v>2401786.7790000001</v>
      </c>
      <c r="J174" s="21"/>
      <c r="K174" s="21">
        <v>13838866.679000001</v>
      </c>
    </row>
    <row r="175" spans="1:11" ht="18.75" customHeight="1" x14ac:dyDescent="0.3">
      <c r="A175" s="15">
        <v>45177</v>
      </c>
      <c r="B175" s="16">
        <v>1</v>
      </c>
      <c r="C175" s="17">
        <v>3</v>
      </c>
      <c r="D175" s="18">
        <v>159</v>
      </c>
      <c r="E175" s="19">
        <v>80</v>
      </c>
      <c r="F175" s="19">
        <v>30638318470</v>
      </c>
      <c r="G175" s="20" t="s">
        <v>29</v>
      </c>
      <c r="H175" s="21">
        <v>979860</v>
      </c>
      <c r="I175" s="21">
        <v>205770.6</v>
      </c>
      <c r="J175" s="21"/>
      <c r="K175" s="21">
        <v>1185630.6000000001</v>
      </c>
    </row>
    <row r="176" spans="1:11" ht="18.75" customHeight="1" x14ac:dyDescent="0.3">
      <c r="A176" s="15">
        <v>45194</v>
      </c>
      <c r="B176" s="16">
        <v>1</v>
      </c>
      <c r="C176" s="17">
        <v>3</v>
      </c>
      <c r="D176" s="18">
        <v>165</v>
      </c>
      <c r="E176" s="19">
        <v>80</v>
      </c>
      <c r="F176" s="19">
        <v>30638318470</v>
      </c>
      <c r="G176" s="20" t="s">
        <v>29</v>
      </c>
      <c r="H176" s="21">
        <v>9874910.5</v>
      </c>
      <c r="I176" s="21">
        <v>205829.4</v>
      </c>
      <c r="J176" s="21">
        <v>933950.90249999997</v>
      </c>
      <c r="K176" s="21">
        <v>11014690.8025</v>
      </c>
    </row>
    <row r="177" spans="1:11" ht="18.75" customHeight="1" x14ac:dyDescent="0.3">
      <c r="A177" s="15">
        <v>45177</v>
      </c>
      <c r="B177" s="16">
        <v>1</v>
      </c>
      <c r="C177" s="17">
        <v>3</v>
      </c>
      <c r="D177" s="18">
        <v>158</v>
      </c>
      <c r="E177" s="19">
        <v>80</v>
      </c>
      <c r="F177" s="19">
        <v>30716041596</v>
      </c>
      <c r="G177" s="20" t="s">
        <v>33</v>
      </c>
      <c r="H177" s="21">
        <v>858925</v>
      </c>
      <c r="I177" s="21">
        <v>180374.25</v>
      </c>
      <c r="J177" s="21"/>
      <c r="K177" s="21">
        <v>1039299.25</v>
      </c>
    </row>
    <row r="178" spans="1:11" ht="18.75" customHeight="1" x14ac:dyDescent="0.3">
      <c r="A178" s="15">
        <v>45182</v>
      </c>
      <c r="B178" s="16">
        <v>1</v>
      </c>
      <c r="C178" s="17">
        <v>3</v>
      </c>
      <c r="D178" s="18">
        <v>160</v>
      </c>
      <c r="E178" s="19">
        <v>80</v>
      </c>
      <c r="F178" s="19">
        <v>30638318470</v>
      </c>
      <c r="G178" s="20" t="s">
        <v>29</v>
      </c>
      <c r="H178" s="21">
        <v>8892229.5</v>
      </c>
      <c r="I178" s="21"/>
      <c r="J178" s="21">
        <v>933684.09749999992</v>
      </c>
      <c r="K178" s="21">
        <v>9825913.5975000001</v>
      </c>
    </row>
    <row r="179" spans="1:11" ht="18.75" customHeight="1" x14ac:dyDescent="0.3">
      <c r="A179" s="15">
        <v>45190</v>
      </c>
      <c r="B179" s="16">
        <v>1</v>
      </c>
      <c r="C179" s="17">
        <v>3</v>
      </c>
      <c r="D179" s="18">
        <v>161</v>
      </c>
      <c r="E179" s="19">
        <v>80</v>
      </c>
      <c r="F179" s="19">
        <v>33717088269</v>
      </c>
      <c r="G179" s="20" t="s">
        <v>26</v>
      </c>
      <c r="H179" s="21">
        <v>1127567.5</v>
      </c>
      <c r="I179" s="21">
        <v>236789.17499999999</v>
      </c>
      <c r="J179" s="21"/>
      <c r="K179" s="21">
        <v>1364356.675</v>
      </c>
    </row>
    <row r="180" spans="1:11" ht="18.75" customHeight="1" x14ac:dyDescent="0.3">
      <c r="A180" s="15">
        <v>45190</v>
      </c>
      <c r="B180" s="16">
        <v>1</v>
      </c>
      <c r="C180" s="17">
        <v>3</v>
      </c>
      <c r="D180" s="18">
        <v>162</v>
      </c>
      <c r="E180" s="19">
        <v>80</v>
      </c>
      <c r="F180" s="19">
        <v>20124583463</v>
      </c>
      <c r="G180" s="20" t="s">
        <v>40</v>
      </c>
      <c r="H180" s="21">
        <v>140717.5</v>
      </c>
      <c r="I180" s="21">
        <v>29550.674999999999</v>
      </c>
      <c r="J180" s="21"/>
      <c r="K180" s="21">
        <v>170268.17499999999</v>
      </c>
    </row>
    <row r="181" spans="1:11" ht="18.75" customHeight="1" x14ac:dyDescent="0.3">
      <c r="A181" s="15">
        <v>45191</v>
      </c>
      <c r="B181" s="16">
        <v>1</v>
      </c>
      <c r="C181" s="17">
        <v>3</v>
      </c>
      <c r="D181" s="18">
        <v>163</v>
      </c>
      <c r="E181" s="19">
        <v>80</v>
      </c>
      <c r="F181" s="19">
        <v>30628274327</v>
      </c>
      <c r="G181" s="20" t="s">
        <v>25</v>
      </c>
      <c r="H181" s="21">
        <v>3754714.72</v>
      </c>
      <c r="I181" s="21">
        <v>17253.61</v>
      </c>
      <c r="J181" s="21">
        <v>385618.24</v>
      </c>
      <c r="K181" s="21">
        <v>4157586.5700000003</v>
      </c>
    </row>
    <row r="182" spans="1:11" ht="18.75" customHeight="1" x14ac:dyDescent="0.3">
      <c r="A182" s="15">
        <v>45194</v>
      </c>
      <c r="B182" s="16">
        <v>1</v>
      </c>
      <c r="C182" s="17">
        <v>3</v>
      </c>
      <c r="D182" s="18">
        <v>164</v>
      </c>
      <c r="E182" s="19">
        <v>80</v>
      </c>
      <c r="F182" s="19">
        <v>30628274327</v>
      </c>
      <c r="G182" s="20" t="s">
        <v>25</v>
      </c>
      <c r="H182" s="21">
        <v>1836277.33</v>
      </c>
      <c r="I182" s="21"/>
      <c r="J182" s="21">
        <v>192809.11965000001</v>
      </c>
      <c r="K182" s="21">
        <v>2029086.4496500001</v>
      </c>
    </row>
    <row r="183" spans="1:11" ht="18.75" customHeight="1" thickBot="1" x14ac:dyDescent="0.35">
      <c r="A183" s="46" t="s">
        <v>15</v>
      </c>
      <c r="B183" s="47"/>
      <c r="C183" s="47"/>
      <c r="D183" s="47"/>
      <c r="E183" s="47"/>
      <c r="F183" s="47"/>
      <c r="G183" s="48"/>
      <c r="H183" s="42">
        <f>SUM(H173:H182)</f>
        <v>38950581.949999996</v>
      </c>
      <c r="I183" s="42">
        <f t="shared" ref="I183:K183" si="11">SUM(I173:I182)</f>
        <v>3287497.4889999996</v>
      </c>
      <c r="J183" s="42">
        <f t="shared" si="11"/>
        <v>2446062.35965</v>
      </c>
      <c r="K183" s="42">
        <f t="shared" si="11"/>
        <v>44684141.798649997</v>
      </c>
    </row>
    <row r="184" spans="1:11" ht="18.75" customHeight="1" thickBot="1" x14ac:dyDescent="0.35">
      <c r="A184" s="30"/>
      <c r="B184" s="30"/>
      <c r="C184" s="30"/>
      <c r="D184" s="30"/>
      <c r="E184" s="30"/>
      <c r="F184" s="30"/>
      <c r="G184" s="30"/>
      <c r="H184" s="30"/>
      <c r="I184" s="49">
        <f>SUM(I183:J183)</f>
        <v>5733559.8486499991</v>
      </c>
      <c r="J184" s="50"/>
      <c r="K184" s="30"/>
    </row>
    <row r="185" spans="1:11" ht="18.75" customHeight="1" x14ac:dyDescent="0.25"/>
    <row r="186" spans="1:11" s="41" customFormat="1" ht="23.1" customHeight="1" thickBot="1" x14ac:dyDescent="0.4">
      <c r="A186" s="40" t="s">
        <v>20</v>
      </c>
    </row>
    <row r="187" spans="1:11" ht="18.75" customHeight="1" x14ac:dyDescent="0.3">
      <c r="A187" s="33" t="s">
        <v>1</v>
      </c>
      <c r="B187" s="34" t="s">
        <v>21</v>
      </c>
      <c r="C187" s="34" t="s">
        <v>6</v>
      </c>
      <c r="D187" s="34" t="s">
        <v>7</v>
      </c>
      <c r="E187" s="34" t="s">
        <v>22</v>
      </c>
      <c r="F187" s="34" t="s">
        <v>23</v>
      </c>
      <c r="G187" s="35" t="s">
        <v>24</v>
      </c>
      <c r="H187" s="34" t="s">
        <v>11</v>
      </c>
    </row>
    <row r="188" spans="1:11" ht="18.75" customHeight="1" x14ac:dyDescent="0.3">
      <c r="A188" s="15">
        <v>45176</v>
      </c>
      <c r="B188" s="16">
        <v>68</v>
      </c>
      <c r="C188" s="17">
        <v>55000002223</v>
      </c>
      <c r="D188" s="18"/>
      <c r="E188" s="36">
        <v>565</v>
      </c>
      <c r="F188" s="37"/>
      <c r="G188" s="37">
        <v>350</v>
      </c>
      <c r="H188" s="37">
        <v>197750</v>
      </c>
    </row>
    <row r="189" spans="1:11" ht="18.75" customHeight="1" thickBot="1" x14ac:dyDescent="0.35">
      <c r="A189" s="43" t="s">
        <v>15</v>
      </c>
      <c r="B189" s="44"/>
      <c r="C189" s="44"/>
      <c r="D189" s="45"/>
      <c r="E189" s="42">
        <f>SUM(E188)</f>
        <v>565</v>
      </c>
      <c r="F189" s="42"/>
      <c r="G189" s="42"/>
      <c r="H189" s="42">
        <f>SUM(H188)</f>
        <v>197750</v>
      </c>
    </row>
    <row r="190" spans="1:11" ht="18.75" customHeight="1" x14ac:dyDescent="0.25"/>
    <row r="191" spans="1:11" ht="18.75" customHeight="1" x14ac:dyDescent="0.25"/>
    <row r="192" spans="1:11" ht="18.75" customHeight="1" x14ac:dyDescent="0.25"/>
    <row r="193" spans="1:11" s="39" customFormat="1" ht="23.1" customHeight="1" thickBot="1" x14ac:dyDescent="0.45">
      <c r="A193" s="51" t="s">
        <v>0</v>
      </c>
      <c r="B193" s="51"/>
      <c r="C193" s="51"/>
      <c r="D193" s="51"/>
      <c r="J193" s="52">
        <v>45200</v>
      </c>
      <c r="K193" s="52"/>
    </row>
    <row r="194" spans="1:11" ht="18.75" customHeight="1" thickBot="1" x14ac:dyDescent="0.35">
      <c r="A194" s="5" t="s">
        <v>1</v>
      </c>
      <c r="B194" s="6" t="s">
        <v>2</v>
      </c>
      <c r="C194" s="6" t="s">
        <v>3</v>
      </c>
      <c r="D194" s="6" t="s">
        <v>4</v>
      </c>
      <c r="E194" s="6" t="s">
        <v>5</v>
      </c>
      <c r="F194" s="6" t="s">
        <v>6</v>
      </c>
      <c r="G194" s="7" t="s">
        <v>7</v>
      </c>
      <c r="H194" s="6" t="s">
        <v>8</v>
      </c>
      <c r="I194" s="6" t="s">
        <v>9</v>
      </c>
      <c r="J194" s="6" t="s">
        <v>10</v>
      </c>
      <c r="K194" s="6" t="s">
        <v>11</v>
      </c>
    </row>
    <row r="195" spans="1:11" ht="18.75" customHeight="1" x14ac:dyDescent="0.3">
      <c r="A195" s="15">
        <v>45201</v>
      </c>
      <c r="B195" s="16">
        <v>1</v>
      </c>
      <c r="C195" s="17">
        <v>3</v>
      </c>
      <c r="D195" s="18">
        <v>166</v>
      </c>
      <c r="E195" s="19">
        <v>80</v>
      </c>
      <c r="F195" s="19">
        <v>30638318470</v>
      </c>
      <c r="G195" s="20" t="s">
        <v>29</v>
      </c>
      <c r="H195" s="21">
        <v>10374267.75</v>
      </c>
      <c r="I195" s="21"/>
      <c r="J195" s="21">
        <v>1089296.3639999998</v>
      </c>
      <c r="K195" s="21">
        <v>11463564.114</v>
      </c>
    </row>
    <row r="196" spans="1:11" ht="18.75" customHeight="1" x14ac:dyDescent="0.3">
      <c r="A196" s="15">
        <v>45201</v>
      </c>
      <c r="B196" s="16">
        <v>1</v>
      </c>
      <c r="C196" s="17">
        <v>3</v>
      </c>
      <c r="D196" s="18">
        <v>167</v>
      </c>
      <c r="E196" s="19">
        <v>80</v>
      </c>
      <c r="F196" s="19">
        <v>30638318470</v>
      </c>
      <c r="G196" s="20" t="s">
        <v>29</v>
      </c>
      <c r="H196" s="21">
        <v>2311769.6999999997</v>
      </c>
      <c r="I196" s="21">
        <v>485471.63699999993</v>
      </c>
      <c r="J196" s="21"/>
      <c r="K196" s="21">
        <v>2797241.3369999998</v>
      </c>
    </row>
    <row r="197" spans="1:11" ht="18.75" customHeight="1" x14ac:dyDescent="0.3">
      <c r="A197" s="15">
        <v>45217</v>
      </c>
      <c r="B197" s="16">
        <v>1</v>
      </c>
      <c r="C197" s="17">
        <v>3</v>
      </c>
      <c r="D197" s="18">
        <v>169</v>
      </c>
      <c r="E197" s="19">
        <v>80</v>
      </c>
      <c r="F197" s="19">
        <v>33717088269</v>
      </c>
      <c r="G197" s="20" t="s">
        <v>26</v>
      </c>
      <c r="H197" s="21">
        <v>1140447.6100000001</v>
      </c>
      <c r="I197" s="21">
        <v>239493.99810000003</v>
      </c>
      <c r="J197" s="21"/>
      <c r="K197" s="21">
        <v>1379941.6081000001</v>
      </c>
    </row>
    <row r="198" spans="1:11" ht="18.75" customHeight="1" x14ac:dyDescent="0.3">
      <c r="A198" s="15">
        <v>45217</v>
      </c>
      <c r="B198" s="16">
        <v>1</v>
      </c>
      <c r="C198" s="17">
        <v>3</v>
      </c>
      <c r="D198" s="18">
        <v>168</v>
      </c>
      <c r="E198" s="19">
        <v>80</v>
      </c>
      <c r="F198" s="19">
        <v>30638318470</v>
      </c>
      <c r="G198" s="20" t="s">
        <v>29</v>
      </c>
      <c r="H198" s="21">
        <v>10728814.5</v>
      </c>
      <c r="I198" s="21"/>
      <c r="J198" s="21">
        <v>1126523.7720000001</v>
      </c>
      <c r="K198" s="21">
        <v>11855338.272</v>
      </c>
    </row>
    <row r="199" spans="1:11" ht="18.75" customHeight="1" thickBot="1" x14ac:dyDescent="0.35">
      <c r="A199" s="46" t="s">
        <v>15</v>
      </c>
      <c r="B199" s="47"/>
      <c r="C199" s="47"/>
      <c r="D199" s="47"/>
      <c r="E199" s="47"/>
      <c r="F199" s="47"/>
      <c r="G199" s="48"/>
      <c r="H199" s="42">
        <f>SUM(H195:H198)</f>
        <v>24555299.559999999</v>
      </c>
      <c r="I199" s="42">
        <f t="shared" ref="I199:K199" si="12">SUM(I195:I198)</f>
        <v>724965.63509999996</v>
      </c>
      <c r="J199" s="42">
        <f t="shared" si="12"/>
        <v>2215820.1359999999</v>
      </c>
      <c r="K199" s="42">
        <f t="shared" si="12"/>
        <v>27496085.331100002</v>
      </c>
    </row>
    <row r="200" spans="1:11" ht="18.75" customHeight="1" thickBot="1" x14ac:dyDescent="0.35">
      <c r="A200" s="30"/>
      <c r="B200" s="30"/>
      <c r="C200" s="30"/>
      <c r="D200" s="30"/>
      <c r="E200" s="30"/>
      <c r="F200" s="30"/>
      <c r="G200" s="30"/>
      <c r="H200" s="30"/>
      <c r="I200" s="49">
        <f>SUM(I199:J199)</f>
        <v>2940785.7711</v>
      </c>
      <c r="J200" s="50"/>
      <c r="K200" s="30"/>
    </row>
    <row r="201" spans="1:11" ht="18.75" customHeight="1" x14ac:dyDescent="0.25"/>
    <row r="202" spans="1:11" s="41" customFormat="1" ht="23.1" customHeight="1" thickBot="1" x14ac:dyDescent="0.4">
      <c r="A202" s="40" t="s">
        <v>20</v>
      </c>
    </row>
    <row r="203" spans="1:11" ht="18.75" customHeight="1" x14ac:dyDescent="0.3">
      <c r="A203" s="33" t="s">
        <v>1</v>
      </c>
      <c r="B203" s="34" t="s">
        <v>21</v>
      </c>
      <c r="C203" s="34" t="s">
        <v>6</v>
      </c>
      <c r="D203" s="34" t="s">
        <v>7</v>
      </c>
      <c r="E203" s="34" t="s">
        <v>22</v>
      </c>
      <c r="F203" s="34" t="s">
        <v>23</v>
      </c>
      <c r="G203" s="35" t="s">
        <v>24</v>
      </c>
      <c r="H203" s="34" t="s">
        <v>11</v>
      </c>
    </row>
    <row r="204" spans="1:11" ht="18.75" customHeight="1" x14ac:dyDescent="0.3">
      <c r="A204" s="15">
        <v>45216</v>
      </c>
      <c r="B204" s="16">
        <v>70</v>
      </c>
      <c r="C204" s="17">
        <v>55000002053</v>
      </c>
      <c r="D204" s="18"/>
      <c r="E204" s="36">
        <v>11270</v>
      </c>
      <c r="F204" s="37"/>
      <c r="G204" s="37">
        <v>349.95</v>
      </c>
      <c r="H204" s="37">
        <f>E204*G204</f>
        <v>3943936.5</v>
      </c>
    </row>
    <row r="205" spans="1:11" ht="18.75" customHeight="1" x14ac:dyDescent="0.3">
      <c r="A205" s="15">
        <v>45216</v>
      </c>
      <c r="B205" s="16">
        <v>69</v>
      </c>
      <c r="C205" s="17">
        <v>55000002053</v>
      </c>
      <c r="D205" s="18"/>
      <c r="E205" s="36">
        <v>11270</v>
      </c>
      <c r="F205" s="37"/>
      <c r="G205" s="37">
        <v>349.95</v>
      </c>
      <c r="H205" s="37">
        <f t="shared" ref="H205:H206" si="13">E205*G205</f>
        <v>3943936.5</v>
      </c>
    </row>
    <row r="206" spans="1:11" ht="18.75" customHeight="1" x14ac:dyDescent="0.3">
      <c r="A206" s="15">
        <v>45216</v>
      </c>
      <c r="B206" s="16">
        <v>17</v>
      </c>
      <c r="C206" s="17">
        <v>55000002053</v>
      </c>
      <c r="D206" s="18"/>
      <c r="E206" s="36">
        <v>-11270</v>
      </c>
      <c r="F206" s="37"/>
      <c r="G206" s="37">
        <v>349.95</v>
      </c>
      <c r="H206" s="37">
        <f t="shared" si="13"/>
        <v>-3943936.5</v>
      </c>
    </row>
    <row r="207" spans="1:11" ht="18.75" customHeight="1" thickBot="1" x14ac:dyDescent="0.35">
      <c r="A207" s="43" t="s">
        <v>15</v>
      </c>
      <c r="B207" s="44"/>
      <c r="C207" s="44"/>
      <c r="D207" s="45"/>
      <c r="E207" s="42">
        <f>SUM(E204:E206)</f>
        <v>11270</v>
      </c>
      <c r="F207" s="42"/>
      <c r="G207" s="42"/>
      <c r="H207" s="42">
        <f>SUM(H204:H206)</f>
        <v>3943936.5</v>
      </c>
    </row>
    <row r="208" spans="1:11" ht="18.75" customHeight="1" x14ac:dyDescent="0.25"/>
    <row r="209" spans="1:11" ht="18.75" customHeight="1" x14ac:dyDescent="0.25"/>
    <row r="210" spans="1:11" ht="18.75" customHeight="1" x14ac:dyDescent="0.25"/>
    <row r="211" spans="1:11" s="39" customFormat="1" ht="23.1" customHeight="1" thickBot="1" x14ac:dyDescent="0.45">
      <c r="A211" s="51" t="s">
        <v>0</v>
      </c>
      <c r="B211" s="51"/>
      <c r="C211" s="51"/>
      <c r="D211" s="51"/>
      <c r="J211" s="52">
        <v>45231</v>
      </c>
      <c r="K211" s="52"/>
    </row>
    <row r="212" spans="1:11" ht="18.75" customHeight="1" thickBot="1" x14ac:dyDescent="0.35">
      <c r="A212" s="5" t="s">
        <v>1</v>
      </c>
      <c r="B212" s="6" t="s">
        <v>2</v>
      </c>
      <c r="C212" s="6" t="s">
        <v>3</v>
      </c>
      <c r="D212" s="6" t="s">
        <v>4</v>
      </c>
      <c r="E212" s="6" t="s">
        <v>5</v>
      </c>
      <c r="F212" s="6" t="s">
        <v>6</v>
      </c>
      <c r="G212" s="7" t="s">
        <v>7</v>
      </c>
      <c r="H212" s="6" t="s">
        <v>8</v>
      </c>
      <c r="I212" s="6" t="s">
        <v>9</v>
      </c>
      <c r="J212" s="6" t="s">
        <v>10</v>
      </c>
      <c r="K212" s="6" t="s">
        <v>11</v>
      </c>
    </row>
    <row r="213" spans="1:11" ht="18.75" customHeight="1" x14ac:dyDescent="0.3">
      <c r="A213" s="15">
        <v>45231</v>
      </c>
      <c r="B213" s="16">
        <v>1</v>
      </c>
      <c r="C213" s="17">
        <v>3</v>
      </c>
      <c r="D213" s="18">
        <v>170</v>
      </c>
      <c r="E213" s="19" t="s">
        <v>16</v>
      </c>
      <c r="F213" s="19">
        <v>30638318470</v>
      </c>
      <c r="G213" s="20" t="s">
        <v>29</v>
      </c>
      <c r="H213" s="21">
        <v>11600750</v>
      </c>
      <c r="I213" s="21">
        <v>257250</v>
      </c>
      <c r="J213" s="21">
        <v>1089452</v>
      </c>
      <c r="K213" s="21">
        <v>12947452</v>
      </c>
    </row>
    <row r="214" spans="1:11" ht="18.75" customHeight="1" x14ac:dyDescent="0.3">
      <c r="A214" s="15">
        <v>45258</v>
      </c>
      <c r="B214" s="16">
        <v>2</v>
      </c>
      <c r="C214" s="17">
        <v>3</v>
      </c>
      <c r="D214" s="18">
        <v>7</v>
      </c>
      <c r="E214" s="19" t="s">
        <v>16</v>
      </c>
      <c r="F214" s="19">
        <v>30638318470</v>
      </c>
      <c r="G214" s="20" t="s">
        <v>29</v>
      </c>
      <c r="H214" s="21">
        <v>11267992.5</v>
      </c>
      <c r="I214" s="21">
        <v>2366278.4249999998</v>
      </c>
      <c r="J214" s="21"/>
      <c r="K214" s="21">
        <v>13634270.925000001</v>
      </c>
    </row>
    <row r="215" spans="1:11" ht="18.75" customHeight="1" thickBot="1" x14ac:dyDescent="0.35">
      <c r="A215" s="46" t="s">
        <v>15</v>
      </c>
      <c r="B215" s="47"/>
      <c r="C215" s="47"/>
      <c r="D215" s="47"/>
      <c r="E215" s="47"/>
      <c r="F215" s="47"/>
      <c r="G215" s="48"/>
      <c r="H215" s="42">
        <f>SUM(H213:H214)</f>
        <v>22868742.5</v>
      </c>
      <c r="I215" s="42">
        <f t="shared" ref="I215:K215" si="14">SUM(I213:I214)</f>
        <v>2623528.4249999998</v>
      </c>
      <c r="J215" s="42">
        <f t="shared" si="14"/>
        <v>1089452</v>
      </c>
      <c r="K215" s="42">
        <f t="shared" si="14"/>
        <v>26581722.925000001</v>
      </c>
    </row>
    <row r="216" spans="1:11" ht="18.75" customHeight="1" thickBot="1" x14ac:dyDescent="0.35">
      <c r="A216" s="30"/>
      <c r="B216" s="30"/>
      <c r="C216" s="30"/>
      <c r="D216" s="30"/>
      <c r="E216" s="30"/>
      <c r="F216" s="30"/>
      <c r="G216" s="30"/>
      <c r="H216" s="30"/>
      <c r="I216" s="49">
        <f>SUM(I215:J215)</f>
        <v>3712980.4249999998</v>
      </c>
      <c r="J216" s="50"/>
      <c r="K216" s="30"/>
    </row>
    <row r="217" spans="1:11" ht="18.75" customHeight="1" x14ac:dyDescent="0.25"/>
    <row r="218" spans="1:11" ht="18.75" customHeight="1" x14ac:dyDescent="0.25"/>
    <row r="219" spans="1:11" s="39" customFormat="1" ht="23.1" customHeight="1" thickBot="1" x14ac:dyDescent="0.45">
      <c r="A219" s="51" t="s">
        <v>0</v>
      </c>
      <c r="B219" s="51"/>
      <c r="C219" s="51"/>
      <c r="D219" s="51"/>
      <c r="J219" s="52">
        <v>45261</v>
      </c>
      <c r="K219" s="52"/>
    </row>
    <row r="220" spans="1:11" ht="18.75" customHeight="1" thickBot="1" x14ac:dyDescent="0.35">
      <c r="A220" s="5" t="s">
        <v>1</v>
      </c>
      <c r="B220" s="6" t="s">
        <v>2</v>
      </c>
      <c r="C220" s="6" t="s">
        <v>3</v>
      </c>
      <c r="D220" s="6" t="s">
        <v>4</v>
      </c>
      <c r="E220" s="6" t="s">
        <v>5</v>
      </c>
      <c r="F220" s="6" t="s">
        <v>6</v>
      </c>
      <c r="G220" s="7" t="s">
        <v>7</v>
      </c>
      <c r="H220" s="6" t="s">
        <v>8</v>
      </c>
      <c r="I220" s="6" t="s">
        <v>9</v>
      </c>
      <c r="J220" s="6" t="s">
        <v>10</v>
      </c>
      <c r="K220" s="6" t="s">
        <v>11</v>
      </c>
    </row>
    <row r="221" spans="1:11" ht="18.75" customHeight="1" x14ac:dyDescent="0.3">
      <c r="A221" s="15" t="s">
        <v>41</v>
      </c>
      <c r="B221" s="16">
        <v>1</v>
      </c>
      <c r="C221" s="17">
        <v>3</v>
      </c>
      <c r="D221" s="18">
        <v>171</v>
      </c>
      <c r="E221" s="19" t="s">
        <v>16</v>
      </c>
      <c r="F221" s="19">
        <v>30638318470</v>
      </c>
      <c r="G221" s="20" t="s">
        <v>29</v>
      </c>
      <c r="H221" s="21">
        <v>18061974</v>
      </c>
      <c r="I221" s="21">
        <v>527480.1</v>
      </c>
      <c r="J221" s="21">
        <v>1632767.22</v>
      </c>
      <c r="K221" s="21">
        <v>20222221.32</v>
      </c>
    </row>
    <row r="222" spans="1:11" ht="18.75" customHeight="1" x14ac:dyDescent="0.3">
      <c r="A222" s="15" t="s">
        <v>42</v>
      </c>
      <c r="B222" s="16">
        <v>1</v>
      </c>
      <c r="C222" s="17">
        <v>3</v>
      </c>
      <c r="D222" s="18">
        <v>172</v>
      </c>
      <c r="E222" s="19" t="s">
        <v>16</v>
      </c>
      <c r="F222" s="19">
        <v>30638318470</v>
      </c>
      <c r="G222" s="20" t="s">
        <v>29</v>
      </c>
      <c r="H222" s="21">
        <v>64345</v>
      </c>
      <c r="I222" s="21">
        <v>13512.449999999999</v>
      </c>
      <c r="J222" s="21"/>
      <c r="K222" s="21">
        <v>77857.45</v>
      </c>
    </row>
    <row r="223" spans="1:11" ht="18.75" customHeight="1" thickBot="1" x14ac:dyDescent="0.35">
      <c r="A223" s="46" t="s">
        <v>15</v>
      </c>
      <c r="B223" s="47"/>
      <c r="C223" s="47"/>
      <c r="D223" s="47"/>
      <c r="E223" s="47"/>
      <c r="F223" s="47"/>
      <c r="G223" s="48"/>
      <c r="H223" s="42">
        <f>SUM(H221:H222)</f>
        <v>18126319</v>
      </c>
      <c r="I223" s="42">
        <f t="shared" ref="I223:K223" si="15">SUM(I221:I222)</f>
        <v>540992.54999999993</v>
      </c>
      <c r="J223" s="42">
        <f t="shared" si="15"/>
        <v>1632767.22</v>
      </c>
      <c r="K223" s="42">
        <f t="shared" si="15"/>
        <v>20300078.77</v>
      </c>
    </row>
    <row r="224" spans="1:11" ht="18.75" customHeight="1" thickBot="1" x14ac:dyDescent="0.35">
      <c r="A224" s="30"/>
      <c r="B224" s="30"/>
      <c r="C224" s="30"/>
      <c r="D224" s="30"/>
      <c r="E224" s="30"/>
      <c r="F224" s="30"/>
      <c r="G224" s="30"/>
      <c r="H224" s="30"/>
      <c r="I224" s="49">
        <f>SUM(I223:J223)</f>
        <v>2173759.77</v>
      </c>
      <c r="J224" s="50"/>
      <c r="K224" s="30"/>
    </row>
    <row r="225" spans="1:11" ht="18.75" customHeight="1" x14ac:dyDescent="0.25"/>
    <row r="226" spans="1:11" s="41" customFormat="1" ht="23.1" customHeight="1" thickBot="1" x14ac:dyDescent="0.4">
      <c r="A226" s="40" t="s">
        <v>20</v>
      </c>
    </row>
    <row r="227" spans="1:11" ht="18.75" customHeight="1" x14ac:dyDescent="0.3">
      <c r="A227" s="33" t="s">
        <v>1</v>
      </c>
      <c r="B227" s="34" t="s">
        <v>21</v>
      </c>
      <c r="C227" s="34" t="s">
        <v>6</v>
      </c>
      <c r="D227" s="34" t="s">
        <v>7</v>
      </c>
      <c r="E227" s="34" t="s">
        <v>22</v>
      </c>
      <c r="F227" s="34" t="s">
        <v>23</v>
      </c>
      <c r="G227" s="35" t="s">
        <v>24</v>
      </c>
      <c r="H227" s="34" t="s">
        <v>11</v>
      </c>
    </row>
    <row r="228" spans="1:11" ht="18.75" customHeight="1" x14ac:dyDescent="0.3">
      <c r="A228" s="15">
        <v>45261</v>
      </c>
      <c r="B228" s="16">
        <v>71</v>
      </c>
      <c r="C228" s="17">
        <v>55000000550</v>
      </c>
      <c r="D228" s="18"/>
      <c r="E228" s="36">
        <v>6600</v>
      </c>
      <c r="F228" s="37"/>
      <c r="G228" s="37">
        <v>360.5</v>
      </c>
      <c r="H228" s="37">
        <f>E228*G228</f>
        <v>2379300</v>
      </c>
    </row>
    <row r="229" spans="1:11" ht="18.75" customHeight="1" thickBot="1" x14ac:dyDescent="0.35">
      <c r="A229" s="43" t="s">
        <v>15</v>
      </c>
      <c r="B229" s="44"/>
      <c r="C229" s="44"/>
      <c r="D229" s="45"/>
      <c r="E229" s="42">
        <f>SUM(E228)</f>
        <v>6600</v>
      </c>
      <c r="F229" s="42"/>
      <c r="G229" s="42"/>
      <c r="H229" s="42">
        <f>SUM(H228)</f>
        <v>2379300</v>
      </c>
    </row>
    <row r="230" spans="1:11" ht="18.75" customHeight="1" x14ac:dyDescent="0.25"/>
    <row r="231" spans="1:11" ht="18.75" customHeight="1" x14ac:dyDescent="0.25"/>
    <row r="232" spans="1:11" ht="18.75" customHeight="1" x14ac:dyDescent="0.25"/>
    <row r="233" spans="1:11" s="39" customFormat="1" ht="23.1" customHeight="1" thickBot="1" x14ac:dyDescent="0.45">
      <c r="A233" s="51" t="s">
        <v>0</v>
      </c>
      <c r="B233" s="51"/>
      <c r="C233" s="51"/>
      <c r="D233" s="51"/>
      <c r="J233" s="52">
        <v>45292</v>
      </c>
      <c r="K233" s="52"/>
    </row>
    <row r="234" spans="1:11" ht="18.75" customHeight="1" thickBot="1" x14ac:dyDescent="0.35">
      <c r="A234" s="5" t="s">
        <v>1</v>
      </c>
      <c r="B234" s="6" t="s">
        <v>2</v>
      </c>
      <c r="C234" s="6" t="s">
        <v>3</v>
      </c>
      <c r="D234" s="6" t="s">
        <v>4</v>
      </c>
      <c r="E234" s="6" t="s">
        <v>5</v>
      </c>
      <c r="F234" s="6" t="s">
        <v>6</v>
      </c>
      <c r="G234" s="7" t="s">
        <v>7</v>
      </c>
      <c r="H234" s="6" t="s">
        <v>8</v>
      </c>
      <c r="I234" s="6" t="s">
        <v>9</v>
      </c>
      <c r="J234" s="6" t="s">
        <v>10</v>
      </c>
      <c r="K234" s="6" t="s">
        <v>11</v>
      </c>
    </row>
    <row r="235" spans="1:11" ht="18.75" customHeight="1" x14ac:dyDescent="0.3">
      <c r="A235" s="15">
        <v>45316</v>
      </c>
      <c r="B235" s="16">
        <v>1</v>
      </c>
      <c r="C235" s="17">
        <v>3</v>
      </c>
      <c r="D235" s="18">
        <v>173</v>
      </c>
      <c r="E235" s="19">
        <v>80</v>
      </c>
      <c r="F235" s="19">
        <v>30638318470</v>
      </c>
      <c r="G235" s="20" t="s">
        <v>29</v>
      </c>
      <c r="H235" s="21">
        <v>2689767.49</v>
      </c>
      <c r="I235" s="21">
        <v>30169.4</v>
      </c>
      <c r="J235" s="21">
        <v>267338.57</v>
      </c>
      <c r="K235" s="21">
        <v>2987275.46</v>
      </c>
    </row>
    <row r="236" spans="1:11" ht="18.75" customHeight="1" thickBot="1" x14ac:dyDescent="0.35">
      <c r="A236" s="46" t="s">
        <v>15</v>
      </c>
      <c r="B236" s="47"/>
      <c r="C236" s="47"/>
      <c r="D236" s="47"/>
      <c r="E236" s="47"/>
      <c r="F236" s="47"/>
      <c r="G236" s="48"/>
      <c r="H236" s="42">
        <f>SUM(H235)</f>
        <v>2689767.49</v>
      </c>
      <c r="I236" s="42">
        <f t="shared" ref="I236:K236" si="16">SUM(I235)</f>
        <v>30169.4</v>
      </c>
      <c r="J236" s="42">
        <f t="shared" si="16"/>
        <v>267338.57</v>
      </c>
      <c r="K236" s="42">
        <f t="shared" si="16"/>
        <v>2987275.46</v>
      </c>
    </row>
    <row r="237" spans="1:11" ht="18.75" customHeight="1" thickBot="1" x14ac:dyDescent="0.35">
      <c r="A237" s="30"/>
      <c r="B237" s="30"/>
      <c r="C237" s="30"/>
      <c r="D237" s="30"/>
      <c r="E237" s="30"/>
      <c r="F237" s="30"/>
      <c r="G237" s="30"/>
      <c r="H237" s="30"/>
      <c r="I237" s="49">
        <f>SUM(I236:J236)</f>
        <v>297507.97000000003</v>
      </c>
      <c r="J237" s="50"/>
      <c r="K237" s="30"/>
    </row>
    <row r="238" spans="1:11" ht="18.75" customHeight="1" x14ac:dyDescent="0.25"/>
    <row r="239" spans="1:11" ht="18.75" customHeight="1" x14ac:dyDescent="0.25"/>
    <row r="240" spans="1:11" ht="18.75" customHeight="1" x14ac:dyDescent="0.25"/>
    <row r="241" spans="1:11" s="39" customFormat="1" ht="23.1" customHeight="1" thickBot="1" x14ac:dyDescent="0.45">
      <c r="A241" s="51" t="s">
        <v>0</v>
      </c>
      <c r="B241" s="51"/>
      <c r="C241" s="51"/>
      <c r="D241" s="51"/>
      <c r="J241" s="52">
        <v>45323</v>
      </c>
      <c r="K241" s="52"/>
    </row>
    <row r="242" spans="1:11" ht="18.75" customHeight="1" thickBot="1" x14ac:dyDescent="0.35">
      <c r="A242" s="5" t="s">
        <v>1</v>
      </c>
      <c r="B242" s="6" t="s">
        <v>2</v>
      </c>
      <c r="C242" s="6" t="s">
        <v>3</v>
      </c>
      <c r="D242" s="6" t="s">
        <v>4</v>
      </c>
      <c r="E242" s="6" t="s">
        <v>5</v>
      </c>
      <c r="F242" s="6" t="s">
        <v>6</v>
      </c>
      <c r="G242" s="7" t="s">
        <v>7</v>
      </c>
      <c r="H242" s="6" t="s">
        <v>8</v>
      </c>
      <c r="I242" s="6" t="s">
        <v>9</v>
      </c>
      <c r="J242" s="6" t="s">
        <v>10</v>
      </c>
      <c r="K242" s="6" t="s">
        <v>11</v>
      </c>
    </row>
    <row r="243" spans="1:11" ht="18.75" customHeight="1" x14ac:dyDescent="0.3">
      <c r="A243" s="15">
        <v>45329</v>
      </c>
      <c r="B243" s="16">
        <v>1</v>
      </c>
      <c r="C243" s="17">
        <v>3</v>
      </c>
      <c r="D243" s="18">
        <v>174</v>
      </c>
      <c r="E243" s="19">
        <v>80</v>
      </c>
      <c r="F243" s="19">
        <v>30711569843</v>
      </c>
      <c r="G243" s="20" t="s">
        <v>37</v>
      </c>
      <c r="H243" s="21">
        <v>1867800</v>
      </c>
      <c r="I243" s="21">
        <v>392238</v>
      </c>
      <c r="J243" s="21"/>
      <c r="K243" s="21">
        <v>2260038</v>
      </c>
    </row>
    <row r="244" spans="1:11" ht="18.75" customHeight="1" x14ac:dyDescent="0.3">
      <c r="A244" s="15">
        <v>45331</v>
      </c>
      <c r="B244" s="16">
        <v>1</v>
      </c>
      <c r="C244" s="17">
        <v>3</v>
      </c>
      <c r="D244" s="18">
        <v>175</v>
      </c>
      <c r="E244" s="19">
        <v>80</v>
      </c>
      <c r="F244" s="19">
        <v>30559088923</v>
      </c>
      <c r="G244" s="20" t="s">
        <v>43</v>
      </c>
      <c r="H244" s="21">
        <v>5181950</v>
      </c>
      <c r="I244" s="21">
        <v>142716</v>
      </c>
      <c r="J244" s="21">
        <v>472746.75</v>
      </c>
      <c r="K244" s="21">
        <v>5797412.75</v>
      </c>
    </row>
    <row r="245" spans="1:11" ht="18.75" customHeight="1" x14ac:dyDescent="0.3">
      <c r="A245" s="15">
        <v>45331</v>
      </c>
      <c r="B245" s="16">
        <v>1</v>
      </c>
      <c r="C245" s="17">
        <v>3</v>
      </c>
      <c r="D245" s="18">
        <v>176</v>
      </c>
      <c r="E245" s="19">
        <v>80</v>
      </c>
      <c r="F245" s="19">
        <v>30716041596</v>
      </c>
      <c r="G245" s="20" t="s">
        <v>33</v>
      </c>
      <c r="H245" s="21">
        <v>850000</v>
      </c>
      <c r="I245" s="21"/>
      <c r="J245" s="21">
        <v>89250</v>
      </c>
      <c r="K245" s="21">
        <v>939250</v>
      </c>
    </row>
    <row r="246" spans="1:11" ht="18.75" customHeight="1" x14ac:dyDescent="0.3">
      <c r="A246" s="15">
        <v>45336</v>
      </c>
      <c r="B246" s="16">
        <v>1</v>
      </c>
      <c r="C246" s="17">
        <v>3</v>
      </c>
      <c r="D246" s="18">
        <v>177</v>
      </c>
      <c r="E246" s="19">
        <v>80</v>
      </c>
      <c r="F246" s="19">
        <v>30716041596</v>
      </c>
      <c r="G246" s="20" t="s">
        <v>33</v>
      </c>
      <c r="H246" s="21">
        <v>264430</v>
      </c>
      <c r="I246" s="21">
        <v>55530.299999999996</v>
      </c>
      <c r="J246" s="21"/>
      <c r="K246" s="21">
        <v>319960.3</v>
      </c>
    </row>
    <row r="247" spans="1:11" ht="18.75" customHeight="1" x14ac:dyDescent="0.3">
      <c r="A247" s="15">
        <v>45337</v>
      </c>
      <c r="B247" s="16">
        <v>1</v>
      </c>
      <c r="C247" s="17">
        <v>3</v>
      </c>
      <c r="D247" s="18">
        <v>178</v>
      </c>
      <c r="E247" s="19">
        <v>80</v>
      </c>
      <c r="F247" s="19">
        <v>30716041596</v>
      </c>
      <c r="G247" s="20" t="s">
        <v>33</v>
      </c>
      <c r="H247" s="21">
        <v>853500</v>
      </c>
      <c r="I247" s="21"/>
      <c r="J247" s="21">
        <v>89617.5</v>
      </c>
      <c r="K247" s="21">
        <v>943117.5</v>
      </c>
    </row>
    <row r="248" spans="1:11" ht="18.75" customHeight="1" x14ac:dyDescent="0.3">
      <c r="A248" s="15">
        <v>45342</v>
      </c>
      <c r="B248" s="16">
        <v>1</v>
      </c>
      <c r="C248" s="17">
        <v>3</v>
      </c>
      <c r="D248" s="18">
        <v>179</v>
      </c>
      <c r="E248" s="19">
        <v>80</v>
      </c>
      <c r="F248" s="19">
        <v>20228469492</v>
      </c>
      <c r="G248" s="20" t="s">
        <v>44</v>
      </c>
      <c r="H248" s="21">
        <v>984400</v>
      </c>
      <c r="I248" s="21">
        <v>206724</v>
      </c>
      <c r="J248" s="21"/>
      <c r="K248" s="21">
        <v>1191124</v>
      </c>
    </row>
    <row r="249" spans="1:11" ht="18.75" customHeight="1" thickBot="1" x14ac:dyDescent="0.35">
      <c r="A249" s="46" t="s">
        <v>15</v>
      </c>
      <c r="B249" s="47"/>
      <c r="C249" s="47"/>
      <c r="D249" s="47"/>
      <c r="E249" s="47"/>
      <c r="F249" s="47"/>
      <c r="G249" s="48"/>
      <c r="H249" s="42">
        <f>SUM(H243:H248)</f>
        <v>10002080</v>
      </c>
      <c r="I249" s="42">
        <f t="shared" ref="I249:K249" si="17">SUM(I243:I248)</f>
        <v>797208.3</v>
      </c>
      <c r="J249" s="42">
        <f t="shared" si="17"/>
        <v>651614.25</v>
      </c>
      <c r="K249" s="42">
        <f t="shared" si="17"/>
        <v>11450902.550000001</v>
      </c>
    </row>
    <row r="250" spans="1:11" ht="18.75" customHeight="1" thickBot="1" x14ac:dyDescent="0.35">
      <c r="A250" s="30"/>
      <c r="B250" s="30"/>
      <c r="C250" s="30"/>
      <c r="D250" s="30"/>
      <c r="E250" s="30"/>
      <c r="F250" s="30"/>
      <c r="G250" s="30"/>
      <c r="H250" s="30"/>
      <c r="I250" s="49">
        <f>SUM(I249:J249)</f>
        <v>1448822.55</v>
      </c>
      <c r="J250" s="50"/>
      <c r="K250" s="30"/>
    </row>
    <row r="251" spans="1:11" ht="18.75" customHeight="1" x14ac:dyDescent="0.25"/>
    <row r="252" spans="1:11" s="41" customFormat="1" ht="23.1" customHeight="1" thickBot="1" x14ac:dyDescent="0.4">
      <c r="A252" s="40" t="s">
        <v>20</v>
      </c>
    </row>
    <row r="253" spans="1:11" ht="18.75" customHeight="1" x14ac:dyDescent="0.3">
      <c r="A253" s="33" t="s">
        <v>1</v>
      </c>
      <c r="B253" s="34" t="s">
        <v>21</v>
      </c>
      <c r="C253" s="34" t="s">
        <v>6</v>
      </c>
      <c r="D253" s="34" t="s">
        <v>7</v>
      </c>
      <c r="E253" s="34" t="s">
        <v>22</v>
      </c>
      <c r="F253" s="34" t="s">
        <v>23</v>
      </c>
      <c r="G253" s="35" t="s">
        <v>24</v>
      </c>
      <c r="H253" s="34" t="s">
        <v>11</v>
      </c>
    </row>
    <row r="254" spans="1:11" ht="18.75" customHeight="1" x14ac:dyDescent="0.3">
      <c r="A254" s="15">
        <v>45342</v>
      </c>
      <c r="B254" s="16">
        <v>72</v>
      </c>
      <c r="C254" s="17">
        <v>5500000050</v>
      </c>
      <c r="D254" s="18"/>
      <c r="E254" s="36">
        <v>14400</v>
      </c>
      <c r="F254" s="37"/>
      <c r="G254" s="37">
        <v>836.7</v>
      </c>
      <c r="H254" s="37">
        <f>E254*G254</f>
        <v>12048480</v>
      </c>
    </row>
    <row r="255" spans="1:11" ht="18.75" customHeight="1" x14ac:dyDescent="0.3">
      <c r="A255" s="15">
        <v>45348</v>
      </c>
      <c r="B255" s="16">
        <v>73</v>
      </c>
      <c r="C255" s="17">
        <v>5500002223</v>
      </c>
      <c r="D255" s="18"/>
      <c r="E255" s="36">
        <v>5316.8</v>
      </c>
      <c r="F255" s="37"/>
      <c r="G255" s="37">
        <v>838.9</v>
      </c>
      <c r="H255" s="37">
        <f>E255*G255</f>
        <v>4460263.5200000005</v>
      </c>
    </row>
    <row r="256" spans="1:11" ht="18.75" customHeight="1" thickBot="1" x14ac:dyDescent="0.35">
      <c r="A256" s="43" t="s">
        <v>15</v>
      </c>
      <c r="B256" s="44"/>
      <c r="C256" s="44"/>
      <c r="D256" s="45"/>
      <c r="E256" s="42">
        <f>SUM(E254:E255)</f>
        <v>19716.8</v>
      </c>
      <c r="F256" s="42"/>
      <c r="G256" s="42"/>
      <c r="H256" s="42">
        <f>SUM(H254:H255)</f>
        <v>16508743.52</v>
      </c>
    </row>
    <row r="257" spans="1:11" ht="18.75" customHeight="1" x14ac:dyDescent="0.25"/>
    <row r="258" spans="1:11" ht="18.75" customHeight="1" x14ac:dyDescent="0.25"/>
    <row r="259" spans="1:11" ht="18.75" customHeight="1" x14ac:dyDescent="0.25"/>
    <row r="260" spans="1:11" ht="18.75" customHeight="1" x14ac:dyDescent="0.25"/>
    <row r="261" spans="1:11" ht="18.75" customHeight="1" x14ac:dyDescent="0.25"/>
    <row r="262" spans="1:11" ht="18.75" customHeight="1" x14ac:dyDescent="0.25"/>
    <row r="263" spans="1:11" s="39" customFormat="1" ht="23.1" customHeight="1" thickBot="1" x14ac:dyDescent="0.45">
      <c r="A263" s="51" t="s">
        <v>0</v>
      </c>
      <c r="B263" s="51"/>
      <c r="C263" s="51"/>
      <c r="D263" s="51"/>
      <c r="J263" s="52">
        <v>45352</v>
      </c>
      <c r="K263" s="52"/>
    </row>
    <row r="264" spans="1:11" ht="18.75" customHeight="1" thickBot="1" x14ac:dyDescent="0.35">
      <c r="A264" s="5" t="s">
        <v>1</v>
      </c>
      <c r="B264" s="6" t="s">
        <v>2</v>
      </c>
      <c r="C264" s="6" t="s">
        <v>3</v>
      </c>
      <c r="D264" s="6" t="s">
        <v>4</v>
      </c>
      <c r="E264" s="6" t="s">
        <v>5</v>
      </c>
      <c r="F264" s="6" t="s">
        <v>6</v>
      </c>
      <c r="G264" s="7" t="s">
        <v>7</v>
      </c>
      <c r="H264" s="6" t="s">
        <v>8</v>
      </c>
      <c r="I264" s="6" t="s">
        <v>9</v>
      </c>
      <c r="J264" s="6" t="s">
        <v>10</v>
      </c>
      <c r="K264" s="6" t="s">
        <v>11</v>
      </c>
    </row>
    <row r="265" spans="1:11" ht="18.75" customHeight="1" x14ac:dyDescent="0.3">
      <c r="A265" s="15">
        <v>45358</v>
      </c>
      <c r="B265" s="16">
        <v>1</v>
      </c>
      <c r="C265" s="17">
        <v>3</v>
      </c>
      <c r="D265" s="18">
        <v>180</v>
      </c>
      <c r="E265" s="19">
        <v>80</v>
      </c>
      <c r="F265" s="19">
        <v>30709581011</v>
      </c>
      <c r="G265" s="20" t="s">
        <v>39</v>
      </c>
      <c r="H265" s="21">
        <v>3027500</v>
      </c>
      <c r="I265" s="21">
        <v>635775</v>
      </c>
      <c r="J265" s="21"/>
      <c r="K265" s="21">
        <v>3663275</v>
      </c>
    </row>
    <row r="266" spans="1:11" ht="18.75" customHeight="1" x14ac:dyDescent="0.3">
      <c r="A266" s="15">
        <v>45362</v>
      </c>
      <c r="B266" s="16">
        <v>1</v>
      </c>
      <c r="C266" s="17">
        <v>3</v>
      </c>
      <c r="D266" s="18">
        <v>181</v>
      </c>
      <c r="E266" s="19">
        <v>80</v>
      </c>
      <c r="F266" s="19">
        <v>30628274327</v>
      </c>
      <c r="G266" s="20" t="s">
        <v>25</v>
      </c>
      <c r="H266" s="21">
        <v>7750980</v>
      </c>
      <c r="I266" s="21"/>
      <c r="J266" s="21">
        <v>813852.9</v>
      </c>
      <c r="K266" s="21">
        <v>8564832.9000000004</v>
      </c>
    </row>
    <row r="267" spans="1:11" ht="18.75" customHeight="1" x14ac:dyDescent="0.3">
      <c r="A267" s="15">
        <v>45364</v>
      </c>
      <c r="B267" s="16">
        <v>1</v>
      </c>
      <c r="C267" s="17">
        <v>3</v>
      </c>
      <c r="D267" s="18">
        <v>182</v>
      </c>
      <c r="E267" s="19">
        <v>80</v>
      </c>
      <c r="F267" s="19">
        <v>30638318470</v>
      </c>
      <c r="G267" s="20" t="s">
        <v>29</v>
      </c>
      <c r="H267" s="21">
        <v>2501280</v>
      </c>
      <c r="I267" s="21"/>
      <c r="J267" s="21">
        <v>262634.40000000002</v>
      </c>
      <c r="K267" s="21">
        <v>2763914.4</v>
      </c>
    </row>
    <row r="268" spans="1:11" ht="18.75" customHeight="1" x14ac:dyDescent="0.3">
      <c r="A268" s="15">
        <v>45371</v>
      </c>
      <c r="B268" s="16">
        <v>1</v>
      </c>
      <c r="C268" s="17">
        <v>3</v>
      </c>
      <c r="D268" s="18">
        <v>183</v>
      </c>
      <c r="E268" s="19">
        <v>80</v>
      </c>
      <c r="F268" s="19">
        <v>30716041596</v>
      </c>
      <c r="G268" s="20" t="s">
        <v>33</v>
      </c>
      <c r="H268" s="21">
        <v>872000</v>
      </c>
      <c r="I268" s="21"/>
      <c r="J268" s="21">
        <v>91560</v>
      </c>
      <c r="K268" s="21">
        <v>963560</v>
      </c>
    </row>
    <row r="269" spans="1:11" ht="18.75" customHeight="1" x14ac:dyDescent="0.3">
      <c r="A269" s="15">
        <v>45358</v>
      </c>
      <c r="B269" s="16">
        <v>2</v>
      </c>
      <c r="C269" s="17">
        <v>3</v>
      </c>
      <c r="D269" s="18">
        <v>8</v>
      </c>
      <c r="E269" s="19">
        <v>80</v>
      </c>
      <c r="F269" s="19">
        <v>30638318470</v>
      </c>
      <c r="G269" s="20" t="s">
        <v>29</v>
      </c>
      <c r="H269" s="21">
        <v>100604465.10000001</v>
      </c>
      <c r="I269" s="21">
        <v>21126937.671</v>
      </c>
      <c r="J269" s="21"/>
      <c r="K269" s="21">
        <v>121731402.77100001</v>
      </c>
    </row>
    <row r="270" spans="1:11" ht="18.75" customHeight="1" thickBot="1" x14ac:dyDescent="0.35">
      <c r="A270" s="46" t="s">
        <v>15</v>
      </c>
      <c r="B270" s="47"/>
      <c r="C270" s="47"/>
      <c r="D270" s="47"/>
      <c r="E270" s="47"/>
      <c r="F270" s="47"/>
      <c r="G270" s="48"/>
      <c r="H270" s="42">
        <f>SUM(H265:H269)</f>
        <v>114756225.10000001</v>
      </c>
      <c r="I270" s="42">
        <f t="shared" ref="I270:K270" si="18">SUM(I265:I269)</f>
        <v>21762712.671</v>
      </c>
      <c r="J270" s="42">
        <f t="shared" si="18"/>
        <v>1168047.3</v>
      </c>
      <c r="K270" s="42">
        <f t="shared" si="18"/>
        <v>137686985.07100001</v>
      </c>
    </row>
    <row r="271" spans="1:11" ht="18.75" customHeight="1" thickBot="1" x14ac:dyDescent="0.35">
      <c r="A271" s="30"/>
      <c r="B271" s="30"/>
      <c r="C271" s="30"/>
      <c r="D271" s="30"/>
      <c r="E271" s="30"/>
      <c r="F271" s="30"/>
      <c r="G271" s="30"/>
      <c r="H271" s="30"/>
      <c r="I271" s="49">
        <f>SUM(I270:J270)</f>
        <v>22930759.971000001</v>
      </c>
      <c r="J271" s="50"/>
      <c r="K271" s="30"/>
    </row>
    <row r="272" spans="1:11" ht="18.75" customHeight="1" x14ac:dyDescent="0.25"/>
    <row r="273" spans="1:11" s="41" customFormat="1" ht="23.1" customHeight="1" thickBot="1" x14ac:dyDescent="0.4">
      <c r="A273" s="40" t="s">
        <v>20</v>
      </c>
    </row>
    <row r="274" spans="1:11" ht="18.75" customHeight="1" x14ac:dyDescent="0.3">
      <c r="A274" s="33" t="s">
        <v>1</v>
      </c>
      <c r="B274" s="34" t="s">
        <v>21</v>
      </c>
      <c r="C274" s="34" t="s">
        <v>6</v>
      </c>
      <c r="D274" s="34" t="s">
        <v>7</v>
      </c>
      <c r="E274" s="34" t="s">
        <v>22</v>
      </c>
      <c r="F274" s="34" t="s">
        <v>23</v>
      </c>
      <c r="G274" s="35" t="s">
        <v>24</v>
      </c>
      <c r="H274" s="34" t="s">
        <v>11</v>
      </c>
    </row>
    <row r="275" spans="1:11" ht="18.75" customHeight="1" x14ac:dyDescent="0.3">
      <c r="A275" s="15">
        <v>45378</v>
      </c>
      <c r="B275" s="16">
        <v>74</v>
      </c>
      <c r="C275" s="17">
        <v>5500000050</v>
      </c>
      <c r="D275" s="18"/>
      <c r="E275" s="36"/>
      <c r="F275" s="37"/>
      <c r="G275" s="37"/>
      <c r="H275" s="37">
        <v>2200</v>
      </c>
    </row>
    <row r="276" spans="1:11" ht="18.75" customHeight="1" thickBot="1" x14ac:dyDescent="0.35">
      <c r="A276" s="43" t="s">
        <v>15</v>
      </c>
      <c r="B276" s="44"/>
      <c r="C276" s="44"/>
      <c r="D276" s="45"/>
      <c r="E276" s="42">
        <f>SUM(E275)</f>
        <v>0</v>
      </c>
      <c r="F276" s="42"/>
      <c r="G276" s="42"/>
      <c r="H276" s="42">
        <f>SUM(H275)</f>
        <v>2200</v>
      </c>
    </row>
    <row r="277" spans="1:11" ht="18.75" customHeight="1" x14ac:dyDescent="0.25"/>
    <row r="278" spans="1:11" ht="18.75" customHeight="1" x14ac:dyDescent="0.25"/>
    <row r="279" spans="1:11" ht="18.75" customHeight="1" x14ac:dyDescent="0.25"/>
    <row r="280" spans="1:11" s="39" customFormat="1" ht="23.1" customHeight="1" thickBot="1" x14ac:dyDescent="0.45">
      <c r="A280" s="51" t="s">
        <v>0</v>
      </c>
      <c r="B280" s="51"/>
      <c r="C280" s="51"/>
      <c r="D280" s="51"/>
      <c r="J280" s="52">
        <v>45383</v>
      </c>
      <c r="K280" s="52"/>
    </row>
    <row r="281" spans="1:11" ht="18.75" customHeight="1" thickBot="1" x14ac:dyDescent="0.35">
      <c r="A281" s="5" t="s">
        <v>1</v>
      </c>
      <c r="B281" s="6" t="s">
        <v>2</v>
      </c>
      <c r="C281" s="6" t="s">
        <v>3</v>
      </c>
      <c r="D281" s="6" t="s">
        <v>4</v>
      </c>
      <c r="E281" s="6" t="s">
        <v>5</v>
      </c>
      <c r="F281" s="6" t="s">
        <v>6</v>
      </c>
      <c r="G281" s="7" t="s">
        <v>7</v>
      </c>
      <c r="H281" s="6" t="s">
        <v>8</v>
      </c>
      <c r="I281" s="6" t="s">
        <v>9</v>
      </c>
      <c r="J281" s="6" t="s">
        <v>10</v>
      </c>
      <c r="K281" s="6" t="s">
        <v>11</v>
      </c>
    </row>
    <row r="282" spans="1:11" ht="18.75" customHeight="1" x14ac:dyDescent="0.3">
      <c r="A282" s="15" t="s">
        <v>45</v>
      </c>
      <c r="B282" s="16">
        <v>1</v>
      </c>
      <c r="C282" s="17">
        <v>3</v>
      </c>
      <c r="D282" s="18">
        <v>184</v>
      </c>
      <c r="E282" s="19">
        <v>80</v>
      </c>
      <c r="F282" s="19">
        <v>30638318470</v>
      </c>
      <c r="G282" s="20" t="s">
        <v>29</v>
      </c>
      <c r="H282" s="21">
        <v>18976464.805</v>
      </c>
      <c r="I282" s="21">
        <v>65248.63</v>
      </c>
      <c r="J282" s="21">
        <v>1959909.47</v>
      </c>
      <c r="K282" s="21">
        <v>21001622.904999997</v>
      </c>
    </row>
    <row r="283" spans="1:11" ht="18.75" customHeight="1" x14ac:dyDescent="0.3">
      <c r="A283" s="15" t="s">
        <v>46</v>
      </c>
      <c r="B283" s="16">
        <v>1</v>
      </c>
      <c r="C283" s="17">
        <v>3</v>
      </c>
      <c r="D283" s="18">
        <v>185</v>
      </c>
      <c r="E283" s="19">
        <v>80</v>
      </c>
      <c r="F283" s="19">
        <v>30628274327</v>
      </c>
      <c r="G283" s="20" t="s">
        <v>25</v>
      </c>
      <c r="H283" s="21">
        <v>11861145</v>
      </c>
      <c r="I283" s="21"/>
      <c r="J283" s="21">
        <v>1245420.2250000001</v>
      </c>
      <c r="K283" s="21">
        <v>13106565.225</v>
      </c>
    </row>
    <row r="284" spans="1:11" ht="18.75" customHeight="1" x14ac:dyDescent="0.3">
      <c r="A284" s="15" t="s">
        <v>47</v>
      </c>
      <c r="B284" s="16">
        <v>1</v>
      </c>
      <c r="C284" s="17">
        <v>3</v>
      </c>
      <c r="D284" s="18">
        <v>186</v>
      </c>
      <c r="E284" s="19">
        <v>80</v>
      </c>
      <c r="F284" s="19">
        <v>30638318470</v>
      </c>
      <c r="G284" s="20" t="s">
        <v>29</v>
      </c>
      <c r="H284" s="21">
        <v>18803400</v>
      </c>
      <c r="I284" s="21"/>
      <c r="J284" s="21">
        <v>1974361.44</v>
      </c>
      <c r="K284" s="21">
        <v>20777761.440000001</v>
      </c>
    </row>
    <row r="285" spans="1:11" ht="18.75" customHeight="1" x14ac:dyDescent="0.3">
      <c r="A285" s="15" t="s">
        <v>48</v>
      </c>
      <c r="B285" s="16">
        <v>1</v>
      </c>
      <c r="C285" s="17">
        <v>3</v>
      </c>
      <c r="D285" s="18">
        <v>187</v>
      </c>
      <c r="E285" s="19">
        <v>80</v>
      </c>
      <c r="F285" s="19">
        <v>30716041596</v>
      </c>
      <c r="G285" s="20" t="s">
        <v>33</v>
      </c>
      <c r="H285" s="21">
        <v>277605</v>
      </c>
      <c r="I285" s="21">
        <v>58297.049999999996</v>
      </c>
      <c r="J285" s="21"/>
      <c r="K285" s="21">
        <v>335902.05</v>
      </c>
    </row>
    <row r="286" spans="1:11" ht="18.75" customHeight="1" thickBot="1" x14ac:dyDescent="0.35">
      <c r="A286" s="46" t="s">
        <v>15</v>
      </c>
      <c r="B286" s="47"/>
      <c r="C286" s="47"/>
      <c r="D286" s="47"/>
      <c r="E286" s="47"/>
      <c r="F286" s="47"/>
      <c r="G286" s="48"/>
      <c r="H286" s="42">
        <f>SUM(H282:H285)</f>
        <v>49918614.805</v>
      </c>
      <c r="I286" s="42">
        <f t="shared" ref="I286:K286" si="19">SUM(I282:I285)</f>
        <v>123545.68</v>
      </c>
      <c r="J286" s="42">
        <f t="shared" si="19"/>
        <v>5179691.1349999998</v>
      </c>
      <c r="K286" s="42">
        <f t="shared" si="19"/>
        <v>55221851.61999999</v>
      </c>
    </row>
    <row r="287" spans="1:11" ht="18.75" customHeight="1" thickBot="1" x14ac:dyDescent="0.35">
      <c r="A287" s="30"/>
      <c r="B287" s="30"/>
      <c r="C287" s="30"/>
      <c r="D287" s="30"/>
      <c r="E287" s="30"/>
      <c r="F287" s="30"/>
      <c r="G287" s="30"/>
      <c r="H287" s="30"/>
      <c r="I287" s="49">
        <f>SUM(I286:J286)</f>
        <v>5303236.8149999995</v>
      </c>
      <c r="J287" s="50"/>
      <c r="K287" s="30"/>
    </row>
    <row r="288" spans="1:11" ht="18.75" customHeight="1" x14ac:dyDescent="0.25"/>
    <row r="289" spans="1:11" s="41" customFormat="1" ht="23.1" customHeight="1" thickBot="1" x14ac:dyDescent="0.4">
      <c r="A289" s="40" t="s">
        <v>20</v>
      </c>
    </row>
    <row r="290" spans="1:11" ht="18.75" customHeight="1" x14ac:dyDescent="0.3">
      <c r="A290" s="33" t="s">
        <v>1</v>
      </c>
      <c r="B290" s="34" t="s">
        <v>21</v>
      </c>
      <c r="C290" s="34" t="s">
        <v>6</v>
      </c>
      <c r="D290" s="34" t="s">
        <v>7</v>
      </c>
      <c r="E290" s="34" t="s">
        <v>22</v>
      </c>
      <c r="F290" s="34" t="s">
        <v>23</v>
      </c>
      <c r="G290" s="35" t="s">
        <v>24</v>
      </c>
      <c r="H290" s="34" t="s">
        <v>11</v>
      </c>
    </row>
    <row r="291" spans="1:11" ht="18.75" customHeight="1" x14ac:dyDescent="0.3">
      <c r="A291" s="15">
        <v>45398</v>
      </c>
      <c r="B291" s="16">
        <v>75</v>
      </c>
      <c r="C291" s="17">
        <v>5500000223</v>
      </c>
      <c r="D291" s="18"/>
      <c r="E291" s="36">
        <v>2200</v>
      </c>
      <c r="F291" s="37"/>
      <c r="G291" s="37">
        <v>868.5</v>
      </c>
      <c r="H291" s="37">
        <f>E291*G291</f>
        <v>1910700</v>
      </c>
    </row>
    <row r="292" spans="1:11" ht="18.75" customHeight="1" x14ac:dyDescent="0.3">
      <c r="A292" s="15">
        <v>45400</v>
      </c>
      <c r="B292" s="16">
        <v>76</v>
      </c>
      <c r="C292" s="17">
        <v>5500000050</v>
      </c>
      <c r="D292" s="18"/>
      <c r="E292" s="36">
        <v>3250</v>
      </c>
      <c r="F292" s="37"/>
      <c r="G292" s="37">
        <v>866.5</v>
      </c>
      <c r="H292" s="37">
        <f>E292*G292</f>
        <v>2816125</v>
      </c>
    </row>
    <row r="293" spans="1:11" ht="18.75" customHeight="1" x14ac:dyDescent="0.3">
      <c r="A293" s="15">
        <v>45400</v>
      </c>
      <c r="B293" s="16">
        <v>18</v>
      </c>
      <c r="C293" s="17">
        <v>5500000050</v>
      </c>
      <c r="D293" s="18"/>
      <c r="E293" s="36">
        <v>0</v>
      </c>
      <c r="F293" s="37"/>
      <c r="G293" s="37"/>
      <c r="H293" s="37">
        <v>-2200</v>
      </c>
    </row>
    <row r="294" spans="1:11" ht="18.75" customHeight="1" thickBot="1" x14ac:dyDescent="0.35">
      <c r="A294" s="43" t="s">
        <v>15</v>
      </c>
      <c r="B294" s="44"/>
      <c r="C294" s="44"/>
      <c r="D294" s="45"/>
      <c r="E294" s="42">
        <f>SUM(E291:E293)</f>
        <v>5450</v>
      </c>
      <c r="F294" s="42"/>
      <c r="G294" s="42"/>
      <c r="H294" s="42">
        <f>SUM(H291:H293)</f>
        <v>4724625</v>
      </c>
    </row>
    <row r="295" spans="1:11" ht="18.75" customHeight="1" x14ac:dyDescent="0.25"/>
    <row r="296" spans="1:11" ht="18.75" customHeight="1" x14ac:dyDescent="0.25"/>
    <row r="297" spans="1:11" ht="18.75" customHeight="1" x14ac:dyDescent="0.25"/>
    <row r="298" spans="1:11" s="39" customFormat="1" ht="23.1" customHeight="1" thickBot="1" x14ac:dyDescent="0.45">
      <c r="A298" s="51" t="s">
        <v>0</v>
      </c>
      <c r="B298" s="51"/>
      <c r="C298" s="51"/>
      <c r="D298" s="51"/>
      <c r="J298" s="52">
        <v>45413</v>
      </c>
      <c r="K298" s="52"/>
    </row>
    <row r="299" spans="1:11" ht="18.75" customHeight="1" thickBot="1" x14ac:dyDescent="0.35">
      <c r="A299" s="5" t="s">
        <v>1</v>
      </c>
      <c r="B299" s="6" t="s">
        <v>2</v>
      </c>
      <c r="C299" s="6" t="s">
        <v>3</v>
      </c>
      <c r="D299" s="6" t="s">
        <v>4</v>
      </c>
      <c r="E299" s="6" t="s">
        <v>5</v>
      </c>
      <c r="F299" s="6" t="s">
        <v>6</v>
      </c>
      <c r="G299" s="7" t="s">
        <v>7</v>
      </c>
      <c r="H299" s="6" t="s">
        <v>8</v>
      </c>
      <c r="I299" s="6" t="s">
        <v>9</v>
      </c>
      <c r="J299" s="6" t="s">
        <v>10</v>
      </c>
      <c r="K299" s="6" t="s">
        <v>11</v>
      </c>
    </row>
    <row r="300" spans="1:11" ht="18.75" customHeight="1" x14ac:dyDescent="0.3">
      <c r="A300" s="15">
        <v>45414</v>
      </c>
      <c r="B300" s="16">
        <v>1</v>
      </c>
      <c r="C300" s="17">
        <v>3</v>
      </c>
      <c r="D300" s="18">
        <v>188</v>
      </c>
      <c r="E300" s="19">
        <v>80</v>
      </c>
      <c r="F300" s="19">
        <v>30638318470</v>
      </c>
      <c r="G300" s="20" t="s">
        <v>29</v>
      </c>
      <c r="H300" s="21">
        <v>32300970</v>
      </c>
      <c r="I300" s="21">
        <v>2794468.9499999997</v>
      </c>
      <c r="J300" s="21">
        <v>1994371.86</v>
      </c>
      <c r="K300" s="21">
        <v>37089810.810000002</v>
      </c>
    </row>
    <row r="301" spans="1:11" ht="18.75" customHeight="1" x14ac:dyDescent="0.3">
      <c r="A301" s="15">
        <v>45421</v>
      </c>
      <c r="B301" s="16">
        <v>1</v>
      </c>
      <c r="C301" s="17">
        <v>3</v>
      </c>
      <c r="D301" s="18">
        <v>189</v>
      </c>
      <c r="E301" s="19">
        <v>80</v>
      </c>
      <c r="F301" s="19">
        <v>30628274327</v>
      </c>
      <c r="G301" s="20" t="s">
        <v>25</v>
      </c>
      <c r="H301" s="21">
        <v>90100</v>
      </c>
      <c r="I301" s="21">
        <v>18921</v>
      </c>
      <c r="J301" s="21"/>
      <c r="K301" s="21">
        <v>109021</v>
      </c>
    </row>
    <row r="302" spans="1:11" ht="18.75" customHeight="1" x14ac:dyDescent="0.3">
      <c r="A302" s="15">
        <v>45421</v>
      </c>
      <c r="B302" s="16">
        <v>1</v>
      </c>
      <c r="C302" s="17">
        <v>3</v>
      </c>
      <c r="D302" s="18">
        <v>190</v>
      </c>
      <c r="E302" s="19">
        <v>80</v>
      </c>
      <c r="F302" s="19">
        <v>30638318470</v>
      </c>
      <c r="G302" s="20" t="s">
        <v>29</v>
      </c>
      <c r="H302" s="21">
        <v>2443061.5</v>
      </c>
      <c r="I302" s="21">
        <v>227052</v>
      </c>
      <c r="J302" s="21">
        <v>142997.71</v>
      </c>
      <c r="K302" s="21">
        <v>2813111.21</v>
      </c>
    </row>
    <row r="303" spans="1:11" ht="18.75" customHeight="1" x14ac:dyDescent="0.3">
      <c r="A303" s="15">
        <v>45428</v>
      </c>
      <c r="B303" s="16">
        <v>1</v>
      </c>
      <c r="C303" s="17">
        <v>3</v>
      </c>
      <c r="D303" s="18">
        <v>193</v>
      </c>
      <c r="E303" s="19">
        <v>80</v>
      </c>
      <c r="F303" s="19">
        <v>30718512545</v>
      </c>
      <c r="G303" s="20" t="s">
        <v>49</v>
      </c>
      <c r="H303" s="21">
        <v>4977500</v>
      </c>
      <c r="I303" s="21"/>
      <c r="J303" s="21">
        <v>522637.5</v>
      </c>
      <c r="K303" s="21">
        <v>5500137.5</v>
      </c>
    </row>
    <row r="304" spans="1:11" ht="18.75" customHeight="1" x14ac:dyDescent="0.3">
      <c r="A304" s="15">
        <v>45428</v>
      </c>
      <c r="B304" s="16">
        <v>1</v>
      </c>
      <c r="C304" s="17">
        <v>3</v>
      </c>
      <c r="D304" s="18">
        <v>192</v>
      </c>
      <c r="E304" s="19">
        <v>80</v>
      </c>
      <c r="F304" s="19">
        <v>20228469492</v>
      </c>
      <c r="G304" s="20" t="s">
        <v>44</v>
      </c>
      <c r="H304" s="21">
        <v>3122250</v>
      </c>
      <c r="I304" s="21">
        <v>655672.5</v>
      </c>
      <c r="J304" s="21"/>
      <c r="K304" s="21">
        <v>3777922.5</v>
      </c>
    </row>
    <row r="305" spans="1:11" ht="18.75" customHeight="1" x14ac:dyDescent="0.3">
      <c r="A305" s="15">
        <v>45428</v>
      </c>
      <c r="B305" s="16">
        <v>1</v>
      </c>
      <c r="C305" s="17">
        <v>3</v>
      </c>
      <c r="D305" s="18">
        <v>191</v>
      </c>
      <c r="E305" s="19">
        <v>80</v>
      </c>
      <c r="F305" s="19">
        <v>30628274327</v>
      </c>
      <c r="G305" s="20" t="s">
        <v>25</v>
      </c>
      <c r="H305" s="21">
        <v>362000</v>
      </c>
      <c r="I305" s="21">
        <v>76020</v>
      </c>
      <c r="J305" s="21"/>
      <c r="K305" s="21">
        <v>438020</v>
      </c>
    </row>
    <row r="306" spans="1:11" ht="18.75" customHeight="1" x14ac:dyDescent="0.3">
      <c r="A306" s="15">
        <v>45432</v>
      </c>
      <c r="B306" s="16">
        <v>1</v>
      </c>
      <c r="C306" s="17">
        <v>3</v>
      </c>
      <c r="D306" s="18">
        <v>194</v>
      </c>
      <c r="E306" s="19">
        <v>80</v>
      </c>
      <c r="F306" s="19">
        <v>20228469492</v>
      </c>
      <c r="G306" s="20" t="s">
        <v>44</v>
      </c>
      <c r="H306" s="21">
        <v>2086100</v>
      </c>
      <c r="I306" s="21">
        <v>438081</v>
      </c>
      <c r="J306" s="21"/>
      <c r="K306" s="21">
        <v>2524181</v>
      </c>
    </row>
    <row r="307" spans="1:11" ht="18.75" customHeight="1" x14ac:dyDescent="0.3">
      <c r="A307" s="15">
        <v>45432</v>
      </c>
      <c r="B307" s="16">
        <v>3</v>
      </c>
      <c r="C307" s="17">
        <v>3</v>
      </c>
      <c r="D307" s="18">
        <v>20</v>
      </c>
      <c r="E307" s="19">
        <v>80</v>
      </c>
      <c r="F307" s="19">
        <v>20228469492</v>
      </c>
      <c r="G307" s="20" t="s">
        <v>44</v>
      </c>
      <c r="H307" s="21">
        <v>-3122250</v>
      </c>
      <c r="I307" s="21">
        <v>-655672.5</v>
      </c>
      <c r="J307" s="21"/>
      <c r="K307" s="21">
        <v>-3777922.5</v>
      </c>
    </row>
    <row r="308" spans="1:11" ht="18.75" customHeight="1" x14ac:dyDescent="0.3">
      <c r="A308" s="15">
        <v>45433</v>
      </c>
      <c r="B308" s="16">
        <v>1</v>
      </c>
      <c r="C308" s="17">
        <v>3</v>
      </c>
      <c r="D308" s="18">
        <v>195</v>
      </c>
      <c r="E308" s="19">
        <v>80</v>
      </c>
      <c r="F308" s="19">
        <v>30638318470</v>
      </c>
      <c r="G308" s="20" t="s">
        <v>29</v>
      </c>
      <c r="H308" s="21">
        <v>19226900</v>
      </c>
      <c r="I308" s="21"/>
      <c r="J308" s="21">
        <v>2018824.5</v>
      </c>
      <c r="K308" s="21">
        <v>21245724.5</v>
      </c>
    </row>
    <row r="309" spans="1:11" ht="18.75" customHeight="1" x14ac:dyDescent="0.3">
      <c r="A309" s="15">
        <v>45435</v>
      </c>
      <c r="B309" s="16">
        <v>1</v>
      </c>
      <c r="C309" s="17">
        <v>3</v>
      </c>
      <c r="D309" s="18">
        <v>196</v>
      </c>
      <c r="E309" s="19">
        <v>80</v>
      </c>
      <c r="F309" s="19">
        <v>30718512545</v>
      </c>
      <c r="G309" s="20" t="s">
        <v>49</v>
      </c>
      <c r="H309" s="21">
        <v>363600</v>
      </c>
      <c r="I309" s="21">
        <v>76356</v>
      </c>
      <c r="J309" s="21"/>
      <c r="K309" s="21">
        <v>439956</v>
      </c>
    </row>
    <row r="310" spans="1:11" ht="18.75" customHeight="1" x14ac:dyDescent="0.3">
      <c r="A310" s="15">
        <v>45443</v>
      </c>
      <c r="B310" s="16">
        <v>1</v>
      </c>
      <c r="C310" s="17">
        <v>3</v>
      </c>
      <c r="D310" s="18">
        <v>197</v>
      </c>
      <c r="E310" s="19">
        <v>80</v>
      </c>
      <c r="F310" s="19">
        <v>30638318470</v>
      </c>
      <c r="G310" s="20" t="s">
        <v>29</v>
      </c>
      <c r="H310" s="21">
        <v>23224740</v>
      </c>
      <c r="I310" s="21"/>
      <c r="J310" s="21">
        <v>2438597.6999999997</v>
      </c>
      <c r="K310" s="21">
        <v>25663337.699999999</v>
      </c>
    </row>
    <row r="311" spans="1:11" ht="18.75" customHeight="1" thickBot="1" x14ac:dyDescent="0.35">
      <c r="A311" s="46" t="s">
        <v>15</v>
      </c>
      <c r="B311" s="47"/>
      <c r="C311" s="47"/>
      <c r="D311" s="47"/>
      <c r="E311" s="47"/>
      <c r="F311" s="47"/>
      <c r="G311" s="48"/>
      <c r="H311" s="42">
        <f>SUM(H300:H310)</f>
        <v>85074971.5</v>
      </c>
      <c r="I311" s="42">
        <f t="shared" ref="I311:K311" si="20">SUM(I300:I310)</f>
        <v>3630898.9499999993</v>
      </c>
      <c r="J311" s="42">
        <f t="shared" si="20"/>
        <v>7117429.2699999996</v>
      </c>
      <c r="K311" s="42">
        <f t="shared" si="20"/>
        <v>95823299.720000014</v>
      </c>
    </row>
    <row r="312" spans="1:11" ht="18.75" customHeight="1" thickBot="1" x14ac:dyDescent="0.35">
      <c r="A312" s="30"/>
      <c r="B312" s="30"/>
      <c r="C312" s="30"/>
      <c r="D312" s="30"/>
      <c r="E312" s="30"/>
      <c r="F312" s="30"/>
      <c r="G312" s="30"/>
      <c r="H312" s="30"/>
      <c r="I312" s="49">
        <f>SUM(I311:J311)</f>
        <v>10748328.219999999</v>
      </c>
      <c r="J312" s="50"/>
      <c r="K312" s="30"/>
    </row>
    <row r="313" spans="1:11" ht="18.75" customHeight="1" x14ac:dyDescent="0.25"/>
    <row r="314" spans="1:11" s="39" customFormat="1" ht="23.1" customHeight="1" thickBot="1" x14ac:dyDescent="0.45">
      <c r="A314" s="51" t="s">
        <v>34</v>
      </c>
      <c r="B314" s="51"/>
      <c r="C314" s="51"/>
      <c r="D314" s="51"/>
      <c r="J314" s="52">
        <v>45413</v>
      </c>
      <c r="K314" s="52"/>
    </row>
    <row r="315" spans="1:11" ht="18.75" customHeight="1" thickBot="1" x14ac:dyDescent="0.35">
      <c r="A315" s="5" t="s">
        <v>1</v>
      </c>
      <c r="B315" s="6" t="s">
        <v>2</v>
      </c>
      <c r="C315" s="6" t="s">
        <v>3</v>
      </c>
      <c r="D315" s="6" t="s">
        <v>4</v>
      </c>
      <c r="E315" s="6" t="s">
        <v>5</v>
      </c>
      <c r="F315" s="6" t="s">
        <v>6</v>
      </c>
      <c r="G315" s="7" t="s">
        <v>7</v>
      </c>
      <c r="H315" s="6" t="s">
        <v>8</v>
      </c>
      <c r="I315" s="6" t="s">
        <v>9</v>
      </c>
      <c r="J315" s="6" t="s">
        <v>10</v>
      </c>
      <c r="K315" s="6" t="s">
        <v>11</v>
      </c>
    </row>
    <row r="316" spans="1:11" ht="18.75" customHeight="1" x14ac:dyDescent="0.3">
      <c r="A316" s="15">
        <v>45415</v>
      </c>
      <c r="B316" s="16">
        <v>6</v>
      </c>
      <c r="C316" s="17">
        <v>3</v>
      </c>
      <c r="D316" s="18">
        <v>9</v>
      </c>
      <c r="E316" s="19"/>
      <c r="F316" s="19"/>
      <c r="G316" s="20"/>
      <c r="H316" s="21">
        <v>230914</v>
      </c>
      <c r="I316" s="21">
        <v>48491.939999999995</v>
      </c>
      <c r="J316" s="21"/>
      <c r="K316" s="21">
        <v>279405.94</v>
      </c>
    </row>
    <row r="317" spans="1:11" ht="18.75" customHeight="1" x14ac:dyDescent="0.3">
      <c r="A317" s="15">
        <v>45422</v>
      </c>
      <c r="B317" s="16">
        <v>6</v>
      </c>
      <c r="C317" s="17">
        <v>3</v>
      </c>
      <c r="D317" s="18">
        <v>10</v>
      </c>
      <c r="E317" s="19"/>
      <c r="F317" s="19"/>
      <c r="G317" s="20"/>
      <c r="H317" s="21">
        <v>311017.5</v>
      </c>
      <c r="I317" s="21">
        <v>65313.674999999996</v>
      </c>
      <c r="J317" s="21"/>
      <c r="K317" s="21">
        <v>376331.17499999999</v>
      </c>
    </row>
    <row r="318" spans="1:11" ht="18.75" customHeight="1" thickBot="1" x14ac:dyDescent="0.35">
      <c r="A318" s="46" t="s">
        <v>15</v>
      </c>
      <c r="B318" s="47"/>
      <c r="C318" s="47"/>
      <c r="D318" s="47"/>
      <c r="E318" s="47"/>
      <c r="F318" s="47"/>
      <c r="G318" s="48"/>
      <c r="H318" s="42">
        <f>SUM(H316:H317)</f>
        <v>541931.5</v>
      </c>
      <c r="I318" s="42">
        <f t="shared" ref="I318:K318" si="21">SUM(I316:I317)</f>
        <v>113805.61499999999</v>
      </c>
      <c r="J318" s="42">
        <f t="shared" si="21"/>
        <v>0</v>
      </c>
      <c r="K318" s="42">
        <f t="shared" si="21"/>
        <v>655737.11499999999</v>
      </c>
    </row>
    <row r="319" spans="1:11" ht="18.75" customHeight="1" thickBot="1" x14ac:dyDescent="0.35">
      <c r="A319" s="30"/>
      <c r="B319" s="30"/>
      <c r="C319" s="30"/>
      <c r="D319" s="30"/>
      <c r="E319" s="30"/>
      <c r="F319" s="30"/>
      <c r="G319" s="30"/>
      <c r="H319" s="30"/>
      <c r="I319" s="49">
        <f>SUM(I318:J318)</f>
        <v>113805.61499999999</v>
      </c>
      <c r="J319" s="50"/>
      <c r="K319" s="30"/>
    </row>
    <row r="320" spans="1:11" ht="18.75" customHeight="1" x14ac:dyDescent="0.25"/>
    <row r="321" spans="1:8" s="41" customFormat="1" ht="23.1" customHeight="1" thickBot="1" x14ac:dyDescent="0.4">
      <c r="A321" s="40" t="s">
        <v>20</v>
      </c>
    </row>
    <row r="322" spans="1:8" ht="18.75" customHeight="1" x14ac:dyDescent="0.3">
      <c r="A322" s="33" t="s">
        <v>1</v>
      </c>
      <c r="B322" s="34" t="s">
        <v>21</v>
      </c>
      <c r="C322" s="34" t="s">
        <v>6</v>
      </c>
      <c r="D322" s="34" t="s">
        <v>7</v>
      </c>
      <c r="E322" s="34" t="s">
        <v>22</v>
      </c>
      <c r="F322" s="34" t="s">
        <v>23</v>
      </c>
      <c r="G322" s="35" t="s">
        <v>24</v>
      </c>
      <c r="H322" s="34" t="s">
        <v>11</v>
      </c>
    </row>
    <row r="323" spans="1:8" ht="18.75" customHeight="1" x14ac:dyDescent="0.3">
      <c r="A323" s="15">
        <v>45414</v>
      </c>
      <c r="B323" s="16">
        <v>77</v>
      </c>
      <c r="C323" s="17">
        <v>55000000050</v>
      </c>
      <c r="D323" s="18"/>
      <c r="E323" s="36">
        <v>14400</v>
      </c>
      <c r="F323" s="37"/>
      <c r="G323" s="37">
        <v>876.5</v>
      </c>
      <c r="H323" s="37">
        <v>12621600</v>
      </c>
    </row>
    <row r="324" spans="1:8" ht="18.75" customHeight="1" x14ac:dyDescent="0.3">
      <c r="A324" s="15">
        <v>45420</v>
      </c>
      <c r="B324" s="16">
        <v>78</v>
      </c>
      <c r="C324" s="17">
        <v>55000002223</v>
      </c>
      <c r="D324" s="18"/>
      <c r="E324" s="36">
        <v>2180</v>
      </c>
      <c r="F324" s="37"/>
      <c r="G324" s="37">
        <v>880.5</v>
      </c>
      <c r="H324" s="37">
        <v>1919490</v>
      </c>
    </row>
    <row r="325" spans="1:8" ht="18.75" customHeight="1" x14ac:dyDescent="0.3">
      <c r="A325" s="15">
        <v>45422</v>
      </c>
      <c r="B325" s="16">
        <v>79</v>
      </c>
      <c r="C325" s="17">
        <v>55000000050</v>
      </c>
      <c r="D325" s="18"/>
      <c r="E325" s="36">
        <v>1650</v>
      </c>
      <c r="F325" s="37"/>
      <c r="G325" s="37">
        <v>882</v>
      </c>
      <c r="H325" s="37">
        <v>1455300</v>
      </c>
    </row>
    <row r="326" spans="1:8" ht="18.75" customHeight="1" x14ac:dyDescent="0.3">
      <c r="A326" s="15">
        <v>45425</v>
      </c>
      <c r="B326" s="16">
        <v>82</v>
      </c>
      <c r="C326" s="17">
        <v>55000002223</v>
      </c>
      <c r="D326" s="18"/>
      <c r="E326" s="36">
        <v>2180</v>
      </c>
      <c r="F326" s="37"/>
      <c r="G326" s="37">
        <v>882.5</v>
      </c>
      <c r="H326" s="37">
        <v>1923850</v>
      </c>
    </row>
    <row r="327" spans="1:8" ht="18.75" customHeight="1" x14ac:dyDescent="0.3">
      <c r="A327" s="15">
        <v>45425</v>
      </c>
      <c r="B327" s="16">
        <v>81</v>
      </c>
      <c r="C327" s="17">
        <v>55000000050</v>
      </c>
      <c r="D327" s="18"/>
      <c r="E327" s="36">
        <v>1650</v>
      </c>
      <c r="F327" s="37"/>
      <c r="G327" s="37">
        <v>882.5</v>
      </c>
      <c r="H327" s="37">
        <v>1456125</v>
      </c>
    </row>
    <row r="328" spans="1:8" ht="18.75" customHeight="1" x14ac:dyDescent="0.3">
      <c r="A328" s="15">
        <v>45425</v>
      </c>
      <c r="B328" s="16">
        <v>80</v>
      </c>
      <c r="C328" s="17">
        <v>55000002223</v>
      </c>
      <c r="D328" s="18"/>
      <c r="E328" s="36">
        <v>2180</v>
      </c>
      <c r="F328" s="37"/>
      <c r="G328" s="37">
        <v>882.5</v>
      </c>
      <c r="H328" s="37">
        <v>1923850</v>
      </c>
    </row>
    <row r="329" spans="1:8" ht="18.75" customHeight="1" x14ac:dyDescent="0.3">
      <c r="A329" s="15">
        <v>45425</v>
      </c>
      <c r="B329" s="16">
        <v>83</v>
      </c>
      <c r="C329" s="17">
        <v>55000000050</v>
      </c>
      <c r="D329" s="18"/>
      <c r="E329" s="36">
        <v>1650</v>
      </c>
      <c r="F329" s="37"/>
      <c r="G329" s="37">
        <v>882.5</v>
      </c>
      <c r="H329" s="37">
        <v>1456125</v>
      </c>
    </row>
    <row r="330" spans="1:8" ht="18.75" customHeight="1" x14ac:dyDescent="0.3">
      <c r="A330" s="15">
        <v>45425</v>
      </c>
      <c r="B330" s="16">
        <v>20</v>
      </c>
      <c r="C330" s="17">
        <v>55000000050</v>
      </c>
      <c r="D330" s="18"/>
      <c r="E330" s="36">
        <v>-1650</v>
      </c>
      <c r="F330" s="37"/>
      <c r="G330" s="37">
        <v>882.5</v>
      </c>
      <c r="H330" s="37">
        <v>-1456125</v>
      </c>
    </row>
    <row r="331" spans="1:8" ht="18.75" customHeight="1" x14ac:dyDescent="0.3">
      <c r="A331" s="15">
        <v>45425</v>
      </c>
      <c r="B331" s="16">
        <v>22</v>
      </c>
      <c r="C331" s="17">
        <v>55000000050</v>
      </c>
      <c r="D331" s="18"/>
      <c r="E331" s="36">
        <v>-1650</v>
      </c>
      <c r="F331" s="37"/>
      <c r="G331" s="37">
        <v>882.5</v>
      </c>
      <c r="H331" s="37">
        <v>-1456125</v>
      </c>
    </row>
    <row r="332" spans="1:8" ht="18.75" customHeight="1" x14ac:dyDescent="0.3">
      <c r="A332" s="15">
        <v>45425</v>
      </c>
      <c r="B332" s="16">
        <v>19</v>
      </c>
      <c r="C332" s="17">
        <v>55000002223</v>
      </c>
      <c r="D332" s="18"/>
      <c r="E332" s="36">
        <v>-2180</v>
      </c>
      <c r="F332" s="37"/>
      <c r="G332" s="37">
        <v>882.5</v>
      </c>
      <c r="H332" s="37">
        <v>-1923850</v>
      </c>
    </row>
    <row r="333" spans="1:8" ht="18.75" customHeight="1" x14ac:dyDescent="0.3">
      <c r="A333" s="15">
        <v>45425</v>
      </c>
      <c r="B333" s="16">
        <v>21</v>
      </c>
      <c r="C333" s="17">
        <v>55000002223</v>
      </c>
      <c r="D333" s="18"/>
      <c r="E333" s="36">
        <v>-2180</v>
      </c>
      <c r="F333" s="37"/>
      <c r="G333" s="37">
        <v>882.5</v>
      </c>
      <c r="H333" s="37">
        <v>-1923850</v>
      </c>
    </row>
    <row r="334" spans="1:8" ht="18.75" customHeight="1" x14ac:dyDescent="0.3">
      <c r="A334" s="15">
        <v>45427</v>
      </c>
      <c r="B334" s="16">
        <v>84</v>
      </c>
      <c r="C334" s="17">
        <v>55000002223</v>
      </c>
      <c r="D334" s="18"/>
      <c r="E334" s="36">
        <v>1165</v>
      </c>
      <c r="F334" s="37"/>
      <c r="G334" s="37">
        <v>885</v>
      </c>
      <c r="H334" s="37">
        <v>1031025</v>
      </c>
    </row>
    <row r="335" spans="1:8" ht="18.75" customHeight="1" x14ac:dyDescent="0.3">
      <c r="A335" s="15">
        <v>45428</v>
      </c>
      <c r="B335" s="16">
        <v>85</v>
      </c>
      <c r="C335" s="17">
        <v>55000002223</v>
      </c>
      <c r="D335" s="18"/>
      <c r="E335" s="36">
        <v>1165</v>
      </c>
      <c r="F335" s="37"/>
      <c r="G335" s="37">
        <v>885.5</v>
      </c>
      <c r="H335" s="37">
        <v>1031607.5</v>
      </c>
    </row>
    <row r="336" spans="1:8" ht="18.75" customHeight="1" x14ac:dyDescent="0.3">
      <c r="A336" s="15">
        <v>45428</v>
      </c>
      <c r="B336" s="16">
        <v>23</v>
      </c>
      <c r="C336" s="17">
        <v>55000002223</v>
      </c>
      <c r="D336" s="18"/>
      <c r="E336" s="36">
        <v>-1165</v>
      </c>
      <c r="F336" s="37"/>
      <c r="G336" s="37">
        <v>885.5</v>
      </c>
      <c r="H336" s="37">
        <v>-1031607.5</v>
      </c>
    </row>
    <row r="337" spans="1:11" ht="18.75" customHeight="1" x14ac:dyDescent="0.3">
      <c r="A337" s="15">
        <v>45436</v>
      </c>
      <c r="B337" s="16">
        <v>86</v>
      </c>
      <c r="C337" s="17">
        <v>55000006059</v>
      </c>
      <c r="D337" s="18"/>
      <c r="E337" s="36">
        <v>2625</v>
      </c>
      <c r="F337" s="37"/>
      <c r="G337" s="37">
        <v>890</v>
      </c>
      <c r="H337" s="37">
        <v>2336250</v>
      </c>
    </row>
    <row r="338" spans="1:11" ht="18.75" customHeight="1" thickBot="1" x14ac:dyDescent="0.35">
      <c r="A338" s="43" t="s">
        <v>15</v>
      </c>
      <c r="B338" s="44"/>
      <c r="C338" s="44"/>
      <c r="D338" s="45"/>
      <c r="E338" s="42">
        <f>SUM(E323:E337)</f>
        <v>22020</v>
      </c>
      <c r="F338" s="42"/>
      <c r="G338" s="42"/>
      <c r="H338" s="42">
        <f>SUM(H323:H337)</f>
        <v>19363665</v>
      </c>
    </row>
    <row r="339" spans="1:11" ht="18.75" customHeight="1" x14ac:dyDescent="0.25"/>
    <row r="340" spans="1:11" ht="18.75" customHeight="1" x14ac:dyDescent="0.25"/>
    <row r="341" spans="1:11" ht="18.75" customHeight="1" x14ac:dyDescent="0.25"/>
    <row r="342" spans="1:11" s="39" customFormat="1" ht="23.1" customHeight="1" thickBot="1" x14ac:dyDescent="0.45">
      <c r="A342" s="51" t="s">
        <v>0</v>
      </c>
      <c r="B342" s="51"/>
      <c r="C342" s="51"/>
      <c r="D342" s="51"/>
      <c r="J342" s="52">
        <v>45444</v>
      </c>
      <c r="K342" s="52"/>
    </row>
    <row r="343" spans="1:11" ht="18.75" customHeight="1" thickBot="1" x14ac:dyDescent="0.35">
      <c r="A343" s="5" t="s">
        <v>1</v>
      </c>
      <c r="B343" s="6" t="s">
        <v>2</v>
      </c>
      <c r="C343" s="6" t="s">
        <v>3</v>
      </c>
      <c r="D343" s="6" t="s">
        <v>4</v>
      </c>
      <c r="E343" s="6" t="s">
        <v>5</v>
      </c>
      <c r="F343" s="6" t="s">
        <v>6</v>
      </c>
      <c r="G343" s="7" t="s">
        <v>7</v>
      </c>
      <c r="H343" s="6" t="s">
        <v>8</v>
      </c>
      <c r="I343" s="6" t="s">
        <v>9</v>
      </c>
      <c r="J343" s="6" t="s">
        <v>10</v>
      </c>
      <c r="K343" s="6" t="s">
        <v>11</v>
      </c>
    </row>
    <row r="344" spans="1:11" ht="18.75" customHeight="1" x14ac:dyDescent="0.3">
      <c r="A344" s="15">
        <v>45453</v>
      </c>
      <c r="B344" s="16">
        <v>1</v>
      </c>
      <c r="C344" s="17">
        <v>3</v>
      </c>
      <c r="D344" s="18">
        <v>199</v>
      </c>
      <c r="E344" s="19">
        <v>80</v>
      </c>
      <c r="F344" s="19">
        <v>30628274327</v>
      </c>
      <c r="G344" s="20" t="s">
        <v>25</v>
      </c>
      <c r="H344" s="21">
        <v>274200</v>
      </c>
      <c r="I344" s="21">
        <v>57582</v>
      </c>
      <c r="J344" s="21"/>
      <c r="K344" s="21">
        <v>331782</v>
      </c>
    </row>
    <row r="345" spans="1:11" ht="18.75" customHeight="1" x14ac:dyDescent="0.3">
      <c r="A345" s="15">
        <v>45453</v>
      </c>
      <c r="B345" s="16">
        <v>1</v>
      </c>
      <c r="C345" s="17">
        <v>3</v>
      </c>
      <c r="D345" s="18">
        <v>198</v>
      </c>
      <c r="E345" s="19">
        <v>80</v>
      </c>
      <c r="F345" s="19">
        <v>30628274327</v>
      </c>
      <c r="G345" s="20" t="s">
        <v>25</v>
      </c>
      <c r="H345" s="21">
        <v>12256740</v>
      </c>
      <c r="I345" s="21"/>
      <c r="J345" s="21">
        <v>1286957.7</v>
      </c>
      <c r="K345" s="21">
        <v>13543697.699999999</v>
      </c>
    </row>
    <row r="346" spans="1:11" ht="18.75" customHeight="1" x14ac:dyDescent="0.3">
      <c r="A346" s="15">
        <v>45457</v>
      </c>
      <c r="B346" s="16">
        <v>1</v>
      </c>
      <c r="C346" s="17">
        <v>3</v>
      </c>
      <c r="D346" s="18">
        <v>200</v>
      </c>
      <c r="E346" s="19">
        <v>80</v>
      </c>
      <c r="F346" s="19">
        <v>30638318470</v>
      </c>
      <c r="G346" s="20" t="s">
        <v>29</v>
      </c>
      <c r="H346" s="21">
        <v>25052252.079999998</v>
      </c>
      <c r="I346" s="21">
        <v>48432.106799999994</v>
      </c>
      <c r="J346" s="21">
        <v>2606270.415</v>
      </c>
      <c r="K346" s="21">
        <v>27706954.601799998</v>
      </c>
    </row>
    <row r="347" spans="1:11" ht="18.75" customHeight="1" x14ac:dyDescent="0.3">
      <c r="A347" s="15">
        <v>45467</v>
      </c>
      <c r="B347" s="16">
        <v>1</v>
      </c>
      <c r="C347" s="17">
        <v>3</v>
      </c>
      <c r="D347" s="18">
        <v>201</v>
      </c>
      <c r="E347" s="19">
        <v>80</v>
      </c>
      <c r="F347" s="19">
        <v>30717260968</v>
      </c>
      <c r="G347" s="20" t="s">
        <v>36</v>
      </c>
      <c r="H347" s="21">
        <v>2904000</v>
      </c>
      <c r="I347" s="21">
        <v>609840</v>
      </c>
      <c r="J347" s="21"/>
      <c r="K347" s="21">
        <v>3513840</v>
      </c>
    </row>
    <row r="348" spans="1:11" ht="18.75" customHeight="1" x14ac:dyDescent="0.3">
      <c r="A348" s="15">
        <v>45467</v>
      </c>
      <c r="B348" s="16">
        <v>1</v>
      </c>
      <c r="C348" s="17">
        <v>3</v>
      </c>
      <c r="D348" s="18">
        <v>202</v>
      </c>
      <c r="E348" s="19">
        <v>80</v>
      </c>
      <c r="F348" s="19">
        <v>30628274327</v>
      </c>
      <c r="G348" s="20" t="s">
        <v>25</v>
      </c>
      <c r="H348" s="21">
        <v>12565215</v>
      </c>
      <c r="I348" s="21">
        <v>57739.5</v>
      </c>
      <c r="J348" s="21">
        <v>1290477.825</v>
      </c>
      <c r="K348" s="21">
        <v>13913432.324999999</v>
      </c>
    </row>
    <row r="349" spans="1:11" ht="18.75" customHeight="1" x14ac:dyDescent="0.3">
      <c r="A349" s="15">
        <v>45467</v>
      </c>
      <c r="B349" s="16">
        <v>1</v>
      </c>
      <c r="C349" s="17">
        <v>3</v>
      </c>
      <c r="D349" s="18">
        <v>203</v>
      </c>
      <c r="E349" s="19">
        <v>80</v>
      </c>
      <c r="F349" s="19">
        <v>30628274327</v>
      </c>
      <c r="G349" s="20" t="s">
        <v>25</v>
      </c>
      <c r="H349" s="21">
        <v>367200</v>
      </c>
      <c r="I349" s="21">
        <v>77112</v>
      </c>
      <c r="J349" s="21"/>
      <c r="K349" s="21">
        <v>444312</v>
      </c>
    </row>
    <row r="350" spans="1:11" ht="18.75" customHeight="1" x14ac:dyDescent="0.3">
      <c r="A350" s="15">
        <v>45467</v>
      </c>
      <c r="B350" s="16">
        <v>3</v>
      </c>
      <c r="C350" s="17">
        <v>3</v>
      </c>
      <c r="D350" s="18">
        <v>21</v>
      </c>
      <c r="E350" s="19">
        <v>80</v>
      </c>
      <c r="F350" s="19">
        <v>30628274327</v>
      </c>
      <c r="G350" s="20" t="s">
        <v>25</v>
      </c>
      <c r="H350" s="21">
        <v>-12256740</v>
      </c>
      <c r="I350" s="21"/>
      <c r="J350" s="21">
        <v>-1286957.7</v>
      </c>
      <c r="K350" s="21">
        <v>-13543697.699999999</v>
      </c>
    </row>
    <row r="351" spans="1:11" ht="18.75" customHeight="1" x14ac:dyDescent="0.3">
      <c r="A351" s="15">
        <v>45467</v>
      </c>
      <c r="B351" s="16">
        <v>3</v>
      </c>
      <c r="C351" s="17">
        <v>3</v>
      </c>
      <c r="D351" s="18">
        <v>22</v>
      </c>
      <c r="E351" s="19">
        <v>80</v>
      </c>
      <c r="F351" s="19">
        <v>30628274327</v>
      </c>
      <c r="G351" s="20" t="s">
        <v>25</v>
      </c>
      <c r="H351" s="21">
        <v>-274200</v>
      </c>
      <c r="I351" s="21">
        <v>-57582</v>
      </c>
      <c r="J351" s="21"/>
      <c r="K351" s="21">
        <v>-331782</v>
      </c>
    </row>
    <row r="352" spans="1:11" ht="18.75" customHeight="1" thickBot="1" x14ac:dyDescent="0.35">
      <c r="A352" s="46" t="s">
        <v>15</v>
      </c>
      <c r="B352" s="47"/>
      <c r="C352" s="47"/>
      <c r="D352" s="47"/>
      <c r="E352" s="47"/>
      <c r="F352" s="47"/>
      <c r="G352" s="48"/>
      <c r="H352" s="42">
        <f>SUM(H344:H351)</f>
        <v>40888667.079999998</v>
      </c>
      <c r="I352" s="42">
        <f t="shared" ref="I352:K352" si="22">SUM(I344:I351)</f>
        <v>793123.60679999995</v>
      </c>
      <c r="J352" s="42">
        <f t="shared" si="22"/>
        <v>3896748.24</v>
      </c>
      <c r="K352" s="42">
        <f t="shared" si="22"/>
        <v>45578538.926799998</v>
      </c>
    </row>
    <row r="353" spans="1:11" ht="18.75" customHeight="1" thickBot="1" x14ac:dyDescent="0.35">
      <c r="A353" s="30"/>
      <c r="B353" s="30"/>
      <c r="C353" s="30"/>
      <c r="D353" s="30"/>
      <c r="E353" s="30"/>
      <c r="F353" s="30"/>
      <c r="G353" s="30"/>
      <c r="H353" s="30"/>
      <c r="I353" s="49">
        <f>SUM(I352:J352)</f>
        <v>4689871.8468000004</v>
      </c>
      <c r="J353" s="50"/>
      <c r="K353" s="30"/>
    </row>
    <row r="354" spans="1:11" ht="18.75" customHeight="1" x14ac:dyDescent="0.25"/>
    <row r="355" spans="1:11" s="41" customFormat="1" ht="23.1" customHeight="1" thickBot="1" x14ac:dyDescent="0.4">
      <c r="A355" s="40" t="s">
        <v>20</v>
      </c>
    </row>
    <row r="356" spans="1:11" ht="18.75" customHeight="1" x14ac:dyDescent="0.3">
      <c r="A356" s="33" t="s">
        <v>1</v>
      </c>
      <c r="B356" s="34" t="s">
        <v>21</v>
      </c>
      <c r="C356" s="34" t="s">
        <v>6</v>
      </c>
      <c r="D356" s="34" t="s">
        <v>7</v>
      </c>
      <c r="E356" s="34" t="s">
        <v>22</v>
      </c>
      <c r="F356" s="34" t="s">
        <v>23</v>
      </c>
      <c r="G356" s="35" t="s">
        <v>24</v>
      </c>
      <c r="H356" s="34" t="s">
        <v>11</v>
      </c>
    </row>
    <row r="357" spans="1:11" ht="18.75" customHeight="1" x14ac:dyDescent="0.3">
      <c r="A357" s="15">
        <v>45469</v>
      </c>
      <c r="B357" s="16">
        <v>87</v>
      </c>
      <c r="C357" s="17">
        <v>5500000050</v>
      </c>
      <c r="D357" s="18"/>
      <c r="E357" s="36">
        <v>3175</v>
      </c>
      <c r="F357" s="37"/>
      <c r="G357" s="37">
        <v>909</v>
      </c>
      <c r="H357" s="37">
        <f>E357*G357</f>
        <v>2886075</v>
      </c>
    </row>
    <row r="358" spans="1:11" ht="18.75" customHeight="1" thickBot="1" x14ac:dyDescent="0.35">
      <c r="A358" s="43" t="s">
        <v>15</v>
      </c>
      <c r="B358" s="44"/>
      <c r="C358" s="44"/>
      <c r="D358" s="45"/>
      <c r="E358" s="42">
        <f>SUM(E357)</f>
        <v>3175</v>
      </c>
      <c r="F358" s="42"/>
      <c r="G358" s="42"/>
      <c r="H358" s="42">
        <f>SUM(H357)</f>
        <v>2886075</v>
      </c>
    </row>
  </sheetData>
  <mergeCells count="100">
    <mergeCell ref="A4:D4"/>
    <mergeCell ref="J4:K4"/>
    <mergeCell ref="A14:G14"/>
    <mergeCell ref="I15:J15"/>
    <mergeCell ref="A18:D18"/>
    <mergeCell ref="J18:K18"/>
    <mergeCell ref="A67:D67"/>
    <mergeCell ref="A26:G26"/>
    <mergeCell ref="I27:J27"/>
    <mergeCell ref="A30:D30"/>
    <mergeCell ref="J30:K30"/>
    <mergeCell ref="A35:G35"/>
    <mergeCell ref="I36:J36"/>
    <mergeCell ref="A46:D46"/>
    <mergeCell ref="A50:D50"/>
    <mergeCell ref="J50:K50"/>
    <mergeCell ref="A61:G61"/>
    <mergeCell ref="I62:J62"/>
    <mergeCell ref="A71:D71"/>
    <mergeCell ref="J71:K71"/>
    <mergeCell ref="A82:G82"/>
    <mergeCell ref="I83:J83"/>
    <mergeCell ref="A85:D85"/>
    <mergeCell ref="J85:K85"/>
    <mergeCell ref="A134:D134"/>
    <mergeCell ref="J134:K134"/>
    <mergeCell ref="A92:G92"/>
    <mergeCell ref="I93:J93"/>
    <mergeCell ref="A100:D100"/>
    <mergeCell ref="A104:D104"/>
    <mergeCell ref="J104:K104"/>
    <mergeCell ref="A113:G113"/>
    <mergeCell ref="I114:J114"/>
    <mergeCell ref="A120:D120"/>
    <mergeCell ref="J120:K120"/>
    <mergeCell ref="A131:G131"/>
    <mergeCell ref="I132:J132"/>
    <mergeCell ref="A171:D171"/>
    <mergeCell ref="J171:K171"/>
    <mergeCell ref="A137:G137"/>
    <mergeCell ref="I138:J138"/>
    <mergeCell ref="A144:D144"/>
    <mergeCell ref="A148:D148"/>
    <mergeCell ref="J148:K148"/>
    <mergeCell ref="A159:G159"/>
    <mergeCell ref="I160:J160"/>
    <mergeCell ref="A162:D162"/>
    <mergeCell ref="J162:K162"/>
    <mergeCell ref="A166:G166"/>
    <mergeCell ref="I167:J167"/>
    <mergeCell ref="I216:J216"/>
    <mergeCell ref="A183:G183"/>
    <mergeCell ref="I184:J184"/>
    <mergeCell ref="A189:D189"/>
    <mergeCell ref="A193:D193"/>
    <mergeCell ref="J193:K193"/>
    <mergeCell ref="A199:G199"/>
    <mergeCell ref="I200:J200"/>
    <mergeCell ref="A207:D207"/>
    <mergeCell ref="A211:D211"/>
    <mergeCell ref="J211:K211"/>
    <mergeCell ref="A215:G215"/>
    <mergeCell ref="I250:J250"/>
    <mergeCell ref="A219:D219"/>
    <mergeCell ref="J219:K219"/>
    <mergeCell ref="A223:G223"/>
    <mergeCell ref="I224:J224"/>
    <mergeCell ref="A229:D229"/>
    <mergeCell ref="A233:D233"/>
    <mergeCell ref="J233:K233"/>
    <mergeCell ref="A236:G236"/>
    <mergeCell ref="I237:J237"/>
    <mergeCell ref="A241:D241"/>
    <mergeCell ref="J241:K241"/>
    <mergeCell ref="A249:G249"/>
    <mergeCell ref="A298:D298"/>
    <mergeCell ref="J298:K298"/>
    <mergeCell ref="A256:D256"/>
    <mergeCell ref="A263:D263"/>
    <mergeCell ref="J263:K263"/>
    <mergeCell ref="A270:G270"/>
    <mergeCell ref="I271:J271"/>
    <mergeCell ref="A276:D276"/>
    <mergeCell ref="A280:D280"/>
    <mergeCell ref="J280:K280"/>
    <mergeCell ref="A286:G286"/>
    <mergeCell ref="I287:J287"/>
    <mergeCell ref="A294:D294"/>
    <mergeCell ref="A358:D358"/>
    <mergeCell ref="A311:G311"/>
    <mergeCell ref="I312:J312"/>
    <mergeCell ref="A314:D314"/>
    <mergeCell ref="J314:K314"/>
    <mergeCell ref="A318:G318"/>
    <mergeCell ref="I319:J319"/>
    <mergeCell ref="A338:D338"/>
    <mergeCell ref="A342:D342"/>
    <mergeCell ref="J342:K342"/>
    <mergeCell ref="A352:G352"/>
    <mergeCell ref="I353:J353"/>
  </mergeCells>
  <conditionalFormatting sqref="A1:L1048576">
    <cfRule type="cellIs" dxfId="0" priority="1" operator="lessThan">
      <formula>0</formula>
    </cfRule>
  </conditionalFormatting>
  <pageMargins left="0.7" right="0.7" top="0.75" bottom="0.75" header="0.3" footer="0.3"/>
  <pageSetup paperSize="9" scale="27" orientation="portrait" r:id="rId1"/>
  <rowBreaks count="2" manualBreakCount="2">
    <brk id="115" max="12" man="1"/>
    <brk id="258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2024-08-20T14:59:20Z</dcterms:created>
  <dcterms:modified xsi:type="dcterms:W3CDTF">2024-08-20T17:51:27Z</dcterms:modified>
</cp:coreProperties>
</file>